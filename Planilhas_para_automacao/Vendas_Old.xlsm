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7C988BC5-5C55-4A33-823E-27540D061BF2}" xr6:coauthVersionLast="47" xr6:coauthVersionMax="47" xr10:uidLastSave="{00000000-0000-0000-0000-000000000000}"/>
  <workbookProtection workbookAlgorithmName="SHA-512" workbookHashValue="dfxkM/Ihscl/GjvEo7I4uTiyTYjGwDhTILAIieXxFSO3Sxz/oK3UnA48ZO2d71C069NcI/EfzmhTebK8h1Wu4A==" workbookSaltValue="R9DNlaMgYHk8vlZjtkojGA==" workbookSpinCount="100000" lockStructure="1"/>
  <bookViews>
    <workbookView xWindow="-108" yWindow="-108" windowWidth="23256" windowHeight="12720" activeTab="1" xr2:uid="{3EC6B3C0-1102-4705-864B-5240FD9DCF2D}"/>
  </bookViews>
  <sheets>
    <sheet name="NB" sheetId="3" r:id="rId1"/>
    <sheet name="Vendedor" sheetId="1" r:id="rId2"/>
    <sheet name="Gerentes" sheetId="2" r:id="rId3"/>
    <sheet name="Erros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1" l="1"/>
  <c r="J14" i="1"/>
  <c r="J13" i="1"/>
  <c r="M13" i="1" s="1"/>
  <c r="J12" i="1"/>
  <c r="M12" i="1" s="1"/>
  <c r="J11" i="1"/>
  <c r="J10" i="1"/>
  <c r="M10" i="1" s="1"/>
  <c r="J9" i="1"/>
  <c r="M9" i="1" s="1"/>
  <c r="J8" i="1"/>
  <c r="M8" i="1" s="1"/>
  <c r="J7" i="1"/>
  <c r="M7" i="1" s="1"/>
  <c r="J6" i="1"/>
  <c r="M6" i="1" s="1"/>
  <c r="J5" i="1"/>
  <c r="M5" i="1" s="1"/>
  <c r="M31" i="1"/>
  <c r="M30" i="1"/>
  <c r="M29" i="1"/>
  <c r="M28" i="1"/>
  <c r="M27" i="1"/>
  <c r="M26" i="1"/>
  <c r="M25" i="1"/>
  <c r="M24" i="1"/>
  <c r="M23" i="1"/>
  <c r="M22" i="1"/>
  <c r="M21" i="1"/>
  <c r="M15" i="1"/>
  <c r="M14" i="1"/>
  <c r="M11" i="1"/>
  <c r="F32" i="2" l="1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L32" i="2"/>
  <c r="J32" i="2"/>
  <c r="I32" i="2"/>
  <c r="H32" i="2"/>
  <c r="K4" i="2"/>
  <c r="E32" i="2"/>
  <c r="L480" i="1"/>
  <c r="J479" i="1"/>
  <c r="M479" i="1" s="1"/>
  <c r="J478" i="1"/>
  <c r="M478" i="1" s="1"/>
  <c r="J477" i="1"/>
  <c r="M477" i="1" s="1"/>
  <c r="J476" i="1"/>
  <c r="M476" i="1" s="1"/>
  <c r="J475" i="1"/>
  <c r="M475" i="1" s="1"/>
  <c r="J474" i="1"/>
  <c r="M474" i="1" s="1"/>
  <c r="J473" i="1"/>
  <c r="M473" i="1" s="1"/>
  <c r="J472" i="1"/>
  <c r="M472" i="1" s="1"/>
  <c r="J471" i="1"/>
  <c r="M471" i="1" s="1"/>
  <c r="J470" i="1"/>
  <c r="M470" i="1" s="1"/>
  <c r="J469" i="1"/>
  <c r="L464" i="1"/>
  <c r="J463" i="1"/>
  <c r="M463" i="1" s="1"/>
  <c r="J462" i="1"/>
  <c r="M462" i="1" s="1"/>
  <c r="J461" i="1"/>
  <c r="M461" i="1" s="1"/>
  <c r="J460" i="1"/>
  <c r="M460" i="1" s="1"/>
  <c r="J459" i="1"/>
  <c r="M459" i="1" s="1"/>
  <c r="J458" i="1"/>
  <c r="M458" i="1" s="1"/>
  <c r="J457" i="1"/>
  <c r="M457" i="1" s="1"/>
  <c r="J456" i="1"/>
  <c r="M456" i="1" s="1"/>
  <c r="J455" i="1"/>
  <c r="M455" i="1" s="1"/>
  <c r="J454" i="1"/>
  <c r="M454" i="1" s="1"/>
  <c r="J453" i="1"/>
  <c r="M453" i="1" s="1"/>
  <c r="J452" i="1"/>
  <c r="M452" i="1" s="1"/>
  <c r="L446" i="1"/>
  <c r="J445" i="1"/>
  <c r="M445" i="1" s="1"/>
  <c r="J444" i="1"/>
  <c r="M444" i="1" s="1"/>
  <c r="J443" i="1"/>
  <c r="M443" i="1" s="1"/>
  <c r="J442" i="1"/>
  <c r="M442" i="1" s="1"/>
  <c r="J441" i="1"/>
  <c r="M441" i="1" s="1"/>
  <c r="J440" i="1"/>
  <c r="M440" i="1" s="1"/>
  <c r="J439" i="1"/>
  <c r="M439" i="1" s="1"/>
  <c r="J438" i="1"/>
  <c r="M438" i="1" s="1"/>
  <c r="J437" i="1"/>
  <c r="M437" i="1" s="1"/>
  <c r="J436" i="1"/>
  <c r="M436" i="1" s="1"/>
  <c r="J435" i="1"/>
  <c r="M435" i="1" s="1"/>
  <c r="J434" i="1"/>
  <c r="M434" i="1" s="1"/>
  <c r="L428" i="1"/>
  <c r="J427" i="1"/>
  <c r="M427" i="1" s="1"/>
  <c r="J426" i="1"/>
  <c r="M426" i="1" s="1"/>
  <c r="J425" i="1"/>
  <c r="M425" i="1" s="1"/>
  <c r="J424" i="1"/>
  <c r="M424" i="1" s="1"/>
  <c r="J423" i="1"/>
  <c r="M423" i="1" s="1"/>
  <c r="J422" i="1"/>
  <c r="M422" i="1" s="1"/>
  <c r="J421" i="1"/>
  <c r="M421" i="1" s="1"/>
  <c r="J420" i="1"/>
  <c r="M420" i="1" s="1"/>
  <c r="J419" i="1"/>
  <c r="M419" i="1" s="1"/>
  <c r="J418" i="1"/>
  <c r="M418" i="1" s="1"/>
  <c r="J417" i="1"/>
  <c r="M417" i="1" s="1"/>
  <c r="J416" i="1"/>
  <c r="M416" i="1" s="1"/>
  <c r="J415" i="1"/>
  <c r="L409" i="1"/>
  <c r="J408" i="1"/>
  <c r="M408" i="1" s="1"/>
  <c r="J407" i="1"/>
  <c r="M407" i="1" s="1"/>
  <c r="J406" i="1"/>
  <c r="M406" i="1" s="1"/>
  <c r="J405" i="1"/>
  <c r="M405" i="1" s="1"/>
  <c r="J404" i="1"/>
  <c r="M404" i="1" s="1"/>
  <c r="J403" i="1"/>
  <c r="M403" i="1" s="1"/>
  <c r="J402" i="1"/>
  <c r="M402" i="1" s="1"/>
  <c r="J401" i="1"/>
  <c r="M401" i="1" s="1"/>
  <c r="J400" i="1"/>
  <c r="M400" i="1" s="1"/>
  <c r="J399" i="1"/>
  <c r="M399" i="1" s="1"/>
  <c r="J398" i="1"/>
  <c r="L393" i="1"/>
  <c r="J392" i="1"/>
  <c r="M392" i="1" s="1"/>
  <c r="J391" i="1"/>
  <c r="M391" i="1" s="1"/>
  <c r="J390" i="1"/>
  <c r="M390" i="1" s="1"/>
  <c r="J389" i="1"/>
  <c r="M389" i="1" s="1"/>
  <c r="J388" i="1"/>
  <c r="M388" i="1" s="1"/>
  <c r="J387" i="1"/>
  <c r="M387" i="1" s="1"/>
  <c r="J386" i="1"/>
  <c r="M386" i="1" s="1"/>
  <c r="J385" i="1"/>
  <c r="M385" i="1" s="1"/>
  <c r="J384" i="1"/>
  <c r="M384" i="1" s="1"/>
  <c r="J383" i="1"/>
  <c r="M383" i="1" s="1"/>
  <c r="J382" i="1"/>
  <c r="L375" i="1"/>
  <c r="J374" i="1"/>
  <c r="M374" i="1" s="1"/>
  <c r="J373" i="1"/>
  <c r="M373" i="1" s="1"/>
  <c r="J372" i="1"/>
  <c r="M372" i="1" s="1"/>
  <c r="J371" i="1"/>
  <c r="M371" i="1" s="1"/>
  <c r="J370" i="1"/>
  <c r="M370" i="1" s="1"/>
  <c r="J369" i="1"/>
  <c r="M369" i="1" s="1"/>
  <c r="J368" i="1"/>
  <c r="M368" i="1" s="1"/>
  <c r="J367" i="1"/>
  <c r="M367" i="1" s="1"/>
  <c r="J366" i="1"/>
  <c r="M366" i="1" s="1"/>
  <c r="J365" i="1"/>
  <c r="M365" i="1" s="1"/>
  <c r="J364" i="1"/>
  <c r="L357" i="1"/>
  <c r="J356" i="1"/>
  <c r="M356" i="1" s="1"/>
  <c r="J355" i="1"/>
  <c r="M355" i="1" s="1"/>
  <c r="J354" i="1"/>
  <c r="M354" i="1" s="1"/>
  <c r="J353" i="1"/>
  <c r="M353" i="1" s="1"/>
  <c r="J352" i="1"/>
  <c r="M352" i="1" s="1"/>
  <c r="J351" i="1"/>
  <c r="M351" i="1" s="1"/>
  <c r="J350" i="1"/>
  <c r="M350" i="1" s="1"/>
  <c r="J349" i="1"/>
  <c r="M349" i="1" s="1"/>
  <c r="J348" i="1"/>
  <c r="M348" i="1" s="1"/>
  <c r="J347" i="1"/>
  <c r="M347" i="1" s="1"/>
  <c r="J346" i="1"/>
  <c r="L338" i="1"/>
  <c r="J337" i="1"/>
  <c r="M337" i="1" s="1"/>
  <c r="J336" i="1"/>
  <c r="M336" i="1" s="1"/>
  <c r="J335" i="1"/>
  <c r="M335" i="1" s="1"/>
  <c r="J334" i="1"/>
  <c r="M334" i="1" s="1"/>
  <c r="J333" i="1"/>
  <c r="M333" i="1" s="1"/>
  <c r="J332" i="1"/>
  <c r="M332" i="1" s="1"/>
  <c r="J331" i="1"/>
  <c r="M331" i="1" s="1"/>
  <c r="J330" i="1"/>
  <c r="M330" i="1" s="1"/>
  <c r="J329" i="1"/>
  <c r="M329" i="1" s="1"/>
  <c r="J328" i="1"/>
  <c r="M328" i="1" s="1"/>
  <c r="J327" i="1"/>
  <c r="L320" i="1"/>
  <c r="J319" i="1"/>
  <c r="M319" i="1" s="1"/>
  <c r="J318" i="1"/>
  <c r="M318" i="1" s="1"/>
  <c r="J317" i="1"/>
  <c r="M317" i="1" s="1"/>
  <c r="J316" i="1"/>
  <c r="M316" i="1" s="1"/>
  <c r="J315" i="1"/>
  <c r="M315" i="1" s="1"/>
  <c r="J314" i="1"/>
  <c r="M314" i="1" s="1"/>
  <c r="J313" i="1"/>
  <c r="M313" i="1" s="1"/>
  <c r="J312" i="1"/>
  <c r="M312" i="1" s="1"/>
  <c r="J311" i="1"/>
  <c r="M311" i="1" s="1"/>
  <c r="J310" i="1"/>
  <c r="M310" i="1" s="1"/>
  <c r="J309" i="1"/>
  <c r="L303" i="1"/>
  <c r="J302" i="1"/>
  <c r="M302" i="1" s="1"/>
  <c r="J301" i="1"/>
  <c r="M301" i="1" s="1"/>
  <c r="J300" i="1"/>
  <c r="M300" i="1" s="1"/>
  <c r="J299" i="1"/>
  <c r="M299" i="1" s="1"/>
  <c r="J298" i="1"/>
  <c r="M298" i="1" s="1"/>
  <c r="J297" i="1"/>
  <c r="M297" i="1" s="1"/>
  <c r="J296" i="1"/>
  <c r="M296" i="1" s="1"/>
  <c r="J295" i="1"/>
  <c r="M295" i="1" s="1"/>
  <c r="J294" i="1"/>
  <c r="M294" i="1" s="1"/>
  <c r="J293" i="1"/>
  <c r="M293" i="1" s="1"/>
  <c r="J292" i="1"/>
  <c r="L286" i="1"/>
  <c r="J285" i="1"/>
  <c r="M285" i="1" s="1"/>
  <c r="J284" i="1"/>
  <c r="M284" i="1" s="1"/>
  <c r="J283" i="1"/>
  <c r="M283" i="1" s="1"/>
  <c r="J282" i="1"/>
  <c r="M282" i="1" s="1"/>
  <c r="J281" i="1"/>
  <c r="M281" i="1" s="1"/>
  <c r="J280" i="1"/>
  <c r="M280" i="1" s="1"/>
  <c r="J279" i="1"/>
  <c r="M279" i="1" s="1"/>
  <c r="J278" i="1"/>
  <c r="M278" i="1" s="1"/>
  <c r="J277" i="1"/>
  <c r="M277" i="1" s="1"/>
  <c r="J276" i="1"/>
  <c r="M276" i="1" s="1"/>
  <c r="L269" i="1"/>
  <c r="J268" i="1"/>
  <c r="M268" i="1" s="1"/>
  <c r="J267" i="1"/>
  <c r="M267" i="1" s="1"/>
  <c r="J266" i="1"/>
  <c r="M266" i="1" s="1"/>
  <c r="J265" i="1"/>
  <c r="M265" i="1" s="1"/>
  <c r="J264" i="1"/>
  <c r="M264" i="1" s="1"/>
  <c r="J263" i="1"/>
  <c r="M263" i="1" s="1"/>
  <c r="J262" i="1"/>
  <c r="M262" i="1" s="1"/>
  <c r="J261" i="1"/>
  <c r="M261" i="1" s="1"/>
  <c r="J260" i="1"/>
  <c r="M260" i="1" s="1"/>
  <c r="J259" i="1"/>
  <c r="M259" i="1" s="1"/>
  <c r="J258" i="1"/>
  <c r="L252" i="1"/>
  <c r="J251" i="1"/>
  <c r="M251" i="1" s="1"/>
  <c r="J250" i="1"/>
  <c r="M250" i="1" s="1"/>
  <c r="J249" i="1"/>
  <c r="M249" i="1" s="1"/>
  <c r="J248" i="1"/>
  <c r="M248" i="1" s="1"/>
  <c r="J247" i="1"/>
  <c r="M247" i="1" s="1"/>
  <c r="J246" i="1"/>
  <c r="M246" i="1" s="1"/>
  <c r="J245" i="1"/>
  <c r="M245" i="1" s="1"/>
  <c r="J244" i="1"/>
  <c r="M244" i="1" s="1"/>
  <c r="J243" i="1"/>
  <c r="M243" i="1" s="1"/>
  <c r="J242" i="1"/>
  <c r="M242" i="1" s="1"/>
  <c r="J241" i="1"/>
  <c r="L235" i="1"/>
  <c r="J234" i="1"/>
  <c r="M234" i="1" s="1"/>
  <c r="J233" i="1"/>
  <c r="M233" i="1" s="1"/>
  <c r="J232" i="1"/>
  <c r="M232" i="1" s="1"/>
  <c r="J231" i="1"/>
  <c r="M231" i="1" s="1"/>
  <c r="J230" i="1"/>
  <c r="M230" i="1" s="1"/>
  <c r="J229" i="1"/>
  <c r="M229" i="1" s="1"/>
  <c r="J228" i="1"/>
  <c r="M228" i="1" s="1"/>
  <c r="J227" i="1"/>
  <c r="M227" i="1" s="1"/>
  <c r="J226" i="1"/>
  <c r="M226" i="1" s="1"/>
  <c r="J225" i="1"/>
  <c r="M225" i="1" s="1"/>
  <c r="J224" i="1"/>
  <c r="L218" i="1"/>
  <c r="J217" i="1"/>
  <c r="M217" i="1" s="1"/>
  <c r="J216" i="1"/>
  <c r="M216" i="1" s="1"/>
  <c r="J215" i="1"/>
  <c r="M215" i="1" s="1"/>
  <c r="J214" i="1"/>
  <c r="M214" i="1" s="1"/>
  <c r="J213" i="1"/>
  <c r="M213" i="1" s="1"/>
  <c r="J212" i="1"/>
  <c r="M212" i="1" s="1"/>
  <c r="J211" i="1"/>
  <c r="M211" i="1" s="1"/>
  <c r="J210" i="1"/>
  <c r="M210" i="1" s="1"/>
  <c r="J209" i="1"/>
  <c r="M209" i="1" s="1"/>
  <c r="J208" i="1"/>
  <c r="M208" i="1" s="1"/>
  <c r="J207" i="1"/>
  <c r="L201" i="1"/>
  <c r="J200" i="1"/>
  <c r="M200" i="1" s="1"/>
  <c r="J199" i="1"/>
  <c r="M199" i="1" s="1"/>
  <c r="J198" i="1"/>
  <c r="M198" i="1" s="1"/>
  <c r="J197" i="1"/>
  <c r="M197" i="1" s="1"/>
  <c r="J196" i="1"/>
  <c r="M196" i="1" s="1"/>
  <c r="J195" i="1"/>
  <c r="M195" i="1" s="1"/>
  <c r="J194" i="1"/>
  <c r="M194" i="1" s="1"/>
  <c r="J193" i="1"/>
  <c r="M193" i="1" s="1"/>
  <c r="J192" i="1"/>
  <c r="M192" i="1" s="1"/>
  <c r="J191" i="1"/>
  <c r="M191" i="1" s="1"/>
  <c r="J190" i="1"/>
  <c r="L184" i="1"/>
  <c r="J183" i="1"/>
  <c r="M183" i="1" s="1"/>
  <c r="J182" i="1"/>
  <c r="M182" i="1" s="1"/>
  <c r="J181" i="1"/>
  <c r="M181" i="1" s="1"/>
  <c r="J180" i="1"/>
  <c r="M180" i="1" s="1"/>
  <c r="J179" i="1"/>
  <c r="M179" i="1" s="1"/>
  <c r="J178" i="1"/>
  <c r="M178" i="1" s="1"/>
  <c r="J177" i="1"/>
  <c r="M177" i="1" s="1"/>
  <c r="J176" i="1"/>
  <c r="M176" i="1" s="1"/>
  <c r="J175" i="1"/>
  <c r="M175" i="1" s="1"/>
  <c r="J174" i="1"/>
  <c r="M174" i="1" s="1"/>
  <c r="L167" i="1"/>
  <c r="J166" i="1"/>
  <c r="M166" i="1" s="1"/>
  <c r="J165" i="1"/>
  <c r="M165" i="1" s="1"/>
  <c r="J164" i="1"/>
  <c r="M164" i="1" s="1"/>
  <c r="J163" i="1"/>
  <c r="M163" i="1" s="1"/>
  <c r="J162" i="1"/>
  <c r="M162" i="1" s="1"/>
  <c r="J161" i="1"/>
  <c r="M161" i="1" s="1"/>
  <c r="J160" i="1"/>
  <c r="M160" i="1" s="1"/>
  <c r="J159" i="1"/>
  <c r="M159" i="1" s="1"/>
  <c r="J158" i="1"/>
  <c r="M158" i="1" s="1"/>
  <c r="J157" i="1"/>
  <c r="M157" i="1" s="1"/>
  <c r="J156" i="1"/>
  <c r="L150" i="1"/>
  <c r="J149" i="1"/>
  <c r="M149" i="1" s="1"/>
  <c r="J148" i="1"/>
  <c r="M148" i="1" s="1"/>
  <c r="J147" i="1"/>
  <c r="M147" i="1" s="1"/>
  <c r="J146" i="1"/>
  <c r="M146" i="1" s="1"/>
  <c r="J145" i="1"/>
  <c r="M145" i="1" s="1"/>
  <c r="J144" i="1"/>
  <c r="M144" i="1" s="1"/>
  <c r="J143" i="1"/>
  <c r="M143" i="1" s="1"/>
  <c r="J142" i="1"/>
  <c r="M142" i="1" s="1"/>
  <c r="J141" i="1"/>
  <c r="M141" i="1" s="1"/>
  <c r="J140" i="1"/>
  <c r="M140" i="1" s="1"/>
  <c r="J139" i="1"/>
  <c r="L133" i="1"/>
  <c r="J132" i="1"/>
  <c r="M132" i="1" s="1"/>
  <c r="J131" i="1"/>
  <c r="M131" i="1" s="1"/>
  <c r="J130" i="1"/>
  <c r="M130" i="1" s="1"/>
  <c r="J129" i="1"/>
  <c r="M129" i="1" s="1"/>
  <c r="J128" i="1"/>
  <c r="M128" i="1" s="1"/>
  <c r="J127" i="1"/>
  <c r="M127" i="1" s="1"/>
  <c r="J126" i="1"/>
  <c r="M126" i="1" s="1"/>
  <c r="J125" i="1"/>
  <c r="M125" i="1" s="1"/>
  <c r="J124" i="1"/>
  <c r="M124" i="1" s="1"/>
  <c r="M123" i="1"/>
  <c r="L116" i="1"/>
  <c r="J115" i="1"/>
  <c r="M115" i="1" s="1"/>
  <c r="J114" i="1"/>
  <c r="M114" i="1" s="1"/>
  <c r="J113" i="1"/>
  <c r="M113" i="1" s="1"/>
  <c r="J110" i="1"/>
  <c r="M110" i="1" s="1"/>
  <c r="J109" i="1"/>
  <c r="M109" i="1" s="1"/>
  <c r="J108" i="1"/>
  <c r="M108" i="1" s="1"/>
  <c r="J107" i="1"/>
  <c r="M107" i="1" s="1"/>
  <c r="J106" i="1"/>
  <c r="M106" i="1" s="1"/>
  <c r="L99" i="1"/>
  <c r="J98" i="1"/>
  <c r="M98" i="1" s="1"/>
  <c r="J97" i="1"/>
  <c r="M97" i="1" s="1"/>
  <c r="J96" i="1"/>
  <c r="M96" i="1" s="1"/>
  <c r="J95" i="1"/>
  <c r="M95" i="1" s="1"/>
  <c r="J94" i="1"/>
  <c r="M94" i="1" s="1"/>
  <c r="J93" i="1"/>
  <c r="M93" i="1" s="1"/>
  <c r="J92" i="1"/>
  <c r="M92" i="1" s="1"/>
  <c r="J90" i="1"/>
  <c r="M90" i="1" s="1"/>
  <c r="J89" i="1"/>
  <c r="M89" i="1" s="1"/>
  <c r="J88" i="1"/>
  <c r="M88" i="1" s="1"/>
  <c r="L82" i="1"/>
  <c r="J81" i="1"/>
  <c r="M81" i="1" s="1"/>
  <c r="J80" i="1"/>
  <c r="M80" i="1" s="1"/>
  <c r="J78" i="1"/>
  <c r="M78" i="1" s="1"/>
  <c r="J77" i="1"/>
  <c r="M77" i="1" s="1"/>
  <c r="J76" i="1"/>
  <c r="M76" i="1" s="1"/>
  <c r="J75" i="1"/>
  <c r="M75" i="1" s="1"/>
  <c r="J74" i="1"/>
  <c r="M74" i="1" s="1"/>
  <c r="J73" i="1"/>
  <c r="M73" i="1" s="1"/>
  <c r="J72" i="1"/>
  <c r="M72" i="1" s="1"/>
  <c r="L66" i="1"/>
  <c r="J65" i="1"/>
  <c r="M65" i="1" s="1"/>
  <c r="J64" i="1"/>
  <c r="M64" i="1" s="1"/>
  <c r="J63" i="1"/>
  <c r="M63" i="1" s="1"/>
  <c r="J62" i="1"/>
  <c r="M62" i="1" s="1"/>
  <c r="J61" i="1"/>
  <c r="M61" i="1" s="1"/>
  <c r="J60" i="1"/>
  <c r="M60" i="1" s="1"/>
  <c r="J59" i="1"/>
  <c r="M59" i="1" s="1"/>
  <c r="J58" i="1"/>
  <c r="M58" i="1" s="1"/>
  <c r="J57" i="1"/>
  <c r="M57" i="1" s="1"/>
  <c r="J56" i="1"/>
  <c r="M56" i="1" s="1"/>
  <c r="J55" i="1"/>
  <c r="L49" i="1"/>
  <c r="J48" i="1"/>
  <c r="M48" i="1" s="1"/>
  <c r="J47" i="1"/>
  <c r="M47" i="1" s="1"/>
  <c r="J46" i="1"/>
  <c r="M46" i="1" s="1"/>
  <c r="J45" i="1"/>
  <c r="M45" i="1" s="1"/>
  <c r="J44" i="1"/>
  <c r="M44" i="1" s="1"/>
  <c r="J43" i="1"/>
  <c r="M43" i="1" s="1"/>
  <c r="J42" i="1"/>
  <c r="M42" i="1" s="1"/>
  <c r="J41" i="1"/>
  <c r="M41" i="1" s="1"/>
  <c r="J40" i="1"/>
  <c r="M40" i="1" s="1"/>
  <c r="J39" i="1"/>
  <c r="M39" i="1" s="1"/>
  <c r="J38" i="1"/>
  <c r="L32" i="1"/>
  <c r="J31" i="1"/>
  <c r="J30" i="1"/>
  <c r="J29" i="1"/>
  <c r="J28" i="1"/>
  <c r="J27" i="1"/>
  <c r="J26" i="1"/>
  <c r="J25" i="1"/>
  <c r="J24" i="1"/>
  <c r="J23" i="1"/>
  <c r="J22" i="1"/>
  <c r="J21" i="1"/>
  <c r="L16" i="1"/>
  <c r="K32" i="2" l="1"/>
  <c r="M32" i="2" s="1"/>
  <c r="G32" i="2"/>
  <c r="J218" i="1"/>
  <c r="J32" i="1"/>
  <c r="J49" i="1"/>
  <c r="M38" i="1"/>
  <c r="J16" i="1"/>
  <c r="M55" i="1"/>
  <c r="J66" i="1"/>
  <c r="J71" i="1"/>
  <c r="J91" i="1"/>
  <c r="M91" i="1" s="1"/>
  <c r="J303" i="1"/>
  <c r="M327" i="1"/>
  <c r="J338" i="1"/>
  <c r="J357" i="1"/>
  <c r="M346" i="1"/>
  <c r="J409" i="1"/>
  <c r="M398" i="1"/>
  <c r="J480" i="1"/>
  <c r="M469" i="1"/>
  <c r="J111" i="1"/>
  <c r="M111" i="1" s="1"/>
  <c r="M241" i="1"/>
  <c r="J252" i="1"/>
  <c r="J428" i="1"/>
  <c r="M415" i="1"/>
  <c r="J79" i="1"/>
  <c r="M79" i="1" s="1"/>
  <c r="J122" i="1"/>
  <c r="M364" i="1"/>
  <c r="J375" i="1"/>
  <c r="J393" i="1"/>
  <c r="M382" i="1"/>
  <c r="J105" i="1"/>
  <c r="M190" i="1"/>
  <c r="J201" i="1"/>
  <c r="J112" i="1"/>
  <c r="M112" i="1" s="1"/>
  <c r="M309" i="1"/>
  <c r="J320" i="1"/>
  <c r="J167" i="1"/>
  <c r="M156" i="1"/>
  <c r="M224" i="1"/>
  <c r="J235" i="1"/>
  <c r="J269" i="1"/>
  <c r="M258" i="1"/>
  <c r="M139" i="1"/>
  <c r="J150" i="1"/>
  <c r="M207" i="1"/>
  <c r="M292" i="1"/>
  <c r="J173" i="1"/>
  <c r="J451" i="1"/>
  <c r="J275" i="1"/>
  <c r="J433" i="1"/>
  <c r="J99" i="1" l="1"/>
  <c r="J464" i="1"/>
  <c r="M451" i="1"/>
  <c r="M275" i="1"/>
  <c r="J286" i="1"/>
  <c r="J133" i="1"/>
  <c r="M122" i="1"/>
  <c r="J446" i="1"/>
  <c r="M433" i="1"/>
  <c r="J184" i="1"/>
  <c r="M173" i="1"/>
  <c r="J116" i="1"/>
  <c r="M105" i="1"/>
  <c r="J82" i="1"/>
  <c r="M71" i="1"/>
  <c r="J484" i="1" l="1"/>
  <c r="J48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C22745AF-15F8-4BCA-88C7-FED8553653F2}">
      <text>
        <r>
          <rPr>
            <b/>
            <sz val="9"/>
            <color indexed="81"/>
            <rFont val="Segoe UI"/>
            <charset val="1"/>
          </rPr>
          <t>Ana Paula Serinho:</t>
        </r>
        <r>
          <rPr>
            <sz val="9"/>
            <color indexed="81"/>
            <rFont val="Segoe UI"/>
            <charset val="1"/>
          </rPr>
          <t xml:space="preserve">
07/06 - 899,99 nf 4539</t>
        </r>
      </text>
    </comment>
  </commentList>
</comments>
</file>

<file path=xl/sharedStrings.xml><?xml version="1.0" encoding="utf-8"?>
<sst xmlns="http://schemas.openxmlformats.org/spreadsheetml/2006/main" count="1534" uniqueCount="637">
  <si>
    <t>Loja</t>
  </si>
  <si>
    <t>Cod</t>
  </si>
  <si>
    <t>Vendedor</t>
  </si>
  <si>
    <t>PDV</t>
  </si>
  <si>
    <t>Não Presencial</t>
  </si>
  <si>
    <t>Social Selling</t>
  </si>
  <si>
    <t>Cupom</t>
  </si>
  <si>
    <t>Pick Up</t>
  </si>
  <si>
    <t>Shipping</t>
  </si>
  <si>
    <t>Total Vendas</t>
  </si>
  <si>
    <t>Meta Vend</t>
  </si>
  <si>
    <t>% Ating</t>
  </si>
  <si>
    <t>Meta Loja</t>
  </si>
  <si>
    <t>062</t>
  </si>
  <si>
    <t>266</t>
  </si>
  <si>
    <t>MARCOS ANTONIO NOGUEIRA</t>
  </si>
  <si>
    <t>282</t>
  </si>
  <si>
    <t>HIGOR ANDRE MORETTO</t>
  </si>
  <si>
    <t>286</t>
  </si>
  <si>
    <t>ALEF JUNIOR SOARES</t>
  </si>
  <si>
    <t>289</t>
  </si>
  <si>
    <t xml:space="preserve">ZELITA MOREIRA </t>
  </si>
  <si>
    <t>314</t>
  </si>
  <si>
    <t>00314 - SAVIO KAYK SANTOS DE OLIVEIRA</t>
  </si>
  <si>
    <t>316</t>
  </si>
  <si>
    <t>00316 - JULIA MENDES ARAUJO</t>
  </si>
  <si>
    <t>320</t>
  </si>
  <si>
    <t>TIAGO OLIVEIRA DE SOUZA</t>
  </si>
  <si>
    <t>322</t>
  </si>
  <si>
    <t>00322 - CRISTIAN YUSUKE SHIMOTO</t>
  </si>
  <si>
    <t>Total</t>
  </si>
  <si>
    <t>093</t>
  </si>
  <si>
    <t>036</t>
  </si>
  <si>
    <t>LUIZ FERNANDO DE OLIVEIRA</t>
  </si>
  <si>
    <t>070</t>
  </si>
  <si>
    <t>GABRIEL DUARTE DA SILVA</t>
  </si>
  <si>
    <t>079</t>
  </si>
  <si>
    <t>MATHEUS DOS SANTOS CHRISTO</t>
  </si>
  <si>
    <t>090</t>
  </si>
  <si>
    <t>GUSTAVO DOS SANTOS DANTAS</t>
  </si>
  <si>
    <t>091</t>
  </si>
  <si>
    <t>NATHALIA MATOS REIS DE FREITAS</t>
  </si>
  <si>
    <t>095</t>
  </si>
  <si>
    <t>LUIZ EDUARDO MARCELINO DOS SANTOS</t>
  </si>
  <si>
    <t>098</t>
  </si>
  <si>
    <t>BERNARDO MARTINS MIRANDA</t>
  </si>
  <si>
    <t>100</t>
  </si>
  <si>
    <t xml:space="preserve">00100 - VITOR HUGO MACEDO           </t>
  </si>
  <si>
    <t>094</t>
  </si>
  <si>
    <t>034</t>
  </si>
  <si>
    <t>RAPHAEL BORGES DE FARIAS</t>
  </si>
  <si>
    <t>055</t>
  </si>
  <si>
    <t>PATRICK TEIXEIRA CAMISAO</t>
  </si>
  <si>
    <t>057</t>
  </si>
  <si>
    <t>00003 - ALLAN DA SILVA PONTES</t>
  </si>
  <si>
    <t>066</t>
  </si>
  <si>
    <t>ELIZA OLIVEIRA NUNES</t>
  </si>
  <si>
    <t>068</t>
  </si>
  <si>
    <t>LUCAS SANTOS DE CARVALHO</t>
  </si>
  <si>
    <t>059</t>
  </si>
  <si>
    <t xml:space="preserve">MARGARETH LEAL </t>
  </si>
  <si>
    <t>084</t>
  </si>
  <si>
    <t xml:space="preserve">GABRIEL A.FREDO JESUS DE PINHO </t>
  </si>
  <si>
    <t>085</t>
  </si>
  <si>
    <t>TIAGO WAGNER FRANCO</t>
  </si>
  <si>
    <t>088</t>
  </si>
  <si>
    <t>BRUNO SILVA CAPELLI</t>
  </si>
  <si>
    <t>00056 - CAIO VIEIRA BARBOSA</t>
  </si>
  <si>
    <t>103</t>
  </si>
  <si>
    <t>185</t>
  </si>
  <si>
    <t>ANDRE FERNANDO OZUNA</t>
  </si>
  <si>
    <t>187</t>
  </si>
  <si>
    <t xml:space="preserve">MARCELO FERNANDES DE SOUZA </t>
  </si>
  <si>
    <t>193</t>
  </si>
  <si>
    <t>00193 - BRUNA DIAS RAMOS</t>
  </si>
  <si>
    <t>194</t>
  </si>
  <si>
    <t>00194 - NICOLE MARIA FAZIO</t>
  </si>
  <si>
    <t>199</t>
  </si>
  <si>
    <t xml:space="preserve">00199 - MARLON MIRANDA DE OLIVEIRA </t>
  </si>
  <si>
    <t>202</t>
  </si>
  <si>
    <t>RONALDO PINHEIRO DE OLIVEIRA</t>
  </si>
  <si>
    <t>104</t>
  </si>
  <si>
    <t>033</t>
  </si>
  <si>
    <t>JEFFERSON GONCALVES DA SILVA</t>
  </si>
  <si>
    <t>041</t>
  </si>
  <si>
    <t>ROMEU PITER VERAS DOS SANTOS</t>
  </si>
  <si>
    <t>049</t>
  </si>
  <si>
    <t>FRANCIANE DOS SANTOS MEDEIROS</t>
  </si>
  <si>
    <t>053</t>
  </si>
  <si>
    <t>PATRINY LORRANNA DOS SANTOS MOTA</t>
  </si>
  <si>
    <t>105</t>
  </si>
  <si>
    <t>061</t>
  </si>
  <si>
    <t>LUCIANO DA MOTA GONCALVES</t>
  </si>
  <si>
    <t>CLAUCIO PITTHAN BERGHAHN</t>
  </si>
  <si>
    <t>MARCIEL FISCHBORN FERNANDES</t>
  </si>
  <si>
    <t>00085 - ROGER PASSAIA</t>
  </si>
  <si>
    <t>AMANDA LORENA VEIGA RODRIGUES DA SILVA</t>
  </si>
  <si>
    <t>VICTOR GABRIEL ESTEFEN DE SOUZA</t>
  </si>
  <si>
    <t>VITORIA APARECIDA DA SILVA</t>
  </si>
  <si>
    <t>116</t>
  </si>
  <si>
    <t>143</t>
  </si>
  <si>
    <t>ALUISIO SANCHES MORAES</t>
  </si>
  <si>
    <t>144</t>
  </si>
  <si>
    <t>RAFAEL NOGUEIRA DE MORAES</t>
  </si>
  <si>
    <t>148</t>
  </si>
  <si>
    <t>HUGO KENJI MIYAZAKI DIAS</t>
  </si>
  <si>
    <t>164</t>
  </si>
  <si>
    <t>DANIELLE DA SILVA CONCEICAO</t>
  </si>
  <si>
    <t>169</t>
  </si>
  <si>
    <t>RENAN FERREIRA PIMENTEL</t>
  </si>
  <si>
    <t>170</t>
  </si>
  <si>
    <t>00170 - MARIANA SOUZA RODRIGUES</t>
  </si>
  <si>
    <t>175</t>
  </si>
  <si>
    <t xml:space="preserve">00175 - LUCAS ALVES </t>
  </si>
  <si>
    <t>123</t>
  </si>
  <si>
    <t>020</t>
  </si>
  <si>
    <t xml:space="preserve">GERENTE </t>
  </si>
  <si>
    <t>UELDERMAN ALVES MIGUEZ COSTA</t>
  </si>
  <si>
    <t>058</t>
  </si>
  <si>
    <t>GABRIELA DUARTE DOS SANTOS</t>
  </si>
  <si>
    <t>069</t>
  </si>
  <si>
    <t>ISRAEL GUSTAVO DOS SANTOS GARCIA</t>
  </si>
  <si>
    <t>WEBERTON SOUZA DA SILVA</t>
  </si>
  <si>
    <t>075</t>
  </si>
  <si>
    <t>JOAO PEDRO CINTRA BAHIA</t>
  </si>
  <si>
    <t>124</t>
  </si>
  <si>
    <t>001</t>
  </si>
  <si>
    <t>LOJA</t>
  </si>
  <si>
    <t>002</t>
  </si>
  <si>
    <t>FLAVIANA DA SILVA</t>
  </si>
  <si>
    <t>039</t>
  </si>
  <si>
    <t>THIAGO DOS SANTOS BATISTA</t>
  </si>
  <si>
    <t>040</t>
  </si>
  <si>
    <t>THEOGENES CALLOU LIMA</t>
  </si>
  <si>
    <t>RAPHAEL SILVA VIEIRA DA LUZ</t>
  </si>
  <si>
    <t>125</t>
  </si>
  <si>
    <t xml:space="preserve">LOJA </t>
  </si>
  <si>
    <t>028</t>
  </si>
  <si>
    <t>PAULO HERMINO RIBEIRO DE SOUZA</t>
  </si>
  <si>
    <t>054</t>
  </si>
  <si>
    <t>00054 - LUCAS PAZ PONTES</t>
  </si>
  <si>
    <t>00055 - TIAGO ELOI FERNANDO</t>
  </si>
  <si>
    <t>MAURICIO IBIAPINA SOARES NETO</t>
  </si>
  <si>
    <t>126</t>
  </si>
  <si>
    <t>LUIZ CARLOS BATISTA INACIO</t>
  </si>
  <si>
    <t xml:space="preserve">PAULO RICARDO FERNANDES MOVAIS </t>
  </si>
  <si>
    <t>037</t>
  </si>
  <si>
    <t>LUCAS DIAS SOLTO</t>
  </si>
  <si>
    <t>ANTONIO FELIPE DE SOUZA SANTOS</t>
  </si>
  <si>
    <t>045</t>
  </si>
  <si>
    <t>00045 - KAIO LIMA FRUTUOSO</t>
  </si>
  <si>
    <t>046</t>
  </si>
  <si>
    <t>VINICIUS DOS SANTOS OLIVEIRA</t>
  </si>
  <si>
    <t>00055 - RAQUEL TEIXEIRA</t>
  </si>
  <si>
    <t>013</t>
  </si>
  <si>
    <t>127</t>
  </si>
  <si>
    <t>EDUARDA ZACARIAS DA SILVA</t>
  </si>
  <si>
    <t>GABRIEL VINICIUS VIANA TAVARES</t>
  </si>
  <si>
    <t>080</t>
  </si>
  <si>
    <t>LUCAS SIQUEIRA FRANCO</t>
  </si>
  <si>
    <t>081</t>
  </si>
  <si>
    <t>MARIO SILVANO LEITE ALVES</t>
  </si>
  <si>
    <t>082</t>
  </si>
  <si>
    <t>PAULO HENRIQUE BARBIERI</t>
  </si>
  <si>
    <t>139</t>
  </si>
  <si>
    <t>023</t>
  </si>
  <si>
    <t>ANA BEATRIZ FERREIRA DO CARMO</t>
  </si>
  <si>
    <t>024</t>
  </si>
  <si>
    <t>DAVID MARANDOLA</t>
  </si>
  <si>
    <t>OSVALDO CARLOS CESAR</t>
  </si>
  <si>
    <t>038</t>
  </si>
  <si>
    <t xml:space="preserve">FELIPPE MONTEIRO PEREIRA </t>
  </si>
  <si>
    <t>JULIANA CRISTINA CUNHA</t>
  </si>
  <si>
    <t>047</t>
  </si>
  <si>
    <t>RENATO CORREA DA FONSECA</t>
  </si>
  <si>
    <t>051</t>
  </si>
  <si>
    <t>MIRIA ALVES</t>
  </si>
  <si>
    <t>TIAGO INACIO DOMINGUES</t>
  </si>
  <si>
    <t>ANA JULIA LOMBARDI</t>
  </si>
  <si>
    <t>799</t>
  </si>
  <si>
    <t>035</t>
  </si>
  <si>
    <t>FERNANDO ROBERTO DE SOUZA</t>
  </si>
  <si>
    <t>071</t>
  </si>
  <si>
    <t>00071 - CASSIA HELENA DE SOUZA CORREIA DA SILVA</t>
  </si>
  <si>
    <t>074</t>
  </si>
  <si>
    <t>JOSE HENRIQUE GONCALVES</t>
  </si>
  <si>
    <t>CARLA DAIANE DA SILVA</t>
  </si>
  <si>
    <t>00088 - VALQUIRIA MELO DA SILVA</t>
  </si>
  <si>
    <t>154</t>
  </si>
  <si>
    <t>TAHIS CARLA DA SILVA</t>
  </si>
  <si>
    <t>MARCIO HENRIQUE CORREA</t>
  </si>
  <si>
    <t>GILVAN DE LIMA FERREIRA</t>
  </si>
  <si>
    <t>042</t>
  </si>
  <si>
    <t>VALDEK GONCALVES JUNIOR</t>
  </si>
  <si>
    <t>00045 - RAFAEL BRUNO DA SILVA PEREIRA</t>
  </si>
  <si>
    <t>156</t>
  </si>
  <si>
    <t>067</t>
  </si>
  <si>
    <t>JAQUELINE GOMES FERNANDES</t>
  </si>
  <si>
    <t>072</t>
  </si>
  <si>
    <t>DANILO TEIXEIRA</t>
  </si>
  <si>
    <t>RAFAEL DOS SANTOS GENARE DENIS</t>
  </si>
  <si>
    <t>076</t>
  </si>
  <si>
    <t>DAIANE ELIAS FONTE</t>
  </si>
  <si>
    <t>078</t>
  </si>
  <si>
    <t>GUSTAVO DA SILVA DIAS</t>
  </si>
  <si>
    <t>00079- LUCAS DIAS NASCIMENTO</t>
  </si>
  <si>
    <t>LUCAS COSTA NERIS</t>
  </si>
  <si>
    <t>157</t>
  </si>
  <si>
    <t>014</t>
  </si>
  <si>
    <t>JOELMA APARECIDA ZANCHINSKI DE MATTOS</t>
  </si>
  <si>
    <t>PEDRO MAGNO DOS SANTOS PEREIRA</t>
  </si>
  <si>
    <t>043</t>
  </si>
  <si>
    <t>00043 - JULIO CESAR RODRIGUES ROSA</t>
  </si>
  <si>
    <t>00045 - LUIZA PACHEGO GROLLI</t>
  </si>
  <si>
    <t>00046 - ALEXANDRO LIMA PASSOS</t>
  </si>
  <si>
    <t>161</t>
  </si>
  <si>
    <t>032</t>
  </si>
  <si>
    <t>DEBORA RODRIGUES SILVA</t>
  </si>
  <si>
    <t>044</t>
  </si>
  <si>
    <t>RAFAEL CARVALHO DA LUZ</t>
  </si>
  <si>
    <t>CAUE LCUAS GIL</t>
  </si>
  <si>
    <t>CALEBE WODARSKI</t>
  </si>
  <si>
    <t>052</t>
  </si>
  <si>
    <t>DOUGLAS ILHA MARTINS</t>
  </si>
  <si>
    <t>166</t>
  </si>
  <si>
    <t>BRUNO HENRIQUE FIGUEIRA NOTARANGELI</t>
  </si>
  <si>
    <t>008</t>
  </si>
  <si>
    <t>MARIANA DE SOUZA ARAL</t>
  </si>
  <si>
    <t>022</t>
  </si>
  <si>
    <t>CEILA DE OLIVEIRA RODRIGUES</t>
  </si>
  <si>
    <t>BRAULIO RIBEIRO MARQUEZ</t>
  </si>
  <si>
    <t>00039 - JHONNY LUCAS COCIAN CARVALHO</t>
  </si>
  <si>
    <t>TATIANE MENDES NASCIMENTO</t>
  </si>
  <si>
    <t>007</t>
  </si>
  <si>
    <t>LEONARDO CASTRO DA PAIXAO</t>
  </si>
  <si>
    <t>031</t>
  </si>
  <si>
    <t>00031 - JOSE VITOR SILVA TROIAN</t>
  </si>
  <si>
    <t>00037 - MATHEUS MARTINS VIEIRA</t>
  </si>
  <si>
    <t>00038 - RAFAEL GOVONI</t>
  </si>
  <si>
    <t>LUIZ ANTONIO SILVEIRA</t>
  </si>
  <si>
    <t>099</t>
  </si>
  <si>
    <t xml:space="preserve">JOSE FELIX </t>
  </si>
  <si>
    <t>173</t>
  </si>
  <si>
    <t>THAIS DE OLIVEIRA FELIX DAVID</t>
  </si>
  <si>
    <t>026</t>
  </si>
  <si>
    <t>ANDRESSA RIBEIRO DOS SANTOS</t>
  </si>
  <si>
    <t xml:space="preserve">LUCAS DOS SANTOS AMARO SILVA </t>
  </si>
  <si>
    <t>THIAGO HENRIQUE FRANCA DA SILVA</t>
  </si>
  <si>
    <t>00038 - DAVISON DE JESUS SANTOS</t>
  </si>
  <si>
    <t>WALLESKY KLEBER TEIXEIRA DE ARAUJO</t>
  </si>
  <si>
    <t>WALLACY BELTRAO DA COSTA</t>
  </si>
  <si>
    <t>003</t>
  </si>
  <si>
    <t>LARISSA FONTENELLE BARROS</t>
  </si>
  <si>
    <t>006</t>
  </si>
  <si>
    <t>MATHEUS RUIZ ABRANTES</t>
  </si>
  <si>
    <t>011</t>
  </si>
  <si>
    <t>IGOR MANOEL AMARO DA SILVA</t>
  </si>
  <si>
    <t>BRUNO DOS SANTOS MARIANO BARBOSA</t>
  </si>
  <si>
    <t>777</t>
  </si>
  <si>
    <t>179</t>
  </si>
  <si>
    <t>00002 - ANA PAULA CONCEICAO GONCALVES</t>
  </si>
  <si>
    <t>00003 - DIEGO GONCALVES LOPES</t>
  </si>
  <si>
    <t>004</t>
  </si>
  <si>
    <t>00004 - ENRIQUE VAZQUEZ GARCIA</t>
  </si>
  <si>
    <t>016</t>
  </si>
  <si>
    <t>00016 - JONATHAN GOMES</t>
  </si>
  <si>
    <t>018</t>
  </si>
  <si>
    <t>WANDERLEY SILVEIRA JUNIOR</t>
  </si>
  <si>
    <t>181</t>
  </si>
  <si>
    <t>00001 - RODRIGO PARANHOS DIAS</t>
  </si>
  <si>
    <t>00002 - ALEF FERNANDES ARAUJO MARTINS</t>
  </si>
  <si>
    <t>012</t>
  </si>
  <si>
    <t xml:space="preserve">00013 - TULIO CESAR DE ALMEIDA       </t>
  </si>
  <si>
    <t>00016 - GERMANO ROSENTHAL CAETANO BELFORT</t>
  </si>
  <si>
    <t>00018 - GILSON SANTOS MOTA JUNIOR</t>
  </si>
  <si>
    <t>019</t>
  </si>
  <si>
    <t>00019 - SILMARA ROCHA</t>
  </si>
  <si>
    <t>030</t>
  </si>
  <si>
    <t>LUCAS CARVALHO GOMES</t>
  </si>
  <si>
    <t>ALEX GASPAR DE MACEDO</t>
  </si>
  <si>
    <t>183</t>
  </si>
  <si>
    <t>00001 - KAROLINE SIQUEIRA DE AGUIAR MONTEIRO</t>
  </si>
  <si>
    <t>005</t>
  </si>
  <si>
    <t>00005 -  RAPHAEL HENRIQUE SILVA</t>
  </si>
  <si>
    <t>ARLANICSON FONSECA JUNIOR</t>
  </si>
  <si>
    <t>015</t>
  </si>
  <si>
    <t>VINICIUS MOREIRA COSSI</t>
  </si>
  <si>
    <t>CARMECITA HELENA DA SILVA</t>
  </si>
  <si>
    <t>HELOISA VITORIA CINTRA DE ARAUJO</t>
  </si>
  <si>
    <t>WAGNER LEANDRO PINHEIRO DE FARIAS</t>
  </si>
  <si>
    <t>ABRAAO PEREIRA DA SILVA</t>
  </si>
  <si>
    <t>FELIPE PAULINO DA SILVA</t>
  </si>
  <si>
    <t>URSULA NATACHA SOBRAL</t>
  </si>
  <si>
    <t>010</t>
  </si>
  <si>
    <t>JEFFERSON FRANCISCO ANDRADE PRAZERES</t>
  </si>
  <si>
    <t>MONALISA FREITAS DO NASCIMENTO</t>
  </si>
  <si>
    <t>200</t>
  </si>
  <si>
    <t>LORRANA GABRIELA ROCHA DE MIRANDA</t>
  </si>
  <si>
    <t>DEBOHAH EVELYN GONCALVES DOS SANTOS</t>
  </si>
  <si>
    <t>120</t>
  </si>
  <si>
    <t>00120 - HUCHARLY REIS DO NASCIMENTO</t>
  </si>
  <si>
    <t>128</t>
  </si>
  <si>
    <t>129</t>
  </si>
  <si>
    <t>CLEITON MOISES DOS SANTOS</t>
  </si>
  <si>
    <t>132</t>
  </si>
  <si>
    <t>00132 - ERICK ANGEL NAVES MARTINS</t>
  </si>
  <si>
    <t>135</t>
  </si>
  <si>
    <t>RENATA MAYRA DE LIMA E SILVA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</si>
  <si>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</si>
  <si>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</si>
  <si>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</si>
  <si>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</si>
  <si>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</si>
  <si>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</si>
  <si>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</si>
  <si>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</si>
  <si>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</si>
  <si>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</si>
  <si>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</si>
  <si>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</si>
  <si>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</si>
  <si>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</si>
  <si>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</si>
  <si>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</si>
  <si>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</si>
  <si>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</si>
  <si>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</si>
  <si>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</si>
  <si>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</si>
  <si>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</si>
  <si>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</si>
  <si>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</si>
  <si>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</si>
  <si>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</si>
  <si>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</si>
  <si>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</si>
  <si>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</si>
  <si>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</si>
  <si>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</si>
  <si>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</si>
  <si>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</si>
  <si>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</si>
  <si>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</si>
  <si>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</si>
  <si>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</si>
  <si>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</si>
  <si>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GERENTE</t>
  </si>
  <si>
    <t>VENDEDOR</t>
  </si>
  <si>
    <t>VR</t>
  </si>
  <si>
    <t>SHOPPING</t>
  </si>
  <si>
    <t>NOME</t>
  </si>
  <si>
    <t>MÍNIMO GARANTIDO</t>
  </si>
  <si>
    <t>% DE COMISSÃO MÊS</t>
  </si>
  <si>
    <t>BONUS MENSAL</t>
  </si>
  <si>
    <t xml:space="preserve">Abertura / 100% / 110% </t>
  </si>
  <si>
    <t>ITUPEVA</t>
  </si>
  <si>
    <t>NOGUEIRA</t>
  </si>
  <si>
    <t>0,90% + DSR</t>
  </si>
  <si>
    <t>2.000 com meta atingida</t>
  </si>
  <si>
    <t>400,00 / 200,00 / 200,00</t>
  </si>
  <si>
    <t>DUQUE</t>
  </si>
  <si>
    <t>GUSTAVO</t>
  </si>
  <si>
    <t>1,0% + DSR</t>
  </si>
  <si>
    <t>RIO BARRA</t>
  </si>
  <si>
    <t>RAFAEL</t>
  </si>
  <si>
    <t>1,7% + DSR</t>
  </si>
  <si>
    <t>3,2% / 3,7% / 4,1% / 4,5%</t>
  </si>
  <si>
    <t>200,00 / 150,00 / 150,00</t>
  </si>
  <si>
    <t>ELDORADO</t>
  </si>
  <si>
    <t>MARLON</t>
  </si>
  <si>
    <t>1,3% + DSR</t>
  </si>
  <si>
    <t>300,00 / 150,00 / 150,00</t>
  </si>
  <si>
    <t>CIDADE SP</t>
  </si>
  <si>
    <t>DANIEL</t>
  </si>
  <si>
    <t>1,1% + DSR</t>
  </si>
  <si>
    <t>PONTA NEGRA</t>
  </si>
  <si>
    <t>FRANCIANE</t>
  </si>
  <si>
    <t>NOVO HAMBURGO</t>
  </si>
  <si>
    <t>LUCIANO</t>
  </si>
  <si>
    <t>1,2% + DSR</t>
  </si>
  <si>
    <t>MORUMBI</t>
  </si>
  <si>
    <t>SANCHES</t>
  </si>
  <si>
    <t>CAMAÇARI</t>
  </si>
  <si>
    <t>MARCELO</t>
  </si>
  <si>
    <t>3,5% / 3,8% / 4,1% / 4,4%</t>
  </si>
  <si>
    <t>300,00 / 200,00 / 200,00</t>
  </si>
  <si>
    <t>RIO MAR FORT</t>
  </si>
  <si>
    <t>DOUGLAS</t>
  </si>
  <si>
    <t>1,6% + DSR</t>
  </si>
  <si>
    <t>OUTLAT FORTALEZA</t>
  </si>
  <si>
    <t>HILTON</t>
  </si>
  <si>
    <t>FLAMBOYANT</t>
  </si>
  <si>
    <t>LUIZ</t>
  </si>
  <si>
    <t>GUARULHOS MAIA</t>
  </si>
  <si>
    <t>GABRIEL</t>
  </si>
  <si>
    <t>CATARINA</t>
  </si>
  <si>
    <t>CAIO</t>
  </si>
  <si>
    <t>CAMPINAS</t>
  </si>
  <si>
    <t>FERNANDO</t>
  </si>
  <si>
    <t>1,4% + DSR</t>
  </si>
  <si>
    <t>RIO MAR RECIFE</t>
  </si>
  <si>
    <t>MARCIO</t>
  </si>
  <si>
    <t>JK</t>
  </si>
  <si>
    <t>BARIGUI</t>
  </si>
  <si>
    <t>PEDRO</t>
  </si>
  <si>
    <t>IGUATEMI POA</t>
  </si>
  <si>
    <t>SIMONE</t>
  </si>
  <si>
    <t>1,5% + DSR</t>
  </si>
  <si>
    <t>CAMPO GRANDE</t>
  </si>
  <si>
    <t>BRUNO</t>
  </si>
  <si>
    <t>TIJUCAS</t>
  </si>
  <si>
    <t>JOSE</t>
  </si>
  <si>
    <t>TAMBORÉ</t>
  </si>
  <si>
    <t>THIAGO</t>
  </si>
  <si>
    <t>ALEXANIA</t>
  </si>
  <si>
    <t>MARCOS</t>
  </si>
  <si>
    <t>1.000 com meta atingida</t>
  </si>
  <si>
    <t>2,8% / 3,3% /3,7% / 4,1%</t>
  </si>
  <si>
    <t>SÓ MARCAS GRU</t>
  </si>
  <si>
    <t>JULIO</t>
  </si>
  <si>
    <t>2,3% / 3,3% /3,4%</t>
  </si>
  <si>
    <t>SÓ MARCAS CONTA</t>
  </si>
  <si>
    <t>ELOISA</t>
  </si>
  <si>
    <t>MOGI</t>
  </si>
  <si>
    <t>BH</t>
  </si>
  <si>
    <t>Comissão</t>
  </si>
  <si>
    <t>DSR</t>
  </si>
  <si>
    <t>3,2% / 3,7%</t>
  </si>
  <si>
    <t>Descrição do Erro</t>
  </si>
  <si>
    <t>TABELA - Meta</t>
  </si>
  <si>
    <t>Prêmio</t>
  </si>
  <si>
    <t>6.452,20</t>
  </si>
  <si>
    <t>4.814,46</t>
  </si>
  <si>
    <t>2.294,20</t>
  </si>
  <si>
    <t>3.254,41</t>
  </si>
  <si>
    <t>3.719,35</t>
  </si>
  <si>
    <t>3.493,48</t>
  </si>
  <si>
    <t>4.087,77</t>
  </si>
  <si>
    <t>4.709,96</t>
  </si>
  <si>
    <t>4.707,10</t>
  </si>
  <si>
    <t>3.536,09</t>
  </si>
  <si>
    <t>2.823,30</t>
  </si>
  <si>
    <t>4.553,75</t>
  </si>
  <si>
    <t>2.237,95</t>
  </si>
  <si>
    <t>3.713,84</t>
  </si>
  <si>
    <t>2.754,18</t>
  </si>
  <si>
    <t>3.314,41</t>
  </si>
  <si>
    <t>4.801,75</t>
  </si>
  <si>
    <t>3.387,62</t>
  </si>
  <si>
    <t>2.855,63</t>
  </si>
  <si>
    <t>3.284,17</t>
  </si>
  <si>
    <t>4.509,59</t>
  </si>
  <si>
    <t>3.655,85</t>
  </si>
  <si>
    <t>3.957,80</t>
  </si>
  <si>
    <t>3.532,55</t>
  </si>
  <si>
    <t>7.399,86</t>
  </si>
  <si>
    <t>2.700,56</t>
  </si>
  <si>
    <t xml:space="preserve">Comissao </t>
  </si>
  <si>
    <t>Premio</t>
  </si>
  <si>
    <t>62-266</t>
  </si>
  <si>
    <t>62-282</t>
  </si>
  <si>
    <t>62-286</t>
  </si>
  <si>
    <t>62-289</t>
  </si>
  <si>
    <t>94-314</t>
  </si>
  <si>
    <t>62-316</t>
  </si>
  <si>
    <t>62-320</t>
  </si>
  <si>
    <t>62-322</t>
  </si>
  <si>
    <t>93-36</t>
  </si>
  <si>
    <t>93-70</t>
  </si>
  <si>
    <t>93-79</t>
  </si>
  <si>
    <t>93-90</t>
  </si>
  <si>
    <t>93-91</t>
  </si>
  <si>
    <t>93-95</t>
  </si>
  <si>
    <t>93-98</t>
  </si>
  <si>
    <t>93-100</t>
  </si>
  <si>
    <t>94-34</t>
  </si>
  <si>
    <t>94-55</t>
  </si>
  <si>
    <t>94-57</t>
  </si>
  <si>
    <t>94-66</t>
  </si>
  <si>
    <t>94-68</t>
  </si>
  <si>
    <t>95-59</t>
  </si>
  <si>
    <t>95-84</t>
  </si>
  <si>
    <t>95-85</t>
  </si>
  <si>
    <t>95-88</t>
  </si>
  <si>
    <t>95-95</t>
  </si>
  <si>
    <t>103-185</t>
  </si>
  <si>
    <t>103-187</t>
  </si>
  <si>
    <t>103-193</t>
  </si>
  <si>
    <t>103-194</t>
  </si>
  <si>
    <t>103-199</t>
  </si>
  <si>
    <t>103-202</t>
  </si>
  <si>
    <t>104-33</t>
  </si>
  <si>
    <t>104-41</t>
  </si>
  <si>
    <t>104-49</t>
  </si>
  <si>
    <t>104-53</t>
  </si>
  <si>
    <t>105-61</t>
  </si>
  <si>
    <t>105-68</t>
  </si>
  <si>
    <t>105-84</t>
  </si>
  <si>
    <t>105-85</t>
  </si>
  <si>
    <t>105-93</t>
  </si>
  <si>
    <t>105-95</t>
  </si>
  <si>
    <t>105-103</t>
  </si>
  <si>
    <t>116-143</t>
  </si>
  <si>
    <t>116-144</t>
  </si>
  <si>
    <t>116-148</t>
  </si>
  <si>
    <t>116-164</t>
  </si>
  <si>
    <t>116-169</t>
  </si>
  <si>
    <t>116-170</t>
  </si>
  <si>
    <t>116-175</t>
  </si>
  <si>
    <t>123-20</t>
  </si>
  <si>
    <t>123-36</t>
  </si>
  <si>
    <t>123-58</t>
  </si>
  <si>
    <t>123-69</t>
  </si>
  <si>
    <t>123-70</t>
  </si>
  <si>
    <t>123-75</t>
  </si>
  <si>
    <t>124-1</t>
  </si>
  <si>
    <t>124-2</t>
  </si>
  <si>
    <t>124-39</t>
  </si>
  <si>
    <t>124-40</t>
  </si>
  <si>
    <t>124-49</t>
  </si>
  <si>
    <t>125-1</t>
  </si>
  <si>
    <t>125-28</t>
  </si>
  <si>
    <t>125-54</t>
  </si>
  <si>
    <t>125-55</t>
  </si>
  <si>
    <t>125-58</t>
  </si>
  <si>
    <t>126-1</t>
  </si>
  <si>
    <t>126-28</t>
  </si>
  <si>
    <t>126-37</t>
  </si>
  <si>
    <t>126-41</t>
  </si>
  <si>
    <t>126-45</t>
  </si>
  <si>
    <t>126-46</t>
  </si>
  <si>
    <t>126-55</t>
  </si>
  <si>
    <t>126-13</t>
  </si>
  <si>
    <t>127-70</t>
  </si>
  <si>
    <t>127-79</t>
  </si>
  <si>
    <t>127-80</t>
  </si>
  <si>
    <t>127-81</t>
  </si>
  <si>
    <t>127-82</t>
  </si>
  <si>
    <t>139-23</t>
  </si>
  <si>
    <t>139-24</t>
  </si>
  <si>
    <t>139-28</t>
  </si>
  <si>
    <t>139-38</t>
  </si>
  <si>
    <t>139-41</t>
  </si>
  <si>
    <t>139-47</t>
  </si>
  <si>
    <t>139-51</t>
  </si>
  <si>
    <t>139-53</t>
  </si>
  <si>
    <t>139-54</t>
  </si>
  <si>
    <t>139-55</t>
  </si>
  <si>
    <t>139-799</t>
  </si>
  <si>
    <t>144-35</t>
  </si>
  <si>
    <t>144-71</t>
  </si>
  <si>
    <t>144-74</t>
  </si>
  <si>
    <t>144-81</t>
  </si>
  <si>
    <t>144-88</t>
  </si>
  <si>
    <t>154-28</t>
  </si>
  <si>
    <t>154-37</t>
  </si>
  <si>
    <t>154-38</t>
  </si>
  <si>
    <t>154-42</t>
  </si>
  <si>
    <t>154-45</t>
  </si>
  <si>
    <t>156-67</t>
  </si>
  <si>
    <t>156-72</t>
  </si>
  <si>
    <t>156-75</t>
  </si>
  <si>
    <t>156-76</t>
  </si>
  <si>
    <t>156-78</t>
  </si>
  <si>
    <t>156-79</t>
  </si>
  <si>
    <t>156-81</t>
  </si>
  <si>
    <t>157-14</t>
  </si>
  <si>
    <t>157-33</t>
  </si>
  <si>
    <t>157-43</t>
  </si>
  <si>
    <t>157-45</t>
  </si>
  <si>
    <t>157-46</t>
  </si>
  <si>
    <t>161-32</t>
  </si>
  <si>
    <t>161-44</t>
  </si>
  <si>
    <t>161-49</t>
  </si>
  <si>
    <t>161-51</t>
  </si>
  <si>
    <t>161-52</t>
  </si>
  <si>
    <t>166-1</t>
  </si>
  <si>
    <t>166-8</t>
  </si>
  <si>
    <t>166-22</t>
  </si>
  <si>
    <t>166-34</t>
  </si>
  <si>
    <t>166-39</t>
  </si>
  <si>
    <t>169-1</t>
  </si>
  <si>
    <t>169-7</t>
  </si>
  <si>
    <t>169-31</t>
  </si>
  <si>
    <t>169-37</t>
  </si>
  <si>
    <t>169-38</t>
  </si>
  <si>
    <t>169-41</t>
  </si>
  <si>
    <t>169-99</t>
  </si>
  <si>
    <t>173-23</t>
  </si>
  <si>
    <t>173-26</t>
  </si>
  <si>
    <t>173-34</t>
  </si>
  <si>
    <t>173-35</t>
  </si>
  <si>
    <t>173-38</t>
  </si>
  <si>
    <t>173-41</t>
  </si>
  <si>
    <t>175-1</t>
  </si>
  <si>
    <t>175-3</t>
  </si>
  <si>
    <t>175-6</t>
  </si>
  <si>
    <t>175-11</t>
  </si>
  <si>
    <t>175-13</t>
  </si>
  <si>
    <t>175-777</t>
  </si>
  <si>
    <t>179-2</t>
  </si>
  <si>
    <t>179-3</t>
  </si>
  <si>
    <t>179-4</t>
  </si>
  <si>
    <t>179-16</t>
  </si>
  <si>
    <t>179-18</t>
  </si>
  <si>
    <t>179-57</t>
  </si>
  <si>
    <t>181-1</t>
  </si>
  <si>
    <t>181-2</t>
  </si>
  <si>
    <t>181-12</t>
  </si>
  <si>
    <t>181-13</t>
  </si>
  <si>
    <t>181-16</t>
  </si>
  <si>
    <t>181-18</t>
  </si>
  <si>
    <t>181-19</t>
  </si>
  <si>
    <t>181-30</t>
  </si>
  <si>
    <t>181-33</t>
  </si>
  <si>
    <t>183-1</t>
  </si>
  <si>
    <t>183-5</t>
  </si>
  <si>
    <t>183-8</t>
  </si>
  <si>
    <t>183-14</t>
  </si>
  <si>
    <t>183-15</t>
  </si>
  <si>
    <t>183-16</t>
  </si>
  <si>
    <t>183-777</t>
  </si>
  <si>
    <t>185-1</t>
  </si>
  <si>
    <t>185-2</t>
  </si>
  <si>
    <t>185-5</t>
  </si>
  <si>
    <t>185-6</t>
  </si>
  <si>
    <t>185-7</t>
  </si>
  <si>
    <t>185-8</t>
  </si>
  <si>
    <t>185-10</t>
  </si>
  <si>
    <t>185-11</t>
  </si>
  <si>
    <t>200-74</t>
  </si>
  <si>
    <t>200-82</t>
  </si>
  <si>
    <t>200-120</t>
  </si>
  <si>
    <t>200-128</t>
  </si>
  <si>
    <t>200-129</t>
  </si>
  <si>
    <t>200-132</t>
  </si>
  <si>
    <t>200-135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</si>
</sst>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0.0%"/>
  </numFmts>
  <fonts count="12" x14ac:knownFonts="1">
    <font>
      <sz val="10"/>
      <name val="Arial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charset val="1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charset val="1"/>
    </font>
    <font>
      <sz val="9"/>
      <color indexed="81"/>
      <name val="Segoe UI"/>
      <charset val="1"/>
    </font>
    <font>
      <b/>
      <u/>
      <sz val="15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/>
      <right style="thin">
        <color theme="7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1" fillId="0" borderId="0"/>
  </cellStyleXfs>
  <cellXfs count="94">
    <xf numFmtId="0" fontId="0" fillId="0" borderId="0" xfId="0"/>
    <xf numFmtId="0" fontId="10" fillId="0" borderId="3" xfId="0" applyFont="1" applyBorder="1" applyAlignment="1">
      <alignment horizontal="center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4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0" xfId="0" quotePrefix="1" applyFont="1"/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horizontal="left" vertical="center" wrapText="1"/>
    </xf>
    <xf numFmtId="4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4" fontId="4" fillId="4" borderId="0" xfId="0" applyNumberFormat="1" applyFont="1" applyFill="1" applyAlignment="1">
      <alignment horizontal="center"/>
    </xf>
    <xf numFmtId="0" fontId="0" fillId="0" borderId="0" xfId="1" quotePrefix="1" applyFont="1" applyAlignment="1">
      <alignment horizontal="center" vertical="center" wrapText="1"/>
    </xf>
    <xf numFmtId="0" fontId="3" fillId="0" borderId="0" xfId="1" quotePrefix="1" applyFont="1" applyAlignment="1">
      <alignment horizontal="center" vertical="center" wrapText="1"/>
    </xf>
    <xf numFmtId="0" fontId="4" fillId="0" borderId="0" xfId="1" quotePrefix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7" fillId="5" borderId="0" xfId="0" applyFont="1" applyFill="1"/>
    <xf numFmtId="0" fontId="7" fillId="5" borderId="0" xfId="0" applyFont="1" applyFill="1" applyAlignment="1">
      <alignment horizontal="center"/>
    </xf>
    <xf numFmtId="4" fontId="7" fillId="5" borderId="0" xfId="0" applyNumberFormat="1" applyFont="1" applyFill="1" applyAlignment="1">
      <alignment horizontal="center"/>
    </xf>
    <xf numFmtId="0" fontId="1" fillId="6" borderId="2" xfId="2" applyFill="1" applyBorder="1"/>
    <xf numFmtId="0" fontId="1" fillId="6" borderId="2" xfId="2" applyFill="1" applyBorder="1" applyAlignment="1">
      <alignment horizontal="center"/>
    </xf>
    <xf numFmtId="0" fontId="1" fillId="0" borderId="0" xfId="2"/>
    <xf numFmtId="4" fontId="1" fillId="0" borderId="0" xfId="2" applyNumberFormat="1"/>
    <xf numFmtId="4" fontId="1" fillId="0" borderId="0" xfId="2" applyNumberFormat="1" applyAlignment="1">
      <alignment horizontal="center"/>
    </xf>
    <xf numFmtId="4" fontId="2" fillId="0" borderId="0" xfId="2" applyNumberFormat="1" applyFont="1" applyAlignment="1">
      <alignment horizontal="center"/>
    </xf>
    <xf numFmtId="0" fontId="1" fillId="0" borderId="0" xfId="2" quotePrefix="1"/>
    <xf numFmtId="0" fontId="2" fillId="7" borderId="0" xfId="2" applyFont="1" applyFill="1"/>
    <xf numFmtId="0" fontId="1" fillId="7" borderId="0" xfId="2" applyFill="1"/>
    <xf numFmtId="4" fontId="1" fillId="7" borderId="0" xfId="2" applyNumberFormat="1" applyFill="1"/>
    <xf numFmtId="4" fontId="2" fillId="7" borderId="0" xfId="2" applyNumberFormat="1" applyFont="1" applyFill="1" applyAlignment="1">
      <alignment horizontal="center"/>
    </xf>
    <xf numFmtId="10" fontId="2" fillId="7" borderId="0" xfId="3" applyNumberFormat="1" applyFont="1" applyFill="1" applyAlignment="1">
      <alignment horizontal="center"/>
    </xf>
    <xf numFmtId="14" fontId="1" fillId="0" borderId="0" xfId="2" applyNumberFormat="1"/>
    <xf numFmtId="0" fontId="0" fillId="0" borderId="0" xfId="0" applyAlignment="1">
      <alignment horizontal="center"/>
    </xf>
    <xf numFmtId="0" fontId="0" fillId="8" borderId="9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9" borderId="15" xfId="4" applyFon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9" borderId="2" xfId="0" applyNumberFormat="1" applyFill="1" applyBorder="1" applyAlignment="1">
      <alignment horizontal="left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4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16" xfId="4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 vertical="center"/>
    </xf>
    <xf numFmtId="0" fontId="0" fillId="0" borderId="2" xfId="0" applyBorder="1"/>
    <xf numFmtId="164" fontId="0" fillId="0" borderId="2" xfId="0" applyNumberFormat="1" applyBorder="1"/>
    <xf numFmtId="1" fontId="11" fillId="0" borderId="2" xfId="2" applyNumberFormat="1" applyFont="1" applyBorder="1" applyAlignment="1">
      <alignment horizontal="center" vertical="center"/>
    </xf>
    <xf numFmtId="1" fontId="11" fillId="0" borderId="10" xfId="2" applyNumberFormat="1" applyFont="1" applyBorder="1" applyAlignment="1">
      <alignment horizontal="center" vertical="center"/>
    </xf>
    <xf numFmtId="1" fontId="11" fillId="0" borderId="17" xfId="5" applyNumberFormat="1" applyBorder="1" applyAlignment="1">
      <alignment horizontal="center" vertical="center"/>
    </xf>
    <xf numFmtId="1" fontId="11" fillId="0" borderId="10" xfId="5" applyNumberFormat="1" applyBorder="1" applyAlignment="1">
      <alignment horizontal="center" vertical="center"/>
    </xf>
    <xf numFmtId="0" fontId="4" fillId="0" borderId="0" xfId="0" quotePrefix="1" applyNumberFormat="1" applyFont="1"/>
    <xf numFmtId="165" fontId="4" fillId="0" borderId="2" xfId="0" applyNumberFormat="1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49" fontId="4" fillId="0" borderId="2" xfId="0" applyNumberFormat="1" applyFont="1" applyBorder="1" applyAlignment="1">
      <alignment horizontal="center"/>
    </xf>
    <xf numFmtId="49" fontId="0" fillId="9" borderId="2" xfId="0" applyNumberFormat="1" applyFill="1" applyBorder="1"/>
    <xf numFmtId="49" fontId="0" fillId="0" borderId="2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49" fontId="0" fillId="0" borderId="2" xfId="0" applyNumberFormat="1" applyBorder="1"/>
    <xf numFmtId="0" fontId="5" fillId="10" borderId="0" xfId="0" applyFont="1" applyFill="1" applyAlignment="1">
      <alignment horizontal="center" vertical="center"/>
    </xf>
    <xf numFmtId="0" fontId="0" fillId="0" borderId="19" xfId="0" applyBorder="1"/>
    <xf numFmtId="0" fontId="0" fillId="0" borderId="10" xfId="0" applyBorder="1" applyAlignment="1">
      <alignment horizontal="center" vertical="center"/>
    </xf>
    <xf numFmtId="0" fontId="0" fillId="0" borderId="20" xfId="0" applyBorder="1"/>
    <xf numFmtId="49" fontId="4" fillId="0" borderId="20" xfId="0" applyNumberFormat="1" applyFont="1" applyBorder="1" applyAlignment="1">
      <alignment horizontal="center"/>
    </xf>
    <xf numFmtId="0" fontId="0" fillId="8" borderId="18" xfId="0" applyFill="1" applyBorder="1" applyAlignment="1" applyProtection="1">
      <alignment horizontal="center" vertical="top"/>
    </xf>
    <xf numFmtId="0" fontId="0" fillId="8" borderId="18" xfId="0" applyFill="1" applyBorder="1" applyProtection="1"/>
    <xf numFmtId="0" fontId="0" fillId="8" borderId="18" xfId="0" applyFill="1" applyBorder="1" applyAlignment="1" applyProtection="1">
      <alignment horizontal="center" vertical="top" wrapText="1"/>
    </xf>
    <xf numFmtId="0" fontId="0" fillId="8" borderId="18" xfId="0" applyFill="1" applyBorder="1" applyAlignment="1" applyProtection="1">
      <alignment horizontal="right" vertical="top" wrapText="1"/>
    </xf>
    <xf numFmtId="0" fontId="0" fillId="8" borderId="18" xfId="0" applyFill="1" applyBorder="1" applyAlignment="1" applyProtection="1">
      <alignment horizontal="center"/>
    </xf>
    <xf numFmtId="0" fontId="4" fillId="6" borderId="0" xfId="0" applyFont="1" applyFill="1"/>
    <xf numFmtId="2" fontId="4" fillId="0" borderId="0" xfId="0" applyNumberFormat="1" applyFont="1"/>
    <xf numFmtId="2" fontId="0" fillId="0" borderId="0" xfId="0" applyNumberFormat="1"/>
    <xf numFmtId="0" fontId="10" fillId="0" borderId="0" xfId="0" applyFont="1" applyAlignment="1">
      <alignment horizontal="center" wrapText="1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4" fillId="0" borderId="0" xfId="0" applyFont="1" applyAlignment="1">
      <alignment horizontal="center"/>
    </xf>
  </cellXfs>
  <cellStyles count="6">
    <cellStyle name="Currency" xfId="4" builtinId="4"/>
    <cellStyle name="Normal" xfId="0" builtinId="0"/>
    <cellStyle name="Normal 2" xfId="2" xr:uid="{B39F330A-7B14-40C9-8150-EBCD8A8A510A}"/>
    <cellStyle name="Normal 3" xfId="5" xr:uid="{856DE0BE-852A-43BE-851D-B61803495223}"/>
    <cellStyle name="Porcentagem 2" xfId="3" xr:uid="{9E7115F7-0401-4DF9-9787-15A5079592D8}"/>
    <cellStyle name="RowLevel_4" xfId="1" builtinId="1" iLevel="3"/>
  </cellStyles>
  <dxfs count="3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746760</xdr:colOff>
          <xdr:row>0</xdr:row>
          <xdr:rowOff>7620</xdr:rowOff>
        </xdr:from>
        <xdr:to>
          <xdr:col>9</xdr:col>
          <xdr:colOff>800100</xdr:colOff>
          <xdr:row>2</xdr:row>
          <xdr:rowOff>22860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861060</xdr:colOff>
          <xdr:row>0</xdr:row>
          <xdr:rowOff>7620</xdr:rowOff>
        </xdr:from>
        <xdr:to>
          <xdr:col>14</xdr:col>
          <xdr:colOff>121920</xdr:colOff>
          <xdr:row>2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FD12-FD50-46AE-872A-78F735F56D54}">
  <sheetPr codeName="Sheet2"/>
  <dimension ref="A1:O31"/>
  <sheetViews>
    <sheetView topLeftCell="F1" workbookViewId="0">
      <selection activeCell="Q4" sqref="Q4"/>
    </sheetView>
  </sheetViews>
  <sheetFormatPr defaultRowHeight="13.2" x14ac:dyDescent="0.25"/>
  <cols>
    <col min="1" max="1" width="7" style="36" customWidth="1"/>
    <col min="2" max="2" width="20" style="36" customWidth="1"/>
    <col min="3" max="3" width="12.5546875" customWidth="1"/>
    <col min="4" max="4" width="18.44140625" customWidth="1"/>
    <col min="5" max="5" width="18.33203125" customWidth="1"/>
    <col min="6" max="6" width="22.5546875" customWidth="1"/>
    <col min="7" max="7" width="27.77734375" bestFit="1" customWidth="1"/>
    <col min="8" max="8" width="16.5546875" customWidth="1"/>
    <col min="9" max="9" width="30.5546875" customWidth="1"/>
  </cols>
  <sheetData>
    <row r="1" spans="1:15" ht="19.8" x14ac:dyDescent="0.4">
      <c r="A1" s="1" t="s">
        <v>345</v>
      </c>
      <c r="B1" s="87"/>
      <c r="C1" s="87"/>
      <c r="D1" s="87"/>
      <c r="E1" s="87"/>
      <c r="F1" s="87"/>
      <c r="G1" s="87"/>
      <c r="H1" s="87"/>
      <c r="I1" s="87"/>
      <c r="M1" s="93" t="s">
        <v>429</v>
      </c>
      <c r="N1" s="93"/>
      <c r="O1" s="93"/>
    </row>
    <row r="2" spans="1:15" ht="13.8" thickBot="1" x14ac:dyDescent="0.3">
      <c r="M2" s="79">
        <v>0</v>
      </c>
      <c r="N2" s="79">
        <v>99</v>
      </c>
      <c r="O2" s="80">
        <v>0</v>
      </c>
    </row>
    <row r="3" spans="1:15" x14ac:dyDescent="0.25">
      <c r="D3" s="88" t="s">
        <v>346</v>
      </c>
      <c r="E3" s="89"/>
      <c r="F3" s="90"/>
      <c r="G3" s="91" t="s">
        <v>347</v>
      </c>
      <c r="H3" s="92"/>
      <c r="I3" s="37" t="s">
        <v>348</v>
      </c>
      <c r="M3" s="79">
        <v>100</v>
      </c>
      <c r="N3" s="79">
        <v>109.99</v>
      </c>
      <c r="O3" s="80">
        <v>1</v>
      </c>
    </row>
    <row r="4" spans="1:15" s="44" customFormat="1" ht="27" thickBot="1" x14ac:dyDescent="0.3">
      <c r="A4" s="38" t="s">
        <v>127</v>
      </c>
      <c r="B4" s="38" t="s">
        <v>349</v>
      </c>
      <c r="C4" s="39" t="s">
        <v>350</v>
      </c>
      <c r="D4" s="40" t="s">
        <v>351</v>
      </c>
      <c r="E4" s="41" t="s">
        <v>352</v>
      </c>
      <c r="F4" s="42" t="s">
        <v>353</v>
      </c>
      <c r="G4" s="40" t="s">
        <v>352</v>
      </c>
      <c r="H4" s="42" t="s">
        <v>353</v>
      </c>
      <c r="I4" s="43" t="s">
        <v>354</v>
      </c>
      <c r="M4" s="81">
        <v>110</v>
      </c>
      <c r="N4" s="81">
        <v>119.99</v>
      </c>
      <c r="O4" s="82">
        <v>2</v>
      </c>
    </row>
    <row r="5" spans="1:15" ht="14.4" x14ac:dyDescent="0.25">
      <c r="A5" s="62">
        <v>62</v>
      </c>
      <c r="B5" s="70" t="s">
        <v>355</v>
      </c>
      <c r="C5" s="71" t="s">
        <v>356</v>
      </c>
      <c r="D5" s="45">
        <v>4962.3</v>
      </c>
      <c r="E5" s="50" t="s">
        <v>357</v>
      </c>
      <c r="F5" s="68" t="s">
        <v>358</v>
      </c>
      <c r="G5" s="46">
        <v>2.8000000000000001E-2</v>
      </c>
      <c r="H5" s="47">
        <v>5.0000000000000001E-3</v>
      </c>
      <c r="I5" s="48" t="s">
        <v>359</v>
      </c>
      <c r="J5" s="2">
        <v>622</v>
      </c>
      <c r="M5" s="83">
        <v>120</v>
      </c>
      <c r="N5" s="80">
        <v>99999999</v>
      </c>
      <c r="O5" s="80">
        <v>3</v>
      </c>
    </row>
    <row r="6" spans="1:15" ht="14.4" x14ac:dyDescent="0.25">
      <c r="A6" s="62">
        <v>93</v>
      </c>
      <c r="B6" s="70" t="s">
        <v>360</v>
      </c>
      <c r="C6" s="71" t="s">
        <v>361</v>
      </c>
      <c r="D6" s="49">
        <v>4680</v>
      </c>
      <c r="E6" s="50" t="s">
        <v>362</v>
      </c>
      <c r="F6" s="50" t="s">
        <v>358</v>
      </c>
      <c r="G6" s="51">
        <v>2.8000000000000001E-2</v>
      </c>
      <c r="H6" s="52">
        <v>5.0000000000000001E-3</v>
      </c>
      <c r="I6" s="76" t="s">
        <v>359</v>
      </c>
      <c r="J6" s="77"/>
      <c r="K6" s="77"/>
      <c r="L6" s="77"/>
    </row>
    <row r="7" spans="1:15" ht="14.4" x14ac:dyDescent="0.25">
      <c r="A7" s="62">
        <v>94</v>
      </c>
      <c r="B7" s="70" t="s">
        <v>363</v>
      </c>
      <c r="C7" s="71" t="s">
        <v>364</v>
      </c>
      <c r="D7" s="49">
        <v>3500</v>
      </c>
      <c r="E7" s="50" t="s">
        <v>365</v>
      </c>
      <c r="F7" s="50" t="s">
        <v>358</v>
      </c>
      <c r="G7" s="69" t="s">
        <v>427</v>
      </c>
      <c r="H7" s="52"/>
      <c r="I7" s="76" t="s">
        <v>367</v>
      </c>
      <c r="J7" s="77"/>
      <c r="K7" s="78" t="s">
        <v>366</v>
      </c>
      <c r="L7" s="77"/>
    </row>
    <row r="8" spans="1:15" ht="14.4" x14ac:dyDescent="0.25">
      <c r="A8" s="62">
        <v>95</v>
      </c>
      <c r="B8" s="70" t="s">
        <v>368</v>
      </c>
      <c r="C8" s="71" t="s">
        <v>369</v>
      </c>
      <c r="D8" s="54">
        <v>4160</v>
      </c>
      <c r="E8" s="50" t="s">
        <v>370</v>
      </c>
      <c r="F8" s="50" t="s">
        <v>358</v>
      </c>
      <c r="G8" s="51">
        <v>3.2000000000000001E-2</v>
      </c>
      <c r="H8" s="52">
        <v>5.0000000000000001E-3</v>
      </c>
      <c r="I8" s="76" t="s">
        <v>371</v>
      </c>
      <c r="J8" s="77"/>
      <c r="K8" s="77"/>
      <c r="L8" s="77"/>
    </row>
    <row r="9" spans="1:15" ht="14.4" x14ac:dyDescent="0.25">
      <c r="A9" s="62">
        <v>103</v>
      </c>
      <c r="B9" s="70" t="s">
        <v>372</v>
      </c>
      <c r="C9" s="71" t="s">
        <v>373</v>
      </c>
      <c r="D9" s="54">
        <v>5720</v>
      </c>
      <c r="E9" s="50" t="s">
        <v>374</v>
      </c>
      <c r="F9" s="50" t="s">
        <v>358</v>
      </c>
      <c r="G9" s="51">
        <v>3.2000000000000001E-2</v>
      </c>
      <c r="H9" s="52">
        <v>5.0000000000000001E-3</v>
      </c>
      <c r="I9" s="53" t="s">
        <v>359</v>
      </c>
    </row>
    <row r="10" spans="1:15" ht="14.4" x14ac:dyDescent="0.25">
      <c r="A10" s="62">
        <v>104</v>
      </c>
      <c r="B10" s="71" t="s">
        <v>375</v>
      </c>
      <c r="C10" s="71" t="s">
        <v>376</v>
      </c>
      <c r="D10" s="54">
        <v>4500</v>
      </c>
      <c r="E10" s="50" t="s">
        <v>370</v>
      </c>
      <c r="F10" s="50" t="s">
        <v>358</v>
      </c>
      <c r="G10" s="51">
        <v>0.02</v>
      </c>
      <c r="H10" s="52">
        <v>5.0000000000000001E-3</v>
      </c>
      <c r="I10" s="53" t="s">
        <v>371</v>
      </c>
    </row>
    <row r="11" spans="1:15" ht="14.4" x14ac:dyDescent="0.25">
      <c r="A11" s="62">
        <v>105</v>
      </c>
      <c r="B11" s="70" t="s">
        <v>377</v>
      </c>
      <c r="C11" s="71" t="s">
        <v>378</v>
      </c>
      <c r="D11" s="54">
        <v>4500</v>
      </c>
      <c r="E11" s="50" t="s">
        <v>379</v>
      </c>
      <c r="F11" s="50" t="s">
        <v>358</v>
      </c>
      <c r="G11" s="51">
        <v>2.8000000000000001E-2</v>
      </c>
      <c r="H11" s="52">
        <v>5.0000000000000001E-3</v>
      </c>
      <c r="I11" s="53" t="s">
        <v>371</v>
      </c>
      <c r="N11" s="75"/>
    </row>
    <row r="12" spans="1:15" ht="14.4" x14ac:dyDescent="0.25">
      <c r="A12" s="62">
        <v>116</v>
      </c>
      <c r="B12" s="70" t="s">
        <v>380</v>
      </c>
      <c r="C12" s="71" t="s">
        <v>381</v>
      </c>
      <c r="D12" s="54">
        <v>4680</v>
      </c>
      <c r="E12" s="50" t="s">
        <v>370</v>
      </c>
      <c r="F12" s="50" t="s">
        <v>358</v>
      </c>
      <c r="G12" s="51" t="s">
        <v>366</v>
      </c>
      <c r="H12" s="52"/>
      <c r="I12" s="53" t="s">
        <v>359</v>
      </c>
    </row>
    <row r="13" spans="1:15" ht="14.4" x14ac:dyDescent="0.25">
      <c r="A13" s="62">
        <v>123</v>
      </c>
      <c r="B13" s="70" t="s">
        <v>382</v>
      </c>
      <c r="C13" s="71" t="s">
        <v>383</v>
      </c>
      <c r="D13" s="49">
        <v>4500</v>
      </c>
      <c r="E13" s="50" t="s">
        <v>365</v>
      </c>
      <c r="F13" s="50" t="s">
        <v>358</v>
      </c>
      <c r="G13" s="67" t="s">
        <v>384</v>
      </c>
      <c r="H13" s="52"/>
      <c r="I13" s="53" t="s">
        <v>385</v>
      </c>
    </row>
    <row r="14" spans="1:15" ht="14.4" x14ac:dyDescent="0.25">
      <c r="A14" s="62">
        <v>124</v>
      </c>
      <c r="B14" s="70" t="s">
        <v>386</v>
      </c>
      <c r="C14" s="71" t="s">
        <v>387</v>
      </c>
      <c r="D14" s="49">
        <v>5000</v>
      </c>
      <c r="E14" s="50" t="s">
        <v>388</v>
      </c>
      <c r="F14" s="50" t="s">
        <v>358</v>
      </c>
      <c r="G14" s="55">
        <v>3.2000000000000001E-2</v>
      </c>
      <c r="H14" s="52">
        <v>5.0000000000000001E-3</v>
      </c>
      <c r="I14" s="53" t="s">
        <v>359</v>
      </c>
    </row>
    <row r="15" spans="1:15" ht="14.4" x14ac:dyDescent="0.25">
      <c r="A15" s="62">
        <v>125</v>
      </c>
      <c r="B15" s="70" t="s">
        <v>389</v>
      </c>
      <c r="C15" s="71" t="s">
        <v>390</v>
      </c>
      <c r="D15" s="54">
        <v>4500</v>
      </c>
      <c r="E15" s="50" t="s">
        <v>370</v>
      </c>
      <c r="F15" s="50" t="s">
        <v>358</v>
      </c>
      <c r="G15" s="51">
        <v>2.8000000000000001E-2</v>
      </c>
      <c r="H15" s="52">
        <v>5.0000000000000001E-3</v>
      </c>
      <c r="I15" s="53" t="s">
        <v>385</v>
      </c>
    </row>
    <row r="16" spans="1:15" ht="14.4" x14ac:dyDescent="0.25">
      <c r="A16" s="62">
        <v>126</v>
      </c>
      <c r="B16" s="70" t="s">
        <v>391</v>
      </c>
      <c r="C16" s="71" t="s">
        <v>392</v>
      </c>
      <c r="D16" s="54">
        <v>4000</v>
      </c>
      <c r="E16" s="50" t="s">
        <v>379</v>
      </c>
      <c r="F16" s="50" t="s">
        <v>358</v>
      </c>
      <c r="G16" s="51">
        <v>3.2000000000000001E-2</v>
      </c>
      <c r="H16" s="52">
        <v>5.0000000000000001E-3</v>
      </c>
      <c r="I16" s="53" t="s">
        <v>385</v>
      </c>
    </row>
    <row r="17" spans="1:9" ht="14.4" x14ac:dyDescent="0.25">
      <c r="A17" s="62">
        <v>127</v>
      </c>
      <c r="B17" s="70" t="s">
        <v>393</v>
      </c>
      <c r="C17" s="71" t="s">
        <v>394</v>
      </c>
      <c r="D17" s="54">
        <v>4000</v>
      </c>
      <c r="E17" s="50" t="s">
        <v>388</v>
      </c>
      <c r="F17" s="50" t="s">
        <v>358</v>
      </c>
      <c r="G17" s="51">
        <v>3.2000000000000001E-2</v>
      </c>
      <c r="H17" s="52">
        <v>5.0000000000000001E-3</v>
      </c>
      <c r="I17" s="53" t="s">
        <v>371</v>
      </c>
    </row>
    <row r="18" spans="1:9" ht="14.4" x14ac:dyDescent="0.25">
      <c r="A18" s="62">
        <v>139</v>
      </c>
      <c r="B18" s="70" t="s">
        <v>395</v>
      </c>
      <c r="C18" s="71" t="s">
        <v>396</v>
      </c>
      <c r="D18" s="54">
        <v>4500</v>
      </c>
      <c r="E18" s="50" t="s">
        <v>357</v>
      </c>
      <c r="F18" s="50" t="s">
        <v>358</v>
      </c>
      <c r="G18" s="51">
        <v>2.8000000000000001E-2</v>
      </c>
      <c r="H18" s="52">
        <v>5.0000000000000001E-3</v>
      </c>
      <c r="I18" s="53" t="s">
        <v>359</v>
      </c>
    </row>
    <row r="19" spans="1:9" ht="14.4" x14ac:dyDescent="0.25">
      <c r="A19" s="62">
        <v>144</v>
      </c>
      <c r="B19" s="70" t="s">
        <v>397</v>
      </c>
      <c r="C19" s="71" t="s">
        <v>398</v>
      </c>
      <c r="D19" s="54">
        <v>4500</v>
      </c>
      <c r="E19" s="50" t="s">
        <v>399</v>
      </c>
      <c r="F19" s="50" t="s">
        <v>358</v>
      </c>
      <c r="G19" s="51">
        <v>3.2000000000000001E-2</v>
      </c>
      <c r="H19" s="52">
        <v>5.0000000000000001E-3</v>
      </c>
      <c r="I19" s="53" t="s">
        <v>371</v>
      </c>
    </row>
    <row r="20" spans="1:9" ht="14.4" x14ac:dyDescent="0.25">
      <c r="A20" s="62">
        <v>154</v>
      </c>
      <c r="B20" s="70" t="s">
        <v>400</v>
      </c>
      <c r="C20" s="71" t="s">
        <v>401</v>
      </c>
      <c r="D20" s="54">
        <v>4500</v>
      </c>
      <c r="E20" s="50" t="s">
        <v>399</v>
      </c>
      <c r="F20" s="50" t="s">
        <v>358</v>
      </c>
      <c r="G20" s="51">
        <v>3.2000000000000001E-2</v>
      </c>
      <c r="H20" s="52">
        <v>5.0000000000000001E-3</v>
      </c>
      <c r="I20" s="53" t="s">
        <v>371</v>
      </c>
    </row>
    <row r="21" spans="1:9" ht="14.4" x14ac:dyDescent="0.25">
      <c r="A21" s="62">
        <v>156</v>
      </c>
      <c r="B21" s="70" t="s">
        <v>402</v>
      </c>
      <c r="C21" s="71" t="s">
        <v>364</v>
      </c>
      <c r="D21" s="54">
        <v>4500</v>
      </c>
      <c r="E21" s="50" t="s">
        <v>379</v>
      </c>
      <c r="F21" s="50" t="s">
        <v>358</v>
      </c>
      <c r="G21" s="51">
        <v>3.2000000000000001E-2</v>
      </c>
      <c r="H21" s="52">
        <v>5.0000000000000001E-3</v>
      </c>
      <c r="I21" s="53" t="s">
        <v>385</v>
      </c>
    </row>
    <row r="22" spans="1:9" ht="14.4" x14ac:dyDescent="0.25">
      <c r="A22" s="62">
        <v>157</v>
      </c>
      <c r="B22" s="70" t="s">
        <v>403</v>
      </c>
      <c r="C22" s="71" t="s">
        <v>404</v>
      </c>
      <c r="D22" s="54">
        <v>4500</v>
      </c>
      <c r="E22" s="50" t="s">
        <v>388</v>
      </c>
      <c r="F22" s="50" t="s">
        <v>358</v>
      </c>
      <c r="G22" s="51">
        <v>3.2000000000000001E-2</v>
      </c>
      <c r="H22" s="52">
        <v>5.0000000000000001E-3</v>
      </c>
      <c r="I22" s="53" t="s">
        <v>371</v>
      </c>
    </row>
    <row r="23" spans="1:9" ht="14.4" x14ac:dyDescent="0.25">
      <c r="A23" s="62">
        <v>161</v>
      </c>
      <c r="B23" s="70" t="s">
        <v>405</v>
      </c>
      <c r="C23" s="71" t="s">
        <v>406</v>
      </c>
      <c r="D23" s="54">
        <v>4500</v>
      </c>
      <c r="E23" s="50" t="s">
        <v>407</v>
      </c>
      <c r="F23" s="50" t="s">
        <v>358</v>
      </c>
      <c r="G23" s="51">
        <v>3.2000000000000001E-2</v>
      </c>
      <c r="H23" s="52">
        <v>5.0000000000000001E-3</v>
      </c>
      <c r="I23" s="53" t="s">
        <v>371</v>
      </c>
    </row>
    <row r="24" spans="1:9" ht="14.4" x14ac:dyDescent="0.25">
      <c r="A24" s="62">
        <v>166</v>
      </c>
      <c r="B24" s="70" t="s">
        <v>408</v>
      </c>
      <c r="C24" s="71" t="s">
        <v>409</v>
      </c>
      <c r="D24" s="54">
        <v>4500</v>
      </c>
      <c r="E24" s="50" t="s">
        <v>407</v>
      </c>
      <c r="F24" s="50" t="s">
        <v>358</v>
      </c>
      <c r="G24" s="51">
        <v>3.2000000000000001E-2</v>
      </c>
      <c r="H24" s="52">
        <v>5.0000000000000001E-3</v>
      </c>
      <c r="I24" s="53" t="s">
        <v>371</v>
      </c>
    </row>
    <row r="25" spans="1:9" ht="14.4" x14ac:dyDescent="0.25">
      <c r="A25" s="62">
        <v>169</v>
      </c>
      <c r="B25" s="70" t="s">
        <v>410</v>
      </c>
      <c r="C25" s="72" t="s">
        <v>411</v>
      </c>
      <c r="D25" s="56">
        <v>5665</v>
      </c>
      <c r="E25" s="57" t="s">
        <v>379</v>
      </c>
      <c r="F25" s="57" t="s">
        <v>358</v>
      </c>
      <c r="G25" s="58">
        <v>3.2000000000000001E-2</v>
      </c>
      <c r="H25" s="59">
        <v>5.0000000000000001E-3</v>
      </c>
      <c r="I25" s="53" t="s">
        <v>359</v>
      </c>
    </row>
    <row r="26" spans="1:9" ht="14.4" x14ac:dyDescent="0.25">
      <c r="A26" s="63">
        <v>173</v>
      </c>
      <c r="B26" s="70" t="s">
        <v>412</v>
      </c>
      <c r="C26" s="73" t="s">
        <v>413</v>
      </c>
      <c r="D26" s="61">
        <v>4500</v>
      </c>
      <c r="E26" s="57" t="s">
        <v>399</v>
      </c>
      <c r="F26" s="57" t="s">
        <v>358</v>
      </c>
      <c r="G26" s="51" t="s">
        <v>366</v>
      </c>
      <c r="H26" s="59"/>
      <c r="I26" s="53" t="s">
        <v>359</v>
      </c>
    </row>
    <row r="27" spans="1:9" ht="14.4" x14ac:dyDescent="0.25">
      <c r="A27" s="64">
        <v>175</v>
      </c>
      <c r="B27" s="70" t="s">
        <v>414</v>
      </c>
      <c r="C27" s="73" t="s">
        <v>415</v>
      </c>
      <c r="D27" s="61">
        <v>4500</v>
      </c>
      <c r="E27" s="57" t="s">
        <v>370</v>
      </c>
      <c r="F27" s="57" t="s">
        <v>416</v>
      </c>
      <c r="G27" s="51" t="s">
        <v>417</v>
      </c>
      <c r="H27" s="59"/>
      <c r="I27" s="53" t="s">
        <v>359</v>
      </c>
    </row>
    <row r="28" spans="1:9" ht="14.4" x14ac:dyDescent="0.25">
      <c r="A28" s="65">
        <v>179</v>
      </c>
      <c r="B28" s="70" t="s">
        <v>418</v>
      </c>
      <c r="C28" s="73" t="s">
        <v>419</v>
      </c>
      <c r="D28" s="61">
        <v>4180</v>
      </c>
      <c r="E28" s="50" t="s">
        <v>357</v>
      </c>
      <c r="F28" s="50" t="s">
        <v>358</v>
      </c>
      <c r="G28" s="67" t="s">
        <v>420</v>
      </c>
      <c r="H28" s="59">
        <v>5.0000000000000001E-3</v>
      </c>
      <c r="I28" s="53" t="s">
        <v>359</v>
      </c>
    </row>
    <row r="29" spans="1:9" ht="14.4" x14ac:dyDescent="0.25">
      <c r="A29" s="65">
        <v>181</v>
      </c>
      <c r="B29" s="70" t="s">
        <v>421</v>
      </c>
      <c r="C29" s="73" t="s">
        <v>422</v>
      </c>
      <c r="D29" s="54">
        <v>4500</v>
      </c>
      <c r="E29" s="50" t="s">
        <v>357</v>
      </c>
      <c r="F29" s="50" t="s">
        <v>358</v>
      </c>
      <c r="G29" s="51">
        <v>2.8000000000000001E-2</v>
      </c>
      <c r="H29" s="52">
        <v>5.0000000000000001E-3</v>
      </c>
      <c r="I29" s="53" t="s">
        <v>359</v>
      </c>
    </row>
    <row r="30" spans="1:9" ht="14.4" x14ac:dyDescent="0.25">
      <c r="A30" s="65">
        <v>183</v>
      </c>
      <c r="B30" s="70" t="s">
        <v>423</v>
      </c>
      <c r="C30" s="60"/>
      <c r="D30" s="61"/>
      <c r="E30" s="50" t="s">
        <v>357</v>
      </c>
      <c r="F30" s="50" t="s">
        <v>358</v>
      </c>
      <c r="G30" s="51">
        <v>2.8000000000000001E-2</v>
      </c>
      <c r="H30" s="52">
        <v>5.0000000000000001E-3</v>
      </c>
      <c r="I30" s="53" t="s">
        <v>359</v>
      </c>
    </row>
    <row r="31" spans="1:9" ht="14.4" x14ac:dyDescent="0.25">
      <c r="A31" s="63">
        <v>200</v>
      </c>
      <c r="B31" s="70" t="s">
        <v>424</v>
      </c>
      <c r="C31" s="60" t="s">
        <v>364</v>
      </c>
      <c r="D31" s="54">
        <v>4500</v>
      </c>
      <c r="E31" s="50" t="s">
        <v>370</v>
      </c>
      <c r="F31" s="50" t="s">
        <v>358</v>
      </c>
      <c r="G31" s="51">
        <v>2.8000000000000001E-2</v>
      </c>
      <c r="H31" s="52">
        <v>5.0000000000000001E-3</v>
      </c>
      <c r="I31" s="53" t="s">
        <v>371</v>
      </c>
    </row>
  </sheetData>
  <mergeCells count="4">
    <mergeCell ref="A1:I1"/>
    <mergeCell ref="D3:F3"/>
    <mergeCell ref="G3:H3"/>
    <mergeCell ref="M1:O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D19C2-9408-49F7-9E60-412BC134FBAA}">
  <sheetPr codeName="Sheet1">
    <tabColor theme="7" tint="0.59999389629810485"/>
  </sheetPr>
  <dimension ref="A1:PA658"/>
  <sheetViews>
    <sheetView showGridLines="0" tabSelected="1" topLeftCell="F1" zoomScale="90" zoomScaleNormal="90" workbookViewId="0">
      <selection activeCell="U4" sqref="U4"/>
    </sheetView>
  </sheetViews>
  <sheetFormatPr defaultRowHeight="13.2" x14ac:dyDescent="0.25"/>
  <cols>
    <col min="1" max="1" width="16.44140625" style="2" customWidth="1"/>
    <col min="2" max="2" width="7.33203125" style="3" customWidth="1"/>
    <col min="3" max="3" width="35.109375" style="2" customWidth="1"/>
    <col min="4" max="10" width="14.88671875" style="11" customWidth="1"/>
    <col min="11" max="11" width="1.33203125" style="2" customWidth="1"/>
    <col min="12" max="12" width="11.6640625" style="2" bestFit="1" customWidth="1"/>
    <col min="13" max="13" width="9.109375" style="2"/>
    <col min="14" max="14" width="1.33203125" style="2" customWidth="1"/>
    <col min="15" max="15" width="12.6640625" style="2" bestFit="1" customWidth="1"/>
    <col min="16" max="17" width="9.109375" style="85"/>
    <col min="18" max="18" width="12.5546875" style="85" bestFit="1" customWidth="1"/>
    <col min="19" max="21" width="9.109375" style="2"/>
    <col min="22" max="23" width="8.88671875" style="85"/>
    <col min="24" max="24" width="12.5546875" style="85" bestFit="1" customWidth="1"/>
    <col min="25" max="256" width="9.109375" style="2"/>
    <col min="257" max="257" width="4.88671875" style="2" customWidth="1"/>
    <col min="258" max="258" width="7.33203125" style="2" customWidth="1"/>
    <col min="259" max="259" width="35.109375" style="2" customWidth="1"/>
    <col min="260" max="266" width="14.88671875" style="2" customWidth="1"/>
    <col min="267" max="267" width="1.33203125" style="2" customWidth="1"/>
    <col min="268" max="268" width="11.6640625" style="2" bestFit="1" customWidth="1"/>
    <col min="269" max="269" width="9.109375" style="2"/>
    <col min="270" max="270" width="1.33203125" style="2" customWidth="1"/>
    <col min="271" max="271" width="12.6640625" style="2" bestFit="1" customWidth="1"/>
    <col min="272" max="512" width="9.109375" style="2"/>
    <col min="513" max="513" width="4.88671875" style="2" customWidth="1"/>
    <col min="514" max="514" width="7.33203125" style="2" customWidth="1"/>
    <col min="515" max="515" width="35.109375" style="2" customWidth="1"/>
    <col min="516" max="522" width="14.88671875" style="2" customWidth="1"/>
    <col min="523" max="523" width="1.33203125" style="2" customWidth="1"/>
    <col min="524" max="524" width="11.6640625" style="2" bestFit="1" customWidth="1"/>
    <col min="525" max="525" width="9.109375" style="2"/>
    <col min="526" max="526" width="1.33203125" style="2" customWidth="1"/>
    <col min="527" max="527" width="12.6640625" style="2" bestFit="1" customWidth="1"/>
    <col min="528" max="768" width="9.109375" style="2"/>
    <col min="769" max="769" width="4.88671875" style="2" customWidth="1"/>
    <col min="770" max="770" width="7.33203125" style="2" customWidth="1"/>
    <col min="771" max="771" width="35.109375" style="2" customWidth="1"/>
    <col min="772" max="778" width="14.88671875" style="2" customWidth="1"/>
    <col min="779" max="779" width="1.33203125" style="2" customWidth="1"/>
    <col min="780" max="780" width="11.6640625" style="2" bestFit="1" customWidth="1"/>
    <col min="781" max="781" width="9.109375" style="2"/>
    <col min="782" max="782" width="1.33203125" style="2" customWidth="1"/>
    <col min="783" max="783" width="12.6640625" style="2" bestFit="1" customWidth="1"/>
    <col min="784" max="1024" width="9.109375" style="2"/>
    <col min="1025" max="1025" width="4.88671875" style="2" customWidth="1"/>
    <col min="1026" max="1026" width="7.33203125" style="2" customWidth="1"/>
    <col min="1027" max="1027" width="35.109375" style="2" customWidth="1"/>
    <col min="1028" max="1034" width="14.88671875" style="2" customWidth="1"/>
    <col min="1035" max="1035" width="1.33203125" style="2" customWidth="1"/>
    <col min="1036" max="1036" width="11.6640625" style="2" bestFit="1" customWidth="1"/>
    <col min="1037" max="1037" width="9.109375" style="2"/>
    <col min="1038" max="1038" width="1.33203125" style="2" customWidth="1"/>
    <col min="1039" max="1039" width="12.6640625" style="2" bestFit="1" customWidth="1"/>
    <col min="1040" max="1280" width="9.109375" style="2"/>
    <col min="1281" max="1281" width="4.88671875" style="2" customWidth="1"/>
    <col min="1282" max="1282" width="7.33203125" style="2" customWidth="1"/>
    <col min="1283" max="1283" width="35.109375" style="2" customWidth="1"/>
    <col min="1284" max="1290" width="14.88671875" style="2" customWidth="1"/>
    <col min="1291" max="1291" width="1.33203125" style="2" customWidth="1"/>
    <col min="1292" max="1292" width="11.6640625" style="2" bestFit="1" customWidth="1"/>
    <col min="1293" max="1293" width="9.109375" style="2"/>
    <col min="1294" max="1294" width="1.33203125" style="2" customWidth="1"/>
    <col min="1295" max="1295" width="12.6640625" style="2" bestFit="1" customWidth="1"/>
    <col min="1296" max="1536" width="9.109375" style="2"/>
    <col min="1537" max="1537" width="4.88671875" style="2" customWidth="1"/>
    <col min="1538" max="1538" width="7.33203125" style="2" customWidth="1"/>
    <col min="1539" max="1539" width="35.109375" style="2" customWidth="1"/>
    <col min="1540" max="1546" width="14.88671875" style="2" customWidth="1"/>
    <col min="1547" max="1547" width="1.33203125" style="2" customWidth="1"/>
    <col min="1548" max="1548" width="11.6640625" style="2" bestFit="1" customWidth="1"/>
    <col min="1549" max="1549" width="9.109375" style="2"/>
    <col min="1550" max="1550" width="1.33203125" style="2" customWidth="1"/>
    <col min="1551" max="1551" width="12.6640625" style="2" bestFit="1" customWidth="1"/>
    <col min="1552" max="1792" width="9.109375" style="2"/>
    <col min="1793" max="1793" width="4.88671875" style="2" customWidth="1"/>
    <col min="1794" max="1794" width="7.33203125" style="2" customWidth="1"/>
    <col min="1795" max="1795" width="35.109375" style="2" customWidth="1"/>
    <col min="1796" max="1802" width="14.88671875" style="2" customWidth="1"/>
    <col min="1803" max="1803" width="1.33203125" style="2" customWidth="1"/>
    <col min="1804" max="1804" width="11.6640625" style="2" bestFit="1" customWidth="1"/>
    <col min="1805" max="1805" width="9.109375" style="2"/>
    <col min="1806" max="1806" width="1.33203125" style="2" customWidth="1"/>
    <col min="1807" max="1807" width="12.6640625" style="2" bestFit="1" customWidth="1"/>
    <col min="1808" max="2048" width="9.109375" style="2"/>
    <col min="2049" max="2049" width="4.88671875" style="2" customWidth="1"/>
    <col min="2050" max="2050" width="7.33203125" style="2" customWidth="1"/>
    <col min="2051" max="2051" width="35.109375" style="2" customWidth="1"/>
    <col min="2052" max="2058" width="14.88671875" style="2" customWidth="1"/>
    <col min="2059" max="2059" width="1.33203125" style="2" customWidth="1"/>
    <col min="2060" max="2060" width="11.6640625" style="2" bestFit="1" customWidth="1"/>
    <col min="2061" max="2061" width="9.109375" style="2"/>
    <col min="2062" max="2062" width="1.33203125" style="2" customWidth="1"/>
    <col min="2063" max="2063" width="12.6640625" style="2" bestFit="1" customWidth="1"/>
    <col min="2064" max="2304" width="9.109375" style="2"/>
    <col min="2305" max="2305" width="4.88671875" style="2" customWidth="1"/>
    <col min="2306" max="2306" width="7.33203125" style="2" customWidth="1"/>
    <col min="2307" max="2307" width="35.109375" style="2" customWidth="1"/>
    <col min="2308" max="2314" width="14.88671875" style="2" customWidth="1"/>
    <col min="2315" max="2315" width="1.33203125" style="2" customWidth="1"/>
    <col min="2316" max="2316" width="11.6640625" style="2" bestFit="1" customWidth="1"/>
    <col min="2317" max="2317" width="9.109375" style="2"/>
    <col min="2318" max="2318" width="1.33203125" style="2" customWidth="1"/>
    <col min="2319" max="2319" width="12.6640625" style="2" bestFit="1" customWidth="1"/>
    <col min="2320" max="2560" width="9.109375" style="2"/>
    <col min="2561" max="2561" width="4.88671875" style="2" customWidth="1"/>
    <col min="2562" max="2562" width="7.33203125" style="2" customWidth="1"/>
    <col min="2563" max="2563" width="35.109375" style="2" customWidth="1"/>
    <col min="2564" max="2570" width="14.88671875" style="2" customWidth="1"/>
    <col min="2571" max="2571" width="1.33203125" style="2" customWidth="1"/>
    <col min="2572" max="2572" width="11.6640625" style="2" bestFit="1" customWidth="1"/>
    <col min="2573" max="2573" width="9.109375" style="2"/>
    <col min="2574" max="2574" width="1.33203125" style="2" customWidth="1"/>
    <col min="2575" max="2575" width="12.6640625" style="2" bestFit="1" customWidth="1"/>
    <col min="2576" max="2816" width="9.109375" style="2"/>
    <col min="2817" max="2817" width="4.88671875" style="2" customWidth="1"/>
    <col min="2818" max="2818" width="7.33203125" style="2" customWidth="1"/>
    <col min="2819" max="2819" width="35.109375" style="2" customWidth="1"/>
    <col min="2820" max="2826" width="14.88671875" style="2" customWidth="1"/>
    <col min="2827" max="2827" width="1.33203125" style="2" customWidth="1"/>
    <col min="2828" max="2828" width="11.6640625" style="2" bestFit="1" customWidth="1"/>
    <col min="2829" max="2829" width="9.109375" style="2"/>
    <col min="2830" max="2830" width="1.33203125" style="2" customWidth="1"/>
    <col min="2831" max="2831" width="12.6640625" style="2" bestFit="1" customWidth="1"/>
    <col min="2832" max="3072" width="9.109375" style="2"/>
    <col min="3073" max="3073" width="4.88671875" style="2" customWidth="1"/>
    <col min="3074" max="3074" width="7.33203125" style="2" customWidth="1"/>
    <col min="3075" max="3075" width="35.109375" style="2" customWidth="1"/>
    <col min="3076" max="3082" width="14.88671875" style="2" customWidth="1"/>
    <col min="3083" max="3083" width="1.33203125" style="2" customWidth="1"/>
    <col min="3084" max="3084" width="11.6640625" style="2" bestFit="1" customWidth="1"/>
    <col min="3085" max="3085" width="9.109375" style="2"/>
    <col min="3086" max="3086" width="1.33203125" style="2" customWidth="1"/>
    <col min="3087" max="3087" width="12.6640625" style="2" bestFit="1" customWidth="1"/>
    <col min="3088" max="3328" width="9.109375" style="2"/>
    <col min="3329" max="3329" width="4.88671875" style="2" customWidth="1"/>
    <col min="3330" max="3330" width="7.33203125" style="2" customWidth="1"/>
    <col min="3331" max="3331" width="35.109375" style="2" customWidth="1"/>
    <col min="3332" max="3338" width="14.88671875" style="2" customWidth="1"/>
    <col min="3339" max="3339" width="1.33203125" style="2" customWidth="1"/>
    <col min="3340" max="3340" width="11.6640625" style="2" bestFit="1" customWidth="1"/>
    <col min="3341" max="3341" width="9.109375" style="2"/>
    <col min="3342" max="3342" width="1.33203125" style="2" customWidth="1"/>
    <col min="3343" max="3343" width="12.6640625" style="2" bestFit="1" customWidth="1"/>
    <col min="3344" max="3584" width="9.109375" style="2"/>
    <col min="3585" max="3585" width="4.88671875" style="2" customWidth="1"/>
    <col min="3586" max="3586" width="7.33203125" style="2" customWidth="1"/>
    <col min="3587" max="3587" width="35.109375" style="2" customWidth="1"/>
    <col min="3588" max="3594" width="14.88671875" style="2" customWidth="1"/>
    <col min="3595" max="3595" width="1.33203125" style="2" customWidth="1"/>
    <col min="3596" max="3596" width="11.6640625" style="2" bestFit="1" customWidth="1"/>
    <col min="3597" max="3597" width="9.109375" style="2"/>
    <col min="3598" max="3598" width="1.33203125" style="2" customWidth="1"/>
    <col min="3599" max="3599" width="12.6640625" style="2" bestFit="1" customWidth="1"/>
    <col min="3600" max="3840" width="9.109375" style="2"/>
    <col min="3841" max="3841" width="4.88671875" style="2" customWidth="1"/>
    <col min="3842" max="3842" width="7.33203125" style="2" customWidth="1"/>
    <col min="3843" max="3843" width="35.109375" style="2" customWidth="1"/>
    <col min="3844" max="3850" width="14.88671875" style="2" customWidth="1"/>
    <col min="3851" max="3851" width="1.33203125" style="2" customWidth="1"/>
    <col min="3852" max="3852" width="11.6640625" style="2" bestFit="1" customWidth="1"/>
    <col min="3853" max="3853" width="9.109375" style="2"/>
    <col min="3854" max="3854" width="1.33203125" style="2" customWidth="1"/>
    <col min="3855" max="3855" width="12.6640625" style="2" bestFit="1" customWidth="1"/>
    <col min="3856" max="4096" width="9.109375" style="2"/>
    <col min="4097" max="4097" width="4.88671875" style="2" customWidth="1"/>
    <col min="4098" max="4098" width="7.33203125" style="2" customWidth="1"/>
    <col min="4099" max="4099" width="35.109375" style="2" customWidth="1"/>
    <col min="4100" max="4106" width="14.88671875" style="2" customWidth="1"/>
    <col min="4107" max="4107" width="1.33203125" style="2" customWidth="1"/>
    <col min="4108" max="4108" width="11.6640625" style="2" bestFit="1" customWidth="1"/>
    <col min="4109" max="4109" width="9.109375" style="2"/>
    <col min="4110" max="4110" width="1.33203125" style="2" customWidth="1"/>
    <col min="4111" max="4111" width="12.6640625" style="2" bestFit="1" customWidth="1"/>
    <col min="4112" max="4352" width="9.109375" style="2"/>
    <col min="4353" max="4353" width="4.88671875" style="2" customWidth="1"/>
    <col min="4354" max="4354" width="7.33203125" style="2" customWidth="1"/>
    <col min="4355" max="4355" width="35.109375" style="2" customWidth="1"/>
    <col min="4356" max="4362" width="14.88671875" style="2" customWidth="1"/>
    <col min="4363" max="4363" width="1.33203125" style="2" customWidth="1"/>
    <col min="4364" max="4364" width="11.6640625" style="2" bestFit="1" customWidth="1"/>
    <col min="4365" max="4365" width="9.109375" style="2"/>
    <col min="4366" max="4366" width="1.33203125" style="2" customWidth="1"/>
    <col min="4367" max="4367" width="12.6640625" style="2" bestFit="1" customWidth="1"/>
    <col min="4368" max="4608" width="9.109375" style="2"/>
    <col min="4609" max="4609" width="4.88671875" style="2" customWidth="1"/>
    <col min="4610" max="4610" width="7.33203125" style="2" customWidth="1"/>
    <col min="4611" max="4611" width="35.109375" style="2" customWidth="1"/>
    <col min="4612" max="4618" width="14.88671875" style="2" customWidth="1"/>
    <col min="4619" max="4619" width="1.33203125" style="2" customWidth="1"/>
    <col min="4620" max="4620" width="11.6640625" style="2" bestFit="1" customWidth="1"/>
    <col min="4621" max="4621" width="9.109375" style="2"/>
    <col min="4622" max="4622" width="1.33203125" style="2" customWidth="1"/>
    <col min="4623" max="4623" width="12.6640625" style="2" bestFit="1" customWidth="1"/>
    <col min="4624" max="4864" width="9.109375" style="2"/>
    <col min="4865" max="4865" width="4.88671875" style="2" customWidth="1"/>
    <col min="4866" max="4866" width="7.33203125" style="2" customWidth="1"/>
    <col min="4867" max="4867" width="35.109375" style="2" customWidth="1"/>
    <col min="4868" max="4874" width="14.88671875" style="2" customWidth="1"/>
    <col min="4875" max="4875" width="1.33203125" style="2" customWidth="1"/>
    <col min="4876" max="4876" width="11.6640625" style="2" bestFit="1" customWidth="1"/>
    <col min="4877" max="4877" width="9.109375" style="2"/>
    <col min="4878" max="4878" width="1.33203125" style="2" customWidth="1"/>
    <col min="4879" max="4879" width="12.6640625" style="2" bestFit="1" customWidth="1"/>
    <col min="4880" max="5120" width="9.109375" style="2"/>
    <col min="5121" max="5121" width="4.88671875" style="2" customWidth="1"/>
    <col min="5122" max="5122" width="7.33203125" style="2" customWidth="1"/>
    <col min="5123" max="5123" width="35.109375" style="2" customWidth="1"/>
    <col min="5124" max="5130" width="14.88671875" style="2" customWidth="1"/>
    <col min="5131" max="5131" width="1.33203125" style="2" customWidth="1"/>
    <col min="5132" max="5132" width="11.6640625" style="2" bestFit="1" customWidth="1"/>
    <col min="5133" max="5133" width="9.109375" style="2"/>
    <col min="5134" max="5134" width="1.33203125" style="2" customWidth="1"/>
    <col min="5135" max="5135" width="12.6640625" style="2" bestFit="1" customWidth="1"/>
    <col min="5136" max="5376" width="9.109375" style="2"/>
    <col min="5377" max="5377" width="4.88671875" style="2" customWidth="1"/>
    <col min="5378" max="5378" width="7.33203125" style="2" customWidth="1"/>
    <col min="5379" max="5379" width="35.109375" style="2" customWidth="1"/>
    <col min="5380" max="5386" width="14.88671875" style="2" customWidth="1"/>
    <col min="5387" max="5387" width="1.33203125" style="2" customWidth="1"/>
    <col min="5388" max="5388" width="11.6640625" style="2" bestFit="1" customWidth="1"/>
    <col min="5389" max="5389" width="9.109375" style="2"/>
    <col min="5390" max="5390" width="1.33203125" style="2" customWidth="1"/>
    <col min="5391" max="5391" width="12.6640625" style="2" bestFit="1" customWidth="1"/>
    <col min="5392" max="5632" width="9.109375" style="2"/>
    <col min="5633" max="5633" width="4.88671875" style="2" customWidth="1"/>
    <col min="5634" max="5634" width="7.33203125" style="2" customWidth="1"/>
    <col min="5635" max="5635" width="35.109375" style="2" customWidth="1"/>
    <col min="5636" max="5642" width="14.88671875" style="2" customWidth="1"/>
    <col min="5643" max="5643" width="1.33203125" style="2" customWidth="1"/>
    <col min="5644" max="5644" width="11.6640625" style="2" bestFit="1" customWidth="1"/>
    <col min="5645" max="5645" width="9.109375" style="2"/>
    <col min="5646" max="5646" width="1.33203125" style="2" customWidth="1"/>
    <col min="5647" max="5647" width="12.6640625" style="2" bestFit="1" customWidth="1"/>
    <col min="5648" max="5888" width="9.109375" style="2"/>
    <col min="5889" max="5889" width="4.88671875" style="2" customWidth="1"/>
    <col min="5890" max="5890" width="7.33203125" style="2" customWidth="1"/>
    <col min="5891" max="5891" width="35.109375" style="2" customWidth="1"/>
    <col min="5892" max="5898" width="14.88671875" style="2" customWidth="1"/>
    <col min="5899" max="5899" width="1.33203125" style="2" customWidth="1"/>
    <col min="5900" max="5900" width="11.6640625" style="2" bestFit="1" customWidth="1"/>
    <col min="5901" max="5901" width="9.109375" style="2"/>
    <col min="5902" max="5902" width="1.33203125" style="2" customWidth="1"/>
    <col min="5903" max="5903" width="12.6640625" style="2" bestFit="1" customWidth="1"/>
    <col min="5904" max="6144" width="9.109375" style="2"/>
    <col min="6145" max="6145" width="4.88671875" style="2" customWidth="1"/>
    <col min="6146" max="6146" width="7.33203125" style="2" customWidth="1"/>
    <col min="6147" max="6147" width="35.109375" style="2" customWidth="1"/>
    <col min="6148" max="6154" width="14.88671875" style="2" customWidth="1"/>
    <col min="6155" max="6155" width="1.33203125" style="2" customWidth="1"/>
    <col min="6156" max="6156" width="11.6640625" style="2" bestFit="1" customWidth="1"/>
    <col min="6157" max="6157" width="9.109375" style="2"/>
    <col min="6158" max="6158" width="1.33203125" style="2" customWidth="1"/>
    <col min="6159" max="6159" width="12.6640625" style="2" bestFit="1" customWidth="1"/>
    <col min="6160" max="6400" width="9.109375" style="2"/>
    <col min="6401" max="6401" width="4.88671875" style="2" customWidth="1"/>
    <col min="6402" max="6402" width="7.33203125" style="2" customWidth="1"/>
    <col min="6403" max="6403" width="35.109375" style="2" customWidth="1"/>
    <col min="6404" max="6410" width="14.88671875" style="2" customWidth="1"/>
    <col min="6411" max="6411" width="1.33203125" style="2" customWidth="1"/>
    <col min="6412" max="6412" width="11.6640625" style="2" bestFit="1" customWidth="1"/>
    <col min="6413" max="6413" width="9.109375" style="2"/>
    <col min="6414" max="6414" width="1.33203125" style="2" customWidth="1"/>
    <col min="6415" max="6415" width="12.6640625" style="2" bestFit="1" customWidth="1"/>
    <col min="6416" max="6656" width="9.109375" style="2"/>
    <col min="6657" max="6657" width="4.88671875" style="2" customWidth="1"/>
    <col min="6658" max="6658" width="7.33203125" style="2" customWidth="1"/>
    <col min="6659" max="6659" width="35.109375" style="2" customWidth="1"/>
    <col min="6660" max="6666" width="14.88671875" style="2" customWidth="1"/>
    <col min="6667" max="6667" width="1.33203125" style="2" customWidth="1"/>
    <col min="6668" max="6668" width="11.6640625" style="2" bestFit="1" customWidth="1"/>
    <col min="6669" max="6669" width="9.109375" style="2"/>
    <col min="6670" max="6670" width="1.33203125" style="2" customWidth="1"/>
    <col min="6671" max="6671" width="12.6640625" style="2" bestFit="1" customWidth="1"/>
    <col min="6672" max="6912" width="9.109375" style="2"/>
    <col min="6913" max="6913" width="4.88671875" style="2" customWidth="1"/>
    <col min="6914" max="6914" width="7.33203125" style="2" customWidth="1"/>
    <col min="6915" max="6915" width="35.109375" style="2" customWidth="1"/>
    <col min="6916" max="6922" width="14.88671875" style="2" customWidth="1"/>
    <col min="6923" max="6923" width="1.33203125" style="2" customWidth="1"/>
    <col min="6924" max="6924" width="11.6640625" style="2" bestFit="1" customWidth="1"/>
    <col min="6925" max="6925" width="9.109375" style="2"/>
    <col min="6926" max="6926" width="1.33203125" style="2" customWidth="1"/>
    <col min="6927" max="6927" width="12.6640625" style="2" bestFit="1" customWidth="1"/>
    <col min="6928" max="7168" width="9.109375" style="2"/>
    <col min="7169" max="7169" width="4.88671875" style="2" customWidth="1"/>
    <col min="7170" max="7170" width="7.33203125" style="2" customWidth="1"/>
    <col min="7171" max="7171" width="35.109375" style="2" customWidth="1"/>
    <col min="7172" max="7178" width="14.88671875" style="2" customWidth="1"/>
    <col min="7179" max="7179" width="1.33203125" style="2" customWidth="1"/>
    <col min="7180" max="7180" width="11.6640625" style="2" bestFit="1" customWidth="1"/>
    <col min="7181" max="7181" width="9.109375" style="2"/>
    <col min="7182" max="7182" width="1.33203125" style="2" customWidth="1"/>
    <col min="7183" max="7183" width="12.6640625" style="2" bestFit="1" customWidth="1"/>
    <col min="7184" max="7424" width="9.109375" style="2"/>
    <col min="7425" max="7425" width="4.88671875" style="2" customWidth="1"/>
    <col min="7426" max="7426" width="7.33203125" style="2" customWidth="1"/>
    <col min="7427" max="7427" width="35.109375" style="2" customWidth="1"/>
    <col min="7428" max="7434" width="14.88671875" style="2" customWidth="1"/>
    <col min="7435" max="7435" width="1.33203125" style="2" customWidth="1"/>
    <col min="7436" max="7436" width="11.6640625" style="2" bestFit="1" customWidth="1"/>
    <col min="7437" max="7437" width="9.109375" style="2"/>
    <col min="7438" max="7438" width="1.33203125" style="2" customWidth="1"/>
    <col min="7439" max="7439" width="12.6640625" style="2" bestFit="1" customWidth="1"/>
    <col min="7440" max="7680" width="9.109375" style="2"/>
    <col min="7681" max="7681" width="4.88671875" style="2" customWidth="1"/>
    <col min="7682" max="7682" width="7.33203125" style="2" customWidth="1"/>
    <col min="7683" max="7683" width="35.109375" style="2" customWidth="1"/>
    <col min="7684" max="7690" width="14.88671875" style="2" customWidth="1"/>
    <col min="7691" max="7691" width="1.33203125" style="2" customWidth="1"/>
    <col min="7692" max="7692" width="11.6640625" style="2" bestFit="1" customWidth="1"/>
    <col min="7693" max="7693" width="9.109375" style="2"/>
    <col min="7694" max="7694" width="1.33203125" style="2" customWidth="1"/>
    <col min="7695" max="7695" width="12.6640625" style="2" bestFit="1" customWidth="1"/>
    <col min="7696" max="7936" width="9.109375" style="2"/>
    <col min="7937" max="7937" width="4.88671875" style="2" customWidth="1"/>
    <col min="7938" max="7938" width="7.33203125" style="2" customWidth="1"/>
    <col min="7939" max="7939" width="35.109375" style="2" customWidth="1"/>
    <col min="7940" max="7946" width="14.88671875" style="2" customWidth="1"/>
    <col min="7947" max="7947" width="1.33203125" style="2" customWidth="1"/>
    <col min="7948" max="7948" width="11.6640625" style="2" bestFit="1" customWidth="1"/>
    <col min="7949" max="7949" width="9.109375" style="2"/>
    <col min="7950" max="7950" width="1.33203125" style="2" customWidth="1"/>
    <col min="7951" max="7951" width="12.6640625" style="2" bestFit="1" customWidth="1"/>
    <col min="7952" max="8192" width="9.109375" style="2"/>
    <col min="8193" max="8193" width="4.88671875" style="2" customWidth="1"/>
    <col min="8194" max="8194" width="7.33203125" style="2" customWidth="1"/>
    <col min="8195" max="8195" width="35.109375" style="2" customWidth="1"/>
    <col min="8196" max="8202" width="14.88671875" style="2" customWidth="1"/>
    <col min="8203" max="8203" width="1.33203125" style="2" customWidth="1"/>
    <col min="8204" max="8204" width="11.6640625" style="2" bestFit="1" customWidth="1"/>
    <col min="8205" max="8205" width="9.109375" style="2"/>
    <col min="8206" max="8206" width="1.33203125" style="2" customWidth="1"/>
    <col min="8207" max="8207" width="12.6640625" style="2" bestFit="1" customWidth="1"/>
    <col min="8208" max="8448" width="9.109375" style="2"/>
    <col min="8449" max="8449" width="4.88671875" style="2" customWidth="1"/>
    <col min="8450" max="8450" width="7.33203125" style="2" customWidth="1"/>
    <col min="8451" max="8451" width="35.109375" style="2" customWidth="1"/>
    <col min="8452" max="8458" width="14.88671875" style="2" customWidth="1"/>
    <col min="8459" max="8459" width="1.33203125" style="2" customWidth="1"/>
    <col min="8460" max="8460" width="11.6640625" style="2" bestFit="1" customWidth="1"/>
    <col min="8461" max="8461" width="9.109375" style="2"/>
    <col min="8462" max="8462" width="1.33203125" style="2" customWidth="1"/>
    <col min="8463" max="8463" width="12.6640625" style="2" bestFit="1" customWidth="1"/>
    <col min="8464" max="8704" width="9.109375" style="2"/>
    <col min="8705" max="8705" width="4.88671875" style="2" customWidth="1"/>
    <col min="8706" max="8706" width="7.33203125" style="2" customWidth="1"/>
    <col min="8707" max="8707" width="35.109375" style="2" customWidth="1"/>
    <col min="8708" max="8714" width="14.88671875" style="2" customWidth="1"/>
    <col min="8715" max="8715" width="1.33203125" style="2" customWidth="1"/>
    <col min="8716" max="8716" width="11.6640625" style="2" bestFit="1" customWidth="1"/>
    <col min="8717" max="8717" width="9.109375" style="2"/>
    <col min="8718" max="8718" width="1.33203125" style="2" customWidth="1"/>
    <col min="8719" max="8719" width="12.6640625" style="2" bestFit="1" customWidth="1"/>
    <col min="8720" max="8960" width="9.109375" style="2"/>
    <col min="8961" max="8961" width="4.88671875" style="2" customWidth="1"/>
    <col min="8962" max="8962" width="7.33203125" style="2" customWidth="1"/>
    <col min="8963" max="8963" width="35.109375" style="2" customWidth="1"/>
    <col min="8964" max="8970" width="14.88671875" style="2" customWidth="1"/>
    <col min="8971" max="8971" width="1.33203125" style="2" customWidth="1"/>
    <col min="8972" max="8972" width="11.6640625" style="2" bestFit="1" customWidth="1"/>
    <col min="8973" max="8973" width="9.109375" style="2"/>
    <col min="8974" max="8974" width="1.33203125" style="2" customWidth="1"/>
    <col min="8975" max="8975" width="12.6640625" style="2" bestFit="1" customWidth="1"/>
    <col min="8976" max="9216" width="9.109375" style="2"/>
    <col min="9217" max="9217" width="4.88671875" style="2" customWidth="1"/>
    <col min="9218" max="9218" width="7.33203125" style="2" customWidth="1"/>
    <col min="9219" max="9219" width="35.109375" style="2" customWidth="1"/>
    <col min="9220" max="9226" width="14.88671875" style="2" customWidth="1"/>
    <col min="9227" max="9227" width="1.33203125" style="2" customWidth="1"/>
    <col min="9228" max="9228" width="11.6640625" style="2" bestFit="1" customWidth="1"/>
    <col min="9229" max="9229" width="9.109375" style="2"/>
    <col min="9230" max="9230" width="1.33203125" style="2" customWidth="1"/>
    <col min="9231" max="9231" width="12.6640625" style="2" bestFit="1" customWidth="1"/>
    <col min="9232" max="9472" width="9.109375" style="2"/>
    <col min="9473" max="9473" width="4.88671875" style="2" customWidth="1"/>
    <col min="9474" max="9474" width="7.33203125" style="2" customWidth="1"/>
    <col min="9475" max="9475" width="35.109375" style="2" customWidth="1"/>
    <col min="9476" max="9482" width="14.88671875" style="2" customWidth="1"/>
    <col min="9483" max="9483" width="1.33203125" style="2" customWidth="1"/>
    <col min="9484" max="9484" width="11.6640625" style="2" bestFit="1" customWidth="1"/>
    <col min="9485" max="9485" width="9.109375" style="2"/>
    <col min="9486" max="9486" width="1.33203125" style="2" customWidth="1"/>
    <col min="9487" max="9487" width="12.6640625" style="2" bestFit="1" customWidth="1"/>
    <col min="9488" max="9728" width="9.109375" style="2"/>
    <col min="9729" max="9729" width="4.88671875" style="2" customWidth="1"/>
    <col min="9730" max="9730" width="7.33203125" style="2" customWidth="1"/>
    <col min="9731" max="9731" width="35.109375" style="2" customWidth="1"/>
    <col min="9732" max="9738" width="14.88671875" style="2" customWidth="1"/>
    <col min="9739" max="9739" width="1.33203125" style="2" customWidth="1"/>
    <col min="9740" max="9740" width="11.6640625" style="2" bestFit="1" customWidth="1"/>
    <col min="9741" max="9741" width="9.109375" style="2"/>
    <col min="9742" max="9742" width="1.33203125" style="2" customWidth="1"/>
    <col min="9743" max="9743" width="12.6640625" style="2" bestFit="1" customWidth="1"/>
    <col min="9744" max="9984" width="9.109375" style="2"/>
    <col min="9985" max="9985" width="4.88671875" style="2" customWidth="1"/>
    <col min="9986" max="9986" width="7.33203125" style="2" customWidth="1"/>
    <col min="9987" max="9987" width="35.109375" style="2" customWidth="1"/>
    <col min="9988" max="9994" width="14.88671875" style="2" customWidth="1"/>
    <col min="9995" max="9995" width="1.33203125" style="2" customWidth="1"/>
    <col min="9996" max="9996" width="11.6640625" style="2" bestFit="1" customWidth="1"/>
    <col min="9997" max="9997" width="9.109375" style="2"/>
    <col min="9998" max="9998" width="1.33203125" style="2" customWidth="1"/>
    <col min="9999" max="9999" width="12.6640625" style="2" bestFit="1" customWidth="1"/>
    <col min="10000" max="10240" width="9.109375" style="2"/>
    <col min="10241" max="10241" width="4.88671875" style="2" customWidth="1"/>
    <col min="10242" max="10242" width="7.33203125" style="2" customWidth="1"/>
    <col min="10243" max="10243" width="35.109375" style="2" customWidth="1"/>
    <col min="10244" max="10250" width="14.88671875" style="2" customWidth="1"/>
    <col min="10251" max="10251" width="1.33203125" style="2" customWidth="1"/>
    <col min="10252" max="10252" width="11.6640625" style="2" bestFit="1" customWidth="1"/>
    <col min="10253" max="10253" width="9.109375" style="2"/>
    <col min="10254" max="10254" width="1.33203125" style="2" customWidth="1"/>
    <col min="10255" max="10255" width="12.6640625" style="2" bestFit="1" customWidth="1"/>
    <col min="10256" max="10496" width="9.109375" style="2"/>
    <col min="10497" max="10497" width="4.88671875" style="2" customWidth="1"/>
    <col min="10498" max="10498" width="7.33203125" style="2" customWidth="1"/>
    <col min="10499" max="10499" width="35.109375" style="2" customWidth="1"/>
    <col min="10500" max="10506" width="14.88671875" style="2" customWidth="1"/>
    <col min="10507" max="10507" width="1.33203125" style="2" customWidth="1"/>
    <col min="10508" max="10508" width="11.6640625" style="2" bestFit="1" customWidth="1"/>
    <col min="10509" max="10509" width="9.109375" style="2"/>
    <col min="10510" max="10510" width="1.33203125" style="2" customWidth="1"/>
    <col min="10511" max="10511" width="12.6640625" style="2" bestFit="1" customWidth="1"/>
    <col min="10512" max="10752" width="9.109375" style="2"/>
    <col min="10753" max="10753" width="4.88671875" style="2" customWidth="1"/>
    <col min="10754" max="10754" width="7.33203125" style="2" customWidth="1"/>
    <col min="10755" max="10755" width="35.109375" style="2" customWidth="1"/>
    <col min="10756" max="10762" width="14.88671875" style="2" customWidth="1"/>
    <col min="10763" max="10763" width="1.33203125" style="2" customWidth="1"/>
    <col min="10764" max="10764" width="11.6640625" style="2" bestFit="1" customWidth="1"/>
    <col min="10765" max="10765" width="9.109375" style="2"/>
    <col min="10766" max="10766" width="1.33203125" style="2" customWidth="1"/>
    <col min="10767" max="10767" width="12.6640625" style="2" bestFit="1" customWidth="1"/>
    <col min="10768" max="11008" width="9.109375" style="2"/>
    <col min="11009" max="11009" width="4.88671875" style="2" customWidth="1"/>
    <col min="11010" max="11010" width="7.33203125" style="2" customWidth="1"/>
    <col min="11011" max="11011" width="35.109375" style="2" customWidth="1"/>
    <col min="11012" max="11018" width="14.88671875" style="2" customWidth="1"/>
    <col min="11019" max="11019" width="1.33203125" style="2" customWidth="1"/>
    <col min="11020" max="11020" width="11.6640625" style="2" bestFit="1" customWidth="1"/>
    <col min="11021" max="11021" width="9.109375" style="2"/>
    <col min="11022" max="11022" width="1.33203125" style="2" customWidth="1"/>
    <col min="11023" max="11023" width="12.6640625" style="2" bestFit="1" customWidth="1"/>
    <col min="11024" max="11264" width="9.109375" style="2"/>
    <col min="11265" max="11265" width="4.88671875" style="2" customWidth="1"/>
    <col min="11266" max="11266" width="7.33203125" style="2" customWidth="1"/>
    <col min="11267" max="11267" width="35.109375" style="2" customWidth="1"/>
    <col min="11268" max="11274" width="14.88671875" style="2" customWidth="1"/>
    <col min="11275" max="11275" width="1.33203125" style="2" customWidth="1"/>
    <col min="11276" max="11276" width="11.6640625" style="2" bestFit="1" customWidth="1"/>
    <col min="11277" max="11277" width="9.109375" style="2"/>
    <col min="11278" max="11278" width="1.33203125" style="2" customWidth="1"/>
    <col min="11279" max="11279" width="12.6640625" style="2" bestFit="1" customWidth="1"/>
    <col min="11280" max="11520" width="9.109375" style="2"/>
    <col min="11521" max="11521" width="4.88671875" style="2" customWidth="1"/>
    <col min="11522" max="11522" width="7.33203125" style="2" customWidth="1"/>
    <col min="11523" max="11523" width="35.109375" style="2" customWidth="1"/>
    <col min="11524" max="11530" width="14.88671875" style="2" customWidth="1"/>
    <col min="11531" max="11531" width="1.33203125" style="2" customWidth="1"/>
    <col min="11532" max="11532" width="11.6640625" style="2" bestFit="1" customWidth="1"/>
    <col min="11533" max="11533" width="9.109375" style="2"/>
    <col min="11534" max="11534" width="1.33203125" style="2" customWidth="1"/>
    <col min="11535" max="11535" width="12.6640625" style="2" bestFit="1" customWidth="1"/>
    <col min="11536" max="11776" width="9.109375" style="2"/>
    <col min="11777" max="11777" width="4.88671875" style="2" customWidth="1"/>
    <col min="11778" max="11778" width="7.33203125" style="2" customWidth="1"/>
    <col min="11779" max="11779" width="35.109375" style="2" customWidth="1"/>
    <col min="11780" max="11786" width="14.88671875" style="2" customWidth="1"/>
    <col min="11787" max="11787" width="1.33203125" style="2" customWidth="1"/>
    <col min="11788" max="11788" width="11.6640625" style="2" bestFit="1" customWidth="1"/>
    <col min="11789" max="11789" width="9.109375" style="2"/>
    <col min="11790" max="11790" width="1.33203125" style="2" customWidth="1"/>
    <col min="11791" max="11791" width="12.6640625" style="2" bestFit="1" customWidth="1"/>
    <col min="11792" max="12032" width="9.109375" style="2"/>
    <col min="12033" max="12033" width="4.88671875" style="2" customWidth="1"/>
    <col min="12034" max="12034" width="7.33203125" style="2" customWidth="1"/>
    <col min="12035" max="12035" width="35.109375" style="2" customWidth="1"/>
    <col min="12036" max="12042" width="14.88671875" style="2" customWidth="1"/>
    <col min="12043" max="12043" width="1.33203125" style="2" customWidth="1"/>
    <col min="12044" max="12044" width="11.6640625" style="2" bestFit="1" customWidth="1"/>
    <col min="12045" max="12045" width="9.109375" style="2"/>
    <col min="12046" max="12046" width="1.33203125" style="2" customWidth="1"/>
    <col min="12047" max="12047" width="12.6640625" style="2" bestFit="1" customWidth="1"/>
    <col min="12048" max="12288" width="9.109375" style="2"/>
    <col min="12289" max="12289" width="4.88671875" style="2" customWidth="1"/>
    <col min="12290" max="12290" width="7.33203125" style="2" customWidth="1"/>
    <col min="12291" max="12291" width="35.109375" style="2" customWidth="1"/>
    <col min="12292" max="12298" width="14.88671875" style="2" customWidth="1"/>
    <col min="12299" max="12299" width="1.33203125" style="2" customWidth="1"/>
    <col min="12300" max="12300" width="11.6640625" style="2" bestFit="1" customWidth="1"/>
    <col min="12301" max="12301" width="9.109375" style="2"/>
    <col min="12302" max="12302" width="1.33203125" style="2" customWidth="1"/>
    <col min="12303" max="12303" width="12.6640625" style="2" bestFit="1" customWidth="1"/>
    <col min="12304" max="12544" width="9.109375" style="2"/>
    <col min="12545" max="12545" width="4.88671875" style="2" customWidth="1"/>
    <col min="12546" max="12546" width="7.33203125" style="2" customWidth="1"/>
    <col min="12547" max="12547" width="35.109375" style="2" customWidth="1"/>
    <col min="12548" max="12554" width="14.88671875" style="2" customWidth="1"/>
    <col min="12555" max="12555" width="1.33203125" style="2" customWidth="1"/>
    <col min="12556" max="12556" width="11.6640625" style="2" bestFit="1" customWidth="1"/>
    <col min="12557" max="12557" width="9.109375" style="2"/>
    <col min="12558" max="12558" width="1.33203125" style="2" customWidth="1"/>
    <col min="12559" max="12559" width="12.6640625" style="2" bestFit="1" customWidth="1"/>
    <col min="12560" max="12800" width="9.109375" style="2"/>
    <col min="12801" max="12801" width="4.88671875" style="2" customWidth="1"/>
    <col min="12802" max="12802" width="7.33203125" style="2" customWidth="1"/>
    <col min="12803" max="12803" width="35.109375" style="2" customWidth="1"/>
    <col min="12804" max="12810" width="14.88671875" style="2" customWidth="1"/>
    <col min="12811" max="12811" width="1.33203125" style="2" customWidth="1"/>
    <col min="12812" max="12812" width="11.6640625" style="2" bestFit="1" customWidth="1"/>
    <col min="12813" max="12813" width="9.109375" style="2"/>
    <col min="12814" max="12814" width="1.33203125" style="2" customWidth="1"/>
    <col min="12815" max="12815" width="12.6640625" style="2" bestFit="1" customWidth="1"/>
    <col min="12816" max="13056" width="9.109375" style="2"/>
    <col min="13057" max="13057" width="4.88671875" style="2" customWidth="1"/>
    <col min="13058" max="13058" width="7.33203125" style="2" customWidth="1"/>
    <col min="13059" max="13059" width="35.109375" style="2" customWidth="1"/>
    <col min="13060" max="13066" width="14.88671875" style="2" customWidth="1"/>
    <col min="13067" max="13067" width="1.33203125" style="2" customWidth="1"/>
    <col min="13068" max="13068" width="11.6640625" style="2" bestFit="1" customWidth="1"/>
    <col min="13069" max="13069" width="9.109375" style="2"/>
    <col min="13070" max="13070" width="1.33203125" style="2" customWidth="1"/>
    <col min="13071" max="13071" width="12.6640625" style="2" bestFit="1" customWidth="1"/>
    <col min="13072" max="13312" width="9.109375" style="2"/>
    <col min="13313" max="13313" width="4.88671875" style="2" customWidth="1"/>
    <col min="13314" max="13314" width="7.33203125" style="2" customWidth="1"/>
    <col min="13315" max="13315" width="35.109375" style="2" customWidth="1"/>
    <col min="13316" max="13322" width="14.88671875" style="2" customWidth="1"/>
    <col min="13323" max="13323" width="1.33203125" style="2" customWidth="1"/>
    <col min="13324" max="13324" width="11.6640625" style="2" bestFit="1" customWidth="1"/>
    <col min="13325" max="13325" width="9.109375" style="2"/>
    <col min="13326" max="13326" width="1.33203125" style="2" customWidth="1"/>
    <col min="13327" max="13327" width="12.6640625" style="2" bestFit="1" customWidth="1"/>
    <col min="13328" max="13568" width="9.109375" style="2"/>
    <col min="13569" max="13569" width="4.88671875" style="2" customWidth="1"/>
    <col min="13570" max="13570" width="7.33203125" style="2" customWidth="1"/>
    <col min="13571" max="13571" width="35.109375" style="2" customWidth="1"/>
    <col min="13572" max="13578" width="14.88671875" style="2" customWidth="1"/>
    <col min="13579" max="13579" width="1.33203125" style="2" customWidth="1"/>
    <col min="13580" max="13580" width="11.6640625" style="2" bestFit="1" customWidth="1"/>
    <col min="13581" max="13581" width="9.109375" style="2"/>
    <col min="13582" max="13582" width="1.33203125" style="2" customWidth="1"/>
    <col min="13583" max="13583" width="12.6640625" style="2" bestFit="1" customWidth="1"/>
    <col min="13584" max="13824" width="9.109375" style="2"/>
    <col min="13825" max="13825" width="4.88671875" style="2" customWidth="1"/>
    <col min="13826" max="13826" width="7.33203125" style="2" customWidth="1"/>
    <col min="13827" max="13827" width="35.109375" style="2" customWidth="1"/>
    <col min="13828" max="13834" width="14.88671875" style="2" customWidth="1"/>
    <col min="13835" max="13835" width="1.33203125" style="2" customWidth="1"/>
    <col min="13836" max="13836" width="11.6640625" style="2" bestFit="1" customWidth="1"/>
    <col min="13837" max="13837" width="9.109375" style="2"/>
    <col min="13838" max="13838" width="1.33203125" style="2" customWidth="1"/>
    <col min="13839" max="13839" width="12.6640625" style="2" bestFit="1" customWidth="1"/>
    <col min="13840" max="14080" width="9.109375" style="2"/>
    <col min="14081" max="14081" width="4.88671875" style="2" customWidth="1"/>
    <col min="14082" max="14082" width="7.33203125" style="2" customWidth="1"/>
    <col min="14083" max="14083" width="35.109375" style="2" customWidth="1"/>
    <col min="14084" max="14090" width="14.88671875" style="2" customWidth="1"/>
    <col min="14091" max="14091" width="1.33203125" style="2" customWidth="1"/>
    <col min="14092" max="14092" width="11.6640625" style="2" bestFit="1" customWidth="1"/>
    <col min="14093" max="14093" width="9.109375" style="2"/>
    <col min="14094" max="14094" width="1.33203125" style="2" customWidth="1"/>
    <col min="14095" max="14095" width="12.6640625" style="2" bestFit="1" customWidth="1"/>
    <col min="14096" max="14336" width="9.109375" style="2"/>
    <col min="14337" max="14337" width="4.88671875" style="2" customWidth="1"/>
    <col min="14338" max="14338" width="7.33203125" style="2" customWidth="1"/>
    <col min="14339" max="14339" width="35.109375" style="2" customWidth="1"/>
    <col min="14340" max="14346" width="14.88671875" style="2" customWidth="1"/>
    <col min="14347" max="14347" width="1.33203125" style="2" customWidth="1"/>
    <col min="14348" max="14348" width="11.6640625" style="2" bestFit="1" customWidth="1"/>
    <col min="14349" max="14349" width="9.109375" style="2"/>
    <col min="14350" max="14350" width="1.33203125" style="2" customWidth="1"/>
    <col min="14351" max="14351" width="12.6640625" style="2" bestFit="1" customWidth="1"/>
    <col min="14352" max="14592" width="9.109375" style="2"/>
    <col min="14593" max="14593" width="4.88671875" style="2" customWidth="1"/>
    <col min="14594" max="14594" width="7.33203125" style="2" customWidth="1"/>
    <col min="14595" max="14595" width="35.109375" style="2" customWidth="1"/>
    <col min="14596" max="14602" width="14.88671875" style="2" customWidth="1"/>
    <col min="14603" max="14603" width="1.33203125" style="2" customWidth="1"/>
    <col min="14604" max="14604" width="11.6640625" style="2" bestFit="1" customWidth="1"/>
    <col min="14605" max="14605" width="9.109375" style="2"/>
    <col min="14606" max="14606" width="1.33203125" style="2" customWidth="1"/>
    <col min="14607" max="14607" width="12.6640625" style="2" bestFit="1" customWidth="1"/>
    <col min="14608" max="14848" width="9.109375" style="2"/>
    <col min="14849" max="14849" width="4.88671875" style="2" customWidth="1"/>
    <col min="14850" max="14850" width="7.33203125" style="2" customWidth="1"/>
    <col min="14851" max="14851" width="35.109375" style="2" customWidth="1"/>
    <col min="14852" max="14858" width="14.88671875" style="2" customWidth="1"/>
    <col min="14859" max="14859" width="1.33203125" style="2" customWidth="1"/>
    <col min="14860" max="14860" width="11.6640625" style="2" bestFit="1" customWidth="1"/>
    <col min="14861" max="14861" width="9.109375" style="2"/>
    <col min="14862" max="14862" width="1.33203125" style="2" customWidth="1"/>
    <col min="14863" max="14863" width="12.6640625" style="2" bestFit="1" customWidth="1"/>
    <col min="14864" max="15104" width="9.109375" style="2"/>
    <col min="15105" max="15105" width="4.88671875" style="2" customWidth="1"/>
    <col min="15106" max="15106" width="7.33203125" style="2" customWidth="1"/>
    <col min="15107" max="15107" width="35.109375" style="2" customWidth="1"/>
    <col min="15108" max="15114" width="14.88671875" style="2" customWidth="1"/>
    <col min="15115" max="15115" width="1.33203125" style="2" customWidth="1"/>
    <col min="15116" max="15116" width="11.6640625" style="2" bestFit="1" customWidth="1"/>
    <col min="15117" max="15117" width="9.109375" style="2"/>
    <col min="15118" max="15118" width="1.33203125" style="2" customWidth="1"/>
    <col min="15119" max="15119" width="12.6640625" style="2" bestFit="1" customWidth="1"/>
    <col min="15120" max="15360" width="9.109375" style="2"/>
    <col min="15361" max="15361" width="4.88671875" style="2" customWidth="1"/>
    <col min="15362" max="15362" width="7.33203125" style="2" customWidth="1"/>
    <col min="15363" max="15363" width="35.109375" style="2" customWidth="1"/>
    <col min="15364" max="15370" width="14.88671875" style="2" customWidth="1"/>
    <col min="15371" max="15371" width="1.33203125" style="2" customWidth="1"/>
    <col min="15372" max="15372" width="11.6640625" style="2" bestFit="1" customWidth="1"/>
    <col min="15373" max="15373" width="9.109375" style="2"/>
    <col min="15374" max="15374" width="1.33203125" style="2" customWidth="1"/>
    <col min="15375" max="15375" width="12.6640625" style="2" bestFit="1" customWidth="1"/>
    <col min="15376" max="15616" width="9.109375" style="2"/>
    <col min="15617" max="15617" width="4.88671875" style="2" customWidth="1"/>
    <col min="15618" max="15618" width="7.33203125" style="2" customWidth="1"/>
    <col min="15619" max="15619" width="35.109375" style="2" customWidth="1"/>
    <col min="15620" max="15626" width="14.88671875" style="2" customWidth="1"/>
    <col min="15627" max="15627" width="1.33203125" style="2" customWidth="1"/>
    <col min="15628" max="15628" width="11.6640625" style="2" bestFit="1" customWidth="1"/>
    <col min="15629" max="15629" width="9.109375" style="2"/>
    <col min="15630" max="15630" width="1.33203125" style="2" customWidth="1"/>
    <col min="15631" max="15631" width="12.6640625" style="2" bestFit="1" customWidth="1"/>
    <col min="15632" max="15872" width="9.109375" style="2"/>
    <col min="15873" max="15873" width="4.88671875" style="2" customWidth="1"/>
    <col min="15874" max="15874" width="7.33203125" style="2" customWidth="1"/>
    <col min="15875" max="15875" width="35.109375" style="2" customWidth="1"/>
    <col min="15876" max="15882" width="14.88671875" style="2" customWidth="1"/>
    <col min="15883" max="15883" width="1.33203125" style="2" customWidth="1"/>
    <col min="15884" max="15884" width="11.6640625" style="2" bestFit="1" customWidth="1"/>
    <col min="15885" max="15885" width="9.109375" style="2"/>
    <col min="15886" max="15886" width="1.33203125" style="2" customWidth="1"/>
    <col min="15887" max="15887" width="12.6640625" style="2" bestFit="1" customWidth="1"/>
    <col min="15888" max="16128" width="9.109375" style="2"/>
    <col min="16129" max="16129" width="4.88671875" style="2" customWidth="1"/>
    <col min="16130" max="16130" width="7.33203125" style="2" customWidth="1"/>
    <col min="16131" max="16131" width="35.109375" style="2" customWidth="1"/>
    <col min="16132" max="16138" width="14.88671875" style="2" customWidth="1"/>
    <col min="16139" max="16139" width="1.33203125" style="2" customWidth="1"/>
    <col min="16140" max="16140" width="11.6640625" style="2" bestFit="1" customWidth="1"/>
    <col min="16141" max="16141" width="9.109375" style="2"/>
    <col min="16142" max="16142" width="1.33203125" style="2" customWidth="1"/>
    <col min="16143" max="16143" width="12.6640625" style="2" bestFit="1" customWidth="1"/>
    <col min="16144" max="16384" width="9.109375" style="2"/>
  </cols>
  <sheetData>
    <row r="1" spans="1:417" x14ac:dyDescent="0.25">
      <c r="D1" s="2"/>
      <c r="E1" s="2"/>
      <c r="F1" s="2"/>
      <c r="G1" s="2"/>
      <c r="H1" s="2"/>
      <c r="I1" s="2"/>
      <c r="J1" s="2"/>
    </row>
    <row r="2" spans="1:417" x14ac:dyDescent="0.25">
      <c r="D2" s="2"/>
      <c r="E2" s="2"/>
      <c r="F2" s="2"/>
      <c r="G2" s="2"/>
      <c r="H2" s="2"/>
      <c r="I2" s="2"/>
      <c r="J2" s="2"/>
      <c r="O2" s="5" t="s">
        <v>12</v>
      </c>
    </row>
    <row r="3" spans="1:417" x14ac:dyDescent="0.25">
      <c r="D3" s="2"/>
      <c r="E3" s="2"/>
      <c r="F3" s="2"/>
      <c r="G3" s="2"/>
      <c r="H3" s="2"/>
      <c r="I3" s="2"/>
      <c r="J3" s="2"/>
      <c r="O3" s="11">
        <v>700000</v>
      </c>
    </row>
    <row r="4" spans="1:417" ht="12.75" customHeight="1" x14ac:dyDescent="0.25">
      <c r="A4" s="4" t="s">
        <v>0</v>
      </c>
      <c r="B4" s="5" t="s">
        <v>1</v>
      </c>
      <c r="C4" s="4" t="s">
        <v>2</v>
      </c>
      <c r="D4" s="5" t="s">
        <v>3</v>
      </c>
      <c r="E4" s="5" t="s">
        <v>4</v>
      </c>
      <c r="F4" s="5" t="s">
        <v>5</v>
      </c>
      <c r="G4" s="5" t="s">
        <v>6</v>
      </c>
      <c r="H4" s="5" t="s">
        <v>7</v>
      </c>
      <c r="I4" s="5" t="s">
        <v>8</v>
      </c>
      <c r="J4" s="5" t="s">
        <v>9</v>
      </c>
      <c r="K4" s="6"/>
      <c r="L4" s="7" t="s">
        <v>10</v>
      </c>
      <c r="M4"/>
      <c r="N4"/>
      <c r="P4" s="86" t="s">
        <v>457</v>
      </c>
      <c r="Q4" s="86" t="s">
        <v>426</v>
      </c>
      <c r="R4" s="86" t="s">
        <v>458</v>
      </c>
      <c r="S4"/>
      <c r="T4"/>
      <c r="U4"/>
      <c r="V4" s="86" t="s">
        <v>457</v>
      </c>
      <c r="W4" s="86" t="s">
        <v>426</v>
      </c>
      <c r="X4" s="86" t="s">
        <v>458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25">
      <c r="A5" s="66">
        <v>62</v>
      </c>
      <c r="B5" s="9" t="s">
        <v>14</v>
      </c>
      <c r="C5" s="10" t="s">
        <v>15</v>
      </c>
      <c r="D5" s="11">
        <v>2621.79</v>
      </c>
      <c r="F5" s="11">
        <v>0</v>
      </c>
      <c r="G5" s="11">
        <v>0</v>
      </c>
      <c r="H5" s="11">
        <v>0</v>
      </c>
      <c r="J5" s="11">
        <f>SUM(D5:I5)</f>
        <v>2621.79</v>
      </c>
      <c r="L5" s="11"/>
      <c r="M5" s="12">
        <f>IFERROR(J5/L5,)</f>
        <v>0</v>
      </c>
      <c r="N5"/>
      <c r="P5">
        <v>73.410120000000006</v>
      </c>
      <c r="Q5">
        <v>18.352530000000002</v>
      </c>
      <c r="R5"/>
      <c r="S5"/>
      <c r="T5"/>
      <c r="U5" t="s">
        <v>459</v>
      </c>
      <c r="V5">
        <v>73.410120000000006</v>
      </c>
      <c r="W5">
        <v>18.352530000000002</v>
      </c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25">
      <c r="A6" s="66">
        <v>62</v>
      </c>
      <c r="B6" s="9" t="s">
        <v>16</v>
      </c>
      <c r="C6" s="10" t="s">
        <v>17</v>
      </c>
      <c r="D6" s="11">
        <v>33983.49</v>
      </c>
      <c r="F6" s="11">
        <v>0</v>
      </c>
      <c r="G6" s="11">
        <v>349.99</v>
      </c>
      <c r="H6" s="11">
        <v>0</v>
      </c>
      <c r="J6" s="11">
        <f t="shared" ref="J6:J15" si="0">SUM(D6:I6)</f>
        <v>34333.479999999996</v>
      </c>
      <c r="L6" s="11">
        <v>110000</v>
      </c>
      <c r="M6" s="12">
        <f t="shared" ref="M6:M15" si="1">IFERROR(J6/L6,)</f>
        <v>0.31212254545454543</v>
      </c>
      <c r="N6"/>
      <c r="P6">
        <v>961.3374399999999</v>
      </c>
      <c r="Q6">
        <v>240.33435999999998</v>
      </c>
      <c r="R6"/>
      <c r="S6"/>
      <c r="T6"/>
      <c r="U6" t="s">
        <v>460</v>
      </c>
      <c r="V6">
        <v>961.3374399999999</v>
      </c>
      <c r="W6">
        <v>240.33435999999998</v>
      </c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25">
      <c r="A7" s="66">
        <v>62</v>
      </c>
      <c r="B7" s="9" t="s">
        <v>18</v>
      </c>
      <c r="C7" s="10" t="s">
        <v>19</v>
      </c>
      <c r="D7" s="11">
        <v>138809.43</v>
      </c>
      <c r="F7" s="11">
        <v>0</v>
      </c>
      <c r="G7" s="11">
        <v>899.99</v>
      </c>
      <c r="H7" s="11">
        <v>0</v>
      </c>
      <c r="J7" s="11">
        <f t="shared" si="0"/>
        <v>139709.41999999998</v>
      </c>
      <c r="L7" s="11">
        <v>110000</v>
      </c>
      <c r="M7" s="12">
        <f t="shared" si="1"/>
        <v>1.2700856363636361</v>
      </c>
      <c r="N7"/>
      <c r="P7">
        <v>5911.44</v>
      </c>
      <c r="Q7">
        <v>977.96593999999993</v>
      </c>
      <c r="R7">
        <v>698.54709999999989</v>
      </c>
      <c r="S7"/>
      <c r="T7"/>
      <c r="U7" t="s">
        <v>461</v>
      </c>
      <c r="V7">
        <v>5911.44</v>
      </c>
      <c r="W7">
        <v>977.96593999999993</v>
      </c>
      <c r="X7">
        <v>698.54709999999989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25">
      <c r="A8" s="66">
        <v>62</v>
      </c>
      <c r="B8" s="9" t="s">
        <v>20</v>
      </c>
      <c r="C8" s="10" t="s">
        <v>21</v>
      </c>
      <c r="D8" s="11">
        <v>127062.55</v>
      </c>
      <c r="F8" s="11">
        <v>0</v>
      </c>
      <c r="G8" s="11">
        <v>0</v>
      </c>
      <c r="H8" s="11">
        <v>0</v>
      </c>
      <c r="J8" s="11">
        <f t="shared" si="0"/>
        <v>127062.55</v>
      </c>
      <c r="L8" s="11">
        <v>110000</v>
      </c>
      <c r="M8" s="12">
        <f t="shared" si="1"/>
        <v>1.1551140909090909</v>
      </c>
      <c r="N8"/>
      <c r="P8">
        <v>3557.7514000000001</v>
      </c>
      <c r="Q8">
        <v>889.43785000000003</v>
      </c>
      <c r="R8">
        <v>635.31275000000005</v>
      </c>
      <c r="S8"/>
      <c r="T8"/>
      <c r="U8" t="s">
        <v>462</v>
      </c>
      <c r="V8">
        <v>3557.7514000000001</v>
      </c>
      <c r="W8">
        <v>889.43785000000003</v>
      </c>
      <c r="X8">
        <v>635.31275000000005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25">
      <c r="A9" s="66">
        <v>94</v>
      </c>
      <c r="B9" s="9" t="s">
        <v>22</v>
      </c>
      <c r="C9" s="10" t="s">
        <v>23</v>
      </c>
      <c r="D9" s="11">
        <v>111127.59</v>
      </c>
      <c r="F9" s="11">
        <v>0</v>
      </c>
      <c r="G9" s="11">
        <v>0</v>
      </c>
      <c r="H9" s="11">
        <v>0</v>
      </c>
      <c r="J9" s="11">
        <f t="shared" si="0"/>
        <v>111127.59</v>
      </c>
      <c r="L9" s="11">
        <v>110000</v>
      </c>
      <c r="M9" s="12">
        <f t="shared" si="1"/>
        <v>1.0102508181818182</v>
      </c>
      <c r="N9"/>
      <c r="P9">
        <v>4111.7208300000002</v>
      </c>
      <c r="Q9">
        <v>1027.9302075000001</v>
      </c>
      <c r="R9">
        <v>555.63795000000005</v>
      </c>
      <c r="S9"/>
      <c r="T9"/>
      <c r="U9" t="s">
        <v>463</v>
      </c>
      <c r="V9">
        <v>4111.7208300000002</v>
      </c>
      <c r="W9">
        <v>1027.9302075000001</v>
      </c>
      <c r="X9">
        <v>555.63795000000005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25">
      <c r="A10" s="66">
        <v>62</v>
      </c>
      <c r="B10" s="9" t="s">
        <v>24</v>
      </c>
      <c r="C10" s="10" t="s">
        <v>25</v>
      </c>
      <c r="D10" s="11">
        <v>114704.26</v>
      </c>
      <c r="F10" s="11">
        <v>0</v>
      </c>
      <c r="G10" s="11">
        <v>0</v>
      </c>
      <c r="H10" s="11">
        <v>0</v>
      </c>
      <c r="J10" s="11">
        <f t="shared" si="0"/>
        <v>114704.26</v>
      </c>
      <c r="L10" s="11">
        <v>110000</v>
      </c>
      <c r="M10" s="12">
        <f t="shared" si="1"/>
        <v>1.0427659999999999</v>
      </c>
      <c r="N10"/>
      <c r="P10">
        <v>3211.7192799999998</v>
      </c>
      <c r="Q10">
        <v>802.92981999999995</v>
      </c>
      <c r="R10">
        <v>573.5213</v>
      </c>
      <c r="S10"/>
      <c r="T10"/>
      <c r="U10" t="s">
        <v>464</v>
      </c>
      <c r="V10">
        <v>3211.7192799999998</v>
      </c>
      <c r="W10">
        <v>802.92981999999995</v>
      </c>
      <c r="X10">
        <v>573.5213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25">
      <c r="A11" s="66">
        <v>62</v>
      </c>
      <c r="B11" s="9" t="s">
        <v>26</v>
      </c>
      <c r="C11" s="10" t="s">
        <v>27</v>
      </c>
      <c r="D11" s="11">
        <v>111639.66</v>
      </c>
      <c r="F11" s="11">
        <v>0</v>
      </c>
      <c r="G11" s="11">
        <v>199.99</v>
      </c>
      <c r="H11" s="11">
        <v>0</v>
      </c>
      <c r="J11" s="11">
        <f t="shared" si="0"/>
        <v>111839.65000000001</v>
      </c>
      <c r="L11" s="11">
        <v>110000</v>
      </c>
      <c r="M11" s="12">
        <f t="shared" si="1"/>
        <v>1.0167240909090909</v>
      </c>
      <c r="N11"/>
      <c r="P11">
        <v>3131.5102000000002</v>
      </c>
      <c r="Q11">
        <v>782.87755000000004</v>
      </c>
      <c r="R11">
        <v>559.19825000000003</v>
      </c>
      <c r="S11"/>
      <c r="T11"/>
      <c r="U11" t="s">
        <v>465</v>
      </c>
      <c r="V11">
        <v>3131.5102000000002</v>
      </c>
      <c r="W11">
        <v>782.87755000000004</v>
      </c>
      <c r="X11">
        <v>559.19825000000003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25">
      <c r="A12" s="66">
        <v>62</v>
      </c>
      <c r="B12" s="9" t="s">
        <v>28</v>
      </c>
      <c r="C12" s="10" t="s">
        <v>29</v>
      </c>
      <c r="D12" s="11">
        <v>75512.289999999994</v>
      </c>
      <c r="F12" s="11">
        <v>0</v>
      </c>
      <c r="G12" s="11">
        <v>0</v>
      </c>
      <c r="H12" s="11">
        <v>0</v>
      </c>
      <c r="J12" s="11">
        <f t="shared" si="0"/>
        <v>75512.289999999994</v>
      </c>
      <c r="L12" s="11">
        <v>110000</v>
      </c>
      <c r="M12" s="12">
        <f t="shared" si="1"/>
        <v>0.68647536363636363</v>
      </c>
      <c r="N12"/>
      <c r="P12">
        <v>2114.3441199999997</v>
      </c>
      <c r="Q12">
        <v>528.58602999999994</v>
      </c>
      <c r="R12"/>
      <c r="S12"/>
      <c r="T12"/>
      <c r="U12" t="s">
        <v>466</v>
      </c>
      <c r="V12">
        <v>2114.3441199999997</v>
      </c>
      <c r="W12">
        <v>528.58602999999994</v>
      </c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25">
      <c r="A13" s="66">
        <v>62</v>
      </c>
      <c r="B13" s="9"/>
      <c r="C13" s="10"/>
      <c r="D13" s="11">
        <v>0</v>
      </c>
      <c r="F13" s="11">
        <v>0</v>
      </c>
      <c r="G13" s="11">
        <v>0</v>
      </c>
      <c r="H13" s="11">
        <v>0</v>
      </c>
      <c r="J13" s="11">
        <f t="shared" si="0"/>
        <v>0</v>
      </c>
      <c r="L13" s="11"/>
      <c r="M13" s="12">
        <f t="shared" si="1"/>
        <v>0</v>
      </c>
      <c r="N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25">
      <c r="A14" s="66">
        <v>62</v>
      </c>
      <c r="B14" s="9"/>
      <c r="D14" s="11">
        <v>0</v>
      </c>
      <c r="F14" s="11">
        <v>0</v>
      </c>
      <c r="G14" s="11">
        <v>0</v>
      </c>
      <c r="H14" s="11">
        <v>0</v>
      </c>
      <c r="J14" s="11">
        <f t="shared" si="0"/>
        <v>0</v>
      </c>
      <c r="L14" s="11"/>
      <c r="M14" s="12">
        <f t="shared" si="1"/>
        <v>0</v>
      </c>
      <c r="N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25">
      <c r="A15" s="66">
        <v>62</v>
      </c>
      <c r="B15" s="9"/>
      <c r="C15" s="10"/>
      <c r="D15" s="11">
        <v>0</v>
      </c>
      <c r="F15" s="11">
        <v>0</v>
      </c>
      <c r="G15" s="11">
        <v>0</v>
      </c>
      <c r="H15" s="11">
        <v>0</v>
      </c>
      <c r="J15" s="11">
        <f t="shared" si="0"/>
        <v>0</v>
      </c>
      <c r="L15" s="11"/>
      <c r="M15" s="12">
        <f t="shared" si="1"/>
        <v>0</v>
      </c>
      <c r="N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25">
      <c r="A16" s="13" t="s">
        <v>30</v>
      </c>
      <c r="B16" s="14"/>
      <c r="C16" s="13"/>
      <c r="D16" s="15">
        <v>715461.06</v>
      </c>
      <c r="E16" s="15">
        <v>0</v>
      </c>
      <c r="F16" s="15">
        <v>0</v>
      </c>
      <c r="G16" s="15">
        <v>1449.97</v>
      </c>
      <c r="H16" s="15">
        <v>0</v>
      </c>
      <c r="I16" s="15">
        <v>0</v>
      </c>
      <c r="J16" s="15">
        <f t="shared" ref="J16:L16" si="2">SUM(J5:J15)</f>
        <v>716911.03</v>
      </c>
      <c r="L16" s="15">
        <f t="shared" si="2"/>
        <v>770000</v>
      </c>
      <c r="M16"/>
      <c r="N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25">
      <c r="M17"/>
      <c r="N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25">
      <c r="M18"/>
      <c r="N18"/>
      <c r="O18" s="5" t="s">
        <v>12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25">
      <c r="M19"/>
      <c r="N19"/>
      <c r="O19" s="11">
        <v>450000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25">
      <c r="A20" s="4" t="s">
        <v>0</v>
      </c>
      <c r="B20" s="5" t="s">
        <v>1</v>
      </c>
      <c r="C20" s="4" t="s">
        <v>2</v>
      </c>
      <c r="D20" s="5" t="s">
        <v>3</v>
      </c>
      <c r="E20" s="5" t="s">
        <v>4</v>
      </c>
      <c r="F20" s="5" t="s">
        <v>5</v>
      </c>
      <c r="G20" s="5" t="s">
        <v>6</v>
      </c>
      <c r="H20" s="5" t="s">
        <v>7</v>
      </c>
      <c r="I20" s="5" t="s">
        <v>8</v>
      </c>
      <c r="J20" s="5" t="s">
        <v>9</v>
      </c>
      <c r="L20" s="7" t="s">
        <v>10</v>
      </c>
      <c r="M20"/>
      <c r="N20"/>
      <c r="P20"/>
      <c r="Q20"/>
      <c r="R20"/>
      <c r="S20"/>
      <c r="T20"/>
      <c r="U20" t="s">
        <v>466</v>
      </c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ht="12.75" customHeight="1" x14ac:dyDescent="0.25">
      <c r="A21" s="8" t="s">
        <v>31</v>
      </c>
      <c r="B21" s="9" t="s">
        <v>32</v>
      </c>
      <c r="C21" s="10" t="s">
        <v>33</v>
      </c>
      <c r="D21" s="11">
        <v>71409.990000000005</v>
      </c>
      <c r="F21" s="11">
        <v>0</v>
      </c>
      <c r="G21" s="11">
        <v>0</v>
      </c>
      <c r="H21" s="11">
        <v>0</v>
      </c>
      <c r="J21" s="11">
        <f t="shared" ref="J21:J31" si="3">SUM(D21:I21)</f>
        <v>71409.990000000005</v>
      </c>
      <c r="L21" s="11">
        <v>70800</v>
      </c>
      <c r="M21" s="12">
        <f t="shared" ref="M21:M31" si="4">IFERROR(J21/L21,)</f>
        <v>1.0086156779661017</v>
      </c>
      <c r="N21"/>
      <c r="P21">
        <v>1999.4797200000003</v>
      </c>
      <c r="Q21">
        <v>499.86993000000007</v>
      </c>
      <c r="R21">
        <v>357.04995000000002</v>
      </c>
      <c r="S21"/>
      <c r="T21"/>
      <c r="U21" t="s">
        <v>467</v>
      </c>
      <c r="V21">
        <v>1999.4797200000003</v>
      </c>
      <c r="W21">
        <v>499.86993000000007</v>
      </c>
      <c r="X21">
        <v>357.04995000000002</v>
      </c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1:417" ht="12.75" customHeight="1" x14ac:dyDescent="0.25">
      <c r="A22" s="8" t="s">
        <v>31</v>
      </c>
      <c r="B22" s="9" t="s">
        <v>34</v>
      </c>
      <c r="C22" s="10" t="s">
        <v>35</v>
      </c>
      <c r="D22" s="11">
        <v>57151.839999999997</v>
      </c>
      <c r="F22" s="11">
        <v>0</v>
      </c>
      <c r="G22" s="11">
        <v>199.99</v>
      </c>
      <c r="H22" s="11">
        <v>0</v>
      </c>
      <c r="J22" s="11">
        <f t="shared" si="3"/>
        <v>57351.829999999994</v>
      </c>
      <c r="L22" s="11">
        <v>70800</v>
      </c>
      <c r="M22" s="12">
        <f t="shared" si="4"/>
        <v>0.81005409604519762</v>
      </c>
      <c r="N22"/>
      <c r="P22">
        <v>1605.85124</v>
      </c>
      <c r="Q22">
        <v>401.46280999999999</v>
      </c>
      <c r="R22"/>
      <c r="S22"/>
      <c r="T22"/>
      <c r="U22" t="s">
        <v>468</v>
      </c>
      <c r="V22">
        <v>1605.85124</v>
      </c>
      <c r="W22">
        <v>401.46280999999999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1:417" ht="12.75" customHeight="1" x14ac:dyDescent="0.25">
      <c r="A23" s="8" t="s">
        <v>31</v>
      </c>
      <c r="B23" s="9" t="s">
        <v>36</v>
      </c>
      <c r="C23" s="10" t="s">
        <v>37</v>
      </c>
      <c r="D23" s="11">
        <v>66351.820000000007</v>
      </c>
      <c r="F23" s="11">
        <v>0</v>
      </c>
      <c r="G23" s="11">
        <v>0</v>
      </c>
      <c r="H23" s="11">
        <v>0</v>
      </c>
      <c r="J23" s="11">
        <f t="shared" si="3"/>
        <v>66351.820000000007</v>
      </c>
      <c r="L23" s="11">
        <v>70800</v>
      </c>
      <c r="M23" s="12">
        <f t="shared" si="4"/>
        <v>0.93717259887005655</v>
      </c>
      <c r="N23"/>
      <c r="P23">
        <v>1857.8509600000002</v>
      </c>
      <c r="Q23">
        <v>464.46274000000005</v>
      </c>
      <c r="R23"/>
      <c r="S23"/>
      <c r="T23"/>
      <c r="U23" t="s">
        <v>469</v>
      </c>
      <c r="V23">
        <v>1857.8509600000002</v>
      </c>
      <c r="W23">
        <v>464.46274000000005</v>
      </c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ht="12.75" customHeight="1" x14ac:dyDescent="0.25">
      <c r="A24" s="8" t="s">
        <v>31</v>
      </c>
      <c r="B24" s="9" t="s">
        <v>38</v>
      </c>
      <c r="C24" s="10" t="s">
        <v>39</v>
      </c>
      <c r="D24" s="11">
        <v>407.97</v>
      </c>
      <c r="F24" s="11">
        <v>0</v>
      </c>
      <c r="G24" s="11">
        <v>0</v>
      </c>
      <c r="H24" s="11">
        <v>0</v>
      </c>
      <c r="J24" s="11">
        <f t="shared" si="3"/>
        <v>407.97</v>
      </c>
      <c r="L24" s="11"/>
      <c r="M24" s="12">
        <f t="shared" si="4"/>
        <v>0</v>
      </c>
      <c r="N24"/>
      <c r="P24">
        <v>11.423160000000001</v>
      </c>
      <c r="Q24">
        <v>2.8557900000000003</v>
      </c>
      <c r="R24"/>
      <c r="S24"/>
      <c r="T24"/>
      <c r="U24" t="s">
        <v>470</v>
      </c>
      <c r="V24">
        <v>11.423160000000001</v>
      </c>
      <c r="W24">
        <v>2.8557900000000003</v>
      </c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1:417" ht="12.75" customHeight="1" x14ac:dyDescent="0.25">
      <c r="A25" s="8" t="s">
        <v>31</v>
      </c>
      <c r="B25" s="9" t="s">
        <v>40</v>
      </c>
      <c r="C25" s="10" t="s">
        <v>41</v>
      </c>
      <c r="D25" s="11">
        <v>71611.839999999997</v>
      </c>
      <c r="F25" s="11">
        <v>0</v>
      </c>
      <c r="G25" s="11">
        <v>0</v>
      </c>
      <c r="H25" s="11">
        <v>0</v>
      </c>
      <c r="J25" s="11">
        <f t="shared" si="3"/>
        <v>71611.839999999997</v>
      </c>
      <c r="L25" s="11">
        <v>70800</v>
      </c>
      <c r="M25" s="12">
        <f t="shared" si="4"/>
        <v>1.0114666666666665</v>
      </c>
      <c r="N25"/>
      <c r="P25">
        <v>2005.1315199999999</v>
      </c>
      <c r="Q25">
        <v>501.28287999999998</v>
      </c>
      <c r="R25">
        <v>358.05919999999998</v>
      </c>
      <c r="S25"/>
      <c r="T25"/>
      <c r="U25" t="s">
        <v>471</v>
      </c>
      <c r="V25">
        <v>2005.1315199999999</v>
      </c>
      <c r="W25">
        <v>501.28287999999998</v>
      </c>
      <c r="X25">
        <v>358.05919999999998</v>
      </c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1:417" ht="12.75" customHeight="1" x14ac:dyDescent="0.25">
      <c r="A26" s="8" t="s">
        <v>31</v>
      </c>
      <c r="B26" s="9" t="s">
        <v>42</v>
      </c>
      <c r="C26" s="10" t="s">
        <v>43</v>
      </c>
      <c r="D26" s="11">
        <v>71399.61</v>
      </c>
      <c r="F26" s="11">
        <v>0</v>
      </c>
      <c r="G26" s="11">
        <v>0</v>
      </c>
      <c r="H26" s="11">
        <v>0</v>
      </c>
      <c r="J26" s="11">
        <f t="shared" si="3"/>
        <v>71399.61</v>
      </c>
      <c r="L26" s="11">
        <v>70800</v>
      </c>
      <c r="M26" s="12">
        <f t="shared" si="4"/>
        <v>1.0084690677966102</v>
      </c>
      <c r="N26"/>
      <c r="P26">
        <v>1999.1890800000001</v>
      </c>
      <c r="Q26">
        <v>499.79727000000003</v>
      </c>
      <c r="R26">
        <v>356.99805000000003</v>
      </c>
      <c r="S26"/>
      <c r="T26"/>
      <c r="U26" t="s">
        <v>472</v>
      </c>
      <c r="V26">
        <v>1999.1890800000001</v>
      </c>
      <c r="W26">
        <v>499.79727000000003</v>
      </c>
      <c r="X26">
        <v>356.99805000000003</v>
      </c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1:417" ht="12.75" customHeight="1" x14ac:dyDescent="0.25">
      <c r="A27" s="8" t="s">
        <v>31</v>
      </c>
      <c r="B27" s="9" t="s">
        <v>44</v>
      </c>
      <c r="C27" s="10" t="s">
        <v>45</v>
      </c>
      <c r="D27" s="11">
        <v>71165.84</v>
      </c>
      <c r="F27" s="11">
        <v>0</v>
      </c>
      <c r="G27" s="11">
        <v>0</v>
      </c>
      <c r="H27" s="11">
        <v>0</v>
      </c>
      <c r="J27" s="11">
        <f t="shared" si="3"/>
        <v>71165.84</v>
      </c>
      <c r="L27" s="11">
        <v>70800</v>
      </c>
      <c r="M27" s="12">
        <f t="shared" si="4"/>
        <v>1.0051672316384179</v>
      </c>
      <c r="N27"/>
      <c r="P27">
        <v>1992.6435199999999</v>
      </c>
      <c r="Q27">
        <v>498.16087999999996</v>
      </c>
      <c r="R27">
        <v>355.82920000000001</v>
      </c>
      <c r="S27"/>
      <c r="T27"/>
      <c r="U27" t="s">
        <v>473</v>
      </c>
      <c r="V27">
        <v>1992.6435199999999</v>
      </c>
      <c r="W27">
        <v>498.16087999999996</v>
      </c>
      <c r="X27">
        <v>355.82920000000001</v>
      </c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1:417" ht="12.75" customHeight="1" x14ac:dyDescent="0.25">
      <c r="A28" s="8" t="s">
        <v>31</v>
      </c>
      <c r="B28" s="9" t="s">
        <v>46</v>
      </c>
      <c r="C28" s="10" t="s">
        <v>47</v>
      </c>
      <c r="D28" s="11">
        <v>71746.89</v>
      </c>
      <c r="F28" s="11">
        <v>0</v>
      </c>
      <c r="G28" s="11">
        <v>0</v>
      </c>
      <c r="H28" s="11">
        <v>0</v>
      </c>
      <c r="J28" s="11">
        <f t="shared" si="3"/>
        <v>71746.89</v>
      </c>
      <c r="L28" s="11">
        <v>70800</v>
      </c>
      <c r="M28" s="12">
        <f t="shared" si="4"/>
        <v>1.013374152542373</v>
      </c>
      <c r="N28"/>
      <c r="P28">
        <v>2008.91292</v>
      </c>
      <c r="Q28">
        <v>502.22823</v>
      </c>
      <c r="R28">
        <v>358.73444999999998</v>
      </c>
      <c r="S28"/>
      <c r="T28"/>
      <c r="U28" t="s">
        <v>474</v>
      </c>
      <c r="V28">
        <v>2008.91292</v>
      </c>
      <c r="W28">
        <v>502.22823</v>
      </c>
      <c r="X28">
        <v>358.73444999999998</v>
      </c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25">
      <c r="A29" s="8" t="s">
        <v>31</v>
      </c>
      <c r="B29" s="9"/>
      <c r="C29" s="10"/>
      <c r="D29" s="11">
        <v>0</v>
      </c>
      <c r="F29" s="11">
        <v>0</v>
      </c>
      <c r="G29" s="11">
        <v>0</v>
      </c>
      <c r="H29" s="11">
        <v>0</v>
      </c>
      <c r="J29" s="11">
        <f t="shared" si="3"/>
        <v>0</v>
      </c>
      <c r="L29" s="11"/>
      <c r="M29" s="12">
        <f t="shared" si="4"/>
        <v>0</v>
      </c>
      <c r="N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25">
      <c r="A30" s="8" t="s">
        <v>31</v>
      </c>
      <c r="B30" s="9"/>
      <c r="C30" s="10"/>
      <c r="D30" s="11">
        <v>0</v>
      </c>
      <c r="F30" s="11">
        <v>0</v>
      </c>
      <c r="G30" s="11">
        <v>0</v>
      </c>
      <c r="H30" s="11">
        <v>0</v>
      </c>
      <c r="J30" s="11">
        <f t="shared" si="3"/>
        <v>0</v>
      </c>
      <c r="L30" s="11"/>
      <c r="M30" s="12">
        <f t="shared" si="4"/>
        <v>0</v>
      </c>
      <c r="N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25">
      <c r="A31" s="8" t="s">
        <v>31</v>
      </c>
      <c r="B31" s="9"/>
      <c r="C31" s="10"/>
      <c r="D31" s="11">
        <v>0</v>
      </c>
      <c r="F31" s="11">
        <v>0</v>
      </c>
      <c r="G31" s="11">
        <v>0</v>
      </c>
      <c r="H31" s="11">
        <v>0</v>
      </c>
      <c r="J31" s="11">
        <f t="shared" si="3"/>
        <v>0</v>
      </c>
      <c r="L31" s="11"/>
      <c r="M31" s="12">
        <f t="shared" si="4"/>
        <v>0</v>
      </c>
      <c r="N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25">
      <c r="A32" s="13" t="s">
        <v>30</v>
      </c>
      <c r="B32" s="14"/>
      <c r="C32" s="13"/>
      <c r="D32" s="15">
        <v>481245.80000000005</v>
      </c>
      <c r="E32" s="15">
        <v>0</v>
      </c>
      <c r="F32" s="15">
        <v>0</v>
      </c>
      <c r="G32" s="15">
        <v>199.99</v>
      </c>
      <c r="H32" s="15">
        <v>0</v>
      </c>
      <c r="I32" s="15">
        <v>0</v>
      </c>
      <c r="J32" s="15">
        <f t="shared" ref="J32:L32" si="5">SUM(J21:J31)</f>
        <v>481445.79000000004</v>
      </c>
      <c r="L32" s="15">
        <f t="shared" si="5"/>
        <v>495600</v>
      </c>
      <c r="P32"/>
      <c r="Q32"/>
      <c r="R32"/>
      <c r="V32"/>
      <c r="W32"/>
      <c r="X32"/>
    </row>
    <row r="33" spans="1:24" ht="12.75" customHeight="1" x14ac:dyDescent="0.25">
      <c r="P33"/>
      <c r="Q33"/>
      <c r="R33"/>
      <c r="V33"/>
      <c r="W33"/>
      <c r="X33"/>
    </row>
    <row r="34" spans="1:24" ht="12.75" customHeight="1" x14ac:dyDescent="0.25">
      <c r="P34"/>
      <c r="Q34"/>
      <c r="R34"/>
      <c r="V34"/>
      <c r="W34"/>
      <c r="X34"/>
    </row>
    <row r="35" spans="1:24" ht="12.75" customHeight="1" x14ac:dyDescent="0.25">
      <c r="O35" s="5" t="s">
        <v>12</v>
      </c>
      <c r="P35"/>
      <c r="Q35"/>
      <c r="R35"/>
      <c r="V35"/>
      <c r="W35"/>
      <c r="X35"/>
    </row>
    <row r="36" spans="1:24" ht="12.75" customHeight="1" x14ac:dyDescent="0.25">
      <c r="O36" s="11">
        <v>155000</v>
      </c>
      <c r="P36"/>
      <c r="Q36"/>
      <c r="R36"/>
      <c r="V36"/>
      <c r="W36"/>
      <c r="X36"/>
    </row>
    <row r="37" spans="1:24" ht="12.75" customHeight="1" x14ac:dyDescent="0.25">
      <c r="A37" s="4" t="s">
        <v>0</v>
      </c>
      <c r="B37" s="5" t="s">
        <v>1</v>
      </c>
      <c r="C37" s="4" t="s">
        <v>2</v>
      </c>
      <c r="D37" s="5" t="s">
        <v>3</v>
      </c>
      <c r="E37" s="5" t="s">
        <v>4</v>
      </c>
      <c r="F37" s="5" t="s">
        <v>5</v>
      </c>
      <c r="G37" s="5" t="s">
        <v>6</v>
      </c>
      <c r="H37" s="5" t="s">
        <v>7</v>
      </c>
      <c r="I37" s="5" t="s">
        <v>8</v>
      </c>
      <c r="J37" s="5" t="s">
        <v>9</v>
      </c>
      <c r="L37" s="7" t="s">
        <v>10</v>
      </c>
      <c r="M37" s="7" t="s">
        <v>11</v>
      </c>
      <c r="P37"/>
      <c r="Q37"/>
      <c r="R37"/>
      <c r="U37" s="2" t="s">
        <v>474</v>
      </c>
      <c r="V37"/>
      <c r="W37"/>
      <c r="X37"/>
    </row>
    <row r="38" spans="1:24" ht="12.75" customHeight="1" x14ac:dyDescent="0.25">
      <c r="A38" s="8" t="s">
        <v>48</v>
      </c>
      <c r="B38" s="9" t="s">
        <v>49</v>
      </c>
      <c r="C38" s="10" t="s">
        <v>50</v>
      </c>
      <c r="D38" s="11">
        <v>1033.8699999999999</v>
      </c>
      <c r="F38" s="11">
        <v>0</v>
      </c>
      <c r="G38" s="11">
        <v>0</v>
      </c>
      <c r="H38" s="11">
        <v>0</v>
      </c>
      <c r="J38" s="11">
        <f t="shared" ref="J38:J48" si="6">SUM(D38:I38)</f>
        <v>1033.8699999999999</v>
      </c>
      <c r="L38" s="11"/>
      <c r="M38" s="12">
        <f t="shared" ref="M38:M48" si="7">IFERROR(J38/L38,)</f>
        <v>0</v>
      </c>
      <c r="P38">
        <v>33.083839999999995</v>
      </c>
      <c r="Q38">
        <v>8.2709599999999988</v>
      </c>
      <c r="R38"/>
      <c r="U38" s="2" t="s">
        <v>475</v>
      </c>
      <c r="V38">
        <v>33.083839999999995</v>
      </c>
      <c r="W38">
        <v>8.2709599999999988</v>
      </c>
      <c r="X38"/>
    </row>
    <row r="39" spans="1:24" ht="12.75" customHeight="1" x14ac:dyDescent="0.25">
      <c r="A39" s="8" t="s">
        <v>48</v>
      </c>
      <c r="B39" s="9" t="s">
        <v>51</v>
      </c>
      <c r="C39" s="10" t="s">
        <v>52</v>
      </c>
      <c r="D39" s="11">
        <v>31923.96</v>
      </c>
      <c r="F39" s="11">
        <v>0</v>
      </c>
      <c r="G39" s="11">
        <v>999.99</v>
      </c>
      <c r="H39" s="11">
        <v>0</v>
      </c>
      <c r="J39" s="11">
        <f t="shared" si="6"/>
        <v>32923.949999999997</v>
      </c>
      <c r="L39" s="11">
        <v>45600</v>
      </c>
      <c r="M39" s="12">
        <f t="shared" si="7"/>
        <v>0.72201644736842097</v>
      </c>
      <c r="P39">
        <v>1053.5663999999999</v>
      </c>
      <c r="Q39">
        <v>263.39159999999998</v>
      </c>
      <c r="R39"/>
      <c r="U39" s="2" t="s">
        <v>476</v>
      </c>
      <c r="V39">
        <v>1053.5663999999999</v>
      </c>
      <c r="W39">
        <v>263.39159999999998</v>
      </c>
      <c r="X39"/>
    </row>
    <row r="40" spans="1:24" ht="12.75" customHeight="1" x14ac:dyDescent="0.25">
      <c r="A40" s="8" t="s">
        <v>48</v>
      </c>
      <c r="B40" s="9" t="s">
        <v>53</v>
      </c>
      <c r="C40" s="10" t="s">
        <v>54</v>
      </c>
      <c r="D40" s="11">
        <v>54707.97</v>
      </c>
      <c r="F40" s="11">
        <v>0</v>
      </c>
      <c r="G40" s="11">
        <v>499.98</v>
      </c>
      <c r="H40" s="11">
        <v>399.99</v>
      </c>
      <c r="J40" s="11">
        <f t="shared" si="6"/>
        <v>55607.94</v>
      </c>
      <c r="L40" s="11">
        <v>45600</v>
      </c>
      <c r="M40" s="12">
        <f t="shared" si="7"/>
        <v>1.2194723684210527</v>
      </c>
      <c r="P40">
        <v>2057.4937800000002</v>
      </c>
      <c r="Q40">
        <v>514.37344500000006</v>
      </c>
      <c r="R40">
        <v>278.03970000000004</v>
      </c>
      <c r="U40" s="2" t="s">
        <v>477</v>
      </c>
      <c r="V40">
        <v>2057.4937800000002</v>
      </c>
      <c r="W40">
        <v>514.37344500000006</v>
      </c>
      <c r="X40">
        <v>278.03970000000004</v>
      </c>
    </row>
    <row r="41" spans="1:24" ht="12.75" customHeight="1" x14ac:dyDescent="0.25">
      <c r="A41" s="8" t="s">
        <v>48</v>
      </c>
      <c r="B41" s="9" t="s">
        <v>55</v>
      </c>
      <c r="C41" s="10" t="s">
        <v>56</v>
      </c>
      <c r="D41" s="11">
        <v>32006.04</v>
      </c>
      <c r="F41" s="11">
        <v>0</v>
      </c>
      <c r="G41" s="11">
        <v>0</v>
      </c>
      <c r="H41" s="11">
        <v>0</v>
      </c>
      <c r="J41" s="11">
        <f t="shared" si="6"/>
        <v>32006.04</v>
      </c>
      <c r="L41" s="11">
        <v>45600</v>
      </c>
      <c r="M41" s="12">
        <f t="shared" si="7"/>
        <v>0.7018868421052632</v>
      </c>
      <c r="P41">
        <v>1024.19328</v>
      </c>
      <c r="Q41">
        <v>256.04831999999999</v>
      </c>
      <c r="R41"/>
      <c r="U41" s="2" t="s">
        <v>478</v>
      </c>
      <c r="V41">
        <v>1024.19328</v>
      </c>
      <c r="W41">
        <v>256.04831999999999</v>
      </c>
      <c r="X41"/>
    </row>
    <row r="42" spans="1:24" ht="12.75" customHeight="1" x14ac:dyDescent="0.25">
      <c r="A42" s="8" t="s">
        <v>48</v>
      </c>
      <c r="B42" s="9" t="s">
        <v>57</v>
      </c>
      <c r="C42" s="10" t="s">
        <v>58</v>
      </c>
      <c r="D42" s="11">
        <v>13381.18</v>
      </c>
      <c r="F42" s="11">
        <v>0</v>
      </c>
      <c r="G42" s="11">
        <v>0</v>
      </c>
      <c r="H42" s="11">
        <v>0</v>
      </c>
      <c r="J42" s="11">
        <f t="shared" si="6"/>
        <v>13381.18</v>
      </c>
      <c r="L42" s="11">
        <v>34200</v>
      </c>
      <c r="M42" s="12">
        <f t="shared" si="7"/>
        <v>0.3912625730994152</v>
      </c>
      <c r="P42">
        <v>428.19776000000002</v>
      </c>
      <c r="Q42">
        <v>107.04944</v>
      </c>
      <c r="R42"/>
      <c r="U42" s="2" t="s">
        <v>479</v>
      </c>
      <c r="V42">
        <v>428.19776000000002</v>
      </c>
      <c r="W42">
        <v>107.04944</v>
      </c>
      <c r="X42"/>
    </row>
    <row r="43" spans="1:24" ht="12.75" customHeight="1" x14ac:dyDescent="0.25">
      <c r="A43" s="8" t="s">
        <v>48</v>
      </c>
      <c r="B43" s="9"/>
      <c r="C43" s="10"/>
      <c r="D43" s="11">
        <v>0</v>
      </c>
      <c r="F43" s="11">
        <v>0</v>
      </c>
      <c r="G43" s="11">
        <v>0</v>
      </c>
      <c r="H43" s="11">
        <v>0</v>
      </c>
      <c r="J43" s="11">
        <f t="shared" si="6"/>
        <v>0</v>
      </c>
      <c r="L43" s="11"/>
      <c r="M43" s="12">
        <f t="shared" si="7"/>
        <v>0</v>
      </c>
      <c r="P43"/>
      <c r="Q43"/>
      <c r="R43"/>
      <c r="V43"/>
      <c r="W43"/>
      <c r="X43"/>
    </row>
    <row r="44" spans="1:24" ht="12.75" customHeight="1" x14ac:dyDescent="0.25">
      <c r="A44" s="8" t="s">
        <v>48</v>
      </c>
      <c r="B44" s="9"/>
      <c r="C44" s="10"/>
      <c r="D44" s="11">
        <v>0</v>
      </c>
      <c r="F44" s="11">
        <v>0</v>
      </c>
      <c r="G44" s="11">
        <v>0</v>
      </c>
      <c r="H44" s="11">
        <v>0</v>
      </c>
      <c r="J44" s="11">
        <f t="shared" si="6"/>
        <v>0</v>
      </c>
      <c r="L44" s="11"/>
      <c r="M44" s="12">
        <f t="shared" si="7"/>
        <v>0</v>
      </c>
      <c r="P44"/>
      <c r="Q44"/>
      <c r="R44"/>
      <c r="V44"/>
      <c r="W44"/>
      <c r="X44"/>
    </row>
    <row r="45" spans="1:24" ht="12.75" customHeight="1" x14ac:dyDescent="0.25">
      <c r="A45" s="8" t="s">
        <v>48</v>
      </c>
      <c r="B45" s="9"/>
      <c r="C45" s="10"/>
      <c r="D45" s="11">
        <v>0</v>
      </c>
      <c r="F45" s="11">
        <v>0</v>
      </c>
      <c r="G45" s="11">
        <v>0</v>
      </c>
      <c r="H45" s="11">
        <v>0</v>
      </c>
      <c r="J45" s="11">
        <f t="shared" si="6"/>
        <v>0</v>
      </c>
      <c r="L45" s="11"/>
      <c r="M45" s="12">
        <f t="shared" si="7"/>
        <v>0</v>
      </c>
      <c r="P45"/>
      <c r="Q45"/>
      <c r="R45"/>
      <c r="V45"/>
      <c r="W45"/>
      <c r="X45"/>
    </row>
    <row r="46" spans="1:24" ht="12.75" customHeight="1" x14ac:dyDescent="0.25">
      <c r="A46" s="8" t="s">
        <v>48</v>
      </c>
      <c r="B46" s="9"/>
      <c r="C46" s="10"/>
      <c r="D46" s="11">
        <v>0</v>
      </c>
      <c r="F46" s="11">
        <v>0</v>
      </c>
      <c r="G46" s="11">
        <v>0</v>
      </c>
      <c r="H46" s="11">
        <v>0</v>
      </c>
      <c r="J46" s="11">
        <f t="shared" si="6"/>
        <v>0</v>
      </c>
      <c r="L46" s="11"/>
      <c r="M46" s="12">
        <f t="shared" si="7"/>
        <v>0</v>
      </c>
      <c r="P46"/>
      <c r="Q46"/>
      <c r="R46"/>
      <c r="V46"/>
      <c r="W46"/>
      <c r="X46"/>
    </row>
    <row r="47" spans="1:24" ht="12.75" customHeight="1" x14ac:dyDescent="0.25">
      <c r="A47" s="8" t="s">
        <v>48</v>
      </c>
      <c r="B47" s="9"/>
      <c r="C47" s="10"/>
      <c r="D47" s="11">
        <v>0</v>
      </c>
      <c r="F47" s="11">
        <v>0</v>
      </c>
      <c r="G47" s="11">
        <v>0</v>
      </c>
      <c r="H47" s="11">
        <v>0</v>
      </c>
      <c r="J47" s="11">
        <f t="shared" si="6"/>
        <v>0</v>
      </c>
      <c r="L47" s="11"/>
      <c r="M47" s="12">
        <f t="shared" si="7"/>
        <v>0</v>
      </c>
      <c r="P47"/>
      <c r="Q47"/>
      <c r="R47"/>
      <c r="V47"/>
      <c r="W47"/>
      <c r="X47"/>
    </row>
    <row r="48" spans="1:24" ht="12.75" customHeight="1" x14ac:dyDescent="0.25">
      <c r="A48" s="8" t="s">
        <v>48</v>
      </c>
      <c r="B48" s="9"/>
      <c r="C48" s="10"/>
      <c r="D48" s="11">
        <v>0</v>
      </c>
      <c r="F48" s="11">
        <v>0</v>
      </c>
      <c r="G48" s="11">
        <v>0</v>
      </c>
      <c r="H48" s="11">
        <v>0</v>
      </c>
      <c r="J48" s="11">
        <f t="shared" si="6"/>
        <v>0</v>
      </c>
      <c r="L48" s="11"/>
      <c r="M48" s="12">
        <f t="shared" si="7"/>
        <v>0</v>
      </c>
      <c r="P48"/>
      <c r="Q48"/>
      <c r="R48"/>
      <c r="V48"/>
      <c r="W48"/>
      <c r="X48"/>
    </row>
    <row r="49" spans="1:24" ht="12.75" customHeight="1" x14ac:dyDescent="0.25">
      <c r="A49" s="13" t="s">
        <v>30</v>
      </c>
      <c r="B49" s="14"/>
      <c r="C49" s="13"/>
      <c r="D49" s="15">
        <v>133053.01999999999</v>
      </c>
      <c r="E49" s="15">
        <v>0</v>
      </c>
      <c r="F49" s="15">
        <v>0</v>
      </c>
      <c r="G49" s="15">
        <v>1499.97</v>
      </c>
      <c r="H49" s="15">
        <v>399.99</v>
      </c>
      <c r="I49" s="15">
        <v>0</v>
      </c>
      <c r="J49" s="15">
        <f t="shared" ref="J49:L49" si="8">SUM(J38:J48)</f>
        <v>134952.98000000001</v>
      </c>
      <c r="L49" s="15">
        <f t="shared" si="8"/>
        <v>171000</v>
      </c>
      <c r="P49"/>
      <c r="Q49"/>
      <c r="R49"/>
      <c r="V49"/>
      <c r="W49"/>
      <c r="X49"/>
    </row>
    <row r="50" spans="1:24" ht="12.75" customHeight="1" x14ac:dyDescent="0.25">
      <c r="P50"/>
      <c r="Q50"/>
      <c r="R50"/>
      <c r="V50"/>
      <c r="W50"/>
      <c r="X50"/>
    </row>
    <row r="51" spans="1:24" ht="12.75" customHeight="1" x14ac:dyDescent="0.25">
      <c r="P51"/>
      <c r="Q51"/>
      <c r="R51"/>
      <c r="V51"/>
      <c r="W51"/>
      <c r="X51"/>
    </row>
    <row r="52" spans="1:24" ht="12.75" customHeight="1" x14ac:dyDescent="0.25">
      <c r="O52" s="5" t="s">
        <v>12</v>
      </c>
      <c r="P52"/>
      <c r="Q52"/>
      <c r="R52"/>
      <c r="V52"/>
      <c r="W52"/>
      <c r="X52"/>
    </row>
    <row r="53" spans="1:24" ht="12.75" customHeight="1" x14ac:dyDescent="0.25">
      <c r="O53" s="11">
        <v>250000</v>
      </c>
      <c r="P53"/>
      <c r="Q53"/>
      <c r="R53"/>
      <c r="V53"/>
      <c r="W53"/>
      <c r="X53"/>
    </row>
    <row r="54" spans="1:24" ht="12.75" customHeight="1" x14ac:dyDescent="0.25">
      <c r="A54" s="4" t="s">
        <v>0</v>
      </c>
      <c r="B54" s="5" t="s">
        <v>1</v>
      </c>
      <c r="C54" s="4" t="s">
        <v>2</v>
      </c>
      <c r="D54" s="5" t="s">
        <v>3</v>
      </c>
      <c r="E54" s="5" t="s">
        <v>4</v>
      </c>
      <c r="F54" s="5" t="s">
        <v>5</v>
      </c>
      <c r="G54" s="5" t="s">
        <v>6</v>
      </c>
      <c r="H54" s="5" t="s">
        <v>7</v>
      </c>
      <c r="I54" s="5" t="s">
        <v>8</v>
      </c>
      <c r="J54" s="5" t="s">
        <v>9</v>
      </c>
      <c r="L54" s="7" t="s">
        <v>10</v>
      </c>
      <c r="M54" s="7" t="s">
        <v>11</v>
      </c>
      <c r="P54"/>
      <c r="Q54"/>
      <c r="R54"/>
      <c r="U54" s="2" t="s">
        <v>479</v>
      </c>
      <c r="V54"/>
      <c r="W54"/>
      <c r="X54"/>
    </row>
    <row r="55" spans="1:24" ht="12.75" customHeight="1" x14ac:dyDescent="0.25">
      <c r="A55" s="8" t="s">
        <v>42</v>
      </c>
      <c r="B55" s="9" t="s">
        <v>59</v>
      </c>
      <c r="C55" s="10" t="s">
        <v>60</v>
      </c>
      <c r="D55" s="11">
        <v>65751.53</v>
      </c>
      <c r="F55" s="11">
        <v>0</v>
      </c>
      <c r="G55" s="11">
        <v>549.99</v>
      </c>
      <c r="H55" s="11">
        <v>0</v>
      </c>
      <c r="J55" s="11">
        <f t="shared" ref="J55:J65" si="9">SUM(D55:I55)</f>
        <v>66301.52</v>
      </c>
      <c r="L55" s="11">
        <v>68750</v>
      </c>
      <c r="M55" s="12">
        <f t="shared" ref="M55:M65" si="10">IFERROR(J55/L55,)</f>
        <v>0.96438574545454547</v>
      </c>
      <c r="P55">
        <v>2121.6486400000003</v>
      </c>
      <c r="Q55">
        <v>530.41216000000009</v>
      </c>
      <c r="R55"/>
      <c r="U55" s="2" t="s">
        <v>480</v>
      </c>
      <c r="V55">
        <v>2121.6486400000003</v>
      </c>
      <c r="W55">
        <v>530.41216000000009</v>
      </c>
      <c r="X55"/>
    </row>
    <row r="56" spans="1:24" ht="12.75" customHeight="1" x14ac:dyDescent="0.25">
      <c r="A56" s="8" t="s">
        <v>42</v>
      </c>
      <c r="B56" s="9" t="s">
        <v>61</v>
      </c>
      <c r="C56" s="10" t="s">
        <v>62</v>
      </c>
      <c r="D56" s="11">
        <v>326.98</v>
      </c>
      <c r="F56" s="11">
        <v>0</v>
      </c>
      <c r="G56" s="11">
        <v>0</v>
      </c>
      <c r="H56" s="11">
        <v>0</v>
      </c>
      <c r="J56" s="11">
        <f t="shared" si="9"/>
        <v>326.98</v>
      </c>
      <c r="L56" s="11"/>
      <c r="M56" s="12">
        <f t="shared" si="10"/>
        <v>0</v>
      </c>
      <c r="P56">
        <v>10.463360000000002</v>
      </c>
      <c r="Q56">
        <v>2.6158400000000004</v>
      </c>
      <c r="R56"/>
      <c r="U56" s="2" t="s">
        <v>481</v>
      </c>
      <c r="V56">
        <v>10.463360000000002</v>
      </c>
      <c r="W56">
        <v>2.6158400000000004</v>
      </c>
      <c r="X56"/>
    </row>
    <row r="57" spans="1:24" ht="12.75" customHeight="1" x14ac:dyDescent="0.25">
      <c r="A57" s="8" t="s">
        <v>42</v>
      </c>
      <c r="B57" s="9" t="s">
        <v>63</v>
      </c>
      <c r="C57" s="10" t="s">
        <v>64</v>
      </c>
      <c r="D57" s="11">
        <v>50344.27</v>
      </c>
      <c r="F57" s="11">
        <v>0</v>
      </c>
      <c r="G57" s="11">
        <v>0</v>
      </c>
      <c r="H57" s="11">
        <v>0</v>
      </c>
      <c r="J57" s="11">
        <f t="shared" si="9"/>
        <v>50344.27</v>
      </c>
      <c r="L57" s="11">
        <v>68750</v>
      </c>
      <c r="M57" s="12">
        <f t="shared" si="10"/>
        <v>0.73228029090909086</v>
      </c>
      <c r="P57">
        <v>1611.0166399999998</v>
      </c>
      <c r="Q57">
        <v>402.75415999999996</v>
      </c>
      <c r="R57"/>
      <c r="U57" s="2" t="s">
        <v>482</v>
      </c>
      <c r="V57">
        <v>1611.0166399999998</v>
      </c>
      <c r="W57">
        <v>402.75415999999996</v>
      </c>
      <c r="X57"/>
    </row>
    <row r="58" spans="1:24" ht="12.75" customHeight="1" x14ac:dyDescent="0.25">
      <c r="A58" s="8" t="s">
        <v>42</v>
      </c>
      <c r="B58" s="16" t="s">
        <v>65</v>
      </c>
      <c r="C58" s="10" t="s">
        <v>66</v>
      </c>
      <c r="D58" s="11">
        <v>53224.79</v>
      </c>
      <c r="F58" s="11">
        <v>0</v>
      </c>
      <c r="G58" s="11">
        <v>0</v>
      </c>
      <c r="H58" s="11">
        <v>0</v>
      </c>
      <c r="J58" s="11">
        <f t="shared" si="9"/>
        <v>53224.79</v>
      </c>
      <c r="L58" s="11">
        <v>68750</v>
      </c>
      <c r="M58" s="12">
        <f t="shared" si="10"/>
        <v>0.77417876363636362</v>
      </c>
      <c r="P58">
        <v>1703.19328</v>
      </c>
      <c r="Q58">
        <v>425.79831999999999</v>
      </c>
      <c r="R58"/>
      <c r="U58" s="2" t="s">
        <v>483</v>
      </c>
      <c r="V58">
        <v>1703.19328</v>
      </c>
      <c r="W58">
        <v>425.79831999999999</v>
      </c>
      <c r="X58"/>
    </row>
    <row r="59" spans="1:24" ht="12.75" customHeight="1" x14ac:dyDescent="0.25">
      <c r="A59" s="8" t="s">
        <v>42</v>
      </c>
      <c r="B59" s="9" t="s">
        <v>42</v>
      </c>
      <c r="C59" s="10" t="s">
        <v>67</v>
      </c>
      <c r="D59" s="11">
        <v>78591.429999999993</v>
      </c>
      <c r="F59" s="11">
        <v>0</v>
      </c>
      <c r="G59" s="11">
        <v>649.99</v>
      </c>
      <c r="H59" s="11">
        <v>899.97</v>
      </c>
      <c r="J59" s="11">
        <f t="shared" si="9"/>
        <v>80141.39</v>
      </c>
      <c r="L59" s="11">
        <v>68750</v>
      </c>
      <c r="M59" s="12">
        <f t="shared" si="10"/>
        <v>1.1656929454545455</v>
      </c>
      <c r="P59">
        <v>2564.52448</v>
      </c>
      <c r="Q59">
        <v>641.13112000000001</v>
      </c>
      <c r="R59">
        <v>400.70695000000001</v>
      </c>
      <c r="U59" s="2" t="s">
        <v>484</v>
      </c>
      <c r="V59">
        <v>2564.52448</v>
      </c>
      <c r="W59">
        <v>641.13112000000001</v>
      </c>
      <c r="X59">
        <v>400.70695000000001</v>
      </c>
    </row>
    <row r="60" spans="1:24" ht="12.75" customHeight="1" x14ac:dyDescent="0.25">
      <c r="A60" s="8" t="s">
        <v>42</v>
      </c>
      <c r="B60" s="9"/>
      <c r="C60" s="10"/>
      <c r="D60" s="11">
        <v>0</v>
      </c>
      <c r="F60" s="11">
        <v>0</v>
      </c>
      <c r="G60" s="11">
        <v>0</v>
      </c>
      <c r="H60" s="11">
        <v>0</v>
      </c>
      <c r="J60" s="11">
        <f t="shared" si="9"/>
        <v>0</v>
      </c>
      <c r="L60" s="11"/>
      <c r="M60" s="12">
        <f t="shared" si="10"/>
        <v>0</v>
      </c>
      <c r="P60"/>
      <c r="Q60"/>
      <c r="R60"/>
      <c r="V60"/>
      <c r="W60"/>
      <c r="X60"/>
    </row>
    <row r="61" spans="1:24" ht="12.75" customHeight="1" x14ac:dyDescent="0.25">
      <c r="A61" s="8" t="s">
        <v>42</v>
      </c>
      <c r="B61" s="9"/>
      <c r="C61" s="10"/>
      <c r="D61" s="11">
        <v>0</v>
      </c>
      <c r="F61" s="11">
        <v>0</v>
      </c>
      <c r="G61" s="11">
        <v>0</v>
      </c>
      <c r="H61" s="11">
        <v>0</v>
      </c>
      <c r="J61" s="11">
        <f t="shared" si="9"/>
        <v>0</v>
      </c>
      <c r="L61" s="11"/>
      <c r="M61" s="12">
        <f t="shared" si="10"/>
        <v>0</v>
      </c>
      <c r="P61"/>
      <c r="Q61"/>
      <c r="R61"/>
      <c r="V61"/>
      <c r="W61"/>
      <c r="X61"/>
    </row>
    <row r="62" spans="1:24" ht="12.75" customHeight="1" x14ac:dyDescent="0.25">
      <c r="A62" s="8" t="s">
        <v>42</v>
      </c>
      <c r="B62" s="9"/>
      <c r="C62" s="10"/>
      <c r="D62" s="11">
        <v>0</v>
      </c>
      <c r="F62" s="11">
        <v>0</v>
      </c>
      <c r="G62" s="11">
        <v>0</v>
      </c>
      <c r="H62" s="11">
        <v>0</v>
      </c>
      <c r="J62" s="11">
        <f t="shared" si="9"/>
        <v>0</v>
      </c>
      <c r="L62" s="11"/>
      <c r="M62" s="12">
        <f t="shared" si="10"/>
        <v>0</v>
      </c>
      <c r="P62"/>
      <c r="Q62"/>
      <c r="R62"/>
      <c r="V62"/>
      <c r="W62"/>
      <c r="X62"/>
    </row>
    <row r="63" spans="1:24" ht="12.75" customHeight="1" x14ac:dyDescent="0.25">
      <c r="A63" s="8" t="s">
        <v>42</v>
      </c>
      <c r="B63" s="9"/>
      <c r="C63" s="10"/>
      <c r="D63" s="11">
        <v>0</v>
      </c>
      <c r="F63" s="11">
        <v>0</v>
      </c>
      <c r="G63" s="11">
        <v>0</v>
      </c>
      <c r="H63" s="11">
        <v>0</v>
      </c>
      <c r="J63" s="11">
        <f t="shared" si="9"/>
        <v>0</v>
      </c>
      <c r="L63" s="11"/>
      <c r="M63" s="12">
        <f t="shared" si="10"/>
        <v>0</v>
      </c>
      <c r="P63"/>
      <c r="Q63"/>
      <c r="R63"/>
      <c r="V63"/>
      <c r="W63"/>
      <c r="X63"/>
    </row>
    <row r="64" spans="1:24" ht="12.75" customHeight="1" x14ac:dyDescent="0.25">
      <c r="A64" s="8" t="s">
        <v>42</v>
      </c>
      <c r="B64" s="9"/>
      <c r="C64" s="10"/>
      <c r="D64" s="11">
        <v>0</v>
      </c>
      <c r="F64" s="11">
        <v>0</v>
      </c>
      <c r="G64" s="11">
        <v>0</v>
      </c>
      <c r="H64" s="11">
        <v>0</v>
      </c>
      <c r="J64" s="11">
        <f t="shared" si="9"/>
        <v>0</v>
      </c>
      <c r="L64" s="11"/>
      <c r="M64" s="12">
        <f t="shared" si="10"/>
        <v>0</v>
      </c>
      <c r="P64"/>
      <c r="Q64"/>
      <c r="R64"/>
      <c r="V64"/>
      <c r="W64"/>
      <c r="X64"/>
    </row>
    <row r="65" spans="1:24" ht="12.75" customHeight="1" x14ac:dyDescent="0.25">
      <c r="A65" s="8" t="s">
        <v>42</v>
      </c>
      <c r="B65" s="9"/>
      <c r="C65" s="10"/>
      <c r="D65" s="11">
        <v>0</v>
      </c>
      <c r="F65" s="11">
        <v>0</v>
      </c>
      <c r="G65" s="11">
        <v>0</v>
      </c>
      <c r="H65" s="11">
        <v>0</v>
      </c>
      <c r="J65" s="11">
        <f t="shared" si="9"/>
        <v>0</v>
      </c>
      <c r="L65" s="11"/>
      <c r="M65" s="12">
        <f t="shared" si="10"/>
        <v>0</v>
      </c>
      <c r="P65"/>
      <c r="Q65"/>
      <c r="R65"/>
      <c r="V65"/>
      <c r="W65"/>
      <c r="X65"/>
    </row>
    <row r="66" spans="1:24" ht="12.75" customHeight="1" x14ac:dyDescent="0.25">
      <c r="A66" s="13" t="s">
        <v>30</v>
      </c>
      <c r="B66" s="14"/>
      <c r="C66" s="13"/>
      <c r="D66" s="15">
        <v>248239</v>
      </c>
      <c r="E66" s="15">
        <v>0</v>
      </c>
      <c r="F66" s="15">
        <v>0</v>
      </c>
      <c r="G66" s="15">
        <v>1199.98</v>
      </c>
      <c r="H66" s="15">
        <v>899.97</v>
      </c>
      <c r="I66" s="15">
        <v>0</v>
      </c>
      <c r="J66" s="15">
        <f t="shared" ref="J66:L66" si="11">SUM(J55:J65)</f>
        <v>250338.95</v>
      </c>
      <c r="L66" s="15">
        <f t="shared" si="11"/>
        <v>275000</v>
      </c>
      <c r="P66"/>
      <c r="Q66"/>
      <c r="R66"/>
      <c r="V66"/>
      <c r="W66"/>
      <c r="X66"/>
    </row>
    <row r="67" spans="1:24" ht="12.75" customHeight="1" x14ac:dyDescent="0.25">
      <c r="P67"/>
      <c r="Q67"/>
      <c r="R67"/>
      <c r="V67"/>
      <c r="W67"/>
      <c r="X67"/>
    </row>
    <row r="68" spans="1:24" ht="12.75" customHeight="1" x14ac:dyDescent="0.25">
      <c r="O68" s="5" t="s">
        <v>12</v>
      </c>
      <c r="P68"/>
      <c r="Q68"/>
      <c r="R68"/>
      <c r="V68"/>
      <c r="W68"/>
      <c r="X68"/>
    </row>
    <row r="69" spans="1:24" ht="12.75" customHeight="1" x14ac:dyDescent="0.25">
      <c r="O69" s="11">
        <v>295000</v>
      </c>
      <c r="P69"/>
      <c r="Q69"/>
      <c r="R69"/>
      <c r="V69"/>
      <c r="W69"/>
      <c r="X69"/>
    </row>
    <row r="70" spans="1:24" ht="12.75" customHeight="1" x14ac:dyDescent="0.25">
      <c r="A70" s="4" t="s">
        <v>0</v>
      </c>
      <c r="B70" s="5" t="s">
        <v>1</v>
      </c>
      <c r="C70" s="4" t="s">
        <v>2</v>
      </c>
      <c r="D70" s="5" t="s">
        <v>3</v>
      </c>
      <c r="E70" s="5" t="s">
        <v>4</v>
      </c>
      <c r="F70" s="5" t="s">
        <v>5</v>
      </c>
      <c r="G70" s="5" t="s">
        <v>6</v>
      </c>
      <c r="H70" s="5" t="s">
        <v>7</v>
      </c>
      <c r="I70" s="5" t="s">
        <v>8</v>
      </c>
      <c r="J70" s="5" t="s">
        <v>9</v>
      </c>
      <c r="L70" s="7" t="s">
        <v>10</v>
      </c>
      <c r="M70" s="7" t="s">
        <v>11</v>
      </c>
      <c r="P70"/>
      <c r="Q70"/>
      <c r="R70"/>
      <c r="U70" s="2" t="s">
        <v>484</v>
      </c>
      <c r="V70"/>
      <c r="W70"/>
      <c r="X70"/>
    </row>
    <row r="71" spans="1:24" ht="12.75" customHeight="1" x14ac:dyDescent="0.25">
      <c r="A71" s="8" t="s">
        <v>68</v>
      </c>
      <c r="B71" s="9" t="s">
        <v>69</v>
      </c>
      <c r="C71" s="10" t="s">
        <v>70</v>
      </c>
      <c r="D71" s="11">
        <v>63276.85</v>
      </c>
      <c r="F71" s="11">
        <v>0</v>
      </c>
      <c r="G71" s="11">
        <v>2479.9700000000003</v>
      </c>
      <c r="H71" s="11">
        <v>0</v>
      </c>
      <c r="J71" s="11">
        <f t="shared" ref="J71:J81" si="12">SUM(D71:I71)</f>
        <v>65756.819999999992</v>
      </c>
      <c r="L71" s="11">
        <v>64900</v>
      </c>
      <c r="M71" s="12">
        <f t="shared" ref="M71:M81" si="13">IFERROR(J71/L71,)</f>
        <v>1.0132021571648688</v>
      </c>
      <c r="P71">
        <v>2104.2182399999997</v>
      </c>
      <c r="Q71">
        <v>526.05455999999992</v>
      </c>
      <c r="R71">
        <v>328.78409999999997</v>
      </c>
      <c r="U71" s="2" t="s">
        <v>485</v>
      </c>
      <c r="V71">
        <v>2104.2182399999997</v>
      </c>
      <c r="W71">
        <v>526.05455999999992</v>
      </c>
      <c r="X71">
        <v>328.78409999999997</v>
      </c>
    </row>
    <row r="72" spans="1:24" ht="12.75" customHeight="1" x14ac:dyDescent="0.25">
      <c r="A72" s="8" t="s">
        <v>68</v>
      </c>
      <c r="B72" s="9" t="s">
        <v>71</v>
      </c>
      <c r="C72" s="10" t="s">
        <v>72</v>
      </c>
      <c r="D72" s="11">
        <v>65459.61</v>
      </c>
      <c r="F72" s="11">
        <v>0</v>
      </c>
      <c r="G72" s="11">
        <v>0</v>
      </c>
      <c r="H72" s="11">
        <v>0</v>
      </c>
      <c r="J72" s="11">
        <f t="shared" si="12"/>
        <v>65459.61</v>
      </c>
      <c r="L72" s="11">
        <v>64900</v>
      </c>
      <c r="M72" s="12">
        <f t="shared" si="13"/>
        <v>1.0086226502311249</v>
      </c>
      <c r="P72">
        <v>2094.7075199999999</v>
      </c>
      <c r="Q72">
        <v>523.67687999999998</v>
      </c>
      <c r="R72">
        <v>327.29804999999999</v>
      </c>
      <c r="U72" s="2" t="s">
        <v>486</v>
      </c>
      <c r="V72">
        <v>2094.7075199999999</v>
      </c>
      <c r="W72">
        <v>523.67687999999998</v>
      </c>
      <c r="X72">
        <v>327.29804999999999</v>
      </c>
    </row>
    <row r="73" spans="1:24" ht="12.75" customHeight="1" x14ac:dyDescent="0.25">
      <c r="A73" s="8" t="s">
        <v>68</v>
      </c>
      <c r="B73" s="9" t="s">
        <v>73</v>
      </c>
      <c r="C73" s="10" t="s">
        <v>74</v>
      </c>
      <c r="D73" s="11">
        <v>63400.71</v>
      </c>
      <c r="F73" s="11">
        <v>0</v>
      </c>
      <c r="G73" s="11">
        <v>999.99</v>
      </c>
      <c r="H73" s="11">
        <v>3139.9300000000003</v>
      </c>
      <c r="J73" s="11">
        <f t="shared" si="12"/>
        <v>67540.63</v>
      </c>
      <c r="L73" s="11">
        <v>64900</v>
      </c>
      <c r="M73" s="12">
        <f t="shared" si="13"/>
        <v>1.0406876733436057</v>
      </c>
      <c r="P73">
        <v>2161.3001600000002</v>
      </c>
      <c r="Q73">
        <v>540.32504000000006</v>
      </c>
      <c r="R73">
        <v>337.70315000000005</v>
      </c>
      <c r="U73" s="2" t="s">
        <v>487</v>
      </c>
      <c r="V73">
        <v>2161.3001600000002</v>
      </c>
      <c r="W73">
        <v>540.32504000000006</v>
      </c>
      <c r="X73">
        <v>337.70315000000005</v>
      </c>
    </row>
    <row r="74" spans="1:24" ht="12.75" customHeight="1" x14ac:dyDescent="0.25">
      <c r="A74" s="8" t="s">
        <v>68</v>
      </c>
      <c r="B74" s="9" t="s">
        <v>75</v>
      </c>
      <c r="C74" s="10" t="s">
        <v>76</v>
      </c>
      <c r="D74" s="11">
        <v>67736.149999999994</v>
      </c>
      <c r="F74" s="11">
        <v>0</v>
      </c>
      <c r="G74" s="11">
        <v>1159.97</v>
      </c>
      <c r="H74" s="11">
        <v>0</v>
      </c>
      <c r="J74" s="11">
        <f t="shared" si="12"/>
        <v>68896.12</v>
      </c>
      <c r="L74" s="11">
        <v>64900</v>
      </c>
      <c r="M74" s="12">
        <f t="shared" si="13"/>
        <v>1.0615734976887519</v>
      </c>
      <c r="P74">
        <v>2204.6758399999999</v>
      </c>
      <c r="Q74">
        <v>551.16895999999997</v>
      </c>
      <c r="R74">
        <v>344.48059999999998</v>
      </c>
      <c r="U74" s="2" t="s">
        <v>488</v>
      </c>
      <c r="V74">
        <v>2204.6758399999999</v>
      </c>
      <c r="W74">
        <v>551.16895999999997</v>
      </c>
      <c r="X74">
        <v>344.48059999999998</v>
      </c>
    </row>
    <row r="75" spans="1:24" ht="12.75" customHeight="1" x14ac:dyDescent="0.25">
      <c r="A75" s="8" t="s">
        <v>68</v>
      </c>
      <c r="B75" s="9" t="s">
        <v>77</v>
      </c>
      <c r="C75" s="10" t="s">
        <v>78</v>
      </c>
      <c r="D75" s="11">
        <v>4386.45</v>
      </c>
      <c r="F75" s="11">
        <v>0</v>
      </c>
      <c r="G75" s="11">
        <v>0</v>
      </c>
      <c r="H75" s="11">
        <v>0</v>
      </c>
      <c r="J75" s="11">
        <f t="shared" si="12"/>
        <v>4386.45</v>
      </c>
      <c r="L75" s="11"/>
      <c r="M75" s="12">
        <f t="shared" si="13"/>
        <v>0</v>
      </c>
      <c r="P75">
        <v>140.3664</v>
      </c>
      <c r="Q75">
        <v>35.0916</v>
      </c>
      <c r="R75"/>
      <c r="U75" s="2" t="s">
        <v>489</v>
      </c>
      <c r="V75">
        <v>140.3664</v>
      </c>
      <c r="W75">
        <v>35.0916</v>
      </c>
      <c r="X75"/>
    </row>
    <row r="76" spans="1:24" ht="12.75" customHeight="1" x14ac:dyDescent="0.25">
      <c r="A76" s="8" t="s">
        <v>68</v>
      </c>
      <c r="B76" s="9" t="s">
        <v>79</v>
      </c>
      <c r="C76" s="10" t="s">
        <v>80</v>
      </c>
      <c r="D76" s="11">
        <v>66083.289999999994</v>
      </c>
      <c r="F76" s="11">
        <v>0</v>
      </c>
      <c r="G76" s="11">
        <v>0</v>
      </c>
      <c r="H76" s="11">
        <v>0</v>
      </c>
      <c r="J76" s="11">
        <f t="shared" si="12"/>
        <v>66083.289999999994</v>
      </c>
      <c r="L76" s="11">
        <v>64900</v>
      </c>
      <c r="M76" s="12">
        <f t="shared" si="13"/>
        <v>1.0182325115562403</v>
      </c>
      <c r="P76">
        <v>2114.6652799999997</v>
      </c>
      <c r="Q76">
        <v>528.66631999999993</v>
      </c>
      <c r="R76">
        <v>330.41645</v>
      </c>
      <c r="U76" s="2" t="s">
        <v>490</v>
      </c>
      <c r="V76">
        <v>2114.6652799999997</v>
      </c>
      <c r="W76">
        <v>528.66631999999993</v>
      </c>
      <c r="X76">
        <v>330.41645</v>
      </c>
    </row>
    <row r="77" spans="1:24" ht="12.75" customHeight="1" x14ac:dyDescent="0.25">
      <c r="A77" s="8" t="s">
        <v>68</v>
      </c>
      <c r="B77" s="9"/>
      <c r="C77" s="10"/>
      <c r="D77" s="11">
        <v>0</v>
      </c>
      <c r="F77" s="11">
        <v>0</v>
      </c>
      <c r="G77" s="11">
        <v>0</v>
      </c>
      <c r="H77" s="11">
        <v>0</v>
      </c>
      <c r="J77" s="11">
        <f t="shared" si="12"/>
        <v>0</v>
      </c>
      <c r="L77" s="11"/>
      <c r="M77" s="12">
        <f t="shared" si="13"/>
        <v>0</v>
      </c>
      <c r="P77"/>
      <c r="Q77"/>
      <c r="R77"/>
      <c r="V77"/>
      <c r="W77"/>
      <c r="X77"/>
    </row>
    <row r="78" spans="1:24" ht="12.75" customHeight="1" x14ac:dyDescent="0.25">
      <c r="A78" s="8" t="s">
        <v>68</v>
      </c>
      <c r="B78" s="9"/>
      <c r="C78" s="10"/>
      <c r="D78" s="11">
        <v>0</v>
      </c>
      <c r="F78" s="11">
        <v>0</v>
      </c>
      <c r="G78" s="11">
        <v>0</v>
      </c>
      <c r="H78" s="11">
        <v>0</v>
      </c>
      <c r="J78" s="11">
        <f t="shared" si="12"/>
        <v>0</v>
      </c>
      <c r="L78" s="11"/>
      <c r="M78" s="12">
        <f t="shared" si="13"/>
        <v>0</v>
      </c>
      <c r="P78"/>
      <c r="Q78"/>
      <c r="R78"/>
      <c r="V78"/>
      <c r="W78"/>
      <c r="X78"/>
    </row>
    <row r="79" spans="1:24" ht="12.75" customHeight="1" x14ac:dyDescent="0.25">
      <c r="A79" s="8" t="s">
        <v>68</v>
      </c>
      <c r="B79" s="9"/>
      <c r="C79" s="10"/>
      <c r="D79" s="11">
        <v>0</v>
      </c>
      <c r="F79" s="11">
        <v>0</v>
      </c>
      <c r="G79" s="11">
        <v>0</v>
      </c>
      <c r="H79" s="11">
        <v>0</v>
      </c>
      <c r="J79" s="11">
        <f t="shared" si="12"/>
        <v>0</v>
      </c>
      <c r="L79" s="11"/>
      <c r="M79" s="12">
        <f t="shared" si="13"/>
        <v>0</v>
      </c>
      <c r="P79"/>
      <c r="Q79"/>
      <c r="R79"/>
      <c r="V79"/>
      <c r="W79"/>
      <c r="X79"/>
    </row>
    <row r="80" spans="1:24" ht="12.75" customHeight="1" x14ac:dyDescent="0.25">
      <c r="A80" s="8" t="s">
        <v>68</v>
      </c>
      <c r="B80" s="9"/>
      <c r="C80" s="10"/>
      <c r="D80" s="11">
        <v>0</v>
      </c>
      <c r="F80" s="11">
        <v>0</v>
      </c>
      <c r="G80" s="11">
        <v>0</v>
      </c>
      <c r="H80" s="11">
        <v>0</v>
      </c>
      <c r="J80" s="11">
        <f t="shared" si="12"/>
        <v>0</v>
      </c>
      <c r="L80" s="11"/>
      <c r="M80" s="12">
        <f t="shared" si="13"/>
        <v>0</v>
      </c>
      <c r="P80"/>
      <c r="Q80"/>
      <c r="R80"/>
      <c r="V80"/>
      <c r="W80"/>
      <c r="X80"/>
    </row>
    <row r="81" spans="1:24" ht="12.75" customHeight="1" x14ac:dyDescent="0.25">
      <c r="A81" s="8" t="s">
        <v>68</v>
      </c>
      <c r="B81" s="9"/>
      <c r="C81" s="10"/>
      <c r="D81" s="11">
        <v>0</v>
      </c>
      <c r="F81" s="11">
        <v>0</v>
      </c>
      <c r="G81" s="11">
        <v>0</v>
      </c>
      <c r="H81" s="11">
        <v>0</v>
      </c>
      <c r="J81" s="11">
        <f t="shared" si="12"/>
        <v>0</v>
      </c>
      <c r="L81" s="11"/>
      <c r="M81" s="12">
        <f t="shared" si="13"/>
        <v>0</v>
      </c>
      <c r="P81"/>
      <c r="Q81"/>
      <c r="R81"/>
      <c r="V81"/>
      <c r="W81"/>
      <c r="X81"/>
    </row>
    <row r="82" spans="1:24" ht="12.75" customHeight="1" x14ac:dyDescent="0.25">
      <c r="A82" s="13" t="s">
        <v>30</v>
      </c>
      <c r="B82" s="14"/>
      <c r="C82" s="13"/>
      <c r="D82" s="15">
        <v>330343.05999999994</v>
      </c>
      <c r="E82" s="15">
        <v>0</v>
      </c>
      <c r="F82" s="15">
        <v>0</v>
      </c>
      <c r="G82" s="15">
        <v>4639.93</v>
      </c>
      <c r="H82" s="15">
        <v>3139.9300000000003</v>
      </c>
      <c r="I82" s="15">
        <v>0</v>
      </c>
      <c r="J82" s="15">
        <f t="shared" ref="J82:L82" si="14">SUM(J71:J81)</f>
        <v>338122.92</v>
      </c>
      <c r="L82" s="15">
        <f t="shared" si="14"/>
        <v>324500</v>
      </c>
      <c r="P82"/>
      <c r="Q82"/>
      <c r="R82"/>
      <c r="V82"/>
      <c r="W82"/>
      <c r="X82"/>
    </row>
    <row r="83" spans="1:24" ht="12.75" customHeight="1" x14ac:dyDescent="0.25">
      <c r="P83"/>
      <c r="Q83"/>
      <c r="R83"/>
      <c r="V83"/>
      <c r="W83"/>
      <c r="X83"/>
    </row>
    <row r="84" spans="1:24" ht="12.75" customHeight="1" x14ac:dyDescent="0.25">
      <c r="P84"/>
      <c r="Q84"/>
      <c r="R84"/>
      <c r="V84"/>
      <c r="W84"/>
      <c r="X84"/>
    </row>
    <row r="85" spans="1:24" ht="12.75" customHeight="1" x14ac:dyDescent="0.25">
      <c r="O85" s="5" t="s">
        <v>12</v>
      </c>
      <c r="P85"/>
      <c r="Q85"/>
      <c r="R85"/>
      <c r="V85"/>
      <c r="W85"/>
      <c r="X85"/>
    </row>
    <row r="86" spans="1:24" ht="12.75" customHeight="1" x14ac:dyDescent="0.25">
      <c r="O86" s="11">
        <v>280000</v>
      </c>
      <c r="P86"/>
      <c r="Q86"/>
      <c r="R86"/>
      <c r="V86"/>
      <c r="W86"/>
      <c r="X86"/>
    </row>
    <row r="87" spans="1:24" ht="12.75" customHeight="1" x14ac:dyDescent="0.25">
      <c r="A87" s="4" t="s">
        <v>0</v>
      </c>
      <c r="B87" s="5" t="s">
        <v>1</v>
      </c>
      <c r="C87" s="4" t="s">
        <v>2</v>
      </c>
      <c r="D87" s="5" t="s">
        <v>3</v>
      </c>
      <c r="E87" s="5" t="s">
        <v>4</v>
      </c>
      <c r="F87" s="5" t="s">
        <v>5</v>
      </c>
      <c r="G87" s="5" t="s">
        <v>6</v>
      </c>
      <c r="H87" s="5" t="s">
        <v>7</v>
      </c>
      <c r="I87" s="5" t="s">
        <v>8</v>
      </c>
      <c r="J87" s="5" t="s">
        <v>9</v>
      </c>
      <c r="L87" s="7" t="s">
        <v>10</v>
      </c>
      <c r="M87" s="7" t="s">
        <v>11</v>
      </c>
      <c r="P87"/>
      <c r="Q87"/>
      <c r="R87"/>
      <c r="U87" s="2" t="s">
        <v>490</v>
      </c>
      <c r="V87"/>
      <c r="W87"/>
      <c r="X87"/>
    </row>
    <row r="88" spans="1:24" ht="12.75" customHeight="1" x14ac:dyDescent="0.25">
      <c r="A88" s="8" t="s">
        <v>81</v>
      </c>
      <c r="B88" s="9" t="s">
        <v>82</v>
      </c>
      <c r="C88" s="10" t="s">
        <v>83</v>
      </c>
      <c r="D88" s="11">
        <v>102893.42</v>
      </c>
      <c r="F88" s="11">
        <v>0</v>
      </c>
      <c r="G88" s="11">
        <v>0</v>
      </c>
      <c r="H88" s="11">
        <v>0</v>
      </c>
      <c r="J88" s="11">
        <f t="shared" ref="J88:J98" si="15">SUM(D88:I88)</f>
        <v>102893.42</v>
      </c>
      <c r="L88" s="11">
        <v>102667</v>
      </c>
      <c r="M88" s="12">
        <f t="shared" ref="M88:M98" si="16">IFERROR(J88/L88,)</f>
        <v>1.002205382450057</v>
      </c>
      <c r="P88">
        <v>2057.8683999999998</v>
      </c>
      <c r="Q88">
        <v>514.46709999999996</v>
      </c>
      <c r="R88">
        <v>514.46709999999996</v>
      </c>
      <c r="U88" s="2" t="s">
        <v>491</v>
      </c>
      <c r="V88">
        <v>2057.8683999999998</v>
      </c>
      <c r="W88">
        <v>514.46709999999996</v>
      </c>
      <c r="X88">
        <v>514.46709999999996</v>
      </c>
    </row>
    <row r="89" spans="1:24" ht="12.75" customHeight="1" x14ac:dyDescent="0.25">
      <c r="A89" s="8" t="s">
        <v>81</v>
      </c>
      <c r="B89" s="9" t="s">
        <v>84</v>
      </c>
      <c r="C89" s="10" t="s">
        <v>85</v>
      </c>
      <c r="D89" s="11">
        <v>102772.57</v>
      </c>
      <c r="F89" s="11">
        <v>0</v>
      </c>
      <c r="G89" s="11">
        <v>0</v>
      </c>
      <c r="H89" s="11">
        <v>0</v>
      </c>
      <c r="J89" s="11">
        <f t="shared" si="15"/>
        <v>102772.57</v>
      </c>
      <c r="L89" s="11">
        <v>102667</v>
      </c>
      <c r="M89" s="12">
        <f t="shared" si="16"/>
        <v>1.0010282758822213</v>
      </c>
      <c r="P89">
        <v>2055.4514000000004</v>
      </c>
      <c r="Q89">
        <v>513.86285000000009</v>
      </c>
      <c r="R89">
        <v>513.86285000000009</v>
      </c>
      <c r="U89" s="2" t="s">
        <v>492</v>
      </c>
      <c r="V89">
        <v>2055.4514000000004</v>
      </c>
      <c r="W89">
        <v>513.86285000000009</v>
      </c>
      <c r="X89">
        <v>513.86285000000009</v>
      </c>
    </row>
    <row r="90" spans="1:24" ht="12.75" customHeight="1" x14ac:dyDescent="0.25">
      <c r="A90" s="8" t="s">
        <v>81</v>
      </c>
      <c r="B90" s="9" t="s">
        <v>86</v>
      </c>
      <c r="C90" s="10" t="s">
        <v>87</v>
      </c>
      <c r="D90" s="11">
        <v>172.78</v>
      </c>
      <c r="F90" s="11">
        <v>0</v>
      </c>
      <c r="G90" s="11">
        <v>0</v>
      </c>
      <c r="H90" s="11">
        <v>0</v>
      </c>
      <c r="J90" s="11">
        <f t="shared" si="15"/>
        <v>172.78</v>
      </c>
      <c r="L90" s="11"/>
      <c r="M90" s="12">
        <f t="shared" si="16"/>
        <v>0</v>
      </c>
      <c r="P90">
        <v>3.4556</v>
      </c>
      <c r="Q90">
        <v>0.8639</v>
      </c>
      <c r="R90"/>
      <c r="U90" s="2" t="s">
        <v>493</v>
      </c>
      <c r="V90">
        <v>3.4556</v>
      </c>
      <c r="W90">
        <v>0.8639</v>
      </c>
      <c r="X90"/>
    </row>
    <row r="91" spans="1:24" ht="12.75" customHeight="1" x14ac:dyDescent="0.25">
      <c r="A91" s="8" t="s">
        <v>81</v>
      </c>
      <c r="B91" s="9" t="s">
        <v>88</v>
      </c>
      <c r="C91" s="10" t="s">
        <v>89</v>
      </c>
      <c r="D91" s="11">
        <v>62540.81</v>
      </c>
      <c r="F91" s="11">
        <v>0</v>
      </c>
      <c r="G91" s="11">
        <v>0</v>
      </c>
      <c r="H91" s="11">
        <v>349.99</v>
      </c>
      <c r="J91" s="11">
        <f t="shared" si="15"/>
        <v>62890.799999999996</v>
      </c>
      <c r="L91" s="11">
        <v>102667</v>
      </c>
      <c r="M91" s="12">
        <f t="shared" si="16"/>
        <v>0.6125707384066934</v>
      </c>
      <c r="P91">
        <v>1257.816</v>
      </c>
      <c r="Q91">
        <v>314.45400000000001</v>
      </c>
      <c r="R91"/>
      <c r="U91" s="2" t="s">
        <v>494</v>
      </c>
      <c r="V91">
        <v>1257.816</v>
      </c>
      <c r="W91">
        <v>314.45400000000001</v>
      </c>
      <c r="X91"/>
    </row>
    <row r="92" spans="1:24" ht="12.75" customHeight="1" x14ac:dyDescent="0.25">
      <c r="A92" s="8" t="s">
        <v>81</v>
      </c>
      <c r="B92" s="9"/>
      <c r="C92" s="10"/>
      <c r="D92" s="11">
        <v>0</v>
      </c>
      <c r="F92" s="11">
        <v>0</v>
      </c>
      <c r="G92" s="11">
        <v>0</v>
      </c>
      <c r="H92" s="11">
        <v>0</v>
      </c>
      <c r="J92" s="11">
        <f t="shared" si="15"/>
        <v>0</v>
      </c>
      <c r="L92" s="11"/>
      <c r="M92" s="12">
        <f t="shared" si="16"/>
        <v>0</v>
      </c>
      <c r="P92"/>
      <c r="Q92"/>
      <c r="R92"/>
      <c r="V92"/>
      <c r="W92"/>
      <c r="X92"/>
    </row>
    <row r="93" spans="1:24" ht="12.75" customHeight="1" x14ac:dyDescent="0.25">
      <c r="A93" s="8" t="s">
        <v>81</v>
      </c>
      <c r="B93" s="9"/>
      <c r="C93" s="10"/>
      <c r="D93" s="11">
        <v>0</v>
      </c>
      <c r="F93" s="11">
        <v>0</v>
      </c>
      <c r="G93" s="11">
        <v>0</v>
      </c>
      <c r="H93" s="11">
        <v>0</v>
      </c>
      <c r="J93" s="11">
        <f t="shared" si="15"/>
        <v>0</v>
      </c>
      <c r="L93" s="11"/>
      <c r="M93" s="12">
        <f t="shared" si="16"/>
        <v>0</v>
      </c>
      <c r="P93"/>
      <c r="Q93"/>
      <c r="R93"/>
      <c r="V93"/>
      <c r="W93"/>
      <c r="X93"/>
    </row>
    <row r="94" spans="1:24" ht="12.75" customHeight="1" x14ac:dyDescent="0.25">
      <c r="A94" s="8" t="s">
        <v>81</v>
      </c>
      <c r="B94" s="9"/>
      <c r="C94" s="10"/>
      <c r="D94" s="11">
        <v>0</v>
      </c>
      <c r="F94" s="11">
        <v>0</v>
      </c>
      <c r="G94" s="11">
        <v>0</v>
      </c>
      <c r="H94" s="11">
        <v>0</v>
      </c>
      <c r="J94" s="11">
        <f t="shared" si="15"/>
        <v>0</v>
      </c>
      <c r="L94" s="11"/>
      <c r="M94" s="12">
        <f t="shared" si="16"/>
        <v>0</v>
      </c>
      <c r="P94"/>
      <c r="Q94"/>
      <c r="R94"/>
      <c r="V94"/>
      <c r="W94"/>
      <c r="X94"/>
    </row>
    <row r="95" spans="1:24" ht="12.75" customHeight="1" x14ac:dyDescent="0.25">
      <c r="A95" s="8" t="s">
        <v>81</v>
      </c>
      <c r="B95" s="9"/>
      <c r="C95" s="10"/>
      <c r="D95" s="11">
        <v>0</v>
      </c>
      <c r="F95" s="11">
        <v>0</v>
      </c>
      <c r="G95" s="11">
        <v>0</v>
      </c>
      <c r="H95" s="11">
        <v>0</v>
      </c>
      <c r="J95" s="11">
        <f t="shared" si="15"/>
        <v>0</v>
      </c>
      <c r="L95" s="11"/>
      <c r="M95" s="12">
        <f t="shared" si="16"/>
        <v>0</v>
      </c>
      <c r="P95"/>
      <c r="Q95"/>
      <c r="R95"/>
      <c r="V95"/>
      <c r="W95"/>
      <c r="X95"/>
    </row>
    <row r="96" spans="1:24" ht="12.75" customHeight="1" x14ac:dyDescent="0.25">
      <c r="A96" s="8" t="s">
        <v>81</v>
      </c>
      <c r="B96" s="9"/>
      <c r="C96" s="10"/>
      <c r="D96" s="11">
        <v>0</v>
      </c>
      <c r="F96" s="11">
        <v>0</v>
      </c>
      <c r="G96" s="11">
        <v>0</v>
      </c>
      <c r="H96" s="11">
        <v>0</v>
      </c>
      <c r="J96" s="11">
        <f t="shared" si="15"/>
        <v>0</v>
      </c>
      <c r="L96" s="11"/>
      <c r="M96" s="12">
        <f t="shared" si="16"/>
        <v>0</v>
      </c>
      <c r="P96"/>
      <c r="Q96"/>
      <c r="R96"/>
      <c r="V96"/>
      <c r="W96"/>
      <c r="X96"/>
    </row>
    <row r="97" spans="1:24" ht="12.75" customHeight="1" x14ac:dyDescent="0.25">
      <c r="A97" s="8" t="s">
        <v>81</v>
      </c>
      <c r="B97" s="9"/>
      <c r="C97" s="10"/>
      <c r="D97" s="11">
        <v>0</v>
      </c>
      <c r="F97" s="11">
        <v>0</v>
      </c>
      <c r="G97" s="11">
        <v>0</v>
      </c>
      <c r="H97" s="11">
        <v>0</v>
      </c>
      <c r="J97" s="11">
        <f t="shared" si="15"/>
        <v>0</v>
      </c>
      <c r="L97" s="11"/>
      <c r="M97" s="12">
        <f t="shared" si="16"/>
        <v>0</v>
      </c>
      <c r="P97"/>
      <c r="Q97"/>
      <c r="R97"/>
      <c r="V97"/>
      <c r="W97"/>
      <c r="X97"/>
    </row>
    <row r="98" spans="1:24" ht="12.75" customHeight="1" x14ac:dyDescent="0.25">
      <c r="A98" s="8" t="s">
        <v>81</v>
      </c>
      <c r="B98" s="9"/>
      <c r="C98" s="10"/>
      <c r="D98" s="11">
        <v>0</v>
      </c>
      <c r="F98" s="11">
        <v>0</v>
      </c>
      <c r="G98" s="11">
        <v>0</v>
      </c>
      <c r="H98" s="11">
        <v>0</v>
      </c>
      <c r="J98" s="11">
        <f t="shared" si="15"/>
        <v>0</v>
      </c>
      <c r="L98" s="11"/>
      <c r="M98" s="12">
        <f t="shared" si="16"/>
        <v>0</v>
      </c>
      <c r="P98"/>
      <c r="Q98"/>
      <c r="R98"/>
      <c r="V98"/>
      <c r="W98"/>
      <c r="X98"/>
    </row>
    <row r="99" spans="1:24" ht="12.75" customHeight="1" x14ac:dyDescent="0.25">
      <c r="A99" s="13" t="s">
        <v>30</v>
      </c>
      <c r="B99" s="14"/>
      <c r="C99" s="13"/>
      <c r="D99" s="15">
        <v>268379.57999999996</v>
      </c>
      <c r="E99" s="15">
        <v>0</v>
      </c>
      <c r="F99" s="15">
        <v>0</v>
      </c>
      <c r="G99" s="15">
        <v>0</v>
      </c>
      <c r="H99" s="15">
        <v>349.99</v>
      </c>
      <c r="I99" s="15">
        <v>0</v>
      </c>
      <c r="J99" s="15">
        <f t="shared" ref="J99:L99" si="17">SUM(J88:J98)</f>
        <v>268729.57</v>
      </c>
      <c r="L99" s="15">
        <f t="shared" si="17"/>
        <v>308001</v>
      </c>
      <c r="P99"/>
      <c r="Q99"/>
      <c r="R99"/>
      <c r="V99"/>
      <c r="W99"/>
      <c r="X99"/>
    </row>
    <row r="100" spans="1:24" ht="12.75" customHeight="1" x14ac:dyDescent="0.25">
      <c r="P100"/>
      <c r="Q100"/>
      <c r="R100"/>
      <c r="V100"/>
      <c r="W100"/>
      <c r="X100"/>
    </row>
    <row r="101" spans="1:24" ht="12.75" customHeight="1" x14ac:dyDescent="0.25">
      <c r="P101"/>
      <c r="Q101"/>
      <c r="R101"/>
      <c r="V101"/>
      <c r="W101"/>
      <c r="X101"/>
    </row>
    <row r="102" spans="1:24" ht="12.75" customHeight="1" x14ac:dyDescent="0.25">
      <c r="O102" s="5" t="s">
        <v>12</v>
      </c>
      <c r="P102"/>
      <c r="Q102"/>
      <c r="R102"/>
      <c r="V102"/>
      <c r="W102"/>
      <c r="X102"/>
    </row>
    <row r="103" spans="1:24" ht="12.75" customHeight="1" x14ac:dyDescent="0.25">
      <c r="O103" s="11">
        <v>400000</v>
      </c>
      <c r="P103"/>
      <c r="Q103"/>
      <c r="R103"/>
      <c r="V103"/>
      <c r="W103"/>
      <c r="X103"/>
    </row>
    <row r="104" spans="1:24" ht="12.75" customHeight="1" x14ac:dyDescent="0.25">
      <c r="A104" s="4" t="s">
        <v>0</v>
      </c>
      <c r="B104" s="5" t="s">
        <v>1</v>
      </c>
      <c r="C104" s="4" t="s">
        <v>2</v>
      </c>
      <c r="D104" s="5" t="s">
        <v>3</v>
      </c>
      <c r="E104" s="5" t="s">
        <v>4</v>
      </c>
      <c r="F104" s="5" t="s">
        <v>5</v>
      </c>
      <c r="G104" s="5" t="s">
        <v>6</v>
      </c>
      <c r="H104" s="5" t="s">
        <v>7</v>
      </c>
      <c r="I104" s="5" t="s">
        <v>8</v>
      </c>
      <c r="J104" s="5" t="s">
        <v>9</v>
      </c>
      <c r="L104" s="7" t="s">
        <v>10</v>
      </c>
      <c r="M104" s="7" t="s">
        <v>11</v>
      </c>
      <c r="P104"/>
      <c r="Q104"/>
      <c r="R104"/>
      <c r="U104" s="2" t="s">
        <v>494</v>
      </c>
      <c r="V104"/>
      <c r="W104"/>
      <c r="X104"/>
    </row>
    <row r="105" spans="1:24" ht="12.75" customHeight="1" x14ac:dyDescent="0.25">
      <c r="A105" s="8" t="s">
        <v>90</v>
      </c>
      <c r="B105" s="9" t="s">
        <v>91</v>
      </c>
      <c r="C105" s="10" t="s">
        <v>92</v>
      </c>
      <c r="D105" s="11">
        <v>2183.92</v>
      </c>
      <c r="F105" s="11">
        <v>0</v>
      </c>
      <c r="G105" s="11">
        <v>0</v>
      </c>
      <c r="H105" s="11">
        <v>0</v>
      </c>
      <c r="J105" s="11">
        <f t="shared" ref="J105:J115" si="18">SUM(D105:I105)</f>
        <v>2183.92</v>
      </c>
      <c r="L105" s="11"/>
      <c r="M105" s="12">
        <f t="shared" ref="M105:M115" si="19">IFERROR(J105/L105,)</f>
        <v>0</v>
      </c>
      <c r="P105">
        <v>61.149760000000001</v>
      </c>
      <c r="Q105">
        <v>15.28744</v>
      </c>
      <c r="R105"/>
      <c r="U105" s="2" t="s">
        <v>495</v>
      </c>
      <c r="V105">
        <v>61.149760000000001</v>
      </c>
      <c r="W105">
        <v>15.28744</v>
      </c>
      <c r="X105"/>
    </row>
    <row r="106" spans="1:24" ht="12.75" customHeight="1" x14ac:dyDescent="0.25">
      <c r="A106" s="8" t="s">
        <v>90</v>
      </c>
      <c r="B106" s="9" t="s">
        <v>57</v>
      </c>
      <c r="C106" s="10" t="s">
        <v>93</v>
      </c>
      <c r="D106" s="11">
        <v>2399.88</v>
      </c>
      <c r="F106" s="11">
        <v>0</v>
      </c>
      <c r="G106" s="11">
        <v>0</v>
      </c>
      <c r="H106" s="11">
        <v>0</v>
      </c>
      <c r="J106" s="11">
        <f t="shared" si="18"/>
        <v>2399.88</v>
      </c>
      <c r="L106" s="11"/>
      <c r="M106" s="12">
        <f t="shared" si="19"/>
        <v>0</v>
      </c>
      <c r="P106">
        <v>67.196640000000002</v>
      </c>
      <c r="Q106">
        <v>16.799160000000001</v>
      </c>
      <c r="R106"/>
      <c r="U106" s="2" t="s">
        <v>496</v>
      </c>
      <c r="V106">
        <v>67.196640000000002</v>
      </c>
      <c r="W106">
        <v>16.799160000000001</v>
      </c>
      <c r="X106"/>
    </row>
    <row r="107" spans="1:24" ht="12.75" customHeight="1" x14ac:dyDescent="0.25">
      <c r="A107" s="8" t="s">
        <v>90</v>
      </c>
      <c r="B107" s="9" t="s">
        <v>61</v>
      </c>
      <c r="C107" s="10" t="s">
        <v>94</v>
      </c>
      <c r="D107" s="11">
        <v>104195.79</v>
      </c>
      <c r="F107" s="11">
        <v>0</v>
      </c>
      <c r="G107" s="11">
        <v>0</v>
      </c>
      <c r="H107" s="11">
        <v>0</v>
      </c>
      <c r="J107" s="11">
        <f t="shared" si="18"/>
        <v>104195.79</v>
      </c>
      <c r="L107" s="11">
        <v>88000</v>
      </c>
      <c r="M107" s="12">
        <f t="shared" si="19"/>
        <v>1.1840430681818181</v>
      </c>
      <c r="P107">
        <v>2917.4821199999997</v>
      </c>
      <c r="Q107">
        <v>729.37052999999992</v>
      </c>
      <c r="R107">
        <v>520.97894999999994</v>
      </c>
      <c r="U107" s="2" t="s">
        <v>497</v>
      </c>
      <c r="V107">
        <v>2917.4821199999997</v>
      </c>
      <c r="W107">
        <v>729.37052999999992</v>
      </c>
      <c r="X107">
        <v>520.97894999999994</v>
      </c>
    </row>
    <row r="108" spans="1:24" ht="12.75" customHeight="1" x14ac:dyDescent="0.25">
      <c r="A108" s="8" t="s">
        <v>90</v>
      </c>
      <c r="B108" s="9" t="s">
        <v>63</v>
      </c>
      <c r="C108" s="10" t="s">
        <v>95</v>
      </c>
      <c r="D108" s="11">
        <v>36788.379999999997</v>
      </c>
      <c r="F108" s="11">
        <v>0</v>
      </c>
      <c r="G108" s="11">
        <v>0</v>
      </c>
      <c r="H108" s="11">
        <v>0</v>
      </c>
      <c r="J108" s="11">
        <f t="shared" si="18"/>
        <v>36788.379999999997</v>
      </c>
      <c r="L108" s="11">
        <v>88000</v>
      </c>
      <c r="M108" s="12">
        <f t="shared" si="19"/>
        <v>0.41804977272727267</v>
      </c>
      <c r="P108">
        <v>1030.07464</v>
      </c>
      <c r="Q108">
        <v>257.51866000000001</v>
      </c>
      <c r="R108"/>
      <c r="U108" s="2" t="s">
        <v>498</v>
      </c>
      <c r="V108">
        <v>1030.07464</v>
      </c>
      <c r="W108">
        <v>257.51866000000001</v>
      </c>
      <c r="X108"/>
    </row>
    <row r="109" spans="1:24" ht="12.75" customHeight="1" x14ac:dyDescent="0.25">
      <c r="A109" s="8" t="s">
        <v>90</v>
      </c>
      <c r="B109" s="9" t="s">
        <v>31</v>
      </c>
      <c r="C109" s="10" t="s">
        <v>96</v>
      </c>
      <c r="D109" s="11">
        <v>65882.53</v>
      </c>
      <c r="F109" s="11">
        <v>0</v>
      </c>
      <c r="G109" s="11">
        <v>0</v>
      </c>
      <c r="H109" s="11">
        <v>0</v>
      </c>
      <c r="J109" s="11">
        <f t="shared" si="18"/>
        <v>65882.53</v>
      </c>
      <c r="L109" s="11">
        <v>88000</v>
      </c>
      <c r="M109" s="12">
        <f t="shared" si="19"/>
        <v>0.74866511363636368</v>
      </c>
      <c r="P109">
        <v>1844.71084</v>
      </c>
      <c r="Q109">
        <v>461.17770999999999</v>
      </c>
      <c r="R109"/>
      <c r="U109" s="2" t="s">
        <v>499</v>
      </c>
      <c r="V109">
        <v>1844.71084</v>
      </c>
      <c r="W109">
        <v>461.17770999999999</v>
      </c>
      <c r="X109"/>
    </row>
    <row r="110" spans="1:24" ht="12.75" customHeight="1" x14ac:dyDescent="0.25">
      <c r="A110" s="8" t="s">
        <v>90</v>
      </c>
      <c r="B110" s="9" t="s">
        <v>42</v>
      </c>
      <c r="C110" s="10" t="s">
        <v>97</v>
      </c>
      <c r="D110" s="11">
        <v>99503.07</v>
      </c>
      <c r="F110" s="11">
        <v>0</v>
      </c>
      <c r="G110" s="11">
        <v>0</v>
      </c>
      <c r="H110" s="11">
        <v>0</v>
      </c>
      <c r="J110" s="11">
        <f t="shared" si="18"/>
        <v>99503.07</v>
      </c>
      <c r="L110" s="11">
        <v>88000</v>
      </c>
      <c r="M110" s="12">
        <f t="shared" si="19"/>
        <v>1.1307167045454547</v>
      </c>
      <c r="P110">
        <v>2786.0859600000003</v>
      </c>
      <c r="Q110">
        <v>696.52149000000009</v>
      </c>
      <c r="R110">
        <v>497.51535000000007</v>
      </c>
      <c r="U110" s="2" t="s">
        <v>500</v>
      </c>
      <c r="V110">
        <v>2786.0859600000003</v>
      </c>
      <c r="W110">
        <v>696.52149000000009</v>
      </c>
      <c r="X110">
        <v>497.51535000000007</v>
      </c>
    </row>
    <row r="111" spans="1:24" ht="12.75" customHeight="1" x14ac:dyDescent="0.25">
      <c r="A111" s="8" t="s">
        <v>90</v>
      </c>
      <c r="B111" s="9" t="s">
        <v>68</v>
      </c>
      <c r="C111" s="10" t="s">
        <v>98</v>
      </c>
      <c r="D111" s="11">
        <v>29693.71</v>
      </c>
      <c r="F111" s="11">
        <v>0</v>
      </c>
      <c r="G111" s="11">
        <v>0</v>
      </c>
      <c r="H111" s="11">
        <v>0</v>
      </c>
      <c r="J111" s="11">
        <f t="shared" si="18"/>
        <v>29693.71</v>
      </c>
      <c r="L111" s="11">
        <v>88000</v>
      </c>
      <c r="M111" s="12">
        <f t="shared" si="19"/>
        <v>0.3374285227272727</v>
      </c>
      <c r="P111">
        <v>831.42387999999994</v>
      </c>
      <c r="Q111">
        <v>207.85596999999999</v>
      </c>
      <c r="R111"/>
      <c r="U111" s="2" t="s">
        <v>501</v>
      </c>
      <c r="V111">
        <v>831.42387999999994</v>
      </c>
      <c r="W111">
        <v>207.85596999999999</v>
      </c>
      <c r="X111"/>
    </row>
    <row r="112" spans="1:24" ht="12.75" customHeight="1" x14ac:dyDescent="0.25">
      <c r="A112" s="8" t="s">
        <v>90</v>
      </c>
      <c r="B112" s="9"/>
      <c r="C112" s="10"/>
      <c r="D112" s="11">
        <v>0</v>
      </c>
      <c r="F112" s="11">
        <v>0</v>
      </c>
      <c r="G112" s="11">
        <v>0</v>
      </c>
      <c r="H112" s="11">
        <v>0</v>
      </c>
      <c r="J112" s="11">
        <f t="shared" si="18"/>
        <v>0</v>
      </c>
      <c r="L112" s="11"/>
      <c r="M112" s="12">
        <f t="shared" si="19"/>
        <v>0</v>
      </c>
      <c r="P112"/>
      <c r="Q112"/>
      <c r="R112"/>
      <c r="V112"/>
      <c r="W112"/>
      <c r="X112"/>
    </row>
    <row r="113" spans="1:24" ht="12.75" customHeight="1" x14ac:dyDescent="0.25">
      <c r="A113" s="8" t="s">
        <v>90</v>
      </c>
      <c r="B113" s="9"/>
      <c r="C113" s="10"/>
      <c r="D113" s="11">
        <v>0</v>
      </c>
      <c r="F113" s="11">
        <v>0</v>
      </c>
      <c r="G113" s="11">
        <v>0</v>
      </c>
      <c r="H113" s="11">
        <v>0</v>
      </c>
      <c r="J113" s="11">
        <f t="shared" si="18"/>
        <v>0</v>
      </c>
      <c r="L113" s="11"/>
      <c r="M113" s="12">
        <f t="shared" si="19"/>
        <v>0</v>
      </c>
      <c r="P113"/>
      <c r="Q113"/>
      <c r="R113"/>
      <c r="V113"/>
      <c r="W113"/>
      <c r="X113"/>
    </row>
    <row r="114" spans="1:24" ht="12.75" customHeight="1" x14ac:dyDescent="0.25">
      <c r="A114" s="8" t="s">
        <v>90</v>
      </c>
      <c r="B114" s="9"/>
      <c r="C114" s="10"/>
      <c r="D114" s="11">
        <v>0</v>
      </c>
      <c r="F114" s="11">
        <v>0</v>
      </c>
      <c r="G114" s="11">
        <v>0</v>
      </c>
      <c r="H114" s="11">
        <v>0</v>
      </c>
      <c r="J114" s="11">
        <f t="shared" si="18"/>
        <v>0</v>
      </c>
      <c r="L114" s="11"/>
      <c r="M114" s="12">
        <f t="shared" si="19"/>
        <v>0</v>
      </c>
      <c r="P114"/>
      <c r="Q114"/>
      <c r="R114"/>
      <c r="V114"/>
      <c r="W114"/>
      <c r="X114"/>
    </row>
    <row r="115" spans="1:24" ht="12.75" customHeight="1" x14ac:dyDescent="0.25">
      <c r="A115" s="8" t="s">
        <v>90</v>
      </c>
      <c r="B115" s="9"/>
      <c r="C115" s="10"/>
      <c r="D115" s="11">
        <v>0</v>
      </c>
      <c r="F115" s="11">
        <v>0</v>
      </c>
      <c r="G115" s="11">
        <v>0</v>
      </c>
      <c r="H115" s="11">
        <v>0</v>
      </c>
      <c r="J115" s="11">
        <f t="shared" si="18"/>
        <v>0</v>
      </c>
      <c r="L115" s="11"/>
      <c r="M115" s="12">
        <f t="shared" si="19"/>
        <v>0</v>
      </c>
      <c r="P115"/>
      <c r="Q115"/>
      <c r="R115"/>
      <c r="V115"/>
      <c r="W115"/>
      <c r="X115"/>
    </row>
    <row r="116" spans="1:24" ht="12.75" customHeight="1" x14ac:dyDescent="0.25">
      <c r="A116" s="13" t="s">
        <v>30</v>
      </c>
      <c r="B116" s="14"/>
      <c r="C116" s="13"/>
      <c r="D116" s="15">
        <v>340647.28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f t="shared" ref="J116:L116" si="20">SUM(J105:J115)</f>
        <v>340647.28</v>
      </c>
      <c r="L116" s="15">
        <f t="shared" si="20"/>
        <v>440000</v>
      </c>
      <c r="P116"/>
      <c r="Q116"/>
      <c r="R116"/>
      <c r="V116"/>
      <c r="W116"/>
      <c r="X116"/>
    </row>
    <row r="117" spans="1:24" ht="12.75" customHeight="1" x14ac:dyDescent="0.25">
      <c r="P117"/>
      <c r="Q117"/>
      <c r="R117"/>
      <c r="V117"/>
      <c r="W117"/>
      <c r="X117"/>
    </row>
    <row r="118" spans="1:24" ht="12.75" customHeight="1" x14ac:dyDescent="0.25">
      <c r="P118"/>
      <c r="Q118"/>
      <c r="R118"/>
      <c r="V118"/>
      <c r="W118"/>
      <c r="X118"/>
    </row>
    <row r="119" spans="1:24" ht="12.75" customHeight="1" x14ac:dyDescent="0.25">
      <c r="O119" s="5" t="s">
        <v>12</v>
      </c>
      <c r="P119"/>
      <c r="Q119"/>
      <c r="R119"/>
      <c r="V119"/>
      <c r="W119"/>
      <c r="X119"/>
    </row>
    <row r="120" spans="1:24" ht="12.75" customHeight="1" x14ac:dyDescent="0.25">
      <c r="O120" s="11">
        <v>450000</v>
      </c>
      <c r="P120"/>
      <c r="Q120"/>
      <c r="R120"/>
      <c r="V120"/>
      <c r="W120"/>
      <c r="X120"/>
    </row>
    <row r="121" spans="1:24" ht="12.75" customHeight="1" x14ac:dyDescent="0.25">
      <c r="A121" s="4" t="s">
        <v>0</v>
      </c>
      <c r="B121" s="5" t="s">
        <v>1</v>
      </c>
      <c r="C121" s="4" t="s">
        <v>2</v>
      </c>
      <c r="D121" s="5" t="s">
        <v>3</v>
      </c>
      <c r="E121" s="5" t="s">
        <v>4</v>
      </c>
      <c r="F121" s="5" t="s">
        <v>5</v>
      </c>
      <c r="G121" s="5" t="s">
        <v>6</v>
      </c>
      <c r="H121" s="5" t="s">
        <v>7</v>
      </c>
      <c r="I121" s="5" t="s">
        <v>8</v>
      </c>
      <c r="J121" s="5" t="s">
        <v>9</v>
      </c>
      <c r="L121" s="7" t="s">
        <v>10</v>
      </c>
      <c r="M121" s="7" t="s">
        <v>11</v>
      </c>
      <c r="P121"/>
      <c r="Q121"/>
      <c r="R121"/>
      <c r="U121" s="2" t="s">
        <v>501</v>
      </c>
      <c r="V121"/>
      <c r="W121"/>
      <c r="X121"/>
    </row>
    <row r="122" spans="1:24" ht="12.75" customHeight="1" x14ac:dyDescent="0.25">
      <c r="A122" s="8" t="s">
        <v>99</v>
      </c>
      <c r="B122" s="9" t="s">
        <v>100</v>
      </c>
      <c r="C122" s="10" t="s">
        <v>101</v>
      </c>
      <c r="D122" s="11">
        <v>0</v>
      </c>
      <c r="F122" s="11">
        <v>0</v>
      </c>
      <c r="G122" s="11">
        <v>0</v>
      </c>
      <c r="H122" s="11">
        <v>0</v>
      </c>
      <c r="J122" s="11">
        <f t="shared" ref="J122:J132" si="21">SUM(D122:I122)</f>
        <v>0</v>
      </c>
      <c r="L122" s="11"/>
      <c r="M122" s="12">
        <f t="shared" ref="M122:M132" si="22">IFERROR(J122/L122,)</f>
        <v>0</v>
      </c>
      <c r="P122">
        <v>0</v>
      </c>
      <c r="Q122">
        <v>0</v>
      </c>
      <c r="R122"/>
      <c r="U122" s="2" t="s">
        <v>502</v>
      </c>
      <c r="V122">
        <v>0</v>
      </c>
      <c r="W122">
        <v>0</v>
      </c>
      <c r="X122"/>
    </row>
    <row r="123" spans="1:24" ht="12.75" customHeight="1" x14ac:dyDescent="0.25">
      <c r="A123" s="8" t="s">
        <v>99</v>
      </c>
      <c r="B123" s="9" t="s">
        <v>102</v>
      </c>
      <c r="C123" s="10" t="s">
        <v>103</v>
      </c>
      <c r="D123" s="11">
        <v>71332.320000000007</v>
      </c>
      <c r="F123" s="11">
        <v>0</v>
      </c>
      <c r="G123" s="11">
        <v>1179.97</v>
      </c>
      <c r="H123" s="11">
        <v>0</v>
      </c>
      <c r="J123" s="11">
        <v>85000</v>
      </c>
      <c r="L123" s="11">
        <v>82500</v>
      </c>
      <c r="M123" s="12">
        <f t="shared" si="22"/>
        <v>1.0303030303030303</v>
      </c>
      <c r="P123">
        <v>3145.0000000000005</v>
      </c>
      <c r="Q123">
        <v>786.25000000000011</v>
      </c>
      <c r="R123">
        <v>425</v>
      </c>
      <c r="U123" s="2" t="s">
        <v>503</v>
      </c>
      <c r="V123">
        <v>3145.0000000000005</v>
      </c>
      <c r="W123">
        <v>786.25000000000011</v>
      </c>
      <c r="X123">
        <v>425</v>
      </c>
    </row>
    <row r="124" spans="1:24" ht="12.75" customHeight="1" x14ac:dyDescent="0.25">
      <c r="A124" s="8" t="s">
        <v>99</v>
      </c>
      <c r="B124" s="9" t="s">
        <v>104</v>
      </c>
      <c r="C124" s="10" t="s">
        <v>105</v>
      </c>
      <c r="D124" s="11">
        <v>55055.32</v>
      </c>
      <c r="F124" s="11">
        <v>0</v>
      </c>
      <c r="G124" s="11">
        <v>1149.97</v>
      </c>
      <c r="H124" s="11">
        <v>0</v>
      </c>
      <c r="J124" s="11">
        <f t="shared" si="21"/>
        <v>56205.29</v>
      </c>
      <c r="L124" s="11">
        <v>82500</v>
      </c>
      <c r="M124" s="12">
        <f t="shared" si="22"/>
        <v>0.68127624242424245</v>
      </c>
      <c r="P124">
        <v>1798.5692800000002</v>
      </c>
      <c r="Q124">
        <v>449.64232000000004</v>
      </c>
      <c r="R124"/>
      <c r="U124" s="2" t="s">
        <v>504</v>
      </c>
      <c r="V124">
        <v>1798.5692800000002</v>
      </c>
      <c r="W124">
        <v>449.64232000000004</v>
      </c>
      <c r="X124"/>
    </row>
    <row r="125" spans="1:24" ht="12.75" customHeight="1" x14ac:dyDescent="0.25">
      <c r="A125" s="8" t="s">
        <v>99</v>
      </c>
      <c r="B125" s="9" t="s">
        <v>106</v>
      </c>
      <c r="C125" s="10" t="s">
        <v>107</v>
      </c>
      <c r="D125" s="11">
        <v>46458.27</v>
      </c>
      <c r="F125" s="11">
        <v>0</v>
      </c>
      <c r="G125" s="11">
        <v>1329.98</v>
      </c>
      <c r="H125" s="11">
        <v>0</v>
      </c>
      <c r="J125" s="11">
        <f t="shared" si="21"/>
        <v>47788.25</v>
      </c>
      <c r="L125" s="11">
        <v>82500</v>
      </c>
      <c r="M125" s="12">
        <f t="shared" si="22"/>
        <v>0.57925151515151518</v>
      </c>
      <c r="P125">
        <v>1529.2239999999999</v>
      </c>
      <c r="Q125">
        <v>382.30599999999998</v>
      </c>
      <c r="R125"/>
      <c r="U125" s="2" t="s">
        <v>505</v>
      </c>
      <c r="V125">
        <v>1529.2239999999999</v>
      </c>
      <c r="W125">
        <v>382.30599999999998</v>
      </c>
      <c r="X125"/>
    </row>
    <row r="126" spans="1:24" ht="12.75" customHeight="1" x14ac:dyDescent="0.25">
      <c r="A126" s="8" t="s">
        <v>99</v>
      </c>
      <c r="B126" s="9" t="s">
        <v>108</v>
      </c>
      <c r="C126" s="10" t="s">
        <v>109</v>
      </c>
      <c r="D126" s="11">
        <v>58183.42</v>
      </c>
      <c r="F126" s="11">
        <v>0</v>
      </c>
      <c r="G126" s="11">
        <v>0</v>
      </c>
      <c r="H126" s="11">
        <v>599.99</v>
      </c>
      <c r="J126" s="11">
        <f t="shared" si="21"/>
        <v>58783.409999999996</v>
      </c>
      <c r="L126" s="11">
        <v>82500</v>
      </c>
      <c r="M126" s="12">
        <f t="shared" si="22"/>
        <v>0.71252618181818173</v>
      </c>
      <c r="P126">
        <v>1881.0691199999999</v>
      </c>
      <c r="Q126">
        <v>470.26727999999997</v>
      </c>
      <c r="R126"/>
      <c r="U126" s="2" t="s">
        <v>506</v>
      </c>
      <c r="V126">
        <v>1881.0691199999999</v>
      </c>
      <c r="W126">
        <v>470.26727999999997</v>
      </c>
      <c r="X126"/>
    </row>
    <row r="127" spans="1:24" ht="12.75" customHeight="1" x14ac:dyDescent="0.25">
      <c r="A127" s="8" t="s">
        <v>99</v>
      </c>
      <c r="B127" s="9" t="s">
        <v>110</v>
      </c>
      <c r="C127" s="10" t="s">
        <v>111</v>
      </c>
      <c r="D127" s="11">
        <v>53063.13</v>
      </c>
      <c r="F127" s="11">
        <v>0</v>
      </c>
      <c r="G127" s="11">
        <v>1499.98</v>
      </c>
      <c r="H127" s="11">
        <v>0</v>
      </c>
      <c r="J127" s="11">
        <f t="shared" si="21"/>
        <v>54563.11</v>
      </c>
      <c r="L127" s="11">
        <v>82500</v>
      </c>
      <c r="M127" s="12">
        <f t="shared" si="22"/>
        <v>0.66137103030303035</v>
      </c>
      <c r="P127">
        <v>1746.0195200000001</v>
      </c>
      <c r="Q127">
        <v>436.50488000000001</v>
      </c>
      <c r="R127"/>
      <c r="U127" s="2" t="s">
        <v>507</v>
      </c>
      <c r="V127">
        <v>1746.0195200000001</v>
      </c>
      <c r="W127">
        <v>436.50488000000001</v>
      </c>
      <c r="X127"/>
    </row>
    <row r="128" spans="1:24" ht="12.75" customHeight="1" x14ac:dyDescent="0.25">
      <c r="A128" s="8" t="s">
        <v>99</v>
      </c>
      <c r="B128" s="9" t="s">
        <v>112</v>
      </c>
      <c r="C128" s="10" t="s">
        <v>113</v>
      </c>
      <c r="D128" s="11">
        <v>70651.94</v>
      </c>
      <c r="F128" s="11">
        <v>0</v>
      </c>
      <c r="G128" s="11">
        <v>1799.97</v>
      </c>
      <c r="H128" s="11">
        <v>0</v>
      </c>
      <c r="J128" s="11">
        <f t="shared" si="21"/>
        <v>72451.91</v>
      </c>
      <c r="L128" s="11">
        <v>82500</v>
      </c>
      <c r="M128" s="12">
        <f t="shared" si="22"/>
        <v>0.87820496969696971</v>
      </c>
      <c r="P128">
        <v>2318.4611199999999</v>
      </c>
      <c r="Q128">
        <v>579.61527999999998</v>
      </c>
      <c r="R128"/>
      <c r="U128" s="2" t="s">
        <v>508</v>
      </c>
      <c r="V128">
        <v>2318.4611199999999</v>
      </c>
      <c r="W128">
        <v>579.61527999999998</v>
      </c>
      <c r="X128"/>
    </row>
    <row r="129" spans="1:24" ht="12.75" customHeight="1" x14ac:dyDescent="0.25">
      <c r="A129" s="8" t="s">
        <v>99</v>
      </c>
      <c r="B129" s="9"/>
      <c r="C129" s="10"/>
      <c r="D129" s="11">
        <v>0</v>
      </c>
      <c r="F129" s="11">
        <v>0</v>
      </c>
      <c r="G129" s="11">
        <v>0</v>
      </c>
      <c r="H129" s="11">
        <v>0</v>
      </c>
      <c r="J129" s="11">
        <f t="shared" si="21"/>
        <v>0</v>
      </c>
      <c r="L129" s="11"/>
      <c r="M129" s="12">
        <f t="shared" si="22"/>
        <v>0</v>
      </c>
      <c r="P129"/>
      <c r="Q129"/>
      <c r="R129"/>
      <c r="V129"/>
      <c r="W129"/>
      <c r="X129"/>
    </row>
    <row r="130" spans="1:24" ht="12.75" customHeight="1" x14ac:dyDescent="0.25">
      <c r="A130" s="8" t="s">
        <v>99</v>
      </c>
      <c r="B130" s="9"/>
      <c r="C130" s="10"/>
      <c r="D130" s="11">
        <v>0</v>
      </c>
      <c r="F130" s="11">
        <v>0</v>
      </c>
      <c r="G130" s="11">
        <v>0</v>
      </c>
      <c r="H130" s="11">
        <v>0</v>
      </c>
      <c r="J130" s="11">
        <f t="shared" si="21"/>
        <v>0</v>
      </c>
      <c r="L130" s="11"/>
      <c r="M130" s="12">
        <f t="shared" si="22"/>
        <v>0</v>
      </c>
      <c r="P130"/>
      <c r="Q130"/>
      <c r="R130"/>
      <c r="V130"/>
      <c r="W130"/>
      <c r="X130"/>
    </row>
    <row r="131" spans="1:24" ht="12.75" customHeight="1" x14ac:dyDescent="0.25">
      <c r="A131" s="8" t="s">
        <v>99</v>
      </c>
      <c r="B131" s="9"/>
      <c r="C131" s="10"/>
      <c r="D131" s="11">
        <v>0</v>
      </c>
      <c r="F131" s="11">
        <v>0</v>
      </c>
      <c r="G131" s="11">
        <v>0</v>
      </c>
      <c r="H131" s="11">
        <v>0</v>
      </c>
      <c r="J131" s="11">
        <f t="shared" si="21"/>
        <v>0</v>
      </c>
      <c r="L131" s="11"/>
      <c r="M131" s="12">
        <f t="shared" si="22"/>
        <v>0</v>
      </c>
      <c r="P131"/>
      <c r="Q131"/>
      <c r="R131"/>
      <c r="V131"/>
      <c r="W131"/>
      <c r="X131"/>
    </row>
    <row r="132" spans="1:24" ht="12.75" customHeight="1" x14ac:dyDescent="0.25">
      <c r="A132" s="8" t="s">
        <v>99</v>
      </c>
      <c r="B132" s="9"/>
      <c r="C132" s="10"/>
      <c r="D132" s="11">
        <v>0</v>
      </c>
      <c r="F132" s="11">
        <v>0</v>
      </c>
      <c r="G132" s="11">
        <v>0</v>
      </c>
      <c r="H132" s="11">
        <v>0</v>
      </c>
      <c r="J132" s="11">
        <f t="shared" si="21"/>
        <v>0</v>
      </c>
      <c r="L132" s="11"/>
      <c r="M132" s="12">
        <f t="shared" si="22"/>
        <v>0</v>
      </c>
      <c r="P132"/>
      <c r="Q132"/>
      <c r="R132"/>
      <c r="V132"/>
      <c r="W132"/>
      <c r="X132"/>
    </row>
    <row r="133" spans="1:24" ht="12.75" customHeight="1" x14ac:dyDescent="0.25">
      <c r="A133" s="13" t="s">
        <v>30</v>
      </c>
      <c r="B133" s="14"/>
      <c r="C133" s="13"/>
      <c r="D133" s="15">
        <v>354744.4</v>
      </c>
      <c r="E133" s="15">
        <v>0</v>
      </c>
      <c r="F133" s="15">
        <v>0</v>
      </c>
      <c r="G133" s="15">
        <v>6959.87</v>
      </c>
      <c r="H133" s="15">
        <v>599.99</v>
      </c>
      <c r="I133" s="15">
        <v>0</v>
      </c>
      <c r="J133" s="15">
        <f t="shared" ref="J133:L133" si="23">SUM(J122:J132)</f>
        <v>374791.97</v>
      </c>
      <c r="L133" s="15">
        <f t="shared" si="23"/>
        <v>495000</v>
      </c>
      <c r="P133"/>
      <c r="Q133"/>
      <c r="R133"/>
      <c r="V133"/>
      <c r="W133"/>
      <c r="X133"/>
    </row>
    <row r="134" spans="1:24" ht="12.75" customHeight="1" x14ac:dyDescent="0.25">
      <c r="P134"/>
      <c r="Q134"/>
      <c r="R134"/>
      <c r="V134"/>
      <c r="W134"/>
      <c r="X134"/>
    </row>
    <row r="135" spans="1:24" ht="12.75" customHeight="1" x14ac:dyDescent="0.25">
      <c r="P135"/>
      <c r="Q135"/>
      <c r="R135"/>
      <c r="V135"/>
      <c r="W135"/>
      <c r="X135"/>
    </row>
    <row r="136" spans="1:24" ht="12.75" customHeight="1" x14ac:dyDescent="0.25">
      <c r="O136" s="5" t="s">
        <v>12</v>
      </c>
      <c r="P136"/>
      <c r="Q136"/>
      <c r="R136"/>
      <c r="V136"/>
      <c r="W136"/>
      <c r="X136"/>
    </row>
    <row r="137" spans="1:24" ht="12.75" customHeight="1" x14ac:dyDescent="0.25">
      <c r="O137" s="11">
        <v>220000</v>
      </c>
      <c r="P137"/>
      <c r="Q137"/>
      <c r="R137"/>
      <c r="V137"/>
      <c r="W137"/>
      <c r="X137"/>
    </row>
    <row r="138" spans="1:24" ht="12.75" customHeight="1" x14ac:dyDescent="0.25">
      <c r="A138" s="4" t="s">
        <v>0</v>
      </c>
      <c r="B138" s="5" t="s">
        <v>1</v>
      </c>
      <c r="C138" s="4" t="s">
        <v>2</v>
      </c>
      <c r="D138" s="5" t="s">
        <v>3</v>
      </c>
      <c r="E138" s="5" t="s">
        <v>4</v>
      </c>
      <c r="F138" s="5" t="s">
        <v>5</v>
      </c>
      <c r="G138" s="5" t="s">
        <v>6</v>
      </c>
      <c r="H138" s="5" t="s">
        <v>7</v>
      </c>
      <c r="I138" s="5" t="s">
        <v>8</v>
      </c>
      <c r="J138" s="5" t="s">
        <v>9</v>
      </c>
      <c r="L138" s="7" t="s">
        <v>10</v>
      </c>
      <c r="M138" s="7" t="s">
        <v>11</v>
      </c>
      <c r="P138"/>
      <c r="Q138"/>
      <c r="R138"/>
      <c r="U138" s="2" t="s">
        <v>508</v>
      </c>
      <c r="V138"/>
      <c r="W138"/>
      <c r="X138"/>
    </row>
    <row r="139" spans="1:24" ht="12.75" customHeight="1" x14ac:dyDescent="0.25">
      <c r="A139" s="8" t="s">
        <v>114</v>
      </c>
      <c r="B139" s="9" t="s">
        <v>115</v>
      </c>
      <c r="C139" s="10" t="s">
        <v>116</v>
      </c>
      <c r="D139" s="11">
        <v>389.96</v>
      </c>
      <c r="F139" s="11">
        <v>0</v>
      </c>
      <c r="G139" s="11">
        <v>0</v>
      </c>
      <c r="H139" s="11">
        <v>0</v>
      </c>
      <c r="J139" s="11">
        <f t="shared" ref="J139:J149" si="24">SUM(D139:I139)</f>
        <v>389.96</v>
      </c>
      <c r="L139" s="11"/>
      <c r="M139" s="12">
        <f t="shared" ref="M139:M149" si="25">IFERROR(J139/L139,)</f>
        <v>0</v>
      </c>
      <c r="P139">
        <v>13.6486</v>
      </c>
      <c r="Q139">
        <v>3.41215</v>
      </c>
      <c r="R139"/>
      <c r="U139" s="2" t="s">
        <v>509</v>
      </c>
      <c r="V139">
        <v>13.6486</v>
      </c>
      <c r="W139">
        <v>3.41215</v>
      </c>
      <c r="X139"/>
    </row>
    <row r="140" spans="1:24" ht="12.75" customHeight="1" x14ac:dyDescent="0.25">
      <c r="A140" s="8" t="s">
        <v>114</v>
      </c>
      <c r="B140" s="9" t="s">
        <v>32</v>
      </c>
      <c r="C140" s="10" t="s">
        <v>117</v>
      </c>
      <c r="D140" s="11">
        <v>49333.01</v>
      </c>
      <c r="F140" s="11">
        <v>0</v>
      </c>
      <c r="G140" s="11">
        <v>0</v>
      </c>
      <c r="H140" s="11">
        <v>0</v>
      </c>
      <c r="J140" s="11">
        <f t="shared" si="24"/>
        <v>49333.01</v>
      </c>
      <c r="L140" s="11">
        <v>49000</v>
      </c>
      <c r="M140" s="12">
        <f t="shared" si="25"/>
        <v>1.0067961224489796</v>
      </c>
      <c r="P140">
        <v>1874.6543799999999</v>
      </c>
      <c r="Q140">
        <v>468.66359499999999</v>
      </c>
      <c r="R140">
        <v>246.66505000000001</v>
      </c>
      <c r="U140" s="2" t="s">
        <v>510</v>
      </c>
      <c r="V140">
        <v>1874.6543799999999</v>
      </c>
      <c r="W140">
        <v>468.66359499999999</v>
      </c>
      <c r="X140">
        <v>246.66505000000001</v>
      </c>
    </row>
    <row r="141" spans="1:24" ht="12.75" customHeight="1" x14ac:dyDescent="0.25">
      <c r="A141" s="8" t="s">
        <v>114</v>
      </c>
      <c r="B141" s="9" t="s">
        <v>118</v>
      </c>
      <c r="C141" s="10" t="s">
        <v>119</v>
      </c>
      <c r="D141" s="11">
        <v>42157.58</v>
      </c>
      <c r="F141" s="11">
        <v>0</v>
      </c>
      <c r="G141" s="11">
        <v>0</v>
      </c>
      <c r="H141" s="11">
        <v>0</v>
      </c>
      <c r="J141" s="11">
        <f t="shared" si="24"/>
        <v>42157.58</v>
      </c>
      <c r="L141" s="11">
        <v>49000</v>
      </c>
      <c r="M141" s="12">
        <f t="shared" si="25"/>
        <v>0.86035877551020412</v>
      </c>
      <c r="P141">
        <v>1475.5153000000003</v>
      </c>
      <c r="Q141">
        <v>368.87882500000006</v>
      </c>
      <c r="R141"/>
      <c r="U141" s="2" t="s">
        <v>511</v>
      </c>
      <c r="V141">
        <v>1475.5153000000003</v>
      </c>
      <c r="W141">
        <v>368.87882500000006</v>
      </c>
      <c r="X141"/>
    </row>
    <row r="142" spans="1:24" ht="12.75" customHeight="1" x14ac:dyDescent="0.25">
      <c r="A142" s="8" t="s">
        <v>114</v>
      </c>
      <c r="B142" s="9" t="s">
        <v>120</v>
      </c>
      <c r="C142" s="10" t="s">
        <v>121</v>
      </c>
      <c r="D142" s="11">
        <v>57673.26</v>
      </c>
      <c r="F142" s="11">
        <v>0</v>
      </c>
      <c r="G142" s="11">
        <v>0</v>
      </c>
      <c r="H142" s="11">
        <v>0</v>
      </c>
      <c r="J142" s="11">
        <f t="shared" si="24"/>
        <v>57673.26</v>
      </c>
      <c r="L142" s="11">
        <v>49000</v>
      </c>
      <c r="M142" s="12">
        <f t="shared" si="25"/>
        <v>1.177005306122449</v>
      </c>
      <c r="P142">
        <v>2364.6036599999998</v>
      </c>
      <c r="Q142">
        <v>591.15091499999994</v>
      </c>
      <c r="R142">
        <v>288.36630000000002</v>
      </c>
      <c r="U142" s="2" t="s">
        <v>512</v>
      </c>
      <c r="V142">
        <v>2364.6036599999998</v>
      </c>
      <c r="W142">
        <v>591.15091499999994</v>
      </c>
      <c r="X142">
        <v>288.36630000000002</v>
      </c>
    </row>
    <row r="143" spans="1:24" ht="12.75" customHeight="1" x14ac:dyDescent="0.25">
      <c r="A143" s="8" t="s">
        <v>114</v>
      </c>
      <c r="B143" s="9" t="s">
        <v>34</v>
      </c>
      <c r="C143" s="10" t="s">
        <v>122</v>
      </c>
      <c r="D143" s="11">
        <v>53825.54</v>
      </c>
      <c r="F143" s="11">
        <v>0</v>
      </c>
      <c r="G143" s="11">
        <v>0</v>
      </c>
      <c r="H143" s="11">
        <v>0</v>
      </c>
      <c r="J143" s="11">
        <f t="shared" si="24"/>
        <v>53825.54</v>
      </c>
      <c r="L143" s="11">
        <v>49000</v>
      </c>
      <c r="M143" s="12">
        <f t="shared" si="25"/>
        <v>1.0984804081632653</v>
      </c>
      <c r="P143">
        <v>2045.3705199999999</v>
      </c>
      <c r="Q143">
        <v>511.34262999999999</v>
      </c>
      <c r="R143">
        <v>269.1277</v>
      </c>
      <c r="U143" s="2" t="s">
        <v>513</v>
      </c>
      <c r="V143">
        <v>2045.3705199999999</v>
      </c>
      <c r="W143">
        <v>511.34262999999999</v>
      </c>
      <c r="X143">
        <v>269.1277</v>
      </c>
    </row>
    <row r="144" spans="1:24" ht="12.75" customHeight="1" x14ac:dyDescent="0.25">
      <c r="A144" s="8" t="s">
        <v>114</v>
      </c>
      <c r="B144" s="9" t="s">
        <v>123</v>
      </c>
      <c r="C144" s="10" t="s">
        <v>124</v>
      </c>
      <c r="D144" s="11">
        <v>73508.850000000006</v>
      </c>
      <c r="F144" s="11">
        <v>0</v>
      </c>
      <c r="G144" s="11">
        <v>0</v>
      </c>
      <c r="H144" s="11">
        <v>0</v>
      </c>
      <c r="J144" s="11">
        <f t="shared" si="24"/>
        <v>73508.850000000006</v>
      </c>
      <c r="L144" s="11">
        <v>49000</v>
      </c>
      <c r="M144" s="12">
        <f t="shared" si="25"/>
        <v>1.5001806122448982</v>
      </c>
      <c r="P144">
        <v>3234.3894000000005</v>
      </c>
      <c r="Q144">
        <v>808.59735000000012</v>
      </c>
      <c r="R144">
        <v>367.54425000000003</v>
      </c>
      <c r="U144" s="2" t="s">
        <v>514</v>
      </c>
      <c r="V144">
        <v>3234.3894000000005</v>
      </c>
      <c r="W144">
        <v>808.59735000000012</v>
      </c>
      <c r="X144">
        <v>367.54425000000003</v>
      </c>
    </row>
    <row r="145" spans="1:24" ht="12.75" customHeight="1" x14ac:dyDescent="0.25">
      <c r="A145" s="8" t="s">
        <v>114</v>
      </c>
      <c r="B145" s="9"/>
      <c r="C145" s="10"/>
      <c r="D145" s="11">
        <v>0</v>
      </c>
      <c r="F145" s="11">
        <v>0</v>
      </c>
      <c r="G145" s="11">
        <v>0</v>
      </c>
      <c r="H145" s="11">
        <v>0</v>
      </c>
      <c r="J145" s="11">
        <f t="shared" si="24"/>
        <v>0</v>
      </c>
      <c r="L145" s="11"/>
      <c r="M145" s="12">
        <f t="shared" si="25"/>
        <v>0</v>
      </c>
      <c r="P145"/>
      <c r="Q145"/>
      <c r="R145"/>
      <c r="V145"/>
      <c r="W145"/>
      <c r="X145"/>
    </row>
    <row r="146" spans="1:24" ht="12.75" customHeight="1" x14ac:dyDescent="0.25">
      <c r="A146" s="8" t="s">
        <v>114</v>
      </c>
      <c r="B146" s="9"/>
      <c r="C146" s="10"/>
      <c r="D146" s="11">
        <v>0</v>
      </c>
      <c r="F146" s="11">
        <v>0</v>
      </c>
      <c r="G146" s="11">
        <v>0</v>
      </c>
      <c r="H146" s="11">
        <v>0</v>
      </c>
      <c r="J146" s="11">
        <f t="shared" si="24"/>
        <v>0</v>
      </c>
      <c r="L146" s="11"/>
      <c r="M146" s="12">
        <f t="shared" si="25"/>
        <v>0</v>
      </c>
      <c r="P146"/>
      <c r="Q146"/>
      <c r="R146"/>
      <c r="V146"/>
      <c r="W146"/>
      <c r="X146"/>
    </row>
    <row r="147" spans="1:24" ht="12.75" customHeight="1" x14ac:dyDescent="0.25">
      <c r="A147" s="8" t="s">
        <v>114</v>
      </c>
      <c r="B147" s="9"/>
      <c r="C147" s="10"/>
      <c r="D147" s="11">
        <v>0</v>
      </c>
      <c r="F147" s="11">
        <v>0</v>
      </c>
      <c r="G147" s="11">
        <v>0</v>
      </c>
      <c r="H147" s="11">
        <v>0</v>
      </c>
      <c r="J147" s="11">
        <f t="shared" si="24"/>
        <v>0</v>
      </c>
      <c r="L147" s="11"/>
      <c r="M147" s="12">
        <f t="shared" si="25"/>
        <v>0</v>
      </c>
      <c r="P147"/>
      <c r="Q147"/>
      <c r="R147"/>
      <c r="V147"/>
      <c r="W147"/>
      <c r="X147"/>
    </row>
    <row r="148" spans="1:24" ht="12.75" customHeight="1" x14ac:dyDescent="0.25">
      <c r="A148" s="8" t="s">
        <v>114</v>
      </c>
      <c r="B148" s="9"/>
      <c r="C148" s="10"/>
      <c r="D148" s="11">
        <v>0</v>
      </c>
      <c r="F148" s="11">
        <v>0</v>
      </c>
      <c r="G148" s="11">
        <v>0</v>
      </c>
      <c r="H148" s="11">
        <v>0</v>
      </c>
      <c r="J148" s="11">
        <f t="shared" si="24"/>
        <v>0</v>
      </c>
      <c r="L148" s="11"/>
      <c r="M148" s="12">
        <f t="shared" si="25"/>
        <v>0</v>
      </c>
      <c r="P148"/>
      <c r="Q148"/>
      <c r="R148"/>
      <c r="V148"/>
      <c r="W148"/>
      <c r="X148"/>
    </row>
    <row r="149" spans="1:24" ht="12.75" customHeight="1" x14ac:dyDescent="0.25">
      <c r="A149" s="8" t="s">
        <v>114</v>
      </c>
      <c r="B149" s="9"/>
      <c r="C149" s="10"/>
      <c r="D149" s="11">
        <v>0</v>
      </c>
      <c r="F149" s="11">
        <v>0</v>
      </c>
      <c r="G149" s="11">
        <v>0</v>
      </c>
      <c r="H149" s="11">
        <v>0</v>
      </c>
      <c r="J149" s="11">
        <f t="shared" si="24"/>
        <v>0</v>
      </c>
      <c r="L149" s="11"/>
      <c r="M149" s="12">
        <f t="shared" si="25"/>
        <v>0</v>
      </c>
      <c r="P149"/>
      <c r="Q149"/>
      <c r="R149"/>
      <c r="V149"/>
      <c r="W149"/>
      <c r="X149"/>
    </row>
    <row r="150" spans="1:24" ht="12.75" customHeight="1" x14ac:dyDescent="0.25">
      <c r="A150" s="13" t="s">
        <v>30</v>
      </c>
      <c r="B150" s="14"/>
      <c r="C150" s="13"/>
      <c r="D150" s="15">
        <v>276888.2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f t="shared" ref="J150:L150" si="26">SUM(J139:J149)</f>
        <v>276888.2</v>
      </c>
      <c r="L150" s="15">
        <f t="shared" si="26"/>
        <v>245000</v>
      </c>
      <c r="P150"/>
      <c r="Q150"/>
      <c r="R150"/>
      <c r="V150"/>
      <c r="W150"/>
      <c r="X150"/>
    </row>
    <row r="151" spans="1:24" ht="12.75" customHeight="1" x14ac:dyDescent="0.25">
      <c r="P151"/>
      <c r="Q151"/>
      <c r="R151"/>
      <c r="V151"/>
      <c r="W151"/>
      <c r="X151"/>
    </row>
    <row r="152" spans="1:24" ht="12.75" customHeight="1" x14ac:dyDescent="0.25">
      <c r="P152"/>
      <c r="Q152"/>
      <c r="R152"/>
      <c r="V152"/>
      <c r="W152"/>
      <c r="X152"/>
    </row>
    <row r="153" spans="1:24" ht="12.75" customHeight="1" x14ac:dyDescent="0.25">
      <c r="O153" s="5" t="s">
        <v>12</v>
      </c>
      <c r="P153"/>
      <c r="Q153"/>
      <c r="R153"/>
      <c r="V153"/>
      <c r="W153"/>
      <c r="X153"/>
    </row>
    <row r="154" spans="1:24" ht="12.75" customHeight="1" x14ac:dyDescent="0.25">
      <c r="O154" s="11">
        <v>190000</v>
      </c>
      <c r="P154"/>
      <c r="Q154"/>
      <c r="R154"/>
      <c r="V154"/>
      <c r="W154"/>
      <c r="X154"/>
    </row>
    <row r="155" spans="1:24" ht="12.75" customHeight="1" x14ac:dyDescent="0.25">
      <c r="A155" s="4" t="s">
        <v>0</v>
      </c>
      <c r="B155" s="5" t="s">
        <v>1</v>
      </c>
      <c r="C155" s="4" t="s">
        <v>2</v>
      </c>
      <c r="D155" s="5" t="s">
        <v>3</v>
      </c>
      <c r="E155" s="5" t="s">
        <v>4</v>
      </c>
      <c r="F155" s="5" t="s">
        <v>5</v>
      </c>
      <c r="G155" s="5" t="s">
        <v>6</v>
      </c>
      <c r="H155" s="5" t="s">
        <v>7</v>
      </c>
      <c r="I155" s="5" t="s">
        <v>8</v>
      </c>
      <c r="J155" s="5" t="s">
        <v>9</v>
      </c>
      <c r="L155" s="7" t="s">
        <v>10</v>
      </c>
      <c r="M155" s="7" t="s">
        <v>11</v>
      </c>
      <c r="P155"/>
      <c r="Q155"/>
      <c r="R155"/>
      <c r="U155" s="2" t="s">
        <v>514</v>
      </c>
      <c r="V155"/>
      <c r="W155"/>
      <c r="X155"/>
    </row>
    <row r="156" spans="1:24" ht="12.75" customHeight="1" x14ac:dyDescent="0.25">
      <c r="A156" s="8" t="s">
        <v>125</v>
      </c>
      <c r="B156" s="9" t="s">
        <v>126</v>
      </c>
      <c r="C156" s="10" t="s">
        <v>127</v>
      </c>
      <c r="D156" s="11">
        <v>4.5474735088649996E-13</v>
      </c>
      <c r="F156" s="11">
        <v>0</v>
      </c>
      <c r="G156" s="11">
        <v>0</v>
      </c>
      <c r="H156" s="11">
        <v>0</v>
      </c>
      <c r="J156" s="11">
        <f t="shared" ref="J156:J166" si="27">SUM(D156:I156)</f>
        <v>4.5474735088649996E-13</v>
      </c>
      <c r="L156" s="11"/>
      <c r="M156" s="12">
        <f t="shared" ref="M156:M166" si="28">IFERROR(J156/L156,)</f>
        <v>0</v>
      </c>
      <c r="P156">
        <v>1.4551915228368001E-14</v>
      </c>
      <c r="Q156">
        <v>3.6379788070920002E-15</v>
      </c>
      <c r="R156"/>
      <c r="U156" s="2" t="s">
        <v>515</v>
      </c>
      <c r="V156">
        <v>1.4551915228368001E-14</v>
      </c>
      <c r="W156">
        <v>3.6379788070920002E-15</v>
      </c>
      <c r="X156"/>
    </row>
    <row r="157" spans="1:24" ht="12.75" customHeight="1" x14ac:dyDescent="0.25">
      <c r="A157" s="8" t="s">
        <v>125</v>
      </c>
      <c r="B157" s="9" t="s">
        <v>128</v>
      </c>
      <c r="C157" s="10" t="s">
        <v>129</v>
      </c>
      <c r="D157" s="11">
        <v>81075.16</v>
      </c>
      <c r="F157" s="11">
        <v>0</v>
      </c>
      <c r="G157" s="11">
        <v>0</v>
      </c>
      <c r="H157" s="11">
        <v>0</v>
      </c>
      <c r="J157" s="11">
        <f t="shared" si="27"/>
        <v>81075.16</v>
      </c>
      <c r="L157" s="11">
        <v>52500</v>
      </c>
      <c r="M157" s="12">
        <f t="shared" si="28"/>
        <v>1.5442887619047621</v>
      </c>
      <c r="P157">
        <v>2594.4051200000004</v>
      </c>
      <c r="Q157">
        <v>648.60128000000009</v>
      </c>
      <c r="R157">
        <v>405.37580000000003</v>
      </c>
      <c r="U157" s="2" t="s">
        <v>516</v>
      </c>
      <c r="V157">
        <v>2594.4051200000004</v>
      </c>
      <c r="W157">
        <v>648.60128000000009</v>
      </c>
      <c r="X157">
        <v>405.37580000000003</v>
      </c>
    </row>
    <row r="158" spans="1:24" ht="12.75" customHeight="1" x14ac:dyDescent="0.25">
      <c r="A158" s="8" t="s">
        <v>125</v>
      </c>
      <c r="B158" s="9" t="s">
        <v>130</v>
      </c>
      <c r="C158" s="10" t="s">
        <v>131</v>
      </c>
      <c r="D158" s="11">
        <v>65851.91</v>
      </c>
      <c r="F158" s="11">
        <v>0</v>
      </c>
      <c r="G158" s="11">
        <v>0</v>
      </c>
      <c r="H158" s="11">
        <v>0</v>
      </c>
      <c r="J158" s="11">
        <f t="shared" si="27"/>
        <v>65851.91</v>
      </c>
      <c r="L158" s="11">
        <v>52500</v>
      </c>
      <c r="M158" s="12">
        <f t="shared" si="28"/>
        <v>1.2543220952380953</v>
      </c>
      <c r="P158">
        <v>2107.2611200000001</v>
      </c>
      <c r="Q158">
        <v>526.81528000000003</v>
      </c>
      <c r="R158">
        <v>329.25955000000005</v>
      </c>
      <c r="U158" s="2" t="s">
        <v>517</v>
      </c>
      <c r="V158">
        <v>2107.2611200000001</v>
      </c>
      <c r="W158">
        <v>526.81528000000003</v>
      </c>
      <c r="X158">
        <v>329.25955000000005</v>
      </c>
    </row>
    <row r="159" spans="1:24" ht="12.75" customHeight="1" x14ac:dyDescent="0.25">
      <c r="A159" s="8" t="s">
        <v>125</v>
      </c>
      <c r="B159" s="9" t="s">
        <v>132</v>
      </c>
      <c r="C159" s="10" t="s">
        <v>133</v>
      </c>
      <c r="D159" s="11">
        <v>16173.42</v>
      </c>
      <c r="F159" s="11">
        <v>0</v>
      </c>
      <c r="G159" s="11">
        <v>0</v>
      </c>
      <c r="H159" s="11">
        <v>0</v>
      </c>
      <c r="J159" s="11">
        <f t="shared" si="27"/>
        <v>16173.42</v>
      </c>
      <c r="L159" s="11">
        <v>52500</v>
      </c>
      <c r="M159" s="12">
        <f t="shared" si="28"/>
        <v>0.30806514285714287</v>
      </c>
      <c r="P159">
        <v>517.54944</v>
      </c>
      <c r="Q159">
        <v>129.38736</v>
      </c>
      <c r="R159"/>
      <c r="U159" s="2" t="s">
        <v>518</v>
      </c>
      <c r="V159">
        <v>517.54944</v>
      </c>
      <c r="W159">
        <v>129.38736</v>
      </c>
      <c r="X159"/>
    </row>
    <row r="160" spans="1:24" ht="12.75" customHeight="1" x14ac:dyDescent="0.25">
      <c r="A160" s="8" t="s">
        <v>125</v>
      </c>
      <c r="B160" s="9" t="s">
        <v>86</v>
      </c>
      <c r="C160" s="10" t="s">
        <v>134</v>
      </c>
      <c r="D160" s="11">
        <v>57905.07</v>
      </c>
      <c r="F160" s="11">
        <v>0</v>
      </c>
      <c r="G160" s="11">
        <v>0</v>
      </c>
      <c r="H160" s="11">
        <v>0</v>
      </c>
      <c r="J160" s="11">
        <f t="shared" si="27"/>
        <v>57905.07</v>
      </c>
      <c r="L160" s="11">
        <v>52500</v>
      </c>
      <c r="M160" s="12">
        <f t="shared" si="28"/>
        <v>1.1029537142857142</v>
      </c>
      <c r="P160">
        <v>1852.9622400000001</v>
      </c>
      <c r="Q160">
        <v>463.24056000000002</v>
      </c>
      <c r="R160">
        <v>289.52535</v>
      </c>
      <c r="U160" s="2" t="s">
        <v>519</v>
      </c>
      <c r="V160">
        <v>1852.9622400000001</v>
      </c>
      <c r="W160">
        <v>463.24056000000002</v>
      </c>
      <c r="X160">
        <v>289.52535</v>
      </c>
    </row>
    <row r="161" spans="1:24" ht="12.75" customHeight="1" x14ac:dyDescent="0.25">
      <c r="A161" s="8" t="s">
        <v>125</v>
      </c>
      <c r="B161" s="9"/>
      <c r="C161" s="10"/>
      <c r="D161" s="11">
        <v>0</v>
      </c>
      <c r="F161" s="11">
        <v>0</v>
      </c>
      <c r="G161" s="11">
        <v>0</v>
      </c>
      <c r="H161" s="11">
        <v>0</v>
      </c>
      <c r="J161" s="11">
        <f t="shared" si="27"/>
        <v>0</v>
      </c>
      <c r="L161" s="11"/>
      <c r="M161" s="12">
        <f t="shared" si="28"/>
        <v>0</v>
      </c>
      <c r="P161"/>
      <c r="Q161"/>
      <c r="R161"/>
      <c r="V161"/>
      <c r="W161"/>
      <c r="X161"/>
    </row>
    <row r="162" spans="1:24" ht="12.75" customHeight="1" x14ac:dyDescent="0.25">
      <c r="A162" s="8" t="s">
        <v>125</v>
      </c>
      <c r="B162" s="9"/>
      <c r="C162" s="10"/>
      <c r="D162" s="11">
        <v>0</v>
      </c>
      <c r="F162" s="11">
        <v>0</v>
      </c>
      <c r="G162" s="11">
        <v>0</v>
      </c>
      <c r="H162" s="11">
        <v>0</v>
      </c>
      <c r="J162" s="11">
        <f t="shared" si="27"/>
        <v>0</v>
      </c>
      <c r="L162" s="11"/>
      <c r="M162" s="12">
        <f t="shared" si="28"/>
        <v>0</v>
      </c>
      <c r="P162"/>
      <c r="Q162"/>
      <c r="R162"/>
      <c r="V162"/>
      <c r="W162"/>
      <c r="X162"/>
    </row>
    <row r="163" spans="1:24" ht="12.75" customHeight="1" x14ac:dyDescent="0.25">
      <c r="A163" s="8" t="s">
        <v>125</v>
      </c>
      <c r="B163" s="9"/>
      <c r="C163" s="10"/>
      <c r="D163" s="11">
        <v>0</v>
      </c>
      <c r="F163" s="11">
        <v>0</v>
      </c>
      <c r="G163" s="11">
        <v>0</v>
      </c>
      <c r="H163" s="11">
        <v>0</v>
      </c>
      <c r="J163" s="11">
        <f t="shared" si="27"/>
        <v>0</v>
      </c>
      <c r="L163" s="11"/>
      <c r="M163" s="12">
        <f t="shared" si="28"/>
        <v>0</v>
      </c>
      <c r="P163"/>
      <c r="Q163"/>
      <c r="R163"/>
      <c r="V163"/>
      <c r="W163"/>
      <c r="X163"/>
    </row>
    <row r="164" spans="1:24" ht="12.75" customHeight="1" x14ac:dyDescent="0.25">
      <c r="A164" s="8" t="s">
        <v>125</v>
      </c>
      <c r="B164" s="9"/>
      <c r="C164" s="10"/>
      <c r="D164" s="11">
        <v>0</v>
      </c>
      <c r="F164" s="11">
        <v>0</v>
      </c>
      <c r="G164" s="11">
        <v>0</v>
      </c>
      <c r="H164" s="11">
        <v>0</v>
      </c>
      <c r="J164" s="11">
        <f t="shared" si="27"/>
        <v>0</v>
      </c>
      <c r="L164" s="11"/>
      <c r="M164" s="12">
        <f t="shared" si="28"/>
        <v>0</v>
      </c>
      <c r="P164"/>
      <c r="Q164"/>
      <c r="R164"/>
      <c r="V164"/>
      <c r="W164"/>
      <c r="X164"/>
    </row>
    <row r="165" spans="1:24" ht="12.75" customHeight="1" x14ac:dyDescent="0.25">
      <c r="A165" s="8" t="s">
        <v>125</v>
      </c>
      <c r="B165" s="9"/>
      <c r="C165" s="10"/>
      <c r="D165" s="11">
        <v>0</v>
      </c>
      <c r="F165" s="11">
        <v>0</v>
      </c>
      <c r="G165" s="11">
        <v>0</v>
      </c>
      <c r="H165" s="11">
        <v>0</v>
      </c>
      <c r="J165" s="11">
        <f t="shared" si="27"/>
        <v>0</v>
      </c>
      <c r="L165" s="11"/>
      <c r="M165" s="12">
        <f t="shared" si="28"/>
        <v>0</v>
      </c>
      <c r="P165"/>
      <c r="Q165"/>
      <c r="R165"/>
      <c r="V165"/>
      <c r="W165"/>
      <c r="X165"/>
    </row>
    <row r="166" spans="1:24" ht="12.75" customHeight="1" x14ac:dyDescent="0.25">
      <c r="A166" s="8" t="s">
        <v>125</v>
      </c>
      <c r="B166" s="9"/>
      <c r="C166" s="10"/>
      <c r="D166" s="11">
        <v>0</v>
      </c>
      <c r="F166" s="11">
        <v>0</v>
      </c>
      <c r="G166" s="11">
        <v>0</v>
      </c>
      <c r="H166" s="11">
        <v>0</v>
      </c>
      <c r="J166" s="11">
        <f t="shared" si="27"/>
        <v>0</v>
      </c>
      <c r="L166" s="11"/>
      <c r="M166" s="12">
        <f t="shared" si="28"/>
        <v>0</v>
      </c>
      <c r="P166"/>
      <c r="Q166"/>
      <c r="R166"/>
      <c r="V166"/>
      <c r="W166"/>
      <c r="X166"/>
    </row>
    <row r="167" spans="1:24" ht="12.75" customHeight="1" x14ac:dyDescent="0.25">
      <c r="A167" s="13" t="s">
        <v>30</v>
      </c>
      <c r="B167" s="14"/>
      <c r="C167" s="13"/>
      <c r="D167" s="15">
        <v>221005.56000000003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f t="shared" ref="J167:L167" si="29">SUM(J156:J166)</f>
        <v>221005.56000000003</v>
      </c>
      <c r="L167" s="15">
        <f t="shared" si="29"/>
        <v>210000</v>
      </c>
      <c r="P167"/>
      <c r="Q167"/>
      <c r="R167"/>
      <c r="V167"/>
      <c r="W167"/>
      <c r="X167"/>
    </row>
    <row r="168" spans="1:24" ht="12.75" customHeight="1" x14ac:dyDescent="0.25">
      <c r="P168"/>
      <c r="Q168"/>
      <c r="R168"/>
      <c r="V168"/>
      <c r="W168"/>
      <c r="X168"/>
    </row>
    <row r="169" spans="1:24" ht="12.75" customHeight="1" x14ac:dyDescent="0.25">
      <c r="P169"/>
      <c r="Q169"/>
      <c r="R169"/>
      <c r="V169"/>
      <c r="W169"/>
      <c r="X169"/>
    </row>
    <row r="170" spans="1:24" ht="12.75" customHeight="1" x14ac:dyDescent="0.25">
      <c r="O170" s="5" t="s">
        <v>12</v>
      </c>
      <c r="P170"/>
      <c r="Q170"/>
      <c r="R170"/>
      <c r="V170"/>
      <c r="W170"/>
      <c r="X170"/>
    </row>
    <row r="171" spans="1:24" ht="12.75" customHeight="1" x14ac:dyDescent="0.25">
      <c r="O171" s="11">
        <v>190000</v>
      </c>
      <c r="P171"/>
      <c r="Q171"/>
      <c r="R171"/>
      <c r="V171"/>
      <c r="W171"/>
      <c r="X171"/>
    </row>
    <row r="172" spans="1:24" ht="12.75" customHeight="1" x14ac:dyDescent="0.25">
      <c r="A172" s="4" t="s">
        <v>0</v>
      </c>
      <c r="B172" s="5" t="s">
        <v>1</v>
      </c>
      <c r="C172" s="4" t="s">
        <v>2</v>
      </c>
      <c r="D172" s="5" t="s">
        <v>3</v>
      </c>
      <c r="E172" s="5" t="s">
        <v>4</v>
      </c>
      <c r="F172" s="5" t="s">
        <v>5</v>
      </c>
      <c r="G172" s="5" t="s">
        <v>6</v>
      </c>
      <c r="H172" s="5" t="s">
        <v>7</v>
      </c>
      <c r="I172" s="5" t="s">
        <v>8</v>
      </c>
      <c r="J172" s="5" t="s">
        <v>9</v>
      </c>
      <c r="L172" s="7" t="s">
        <v>10</v>
      </c>
      <c r="M172" s="7" t="s">
        <v>11</v>
      </c>
      <c r="P172"/>
      <c r="Q172"/>
      <c r="R172"/>
      <c r="U172" s="2" t="s">
        <v>519</v>
      </c>
      <c r="V172"/>
      <c r="W172"/>
      <c r="X172"/>
    </row>
    <row r="173" spans="1:24" ht="12.75" customHeight="1" x14ac:dyDescent="0.25">
      <c r="A173" s="8" t="s">
        <v>135</v>
      </c>
      <c r="B173" s="9" t="s">
        <v>126</v>
      </c>
      <c r="C173" s="10" t="s">
        <v>136</v>
      </c>
      <c r="D173" s="11">
        <v>995.96</v>
      </c>
      <c r="F173" s="11">
        <v>0</v>
      </c>
      <c r="G173" s="11">
        <v>0</v>
      </c>
      <c r="H173" s="11">
        <v>0</v>
      </c>
      <c r="J173" s="11">
        <f t="shared" ref="J173:J183" si="30">SUM(D173:I173)</f>
        <v>995.96</v>
      </c>
      <c r="L173" s="11"/>
      <c r="M173" s="12">
        <f t="shared" ref="M173:M183" si="31">IFERROR(J173/L173,)</f>
        <v>0</v>
      </c>
      <c r="P173">
        <v>27.886880000000001</v>
      </c>
      <c r="Q173">
        <v>6.9717200000000004</v>
      </c>
      <c r="R173"/>
      <c r="U173" s="2" t="s">
        <v>520</v>
      </c>
      <c r="V173">
        <v>27.886880000000001</v>
      </c>
      <c r="W173">
        <v>6.9717200000000004</v>
      </c>
      <c r="X173"/>
    </row>
    <row r="174" spans="1:24" ht="12.75" customHeight="1" x14ac:dyDescent="0.25">
      <c r="A174" s="8" t="s">
        <v>135</v>
      </c>
      <c r="B174" s="9" t="s">
        <v>137</v>
      </c>
      <c r="C174" s="10" t="s">
        <v>138</v>
      </c>
      <c r="D174" s="11">
        <v>53698.93</v>
      </c>
      <c r="F174" s="11">
        <v>0</v>
      </c>
      <c r="G174" s="11">
        <v>0</v>
      </c>
      <c r="H174" s="11">
        <v>0</v>
      </c>
      <c r="J174" s="11">
        <f t="shared" si="30"/>
        <v>53698.93</v>
      </c>
      <c r="L174" s="11">
        <v>52500</v>
      </c>
      <c r="M174" s="12">
        <f t="shared" si="31"/>
        <v>1.0228367619047618</v>
      </c>
      <c r="P174">
        <v>1503.5700400000001</v>
      </c>
      <c r="Q174">
        <v>375.89251000000002</v>
      </c>
      <c r="R174">
        <v>268.49464999999998</v>
      </c>
      <c r="U174" s="2" t="s">
        <v>521</v>
      </c>
      <c r="V174">
        <v>1503.5700400000001</v>
      </c>
      <c r="W174">
        <v>375.89251000000002</v>
      </c>
      <c r="X174">
        <v>268.49464999999998</v>
      </c>
    </row>
    <row r="175" spans="1:24" ht="12.75" customHeight="1" x14ac:dyDescent="0.25">
      <c r="A175" s="8" t="s">
        <v>135</v>
      </c>
      <c r="B175" s="9" t="s">
        <v>139</v>
      </c>
      <c r="C175" s="10" t="s">
        <v>140</v>
      </c>
      <c r="D175" s="11">
        <v>45440.77</v>
      </c>
      <c r="F175" s="11">
        <v>0</v>
      </c>
      <c r="G175" s="11">
        <v>0</v>
      </c>
      <c r="H175" s="11">
        <v>0</v>
      </c>
      <c r="J175" s="11">
        <f t="shared" si="30"/>
        <v>45440.77</v>
      </c>
      <c r="L175" s="11">
        <v>52500</v>
      </c>
      <c r="M175" s="12">
        <f t="shared" si="31"/>
        <v>0.86553847619047608</v>
      </c>
      <c r="P175">
        <v>1272.3415599999998</v>
      </c>
      <c r="Q175">
        <v>318.08538999999996</v>
      </c>
      <c r="R175"/>
      <c r="U175" s="2" t="s">
        <v>522</v>
      </c>
      <c r="V175">
        <v>1272.3415599999998</v>
      </c>
      <c r="W175">
        <v>318.08538999999996</v>
      </c>
      <c r="X175"/>
    </row>
    <row r="176" spans="1:24" ht="12.75" customHeight="1" x14ac:dyDescent="0.25">
      <c r="A176" s="8" t="s">
        <v>135</v>
      </c>
      <c r="B176" s="9" t="s">
        <v>51</v>
      </c>
      <c r="C176" s="10" t="s">
        <v>141</v>
      </c>
      <c r="D176" s="11">
        <v>61887.03</v>
      </c>
      <c r="F176" s="11">
        <v>0</v>
      </c>
      <c r="G176" s="11">
        <v>0</v>
      </c>
      <c r="H176" s="11">
        <v>0</v>
      </c>
      <c r="J176" s="11">
        <f t="shared" si="30"/>
        <v>61887.03</v>
      </c>
      <c r="L176" s="11">
        <v>52500</v>
      </c>
      <c r="M176" s="12">
        <f t="shared" si="31"/>
        <v>1.1788005714285714</v>
      </c>
      <c r="P176">
        <v>1732.8368399999999</v>
      </c>
      <c r="Q176">
        <v>433.20920999999998</v>
      </c>
      <c r="R176">
        <v>309.43515000000002</v>
      </c>
      <c r="U176" s="2" t="s">
        <v>523</v>
      </c>
      <c r="V176">
        <v>1732.8368399999999</v>
      </c>
      <c r="W176">
        <v>433.20920999999998</v>
      </c>
      <c r="X176">
        <v>309.43515000000002</v>
      </c>
    </row>
    <row r="177" spans="1:24" ht="12.75" customHeight="1" x14ac:dyDescent="0.25">
      <c r="A177" s="8" t="s">
        <v>135</v>
      </c>
      <c r="B177" s="9" t="s">
        <v>118</v>
      </c>
      <c r="C177" s="10" t="s">
        <v>142</v>
      </c>
      <c r="D177" s="11">
        <v>55154.25</v>
      </c>
      <c r="F177" s="11">
        <v>0</v>
      </c>
      <c r="G177" s="11">
        <v>0</v>
      </c>
      <c r="H177" s="11">
        <v>0</v>
      </c>
      <c r="J177" s="11">
        <f t="shared" si="30"/>
        <v>55154.25</v>
      </c>
      <c r="L177" s="11">
        <v>52500</v>
      </c>
      <c r="M177" s="12">
        <f t="shared" si="31"/>
        <v>1.050557142857143</v>
      </c>
      <c r="P177">
        <v>1544.319</v>
      </c>
      <c r="Q177">
        <v>386.07974999999999</v>
      </c>
      <c r="R177">
        <v>275.77125000000001</v>
      </c>
      <c r="U177" s="2" t="s">
        <v>524</v>
      </c>
      <c r="V177">
        <v>1544.319</v>
      </c>
      <c r="W177">
        <v>386.07974999999999</v>
      </c>
      <c r="X177">
        <v>275.77125000000001</v>
      </c>
    </row>
    <row r="178" spans="1:24" ht="12.75" customHeight="1" x14ac:dyDescent="0.25">
      <c r="A178" s="8" t="s">
        <v>135</v>
      </c>
      <c r="B178" s="9"/>
      <c r="C178" s="10"/>
      <c r="D178" s="11">
        <v>0</v>
      </c>
      <c r="F178" s="11">
        <v>0</v>
      </c>
      <c r="G178" s="11">
        <v>0</v>
      </c>
      <c r="H178" s="11">
        <v>0</v>
      </c>
      <c r="J178" s="11">
        <f t="shared" si="30"/>
        <v>0</v>
      </c>
      <c r="L178" s="11"/>
      <c r="M178" s="12">
        <f t="shared" si="31"/>
        <v>0</v>
      </c>
      <c r="P178"/>
      <c r="Q178"/>
      <c r="R178"/>
      <c r="V178"/>
      <c r="W178"/>
      <c r="X178"/>
    </row>
    <row r="179" spans="1:24" ht="12.75" customHeight="1" x14ac:dyDescent="0.25">
      <c r="A179" s="8" t="s">
        <v>135</v>
      </c>
      <c r="B179" s="9"/>
      <c r="C179" s="10"/>
      <c r="D179" s="11">
        <v>0</v>
      </c>
      <c r="F179" s="11">
        <v>0</v>
      </c>
      <c r="G179" s="11">
        <v>0</v>
      </c>
      <c r="H179" s="11">
        <v>0</v>
      </c>
      <c r="J179" s="11">
        <f t="shared" si="30"/>
        <v>0</v>
      </c>
      <c r="L179" s="11"/>
      <c r="M179" s="12">
        <f t="shared" si="31"/>
        <v>0</v>
      </c>
      <c r="P179"/>
      <c r="Q179"/>
      <c r="R179"/>
      <c r="V179"/>
      <c r="W179"/>
      <c r="X179"/>
    </row>
    <row r="180" spans="1:24" ht="12.75" customHeight="1" x14ac:dyDescent="0.25">
      <c r="A180" s="8" t="s">
        <v>135</v>
      </c>
      <c r="B180" s="9"/>
      <c r="C180" s="10"/>
      <c r="D180" s="11">
        <v>0</v>
      </c>
      <c r="F180" s="11">
        <v>0</v>
      </c>
      <c r="G180" s="11">
        <v>0</v>
      </c>
      <c r="H180" s="11">
        <v>0</v>
      </c>
      <c r="J180" s="11">
        <f t="shared" si="30"/>
        <v>0</v>
      </c>
      <c r="L180" s="11"/>
      <c r="M180" s="12">
        <f t="shared" si="31"/>
        <v>0</v>
      </c>
      <c r="P180"/>
      <c r="Q180"/>
      <c r="R180"/>
      <c r="V180"/>
      <c r="W180"/>
      <c r="X180"/>
    </row>
    <row r="181" spans="1:24" ht="12.75" customHeight="1" x14ac:dyDescent="0.25">
      <c r="A181" s="8" t="s">
        <v>135</v>
      </c>
      <c r="B181" s="9"/>
      <c r="C181" s="10"/>
      <c r="D181" s="11">
        <v>0</v>
      </c>
      <c r="F181" s="11">
        <v>0</v>
      </c>
      <c r="G181" s="11">
        <v>0</v>
      </c>
      <c r="H181" s="11">
        <v>0</v>
      </c>
      <c r="J181" s="11">
        <f t="shared" si="30"/>
        <v>0</v>
      </c>
      <c r="L181" s="11"/>
      <c r="M181" s="12">
        <f t="shared" si="31"/>
        <v>0</v>
      </c>
      <c r="P181"/>
      <c r="Q181"/>
      <c r="R181"/>
      <c r="V181"/>
      <c r="W181"/>
      <c r="X181"/>
    </row>
    <row r="182" spans="1:24" ht="12.75" customHeight="1" x14ac:dyDescent="0.25">
      <c r="A182" s="8" t="s">
        <v>135</v>
      </c>
      <c r="B182" s="9"/>
      <c r="C182" s="10"/>
      <c r="D182" s="11">
        <v>0</v>
      </c>
      <c r="F182" s="11">
        <v>0</v>
      </c>
      <c r="G182" s="11">
        <v>0</v>
      </c>
      <c r="H182" s="11">
        <v>0</v>
      </c>
      <c r="J182" s="11">
        <f t="shared" si="30"/>
        <v>0</v>
      </c>
      <c r="L182" s="11"/>
      <c r="M182" s="12">
        <f t="shared" si="31"/>
        <v>0</v>
      </c>
      <c r="P182"/>
      <c r="Q182"/>
      <c r="R182"/>
      <c r="V182"/>
      <c r="W182"/>
      <c r="X182"/>
    </row>
    <row r="183" spans="1:24" ht="12.75" customHeight="1" x14ac:dyDescent="0.25">
      <c r="A183" s="8" t="s">
        <v>135</v>
      </c>
      <c r="B183" s="9"/>
      <c r="C183" s="10"/>
      <c r="D183" s="11">
        <v>0</v>
      </c>
      <c r="F183" s="11">
        <v>0</v>
      </c>
      <c r="G183" s="11">
        <v>0</v>
      </c>
      <c r="H183" s="11">
        <v>0</v>
      </c>
      <c r="J183" s="11">
        <f t="shared" si="30"/>
        <v>0</v>
      </c>
      <c r="L183" s="11"/>
      <c r="M183" s="12">
        <f t="shared" si="31"/>
        <v>0</v>
      </c>
      <c r="P183"/>
      <c r="Q183"/>
      <c r="R183"/>
      <c r="V183"/>
      <c r="W183"/>
      <c r="X183"/>
    </row>
    <row r="184" spans="1:24" ht="12.75" customHeight="1" x14ac:dyDescent="0.25">
      <c r="A184" s="13" t="s">
        <v>30</v>
      </c>
      <c r="B184" s="14"/>
      <c r="C184" s="13"/>
      <c r="D184" s="15">
        <v>217176.94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f t="shared" ref="J184:L184" si="32">SUM(J173:J183)</f>
        <v>217176.94</v>
      </c>
      <c r="L184" s="15">
        <f t="shared" si="32"/>
        <v>210000</v>
      </c>
      <c r="P184"/>
      <c r="Q184"/>
      <c r="R184"/>
      <c r="V184"/>
      <c r="W184"/>
      <c r="X184"/>
    </row>
    <row r="185" spans="1:24" ht="12.75" customHeight="1" x14ac:dyDescent="0.25">
      <c r="P185"/>
      <c r="Q185"/>
      <c r="R185"/>
      <c r="V185"/>
      <c r="W185"/>
      <c r="X185"/>
    </row>
    <row r="186" spans="1:24" ht="12.75" customHeight="1" x14ac:dyDescent="0.25">
      <c r="P186"/>
      <c r="Q186"/>
      <c r="R186"/>
      <c r="V186"/>
      <c r="W186"/>
      <c r="X186"/>
    </row>
    <row r="187" spans="1:24" ht="12.75" customHeight="1" x14ac:dyDescent="0.25">
      <c r="O187" s="5" t="s">
        <v>12</v>
      </c>
      <c r="P187"/>
      <c r="Q187"/>
      <c r="R187"/>
      <c r="V187"/>
      <c r="W187"/>
      <c r="X187"/>
    </row>
    <row r="188" spans="1:24" ht="12.75" customHeight="1" x14ac:dyDescent="0.25">
      <c r="O188" s="11">
        <v>350000</v>
      </c>
      <c r="P188"/>
      <c r="Q188"/>
      <c r="R188"/>
      <c r="V188"/>
      <c r="W188"/>
      <c r="X188"/>
    </row>
    <row r="189" spans="1:24" ht="12.75" customHeight="1" x14ac:dyDescent="0.25">
      <c r="A189" s="4" t="s">
        <v>0</v>
      </c>
      <c r="B189" s="5" t="s">
        <v>1</v>
      </c>
      <c r="C189" s="4" t="s">
        <v>2</v>
      </c>
      <c r="D189" s="5" t="s">
        <v>3</v>
      </c>
      <c r="E189" s="5" t="s">
        <v>4</v>
      </c>
      <c r="F189" s="5" t="s">
        <v>5</v>
      </c>
      <c r="G189" s="5" t="s">
        <v>6</v>
      </c>
      <c r="H189" s="5" t="s">
        <v>7</v>
      </c>
      <c r="I189" s="5" t="s">
        <v>8</v>
      </c>
      <c r="J189" s="5" t="s">
        <v>9</v>
      </c>
      <c r="L189" s="7" t="s">
        <v>10</v>
      </c>
      <c r="M189" s="7" t="s">
        <v>11</v>
      </c>
      <c r="P189"/>
      <c r="Q189"/>
      <c r="R189"/>
      <c r="U189" s="2" t="s">
        <v>524</v>
      </c>
      <c r="V189"/>
      <c r="W189"/>
      <c r="X189"/>
    </row>
    <row r="190" spans="1:24" ht="12.75" customHeight="1" x14ac:dyDescent="0.25">
      <c r="A190" s="8" t="s">
        <v>143</v>
      </c>
      <c r="B190" s="9" t="s">
        <v>126</v>
      </c>
      <c r="C190" s="10" t="s">
        <v>144</v>
      </c>
      <c r="D190" s="11">
        <v>3461.78</v>
      </c>
      <c r="F190" s="11">
        <v>0</v>
      </c>
      <c r="G190" s="11">
        <v>0</v>
      </c>
      <c r="H190" s="11">
        <v>0</v>
      </c>
      <c r="J190" s="11">
        <f t="shared" ref="J190:J200" si="33">SUM(D190:I190)</f>
        <v>3461.78</v>
      </c>
      <c r="L190" s="11"/>
      <c r="M190" s="12">
        <f t="shared" ref="M190:M200" si="34">IFERROR(J190/L190,)</f>
        <v>0</v>
      </c>
      <c r="P190">
        <v>110.77696</v>
      </c>
      <c r="Q190">
        <v>27.694240000000001</v>
      </c>
      <c r="R190"/>
      <c r="U190" s="2" t="s">
        <v>525</v>
      </c>
      <c r="V190">
        <v>110.77696</v>
      </c>
      <c r="W190">
        <v>27.694240000000001</v>
      </c>
      <c r="X190"/>
    </row>
    <row r="191" spans="1:24" ht="12.75" customHeight="1" x14ac:dyDescent="0.25">
      <c r="A191" s="8" t="s">
        <v>143</v>
      </c>
      <c r="B191" s="9" t="s">
        <v>137</v>
      </c>
      <c r="C191" s="10" t="s">
        <v>145</v>
      </c>
      <c r="D191" s="11">
        <v>56856.03</v>
      </c>
      <c r="F191" s="11">
        <v>0</v>
      </c>
      <c r="G191" s="11">
        <v>0</v>
      </c>
      <c r="H191" s="11">
        <v>0</v>
      </c>
      <c r="J191" s="11">
        <f t="shared" si="33"/>
        <v>56856.03</v>
      </c>
      <c r="L191" s="11">
        <v>64167</v>
      </c>
      <c r="M191" s="12">
        <f t="shared" si="34"/>
        <v>0.88606339707326198</v>
      </c>
      <c r="P191">
        <v>1819.3929599999999</v>
      </c>
      <c r="Q191">
        <v>454.84823999999998</v>
      </c>
      <c r="R191"/>
      <c r="U191" s="2" t="s">
        <v>526</v>
      </c>
      <c r="V191">
        <v>1819.3929599999999</v>
      </c>
      <c r="W191">
        <v>454.84823999999998</v>
      </c>
      <c r="X191"/>
    </row>
    <row r="192" spans="1:24" ht="12.75" customHeight="1" x14ac:dyDescent="0.25">
      <c r="A192" s="8" t="s">
        <v>143</v>
      </c>
      <c r="B192" s="9" t="s">
        <v>146</v>
      </c>
      <c r="C192" s="10" t="s">
        <v>147</v>
      </c>
      <c r="D192" s="11">
        <v>47278.98</v>
      </c>
      <c r="F192" s="11">
        <v>0</v>
      </c>
      <c r="G192" s="11">
        <v>0</v>
      </c>
      <c r="H192" s="11">
        <v>0</v>
      </c>
      <c r="J192" s="11">
        <f t="shared" si="33"/>
        <v>47278.98</v>
      </c>
      <c r="L192" s="11">
        <v>64167</v>
      </c>
      <c r="M192" s="12">
        <f t="shared" si="34"/>
        <v>0.73681144513535002</v>
      </c>
      <c r="P192">
        <v>1512.9273600000001</v>
      </c>
      <c r="Q192">
        <v>378.23184000000003</v>
      </c>
      <c r="R192"/>
      <c r="U192" s="2" t="s">
        <v>527</v>
      </c>
      <c r="V192">
        <v>1512.9273600000001</v>
      </c>
      <c r="W192">
        <v>378.23184000000003</v>
      </c>
      <c r="X192"/>
    </row>
    <row r="193" spans="1:24" ht="12.75" customHeight="1" x14ac:dyDescent="0.25">
      <c r="A193" s="8" t="s">
        <v>143</v>
      </c>
      <c r="B193" s="9" t="s">
        <v>84</v>
      </c>
      <c r="C193" s="10" t="s">
        <v>148</v>
      </c>
      <c r="D193" s="11">
        <v>90420.95</v>
      </c>
      <c r="F193" s="11">
        <v>0</v>
      </c>
      <c r="G193" s="11">
        <v>899.99</v>
      </c>
      <c r="H193" s="11">
        <v>0</v>
      </c>
      <c r="J193" s="11">
        <f t="shared" si="33"/>
        <v>91320.94</v>
      </c>
      <c r="L193" s="11">
        <v>64167</v>
      </c>
      <c r="M193" s="12">
        <f t="shared" si="34"/>
        <v>1.4231760873969486</v>
      </c>
      <c r="P193">
        <v>2922.2700800000002</v>
      </c>
      <c r="Q193">
        <v>730.56752000000006</v>
      </c>
      <c r="R193">
        <v>456.60470000000004</v>
      </c>
      <c r="U193" s="2" t="s">
        <v>528</v>
      </c>
      <c r="V193">
        <v>2922.2700800000002</v>
      </c>
      <c r="W193">
        <v>730.56752000000006</v>
      </c>
      <c r="X193">
        <v>456.60470000000004</v>
      </c>
    </row>
    <row r="194" spans="1:24" ht="12.75" customHeight="1" x14ac:dyDescent="0.25">
      <c r="A194" s="8" t="s">
        <v>143</v>
      </c>
      <c r="B194" s="9" t="s">
        <v>149</v>
      </c>
      <c r="C194" s="10" t="s">
        <v>150</v>
      </c>
      <c r="D194" s="11">
        <v>50399.73</v>
      </c>
      <c r="F194" s="11">
        <v>0</v>
      </c>
      <c r="G194" s="11">
        <v>0</v>
      </c>
      <c r="H194" s="11">
        <v>0</v>
      </c>
      <c r="J194" s="11">
        <f t="shared" si="33"/>
        <v>50399.73</v>
      </c>
      <c r="L194" s="11">
        <v>64167</v>
      </c>
      <c r="M194" s="12">
        <f t="shared" si="34"/>
        <v>0.78544625742203944</v>
      </c>
      <c r="P194">
        <v>1612.7913600000002</v>
      </c>
      <c r="Q194">
        <v>403.19784000000004</v>
      </c>
      <c r="R194"/>
      <c r="U194" s="2" t="s">
        <v>529</v>
      </c>
      <c r="V194">
        <v>1612.7913600000002</v>
      </c>
      <c r="W194">
        <v>403.19784000000004</v>
      </c>
      <c r="X194"/>
    </row>
    <row r="195" spans="1:24" ht="12.75" customHeight="1" x14ac:dyDescent="0.25">
      <c r="A195" s="8" t="s">
        <v>143</v>
      </c>
      <c r="B195" s="9" t="s">
        <v>151</v>
      </c>
      <c r="C195" s="10" t="s">
        <v>152</v>
      </c>
      <c r="D195" s="11">
        <v>59357.08</v>
      </c>
      <c r="F195" s="11">
        <v>0</v>
      </c>
      <c r="G195" s="11">
        <v>0</v>
      </c>
      <c r="H195" s="11">
        <v>0</v>
      </c>
      <c r="J195" s="11">
        <f t="shared" si="33"/>
        <v>59357.08</v>
      </c>
      <c r="L195" s="11">
        <v>64167</v>
      </c>
      <c r="M195" s="12">
        <f t="shared" si="34"/>
        <v>0.92504059719170295</v>
      </c>
      <c r="P195">
        <v>1899.4265600000001</v>
      </c>
      <c r="Q195">
        <v>474.85664000000003</v>
      </c>
      <c r="R195"/>
      <c r="U195" s="2" t="s">
        <v>530</v>
      </c>
      <c r="V195">
        <v>1899.4265600000001</v>
      </c>
      <c r="W195">
        <v>474.85664000000003</v>
      </c>
      <c r="X195"/>
    </row>
    <row r="196" spans="1:24" ht="12.75" customHeight="1" x14ac:dyDescent="0.25">
      <c r="A196" s="8" t="s">
        <v>143</v>
      </c>
      <c r="B196" s="9" t="s">
        <v>51</v>
      </c>
      <c r="C196" s="10" t="s">
        <v>153</v>
      </c>
      <c r="D196" s="11">
        <v>42573.06</v>
      </c>
      <c r="F196" s="11">
        <v>0</v>
      </c>
      <c r="G196" s="11">
        <v>0</v>
      </c>
      <c r="H196" s="11">
        <v>0</v>
      </c>
      <c r="J196" s="11">
        <f t="shared" si="33"/>
        <v>42573.06</v>
      </c>
      <c r="L196" s="11">
        <v>64167</v>
      </c>
      <c r="M196" s="12">
        <f t="shared" si="34"/>
        <v>0.66347281312824347</v>
      </c>
      <c r="P196">
        <v>1362.3379199999999</v>
      </c>
      <c r="Q196">
        <v>340.58447999999999</v>
      </c>
      <c r="R196"/>
      <c r="U196" s="2" t="s">
        <v>531</v>
      </c>
      <c r="V196">
        <v>1362.3379199999999</v>
      </c>
      <c r="W196">
        <v>340.58447999999999</v>
      </c>
      <c r="X196"/>
    </row>
    <row r="197" spans="1:24" ht="12.75" customHeight="1" x14ac:dyDescent="0.25">
      <c r="A197" s="8" t="s">
        <v>143</v>
      </c>
      <c r="B197" s="9" t="s">
        <v>154</v>
      </c>
      <c r="C197" s="10"/>
      <c r="D197" s="11">
        <v>28231.59</v>
      </c>
      <c r="F197" s="11">
        <v>0</v>
      </c>
      <c r="G197" s="11">
        <v>0</v>
      </c>
      <c r="H197" s="11">
        <v>0</v>
      </c>
      <c r="J197" s="11">
        <f t="shared" si="33"/>
        <v>28231.59</v>
      </c>
      <c r="L197" s="11"/>
      <c r="M197" s="12">
        <f t="shared" si="34"/>
        <v>0</v>
      </c>
      <c r="P197">
        <v>903.41088000000002</v>
      </c>
      <c r="Q197">
        <v>225.85272000000001</v>
      </c>
      <c r="R197"/>
      <c r="U197" s="2" t="s">
        <v>532</v>
      </c>
      <c r="V197">
        <v>903.41088000000002</v>
      </c>
      <c r="W197">
        <v>225.85272000000001</v>
      </c>
      <c r="X197"/>
    </row>
    <row r="198" spans="1:24" ht="12.75" customHeight="1" x14ac:dyDescent="0.25">
      <c r="A198" s="8" t="s">
        <v>143</v>
      </c>
      <c r="B198" s="9"/>
      <c r="C198" s="10"/>
      <c r="D198" s="11">
        <v>0</v>
      </c>
      <c r="F198" s="11">
        <v>0</v>
      </c>
      <c r="G198" s="11">
        <v>0</v>
      </c>
      <c r="H198" s="11">
        <v>0</v>
      </c>
      <c r="J198" s="11">
        <f t="shared" si="33"/>
        <v>0</v>
      </c>
      <c r="L198" s="11"/>
      <c r="M198" s="12">
        <f t="shared" si="34"/>
        <v>0</v>
      </c>
      <c r="P198"/>
      <c r="Q198"/>
      <c r="R198"/>
      <c r="V198"/>
      <c r="W198"/>
      <c r="X198"/>
    </row>
    <row r="199" spans="1:24" ht="12.75" customHeight="1" x14ac:dyDescent="0.25">
      <c r="A199" s="8" t="s">
        <v>143</v>
      </c>
      <c r="B199" s="9"/>
      <c r="C199" s="10"/>
      <c r="D199" s="11">
        <v>0</v>
      </c>
      <c r="F199" s="11">
        <v>0</v>
      </c>
      <c r="G199" s="11">
        <v>0</v>
      </c>
      <c r="H199" s="11">
        <v>0</v>
      </c>
      <c r="J199" s="11">
        <f t="shared" si="33"/>
        <v>0</v>
      </c>
      <c r="L199" s="11"/>
      <c r="M199" s="12">
        <f t="shared" si="34"/>
        <v>0</v>
      </c>
      <c r="P199"/>
      <c r="Q199"/>
      <c r="R199"/>
      <c r="V199"/>
      <c r="W199"/>
      <c r="X199"/>
    </row>
    <row r="200" spans="1:24" ht="12.75" customHeight="1" x14ac:dyDescent="0.25">
      <c r="A200" s="8" t="s">
        <v>143</v>
      </c>
      <c r="B200" s="9"/>
      <c r="C200" s="10"/>
      <c r="D200" s="11">
        <v>0</v>
      </c>
      <c r="F200" s="11">
        <v>0</v>
      </c>
      <c r="G200" s="11">
        <v>0</v>
      </c>
      <c r="H200" s="11">
        <v>0</v>
      </c>
      <c r="J200" s="11">
        <f t="shared" si="33"/>
        <v>0</v>
      </c>
      <c r="L200" s="11"/>
      <c r="M200" s="12">
        <f t="shared" si="34"/>
        <v>0</v>
      </c>
      <c r="P200"/>
      <c r="Q200"/>
      <c r="R200"/>
      <c r="V200"/>
      <c r="W200"/>
      <c r="X200"/>
    </row>
    <row r="201" spans="1:24" ht="12.75" customHeight="1" x14ac:dyDescent="0.25">
      <c r="A201" s="13" t="s">
        <v>30</v>
      </c>
      <c r="B201" s="14"/>
      <c r="C201" s="13"/>
      <c r="D201" s="15">
        <v>378579.20000000001</v>
      </c>
      <c r="E201" s="15">
        <v>0</v>
      </c>
      <c r="F201" s="15">
        <v>0</v>
      </c>
      <c r="G201" s="15">
        <v>899.99</v>
      </c>
      <c r="H201" s="15">
        <v>0</v>
      </c>
      <c r="I201" s="15">
        <v>0</v>
      </c>
      <c r="J201" s="15">
        <f t="shared" ref="J201:L201" si="35">SUM(J190:J200)</f>
        <v>379479.19000000006</v>
      </c>
      <c r="L201" s="15">
        <f t="shared" si="35"/>
        <v>385002</v>
      </c>
      <c r="P201"/>
      <c r="Q201"/>
      <c r="R201"/>
      <c r="V201"/>
      <c r="W201"/>
      <c r="X201"/>
    </row>
    <row r="202" spans="1:24" ht="12.75" customHeight="1" x14ac:dyDescent="0.25">
      <c r="P202"/>
      <c r="Q202"/>
      <c r="R202"/>
      <c r="V202"/>
      <c r="W202"/>
      <c r="X202"/>
    </row>
    <row r="203" spans="1:24" ht="12.75" customHeight="1" x14ac:dyDescent="0.25">
      <c r="P203"/>
      <c r="Q203"/>
      <c r="R203"/>
      <c r="V203"/>
      <c r="W203"/>
      <c r="X203"/>
    </row>
    <row r="204" spans="1:24" ht="12.75" customHeight="1" x14ac:dyDescent="0.25">
      <c r="O204" s="5" t="s">
        <v>12</v>
      </c>
      <c r="P204"/>
      <c r="Q204"/>
      <c r="R204"/>
      <c r="V204"/>
      <c r="W204"/>
      <c r="X204"/>
    </row>
    <row r="205" spans="1:24" ht="12.75" customHeight="1" x14ac:dyDescent="0.25">
      <c r="O205" s="11">
        <v>135000</v>
      </c>
      <c r="P205"/>
      <c r="Q205"/>
      <c r="R205"/>
      <c r="V205"/>
      <c r="W205"/>
      <c r="X205"/>
    </row>
    <row r="206" spans="1:24" ht="12.75" customHeight="1" x14ac:dyDescent="0.25">
      <c r="A206" s="4" t="s">
        <v>0</v>
      </c>
      <c r="B206" s="5" t="s">
        <v>1</v>
      </c>
      <c r="C206" s="4" t="s">
        <v>2</v>
      </c>
      <c r="D206" s="5" t="s">
        <v>3</v>
      </c>
      <c r="E206" s="5" t="s">
        <v>4</v>
      </c>
      <c r="F206" s="5" t="s">
        <v>5</v>
      </c>
      <c r="G206" s="5" t="s">
        <v>6</v>
      </c>
      <c r="H206" s="5" t="s">
        <v>7</v>
      </c>
      <c r="I206" s="5" t="s">
        <v>8</v>
      </c>
      <c r="J206" s="5" t="s">
        <v>9</v>
      </c>
      <c r="L206" s="7" t="s">
        <v>10</v>
      </c>
      <c r="M206" s="7" t="s">
        <v>11</v>
      </c>
      <c r="P206"/>
      <c r="Q206"/>
      <c r="R206"/>
      <c r="U206" s="2" t="s">
        <v>532</v>
      </c>
      <c r="V206"/>
      <c r="W206"/>
      <c r="X206"/>
    </row>
    <row r="207" spans="1:24" ht="12.75" customHeight="1" x14ac:dyDescent="0.25">
      <c r="A207" s="8" t="s">
        <v>155</v>
      </c>
      <c r="B207" s="9" t="s">
        <v>34</v>
      </c>
      <c r="C207" s="10" t="s">
        <v>156</v>
      </c>
      <c r="D207" s="11">
        <v>1999.53</v>
      </c>
      <c r="F207" s="11">
        <v>0</v>
      </c>
      <c r="G207" s="11">
        <v>0</v>
      </c>
      <c r="H207" s="11">
        <v>0</v>
      </c>
      <c r="J207" s="11">
        <f t="shared" ref="J207:J217" si="36">SUM(D207:I207)</f>
        <v>1999.53</v>
      </c>
      <c r="L207" s="11"/>
      <c r="M207" s="12">
        <f t="shared" ref="M207:M217" si="37">IFERROR(J207/L207,)</f>
        <v>0</v>
      </c>
      <c r="P207">
        <v>63.984960000000001</v>
      </c>
      <c r="Q207">
        <v>15.99624</v>
      </c>
      <c r="R207"/>
      <c r="U207" s="2" t="s">
        <v>533</v>
      </c>
      <c r="V207">
        <v>63.984960000000001</v>
      </c>
      <c r="W207">
        <v>15.99624</v>
      </c>
      <c r="X207"/>
    </row>
    <row r="208" spans="1:24" ht="12.75" customHeight="1" x14ac:dyDescent="0.25">
      <c r="A208" s="8" t="s">
        <v>155</v>
      </c>
      <c r="B208" s="9" t="s">
        <v>36</v>
      </c>
      <c r="C208" s="10" t="s">
        <v>157</v>
      </c>
      <c r="D208" s="11">
        <v>44123.37</v>
      </c>
      <c r="F208" s="11">
        <v>0</v>
      </c>
      <c r="G208" s="11">
        <v>0</v>
      </c>
      <c r="H208" s="11">
        <v>0</v>
      </c>
      <c r="J208" s="11">
        <f t="shared" si="36"/>
        <v>44123.37</v>
      </c>
      <c r="L208" s="11">
        <v>49500</v>
      </c>
      <c r="M208" s="12">
        <f t="shared" si="37"/>
        <v>0.89138121212121213</v>
      </c>
      <c r="P208">
        <v>1411.94784</v>
      </c>
      <c r="Q208">
        <v>352.98696000000001</v>
      </c>
      <c r="R208"/>
      <c r="U208" s="2" t="s">
        <v>534</v>
      </c>
      <c r="V208">
        <v>1411.94784</v>
      </c>
      <c r="W208">
        <v>352.98696000000001</v>
      </c>
      <c r="X208"/>
    </row>
    <row r="209" spans="1:24" ht="12.75" customHeight="1" x14ac:dyDescent="0.25">
      <c r="A209" s="8" t="s">
        <v>155</v>
      </c>
      <c r="B209" s="9" t="s">
        <v>158</v>
      </c>
      <c r="C209" s="10" t="s">
        <v>159</v>
      </c>
      <c r="D209" s="11">
        <v>69633.02</v>
      </c>
      <c r="F209" s="11">
        <v>0</v>
      </c>
      <c r="G209" s="11">
        <v>0</v>
      </c>
      <c r="H209" s="11">
        <v>0</v>
      </c>
      <c r="J209" s="11">
        <f t="shared" si="36"/>
        <v>69633.02</v>
      </c>
      <c r="L209" s="11">
        <v>49500</v>
      </c>
      <c r="M209" s="12">
        <f t="shared" si="37"/>
        <v>1.4067276767676768</v>
      </c>
      <c r="P209">
        <v>2228.2566400000001</v>
      </c>
      <c r="Q209">
        <v>557.06416000000002</v>
      </c>
      <c r="R209">
        <v>348.16510000000005</v>
      </c>
      <c r="U209" s="2" t="s">
        <v>535</v>
      </c>
      <c r="V209">
        <v>2228.2566400000001</v>
      </c>
      <c r="W209">
        <v>557.06416000000002</v>
      </c>
      <c r="X209">
        <v>348.16510000000005</v>
      </c>
    </row>
    <row r="210" spans="1:24" ht="12.75" customHeight="1" x14ac:dyDescent="0.25">
      <c r="A210" s="8" t="s">
        <v>155</v>
      </c>
      <c r="B210" s="9" t="s">
        <v>160</v>
      </c>
      <c r="C210" s="10" t="s">
        <v>161</v>
      </c>
      <c r="D210" s="11">
        <v>19656.46</v>
      </c>
      <c r="F210" s="11">
        <v>0</v>
      </c>
      <c r="G210" s="11">
        <v>0</v>
      </c>
      <c r="H210" s="11">
        <v>0</v>
      </c>
      <c r="J210" s="11">
        <f t="shared" si="36"/>
        <v>19656.46</v>
      </c>
      <c r="L210" s="11">
        <v>49500</v>
      </c>
      <c r="M210" s="12">
        <f t="shared" si="37"/>
        <v>0.39710020202020202</v>
      </c>
      <c r="P210">
        <v>629.00671999999997</v>
      </c>
      <c r="Q210">
        <v>157.25167999999999</v>
      </c>
      <c r="R210"/>
      <c r="U210" s="2" t="s">
        <v>536</v>
      </c>
      <c r="V210">
        <v>629.00671999999997</v>
      </c>
      <c r="W210">
        <v>157.25167999999999</v>
      </c>
      <c r="X210"/>
    </row>
    <row r="211" spans="1:24" ht="12.75" customHeight="1" x14ac:dyDescent="0.25">
      <c r="A211" s="8" t="s">
        <v>155</v>
      </c>
      <c r="B211" s="9" t="s">
        <v>162</v>
      </c>
      <c r="C211" s="10" t="s">
        <v>163</v>
      </c>
      <c r="D211" s="11">
        <v>4459.78</v>
      </c>
      <c r="F211" s="11">
        <v>0</v>
      </c>
      <c r="G211" s="11">
        <v>0</v>
      </c>
      <c r="H211" s="11">
        <v>0</v>
      </c>
      <c r="J211" s="11">
        <f t="shared" si="36"/>
        <v>4459.78</v>
      </c>
      <c r="L211" s="11">
        <v>9000</v>
      </c>
      <c r="M211" s="12">
        <f t="shared" si="37"/>
        <v>0.49553111111111109</v>
      </c>
      <c r="P211">
        <v>142.71295999999998</v>
      </c>
      <c r="Q211">
        <v>35.678239999999995</v>
      </c>
      <c r="R211"/>
      <c r="U211" s="2" t="s">
        <v>537</v>
      </c>
      <c r="V211">
        <v>142.71295999999998</v>
      </c>
      <c r="W211">
        <v>35.678239999999995</v>
      </c>
      <c r="X211"/>
    </row>
    <row r="212" spans="1:24" ht="12.75" customHeight="1" x14ac:dyDescent="0.25">
      <c r="A212" s="8" t="s">
        <v>155</v>
      </c>
      <c r="B212" s="9"/>
      <c r="C212" s="10"/>
      <c r="D212" s="11">
        <v>0</v>
      </c>
      <c r="F212" s="11">
        <v>0</v>
      </c>
      <c r="G212" s="11">
        <v>0</v>
      </c>
      <c r="H212" s="11">
        <v>0</v>
      </c>
      <c r="J212" s="11">
        <f t="shared" si="36"/>
        <v>0</v>
      </c>
      <c r="L212" s="11"/>
      <c r="M212" s="12">
        <f t="shared" si="37"/>
        <v>0</v>
      </c>
      <c r="P212"/>
      <c r="Q212"/>
      <c r="R212"/>
      <c r="V212"/>
      <c r="W212"/>
      <c r="X212"/>
    </row>
    <row r="213" spans="1:24" ht="12.75" customHeight="1" x14ac:dyDescent="0.25">
      <c r="A213" s="8" t="s">
        <v>155</v>
      </c>
      <c r="B213" s="9"/>
      <c r="C213" s="10"/>
      <c r="D213" s="11">
        <v>0</v>
      </c>
      <c r="F213" s="11">
        <v>0</v>
      </c>
      <c r="G213" s="11">
        <v>0</v>
      </c>
      <c r="H213" s="11">
        <v>0</v>
      </c>
      <c r="J213" s="11">
        <f t="shared" si="36"/>
        <v>0</v>
      </c>
      <c r="L213" s="11"/>
      <c r="M213" s="12">
        <f t="shared" si="37"/>
        <v>0</v>
      </c>
      <c r="P213"/>
      <c r="Q213"/>
      <c r="R213"/>
      <c r="V213"/>
      <c r="W213"/>
      <c r="X213"/>
    </row>
    <row r="214" spans="1:24" ht="12.75" customHeight="1" x14ac:dyDescent="0.25">
      <c r="A214" s="8" t="s">
        <v>155</v>
      </c>
      <c r="B214" s="9"/>
      <c r="C214" s="10"/>
      <c r="D214" s="11">
        <v>0</v>
      </c>
      <c r="F214" s="11">
        <v>0</v>
      </c>
      <c r="G214" s="11">
        <v>0</v>
      </c>
      <c r="H214" s="11">
        <v>0</v>
      </c>
      <c r="J214" s="11">
        <f t="shared" si="36"/>
        <v>0</v>
      </c>
      <c r="L214" s="11"/>
      <c r="M214" s="12">
        <f t="shared" si="37"/>
        <v>0</v>
      </c>
      <c r="P214"/>
      <c r="Q214"/>
      <c r="R214"/>
      <c r="V214"/>
      <c r="W214"/>
      <c r="X214"/>
    </row>
    <row r="215" spans="1:24" ht="12.75" customHeight="1" x14ac:dyDescent="0.25">
      <c r="A215" s="8" t="s">
        <v>155</v>
      </c>
      <c r="B215" s="9"/>
      <c r="C215" s="10"/>
      <c r="D215" s="11">
        <v>0</v>
      </c>
      <c r="F215" s="11">
        <v>0</v>
      </c>
      <c r="G215" s="11">
        <v>0</v>
      </c>
      <c r="H215" s="11">
        <v>0</v>
      </c>
      <c r="J215" s="11">
        <f t="shared" si="36"/>
        <v>0</v>
      </c>
      <c r="L215" s="11"/>
      <c r="M215" s="12">
        <f t="shared" si="37"/>
        <v>0</v>
      </c>
      <c r="P215"/>
      <c r="Q215"/>
      <c r="R215"/>
      <c r="V215"/>
      <c r="W215"/>
      <c r="X215"/>
    </row>
    <row r="216" spans="1:24" ht="12.75" customHeight="1" x14ac:dyDescent="0.25">
      <c r="A216" s="8" t="s">
        <v>155</v>
      </c>
      <c r="B216" s="9"/>
      <c r="C216" s="10"/>
      <c r="D216" s="11">
        <v>0</v>
      </c>
      <c r="F216" s="11">
        <v>0</v>
      </c>
      <c r="G216" s="11">
        <v>0</v>
      </c>
      <c r="H216" s="11">
        <v>0</v>
      </c>
      <c r="J216" s="11">
        <f t="shared" si="36"/>
        <v>0</v>
      </c>
      <c r="L216" s="11"/>
      <c r="M216" s="12">
        <f t="shared" si="37"/>
        <v>0</v>
      </c>
      <c r="P216"/>
      <c r="Q216"/>
      <c r="R216"/>
      <c r="V216"/>
      <c r="W216"/>
      <c r="X216"/>
    </row>
    <row r="217" spans="1:24" ht="12.75" customHeight="1" x14ac:dyDescent="0.25">
      <c r="A217" s="8" t="s">
        <v>155</v>
      </c>
      <c r="B217" s="9"/>
      <c r="C217" s="10"/>
      <c r="D217" s="11">
        <v>0</v>
      </c>
      <c r="F217" s="11">
        <v>0</v>
      </c>
      <c r="G217" s="11">
        <v>0</v>
      </c>
      <c r="H217" s="11">
        <v>0</v>
      </c>
      <c r="J217" s="11">
        <f t="shared" si="36"/>
        <v>0</v>
      </c>
      <c r="L217" s="11"/>
      <c r="M217" s="12">
        <f t="shared" si="37"/>
        <v>0</v>
      </c>
      <c r="P217"/>
      <c r="Q217"/>
      <c r="R217"/>
      <c r="V217"/>
      <c r="W217"/>
      <c r="X217"/>
    </row>
    <row r="218" spans="1:24" ht="12.75" customHeight="1" x14ac:dyDescent="0.25">
      <c r="A218" s="13" t="s">
        <v>30</v>
      </c>
      <c r="B218" s="14"/>
      <c r="C218" s="13"/>
      <c r="D218" s="15">
        <v>139872.16</v>
      </c>
      <c r="E218" s="15">
        <v>0</v>
      </c>
      <c r="F218" s="15">
        <v>0</v>
      </c>
      <c r="G218" s="15">
        <v>0</v>
      </c>
      <c r="H218" s="15">
        <v>0</v>
      </c>
      <c r="I218" s="15">
        <v>0</v>
      </c>
      <c r="J218" s="15">
        <f t="shared" ref="J218:L218" si="38">SUM(J207:J217)</f>
        <v>139872.16</v>
      </c>
      <c r="L218" s="15">
        <f t="shared" si="38"/>
        <v>157500</v>
      </c>
      <c r="P218"/>
      <c r="Q218"/>
      <c r="R218"/>
      <c r="V218"/>
      <c r="W218"/>
      <c r="X218"/>
    </row>
    <row r="219" spans="1:24" ht="12.75" customHeight="1" x14ac:dyDescent="0.25">
      <c r="P219"/>
      <c r="Q219"/>
      <c r="R219"/>
      <c r="V219"/>
      <c r="W219"/>
      <c r="X219"/>
    </row>
    <row r="220" spans="1:24" ht="12.75" customHeight="1" x14ac:dyDescent="0.25">
      <c r="P220"/>
      <c r="Q220"/>
      <c r="R220"/>
      <c r="V220"/>
      <c r="W220"/>
      <c r="X220"/>
    </row>
    <row r="221" spans="1:24" ht="12.75" customHeight="1" x14ac:dyDescent="0.25">
      <c r="O221" s="5" t="s">
        <v>12</v>
      </c>
      <c r="P221"/>
      <c r="Q221"/>
      <c r="R221"/>
      <c r="V221"/>
      <c r="W221"/>
      <c r="X221"/>
    </row>
    <row r="222" spans="1:24" ht="12.75" customHeight="1" x14ac:dyDescent="0.25">
      <c r="O222" s="11">
        <v>540000</v>
      </c>
      <c r="P222"/>
      <c r="Q222"/>
      <c r="R222"/>
      <c r="V222"/>
      <c r="W222"/>
      <c r="X222"/>
    </row>
    <row r="223" spans="1:24" ht="12.75" customHeight="1" x14ac:dyDescent="0.25">
      <c r="A223" s="4" t="s">
        <v>0</v>
      </c>
      <c r="B223" s="5" t="s">
        <v>1</v>
      </c>
      <c r="C223" s="4" t="s">
        <v>2</v>
      </c>
      <c r="D223" s="5" t="s">
        <v>3</v>
      </c>
      <c r="E223" s="5" t="s">
        <v>4</v>
      </c>
      <c r="F223" s="5" t="s">
        <v>5</v>
      </c>
      <c r="G223" s="5" t="s">
        <v>6</v>
      </c>
      <c r="H223" s="5" t="s">
        <v>7</v>
      </c>
      <c r="I223" s="5" t="s">
        <v>8</v>
      </c>
      <c r="J223" s="5" t="s">
        <v>9</v>
      </c>
      <c r="L223" s="7" t="s">
        <v>10</v>
      </c>
      <c r="M223" s="7" t="s">
        <v>11</v>
      </c>
      <c r="P223"/>
      <c r="Q223"/>
      <c r="R223"/>
      <c r="U223" s="2" t="s">
        <v>537</v>
      </c>
      <c r="V223"/>
      <c r="W223"/>
      <c r="X223"/>
    </row>
    <row r="224" spans="1:24" ht="12.75" customHeight="1" x14ac:dyDescent="0.25">
      <c r="A224" s="8" t="s">
        <v>164</v>
      </c>
      <c r="B224" s="9" t="s">
        <v>165</v>
      </c>
      <c r="C224" s="10" t="s">
        <v>166</v>
      </c>
      <c r="D224" s="11">
        <v>199.99</v>
      </c>
      <c r="F224" s="11">
        <v>0</v>
      </c>
      <c r="G224" s="11">
        <v>0</v>
      </c>
      <c r="H224" s="11">
        <v>0</v>
      </c>
      <c r="J224" s="11">
        <f t="shared" ref="J224:J234" si="39">SUM(D224:I224)</f>
        <v>199.99</v>
      </c>
      <c r="L224" s="11"/>
      <c r="M224" s="12">
        <f t="shared" ref="M224:M234" si="40">IFERROR(J224/L224,)</f>
        <v>0</v>
      </c>
      <c r="P224">
        <v>5.5997200000000005</v>
      </c>
      <c r="Q224">
        <v>1.3999300000000001</v>
      </c>
      <c r="R224"/>
      <c r="U224" s="2" t="s">
        <v>538</v>
      </c>
      <c r="V224">
        <v>5.5997200000000005</v>
      </c>
      <c r="W224">
        <v>1.3999300000000001</v>
      </c>
      <c r="X224"/>
    </row>
    <row r="225" spans="1:24" ht="12.75" customHeight="1" x14ac:dyDescent="0.25">
      <c r="A225" s="8" t="s">
        <v>164</v>
      </c>
      <c r="B225" s="9" t="s">
        <v>167</v>
      </c>
      <c r="C225" s="10" t="s">
        <v>168</v>
      </c>
      <c r="D225" s="11">
        <v>42373.27</v>
      </c>
      <c r="F225" s="11">
        <v>0</v>
      </c>
      <c r="G225" s="11">
        <v>0</v>
      </c>
      <c r="H225" s="11">
        <v>0</v>
      </c>
      <c r="J225" s="11">
        <f t="shared" si="39"/>
        <v>42373.27</v>
      </c>
      <c r="L225" s="11">
        <v>99000</v>
      </c>
      <c r="M225" s="12">
        <f t="shared" si="40"/>
        <v>0.42801282828282827</v>
      </c>
      <c r="P225">
        <v>1186.45156</v>
      </c>
      <c r="Q225">
        <v>296.61288999999999</v>
      </c>
      <c r="R225"/>
      <c r="U225" s="2" t="s">
        <v>539</v>
      </c>
      <c r="V225">
        <v>1186.45156</v>
      </c>
      <c r="W225">
        <v>296.61288999999999</v>
      </c>
      <c r="X225"/>
    </row>
    <row r="226" spans="1:24" ht="12.75" customHeight="1" x14ac:dyDescent="0.25">
      <c r="A226" s="8" t="s">
        <v>164</v>
      </c>
      <c r="B226" s="9" t="s">
        <v>137</v>
      </c>
      <c r="C226" s="10" t="s">
        <v>169</v>
      </c>
      <c r="D226" s="11">
        <v>103908.34</v>
      </c>
      <c r="F226" s="11">
        <v>0</v>
      </c>
      <c r="G226" s="11">
        <v>0</v>
      </c>
      <c r="H226" s="11">
        <v>0</v>
      </c>
      <c r="J226" s="11">
        <f t="shared" si="39"/>
        <v>103908.34</v>
      </c>
      <c r="L226" s="11">
        <v>99000</v>
      </c>
      <c r="M226" s="12">
        <f t="shared" si="40"/>
        <v>1.0495791919191919</v>
      </c>
      <c r="P226">
        <v>2909.43352</v>
      </c>
      <c r="Q226">
        <v>727.35838000000001</v>
      </c>
      <c r="R226">
        <v>519.54169999999999</v>
      </c>
      <c r="U226" s="2" t="s">
        <v>540</v>
      </c>
      <c r="V226">
        <v>2909.43352</v>
      </c>
      <c r="W226">
        <v>727.35838000000001</v>
      </c>
      <c r="X226">
        <v>519.54169999999999</v>
      </c>
    </row>
    <row r="227" spans="1:24" ht="12.75" customHeight="1" x14ac:dyDescent="0.25">
      <c r="A227" s="8" t="s">
        <v>164</v>
      </c>
      <c r="B227" s="9" t="s">
        <v>170</v>
      </c>
      <c r="C227" s="10" t="s">
        <v>171</v>
      </c>
      <c r="D227" s="11">
        <v>9734.6</v>
      </c>
      <c r="F227" s="11">
        <v>0</v>
      </c>
      <c r="G227" s="11">
        <v>0</v>
      </c>
      <c r="H227" s="11">
        <v>0</v>
      </c>
      <c r="J227" s="11">
        <f t="shared" si="39"/>
        <v>9734.6</v>
      </c>
      <c r="L227" s="11"/>
      <c r="M227" s="12">
        <f t="shared" si="40"/>
        <v>0</v>
      </c>
      <c r="P227">
        <v>272.56880000000001</v>
      </c>
      <c r="Q227">
        <v>68.142200000000003</v>
      </c>
      <c r="R227"/>
      <c r="U227" s="2" t="s">
        <v>541</v>
      </c>
      <c r="V227">
        <v>272.56880000000001</v>
      </c>
      <c r="W227">
        <v>68.142200000000003</v>
      </c>
      <c r="X227"/>
    </row>
    <row r="228" spans="1:24" ht="12.75" customHeight="1" x14ac:dyDescent="0.25">
      <c r="A228" s="8" t="s">
        <v>164</v>
      </c>
      <c r="B228" s="9" t="s">
        <v>84</v>
      </c>
      <c r="C228" s="10" t="s">
        <v>172</v>
      </c>
      <c r="D228" s="11">
        <v>42618.47</v>
      </c>
      <c r="F228" s="11">
        <v>0</v>
      </c>
      <c r="G228" s="11">
        <v>0</v>
      </c>
      <c r="H228" s="11">
        <v>0</v>
      </c>
      <c r="J228" s="11">
        <f t="shared" si="39"/>
        <v>42618.47</v>
      </c>
      <c r="L228" s="11">
        <v>99000</v>
      </c>
      <c r="M228" s="12">
        <f t="shared" si="40"/>
        <v>0.43048959595959596</v>
      </c>
      <c r="P228">
        <v>1193.3171600000001</v>
      </c>
      <c r="Q228">
        <v>298.32929000000001</v>
      </c>
      <c r="R228"/>
      <c r="U228" s="2" t="s">
        <v>542</v>
      </c>
      <c r="V228">
        <v>1193.3171600000001</v>
      </c>
      <c r="W228">
        <v>298.32929000000001</v>
      </c>
      <c r="X228"/>
    </row>
    <row r="229" spans="1:24" ht="12.75" customHeight="1" x14ac:dyDescent="0.25">
      <c r="A229" s="8" t="s">
        <v>164</v>
      </c>
      <c r="B229" s="9" t="s">
        <v>173</v>
      </c>
      <c r="C229" s="10" t="s">
        <v>174</v>
      </c>
      <c r="D229" s="11">
        <v>43893.53</v>
      </c>
      <c r="F229" s="11">
        <v>0</v>
      </c>
      <c r="G229" s="11">
        <v>0</v>
      </c>
      <c r="H229" s="11">
        <v>0</v>
      </c>
      <c r="J229" s="11">
        <f t="shared" si="39"/>
        <v>43893.53</v>
      </c>
      <c r="L229" s="11">
        <v>99000</v>
      </c>
      <c r="M229" s="12">
        <f t="shared" si="40"/>
        <v>0.44336898989898987</v>
      </c>
      <c r="P229">
        <v>1229.01884</v>
      </c>
      <c r="Q229">
        <v>307.25470999999999</v>
      </c>
      <c r="R229"/>
      <c r="U229" s="2" t="s">
        <v>543</v>
      </c>
      <c r="V229">
        <v>1229.01884</v>
      </c>
      <c r="W229">
        <v>307.25470999999999</v>
      </c>
      <c r="X229"/>
    </row>
    <row r="230" spans="1:24" ht="12.75" customHeight="1" x14ac:dyDescent="0.25">
      <c r="A230" s="8" t="s">
        <v>164</v>
      </c>
      <c r="B230" s="9" t="s">
        <v>175</v>
      </c>
      <c r="C230" s="10" t="s">
        <v>176</v>
      </c>
      <c r="D230" s="11">
        <v>67627.42</v>
      </c>
      <c r="F230" s="11">
        <v>0</v>
      </c>
      <c r="G230" s="11">
        <v>0</v>
      </c>
      <c r="H230" s="11">
        <v>0</v>
      </c>
      <c r="J230" s="11">
        <f t="shared" si="39"/>
        <v>67627.42</v>
      </c>
      <c r="L230" s="11">
        <v>99000</v>
      </c>
      <c r="M230" s="12">
        <f t="shared" si="40"/>
        <v>0.68310525252525256</v>
      </c>
      <c r="P230">
        <v>1893.5677599999999</v>
      </c>
      <c r="Q230">
        <v>473.39193999999998</v>
      </c>
      <c r="R230"/>
      <c r="U230" s="2" t="s">
        <v>544</v>
      </c>
      <c r="V230">
        <v>1893.5677599999999</v>
      </c>
      <c r="W230">
        <v>473.39193999999998</v>
      </c>
      <c r="X230"/>
    </row>
    <row r="231" spans="1:24" ht="12.75" customHeight="1" x14ac:dyDescent="0.25">
      <c r="A231" s="8" t="s">
        <v>164</v>
      </c>
      <c r="B231" s="9" t="s">
        <v>88</v>
      </c>
      <c r="C231" s="10" t="s">
        <v>177</v>
      </c>
      <c r="D231" s="11">
        <v>16490.93</v>
      </c>
      <c r="F231" s="11">
        <v>0</v>
      </c>
      <c r="G231" s="11">
        <v>0</v>
      </c>
      <c r="H231" s="11">
        <v>0</v>
      </c>
      <c r="J231" s="11">
        <f t="shared" si="39"/>
        <v>16490.93</v>
      </c>
      <c r="L231" s="11"/>
      <c r="M231" s="12">
        <f t="shared" si="40"/>
        <v>0</v>
      </c>
      <c r="P231">
        <v>461.74603999999999</v>
      </c>
      <c r="Q231">
        <v>115.43651</v>
      </c>
      <c r="R231"/>
      <c r="U231" s="2" t="s">
        <v>545</v>
      </c>
      <c r="V231">
        <v>461.74603999999999</v>
      </c>
      <c r="W231">
        <v>115.43651</v>
      </c>
      <c r="X231"/>
    </row>
    <row r="232" spans="1:24" ht="12.75" customHeight="1" x14ac:dyDescent="0.25">
      <c r="A232" s="8" t="s">
        <v>164</v>
      </c>
      <c r="B232" s="9" t="s">
        <v>139</v>
      </c>
      <c r="C232" s="10"/>
      <c r="D232" s="11">
        <v>45483.26</v>
      </c>
      <c r="F232" s="11">
        <v>0</v>
      </c>
      <c r="G232" s="11">
        <v>0</v>
      </c>
      <c r="H232" s="11">
        <v>0</v>
      </c>
      <c r="J232" s="11">
        <f t="shared" si="39"/>
        <v>45483.26</v>
      </c>
      <c r="L232" s="11">
        <v>99000</v>
      </c>
      <c r="M232" s="12">
        <f t="shared" si="40"/>
        <v>0.45942686868686872</v>
      </c>
      <c r="P232">
        <v>1273.5312800000002</v>
      </c>
      <c r="Q232">
        <v>318.38282000000004</v>
      </c>
      <c r="R232"/>
      <c r="U232" s="2" t="s">
        <v>546</v>
      </c>
      <c r="V232">
        <v>1273.5312800000002</v>
      </c>
      <c r="W232">
        <v>318.38282000000004</v>
      </c>
      <c r="X232"/>
    </row>
    <row r="233" spans="1:24" ht="12.75" customHeight="1" x14ac:dyDescent="0.25">
      <c r="A233" s="8" t="s">
        <v>164</v>
      </c>
      <c r="B233" s="17" t="s">
        <v>51</v>
      </c>
      <c r="C233" s="10" t="s">
        <v>178</v>
      </c>
      <c r="D233" s="11">
        <v>34914.61</v>
      </c>
      <c r="F233" s="11">
        <v>0</v>
      </c>
      <c r="G233" s="11">
        <v>0</v>
      </c>
      <c r="H233" s="11">
        <v>0</v>
      </c>
      <c r="J233" s="11">
        <f t="shared" si="39"/>
        <v>34914.61</v>
      </c>
      <c r="L233" s="11">
        <v>99000</v>
      </c>
      <c r="M233" s="12">
        <f t="shared" si="40"/>
        <v>0.35267282828282831</v>
      </c>
      <c r="P233">
        <v>977.60908000000006</v>
      </c>
      <c r="Q233">
        <v>244.40227000000002</v>
      </c>
      <c r="R233"/>
      <c r="U233" s="2" t="s">
        <v>547</v>
      </c>
      <c r="V233">
        <v>977.60908000000006</v>
      </c>
      <c r="W233">
        <v>244.40227000000002</v>
      </c>
      <c r="X233"/>
    </row>
    <row r="234" spans="1:24" ht="12.75" customHeight="1" x14ac:dyDescent="0.25">
      <c r="A234" s="8" t="s">
        <v>164</v>
      </c>
      <c r="B234" s="9" t="s">
        <v>179</v>
      </c>
      <c r="C234" s="10" t="s">
        <v>127</v>
      </c>
      <c r="D234" s="11">
        <v>5404.73</v>
      </c>
      <c r="F234" s="11">
        <v>0</v>
      </c>
      <c r="G234" s="11">
        <v>0</v>
      </c>
      <c r="H234" s="11">
        <v>0</v>
      </c>
      <c r="J234" s="11">
        <f t="shared" si="39"/>
        <v>5404.73</v>
      </c>
      <c r="L234" s="11"/>
      <c r="M234" s="12">
        <f t="shared" si="40"/>
        <v>0</v>
      </c>
      <c r="P234">
        <v>151.33243999999999</v>
      </c>
      <c r="Q234">
        <v>37.833109999999998</v>
      </c>
      <c r="R234"/>
      <c r="U234" s="2" t="s">
        <v>548</v>
      </c>
      <c r="V234">
        <v>151.33243999999999</v>
      </c>
      <c r="W234">
        <v>37.833109999999998</v>
      </c>
      <c r="X234"/>
    </row>
    <row r="235" spans="1:24" ht="12.75" customHeight="1" x14ac:dyDescent="0.25">
      <c r="A235" s="13" t="s">
        <v>30</v>
      </c>
      <c r="B235" s="14"/>
      <c r="C235" s="13"/>
      <c r="D235" s="15">
        <v>412649.14999999997</v>
      </c>
      <c r="E235" s="15">
        <v>0</v>
      </c>
      <c r="F235" s="15">
        <v>0</v>
      </c>
      <c r="G235" s="15">
        <v>0</v>
      </c>
      <c r="H235" s="15">
        <v>0</v>
      </c>
      <c r="I235" s="15">
        <v>0</v>
      </c>
      <c r="J235" s="15">
        <f t="shared" ref="J235:L235" si="41">SUM(J224:J234)</f>
        <v>412649.14999999997</v>
      </c>
      <c r="L235" s="15">
        <f t="shared" si="41"/>
        <v>693000</v>
      </c>
      <c r="P235"/>
      <c r="Q235"/>
      <c r="R235"/>
      <c r="V235"/>
      <c r="W235"/>
      <c r="X235"/>
    </row>
    <row r="236" spans="1:24" ht="12.75" customHeight="1" x14ac:dyDescent="0.25">
      <c r="P236"/>
      <c r="Q236"/>
      <c r="R236"/>
      <c r="V236"/>
      <c r="W236"/>
      <c r="X236"/>
    </row>
    <row r="237" spans="1:24" ht="12.75" customHeight="1" x14ac:dyDescent="0.25">
      <c r="P237"/>
      <c r="Q237"/>
      <c r="R237"/>
      <c r="V237"/>
      <c r="W237"/>
      <c r="X237"/>
    </row>
    <row r="238" spans="1:24" ht="12.75" customHeight="1" x14ac:dyDescent="0.25">
      <c r="O238" s="5" t="s">
        <v>12</v>
      </c>
      <c r="P238"/>
      <c r="Q238"/>
      <c r="R238"/>
      <c r="V238"/>
      <c r="W238"/>
      <c r="X238"/>
    </row>
    <row r="239" spans="1:24" ht="12.75" customHeight="1" x14ac:dyDescent="0.25">
      <c r="O239" s="11">
        <v>240000</v>
      </c>
      <c r="P239"/>
      <c r="Q239"/>
      <c r="R239"/>
      <c r="V239"/>
      <c r="W239"/>
      <c r="X239"/>
    </row>
    <row r="240" spans="1:24" ht="12.75" customHeight="1" x14ac:dyDescent="0.25">
      <c r="A240" s="4" t="s">
        <v>0</v>
      </c>
      <c r="B240" s="5" t="s">
        <v>1</v>
      </c>
      <c r="C240" s="4" t="s">
        <v>2</v>
      </c>
      <c r="D240" s="5" t="s">
        <v>3</v>
      </c>
      <c r="E240" s="5" t="s">
        <v>4</v>
      </c>
      <c r="F240" s="5" t="s">
        <v>5</v>
      </c>
      <c r="G240" s="5" t="s">
        <v>6</v>
      </c>
      <c r="H240" s="5" t="s">
        <v>7</v>
      </c>
      <c r="I240" s="5" t="s">
        <v>8</v>
      </c>
      <c r="J240" s="5" t="s">
        <v>9</v>
      </c>
      <c r="L240" s="7" t="s">
        <v>10</v>
      </c>
      <c r="M240" s="7" t="s">
        <v>11</v>
      </c>
      <c r="P240"/>
      <c r="Q240"/>
      <c r="R240"/>
      <c r="U240" s="2" t="s">
        <v>548</v>
      </c>
      <c r="V240"/>
      <c r="W240"/>
      <c r="X240"/>
    </row>
    <row r="241" spans="1:24" ht="12.75" customHeight="1" x14ac:dyDescent="0.25">
      <c r="A241" s="8" t="s">
        <v>102</v>
      </c>
      <c r="B241" s="9" t="s">
        <v>180</v>
      </c>
      <c r="C241" s="10" t="s">
        <v>181</v>
      </c>
      <c r="D241" s="11">
        <v>2214.9</v>
      </c>
      <c r="F241" s="11">
        <v>0</v>
      </c>
      <c r="G241" s="11">
        <v>0</v>
      </c>
      <c r="H241" s="11">
        <v>0</v>
      </c>
      <c r="J241" s="11">
        <f t="shared" ref="J241:J251" si="42">SUM(D241:I241)</f>
        <v>2214.9</v>
      </c>
      <c r="L241" s="11"/>
      <c r="M241" s="12">
        <f t="shared" ref="M241:M251" si="43">IFERROR(J241/L241,)</f>
        <v>0</v>
      </c>
      <c r="P241">
        <v>70.876800000000003</v>
      </c>
      <c r="Q241">
        <v>17.719200000000001</v>
      </c>
      <c r="R241"/>
      <c r="U241" s="2" t="s">
        <v>549</v>
      </c>
      <c r="V241">
        <v>70.876800000000003</v>
      </c>
      <c r="W241">
        <v>17.719200000000001</v>
      </c>
      <c r="X241"/>
    </row>
    <row r="242" spans="1:24" ht="12.75" customHeight="1" x14ac:dyDescent="0.25">
      <c r="A242" s="8" t="s">
        <v>102</v>
      </c>
      <c r="B242" s="9" t="s">
        <v>182</v>
      </c>
      <c r="C242" s="10" t="s">
        <v>183</v>
      </c>
      <c r="D242" s="11">
        <v>45023.48</v>
      </c>
      <c r="F242" s="11">
        <v>0</v>
      </c>
      <c r="G242" s="11">
        <v>0</v>
      </c>
      <c r="H242" s="11">
        <v>0</v>
      </c>
      <c r="J242" s="11">
        <f t="shared" si="42"/>
        <v>45023.48</v>
      </c>
      <c r="L242" s="11">
        <v>66000</v>
      </c>
      <c r="M242" s="12">
        <f t="shared" si="43"/>
        <v>0.68217393939393944</v>
      </c>
      <c r="P242">
        <v>1440.7513600000002</v>
      </c>
      <c r="Q242">
        <v>360.18784000000005</v>
      </c>
      <c r="R242"/>
      <c r="U242" s="2" t="s">
        <v>550</v>
      </c>
      <c r="V242">
        <v>1440.7513600000002</v>
      </c>
      <c r="W242">
        <v>360.18784000000005</v>
      </c>
      <c r="X242"/>
    </row>
    <row r="243" spans="1:24" ht="12.75" customHeight="1" x14ac:dyDescent="0.25">
      <c r="A243" s="8" t="s">
        <v>102</v>
      </c>
      <c r="B243" s="9" t="s">
        <v>184</v>
      </c>
      <c r="C243" s="10" t="s">
        <v>185</v>
      </c>
      <c r="D243" s="11">
        <v>46778.22</v>
      </c>
      <c r="F243" s="11">
        <v>0</v>
      </c>
      <c r="G243" s="11">
        <v>0</v>
      </c>
      <c r="H243" s="11">
        <v>0</v>
      </c>
      <c r="J243" s="11">
        <f t="shared" si="42"/>
        <v>46778.22</v>
      </c>
      <c r="L243" s="11">
        <v>66000</v>
      </c>
      <c r="M243" s="12">
        <f t="shared" si="43"/>
        <v>0.70876090909090916</v>
      </c>
      <c r="P243">
        <v>1496.9030400000001</v>
      </c>
      <c r="Q243">
        <v>374.22576000000004</v>
      </c>
      <c r="R243"/>
      <c r="U243" s="2" t="s">
        <v>551</v>
      </c>
      <c r="V243">
        <v>1496.9030400000001</v>
      </c>
      <c r="W243">
        <v>374.22576000000004</v>
      </c>
      <c r="X243"/>
    </row>
    <row r="244" spans="1:24" ht="12.75" customHeight="1" x14ac:dyDescent="0.25">
      <c r="A244" s="8" t="s">
        <v>102</v>
      </c>
      <c r="B244" s="9" t="s">
        <v>160</v>
      </c>
      <c r="C244" s="10" t="s">
        <v>186</v>
      </c>
      <c r="D244" s="11">
        <v>66744.179999999993</v>
      </c>
      <c r="F244" s="11">
        <v>0</v>
      </c>
      <c r="G244" s="11">
        <v>0</v>
      </c>
      <c r="H244" s="11">
        <v>0</v>
      </c>
      <c r="J244" s="11">
        <f t="shared" si="42"/>
        <v>66744.179999999993</v>
      </c>
      <c r="L244" s="11">
        <v>66000</v>
      </c>
      <c r="M244" s="12">
        <f t="shared" si="43"/>
        <v>1.0112754545454545</v>
      </c>
      <c r="P244">
        <v>2135.81376</v>
      </c>
      <c r="Q244">
        <v>533.95344</v>
      </c>
      <c r="R244">
        <v>333.72089999999997</v>
      </c>
      <c r="U244" s="2" t="s">
        <v>552</v>
      </c>
      <c r="V244">
        <v>2135.81376</v>
      </c>
      <c r="W244">
        <v>533.95344</v>
      </c>
      <c r="X244">
        <v>333.72089999999997</v>
      </c>
    </row>
    <row r="245" spans="1:24" ht="12.75" customHeight="1" x14ac:dyDescent="0.25">
      <c r="A245" s="8" t="s">
        <v>102</v>
      </c>
      <c r="B245" s="9" t="s">
        <v>65</v>
      </c>
      <c r="C245" s="10" t="s">
        <v>187</v>
      </c>
      <c r="D245" s="11">
        <v>35966.080000000002</v>
      </c>
      <c r="F245" s="11">
        <v>0</v>
      </c>
      <c r="G245" s="11">
        <v>0</v>
      </c>
      <c r="H245" s="11">
        <v>0</v>
      </c>
      <c r="J245" s="11">
        <f t="shared" si="42"/>
        <v>35966.080000000002</v>
      </c>
      <c r="L245" s="11">
        <v>66000</v>
      </c>
      <c r="M245" s="12">
        <f t="shared" si="43"/>
        <v>0.54494060606060613</v>
      </c>
      <c r="P245">
        <v>1150.9145600000002</v>
      </c>
      <c r="Q245">
        <v>287.72864000000004</v>
      </c>
      <c r="R245"/>
      <c r="U245" s="2" t="s">
        <v>553</v>
      </c>
      <c r="V245">
        <v>1150.9145600000002</v>
      </c>
      <c r="W245">
        <v>287.72864000000004</v>
      </c>
      <c r="X245"/>
    </row>
    <row r="246" spans="1:24" ht="12.75" customHeight="1" x14ac:dyDescent="0.25">
      <c r="A246" s="8" t="s">
        <v>102</v>
      </c>
      <c r="B246" s="9"/>
      <c r="C246" s="10"/>
      <c r="D246" s="11">
        <v>0</v>
      </c>
      <c r="F246" s="11">
        <v>0</v>
      </c>
      <c r="G246" s="11">
        <v>0</v>
      </c>
      <c r="H246" s="11">
        <v>0</v>
      </c>
      <c r="J246" s="11">
        <f t="shared" si="42"/>
        <v>0</v>
      </c>
      <c r="L246" s="11"/>
      <c r="M246" s="12">
        <f t="shared" si="43"/>
        <v>0</v>
      </c>
      <c r="P246"/>
      <c r="Q246"/>
      <c r="R246"/>
      <c r="V246"/>
      <c r="W246"/>
      <c r="X246"/>
    </row>
    <row r="247" spans="1:24" ht="12.75" customHeight="1" x14ac:dyDescent="0.25">
      <c r="A247" s="8" t="s">
        <v>102</v>
      </c>
      <c r="B247" s="9"/>
      <c r="C247" s="10"/>
      <c r="D247" s="11">
        <v>0</v>
      </c>
      <c r="F247" s="11">
        <v>0</v>
      </c>
      <c r="G247" s="11">
        <v>0</v>
      </c>
      <c r="H247" s="11">
        <v>0</v>
      </c>
      <c r="J247" s="11">
        <f t="shared" si="42"/>
        <v>0</v>
      </c>
      <c r="L247" s="11"/>
      <c r="M247" s="12">
        <f t="shared" si="43"/>
        <v>0</v>
      </c>
      <c r="P247"/>
      <c r="Q247"/>
      <c r="R247"/>
      <c r="V247"/>
      <c r="W247"/>
      <c r="X247"/>
    </row>
    <row r="248" spans="1:24" ht="12.75" customHeight="1" x14ac:dyDescent="0.25">
      <c r="A248" s="8" t="s">
        <v>102</v>
      </c>
      <c r="B248" s="9"/>
      <c r="C248" s="10"/>
      <c r="D248" s="11">
        <v>0</v>
      </c>
      <c r="F248" s="11">
        <v>0</v>
      </c>
      <c r="G248" s="11">
        <v>0</v>
      </c>
      <c r="H248" s="11">
        <v>0</v>
      </c>
      <c r="J248" s="11">
        <f t="shared" si="42"/>
        <v>0</v>
      </c>
      <c r="L248" s="11"/>
      <c r="M248" s="12">
        <f t="shared" si="43"/>
        <v>0</v>
      </c>
      <c r="P248"/>
      <c r="Q248"/>
      <c r="R248"/>
      <c r="V248"/>
      <c r="W248"/>
      <c r="X248"/>
    </row>
    <row r="249" spans="1:24" ht="12.75" customHeight="1" x14ac:dyDescent="0.25">
      <c r="A249" s="8" t="s">
        <v>102</v>
      </c>
      <c r="B249" s="9"/>
      <c r="C249" s="10"/>
      <c r="D249" s="11">
        <v>0</v>
      </c>
      <c r="F249" s="11">
        <v>0</v>
      </c>
      <c r="G249" s="11">
        <v>0</v>
      </c>
      <c r="H249" s="11">
        <v>0</v>
      </c>
      <c r="J249" s="11">
        <f t="shared" si="42"/>
        <v>0</v>
      </c>
      <c r="L249" s="11"/>
      <c r="M249" s="12">
        <f t="shared" si="43"/>
        <v>0</v>
      </c>
      <c r="P249"/>
      <c r="Q249"/>
      <c r="R249"/>
      <c r="V249"/>
      <c r="W249"/>
      <c r="X249"/>
    </row>
    <row r="250" spans="1:24" ht="12.75" customHeight="1" x14ac:dyDescent="0.25">
      <c r="A250" s="8" t="s">
        <v>102</v>
      </c>
      <c r="B250" s="9"/>
      <c r="C250" s="10"/>
      <c r="D250" s="11">
        <v>0</v>
      </c>
      <c r="F250" s="11">
        <v>0</v>
      </c>
      <c r="G250" s="11">
        <v>0</v>
      </c>
      <c r="H250" s="11">
        <v>0</v>
      </c>
      <c r="J250" s="11">
        <f t="shared" si="42"/>
        <v>0</v>
      </c>
      <c r="L250" s="11"/>
      <c r="M250" s="12">
        <f t="shared" si="43"/>
        <v>0</v>
      </c>
      <c r="P250"/>
      <c r="Q250"/>
      <c r="R250"/>
      <c r="V250"/>
      <c r="W250"/>
      <c r="X250"/>
    </row>
    <row r="251" spans="1:24" ht="12.75" customHeight="1" x14ac:dyDescent="0.25">
      <c r="A251" s="8" t="s">
        <v>102</v>
      </c>
      <c r="B251" s="9"/>
      <c r="C251" s="10"/>
      <c r="D251" s="11">
        <v>0</v>
      </c>
      <c r="F251" s="11">
        <v>0</v>
      </c>
      <c r="G251" s="11">
        <v>0</v>
      </c>
      <c r="H251" s="11">
        <v>0</v>
      </c>
      <c r="J251" s="11">
        <f t="shared" si="42"/>
        <v>0</v>
      </c>
      <c r="L251" s="11"/>
      <c r="M251" s="12">
        <f t="shared" si="43"/>
        <v>0</v>
      </c>
      <c r="P251"/>
      <c r="Q251"/>
      <c r="R251"/>
      <c r="V251"/>
      <c r="W251"/>
      <c r="X251"/>
    </row>
    <row r="252" spans="1:24" ht="12.75" customHeight="1" x14ac:dyDescent="0.25">
      <c r="A252" s="13" t="s">
        <v>30</v>
      </c>
      <c r="B252" s="14"/>
      <c r="C252" s="13"/>
      <c r="D252" s="15">
        <v>196726.86</v>
      </c>
      <c r="E252" s="15">
        <v>0</v>
      </c>
      <c r="F252" s="15">
        <v>0</v>
      </c>
      <c r="G252" s="15">
        <v>0</v>
      </c>
      <c r="H252" s="15">
        <v>0</v>
      </c>
      <c r="I252" s="15">
        <v>0</v>
      </c>
      <c r="J252" s="15">
        <f t="shared" ref="J252:L252" si="44">SUM(J241:J251)</f>
        <v>196726.86</v>
      </c>
      <c r="L252" s="15">
        <f t="shared" si="44"/>
        <v>264000</v>
      </c>
      <c r="P252"/>
      <c r="Q252"/>
      <c r="R252"/>
      <c r="V252"/>
      <c r="W252"/>
      <c r="X252"/>
    </row>
    <row r="253" spans="1:24" ht="12.75" customHeight="1" x14ac:dyDescent="0.25">
      <c r="P253"/>
      <c r="Q253"/>
      <c r="R253"/>
      <c r="V253"/>
      <c r="W253"/>
      <c r="X253"/>
    </row>
    <row r="254" spans="1:24" ht="12.75" customHeight="1" x14ac:dyDescent="0.25">
      <c r="P254"/>
      <c r="Q254"/>
      <c r="R254"/>
      <c r="V254"/>
      <c r="W254"/>
      <c r="X254"/>
    </row>
    <row r="255" spans="1:24" ht="12.75" customHeight="1" x14ac:dyDescent="0.25">
      <c r="O255" s="5" t="s">
        <v>12</v>
      </c>
      <c r="P255"/>
      <c r="Q255"/>
      <c r="R255"/>
      <c r="V255"/>
      <c r="W255"/>
      <c r="X255"/>
    </row>
    <row r="256" spans="1:24" ht="12.75" customHeight="1" x14ac:dyDescent="0.25">
      <c r="O256" s="11">
        <v>204000</v>
      </c>
      <c r="P256"/>
      <c r="Q256"/>
      <c r="R256"/>
      <c r="V256"/>
      <c r="W256"/>
      <c r="X256"/>
    </row>
    <row r="257" spans="1:24" ht="12.75" customHeight="1" x14ac:dyDescent="0.25">
      <c r="A257" s="4" t="s">
        <v>0</v>
      </c>
      <c r="B257" s="5" t="s">
        <v>1</v>
      </c>
      <c r="C257" s="4" t="s">
        <v>2</v>
      </c>
      <c r="D257" s="5" t="s">
        <v>3</v>
      </c>
      <c r="E257" s="5" t="s">
        <v>4</v>
      </c>
      <c r="F257" s="5" t="s">
        <v>5</v>
      </c>
      <c r="G257" s="5" t="s">
        <v>6</v>
      </c>
      <c r="H257" s="5" t="s">
        <v>7</v>
      </c>
      <c r="I257" s="5" t="s">
        <v>8</v>
      </c>
      <c r="J257" s="5" t="s">
        <v>9</v>
      </c>
      <c r="L257" s="7" t="s">
        <v>10</v>
      </c>
      <c r="M257" s="7" t="s">
        <v>11</v>
      </c>
      <c r="P257"/>
      <c r="Q257"/>
      <c r="R257"/>
      <c r="U257" s="2" t="s">
        <v>553</v>
      </c>
      <c r="V257"/>
      <c r="W257"/>
      <c r="X257"/>
    </row>
    <row r="258" spans="1:24" ht="12.75" customHeight="1" x14ac:dyDescent="0.25">
      <c r="A258" s="8" t="s">
        <v>188</v>
      </c>
      <c r="B258" s="9" t="s">
        <v>137</v>
      </c>
      <c r="C258" s="10" t="s">
        <v>189</v>
      </c>
      <c r="D258" s="11">
        <v>75822.86</v>
      </c>
      <c r="F258" s="11">
        <v>0</v>
      </c>
      <c r="G258" s="11">
        <v>0</v>
      </c>
      <c r="H258" s="11">
        <v>499.99</v>
      </c>
      <c r="J258" s="11">
        <f t="shared" ref="J258:J268" si="45">SUM(D258:I258)</f>
        <v>76322.850000000006</v>
      </c>
      <c r="L258" s="11">
        <v>74678</v>
      </c>
      <c r="M258" s="12">
        <f t="shared" ref="M258:M268" si="46">IFERROR(J258/L258,)</f>
        <v>1.02202589785479</v>
      </c>
      <c r="P258">
        <v>2442.3312000000001</v>
      </c>
      <c r="Q258">
        <v>610.58280000000002</v>
      </c>
      <c r="R258">
        <v>381.61425000000003</v>
      </c>
      <c r="U258" s="2" t="s">
        <v>554</v>
      </c>
      <c r="V258">
        <v>2442.3312000000001</v>
      </c>
      <c r="W258">
        <v>610.58280000000002</v>
      </c>
      <c r="X258">
        <v>381.61425000000003</v>
      </c>
    </row>
    <row r="259" spans="1:24" ht="12.75" customHeight="1" x14ac:dyDescent="0.25">
      <c r="A259" s="8" t="s">
        <v>188</v>
      </c>
      <c r="B259" s="9" t="s">
        <v>146</v>
      </c>
      <c r="C259" s="10" t="s">
        <v>190</v>
      </c>
      <c r="D259" s="11">
        <v>1085.97</v>
      </c>
      <c r="F259" s="11">
        <v>0</v>
      </c>
      <c r="G259" s="11">
        <v>0</v>
      </c>
      <c r="H259" s="11">
        <v>0</v>
      </c>
      <c r="J259" s="11">
        <f t="shared" si="45"/>
        <v>1085.97</v>
      </c>
      <c r="L259" s="11"/>
      <c r="M259" s="12">
        <f t="shared" si="46"/>
        <v>0</v>
      </c>
      <c r="P259">
        <v>34.751040000000003</v>
      </c>
      <c r="Q259">
        <v>8.6877600000000008</v>
      </c>
      <c r="R259"/>
      <c r="U259" s="2" t="s">
        <v>555</v>
      </c>
      <c r="V259">
        <v>34.751040000000003</v>
      </c>
      <c r="W259">
        <v>8.6877600000000008</v>
      </c>
      <c r="X259"/>
    </row>
    <row r="260" spans="1:24" ht="12.75" customHeight="1" x14ac:dyDescent="0.25">
      <c r="A260" s="8" t="s">
        <v>188</v>
      </c>
      <c r="B260" s="9" t="s">
        <v>170</v>
      </c>
      <c r="C260" s="10" t="s">
        <v>191</v>
      </c>
      <c r="D260" s="11">
        <v>5975.87</v>
      </c>
      <c r="F260" s="11">
        <v>0</v>
      </c>
      <c r="G260" s="11">
        <v>0</v>
      </c>
      <c r="H260" s="11">
        <v>0</v>
      </c>
      <c r="J260" s="11">
        <f t="shared" si="45"/>
        <v>5975.87</v>
      </c>
      <c r="L260" s="11"/>
      <c r="M260" s="12">
        <f t="shared" si="46"/>
        <v>0</v>
      </c>
      <c r="P260">
        <v>191.22784000000001</v>
      </c>
      <c r="Q260">
        <v>47.806960000000004</v>
      </c>
      <c r="R260"/>
      <c r="U260" s="2" t="s">
        <v>556</v>
      </c>
      <c r="V260">
        <v>191.22784000000001</v>
      </c>
      <c r="W260">
        <v>47.806960000000004</v>
      </c>
      <c r="X260"/>
    </row>
    <row r="261" spans="1:24" ht="12.75" customHeight="1" x14ac:dyDescent="0.25">
      <c r="A261" s="8" t="s">
        <v>188</v>
      </c>
      <c r="B261" s="9" t="s">
        <v>192</v>
      </c>
      <c r="C261" s="10" t="s">
        <v>193</v>
      </c>
      <c r="D261" s="11">
        <v>78436.97</v>
      </c>
      <c r="F261" s="11">
        <v>0</v>
      </c>
      <c r="G261" s="11">
        <v>0</v>
      </c>
      <c r="H261" s="11">
        <v>0</v>
      </c>
      <c r="J261" s="11">
        <f t="shared" si="45"/>
        <v>78436.97</v>
      </c>
      <c r="L261" s="11">
        <v>74678</v>
      </c>
      <c r="M261" s="12">
        <f t="shared" si="46"/>
        <v>1.050335707972897</v>
      </c>
      <c r="P261">
        <v>2509.9830400000001</v>
      </c>
      <c r="Q261">
        <v>627.49576000000002</v>
      </c>
      <c r="R261">
        <v>392.18485000000004</v>
      </c>
      <c r="U261" s="2" t="s">
        <v>557</v>
      </c>
      <c r="V261">
        <v>2509.9830400000001</v>
      </c>
      <c r="W261">
        <v>627.49576000000002</v>
      </c>
      <c r="X261">
        <v>392.18485000000004</v>
      </c>
    </row>
    <row r="262" spans="1:24" ht="12.75" customHeight="1" x14ac:dyDescent="0.25">
      <c r="A262" s="8" t="s">
        <v>188</v>
      </c>
      <c r="B262" s="9" t="s">
        <v>149</v>
      </c>
      <c r="C262" s="10" t="s">
        <v>194</v>
      </c>
      <c r="D262" s="11">
        <v>74922.02</v>
      </c>
      <c r="F262" s="11">
        <v>0</v>
      </c>
      <c r="G262" s="11">
        <v>0</v>
      </c>
      <c r="H262" s="11">
        <v>0</v>
      </c>
      <c r="J262" s="11">
        <f t="shared" si="45"/>
        <v>74922.02</v>
      </c>
      <c r="L262" s="11">
        <v>74678</v>
      </c>
      <c r="M262" s="12">
        <f t="shared" si="46"/>
        <v>1.0032676290205951</v>
      </c>
      <c r="P262">
        <v>2397.5046400000001</v>
      </c>
      <c r="Q262">
        <v>599.37616000000003</v>
      </c>
      <c r="R262">
        <v>374.61010000000005</v>
      </c>
      <c r="U262" s="2" t="s">
        <v>558</v>
      </c>
      <c r="V262">
        <v>2397.5046400000001</v>
      </c>
      <c r="W262">
        <v>599.37616000000003</v>
      </c>
      <c r="X262">
        <v>374.61010000000005</v>
      </c>
    </row>
    <row r="263" spans="1:24" ht="12.75" customHeight="1" x14ac:dyDescent="0.25">
      <c r="A263" s="8" t="s">
        <v>188</v>
      </c>
      <c r="B263" s="9"/>
      <c r="C263" s="10"/>
      <c r="D263" s="11">
        <v>0</v>
      </c>
      <c r="F263" s="11">
        <v>0</v>
      </c>
      <c r="G263" s="11">
        <v>0</v>
      </c>
      <c r="H263" s="11">
        <v>0</v>
      </c>
      <c r="J263" s="11">
        <f t="shared" si="45"/>
        <v>0</v>
      </c>
      <c r="L263" s="11"/>
      <c r="M263" s="12">
        <f t="shared" si="46"/>
        <v>0</v>
      </c>
      <c r="P263"/>
      <c r="Q263"/>
      <c r="R263"/>
      <c r="V263"/>
      <c r="W263"/>
      <c r="X263"/>
    </row>
    <row r="264" spans="1:24" ht="12.75" customHeight="1" x14ac:dyDescent="0.25">
      <c r="A264" s="8" t="s">
        <v>188</v>
      </c>
      <c r="B264" s="9"/>
      <c r="C264" s="10"/>
      <c r="D264" s="11">
        <v>0</v>
      </c>
      <c r="F264" s="11">
        <v>0</v>
      </c>
      <c r="G264" s="11">
        <v>0</v>
      </c>
      <c r="H264" s="11">
        <v>0</v>
      </c>
      <c r="J264" s="11">
        <f t="shared" si="45"/>
        <v>0</v>
      </c>
      <c r="L264" s="11"/>
      <c r="M264" s="12">
        <f t="shared" si="46"/>
        <v>0</v>
      </c>
      <c r="P264"/>
      <c r="Q264"/>
      <c r="R264"/>
      <c r="V264"/>
      <c r="W264"/>
      <c r="X264"/>
    </row>
    <row r="265" spans="1:24" ht="12.75" customHeight="1" x14ac:dyDescent="0.25">
      <c r="A265" s="8" t="s">
        <v>188</v>
      </c>
      <c r="B265" s="9"/>
      <c r="C265" s="10"/>
      <c r="D265" s="11">
        <v>0</v>
      </c>
      <c r="F265" s="11">
        <v>0</v>
      </c>
      <c r="G265" s="11">
        <v>0</v>
      </c>
      <c r="H265" s="11">
        <v>0</v>
      </c>
      <c r="J265" s="11">
        <f t="shared" si="45"/>
        <v>0</v>
      </c>
      <c r="L265" s="11"/>
      <c r="M265" s="12">
        <f t="shared" si="46"/>
        <v>0</v>
      </c>
      <c r="P265"/>
      <c r="Q265"/>
      <c r="R265"/>
      <c r="V265"/>
      <c r="W265"/>
      <c r="X265"/>
    </row>
    <row r="266" spans="1:24" ht="12.75" customHeight="1" x14ac:dyDescent="0.25">
      <c r="A266" s="8" t="s">
        <v>188</v>
      </c>
      <c r="B266" s="9"/>
      <c r="C266" s="10"/>
      <c r="D266" s="11">
        <v>0</v>
      </c>
      <c r="F266" s="11">
        <v>0</v>
      </c>
      <c r="G266" s="11">
        <v>0</v>
      </c>
      <c r="H266" s="11">
        <v>0</v>
      </c>
      <c r="J266" s="11">
        <f t="shared" si="45"/>
        <v>0</v>
      </c>
      <c r="L266" s="11"/>
      <c r="M266" s="12">
        <f t="shared" si="46"/>
        <v>0</v>
      </c>
      <c r="P266"/>
      <c r="Q266"/>
      <c r="R266"/>
      <c r="V266"/>
      <c r="W266"/>
      <c r="X266"/>
    </row>
    <row r="267" spans="1:24" ht="12.75" customHeight="1" x14ac:dyDescent="0.25">
      <c r="A267" s="8" t="s">
        <v>188</v>
      </c>
      <c r="B267" s="9"/>
      <c r="C267" s="10"/>
      <c r="D267" s="11">
        <v>0</v>
      </c>
      <c r="F267" s="11">
        <v>0</v>
      </c>
      <c r="G267" s="11">
        <v>0</v>
      </c>
      <c r="H267" s="11">
        <v>0</v>
      </c>
      <c r="J267" s="11">
        <f t="shared" si="45"/>
        <v>0</v>
      </c>
      <c r="L267" s="11"/>
      <c r="M267" s="12">
        <f t="shared" si="46"/>
        <v>0</v>
      </c>
      <c r="P267"/>
      <c r="Q267"/>
      <c r="R267"/>
      <c r="V267"/>
      <c r="W267"/>
      <c r="X267"/>
    </row>
    <row r="268" spans="1:24" ht="12.75" customHeight="1" x14ac:dyDescent="0.25">
      <c r="A268" s="8" t="s">
        <v>188</v>
      </c>
      <c r="B268" s="9"/>
      <c r="C268" s="10"/>
      <c r="D268" s="11">
        <v>0</v>
      </c>
      <c r="F268" s="11">
        <v>0</v>
      </c>
      <c r="G268" s="11">
        <v>0</v>
      </c>
      <c r="H268" s="11">
        <v>0</v>
      </c>
      <c r="J268" s="11">
        <f t="shared" si="45"/>
        <v>0</v>
      </c>
      <c r="L268" s="11"/>
      <c r="M268" s="12">
        <f t="shared" si="46"/>
        <v>0</v>
      </c>
      <c r="P268"/>
      <c r="Q268"/>
      <c r="R268"/>
      <c r="V268"/>
      <c r="W268"/>
      <c r="X268"/>
    </row>
    <row r="269" spans="1:24" ht="12.75" customHeight="1" x14ac:dyDescent="0.25">
      <c r="A269" s="13" t="s">
        <v>30</v>
      </c>
      <c r="B269" s="14"/>
      <c r="C269" s="13"/>
      <c r="D269" s="15">
        <v>236243.69</v>
      </c>
      <c r="E269" s="15">
        <v>0</v>
      </c>
      <c r="F269" s="15">
        <v>0</v>
      </c>
      <c r="G269" s="15">
        <v>0</v>
      </c>
      <c r="H269" s="15">
        <v>499.99</v>
      </c>
      <c r="I269" s="15">
        <v>0</v>
      </c>
      <c r="J269" s="15">
        <f t="shared" ref="J269:L269" si="47">SUM(J258:J268)</f>
        <v>236743.67999999999</v>
      </c>
      <c r="L269" s="15">
        <f t="shared" si="47"/>
        <v>224034</v>
      </c>
      <c r="P269"/>
      <c r="Q269"/>
      <c r="R269"/>
      <c r="V269"/>
      <c r="W269"/>
      <c r="X269"/>
    </row>
    <row r="270" spans="1:24" ht="12.75" customHeight="1" x14ac:dyDescent="0.25">
      <c r="P270"/>
      <c r="Q270"/>
      <c r="R270"/>
      <c r="V270"/>
      <c r="W270"/>
      <c r="X270"/>
    </row>
    <row r="271" spans="1:24" ht="12.75" customHeight="1" x14ac:dyDescent="0.25">
      <c r="P271"/>
      <c r="Q271"/>
      <c r="R271"/>
      <c r="V271"/>
      <c r="W271"/>
      <c r="X271"/>
    </row>
    <row r="272" spans="1:24" ht="12.75" customHeight="1" x14ac:dyDescent="0.25">
      <c r="O272" s="5" t="s">
        <v>12</v>
      </c>
      <c r="P272"/>
      <c r="Q272"/>
      <c r="R272"/>
      <c r="V272"/>
      <c r="W272"/>
      <c r="X272"/>
    </row>
    <row r="273" spans="1:24" ht="12.75" customHeight="1" x14ac:dyDescent="0.25">
      <c r="O273" s="11">
        <v>380000</v>
      </c>
      <c r="P273"/>
      <c r="Q273"/>
      <c r="R273"/>
      <c r="V273"/>
      <c r="W273"/>
      <c r="X273"/>
    </row>
    <row r="274" spans="1:24" ht="12.75" customHeight="1" x14ac:dyDescent="0.25">
      <c r="A274" s="4" t="s">
        <v>0</v>
      </c>
      <c r="B274" s="5" t="s">
        <v>1</v>
      </c>
      <c r="C274" s="4" t="s">
        <v>2</v>
      </c>
      <c r="D274" s="5" t="s">
        <v>3</v>
      </c>
      <c r="E274" s="5" t="s">
        <v>4</v>
      </c>
      <c r="F274" s="5" t="s">
        <v>5</v>
      </c>
      <c r="G274" s="5" t="s">
        <v>6</v>
      </c>
      <c r="H274" s="5" t="s">
        <v>7</v>
      </c>
      <c r="I274" s="5" t="s">
        <v>8</v>
      </c>
      <c r="J274" s="5" t="s">
        <v>9</v>
      </c>
      <c r="L274" s="7" t="s">
        <v>10</v>
      </c>
      <c r="M274" s="7" t="s">
        <v>11</v>
      </c>
      <c r="P274"/>
      <c r="Q274"/>
      <c r="R274"/>
      <c r="U274" s="2" t="s">
        <v>558</v>
      </c>
      <c r="V274"/>
      <c r="W274"/>
      <c r="X274"/>
    </row>
    <row r="275" spans="1:24" ht="12.75" customHeight="1" x14ac:dyDescent="0.25">
      <c r="A275" s="8" t="s">
        <v>195</v>
      </c>
      <c r="B275" s="9" t="s">
        <v>196</v>
      </c>
      <c r="C275" s="10" t="s">
        <v>197</v>
      </c>
      <c r="D275" s="11">
        <v>78859.88</v>
      </c>
      <c r="F275" s="11">
        <v>0</v>
      </c>
      <c r="G275" s="11">
        <v>1169.98</v>
      </c>
      <c r="H275" s="11">
        <v>339.98</v>
      </c>
      <c r="J275" s="11">
        <f t="shared" ref="J275:J285" si="48">SUM(D275:I275)</f>
        <v>80369.84</v>
      </c>
      <c r="L275" s="11">
        <v>69700</v>
      </c>
      <c r="M275" s="12">
        <f t="shared" ref="M275:M285" si="49">IFERROR(J275/L275,)</f>
        <v>1.1530823529411764</v>
      </c>
      <c r="P275">
        <v>2571.8348799999999</v>
      </c>
      <c r="Q275">
        <v>642.95871999999997</v>
      </c>
      <c r="R275">
        <v>401.8492</v>
      </c>
      <c r="U275" s="2" t="s">
        <v>559</v>
      </c>
      <c r="V275">
        <v>2571.8348799999999</v>
      </c>
      <c r="W275">
        <v>642.95871999999997</v>
      </c>
      <c r="X275">
        <v>401.8492</v>
      </c>
    </row>
    <row r="276" spans="1:24" ht="12.75" customHeight="1" x14ac:dyDescent="0.25">
      <c r="A276" s="8" t="s">
        <v>195</v>
      </c>
      <c r="B276" s="9" t="s">
        <v>198</v>
      </c>
      <c r="C276" s="10" t="s">
        <v>199</v>
      </c>
      <c r="D276" s="11">
        <v>66854.5</v>
      </c>
      <c r="E276" s="11">
        <v>899.99</v>
      </c>
      <c r="F276" s="11">
        <v>0</v>
      </c>
      <c r="G276" s="11">
        <v>1079.98</v>
      </c>
      <c r="H276" s="11">
        <v>649.98</v>
      </c>
      <c r="J276" s="11">
        <f t="shared" si="48"/>
        <v>69484.45</v>
      </c>
      <c r="L276" s="11">
        <v>69700</v>
      </c>
      <c r="M276" s="12">
        <f t="shared" si="49"/>
        <v>0.99690746054519364</v>
      </c>
      <c r="P276">
        <v>2223.5023999999999</v>
      </c>
      <c r="Q276">
        <v>555.87559999999996</v>
      </c>
      <c r="R276"/>
      <c r="U276" s="2" t="s">
        <v>560</v>
      </c>
      <c r="V276">
        <v>2223.5023999999999</v>
      </c>
      <c r="W276">
        <v>555.87559999999996</v>
      </c>
      <c r="X276"/>
    </row>
    <row r="277" spans="1:24" ht="12.75" customHeight="1" x14ac:dyDescent="0.25">
      <c r="A277" s="8" t="s">
        <v>195</v>
      </c>
      <c r="B277" s="9" t="s">
        <v>123</v>
      </c>
      <c r="C277" s="10" t="s">
        <v>200</v>
      </c>
      <c r="D277" s="11">
        <v>1907.91</v>
      </c>
      <c r="F277" s="11">
        <v>0</v>
      </c>
      <c r="G277" s="11">
        <v>399.99</v>
      </c>
      <c r="H277" s="11">
        <v>0</v>
      </c>
      <c r="J277" s="11">
        <f t="shared" si="48"/>
        <v>2307.9</v>
      </c>
      <c r="L277" s="11">
        <v>69700</v>
      </c>
      <c r="M277" s="12">
        <f t="shared" si="49"/>
        <v>3.3111908177905311E-2</v>
      </c>
      <c r="P277">
        <v>73.852800000000002</v>
      </c>
      <c r="Q277">
        <v>18.463200000000001</v>
      </c>
      <c r="R277"/>
      <c r="U277" s="2" t="s">
        <v>561</v>
      </c>
      <c r="V277">
        <v>73.852800000000002</v>
      </c>
      <c r="W277">
        <v>18.463200000000001</v>
      </c>
      <c r="X277"/>
    </row>
    <row r="278" spans="1:24" ht="12.75" customHeight="1" x14ac:dyDescent="0.25">
      <c r="A278" s="8" t="s">
        <v>195</v>
      </c>
      <c r="B278" s="9" t="s">
        <v>201</v>
      </c>
      <c r="C278" s="10" t="s">
        <v>202</v>
      </c>
      <c r="D278" s="11">
        <v>77245.539999999994</v>
      </c>
      <c r="F278" s="11">
        <v>0</v>
      </c>
      <c r="G278" s="11">
        <v>0</v>
      </c>
      <c r="H278" s="11">
        <v>869.98</v>
      </c>
      <c r="J278" s="11">
        <f t="shared" si="48"/>
        <v>78115.51999999999</v>
      </c>
      <c r="L278" s="11">
        <v>69700</v>
      </c>
      <c r="M278" s="12">
        <f t="shared" si="49"/>
        <v>1.1207391678622667</v>
      </c>
      <c r="P278">
        <v>2499.6966399999997</v>
      </c>
      <c r="Q278">
        <v>624.92415999999992</v>
      </c>
      <c r="R278">
        <v>390.57759999999996</v>
      </c>
      <c r="U278" s="2" t="s">
        <v>562</v>
      </c>
      <c r="V278">
        <v>2499.6966399999997</v>
      </c>
      <c r="W278">
        <v>624.92415999999992</v>
      </c>
      <c r="X278">
        <v>390.57759999999996</v>
      </c>
    </row>
    <row r="279" spans="1:24" ht="12.75" customHeight="1" x14ac:dyDescent="0.25">
      <c r="A279" s="8" t="s">
        <v>195</v>
      </c>
      <c r="B279" s="9" t="s">
        <v>203</v>
      </c>
      <c r="C279" s="10" t="s">
        <v>204</v>
      </c>
      <c r="D279" s="11">
        <v>36947.019999999997</v>
      </c>
      <c r="F279" s="11">
        <v>0</v>
      </c>
      <c r="G279" s="11">
        <v>1299.98</v>
      </c>
      <c r="H279" s="11">
        <v>1390.99</v>
      </c>
      <c r="J279" s="11">
        <f t="shared" si="48"/>
        <v>39637.99</v>
      </c>
      <c r="L279" s="11">
        <v>69700</v>
      </c>
      <c r="M279" s="12">
        <f t="shared" si="49"/>
        <v>0.56869426111908172</v>
      </c>
      <c r="P279">
        <v>1268.4156800000001</v>
      </c>
      <c r="Q279">
        <v>317.10392000000002</v>
      </c>
      <c r="R279"/>
      <c r="U279" s="2" t="s">
        <v>563</v>
      </c>
      <c r="V279">
        <v>1268.4156800000001</v>
      </c>
      <c r="W279">
        <v>317.10392000000002</v>
      </c>
      <c r="X279"/>
    </row>
    <row r="280" spans="1:24" ht="12.75" customHeight="1" x14ac:dyDescent="0.25">
      <c r="A280" s="8" t="s">
        <v>195</v>
      </c>
      <c r="B280" s="9" t="s">
        <v>36</v>
      </c>
      <c r="C280" s="10" t="s">
        <v>205</v>
      </c>
      <c r="D280" s="11">
        <v>75559.73</v>
      </c>
      <c r="F280" s="11">
        <v>0</v>
      </c>
      <c r="G280" s="11">
        <v>2129.9499999999998</v>
      </c>
      <c r="H280" s="11">
        <v>949.98</v>
      </c>
      <c r="J280" s="11">
        <f t="shared" si="48"/>
        <v>78639.659999999989</v>
      </c>
      <c r="L280" s="11">
        <v>69700</v>
      </c>
      <c r="M280" s="12">
        <f t="shared" si="49"/>
        <v>1.1282591104734576</v>
      </c>
      <c r="P280">
        <v>2516.4691199999997</v>
      </c>
      <c r="Q280">
        <v>629.11727999999994</v>
      </c>
      <c r="R280">
        <v>393.19829999999996</v>
      </c>
      <c r="U280" s="2" t="s">
        <v>564</v>
      </c>
      <c r="V280">
        <v>2516.4691199999997</v>
      </c>
      <c r="W280">
        <v>629.11727999999994</v>
      </c>
      <c r="X280">
        <v>393.19829999999996</v>
      </c>
    </row>
    <row r="281" spans="1:24" ht="12.75" customHeight="1" x14ac:dyDescent="0.25">
      <c r="A281" s="8" t="s">
        <v>195</v>
      </c>
      <c r="B281" s="9" t="s">
        <v>160</v>
      </c>
      <c r="C281" s="10" t="s">
        <v>206</v>
      </c>
      <c r="D281" s="11">
        <v>51190.15</v>
      </c>
      <c r="F281" s="11">
        <v>0</v>
      </c>
      <c r="G281" s="11">
        <v>0</v>
      </c>
      <c r="H281" s="11">
        <v>399.99</v>
      </c>
      <c r="J281" s="11">
        <f t="shared" si="48"/>
        <v>51590.14</v>
      </c>
      <c r="L281" s="11">
        <v>69700</v>
      </c>
      <c r="M281" s="12">
        <f t="shared" si="49"/>
        <v>0.74017417503586802</v>
      </c>
      <c r="P281">
        <v>1650.8844799999999</v>
      </c>
      <c r="Q281">
        <v>412.72111999999998</v>
      </c>
      <c r="R281"/>
      <c r="U281" s="2" t="s">
        <v>565</v>
      </c>
      <c r="V281">
        <v>1650.8844799999999</v>
      </c>
      <c r="W281">
        <v>412.72111999999998</v>
      </c>
      <c r="X281"/>
    </row>
    <row r="282" spans="1:24" ht="12.75" customHeight="1" x14ac:dyDescent="0.25">
      <c r="A282" s="8" t="s">
        <v>195</v>
      </c>
      <c r="B282" s="9"/>
      <c r="C282" s="10"/>
      <c r="D282" s="11">
        <v>0</v>
      </c>
      <c r="F282" s="11">
        <v>0</v>
      </c>
      <c r="G282" s="11">
        <v>0</v>
      </c>
      <c r="H282" s="11">
        <v>0</v>
      </c>
      <c r="J282" s="11">
        <f t="shared" si="48"/>
        <v>0</v>
      </c>
      <c r="L282" s="11"/>
      <c r="M282" s="12">
        <f t="shared" si="49"/>
        <v>0</v>
      </c>
      <c r="P282"/>
      <c r="Q282"/>
      <c r="R282"/>
      <c r="V282"/>
      <c r="W282"/>
      <c r="X282"/>
    </row>
    <row r="283" spans="1:24" ht="12.75" customHeight="1" x14ac:dyDescent="0.25">
      <c r="A283" s="8" t="s">
        <v>195</v>
      </c>
      <c r="B283" s="9"/>
      <c r="C283" s="10"/>
      <c r="D283" s="11">
        <v>0</v>
      </c>
      <c r="F283" s="11">
        <v>0</v>
      </c>
      <c r="G283" s="11">
        <v>0</v>
      </c>
      <c r="H283" s="11">
        <v>0</v>
      </c>
      <c r="J283" s="11">
        <f t="shared" si="48"/>
        <v>0</v>
      </c>
      <c r="L283" s="11"/>
      <c r="M283" s="12">
        <f t="shared" si="49"/>
        <v>0</v>
      </c>
      <c r="P283"/>
      <c r="Q283"/>
      <c r="R283"/>
      <c r="V283"/>
      <c r="W283"/>
      <c r="X283"/>
    </row>
    <row r="284" spans="1:24" ht="12.75" customHeight="1" x14ac:dyDescent="0.25">
      <c r="A284" s="8" t="s">
        <v>195</v>
      </c>
      <c r="B284" s="9"/>
      <c r="C284" s="10"/>
      <c r="D284" s="11">
        <v>0</v>
      </c>
      <c r="F284" s="11">
        <v>0</v>
      </c>
      <c r="G284" s="11">
        <v>0</v>
      </c>
      <c r="H284" s="11">
        <v>0</v>
      </c>
      <c r="J284" s="11">
        <f t="shared" si="48"/>
        <v>0</v>
      </c>
      <c r="L284" s="11"/>
      <c r="M284" s="12">
        <f t="shared" si="49"/>
        <v>0</v>
      </c>
      <c r="P284"/>
      <c r="Q284"/>
      <c r="R284"/>
      <c r="V284"/>
      <c r="W284"/>
      <c r="X284"/>
    </row>
    <row r="285" spans="1:24" ht="12.75" customHeight="1" x14ac:dyDescent="0.25">
      <c r="A285" s="8" t="s">
        <v>195</v>
      </c>
      <c r="B285" s="9"/>
      <c r="C285" s="10"/>
      <c r="D285" s="11">
        <v>0</v>
      </c>
      <c r="F285" s="11">
        <v>0</v>
      </c>
      <c r="G285" s="11">
        <v>0</v>
      </c>
      <c r="H285" s="11">
        <v>0</v>
      </c>
      <c r="J285" s="11">
        <f t="shared" si="48"/>
        <v>0</v>
      </c>
      <c r="L285" s="11"/>
      <c r="M285" s="12">
        <f t="shared" si="49"/>
        <v>0</v>
      </c>
      <c r="P285"/>
      <c r="Q285"/>
      <c r="R285"/>
      <c r="V285"/>
      <c r="W285"/>
      <c r="X285"/>
    </row>
    <row r="286" spans="1:24" ht="12.75" customHeight="1" x14ac:dyDescent="0.25">
      <c r="A286" s="13" t="s">
        <v>30</v>
      </c>
      <c r="B286" s="14"/>
      <c r="C286" s="13"/>
      <c r="D286" s="15">
        <v>388564.73000000004</v>
      </c>
      <c r="E286" s="15">
        <v>899.99</v>
      </c>
      <c r="F286" s="15">
        <v>0</v>
      </c>
      <c r="G286" s="15">
        <v>6079.8799999999992</v>
      </c>
      <c r="H286" s="15">
        <v>4600.8999999999996</v>
      </c>
      <c r="I286" s="15">
        <v>0</v>
      </c>
      <c r="J286" s="15">
        <f t="shared" ref="J286:L286" si="50">SUM(J275:J285)</f>
        <v>400145.49999999994</v>
      </c>
      <c r="L286" s="15">
        <f t="shared" si="50"/>
        <v>487900</v>
      </c>
      <c r="P286"/>
      <c r="Q286"/>
      <c r="R286"/>
      <c r="V286"/>
      <c r="W286"/>
      <c r="X286"/>
    </row>
    <row r="287" spans="1:24" ht="12.75" customHeight="1" x14ac:dyDescent="0.25">
      <c r="P287"/>
      <c r="Q287"/>
      <c r="R287"/>
      <c r="V287"/>
      <c r="W287"/>
      <c r="X287"/>
    </row>
    <row r="288" spans="1:24" ht="12.75" customHeight="1" x14ac:dyDescent="0.25">
      <c r="P288"/>
      <c r="Q288"/>
      <c r="R288"/>
      <c r="V288"/>
      <c r="W288"/>
      <c r="X288"/>
    </row>
    <row r="289" spans="1:24" ht="12.75" customHeight="1" x14ac:dyDescent="0.25">
      <c r="O289" s="5" t="s">
        <v>12</v>
      </c>
      <c r="P289"/>
      <c r="Q289"/>
      <c r="R289"/>
      <c r="V289"/>
      <c r="W289"/>
      <c r="X289"/>
    </row>
    <row r="290" spans="1:24" ht="12.75" customHeight="1" x14ac:dyDescent="0.25">
      <c r="O290" s="11">
        <v>165000</v>
      </c>
      <c r="P290"/>
      <c r="Q290"/>
      <c r="R290"/>
      <c r="V290"/>
      <c r="W290"/>
      <c r="X290"/>
    </row>
    <row r="291" spans="1:24" ht="12.75" customHeight="1" x14ac:dyDescent="0.25">
      <c r="A291" s="4" t="s">
        <v>0</v>
      </c>
      <c r="B291" s="5" t="s">
        <v>1</v>
      </c>
      <c r="C291" s="4" t="s">
        <v>2</v>
      </c>
      <c r="D291" s="5" t="s">
        <v>3</v>
      </c>
      <c r="E291" s="5" t="s">
        <v>4</v>
      </c>
      <c r="F291" s="5" t="s">
        <v>5</v>
      </c>
      <c r="G291" s="5" t="s">
        <v>6</v>
      </c>
      <c r="H291" s="5" t="s">
        <v>7</v>
      </c>
      <c r="I291" s="5" t="s">
        <v>8</v>
      </c>
      <c r="J291" s="5" t="s">
        <v>9</v>
      </c>
      <c r="L291" s="7" t="s">
        <v>10</v>
      </c>
      <c r="M291" s="7" t="s">
        <v>11</v>
      </c>
      <c r="P291"/>
      <c r="Q291"/>
      <c r="R291"/>
      <c r="U291" s="2" t="s">
        <v>565</v>
      </c>
      <c r="V291"/>
      <c r="W291"/>
      <c r="X291"/>
    </row>
    <row r="292" spans="1:24" ht="12.75" customHeight="1" x14ac:dyDescent="0.25">
      <c r="A292" s="8" t="s">
        <v>207</v>
      </c>
      <c r="B292" s="9" t="s">
        <v>208</v>
      </c>
      <c r="C292" s="10" t="s">
        <v>209</v>
      </c>
      <c r="D292" s="11">
        <v>75253.09</v>
      </c>
      <c r="F292" s="11">
        <v>0</v>
      </c>
      <c r="G292" s="11">
        <v>619.97</v>
      </c>
      <c r="H292" s="11">
        <v>399.99</v>
      </c>
      <c r="J292" s="11">
        <f t="shared" ref="J292:J302" si="51">SUM(D292:I292)</f>
        <v>76273.05</v>
      </c>
      <c r="L292" s="11">
        <v>45375</v>
      </c>
      <c r="M292" s="12">
        <f t="shared" ref="M292:M302" si="52">IFERROR(J292/L292,)</f>
        <v>1.6809487603305786</v>
      </c>
      <c r="P292">
        <v>2440.7375999999999</v>
      </c>
      <c r="Q292">
        <v>610.18439999999998</v>
      </c>
      <c r="R292">
        <v>381.36525</v>
      </c>
      <c r="U292" s="2" t="s">
        <v>566</v>
      </c>
      <c r="V292">
        <v>2440.7375999999999</v>
      </c>
      <c r="W292">
        <v>610.18439999999998</v>
      </c>
      <c r="X292">
        <v>381.36525</v>
      </c>
    </row>
    <row r="293" spans="1:24" ht="12.75" customHeight="1" x14ac:dyDescent="0.25">
      <c r="A293" s="8" t="s">
        <v>207</v>
      </c>
      <c r="B293" s="18" t="s">
        <v>82</v>
      </c>
      <c r="C293" s="10" t="s">
        <v>210</v>
      </c>
      <c r="D293" s="11">
        <v>2789.92</v>
      </c>
      <c r="F293" s="11">
        <v>0</v>
      </c>
      <c r="G293" s="11">
        <v>0</v>
      </c>
      <c r="H293" s="11">
        <v>0</v>
      </c>
      <c r="J293" s="11">
        <f t="shared" si="51"/>
        <v>2789.92</v>
      </c>
      <c r="L293" s="11"/>
      <c r="M293" s="12">
        <f t="shared" si="52"/>
        <v>0</v>
      </c>
      <c r="P293">
        <v>89.277439999999999</v>
      </c>
      <c r="Q293">
        <v>22.31936</v>
      </c>
      <c r="R293"/>
      <c r="U293" s="2" t="s">
        <v>567</v>
      </c>
      <c r="V293">
        <v>89.277439999999999</v>
      </c>
      <c r="W293">
        <v>22.31936</v>
      </c>
      <c r="X293"/>
    </row>
    <row r="294" spans="1:24" ht="12.75" customHeight="1" x14ac:dyDescent="0.25">
      <c r="A294" s="8" t="s">
        <v>207</v>
      </c>
      <c r="B294" s="9" t="s">
        <v>211</v>
      </c>
      <c r="C294" s="10" t="s">
        <v>212</v>
      </c>
      <c r="D294" s="11">
        <v>53005.22</v>
      </c>
      <c r="F294" s="11">
        <v>0</v>
      </c>
      <c r="G294" s="11">
        <v>399.99</v>
      </c>
      <c r="H294" s="11">
        <v>0</v>
      </c>
      <c r="J294" s="11">
        <f t="shared" si="51"/>
        <v>53405.21</v>
      </c>
      <c r="L294" s="11">
        <v>45375</v>
      </c>
      <c r="M294" s="12">
        <f t="shared" si="52"/>
        <v>1.1769743250688705</v>
      </c>
      <c r="P294">
        <v>1708.9667199999999</v>
      </c>
      <c r="Q294">
        <v>427.24167999999997</v>
      </c>
      <c r="R294">
        <v>267.02605</v>
      </c>
      <c r="U294" s="2" t="s">
        <v>568</v>
      </c>
      <c r="V294">
        <v>1708.9667199999999</v>
      </c>
      <c r="W294">
        <v>427.24167999999997</v>
      </c>
      <c r="X294">
        <v>267.02605</v>
      </c>
    </row>
    <row r="295" spans="1:24" ht="12.75" customHeight="1" x14ac:dyDescent="0.25">
      <c r="A295" s="8" t="s">
        <v>207</v>
      </c>
      <c r="B295" s="9" t="s">
        <v>149</v>
      </c>
      <c r="C295" s="10" t="s">
        <v>213</v>
      </c>
      <c r="D295" s="11">
        <v>55980.11</v>
      </c>
      <c r="F295" s="11">
        <v>0</v>
      </c>
      <c r="G295" s="11">
        <v>499.99</v>
      </c>
      <c r="H295" s="11">
        <v>0</v>
      </c>
      <c r="J295" s="11">
        <f t="shared" si="51"/>
        <v>56480.1</v>
      </c>
      <c r="L295" s="11">
        <v>45375</v>
      </c>
      <c r="M295" s="12">
        <f t="shared" si="52"/>
        <v>1.2447404958677686</v>
      </c>
      <c r="P295">
        <v>1807.3632</v>
      </c>
      <c r="Q295">
        <v>451.8408</v>
      </c>
      <c r="R295">
        <v>282.40050000000002</v>
      </c>
      <c r="U295" s="2" t="s">
        <v>569</v>
      </c>
      <c r="V295">
        <v>1807.3632</v>
      </c>
      <c r="W295">
        <v>451.8408</v>
      </c>
      <c r="X295">
        <v>282.40050000000002</v>
      </c>
    </row>
    <row r="296" spans="1:24" ht="12.75" customHeight="1" x14ac:dyDescent="0.25">
      <c r="A296" s="8" t="s">
        <v>207</v>
      </c>
      <c r="B296" s="9" t="s">
        <v>151</v>
      </c>
      <c r="C296" s="10" t="s">
        <v>214</v>
      </c>
      <c r="D296" s="11">
        <v>22127.99</v>
      </c>
      <c r="F296" s="11">
        <v>0</v>
      </c>
      <c r="G296" s="11">
        <v>649.98</v>
      </c>
      <c r="H296" s="11">
        <v>0</v>
      </c>
      <c r="J296" s="11">
        <f t="shared" si="51"/>
        <v>22777.97</v>
      </c>
      <c r="L296" s="11">
        <v>45375</v>
      </c>
      <c r="M296" s="12">
        <f t="shared" si="52"/>
        <v>0.50199382920110192</v>
      </c>
      <c r="P296">
        <v>728.89504000000011</v>
      </c>
      <c r="Q296">
        <v>182.22376000000003</v>
      </c>
      <c r="R296"/>
      <c r="U296" s="2" t="s">
        <v>570</v>
      </c>
      <c r="V296">
        <v>728.89504000000011</v>
      </c>
      <c r="W296">
        <v>182.22376000000003</v>
      </c>
      <c r="X296"/>
    </row>
    <row r="297" spans="1:24" ht="12.75" customHeight="1" x14ac:dyDescent="0.25">
      <c r="A297" s="8" t="s">
        <v>207</v>
      </c>
      <c r="B297" s="9"/>
      <c r="C297" s="10"/>
      <c r="D297" s="11">
        <v>0</v>
      </c>
      <c r="F297" s="11">
        <v>0</v>
      </c>
      <c r="G297" s="11">
        <v>0</v>
      </c>
      <c r="H297" s="11">
        <v>0</v>
      </c>
      <c r="J297" s="11">
        <f t="shared" si="51"/>
        <v>0</v>
      </c>
      <c r="L297" s="11"/>
      <c r="M297" s="12">
        <f t="shared" si="52"/>
        <v>0</v>
      </c>
      <c r="P297"/>
      <c r="Q297"/>
      <c r="R297"/>
      <c r="V297"/>
      <c r="W297"/>
      <c r="X297"/>
    </row>
    <row r="298" spans="1:24" ht="12.75" customHeight="1" x14ac:dyDescent="0.25">
      <c r="A298" s="8" t="s">
        <v>207</v>
      </c>
      <c r="B298" s="9"/>
      <c r="C298" s="10"/>
      <c r="D298" s="11">
        <v>0</v>
      </c>
      <c r="F298" s="11">
        <v>0</v>
      </c>
      <c r="G298" s="11">
        <v>0</v>
      </c>
      <c r="H298" s="11">
        <v>0</v>
      </c>
      <c r="J298" s="11">
        <f t="shared" si="51"/>
        <v>0</v>
      </c>
      <c r="L298" s="11"/>
      <c r="M298" s="12">
        <f t="shared" si="52"/>
        <v>0</v>
      </c>
      <c r="P298"/>
      <c r="Q298"/>
      <c r="R298"/>
      <c r="V298"/>
      <c r="W298"/>
      <c r="X298"/>
    </row>
    <row r="299" spans="1:24" ht="12.75" customHeight="1" x14ac:dyDescent="0.25">
      <c r="A299" s="8" t="s">
        <v>207</v>
      </c>
      <c r="B299" s="9"/>
      <c r="C299" s="10"/>
      <c r="D299" s="11">
        <v>0</v>
      </c>
      <c r="F299" s="11">
        <v>0</v>
      </c>
      <c r="G299" s="11">
        <v>0</v>
      </c>
      <c r="H299" s="11">
        <v>0</v>
      </c>
      <c r="J299" s="11">
        <f t="shared" si="51"/>
        <v>0</v>
      </c>
      <c r="L299" s="11"/>
      <c r="M299" s="12">
        <f t="shared" si="52"/>
        <v>0</v>
      </c>
      <c r="P299"/>
      <c r="Q299"/>
      <c r="R299"/>
      <c r="V299"/>
      <c r="W299"/>
      <c r="X299"/>
    </row>
    <row r="300" spans="1:24" ht="12.75" customHeight="1" x14ac:dyDescent="0.25">
      <c r="A300" s="8" t="s">
        <v>207</v>
      </c>
      <c r="B300" s="9"/>
      <c r="C300" s="10"/>
      <c r="D300" s="11">
        <v>0</v>
      </c>
      <c r="F300" s="11">
        <v>0</v>
      </c>
      <c r="G300" s="11">
        <v>0</v>
      </c>
      <c r="H300" s="11">
        <v>0</v>
      </c>
      <c r="J300" s="11">
        <f t="shared" si="51"/>
        <v>0</v>
      </c>
      <c r="L300" s="11"/>
      <c r="M300" s="12">
        <f t="shared" si="52"/>
        <v>0</v>
      </c>
      <c r="P300"/>
      <c r="Q300"/>
      <c r="R300"/>
      <c r="V300"/>
      <c r="W300"/>
      <c r="X300"/>
    </row>
    <row r="301" spans="1:24" ht="12.75" customHeight="1" x14ac:dyDescent="0.25">
      <c r="A301" s="8" t="s">
        <v>207</v>
      </c>
      <c r="B301" s="9"/>
      <c r="C301" s="10"/>
      <c r="D301" s="11">
        <v>0</v>
      </c>
      <c r="F301" s="11">
        <v>0</v>
      </c>
      <c r="G301" s="11">
        <v>0</v>
      </c>
      <c r="H301" s="11">
        <v>0</v>
      </c>
      <c r="J301" s="11">
        <f t="shared" si="51"/>
        <v>0</v>
      </c>
      <c r="L301" s="11"/>
      <c r="M301" s="12">
        <f t="shared" si="52"/>
        <v>0</v>
      </c>
      <c r="P301"/>
      <c r="Q301"/>
      <c r="R301"/>
      <c r="V301"/>
      <c r="W301"/>
      <c r="X301"/>
    </row>
    <row r="302" spans="1:24" ht="12.75" customHeight="1" x14ac:dyDescent="0.25">
      <c r="A302" s="8" t="s">
        <v>207</v>
      </c>
      <c r="B302" s="9"/>
      <c r="C302" s="10"/>
      <c r="D302" s="11">
        <v>0</v>
      </c>
      <c r="F302" s="11">
        <v>0</v>
      </c>
      <c r="G302" s="11">
        <v>0</v>
      </c>
      <c r="H302" s="11">
        <v>0</v>
      </c>
      <c r="J302" s="11">
        <f t="shared" si="51"/>
        <v>0</v>
      </c>
      <c r="L302" s="11"/>
      <c r="M302" s="12">
        <f t="shared" si="52"/>
        <v>0</v>
      </c>
      <c r="P302"/>
      <c r="Q302"/>
      <c r="R302"/>
      <c r="V302"/>
      <c r="W302"/>
      <c r="X302"/>
    </row>
    <row r="303" spans="1:24" ht="12.75" customHeight="1" x14ac:dyDescent="0.25">
      <c r="A303" s="13" t="s">
        <v>30</v>
      </c>
      <c r="B303" s="14"/>
      <c r="C303" s="13"/>
      <c r="D303" s="15">
        <v>209156.33</v>
      </c>
      <c r="E303" s="15">
        <v>0</v>
      </c>
      <c r="F303" s="15">
        <v>0</v>
      </c>
      <c r="G303" s="15">
        <v>2169.9300000000003</v>
      </c>
      <c r="H303" s="15">
        <v>399.99</v>
      </c>
      <c r="I303" s="15">
        <v>0</v>
      </c>
      <c r="J303" s="15">
        <f t="shared" ref="J303:L303" si="53">SUM(J292:J302)</f>
        <v>211726.25</v>
      </c>
      <c r="L303" s="15">
        <f t="shared" si="53"/>
        <v>181500</v>
      </c>
      <c r="P303"/>
      <c r="Q303"/>
      <c r="R303"/>
      <c r="V303"/>
      <c r="W303"/>
      <c r="X303"/>
    </row>
    <row r="304" spans="1:24" ht="12.75" customHeight="1" x14ac:dyDescent="0.25">
      <c r="P304"/>
      <c r="Q304"/>
      <c r="R304"/>
      <c r="V304"/>
      <c r="W304"/>
      <c r="X304"/>
    </row>
    <row r="305" spans="1:24" ht="12.75" customHeight="1" x14ac:dyDescent="0.25">
      <c r="P305"/>
      <c r="Q305"/>
      <c r="R305"/>
      <c r="V305"/>
      <c r="W305"/>
      <c r="X305"/>
    </row>
    <row r="306" spans="1:24" ht="12.75" customHeight="1" x14ac:dyDescent="0.25">
      <c r="O306" s="5" t="s">
        <v>12</v>
      </c>
      <c r="P306"/>
      <c r="Q306"/>
      <c r="R306"/>
      <c r="V306"/>
      <c r="W306"/>
      <c r="X306"/>
    </row>
    <row r="307" spans="1:24" ht="12.75" customHeight="1" x14ac:dyDescent="0.25">
      <c r="O307" s="11">
        <v>230000</v>
      </c>
      <c r="P307"/>
      <c r="Q307"/>
      <c r="R307"/>
      <c r="V307"/>
      <c r="W307"/>
      <c r="X307"/>
    </row>
    <row r="308" spans="1:24" ht="12.75" customHeight="1" x14ac:dyDescent="0.25">
      <c r="A308" s="4" t="s">
        <v>0</v>
      </c>
      <c r="B308" s="5" t="s">
        <v>1</v>
      </c>
      <c r="C308" s="4" t="s">
        <v>2</v>
      </c>
      <c r="D308" s="5" t="s">
        <v>3</v>
      </c>
      <c r="E308" s="5" t="s">
        <v>4</v>
      </c>
      <c r="F308" s="5" t="s">
        <v>5</v>
      </c>
      <c r="G308" s="5" t="s">
        <v>6</v>
      </c>
      <c r="H308" s="5" t="s">
        <v>7</v>
      </c>
      <c r="I308" s="5" t="s">
        <v>8</v>
      </c>
      <c r="J308" s="5" t="s">
        <v>9</v>
      </c>
      <c r="L308" s="7" t="s">
        <v>10</v>
      </c>
      <c r="M308" s="7" t="s">
        <v>11</v>
      </c>
      <c r="P308"/>
      <c r="Q308"/>
      <c r="R308"/>
      <c r="U308" s="2" t="s">
        <v>570</v>
      </c>
      <c r="V308"/>
      <c r="W308"/>
      <c r="X308"/>
    </row>
    <row r="309" spans="1:24" ht="12.75" customHeight="1" x14ac:dyDescent="0.25">
      <c r="A309" s="8" t="s">
        <v>215</v>
      </c>
      <c r="B309" s="9" t="s">
        <v>216</v>
      </c>
      <c r="C309" s="10" t="s">
        <v>217</v>
      </c>
      <c r="D309" s="11">
        <v>515.99</v>
      </c>
      <c r="F309" s="11">
        <v>0</v>
      </c>
      <c r="G309" s="11">
        <v>0</v>
      </c>
      <c r="H309" s="11">
        <v>0</v>
      </c>
      <c r="J309" s="11">
        <f t="shared" ref="J309:J319" si="54">SUM(D309:I309)</f>
        <v>515.99</v>
      </c>
      <c r="L309" s="11"/>
      <c r="M309" s="12">
        <f t="shared" ref="M309:M319" si="55">IFERROR(J309/L309,)</f>
        <v>0</v>
      </c>
      <c r="P309">
        <v>16.511680000000002</v>
      </c>
      <c r="Q309">
        <v>4.1279200000000005</v>
      </c>
      <c r="R309"/>
      <c r="U309" s="2" t="s">
        <v>571</v>
      </c>
      <c r="V309">
        <v>16.511680000000002</v>
      </c>
      <c r="W309">
        <v>4.1279200000000005</v>
      </c>
      <c r="X309"/>
    </row>
    <row r="310" spans="1:24" ht="12.75" customHeight="1" x14ac:dyDescent="0.25">
      <c r="A310" s="8" t="s">
        <v>215</v>
      </c>
      <c r="B310" s="9" t="s">
        <v>218</v>
      </c>
      <c r="C310" s="10" t="s">
        <v>219</v>
      </c>
      <c r="D310" s="11">
        <v>11652.63</v>
      </c>
      <c r="F310" s="11">
        <v>0</v>
      </c>
      <c r="G310" s="11">
        <v>0</v>
      </c>
      <c r="H310" s="11">
        <v>0</v>
      </c>
      <c r="J310" s="11">
        <f t="shared" si="54"/>
        <v>11652.63</v>
      </c>
      <c r="L310" s="11">
        <v>42000</v>
      </c>
      <c r="M310" s="12">
        <f t="shared" si="55"/>
        <v>0.2774435714285714</v>
      </c>
      <c r="P310">
        <v>372.88416000000001</v>
      </c>
      <c r="Q310">
        <v>93.221040000000002</v>
      </c>
      <c r="R310"/>
      <c r="U310" s="2" t="s">
        <v>572</v>
      </c>
      <c r="V310">
        <v>372.88416000000001</v>
      </c>
      <c r="W310">
        <v>93.221040000000002</v>
      </c>
      <c r="X310"/>
    </row>
    <row r="311" spans="1:24" ht="12.75" customHeight="1" x14ac:dyDescent="0.25">
      <c r="A311" s="8" t="s">
        <v>215</v>
      </c>
      <c r="B311" s="9" t="s">
        <v>86</v>
      </c>
      <c r="C311" s="10" t="s">
        <v>220</v>
      </c>
      <c r="D311" s="11">
        <v>74531.97</v>
      </c>
      <c r="F311" s="11">
        <v>0</v>
      </c>
      <c r="G311" s="11">
        <v>0</v>
      </c>
      <c r="H311" s="11">
        <v>0</v>
      </c>
      <c r="J311" s="11">
        <f t="shared" si="54"/>
        <v>74531.97</v>
      </c>
      <c r="L311" s="11">
        <v>70400</v>
      </c>
      <c r="M311" s="12">
        <f t="shared" si="55"/>
        <v>1.0586927556818182</v>
      </c>
      <c r="P311">
        <v>2385.02304</v>
      </c>
      <c r="Q311">
        <v>596.25576000000001</v>
      </c>
      <c r="R311">
        <v>372.65985000000001</v>
      </c>
      <c r="U311" s="2" t="s">
        <v>573</v>
      </c>
      <c r="V311">
        <v>2385.02304</v>
      </c>
      <c r="W311">
        <v>596.25576000000001</v>
      </c>
      <c r="X311">
        <v>372.65985000000001</v>
      </c>
    </row>
    <row r="312" spans="1:24" ht="12.75" customHeight="1" x14ac:dyDescent="0.25">
      <c r="A312" s="8" t="s">
        <v>215</v>
      </c>
      <c r="B312" s="9" t="s">
        <v>175</v>
      </c>
      <c r="C312" s="10" t="s">
        <v>221</v>
      </c>
      <c r="D312" s="11">
        <v>76645.03</v>
      </c>
      <c r="F312" s="11">
        <v>0</v>
      </c>
      <c r="G312" s="11">
        <v>0</v>
      </c>
      <c r="H312" s="11">
        <v>0</v>
      </c>
      <c r="J312" s="11">
        <f t="shared" si="54"/>
        <v>76645.03</v>
      </c>
      <c r="L312" s="11">
        <v>70400</v>
      </c>
      <c r="M312" s="12">
        <f t="shared" si="55"/>
        <v>1.0887078125</v>
      </c>
      <c r="P312">
        <v>2452.6409600000002</v>
      </c>
      <c r="Q312">
        <v>613.16024000000004</v>
      </c>
      <c r="R312">
        <v>383.22514999999999</v>
      </c>
      <c r="U312" s="2" t="s">
        <v>574</v>
      </c>
      <c r="V312">
        <v>2452.6409600000002</v>
      </c>
      <c r="W312">
        <v>613.16024000000004</v>
      </c>
      <c r="X312">
        <v>383.22514999999999</v>
      </c>
    </row>
    <row r="313" spans="1:24" ht="12.75" customHeight="1" x14ac:dyDescent="0.25">
      <c r="A313" s="8" t="s">
        <v>215</v>
      </c>
      <c r="B313" s="9" t="s">
        <v>222</v>
      </c>
      <c r="C313" s="10" t="s">
        <v>223</v>
      </c>
      <c r="D313" s="11">
        <v>27029.94</v>
      </c>
      <c r="F313" s="11">
        <v>0</v>
      </c>
      <c r="G313" s="11">
        <v>0</v>
      </c>
      <c r="H313" s="11">
        <v>0</v>
      </c>
      <c r="J313" s="11">
        <f t="shared" si="54"/>
        <v>27029.94</v>
      </c>
      <c r="L313" s="11">
        <v>70400</v>
      </c>
      <c r="M313" s="12">
        <f t="shared" si="55"/>
        <v>0.38394801136363632</v>
      </c>
      <c r="P313">
        <v>864.95808</v>
      </c>
      <c r="Q313">
        <v>216.23952</v>
      </c>
      <c r="R313"/>
      <c r="U313" s="2" t="s">
        <v>575</v>
      </c>
      <c r="V313">
        <v>864.95808</v>
      </c>
      <c r="W313">
        <v>216.23952</v>
      </c>
      <c r="X313"/>
    </row>
    <row r="314" spans="1:24" ht="12.75" customHeight="1" x14ac:dyDescent="0.25">
      <c r="A314" s="8" t="s">
        <v>215</v>
      </c>
      <c r="B314" s="9"/>
      <c r="C314" s="10"/>
      <c r="D314" s="11">
        <v>0</v>
      </c>
      <c r="F314" s="11">
        <v>0</v>
      </c>
      <c r="G314" s="11">
        <v>0</v>
      </c>
      <c r="H314" s="11">
        <v>0</v>
      </c>
      <c r="J314" s="11">
        <f t="shared" si="54"/>
        <v>0</v>
      </c>
      <c r="L314" s="11"/>
      <c r="M314" s="12">
        <f t="shared" si="55"/>
        <v>0</v>
      </c>
      <c r="P314"/>
      <c r="Q314"/>
      <c r="R314"/>
      <c r="V314"/>
      <c r="W314"/>
      <c r="X314"/>
    </row>
    <row r="315" spans="1:24" ht="12.75" customHeight="1" x14ac:dyDescent="0.25">
      <c r="A315" s="8" t="s">
        <v>215</v>
      </c>
      <c r="B315" s="9"/>
      <c r="C315" s="10"/>
      <c r="D315" s="11">
        <v>0</v>
      </c>
      <c r="F315" s="11">
        <v>0</v>
      </c>
      <c r="G315" s="11">
        <v>0</v>
      </c>
      <c r="H315" s="11">
        <v>0</v>
      </c>
      <c r="J315" s="11">
        <f t="shared" si="54"/>
        <v>0</v>
      </c>
      <c r="L315" s="11"/>
      <c r="M315" s="12">
        <f t="shared" si="55"/>
        <v>0</v>
      </c>
      <c r="P315"/>
      <c r="Q315"/>
      <c r="R315"/>
      <c r="V315"/>
      <c r="W315"/>
      <c r="X315"/>
    </row>
    <row r="316" spans="1:24" ht="12.75" customHeight="1" x14ac:dyDescent="0.25">
      <c r="A316" s="8" t="s">
        <v>215</v>
      </c>
      <c r="B316" s="9"/>
      <c r="C316" s="10"/>
      <c r="D316" s="11">
        <v>0</v>
      </c>
      <c r="F316" s="11">
        <v>0</v>
      </c>
      <c r="G316" s="11">
        <v>0</v>
      </c>
      <c r="H316" s="11">
        <v>0</v>
      </c>
      <c r="J316" s="11">
        <f t="shared" si="54"/>
        <v>0</v>
      </c>
      <c r="L316" s="11"/>
      <c r="M316" s="12">
        <f t="shared" si="55"/>
        <v>0</v>
      </c>
      <c r="P316"/>
      <c r="Q316"/>
      <c r="R316"/>
      <c r="V316"/>
      <c r="W316"/>
      <c r="X316"/>
    </row>
    <row r="317" spans="1:24" ht="12.75" customHeight="1" x14ac:dyDescent="0.25">
      <c r="A317" s="8" t="s">
        <v>215</v>
      </c>
      <c r="B317" s="9"/>
      <c r="C317" s="10"/>
      <c r="D317" s="11">
        <v>0</v>
      </c>
      <c r="F317" s="11">
        <v>0</v>
      </c>
      <c r="G317" s="11">
        <v>0</v>
      </c>
      <c r="H317" s="11">
        <v>0</v>
      </c>
      <c r="J317" s="11">
        <f t="shared" si="54"/>
        <v>0</v>
      </c>
      <c r="L317" s="11"/>
      <c r="M317" s="12">
        <f t="shared" si="55"/>
        <v>0</v>
      </c>
      <c r="P317"/>
      <c r="Q317"/>
      <c r="R317"/>
      <c r="V317"/>
      <c r="W317"/>
      <c r="X317"/>
    </row>
    <row r="318" spans="1:24" ht="12.75" customHeight="1" x14ac:dyDescent="0.25">
      <c r="A318" s="8" t="s">
        <v>215</v>
      </c>
      <c r="B318" s="9"/>
      <c r="C318" s="10"/>
      <c r="D318" s="11">
        <v>0</v>
      </c>
      <c r="F318" s="11">
        <v>0</v>
      </c>
      <c r="G318" s="11">
        <v>0</v>
      </c>
      <c r="H318" s="11">
        <v>0</v>
      </c>
      <c r="J318" s="11">
        <f t="shared" si="54"/>
        <v>0</v>
      </c>
      <c r="L318" s="11"/>
      <c r="M318" s="12">
        <f t="shared" si="55"/>
        <v>0</v>
      </c>
      <c r="P318"/>
      <c r="Q318"/>
      <c r="R318"/>
      <c r="V318"/>
      <c r="W318"/>
      <c r="X318"/>
    </row>
    <row r="319" spans="1:24" ht="12.75" customHeight="1" x14ac:dyDescent="0.25">
      <c r="A319" s="8" t="s">
        <v>215</v>
      </c>
      <c r="B319" s="9"/>
      <c r="C319" s="10"/>
      <c r="D319" s="11">
        <v>0</v>
      </c>
      <c r="F319" s="11">
        <v>0</v>
      </c>
      <c r="G319" s="11">
        <v>0</v>
      </c>
      <c r="H319" s="11">
        <v>0</v>
      </c>
      <c r="J319" s="11">
        <f t="shared" si="54"/>
        <v>0</v>
      </c>
      <c r="L319" s="11"/>
      <c r="M319" s="12">
        <f t="shared" si="55"/>
        <v>0</v>
      </c>
      <c r="P319"/>
      <c r="Q319"/>
      <c r="R319"/>
      <c r="V319"/>
      <c r="W319"/>
      <c r="X319"/>
    </row>
    <row r="320" spans="1:24" ht="12.75" customHeight="1" x14ac:dyDescent="0.25">
      <c r="A320" s="13" t="s">
        <v>30</v>
      </c>
      <c r="B320" s="14"/>
      <c r="C320" s="13"/>
      <c r="D320" s="15">
        <v>190375.56</v>
      </c>
      <c r="E320" s="15">
        <v>0</v>
      </c>
      <c r="F320" s="15">
        <v>0</v>
      </c>
      <c r="G320" s="15">
        <v>0</v>
      </c>
      <c r="H320" s="15">
        <v>0</v>
      </c>
      <c r="I320" s="15">
        <v>0</v>
      </c>
      <c r="J320" s="15">
        <f t="shared" ref="J320:L320" si="56">SUM(J309:J319)</f>
        <v>190375.56</v>
      </c>
      <c r="L320" s="15">
        <f t="shared" si="56"/>
        <v>253200</v>
      </c>
      <c r="P320"/>
      <c r="Q320"/>
      <c r="R320"/>
      <c r="V320"/>
      <c r="W320"/>
      <c r="X320"/>
    </row>
    <row r="321" spans="1:24" ht="12.75" customHeight="1" x14ac:dyDescent="0.25">
      <c r="P321"/>
      <c r="Q321"/>
      <c r="R321"/>
      <c r="V321"/>
      <c r="W321"/>
      <c r="X321"/>
    </row>
    <row r="322" spans="1:24" ht="12.75" customHeight="1" x14ac:dyDescent="0.25">
      <c r="P322"/>
      <c r="Q322"/>
      <c r="R322"/>
      <c r="V322"/>
      <c r="W322"/>
      <c r="X322"/>
    </row>
    <row r="323" spans="1:24" ht="12.75" customHeight="1" x14ac:dyDescent="0.25">
      <c r="P323"/>
      <c r="Q323"/>
      <c r="R323"/>
      <c r="V323"/>
      <c r="W323"/>
      <c r="X323"/>
    </row>
    <row r="324" spans="1:24" ht="12.75" customHeight="1" x14ac:dyDescent="0.25">
      <c r="O324" s="5" t="s">
        <v>12</v>
      </c>
      <c r="P324"/>
      <c r="Q324"/>
      <c r="R324"/>
      <c r="V324"/>
      <c r="W324"/>
      <c r="X324"/>
    </row>
    <row r="325" spans="1:24" ht="12.75" customHeight="1" x14ac:dyDescent="0.25">
      <c r="O325" s="11">
        <v>250000</v>
      </c>
      <c r="P325"/>
      <c r="Q325"/>
      <c r="R325"/>
      <c r="V325"/>
      <c r="W325"/>
      <c r="X325"/>
    </row>
    <row r="326" spans="1:24" ht="12.75" customHeight="1" x14ac:dyDescent="0.25">
      <c r="A326" s="4" t="s">
        <v>0</v>
      </c>
      <c r="B326" s="5" t="s">
        <v>1</v>
      </c>
      <c r="C326" s="4" t="s">
        <v>2</v>
      </c>
      <c r="D326" s="5" t="s">
        <v>3</v>
      </c>
      <c r="E326" s="5" t="s">
        <v>4</v>
      </c>
      <c r="F326" s="5" t="s">
        <v>5</v>
      </c>
      <c r="G326" s="5" t="s">
        <v>6</v>
      </c>
      <c r="H326" s="5" t="s">
        <v>7</v>
      </c>
      <c r="I326" s="5" t="s">
        <v>8</v>
      </c>
      <c r="J326" s="5" t="s">
        <v>9</v>
      </c>
      <c r="L326" s="7" t="s">
        <v>10</v>
      </c>
      <c r="M326" s="7" t="s">
        <v>11</v>
      </c>
      <c r="P326"/>
      <c r="Q326"/>
      <c r="R326"/>
      <c r="U326" s="2" t="s">
        <v>575</v>
      </c>
      <c r="V326"/>
      <c r="W326"/>
      <c r="X326"/>
    </row>
    <row r="327" spans="1:24" ht="12.75" customHeight="1" x14ac:dyDescent="0.25">
      <c r="A327" s="8" t="s">
        <v>224</v>
      </c>
      <c r="B327" s="9" t="s">
        <v>126</v>
      </c>
      <c r="C327" s="10" t="s">
        <v>225</v>
      </c>
      <c r="D327" s="11">
        <v>2015.94</v>
      </c>
      <c r="F327" s="11">
        <v>0</v>
      </c>
      <c r="G327" s="11">
        <v>0</v>
      </c>
      <c r="H327" s="11">
        <v>0</v>
      </c>
      <c r="J327" s="11">
        <f t="shared" ref="J327:J337" si="57">SUM(D327:I327)</f>
        <v>2015.94</v>
      </c>
      <c r="L327" s="11"/>
      <c r="M327" s="12">
        <f t="shared" ref="M327:M337" si="58">IFERROR(J327/L327,)</f>
        <v>0</v>
      </c>
      <c r="P327">
        <v>64.510080000000002</v>
      </c>
      <c r="Q327">
        <v>16.127520000000001</v>
      </c>
      <c r="R327"/>
      <c r="U327" s="2" t="s">
        <v>576</v>
      </c>
      <c r="V327">
        <v>64.510080000000002</v>
      </c>
      <c r="W327">
        <v>16.127520000000001</v>
      </c>
      <c r="X327"/>
    </row>
    <row r="328" spans="1:24" ht="12.75" customHeight="1" x14ac:dyDescent="0.25">
      <c r="A328" s="8" t="s">
        <v>224</v>
      </c>
      <c r="B328" s="9" t="s">
        <v>226</v>
      </c>
      <c r="C328" s="10" t="s">
        <v>227</v>
      </c>
      <c r="D328" s="11">
        <v>60859.88</v>
      </c>
      <c r="F328" s="11">
        <v>0</v>
      </c>
      <c r="G328" s="11">
        <v>0</v>
      </c>
      <c r="H328" s="11">
        <v>0</v>
      </c>
      <c r="J328" s="11">
        <f t="shared" si="57"/>
        <v>60859.88</v>
      </c>
      <c r="L328" s="11">
        <v>68750</v>
      </c>
      <c r="M328" s="12">
        <f t="shared" si="58"/>
        <v>0.88523461818181814</v>
      </c>
      <c r="P328">
        <v>1947.5161599999999</v>
      </c>
      <c r="Q328">
        <v>486.87903999999997</v>
      </c>
      <c r="R328"/>
      <c r="U328" s="2" t="s">
        <v>577</v>
      </c>
      <c r="V328">
        <v>1947.5161599999999</v>
      </c>
      <c r="W328">
        <v>486.87903999999997</v>
      </c>
      <c r="X328"/>
    </row>
    <row r="329" spans="1:24" ht="12.75" customHeight="1" x14ac:dyDescent="0.25">
      <c r="A329" s="8" t="s">
        <v>224</v>
      </c>
      <c r="B329" s="9" t="s">
        <v>228</v>
      </c>
      <c r="C329" s="10" t="s">
        <v>229</v>
      </c>
      <c r="D329" s="11">
        <v>61698.34</v>
      </c>
      <c r="F329" s="11">
        <v>0</v>
      </c>
      <c r="G329" s="11">
        <v>0</v>
      </c>
      <c r="H329" s="11">
        <v>0</v>
      </c>
      <c r="J329" s="11">
        <f t="shared" si="57"/>
        <v>61698.34</v>
      </c>
      <c r="L329" s="11">
        <v>68750</v>
      </c>
      <c r="M329" s="12">
        <f t="shared" si="58"/>
        <v>0.89743039999999996</v>
      </c>
      <c r="P329">
        <v>1974.3468799999998</v>
      </c>
      <c r="Q329">
        <v>493.58671999999996</v>
      </c>
      <c r="R329"/>
      <c r="U329" s="2" t="s">
        <v>578</v>
      </c>
      <c r="V329">
        <v>1974.3468799999998</v>
      </c>
      <c r="W329">
        <v>493.58671999999996</v>
      </c>
      <c r="X329"/>
    </row>
    <row r="330" spans="1:24" ht="12.75" customHeight="1" x14ac:dyDescent="0.25">
      <c r="A330" s="8" t="s">
        <v>224</v>
      </c>
      <c r="B330" s="9" t="s">
        <v>49</v>
      </c>
      <c r="C330" s="10" t="s">
        <v>230</v>
      </c>
      <c r="D330" s="11">
        <v>58005.34</v>
      </c>
      <c r="F330" s="11">
        <v>0</v>
      </c>
      <c r="G330" s="11">
        <v>0</v>
      </c>
      <c r="H330" s="11">
        <v>0</v>
      </c>
      <c r="J330" s="11">
        <f t="shared" si="57"/>
        <v>58005.34</v>
      </c>
      <c r="L330" s="11">
        <v>68750</v>
      </c>
      <c r="M330" s="12">
        <f t="shared" si="58"/>
        <v>0.84371403636363629</v>
      </c>
      <c r="P330">
        <v>1856.1708799999999</v>
      </c>
      <c r="Q330">
        <v>464.04271999999997</v>
      </c>
      <c r="R330"/>
      <c r="U330" s="2" t="s">
        <v>579</v>
      </c>
      <c r="V330">
        <v>1856.1708799999999</v>
      </c>
      <c r="W330">
        <v>464.04271999999997</v>
      </c>
      <c r="X330"/>
    </row>
    <row r="331" spans="1:24" ht="12.75" customHeight="1" x14ac:dyDescent="0.25">
      <c r="A331" s="8" t="s">
        <v>224</v>
      </c>
      <c r="B331" s="9" t="s">
        <v>130</v>
      </c>
      <c r="C331" s="10" t="s">
        <v>231</v>
      </c>
      <c r="D331" s="11">
        <v>36364.94</v>
      </c>
      <c r="F331" s="11">
        <v>0</v>
      </c>
      <c r="G331" s="11">
        <v>0</v>
      </c>
      <c r="H331" s="11">
        <v>0</v>
      </c>
      <c r="J331" s="11">
        <f t="shared" si="57"/>
        <v>36364.94</v>
      </c>
      <c r="L331" s="11">
        <v>68750</v>
      </c>
      <c r="M331" s="12">
        <f t="shared" si="58"/>
        <v>0.52894458181818182</v>
      </c>
      <c r="P331">
        <v>1163.6780800000001</v>
      </c>
      <c r="Q331">
        <v>290.91952000000003</v>
      </c>
      <c r="R331"/>
      <c r="U331" s="2" t="s">
        <v>580</v>
      </c>
      <c r="V331">
        <v>1163.6780800000001</v>
      </c>
      <c r="W331">
        <v>290.91952000000003</v>
      </c>
      <c r="X331"/>
    </row>
    <row r="332" spans="1:24" ht="12.75" customHeight="1" x14ac:dyDescent="0.25">
      <c r="A332" s="8" t="s">
        <v>224</v>
      </c>
      <c r="B332" s="9"/>
      <c r="C332" s="10"/>
      <c r="D332" s="11">
        <v>0</v>
      </c>
      <c r="F332" s="11">
        <v>0</v>
      </c>
      <c r="G332" s="11">
        <v>0</v>
      </c>
      <c r="H332" s="11">
        <v>0</v>
      </c>
      <c r="J332" s="11">
        <f t="shared" si="57"/>
        <v>0</v>
      </c>
      <c r="L332" s="11"/>
      <c r="M332" s="12">
        <f t="shared" si="58"/>
        <v>0</v>
      </c>
      <c r="P332"/>
      <c r="Q332"/>
      <c r="R332"/>
      <c r="V332"/>
      <c r="W332"/>
      <c r="X332"/>
    </row>
    <row r="333" spans="1:24" ht="12.75" customHeight="1" x14ac:dyDescent="0.25">
      <c r="A333" s="8" t="s">
        <v>224</v>
      </c>
      <c r="B333" s="9"/>
      <c r="C333" s="10"/>
      <c r="D333" s="11">
        <v>0</v>
      </c>
      <c r="F333" s="11">
        <v>0</v>
      </c>
      <c r="G333" s="11">
        <v>0</v>
      </c>
      <c r="H333" s="11">
        <v>0</v>
      </c>
      <c r="J333" s="11">
        <f t="shared" si="57"/>
        <v>0</v>
      </c>
      <c r="L333" s="11"/>
      <c r="M333" s="12">
        <f t="shared" si="58"/>
        <v>0</v>
      </c>
      <c r="P333"/>
      <c r="Q333"/>
      <c r="R333"/>
      <c r="V333"/>
      <c r="W333"/>
      <c r="X333"/>
    </row>
    <row r="334" spans="1:24" ht="12.75" customHeight="1" x14ac:dyDescent="0.25">
      <c r="A334" s="8" t="s">
        <v>224</v>
      </c>
      <c r="B334" s="9"/>
      <c r="C334" s="10"/>
      <c r="D334" s="11">
        <v>0</v>
      </c>
      <c r="F334" s="11">
        <v>0</v>
      </c>
      <c r="G334" s="11">
        <v>0</v>
      </c>
      <c r="H334" s="11">
        <v>0</v>
      </c>
      <c r="J334" s="11">
        <f t="shared" si="57"/>
        <v>0</v>
      </c>
      <c r="L334" s="11"/>
      <c r="M334" s="12">
        <f t="shared" si="58"/>
        <v>0</v>
      </c>
      <c r="P334"/>
      <c r="Q334"/>
      <c r="R334"/>
      <c r="V334"/>
      <c r="W334"/>
      <c r="X334"/>
    </row>
    <row r="335" spans="1:24" ht="12.75" customHeight="1" x14ac:dyDescent="0.25">
      <c r="A335" s="8" t="s">
        <v>224</v>
      </c>
      <c r="B335" s="9"/>
      <c r="C335" s="10"/>
      <c r="D335" s="11">
        <v>0</v>
      </c>
      <c r="F335" s="11">
        <v>0</v>
      </c>
      <c r="G335" s="11">
        <v>0</v>
      </c>
      <c r="H335" s="11">
        <v>0</v>
      </c>
      <c r="J335" s="11">
        <f t="shared" si="57"/>
        <v>0</v>
      </c>
      <c r="L335" s="11"/>
      <c r="M335" s="12">
        <f t="shared" si="58"/>
        <v>0</v>
      </c>
      <c r="P335"/>
      <c r="Q335"/>
      <c r="R335"/>
      <c r="V335"/>
      <c r="W335"/>
      <c r="X335"/>
    </row>
    <row r="336" spans="1:24" ht="12.75" customHeight="1" x14ac:dyDescent="0.25">
      <c r="A336" s="8" t="s">
        <v>224</v>
      </c>
      <c r="B336" s="9"/>
      <c r="C336" s="10"/>
      <c r="D336" s="11">
        <v>0</v>
      </c>
      <c r="F336" s="11">
        <v>0</v>
      </c>
      <c r="G336" s="11">
        <v>0</v>
      </c>
      <c r="H336" s="11">
        <v>0</v>
      </c>
      <c r="J336" s="11">
        <f t="shared" si="57"/>
        <v>0</v>
      </c>
      <c r="L336" s="11"/>
      <c r="M336" s="12">
        <f t="shared" si="58"/>
        <v>0</v>
      </c>
      <c r="P336"/>
      <c r="Q336"/>
      <c r="R336"/>
      <c r="V336"/>
      <c r="W336"/>
      <c r="X336"/>
    </row>
    <row r="337" spans="1:24" ht="12.75" customHeight="1" x14ac:dyDescent="0.25">
      <c r="A337" s="8" t="s">
        <v>224</v>
      </c>
      <c r="B337" s="9"/>
      <c r="C337" s="10"/>
      <c r="D337" s="11">
        <v>0</v>
      </c>
      <c r="F337" s="11">
        <v>0</v>
      </c>
      <c r="G337" s="11">
        <v>0</v>
      </c>
      <c r="H337" s="11">
        <v>0</v>
      </c>
      <c r="J337" s="11">
        <f t="shared" si="57"/>
        <v>0</v>
      </c>
      <c r="L337" s="11"/>
      <c r="M337" s="12">
        <f t="shared" si="58"/>
        <v>0</v>
      </c>
      <c r="P337"/>
      <c r="Q337"/>
      <c r="R337"/>
      <c r="V337"/>
      <c r="W337"/>
      <c r="X337"/>
    </row>
    <row r="338" spans="1:24" ht="12.75" customHeight="1" x14ac:dyDescent="0.25">
      <c r="A338" s="13" t="s">
        <v>30</v>
      </c>
      <c r="B338" s="14"/>
      <c r="C338" s="13"/>
      <c r="D338" s="15">
        <v>218944.44</v>
      </c>
      <c r="E338" s="15">
        <v>0</v>
      </c>
      <c r="F338" s="15">
        <v>0</v>
      </c>
      <c r="G338" s="15">
        <v>0</v>
      </c>
      <c r="H338" s="15">
        <v>0</v>
      </c>
      <c r="I338" s="15">
        <v>0</v>
      </c>
      <c r="J338" s="15">
        <f t="shared" ref="J338:L338" si="59">SUM(J327:J337)</f>
        <v>218944.44</v>
      </c>
      <c r="L338" s="15">
        <f t="shared" si="59"/>
        <v>275000</v>
      </c>
      <c r="P338"/>
      <c r="Q338"/>
      <c r="R338"/>
      <c r="V338"/>
      <c r="W338"/>
      <c r="X338"/>
    </row>
    <row r="339" spans="1:24" ht="12.75" customHeight="1" x14ac:dyDescent="0.25">
      <c r="P339"/>
      <c r="Q339"/>
      <c r="R339"/>
      <c r="V339"/>
      <c r="W339"/>
      <c r="X339"/>
    </row>
    <row r="340" spans="1:24" ht="12.75" customHeight="1" x14ac:dyDescent="0.25">
      <c r="P340"/>
      <c r="Q340"/>
      <c r="R340"/>
      <c r="V340"/>
      <c r="W340"/>
      <c r="X340"/>
    </row>
    <row r="341" spans="1:24" ht="12.75" customHeight="1" x14ac:dyDescent="0.25">
      <c r="P341"/>
      <c r="Q341"/>
      <c r="R341"/>
      <c r="V341"/>
      <c r="W341"/>
      <c r="X341"/>
    </row>
    <row r="342" spans="1:24" ht="12.75" customHeight="1" x14ac:dyDescent="0.25">
      <c r="P342"/>
      <c r="Q342"/>
      <c r="R342"/>
      <c r="V342"/>
      <c r="W342"/>
      <c r="X342"/>
    </row>
    <row r="343" spans="1:24" ht="12.75" customHeight="1" x14ac:dyDescent="0.25">
      <c r="O343" s="5" t="s">
        <v>12</v>
      </c>
      <c r="P343"/>
      <c r="Q343"/>
      <c r="R343"/>
      <c r="V343"/>
      <c r="W343"/>
      <c r="X343"/>
    </row>
    <row r="344" spans="1:24" ht="12.75" customHeight="1" x14ac:dyDescent="0.25">
      <c r="O344" s="11">
        <v>340000</v>
      </c>
      <c r="P344"/>
      <c r="Q344"/>
      <c r="R344"/>
      <c r="V344"/>
      <c r="W344"/>
      <c r="X344"/>
    </row>
    <row r="345" spans="1:24" ht="12.75" customHeight="1" x14ac:dyDescent="0.25">
      <c r="A345" s="4" t="s">
        <v>0</v>
      </c>
      <c r="B345" s="5" t="s">
        <v>1</v>
      </c>
      <c r="C345" s="4" t="s">
        <v>2</v>
      </c>
      <c r="D345" s="5" t="s">
        <v>3</v>
      </c>
      <c r="E345" s="5" t="s">
        <v>4</v>
      </c>
      <c r="F345" s="5" t="s">
        <v>5</v>
      </c>
      <c r="G345" s="5" t="s">
        <v>6</v>
      </c>
      <c r="H345" s="5" t="s">
        <v>7</v>
      </c>
      <c r="I345" s="5" t="s">
        <v>8</v>
      </c>
      <c r="J345" s="5" t="s">
        <v>9</v>
      </c>
      <c r="L345" s="7" t="s">
        <v>10</v>
      </c>
      <c r="M345" s="7" t="s">
        <v>11</v>
      </c>
      <c r="P345"/>
      <c r="Q345"/>
      <c r="R345"/>
      <c r="U345" s="2" t="s">
        <v>580</v>
      </c>
      <c r="V345"/>
      <c r="W345"/>
      <c r="X345"/>
    </row>
    <row r="346" spans="1:24" ht="12.75" customHeight="1" x14ac:dyDescent="0.25">
      <c r="A346" s="8" t="s">
        <v>108</v>
      </c>
      <c r="B346" s="9" t="s">
        <v>126</v>
      </c>
      <c r="C346" s="10" t="s">
        <v>232</v>
      </c>
      <c r="D346" s="11">
        <v>78275.820000000007</v>
      </c>
      <c r="F346" s="11">
        <v>0</v>
      </c>
      <c r="G346" s="11">
        <v>0</v>
      </c>
      <c r="H346" s="11">
        <v>0</v>
      </c>
      <c r="J346" s="11">
        <f t="shared" ref="J346:J356" si="60">SUM(D346:I346)</f>
        <v>78275.820000000007</v>
      </c>
      <c r="L346" s="11">
        <v>62334</v>
      </c>
      <c r="M346" s="12">
        <f t="shared" ref="M346:M356" si="61">IFERROR(J346/L346,)</f>
        <v>1.2557483877177786</v>
      </c>
      <c r="P346">
        <v>2504.8262400000003</v>
      </c>
      <c r="Q346">
        <v>626.20656000000008</v>
      </c>
      <c r="R346">
        <v>391.37910000000005</v>
      </c>
      <c r="U346" s="2" t="s">
        <v>581</v>
      </c>
      <c r="V346">
        <v>2504.8262400000003</v>
      </c>
      <c r="W346">
        <v>626.20656000000008</v>
      </c>
      <c r="X346">
        <v>391.37910000000005</v>
      </c>
    </row>
    <row r="347" spans="1:24" ht="12.75" customHeight="1" x14ac:dyDescent="0.25">
      <c r="A347" s="8" t="s">
        <v>108</v>
      </c>
      <c r="B347" s="9" t="s">
        <v>233</v>
      </c>
      <c r="C347" s="10" t="s">
        <v>234</v>
      </c>
      <c r="D347" s="11">
        <v>67242.2</v>
      </c>
      <c r="F347" s="11">
        <v>0</v>
      </c>
      <c r="G347" s="11">
        <v>1299.99</v>
      </c>
      <c r="H347" s="11">
        <v>0</v>
      </c>
      <c r="J347" s="11">
        <f t="shared" si="60"/>
        <v>68542.19</v>
      </c>
      <c r="L347" s="11">
        <v>62334</v>
      </c>
      <c r="M347" s="12">
        <f t="shared" si="61"/>
        <v>1.0995955658228254</v>
      </c>
      <c r="P347">
        <v>2193.3500800000002</v>
      </c>
      <c r="Q347">
        <v>548.33752000000004</v>
      </c>
      <c r="R347">
        <v>342.71095000000003</v>
      </c>
      <c r="U347" s="2" t="s">
        <v>582</v>
      </c>
      <c r="V347">
        <v>2193.3500800000002</v>
      </c>
      <c r="W347">
        <v>548.33752000000004</v>
      </c>
      <c r="X347">
        <v>342.71095000000003</v>
      </c>
    </row>
    <row r="348" spans="1:24" ht="12.75" customHeight="1" x14ac:dyDescent="0.25">
      <c r="A348" s="8" t="s">
        <v>108</v>
      </c>
      <c r="B348" s="9" t="s">
        <v>235</v>
      </c>
      <c r="C348" s="10" t="s">
        <v>236</v>
      </c>
      <c r="D348" s="11">
        <v>47042.84</v>
      </c>
      <c r="F348" s="11">
        <v>0</v>
      </c>
      <c r="G348" s="11">
        <v>0</v>
      </c>
      <c r="H348" s="11">
        <v>0</v>
      </c>
      <c r="J348" s="11">
        <f t="shared" si="60"/>
        <v>47042.84</v>
      </c>
      <c r="L348" s="11">
        <v>62334</v>
      </c>
      <c r="M348" s="12">
        <f t="shared" si="61"/>
        <v>0.75468989636474471</v>
      </c>
      <c r="P348">
        <v>1505.3708799999999</v>
      </c>
      <c r="Q348">
        <v>376.34271999999999</v>
      </c>
      <c r="R348"/>
      <c r="U348" s="2" t="s">
        <v>583</v>
      </c>
      <c r="V348">
        <v>1505.3708799999999</v>
      </c>
      <c r="W348">
        <v>376.34271999999999</v>
      </c>
      <c r="X348"/>
    </row>
    <row r="349" spans="1:24" ht="12.75" customHeight="1" x14ac:dyDescent="0.25">
      <c r="A349" s="8" t="s">
        <v>108</v>
      </c>
      <c r="B349" s="9" t="s">
        <v>146</v>
      </c>
      <c r="C349" s="10" t="s">
        <v>237</v>
      </c>
      <c r="D349" s="11">
        <v>70842.039999999994</v>
      </c>
      <c r="F349" s="11">
        <v>0</v>
      </c>
      <c r="G349" s="11">
        <v>0</v>
      </c>
      <c r="H349" s="11">
        <v>0</v>
      </c>
      <c r="J349" s="11">
        <f t="shared" si="60"/>
        <v>70842.039999999994</v>
      </c>
      <c r="L349" s="11">
        <v>62334</v>
      </c>
      <c r="M349" s="12">
        <f t="shared" si="61"/>
        <v>1.1364911605223473</v>
      </c>
      <c r="P349">
        <v>2266.9452799999999</v>
      </c>
      <c r="Q349">
        <v>566.73631999999998</v>
      </c>
      <c r="R349">
        <v>354.21019999999999</v>
      </c>
      <c r="U349" s="2" t="s">
        <v>584</v>
      </c>
      <c r="V349">
        <v>2266.9452799999999</v>
      </c>
      <c r="W349">
        <v>566.73631999999998</v>
      </c>
      <c r="X349">
        <v>354.21019999999999</v>
      </c>
    </row>
    <row r="350" spans="1:24" ht="12.75" customHeight="1" x14ac:dyDescent="0.25">
      <c r="A350" s="8" t="s">
        <v>108</v>
      </c>
      <c r="B350" s="9" t="s">
        <v>170</v>
      </c>
      <c r="C350" s="10" t="s">
        <v>238</v>
      </c>
      <c r="D350" s="11">
        <v>56503.69</v>
      </c>
      <c r="F350" s="11">
        <v>0</v>
      </c>
      <c r="G350" s="11">
        <v>0</v>
      </c>
      <c r="H350" s="11">
        <v>0</v>
      </c>
      <c r="J350" s="11">
        <f t="shared" si="60"/>
        <v>56503.69</v>
      </c>
      <c r="L350" s="11">
        <v>62334</v>
      </c>
      <c r="M350" s="12">
        <f t="shared" si="61"/>
        <v>0.90646661533031736</v>
      </c>
      <c r="P350">
        <v>1808.1180800000002</v>
      </c>
      <c r="Q350">
        <v>452.02952000000005</v>
      </c>
      <c r="R350"/>
      <c r="U350" s="2" t="s">
        <v>585</v>
      </c>
      <c r="V350">
        <v>1808.1180800000002</v>
      </c>
      <c r="W350">
        <v>452.02952000000005</v>
      </c>
      <c r="X350"/>
    </row>
    <row r="351" spans="1:24" ht="12.75" customHeight="1" x14ac:dyDescent="0.25">
      <c r="A351" s="8" t="s">
        <v>108</v>
      </c>
      <c r="B351" s="9" t="s">
        <v>84</v>
      </c>
      <c r="C351" s="10" t="s">
        <v>239</v>
      </c>
      <c r="D351" s="11">
        <v>53357.79</v>
      </c>
      <c r="F351" s="11">
        <v>0</v>
      </c>
      <c r="G351" s="11">
        <v>0</v>
      </c>
      <c r="H351" s="11">
        <v>0</v>
      </c>
      <c r="J351" s="11">
        <f t="shared" si="60"/>
        <v>53357.79</v>
      </c>
      <c r="L351" s="11">
        <v>62334</v>
      </c>
      <c r="M351" s="12">
        <f t="shared" si="61"/>
        <v>0.85599817114255461</v>
      </c>
      <c r="P351">
        <v>1707.44928</v>
      </c>
      <c r="Q351">
        <v>426.86232000000001</v>
      </c>
      <c r="R351"/>
      <c r="U351" s="2" t="s">
        <v>586</v>
      </c>
      <c r="V351">
        <v>1707.44928</v>
      </c>
      <c r="W351">
        <v>426.86232000000001</v>
      </c>
      <c r="X351"/>
    </row>
    <row r="352" spans="1:24" ht="12.75" customHeight="1" x14ac:dyDescent="0.25">
      <c r="A352" s="8" t="s">
        <v>108</v>
      </c>
      <c r="B352" s="9" t="s">
        <v>240</v>
      </c>
      <c r="C352" s="10" t="s">
        <v>241</v>
      </c>
      <c r="D352" s="11">
        <v>1234.93</v>
      </c>
      <c r="F352" s="11">
        <v>0</v>
      </c>
      <c r="G352" s="11">
        <v>0</v>
      </c>
      <c r="H352" s="11">
        <v>0</v>
      </c>
      <c r="J352" s="11">
        <f t="shared" si="60"/>
        <v>1234.93</v>
      </c>
      <c r="L352" s="11"/>
      <c r="M352" s="12">
        <f t="shared" si="61"/>
        <v>0</v>
      </c>
      <c r="P352">
        <v>39.517760000000003</v>
      </c>
      <c r="Q352">
        <v>9.8794400000000007</v>
      </c>
      <c r="R352"/>
      <c r="U352" s="2" t="s">
        <v>587</v>
      </c>
      <c r="V352">
        <v>39.517760000000003</v>
      </c>
      <c r="W352">
        <v>9.8794400000000007</v>
      </c>
      <c r="X352"/>
    </row>
    <row r="353" spans="1:24" ht="12.75" customHeight="1" x14ac:dyDescent="0.25">
      <c r="A353" s="8" t="s">
        <v>108</v>
      </c>
      <c r="B353" s="9"/>
      <c r="C353" s="10"/>
      <c r="D353" s="11">
        <v>0</v>
      </c>
      <c r="F353" s="11">
        <v>0</v>
      </c>
      <c r="G353" s="11">
        <v>0</v>
      </c>
      <c r="H353" s="11">
        <v>0</v>
      </c>
      <c r="J353" s="11">
        <f t="shared" si="60"/>
        <v>0</v>
      </c>
      <c r="L353" s="11"/>
      <c r="M353" s="12">
        <f t="shared" si="61"/>
        <v>0</v>
      </c>
      <c r="P353"/>
      <c r="Q353"/>
      <c r="R353"/>
      <c r="V353"/>
      <c r="W353"/>
      <c r="X353"/>
    </row>
    <row r="354" spans="1:24" ht="12.75" customHeight="1" x14ac:dyDescent="0.25">
      <c r="A354" s="8" t="s">
        <v>108</v>
      </c>
      <c r="B354" s="9"/>
      <c r="C354" s="10"/>
      <c r="D354" s="11">
        <v>0</v>
      </c>
      <c r="F354" s="11">
        <v>0</v>
      </c>
      <c r="G354" s="11">
        <v>0</v>
      </c>
      <c r="H354" s="11">
        <v>0</v>
      </c>
      <c r="J354" s="11">
        <f t="shared" si="60"/>
        <v>0</v>
      </c>
      <c r="L354" s="11"/>
      <c r="M354" s="12">
        <f t="shared" si="61"/>
        <v>0</v>
      </c>
      <c r="P354"/>
      <c r="Q354"/>
      <c r="R354"/>
      <c r="V354"/>
      <c r="W354"/>
      <c r="X354"/>
    </row>
    <row r="355" spans="1:24" ht="12.75" customHeight="1" x14ac:dyDescent="0.25">
      <c r="A355" s="8" t="s">
        <v>108</v>
      </c>
      <c r="B355" s="9"/>
      <c r="C355" s="10"/>
      <c r="D355" s="11">
        <v>0</v>
      </c>
      <c r="F355" s="11">
        <v>0</v>
      </c>
      <c r="G355" s="11">
        <v>0</v>
      </c>
      <c r="H355" s="11">
        <v>0</v>
      </c>
      <c r="J355" s="11">
        <f t="shared" si="60"/>
        <v>0</v>
      </c>
      <c r="L355" s="11"/>
      <c r="M355" s="12">
        <f t="shared" si="61"/>
        <v>0</v>
      </c>
      <c r="P355"/>
      <c r="Q355"/>
      <c r="R355"/>
      <c r="V355"/>
      <c r="W355"/>
      <c r="X355"/>
    </row>
    <row r="356" spans="1:24" ht="12.75" customHeight="1" x14ac:dyDescent="0.25">
      <c r="A356" s="8" t="s">
        <v>108</v>
      </c>
      <c r="B356" s="9"/>
      <c r="C356" s="10"/>
      <c r="D356" s="11">
        <v>0</v>
      </c>
      <c r="F356" s="11">
        <v>0</v>
      </c>
      <c r="G356" s="11">
        <v>0</v>
      </c>
      <c r="H356" s="11">
        <v>0</v>
      </c>
      <c r="J356" s="11">
        <f t="shared" si="60"/>
        <v>0</v>
      </c>
      <c r="L356" s="11"/>
      <c r="M356" s="12">
        <f t="shared" si="61"/>
        <v>0</v>
      </c>
      <c r="P356"/>
      <c r="Q356"/>
      <c r="R356"/>
      <c r="V356"/>
      <c r="W356"/>
      <c r="X356"/>
    </row>
    <row r="357" spans="1:24" ht="12.75" customHeight="1" x14ac:dyDescent="0.25">
      <c r="A357" s="13" t="s">
        <v>30</v>
      </c>
      <c r="B357" s="14"/>
      <c r="C357" s="13"/>
      <c r="D357" s="15">
        <v>374499.31</v>
      </c>
      <c r="E357" s="15">
        <v>0</v>
      </c>
      <c r="F357" s="15">
        <v>0</v>
      </c>
      <c r="G357" s="15">
        <v>1299.99</v>
      </c>
      <c r="H357" s="15">
        <v>0</v>
      </c>
      <c r="I357" s="15">
        <v>0</v>
      </c>
      <c r="J357" s="15">
        <f t="shared" ref="J357:L357" si="62">SUM(J346:J356)</f>
        <v>375799.3</v>
      </c>
      <c r="L357" s="15">
        <f t="shared" si="62"/>
        <v>374004</v>
      </c>
      <c r="P357"/>
      <c r="Q357"/>
      <c r="R357"/>
      <c r="V357"/>
      <c r="W357"/>
      <c r="X357"/>
    </row>
    <row r="358" spans="1:24" ht="12.75" customHeight="1" x14ac:dyDescent="0.25">
      <c r="P358"/>
      <c r="Q358"/>
      <c r="R358"/>
      <c r="V358"/>
      <c r="W358"/>
      <c r="X358"/>
    </row>
    <row r="359" spans="1:24" ht="12.75" customHeight="1" x14ac:dyDescent="0.25">
      <c r="P359"/>
      <c r="Q359"/>
      <c r="R359"/>
      <c r="V359"/>
      <c r="W359"/>
      <c r="X359"/>
    </row>
    <row r="360" spans="1:24" ht="12.75" customHeight="1" x14ac:dyDescent="0.25">
      <c r="P360"/>
      <c r="Q360"/>
      <c r="R360"/>
      <c r="V360"/>
      <c r="W360"/>
      <c r="X360"/>
    </row>
    <row r="361" spans="1:24" ht="12.75" customHeight="1" x14ac:dyDescent="0.25">
      <c r="O361" s="5" t="s">
        <v>12</v>
      </c>
      <c r="P361"/>
      <c r="Q361"/>
      <c r="R361"/>
      <c r="V361"/>
      <c r="W361"/>
      <c r="X361"/>
    </row>
    <row r="362" spans="1:24" ht="12.75" customHeight="1" x14ac:dyDescent="0.25">
      <c r="O362" s="11">
        <v>280000</v>
      </c>
      <c r="P362"/>
      <c r="Q362"/>
      <c r="R362"/>
      <c r="V362"/>
      <c r="W362"/>
      <c r="X362"/>
    </row>
    <row r="363" spans="1:24" ht="12.75" customHeight="1" x14ac:dyDescent="0.25">
      <c r="A363" s="4" t="s">
        <v>0</v>
      </c>
      <c r="B363" s="5" t="s">
        <v>1</v>
      </c>
      <c r="C363" s="4" t="s">
        <v>2</v>
      </c>
      <c r="D363" s="5" t="s">
        <v>3</v>
      </c>
      <c r="E363" s="5" t="s">
        <v>4</v>
      </c>
      <c r="F363" s="5" t="s">
        <v>5</v>
      </c>
      <c r="G363" s="5" t="s">
        <v>6</v>
      </c>
      <c r="H363" s="5" t="s">
        <v>7</v>
      </c>
      <c r="I363" s="5" t="s">
        <v>8</v>
      </c>
      <c r="J363" s="5" t="s">
        <v>9</v>
      </c>
      <c r="L363" s="7" t="s">
        <v>10</v>
      </c>
      <c r="M363" s="7" t="s">
        <v>11</v>
      </c>
      <c r="P363"/>
      <c r="Q363"/>
      <c r="R363"/>
      <c r="U363" s="2" t="s">
        <v>587</v>
      </c>
      <c r="V363"/>
      <c r="W363"/>
      <c r="X363"/>
    </row>
    <row r="364" spans="1:24" ht="12.75" customHeight="1" x14ac:dyDescent="0.25">
      <c r="A364" s="8" t="s">
        <v>242</v>
      </c>
      <c r="B364" s="9" t="s">
        <v>165</v>
      </c>
      <c r="C364" s="10" t="s">
        <v>243</v>
      </c>
      <c r="D364" s="11">
        <v>62369.5</v>
      </c>
      <c r="F364" s="11">
        <v>0</v>
      </c>
      <c r="G364" s="11">
        <v>0</v>
      </c>
      <c r="H364" s="11">
        <v>0</v>
      </c>
      <c r="J364" s="11">
        <f t="shared" ref="J364:J374" si="63">SUM(D364:I364)</f>
        <v>62369.5</v>
      </c>
      <c r="L364" s="11">
        <v>61600</v>
      </c>
      <c r="M364" s="12">
        <f t="shared" ref="M364:M374" si="64">IFERROR(J364/L364,)</f>
        <v>1.0124918831168832</v>
      </c>
      <c r="P364">
        <v>2307.6715000000004</v>
      </c>
      <c r="Q364">
        <v>576.91787500000009</v>
      </c>
      <c r="R364">
        <v>311.84750000000003</v>
      </c>
      <c r="U364" s="2" t="s">
        <v>588</v>
      </c>
      <c r="V364">
        <v>2307.6715000000004</v>
      </c>
      <c r="W364">
        <v>576.91787500000009</v>
      </c>
      <c r="X364">
        <v>311.84750000000003</v>
      </c>
    </row>
    <row r="365" spans="1:24" ht="12.75" customHeight="1" x14ac:dyDescent="0.25">
      <c r="A365" s="8" t="s">
        <v>242</v>
      </c>
      <c r="B365" s="9" t="s">
        <v>244</v>
      </c>
      <c r="C365" s="10" t="s">
        <v>245</v>
      </c>
      <c r="D365" s="11">
        <v>65341.02</v>
      </c>
      <c r="F365" s="11">
        <v>0</v>
      </c>
      <c r="G365" s="11">
        <v>0</v>
      </c>
      <c r="H365" s="11">
        <v>549.99</v>
      </c>
      <c r="J365" s="11">
        <f t="shared" si="63"/>
        <v>65891.009999999995</v>
      </c>
      <c r="L365" s="11">
        <v>61600</v>
      </c>
      <c r="M365" s="12">
        <f t="shared" si="64"/>
        <v>1.0696592532467533</v>
      </c>
      <c r="P365">
        <v>2437.9673700000003</v>
      </c>
      <c r="Q365">
        <v>609.49184250000008</v>
      </c>
      <c r="R365">
        <v>329.45504999999997</v>
      </c>
      <c r="U365" s="2" t="s">
        <v>589</v>
      </c>
      <c r="V365">
        <v>2437.9673700000003</v>
      </c>
      <c r="W365">
        <v>609.49184250000008</v>
      </c>
      <c r="X365">
        <v>329.45504999999997</v>
      </c>
    </row>
    <row r="366" spans="1:24" ht="12.75" customHeight="1" x14ac:dyDescent="0.25">
      <c r="A366" s="8" t="s">
        <v>242</v>
      </c>
      <c r="B366" s="9" t="s">
        <v>49</v>
      </c>
      <c r="C366" s="10" t="s">
        <v>246</v>
      </c>
      <c r="D366" s="11">
        <v>43917.86</v>
      </c>
      <c r="F366" s="11">
        <v>0</v>
      </c>
      <c r="G366" s="11">
        <v>0</v>
      </c>
      <c r="H366" s="11">
        <v>299.99</v>
      </c>
      <c r="J366" s="11">
        <f t="shared" si="63"/>
        <v>44217.85</v>
      </c>
      <c r="L366" s="11">
        <v>61600</v>
      </c>
      <c r="M366" s="12">
        <f t="shared" si="64"/>
        <v>0.71782224025974029</v>
      </c>
      <c r="P366">
        <v>1414.9712</v>
      </c>
      <c r="Q366">
        <v>353.74279999999999</v>
      </c>
      <c r="R366"/>
      <c r="U366" s="2" t="s">
        <v>590</v>
      </c>
      <c r="V366">
        <v>1414.9712</v>
      </c>
      <c r="W366">
        <v>353.74279999999999</v>
      </c>
      <c r="X366"/>
    </row>
    <row r="367" spans="1:24" ht="12.75" customHeight="1" x14ac:dyDescent="0.25">
      <c r="A367" s="8" t="s">
        <v>242</v>
      </c>
      <c r="B367" s="9" t="s">
        <v>180</v>
      </c>
      <c r="C367" s="10" t="s">
        <v>247</v>
      </c>
      <c r="D367" s="11">
        <v>2494.38</v>
      </c>
      <c r="F367" s="11">
        <v>0</v>
      </c>
      <c r="G367" s="11">
        <v>0</v>
      </c>
      <c r="H367" s="11">
        <v>0</v>
      </c>
      <c r="J367" s="11">
        <f t="shared" si="63"/>
        <v>2494.38</v>
      </c>
      <c r="L367" s="11"/>
      <c r="M367" s="12">
        <f t="shared" si="64"/>
        <v>0</v>
      </c>
      <c r="P367">
        <v>79.820160000000001</v>
      </c>
      <c r="Q367">
        <v>19.95504</v>
      </c>
      <c r="R367"/>
      <c r="U367" s="2" t="s">
        <v>591</v>
      </c>
      <c r="V367">
        <v>79.820160000000001</v>
      </c>
      <c r="W367">
        <v>19.95504</v>
      </c>
      <c r="X367"/>
    </row>
    <row r="368" spans="1:24" ht="12.75" customHeight="1" x14ac:dyDescent="0.25">
      <c r="A368" s="8" t="s">
        <v>242</v>
      </c>
      <c r="B368" s="9" t="s">
        <v>170</v>
      </c>
      <c r="C368" s="10" t="s">
        <v>248</v>
      </c>
      <c r="D368" s="11">
        <v>57072.7</v>
      </c>
      <c r="F368" s="11">
        <v>0</v>
      </c>
      <c r="G368" s="11">
        <v>0</v>
      </c>
      <c r="H368" s="11">
        <v>1899.98</v>
      </c>
      <c r="J368" s="11">
        <f t="shared" si="63"/>
        <v>58972.68</v>
      </c>
      <c r="L368" s="11">
        <v>61600</v>
      </c>
      <c r="M368" s="12">
        <f t="shared" si="64"/>
        <v>0.95734870129870131</v>
      </c>
      <c r="P368">
        <v>1887.1257600000001</v>
      </c>
      <c r="Q368">
        <v>471.78144000000003</v>
      </c>
      <c r="R368"/>
      <c r="U368" s="2" t="s">
        <v>592</v>
      </c>
      <c r="V368">
        <v>1887.1257600000001</v>
      </c>
      <c r="W368">
        <v>471.78144000000003</v>
      </c>
      <c r="X368"/>
    </row>
    <row r="369" spans="1:24" ht="12.75" customHeight="1" x14ac:dyDescent="0.25">
      <c r="A369" s="8" t="s">
        <v>242</v>
      </c>
      <c r="B369" s="9" t="s">
        <v>84</v>
      </c>
      <c r="C369" s="10" t="s">
        <v>249</v>
      </c>
      <c r="D369" s="11">
        <v>27186.46</v>
      </c>
      <c r="F369" s="11">
        <v>0</v>
      </c>
      <c r="G369" s="11">
        <v>0</v>
      </c>
      <c r="H369" s="11">
        <v>0</v>
      </c>
      <c r="J369" s="11">
        <f t="shared" si="63"/>
        <v>27186.46</v>
      </c>
      <c r="L369" s="11">
        <v>61600</v>
      </c>
      <c r="M369" s="12">
        <f t="shared" si="64"/>
        <v>0.44133863636363635</v>
      </c>
      <c r="P369">
        <v>869.96672000000001</v>
      </c>
      <c r="Q369">
        <v>217.49168</v>
      </c>
      <c r="R369"/>
      <c r="U369" s="2" t="s">
        <v>593</v>
      </c>
      <c r="V369">
        <v>869.96672000000001</v>
      </c>
      <c r="W369">
        <v>217.49168</v>
      </c>
      <c r="X369"/>
    </row>
    <row r="370" spans="1:24" ht="12.75" customHeight="1" x14ac:dyDescent="0.25">
      <c r="A370" s="8" t="s">
        <v>242</v>
      </c>
      <c r="B370" s="9"/>
      <c r="C370" s="10"/>
      <c r="D370" s="11">
        <v>0</v>
      </c>
      <c r="F370" s="11">
        <v>0</v>
      </c>
      <c r="G370" s="11">
        <v>0</v>
      </c>
      <c r="H370" s="11">
        <v>0</v>
      </c>
      <c r="J370" s="11">
        <f t="shared" si="63"/>
        <v>0</v>
      </c>
      <c r="L370" s="11"/>
      <c r="M370" s="12">
        <f t="shared" si="64"/>
        <v>0</v>
      </c>
      <c r="P370"/>
      <c r="Q370"/>
      <c r="R370"/>
      <c r="V370"/>
      <c r="W370"/>
      <c r="X370"/>
    </row>
    <row r="371" spans="1:24" ht="12.75" customHeight="1" x14ac:dyDescent="0.25">
      <c r="A371" s="8" t="s">
        <v>242</v>
      </c>
      <c r="B371" s="9"/>
      <c r="C371" s="10"/>
      <c r="D371" s="11">
        <v>0</v>
      </c>
      <c r="F371" s="11">
        <v>0</v>
      </c>
      <c r="G371" s="11">
        <v>0</v>
      </c>
      <c r="H371" s="11">
        <v>0</v>
      </c>
      <c r="J371" s="11">
        <f t="shared" si="63"/>
        <v>0</v>
      </c>
      <c r="L371" s="11"/>
      <c r="M371" s="12">
        <f t="shared" si="64"/>
        <v>0</v>
      </c>
      <c r="P371"/>
      <c r="Q371"/>
      <c r="R371"/>
      <c r="V371"/>
      <c r="W371"/>
      <c r="X371"/>
    </row>
    <row r="372" spans="1:24" ht="12.75" customHeight="1" x14ac:dyDescent="0.25">
      <c r="A372" s="8" t="s">
        <v>242</v>
      </c>
      <c r="B372" s="9"/>
      <c r="C372" s="10"/>
      <c r="D372" s="11">
        <v>0</v>
      </c>
      <c r="F372" s="11">
        <v>0</v>
      </c>
      <c r="G372" s="11">
        <v>0</v>
      </c>
      <c r="H372" s="11">
        <v>0</v>
      </c>
      <c r="J372" s="11">
        <f t="shared" si="63"/>
        <v>0</v>
      </c>
      <c r="L372" s="11"/>
      <c r="M372" s="12">
        <f t="shared" si="64"/>
        <v>0</v>
      </c>
      <c r="P372"/>
      <c r="Q372"/>
      <c r="R372"/>
      <c r="V372"/>
      <c r="W372"/>
      <c r="X372"/>
    </row>
    <row r="373" spans="1:24" ht="12.75" customHeight="1" x14ac:dyDescent="0.25">
      <c r="A373" s="8" t="s">
        <v>242</v>
      </c>
      <c r="B373" s="9"/>
      <c r="C373" s="10"/>
      <c r="D373" s="11">
        <v>0</v>
      </c>
      <c r="F373" s="11">
        <v>0</v>
      </c>
      <c r="G373" s="11">
        <v>0</v>
      </c>
      <c r="H373" s="11">
        <v>0</v>
      </c>
      <c r="J373" s="11">
        <f t="shared" si="63"/>
        <v>0</v>
      </c>
      <c r="L373" s="11"/>
      <c r="M373" s="12">
        <f t="shared" si="64"/>
        <v>0</v>
      </c>
      <c r="P373"/>
      <c r="Q373"/>
      <c r="R373"/>
      <c r="V373"/>
      <c r="W373"/>
      <c r="X373"/>
    </row>
    <row r="374" spans="1:24" ht="12.75" customHeight="1" x14ac:dyDescent="0.25">
      <c r="A374" s="8" t="s">
        <v>242</v>
      </c>
      <c r="B374" s="9"/>
      <c r="C374" s="10"/>
      <c r="D374" s="11">
        <v>0</v>
      </c>
      <c r="F374" s="11">
        <v>0</v>
      </c>
      <c r="G374" s="11">
        <v>0</v>
      </c>
      <c r="H374" s="11">
        <v>0</v>
      </c>
      <c r="J374" s="11">
        <f t="shared" si="63"/>
        <v>0</v>
      </c>
      <c r="L374" s="11"/>
      <c r="M374" s="12">
        <f t="shared" si="64"/>
        <v>0</v>
      </c>
      <c r="P374"/>
      <c r="Q374"/>
      <c r="R374"/>
      <c r="V374"/>
      <c r="W374"/>
      <c r="X374"/>
    </row>
    <row r="375" spans="1:24" ht="12.75" customHeight="1" x14ac:dyDescent="0.25">
      <c r="A375" s="13" t="s">
        <v>30</v>
      </c>
      <c r="B375" s="14"/>
      <c r="C375" s="13"/>
      <c r="D375" s="15">
        <v>258381.92</v>
      </c>
      <c r="E375" s="15">
        <v>0</v>
      </c>
      <c r="F375" s="15">
        <v>0</v>
      </c>
      <c r="G375" s="15">
        <v>0</v>
      </c>
      <c r="H375" s="15">
        <v>2749.96</v>
      </c>
      <c r="I375" s="15">
        <v>0</v>
      </c>
      <c r="J375" s="15">
        <f t="shared" ref="J375:L375" si="65">SUM(J364:J374)</f>
        <v>261131.87999999998</v>
      </c>
      <c r="L375" s="15">
        <f t="shared" si="65"/>
        <v>308000</v>
      </c>
      <c r="P375"/>
      <c r="Q375"/>
      <c r="R375"/>
      <c r="V375"/>
      <c r="W375"/>
      <c r="X375"/>
    </row>
    <row r="376" spans="1:24" ht="12.75" customHeight="1" x14ac:dyDescent="0.25">
      <c r="P376"/>
      <c r="Q376"/>
      <c r="R376"/>
      <c r="V376"/>
      <c r="W376"/>
      <c r="X376"/>
    </row>
    <row r="377" spans="1:24" ht="12.75" customHeight="1" x14ac:dyDescent="0.25">
      <c r="P377"/>
      <c r="Q377"/>
      <c r="R377"/>
      <c r="V377"/>
      <c r="W377"/>
      <c r="X377"/>
    </row>
    <row r="378" spans="1:24" ht="12.75" customHeight="1" x14ac:dyDescent="0.25">
      <c r="P378"/>
      <c r="Q378"/>
      <c r="R378"/>
      <c r="V378"/>
      <c r="W378"/>
      <c r="X378"/>
    </row>
    <row r="379" spans="1:24" ht="12.75" customHeight="1" x14ac:dyDescent="0.25">
      <c r="O379" s="5" t="s">
        <v>12</v>
      </c>
      <c r="P379"/>
      <c r="Q379"/>
      <c r="R379"/>
      <c r="V379"/>
      <c r="W379"/>
      <c r="X379"/>
    </row>
    <row r="380" spans="1:24" ht="12.75" customHeight="1" x14ac:dyDescent="0.25">
      <c r="O380" s="11">
        <v>350000</v>
      </c>
      <c r="P380"/>
      <c r="Q380"/>
      <c r="R380"/>
      <c r="V380"/>
      <c r="W380"/>
      <c r="X380"/>
    </row>
    <row r="381" spans="1:24" ht="12.75" customHeight="1" x14ac:dyDescent="0.25">
      <c r="A381" s="4" t="s">
        <v>0</v>
      </c>
      <c r="B381" s="5" t="s">
        <v>1</v>
      </c>
      <c r="C381" s="4" t="s">
        <v>2</v>
      </c>
      <c r="D381" s="5" t="s">
        <v>3</v>
      </c>
      <c r="E381" s="5" t="s">
        <v>4</v>
      </c>
      <c r="F381" s="5" t="s">
        <v>5</v>
      </c>
      <c r="G381" s="5" t="s">
        <v>6</v>
      </c>
      <c r="H381" s="5" t="s">
        <v>7</v>
      </c>
      <c r="I381" s="5" t="s">
        <v>8</v>
      </c>
      <c r="J381" s="5" t="s">
        <v>9</v>
      </c>
      <c r="L381" s="7" t="s">
        <v>10</v>
      </c>
      <c r="M381" s="7" t="s">
        <v>11</v>
      </c>
      <c r="P381"/>
      <c r="Q381"/>
      <c r="R381"/>
      <c r="U381" s="2" t="s">
        <v>593</v>
      </c>
      <c r="V381"/>
      <c r="W381"/>
      <c r="X381"/>
    </row>
    <row r="382" spans="1:24" ht="12.75" customHeight="1" x14ac:dyDescent="0.25">
      <c r="A382" s="8" t="s">
        <v>112</v>
      </c>
      <c r="B382" s="9" t="s">
        <v>126</v>
      </c>
      <c r="C382" s="10" t="s">
        <v>250</v>
      </c>
      <c r="D382" s="11">
        <v>15654.29</v>
      </c>
      <c r="F382" s="11">
        <v>0</v>
      </c>
      <c r="G382" s="11">
        <v>0</v>
      </c>
      <c r="H382" s="11">
        <v>0</v>
      </c>
      <c r="J382" s="11">
        <f t="shared" ref="J382:J392" si="66">SUM(D382:I382)</f>
        <v>15654.29</v>
      </c>
      <c r="L382" s="11">
        <v>20000</v>
      </c>
      <c r="M382" s="12">
        <f t="shared" ref="M382:M392" si="67">IFERROR(J382/L382,)</f>
        <v>0.78271450000000009</v>
      </c>
      <c r="P382">
        <v>438.32011999999997</v>
      </c>
      <c r="Q382">
        <v>109.58002999999999</v>
      </c>
      <c r="R382"/>
      <c r="U382" s="2" t="s">
        <v>594</v>
      </c>
      <c r="V382">
        <v>438.32011999999997</v>
      </c>
      <c r="W382">
        <v>109.58002999999999</v>
      </c>
      <c r="X382"/>
    </row>
    <row r="383" spans="1:24" ht="12.75" customHeight="1" x14ac:dyDescent="0.25">
      <c r="A383" s="8" t="s">
        <v>112</v>
      </c>
      <c r="B383" s="9" t="s">
        <v>251</v>
      </c>
      <c r="C383" s="10" t="s">
        <v>252</v>
      </c>
      <c r="D383" s="11">
        <v>70788.81</v>
      </c>
      <c r="F383" s="11">
        <v>0</v>
      </c>
      <c r="G383" s="11">
        <v>0</v>
      </c>
      <c r="H383" s="11">
        <v>0</v>
      </c>
      <c r="J383" s="11">
        <f t="shared" si="66"/>
        <v>70788.81</v>
      </c>
      <c r="L383" s="11">
        <v>91250</v>
      </c>
      <c r="M383" s="12">
        <f t="shared" si="67"/>
        <v>0.77576778082191777</v>
      </c>
      <c r="P383">
        <v>1982.0866799999997</v>
      </c>
      <c r="Q383">
        <v>495.52166999999992</v>
      </c>
      <c r="R383"/>
      <c r="U383" s="2" t="s">
        <v>595</v>
      </c>
      <c r="V383">
        <v>1982.0866799999997</v>
      </c>
      <c r="W383">
        <v>495.52166999999992</v>
      </c>
      <c r="X383"/>
    </row>
    <row r="384" spans="1:24" ht="12.75" customHeight="1" x14ac:dyDescent="0.25">
      <c r="A384" s="8" t="s">
        <v>112</v>
      </c>
      <c r="B384" s="9" t="s">
        <v>253</v>
      </c>
      <c r="C384" s="10" t="s">
        <v>254</v>
      </c>
      <c r="D384" s="11">
        <v>70354.58</v>
      </c>
      <c r="F384" s="11">
        <v>0</v>
      </c>
      <c r="G384" s="11">
        <v>599.98</v>
      </c>
      <c r="H384" s="11">
        <v>0</v>
      </c>
      <c r="J384" s="11">
        <f t="shared" si="66"/>
        <v>70954.559999999998</v>
      </c>
      <c r="L384" s="11">
        <v>91250</v>
      </c>
      <c r="M384" s="12">
        <f t="shared" si="67"/>
        <v>0.77758421917808218</v>
      </c>
      <c r="P384">
        <v>1986.7276799999997</v>
      </c>
      <c r="Q384">
        <v>496.68191999999993</v>
      </c>
      <c r="R384"/>
      <c r="U384" s="2" t="s">
        <v>596</v>
      </c>
      <c r="V384">
        <v>1986.7276799999997</v>
      </c>
      <c r="W384">
        <v>496.68191999999993</v>
      </c>
      <c r="X384"/>
    </row>
    <row r="385" spans="1:24" ht="12.75" customHeight="1" x14ac:dyDescent="0.25">
      <c r="A385" s="8" t="s">
        <v>112</v>
      </c>
      <c r="B385" s="9" t="s">
        <v>255</v>
      </c>
      <c r="C385" s="10" t="s">
        <v>256</v>
      </c>
      <c r="D385" s="11">
        <v>92683.71</v>
      </c>
      <c r="F385" s="11">
        <v>0</v>
      </c>
      <c r="G385" s="11">
        <v>2344.91</v>
      </c>
      <c r="H385" s="11">
        <v>0</v>
      </c>
      <c r="J385" s="11">
        <f t="shared" si="66"/>
        <v>95028.62000000001</v>
      </c>
      <c r="L385" s="11">
        <v>91250</v>
      </c>
      <c r="M385" s="12">
        <f t="shared" si="67"/>
        <v>1.0414095342465755</v>
      </c>
      <c r="P385">
        <v>3135.9444600000006</v>
      </c>
      <c r="Q385">
        <v>783.98611500000015</v>
      </c>
      <c r="R385">
        <v>475.14310000000006</v>
      </c>
      <c r="U385" s="2" t="s">
        <v>597</v>
      </c>
      <c r="V385">
        <v>3135.9444600000006</v>
      </c>
      <c r="W385">
        <v>783.98611500000015</v>
      </c>
      <c r="X385">
        <v>475.14310000000006</v>
      </c>
    </row>
    <row r="386" spans="1:24" ht="12.75" customHeight="1" x14ac:dyDescent="0.25">
      <c r="A386" s="8" t="s">
        <v>112</v>
      </c>
      <c r="B386" s="9" t="s">
        <v>154</v>
      </c>
      <c r="C386" s="10" t="s">
        <v>257</v>
      </c>
      <c r="D386" s="11">
        <v>51101.97</v>
      </c>
      <c r="F386" s="11">
        <v>0</v>
      </c>
      <c r="G386" s="11">
        <v>0</v>
      </c>
      <c r="H386" s="11">
        <v>0</v>
      </c>
      <c r="J386" s="11">
        <f t="shared" si="66"/>
        <v>51101.97</v>
      </c>
      <c r="L386" s="11">
        <v>91250</v>
      </c>
      <c r="M386" s="12">
        <f t="shared" si="67"/>
        <v>0.56002158904109589</v>
      </c>
      <c r="P386">
        <v>1430.8551599999998</v>
      </c>
      <c r="Q386">
        <v>357.71378999999996</v>
      </c>
      <c r="R386"/>
      <c r="U386" s="2" t="s">
        <v>598</v>
      </c>
      <c r="V386">
        <v>1430.8551599999998</v>
      </c>
      <c r="W386">
        <v>357.71378999999996</v>
      </c>
      <c r="X386"/>
    </row>
    <row r="387" spans="1:24" ht="12.75" customHeight="1" x14ac:dyDescent="0.25">
      <c r="A387" s="8" t="s">
        <v>112</v>
      </c>
      <c r="B387" s="9" t="s">
        <v>258</v>
      </c>
      <c r="C387" s="10"/>
      <c r="D387" s="11">
        <v>917.93</v>
      </c>
      <c r="F387" s="11">
        <v>0</v>
      </c>
      <c r="G387" s="11">
        <v>0</v>
      </c>
      <c r="H387" s="11">
        <v>0</v>
      </c>
      <c r="J387" s="11">
        <f t="shared" si="66"/>
        <v>917.93</v>
      </c>
      <c r="L387" s="11"/>
      <c r="M387" s="12">
        <f t="shared" si="67"/>
        <v>0</v>
      </c>
      <c r="P387">
        <v>25.702039999999997</v>
      </c>
      <c r="Q387">
        <v>6.4255099999999992</v>
      </c>
      <c r="R387"/>
      <c r="U387" s="2" t="s">
        <v>599</v>
      </c>
      <c r="V387">
        <v>25.702039999999997</v>
      </c>
      <c r="W387">
        <v>6.4255099999999992</v>
      </c>
      <c r="X387"/>
    </row>
    <row r="388" spans="1:24" ht="12.75" customHeight="1" x14ac:dyDescent="0.25">
      <c r="A388" s="8" t="s">
        <v>112</v>
      </c>
      <c r="B388" s="9"/>
      <c r="C388" s="10"/>
      <c r="D388" s="11">
        <v>0</v>
      </c>
      <c r="F388" s="11">
        <v>0</v>
      </c>
      <c r="G388" s="11">
        <v>0</v>
      </c>
      <c r="H388" s="11">
        <v>0</v>
      </c>
      <c r="J388" s="11">
        <f t="shared" si="66"/>
        <v>0</v>
      </c>
      <c r="L388" s="11"/>
      <c r="M388" s="12">
        <f t="shared" si="67"/>
        <v>0</v>
      </c>
      <c r="P388"/>
      <c r="Q388"/>
      <c r="R388"/>
      <c r="V388"/>
      <c r="W388"/>
      <c r="X388"/>
    </row>
    <row r="389" spans="1:24" ht="12.75" customHeight="1" x14ac:dyDescent="0.25">
      <c r="A389" s="8" t="s">
        <v>112</v>
      </c>
      <c r="B389" s="9"/>
      <c r="C389" s="10"/>
      <c r="D389" s="11">
        <v>0</v>
      </c>
      <c r="F389" s="11">
        <v>0</v>
      </c>
      <c r="G389" s="11">
        <v>0</v>
      </c>
      <c r="H389" s="11">
        <v>0</v>
      </c>
      <c r="J389" s="11">
        <f t="shared" si="66"/>
        <v>0</v>
      </c>
      <c r="L389" s="11"/>
      <c r="M389" s="12">
        <f t="shared" si="67"/>
        <v>0</v>
      </c>
      <c r="P389"/>
      <c r="Q389"/>
      <c r="R389"/>
      <c r="V389"/>
      <c r="W389"/>
      <c r="X389"/>
    </row>
    <row r="390" spans="1:24" ht="12.75" customHeight="1" x14ac:dyDescent="0.25">
      <c r="A390" s="8" t="s">
        <v>112</v>
      </c>
      <c r="B390" s="9"/>
      <c r="C390" s="10"/>
      <c r="D390" s="11">
        <v>0</v>
      </c>
      <c r="F390" s="11">
        <v>0</v>
      </c>
      <c r="G390" s="11">
        <v>0</v>
      </c>
      <c r="H390" s="11">
        <v>0</v>
      </c>
      <c r="J390" s="11">
        <f t="shared" si="66"/>
        <v>0</v>
      </c>
      <c r="L390" s="11"/>
      <c r="M390" s="12">
        <f t="shared" si="67"/>
        <v>0</v>
      </c>
      <c r="P390"/>
      <c r="Q390"/>
      <c r="R390"/>
      <c r="V390"/>
      <c r="W390"/>
      <c r="X390"/>
    </row>
    <row r="391" spans="1:24" ht="12.75" customHeight="1" x14ac:dyDescent="0.25">
      <c r="A391" s="8" t="s">
        <v>112</v>
      </c>
      <c r="B391" s="9"/>
      <c r="C391" s="10"/>
      <c r="D391" s="11">
        <v>0</v>
      </c>
      <c r="F391" s="11">
        <v>0</v>
      </c>
      <c r="G391" s="11">
        <v>0</v>
      </c>
      <c r="H391" s="11">
        <v>0</v>
      </c>
      <c r="J391" s="11">
        <f t="shared" si="66"/>
        <v>0</v>
      </c>
      <c r="L391" s="11"/>
      <c r="M391" s="12">
        <f t="shared" si="67"/>
        <v>0</v>
      </c>
      <c r="P391"/>
      <c r="Q391"/>
      <c r="R391"/>
      <c r="V391"/>
      <c r="W391"/>
      <c r="X391"/>
    </row>
    <row r="392" spans="1:24" ht="12.75" customHeight="1" x14ac:dyDescent="0.25">
      <c r="A392" s="8" t="s">
        <v>112</v>
      </c>
      <c r="B392" s="9"/>
      <c r="C392" s="10"/>
      <c r="D392" s="11">
        <v>0</v>
      </c>
      <c r="F392" s="11">
        <v>0</v>
      </c>
      <c r="G392" s="11">
        <v>0</v>
      </c>
      <c r="H392" s="11">
        <v>0</v>
      </c>
      <c r="J392" s="11">
        <f t="shared" si="66"/>
        <v>0</v>
      </c>
      <c r="L392" s="11"/>
      <c r="M392" s="12">
        <f t="shared" si="67"/>
        <v>0</v>
      </c>
      <c r="P392"/>
      <c r="Q392"/>
      <c r="R392"/>
      <c r="V392"/>
      <c r="W392"/>
      <c r="X392"/>
    </row>
    <row r="393" spans="1:24" ht="12.75" customHeight="1" x14ac:dyDescent="0.25">
      <c r="A393" s="13" t="s">
        <v>30</v>
      </c>
      <c r="B393" s="14"/>
      <c r="C393" s="13"/>
      <c r="D393" s="15">
        <v>301501.28999999998</v>
      </c>
      <c r="E393" s="15">
        <v>0</v>
      </c>
      <c r="F393" s="15">
        <v>0</v>
      </c>
      <c r="G393" s="15">
        <v>2944.89</v>
      </c>
      <c r="H393" s="15">
        <v>0</v>
      </c>
      <c r="I393" s="15">
        <v>0</v>
      </c>
      <c r="J393" s="15">
        <f t="shared" ref="J393:L393" si="68">SUM(J382:J392)</f>
        <v>304446.18</v>
      </c>
      <c r="L393" s="15">
        <f t="shared" si="68"/>
        <v>385000</v>
      </c>
      <c r="P393"/>
      <c r="Q393"/>
      <c r="R393"/>
      <c r="V393"/>
      <c r="W393"/>
      <c r="X393"/>
    </row>
    <row r="394" spans="1:24" ht="12.75" customHeight="1" x14ac:dyDescent="0.25">
      <c r="P394"/>
      <c r="Q394"/>
      <c r="R394"/>
      <c r="V394"/>
      <c r="W394"/>
      <c r="X394"/>
    </row>
    <row r="395" spans="1:24" ht="12.75" customHeight="1" x14ac:dyDescent="0.25">
      <c r="O395" s="5" t="s">
        <v>12</v>
      </c>
      <c r="P395"/>
      <c r="Q395"/>
      <c r="R395"/>
      <c r="V395"/>
      <c r="W395"/>
      <c r="X395"/>
    </row>
    <row r="396" spans="1:24" ht="12.75" customHeight="1" x14ac:dyDescent="0.25">
      <c r="O396" s="11">
        <v>360000</v>
      </c>
      <c r="P396"/>
      <c r="Q396"/>
      <c r="R396"/>
      <c r="V396"/>
      <c r="W396"/>
      <c r="X396"/>
    </row>
    <row r="397" spans="1:24" ht="12.75" customHeight="1" x14ac:dyDescent="0.25">
      <c r="A397" s="4" t="s">
        <v>0</v>
      </c>
      <c r="B397" s="5" t="s">
        <v>1</v>
      </c>
      <c r="C397" s="4" t="s">
        <v>2</v>
      </c>
      <c r="D397" s="5" t="s">
        <v>3</v>
      </c>
      <c r="E397" s="5" t="s">
        <v>4</v>
      </c>
      <c r="F397" s="5" t="s">
        <v>5</v>
      </c>
      <c r="G397" s="5" t="s">
        <v>6</v>
      </c>
      <c r="H397" s="5" t="s">
        <v>7</v>
      </c>
      <c r="I397" s="5" t="s">
        <v>8</v>
      </c>
      <c r="J397" s="5" t="s">
        <v>9</v>
      </c>
      <c r="L397" s="7" t="s">
        <v>10</v>
      </c>
      <c r="M397" s="7" t="s">
        <v>11</v>
      </c>
      <c r="P397"/>
      <c r="Q397"/>
      <c r="R397"/>
      <c r="U397" s="2" t="s">
        <v>599</v>
      </c>
      <c r="V397"/>
      <c r="W397"/>
      <c r="X397"/>
    </row>
    <row r="398" spans="1:24" ht="12.75" customHeight="1" x14ac:dyDescent="0.25">
      <c r="A398" s="8" t="s">
        <v>259</v>
      </c>
      <c r="B398" s="9" t="s">
        <v>128</v>
      </c>
      <c r="C398" s="10" t="s">
        <v>260</v>
      </c>
      <c r="D398" s="11">
        <v>84965.54</v>
      </c>
      <c r="F398" s="11">
        <v>0</v>
      </c>
      <c r="G398" s="11">
        <v>0</v>
      </c>
      <c r="H398" s="11">
        <v>0</v>
      </c>
      <c r="J398" s="11">
        <f t="shared" ref="J398:J408" si="69">SUM(D398:I398)</f>
        <v>84965.54</v>
      </c>
      <c r="L398" s="11">
        <v>79200</v>
      </c>
      <c r="M398" s="12">
        <f t="shared" ref="M398:M408" si="70">IFERROR(J398/L398,)</f>
        <v>1.0727972222222222</v>
      </c>
      <c r="P398">
        <v>2803.8628199999998</v>
      </c>
      <c r="Q398">
        <v>700.96570499999996</v>
      </c>
      <c r="R398">
        <v>424.82769999999999</v>
      </c>
      <c r="U398" s="2" t="s">
        <v>600</v>
      </c>
      <c r="V398">
        <v>2803.8628199999998</v>
      </c>
      <c r="W398">
        <v>700.96570499999996</v>
      </c>
      <c r="X398">
        <v>424.82769999999999</v>
      </c>
    </row>
    <row r="399" spans="1:24" ht="12.75" customHeight="1" x14ac:dyDescent="0.25">
      <c r="A399" s="8" t="s">
        <v>259</v>
      </c>
      <c r="B399" s="9" t="s">
        <v>251</v>
      </c>
      <c r="C399" s="10" t="s">
        <v>261</v>
      </c>
      <c r="D399" s="11">
        <v>104021.93</v>
      </c>
      <c r="F399" s="11">
        <v>0</v>
      </c>
      <c r="G399" s="11">
        <v>0</v>
      </c>
      <c r="H399" s="11">
        <v>0</v>
      </c>
      <c r="J399" s="11">
        <f t="shared" si="69"/>
        <v>104021.93</v>
      </c>
      <c r="L399" s="11">
        <v>79200</v>
      </c>
      <c r="M399" s="12">
        <f t="shared" si="70"/>
        <v>1.3134082070707069</v>
      </c>
      <c r="P399">
        <v>3536.7456200000001</v>
      </c>
      <c r="Q399">
        <v>884.18640500000004</v>
      </c>
      <c r="R399">
        <v>520.10964999999999</v>
      </c>
      <c r="U399" s="2" t="s">
        <v>601</v>
      </c>
      <c r="V399">
        <v>3536.7456200000001</v>
      </c>
      <c r="W399">
        <v>884.18640500000004</v>
      </c>
      <c r="X399">
        <v>520.10964999999999</v>
      </c>
    </row>
    <row r="400" spans="1:24" ht="12.75" customHeight="1" x14ac:dyDescent="0.25">
      <c r="A400" s="8" t="s">
        <v>259</v>
      </c>
      <c r="B400" s="9" t="s">
        <v>262</v>
      </c>
      <c r="C400" s="10" t="s">
        <v>263</v>
      </c>
      <c r="D400" s="11">
        <v>31514.41</v>
      </c>
      <c r="F400" s="11">
        <v>0</v>
      </c>
      <c r="G400" s="11">
        <v>0</v>
      </c>
      <c r="H400" s="11">
        <v>0</v>
      </c>
      <c r="J400" s="11">
        <f t="shared" si="69"/>
        <v>31514.41</v>
      </c>
      <c r="L400" s="11">
        <v>79200</v>
      </c>
      <c r="M400" s="12">
        <f t="shared" si="70"/>
        <v>0.39790921717171718</v>
      </c>
      <c r="P400">
        <v>724.83142999999995</v>
      </c>
      <c r="Q400">
        <v>181.20785749999999</v>
      </c>
      <c r="R400"/>
      <c r="U400" s="2" t="s">
        <v>602</v>
      </c>
      <c r="V400">
        <v>724.83142999999995</v>
      </c>
      <c r="W400">
        <v>181.20785749999999</v>
      </c>
      <c r="X400"/>
    </row>
    <row r="401" spans="1:24" ht="12.75" customHeight="1" x14ac:dyDescent="0.25">
      <c r="A401" s="8" t="s">
        <v>259</v>
      </c>
      <c r="B401" s="9" t="s">
        <v>264</v>
      </c>
      <c r="C401" s="10" t="s">
        <v>265</v>
      </c>
      <c r="D401" s="11">
        <v>87935.37</v>
      </c>
      <c r="F401" s="11">
        <v>0</v>
      </c>
      <c r="G401" s="11">
        <v>0</v>
      </c>
      <c r="H401" s="11">
        <v>0</v>
      </c>
      <c r="J401" s="11">
        <f t="shared" si="69"/>
        <v>87935.37</v>
      </c>
      <c r="L401" s="11">
        <v>79200</v>
      </c>
      <c r="M401" s="12">
        <f t="shared" si="70"/>
        <v>1.1102950757575758</v>
      </c>
      <c r="P401">
        <v>2989.80258</v>
      </c>
      <c r="Q401">
        <v>747.45064500000001</v>
      </c>
      <c r="R401">
        <v>439.67685</v>
      </c>
      <c r="U401" s="2" t="s">
        <v>603</v>
      </c>
      <c r="V401">
        <v>2989.80258</v>
      </c>
      <c r="W401">
        <v>747.45064500000001</v>
      </c>
      <c r="X401">
        <v>439.67685</v>
      </c>
    </row>
    <row r="402" spans="1:24" ht="12.75" customHeight="1" x14ac:dyDescent="0.25">
      <c r="A402" s="8" t="s">
        <v>259</v>
      </c>
      <c r="B402" s="9" t="s">
        <v>266</v>
      </c>
      <c r="C402" s="10" t="s">
        <v>267</v>
      </c>
      <c r="D402" s="11">
        <v>83682.429999999993</v>
      </c>
      <c r="F402" s="11">
        <v>0</v>
      </c>
      <c r="G402" s="11">
        <v>0</v>
      </c>
      <c r="H402" s="11">
        <v>0</v>
      </c>
      <c r="J402" s="11">
        <f t="shared" si="69"/>
        <v>83682.429999999993</v>
      </c>
      <c r="L402" s="11">
        <v>79200</v>
      </c>
      <c r="M402" s="12">
        <f t="shared" si="70"/>
        <v>1.0565963383838384</v>
      </c>
      <c r="P402">
        <v>2761.5201899999997</v>
      </c>
      <c r="Q402">
        <v>690.38004749999993</v>
      </c>
      <c r="R402">
        <v>418.41215</v>
      </c>
      <c r="U402" s="2" t="s">
        <v>604</v>
      </c>
      <c r="V402">
        <v>2761.5201899999997</v>
      </c>
      <c r="W402">
        <v>690.38004749999993</v>
      </c>
      <c r="X402">
        <v>418.41215</v>
      </c>
    </row>
    <row r="403" spans="1:24" ht="12.75" customHeight="1" x14ac:dyDescent="0.25">
      <c r="A403" s="8" t="s">
        <v>259</v>
      </c>
      <c r="B403" s="9" t="s">
        <v>53</v>
      </c>
      <c r="C403" s="10"/>
      <c r="D403" s="11">
        <v>385.97</v>
      </c>
      <c r="F403" s="11">
        <v>0</v>
      </c>
      <c r="G403" s="11">
        <v>0</v>
      </c>
      <c r="H403" s="11">
        <v>0</v>
      </c>
      <c r="J403" s="11">
        <f t="shared" si="69"/>
        <v>385.97</v>
      </c>
      <c r="L403" s="11"/>
      <c r="M403" s="12">
        <f t="shared" si="70"/>
        <v>0</v>
      </c>
      <c r="P403">
        <v>8.8773099999999996</v>
      </c>
      <c r="Q403">
        <v>2.2193274999999999</v>
      </c>
      <c r="R403"/>
      <c r="U403" s="2" t="s">
        <v>605</v>
      </c>
      <c r="V403">
        <v>8.8773099999999996</v>
      </c>
      <c r="W403">
        <v>2.2193274999999999</v>
      </c>
      <c r="X403"/>
    </row>
    <row r="404" spans="1:24" ht="12.75" customHeight="1" x14ac:dyDescent="0.25">
      <c r="A404" s="8" t="s">
        <v>259</v>
      </c>
      <c r="B404" s="16"/>
      <c r="C404" s="10"/>
      <c r="D404" s="11">
        <v>0</v>
      </c>
      <c r="F404" s="11">
        <v>0</v>
      </c>
      <c r="G404" s="11">
        <v>0</v>
      </c>
      <c r="H404" s="11">
        <v>0</v>
      </c>
      <c r="J404" s="11">
        <f t="shared" si="69"/>
        <v>0</v>
      </c>
      <c r="L404" s="11"/>
      <c r="M404" s="12">
        <f t="shared" si="70"/>
        <v>0</v>
      </c>
      <c r="P404"/>
      <c r="Q404"/>
      <c r="R404"/>
      <c r="V404"/>
      <c r="W404"/>
      <c r="X404"/>
    </row>
    <row r="405" spans="1:24" ht="12.75" customHeight="1" x14ac:dyDescent="0.25">
      <c r="A405" s="8" t="s">
        <v>259</v>
      </c>
      <c r="B405" s="16"/>
      <c r="C405" s="10"/>
      <c r="D405" s="11">
        <v>0</v>
      </c>
      <c r="F405" s="11">
        <v>0</v>
      </c>
      <c r="G405" s="11">
        <v>0</v>
      </c>
      <c r="H405" s="11">
        <v>0</v>
      </c>
      <c r="J405" s="11">
        <f t="shared" si="69"/>
        <v>0</v>
      </c>
      <c r="L405" s="11"/>
      <c r="M405" s="12">
        <f t="shared" si="70"/>
        <v>0</v>
      </c>
      <c r="P405"/>
      <c r="Q405"/>
      <c r="R405"/>
      <c r="V405"/>
      <c r="W405"/>
      <c r="X405"/>
    </row>
    <row r="406" spans="1:24" ht="12.75" customHeight="1" x14ac:dyDescent="0.25">
      <c r="A406" s="8" t="s">
        <v>259</v>
      </c>
      <c r="B406" s="9"/>
      <c r="C406" s="10"/>
      <c r="D406" s="11">
        <v>0</v>
      </c>
      <c r="F406" s="11">
        <v>0</v>
      </c>
      <c r="G406" s="11">
        <v>0</v>
      </c>
      <c r="H406" s="11">
        <v>0</v>
      </c>
      <c r="J406" s="11">
        <f t="shared" si="69"/>
        <v>0</v>
      </c>
      <c r="L406" s="11"/>
      <c r="M406" s="12">
        <f t="shared" si="70"/>
        <v>0</v>
      </c>
      <c r="P406"/>
      <c r="Q406"/>
      <c r="R406"/>
      <c r="V406"/>
      <c r="W406"/>
      <c r="X406"/>
    </row>
    <row r="407" spans="1:24" ht="12.75" customHeight="1" x14ac:dyDescent="0.25">
      <c r="A407" s="8" t="s">
        <v>259</v>
      </c>
      <c r="B407" s="9"/>
      <c r="C407" s="10"/>
      <c r="D407" s="11">
        <v>0</v>
      </c>
      <c r="F407" s="11">
        <v>0</v>
      </c>
      <c r="G407" s="11">
        <v>0</v>
      </c>
      <c r="H407" s="11">
        <v>0</v>
      </c>
      <c r="J407" s="11">
        <f t="shared" si="69"/>
        <v>0</v>
      </c>
      <c r="L407" s="11"/>
      <c r="M407" s="12">
        <f t="shared" si="70"/>
        <v>0</v>
      </c>
      <c r="P407"/>
      <c r="Q407"/>
      <c r="R407"/>
      <c r="V407"/>
      <c r="W407"/>
      <c r="X407"/>
    </row>
    <row r="408" spans="1:24" ht="12.75" customHeight="1" x14ac:dyDescent="0.25">
      <c r="A408" s="8" t="s">
        <v>259</v>
      </c>
      <c r="B408" s="9"/>
      <c r="C408" s="10"/>
      <c r="D408" s="11">
        <v>0</v>
      </c>
      <c r="F408" s="11">
        <v>0</v>
      </c>
      <c r="G408" s="11">
        <v>0</v>
      </c>
      <c r="H408" s="11">
        <v>0</v>
      </c>
      <c r="J408" s="11">
        <f t="shared" si="69"/>
        <v>0</v>
      </c>
      <c r="L408" s="11"/>
      <c r="M408" s="12">
        <f t="shared" si="70"/>
        <v>0</v>
      </c>
      <c r="P408"/>
      <c r="Q408"/>
      <c r="R408"/>
      <c r="V408"/>
      <c r="W408"/>
      <c r="X408"/>
    </row>
    <row r="409" spans="1:24" ht="12.75" customHeight="1" x14ac:dyDescent="0.25">
      <c r="A409" s="13" t="s">
        <v>30</v>
      </c>
      <c r="B409" s="14"/>
      <c r="C409" s="13"/>
      <c r="D409" s="15">
        <v>392505.64999999997</v>
      </c>
      <c r="E409" s="15">
        <v>0</v>
      </c>
      <c r="F409" s="15">
        <v>0</v>
      </c>
      <c r="G409" s="15">
        <v>0</v>
      </c>
      <c r="H409" s="15">
        <v>0</v>
      </c>
      <c r="I409" s="15">
        <v>0</v>
      </c>
      <c r="J409" s="15">
        <f t="shared" ref="J409:L409" si="71">SUM(J398:J408)</f>
        <v>392505.64999999997</v>
      </c>
      <c r="L409" s="15">
        <f t="shared" si="71"/>
        <v>396000</v>
      </c>
      <c r="P409"/>
      <c r="Q409"/>
      <c r="R409"/>
      <c r="V409"/>
      <c r="W409"/>
      <c r="X409"/>
    </row>
    <row r="410" spans="1:24" ht="12.75" customHeight="1" x14ac:dyDescent="0.25">
      <c r="P410"/>
      <c r="Q410"/>
      <c r="R410"/>
      <c r="V410"/>
      <c r="W410"/>
      <c r="X410"/>
    </row>
    <row r="411" spans="1:24" ht="12.75" customHeight="1" x14ac:dyDescent="0.25">
      <c r="P411"/>
      <c r="Q411"/>
      <c r="R411"/>
      <c r="V411"/>
      <c r="W411"/>
      <c r="X411"/>
    </row>
    <row r="412" spans="1:24" ht="12.75" customHeight="1" x14ac:dyDescent="0.25">
      <c r="O412" s="5" t="s">
        <v>12</v>
      </c>
      <c r="P412"/>
      <c r="Q412"/>
      <c r="R412"/>
      <c r="V412"/>
      <c r="W412"/>
      <c r="X412"/>
    </row>
    <row r="413" spans="1:24" ht="12.75" customHeight="1" x14ac:dyDescent="0.25">
      <c r="O413" s="11">
        <v>890000</v>
      </c>
      <c r="P413"/>
      <c r="Q413"/>
      <c r="R413"/>
      <c r="V413"/>
      <c r="W413"/>
      <c r="X413"/>
    </row>
    <row r="414" spans="1:24" ht="12.75" customHeight="1" x14ac:dyDescent="0.25">
      <c r="A414" s="4" t="s">
        <v>0</v>
      </c>
      <c r="B414" s="5" t="s">
        <v>1</v>
      </c>
      <c r="C414" s="4" t="s">
        <v>2</v>
      </c>
      <c r="D414" s="5" t="s">
        <v>3</v>
      </c>
      <c r="E414" s="5" t="s">
        <v>4</v>
      </c>
      <c r="F414" s="5" t="s">
        <v>5</v>
      </c>
      <c r="G414" s="5" t="s">
        <v>6</v>
      </c>
      <c r="H414" s="5" t="s">
        <v>7</v>
      </c>
      <c r="I414" s="5" t="s">
        <v>8</v>
      </c>
      <c r="J414" s="5" t="s">
        <v>9</v>
      </c>
      <c r="L414" s="7" t="s">
        <v>10</v>
      </c>
      <c r="M414" s="7" t="s">
        <v>11</v>
      </c>
      <c r="P414"/>
      <c r="Q414"/>
      <c r="R414"/>
      <c r="U414" s="2" t="s">
        <v>605</v>
      </c>
      <c r="V414"/>
      <c r="W414"/>
      <c r="X414"/>
    </row>
    <row r="415" spans="1:24" ht="12.75" customHeight="1" x14ac:dyDescent="0.25">
      <c r="A415" s="8" t="s">
        <v>268</v>
      </c>
      <c r="B415" s="9" t="s">
        <v>126</v>
      </c>
      <c r="C415" s="10" t="s">
        <v>269</v>
      </c>
      <c r="D415" s="11">
        <v>143910.68</v>
      </c>
      <c r="F415" s="11">
        <v>0</v>
      </c>
      <c r="G415" s="11">
        <v>0</v>
      </c>
      <c r="H415" s="11">
        <v>0</v>
      </c>
      <c r="J415" s="11">
        <f t="shared" ref="J415:J427" si="72">SUM(D415:I415)</f>
        <v>143910.68</v>
      </c>
      <c r="L415" s="11">
        <v>122500</v>
      </c>
      <c r="M415" s="12">
        <f t="shared" ref="M415:M427" si="73">IFERROR(J415/L415,)</f>
        <v>1.1747810612244898</v>
      </c>
      <c r="P415">
        <v>4029.4990399999997</v>
      </c>
      <c r="Q415">
        <v>1007.3747599999999</v>
      </c>
      <c r="R415">
        <v>719.55340000000001</v>
      </c>
      <c r="U415" s="2" t="s">
        <v>606</v>
      </c>
      <c r="V415">
        <v>4029.4990399999997</v>
      </c>
      <c r="W415">
        <v>1007.3747599999999</v>
      </c>
      <c r="X415">
        <v>719.55340000000001</v>
      </c>
    </row>
    <row r="416" spans="1:24" ht="12.75" customHeight="1" x14ac:dyDescent="0.25">
      <c r="A416" s="8" t="s">
        <v>268</v>
      </c>
      <c r="B416" s="9" t="s">
        <v>128</v>
      </c>
      <c r="C416" s="10" t="s">
        <v>270</v>
      </c>
      <c r="D416" s="11">
        <v>130271.79</v>
      </c>
      <c r="F416" s="11">
        <v>0</v>
      </c>
      <c r="G416" s="11">
        <v>0</v>
      </c>
      <c r="H416" s="11">
        <v>0</v>
      </c>
      <c r="J416" s="11">
        <f t="shared" si="72"/>
        <v>130271.79</v>
      </c>
      <c r="L416" s="11">
        <v>122500</v>
      </c>
      <c r="M416" s="12">
        <f t="shared" si="73"/>
        <v>1.0634431836734692</v>
      </c>
      <c r="P416">
        <v>3647.6101199999998</v>
      </c>
      <c r="Q416">
        <v>911.90252999999996</v>
      </c>
      <c r="R416">
        <v>651.35894999999994</v>
      </c>
      <c r="U416" s="2" t="s">
        <v>607</v>
      </c>
      <c r="V416">
        <v>3647.6101199999998</v>
      </c>
      <c r="W416">
        <v>911.90252999999996</v>
      </c>
      <c r="X416">
        <v>651.35894999999994</v>
      </c>
    </row>
    <row r="417" spans="1:24" ht="12.75" customHeight="1" x14ac:dyDescent="0.25">
      <c r="A417" s="8" t="s">
        <v>268</v>
      </c>
      <c r="B417" s="9" t="s">
        <v>271</v>
      </c>
      <c r="C417" s="10"/>
      <c r="D417" s="11">
        <v>3945.54</v>
      </c>
      <c r="F417" s="11">
        <v>0</v>
      </c>
      <c r="G417" s="11">
        <v>0</v>
      </c>
      <c r="H417" s="11">
        <v>0</v>
      </c>
      <c r="J417" s="11">
        <f t="shared" si="72"/>
        <v>3945.54</v>
      </c>
      <c r="L417" s="11"/>
      <c r="M417" s="12">
        <f t="shared" si="73"/>
        <v>0</v>
      </c>
      <c r="P417">
        <v>110.47512</v>
      </c>
      <c r="Q417">
        <v>27.618780000000001</v>
      </c>
      <c r="R417"/>
      <c r="U417" s="2" t="s">
        <v>608</v>
      </c>
      <c r="V417">
        <v>110.47512</v>
      </c>
      <c r="W417">
        <v>27.618780000000001</v>
      </c>
      <c r="X417"/>
    </row>
    <row r="418" spans="1:24" ht="12.75" customHeight="1" x14ac:dyDescent="0.25">
      <c r="A418" s="8" t="s">
        <v>268</v>
      </c>
      <c r="B418" s="9" t="s">
        <v>154</v>
      </c>
      <c r="C418" s="10" t="s">
        <v>272</v>
      </c>
      <c r="D418" s="11">
        <v>123440.77</v>
      </c>
      <c r="F418" s="11">
        <v>0</v>
      </c>
      <c r="G418" s="11">
        <v>0</v>
      </c>
      <c r="H418" s="11">
        <v>0</v>
      </c>
      <c r="J418" s="11">
        <f t="shared" si="72"/>
        <v>123440.77</v>
      </c>
      <c r="L418" s="11">
        <v>122500</v>
      </c>
      <c r="M418" s="12">
        <f t="shared" si="73"/>
        <v>1.0076797551020409</v>
      </c>
      <c r="P418">
        <v>3456.3415600000003</v>
      </c>
      <c r="Q418">
        <v>864.08539000000007</v>
      </c>
      <c r="R418">
        <v>617.20384999999999</v>
      </c>
      <c r="U418" s="2" t="s">
        <v>609</v>
      </c>
      <c r="V418">
        <v>3456.3415600000003</v>
      </c>
      <c r="W418">
        <v>864.08539000000007</v>
      </c>
      <c r="X418">
        <v>617.20384999999999</v>
      </c>
    </row>
    <row r="419" spans="1:24" ht="12.75" customHeight="1" x14ac:dyDescent="0.25">
      <c r="A419" s="8" t="s">
        <v>268</v>
      </c>
      <c r="B419" s="9" t="s">
        <v>264</v>
      </c>
      <c r="C419" s="10" t="s">
        <v>273</v>
      </c>
      <c r="D419" s="11">
        <v>129183.14</v>
      </c>
      <c r="F419" s="11">
        <v>0</v>
      </c>
      <c r="G419" s="11">
        <v>0</v>
      </c>
      <c r="H419" s="11">
        <v>0</v>
      </c>
      <c r="J419" s="11">
        <f t="shared" si="72"/>
        <v>129183.14</v>
      </c>
      <c r="L419" s="11">
        <v>122500</v>
      </c>
      <c r="M419" s="12">
        <f t="shared" si="73"/>
        <v>1.0545562448979591</v>
      </c>
      <c r="P419">
        <v>3617.1279199999999</v>
      </c>
      <c r="Q419">
        <v>904.28197999999998</v>
      </c>
      <c r="R419">
        <v>645.91570000000002</v>
      </c>
      <c r="U419" s="2" t="s">
        <v>610</v>
      </c>
      <c r="V419">
        <v>3617.1279199999999</v>
      </c>
      <c r="W419">
        <v>904.28197999999998</v>
      </c>
      <c r="X419">
        <v>645.91570000000002</v>
      </c>
    </row>
    <row r="420" spans="1:24" ht="12.75" customHeight="1" x14ac:dyDescent="0.25">
      <c r="A420" s="8" t="s">
        <v>268</v>
      </c>
      <c r="B420" s="9" t="s">
        <v>266</v>
      </c>
      <c r="C420" s="10" t="s">
        <v>274</v>
      </c>
      <c r="D420" s="11">
        <v>81020.06</v>
      </c>
      <c r="F420" s="11">
        <v>0</v>
      </c>
      <c r="G420" s="11">
        <v>0</v>
      </c>
      <c r="H420" s="11">
        <v>0</v>
      </c>
      <c r="J420" s="11">
        <f t="shared" si="72"/>
        <v>81020.06</v>
      </c>
      <c r="L420" s="11">
        <v>122500</v>
      </c>
      <c r="M420" s="12">
        <f t="shared" si="73"/>
        <v>0.66138824489795911</v>
      </c>
      <c r="P420">
        <v>2268.5616799999998</v>
      </c>
      <c r="Q420">
        <v>567.14041999999995</v>
      </c>
      <c r="R420"/>
      <c r="U420" s="2" t="s">
        <v>611</v>
      </c>
      <c r="V420">
        <v>2268.5616799999998</v>
      </c>
      <c r="W420">
        <v>567.14041999999995</v>
      </c>
      <c r="X420"/>
    </row>
    <row r="421" spans="1:24" ht="12.75" customHeight="1" x14ac:dyDescent="0.25">
      <c r="A421" s="8" t="s">
        <v>268</v>
      </c>
      <c r="B421" s="16" t="s">
        <v>275</v>
      </c>
      <c r="C421" s="10" t="s">
        <v>276</v>
      </c>
      <c r="D421" s="11">
        <v>73637.490000000005</v>
      </c>
      <c r="F421" s="11">
        <v>0</v>
      </c>
      <c r="G421" s="11">
        <v>0</v>
      </c>
      <c r="H421" s="11">
        <v>0</v>
      </c>
      <c r="J421" s="11">
        <f t="shared" si="72"/>
        <v>73637.490000000005</v>
      </c>
      <c r="L421" s="11">
        <v>122500</v>
      </c>
      <c r="M421" s="12">
        <f t="shared" si="73"/>
        <v>0.6011223673469388</v>
      </c>
      <c r="P421">
        <v>2061.8497200000002</v>
      </c>
      <c r="Q421">
        <v>515.46243000000004</v>
      </c>
      <c r="R421"/>
      <c r="U421" s="2" t="s">
        <v>612</v>
      </c>
      <c r="V421">
        <v>2061.8497200000002</v>
      </c>
      <c r="W421">
        <v>515.46243000000004</v>
      </c>
      <c r="X421"/>
    </row>
    <row r="422" spans="1:24" ht="12.75" customHeight="1" x14ac:dyDescent="0.25">
      <c r="A422" s="8" t="s">
        <v>268</v>
      </c>
      <c r="B422" s="16" t="s">
        <v>277</v>
      </c>
      <c r="C422" s="10" t="s">
        <v>278</v>
      </c>
      <c r="D422" s="11">
        <v>57776.82</v>
      </c>
      <c r="F422" s="11">
        <v>0</v>
      </c>
      <c r="G422" s="11">
        <v>0</v>
      </c>
      <c r="H422" s="11">
        <v>0</v>
      </c>
      <c r="J422" s="11">
        <f>SUM(D422:I422)</f>
        <v>57776.82</v>
      </c>
      <c r="L422" s="11">
        <v>122500</v>
      </c>
      <c r="M422" s="12">
        <f>IFERROR(J422/L422,)</f>
        <v>0.47164751020408163</v>
      </c>
      <c r="P422">
        <v>1617.7509600000001</v>
      </c>
      <c r="Q422">
        <v>404.43774000000002</v>
      </c>
      <c r="R422"/>
      <c r="U422" s="2" t="s">
        <v>613</v>
      </c>
      <c r="V422">
        <v>1617.7509600000001</v>
      </c>
      <c r="W422">
        <v>404.43774000000002</v>
      </c>
      <c r="X422"/>
    </row>
    <row r="423" spans="1:24" ht="12.75" customHeight="1" x14ac:dyDescent="0.25">
      <c r="A423" s="8" t="s">
        <v>268</v>
      </c>
      <c r="B423" s="16" t="s">
        <v>82</v>
      </c>
      <c r="C423" s="10" t="s">
        <v>279</v>
      </c>
      <c r="D423" s="11">
        <v>79020.320000000007</v>
      </c>
      <c r="F423" s="11">
        <v>0</v>
      </c>
      <c r="G423" s="11">
        <v>0</v>
      </c>
      <c r="H423" s="11">
        <v>0</v>
      </c>
      <c r="J423" s="11">
        <f>SUM(D423:I423)</f>
        <v>79020.320000000007</v>
      </c>
      <c r="L423" s="11">
        <v>122500</v>
      </c>
      <c r="M423" s="12">
        <f>IFERROR(J423/L423,)</f>
        <v>0.64506383673469392</v>
      </c>
      <c r="P423">
        <v>2212.5689600000001</v>
      </c>
      <c r="Q423">
        <v>553.14224000000002</v>
      </c>
      <c r="R423"/>
      <c r="U423" s="2" t="s">
        <v>614</v>
      </c>
      <c r="V423">
        <v>2212.5689600000001</v>
      </c>
      <c r="W423">
        <v>553.14224000000002</v>
      </c>
      <c r="X423"/>
    </row>
    <row r="424" spans="1:24" ht="12.75" customHeight="1" x14ac:dyDescent="0.25">
      <c r="A424" s="8" t="s">
        <v>268</v>
      </c>
      <c r="B424" s="16"/>
      <c r="C424" s="10"/>
      <c r="D424" s="11">
        <v>0</v>
      </c>
      <c r="F424" s="11">
        <v>0</v>
      </c>
      <c r="G424" s="11">
        <v>0</v>
      </c>
      <c r="H424" s="11">
        <v>0</v>
      </c>
      <c r="J424" s="11">
        <f t="shared" si="72"/>
        <v>0</v>
      </c>
      <c r="L424" s="11"/>
      <c r="M424" s="12">
        <f t="shared" si="73"/>
        <v>0</v>
      </c>
      <c r="P424"/>
      <c r="Q424"/>
      <c r="R424"/>
      <c r="V424"/>
      <c r="W424"/>
      <c r="X424"/>
    </row>
    <row r="425" spans="1:24" ht="12.75" customHeight="1" x14ac:dyDescent="0.25">
      <c r="A425" s="8" t="s">
        <v>268</v>
      </c>
      <c r="B425" s="9"/>
      <c r="C425" s="10"/>
      <c r="D425" s="11">
        <v>0</v>
      </c>
      <c r="F425" s="11">
        <v>0</v>
      </c>
      <c r="G425" s="11">
        <v>0</v>
      </c>
      <c r="H425" s="11">
        <v>0</v>
      </c>
      <c r="J425" s="11">
        <f t="shared" si="72"/>
        <v>0</v>
      </c>
      <c r="L425" s="11"/>
      <c r="M425" s="12">
        <f t="shared" si="73"/>
        <v>0</v>
      </c>
      <c r="P425"/>
      <c r="Q425"/>
      <c r="R425"/>
      <c r="V425"/>
      <c r="W425"/>
      <c r="X425"/>
    </row>
    <row r="426" spans="1:24" ht="12.75" customHeight="1" x14ac:dyDescent="0.25">
      <c r="A426" s="8" t="s">
        <v>268</v>
      </c>
      <c r="B426" s="9"/>
      <c r="C426" s="10"/>
      <c r="D426" s="11">
        <v>0</v>
      </c>
      <c r="F426" s="11">
        <v>0</v>
      </c>
      <c r="G426" s="11">
        <v>0</v>
      </c>
      <c r="H426" s="11">
        <v>0</v>
      </c>
      <c r="J426" s="11">
        <f t="shared" si="72"/>
        <v>0</v>
      </c>
      <c r="L426" s="11"/>
      <c r="M426" s="12">
        <f t="shared" si="73"/>
        <v>0</v>
      </c>
      <c r="P426"/>
      <c r="Q426"/>
      <c r="R426"/>
      <c r="V426"/>
      <c r="W426"/>
      <c r="X426"/>
    </row>
    <row r="427" spans="1:24" ht="12.75" customHeight="1" x14ac:dyDescent="0.25">
      <c r="A427" s="8" t="s">
        <v>268</v>
      </c>
      <c r="B427" s="9"/>
      <c r="C427" s="10"/>
      <c r="D427" s="11">
        <v>0</v>
      </c>
      <c r="F427" s="11">
        <v>0</v>
      </c>
      <c r="G427" s="11">
        <v>0</v>
      </c>
      <c r="H427" s="11">
        <v>0</v>
      </c>
      <c r="J427" s="11">
        <f t="shared" si="72"/>
        <v>0</v>
      </c>
      <c r="L427" s="11"/>
      <c r="M427" s="12">
        <f t="shared" si="73"/>
        <v>0</v>
      </c>
      <c r="P427"/>
      <c r="Q427"/>
      <c r="R427"/>
      <c r="V427"/>
      <c r="W427"/>
      <c r="X427"/>
    </row>
    <row r="428" spans="1:24" ht="12.75" customHeight="1" x14ac:dyDescent="0.25">
      <c r="A428" s="13" t="s">
        <v>30</v>
      </c>
      <c r="B428" s="14"/>
      <c r="C428" s="13"/>
      <c r="D428" s="15">
        <v>822206.60999999987</v>
      </c>
      <c r="E428" s="15">
        <v>0</v>
      </c>
      <c r="F428" s="15">
        <v>0</v>
      </c>
      <c r="G428" s="15">
        <v>0</v>
      </c>
      <c r="H428" s="15">
        <v>0</v>
      </c>
      <c r="I428" s="15">
        <v>0</v>
      </c>
      <c r="J428" s="15">
        <f t="shared" ref="J428" si="74">SUM(J415:J427)</f>
        <v>822206.60999999987</v>
      </c>
      <c r="L428" s="15">
        <f>SUM(L415:L427)</f>
        <v>980000</v>
      </c>
      <c r="P428"/>
      <c r="Q428"/>
      <c r="R428"/>
      <c r="V428"/>
      <c r="W428"/>
      <c r="X428"/>
    </row>
    <row r="429" spans="1:24" ht="12.75" customHeight="1" x14ac:dyDescent="0.25">
      <c r="P429"/>
      <c r="Q429"/>
      <c r="R429"/>
      <c r="V429"/>
      <c r="W429"/>
      <c r="X429"/>
    </row>
    <row r="430" spans="1:24" ht="12.75" customHeight="1" x14ac:dyDescent="0.25">
      <c r="O430" s="5" t="s">
        <v>12</v>
      </c>
      <c r="P430"/>
      <c r="Q430"/>
      <c r="R430"/>
      <c r="V430"/>
      <c r="W430"/>
      <c r="X430"/>
    </row>
    <row r="431" spans="1:24" ht="12.75" customHeight="1" x14ac:dyDescent="0.25">
      <c r="O431" s="11">
        <v>360000</v>
      </c>
      <c r="P431"/>
      <c r="Q431"/>
      <c r="R431"/>
      <c r="V431"/>
      <c r="W431"/>
      <c r="X431"/>
    </row>
    <row r="432" spans="1:24" ht="12.75" customHeight="1" x14ac:dyDescent="0.25">
      <c r="A432" s="4" t="s">
        <v>0</v>
      </c>
      <c r="B432" s="5" t="s">
        <v>1</v>
      </c>
      <c r="C432" s="4" t="s">
        <v>2</v>
      </c>
      <c r="D432" s="5" t="s">
        <v>3</v>
      </c>
      <c r="E432" s="5" t="s">
        <v>4</v>
      </c>
      <c r="F432" s="5" t="s">
        <v>5</v>
      </c>
      <c r="G432" s="5" t="s">
        <v>6</v>
      </c>
      <c r="H432" s="5" t="s">
        <v>7</v>
      </c>
      <c r="I432" s="5" t="s">
        <v>8</v>
      </c>
      <c r="J432" s="5" t="s">
        <v>9</v>
      </c>
      <c r="L432" s="7" t="s">
        <v>10</v>
      </c>
      <c r="M432" s="7" t="s">
        <v>11</v>
      </c>
      <c r="P432"/>
      <c r="Q432"/>
      <c r="R432"/>
      <c r="U432" s="2" t="s">
        <v>614</v>
      </c>
      <c r="V432"/>
      <c r="W432"/>
      <c r="X432"/>
    </row>
    <row r="433" spans="1:24" ht="12.75" customHeight="1" x14ac:dyDescent="0.25">
      <c r="A433" s="8" t="s">
        <v>280</v>
      </c>
      <c r="B433" s="9" t="s">
        <v>126</v>
      </c>
      <c r="C433" s="10" t="s">
        <v>281</v>
      </c>
      <c r="D433" s="11">
        <v>39589.29</v>
      </c>
      <c r="F433" s="11">
        <v>0</v>
      </c>
      <c r="G433" s="11">
        <v>649.99</v>
      </c>
      <c r="H433" s="11">
        <v>0</v>
      </c>
      <c r="J433" s="11">
        <f t="shared" ref="J433:J445" si="75">SUM(D433:I433)</f>
        <v>40239.279999999999</v>
      </c>
      <c r="L433" s="11">
        <v>70500</v>
      </c>
      <c r="M433" s="12">
        <f t="shared" ref="M433:M445" si="76">IFERROR(J433/L433,)</f>
        <v>0.57076992907801416</v>
      </c>
      <c r="P433">
        <v>1126.69984</v>
      </c>
      <c r="Q433">
        <v>281.67496</v>
      </c>
      <c r="R433"/>
      <c r="U433" s="2" t="s">
        <v>615</v>
      </c>
      <c r="V433">
        <v>1126.69984</v>
      </c>
      <c r="W433">
        <v>281.67496</v>
      </c>
      <c r="X433"/>
    </row>
    <row r="434" spans="1:24" ht="12.75" customHeight="1" x14ac:dyDescent="0.25">
      <c r="A434" s="8" t="s">
        <v>280</v>
      </c>
      <c r="B434" s="9" t="s">
        <v>282</v>
      </c>
      <c r="C434" s="10" t="s">
        <v>283</v>
      </c>
      <c r="D434" s="11">
        <v>53662.35</v>
      </c>
      <c r="F434" s="11">
        <v>0</v>
      </c>
      <c r="G434" s="11">
        <v>0</v>
      </c>
      <c r="H434" s="11">
        <v>0</v>
      </c>
      <c r="J434" s="11">
        <f t="shared" si="75"/>
        <v>53662.35</v>
      </c>
      <c r="L434" s="11">
        <v>70500</v>
      </c>
      <c r="M434" s="12">
        <f t="shared" si="76"/>
        <v>0.76116808510638301</v>
      </c>
      <c r="P434">
        <v>1502.5458000000001</v>
      </c>
      <c r="Q434">
        <v>375.63645000000002</v>
      </c>
      <c r="R434"/>
      <c r="U434" s="2" t="s">
        <v>616</v>
      </c>
      <c r="V434">
        <v>1502.5458000000001</v>
      </c>
      <c r="W434">
        <v>375.63645000000002</v>
      </c>
      <c r="X434"/>
    </row>
    <row r="435" spans="1:24" ht="12.75" customHeight="1" x14ac:dyDescent="0.25">
      <c r="A435" s="8" t="s">
        <v>280</v>
      </c>
      <c r="B435" s="9" t="s">
        <v>226</v>
      </c>
      <c r="C435" s="10"/>
      <c r="D435" s="11">
        <v>40711.199999999997</v>
      </c>
      <c r="F435" s="11">
        <v>0</v>
      </c>
      <c r="G435" s="11">
        <v>0</v>
      </c>
      <c r="H435" s="11">
        <v>0</v>
      </c>
      <c r="J435" s="11">
        <f t="shared" si="75"/>
        <v>40711.199999999997</v>
      </c>
      <c r="L435" s="11">
        <v>70500</v>
      </c>
      <c r="M435" s="12">
        <f t="shared" si="76"/>
        <v>0.57746382978723398</v>
      </c>
      <c r="P435">
        <v>1139.9135999999999</v>
      </c>
      <c r="Q435">
        <v>284.97839999999997</v>
      </c>
      <c r="R435"/>
      <c r="U435" s="2" t="s">
        <v>617</v>
      </c>
      <c r="V435">
        <v>1139.9135999999999</v>
      </c>
      <c r="W435">
        <v>284.97839999999997</v>
      </c>
      <c r="X435"/>
    </row>
    <row r="436" spans="1:24" ht="12.75" customHeight="1" x14ac:dyDescent="0.25">
      <c r="A436" s="8" t="s">
        <v>280</v>
      </c>
      <c r="B436" s="9" t="s">
        <v>208</v>
      </c>
      <c r="C436" s="10" t="s">
        <v>284</v>
      </c>
      <c r="D436" s="11">
        <v>53084.13</v>
      </c>
      <c r="F436" s="11">
        <v>0</v>
      </c>
      <c r="G436" s="11">
        <v>0</v>
      </c>
      <c r="H436" s="11">
        <v>0</v>
      </c>
      <c r="J436" s="11">
        <f t="shared" si="75"/>
        <v>53084.13</v>
      </c>
      <c r="L436" s="11">
        <v>70500</v>
      </c>
      <c r="M436" s="12">
        <f t="shared" si="76"/>
        <v>0.75296638297872331</v>
      </c>
      <c r="P436">
        <v>1486.35564</v>
      </c>
      <c r="Q436">
        <v>371.58891</v>
      </c>
      <c r="R436"/>
      <c r="U436" s="2" t="s">
        <v>618</v>
      </c>
      <c r="V436">
        <v>1486.35564</v>
      </c>
      <c r="W436">
        <v>371.58891</v>
      </c>
      <c r="X436"/>
    </row>
    <row r="437" spans="1:24" ht="12.75" customHeight="1" x14ac:dyDescent="0.25">
      <c r="A437" s="8" t="s">
        <v>280</v>
      </c>
      <c r="B437" s="9" t="s">
        <v>285</v>
      </c>
      <c r="C437" s="10" t="s">
        <v>286</v>
      </c>
      <c r="D437" s="11">
        <v>82406.37</v>
      </c>
      <c r="F437" s="11">
        <v>0</v>
      </c>
      <c r="G437" s="11">
        <v>0</v>
      </c>
      <c r="H437" s="11">
        <v>0</v>
      </c>
      <c r="J437" s="11">
        <f t="shared" si="75"/>
        <v>82406.37</v>
      </c>
      <c r="L437" s="11">
        <v>70500</v>
      </c>
      <c r="M437" s="12">
        <f t="shared" si="76"/>
        <v>1.1688846808510638</v>
      </c>
      <c r="P437">
        <v>2307.3783599999997</v>
      </c>
      <c r="Q437">
        <v>576.84458999999993</v>
      </c>
      <c r="R437">
        <v>412.03184999999996</v>
      </c>
      <c r="U437" s="2" t="s">
        <v>619</v>
      </c>
      <c r="V437">
        <v>2307.3783599999997</v>
      </c>
      <c r="W437">
        <v>576.84458999999993</v>
      </c>
      <c r="X437">
        <v>412.03184999999996</v>
      </c>
    </row>
    <row r="438" spans="1:24" ht="12.75" customHeight="1" x14ac:dyDescent="0.25">
      <c r="A438" s="8" t="s">
        <v>280</v>
      </c>
      <c r="B438" s="9" t="s">
        <v>264</v>
      </c>
      <c r="C438" s="10"/>
      <c r="D438" s="11">
        <v>28405.87</v>
      </c>
      <c r="F438" s="11">
        <v>0</v>
      </c>
      <c r="G438" s="11">
        <v>0</v>
      </c>
      <c r="H438" s="11">
        <v>0</v>
      </c>
      <c r="J438" s="11">
        <f t="shared" si="75"/>
        <v>28405.87</v>
      </c>
      <c r="L438" s="11">
        <v>43560</v>
      </c>
      <c r="M438" s="12">
        <f t="shared" si="76"/>
        <v>0.65210904499540856</v>
      </c>
      <c r="P438">
        <v>795.36436000000003</v>
      </c>
      <c r="Q438">
        <v>198.84109000000001</v>
      </c>
      <c r="R438"/>
      <c r="U438" s="2" t="s">
        <v>620</v>
      </c>
      <c r="V438">
        <v>795.36436000000003</v>
      </c>
      <c r="W438">
        <v>198.84109000000001</v>
      </c>
      <c r="X438"/>
    </row>
    <row r="439" spans="1:24" ht="12.75" customHeight="1" x14ac:dyDescent="0.25">
      <c r="A439" s="8" t="s">
        <v>280</v>
      </c>
      <c r="B439" s="16" t="s">
        <v>258</v>
      </c>
      <c r="C439" s="10"/>
      <c r="D439" s="11">
        <v>1552.89</v>
      </c>
      <c r="F439" s="11">
        <v>0</v>
      </c>
      <c r="G439" s="11">
        <v>0</v>
      </c>
      <c r="H439" s="11">
        <v>0</v>
      </c>
      <c r="J439" s="11">
        <f t="shared" si="75"/>
        <v>1552.89</v>
      </c>
      <c r="L439" s="11"/>
      <c r="M439" s="12">
        <f t="shared" si="76"/>
        <v>0</v>
      </c>
      <c r="P439">
        <v>43.480920000000005</v>
      </c>
      <c r="Q439">
        <v>10.870230000000001</v>
      </c>
      <c r="R439"/>
      <c r="U439" s="2" t="s">
        <v>621</v>
      </c>
      <c r="V439">
        <v>43.480920000000005</v>
      </c>
      <c r="W439">
        <v>10.870230000000001</v>
      </c>
      <c r="X439"/>
    </row>
    <row r="440" spans="1:24" ht="12.75" customHeight="1" x14ac:dyDescent="0.25">
      <c r="A440" s="8" t="s">
        <v>280</v>
      </c>
      <c r="B440" s="16"/>
      <c r="C440" s="10"/>
      <c r="D440" s="11">
        <v>0</v>
      </c>
      <c r="F440" s="11">
        <v>0</v>
      </c>
      <c r="G440" s="11">
        <v>0</v>
      </c>
      <c r="H440" s="11">
        <v>0</v>
      </c>
      <c r="J440" s="11">
        <f t="shared" si="75"/>
        <v>0</v>
      </c>
      <c r="L440" s="11"/>
      <c r="M440" s="12">
        <f t="shared" si="76"/>
        <v>0</v>
      </c>
      <c r="P440"/>
      <c r="Q440"/>
      <c r="R440"/>
      <c r="V440"/>
      <c r="W440"/>
      <c r="X440"/>
    </row>
    <row r="441" spans="1:24" ht="12.75" customHeight="1" x14ac:dyDescent="0.25">
      <c r="A441" s="8" t="s">
        <v>280</v>
      </c>
      <c r="B441" s="16"/>
      <c r="C441" s="10"/>
      <c r="D441" s="11">
        <v>0</v>
      </c>
      <c r="F441" s="11">
        <v>0</v>
      </c>
      <c r="G441" s="11">
        <v>0</v>
      </c>
      <c r="H441" s="11">
        <v>0</v>
      </c>
      <c r="J441" s="11">
        <f t="shared" si="75"/>
        <v>0</v>
      </c>
      <c r="L441" s="19"/>
      <c r="M441" s="12">
        <f t="shared" si="76"/>
        <v>0</v>
      </c>
      <c r="P441"/>
      <c r="Q441"/>
      <c r="R441"/>
      <c r="V441"/>
      <c r="W441"/>
      <c r="X441"/>
    </row>
    <row r="442" spans="1:24" ht="12.75" customHeight="1" x14ac:dyDescent="0.25">
      <c r="A442" s="8" t="s">
        <v>280</v>
      </c>
      <c r="B442" s="16"/>
      <c r="C442" s="10"/>
      <c r="D442" s="11">
        <v>0</v>
      </c>
      <c r="F442" s="11">
        <v>0</v>
      </c>
      <c r="G442" s="11">
        <v>0</v>
      </c>
      <c r="H442" s="11">
        <v>0</v>
      </c>
      <c r="J442" s="11">
        <f t="shared" si="75"/>
        <v>0</v>
      </c>
      <c r="L442" s="19"/>
      <c r="M442" s="12">
        <f t="shared" si="76"/>
        <v>0</v>
      </c>
      <c r="P442"/>
      <c r="Q442"/>
      <c r="R442"/>
      <c r="V442"/>
      <c r="W442"/>
      <c r="X442"/>
    </row>
    <row r="443" spans="1:24" ht="12.75" customHeight="1" x14ac:dyDescent="0.25">
      <c r="A443" s="8" t="s">
        <v>280</v>
      </c>
      <c r="B443" s="9"/>
      <c r="C443" s="10"/>
      <c r="D443" s="11">
        <v>0</v>
      </c>
      <c r="F443" s="11">
        <v>0</v>
      </c>
      <c r="G443" s="11">
        <v>0</v>
      </c>
      <c r="H443" s="11">
        <v>0</v>
      </c>
      <c r="J443" s="11">
        <f t="shared" si="75"/>
        <v>0</v>
      </c>
      <c r="M443" s="12">
        <f t="shared" si="76"/>
        <v>0</v>
      </c>
      <c r="P443"/>
      <c r="Q443"/>
      <c r="R443"/>
      <c r="V443"/>
      <c r="W443"/>
      <c r="X443"/>
    </row>
    <row r="444" spans="1:24" ht="12.75" customHeight="1" x14ac:dyDescent="0.25">
      <c r="A444" s="8" t="s">
        <v>280</v>
      </c>
      <c r="B444" s="9"/>
      <c r="C444" s="10"/>
      <c r="D444" s="11">
        <v>0</v>
      </c>
      <c r="F444" s="11">
        <v>0</v>
      </c>
      <c r="G444" s="11">
        <v>0</v>
      </c>
      <c r="H444" s="11">
        <v>0</v>
      </c>
      <c r="J444" s="11">
        <f t="shared" si="75"/>
        <v>0</v>
      </c>
      <c r="M444" s="12">
        <f t="shared" si="76"/>
        <v>0</v>
      </c>
      <c r="P444"/>
      <c r="Q444"/>
      <c r="R444"/>
      <c r="V444"/>
      <c r="W444"/>
      <c r="X444"/>
    </row>
    <row r="445" spans="1:24" ht="12.75" customHeight="1" x14ac:dyDescent="0.25">
      <c r="A445" s="8" t="s">
        <v>280</v>
      </c>
      <c r="B445" s="9"/>
      <c r="C445" s="10"/>
      <c r="D445" s="11">
        <v>0</v>
      </c>
      <c r="F445" s="11">
        <v>0</v>
      </c>
      <c r="G445" s="11">
        <v>0</v>
      </c>
      <c r="H445" s="11">
        <v>0</v>
      </c>
      <c r="J445" s="11">
        <f t="shared" si="75"/>
        <v>0</v>
      </c>
      <c r="M445" s="12">
        <f t="shared" si="76"/>
        <v>0</v>
      </c>
      <c r="P445"/>
      <c r="Q445"/>
      <c r="R445"/>
      <c r="V445"/>
      <c r="W445"/>
      <c r="X445"/>
    </row>
    <row r="446" spans="1:24" ht="12.75" customHeight="1" x14ac:dyDescent="0.25">
      <c r="A446" s="13" t="s">
        <v>30</v>
      </c>
      <c r="B446" s="14"/>
      <c r="C446" s="13"/>
      <c r="D446" s="15">
        <v>299412.09999999998</v>
      </c>
      <c r="E446" s="15">
        <v>0</v>
      </c>
      <c r="F446" s="15">
        <v>0</v>
      </c>
      <c r="G446" s="15">
        <v>649.99</v>
      </c>
      <c r="H446" s="15">
        <v>0</v>
      </c>
      <c r="I446" s="15">
        <v>0</v>
      </c>
      <c r="J446" s="15">
        <f t="shared" ref="J446" si="77">SUM(J433:J445)</f>
        <v>300062.09000000003</v>
      </c>
      <c r="L446" s="15">
        <f>SUM(L433:L445)</f>
        <v>396060</v>
      </c>
      <c r="P446"/>
      <c r="Q446"/>
      <c r="R446"/>
      <c r="V446"/>
      <c r="W446"/>
      <c r="X446"/>
    </row>
    <row r="447" spans="1:24" ht="12.75" customHeight="1" x14ac:dyDescent="0.25">
      <c r="P447"/>
      <c r="Q447"/>
      <c r="R447"/>
      <c r="V447"/>
      <c r="W447"/>
      <c r="X447"/>
    </row>
    <row r="448" spans="1:24" ht="12.75" customHeight="1" x14ac:dyDescent="0.25">
      <c r="O448" s="5" t="s">
        <v>12</v>
      </c>
      <c r="P448"/>
      <c r="Q448"/>
      <c r="R448"/>
      <c r="V448"/>
      <c r="W448"/>
      <c r="X448"/>
    </row>
    <row r="449" spans="1:24" ht="12.75" customHeight="1" x14ac:dyDescent="0.25">
      <c r="O449" s="11">
        <v>433000</v>
      </c>
      <c r="P449"/>
      <c r="Q449"/>
      <c r="R449"/>
      <c r="V449"/>
      <c r="W449"/>
      <c r="X449"/>
    </row>
    <row r="450" spans="1:24" ht="12.75" customHeight="1" x14ac:dyDescent="0.25">
      <c r="A450" s="4" t="s">
        <v>0</v>
      </c>
      <c r="B450" s="5" t="s">
        <v>1</v>
      </c>
      <c r="C450" s="4" t="s">
        <v>2</v>
      </c>
      <c r="D450" s="5" t="s">
        <v>3</v>
      </c>
      <c r="E450" s="5" t="s">
        <v>4</v>
      </c>
      <c r="F450" s="5" t="s">
        <v>5</v>
      </c>
      <c r="G450" s="5" t="s">
        <v>6</v>
      </c>
      <c r="H450" s="5" t="s">
        <v>7</v>
      </c>
      <c r="I450" s="5" t="s">
        <v>8</v>
      </c>
      <c r="J450" s="5" t="s">
        <v>9</v>
      </c>
      <c r="L450" s="7" t="s">
        <v>10</v>
      </c>
      <c r="M450" s="7" t="s">
        <v>11</v>
      </c>
      <c r="P450"/>
      <c r="Q450"/>
      <c r="R450"/>
      <c r="U450" s="2" t="s">
        <v>621</v>
      </c>
      <c r="V450"/>
      <c r="W450"/>
      <c r="X450"/>
    </row>
    <row r="451" spans="1:24" ht="12.75" customHeight="1" x14ac:dyDescent="0.25">
      <c r="A451" s="8" t="s">
        <v>69</v>
      </c>
      <c r="B451" s="9" t="s">
        <v>126</v>
      </c>
      <c r="C451" s="10" t="s">
        <v>287</v>
      </c>
      <c r="D451" s="11">
        <v>1929.91</v>
      </c>
      <c r="F451" s="11">
        <v>0</v>
      </c>
      <c r="G451" s="11">
        <v>0</v>
      </c>
      <c r="H451" s="11">
        <v>0</v>
      </c>
      <c r="J451" s="11">
        <f t="shared" ref="J451:J463" si="78">SUM(D451:I451)</f>
        <v>1929.91</v>
      </c>
      <c r="L451" s="11"/>
      <c r="M451" s="12">
        <f t="shared" ref="M451:M463" si="79">IFERROR(J451/L451,)</f>
        <v>0</v>
      </c>
      <c r="P451"/>
      <c r="Q451"/>
      <c r="R451"/>
      <c r="U451" s="2" t="s">
        <v>622</v>
      </c>
      <c r="V451"/>
      <c r="W451"/>
      <c r="X451"/>
    </row>
    <row r="452" spans="1:24" ht="12.75" customHeight="1" x14ac:dyDescent="0.25">
      <c r="A452" s="8" t="s">
        <v>69</v>
      </c>
      <c r="B452" s="9" t="s">
        <v>128</v>
      </c>
      <c r="C452" s="10" t="s">
        <v>288</v>
      </c>
      <c r="D452" s="11">
        <v>51971.77</v>
      </c>
      <c r="F452" s="11">
        <v>0</v>
      </c>
      <c r="G452" s="11">
        <v>79.989999999999995</v>
      </c>
      <c r="H452" s="11">
        <v>0</v>
      </c>
      <c r="J452" s="11">
        <f t="shared" si="78"/>
        <v>52051.759999999995</v>
      </c>
      <c r="L452" s="11">
        <v>68043</v>
      </c>
      <c r="M452" s="12">
        <f t="shared" si="79"/>
        <v>0.76498331937157382</v>
      </c>
      <c r="P452"/>
      <c r="Q452"/>
      <c r="R452"/>
      <c r="U452" s="2" t="s">
        <v>623</v>
      </c>
      <c r="V452"/>
      <c r="W452"/>
      <c r="X452"/>
    </row>
    <row r="453" spans="1:24" ht="12.75" customHeight="1" x14ac:dyDescent="0.25">
      <c r="A453" s="8" t="s">
        <v>69</v>
      </c>
      <c r="B453" s="9" t="s">
        <v>282</v>
      </c>
      <c r="C453" s="10" t="s">
        <v>289</v>
      </c>
      <c r="D453" s="11">
        <v>59908.68</v>
      </c>
      <c r="F453" s="11">
        <v>0</v>
      </c>
      <c r="G453" s="11">
        <v>0</v>
      </c>
      <c r="H453" s="11">
        <v>0</v>
      </c>
      <c r="J453" s="11">
        <f t="shared" si="78"/>
        <v>59908.68</v>
      </c>
      <c r="L453" s="11">
        <v>68043</v>
      </c>
      <c r="M453" s="12">
        <f t="shared" si="79"/>
        <v>0.8804532428023456</v>
      </c>
      <c r="P453"/>
      <c r="Q453"/>
      <c r="R453"/>
      <c r="U453" s="2" t="s">
        <v>624</v>
      </c>
      <c r="V453"/>
      <c r="W453"/>
      <c r="X453"/>
    </row>
    <row r="454" spans="1:24" ht="12.75" customHeight="1" x14ac:dyDescent="0.25">
      <c r="A454" s="8" t="s">
        <v>69</v>
      </c>
      <c r="B454" s="9" t="s">
        <v>253</v>
      </c>
      <c r="C454" s="10" t="s">
        <v>290</v>
      </c>
      <c r="D454" s="11">
        <v>43724.160000000003</v>
      </c>
      <c r="F454" s="11">
        <v>0</v>
      </c>
      <c r="G454" s="11">
        <v>0</v>
      </c>
      <c r="H454" s="11">
        <v>0</v>
      </c>
      <c r="J454" s="11">
        <f t="shared" si="78"/>
        <v>43724.160000000003</v>
      </c>
      <c r="L454" s="11">
        <v>68043</v>
      </c>
      <c r="M454" s="12">
        <f t="shared" si="79"/>
        <v>0.64259600546713114</v>
      </c>
      <c r="P454"/>
      <c r="Q454"/>
      <c r="R454"/>
      <c r="U454" s="2" t="s">
        <v>625</v>
      </c>
      <c r="V454"/>
      <c r="W454"/>
      <c r="X454"/>
    </row>
    <row r="455" spans="1:24" ht="12.75" customHeight="1" x14ac:dyDescent="0.25">
      <c r="A455" s="8" t="s">
        <v>69</v>
      </c>
      <c r="B455" s="9" t="s">
        <v>233</v>
      </c>
      <c r="C455" s="10" t="s">
        <v>291</v>
      </c>
      <c r="D455" s="11">
        <v>30782.06</v>
      </c>
      <c r="F455" s="11">
        <v>0</v>
      </c>
      <c r="G455" s="11">
        <v>0</v>
      </c>
      <c r="H455" s="11">
        <v>0</v>
      </c>
      <c r="J455" s="11">
        <f t="shared" si="78"/>
        <v>30782.06</v>
      </c>
      <c r="L455" s="11">
        <v>68043</v>
      </c>
      <c r="M455" s="12">
        <f t="shared" si="79"/>
        <v>0.45239128198345169</v>
      </c>
      <c r="P455"/>
      <c r="Q455"/>
      <c r="R455"/>
      <c r="U455" s="2" t="s">
        <v>626</v>
      </c>
      <c r="V455"/>
      <c r="W455"/>
      <c r="X455"/>
    </row>
    <row r="456" spans="1:24" ht="12.75" customHeight="1" x14ac:dyDescent="0.25">
      <c r="A456" s="8" t="s">
        <v>69</v>
      </c>
      <c r="B456" s="9" t="s">
        <v>226</v>
      </c>
      <c r="C456" s="10" t="s">
        <v>292</v>
      </c>
      <c r="D456" s="11">
        <v>58974.99</v>
      </c>
      <c r="F456" s="11">
        <v>0</v>
      </c>
      <c r="G456" s="11">
        <v>0</v>
      </c>
      <c r="H456" s="11">
        <v>0</v>
      </c>
      <c r="J456" s="11">
        <f t="shared" si="78"/>
        <v>58974.99</v>
      </c>
      <c r="L456" s="11">
        <v>68043</v>
      </c>
      <c r="M456" s="12">
        <f t="shared" si="79"/>
        <v>0.86673118469203292</v>
      </c>
      <c r="P456"/>
      <c r="Q456"/>
      <c r="R456"/>
      <c r="U456" s="2" t="s">
        <v>627</v>
      </c>
      <c r="V456"/>
      <c r="W456"/>
      <c r="X456"/>
    </row>
    <row r="457" spans="1:24" ht="12.75" customHeight="1" x14ac:dyDescent="0.25">
      <c r="A457" s="8" t="s">
        <v>69</v>
      </c>
      <c r="B457" s="16" t="s">
        <v>293</v>
      </c>
      <c r="C457" s="10" t="s">
        <v>294</v>
      </c>
      <c r="D457" s="11">
        <v>41373.57</v>
      </c>
      <c r="F457" s="11">
        <v>0</v>
      </c>
      <c r="G457" s="11">
        <v>0</v>
      </c>
      <c r="H457" s="11">
        <v>0</v>
      </c>
      <c r="J457" s="11">
        <f t="shared" si="78"/>
        <v>41373.57</v>
      </c>
      <c r="L457" s="11">
        <v>68043</v>
      </c>
      <c r="M457" s="12">
        <f t="shared" si="79"/>
        <v>0.60805035051364575</v>
      </c>
      <c r="P457"/>
      <c r="Q457"/>
      <c r="R457"/>
      <c r="U457" s="2" t="s">
        <v>628</v>
      </c>
      <c r="V457"/>
      <c r="W457"/>
      <c r="X457"/>
    </row>
    <row r="458" spans="1:24" ht="12.75" customHeight="1" x14ac:dyDescent="0.25">
      <c r="A458" s="8" t="s">
        <v>69</v>
      </c>
      <c r="B458" s="16" t="s">
        <v>255</v>
      </c>
      <c r="C458" s="10" t="s">
        <v>295</v>
      </c>
      <c r="D458" s="11">
        <v>38633.11</v>
      </c>
      <c r="F458" s="11">
        <v>0</v>
      </c>
      <c r="G458" s="11">
        <v>0</v>
      </c>
      <c r="H458" s="11">
        <v>0</v>
      </c>
      <c r="J458" s="11">
        <f t="shared" si="78"/>
        <v>38633.11</v>
      </c>
      <c r="L458" s="11">
        <v>68043</v>
      </c>
      <c r="M458" s="12">
        <f t="shared" si="79"/>
        <v>0.56777493643725296</v>
      </c>
      <c r="P458"/>
      <c r="Q458"/>
      <c r="R458"/>
      <c r="U458" s="2" t="s">
        <v>629</v>
      </c>
      <c r="V458"/>
      <c r="W458"/>
      <c r="X458"/>
    </row>
    <row r="459" spans="1:24" ht="12.75" customHeight="1" x14ac:dyDescent="0.25">
      <c r="A459" s="8" t="s">
        <v>69</v>
      </c>
      <c r="B459" s="16"/>
      <c r="C459" s="10"/>
      <c r="D459" s="11">
        <v>0</v>
      </c>
      <c r="F459" s="11">
        <v>0</v>
      </c>
      <c r="G459" s="11">
        <v>0</v>
      </c>
      <c r="H459" s="11">
        <v>0</v>
      </c>
      <c r="J459" s="11">
        <f t="shared" si="78"/>
        <v>0</v>
      </c>
      <c r="L459" s="19"/>
      <c r="M459" s="12">
        <f t="shared" si="79"/>
        <v>0</v>
      </c>
      <c r="P459"/>
      <c r="Q459"/>
      <c r="R459"/>
      <c r="V459"/>
      <c r="W459"/>
      <c r="X459"/>
    </row>
    <row r="460" spans="1:24" ht="12.75" customHeight="1" x14ac:dyDescent="0.25">
      <c r="A460" s="8" t="s">
        <v>69</v>
      </c>
      <c r="B460" s="16"/>
      <c r="C460" s="10"/>
      <c r="D460" s="11">
        <v>0</v>
      </c>
      <c r="F460" s="11">
        <v>0</v>
      </c>
      <c r="G460" s="11">
        <v>0</v>
      </c>
      <c r="H460" s="11">
        <v>0</v>
      </c>
      <c r="J460" s="11">
        <f t="shared" si="78"/>
        <v>0</v>
      </c>
      <c r="L460" s="19"/>
      <c r="M460" s="12">
        <f t="shared" si="79"/>
        <v>0</v>
      </c>
      <c r="P460"/>
      <c r="Q460"/>
      <c r="R460"/>
      <c r="V460"/>
      <c r="W460"/>
      <c r="X460"/>
    </row>
    <row r="461" spans="1:24" ht="12.75" customHeight="1" x14ac:dyDescent="0.25">
      <c r="A461" s="8" t="s">
        <v>69</v>
      </c>
      <c r="B461" s="9"/>
      <c r="C461" s="10"/>
      <c r="D461" s="11">
        <v>0</v>
      </c>
      <c r="F461" s="11">
        <v>0</v>
      </c>
      <c r="G461" s="11">
        <v>0</v>
      </c>
      <c r="H461" s="11">
        <v>0</v>
      </c>
      <c r="J461" s="11">
        <f t="shared" si="78"/>
        <v>0</v>
      </c>
      <c r="M461" s="12">
        <f t="shared" si="79"/>
        <v>0</v>
      </c>
      <c r="P461"/>
      <c r="Q461"/>
      <c r="R461"/>
      <c r="V461"/>
      <c r="W461"/>
      <c r="X461"/>
    </row>
    <row r="462" spans="1:24" ht="12.75" customHeight="1" x14ac:dyDescent="0.25">
      <c r="A462" s="8" t="s">
        <v>69</v>
      </c>
      <c r="B462" s="9"/>
      <c r="C462" s="10"/>
      <c r="D462" s="11">
        <v>0</v>
      </c>
      <c r="F462" s="11">
        <v>0</v>
      </c>
      <c r="G462" s="11">
        <v>0</v>
      </c>
      <c r="H462" s="11">
        <v>0</v>
      </c>
      <c r="J462" s="11">
        <f t="shared" si="78"/>
        <v>0</v>
      </c>
      <c r="M462" s="12">
        <f t="shared" si="79"/>
        <v>0</v>
      </c>
      <c r="P462"/>
      <c r="Q462"/>
      <c r="R462"/>
      <c r="V462"/>
      <c r="W462"/>
      <c r="X462"/>
    </row>
    <row r="463" spans="1:24" ht="12.75" customHeight="1" x14ac:dyDescent="0.25">
      <c r="A463" s="8" t="s">
        <v>69</v>
      </c>
      <c r="B463" s="9"/>
      <c r="C463" s="10"/>
      <c r="D463" s="11">
        <v>0</v>
      </c>
      <c r="F463" s="11">
        <v>0</v>
      </c>
      <c r="G463" s="11">
        <v>0</v>
      </c>
      <c r="H463" s="11">
        <v>0</v>
      </c>
      <c r="J463" s="11">
        <f t="shared" si="78"/>
        <v>0</v>
      </c>
      <c r="M463" s="12">
        <f t="shared" si="79"/>
        <v>0</v>
      </c>
      <c r="P463"/>
      <c r="Q463"/>
      <c r="R463"/>
      <c r="V463"/>
      <c r="W463"/>
      <c r="X463"/>
    </row>
    <row r="464" spans="1:24" ht="12.75" customHeight="1" x14ac:dyDescent="0.25">
      <c r="A464" s="13" t="s">
        <v>30</v>
      </c>
      <c r="B464" s="14"/>
      <c r="C464" s="13"/>
      <c r="D464" s="15">
        <v>327298.25</v>
      </c>
      <c r="E464" s="15">
        <v>0</v>
      </c>
      <c r="F464" s="15">
        <v>0</v>
      </c>
      <c r="G464" s="15">
        <v>79.989999999999995</v>
      </c>
      <c r="H464" s="15">
        <v>0</v>
      </c>
      <c r="I464" s="15">
        <v>0</v>
      </c>
      <c r="J464" s="15">
        <f t="shared" ref="J464" si="80">SUM(J451:J463)</f>
        <v>327378.24</v>
      </c>
      <c r="L464" s="15">
        <f>SUM(L451:L463)</f>
        <v>476301</v>
      </c>
      <c r="P464"/>
      <c r="Q464"/>
      <c r="R464"/>
      <c r="V464"/>
      <c r="W464"/>
      <c r="X464"/>
    </row>
    <row r="465" spans="1:24" ht="12.75" customHeight="1" x14ac:dyDescent="0.25">
      <c r="P465"/>
      <c r="Q465"/>
      <c r="R465"/>
      <c r="V465"/>
      <c r="W465"/>
      <c r="X465"/>
    </row>
    <row r="466" spans="1:24" ht="12.75" customHeight="1" x14ac:dyDescent="0.25">
      <c r="O466" s="5" t="s">
        <v>12</v>
      </c>
      <c r="P466"/>
      <c r="Q466"/>
      <c r="R466"/>
      <c r="V466"/>
      <c r="W466"/>
      <c r="X466"/>
    </row>
    <row r="467" spans="1:24" ht="12.75" customHeight="1" x14ac:dyDescent="0.25">
      <c r="O467" s="11">
        <v>217000</v>
      </c>
      <c r="P467"/>
      <c r="Q467"/>
      <c r="R467"/>
      <c r="V467"/>
      <c r="W467"/>
      <c r="X467"/>
    </row>
    <row r="468" spans="1:24" ht="12.75" customHeight="1" x14ac:dyDescent="0.25">
      <c r="A468" s="4" t="s">
        <v>0</v>
      </c>
      <c r="B468" s="5" t="s">
        <v>1</v>
      </c>
      <c r="C468" s="4" t="s">
        <v>2</v>
      </c>
      <c r="D468" s="5" t="s">
        <v>3</v>
      </c>
      <c r="E468" s="5" t="s">
        <v>4</v>
      </c>
      <c r="F468" s="5" t="s">
        <v>5</v>
      </c>
      <c r="G468" s="5" t="s">
        <v>6</v>
      </c>
      <c r="H468" s="5" t="s">
        <v>7</v>
      </c>
      <c r="I468" s="5" t="s">
        <v>8</v>
      </c>
      <c r="J468" s="5" t="s">
        <v>9</v>
      </c>
      <c r="L468" s="7" t="s">
        <v>10</v>
      </c>
      <c r="M468" s="7" t="s">
        <v>11</v>
      </c>
      <c r="P468"/>
      <c r="Q468"/>
      <c r="R468"/>
      <c r="U468" s="2" t="s">
        <v>629</v>
      </c>
      <c r="V468"/>
      <c r="W468"/>
      <c r="X468"/>
    </row>
    <row r="469" spans="1:24" ht="12.75" customHeight="1" x14ac:dyDescent="0.25">
      <c r="A469" s="8" t="s">
        <v>296</v>
      </c>
      <c r="B469" s="9" t="s">
        <v>184</v>
      </c>
      <c r="C469" s="10" t="s">
        <v>297</v>
      </c>
      <c r="D469" s="11">
        <v>58223.18</v>
      </c>
      <c r="F469" s="11">
        <v>0</v>
      </c>
      <c r="G469" s="11">
        <v>399.99</v>
      </c>
      <c r="H469" s="11">
        <v>0</v>
      </c>
      <c r="J469" s="11">
        <f t="shared" ref="J469:J479" si="81">SUM(D469:I469)</f>
        <v>58623.17</v>
      </c>
      <c r="L469" s="11">
        <v>39784</v>
      </c>
      <c r="M469" s="12">
        <f t="shared" ref="M469:M479" si="82">IFERROR(J469/L469,)</f>
        <v>1.4735363462698572</v>
      </c>
      <c r="P469"/>
      <c r="Q469"/>
      <c r="R469"/>
      <c r="U469" s="2" t="s">
        <v>630</v>
      </c>
      <c r="V469"/>
      <c r="W469"/>
      <c r="X469"/>
    </row>
    <row r="470" spans="1:24" ht="12.75" customHeight="1" x14ac:dyDescent="0.25">
      <c r="A470" s="8" t="s">
        <v>296</v>
      </c>
      <c r="B470" s="9" t="s">
        <v>162</v>
      </c>
      <c r="C470" s="10" t="s">
        <v>298</v>
      </c>
      <c r="D470" s="11">
        <v>37378.269999999997</v>
      </c>
      <c r="F470" s="11">
        <v>0</v>
      </c>
      <c r="G470" s="11">
        <v>0</v>
      </c>
      <c r="H470" s="11">
        <v>0</v>
      </c>
      <c r="J470" s="11">
        <f t="shared" si="81"/>
        <v>37378.269999999997</v>
      </c>
      <c r="L470" s="11">
        <v>39784</v>
      </c>
      <c r="M470" s="12">
        <f t="shared" si="82"/>
        <v>0.93953021315101537</v>
      </c>
      <c r="P470"/>
      <c r="Q470"/>
      <c r="R470"/>
      <c r="U470" s="2" t="s">
        <v>631</v>
      </c>
      <c r="V470"/>
      <c r="W470"/>
      <c r="X470"/>
    </row>
    <row r="471" spans="1:24" ht="12.75" customHeight="1" x14ac:dyDescent="0.25">
      <c r="A471" s="8" t="s">
        <v>296</v>
      </c>
      <c r="B471" s="9" t="s">
        <v>299</v>
      </c>
      <c r="C471" s="10" t="s">
        <v>300</v>
      </c>
      <c r="D471" s="11">
        <v>25198.01</v>
      </c>
      <c r="F471" s="11">
        <v>0</v>
      </c>
      <c r="G471" s="11">
        <v>0</v>
      </c>
      <c r="H471" s="11">
        <v>0</v>
      </c>
      <c r="J471" s="11">
        <f t="shared" si="81"/>
        <v>25198.01</v>
      </c>
      <c r="L471" s="11">
        <v>39784</v>
      </c>
      <c r="M471" s="12">
        <f>IFERROR(J471/L471,)</f>
        <v>0.63337045043233453</v>
      </c>
      <c r="P471"/>
      <c r="Q471"/>
      <c r="R471"/>
      <c r="U471" s="2" t="s">
        <v>632</v>
      </c>
      <c r="V471"/>
      <c r="W471"/>
      <c r="X471"/>
    </row>
    <row r="472" spans="1:24" ht="12.75" customHeight="1" x14ac:dyDescent="0.25">
      <c r="A472" s="8" t="s">
        <v>296</v>
      </c>
      <c r="B472" s="9" t="s">
        <v>301</v>
      </c>
      <c r="C472" s="10"/>
      <c r="D472" s="11">
        <v>-400.2</v>
      </c>
      <c r="F472" s="11">
        <v>0</v>
      </c>
      <c r="G472" s="11">
        <v>0</v>
      </c>
      <c r="H472" s="11">
        <v>0</v>
      </c>
      <c r="J472" s="11">
        <f t="shared" si="81"/>
        <v>-400.2</v>
      </c>
      <c r="L472" s="11"/>
      <c r="M472" s="12">
        <f t="shared" si="82"/>
        <v>0</v>
      </c>
      <c r="P472"/>
      <c r="Q472"/>
      <c r="R472"/>
      <c r="U472" s="2" t="s">
        <v>633</v>
      </c>
      <c r="V472"/>
      <c r="W472"/>
      <c r="X472"/>
    </row>
    <row r="473" spans="1:24" ht="12.75" customHeight="1" x14ac:dyDescent="0.25">
      <c r="A473" s="8" t="s">
        <v>296</v>
      </c>
      <c r="B473" s="9" t="s">
        <v>302</v>
      </c>
      <c r="C473" s="10" t="s">
        <v>303</v>
      </c>
      <c r="D473" s="11">
        <v>48005.66</v>
      </c>
      <c r="F473" s="11">
        <v>0</v>
      </c>
      <c r="G473" s="11">
        <v>0</v>
      </c>
      <c r="H473" s="11">
        <v>0</v>
      </c>
      <c r="J473" s="11">
        <f t="shared" si="81"/>
        <v>48005.66</v>
      </c>
      <c r="L473" s="11">
        <v>39784</v>
      </c>
      <c r="M473" s="12">
        <f t="shared" si="82"/>
        <v>1.2066574502312488</v>
      </c>
      <c r="P473"/>
      <c r="Q473"/>
      <c r="R473"/>
      <c r="U473" s="2" t="s">
        <v>634</v>
      </c>
      <c r="V473"/>
      <c r="W473"/>
      <c r="X473"/>
    </row>
    <row r="474" spans="1:24" ht="12.75" customHeight="1" x14ac:dyDescent="0.25">
      <c r="A474" s="8" t="s">
        <v>296</v>
      </c>
      <c r="B474" s="9" t="s">
        <v>304</v>
      </c>
      <c r="C474" s="10" t="s">
        <v>305</v>
      </c>
      <c r="D474" s="11">
        <v>53712.55</v>
      </c>
      <c r="F474" s="11">
        <v>0</v>
      </c>
      <c r="G474" s="11">
        <v>0</v>
      </c>
      <c r="H474" s="11">
        <v>0</v>
      </c>
      <c r="J474" s="11">
        <f t="shared" si="81"/>
        <v>53712.55</v>
      </c>
      <c r="L474" s="11">
        <v>39784</v>
      </c>
      <c r="M474" s="12">
        <f t="shared" si="82"/>
        <v>1.3501043132917756</v>
      </c>
      <c r="P474"/>
      <c r="Q474"/>
      <c r="R474"/>
      <c r="U474" s="2" t="s">
        <v>635</v>
      </c>
      <c r="V474"/>
      <c r="W474"/>
      <c r="X474"/>
    </row>
    <row r="475" spans="1:24" ht="12.75" customHeight="1" x14ac:dyDescent="0.25">
      <c r="A475" s="8" t="s">
        <v>296</v>
      </c>
      <c r="B475" s="16" t="s">
        <v>306</v>
      </c>
      <c r="C475" s="10" t="s">
        <v>307</v>
      </c>
      <c r="D475" s="11">
        <v>26443.65</v>
      </c>
      <c r="F475" s="11">
        <v>0</v>
      </c>
      <c r="G475" s="11">
        <v>349.99</v>
      </c>
      <c r="H475" s="11">
        <v>0</v>
      </c>
      <c r="J475" s="11">
        <f t="shared" si="81"/>
        <v>26793.640000000003</v>
      </c>
      <c r="L475" s="11">
        <v>39784</v>
      </c>
      <c r="M475" s="12">
        <f t="shared" si="82"/>
        <v>0.67347778001206526</v>
      </c>
      <c r="P475"/>
      <c r="Q475"/>
      <c r="R475"/>
      <c r="U475" s="2" t="s">
        <v>636</v>
      </c>
      <c r="V475"/>
      <c r="W475"/>
      <c r="X475"/>
    </row>
    <row r="476" spans="1:24" ht="12.75" customHeight="1" x14ac:dyDescent="0.25">
      <c r="A476" s="8" t="s">
        <v>296</v>
      </c>
      <c r="B476" s="9"/>
      <c r="C476" s="10"/>
      <c r="D476" s="11">
        <v>0</v>
      </c>
      <c r="F476" s="11">
        <v>0</v>
      </c>
      <c r="G476" s="11">
        <v>0</v>
      </c>
      <c r="H476" s="11">
        <v>0</v>
      </c>
      <c r="J476" s="11">
        <f t="shared" si="81"/>
        <v>0</v>
      </c>
      <c r="L476" s="11"/>
      <c r="M476" s="12">
        <f t="shared" si="82"/>
        <v>0</v>
      </c>
      <c r="P476"/>
      <c r="Q476"/>
      <c r="R476"/>
      <c r="V476"/>
      <c r="W476"/>
      <c r="X476"/>
    </row>
    <row r="477" spans="1:24" ht="12.75" customHeight="1" x14ac:dyDescent="0.25">
      <c r="A477" s="8" t="s">
        <v>296</v>
      </c>
      <c r="B477" s="9"/>
      <c r="C477" s="10"/>
      <c r="D477" s="11">
        <v>0</v>
      </c>
      <c r="F477" s="11">
        <v>0</v>
      </c>
      <c r="G477" s="11">
        <v>0</v>
      </c>
      <c r="H477" s="11">
        <v>0</v>
      </c>
      <c r="J477" s="11">
        <f t="shared" si="81"/>
        <v>0</v>
      </c>
      <c r="L477" s="11"/>
      <c r="M477" s="12">
        <f t="shared" si="82"/>
        <v>0</v>
      </c>
      <c r="P477"/>
      <c r="Q477"/>
      <c r="R477"/>
      <c r="V477"/>
      <c r="W477"/>
      <c r="X477"/>
    </row>
    <row r="478" spans="1:24" ht="12.75" customHeight="1" x14ac:dyDescent="0.25">
      <c r="A478" s="8" t="s">
        <v>296</v>
      </c>
      <c r="B478" s="9"/>
      <c r="C478" s="10"/>
      <c r="D478" s="11">
        <v>0</v>
      </c>
      <c r="F478" s="11">
        <v>0</v>
      </c>
      <c r="G478" s="11">
        <v>0</v>
      </c>
      <c r="H478" s="11">
        <v>0</v>
      </c>
      <c r="J478" s="11">
        <f t="shared" si="81"/>
        <v>0</v>
      </c>
      <c r="L478" s="11"/>
      <c r="M478" s="12">
        <f t="shared" si="82"/>
        <v>0</v>
      </c>
      <c r="P478"/>
      <c r="Q478"/>
      <c r="R478"/>
      <c r="V478"/>
      <c r="W478"/>
      <c r="X478"/>
    </row>
    <row r="479" spans="1:24" ht="12.75" customHeight="1" x14ac:dyDescent="0.25">
      <c r="A479" s="8" t="s">
        <v>296</v>
      </c>
      <c r="B479" s="9"/>
      <c r="C479" s="10"/>
      <c r="D479" s="11">
        <v>0</v>
      </c>
      <c r="F479" s="11">
        <v>0</v>
      </c>
      <c r="G479" s="11">
        <v>0</v>
      </c>
      <c r="H479" s="11">
        <v>0</v>
      </c>
      <c r="J479" s="11">
        <f t="shared" si="81"/>
        <v>0</v>
      </c>
      <c r="L479" s="11"/>
      <c r="M479" s="12">
        <f t="shared" si="82"/>
        <v>0</v>
      </c>
      <c r="P479"/>
      <c r="Q479"/>
      <c r="R479"/>
      <c r="V479"/>
      <c r="W479"/>
      <c r="X479"/>
    </row>
    <row r="480" spans="1:24" ht="12.75" customHeight="1" x14ac:dyDescent="0.25">
      <c r="A480" s="13" t="s">
        <v>30</v>
      </c>
      <c r="B480" s="14"/>
      <c r="C480" s="13"/>
      <c r="D480" s="15">
        <v>248561.11999999997</v>
      </c>
      <c r="E480" s="15">
        <v>0</v>
      </c>
      <c r="F480" s="15">
        <v>0</v>
      </c>
      <c r="G480" s="15">
        <v>749.98</v>
      </c>
      <c r="H480" s="15">
        <v>0</v>
      </c>
      <c r="I480" s="15">
        <v>0</v>
      </c>
      <c r="J480" s="15">
        <f t="shared" ref="J480:L480" si="83">SUM(J469:J479)</f>
        <v>249311.10000000003</v>
      </c>
      <c r="L480" s="15">
        <f t="shared" si="83"/>
        <v>238704</v>
      </c>
      <c r="P480"/>
      <c r="Q480"/>
      <c r="R480"/>
      <c r="V480"/>
      <c r="W480"/>
      <c r="X480"/>
    </row>
    <row r="481" spans="1:24" ht="12.75" customHeight="1" x14ac:dyDescent="0.25">
      <c r="P481"/>
      <c r="Q481"/>
      <c r="R481"/>
      <c r="V481"/>
      <c r="W481"/>
      <c r="X481"/>
    </row>
    <row r="482" spans="1:24" ht="12.75" customHeight="1" x14ac:dyDescent="0.25">
      <c r="O482" s="22">
        <v>9304000</v>
      </c>
      <c r="P482"/>
      <c r="Q482"/>
      <c r="R482"/>
      <c r="V482"/>
      <c r="W482"/>
      <c r="X482"/>
    </row>
    <row r="483" spans="1:24" ht="12.75" customHeight="1" x14ac:dyDescent="0.25">
      <c r="P483"/>
      <c r="Q483"/>
      <c r="R483"/>
      <c r="V483"/>
      <c r="W483"/>
      <c r="X483"/>
    </row>
    <row r="484" spans="1:24" ht="12.75" customHeight="1" x14ac:dyDescent="0.25">
      <c r="A484" s="20" t="s">
        <v>308</v>
      </c>
      <c r="B484" s="21"/>
      <c r="C484" s="20"/>
      <c r="D484" s="22">
        <v>8982662.2699999977</v>
      </c>
      <c r="E484" s="22">
        <v>899.99</v>
      </c>
      <c r="F484" s="22">
        <v>0</v>
      </c>
      <c r="G484" s="22">
        <v>30824.350000000006</v>
      </c>
      <c r="H484" s="22">
        <v>13640.71</v>
      </c>
      <c r="I484" s="22">
        <v>0</v>
      </c>
      <c r="J484" s="22">
        <f t="shared" ref="J484" si="84">J480+J409+J393+J375+J357+J338+J320+J303+J286+J269+J252+J235+J218+J201+J184+J167+J150+J133+J116+J99+J82+J66+J49+J32+J16+J428+J446+J464</f>
        <v>9040515.0300000012</v>
      </c>
      <c r="P484"/>
      <c r="Q484"/>
      <c r="R484"/>
      <c r="V484"/>
      <c r="W484"/>
      <c r="X484"/>
    </row>
    <row r="485" spans="1:24" ht="12.75" customHeight="1" x14ac:dyDescent="0.25">
      <c r="P485"/>
      <c r="Q485"/>
      <c r="R485"/>
      <c r="V485"/>
      <c r="W485"/>
      <c r="X485"/>
    </row>
    <row r="486" spans="1:24" ht="12.75" customHeight="1" x14ac:dyDescent="0.25">
      <c r="D486" s="11">
        <v>8734101.1499999985</v>
      </c>
      <c r="E486" s="11">
        <v>899.99</v>
      </c>
      <c r="F486" s="11">
        <v>0</v>
      </c>
      <c r="G486" s="11">
        <v>30074.370000000006</v>
      </c>
      <c r="H486" s="11">
        <v>13640.71</v>
      </c>
      <c r="I486" s="11">
        <v>0</v>
      </c>
      <c r="J486" s="11">
        <f t="shared" ref="J486" si="85">J484-J480</f>
        <v>8791203.9300000016</v>
      </c>
    </row>
    <row r="487" spans="1:24" ht="12.75" customHeight="1" x14ac:dyDescent="0.25"/>
    <row r="488" spans="1:24" ht="12.75" customHeight="1" x14ac:dyDescent="0.25"/>
    <row r="489" spans="1:24" ht="12.75" customHeight="1" x14ac:dyDescent="0.25"/>
    <row r="490" spans="1:24" ht="12.75" customHeight="1" x14ac:dyDescent="0.25"/>
    <row r="491" spans="1:24" ht="12.75" customHeight="1" x14ac:dyDescent="0.25"/>
    <row r="492" spans="1:24" ht="12.75" customHeight="1" x14ac:dyDescent="0.25"/>
    <row r="493" spans="1:24" ht="12.75" customHeight="1" x14ac:dyDescent="0.25"/>
    <row r="494" spans="1:24" ht="12.75" customHeight="1" x14ac:dyDescent="0.25"/>
    <row r="495" spans="1:24" ht="12.75" customHeight="1" x14ac:dyDescent="0.25"/>
    <row r="496" spans="1:24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38:M48">
    <cfRule type="cellIs" dxfId="36" priority="36" stopIfTrue="1" operator="greaterThan">
      <formula>0.999999999999999</formula>
    </cfRule>
  </conditionalFormatting>
  <conditionalFormatting sqref="M55:M65">
    <cfRule type="cellIs" dxfId="35" priority="35" stopIfTrue="1" operator="greaterThan">
      <formula>0.999999999999999</formula>
    </cfRule>
  </conditionalFormatting>
  <conditionalFormatting sqref="M71:M81">
    <cfRule type="cellIs" dxfId="34" priority="34" stopIfTrue="1" operator="greaterThan">
      <formula>0.999999999999999</formula>
    </cfRule>
  </conditionalFormatting>
  <conditionalFormatting sqref="M88:M98">
    <cfRule type="cellIs" dxfId="33" priority="33" stopIfTrue="1" operator="greaterThan">
      <formula>0.999999999999999</formula>
    </cfRule>
  </conditionalFormatting>
  <conditionalFormatting sqref="M105:M115">
    <cfRule type="cellIs" dxfId="32" priority="32" stopIfTrue="1" operator="greaterThan">
      <formula>0.999999999999999</formula>
    </cfRule>
  </conditionalFormatting>
  <conditionalFormatting sqref="M122:M132">
    <cfRule type="cellIs" dxfId="31" priority="31" stopIfTrue="1" operator="greaterThan">
      <formula>0.999999999999999</formula>
    </cfRule>
  </conditionalFormatting>
  <conditionalFormatting sqref="M139:M149">
    <cfRule type="cellIs" dxfId="30" priority="30" stopIfTrue="1" operator="greaterThan">
      <formula>0.999999999999999</formula>
    </cfRule>
  </conditionalFormatting>
  <conditionalFormatting sqref="M156:M166">
    <cfRule type="cellIs" dxfId="29" priority="29" stopIfTrue="1" operator="greaterThan">
      <formula>0.999999999999999</formula>
    </cfRule>
  </conditionalFormatting>
  <conditionalFormatting sqref="M173:M183">
    <cfRule type="cellIs" dxfId="28" priority="28" stopIfTrue="1" operator="greaterThan">
      <formula>0.999999999999999</formula>
    </cfRule>
  </conditionalFormatting>
  <conditionalFormatting sqref="M190:M200">
    <cfRule type="cellIs" dxfId="27" priority="27" stopIfTrue="1" operator="greaterThan">
      <formula>0.999999999999999</formula>
    </cfRule>
  </conditionalFormatting>
  <conditionalFormatting sqref="M207:M217">
    <cfRule type="cellIs" dxfId="26" priority="26" stopIfTrue="1" operator="greaterThan">
      <formula>0.999999999999999</formula>
    </cfRule>
  </conditionalFormatting>
  <conditionalFormatting sqref="M224:M234">
    <cfRule type="cellIs" dxfId="25" priority="25" stopIfTrue="1" operator="greaterThan">
      <formula>0.999999999999999</formula>
    </cfRule>
  </conditionalFormatting>
  <conditionalFormatting sqref="M241:M251">
    <cfRule type="cellIs" dxfId="24" priority="24" stopIfTrue="1" operator="greaterThan">
      <formula>0.999999999999999</formula>
    </cfRule>
  </conditionalFormatting>
  <conditionalFormatting sqref="M258:M268">
    <cfRule type="cellIs" dxfId="23" priority="23" stopIfTrue="1" operator="greaterThan">
      <formula>0.999999999999999</formula>
    </cfRule>
  </conditionalFormatting>
  <conditionalFormatting sqref="M275:M285">
    <cfRule type="cellIs" dxfId="22" priority="22" stopIfTrue="1" operator="greaterThan">
      <formula>0.999999999999999</formula>
    </cfRule>
  </conditionalFormatting>
  <conditionalFormatting sqref="M292:M302">
    <cfRule type="cellIs" dxfId="21" priority="21" stopIfTrue="1" operator="greaterThan">
      <formula>0.999999999999999</formula>
    </cfRule>
  </conditionalFormatting>
  <conditionalFormatting sqref="M309:M319">
    <cfRule type="cellIs" dxfId="20" priority="20" stopIfTrue="1" operator="greaterThan">
      <formula>0.999999999999999</formula>
    </cfRule>
  </conditionalFormatting>
  <conditionalFormatting sqref="M327:M337">
    <cfRule type="cellIs" dxfId="19" priority="19" stopIfTrue="1" operator="greaterThan">
      <formula>0.999999999999999</formula>
    </cfRule>
  </conditionalFormatting>
  <conditionalFormatting sqref="M346:M356">
    <cfRule type="cellIs" dxfId="18" priority="18" stopIfTrue="1" operator="greaterThan">
      <formula>0.999999999999999</formula>
    </cfRule>
  </conditionalFormatting>
  <conditionalFormatting sqref="M364:M374">
    <cfRule type="cellIs" dxfId="17" priority="17" stopIfTrue="1" operator="greaterThan">
      <formula>0.999999999999999</formula>
    </cfRule>
  </conditionalFormatting>
  <conditionalFormatting sqref="M382:M392">
    <cfRule type="cellIs" dxfId="16" priority="16" stopIfTrue="1" operator="greaterThan">
      <formula>0.999999999999999</formula>
    </cfRule>
  </conditionalFormatting>
  <conditionalFormatting sqref="M398:M400 M402:M408">
    <cfRule type="cellIs" dxfId="15" priority="15" stopIfTrue="1" operator="greaterThan">
      <formula>0.999999999999999</formula>
    </cfRule>
  </conditionalFormatting>
  <conditionalFormatting sqref="M469:M479">
    <cfRule type="cellIs" dxfId="14" priority="14" stopIfTrue="1" operator="greaterThan">
      <formula>0.999999999999999</formula>
    </cfRule>
  </conditionalFormatting>
  <conditionalFormatting sqref="M401">
    <cfRule type="cellIs" dxfId="13" priority="13" stopIfTrue="1" operator="greaterThan">
      <formula>0.999999999999999</formula>
    </cfRule>
  </conditionalFormatting>
  <conditionalFormatting sqref="M415:M417 M419:M421 M424:M427">
    <cfRule type="cellIs" dxfId="12" priority="12" stopIfTrue="1" operator="greaterThan">
      <formula>0.999999999999999</formula>
    </cfRule>
  </conditionalFormatting>
  <conditionalFormatting sqref="M418">
    <cfRule type="cellIs" dxfId="11" priority="11" stopIfTrue="1" operator="greaterThan">
      <formula>0.999999999999999</formula>
    </cfRule>
  </conditionalFormatting>
  <conditionalFormatting sqref="M422:M423">
    <cfRule type="cellIs" dxfId="10" priority="10" stopIfTrue="1" operator="greaterThan">
      <formula>0.999999999999999</formula>
    </cfRule>
  </conditionalFormatting>
  <conditionalFormatting sqref="M433:M435 M437:M439 M442:M445">
    <cfRule type="cellIs" dxfId="9" priority="9" stopIfTrue="1" operator="greaterThan">
      <formula>0.999999999999999</formula>
    </cfRule>
  </conditionalFormatting>
  <conditionalFormatting sqref="M436">
    <cfRule type="cellIs" dxfId="8" priority="8" stopIfTrue="1" operator="greaterThan">
      <formula>0.999999999999999</formula>
    </cfRule>
  </conditionalFormatting>
  <conditionalFormatting sqref="M440:M441">
    <cfRule type="cellIs" dxfId="7" priority="7" stopIfTrue="1" operator="greaterThan">
      <formula>0.999999999999999</formula>
    </cfRule>
  </conditionalFormatting>
  <conditionalFormatting sqref="M458:M459">
    <cfRule type="cellIs" dxfId="6" priority="4" stopIfTrue="1" operator="greaterThan">
      <formula>0.999999999999999</formula>
    </cfRule>
  </conditionalFormatting>
  <conditionalFormatting sqref="M451:M453 M455:M457 M460:M463">
    <cfRule type="cellIs" dxfId="5" priority="6" stopIfTrue="1" operator="greaterThan">
      <formula>0.999999999999999</formula>
    </cfRule>
  </conditionalFormatting>
  <conditionalFormatting sqref="M454">
    <cfRule type="cellIs" dxfId="4" priority="5" stopIfTrue="1" operator="greaterThan">
      <formula>0.999999999999999</formula>
    </cfRule>
  </conditionalFormatting>
  <conditionalFormatting sqref="M5">
    <cfRule type="cellIs" dxfId="3" priority="3" stopIfTrue="1" operator="greaterThan">
      <formula>0.999999999999999</formula>
    </cfRule>
  </conditionalFormatting>
  <conditionalFormatting sqref="M6:M15">
    <cfRule type="cellIs" dxfId="2" priority="2" stopIfTrue="1" operator="greaterThan">
      <formula>0.999999999999999</formula>
    </cfRule>
  </conditionalFormatting>
  <conditionalFormatting sqref="M21:M31">
    <cfRule type="cellIs" dxfId="1" priority="1" stopIfTrue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autoPict="0" r:id="rId5">
            <anchor moveWithCells="1">
              <from>
                <xdr:col>9</xdr:col>
                <xdr:colOff>861060</xdr:colOff>
                <xdr:row>0</xdr:row>
                <xdr:rowOff>7620</xdr:rowOff>
              </from>
              <to>
                <xdr:col>14</xdr:col>
                <xdr:colOff>121920</xdr:colOff>
                <xdr:row>2</xdr:row>
                <xdr:rowOff>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7</xdr:col>
                <xdr:colOff>746760</xdr:colOff>
                <xdr:row>0</xdr:row>
                <xdr:rowOff>7620</xdr:rowOff>
              </from>
              <to>
                <xdr:col>9</xdr:col>
                <xdr:colOff>800100</xdr:colOff>
                <xdr:row>2</xdr:row>
                <xdr:rowOff>22860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DF338-F5A9-4B60-8BF7-750D45A88679}">
  <sheetPr codeName="Sheet3"/>
  <dimension ref="B3:PA34"/>
  <sheetViews>
    <sheetView showGridLines="0" topLeftCell="J1" zoomScale="90" zoomScaleNormal="90" workbookViewId="0">
      <pane ySplit="3" topLeftCell="A4" activePane="bottomLeft" state="frozen"/>
      <selection pane="bottomLeft" activeCell="AB5" sqref="AB5"/>
    </sheetView>
  </sheetViews>
  <sheetFormatPr defaultColWidth="9.109375" defaultRowHeight="14.4" x14ac:dyDescent="0.3"/>
  <cols>
    <col min="1" max="1" width="4.33203125" style="25" customWidth="1"/>
    <col min="2" max="2" width="9.109375" style="25"/>
    <col min="3" max="3" width="34.88671875" style="35" bestFit="1" customWidth="1"/>
    <col min="4" max="4" width="12.44140625" style="26" bestFit="1" customWidth="1"/>
    <col min="5" max="5" width="13.5546875" style="26" bestFit="1" customWidth="1"/>
    <col min="6" max="6" width="14.33203125" style="26" bestFit="1" customWidth="1"/>
    <col min="7" max="7" width="20.5546875" style="26" customWidth="1"/>
    <col min="8" max="10" width="16.33203125" style="26" customWidth="1"/>
    <col min="11" max="12" width="13.5546875" style="26" bestFit="1" customWidth="1"/>
    <col min="13" max="13" width="17.44140625" style="25" bestFit="1" customWidth="1"/>
    <col min="14" max="14" width="9.109375" style="25"/>
    <col min="15" max="15" width="14.21875" style="25" customWidth="1"/>
    <col min="16" max="16" width="12.88671875" style="25" customWidth="1"/>
    <col min="17" max="17" width="18.21875" style="25" customWidth="1"/>
    <col min="18" max="16384" width="9.109375" style="25"/>
  </cols>
  <sheetData>
    <row r="3" spans="2:417" x14ac:dyDescent="0.3">
      <c r="B3" s="23" t="s">
        <v>309</v>
      </c>
      <c r="C3" s="23" t="s">
        <v>0</v>
      </c>
      <c r="D3" s="24" t="s">
        <v>310</v>
      </c>
      <c r="E3" s="24" t="s">
        <v>311</v>
      </c>
      <c r="F3" s="24" t="s">
        <v>4</v>
      </c>
      <c r="G3" s="24" t="s">
        <v>312</v>
      </c>
      <c r="H3" s="24" t="s">
        <v>6</v>
      </c>
      <c r="I3" s="24" t="s">
        <v>7</v>
      </c>
      <c r="J3" s="24" t="s">
        <v>8</v>
      </c>
      <c r="K3" s="24" t="s">
        <v>9</v>
      </c>
      <c r="L3" s="24" t="s">
        <v>313</v>
      </c>
      <c r="M3" s="24" t="s">
        <v>314</v>
      </c>
      <c r="O3" s="84" t="s">
        <v>425</v>
      </c>
      <c r="P3" s="84" t="s">
        <v>426</v>
      </c>
      <c r="Q3" s="84" t="s">
        <v>430</v>
      </c>
    </row>
    <row r="4" spans="2:417" x14ac:dyDescent="0.3">
      <c r="B4" s="25" t="s">
        <v>13</v>
      </c>
      <c r="C4" s="25" t="s">
        <v>315</v>
      </c>
      <c r="D4" s="26" t="s">
        <v>316</v>
      </c>
      <c r="E4" s="27">
        <v>715461.06</v>
      </c>
      <c r="F4" s="27"/>
      <c r="G4" s="27">
        <v>0</v>
      </c>
      <c r="H4" s="27">
        <v>1449.97</v>
      </c>
      <c r="I4" s="27">
        <v>0</v>
      </c>
      <c r="J4" s="27">
        <v>0</v>
      </c>
      <c r="K4" s="28">
        <f>SUM(E4:J4)</f>
        <v>716911.03</v>
      </c>
      <c r="L4" s="27">
        <v>700000</v>
      </c>
      <c r="M4"/>
      <c r="N4"/>
      <c r="O4" t="s">
        <v>431</v>
      </c>
      <c r="P4">
        <v>1613.05</v>
      </c>
      <c r="Q4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x14ac:dyDescent="0.3">
      <c r="B5" s="25" t="s">
        <v>31</v>
      </c>
      <c r="C5" s="25" t="s">
        <v>317</v>
      </c>
      <c r="D5" s="26" t="s">
        <v>316</v>
      </c>
      <c r="E5" s="27">
        <v>481245.8</v>
      </c>
      <c r="F5" s="27"/>
      <c r="G5" s="27">
        <v>0</v>
      </c>
      <c r="H5" s="27">
        <v>199.99</v>
      </c>
      <c r="I5" s="27">
        <v>0</v>
      </c>
      <c r="J5" s="27">
        <v>0</v>
      </c>
      <c r="K5" s="28">
        <f t="shared" ref="K5:K31" si="0">SUM(E5:J5)</f>
        <v>481445.79</v>
      </c>
      <c r="L5" s="27">
        <v>450000</v>
      </c>
      <c r="M5"/>
      <c r="N5"/>
      <c r="O5" t="s">
        <v>432</v>
      </c>
      <c r="P5">
        <v>1203.615</v>
      </c>
      <c r="Q5">
        <v>2000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2:417" x14ac:dyDescent="0.3">
      <c r="B6" s="25" t="s">
        <v>48</v>
      </c>
      <c r="C6" s="25" t="s">
        <v>318</v>
      </c>
      <c r="D6" s="26" t="s">
        <v>316</v>
      </c>
      <c r="E6" s="27">
        <v>133053.01999999999</v>
      </c>
      <c r="F6" s="27"/>
      <c r="G6" s="27">
        <v>0</v>
      </c>
      <c r="H6" s="27">
        <v>1499.97</v>
      </c>
      <c r="I6" s="27">
        <v>399.99</v>
      </c>
      <c r="J6" s="27">
        <v>0</v>
      </c>
      <c r="K6" s="28">
        <f t="shared" si="0"/>
        <v>134952.97999999998</v>
      </c>
      <c r="L6" s="27">
        <v>155000</v>
      </c>
      <c r="M6"/>
      <c r="N6"/>
      <c r="O6" t="s">
        <v>433</v>
      </c>
      <c r="P6">
        <v>573.54999999999995</v>
      </c>
      <c r="Q6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25" t="s">
        <v>42</v>
      </c>
      <c r="C7" s="25" t="s">
        <v>319</v>
      </c>
      <c r="D7" s="26" t="s">
        <v>320</v>
      </c>
      <c r="E7" s="27">
        <v>248239</v>
      </c>
      <c r="F7" s="27"/>
      <c r="G7" s="27">
        <v>0</v>
      </c>
      <c r="H7" s="27">
        <v>1199.98</v>
      </c>
      <c r="I7" s="27">
        <v>899.97</v>
      </c>
      <c r="J7" s="27">
        <v>0</v>
      </c>
      <c r="K7" s="28">
        <f t="shared" si="0"/>
        <v>250338.95</v>
      </c>
      <c r="L7" s="27">
        <v>250000</v>
      </c>
      <c r="M7"/>
      <c r="N7"/>
      <c r="O7" t="s">
        <v>434</v>
      </c>
      <c r="P7">
        <v>813.60249999999996</v>
      </c>
      <c r="Q7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25" t="s">
        <v>68</v>
      </c>
      <c r="C8" s="25" t="s">
        <v>321</v>
      </c>
      <c r="D8" s="26" t="s">
        <v>320</v>
      </c>
      <c r="E8" s="27">
        <v>330343.06</v>
      </c>
      <c r="F8" s="27"/>
      <c r="G8" s="27">
        <v>0</v>
      </c>
      <c r="H8" s="27">
        <v>4639.9299999999994</v>
      </c>
      <c r="I8" s="27">
        <v>3139.9300000000003</v>
      </c>
      <c r="J8" s="27">
        <v>0</v>
      </c>
      <c r="K8" s="28">
        <f t="shared" si="0"/>
        <v>338122.92</v>
      </c>
      <c r="L8" s="27">
        <v>295000</v>
      </c>
      <c r="M8"/>
      <c r="N8"/>
      <c r="O8" t="s">
        <v>435</v>
      </c>
      <c r="P8">
        <v>929.83749999999998</v>
      </c>
      <c r="Q8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25" t="s">
        <v>81</v>
      </c>
      <c r="C9" s="25" t="s">
        <v>322</v>
      </c>
      <c r="D9" s="26" t="s">
        <v>320</v>
      </c>
      <c r="E9" s="27">
        <v>268379.58</v>
      </c>
      <c r="F9" s="27"/>
      <c r="G9" s="27">
        <v>0</v>
      </c>
      <c r="H9" s="27">
        <v>0</v>
      </c>
      <c r="I9" s="27">
        <v>349.99</v>
      </c>
      <c r="J9" s="27">
        <v>0</v>
      </c>
      <c r="K9" s="28">
        <f t="shared" si="0"/>
        <v>268729.57</v>
      </c>
      <c r="L9" s="27">
        <v>280000</v>
      </c>
      <c r="M9"/>
      <c r="N9"/>
      <c r="O9" t="s">
        <v>436</v>
      </c>
      <c r="P9">
        <v>873.37</v>
      </c>
      <c r="Q9">
        <v>2000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25" t="s">
        <v>90</v>
      </c>
      <c r="C10" s="25" t="s">
        <v>323</v>
      </c>
      <c r="D10" s="26" t="s">
        <v>320</v>
      </c>
      <c r="E10" s="27">
        <v>340647.28</v>
      </c>
      <c r="F10" s="27"/>
      <c r="G10" s="27">
        <v>0</v>
      </c>
      <c r="H10" s="27">
        <v>0</v>
      </c>
      <c r="I10" s="27">
        <v>0</v>
      </c>
      <c r="J10" s="27">
        <v>0</v>
      </c>
      <c r="K10" s="28">
        <f t="shared" si="0"/>
        <v>340647.28</v>
      </c>
      <c r="L10" s="27">
        <v>400000</v>
      </c>
      <c r="M10"/>
      <c r="N10"/>
      <c r="O10" t="s">
        <v>437</v>
      </c>
      <c r="P10">
        <v>1021.9425</v>
      </c>
      <c r="Q10">
        <v>2000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25" t="s">
        <v>99</v>
      </c>
      <c r="C11" s="25" t="s">
        <v>324</v>
      </c>
      <c r="D11" s="26" t="s">
        <v>316</v>
      </c>
      <c r="E11" s="27">
        <v>354744.4</v>
      </c>
      <c r="F11" s="27"/>
      <c r="G11" s="27">
        <v>0</v>
      </c>
      <c r="H11" s="27">
        <v>6959.869999999999</v>
      </c>
      <c r="I11" s="27">
        <v>599.99</v>
      </c>
      <c r="J11" s="27">
        <v>0</v>
      </c>
      <c r="K11" s="28">
        <f t="shared" si="0"/>
        <v>362304.26</v>
      </c>
      <c r="L11" s="27">
        <v>450000</v>
      </c>
      <c r="M11"/>
      <c r="N11"/>
      <c r="O11" t="s">
        <v>438</v>
      </c>
      <c r="P11">
        <v>1177.49</v>
      </c>
      <c r="Q11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25" t="s">
        <v>114</v>
      </c>
      <c r="C12" s="25" t="s">
        <v>325</v>
      </c>
      <c r="D12" s="26" t="s">
        <v>316</v>
      </c>
      <c r="E12" s="27">
        <v>276888.2</v>
      </c>
      <c r="F12" s="27"/>
      <c r="G12" s="27">
        <v>0</v>
      </c>
      <c r="H12" s="27">
        <v>0</v>
      </c>
      <c r="I12" s="27">
        <v>0</v>
      </c>
      <c r="J12" s="27">
        <v>0</v>
      </c>
      <c r="K12" s="28">
        <f t="shared" si="0"/>
        <v>276888.2</v>
      </c>
      <c r="L12" s="27">
        <v>220000</v>
      </c>
      <c r="M12"/>
      <c r="N12"/>
      <c r="O12" t="s">
        <v>439</v>
      </c>
      <c r="P12">
        <v>1176.7750000000001</v>
      </c>
      <c r="Q12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25" t="s">
        <v>125</v>
      </c>
      <c r="C13" s="25" t="s">
        <v>326</v>
      </c>
      <c r="D13" s="26" t="s">
        <v>316</v>
      </c>
      <c r="E13" s="27">
        <v>221005.56</v>
      </c>
      <c r="F13" s="27"/>
      <c r="G13" s="27">
        <v>0</v>
      </c>
      <c r="H13" s="27">
        <v>0</v>
      </c>
      <c r="I13" s="27">
        <v>0</v>
      </c>
      <c r="J13" s="27">
        <v>0</v>
      </c>
      <c r="K13" s="28">
        <f t="shared" si="0"/>
        <v>221005.56</v>
      </c>
      <c r="L13" s="27">
        <v>190000</v>
      </c>
      <c r="M13"/>
      <c r="N13"/>
      <c r="O13" t="s">
        <v>440</v>
      </c>
      <c r="P13">
        <v>884.02250000000004</v>
      </c>
      <c r="Q13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25" t="s">
        <v>135</v>
      </c>
      <c r="C14" s="25" t="s">
        <v>327</v>
      </c>
      <c r="D14" s="26" t="s">
        <v>316</v>
      </c>
      <c r="E14" s="27">
        <v>217176.94</v>
      </c>
      <c r="F14" s="27"/>
      <c r="G14" s="27">
        <v>0</v>
      </c>
      <c r="H14" s="27">
        <v>0</v>
      </c>
      <c r="I14" s="27">
        <v>0</v>
      </c>
      <c r="J14" s="27">
        <v>0</v>
      </c>
      <c r="K14" s="28">
        <f t="shared" si="0"/>
        <v>217176.94</v>
      </c>
      <c r="L14" s="27">
        <v>190000</v>
      </c>
      <c r="M14"/>
      <c r="N14"/>
      <c r="O14" t="s">
        <v>441</v>
      </c>
      <c r="P14">
        <v>705.82500000000005</v>
      </c>
      <c r="Q14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25" t="s">
        <v>143</v>
      </c>
      <c r="C15" s="25" t="s">
        <v>328</v>
      </c>
      <c r="D15" s="26" t="s">
        <v>320</v>
      </c>
      <c r="E15" s="27">
        <v>378579.20000000001</v>
      </c>
      <c r="F15" s="27"/>
      <c r="G15" s="27">
        <v>0</v>
      </c>
      <c r="H15" s="27">
        <v>899.99</v>
      </c>
      <c r="I15" s="27">
        <v>0</v>
      </c>
      <c r="J15" s="27">
        <v>0</v>
      </c>
      <c r="K15" s="28">
        <f t="shared" si="0"/>
        <v>379479.19</v>
      </c>
      <c r="L15" s="27">
        <v>350000</v>
      </c>
      <c r="M15"/>
      <c r="N15"/>
      <c r="O15" t="s">
        <v>442</v>
      </c>
      <c r="P15">
        <v>1138.4375</v>
      </c>
      <c r="Q15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25" t="s">
        <v>155</v>
      </c>
      <c r="C16" s="25" t="s">
        <v>329</v>
      </c>
      <c r="D16" s="26" t="s">
        <v>320</v>
      </c>
      <c r="E16" s="27">
        <v>139872.16</v>
      </c>
      <c r="F16" s="27"/>
      <c r="G16" s="27">
        <v>0</v>
      </c>
      <c r="H16" s="27">
        <v>0</v>
      </c>
      <c r="I16" s="27">
        <v>0</v>
      </c>
      <c r="J16" s="27">
        <v>0</v>
      </c>
      <c r="K16" s="28">
        <f t="shared" si="0"/>
        <v>139872.16</v>
      </c>
      <c r="L16" s="27">
        <v>135000</v>
      </c>
      <c r="M16"/>
      <c r="N16"/>
      <c r="O16" t="s">
        <v>443</v>
      </c>
      <c r="P16">
        <v>559.48749999999995</v>
      </c>
      <c r="Q16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25" t="s">
        <v>164</v>
      </c>
      <c r="C17" s="25" t="s">
        <v>330</v>
      </c>
      <c r="D17" s="26" t="s">
        <v>316</v>
      </c>
      <c r="E17" s="27">
        <v>412649.15</v>
      </c>
      <c r="F17" s="27"/>
      <c r="G17" s="27">
        <v>0</v>
      </c>
      <c r="H17" s="27">
        <v>0</v>
      </c>
      <c r="I17" s="27">
        <v>0</v>
      </c>
      <c r="J17" s="27">
        <v>0</v>
      </c>
      <c r="K17" s="28">
        <f t="shared" si="0"/>
        <v>412649.15</v>
      </c>
      <c r="L17" s="27">
        <v>540000</v>
      </c>
      <c r="M17"/>
      <c r="N17"/>
      <c r="O17" t="s">
        <v>444</v>
      </c>
      <c r="P17">
        <v>928.46</v>
      </c>
      <c r="Q17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25" t="s">
        <v>102</v>
      </c>
      <c r="C18" s="25" t="s">
        <v>331</v>
      </c>
      <c r="D18" s="26" t="s">
        <v>316</v>
      </c>
      <c r="E18" s="27">
        <v>196726.86</v>
      </c>
      <c r="F18" s="27"/>
      <c r="G18" s="27">
        <v>0</v>
      </c>
      <c r="H18" s="27">
        <v>0</v>
      </c>
      <c r="I18" s="27">
        <v>0</v>
      </c>
      <c r="J18" s="27">
        <v>0</v>
      </c>
      <c r="K18" s="28">
        <f t="shared" si="0"/>
        <v>196726.86</v>
      </c>
      <c r="L18" s="27">
        <v>240000</v>
      </c>
      <c r="M18"/>
      <c r="N18"/>
      <c r="O18" t="s">
        <v>445</v>
      </c>
      <c r="P18">
        <v>688.54499999999996</v>
      </c>
      <c r="Q18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25" t="s">
        <v>188</v>
      </c>
      <c r="C19" s="25" t="s">
        <v>332</v>
      </c>
      <c r="D19" s="26" t="s">
        <v>320</v>
      </c>
      <c r="E19" s="27">
        <v>236243.69</v>
      </c>
      <c r="F19" s="27"/>
      <c r="G19" s="27">
        <v>0</v>
      </c>
      <c r="H19" s="27">
        <v>0</v>
      </c>
      <c r="I19" s="27">
        <v>499.99</v>
      </c>
      <c r="J19" s="27">
        <v>0</v>
      </c>
      <c r="K19" s="28">
        <f t="shared" si="0"/>
        <v>236743.67999999999</v>
      </c>
      <c r="L19" s="27">
        <v>204000</v>
      </c>
      <c r="M19"/>
      <c r="N19"/>
      <c r="O19" t="s">
        <v>446</v>
      </c>
      <c r="P19">
        <v>828.60249999999996</v>
      </c>
      <c r="Q19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25" t="s">
        <v>195</v>
      </c>
      <c r="C20" s="25" t="s">
        <v>333</v>
      </c>
      <c r="D20" s="26" t="s">
        <v>316</v>
      </c>
      <c r="E20" s="27">
        <v>388564.73</v>
      </c>
      <c r="F20" s="27">
        <v>899.99</v>
      </c>
      <c r="G20" s="27">
        <v>0</v>
      </c>
      <c r="H20" s="27">
        <v>6079.88</v>
      </c>
      <c r="I20" s="27">
        <v>4600.8999999999996</v>
      </c>
      <c r="J20" s="27">
        <v>0</v>
      </c>
      <c r="K20" s="28">
        <f t="shared" si="0"/>
        <v>400145.5</v>
      </c>
      <c r="L20" s="27">
        <v>380000</v>
      </c>
      <c r="M20"/>
      <c r="N20"/>
      <c r="O20" t="s">
        <v>447</v>
      </c>
      <c r="P20">
        <v>1200.4375</v>
      </c>
      <c r="Q20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25" t="s">
        <v>207</v>
      </c>
      <c r="C21" s="25" t="s">
        <v>334</v>
      </c>
      <c r="D21" s="26" t="s">
        <v>320</v>
      </c>
      <c r="E21" s="27">
        <v>209156.33</v>
      </c>
      <c r="F21" s="27"/>
      <c r="G21" s="27">
        <v>0</v>
      </c>
      <c r="H21" s="27">
        <v>2169.9300000000003</v>
      </c>
      <c r="I21" s="27">
        <v>399.99</v>
      </c>
      <c r="J21" s="27">
        <v>0</v>
      </c>
      <c r="K21" s="28">
        <f t="shared" si="0"/>
        <v>211726.24999999997</v>
      </c>
      <c r="L21" s="27">
        <v>165000</v>
      </c>
      <c r="M21"/>
      <c r="N21"/>
      <c r="O21" t="s">
        <v>448</v>
      </c>
      <c r="P21">
        <v>846.90499999999997</v>
      </c>
      <c r="Q21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25" t="s">
        <v>215</v>
      </c>
      <c r="C22" s="25" t="s">
        <v>335</v>
      </c>
      <c r="D22" s="26" t="s">
        <v>320</v>
      </c>
      <c r="E22" s="27">
        <v>190375.56</v>
      </c>
      <c r="F22" s="27"/>
      <c r="G22" s="27">
        <v>0</v>
      </c>
      <c r="H22" s="27">
        <v>0</v>
      </c>
      <c r="I22" s="27">
        <v>0</v>
      </c>
      <c r="J22" s="27">
        <v>0</v>
      </c>
      <c r="K22" s="28">
        <f t="shared" si="0"/>
        <v>190375.56</v>
      </c>
      <c r="L22" s="27">
        <v>230000</v>
      </c>
      <c r="M22"/>
      <c r="N22"/>
      <c r="O22" t="s">
        <v>449</v>
      </c>
      <c r="P22">
        <v>713.90750000000003</v>
      </c>
      <c r="Q22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25" t="s">
        <v>224</v>
      </c>
      <c r="C23" s="25" t="s">
        <v>336</v>
      </c>
      <c r="D23" s="26" t="s">
        <v>320</v>
      </c>
      <c r="E23" s="27">
        <v>218944.44</v>
      </c>
      <c r="F23" s="27"/>
      <c r="G23" s="27">
        <v>0</v>
      </c>
      <c r="H23" s="27">
        <v>0</v>
      </c>
      <c r="I23" s="27">
        <v>0</v>
      </c>
      <c r="J23" s="27">
        <v>0</v>
      </c>
      <c r="K23" s="28">
        <f t="shared" si="0"/>
        <v>218944.44</v>
      </c>
      <c r="L23" s="27">
        <v>250000</v>
      </c>
      <c r="M23"/>
      <c r="N23"/>
      <c r="O23" t="s">
        <v>450</v>
      </c>
      <c r="P23">
        <v>821.04250000000002</v>
      </c>
      <c r="Q23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25" t="s">
        <v>108</v>
      </c>
      <c r="C24" s="25" t="s">
        <v>337</v>
      </c>
      <c r="D24" s="26" t="s">
        <v>320</v>
      </c>
      <c r="E24" s="27">
        <v>374499.31</v>
      </c>
      <c r="F24" s="27"/>
      <c r="G24" s="27">
        <v>0</v>
      </c>
      <c r="H24" s="27">
        <v>1299.99</v>
      </c>
      <c r="I24" s="27">
        <v>0</v>
      </c>
      <c r="J24" s="27">
        <v>0</v>
      </c>
      <c r="K24" s="28">
        <f t="shared" si="0"/>
        <v>375799.3</v>
      </c>
      <c r="L24" s="27">
        <v>340000</v>
      </c>
      <c r="M24"/>
      <c r="N24"/>
      <c r="O24" t="s">
        <v>451</v>
      </c>
      <c r="P24">
        <v>1127.3975</v>
      </c>
      <c r="Q24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25" t="s">
        <v>242</v>
      </c>
      <c r="C25" s="25" t="s">
        <v>338</v>
      </c>
      <c r="D25" s="26" t="s">
        <v>316</v>
      </c>
      <c r="E25" s="27">
        <v>258381.92</v>
      </c>
      <c r="F25" s="27"/>
      <c r="G25" s="27">
        <v>0</v>
      </c>
      <c r="H25" s="27">
        <v>0</v>
      </c>
      <c r="I25" s="27">
        <v>2749.96</v>
      </c>
      <c r="J25" s="27">
        <v>0</v>
      </c>
      <c r="K25" s="28">
        <f t="shared" si="0"/>
        <v>261131.88</v>
      </c>
      <c r="L25" s="27">
        <v>280000</v>
      </c>
      <c r="M25"/>
      <c r="N25"/>
      <c r="O25" t="s">
        <v>452</v>
      </c>
      <c r="P25">
        <v>913.96249999999998</v>
      </c>
      <c r="Q25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25" t="s">
        <v>112</v>
      </c>
      <c r="C26" s="25" t="s">
        <v>339</v>
      </c>
      <c r="D26" s="26" t="s">
        <v>320</v>
      </c>
      <c r="E26" s="27">
        <v>301501.28999999998</v>
      </c>
      <c r="F26" s="27"/>
      <c r="G26" s="27">
        <v>0</v>
      </c>
      <c r="H26" s="27">
        <v>2944.89</v>
      </c>
      <c r="I26" s="27">
        <v>0</v>
      </c>
      <c r="J26" s="27">
        <v>0</v>
      </c>
      <c r="K26" s="28">
        <f t="shared" si="0"/>
        <v>304446.18</v>
      </c>
      <c r="L26" s="27">
        <v>350000</v>
      </c>
      <c r="M26"/>
      <c r="N26"/>
      <c r="O26" t="s">
        <v>453</v>
      </c>
      <c r="P26">
        <v>989.45</v>
      </c>
      <c r="Q26">
        <v>1000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25" t="s">
        <v>259</v>
      </c>
      <c r="C27" s="25" t="s">
        <v>340</v>
      </c>
      <c r="D27" s="26" t="s">
        <v>320</v>
      </c>
      <c r="E27" s="27">
        <v>392505.65</v>
      </c>
      <c r="F27" s="27"/>
      <c r="G27" s="27">
        <v>0</v>
      </c>
      <c r="H27" s="27">
        <v>0</v>
      </c>
      <c r="I27" s="27">
        <v>0</v>
      </c>
      <c r="J27" s="27">
        <v>0</v>
      </c>
      <c r="K27" s="28">
        <f t="shared" si="0"/>
        <v>392505.65</v>
      </c>
      <c r="L27" s="27">
        <v>360000</v>
      </c>
      <c r="M27"/>
      <c r="N27"/>
      <c r="O27" t="s">
        <v>454</v>
      </c>
      <c r="P27">
        <v>883.13750000000005</v>
      </c>
      <c r="Q27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29" t="s">
        <v>268</v>
      </c>
      <c r="C28" s="25" t="s">
        <v>341</v>
      </c>
      <c r="D28" s="26" t="s">
        <v>316</v>
      </c>
      <c r="E28" s="27">
        <v>822206.61</v>
      </c>
      <c r="F28" s="27"/>
      <c r="G28" s="27">
        <v>0</v>
      </c>
      <c r="H28" s="27">
        <v>0</v>
      </c>
      <c r="I28" s="27">
        <v>0</v>
      </c>
      <c r="J28" s="27">
        <v>0</v>
      </c>
      <c r="K28" s="28">
        <f t="shared" si="0"/>
        <v>822206.61</v>
      </c>
      <c r="L28" s="27">
        <v>890000</v>
      </c>
      <c r="M28"/>
      <c r="N28"/>
      <c r="O28" t="s">
        <v>455</v>
      </c>
      <c r="P28">
        <v>1849.9649999999999</v>
      </c>
      <c r="Q28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29" t="s">
        <v>280</v>
      </c>
      <c r="C29" s="25" t="s">
        <v>342</v>
      </c>
      <c r="D29" s="26" t="s">
        <v>320</v>
      </c>
      <c r="E29" s="27">
        <v>299412.09999999998</v>
      </c>
      <c r="F29" s="27"/>
      <c r="G29" s="27">
        <v>0</v>
      </c>
      <c r="H29" s="27">
        <v>649.99</v>
      </c>
      <c r="I29" s="27">
        <v>0</v>
      </c>
      <c r="J29" s="27">
        <v>0</v>
      </c>
      <c r="K29" s="28">
        <f t="shared" si="0"/>
        <v>300062.08999999997</v>
      </c>
      <c r="L29" s="27">
        <v>360000</v>
      </c>
      <c r="M29"/>
      <c r="N29"/>
      <c r="O29" t="s">
        <v>456</v>
      </c>
      <c r="P29">
        <v>675.14</v>
      </c>
      <c r="Q29">
        <v>2000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29" t="s">
        <v>69</v>
      </c>
      <c r="C30" s="25" t="s">
        <v>343</v>
      </c>
      <c r="D30" s="26" t="s">
        <v>320</v>
      </c>
      <c r="E30" s="27">
        <v>327298.25</v>
      </c>
      <c r="F30" s="27"/>
      <c r="G30" s="27">
        <v>0</v>
      </c>
      <c r="H30" s="27">
        <v>79.989999999999995</v>
      </c>
      <c r="I30" s="27">
        <v>0</v>
      </c>
      <c r="J30" s="27">
        <v>0</v>
      </c>
      <c r="K30" s="28">
        <f t="shared" si="0"/>
        <v>327378.24</v>
      </c>
      <c r="L30" s="27">
        <v>433000</v>
      </c>
      <c r="M30"/>
      <c r="N30"/>
      <c r="O30"/>
      <c r="P30"/>
      <c r="Q30" t="e">
        <v>#N/A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25" t="s">
        <v>296</v>
      </c>
      <c r="C31" s="25" t="s">
        <v>344</v>
      </c>
      <c r="D31" s="26" t="s">
        <v>316</v>
      </c>
      <c r="E31" s="27">
        <v>248561.12</v>
      </c>
      <c r="F31" s="27"/>
      <c r="G31" s="27">
        <v>0</v>
      </c>
      <c r="H31" s="27">
        <v>749.98</v>
      </c>
      <c r="I31" s="27">
        <v>0</v>
      </c>
      <c r="J31" s="27">
        <v>0</v>
      </c>
      <c r="K31" s="28">
        <f t="shared" si="0"/>
        <v>249311.1</v>
      </c>
      <c r="L31" s="27">
        <v>217000</v>
      </c>
      <c r="M31"/>
      <c r="N31"/>
      <c r="O31"/>
      <c r="P31"/>
      <c r="Q31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30" t="s">
        <v>30</v>
      </c>
      <c r="C32" s="31"/>
      <c r="D32" s="32"/>
      <c r="E32" s="33">
        <f t="shared" ref="E32:L32" si="1">SUM(E4:E31)</f>
        <v>8982662.2700000014</v>
      </c>
      <c r="F32" s="33">
        <f t="shared" si="1"/>
        <v>899.99</v>
      </c>
      <c r="G32" s="33">
        <f t="shared" si="1"/>
        <v>0</v>
      </c>
      <c r="H32" s="33">
        <f t="shared" si="1"/>
        <v>30824.350000000006</v>
      </c>
      <c r="I32" s="33">
        <f t="shared" si="1"/>
        <v>13640.71</v>
      </c>
      <c r="J32" s="33">
        <f t="shared" si="1"/>
        <v>0</v>
      </c>
      <c r="K32" s="33">
        <f t="shared" si="1"/>
        <v>9028027.3200000003</v>
      </c>
      <c r="L32" s="33">
        <f t="shared" si="1"/>
        <v>9304000</v>
      </c>
      <c r="M32" s="34">
        <f t="shared" ref="M32" si="2">IFERROR(K32/L32,0)</f>
        <v>0.97033827601031819</v>
      </c>
    </row>
    <row r="33" spans="3:3" x14ac:dyDescent="0.3">
      <c r="C33" s="25"/>
    </row>
    <row r="34" spans="3:3" x14ac:dyDescent="0.3">
      <c r="C34" s="25"/>
    </row>
  </sheetData>
  <conditionalFormatting sqref="M32">
    <cfRule type="cellIs" dxfId="0" priority="3" operator="greaterThan">
      <formula>0.999999999999999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2CB6B-CA11-4471-B262-716846B9190B}">
  <sheetPr codeName="Sheet4"/>
  <dimension ref="A1"/>
  <sheetViews>
    <sheetView workbookViewId="0"/>
  </sheetViews>
  <sheetFormatPr defaultRowHeight="13.2" x14ac:dyDescent="0.25"/>
  <cols>
    <col min="1" max="1" width="82.6640625" bestFit="1" customWidth="1"/>
  </cols>
  <sheetData>
    <row r="1" spans="1:1" x14ac:dyDescent="0.25">
      <c r="A1" s="74" t="s">
        <v>428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NB</vt:lpstr>
      <vt:lpstr>Vendedor</vt:lpstr>
      <vt:lpstr>Gerentes</vt:lpstr>
      <vt:lpstr>Erros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Paula Serinho</dc:creator>
  <cp:lastModifiedBy>Usuário do Windows</cp:lastModifiedBy>
  <dcterms:created xsi:type="dcterms:W3CDTF">2021-07-01T21:20:34Z</dcterms:created>
  <dcterms:modified xsi:type="dcterms:W3CDTF">2021-07-24T02:10:11Z</dcterms:modified>
</cp:coreProperties>
</file>