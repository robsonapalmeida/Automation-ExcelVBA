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3741AE73-4267-46D6-A9CE-7A4A4D943557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Base 06-2021" sheetId="1" r:id="rId1"/>
    <sheet name="Vendedores" sheetId="2" r:id="rId2"/>
    <sheet name="Gerentes" sheetId="3" r:id="rId3"/>
    <sheet name="Prêmio William" sheetId="4" r:id="rId4"/>
    <sheet name="Prêmio_Clayton" sheetId="5" r:id="rId5"/>
    <sheet name="Abono_085" sheetId="14" r:id="rId6"/>
    <sheet name="Evento 085" sheetId="15" r:id="rId7"/>
    <sheet name="Evento 005" sheetId="6" r:id="rId8"/>
    <sheet name="Evento 078" sheetId="7" r:id="rId9"/>
    <sheet name="Evento 075" sheetId="8" r:id="rId10"/>
    <sheet name="Evento 233" sheetId="9" r:id="rId11"/>
    <sheet name="Evento 144" sheetId="10" r:id="rId12"/>
    <sheet name="Evento 256 232" sheetId="11" r:id="rId13"/>
    <sheet name="Evento 133 315" sheetId="12" r:id="rId14"/>
    <sheet name="Evento 171 314" sheetId="13" r:id="rId15"/>
    <sheet name="Erros" sheetId="17" r:id="rId16"/>
  </sheets>
  <functionGroups builtInGroupCount="19"/>
  <definedNames>
    <definedName name="_xlnm._FilterDatabase" localSheetId="0" hidden="1">'Base 06-2021'!$A$2:$AH$222</definedName>
    <definedName name="_xlnm._FilterDatabase" localSheetId="3" hidden="1">'Prêmio William'!$A$4:$M$48</definedName>
  </definedNames>
  <calcPr calcId="181029"/>
</workbook>
</file>

<file path=xl/calcChain.xml><?xml version="1.0" encoding="utf-8"?>
<calcChain xmlns="http://schemas.openxmlformats.org/spreadsheetml/2006/main">
  <c r="T171" i="1" l="1"/>
  <c r="T3" i="2" l="1"/>
  <c r="F23" i="15"/>
  <c r="D23" i="15"/>
  <c r="F22" i="15"/>
  <c r="D22" i="15" s="1"/>
  <c r="F21" i="15"/>
  <c r="D21" i="15"/>
  <c r="F20" i="15"/>
  <c r="D20" i="15"/>
  <c r="F19" i="15"/>
  <c r="D19" i="15"/>
  <c r="F18" i="15"/>
  <c r="D18" i="15" s="1"/>
  <c r="F17" i="15"/>
  <c r="D17" i="15"/>
  <c r="F16" i="15"/>
  <c r="D16" i="15" s="1"/>
  <c r="F15" i="15"/>
  <c r="D15" i="15" s="1"/>
  <c r="F14" i="15"/>
  <c r="D14" i="15"/>
  <c r="F13" i="15"/>
  <c r="D13" i="15"/>
  <c r="F12" i="15"/>
  <c r="D12" i="15" s="1"/>
  <c r="F11" i="15"/>
  <c r="D11" i="15"/>
  <c r="F10" i="15"/>
  <c r="D10" i="15" s="1"/>
  <c r="F9" i="15"/>
  <c r="D9" i="15"/>
  <c r="F8" i="15"/>
  <c r="D8" i="15"/>
  <c r="F7" i="15"/>
  <c r="D7" i="15"/>
  <c r="F6" i="15"/>
  <c r="D6" i="15" s="1"/>
  <c r="F5" i="15"/>
  <c r="D5" i="15"/>
  <c r="F117" i="13"/>
  <c r="F118" i="13"/>
  <c r="D117" i="13"/>
  <c r="D118" i="13"/>
  <c r="F116" i="13"/>
  <c r="D116" i="13"/>
  <c r="F115" i="13"/>
  <c r="D115" i="13" s="1"/>
  <c r="F114" i="13"/>
  <c r="D114" i="13" s="1"/>
  <c r="F113" i="13"/>
  <c r="D113" i="13"/>
  <c r="F112" i="13"/>
  <c r="D112" i="13" s="1"/>
  <c r="F111" i="13"/>
  <c r="D111" i="13"/>
  <c r="F110" i="13"/>
  <c r="D110" i="13"/>
  <c r="F109" i="13"/>
  <c r="D109" i="13" s="1"/>
  <c r="F108" i="13"/>
  <c r="D108" i="13" s="1"/>
  <c r="F107" i="13"/>
  <c r="D107" i="13"/>
  <c r="F106" i="13"/>
  <c r="D106" i="13" s="1"/>
  <c r="F105" i="13"/>
  <c r="D105" i="13" s="1"/>
  <c r="F104" i="13"/>
  <c r="D104" i="13"/>
  <c r="F103" i="13"/>
  <c r="D103" i="13" s="1"/>
  <c r="F102" i="13"/>
  <c r="D102" i="13" s="1"/>
  <c r="F101" i="13"/>
  <c r="D101" i="13"/>
  <c r="F100" i="13"/>
  <c r="D100" i="13" s="1"/>
  <c r="F99" i="13"/>
  <c r="D99" i="13" s="1"/>
  <c r="F98" i="13"/>
  <c r="D98" i="13"/>
  <c r="F97" i="13"/>
  <c r="D97" i="13"/>
  <c r="F96" i="13"/>
  <c r="D96" i="13" s="1"/>
  <c r="F95" i="13"/>
  <c r="D95" i="13"/>
  <c r="F94" i="13"/>
  <c r="D94" i="13" s="1"/>
  <c r="F93" i="13"/>
  <c r="D93" i="13" s="1"/>
  <c r="F92" i="13"/>
  <c r="D92" i="13"/>
  <c r="F91" i="13"/>
  <c r="D91" i="13" s="1"/>
  <c r="F90" i="13"/>
  <c r="D90" i="13" s="1"/>
  <c r="F89" i="13"/>
  <c r="D89" i="13"/>
  <c r="F88" i="13"/>
  <c r="D88" i="13" s="1"/>
  <c r="F87" i="13"/>
  <c r="D87" i="13" s="1"/>
  <c r="F86" i="13"/>
  <c r="D86" i="13"/>
  <c r="F85" i="13"/>
  <c r="D85" i="13" s="1"/>
  <c r="F84" i="13"/>
  <c r="D84" i="13" s="1"/>
  <c r="F83" i="13"/>
  <c r="D83" i="13"/>
  <c r="F82" i="13"/>
  <c r="D82" i="13" s="1"/>
  <c r="F81" i="13"/>
  <c r="D81" i="13" s="1"/>
  <c r="F80" i="13"/>
  <c r="D80" i="13"/>
  <c r="F79" i="13"/>
  <c r="D79" i="13" s="1"/>
  <c r="F78" i="13"/>
  <c r="D78" i="13" s="1"/>
  <c r="F77" i="13"/>
  <c r="D77" i="13"/>
  <c r="F76" i="13"/>
  <c r="D76" i="13" s="1"/>
  <c r="F75" i="13"/>
  <c r="D75" i="13"/>
  <c r="F74" i="13"/>
  <c r="D74" i="13"/>
  <c r="F73" i="13"/>
  <c r="D73" i="13" s="1"/>
  <c r="F72" i="13"/>
  <c r="D72" i="13" s="1"/>
  <c r="F71" i="13"/>
  <c r="D71" i="13"/>
  <c r="F70" i="13"/>
  <c r="D70" i="13" s="1"/>
  <c r="F69" i="13"/>
  <c r="D69" i="13" s="1"/>
  <c r="F68" i="13"/>
  <c r="D68" i="13"/>
  <c r="F67" i="13"/>
  <c r="D67" i="13" s="1"/>
  <c r="F66" i="13"/>
  <c r="D66" i="13" s="1"/>
  <c r="F65" i="13"/>
  <c r="D65" i="13"/>
  <c r="F64" i="13"/>
  <c r="D64" i="13" s="1"/>
  <c r="F63" i="13"/>
  <c r="D63" i="13" s="1"/>
  <c r="F62" i="13"/>
  <c r="D62" i="13"/>
  <c r="F61" i="13"/>
  <c r="D61" i="13"/>
  <c r="F60" i="13"/>
  <c r="D60" i="13" s="1"/>
  <c r="F59" i="13"/>
  <c r="D59" i="13"/>
  <c r="F58" i="13"/>
  <c r="D58" i="13" s="1"/>
  <c r="F57" i="13"/>
  <c r="D57" i="13" s="1"/>
  <c r="F56" i="13"/>
  <c r="D56" i="13"/>
  <c r="F55" i="13"/>
  <c r="D55" i="13" s="1"/>
  <c r="F54" i="13"/>
  <c r="D54" i="13" s="1"/>
  <c r="F53" i="13"/>
  <c r="D53" i="13"/>
  <c r="F52" i="13"/>
  <c r="D52" i="13" s="1"/>
  <c r="F51" i="13"/>
  <c r="D51" i="13" s="1"/>
  <c r="F50" i="13"/>
  <c r="D50" i="13"/>
  <c r="F49" i="13"/>
  <c r="D49" i="13" s="1"/>
  <c r="F48" i="13"/>
  <c r="D48" i="13" s="1"/>
  <c r="F47" i="13"/>
  <c r="D47" i="13"/>
  <c r="F46" i="13"/>
  <c r="D46" i="13" s="1"/>
  <c r="F45" i="13"/>
  <c r="D45" i="13" s="1"/>
  <c r="F44" i="13"/>
  <c r="D44" i="13"/>
  <c r="F43" i="13"/>
  <c r="D43" i="13" s="1"/>
  <c r="F42" i="13"/>
  <c r="D42" i="13" s="1"/>
  <c r="F41" i="13"/>
  <c r="D41" i="13"/>
  <c r="F40" i="13"/>
  <c r="D40" i="13" s="1"/>
  <c r="F39" i="13"/>
  <c r="D39" i="13"/>
  <c r="F38" i="13"/>
  <c r="D38" i="13"/>
  <c r="F37" i="13"/>
  <c r="D37" i="13" s="1"/>
  <c r="F36" i="13"/>
  <c r="D36" i="13" s="1"/>
  <c r="F35" i="13"/>
  <c r="D35" i="13"/>
  <c r="F34" i="13"/>
  <c r="D34" i="13" s="1"/>
  <c r="F33" i="13"/>
  <c r="D33" i="13" s="1"/>
  <c r="F32" i="13"/>
  <c r="D32" i="13"/>
  <c r="F31" i="13"/>
  <c r="D31" i="13" s="1"/>
  <c r="F30" i="13"/>
  <c r="D30" i="13" s="1"/>
  <c r="F29" i="13"/>
  <c r="D29" i="13"/>
  <c r="F28" i="13"/>
  <c r="D28" i="13" s="1"/>
  <c r="F27" i="13"/>
  <c r="D27" i="13" s="1"/>
  <c r="F26" i="13"/>
  <c r="D26" i="13"/>
  <c r="F25" i="13"/>
  <c r="D25" i="13"/>
  <c r="F24" i="13"/>
  <c r="D24" i="13" s="1"/>
  <c r="F23" i="13"/>
  <c r="D23" i="13"/>
  <c r="F22" i="13"/>
  <c r="D22" i="13" s="1"/>
  <c r="F21" i="13"/>
  <c r="D21" i="13" s="1"/>
  <c r="F20" i="13"/>
  <c r="D20" i="13"/>
  <c r="F19" i="13"/>
  <c r="D19" i="13" s="1"/>
  <c r="F18" i="13"/>
  <c r="D18" i="13" s="1"/>
  <c r="F17" i="13"/>
  <c r="D17" i="13"/>
  <c r="F16" i="13"/>
  <c r="D16" i="13" s="1"/>
  <c r="F15" i="13"/>
  <c r="D15" i="13" s="1"/>
  <c r="F14" i="13"/>
  <c r="D14" i="13"/>
  <c r="F13" i="13"/>
  <c r="D13" i="13" s="1"/>
  <c r="F12" i="13"/>
  <c r="D12" i="13" s="1"/>
  <c r="F11" i="13"/>
  <c r="D11" i="13"/>
  <c r="F10" i="13"/>
  <c r="D10" i="13" s="1"/>
  <c r="F9" i="13"/>
  <c r="D9" i="13" s="1"/>
  <c r="F8" i="13"/>
  <c r="D8" i="13"/>
  <c r="F7" i="13"/>
  <c r="D7" i="13" s="1"/>
  <c r="F6" i="13"/>
  <c r="D6" i="13" s="1"/>
  <c r="F5" i="13"/>
  <c r="D5" i="13"/>
  <c r="F236" i="12"/>
  <c r="D236" i="12" s="1"/>
  <c r="F235" i="12"/>
  <c r="D235" i="12"/>
  <c r="F234" i="12"/>
  <c r="D234" i="12"/>
  <c r="F233" i="12"/>
  <c r="D233" i="12" s="1"/>
  <c r="F232" i="12"/>
  <c r="D232" i="12" s="1"/>
  <c r="F231" i="12"/>
  <c r="D231" i="12"/>
  <c r="F230" i="12"/>
  <c r="D230" i="12" s="1"/>
  <c r="F229" i="12"/>
  <c r="D229" i="12" s="1"/>
  <c r="F228" i="12"/>
  <c r="D228" i="12"/>
  <c r="F227" i="12"/>
  <c r="D227" i="12" s="1"/>
  <c r="F226" i="12"/>
  <c r="D226" i="12" s="1"/>
  <c r="F225" i="12"/>
  <c r="D225" i="12"/>
  <c r="F224" i="12"/>
  <c r="D224" i="12" s="1"/>
  <c r="F223" i="12"/>
  <c r="D223" i="12" s="1"/>
  <c r="F222" i="12"/>
  <c r="D222" i="12"/>
  <c r="F221" i="12"/>
  <c r="D221" i="12"/>
  <c r="F220" i="12"/>
  <c r="D220" i="12" s="1"/>
  <c r="F219" i="12"/>
  <c r="D219" i="12"/>
  <c r="F218" i="12"/>
  <c r="D218" i="12" s="1"/>
  <c r="F217" i="12"/>
  <c r="D217" i="12" s="1"/>
  <c r="F216" i="12"/>
  <c r="D216" i="12"/>
  <c r="F215" i="12"/>
  <c r="D215" i="12" s="1"/>
  <c r="F214" i="12"/>
  <c r="D214" i="12" s="1"/>
  <c r="F213" i="12"/>
  <c r="D213" i="12"/>
  <c r="F212" i="12"/>
  <c r="D212" i="12" s="1"/>
  <c r="F211" i="12"/>
  <c r="D211" i="12" s="1"/>
  <c r="F210" i="12"/>
  <c r="D210" i="12"/>
  <c r="F209" i="12"/>
  <c r="D209" i="12" s="1"/>
  <c r="F208" i="12"/>
  <c r="D208" i="12" s="1"/>
  <c r="F207" i="12"/>
  <c r="D207" i="12"/>
  <c r="F206" i="12"/>
  <c r="D206" i="12" s="1"/>
  <c r="F205" i="12"/>
  <c r="D205" i="12" s="1"/>
  <c r="F204" i="12"/>
  <c r="D204" i="12"/>
  <c r="F203" i="12"/>
  <c r="D203" i="12" s="1"/>
  <c r="F202" i="12"/>
  <c r="D202" i="12" s="1"/>
  <c r="F201" i="12"/>
  <c r="D201" i="12"/>
  <c r="F200" i="12"/>
  <c r="D200" i="12" s="1"/>
  <c r="F199" i="12"/>
  <c r="D199" i="12"/>
  <c r="F198" i="12"/>
  <c r="D198" i="12"/>
  <c r="F197" i="12"/>
  <c r="D197" i="12" s="1"/>
  <c r="F196" i="12"/>
  <c r="D196" i="12" s="1"/>
  <c r="F195" i="12"/>
  <c r="D195" i="12"/>
  <c r="F194" i="12"/>
  <c r="D194" i="12" s="1"/>
  <c r="F193" i="12"/>
  <c r="D193" i="12" s="1"/>
  <c r="F192" i="12"/>
  <c r="D192" i="12"/>
  <c r="F191" i="12"/>
  <c r="D191" i="12" s="1"/>
  <c r="F190" i="12"/>
  <c r="D190" i="12" s="1"/>
  <c r="F189" i="12"/>
  <c r="D189" i="12"/>
  <c r="F188" i="12"/>
  <c r="D188" i="12" s="1"/>
  <c r="F187" i="12"/>
  <c r="D187" i="12" s="1"/>
  <c r="F186" i="12"/>
  <c r="D186" i="12"/>
  <c r="F185" i="12"/>
  <c r="D185" i="12"/>
  <c r="F184" i="12"/>
  <c r="D184" i="12" s="1"/>
  <c r="F183" i="12"/>
  <c r="D183" i="12"/>
  <c r="F182" i="12"/>
  <c r="D182" i="12" s="1"/>
  <c r="F181" i="12"/>
  <c r="D181" i="12" s="1"/>
  <c r="F180" i="12"/>
  <c r="D180" i="12"/>
  <c r="F179" i="12"/>
  <c r="D179" i="12" s="1"/>
  <c r="F178" i="12"/>
  <c r="D178" i="12" s="1"/>
  <c r="F177" i="12"/>
  <c r="D177" i="12"/>
  <c r="F176" i="12"/>
  <c r="D176" i="12" s="1"/>
  <c r="F175" i="12"/>
  <c r="D175" i="12" s="1"/>
  <c r="F174" i="12"/>
  <c r="D174" i="12"/>
  <c r="F173" i="12"/>
  <c r="D173" i="12" s="1"/>
  <c r="F172" i="12"/>
  <c r="D172" i="12" s="1"/>
  <c r="F171" i="12"/>
  <c r="D171" i="12"/>
  <c r="F170" i="12"/>
  <c r="D170" i="12" s="1"/>
  <c r="F169" i="12"/>
  <c r="D169" i="12" s="1"/>
  <c r="F168" i="12"/>
  <c r="D168" i="12"/>
  <c r="F167" i="12"/>
  <c r="D167" i="12" s="1"/>
  <c r="F166" i="12"/>
  <c r="D166" i="12" s="1"/>
  <c r="F165" i="12"/>
  <c r="D165" i="12"/>
  <c r="F164" i="12"/>
  <c r="D164" i="12" s="1"/>
  <c r="F163" i="12"/>
  <c r="D163" i="12"/>
  <c r="F162" i="12"/>
  <c r="D162" i="12"/>
  <c r="F161" i="12"/>
  <c r="D161" i="12" s="1"/>
  <c r="F160" i="12"/>
  <c r="D160" i="12" s="1"/>
  <c r="F159" i="12"/>
  <c r="D159" i="12"/>
  <c r="F158" i="12"/>
  <c r="D158" i="12" s="1"/>
  <c r="F157" i="12"/>
  <c r="D157" i="12" s="1"/>
  <c r="F156" i="12"/>
  <c r="D156" i="12"/>
  <c r="F155" i="12"/>
  <c r="D155" i="12" s="1"/>
  <c r="F154" i="12"/>
  <c r="D154" i="12" s="1"/>
  <c r="F153" i="12"/>
  <c r="D153" i="12"/>
  <c r="F152" i="12"/>
  <c r="D152" i="12" s="1"/>
  <c r="F151" i="12"/>
  <c r="D151" i="12" s="1"/>
  <c r="F150" i="12"/>
  <c r="D150" i="12"/>
  <c r="F149" i="12"/>
  <c r="D149" i="12"/>
  <c r="F148" i="12"/>
  <c r="D148" i="12" s="1"/>
  <c r="F147" i="12"/>
  <c r="D147" i="12"/>
  <c r="F146" i="12"/>
  <c r="D146" i="12" s="1"/>
  <c r="F145" i="12"/>
  <c r="D145" i="12" s="1"/>
  <c r="F144" i="12"/>
  <c r="D144" i="12"/>
  <c r="F143" i="12"/>
  <c r="D143" i="12" s="1"/>
  <c r="F142" i="12"/>
  <c r="D142" i="12" s="1"/>
  <c r="F141" i="12"/>
  <c r="D141" i="12"/>
  <c r="F140" i="12"/>
  <c r="D140" i="12" s="1"/>
  <c r="F139" i="12"/>
  <c r="D139" i="12" s="1"/>
  <c r="F138" i="12"/>
  <c r="D138" i="12"/>
  <c r="F137" i="12"/>
  <c r="D137" i="12" s="1"/>
  <c r="F136" i="12"/>
  <c r="D136" i="12" s="1"/>
  <c r="F135" i="12"/>
  <c r="D135" i="12"/>
  <c r="F134" i="12"/>
  <c r="D134" i="12" s="1"/>
  <c r="F133" i="12"/>
  <c r="D133" i="12" s="1"/>
  <c r="F132" i="12"/>
  <c r="D132" i="12"/>
  <c r="F131" i="12"/>
  <c r="D131" i="12" s="1"/>
  <c r="F130" i="12"/>
  <c r="D130" i="12" s="1"/>
  <c r="F129" i="12"/>
  <c r="D129" i="12"/>
  <c r="F128" i="12"/>
  <c r="D128" i="12" s="1"/>
  <c r="F127" i="12"/>
  <c r="D127" i="12"/>
  <c r="F126" i="12"/>
  <c r="D126" i="12"/>
  <c r="F125" i="12"/>
  <c r="D125" i="12" s="1"/>
  <c r="F124" i="12"/>
  <c r="D124" i="12" s="1"/>
  <c r="F123" i="12"/>
  <c r="D123" i="12"/>
  <c r="F122" i="12"/>
  <c r="D122" i="12" s="1"/>
  <c r="F121" i="12"/>
  <c r="D121" i="12" s="1"/>
  <c r="F120" i="12"/>
  <c r="D120" i="12"/>
  <c r="F119" i="12"/>
  <c r="D119" i="12" s="1"/>
  <c r="F118" i="12"/>
  <c r="D118" i="12" s="1"/>
  <c r="F117" i="12"/>
  <c r="D117" i="12"/>
  <c r="F116" i="12"/>
  <c r="D116" i="12" s="1"/>
  <c r="F115" i="12"/>
  <c r="D115" i="12" s="1"/>
  <c r="F114" i="12"/>
  <c r="D114" i="12"/>
  <c r="F113" i="12"/>
  <c r="D113" i="12"/>
  <c r="F112" i="12"/>
  <c r="D112" i="12" s="1"/>
  <c r="F111" i="12"/>
  <c r="D111" i="12"/>
  <c r="F110" i="12"/>
  <c r="D110" i="12" s="1"/>
  <c r="F109" i="12"/>
  <c r="D109" i="12" s="1"/>
  <c r="F108" i="12"/>
  <c r="D108" i="12"/>
  <c r="F107" i="12"/>
  <c r="D107" i="12" s="1"/>
  <c r="F106" i="12"/>
  <c r="D106" i="12" s="1"/>
  <c r="F105" i="12"/>
  <c r="D105" i="12"/>
  <c r="F104" i="12"/>
  <c r="D104" i="12" s="1"/>
  <c r="F103" i="12"/>
  <c r="D103" i="12" s="1"/>
  <c r="F102" i="12"/>
  <c r="D102" i="12"/>
  <c r="F101" i="12"/>
  <c r="D101" i="12" s="1"/>
  <c r="F100" i="12"/>
  <c r="D100" i="12" s="1"/>
  <c r="F99" i="12"/>
  <c r="D99" i="12"/>
  <c r="F98" i="12"/>
  <c r="D98" i="12" s="1"/>
  <c r="F97" i="12"/>
  <c r="D97" i="12" s="1"/>
  <c r="F96" i="12"/>
  <c r="D96" i="12"/>
  <c r="F95" i="12"/>
  <c r="D95" i="12" s="1"/>
  <c r="F94" i="12"/>
  <c r="D94" i="12" s="1"/>
  <c r="F93" i="12"/>
  <c r="D93" i="12"/>
  <c r="F92" i="12"/>
  <c r="D92" i="12" s="1"/>
  <c r="F91" i="12"/>
  <c r="D91" i="12"/>
  <c r="F90" i="12"/>
  <c r="D90" i="12"/>
  <c r="F89" i="12"/>
  <c r="D89" i="12" s="1"/>
  <c r="F88" i="12"/>
  <c r="D88" i="12" s="1"/>
  <c r="F87" i="12"/>
  <c r="D87" i="12"/>
  <c r="F86" i="12"/>
  <c r="D86" i="12" s="1"/>
  <c r="F85" i="12"/>
  <c r="D85" i="12" s="1"/>
  <c r="F84" i="12"/>
  <c r="D84" i="12"/>
  <c r="F83" i="12"/>
  <c r="D83" i="12" s="1"/>
  <c r="F82" i="12"/>
  <c r="D82" i="12" s="1"/>
  <c r="F81" i="12"/>
  <c r="D81" i="12"/>
  <c r="F80" i="12"/>
  <c r="D80" i="12" s="1"/>
  <c r="F79" i="12"/>
  <c r="D79" i="12" s="1"/>
  <c r="F78" i="12"/>
  <c r="D78" i="12"/>
  <c r="F77" i="12"/>
  <c r="D77" i="12"/>
  <c r="F76" i="12"/>
  <c r="D76" i="12" s="1"/>
  <c r="F75" i="12"/>
  <c r="D75" i="12"/>
  <c r="F74" i="12"/>
  <c r="D74" i="12" s="1"/>
  <c r="F73" i="12"/>
  <c r="D73" i="12" s="1"/>
  <c r="F72" i="12"/>
  <c r="D72" i="12"/>
  <c r="F71" i="12"/>
  <c r="D71" i="12" s="1"/>
  <c r="F70" i="12"/>
  <c r="D70" i="12" s="1"/>
  <c r="F69" i="12"/>
  <c r="D69" i="12"/>
  <c r="F68" i="12"/>
  <c r="D68" i="12" s="1"/>
  <c r="F67" i="12"/>
  <c r="D67" i="12" s="1"/>
  <c r="F66" i="12"/>
  <c r="D66" i="12"/>
  <c r="F65" i="12"/>
  <c r="D65" i="12" s="1"/>
  <c r="F64" i="12"/>
  <c r="D64" i="12" s="1"/>
  <c r="F63" i="12"/>
  <c r="D63" i="12"/>
  <c r="F62" i="12"/>
  <c r="D62" i="12" s="1"/>
  <c r="F61" i="12"/>
  <c r="D61" i="12" s="1"/>
  <c r="F60" i="12"/>
  <c r="D60" i="12"/>
  <c r="F59" i="12"/>
  <c r="D59" i="12" s="1"/>
  <c r="F58" i="12"/>
  <c r="D58" i="12" s="1"/>
  <c r="F57" i="12"/>
  <c r="D57" i="12"/>
  <c r="F56" i="12"/>
  <c r="D56" i="12" s="1"/>
  <c r="F55" i="12"/>
  <c r="D55" i="12"/>
  <c r="F54" i="12"/>
  <c r="D54" i="12"/>
  <c r="F53" i="12"/>
  <c r="D53" i="12" s="1"/>
  <c r="F52" i="12"/>
  <c r="D52" i="12" s="1"/>
  <c r="F51" i="12"/>
  <c r="D51" i="12"/>
  <c r="F50" i="12"/>
  <c r="D50" i="12" s="1"/>
  <c r="F49" i="12"/>
  <c r="D49" i="12" s="1"/>
  <c r="F48" i="12"/>
  <c r="D48" i="12"/>
  <c r="F47" i="12"/>
  <c r="D47" i="12" s="1"/>
  <c r="F46" i="12"/>
  <c r="D46" i="12" s="1"/>
  <c r="F45" i="12"/>
  <c r="D45" i="12"/>
  <c r="F44" i="12"/>
  <c r="D44" i="12" s="1"/>
  <c r="F43" i="12"/>
  <c r="D43" i="12" s="1"/>
  <c r="F42" i="12"/>
  <c r="D42" i="12"/>
  <c r="F41" i="12"/>
  <c r="D41" i="12"/>
  <c r="F40" i="12"/>
  <c r="D40" i="12" s="1"/>
  <c r="F39" i="12"/>
  <c r="D39" i="12"/>
  <c r="F38" i="12"/>
  <c r="D38" i="12" s="1"/>
  <c r="F37" i="12"/>
  <c r="D37" i="12" s="1"/>
  <c r="F36" i="12"/>
  <c r="D36" i="12"/>
  <c r="F35" i="12"/>
  <c r="D35" i="12" s="1"/>
  <c r="F34" i="12"/>
  <c r="D34" i="12" s="1"/>
  <c r="F33" i="12"/>
  <c r="D33" i="12"/>
  <c r="F32" i="12"/>
  <c r="D32" i="12" s="1"/>
  <c r="F31" i="12"/>
  <c r="D31" i="12" s="1"/>
  <c r="F30" i="12"/>
  <c r="D30" i="12"/>
  <c r="F29" i="12"/>
  <c r="D29" i="12" s="1"/>
  <c r="F28" i="12"/>
  <c r="D28" i="12" s="1"/>
  <c r="F27" i="12"/>
  <c r="D27" i="12"/>
  <c r="F26" i="12"/>
  <c r="D26" i="12" s="1"/>
  <c r="F25" i="12"/>
  <c r="D25" i="12" s="1"/>
  <c r="F24" i="12"/>
  <c r="D24" i="12"/>
  <c r="F23" i="12"/>
  <c r="D23" i="12" s="1"/>
  <c r="F22" i="12"/>
  <c r="D22" i="12" s="1"/>
  <c r="F21" i="12"/>
  <c r="D21" i="12"/>
  <c r="F20" i="12"/>
  <c r="D20" i="12" s="1"/>
  <c r="F19" i="12"/>
  <c r="D19" i="12"/>
  <c r="F18" i="12"/>
  <c r="D18" i="12"/>
  <c r="F17" i="12"/>
  <c r="D17" i="12" s="1"/>
  <c r="F16" i="12"/>
  <c r="D16" i="12" s="1"/>
  <c r="F15" i="12"/>
  <c r="D15" i="12"/>
  <c r="F14" i="12"/>
  <c r="D14" i="12" s="1"/>
  <c r="F13" i="12"/>
  <c r="D13" i="12" s="1"/>
  <c r="F12" i="12"/>
  <c r="D12" i="12"/>
  <c r="F11" i="12"/>
  <c r="D11" i="12" s="1"/>
  <c r="F10" i="12"/>
  <c r="D10" i="12" s="1"/>
  <c r="F9" i="12"/>
  <c r="D9" i="12"/>
  <c r="F8" i="12"/>
  <c r="D8" i="12" s="1"/>
  <c r="F7" i="12"/>
  <c r="D7" i="12" s="1"/>
  <c r="F6" i="12"/>
  <c r="D6" i="12"/>
  <c r="F5" i="12"/>
  <c r="D5" i="12"/>
  <c r="F84" i="11"/>
  <c r="D84" i="11" s="1"/>
  <c r="F83" i="11"/>
  <c r="D83" i="11"/>
  <c r="F82" i="11"/>
  <c r="D82" i="11" s="1"/>
  <c r="F81" i="11"/>
  <c r="D81" i="11" s="1"/>
  <c r="F80" i="11"/>
  <c r="D80" i="11"/>
  <c r="F79" i="11"/>
  <c r="D79" i="11" s="1"/>
  <c r="F78" i="11"/>
  <c r="D78" i="11" s="1"/>
  <c r="F77" i="11"/>
  <c r="D77" i="11"/>
  <c r="F76" i="11"/>
  <c r="D76" i="11" s="1"/>
  <c r="F75" i="11"/>
  <c r="D75" i="11"/>
  <c r="F74" i="11"/>
  <c r="D74" i="11"/>
  <c r="F73" i="11"/>
  <c r="D73" i="11" s="1"/>
  <c r="F72" i="11"/>
  <c r="D72" i="11" s="1"/>
  <c r="F71" i="11"/>
  <c r="D71" i="11"/>
  <c r="F70" i="11"/>
  <c r="D70" i="11" s="1"/>
  <c r="F69" i="11"/>
  <c r="D69" i="11" s="1"/>
  <c r="F68" i="11"/>
  <c r="D68" i="11"/>
  <c r="F67" i="11"/>
  <c r="D67" i="11" s="1"/>
  <c r="F66" i="11"/>
  <c r="D66" i="11" s="1"/>
  <c r="F65" i="11"/>
  <c r="D65" i="11"/>
  <c r="F64" i="11"/>
  <c r="D64" i="11" s="1"/>
  <c r="F63" i="11"/>
  <c r="D63" i="11"/>
  <c r="F62" i="11"/>
  <c r="D62" i="11"/>
  <c r="F61" i="11"/>
  <c r="D61" i="11" s="1"/>
  <c r="F60" i="11"/>
  <c r="D60" i="11" s="1"/>
  <c r="F59" i="11"/>
  <c r="D59" i="11"/>
  <c r="F58" i="11"/>
  <c r="D58" i="11" s="1"/>
  <c r="F57" i="11"/>
  <c r="D57" i="11" s="1"/>
  <c r="F56" i="11"/>
  <c r="D56" i="11"/>
  <c r="F55" i="11"/>
  <c r="D55" i="11" s="1"/>
  <c r="F54" i="11"/>
  <c r="D54" i="11" s="1"/>
  <c r="F53" i="11"/>
  <c r="D53" i="11"/>
  <c r="F52" i="11"/>
  <c r="D52" i="11" s="1"/>
  <c r="F51" i="11"/>
  <c r="D51" i="11" s="1"/>
  <c r="F50" i="11"/>
  <c r="D50" i="11"/>
  <c r="F49" i="11"/>
  <c r="D49" i="11"/>
  <c r="F48" i="11"/>
  <c r="D48" i="11" s="1"/>
  <c r="F47" i="11"/>
  <c r="D47" i="11"/>
  <c r="F46" i="11"/>
  <c r="D46" i="11" s="1"/>
  <c r="F45" i="11"/>
  <c r="D45" i="11" s="1"/>
  <c r="F44" i="11"/>
  <c r="D44" i="11"/>
  <c r="F43" i="11"/>
  <c r="D43" i="11" s="1"/>
  <c r="F42" i="11"/>
  <c r="D42" i="11" s="1"/>
  <c r="F41" i="11"/>
  <c r="D41" i="11"/>
  <c r="F40" i="11"/>
  <c r="D40" i="11" s="1"/>
  <c r="F39" i="11"/>
  <c r="D39" i="11" s="1"/>
  <c r="F38" i="11"/>
  <c r="D38" i="11"/>
  <c r="F37" i="11"/>
  <c r="D37" i="11" s="1"/>
  <c r="F36" i="11"/>
  <c r="D36" i="11" s="1"/>
  <c r="F35" i="11"/>
  <c r="D35" i="11"/>
  <c r="F34" i="11"/>
  <c r="D34" i="11" s="1"/>
  <c r="F33" i="11"/>
  <c r="D33" i="11" s="1"/>
  <c r="F32" i="11"/>
  <c r="D32" i="11"/>
  <c r="F31" i="11"/>
  <c r="D31" i="11" s="1"/>
  <c r="F30" i="11"/>
  <c r="D30" i="11" s="1"/>
  <c r="F29" i="11"/>
  <c r="D29" i="11"/>
  <c r="F28" i="11"/>
  <c r="D28" i="11" s="1"/>
  <c r="F27" i="11"/>
  <c r="D27" i="11"/>
  <c r="F26" i="11"/>
  <c r="D26" i="11"/>
  <c r="F25" i="11"/>
  <c r="D25" i="11" s="1"/>
  <c r="F24" i="11"/>
  <c r="D24" i="11" s="1"/>
  <c r="F23" i="11"/>
  <c r="D23" i="11"/>
  <c r="F22" i="11"/>
  <c r="D22" i="11" s="1"/>
  <c r="F21" i="11"/>
  <c r="D21" i="11" s="1"/>
  <c r="F20" i="11"/>
  <c r="D20" i="11"/>
  <c r="F19" i="11"/>
  <c r="D19" i="11" s="1"/>
  <c r="F18" i="11"/>
  <c r="D18" i="11" s="1"/>
  <c r="F17" i="11"/>
  <c r="D17" i="11"/>
  <c r="F16" i="11"/>
  <c r="D16" i="11" s="1"/>
  <c r="F15" i="11"/>
  <c r="D15" i="11" s="1"/>
  <c r="F14" i="11"/>
  <c r="D14" i="11"/>
  <c r="F13" i="11"/>
  <c r="D13" i="11"/>
  <c r="F12" i="11"/>
  <c r="D12" i="11" s="1"/>
  <c r="F11" i="11"/>
  <c r="D11" i="11"/>
  <c r="F10" i="11"/>
  <c r="D10" i="11" s="1"/>
  <c r="F9" i="11"/>
  <c r="D9" i="11" s="1"/>
  <c r="F8" i="11"/>
  <c r="D8" i="11"/>
  <c r="F7" i="11"/>
  <c r="D7" i="11" s="1"/>
  <c r="F6" i="11"/>
  <c r="D6" i="11" s="1"/>
  <c r="F5" i="11"/>
  <c r="D5" i="11"/>
  <c r="F221" i="10"/>
  <c r="D221" i="10" s="1"/>
  <c r="F222" i="10"/>
  <c r="F223" i="10"/>
  <c r="D223" i="10" s="1"/>
  <c r="F224" i="10"/>
  <c r="D224" i="10" s="1"/>
  <c r="D222" i="10"/>
  <c r="F220" i="10"/>
  <c r="D220" i="10" s="1"/>
  <c r="F219" i="10"/>
  <c r="D219" i="10"/>
  <c r="F218" i="10"/>
  <c r="D218" i="10" s="1"/>
  <c r="F217" i="10"/>
  <c r="D217" i="10" s="1"/>
  <c r="F216" i="10"/>
  <c r="D216" i="10"/>
  <c r="F215" i="10"/>
  <c r="D215" i="10" s="1"/>
  <c r="F214" i="10"/>
  <c r="D214" i="10" s="1"/>
  <c r="F213" i="10"/>
  <c r="D213" i="10"/>
  <c r="F212" i="10"/>
  <c r="D212" i="10" s="1"/>
  <c r="F211" i="10"/>
  <c r="D211" i="10"/>
  <c r="F210" i="10"/>
  <c r="D210" i="10"/>
  <c r="F209" i="10"/>
  <c r="D209" i="10" s="1"/>
  <c r="F208" i="10"/>
  <c r="D208" i="10" s="1"/>
  <c r="F207" i="10"/>
  <c r="D207" i="10"/>
  <c r="F206" i="10"/>
  <c r="D206" i="10" s="1"/>
  <c r="F205" i="10"/>
  <c r="D205" i="10" s="1"/>
  <c r="F204" i="10"/>
  <c r="D204" i="10"/>
  <c r="F203" i="10"/>
  <c r="D203" i="10" s="1"/>
  <c r="F202" i="10"/>
  <c r="D202" i="10" s="1"/>
  <c r="F201" i="10"/>
  <c r="D201" i="10"/>
  <c r="F200" i="10"/>
  <c r="D200" i="10" s="1"/>
  <c r="F199" i="10"/>
  <c r="D199" i="10" s="1"/>
  <c r="F198" i="10"/>
  <c r="D198" i="10"/>
  <c r="F197" i="10"/>
  <c r="D197" i="10"/>
  <c r="F196" i="10"/>
  <c r="D196" i="10" s="1"/>
  <c r="F195" i="10"/>
  <c r="D195" i="10"/>
  <c r="F194" i="10"/>
  <c r="D194" i="10" s="1"/>
  <c r="F193" i="10"/>
  <c r="D193" i="10" s="1"/>
  <c r="F192" i="10"/>
  <c r="D192" i="10"/>
  <c r="F191" i="10"/>
  <c r="D191" i="10" s="1"/>
  <c r="F190" i="10"/>
  <c r="D190" i="10" s="1"/>
  <c r="F189" i="10"/>
  <c r="D189" i="10"/>
  <c r="F188" i="10"/>
  <c r="D188" i="10" s="1"/>
  <c r="F187" i="10"/>
  <c r="D187" i="10" s="1"/>
  <c r="F186" i="10"/>
  <c r="D186" i="10"/>
  <c r="F185" i="10"/>
  <c r="D185" i="10" s="1"/>
  <c r="F184" i="10"/>
  <c r="D184" i="10" s="1"/>
  <c r="F183" i="10"/>
  <c r="D183" i="10"/>
  <c r="F182" i="10"/>
  <c r="D182" i="10" s="1"/>
  <c r="F181" i="10"/>
  <c r="D181" i="10" s="1"/>
  <c r="F180" i="10"/>
  <c r="D180" i="10"/>
  <c r="F179" i="10"/>
  <c r="D179" i="10" s="1"/>
  <c r="F178" i="10"/>
  <c r="D178" i="10" s="1"/>
  <c r="F177" i="10"/>
  <c r="D177" i="10"/>
  <c r="F176" i="10"/>
  <c r="D176" i="10" s="1"/>
  <c r="F175" i="10"/>
  <c r="D175" i="10"/>
  <c r="F174" i="10"/>
  <c r="D174" i="10"/>
  <c r="F173" i="10"/>
  <c r="D173" i="10" s="1"/>
  <c r="F172" i="10"/>
  <c r="D172" i="10" s="1"/>
  <c r="F171" i="10"/>
  <c r="D171" i="10"/>
  <c r="F170" i="10"/>
  <c r="D170" i="10" s="1"/>
  <c r="F169" i="10"/>
  <c r="D169" i="10" s="1"/>
  <c r="F168" i="10"/>
  <c r="D168" i="10"/>
  <c r="F167" i="10"/>
  <c r="D167" i="10" s="1"/>
  <c r="F166" i="10"/>
  <c r="D166" i="10" s="1"/>
  <c r="F165" i="10"/>
  <c r="D165" i="10"/>
  <c r="F164" i="10"/>
  <c r="D164" i="10" s="1"/>
  <c r="F163" i="10"/>
  <c r="D163" i="10" s="1"/>
  <c r="F162" i="10"/>
  <c r="D162" i="10"/>
  <c r="F161" i="10"/>
  <c r="D161" i="10"/>
  <c r="F160" i="10"/>
  <c r="D160" i="10" s="1"/>
  <c r="F159" i="10"/>
  <c r="D159" i="10"/>
  <c r="F158" i="10"/>
  <c r="D158" i="10" s="1"/>
  <c r="F157" i="10"/>
  <c r="D157" i="10" s="1"/>
  <c r="F156" i="10"/>
  <c r="D156" i="10"/>
  <c r="F155" i="10"/>
  <c r="D155" i="10" s="1"/>
  <c r="F154" i="10"/>
  <c r="D154" i="10"/>
  <c r="F153" i="10"/>
  <c r="D153" i="10" s="1"/>
  <c r="F152" i="10"/>
  <c r="D152" i="10"/>
  <c r="F151" i="10"/>
  <c r="D151" i="10" s="1"/>
  <c r="F150" i="10"/>
  <c r="D150" i="10" s="1"/>
  <c r="F149" i="10"/>
  <c r="D149" i="10" s="1"/>
  <c r="F148" i="10"/>
  <c r="D148" i="10"/>
  <c r="F147" i="10"/>
  <c r="D147" i="10" s="1"/>
  <c r="F146" i="10"/>
  <c r="D146" i="10"/>
  <c r="F145" i="10"/>
  <c r="D145" i="10" s="1"/>
  <c r="F144" i="10"/>
  <c r="D144" i="10" s="1"/>
  <c r="F143" i="10"/>
  <c r="D143" i="10" s="1"/>
  <c r="F142" i="10"/>
  <c r="D142" i="10"/>
  <c r="F141" i="10"/>
  <c r="D141" i="10" s="1"/>
  <c r="F140" i="10"/>
  <c r="D140" i="10"/>
  <c r="F139" i="10"/>
  <c r="D139" i="10" s="1"/>
  <c r="F138" i="10"/>
  <c r="D138" i="10" s="1"/>
  <c r="F137" i="10"/>
  <c r="D137" i="10" s="1"/>
  <c r="F136" i="10"/>
  <c r="D136" i="10"/>
  <c r="F135" i="10"/>
  <c r="D135" i="10" s="1"/>
  <c r="F134" i="10"/>
  <c r="D134" i="10"/>
  <c r="F133" i="10"/>
  <c r="D133" i="10" s="1"/>
  <c r="F132" i="10"/>
  <c r="D132" i="10" s="1"/>
  <c r="F131" i="10"/>
  <c r="D131" i="10" s="1"/>
  <c r="F130" i="10"/>
  <c r="D130" i="10"/>
  <c r="F129" i="10"/>
  <c r="D129" i="10" s="1"/>
  <c r="F128" i="10"/>
  <c r="D128" i="10"/>
  <c r="F127" i="10"/>
  <c r="D127" i="10" s="1"/>
  <c r="F126" i="10"/>
  <c r="D126" i="10" s="1"/>
  <c r="F125" i="10"/>
  <c r="D125" i="10" s="1"/>
  <c r="F124" i="10"/>
  <c r="D124" i="10"/>
  <c r="F123" i="10"/>
  <c r="D123" i="10" s="1"/>
  <c r="F122" i="10"/>
  <c r="D122" i="10"/>
  <c r="F121" i="10"/>
  <c r="D121" i="10" s="1"/>
  <c r="F120" i="10"/>
  <c r="D120" i="10" s="1"/>
  <c r="F119" i="10"/>
  <c r="D119" i="10" s="1"/>
  <c r="F118" i="10"/>
  <c r="D118" i="10"/>
  <c r="F117" i="10"/>
  <c r="D117" i="10" s="1"/>
  <c r="F116" i="10"/>
  <c r="D116" i="10"/>
  <c r="F115" i="10"/>
  <c r="D115" i="10" s="1"/>
  <c r="F114" i="10"/>
  <c r="D114" i="10" s="1"/>
  <c r="F113" i="10"/>
  <c r="D113" i="10" s="1"/>
  <c r="F112" i="10"/>
  <c r="D112" i="10"/>
  <c r="F111" i="10"/>
  <c r="D111" i="10" s="1"/>
  <c r="F110" i="10"/>
  <c r="D110" i="10"/>
  <c r="F109" i="10"/>
  <c r="D109" i="10" s="1"/>
  <c r="F108" i="10"/>
  <c r="D108" i="10" s="1"/>
  <c r="F107" i="10"/>
  <c r="D107" i="10" s="1"/>
  <c r="F106" i="10"/>
  <c r="D106" i="10"/>
  <c r="F105" i="10"/>
  <c r="D105" i="10" s="1"/>
  <c r="F104" i="10"/>
  <c r="D104" i="10"/>
  <c r="F103" i="10"/>
  <c r="D103" i="10" s="1"/>
  <c r="F102" i="10"/>
  <c r="D102" i="10" s="1"/>
  <c r="F101" i="10"/>
  <c r="D101" i="10" s="1"/>
  <c r="F100" i="10"/>
  <c r="D100" i="10"/>
  <c r="F99" i="10"/>
  <c r="D99" i="10" s="1"/>
  <c r="F98" i="10"/>
  <c r="D98" i="10"/>
  <c r="F97" i="10"/>
  <c r="D97" i="10" s="1"/>
  <c r="F96" i="10"/>
  <c r="D96" i="10" s="1"/>
  <c r="F95" i="10"/>
  <c r="D95" i="10" s="1"/>
  <c r="F94" i="10"/>
  <c r="D94" i="10"/>
  <c r="F93" i="10"/>
  <c r="D93" i="10" s="1"/>
  <c r="F92" i="10"/>
  <c r="D92" i="10"/>
  <c r="F91" i="10"/>
  <c r="D91" i="10" s="1"/>
  <c r="F90" i="10"/>
  <c r="D90" i="10" s="1"/>
  <c r="F89" i="10"/>
  <c r="D89" i="10" s="1"/>
  <c r="F88" i="10"/>
  <c r="D88" i="10"/>
  <c r="F87" i="10"/>
  <c r="D87" i="10" s="1"/>
  <c r="F86" i="10"/>
  <c r="D86" i="10"/>
  <c r="F85" i="10"/>
  <c r="D85" i="10" s="1"/>
  <c r="F84" i="10"/>
  <c r="D84" i="10" s="1"/>
  <c r="F83" i="10"/>
  <c r="D83" i="10" s="1"/>
  <c r="F82" i="10"/>
  <c r="D82" i="10"/>
  <c r="F81" i="10"/>
  <c r="D81" i="10" s="1"/>
  <c r="F80" i="10"/>
  <c r="D80" i="10"/>
  <c r="F79" i="10"/>
  <c r="D79" i="10" s="1"/>
  <c r="F78" i="10"/>
  <c r="D78" i="10" s="1"/>
  <c r="F77" i="10"/>
  <c r="D77" i="10" s="1"/>
  <c r="F76" i="10"/>
  <c r="D76" i="10"/>
  <c r="F75" i="10"/>
  <c r="D75" i="10" s="1"/>
  <c r="F74" i="10"/>
  <c r="D74" i="10"/>
  <c r="F73" i="10"/>
  <c r="D73" i="10" s="1"/>
  <c r="F72" i="10"/>
  <c r="D72" i="10" s="1"/>
  <c r="F71" i="10"/>
  <c r="D71" i="10" s="1"/>
  <c r="F70" i="10"/>
  <c r="D70" i="10"/>
  <c r="F69" i="10"/>
  <c r="D69" i="10" s="1"/>
  <c r="F68" i="10"/>
  <c r="D68" i="10"/>
  <c r="F67" i="10"/>
  <c r="D67" i="10" s="1"/>
  <c r="F66" i="10"/>
  <c r="D66" i="10" s="1"/>
  <c r="F65" i="10"/>
  <c r="D65" i="10" s="1"/>
  <c r="F64" i="10"/>
  <c r="D64" i="10"/>
  <c r="F63" i="10"/>
  <c r="D63" i="10" s="1"/>
  <c r="F62" i="10"/>
  <c r="D62" i="10"/>
  <c r="F61" i="10"/>
  <c r="D61" i="10" s="1"/>
  <c r="F60" i="10"/>
  <c r="D60" i="10" s="1"/>
  <c r="F59" i="10"/>
  <c r="D59" i="10" s="1"/>
  <c r="F58" i="10"/>
  <c r="D58" i="10"/>
  <c r="F57" i="10"/>
  <c r="D57" i="10" s="1"/>
  <c r="F56" i="10"/>
  <c r="D56" i="10"/>
  <c r="F55" i="10"/>
  <c r="D55" i="10" s="1"/>
  <c r="F54" i="10"/>
  <c r="D54" i="10" s="1"/>
  <c r="F53" i="10"/>
  <c r="D53" i="10" s="1"/>
  <c r="F52" i="10"/>
  <c r="D52" i="10"/>
  <c r="F51" i="10"/>
  <c r="D51" i="10" s="1"/>
  <c r="F50" i="10"/>
  <c r="D50" i="10"/>
  <c r="F49" i="10"/>
  <c r="D49" i="10" s="1"/>
  <c r="F48" i="10"/>
  <c r="D48" i="10" s="1"/>
  <c r="F47" i="10"/>
  <c r="D47" i="10" s="1"/>
  <c r="F46" i="10"/>
  <c r="D46" i="10"/>
  <c r="F45" i="10"/>
  <c r="D45" i="10" s="1"/>
  <c r="F44" i="10"/>
  <c r="D44" i="10"/>
  <c r="F43" i="10"/>
  <c r="D43" i="10" s="1"/>
  <c r="F42" i="10"/>
  <c r="D42" i="10" s="1"/>
  <c r="F41" i="10"/>
  <c r="D41" i="10" s="1"/>
  <c r="F40" i="10"/>
  <c r="D40" i="10"/>
  <c r="F39" i="10"/>
  <c r="D39" i="10" s="1"/>
  <c r="F38" i="10"/>
  <c r="D38" i="10"/>
  <c r="F37" i="10"/>
  <c r="D37" i="10" s="1"/>
  <c r="F36" i="10"/>
  <c r="D36" i="10" s="1"/>
  <c r="F35" i="10"/>
  <c r="D35" i="10" s="1"/>
  <c r="F34" i="10"/>
  <c r="D34" i="10"/>
  <c r="F33" i="10"/>
  <c r="D33" i="10" s="1"/>
  <c r="F32" i="10"/>
  <c r="D32" i="10"/>
  <c r="F31" i="10"/>
  <c r="D31" i="10" s="1"/>
  <c r="F30" i="10"/>
  <c r="D30" i="10" s="1"/>
  <c r="F29" i="10"/>
  <c r="D29" i="10" s="1"/>
  <c r="F28" i="10"/>
  <c r="D28" i="10"/>
  <c r="F27" i="10"/>
  <c r="D27" i="10" s="1"/>
  <c r="F26" i="10"/>
  <c r="D26" i="10"/>
  <c r="F25" i="10"/>
  <c r="D25" i="10" s="1"/>
  <c r="F24" i="10"/>
  <c r="D24" i="10" s="1"/>
  <c r="F23" i="10"/>
  <c r="D23" i="10" s="1"/>
  <c r="F22" i="10"/>
  <c r="D22" i="10"/>
  <c r="F21" i="10"/>
  <c r="D21" i="10" s="1"/>
  <c r="F20" i="10"/>
  <c r="D20" i="10"/>
  <c r="F19" i="10"/>
  <c r="D19" i="10" s="1"/>
  <c r="F18" i="10"/>
  <c r="D18" i="10" s="1"/>
  <c r="F17" i="10"/>
  <c r="D17" i="10" s="1"/>
  <c r="F16" i="10"/>
  <c r="D16" i="10"/>
  <c r="F15" i="10"/>
  <c r="D15" i="10" s="1"/>
  <c r="F14" i="10"/>
  <c r="D14" i="10"/>
  <c r="F13" i="10"/>
  <c r="D13" i="10" s="1"/>
  <c r="F12" i="10"/>
  <c r="D12" i="10" s="1"/>
  <c r="F11" i="10"/>
  <c r="D11" i="10" s="1"/>
  <c r="F10" i="10"/>
  <c r="D10" i="10"/>
  <c r="F9" i="10"/>
  <c r="D9" i="10" s="1"/>
  <c r="F8" i="10"/>
  <c r="D8" i="10"/>
  <c r="F7" i="10"/>
  <c r="D7" i="10" s="1"/>
  <c r="F6" i="10"/>
  <c r="D6" i="10" s="1"/>
  <c r="F5" i="10"/>
  <c r="D5" i="10" s="1"/>
  <c r="F52" i="9"/>
  <c r="D52" i="9"/>
  <c r="F51" i="9"/>
  <c r="D51" i="9" s="1"/>
  <c r="F50" i="9"/>
  <c r="D50" i="9"/>
  <c r="F49" i="9"/>
  <c r="D49" i="9" s="1"/>
  <c r="F48" i="9"/>
  <c r="D48" i="9" s="1"/>
  <c r="F47" i="9"/>
  <c r="D47" i="9" s="1"/>
  <c r="F46" i="9"/>
  <c r="D46" i="9"/>
  <c r="F45" i="9"/>
  <c r="D45" i="9" s="1"/>
  <c r="F44" i="9"/>
  <c r="D44" i="9"/>
  <c r="F43" i="9"/>
  <c r="D43" i="9" s="1"/>
  <c r="F42" i="9"/>
  <c r="D42" i="9" s="1"/>
  <c r="F41" i="9"/>
  <c r="D41" i="9" s="1"/>
  <c r="F40" i="9"/>
  <c r="D40" i="9"/>
  <c r="F39" i="9"/>
  <c r="D39" i="9" s="1"/>
  <c r="F38" i="9"/>
  <c r="D38" i="9"/>
  <c r="F37" i="9"/>
  <c r="D37" i="9" s="1"/>
  <c r="F36" i="9"/>
  <c r="D36" i="9" s="1"/>
  <c r="F35" i="9"/>
  <c r="D35" i="9" s="1"/>
  <c r="F34" i="9"/>
  <c r="D34" i="9"/>
  <c r="F33" i="9"/>
  <c r="D33" i="9" s="1"/>
  <c r="F32" i="9"/>
  <c r="D32" i="9"/>
  <c r="F31" i="9"/>
  <c r="D31" i="9" s="1"/>
  <c r="F30" i="9"/>
  <c r="D30" i="9" s="1"/>
  <c r="F29" i="9"/>
  <c r="D29" i="9" s="1"/>
  <c r="F28" i="9"/>
  <c r="D28" i="9"/>
  <c r="F27" i="9"/>
  <c r="D27" i="9" s="1"/>
  <c r="F26" i="9"/>
  <c r="D26" i="9"/>
  <c r="F25" i="9"/>
  <c r="D25" i="9" s="1"/>
  <c r="F24" i="9"/>
  <c r="D24" i="9" s="1"/>
  <c r="F23" i="9"/>
  <c r="D23" i="9" s="1"/>
  <c r="F22" i="9"/>
  <c r="D22" i="9"/>
  <c r="F21" i="9"/>
  <c r="D21" i="9" s="1"/>
  <c r="F20" i="9"/>
  <c r="D20" i="9"/>
  <c r="F19" i="9"/>
  <c r="D19" i="9" s="1"/>
  <c r="F18" i="9"/>
  <c r="D18" i="9" s="1"/>
  <c r="F17" i="9"/>
  <c r="D17" i="9" s="1"/>
  <c r="F16" i="9"/>
  <c r="D16" i="9"/>
  <c r="F15" i="9"/>
  <c r="D15" i="9" s="1"/>
  <c r="F14" i="9"/>
  <c r="D14" i="9"/>
  <c r="F13" i="9"/>
  <c r="D13" i="9" s="1"/>
  <c r="F12" i="9"/>
  <c r="D12" i="9" s="1"/>
  <c r="F11" i="9"/>
  <c r="D11" i="9" s="1"/>
  <c r="F10" i="9"/>
  <c r="D10" i="9"/>
  <c r="F9" i="9"/>
  <c r="D9" i="9" s="1"/>
  <c r="F8" i="9"/>
  <c r="D8" i="9"/>
  <c r="F7" i="9"/>
  <c r="D7" i="9" s="1"/>
  <c r="F6" i="9"/>
  <c r="D6" i="9" s="1"/>
  <c r="F5" i="9"/>
  <c r="D5" i="9" s="1"/>
  <c r="F80" i="8"/>
  <c r="D80" i="8"/>
  <c r="F79" i="8"/>
  <c r="D79" i="8" s="1"/>
  <c r="F78" i="8"/>
  <c r="D78" i="8"/>
  <c r="F77" i="8"/>
  <c r="D77" i="8" s="1"/>
  <c r="F76" i="8"/>
  <c r="D76" i="8" s="1"/>
  <c r="F75" i="8"/>
  <c r="D75" i="8" s="1"/>
  <c r="F74" i="8"/>
  <c r="D74" i="8"/>
  <c r="F73" i="8"/>
  <c r="D73" i="8" s="1"/>
  <c r="F72" i="8"/>
  <c r="D72" i="8"/>
  <c r="F71" i="8"/>
  <c r="D71" i="8" s="1"/>
  <c r="F70" i="8"/>
  <c r="D70" i="8" s="1"/>
  <c r="F69" i="8"/>
  <c r="D69" i="8" s="1"/>
  <c r="F68" i="8"/>
  <c r="D68" i="8"/>
  <c r="F67" i="8"/>
  <c r="D67" i="8" s="1"/>
  <c r="F66" i="8"/>
  <c r="D66" i="8"/>
  <c r="F65" i="8"/>
  <c r="D65" i="8" s="1"/>
  <c r="F64" i="8"/>
  <c r="D64" i="8" s="1"/>
  <c r="F63" i="8"/>
  <c r="D63" i="8" s="1"/>
  <c r="F62" i="8"/>
  <c r="D62" i="8"/>
  <c r="F61" i="8"/>
  <c r="D61" i="8" s="1"/>
  <c r="F60" i="8"/>
  <c r="D60" i="8"/>
  <c r="F59" i="8"/>
  <c r="D59" i="8" s="1"/>
  <c r="F58" i="8"/>
  <c r="D58" i="8" s="1"/>
  <c r="F57" i="8"/>
  <c r="D57" i="8" s="1"/>
  <c r="F56" i="8"/>
  <c r="D56" i="8"/>
  <c r="F55" i="8"/>
  <c r="D55" i="8" s="1"/>
  <c r="F54" i="8"/>
  <c r="D54" i="8"/>
  <c r="F53" i="8"/>
  <c r="D53" i="8" s="1"/>
  <c r="F52" i="8"/>
  <c r="D52" i="8" s="1"/>
  <c r="F51" i="8"/>
  <c r="D51" i="8" s="1"/>
  <c r="F50" i="8"/>
  <c r="D50" i="8"/>
  <c r="F49" i="8"/>
  <c r="D49" i="8" s="1"/>
  <c r="F48" i="8"/>
  <c r="D48" i="8"/>
  <c r="F47" i="8"/>
  <c r="D47" i="8" s="1"/>
  <c r="F46" i="8"/>
  <c r="D46" i="8" s="1"/>
  <c r="F45" i="8"/>
  <c r="D45" i="8" s="1"/>
  <c r="F44" i="8"/>
  <c r="D44" i="8" s="1"/>
  <c r="F43" i="8"/>
  <c r="D43" i="8" s="1"/>
  <c r="F42" i="8"/>
  <c r="D42" i="8"/>
  <c r="F41" i="8"/>
  <c r="D41" i="8" s="1"/>
  <c r="F40" i="8"/>
  <c r="D40" i="8" s="1"/>
  <c r="F39" i="8"/>
  <c r="D39" i="8" s="1"/>
  <c r="F38" i="8"/>
  <c r="D38" i="8" s="1"/>
  <c r="F37" i="8"/>
  <c r="D37" i="8" s="1"/>
  <c r="F36" i="8"/>
  <c r="D36" i="8"/>
  <c r="F35" i="8"/>
  <c r="D35" i="8" s="1"/>
  <c r="F34" i="8"/>
  <c r="D34" i="8" s="1"/>
  <c r="F33" i="8"/>
  <c r="D33" i="8" s="1"/>
  <c r="F32" i="8"/>
  <c r="D32" i="8"/>
  <c r="F31" i="8"/>
  <c r="D31" i="8" s="1"/>
  <c r="F30" i="8"/>
  <c r="D30" i="8"/>
  <c r="F29" i="8"/>
  <c r="D29" i="8" s="1"/>
  <c r="F28" i="8"/>
  <c r="D28" i="8" s="1"/>
  <c r="F27" i="8"/>
  <c r="D27" i="8" s="1"/>
  <c r="F26" i="8"/>
  <c r="D26" i="8" s="1"/>
  <c r="F25" i="8"/>
  <c r="D25" i="8" s="1"/>
  <c r="F24" i="8"/>
  <c r="D24" i="8"/>
  <c r="F23" i="8"/>
  <c r="D23" i="8" s="1"/>
  <c r="F22" i="8"/>
  <c r="D22" i="8" s="1"/>
  <c r="F21" i="8"/>
  <c r="D21" i="8" s="1"/>
  <c r="F20" i="8"/>
  <c r="D20" i="8" s="1"/>
  <c r="F19" i="8"/>
  <c r="D19" i="8" s="1"/>
  <c r="F18" i="8"/>
  <c r="D18" i="8"/>
  <c r="F17" i="8"/>
  <c r="D17" i="8" s="1"/>
  <c r="F16" i="8"/>
  <c r="D16" i="8" s="1"/>
  <c r="F15" i="8"/>
  <c r="D15" i="8" s="1"/>
  <c r="F14" i="8"/>
  <c r="D14" i="8"/>
  <c r="F13" i="8"/>
  <c r="D13" i="8" s="1"/>
  <c r="F12" i="8"/>
  <c r="D12" i="8"/>
  <c r="F11" i="8"/>
  <c r="D11" i="8" s="1"/>
  <c r="F10" i="8"/>
  <c r="D10" i="8" s="1"/>
  <c r="F9" i="8"/>
  <c r="D9" i="8" s="1"/>
  <c r="F8" i="8"/>
  <c r="D8" i="8" s="1"/>
  <c r="F7" i="8"/>
  <c r="D7" i="8" s="1"/>
  <c r="F6" i="8"/>
  <c r="D6" i="8"/>
  <c r="F5" i="8"/>
  <c r="D5" i="8" s="1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L30" i="3"/>
  <c r="J30" i="3"/>
  <c r="I30" i="3"/>
  <c r="H30" i="3"/>
  <c r="G30" i="3"/>
  <c r="F30" i="3"/>
  <c r="E30" i="3"/>
  <c r="K29" i="3"/>
  <c r="O29" i="3" s="1"/>
  <c r="P29" i="3" s="1"/>
  <c r="K28" i="3"/>
  <c r="O28" i="3"/>
  <c r="P28" i="3" s="1"/>
  <c r="K27" i="3"/>
  <c r="M27" i="3" s="1"/>
  <c r="Q27" i="3" s="1"/>
  <c r="O26" i="3"/>
  <c r="P26" i="3" s="1"/>
  <c r="M26" i="3"/>
  <c r="Q26" i="3" s="1"/>
  <c r="K26" i="3"/>
  <c r="K25" i="3"/>
  <c r="O25" i="3" s="1"/>
  <c r="P25" i="3" s="1"/>
  <c r="K24" i="3"/>
  <c r="O24" i="3"/>
  <c r="P24" i="3"/>
  <c r="K23" i="3"/>
  <c r="M23" i="3"/>
  <c r="Q23" i="3" s="1"/>
  <c r="O22" i="3"/>
  <c r="P22" i="3" s="1"/>
  <c r="K22" i="3"/>
  <c r="M22" i="3" s="1"/>
  <c r="Q22" i="3" s="1"/>
  <c r="K21" i="3"/>
  <c r="O21" i="3" s="1"/>
  <c r="P21" i="3" s="1"/>
  <c r="M21" i="3"/>
  <c r="Q21" i="3" s="1"/>
  <c r="K20" i="3"/>
  <c r="O20" i="3" s="1"/>
  <c r="P20" i="3" s="1"/>
  <c r="K19" i="3"/>
  <c r="M19" i="3" s="1"/>
  <c r="Q19" i="3" s="1"/>
  <c r="K18" i="3"/>
  <c r="O18" i="3" s="1"/>
  <c r="P18" i="3" s="1"/>
  <c r="K17" i="3"/>
  <c r="O17" i="3" s="1"/>
  <c r="P17" i="3" s="1"/>
  <c r="K16" i="3"/>
  <c r="O16" i="3"/>
  <c r="P16" i="3" s="1"/>
  <c r="K15" i="3"/>
  <c r="M15" i="3" s="1"/>
  <c r="Q15" i="3" s="1"/>
  <c r="O14" i="3"/>
  <c r="P14" i="3" s="1"/>
  <c r="M14" i="3"/>
  <c r="Q14" i="3" s="1"/>
  <c r="K14" i="3"/>
  <c r="K13" i="3"/>
  <c r="O13" i="3" s="1"/>
  <c r="P13" i="3" s="1"/>
  <c r="K12" i="3"/>
  <c r="O12" i="3"/>
  <c r="P12" i="3"/>
  <c r="K11" i="3"/>
  <c r="M11" i="3"/>
  <c r="Q11" i="3" s="1"/>
  <c r="O10" i="3"/>
  <c r="P10" i="3" s="1"/>
  <c r="K10" i="3"/>
  <c r="M10" i="3" s="1"/>
  <c r="Q10" i="3" s="1"/>
  <c r="K9" i="3"/>
  <c r="O9" i="3" s="1"/>
  <c r="P9" i="3" s="1"/>
  <c r="M9" i="3"/>
  <c r="Q9" i="3" s="1"/>
  <c r="K8" i="3"/>
  <c r="O8" i="3" s="1"/>
  <c r="P8" i="3" s="1"/>
  <c r="K7" i="3"/>
  <c r="M7" i="3" s="1"/>
  <c r="Q7" i="3" s="1"/>
  <c r="K6" i="3"/>
  <c r="O6" i="3" s="1"/>
  <c r="P6" i="3" s="1"/>
  <c r="K5" i="3"/>
  <c r="O5" i="3" s="1"/>
  <c r="P5" i="3" s="1"/>
  <c r="K4" i="3"/>
  <c r="O4" i="3"/>
  <c r="P4" i="3" s="1"/>
  <c r="K3" i="3"/>
  <c r="M3" i="3" s="1"/>
  <c r="Q3" i="3" s="1"/>
  <c r="O2" i="3"/>
  <c r="P2" i="3" s="1"/>
  <c r="M2" i="3"/>
  <c r="Q2" i="3" s="1"/>
  <c r="K2" i="3"/>
  <c r="K30" i="3" s="1"/>
  <c r="M30" i="3" s="1"/>
  <c r="M478" i="2"/>
  <c r="K477" i="2"/>
  <c r="N477" i="2" s="1"/>
  <c r="C477" i="2"/>
  <c r="K476" i="2"/>
  <c r="N476" i="2" s="1"/>
  <c r="C476" i="2"/>
  <c r="K475" i="2"/>
  <c r="N475" i="2" s="1"/>
  <c r="C475" i="2"/>
  <c r="K474" i="2"/>
  <c r="N474" i="2" s="1"/>
  <c r="C474" i="2"/>
  <c r="K473" i="2"/>
  <c r="R473" i="2"/>
  <c r="S473" i="2" s="1"/>
  <c r="C473" i="2"/>
  <c r="K472" i="2"/>
  <c r="N472" i="2" s="1"/>
  <c r="T472" i="2" s="1"/>
  <c r="C472" i="2"/>
  <c r="K471" i="2"/>
  <c r="R471" i="2" s="1"/>
  <c r="S471" i="2" s="1"/>
  <c r="C471" i="2"/>
  <c r="S470" i="2"/>
  <c r="K470" i="2"/>
  <c r="N470" i="2" s="1"/>
  <c r="T470" i="2" s="1"/>
  <c r="C470" i="2"/>
  <c r="K469" i="2"/>
  <c r="R469" i="2" s="1"/>
  <c r="S469" i="2" s="1"/>
  <c r="C469" i="2"/>
  <c r="K468" i="2"/>
  <c r="C468" i="2"/>
  <c r="R467" i="2"/>
  <c r="K467" i="2"/>
  <c r="N467" i="2" s="1"/>
  <c r="T467" i="2" s="1"/>
  <c r="C467" i="2"/>
  <c r="C466" i="2"/>
  <c r="C465" i="2"/>
  <c r="C464" i="2"/>
  <c r="C463" i="2"/>
  <c r="M462" i="2"/>
  <c r="C462" i="2"/>
  <c r="K461" i="2"/>
  <c r="N461" i="2" s="1"/>
  <c r="C461" i="2"/>
  <c r="K460" i="2"/>
  <c r="N460" i="2" s="1"/>
  <c r="C460" i="2"/>
  <c r="K459" i="2"/>
  <c r="N459" i="2" s="1"/>
  <c r="C459" i="2"/>
  <c r="N458" i="2"/>
  <c r="K458" i="2"/>
  <c r="C458" i="2"/>
  <c r="K457" i="2"/>
  <c r="N457" i="2" s="1"/>
  <c r="C457" i="2"/>
  <c r="K456" i="2"/>
  <c r="N456" i="2" s="1"/>
  <c r="T456" i="2" s="1"/>
  <c r="R456" i="2"/>
  <c r="S456" i="2" s="1"/>
  <c r="C456" i="2"/>
  <c r="K455" i="2"/>
  <c r="R455" i="2" s="1"/>
  <c r="S455" i="2" s="1"/>
  <c r="C455" i="2"/>
  <c r="K454" i="2"/>
  <c r="R454" i="2" s="1"/>
  <c r="S454" i="2" s="1"/>
  <c r="C454" i="2"/>
  <c r="K453" i="2"/>
  <c r="R453" i="2"/>
  <c r="S453" i="2" s="1"/>
  <c r="C453" i="2"/>
  <c r="K452" i="2"/>
  <c r="R452" i="2" s="1"/>
  <c r="S452" i="2" s="1"/>
  <c r="C452" i="2"/>
  <c r="K451" i="2"/>
  <c r="N451" i="2" s="1"/>
  <c r="T451" i="2" s="1"/>
  <c r="C451" i="2"/>
  <c r="N450" i="2"/>
  <c r="T450" i="2" s="1"/>
  <c r="K450" i="2"/>
  <c r="R450" i="2" s="1"/>
  <c r="C450" i="2"/>
  <c r="S449" i="2"/>
  <c r="K449" i="2"/>
  <c r="C449" i="2"/>
  <c r="C448" i="2"/>
  <c r="C447" i="2"/>
  <c r="C446" i="2"/>
  <c r="C445" i="2"/>
  <c r="M444" i="2"/>
  <c r="C444" i="2"/>
  <c r="K443" i="2"/>
  <c r="N443" i="2" s="1"/>
  <c r="C443" i="2"/>
  <c r="K442" i="2"/>
  <c r="N442" i="2" s="1"/>
  <c r="C442" i="2"/>
  <c r="K441" i="2"/>
  <c r="N441" i="2"/>
  <c r="C441" i="2"/>
  <c r="K440" i="2"/>
  <c r="N440" i="2" s="1"/>
  <c r="C440" i="2"/>
  <c r="K439" i="2"/>
  <c r="N439" i="2"/>
  <c r="C439" i="2"/>
  <c r="K438" i="2"/>
  <c r="N438" i="2"/>
  <c r="C438" i="2"/>
  <c r="S437" i="2"/>
  <c r="K437" i="2"/>
  <c r="N437" i="2" s="1"/>
  <c r="T437" i="2" s="1"/>
  <c r="C437" i="2"/>
  <c r="K436" i="2"/>
  <c r="N436" i="2" s="1"/>
  <c r="T436" i="2" s="1"/>
  <c r="C436" i="2"/>
  <c r="K435" i="2"/>
  <c r="N435" i="2" s="1"/>
  <c r="T435" i="2" s="1"/>
  <c r="C435" i="2"/>
  <c r="K434" i="2"/>
  <c r="N434" i="2" s="1"/>
  <c r="T434" i="2" s="1"/>
  <c r="R434" i="2"/>
  <c r="S434" i="2" s="1"/>
  <c r="C434" i="2"/>
  <c r="K433" i="2"/>
  <c r="N433" i="2" s="1"/>
  <c r="T433" i="2" s="1"/>
  <c r="C433" i="2"/>
  <c r="K432" i="2"/>
  <c r="N432" i="2" s="1"/>
  <c r="T432" i="2" s="1"/>
  <c r="C432" i="2"/>
  <c r="N431" i="2"/>
  <c r="T431" i="2" s="1"/>
  <c r="K431" i="2"/>
  <c r="C431" i="2"/>
  <c r="C430" i="2"/>
  <c r="C429" i="2"/>
  <c r="C428" i="2"/>
  <c r="C427" i="2"/>
  <c r="M426" i="2"/>
  <c r="C426" i="2"/>
  <c r="K425" i="2"/>
  <c r="N425" i="2" s="1"/>
  <c r="C425" i="2"/>
  <c r="K424" i="2"/>
  <c r="N424" i="2" s="1"/>
  <c r="C424" i="2"/>
  <c r="N423" i="2"/>
  <c r="K423" i="2"/>
  <c r="C423" i="2"/>
  <c r="K422" i="2"/>
  <c r="N422" i="2" s="1"/>
  <c r="C422" i="2"/>
  <c r="K421" i="2"/>
  <c r="N421" i="2" s="1"/>
  <c r="T421" i="2" s="1"/>
  <c r="C421" i="2"/>
  <c r="S420" i="2"/>
  <c r="K420" i="2"/>
  <c r="N420" i="2" s="1"/>
  <c r="T420" i="2" s="1"/>
  <c r="C420" i="2"/>
  <c r="K419" i="2"/>
  <c r="R419" i="2" s="1"/>
  <c r="S419" i="2" s="1"/>
  <c r="C419" i="2"/>
  <c r="K418" i="2"/>
  <c r="C418" i="2"/>
  <c r="R417" i="2"/>
  <c r="S417" i="2" s="1"/>
  <c r="K417" i="2"/>
  <c r="N417" i="2" s="1"/>
  <c r="T417" i="2" s="1"/>
  <c r="C417" i="2"/>
  <c r="K416" i="2"/>
  <c r="C416" i="2"/>
  <c r="S415" i="2"/>
  <c r="K415" i="2"/>
  <c r="N415" i="2" s="1"/>
  <c r="T415" i="2" s="1"/>
  <c r="C415" i="2"/>
  <c r="K414" i="2"/>
  <c r="R414" i="2" s="1"/>
  <c r="S414" i="2" s="1"/>
  <c r="C414" i="2"/>
  <c r="K413" i="2"/>
  <c r="N413" i="2" s="1"/>
  <c r="T413" i="2" s="1"/>
  <c r="C413" i="2"/>
  <c r="C412" i="2"/>
  <c r="C411" i="2"/>
  <c r="C410" i="2"/>
  <c r="C409" i="2"/>
  <c r="C408" i="2"/>
  <c r="M407" i="2"/>
  <c r="C407" i="2"/>
  <c r="K406" i="2"/>
  <c r="N406" i="2" s="1"/>
  <c r="C406" i="2"/>
  <c r="N405" i="2"/>
  <c r="K405" i="2"/>
  <c r="C405" i="2"/>
  <c r="N404" i="2"/>
  <c r="K404" i="2"/>
  <c r="C404" i="2"/>
  <c r="K403" i="2"/>
  <c r="N403" i="2" s="1"/>
  <c r="C403" i="2"/>
  <c r="N402" i="2"/>
  <c r="K402" i="2"/>
  <c r="C402" i="2"/>
  <c r="S401" i="2"/>
  <c r="K401" i="2"/>
  <c r="N401" i="2" s="1"/>
  <c r="T401" i="2" s="1"/>
  <c r="C401" i="2"/>
  <c r="K400" i="2"/>
  <c r="R400" i="2" s="1"/>
  <c r="S400" i="2" s="1"/>
  <c r="C400" i="2"/>
  <c r="K399" i="2"/>
  <c r="C399" i="2"/>
  <c r="K398" i="2"/>
  <c r="R398" i="2" s="1"/>
  <c r="S398" i="2" s="1"/>
  <c r="C398" i="2"/>
  <c r="K397" i="2"/>
  <c r="C397" i="2"/>
  <c r="K396" i="2"/>
  <c r="N396" i="2" s="1"/>
  <c r="T396" i="2" s="1"/>
  <c r="C396" i="2"/>
  <c r="C395" i="2"/>
  <c r="C394" i="2"/>
  <c r="C393" i="2"/>
  <c r="C392" i="2"/>
  <c r="M391" i="2"/>
  <c r="C391" i="2"/>
  <c r="K390" i="2"/>
  <c r="N390" i="2" s="1"/>
  <c r="C390" i="2"/>
  <c r="K389" i="2"/>
  <c r="N389" i="2" s="1"/>
  <c r="C389" i="2"/>
  <c r="K388" i="2"/>
  <c r="N388" i="2" s="1"/>
  <c r="C388" i="2"/>
  <c r="K387" i="2"/>
  <c r="N387" i="2" s="1"/>
  <c r="C387" i="2"/>
  <c r="K386" i="2"/>
  <c r="N386" i="2"/>
  <c r="C386" i="2"/>
  <c r="S385" i="2"/>
  <c r="K385" i="2"/>
  <c r="N385" i="2" s="1"/>
  <c r="T385" i="2" s="1"/>
  <c r="C385" i="2"/>
  <c r="K384" i="2"/>
  <c r="R384" i="2" s="1"/>
  <c r="S384" i="2" s="1"/>
  <c r="C384" i="2"/>
  <c r="K383" i="2"/>
  <c r="C383" i="2"/>
  <c r="S382" i="2"/>
  <c r="K382" i="2"/>
  <c r="N382" i="2" s="1"/>
  <c r="T382" i="2" s="1"/>
  <c r="C382" i="2"/>
  <c r="K381" i="2"/>
  <c r="N381" i="2" s="1"/>
  <c r="T381" i="2" s="1"/>
  <c r="C381" i="2"/>
  <c r="K380" i="2"/>
  <c r="N380" i="2" s="1"/>
  <c r="T380" i="2" s="1"/>
  <c r="C380" i="2"/>
  <c r="C379" i="2"/>
  <c r="C378" i="2"/>
  <c r="C377" i="2"/>
  <c r="C376" i="2"/>
  <c r="C375" i="2"/>
  <c r="C374" i="2"/>
  <c r="M373" i="2"/>
  <c r="C373" i="2"/>
  <c r="K372" i="2"/>
  <c r="N372" i="2" s="1"/>
  <c r="C372" i="2"/>
  <c r="K371" i="2"/>
  <c r="N371" i="2" s="1"/>
  <c r="C371" i="2"/>
  <c r="K370" i="2"/>
  <c r="N370" i="2"/>
  <c r="C370" i="2"/>
  <c r="K369" i="2"/>
  <c r="N369" i="2" s="1"/>
  <c r="C369" i="2"/>
  <c r="K368" i="2"/>
  <c r="N368" i="2" s="1"/>
  <c r="C368" i="2"/>
  <c r="K367" i="2"/>
  <c r="N367" i="2" s="1"/>
  <c r="T367" i="2" s="1"/>
  <c r="C367" i="2"/>
  <c r="K366" i="2"/>
  <c r="C366" i="2"/>
  <c r="S365" i="2"/>
  <c r="N365" i="2"/>
  <c r="T365" i="2" s="1"/>
  <c r="K365" i="2"/>
  <c r="C365" i="2"/>
  <c r="K364" i="2"/>
  <c r="R364" i="2" s="1"/>
  <c r="C364" i="2"/>
  <c r="N363" i="2"/>
  <c r="T363" i="2" s="1"/>
  <c r="K363" i="2"/>
  <c r="R363" i="2" s="1"/>
  <c r="C363" i="2"/>
  <c r="S362" i="2"/>
  <c r="N362" i="2"/>
  <c r="K362" i="2"/>
  <c r="C362" i="2"/>
  <c r="C361" i="2"/>
  <c r="C360" i="2"/>
  <c r="C359" i="2"/>
  <c r="C358" i="2"/>
  <c r="C357" i="2"/>
  <c r="C356" i="2"/>
  <c r="M355" i="2"/>
  <c r="C355" i="2"/>
  <c r="K354" i="2"/>
  <c r="N354" i="2" s="1"/>
  <c r="C354" i="2"/>
  <c r="K353" i="2"/>
  <c r="N353" i="2" s="1"/>
  <c r="C353" i="2"/>
  <c r="K352" i="2"/>
  <c r="N352" i="2" s="1"/>
  <c r="C352" i="2"/>
  <c r="K351" i="2"/>
  <c r="N351" i="2" s="1"/>
  <c r="C351" i="2"/>
  <c r="S350" i="2"/>
  <c r="K350" i="2"/>
  <c r="N350" i="2" s="1"/>
  <c r="T350" i="2" s="1"/>
  <c r="C350" i="2"/>
  <c r="K349" i="2"/>
  <c r="C349" i="2"/>
  <c r="K348" i="2"/>
  <c r="C348" i="2"/>
  <c r="K347" i="2"/>
  <c r="C347" i="2"/>
  <c r="K346" i="2"/>
  <c r="R346" i="2" s="1"/>
  <c r="S346" i="2" s="1"/>
  <c r="C346" i="2"/>
  <c r="K345" i="2"/>
  <c r="C345" i="2"/>
  <c r="K344" i="2"/>
  <c r="R344" i="2" s="1"/>
  <c r="S344" i="2" s="1"/>
  <c r="C344" i="2"/>
  <c r="C343" i="2"/>
  <c r="C342" i="2"/>
  <c r="C341" i="2"/>
  <c r="C340" i="2"/>
  <c r="C339" i="2"/>
  <c r="C338" i="2"/>
  <c r="C337" i="2"/>
  <c r="M336" i="2"/>
  <c r="C336" i="2"/>
  <c r="K335" i="2"/>
  <c r="N335" i="2"/>
  <c r="C335" i="2"/>
  <c r="K334" i="2"/>
  <c r="N334" i="2" s="1"/>
  <c r="C334" i="2"/>
  <c r="K333" i="2"/>
  <c r="N333" i="2" s="1"/>
  <c r="C333" i="2"/>
  <c r="K332" i="2"/>
  <c r="N332" i="2" s="1"/>
  <c r="C332" i="2"/>
  <c r="T331" i="2"/>
  <c r="N331" i="2"/>
  <c r="K331" i="2"/>
  <c r="C331" i="2"/>
  <c r="K330" i="2"/>
  <c r="N330" i="2" s="1"/>
  <c r="C330" i="2"/>
  <c r="K329" i="2"/>
  <c r="R329" i="2" s="1"/>
  <c r="S329" i="2" s="1"/>
  <c r="C329" i="2"/>
  <c r="K328" i="2"/>
  <c r="R328" i="2" s="1"/>
  <c r="S328" i="2" s="1"/>
  <c r="N328" i="2"/>
  <c r="C328" i="2"/>
  <c r="K327" i="2"/>
  <c r="C327" i="2"/>
  <c r="K326" i="2"/>
  <c r="N326" i="2" s="1"/>
  <c r="R326" i="2"/>
  <c r="S326" i="2" s="1"/>
  <c r="C326" i="2"/>
  <c r="S325" i="2"/>
  <c r="N325" i="2"/>
  <c r="K325" i="2"/>
  <c r="C325" i="2"/>
  <c r="C324" i="2"/>
  <c r="C323" i="2"/>
  <c r="C322" i="2"/>
  <c r="C321" i="2"/>
  <c r="C320" i="2"/>
  <c r="C319" i="2"/>
  <c r="M318" i="2"/>
  <c r="C318" i="2"/>
  <c r="K317" i="2"/>
  <c r="N317" i="2" s="1"/>
  <c r="C317" i="2"/>
  <c r="K316" i="2"/>
  <c r="N316" i="2" s="1"/>
  <c r="C316" i="2"/>
  <c r="K315" i="2"/>
  <c r="N315" i="2" s="1"/>
  <c r="C315" i="2"/>
  <c r="K314" i="2"/>
  <c r="N314" i="2" s="1"/>
  <c r="C314" i="2"/>
  <c r="K313" i="2"/>
  <c r="N313" i="2" s="1"/>
  <c r="C313" i="2"/>
  <c r="K312" i="2"/>
  <c r="N312" i="2"/>
  <c r="C312" i="2"/>
  <c r="K311" i="2"/>
  <c r="N311" i="2" s="1"/>
  <c r="T311" i="2" s="1"/>
  <c r="R311" i="2"/>
  <c r="S311" i="2" s="1"/>
  <c r="C311" i="2"/>
  <c r="K310" i="2"/>
  <c r="R310" i="2" s="1"/>
  <c r="C310" i="2"/>
  <c r="N309" i="2"/>
  <c r="T309" i="2" s="1"/>
  <c r="K309" i="2"/>
  <c r="R309" i="2"/>
  <c r="C309" i="2"/>
  <c r="S308" i="2"/>
  <c r="K308" i="2"/>
  <c r="N308" i="2" s="1"/>
  <c r="T308" i="2" s="1"/>
  <c r="C308" i="2"/>
  <c r="S307" i="2"/>
  <c r="K307" i="2"/>
  <c r="N307" i="2" s="1"/>
  <c r="T307" i="2" s="1"/>
  <c r="C307" i="2"/>
  <c r="C306" i="2"/>
  <c r="C305" i="2"/>
  <c r="C304" i="2"/>
  <c r="C303" i="2"/>
  <c r="C302" i="2"/>
  <c r="M301" i="2"/>
  <c r="C301" i="2"/>
  <c r="K300" i="2"/>
  <c r="N300" i="2" s="1"/>
  <c r="C300" i="2"/>
  <c r="K299" i="2"/>
  <c r="N299" i="2" s="1"/>
  <c r="C299" i="2"/>
  <c r="K298" i="2"/>
  <c r="N298" i="2" s="1"/>
  <c r="C298" i="2"/>
  <c r="K297" i="2"/>
  <c r="N297" i="2" s="1"/>
  <c r="C297" i="2"/>
  <c r="K296" i="2"/>
  <c r="N296" i="2" s="1"/>
  <c r="C296" i="2"/>
  <c r="K295" i="2"/>
  <c r="N295" i="2"/>
  <c r="C295" i="2"/>
  <c r="N294" i="2"/>
  <c r="T294" i="2" s="1"/>
  <c r="K294" i="2"/>
  <c r="R294" i="2" s="1"/>
  <c r="S294" i="2" s="1"/>
  <c r="C294" i="2"/>
  <c r="K293" i="2"/>
  <c r="C293" i="2"/>
  <c r="K292" i="2"/>
  <c r="R292" i="2" s="1"/>
  <c r="S292" i="2" s="1"/>
  <c r="C292" i="2"/>
  <c r="S291" i="2"/>
  <c r="K291" i="2"/>
  <c r="N291" i="2" s="1"/>
  <c r="T291" i="2" s="1"/>
  <c r="C291" i="2"/>
  <c r="K290" i="2"/>
  <c r="R290" i="2" s="1"/>
  <c r="S290" i="2" s="1"/>
  <c r="C290" i="2"/>
  <c r="C289" i="2"/>
  <c r="C288" i="2"/>
  <c r="C287" i="2"/>
  <c r="C286" i="2"/>
  <c r="C285" i="2"/>
  <c r="M284" i="2"/>
  <c r="C284" i="2"/>
  <c r="K283" i="2"/>
  <c r="N283" i="2" s="1"/>
  <c r="C283" i="2"/>
  <c r="K282" i="2"/>
  <c r="N282" i="2"/>
  <c r="C282" i="2"/>
  <c r="K281" i="2"/>
  <c r="N281" i="2" s="1"/>
  <c r="C281" i="2"/>
  <c r="K280" i="2"/>
  <c r="N280" i="2" s="1"/>
  <c r="C280" i="2"/>
  <c r="K279" i="2"/>
  <c r="C279" i="2"/>
  <c r="R278" i="2"/>
  <c r="S278" i="2" s="1"/>
  <c r="K278" i="2"/>
  <c r="N278" i="2" s="1"/>
  <c r="T278" i="2" s="1"/>
  <c r="C278" i="2"/>
  <c r="K277" i="2"/>
  <c r="N277" i="2" s="1"/>
  <c r="T277" i="2" s="1"/>
  <c r="C277" i="2"/>
  <c r="K276" i="2"/>
  <c r="C276" i="2"/>
  <c r="S275" i="2"/>
  <c r="N275" i="2"/>
  <c r="T275" i="2" s="1"/>
  <c r="K275" i="2"/>
  <c r="C275" i="2"/>
  <c r="K274" i="2"/>
  <c r="N274" i="2" s="1"/>
  <c r="T274" i="2" s="1"/>
  <c r="C274" i="2"/>
  <c r="K273" i="2"/>
  <c r="N273" i="2" s="1"/>
  <c r="T273" i="2" s="1"/>
  <c r="C273" i="2"/>
  <c r="C272" i="2"/>
  <c r="C271" i="2"/>
  <c r="C270" i="2"/>
  <c r="C269" i="2"/>
  <c r="C268" i="2"/>
  <c r="M267" i="2"/>
  <c r="C267" i="2"/>
  <c r="K266" i="2"/>
  <c r="N266" i="2" s="1"/>
  <c r="C266" i="2"/>
  <c r="K265" i="2"/>
  <c r="N265" i="2" s="1"/>
  <c r="C265" i="2"/>
  <c r="K264" i="2"/>
  <c r="N264" i="2" s="1"/>
  <c r="C264" i="2"/>
  <c r="N263" i="2"/>
  <c r="K263" i="2"/>
  <c r="C263" i="2"/>
  <c r="K262" i="2"/>
  <c r="N262" i="2" s="1"/>
  <c r="C262" i="2"/>
  <c r="K261" i="2"/>
  <c r="N261" i="2" s="1"/>
  <c r="C261" i="2"/>
  <c r="R260" i="2"/>
  <c r="S260" i="2" s="1"/>
  <c r="N260" i="2"/>
  <c r="T260" i="2" s="1"/>
  <c r="K260" i="2"/>
  <c r="C260" i="2"/>
  <c r="K259" i="2"/>
  <c r="C259" i="2"/>
  <c r="K258" i="2"/>
  <c r="R258" i="2" s="1"/>
  <c r="S258" i="2" s="1"/>
  <c r="C258" i="2"/>
  <c r="S257" i="2"/>
  <c r="K257" i="2"/>
  <c r="N257" i="2" s="1"/>
  <c r="T257" i="2" s="1"/>
  <c r="C257" i="2"/>
  <c r="T256" i="2"/>
  <c r="K256" i="2"/>
  <c r="N256" i="2" s="1"/>
  <c r="C256" i="2"/>
  <c r="C255" i="2"/>
  <c r="C254" i="2"/>
  <c r="C253" i="2"/>
  <c r="C252" i="2"/>
  <c r="C251" i="2"/>
  <c r="M250" i="2"/>
  <c r="C250" i="2"/>
  <c r="K249" i="2"/>
  <c r="N249" i="2"/>
  <c r="C249" i="2"/>
  <c r="K248" i="2"/>
  <c r="N248" i="2" s="1"/>
  <c r="C248" i="2"/>
  <c r="N247" i="2"/>
  <c r="K247" i="2"/>
  <c r="C247" i="2"/>
  <c r="K246" i="2"/>
  <c r="N246" i="2" s="1"/>
  <c r="C246" i="2"/>
  <c r="K245" i="2"/>
  <c r="N245" i="2" s="1"/>
  <c r="C245" i="2"/>
  <c r="K244" i="2"/>
  <c r="N244" i="2" s="1"/>
  <c r="C244" i="2"/>
  <c r="K243" i="2"/>
  <c r="C243" i="2"/>
  <c r="K242" i="2"/>
  <c r="N242" i="2" s="1"/>
  <c r="T242" i="2" s="1"/>
  <c r="C242" i="2"/>
  <c r="K241" i="2"/>
  <c r="C241" i="2"/>
  <c r="K240" i="2"/>
  <c r="C240" i="2"/>
  <c r="S239" i="2"/>
  <c r="N239" i="2"/>
  <c r="T239" i="2" s="1"/>
  <c r="K239" i="2"/>
  <c r="C239" i="2"/>
  <c r="C238" i="2"/>
  <c r="C237" i="2"/>
  <c r="C236" i="2"/>
  <c r="C235" i="2"/>
  <c r="C234" i="2"/>
  <c r="M233" i="2"/>
  <c r="C233" i="2"/>
  <c r="S232" i="2"/>
  <c r="K232" i="2"/>
  <c r="N232" i="2" s="1"/>
  <c r="T232" i="2" s="1"/>
  <c r="C232" i="2"/>
  <c r="K231" i="2"/>
  <c r="R231" i="2" s="1"/>
  <c r="S231" i="2" s="1"/>
  <c r="C231" i="2"/>
  <c r="K230" i="2"/>
  <c r="N230" i="2" s="1"/>
  <c r="T230" i="2" s="1"/>
  <c r="C230" i="2"/>
  <c r="S229" i="2"/>
  <c r="K229" i="2"/>
  <c r="N229" i="2" s="1"/>
  <c r="T229" i="2" s="1"/>
  <c r="C229" i="2"/>
  <c r="K228" i="2"/>
  <c r="N228" i="2" s="1"/>
  <c r="T228" i="2" s="1"/>
  <c r="C228" i="2"/>
  <c r="K227" i="2"/>
  <c r="C227" i="2"/>
  <c r="K226" i="2"/>
  <c r="C226" i="2"/>
  <c r="S225" i="2"/>
  <c r="K225" i="2"/>
  <c r="N225" i="2" s="1"/>
  <c r="T225" i="2" s="1"/>
  <c r="C225" i="2"/>
  <c r="K224" i="2"/>
  <c r="N224" i="2" s="1"/>
  <c r="T224" i="2" s="1"/>
  <c r="C224" i="2"/>
  <c r="T223" i="2"/>
  <c r="K223" i="2"/>
  <c r="N223" i="2" s="1"/>
  <c r="C223" i="2"/>
  <c r="S222" i="2"/>
  <c r="K222" i="2"/>
  <c r="K233" i="2" s="1"/>
  <c r="C222" i="2"/>
  <c r="C221" i="2"/>
  <c r="C220" i="2"/>
  <c r="C219" i="2"/>
  <c r="C218" i="2"/>
  <c r="C217" i="2"/>
  <c r="M216" i="2"/>
  <c r="C216" i="2"/>
  <c r="K215" i="2"/>
  <c r="N215" i="2" s="1"/>
  <c r="C215" i="2"/>
  <c r="K214" i="2"/>
  <c r="N214" i="2" s="1"/>
  <c r="C214" i="2"/>
  <c r="K213" i="2"/>
  <c r="N213" i="2" s="1"/>
  <c r="C213" i="2"/>
  <c r="K212" i="2"/>
  <c r="N212" i="2"/>
  <c r="C212" i="2"/>
  <c r="K211" i="2"/>
  <c r="N211" i="2" s="1"/>
  <c r="C211" i="2"/>
  <c r="N210" i="2"/>
  <c r="K210" i="2"/>
  <c r="C210" i="2"/>
  <c r="K209" i="2"/>
  <c r="C209" i="2"/>
  <c r="T208" i="2"/>
  <c r="S208" i="2"/>
  <c r="K208" i="2"/>
  <c r="N208" i="2"/>
  <c r="C208" i="2"/>
  <c r="R207" i="2"/>
  <c r="S207" i="2" s="1"/>
  <c r="N207" i="2"/>
  <c r="T207" i="2" s="1"/>
  <c r="K207" i="2"/>
  <c r="C207" i="2"/>
  <c r="K206" i="2"/>
  <c r="C206" i="2"/>
  <c r="S205" i="2"/>
  <c r="K205" i="2"/>
  <c r="N205" i="2" s="1"/>
  <c r="T205" i="2" s="1"/>
  <c r="C205" i="2"/>
  <c r="C204" i="2"/>
  <c r="C203" i="2"/>
  <c r="C202" i="2"/>
  <c r="C201" i="2"/>
  <c r="C200" i="2"/>
  <c r="M199" i="2"/>
  <c r="C199" i="2"/>
  <c r="K198" i="2"/>
  <c r="N198" i="2" s="1"/>
  <c r="C198" i="2"/>
  <c r="K197" i="2"/>
  <c r="N197" i="2" s="1"/>
  <c r="C197" i="2"/>
  <c r="K196" i="2"/>
  <c r="N196" i="2" s="1"/>
  <c r="C196" i="2"/>
  <c r="S195" i="2"/>
  <c r="K195" i="2"/>
  <c r="N195" i="2" s="1"/>
  <c r="T195" i="2" s="1"/>
  <c r="C195" i="2"/>
  <c r="K194" i="2"/>
  <c r="K199" i="2" s="1"/>
  <c r="C194" i="2"/>
  <c r="R193" i="2"/>
  <c r="S193" i="2"/>
  <c r="N193" i="2"/>
  <c r="T193" i="2" s="1"/>
  <c r="K193" i="2"/>
  <c r="C193" i="2"/>
  <c r="K192" i="2"/>
  <c r="R192" i="2" s="1"/>
  <c r="C192" i="2"/>
  <c r="N191" i="2"/>
  <c r="T191" i="2" s="1"/>
  <c r="K191" i="2"/>
  <c r="R191" i="2" s="1"/>
  <c r="S191" i="2" s="1"/>
  <c r="C191" i="2"/>
  <c r="K190" i="2"/>
  <c r="C190" i="2"/>
  <c r="N189" i="2"/>
  <c r="T189" i="2" s="1"/>
  <c r="K189" i="2"/>
  <c r="R189" i="2" s="1"/>
  <c r="C189" i="2"/>
  <c r="S188" i="2"/>
  <c r="K188" i="2"/>
  <c r="N188" i="2" s="1"/>
  <c r="T188" i="2" s="1"/>
  <c r="C188" i="2"/>
  <c r="C187" i="2"/>
  <c r="C186" i="2"/>
  <c r="C185" i="2"/>
  <c r="C184" i="2"/>
  <c r="C183" i="2"/>
  <c r="M182" i="2"/>
  <c r="C182" i="2"/>
  <c r="K181" i="2"/>
  <c r="N181" i="2" s="1"/>
  <c r="C181" i="2"/>
  <c r="K180" i="2"/>
  <c r="N180" i="2" s="1"/>
  <c r="C180" i="2"/>
  <c r="K179" i="2"/>
  <c r="N179" i="2" s="1"/>
  <c r="C179" i="2"/>
  <c r="K178" i="2"/>
  <c r="N178" i="2" s="1"/>
  <c r="C178" i="2"/>
  <c r="K177" i="2"/>
  <c r="N177" i="2" s="1"/>
  <c r="C177" i="2"/>
  <c r="K176" i="2"/>
  <c r="N176" i="2"/>
  <c r="C176" i="2"/>
  <c r="K175" i="2"/>
  <c r="R175" i="2" s="1"/>
  <c r="S175" i="2" s="1"/>
  <c r="C175" i="2"/>
  <c r="K174" i="2"/>
  <c r="C174" i="2"/>
  <c r="K173" i="2"/>
  <c r="R173" i="2" s="1"/>
  <c r="C173" i="2"/>
  <c r="K172" i="2"/>
  <c r="C172" i="2"/>
  <c r="S171" i="2"/>
  <c r="K171" i="2"/>
  <c r="N171" i="2" s="1"/>
  <c r="T171" i="2" s="1"/>
  <c r="C171" i="2"/>
  <c r="C170" i="2"/>
  <c r="C169" i="2"/>
  <c r="C168" i="2"/>
  <c r="C167" i="2"/>
  <c r="C166" i="2"/>
  <c r="M165" i="2"/>
  <c r="C165" i="2"/>
  <c r="K164" i="2"/>
  <c r="N164" i="2" s="1"/>
  <c r="C164" i="2"/>
  <c r="K163" i="2"/>
  <c r="N163" i="2" s="1"/>
  <c r="C163" i="2"/>
  <c r="N162" i="2"/>
  <c r="K162" i="2"/>
  <c r="C162" i="2"/>
  <c r="K161" i="2"/>
  <c r="N161" i="2" s="1"/>
  <c r="C161" i="2"/>
  <c r="K160" i="2"/>
  <c r="N160" i="2" s="1"/>
  <c r="C160" i="2"/>
  <c r="N159" i="2"/>
  <c r="K159" i="2"/>
  <c r="C159" i="2"/>
  <c r="K158" i="2"/>
  <c r="C158" i="2"/>
  <c r="K157" i="2"/>
  <c r="R157" i="2" s="1"/>
  <c r="S157" i="2" s="1"/>
  <c r="C157" i="2"/>
  <c r="K156" i="2"/>
  <c r="R156" i="2" s="1"/>
  <c r="S156" i="2" s="1"/>
  <c r="C156" i="2"/>
  <c r="R155" i="2"/>
  <c r="S155" i="2" s="1"/>
  <c r="K155" i="2"/>
  <c r="N155" i="2" s="1"/>
  <c r="T155" i="2" s="1"/>
  <c r="C155" i="2"/>
  <c r="S154" i="2"/>
  <c r="K154" i="2"/>
  <c r="N154" i="2"/>
  <c r="T154" i="2" s="1"/>
  <c r="C154" i="2"/>
  <c r="C153" i="2"/>
  <c r="C152" i="2"/>
  <c r="C151" i="2"/>
  <c r="C150" i="2"/>
  <c r="C149" i="2"/>
  <c r="M148" i="2"/>
  <c r="C148" i="2"/>
  <c r="N147" i="2"/>
  <c r="K147" i="2"/>
  <c r="C147" i="2"/>
  <c r="N146" i="2"/>
  <c r="K146" i="2"/>
  <c r="C146" i="2"/>
  <c r="K145" i="2"/>
  <c r="N145" i="2" s="1"/>
  <c r="C145" i="2"/>
  <c r="K144" i="2"/>
  <c r="N144" i="2" s="1"/>
  <c r="C144" i="2"/>
  <c r="N143" i="2"/>
  <c r="K143" i="2"/>
  <c r="C143" i="2"/>
  <c r="K142" i="2"/>
  <c r="R142" i="2" s="1"/>
  <c r="S142" i="2" s="1"/>
  <c r="C142" i="2"/>
  <c r="K141" i="2"/>
  <c r="N141" i="2" s="1"/>
  <c r="T141" i="2" s="1"/>
  <c r="C141" i="2"/>
  <c r="K140" i="2"/>
  <c r="R140" i="2" s="1"/>
  <c r="S140" i="2" s="1"/>
  <c r="C140" i="2"/>
  <c r="K139" i="2"/>
  <c r="N139" i="2" s="1"/>
  <c r="T139" i="2" s="1"/>
  <c r="R139" i="2"/>
  <c r="S139" i="2" s="1"/>
  <c r="C139" i="2"/>
  <c r="K138" i="2"/>
  <c r="R138" i="2" s="1"/>
  <c r="C138" i="2"/>
  <c r="S137" i="2"/>
  <c r="K137" i="2"/>
  <c r="K148" i="2"/>
  <c r="C137" i="2"/>
  <c r="C136" i="2"/>
  <c r="C135" i="2"/>
  <c r="C134" i="2"/>
  <c r="C133" i="2"/>
  <c r="C132" i="2"/>
  <c r="M131" i="2"/>
  <c r="C131" i="2"/>
  <c r="K130" i="2"/>
  <c r="N130" i="2" s="1"/>
  <c r="C130" i="2"/>
  <c r="K129" i="2"/>
  <c r="N129" i="2" s="1"/>
  <c r="C129" i="2"/>
  <c r="K128" i="2"/>
  <c r="N128" i="2" s="1"/>
  <c r="C128" i="2"/>
  <c r="K127" i="2"/>
  <c r="N127" i="2" s="1"/>
  <c r="C127" i="2"/>
  <c r="K126" i="2"/>
  <c r="C126" i="2"/>
  <c r="K125" i="2"/>
  <c r="N125" i="2" s="1"/>
  <c r="T125" i="2" s="1"/>
  <c r="C125" i="2"/>
  <c r="K124" i="2"/>
  <c r="C124" i="2"/>
  <c r="K123" i="2"/>
  <c r="N123" i="2" s="1"/>
  <c r="T123" i="2" s="1"/>
  <c r="C123" i="2"/>
  <c r="K122" i="2"/>
  <c r="C122" i="2"/>
  <c r="K121" i="2"/>
  <c r="N121" i="2" s="1"/>
  <c r="T121" i="2" s="1"/>
  <c r="C121" i="2"/>
  <c r="K120" i="2"/>
  <c r="C120" i="2"/>
  <c r="C119" i="2"/>
  <c r="C118" i="2"/>
  <c r="C117" i="2"/>
  <c r="C116" i="2"/>
  <c r="C115" i="2"/>
  <c r="M114" i="2"/>
  <c r="C114" i="2"/>
  <c r="K113" i="2"/>
  <c r="N113" i="2"/>
  <c r="C113" i="2"/>
  <c r="K112" i="2"/>
  <c r="N112" i="2" s="1"/>
  <c r="C112" i="2"/>
  <c r="K111" i="2"/>
  <c r="N111" i="2" s="1"/>
  <c r="C111" i="2"/>
  <c r="K110" i="2"/>
  <c r="N110" i="2" s="1"/>
  <c r="C110" i="2"/>
  <c r="K109" i="2"/>
  <c r="C109" i="2"/>
  <c r="K108" i="2"/>
  <c r="R108" i="2" s="1"/>
  <c r="S108" i="2" s="1"/>
  <c r="C108" i="2"/>
  <c r="K107" i="2"/>
  <c r="R107" i="2" s="1"/>
  <c r="S107" i="2" s="1"/>
  <c r="C107" i="2"/>
  <c r="K106" i="2"/>
  <c r="R106" i="2"/>
  <c r="S106" i="2" s="1"/>
  <c r="C106" i="2"/>
  <c r="K105" i="2"/>
  <c r="R105" i="2" s="1"/>
  <c r="S105" i="2" s="1"/>
  <c r="N105" i="2"/>
  <c r="T105" i="2" s="1"/>
  <c r="C105" i="2"/>
  <c r="K104" i="2"/>
  <c r="R104" i="2" s="1"/>
  <c r="C104" i="2"/>
  <c r="S103" i="2"/>
  <c r="K103" i="2"/>
  <c r="N103" i="2" s="1"/>
  <c r="T103" i="2" s="1"/>
  <c r="C103" i="2"/>
  <c r="C102" i="2"/>
  <c r="C101" i="2"/>
  <c r="C100" i="2"/>
  <c r="C99" i="2"/>
  <c r="C98" i="2"/>
  <c r="M97" i="2"/>
  <c r="C97" i="2"/>
  <c r="K96" i="2"/>
  <c r="N96" i="2"/>
  <c r="C96" i="2"/>
  <c r="K95" i="2"/>
  <c r="N95" i="2" s="1"/>
  <c r="C95" i="2"/>
  <c r="K94" i="2"/>
  <c r="N94" i="2" s="1"/>
  <c r="C94" i="2"/>
  <c r="K93" i="2"/>
  <c r="N93" i="2" s="1"/>
  <c r="C93" i="2"/>
  <c r="K92" i="2"/>
  <c r="N92" i="2" s="1"/>
  <c r="C92" i="2"/>
  <c r="K91" i="2"/>
  <c r="N91" i="2" s="1"/>
  <c r="C91" i="2"/>
  <c r="K90" i="2"/>
  <c r="N90" i="2" s="1"/>
  <c r="C90" i="2"/>
  <c r="N89" i="2"/>
  <c r="T89" i="2" s="1"/>
  <c r="K89" i="2"/>
  <c r="R89" i="2" s="1"/>
  <c r="S89" i="2" s="1"/>
  <c r="C89" i="2"/>
  <c r="S88" i="2"/>
  <c r="K88" i="2"/>
  <c r="N88" i="2"/>
  <c r="T88" i="2" s="1"/>
  <c r="C88" i="2"/>
  <c r="K87" i="2"/>
  <c r="R87" i="2" s="1"/>
  <c r="N87" i="2"/>
  <c r="T87" i="2" s="1"/>
  <c r="C87" i="2"/>
  <c r="K86" i="2"/>
  <c r="C86" i="2"/>
  <c r="C85" i="2"/>
  <c r="C84" i="2"/>
  <c r="C83" i="2"/>
  <c r="C82" i="2"/>
  <c r="C81" i="2"/>
  <c r="M80" i="2"/>
  <c r="C80" i="2"/>
  <c r="K79" i="2"/>
  <c r="N79" i="2" s="1"/>
  <c r="C79" i="2"/>
  <c r="K78" i="2"/>
  <c r="N78" i="2" s="1"/>
  <c r="C78" i="2"/>
  <c r="K77" i="2"/>
  <c r="N77" i="2" s="1"/>
  <c r="C77" i="2"/>
  <c r="K76" i="2"/>
  <c r="N76" i="2" s="1"/>
  <c r="C76" i="2"/>
  <c r="K75" i="2"/>
  <c r="N75" i="2" s="1"/>
  <c r="C75" i="2"/>
  <c r="K74" i="2"/>
  <c r="N74" i="2" s="1"/>
  <c r="T74" i="2" s="1"/>
  <c r="R74" i="2"/>
  <c r="S74" i="2" s="1"/>
  <c r="C74" i="2"/>
  <c r="S73" i="2"/>
  <c r="K73" i="2"/>
  <c r="N73" i="2" s="1"/>
  <c r="T73" i="2" s="1"/>
  <c r="C73" i="2"/>
  <c r="R72" i="2"/>
  <c r="S72" i="2" s="1"/>
  <c r="K72" i="2"/>
  <c r="N72" i="2" s="1"/>
  <c r="T72" i="2" s="1"/>
  <c r="C72" i="2"/>
  <c r="K71" i="2"/>
  <c r="C71" i="2"/>
  <c r="K70" i="2"/>
  <c r="R70" i="2" s="1"/>
  <c r="S70" i="2" s="1"/>
  <c r="C70" i="2"/>
  <c r="K69" i="2"/>
  <c r="C69" i="2"/>
  <c r="C68" i="2"/>
  <c r="C67" i="2"/>
  <c r="C66" i="2"/>
  <c r="C65" i="2"/>
  <c r="M64" i="2"/>
  <c r="C64" i="2"/>
  <c r="K63" i="2"/>
  <c r="N63" i="2" s="1"/>
  <c r="C63" i="2"/>
  <c r="K62" i="2"/>
  <c r="N62" i="2" s="1"/>
  <c r="C62" i="2"/>
  <c r="K61" i="2"/>
  <c r="N61" i="2" s="1"/>
  <c r="C61" i="2"/>
  <c r="K60" i="2"/>
  <c r="N60" i="2"/>
  <c r="C60" i="2"/>
  <c r="K59" i="2"/>
  <c r="N59" i="2" s="1"/>
  <c r="C59" i="2"/>
  <c r="K58" i="2"/>
  <c r="N58" i="2" s="1"/>
  <c r="C58" i="2"/>
  <c r="K57" i="2"/>
  <c r="N57" i="2" s="1"/>
  <c r="T57" i="2" s="1"/>
  <c r="C57" i="2"/>
  <c r="K56" i="2"/>
  <c r="N56" i="2" s="1"/>
  <c r="T56" i="2" s="1"/>
  <c r="C56" i="2"/>
  <c r="K55" i="2"/>
  <c r="N55" i="2" s="1"/>
  <c r="T55" i="2" s="1"/>
  <c r="C55" i="2"/>
  <c r="S54" i="2"/>
  <c r="K54" i="2"/>
  <c r="N54" i="2" s="1"/>
  <c r="T54" i="2" s="1"/>
  <c r="C54" i="2"/>
  <c r="K53" i="2"/>
  <c r="R53" i="2" s="1"/>
  <c r="N53" i="2"/>
  <c r="T53" i="2" s="1"/>
  <c r="C53" i="2"/>
  <c r="C52" i="2"/>
  <c r="C51" i="2"/>
  <c r="C50" i="2"/>
  <c r="C49" i="2"/>
  <c r="C48" i="2"/>
  <c r="M47" i="2"/>
  <c r="C47" i="2"/>
  <c r="K46" i="2"/>
  <c r="N46" i="2" s="1"/>
  <c r="C46" i="2"/>
  <c r="K45" i="2"/>
  <c r="N45" i="2"/>
  <c r="C45" i="2"/>
  <c r="N44" i="2"/>
  <c r="K44" i="2"/>
  <c r="C44" i="2"/>
  <c r="K43" i="2"/>
  <c r="N43" i="2"/>
  <c r="C43" i="2"/>
  <c r="K42" i="2"/>
  <c r="C42" i="2"/>
  <c r="K41" i="2"/>
  <c r="N41" i="2" s="1"/>
  <c r="C41" i="2"/>
  <c r="K40" i="2"/>
  <c r="N40" i="2" s="1"/>
  <c r="T40" i="2" s="1"/>
  <c r="C40" i="2"/>
  <c r="K39" i="2"/>
  <c r="R39" i="2" s="1"/>
  <c r="S39" i="2" s="1"/>
  <c r="C39" i="2"/>
  <c r="K38" i="2"/>
  <c r="N38" i="2" s="1"/>
  <c r="T38" i="2" s="1"/>
  <c r="C38" i="2"/>
  <c r="K37" i="2"/>
  <c r="R37" i="2" s="1"/>
  <c r="S37" i="2" s="1"/>
  <c r="C37" i="2"/>
  <c r="S36" i="2"/>
  <c r="K36" i="2"/>
  <c r="N36" i="2" s="1"/>
  <c r="T36" i="2" s="1"/>
  <c r="C36" i="2"/>
  <c r="C35" i="2"/>
  <c r="C34" i="2"/>
  <c r="C33" i="2"/>
  <c r="C32" i="2"/>
  <c r="C31" i="2"/>
  <c r="M30" i="2"/>
  <c r="C30" i="2"/>
  <c r="N29" i="2"/>
  <c r="K29" i="2"/>
  <c r="C29" i="2"/>
  <c r="K28" i="2"/>
  <c r="N28" i="2" s="1"/>
  <c r="C28" i="2"/>
  <c r="K27" i="2"/>
  <c r="N27" i="2" s="1"/>
  <c r="C27" i="2"/>
  <c r="K26" i="2"/>
  <c r="R26" i="2" s="1"/>
  <c r="S26" i="2" s="1"/>
  <c r="C26" i="2"/>
  <c r="K25" i="2"/>
  <c r="R25" i="2" s="1"/>
  <c r="S25" i="2" s="1"/>
  <c r="C25" i="2"/>
  <c r="K24" i="2"/>
  <c r="N24" i="2" s="1"/>
  <c r="T24" i="2" s="1"/>
  <c r="C24" i="2"/>
  <c r="K23" i="2"/>
  <c r="R23" i="2" s="1"/>
  <c r="S23" i="2" s="1"/>
  <c r="C23" i="2"/>
  <c r="S22" i="2"/>
  <c r="K22" i="2"/>
  <c r="N22" i="2" s="1"/>
  <c r="T22" i="2" s="1"/>
  <c r="C22" i="2"/>
  <c r="R21" i="2"/>
  <c r="S21" i="2" s="1"/>
  <c r="K21" i="2"/>
  <c r="N21" i="2" s="1"/>
  <c r="T21" i="2" s="1"/>
  <c r="C21" i="2"/>
  <c r="K20" i="2"/>
  <c r="N20" i="2" s="1"/>
  <c r="T20" i="2" s="1"/>
  <c r="C20" i="2"/>
  <c r="R19" i="2"/>
  <c r="C19" i="2"/>
  <c r="C18" i="2"/>
  <c r="C17" i="2"/>
  <c r="C16" i="2"/>
  <c r="C15" i="2"/>
  <c r="M14" i="2"/>
  <c r="C14" i="2"/>
  <c r="K13" i="2"/>
  <c r="N13" i="2" s="1"/>
  <c r="C13" i="2"/>
  <c r="K12" i="2"/>
  <c r="N12" i="2" s="1"/>
  <c r="C12" i="2"/>
  <c r="K11" i="2"/>
  <c r="N11" i="2" s="1"/>
  <c r="C11" i="2"/>
  <c r="K10" i="2"/>
  <c r="R10" i="2" s="1"/>
  <c r="S10" i="2" s="1"/>
  <c r="C10" i="2"/>
  <c r="K9" i="2"/>
  <c r="R9" i="2" s="1"/>
  <c r="S9" i="2" s="1"/>
  <c r="C9" i="2"/>
  <c r="K8" i="2"/>
  <c r="R8" i="2"/>
  <c r="S8" i="2" s="1"/>
  <c r="C8" i="2"/>
  <c r="K7" i="2"/>
  <c r="R7" i="2" s="1"/>
  <c r="S7" i="2" s="1"/>
  <c r="N7" i="2"/>
  <c r="T7" i="2" s="1"/>
  <c r="C7" i="2"/>
  <c r="K6" i="2"/>
  <c r="R6" i="2" s="1"/>
  <c r="S6" i="2" s="1"/>
  <c r="C6" i="2"/>
  <c r="R5" i="2"/>
  <c r="N5" i="2"/>
  <c r="T5" i="2" s="1"/>
  <c r="C5" i="2"/>
  <c r="C4" i="2"/>
  <c r="S3" i="2"/>
  <c r="C3" i="2"/>
  <c r="O3" i="3"/>
  <c r="P3" i="3"/>
  <c r="M4" i="3"/>
  <c r="Q4" i="3" s="1"/>
  <c r="O7" i="3"/>
  <c r="P7" i="3"/>
  <c r="M8" i="3"/>
  <c r="Q8" i="3" s="1"/>
  <c r="O11" i="3"/>
  <c r="P11" i="3" s="1"/>
  <c r="M12" i="3"/>
  <c r="Q12" i="3" s="1"/>
  <c r="O15" i="3"/>
  <c r="P15" i="3"/>
  <c r="M16" i="3"/>
  <c r="Q16" i="3" s="1"/>
  <c r="O19" i="3"/>
  <c r="P19" i="3"/>
  <c r="M20" i="3"/>
  <c r="Q20" i="3" s="1"/>
  <c r="O23" i="3"/>
  <c r="P23" i="3" s="1"/>
  <c r="M24" i="3"/>
  <c r="Q24" i="3" s="1"/>
  <c r="O27" i="3"/>
  <c r="P27" i="3"/>
  <c r="M28" i="3"/>
  <c r="Q28" i="3" s="1"/>
  <c r="S104" i="2"/>
  <c r="R190" i="2"/>
  <c r="S190" i="2" s="1"/>
  <c r="N190" i="2"/>
  <c r="T190" i="2" s="1"/>
  <c r="N192" i="2"/>
  <c r="T192" i="2" s="1"/>
  <c r="N4" i="2"/>
  <c r="T4" i="2" s="1"/>
  <c r="N6" i="2"/>
  <c r="T6" i="2" s="1"/>
  <c r="N8" i="2"/>
  <c r="T8" i="2" s="1"/>
  <c r="N10" i="2"/>
  <c r="T10" i="2" s="1"/>
  <c r="N86" i="2"/>
  <c r="T86" i="2" s="1"/>
  <c r="T90" i="2" s="1"/>
  <c r="N104" i="2"/>
  <c r="T104" i="2" s="1"/>
  <c r="N106" i="2"/>
  <c r="T106" i="2"/>
  <c r="N108" i="2"/>
  <c r="T108" i="2" s="1"/>
  <c r="N137" i="2"/>
  <c r="T137" i="2" s="1"/>
  <c r="R206" i="2"/>
  <c r="N206" i="2"/>
  <c r="T206" i="2" s="1"/>
  <c r="R241" i="2"/>
  <c r="S241" i="2" s="1"/>
  <c r="N241" i="2"/>
  <c r="T241" i="2" s="1"/>
  <c r="R243" i="2"/>
  <c r="S243" i="2" s="1"/>
  <c r="N243" i="2"/>
  <c r="T243" i="2" s="1"/>
  <c r="S363" i="2"/>
  <c r="R418" i="2"/>
  <c r="S418" i="2" s="1"/>
  <c r="N418" i="2"/>
  <c r="T418" i="2" s="1"/>
  <c r="S450" i="2"/>
  <c r="R4" i="2"/>
  <c r="S4" i="2" s="1"/>
  <c r="R86" i="2"/>
  <c r="S86" i="2" s="1"/>
  <c r="N156" i="2"/>
  <c r="T156" i="2" s="1"/>
  <c r="R158" i="2"/>
  <c r="S158" i="2" s="1"/>
  <c r="N158" i="2"/>
  <c r="T158" i="2"/>
  <c r="K165" i="2"/>
  <c r="R172" i="2"/>
  <c r="S172" i="2" s="1"/>
  <c r="N172" i="2"/>
  <c r="T172" i="2"/>
  <c r="R174" i="2"/>
  <c r="S174" i="2" s="1"/>
  <c r="N174" i="2"/>
  <c r="T174" i="2"/>
  <c r="S189" i="2"/>
  <c r="R227" i="2"/>
  <c r="S227" i="2" s="1"/>
  <c r="N227" i="2"/>
  <c r="T227" i="2" s="1"/>
  <c r="K267" i="2"/>
  <c r="R256" i="2"/>
  <c r="R279" i="2"/>
  <c r="S279" i="2" s="1"/>
  <c r="N279" i="2"/>
  <c r="T279" i="2"/>
  <c r="R345" i="2"/>
  <c r="S345" i="2" s="1"/>
  <c r="N345" i="2"/>
  <c r="T345" i="2"/>
  <c r="S467" i="2"/>
  <c r="R259" i="2"/>
  <c r="S259" i="2" s="1"/>
  <c r="N259" i="2"/>
  <c r="T259" i="2" s="1"/>
  <c r="S309" i="2"/>
  <c r="K444" i="2"/>
  <c r="R293" i="2"/>
  <c r="R295" i="2" s="1"/>
  <c r="N293" i="2"/>
  <c r="T293" i="2" s="1"/>
  <c r="R327" i="2"/>
  <c r="N327" i="2"/>
  <c r="K336" i="2"/>
  <c r="R349" i="2"/>
  <c r="S349" i="2" s="1"/>
  <c r="N349" i="2"/>
  <c r="T349" i="2" s="1"/>
  <c r="R383" i="2"/>
  <c r="S383" i="2"/>
  <c r="N383" i="2"/>
  <c r="T383" i="2" s="1"/>
  <c r="R399" i="2"/>
  <c r="S399" i="2" s="1"/>
  <c r="N399" i="2"/>
  <c r="T399" i="2" s="1"/>
  <c r="K426" i="2"/>
  <c r="R416" i="2"/>
  <c r="S416" i="2" s="1"/>
  <c r="N416" i="2"/>
  <c r="T416" i="2" s="1"/>
  <c r="K478" i="2"/>
  <c r="R468" i="2"/>
  <c r="S468" i="2" s="1"/>
  <c r="N468" i="2"/>
  <c r="T468" i="2" s="1"/>
  <c r="R347" i="2"/>
  <c r="N347" i="2"/>
  <c r="T347" i="2" s="1"/>
  <c r="R366" i="2"/>
  <c r="S366" i="2" s="1"/>
  <c r="N366" i="2"/>
  <c r="T366" i="2" s="1"/>
  <c r="K391" i="2"/>
  <c r="K407" i="2"/>
  <c r="R397" i="2"/>
  <c r="S397" i="2" s="1"/>
  <c r="N397" i="2"/>
  <c r="T397" i="2" s="1"/>
  <c r="R380" i="2"/>
  <c r="R413" i="2"/>
  <c r="S413" i="2" s="1"/>
  <c r="N453" i="2"/>
  <c r="T453" i="2" s="1"/>
  <c r="N455" i="2"/>
  <c r="T455" i="2"/>
  <c r="N471" i="2"/>
  <c r="T471" i="2" s="1"/>
  <c r="N473" i="2"/>
  <c r="T473" i="2" s="1"/>
  <c r="R431" i="2"/>
  <c r="S431" i="2" s="1"/>
  <c r="N449" i="2"/>
  <c r="T449" i="2" s="1"/>
  <c r="S327" i="2"/>
  <c r="S256" i="2"/>
  <c r="S206" i="2"/>
  <c r="S380" i="2"/>
  <c r="S310" i="2" l="1"/>
  <c r="S312" i="2" s="1"/>
  <c r="R312" i="2"/>
  <c r="S173" i="2"/>
  <c r="R176" i="2"/>
  <c r="R196" i="2"/>
  <c r="S364" i="2"/>
  <c r="S368" i="2" s="1"/>
  <c r="R368" i="2"/>
  <c r="R331" i="2"/>
  <c r="R277" i="2"/>
  <c r="S277" i="2" s="1"/>
  <c r="K182" i="2"/>
  <c r="N39" i="2"/>
  <c r="T39" i="2" s="1"/>
  <c r="T41" i="2" s="1"/>
  <c r="R56" i="2"/>
  <c r="S56" i="2" s="1"/>
  <c r="R141" i="2"/>
  <c r="S141" i="2" s="1"/>
  <c r="N231" i="2"/>
  <c r="T231" i="2" s="1"/>
  <c r="N344" i="2"/>
  <c r="T344" i="2" s="1"/>
  <c r="R381" i="2"/>
  <c r="R421" i="2"/>
  <c r="S421" i="2" s="1"/>
  <c r="N452" i="2"/>
  <c r="T452" i="2" s="1"/>
  <c r="S331" i="2"/>
  <c r="N107" i="2"/>
  <c r="T107" i="2" s="1"/>
  <c r="K80" i="2"/>
  <c r="K64" i="2"/>
  <c r="K14" i="2"/>
  <c r="R228" i="2"/>
  <c r="S228" i="2" s="1"/>
  <c r="N398" i="2"/>
  <c r="T398" i="2" s="1"/>
  <c r="S159" i="2"/>
  <c r="K30" i="2"/>
  <c r="R57" i="2"/>
  <c r="S57" i="2" s="1"/>
  <c r="R125" i="2"/>
  <c r="S125" i="2" s="1"/>
  <c r="N138" i="2"/>
  <c r="T138" i="2" s="1"/>
  <c r="N175" i="2"/>
  <c r="T175" i="2" s="1"/>
  <c r="T176" i="2" s="1"/>
  <c r="R273" i="2"/>
  <c r="S273" i="2" s="1"/>
  <c r="N414" i="2"/>
  <c r="T414" i="2" s="1"/>
  <c r="N222" i="2"/>
  <c r="T222" i="2" s="1"/>
  <c r="R143" i="2"/>
  <c r="N37" i="2"/>
  <c r="T37" i="2" s="1"/>
  <c r="K301" i="2"/>
  <c r="N194" i="2"/>
  <c r="T194" i="2" s="1"/>
  <c r="T196" i="2" s="1"/>
  <c r="K47" i="2"/>
  <c r="R121" i="2"/>
  <c r="S121" i="2" s="1"/>
  <c r="N329" i="2"/>
  <c r="N346" i="2"/>
  <c r="T346" i="2" s="1"/>
  <c r="R159" i="2"/>
  <c r="R194" i="2"/>
  <c r="S194" i="2" s="1"/>
  <c r="N26" i="2"/>
  <c r="T26" i="2" s="1"/>
  <c r="N258" i="2"/>
  <c r="T258" i="2" s="1"/>
  <c r="T261" i="2" s="1"/>
  <c r="N292" i="2"/>
  <c r="T292" i="2" s="1"/>
  <c r="N364" i="2"/>
  <c r="T364" i="2" s="1"/>
  <c r="T368" i="2" s="1"/>
  <c r="R367" i="2"/>
  <c r="S367" i="2" s="1"/>
  <c r="N384" i="2"/>
  <c r="T384" i="2" s="1"/>
  <c r="R432" i="2"/>
  <c r="S432" i="2" s="1"/>
  <c r="R436" i="2"/>
  <c r="S436" i="2" s="1"/>
  <c r="N25" i="2"/>
  <c r="T25" i="2" s="1"/>
  <c r="R55" i="2"/>
  <c r="S55" i="2" s="1"/>
  <c r="N173" i="2"/>
  <c r="T173" i="2" s="1"/>
  <c r="R242" i="2"/>
  <c r="S242" i="2" s="1"/>
  <c r="R396" i="2"/>
  <c r="S396" i="2" s="1"/>
  <c r="N23" i="2"/>
  <c r="T23" i="2" s="1"/>
  <c r="T386" i="2"/>
  <c r="S19" i="2"/>
  <c r="T58" i="2"/>
  <c r="S53" i="2"/>
  <c r="S58" i="2" s="1"/>
  <c r="R58" i="2"/>
  <c r="S87" i="2"/>
  <c r="S90" i="2" s="1"/>
  <c r="R90" i="2"/>
  <c r="S261" i="2"/>
  <c r="S422" i="2"/>
  <c r="S176" i="2"/>
  <c r="R11" i="2"/>
  <c r="S5" i="2"/>
  <c r="S11" i="2" s="1"/>
  <c r="S402" i="2"/>
  <c r="R261" i="2"/>
  <c r="R122" i="2"/>
  <c r="S122" i="2" s="1"/>
  <c r="N122" i="2"/>
  <c r="T122" i="2" s="1"/>
  <c r="R126" i="2"/>
  <c r="S126" i="2" s="1"/>
  <c r="N126" i="2"/>
  <c r="T126" i="2" s="1"/>
  <c r="S138" i="2"/>
  <c r="S143" i="2" s="1"/>
  <c r="N157" i="2"/>
  <c r="T157" i="2" s="1"/>
  <c r="T159" i="2" s="1"/>
  <c r="S192" i="2"/>
  <c r="S196" i="2" s="1"/>
  <c r="R20" i="2"/>
  <c r="S20" i="2" s="1"/>
  <c r="R24" i="2"/>
  <c r="S24" i="2" s="1"/>
  <c r="N42" i="2"/>
  <c r="S347" i="2"/>
  <c r="S351" i="2" s="1"/>
  <c r="S293" i="2"/>
  <c r="S295" i="2" s="1"/>
  <c r="R69" i="2"/>
  <c r="N69" i="2"/>
  <c r="T69" i="2" s="1"/>
  <c r="R123" i="2"/>
  <c r="S123" i="2" s="1"/>
  <c r="R226" i="2"/>
  <c r="S226" i="2" s="1"/>
  <c r="N226" i="2"/>
  <c r="T226" i="2" s="1"/>
  <c r="T233" i="2" s="1"/>
  <c r="R402" i="2"/>
  <c r="N3" i="2"/>
  <c r="R38" i="2"/>
  <c r="R40" i="2"/>
  <c r="S40" i="2" s="1"/>
  <c r="T438" i="2"/>
  <c r="R422" i="2"/>
  <c r="R120" i="2"/>
  <c r="N120" i="2"/>
  <c r="T120" i="2" s="1"/>
  <c r="R124" i="2"/>
  <c r="S124" i="2" s="1"/>
  <c r="N124" i="2"/>
  <c r="T124" i="2" s="1"/>
  <c r="K216" i="2"/>
  <c r="N70" i="2"/>
  <c r="T70" i="2" s="1"/>
  <c r="K250" i="2"/>
  <c r="K284" i="2"/>
  <c r="R276" i="2"/>
  <c r="S276" i="2" s="1"/>
  <c r="N276" i="2"/>
  <c r="T276" i="2" s="1"/>
  <c r="T280" i="2" s="1"/>
  <c r="N9" i="2"/>
  <c r="T9" i="2" s="1"/>
  <c r="N310" i="2"/>
  <c r="T310" i="2" s="1"/>
  <c r="T312" i="2" s="1"/>
  <c r="K318" i="2"/>
  <c r="K355" i="2"/>
  <c r="N19" i="2"/>
  <c r="T19" i="2" s="1"/>
  <c r="T27" i="2" s="1"/>
  <c r="K97" i="2"/>
  <c r="N109" i="2"/>
  <c r="T109" i="2" s="1"/>
  <c r="T110" i="2" s="1"/>
  <c r="R109" i="2"/>
  <c r="K131" i="2"/>
  <c r="R348" i="2"/>
  <c r="S348" i="2" s="1"/>
  <c r="N348" i="2"/>
  <c r="T348" i="2" s="1"/>
  <c r="T351" i="2" s="1"/>
  <c r="R71" i="2"/>
  <c r="S71" i="2" s="1"/>
  <c r="N71" i="2"/>
  <c r="T71" i="2" s="1"/>
  <c r="R209" i="2"/>
  <c r="N209" i="2"/>
  <c r="T209" i="2" s="1"/>
  <c r="T210" i="2" s="1"/>
  <c r="R240" i="2"/>
  <c r="N240" i="2"/>
  <c r="T240" i="2" s="1"/>
  <c r="T244" i="2" s="1"/>
  <c r="K373" i="2"/>
  <c r="R223" i="2"/>
  <c r="R472" i="2"/>
  <c r="M6" i="3"/>
  <c r="Q6" i="3" s="1"/>
  <c r="M18" i="3"/>
  <c r="Q18" i="3" s="1"/>
  <c r="R230" i="2"/>
  <c r="S230" i="2" s="1"/>
  <c r="N454" i="2"/>
  <c r="T454" i="2" s="1"/>
  <c r="T457" i="2" s="1"/>
  <c r="M13" i="3"/>
  <c r="Q13" i="3" s="1"/>
  <c r="M25" i="3"/>
  <c r="Q25" i="3" s="1"/>
  <c r="K114" i="2"/>
  <c r="N290" i="2"/>
  <c r="T290" i="2" s="1"/>
  <c r="T295" i="2" s="1"/>
  <c r="R433" i="2"/>
  <c r="R435" i="2"/>
  <c r="S435" i="2" s="1"/>
  <c r="N140" i="2"/>
  <c r="T140" i="2" s="1"/>
  <c r="N142" i="2"/>
  <c r="T142" i="2" s="1"/>
  <c r="R224" i="2"/>
  <c r="S224" i="2" s="1"/>
  <c r="R274" i="2"/>
  <c r="N419" i="2"/>
  <c r="T419" i="2" s="1"/>
  <c r="T422" i="2" s="1"/>
  <c r="R451" i="2"/>
  <c r="N469" i="2"/>
  <c r="T469" i="2" s="1"/>
  <c r="T474" i="2" s="1"/>
  <c r="M5" i="3"/>
  <c r="Q5" i="3" s="1"/>
  <c r="M17" i="3"/>
  <c r="Q17" i="3" s="1"/>
  <c r="M29" i="3"/>
  <c r="Q29" i="3" s="1"/>
  <c r="K462" i="2"/>
  <c r="N400" i="2"/>
  <c r="T400" i="2" s="1"/>
  <c r="T402" i="2" s="1"/>
  <c r="S27" i="2" l="1"/>
  <c r="S381" i="2"/>
  <c r="S386" i="2" s="1"/>
  <c r="R386" i="2"/>
  <c r="T143" i="2"/>
  <c r="R27" i="2"/>
  <c r="K482" i="2"/>
  <c r="K484" i="2" s="1"/>
  <c r="S240" i="2"/>
  <c r="S244" i="2" s="1"/>
  <c r="R244" i="2"/>
  <c r="T127" i="2"/>
  <c r="S451" i="2"/>
  <c r="S457" i="2" s="1"/>
  <c r="R457" i="2"/>
  <c r="S69" i="2"/>
  <c r="S75" i="2" s="1"/>
  <c r="R75" i="2"/>
  <c r="S274" i="2"/>
  <c r="S280" i="2" s="1"/>
  <c r="R280" i="2"/>
  <c r="S472" i="2"/>
  <c r="S474" i="2" s="1"/>
  <c r="R474" i="2"/>
  <c r="S38" i="2"/>
  <c r="S41" i="2" s="1"/>
  <c r="S481" i="2" s="1"/>
  <c r="R41" i="2"/>
  <c r="S223" i="2"/>
  <c r="S233" i="2" s="1"/>
  <c r="R233" i="2"/>
  <c r="S109" i="2"/>
  <c r="S110" i="2" s="1"/>
  <c r="R110" i="2"/>
  <c r="T11" i="2"/>
  <c r="S433" i="2"/>
  <c r="S438" i="2" s="1"/>
  <c r="R438" i="2"/>
  <c r="S209" i="2"/>
  <c r="S210" i="2" s="1"/>
  <c r="R210" i="2"/>
  <c r="R351" i="2"/>
  <c r="R127" i="2"/>
  <c r="S120" i="2"/>
  <c r="S127" i="2" s="1"/>
  <c r="T75" i="2"/>
  <c r="R481" i="2" l="1"/>
  <c r="T48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F27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07/06 - 899,99 nf 4539</t>
        </r>
      </text>
    </comment>
  </commentList>
</comments>
</file>

<file path=xl/sharedStrings.xml><?xml version="1.0" encoding="utf-8"?>
<sst xmlns="http://schemas.openxmlformats.org/spreadsheetml/2006/main" count="3037" uniqueCount="1276">
  <si>
    <t>Nome</t>
  </si>
  <si>
    <t>Função</t>
  </si>
  <si>
    <t>Código</t>
  </si>
  <si>
    <t>CPF</t>
  </si>
  <si>
    <t>CLEBER MARTINS DOS SANTOS</t>
  </si>
  <si>
    <t>304.785.988-40</t>
  </si>
  <si>
    <t>Sob Custódia do Inss</t>
  </si>
  <si>
    <t>Vendedor de comércio</t>
  </si>
  <si>
    <t>MARCOS ANTONIO NOGUEIRA</t>
  </si>
  <si>
    <t>059.159.978-30</t>
  </si>
  <si>
    <t>Ativo</t>
  </si>
  <si>
    <t xml:space="preserve">GERENTE DE LOJA     </t>
  </si>
  <si>
    <t>HIGOR ANDRE MORETTO</t>
  </si>
  <si>
    <t>416.952.008-45</t>
  </si>
  <si>
    <t xml:space="preserve">VENDEDOR(a)         </t>
  </si>
  <si>
    <t>ALEF JUNIOR SOARES</t>
  </si>
  <si>
    <t>471.603.208-67</t>
  </si>
  <si>
    <t>ZELITA MOREIRA SANTANA</t>
  </si>
  <si>
    <t>026.802.955-52</t>
  </si>
  <si>
    <t>TACIANA APARECIDA MARQUES PERCEGUINI</t>
  </si>
  <si>
    <t>417.506.478-85</t>
  </si>
  <si>
    <t xml:space="preserve">ASSISTENTE DE LOJA  </t>
  </si>
  <si>
    <t>SAVIO KAYK SANTOS DE OLIVEIRA</t>
  </si>
  <si>
    <t>460.439.178-58</t>
  </si>
  <si>
    <t>JULIA MENDES ARAUJO</t>
  </si>
  <si>
    <t>472.709.038-40</t>
  </si>
  <si>
    <t>TIAGO OLIVEIRA DE SOUSA</t>
  </si>
  <si>
    <t>615.804.283-80</t>
  </si>
  <si>
    <t>CRISTIAN YUSUKE SHIMOTO</t>
  </si>
  <si>
    <t>238.466.108-60</t>
  </si>
  <si>
    <t>MAYSSA LAYLA CARDOSO DE OLIVEIRA</t>
  </si>
  <si>
    <t>529.046.548-01</t>
  </si>
  <si>
    <t>BRUNO NASCIMENTO DE SOUSA</t>
  </si>
  <si>
    <t>446.651.718-58</t>
  </si>
  <si>
    <t>RAFAELLA FREITAS DANTAS DOS SANTOS</t>
  </si>
  <si>
    <t>466.341.258-05</t>
  </si>
  <si>
    <t>LUIZ FERNANDO DE OLIVEIRA</t>
  </si>
  <si>
    <t>060.160.187-40</t>
  </si>
  <si>
    <t>GABRIEL DUARTE DA SILVA</t>
  </si>
  <si>
    <t>173.098.857-16</t>
  </si>
  <si>
    <t>MATHEUS DOS SANTOS CHRISTO</t>
  </si>
  <si>
    <t>166.990.977-84</t>
  </si>
  <si>
    <t>GUSTAVO DOS SANTOS DANTAS</t>
  </si>
  <si>
    <t>128.002.947-10</t>
  </si>
  <si>
    <t>NATHALIA MATOS REIS DE FREITAS</t>
  </si>
  <si>
    <t>150.984.167-95</t>
  </si>
  <si>
    <t>INGRID DOS SANTOS BRAGA</t>
  </si>
  <si>
    <t>179.961.057-82</t>
  </si>
  <si>
    <t>LUIZ EDUARDO MARCELINO DOS SANTOS</t>
  </si>
  <si>
    <t>154.191.327-29</t>
  </si>
  <si>
    <t>BERNARDO MARTINS MIRANDA</t>
  </si>
  <si>
    <t>116.287.717-04</t>
  </si>
  <si>
    <t>VITOR HUGO MACEDO</t>
  </si>
  <si>
    <t>108.743.787-37</t>
  </si>
  <si>
    <t>RAFAEL SANTOS DE SOUSA</t>
  </si>
  <si>
    <t>171.325.347-00</t>
  </si>
  <si>
    <t>LAIS SANTOS DE OLIVEIRA</t>
  </si>
  <si>
    <t>177.746.077-81</t>
  </si>
  <si>
    <t>ALLAN DA SILVA PONTES</t>
  </si>
  <si>
    <t>141.562.647-26</t>
  </si>
  <si>
    <t>MARIA JAINE DA SILVA</t>
  </si>
  <si>
    <t>109.515.944-51</t>
  </si>
  <si>
    <t>RAPHAEL BORGES DE FARIAS</t>
  </si>
  <si>
    <t>059.845.167-64</t>
  </si>
  <si>
    <t>PATRICK TEIXEIRA CAMISAO</t>
  </si>
  <si>
    <t>160.448.307-56</t>
  </si>
  <si>
    <t>ELIZA OLIVEIRA NUNES</t>
  </si>
  <si>
    <t>178.908.587-01</t>
  </si>
  <si>
    <t>Contrato Suspenso - MP 936</t>
  </si>
  <si>
    <t>LUCAS SANTOS DE CARVALHO</t>
  </si>
  <si>
    <t>172.838.007-35</t>
  </si>
  <si>
    <t>CAIO VIEIRA BARBOSA</t>
  </si>
  <si>
    <t>442.376.138-60</t>
  </si>
  <si>
    <t>MARGARETH LEAL</t>
  </si>
  <si>
    <t>407.781.668-80</t>
  </si>
  <si>
    <t>GRAZIELLY SANTOS SILVA</t>
  </si>
  <si>
    <t>467.257.158-00</t>
  </si>
  <si>
    <t>CARLOS EDUARDO MARTINS DE LIMA</t>
  </si>
  <si>
    <t>312.469.698-07</t>
  </si>
  <si>
    <t>GABRIEL ALFREDO JESUS DE PINHO</t>
  </si>
  <si>
    <t>491.663.158-75</t>
  </si>
  <si>
    <t>TIAGO WAGNER FRANCO</t>
  </si>
  <si>
    <t>383.025.258-71</t>
  </si>
  <si>
    <t>BRUNO SILVA CAPELLI</t>
  </si>
  <si>
    <t>366.421.178-24</t>
  </si>
  <si>
    <t>VADILSON TEAGO DE SANTANA</t>
  </si>
  <si>
    <t>135.820.698-85</t>
  </si>
  <si>
    <t>ANDRE FERNANDO OZUNA</t>
  </si>
  <si>
    <t>285.803.778-70</t>
  </si>
  <si>
    <t>MARCELO FERNANDES DE SOUZA</t>
  </si>
  <si>
    <t>389.253.428-47</t>
  </si>
  <si>
    <t>BRUNA DIAS RAMOS</t>
  </si>
  <si>
    <t>158.926.428-28</t>
  </si>
  <si>
    <t>NICOLE MARIA FAZIO</t>
  </si>
  <si>
    <t>487.676.818-83</t>
  </si>
  <si>
    <t>MARLON MIRANDA DE OLIVEIRA</t>
  </si>
  <si>
    <t>000.291.020-90</t>
  </si>
  <si>
    <t>JENNYFER QUEIROZ DE ALMEIDA NASCIMENTO</t>
  </si>
  <si>
    <t>407.642.998-24</t>
  </si>
  <si>
    <t>RONALDO PINHEIRO DE OLIVEIRA</t>
  </si>
  <si>
    <t>183.016.258-64</t>
  </si>
  <si>
    <t>JEFFERSON GONCALVES DA SILVA</t>
  </si>
  <si>
    <t>007.164.092-40</t>
  </si>
  <si>
    <t xml:space="preserve">VENDEDOR (a)        </t>
  </si>
  <si>
    <t>ROMEU PITER VERAS DOS SANTOS</t>
  </si>
  <si>
    <t>945.231.772-87</t>
  </si>
  <si>
    <t>PATRICIA BRANDAO ANASTACIO</t>
  </si>
  <si>
    <t>013.989.272-95</t>
  </si>
  <si>
    <t>FRANCIANE DOS SANTOS MEDEIROS</t>
  </si>
  <si>
    <t>939.548.082-34</t>
  </si>
  <si>
    <t>ADRIANA MONTEIRO MACEDO</t>
  </si>
  <si>
    <t>702.895.822-10</t>
  </si>
  <si>
    <t>PATRINY LORRANNA DOS SANTOS MOTA</t>
  </si>
  <si>
    <t>021.046.162-47</t>
  </si>
  <si>
    <t>SUSAN SCHULTZ MOURA</t>
  </si>
  <si>
    <t>026.257.550-75</t>
  </si>
  <si>
    <t>LUCIANO DA MOTA GONÇALVES</t>
  </si>
  <si>
    <t>001.104.960-00</t>
  </si>
  <si>
    <t>CLAUCIO PITTHAN BERGHAHN</t>
  </si>
  <si>
    <t>013.307.420-01</t>
  </si>
  <si>
    <t>MARCIEL FISCHBORN FERNANDES</t>
  </si>
  <si>
    <t>017.323.330-92</t>
  </si>
  <si>
    <t>ROGER PASSAIA</t>
  </si>
  <si>
    <t>047.712.040-71</t>
  </si>
  <si>
    <t>AMANDA LORENA VEIGA RODRIGUES DA SILVA</t>
  </si>
  <si>
    <t>036.781.370-08</t>
  </si>
  <si>
    <t>VICTOR GABRIEL ESTEFEN DE SOUZA</t>
  </si>
  <si>
    <t>037.604.160-98</t>
  </si>
  <si>
    <t>FELIPE GONCALVES</t>
  </si>
  <si>
    <t>050.440.050-96</t>
  </si>
  <si>
    <t>VITORIA APARECIDA DA SILVA</t>
  </si>
  <si>
    <t>045.921.830-10</t>
  </si>
  <si>
    <t>ALUISIO SANCHES MORAES</t>
  </si>
  <si>
    <t>327.400.998-94</t>
  </si>
  <si>
    <t>RAFAEL NOGUEIRA DE MORAES</t>
  </si>
  <si>
    <t>301.816.038-02</t>
  </si>
  <si>
    <t>LEONARDO MAFRA RODRIGUES</t>
  </si>
  <si>
    <t>527.984.638-40</t>
  </si>
  <si>
    <t>HUGO KENJI MIYAZAKI DIAS</t>
  </si>
  <si>
    <t>384.188.068-18</t>
  </si>
  <si>
    <t>DANIELLE DA SILVA CONCEICAO</t>
  </si>
  <si>
    <t>954.817.372-72</t>
  </si>
  <si>
    <t>RENAN FERREIRA PIMENTEL</t>
  </si>
  <si>
    <t>404.103.638-04</t>
  </si>
  <si>
    <t>MARIANA SOUZA RODRIGUES</t>
  </si>
  <si>
    <t>460.133.308-32</t>
  </si>
  <si>
    <t>LUCAS ALVES</t>
  </si>
  <si>
    <t>228.904.388-56</t>
  </si>
  <si>
    <t>UELDERMAN ALVES MIGUEZ COSTA</t>
  </si>
  <si>
    <t>029.972.815-39</t>
  </si>
  <si>
    <t>GABRIELA DUARTE DOS SANTOS</t>
  </si>
  <si>
    <t>061.462.155-03</t>
  </si>
  <si>
    <t>MARCELO ALVES DE SOUZA SANTOS</t>
  </si>
  <si>
    <t>041.739.405-56</t>
  </si>
  <si>
    <t>ISRAEL GUSTAVO DOS SANTOS GARCIA</t>
  </si>
  <si>
    <t>108.739.084-22</t>
  </si>
  <si>
    <t>WEBERTON SOUZA DA SILVA</t>
  </si>
  <si>
    <t>066.595.235-02</t>
  </si>
  <si>
    <t>JOÃO PEDRO CINTRA BAHIA</t>
  </si>
  <si>
    <t>861.221.485-80</t>
  </si>
  <si>
    <t>LUCAS ARAUJO DE LIMA</t>
  </si>
  <si>
    <t>863.378.735-05</t>
  </si>
  <si>
    <t>IVANA BONFIM REQUIAO</t>
  </si>
  <si>
    <t>034.529.405-00</t>
  </si>
  <si>
    <t>FLAVIANA DA SILVA</t>
  </si>
  <si>
    <t>017.660.263-11</t>
  </si>
  <si>
    <t>RANDAL BATISTA MAIA</t>
  </si>
  <si>
    <t>057.107.003-55</t>
  </si>
  <si>
    <t>DOUGLAS ALBUQUERQUE BRASIL JUNIOR</t>
  </si>
  <si>
    <t>949.017.162-04</t>
  </si>
  <si>
    <t>THIAGO DOS SANTOS BATISTA</t>
  </si>
  <si>
    <t>065.842.673-77</t>
  </si>
  <si>
    <t>THEOGENES CALLOU LIMA</t>
  </si>
  <si>
    <t>061.232.043-00</t>
  </si>
  <si>
    <t>RAPHAEL SILVA VIEIRA DA LUZ</t>
  </si>
  <si>
    <t>059.452.933-69</t>
  </si>
  <si>
    <t>HILTON DE SOUZA FERNANDES</t>
  </si>
  <si>
    <t>016.339.213-79</t>
  </si>
  <si>
    <t>PAULO HERMINO RIBEIRO DE SOUZA</t>
  </si>
  <si>
    <t>603.472.423-67</t>
  </si>
  <si>
    <t>AMANDA CAROLINE MARIANO DA SILVA</t>
  </si>
  <si>
    <t>022.617.843-92</t>
  </si>
  <si>
    <t>Em Auxilio Maternidade</t>
  </si>
  <si>
    <t>LUIS CARLOS GARCIA SILVA</t>
  </si>
  <si>
    <t>013.431.263-55</t>
  </si>
  <si>
    <t>LUCAS PAZ PONTES</t>
  </si>
  <si>
    <t>622.829.353-22</t>
  </si>
  <si>
    <t>TIAGO ELOI FERNANDO</t>
  </si>
  <si>
    <t>603.375.873-02</t>
  </si>
  <si>
    <t>MAURICIO IBIAPINA SOARES NETO</t>
  </si>
  <si>
    <t>046.023.193-60</t>
  </si>
  <si>
    <t>LUIZ CARLOS BATISTA INACIO</t>
  </si>
  <si>
    <t>993.224.391-49</t>
  </si>
  <si>
    <t>PAULO RICARDO FERNANDES NOVAIS</t>
  </si>
  <si>
    <t>031.885.001-06</t>
  </si>
  <si>
    <t>LUCAS DIAS SOUTO</t>
  </si>
  <si>
    <t>753.825.631-87</t>
  </si>
  <si>
    <t>ANTONIO FELIPE DE SOUZA SANTOS</t>
  </si>
  <si>
    <t>045.312.115-29</t>
  </si>
  <si>
    <t>KAIO LIMA FRUTUOSO</t>
  </si>
  <si>
    <t>708.205.191-38</t>
  </si>
  <si>
    <t>VINICIUS DOS SANTOS OLIVEIRA</t>
  </si>
  <si>
    <t>066.778.583-32</t>
  </si>
  <si>
    <t>RAQUEL TEIXEIRA DA SILVA</t>
  </si>
  <si>
    <t>025.438.791-88</t>
  </si>
  <si>
    <t>JOAO LUCAS LACERDA FLAVIO</t>
  </si>
  <si>
    <t>706.394.571-85</t>
  </si>
  <si>
    <t>EDUARDA ZACARIAS DA SILVA</t>
  </si>
  <si>
    <t>468.989.148-63</t>
  </si>
  <si>
    <t>GABRIELA KETLEN RODRIGUES DE SOUZA</t>
  </si>
  <si>
    <t>501.722.828-45</t>
  </si>
  <si>
    <t>GABRIEL VINICIUS VIANA TAVARES</t>
  </si>
  <si>
    <t>497.346.378-78</t>
  </si>
  <si>
    <t>LUCAS SIQUEIRA FRANCO</t>
  </si>
  <si>
    <t>439.691.338-90</t>
  </si>
  <si>
    <t>PAULO HENRIQUE BARBIERI</t>
  </si>
  <si>
    <t>426.662.588-07</t>
  </si>
  <si>
    <t>DAVID MARANDOLA</t>
  </si>
  <si>
    <t>307.523.568-79</t>
  </si>
  <si>
    <t>OSVALDO CARLOS CESAR</t>
  </si>
  <si>
    <t>396.069.228-55</t>
  </si>
  <si>
    <t>JULIANA CRISTINA CUNHA</t>
  </si>
  <si>
    <t>307.648.608-01</t>
  </si>
  <si>
    <t>BRUNA RODRIGUES</t>
  </si>
  <si>
    <t>384.404.768-92</t>
  </si>
  <si>
    <t>RENATO CORREA DA FONSECA</t>
  </si>
  <si>
    <t>303.281.088-47</t>
  </si>
  <si>
    <t>RAVEL KAIQUE TIANO DA SILVA</t>
  </si>
  <si>
    <t>465.919.398-57</t>
  </si>
  <si>
    <t>LUANA FERREIRA DA SILVA SOARES</t>
  </si>
  <si>
    <t>053.220.423-93</t>
  </si>
  <si>
    <t>MIRIA ALVES</t>
  </si>
  <si>
    <t>446.951.558-26</t>
  </si>
  <si>
    <t>MARCELO PEREIRA DE OLIVEIRA</t>
  </si>
  <si>
    <t>153.754.388-10</t>
  </si>
  <si>
    <t>TIAGO INACIO DOMINGUES</t>
  </si>
  <si>
    <t>373.647.468-70</t>
  </si>
  <si>
    <t>JONATAS BALBINO DOS  SANTOS</t>
  </si>
  <si>
    <t>415.102.878-17</t>
  </si>
  <si>
    <t>ANA JULIA LOMBARDI</t>
  </si>
  <si>
    <t>482.873.038-93</t>
  </si>
  <si>
    <t>FERNANDO ROBERTO DE SOUZA</t>
  </si>
  <si>
    <t>310.780.058-93</t>
  </si>
  <si>
    <t>CASSIA HELENA DE SOUZA CORREIA DA SILVA</t>
  </si>
  <si>
    <t>351.952.818-58</t>
  </si>
  <si>
    <t>JOSE HENRIQUE GONCALVES</t>
  </si>
  <si>
    <t>133.489.586-44</t>
  </si>
  <si>
    <t>CARLA DAIANE DA SILVA</t>
  </si>
  <si>
    <t>061.950.663-62</t>
  </si>
  <si>
    <t>ELIZABETH SOUZA GOMES MELO SILVA BERALDO</t>
  </si>
  <si>
    <t>351.952.868-17</t>
  </si>
  <si>
    <t>VALQUIRIA MELO DE SOUZA</t>
  </si>
  <si>
    <t>302.136.518-31</t>
  </si>
  <si>
    <t>THAIS CARLA DA SILVA</t>
  </si>
  <si>
    <t>089.337.614-03</t>
  </si>
  <si>
    <t>GILVAN DE LIMA FERREIRA</t>
  </si>
  <si>
    <t>047.334.784-96</t>
  </si>
  <si>
    <t>VALDEK GONCALVES JUNIOR</t>
  </si>
  <si>
    <t>012.818.324-13</t>
  </si>
  <si>
    <t>MICHELINE QUIRINO DA SILVA</t>
  </si>
  <si>
    <t>047.832.294-14</t>
  </si>
  <si>
    <t>RAFAEL BRUNO DA SILVA PEREIRA</t>
  </si>
  <si>
    <t>052.187.014-32</t>
  </si>
  <si>
    <t>JAQUELINE GOMES FERNANDES</t>
  </si>
  <si>
    <t>465.800.178-05</t>
  </si>
  <si>
    <t>DANILO TEIXEIRA</t>
  </si>
  <si>
    <t>393.300.068-84</t>
  </si>
  <si>
    <t>RAFAEL DOS SANTOS GENARE DENIS</t>
  </si>
  <si>
    <t>357.754.148-29</t>
  </si>
  <si>
    <t>DAIANE ELIAS FONTE</t>
  </si>
  <si>
    <t>366.633.188-29</t>
  </si>
  <si>
    <t>GUSTAVO DA SILVA DIAS</t>
  </si>
  <si>
    <t>462.565.098-46</t>
  </si>
  <si>
    <t>LUCAS DIAS NASCIMENTO</t>
  </si>
  <si>
    <t>462.462.528-50</t>
  </si>
  <si>
    <t>LUCAS COSTA NERIS</t>
  </si>
  <si>
    <t>406.321.078-20</t>
  </si>
  <si>
    <t>TAIS PEREIRA DE PAULA</t>
  </si>
  <si>
    <t>401.549.458-03</t>
  </si>
  <si>
    <t>JOELMA APARECIDA ZANCHINSKI DE MATTOS</t>
  </si>
  <si>
    <t>072.489.409-84</t>
  </si>
  <si>
    <t>PEDRO MAGNO DOS SANTOS PEREIRA</t>
  </si>
  <si>
    <t>023.850.479-42</t>
  </si>
  <si>
    <t>ALEX ADRES BARBARA</t>
  </si>
  <si>
    <t>095.268.949-95</t>
  </si>
  <si>
    <t>JULIO CESAR RODRIGUES ROSA</t>
  </si>
  <si>
    <t>109.044.107-06</t>
  </si>
  <si>
    <t>GABRIELE VILICZINSKI ZADOROSNY</t>
  </si>
  <si>
    <t>097.198.899-42</t>
  </si>
  <si>
    <t>LUIZA PACHEGO GROLLI</t>
  </si>
  <si>
    <t>074.611.149-56</t>
  </si>
  <si>
    <t>ALEXANDRO LIMA PASSOS</t>
  </si>
  <si>
    <t>073.153.439-54</t>
  </si>
  <si>
    <t>DEBORA RODRIGUES SILVA</t>
  </si>
  <si>
    <t>861.880.700-15</t>
  </si>
  <si>
    <t>MARLLON ARAUJO DA SILVA</t>
  </si>
  <si>
    <t>850.836.150-53</t>
  </si>
  <si>
    <t>DANIELA DA SILVA CASTILHOS</t>
  </si>
  <si>
    <t>868.605.930-91</t>
  </si>
  <si>
    <t>CAUE LUCAS GIL</t>
  </si>
  <si>
    <t>017.010.930-57</t>
  </si>
  <si>
    <t>CALEBE WODARSKI</t>
  </si>
  <si>
    <t>036.159.210-89</t>
  </si>
  <si>
    <t>DOUGLAS ILHA MARTINS</t>
  </si>
  <si>
    <t>029.126.590-19</t>
  </si>
  <si>
    <t>BRUNO HENRIQUE FIGUEIRA NOTARANGELI</t>
  </si>
  <si>
    <t>050.767.341-74</t>
  </si>
  <si>
    <t>MARIANA DE SOUZA ARAL</t>
  </si>
  <si>
    <t>059.153.461-46</t>
  </si>
  <si>
    <t>CEILA DE OLIVEIRA RODRIGUES</t>
  </si>
  <si>
    <t>984.766.101-49</t>
  </si>
  <si>
    <t>BRAULIO RIBEIRO MARQUEZ</t>
  </si>
  <si>
    <t>127.679.907-16</t>
  </si>
  <si>
    <t>JHONNY LUCAS COCIAN CARVALHO</t>
  </si>
  <si>
    <t>064.991.751-02</t>
  </si>
  <si>
    <t>TATIANE MENDES NASCIMENTO</t>
  </si>
  <si>
    <t>076.301.986-04</t>
  </si>
  <si>
    <t>LEONARDO CASTRO DA PAIXAO</t>
  </si>
  <si>
    <t>057.482.195-30</t>
  </si>
  <si>
    <t>JOSE FELIX SAMUEL RAGGIO ADORNO</t>
  </si>
  <si>
    <t>704.874.091-40</t>
  </si>
  <si>
    <t>JOSE VITOR SILVA TROIAN</t>
  </si>
  <si>
    <t>083.524.149-17</t>
  </si>
  <si>
    <t>BERLIS CAROLAYNE DAMASCENA  BOROWSKI</t>
  </si>
  <si>
    <t>107.202.289-30</t>
  </si>
  <si>
    <t>MATHEUS MARTINS VIEIRA</t>
  </si>
  <si>
    <t>015.074.470-60</t>
  </si>
  <si>
    <t>RAFAEL GOVONI</t>
  </si>
  <si>
    <t>032.988.810-23</t>
  </si>
  <si>
    <t>JADI REIS</t>
  </si>
  <si>
    <t>138.361.579-93</t>
  </si>
  <si>
    <t>LUIZ ANTONIO SILVEIRA</t>
  </si>
  <si>
    <t>004.208.339-78</t>
  </si>
  <si>
    <t>FLAVIA TEIXEIRA GONDIM</t>
  </si>
  <si>
    <t>451.312.228-50</t>
  </si>
  <si>
    <t>ANDRESSA RIBEIRO DOS SANTOS</t>
  </si>
  <si>
    <t>340.943.468-21</t>
  </si>
  <si>
    <t>CAIO BRUNO DA SILVA FERREIRA</t>
  </si>
  <si>
    <t>424.306.458-07</t>
  </si>
  <si>
    <t>LUCAS DOS SANTOS AMARO SILVA</t>
  </si>
  <si>
    <t>466.569.038-35</t>
  </si>
  <si>
    <t>THIAGO HENRIQUE FRANÇA DA SILVA</t>
  </si>
  <si>
    <t>410.930.048-78</t>
  </si>
  <si>
    <t>DAVISON DE JESUS SANTOS</t>
  </si>
  <si>
    <t>043.282.025-61</t>
  </si>
  <si>
    <t>WALLESKY KLEBER TEIXEIRA DE ARAUJO</t>
  </si>
  <si>
    <t>427.139.818-75</t>
  </si>
  <si>
    <t>WALLACY BELTRAO DA COSTA</t>
  </si>
  <si>
    <t>080.241.671-31</t>
  </si>
  <si>
    <t>LARISSA FONTENELE BARROS</t>
  </si>
  <si>
    <t>033.104.201-08</t>
  </si>
  <si>
    <t>JANAINA INOCENCIO DA SILVA</t>
  </si>
  <si>
    <t>056.879.891-02</t>
  </si>
  <si>
    <t>MARCOS HENRIQUE FARIAS</t>
  </si>
  <si>
    <t>047.846.921-77</t>
  </si>
  <si>
    <t>IGOR MANOEL AMARO DA SILVA</t>
  </si>
  <si>
    <t>116.065.724-66</t>
  </si>
  <si>
    <t>BRUNO DOS SANTOS MARIANO BARBOSA</t>
  </si>
  <si>
    <t>069.196.861-63</t>
  </si>
  <si>
    <t>ALISON MURILO ALENCAR DIAS</t>
  </si>
  <si>
    <t>061.080.931-88</t>
  </si>
  <si>
    <t>ANA CAROLINA LOURENCO</t>
  </si>
  <si>
    <t>481.068.428-86</t>
  </si>
  <si>
    <t>ANA PAULA CONCEICAO GONCALVES</t>
  </si>
  <si>
    <t>426.370.468-13</t>
  </si>
  <si>
    <t>DIEGO GONCALVES LOPES</t>
  </si>
  <si>
    <t>358.962.898-71</t>
  </si>
  <si>
    <t>ENRIQUE VAZQUEZ GARCIA</t>
  </si>
  <si>
    <t>241.671.628-06</t>
  </si>
  <si>
    <t>UILLIAM PEREIRA SANTOS</t>
  </si>
  <si>
    <t>407.804.618-51</t>
  </si>
  <si>
    <t>JONATHAN GOMES</t>
  </si>
  <si>
    <t>369.156.498-40</t>
  </si>
  <si>
    <t>WANDERLEY SILVEIRA JUNIOR</t>
  </si>
  <si>
    <t>400.104.248-73</t>
  </si>
  <si>
    <t>RODRIGO PARANHOS DIAS</t>
  </si>
  <si>
    <t>859.064.096-53</t>
  </si>
  <si>
    <t>ALEF FERNANDES ARAUJO MARTINS</t>
  </si>
  <si>
    <t>126.597.756-99</t>
  </si>
  <si>
    <t>ELOIZA ROCHAEL DIAS DE ASSIS</t>
  </si>
  <si>
    <t>074.016.926-27</t>
  </si>
  <si>
    <t>TULIO CESAR DE ALMEIDA</t>
  </si>
  <si>
    <t>118.274.336-63</t>
  </si>
  <si>
    <t>GERMANO ROSENTHAL CAETANO BELFORT</t>
  </si>
  <si>
    <t>129.517.856-74</t>
  </si>
  <si>
    <t>GILSON SANTOS MOTA JUNIOR</t>
  </si>
  <si>
    <t>110.793.406-02</t>
  </si>
  <si>
    <t>SILMARA ROCHA</t>
  </si>
  <si>
    <t>071.912.826-90</t>
  </si>
  <si>
    <t>DAVI ALVES SILVEIRA</t>
  </si>
  <si>
    <t>157.426.586-56</t>
  </si>
  <si>
    <t>LARISSA ELIZABETH CENDON ROSA</t>
  </si>
  <si>
    <t>021.296.486-06</t>
  </si>
  <si>
    <t>ALEX GASPAR DE MACEDO</t>
  </si>
  <si>
    <t>114.661.066-11</t>
  </si>
  <si>
    <t>KAROLINE SIQUEIRA DE AGUIAR MONTEIRO</t>
  </si>
  <si>
    <t>431.040.318-27</t>
  </si>
  <si>
    <t>VITOR RODRIGO JACINTO</t>
  </si>
  <si>
    <t>450.376.228-16</t>
  </si>
  <si>
    <t>RAPHAEL HENRIQUE SILVA DOS SANTOS FERREIRA</t>
  </si>
  <si>
    <t>228.342.208-67</t>
  </si>
  <si>
    <t>HIAGO RODRIGUES DE MIRANDA</t>
  </si>
  <si>
    <t>499.167.838-29</t>
  </si>
  <si>
    <t>JULIO SALDANHA LIMA</t>
  </si>
  <si>
    <t>372.275.048-24</t>
  </si>
  <si>
    <t>ARLANICSON FONSECA JUNIOR</t>
  </si>
  <si>
    <t>430.570.188-07</t>
  </si>
  <si>
    <t>VINICIUS MOREIRA COSSI</t>
  </si>
  <si>
    <t>432.629.078-12</t>
  </si>
  <si>
    <t>EMERSON TADASHI CAXIAS TAJI</t>
  </si>
  <si>
    <t>027.637.442-81</t>
  </si>
  <si>
    <t>CARMECITA HELENA DA SILVA</t>
  </si>
  <si>
    <t>038.834.524-16</t>
  </si>
  <si>
    <t>HELOISA VITORIA CINTRA DE ARAUJO</t>
  </si>
  <si>
    <t>128.929.414-31</t>
  </si>
  <si>
    <t>EDRISIO DE LUCENA ALVES</t>
  </si>
  <si>
    <t>078.476.544-82</t>
  </si>
  <si>
    <t xml:space="preserve">ASSISTENTE DE OJA   </t>
  </si>
  <si>
    <t>NAIANA MONTE DOS SANTOS</t>
  </si>
  <si>
    <t>127.224.754-64</t>
  </si>
  <si>
    <t>WAGNER LEANDRO PINHEIRO DE FARIAS</t>
  </si>
  <si>
    <t>055.148.534-54</t>
  </si>
  <si>
    <t>ABRAAO PEREIRA DA SILVA</t>
  </si>
  <si>
    <t>088.131.514-11</t>
  </si>
  <si>
    <t>FELIPE PAULINO DA SILVA</t>
  </si>
  <si>
    <t>090.889.214-40</t>
  </si>
  <si>
    <t>URSULA NATACHA SOBRAL</t>
  </si>
  <si>
    <t>056.596.594-89</t>
  </si>
  <si>
    <t>JAMILE INGRID SOUSA DA SILVA</t>
  </si>
  <si>
    <t>611.063.163-98</t>
  </si>
  <si>
    <t>JEFFERSON FRANCISCO ANDRADE PRAZERES</t>
  </si>
  <si>
    <t>059.205.604-01</t>
  </si>
  <si>
    <t>MONALISA FREITAS DO NASCIMENTO</t>
  </si>
  <si>
    <t>077.859.204-94</t>
  </si>
  <si>
    <t>LORRANA GABRIELA ROCHA DE MIRANDA</t>
  </si>
  <si>
    <t>127.154.116-50</t>
  </si>
  <si>
    <t>DEBORAH EVELYN GONÇALVES DOS SANTOS</t>
  </si>
  <si>
    <t>103.234.896-80</t>
  </si>
  <si>
    <t>HUCHARLY REIS DO NASCIMENTO</t>
  </si>
  <si>
    <t>701.207.096-00</t>
  </si>
  <si>
    <t>RAFAEL IDEVALDO DE ALMEIDA</t>
  </si>
  <si>
    <t>054.079.756-10</t>
  </si>
  <si>
    <t>CLEITON MOISES DOS SANTOS</t>
  </si>
  <si>
    <t>079.471.906-66</t>
  </si>
  <si>
    <t>GABRIEL MARTINS DE  FREITAS  SANTOS</t>
  </si>
  <si>
    <t>147.617.746-57</t>
  </si>
  <si>
    <t>ERICK ANGEL NAVES MARTINS</t>
  </si>
  <si>
    <t>099.217.546-10</t>
  </si>
  <si>
    <t>HANNA APARECIDA BARBOSA DIAS</t>
  </si>
  <si>
    <t>135.471.056-84</t>
  </si>
  <si>
    <t>RENATA MAYRA DE LIMA E SILVA</t>
  </si>
  <si>
    <t>109.620.456-83</t>
  </si>
  <si>
    <t>PAULO ROBERTO MEDINA PINHEIRO</t>
  </si>
  <si>
    <t>072.345.606-29</t>
  </si>
  <si>
    <t>Loja</t>
  </si>
  <si>
    <t>Admissão</t>
  </si>
  <si>
    <t>Junho</t>
  </si>
  <si>
    <t>DIAS ATIVOS NA FOLHA</t>
  </si>
  <si>
    <t>Férias</t>
  </si>
  <si>
    <t>Total</t>
  </si>
  <si>
    <t>Salário Fixo</t>
  </si>
  <si>
    <t>Piso</t>
  </si>
  <si>
    <t>Quebra de Caixa</t>
  </si>
  <si>
    <t>VT PAGO CARTÃO</t>
  </si>
  <si>
    <t>Total VT</t>
  </si>
  <si>
    <t>Total s/ variáveis</t>
  </si>
  <si>
    <t>DSR</t>
  </si>
  <si>
    <t>PRÊMIO COTA    078</t>
  </si>
  <si>
    <t>PRÊMIO COTA    075</t>
  </si>
  <si>
    <t>Total variáveis</t>
  </si>
  <si>
    <t>Complemento do Piso</t>
  </si>
  <si>
    <t>Prêmio Gincana</t>
  </si>
  <si>
    <t>Cod</t>
  </si>
  <si>
    <t>Vendedor</t>
  </si>
  <si>
    <t>PDV</t>
  </si>
  <si>
    <t>Não Presencial</t>
  </si>
  <si>
    <t>Social Selling</t>
  </si>
  <si>
    <t>Cupom</t>
  </si>
  <si>
    <t>Pick Up</t>
  </si>
  <si>
    <t>Shipping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</si>
  <si>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</si>
  <si>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</si>
  <si>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</si>
  <si>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</si>
  <si>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</si>
  <si>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</si>
  <si>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</si>
  <si>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</si>
  <si>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00316 - JULIA MENDES ARAUJO</t>
  </si>
  <si>
    <t>TIAGO OLIVEIRA DE SOUZA</t>
  </si>
  <si>
    <t>00322 - CRISTIAN YUSUKE SHIMOTO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</si>
  <si>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</si>
  <si>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</si>
  <si>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</si>
  <si>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</si>
  <si>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</si>
  <si>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</si>
  <si>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</si>
  <si>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</si>
  <si>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</si>
  <si>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</si>
  <si>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</si>
  <si>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</si>
  <si>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</si>
  <si>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</si>
  <si>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</si>
  <si>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</si>
  <si>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</si>
  <si>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</si>
  <si>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</si>
  <si>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</si>
  <si>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</si>
  <si>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</si>
  <si>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</si>
  <si>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MARIO SILVANO LEITE ALVES</t>
  </si>
  <si>
    <t>Desligado</t>
  </si>
  <si>
    <t>ANA BEATRIZ FERREIRA DO CARMO</t>
  </si>
  <si>
    <t xml:space="preserve">FELIPPE MONTEIRO PEREIRA </t>
  </si>
  <si>
    <t>Assistente de Loja</t>
  </si>
  <si>
    <t>00071 - CASSIA HELENA DE SOUZA CORREIA DA SILVA</t>
  </si>
  <si>
    <t>00088 - VALQUIRIA MELO DA SILVA</t>
  </si>
  <si>
    <t>TAHIS CARLA DA SILVA</t>
  </si>
  <si>
    <t>MARCIO HENRIQUE CORREA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</si>
  <si>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</si>
  <si>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</si>
  <si>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</si>
  <si>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</si>
  <si>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</si>
  <si>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RAFAEL CARVALHO DA LUZ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</si>
  <si>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</si>
  <si>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</si>
  <si>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</si>
  <si>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</si>
  <si>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</si>
  <si>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</si>
  <si>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>THAIS DE OLIVEIRA FELIX DAVID</t>
  </si>
  <si>
    <t>Desligada</t>
  </si>
  <si>
    <t xml:space="preserve">LUCAS DOS SANTOS AMARO SILVA </t>
  </si>
  <si>
    <t>THIAGO HENRIQUE FRANCA DA SILVA</t>
  </si>
  <si>
    <t>00038 - DAVISON DE JESUS SANTOS</t>
  </si>
  <si>
    <t>LARISSA FONTENELLE BARROS</t>
  </si>
  <si>
    <t>MATHEUS RUIZ ABRANTES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</si>
  <si>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</si>
  <si>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</si>
  <si>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</si>
  <si>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</si>
  <si>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</si>
  <si>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</si>
  <si>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</si>
  <si>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</si>
  <si>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</si>
  <si>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</si>
  <si>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LUCAS CARVALHO GOMES</t>
  </si>
  <si>
    <t>00001 - KAROLINE SIQUEIRA DE AGUIAR MONTEIRO</t>
  </si>
  <si>
    <t>00005 -  RAPHAEL HENRIQUE SILVA</t>
  </si>
  <si>
    <t>DEBOHAH EVELYN GONCALVES DOS SANTOS</t>
  </si>
  <si>
    <t>00120 - HUCHARLY REIS DO NASCIMENTO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</si>
  <si>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</si>
  <si>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</si>
  <si>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</si>
  <si>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</si>
  <si>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</si>
  <si>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</si>
  <si>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</si>
  <si>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</si>
  <si>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</si>
  <si>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</si>
  <si>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</si>
  <si>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</si>
  <si>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</si>
  <si>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</si>
  <si>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</si>
  <si>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</si>
  <si>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</si>
  <si>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</si>
  <si>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</si>
  <si>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</si>
  <si>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</si>
  <si>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</si>
  <si>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</si>
  <si>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</si>
  <si>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</si>
  <si>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</si>
  <si>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</si>
  <si>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</si>
  <si>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</si>
  <si>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</si>
  <si>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</si>
  <si>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</si>
  <si>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</si>
  <si>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</si>
  <si>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</si>
  <si>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</si>
  <si>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</si>
  <si>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</si>
  <si>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</si>
  <si>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</si>
  <si>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</si>
  <si>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</si>
  <si>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</si>
  <si>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</si>
  <si>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</si>
  <si>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</si>
  <si>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</si>
  <si>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</si>
  <si>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</si>
  <si>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</si>
  <si>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</si>
  <si>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</si>
  <si>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</si>
  <si>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</si>
  <si>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</si>
  <si>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</si>
  <si>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</si>
  <si>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</si>
  <si>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</si>
  <si>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</si>
  <si>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</si>
  <si>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</si>
  <si>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ABERTURA PROPORCIONAL AOS DIAS EM LOJA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</si>
  <si>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</si>
  <si>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</si>
  <si>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</si>
  <si>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</si>
  <si>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</si>
  <si>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</si>
  <si>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</si>
  <si>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</si>
  <si>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RAPHAEL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</si>
  <si>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</si>
  <si>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</si>
  <si>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</si>
  <si>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</si>
  <si>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</si>
  <si>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</si>
  <si>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</si>
  <si>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</si>
  <si>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REF A COBERTURA CATARINA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</si>
  <si>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</si>
  <si>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</si>
  <si>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</si>
  <si>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</si>
  <si>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</si>
  <si>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</si>
  <si>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DOUGLAS</t>
  </si>
  <si>
    <t>RANDAL</t>
  </si>
  <si>
    <t>OUTLET FORTALEZA</t>
  </si>
  <si>
    <t>HILTON</t>
  </si>
  <si>
    <t>HERMINIO</t>
  </si>
  <si>
    <t>CATARINA</t>
  </si>
  <si>
    <t>JULIANA CUNHA</t>
  </si>
  <si>
    <t>OSVALDO</t>
  </si>
  <si>
    <t>REF A COBERTURA VR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</si>
  <si>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</si>
  <si>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</si>
  <si>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</si>
  <si>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</si>
  <si>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</si>
  <si>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</si>
  <si>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</si>
  <si>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</si>
  <si>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</si>
  <si>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</si>
  <si>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 xml:space="preserve">THAIS DE OLIVEIRA 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</si>
  <si>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</si>
  <si>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</si>
  <si>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</si>
  <si>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</si>
  <si>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</si>
  <si>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</si>
  <si>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</si>
  <si>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</si>
  <si>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</si>
  <si>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</si>
  <si>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</si>
  <si>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</si>
  <si>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</si>
  <si>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</si>
  <si>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</si>
  <si>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</si>
  <si>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</si>
  <si>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</si>
  <si>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ANTONIO FELIPE DE SOUZA SANTOS - COBERTURA PARCIAL GERENTE R$ 300,00</t>
  </si>
  <si>
    <t>GUARULHOS MAIA</t>
  </si>
  <si>
    <t>GABRIELA KETLEN</t>
  </si>
  <si>
    <t>RIO MAR RECIFE</t>
  </si>
  <si>
    <t xml:space="preserve">THAIS CARLA DA SILVA COBERTURA PARCIAL GERENTE </t>
  </si>
  <si>
    <t>BARIGUI</t>
  </si>
  <si>
    <t>JOELMA APARECIDA ZANCHINSKI DE MATTOS COBERTURA FÉRIAS GERENTE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</si>
  <si>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</si>
  <si>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</si>
  <si>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</si>
  <si>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</si>
  <si>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</si>
  <si>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</si>
  <si>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</si>
  <si>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</si>
  <si>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</si>
  <si>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</si>
  <si>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</si>
  <si>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RAPHAEL HENRIQUE</t>
  </si>
  <si>
    <t>KAROLINE SIQUEIRA - COBERTURA GERENTE R$ 1000,00</t>
  </si>
  <si>
    <t>RECIFE</t>
  </si>
  <si>
    <t>URSULA SOBRAL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</si>
  <si>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</si>
  <si>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</si>
  <si>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2000</t>
  </si>
  <si>
    <t>95-56</t>
  </si>
  <si>
    <t>95-59</t>
  </si>
  <si>
    <t>95-80</t>
  </si>
  <si>
    <t>95-84</t>
  </si>
  <si>
    <t>103-184</t>
  </si>
  <si>
    <t>103-185</t>
  </si>
  <si>
    <t>103-187</t>
  </si>
  <si>
    <t>103-199</t>
  </si>
  <si>
    <t>116-143</t>
  </si>
  <si>
    <t>116-164</t>
  </si>
  <si>
    <t>116-148</t>
  </si>
  <si>
    <t>116-146</t>
  </si>
  <si>
    <t>116-144</t>
  </si>
  <si>
    <t>116-169</t>
  </si>
  <si>
    <t>156-76</t>
  </si>
  <si>
    <t>156-72</t>
  </si>
  <si>
    <t>156-78</t>
  </si>
  <si>
    <t>156-67</t>
  </si>
  <si>
    <t>156-75</t>
  </si>
  <si>
    <t>Maio</t>
  </si>
  <si>
    <t>Abono</t>
  </si>
  <si>
    <t>ABERTURA DE LOJA- 233</t>
  </si>
  <si>
    <t>PREMIO 100% - 078</t>
  </si>
  <si>
    <t>PREMIO 110% 078</t>
  </si>
  <si>
    <t>fCO</t>
  </si>
  <si>
    <t>Ajuda de Custo feriado - 256/232</t>
  </si>
  <si>
    <t>VT PAGO DINHEIRO 171/315</t>
  </si>
  <si>
    <t>VR Dinheiro 133/314</t>
  </si>
  <si>
    <t>Desconto VT FOLHA - 144</t>
  </si>
  <si>
    <t>COMISSÃO - 005</t>
  </si>
  <si>
    <t>Abertura de Loja  233</t>
  </si>
  <si>
    <t>Descrição do Erro</t>
  </si>
  <si>
    <t>PAULO RICARDO FERNANDES MOVAIS</t>
  </si>
  <si>
    <t>0062</t>
  </si>
  <si>
    <t>005</t>
  </si>
  <si>
    <t>00093</t>
  </si>
  <si>
    <t>0093</t>
  </si>
  <si>
    <t>00286</t>
  </si>
  <si>
    <t>00322</t>
  </si>
  <si>
    <t>000000211434</t>
  </si>
  <si>
    <t>00282</t>
  </si>
  <si>
    <t>000000096134</t>
  </si>
  <si>
    <t>00316</t>
  </si>
  <si>
    <t>000000321172</t>
  </si>
  <si>
    <t>00266</t>
  </si>
  <si>
    <t>000000007341</t>
  </si>
  <si>
    <t>00320</t>
  </si>
  <si>
    <t>000000313151</t>
  </si>
  <si>
    <t>00289</t>
  </si>
  <si>
    <t>00098</t>
  </si>
  <si>
    <t>000000199264</t>
  </si>
  <si>
    <t>00070</t>
  </si>
  <si>
    <t>000000160585</t>
  </si>
  <si>
    <t>00090</t>
  </si>
  <si>
    <t>000000001142</t>
  </si>
  <si>
    <t>00103</t>
  </si>
  <si>
    <t>00095</t>
  </si>
  <si>
    <t>000000199919</t>
  </si>
  <si>
    <t>00036</t>
  </si>
  <si>
    <t>00079</t>
  </si>
  <si>
    <t>000000185785</t>
  </si>
  <si>
    <t>00091</t>
  </si>
  <si>
    <t>00100</t>
  </si>
  <si>
    <t>000000200891</t>
  </si>
  <si>
    <t>0094</t>
  </si>
  <si>
    <t>00003</t>
  </si>
  <si>
    <t>00034</t>
  </si>
  <si>
    <t>000000003308</t>
  </si>
  <si>
    <t>00055</t>
  </si>
  <si>
    <t>000000105357</t>
  </si>
  <si>
    <t>00066</t>
  </si>
  <si>
    <t>000000102419</t>
  </si>
  <si>
    <t>00068</t>
  </si>
  <si>
    <t>000000042820</t>
  </si>
  <si>
    <t>0095</t>
  </si>
  <si>
    <t>00059</t>
  </si>
  <si>
    <t>000000212165</t>
  </si>
  <si>
    <t>00080</t>
  </si>
  <si>
    <t>00084</t>
  </si>
  <si>
    <t>000000001046</t>
  </si>
  <si>
    <t>00085</t>
  </si>
  <si>
    <t>000000161102</t>
  </si>
  <si>
    <t>00088</t>
  </si>
  <si>
    <t>000000170319</t>
  </si>
  <si>
    <t>0103</t>
  </si>
  <si>
    <t>00185</t>
  </si>
  <si>
    <t>000000210422</t>
  </si>
  <si>
    <t>00187</t>
  </si>
  <si>
    <t>000000209471</t>
  </si>
  <si>
    <t>00193</t>
  </si>
  <si>
    <t>00194</t>
  </si>
  <si>
    <t>000000220468</t>
  </si>
  <si>
    <t>00199</t>
  </si>
  <si>
    <t>000000014037</t>
  </si>
  <si>
    <t>00202</t>
  </si>
  <si>
    <t>000000211467</t>
  </si>
  <si>
    <t>0104</t>
  </si>
  <si>
    <t>00052</t>
  </si>
  <si>
    <t>00049</t>
  </si>
  <si>
    <t>000000000346</t>
  </si>
  <si>
    <t>00033</t>
  </si>
  <si>
    <t>000000205787</t>
  </si>
  <si>
    <t>00045</t>
  </si>
  <si>
    <t>00053</t>
  </si>
  <si>
    <t>000000125782</t>
  </si>
  <si>
    <t>00041</t>
  </si>
  <si>
    <t>000000205545</t>
  </si>
  <si>
    <t>0105</t>
  </si>
  <si>
    <t>000000184471</t>
  </si>
  <si>
    <t>000000006720</t>
  </si>
  <si>
    <t>00061</t>
  </si>
  <si>
    <t>000000006115</t>
  </si>
  <si>
    <t>000000291748</t>
  </si>
  <si>
    <t>000000103007</t>
  </si>
  <si>
    <t>000000278609</t>
  </si>
  <si>
    <t>000000083142</t>
  </si>
  <si>
    <t>0116</t>
  </si>
  <si>
    <t>00164</t>
  </si>
  <si>
    <t>000000152922</t>
  </si>
  <si>
    <t>00148</t>
  </si>
  <si>
    <t>000000179857</t>
  </si>
  <si>
    <t>00175</t>
  </si>
  <si>
    <t>000000231846</t>
  </si>
  <si>
    <t>00170</t>
  </si>
  <si>
    <t>000000174602</t>
  </si>
  <si>
    <t>00144</t>
  </si>
  <si>
    <t>000000314500</t>
  </si>
  <si>
    <t>00169</t>
  </si>
  <si>
    <t>000000188107</t>
  </si>
  <si>
    <t>0123</t>
  </si>
  <si>
    <t>00058</t>
  </si>
  <si>
    <t>000000147552</t>
  </si>
  <si>
    <t>00069</t>
  </si>
  <si>
    <t>000000236460</t>
  </si>
  <si>
    <t>00081</t>
  </si>
  <si>
    <t>00075</t>
  </si>
  <si>
    <t>000000323439</t>
  </si>
  <si>
    <t>00076</t>
  </si>
  <si>
    <t>0124</t>
  </si>
  <si>
    <t>00032</t>
  </si>
  <si>
    <t>00002</t>
  </si>
  <si>
    <t>00019</t>
  </si>
  <si>
    <t>000000185296</t>
  </si>
  <si>
    <t>00040</t>
  </si>
  <si>
    <t>000000051755</t>
  </si>
  <si>
    <t>00039</t>
  </si>
  <si>
    <t>000000210726</t>
  </si>
  <si>
    <t>0125</t>
  </si>
  <si>
    <t>00038</t>
  </si>
  <si>
    <t>00054</t>
  </si>
  <si>
    <t>000000127234</t>
  </si>
  <si>
    <t>000000154432</t>
  </si>
  <si>
    <t>00028</t>
  </si>
  <si>
    <t>000000173284</t>
  </si>
  <si>
    <t>0126</t>
  </si>
  <si>
    <t>000000161279</t>
  </si>
  <si>
    <t>00037</t>
  </si>
  <si>
    <t>00001</t>
  </si>
  <si>
    <t>000000011078</t>
  </si>
  <si>
    <t>000000136234</t>
  </si>
  <si>
    <t>00046</t>
  </si>
  <si>
    <t>000000189943</t>
  </si>
  <si>
    <t>0127</t>
  </si>
  <si>
    <t>000000006398</t>
  </si>
  <si>
    <t>000000141195</t>
  </si>
  <si>
    <t>000000222826</t>
  </si>
  <si>
    <t>00082</t>
  </si>
  <si>
    <t>000000014271</t>
  </si>
  <si>
    <t>0139</t>
  </si>
  <si>
    <t>000000097761</t>
  </si>
  <si>
    <t>00043</t>
  </si>
  <si>
    <t>00024</t>
  </si>
  <si>
    <t>000000118645</t>
  </si>
  <si>
    <t>000000127353</t>
  </si>
  <si>
    <t>000000119332</t>
  </si>
  <si>
    <t>00051</t>
  </si>
  <si>
    <t>000000189357</t>
  </si>
  <si>
    <t>000000290943</t>
  </si>
  <si>
    <t>00047</t>
  </si>
  <si>
    <t>000000122902</t>
  </si>
  <si>
    <t>000000046175</t>
  </si>
  <si>
    <t>0144</t>
  </si>
  <si>
    <t>000000213581</t>
  </si>
  <si>
    <t>00071</t>
  </si>
  <si>
    <t>000000144075</t>
  </si>
  <si>
    <t>00035</t>
  </si>
  <si>
    <t>000000007088</t>
  </si>
  <si>
    <t>00074</t>
  </si>
  <si>
    <t>000000149690</t>
  </si>
  <si>
    <t>000000115091</t>
  </si>
  <si>
    <t>0154</t>
  </si>
  <si>
    <t>000000019123</t>
  </si>
  <si>
    <t>000000239750</t>
  </si>
  <si>
    <t>00042</t>
  </si>
  <si>
    <t>000000250998</t>
  </si>
  <si>
    <t>0156</t>
  </si>
  <si>
    <t>000000249970</t>
  </si>
  <si>
    <t>00072</t>
  </si>
  <si>
    <t>00078</t>
  </si>
  <si>
    <t>00067</t>
  </si>
  <si>
    <t>000000165088</t>
  </si>
  <si>
    <t>000000251647</t>
  </si>
  <si>
    <t>000000007385</t>
  </si>
  <si>
    <t>0157</t>
  </si>
  <si>
    <t>00014</t>
  </si>
  <si>
    <t>000000008928</t>
  </si>
  <si>
    <t>000000170897</t>
  </si>
  <si>
    <t>000000180736</t>
  </si>
  <si>
    <t>000000072890</t>
  </si>
  <si>
    <t>0161</t>
  </si>
  <si>
    <t>000000245264</t>
  </si>
  <si>
    <t>000000238502</t>
  </si>
  <si>
    <t>000000001651</t>
  </si>
  <si>
    <t>000000086496</t>
  </si>
  <si>
    <t>0166</t>
  </si>
  <si>
    <t>000000185617</t>
  </si>
  <si>
    <t>000000006451</t>
  </si>
  <si>
    <t>00022</t>
  </si>
  <si>
    <t>000000197435</t>
  </si>
  <si>
    <t>000000116368</t>
  </si>
  <si>
    <t>00008</t>
  </si>
  <si>
    <t>000000194752</t>
  </si>
  <si>
    <t>0169</t>
  </si>
  <si>
    <t>00016</t>
  </si>
  <si>
    <t>00031</t>
  </si>
  <si>
    <t>000000150537</t>
  </si>
  <si>
    <t>00007</t>
  </si>
  <si>
    <t>000000219335</t>
  </si>
  <si>
    <t>000000170745</t>
  </si>
  <si>
    <t>000000180812</t>
  </si>
  <si>
    <t>0173</t>
  </si>
  <si>
    <t>00005</t>
  </si>
  <si>
    <t>00026</t>
  </si>
  <si>
    <t>000000243797</t>
  </si>
  <si>
    <t>000000141497</t>
  </si>
  <si>
    <t>000000007982</t>
  </si>
  <si>
    <t>000000188713</t>
  </si>
  <si>
    <t>000000086997</t>
  </si>
  <si>
    <t>0175</t>
  </si>
  <si>
    <t>00013</t>
  </si>
  <si>
    <t>000000143086</t>
  </si>
  <si>
    <t>00011</t>
  </si>
  <si>
    <t>000000313594</t>
  </si>
  <si>
    <t>000000198209</t>
  </si>
  <si>
    <t>000000043832</t>
  </si>
  <si>
    <t>0179</t>
  </si>
  <si>
    <t>000000280386</t>
  </si>
  <si>
    <t>00004</t>
  </si>
  <si>
    <t>000000298980</t>
  </si>
  <si>
    <t>00012</t>
  </si>
  <si>
    <t>00018</t>
  </si>
  <si>
    <t>000000276152</t>
  </si>
  <si>
    <t>0181</t>
  </si>
  <si>
    <t>000000364761</t>
  </si>
  <si>
    <t>000000221257</t>
  </si>
  <si>
    <t>000000011048</t>
  </si>
  <si>
    <t>000000361713</t>
  </si>
  <si>
    <t>000000226856</t>
  </si>
  <si>
    <t>000000402950</t>
  </si>
  <si>
    <t>000000206185</t>
  </si>
  <si>
    <t>000000345634</t>
  </si>
  <si>
    <t>0183</t>
  </si>
  <si>
    <t>000000148636</t>
  </si>
  <si>
    <t>000000079536</t>
  </si>
  <si>
    <t>000000113991</t>
  </si>
  <si>
    <t>000000112670</t>
  </si>
  <si>
    <t>000000150255</t>
  </si>
  <si>
    <t>00015</t>
  </si>
  <si>
    <t>000000230738</t>
  </si>
  <si>
    <t>62-286</t>
  </si>
  <si>
    <t>62-325</t>
  </si>
  <si>
    <t>62-106</t>
  </si>
  <si>
    <t>62-322</t>
  </si>
  <si>
    <t>62-282</t>
  </si>
  <si>
    <t>62-316</t>
  </si>
  <si>
    <t>62-266</t>
  </si>
  <si>
    <t>62-323</t>
  </si>
  <si>
    <t>62-326</t>
  </si>
  <si>
    <t>62-314</t>
  </si>
  <si>
    <t>62-303</t>
  </si>
  <si>
    <t>62-320</t>
  </si>
  <si>
    <t>62-289</t>
  </si>
  <si>
    <t>93-98</t>
  </si>
  <si>
    <t>93-70</t>
  </si>
  <si>
    <t>93-90</t>
  </si>
  <si>
    <t>93-92</t>
  </si>
  <si>
    <t>93-103</t>
  </si>
  <si>
    <t>93-95</t>
  </si>
  <si>
    <t>93-36</t>
  </si>
  <si>
    <t>93-79</t>
  </si>
  <si>
    <t>93-91</t>
  </si>
  <si>
    <t>93-102</t>
  </si>
  <si>
    <t>93-100</t>
  </si>
  <si>
    <t>94-3</t>
  </si>
  <si>
    <t>94-6</t>
  </si>
  <si>
    <t>94-34</t>
  </si>
  <si>
    <t>94-55</t>
  </si>
  <si>
    <t>94-66</t>
  </si>
  <si>
    <t>94-68</t>
  </si>
  <si>
    <t>95-83</t>
  </si>
  <si>
    <t>95-85</t>
  </si>
  <si>
    <t>95-88</t>
  </si>
  <si>
    <t>103-193</t>
  </si>
  <si>
    <t>103-194</t>
  </si>
  <si>
    <t>103-200</t>
  </si>
  <si>
    <t>103-202</t>
  </si>
  <si>
    <t>104-52</t>
  </si>
  <si>
    <t>104-49</t>
  </si>
  <si>
    <t>104-33</t>
  </si>
  <si>
    <t>104-45</t>
  </si>
  <si>
    <t>104-53</t>
  </si>
  <si>
    <t>104-41</t>
  </si>
  <si>
    <t>105-93</t>
  </si>
  <si>
    <t>105-68</t>
  </si>
  <si>
    <t>105-100</t>
  </si>
  <si>
    <t>105-61</t>
  </si>
  <si>
    <t>105-84</t>
  </si>
  <si>
    <t>105-85</t>
  </si>
  <si>
    <t>105-29</t>
  </si>
  <si>
    <t>105-95</t>
  </si>
  <si>
    <t>105-103</t>
  </si>
  <si>
    <t>116-175</t>
  </si>
  <si>
    <t>116-170</t>
  </si>
  <si>
    <t>123-58</t>
  </si>
  <si>
    <t>123-69</t>
  </si>
  <si>
    <t>123-81</t>
  </si>
  <si>
    <t>123-75</t>
  </si>
  <si>
    <t>123-76</t>
  </si>
  <si>
    <t>123-68</t>
  </si>
  <si>
    <t>123-36</t>
  </si>
  <si>
    <t>123-70</t>
  </si>
  <si>
    <t>124-32</t>
  </si>
  <si>
    <t>124-2</t>
  </si>
  <si>
    <t>124-19</t>
  </si>
  <si>
    <t>124-49</t>
  </si>
  <si>
    <t>124-40</t>
  </si>
  <si>
    <t>124-39</t>
  </si>
  <si>
    <t>125-38</t>
  </si>
  <si>
    <t>125-25</t>
  </si>
  <si>
    <t>125-54</t>
  </si>
  <si>
    <t>125-48</t>
  </si>
  <si>
    <t>125-58</t>
  </si>
  <si>
    <t>125-28</t>
  </si>
  <si>
    <t>125-55</t>
  </si>
  <si>
    <t>126-41</t>
  </si>
  <si>
    <t>126-56</t>
  </si>
  <si>
    <t>126-45</t>
  </si>
  <si>
    <t>126-37</t>
  </si>
  <si>
    <t>126-1</t>
  </si>
  <si>
    <t>126-28</t>
  </si>
  <si>
    <t>126-55</t>
  </si>
  <si>
    <t>126-46</t>
  </si>
  <si>
    <t>127-70</t>
  </si>
  <si>
    <t>127-79</t>
  </si>
  <si>
    <t>127-75</t>
  </si>
  <si>
    <t>127-80</t>
  </si>
  <si>
    <t>127-82</t>
  </si>
  <si>
    <t>139-55</t>
  </si>
  <si>
    <t>139-43</t>
  </si>
  <si>
    <t>139-24</t>
  </si>
  <si>
    <t>139-54</t>
  </si>
  <si>
    <t>139-41</t>
  </si>
  <si>
    <t>139-50</t>
  </si>
  <si>
    <t>139-52</t>
  </si>
  <si>
    <t>139-51</t>
  </si>
  <si>
    <t>139-28</t>
  </si>
  <si>
    <t>139-49</t>
  </si>
  <si>
    <t>139-47</t>
  </si>
  <si>
    <t>139-53</t>
  </si>
  <si>
    <t>144-81</t>
  </si>
  <si>
    <t>144-71</t>
  </si>
  <si>
    <t>144-85</t>
  </si>
  <si>
    <t>144-35</t>
  </si>
  <si>
    <t>144-74</t>
  </si>
  <si>
    <t>144-88</t>
  </si>
  <si>
    <t>154-38</t>
  </si>
  <si>
    <t>154-43</t>
  </si>
  <si>
    <t>154-45</t>
  </si>
  <si>
    <t>154-28</t>
  </si>
  <si>
    <t>154-42</t>
  </si>
  <si>
    <t>156-81</t>
  </si>
  <si>
    <t>156-79</t>
  </si>
  <si>
    <t>156-84</t>
  </si>
  <si>
    <t>157-14</t>
  </si>
  <si>
    <t>157-33</t>
  </si>
  <si>
    <t>157-34</t>
  </si>
  <si>
    <t>157-43</t>
  </si>
  <si>
    <t>157-44</t>
  </si>
  <si>
    <t>157-45</t>
  </si>
  <si>
    <t>157-46</t>
  </si>
  <si>
    <t>161-51</t>
  </si>
  <si>
    <t>161-49</t>
  </si>
  <si>
    <t>161-45</t>
  </si>
  <si>
    <t>161-32</t>
  </si>
  <si>
    <t>161-52</t>
  </si>
  <si>
    <t>161-34</t>
  </si>
  <si>
    <t>166-34</t>
  </si>
  <si>
    <t>166-1</t>
  </si>
  <si>
    <t>166-22</t>
  </si>
  <si>
    <t>166-39</t>
  </si>
  <si>
    <t>166-8</t>
  </si>
  <si>
    <t>169-35</t>
  </si>
  <si>
    <t>169-39</t>
  </si>
  <si>
    <t>169-16</t>
  </si>
  <si>
    <t>169-31</t>
  </si>
  <si>
    <t>169-7</t>
  </si>
  <si>
    <t>169-41</t>
  </si>
  <si>
    <t>169-37</t>
  </si>
  <si>
    <t>169-38</t>
  </si>
  <si>
    <t>169-1</t>
  </si>
  <si>
    <t>173-5</t>
  </si>
  <si>
    <t>173-26</t>
  </si>
  <si>
    <t>173-30</t>
  </si>
  <si>
    <t>173-34</t>
  </si>
  <si>
    <t>173-35</t>
  </si>
  <si>
    <t>173-38</t>
  </si>
  <si>
    <t>173-41</t>
  </si>
  <si>
    <t>175-17</t>
  </si>
  <si>
    <t>175-13</t>
  </si>
  <si>
    <t>175-11</t>
  </si>
  <si>
    <t>175-8</t>
  </si>
  <si>
    <t>175-3</t>
  </si>
  <si>
    <t>175-9</t>
  </si>
  <si>
    <t>175-1</t>
  </si>
  <si>
    <t>179-1</t>
  </si>
  <si>
    <t>179-2</t>
  </si>
  <si>
    <t>179-3</t>
  </si>
  <si>
    <t>179-4</t>
  </si>
  <si>
    <t>179-16</t>
  </si>
  <si>
    <t>179-12</t>
  </si>
  <si>
    <t>179-18</t>
  </si>
  <si>
    <t>181-2</t>
  </si>
  <si>
    <t>181-33</t>
  </si>
  <si>
    <t>181-31</t>
  </si>
  <si>
    <t>181-12</t>
  </si>
  <si>
    <t>181-16</t>
  </si>
  <si>
    <t>181-18</t>
  </si>
  <si>
    <t>181-32</t>
  </si>
  <si>
    <t>181-1</t>
  </si>
  <si>
    <t>181-19</t>
  </si>
  <si>
    <t>181-13</t>
  </si>
  <si>
    <t>183-14</t>
  </si>
  <si>
    <t>183-16</t>
  </si>
  <si>
    <t>183-8</t>
  </si>
  <si>
    <t>179-19</t>
  </si>
  <si>
    <t>183-1</t>
  </si>
  <si>
    <t>183-5</t>
  </si>
  <si>
    <t>183-15</t>
  </si>
  <si>
    <t>183-2</t>
  </si>
  <si>
    <t>185-6</t>
  </si>
  <si>
    <t>185-1</t>
  </si>
  <si>
    <t>185-3</t>
  </si>
  <si>
    <t>185-7</t>
  </si>
  <si>
    <t>185-2</t>
  </si>
  <si>
    <t>185-9</t>
  </si>
  <si>
    <t>185-10</t>
  </si>
  <si>
    <t>185-11</t>
  </si>
  <si>
    <t>185-4</t>
  </si>
  <si>
    <t>185-8</t>
  </si>
  <si>
    <t>185-5</t>
  </si>
  <si>
    <t>200-129</t>
  </si>
  <si>
    <t>200-82</t>
  </si>
  <si>
    <t>200-132</t>
  </si>
  <si>
    <t>200-130</t>
  </si>
  <si>
    <t>200-133</t>
  </si>
  <si>
    <t>200-120</t>
  </si>
  <si>
    <t>200-74</t>
  </si>
  <si>
    <t>200-136</t>
  </si>
  <si>
    <t>200-128</t>
  </si>
  <si>
    <t>200-135</t>
  </si>
  <si>
    <t>Fretado</t>
  </si>
  <si>
    <t>FRETADO</t>
  </si>
  <si>
    <t>400,00</t>
  </si>
  <si>
    <t>300,00</t>
  </si>
  <si>
    <t>150,00</t>
  </si>
  <si>
    <t>200,00</t>
  </si>
  <si>
    <t>078</t>
  </si>
  <si>
    <t>000000020000</t>
  </si>
  <si>
    <t>Coluna U foi zerada. Motivo:Coluna U, utiliza as Celulas S e T, uma das duas não é um valor para ser somado, verifique  62-325 Linha-4 Pasta Base</t>
  </si>
  <si>
    <t>Vendedor não encontrado 62-106 Linha-5 Pasta Base</t>
  </si>
  <si>
    <t>Vendedor não encontrado 62-323 Linha-10 Pasta Base</t>
  </si>
  <si>
    <t>Vendedor não encontrado 62-326 Linha-11 Pasta Base</t>
  </si>
  <si>
    <t>Vendedor não encontrado 62-314 Linha-12 Pasta Base</t>
  </si>
  <si>
    <t>Vendedor não encontrado 62-303 Linha-13 Pasta Base</t>
  </si>
  <si>
    <t>00303</t>
  </si>
  <si>
    <t>Vendedor não encontrado 93-92 Linha-19 Pasta Base</t>
  </si>
  <si>
    <t>Vendedor não encontrado 93-103 Linha-20 Pasta Base</t>
  </si>
  <si>
    <t>Vendedor não encontrado 93-102 Linha-25 Pasta Base</t>
  </si>
  <si>
    <t>Vendedor não encontrado 94-3 Linha-27 Pasta Base</t>
  </si>
  <si>
    <t>Vendedor não encontrado 94-6 Linha-28 Pasta Base</t>
  </si>
  <si>
    <t>Vendedor não encontrado 95-56 Linha-33 Pasta Base</t>
  </si>
  <si>
    <t>00056</t>
  </si>
  <si>
    <t>000000015000</t>
  </si>
  <si>
    <t>Vendedor não encontrado 95-80 Linha-35 Pasta Base</t>
  </si>
  <si>
    <t>Vendedor não encontrado 95-83 Linha-36 Pasta Base</t>
  </si>
  <si>
    <t>Vendedor não encontrado 103-184 Linha-40 Pasta Base</t>
  </si>
  <si>
    <t>000000040000</t>
  </si>
  <si>
    <t>Vendedor não encontrado 103-200 Linha-46 Pasta Base</t>
  </si>
  <si>
    <t>Vendedor não encontrado 104-52 Linha-48 Pasta Base</t>
  </si>
  <si>
    <t>Vendedor não encontrado 104-45 Linha-51 Pasta Base</t>
  </si>
  <si>
    <t>Vendedor não encontrado 105-100 Linha-56 Pasta Base</t>
  </si>
  <si>
    <t>Vendedor não encontrado 105-29 Linha-60 Pasta Base</t>
  </si>
  <si>
    <t>Vendedor não encontrado 116-146 Linha-66 Pasta Base</t>
  </si>
  <si>
    <t>Vendedor não encontrado 123-81 Linha-73 Pasta Base</t>
  </si>
  <si>
    <t>Vendedor não encontrado 123-76 Linha-75 Pasta Base</t>
  </si>
  <si>
    <t>Vendedor não encontrado 123-68 Linha-76 Pasta Base</t>
  </si>
  <si>
    <t>Vendedor não encontrado 124-32 Linha-79 Pasta Base</t>
  </si>
  <si>
    <t>Vendedor não encontrado 124-19 Linha-81 Pasta Base</t>
  </si>
  <si>
    <t>Vendedor não encontrado 125-38 Linha-85 Pasta Base</t>
  </si>
  <si>
    <t>Vendedor não encontrado 125-25 Linha-86 Pasta Base</t>
  </si>
  <si>
    <t>Vendedor não encontrado 125-48 Linha-88 Pasta Base</t>
  </si>
  <si>
    <t>Vendedor não encontrado 126-56 Linha-93 Pasta Base</t>
  </si>
  <si>
    <t>Vendedor não encontrado 127-75 Linha-102 Pasta Base</t>
  </si>
  <si>
    <t>Coluna U foi zerada. Motivo:Coluna U, utiliza as Celulas S e T, uma das duas não é um valor para ser somado, verifique  139-41 Linha-109 Pasta Base</t>
  </si>
  <si>
    <t>Coluna U foi zerada. Motivo:Coluna U, utiliza as Celulas S e T, uma das duas não é um valor para ser somado, verifique  139-50 Linha-110 Pasta Base</t>
  </si>
  <si>
    <t>Vendedor não encontrado 139-52 Linha-111 Pasta Base</t>
  </si>
  <si>
    <t>Vendedor não encontrado 139-49 Linha-114 Pasta Base</t>
  </si>
  <si>
    <t>Vendedor não encontrado 144-85 Linha-119 Pasta Base</t>
  </si>
  <si>
    <t>Vendedor não encontrado 154-43 Linha-124 Pasta Base</t>
  </si>
  <si>
    <t>000000060000</t>
  </si>
  <si>
    <t>Vendedor não encontrado 156-84 Linha-135 Pasta Base</t>
  </si>
  <si>
    <t>000000030000</t>
  </si>
  <si>
    <t>Vendedor não encontrado 157-34 Linha-138 Pasta Base</t>
  </si>
  <si>
    <t>Vendedor não encontrado 157-44 Linha-140 Pasta Base</t>
  </si>
  <si>
    <t>Vendedor não encontrado 161-45 Linha-145 Pasta Base</t>
  </si>
  <si>
    <t>Vendedor não encontrado 161-34 Linha-148 Pasta Base</t>
  </si>
  <si>
    <t>Coluna U foi zerada. Motivo:Coluna U, utiliza as Celulas S e T, uma das duas não é um valor para ser somado, verifique  169-35 Linha-154 Pasta Base</t>
  </si>
  <si>
    <t>Vendedor não encontrado 169-39 Linha-155 Pasta Base</t>
  </si>
  <si>
    <t>Vendedor não encontrado 169-16 Linha-156 Pasta Base</t>
  </si>
  <si>
    <t>Vendedor não encontrado 173-5 Linha-163 Pasta Base</t>
  </si>
  <si>
    <t>Vendedor não encontrado 173-30 Linha-165 Pasta Base</t>
  </si>
  <si>
    <t>Coluna U foi zerada. Motivo:Coluna U, utiliza as Celulas S e T, uma das duas não é um valor para ser somado, verifique  175-11 Linha-172 Pasta Base</t>
  </si>
  <si>
    <t>Coluna U foi zerada. Motivo:Coluna U, utiliza as Celulas S e T, uma das duas não é um valor para ser somado, verifique  175-3 Linha-174 Pasta Base</t>
  </si>
  <si>
    <t>Coluna U foi zerada. Motivo:Coluna U, utiliza as Celulas S e T, uma das duas não é um valor para ser somado, verifique  175-1 Linha-176 Pasta Base</t>
  </si>
  <si>
    <t>Vendedor não encontrado 179-1 Linha-177 Pasta Base</t>
  </si>
  <si>
    <t>Vendedor não encontrado 179-12 Linha-182 Pasta Base</t>
  </si>
  <si>
    <t>Vendedor não encontrado 181-31 Linha-186 Pasta Base</t>
  </si>
  <si>
    <t>Coluna U foi zerada. Motivo:Coluna U, utiliza as Celulas S e T, uma das duas não é um valor para ser somado, verifique  183-8 Linha-196 Pasta Base</t>
  </si>
  <si>
    <t>Vendedor não encontrado 179-19 Linha-197 Pasta Base</t>
  </si>
  <si>
    <t>Vendedor não encontrado 183-2 Linha-201 Pasta Base</t>
  </si>
  <si>
    <t>Vendedor não encontrado 185-3 Linha-204 Pasta Base</t>
  </si>
  <si>
    <t>Vendedor não encontrado 185-9 Linha-207 Pasta Base</t>
  </si>
  <si>
    <t>Vendedor não encontrado 185-4 Linha-210 Pasta Base</t>
  </si>
  <si>
    <t>Vendedor não encontrado 200-130 Linha-216 Pasta Base</t>
  </si>
  <si>
    <t>Vendedor não encontrado 200-133 Linha-217 Pasta Base</t>
  </si>
  <si>
    <t>0200</t>
  </si>
  <si>
    <t>Vendedor não encontrado 200-136 Linha-220 Pasta Base</t>
  </si>
  <si>
    <t>000000391186</t>
  </si>
  <si>
    <t>000000355775</t>
  </si>
  <si>
    <t>000000199948</t>
  </si>
  <si>
    <t>000000200513</t>
  </si>
  <si>
    <t>000000216130</t>
  </si>
  <si>
    <t>000000187465</t>
  </si>
  <si>
    <t>000000204537</t>
  </si>
  <si>
    <t>000000259441</t>
  </si>
  <si>
    <t>000000150357</t>
  </si>
  <si>
    <t>000000292227</t>
  </si>
  <si>
    <t>000000151293</t>
  </si>
  <si>
    <t>000000181939</t>
  </si>
  <si>
    <t>000000244233</t>
  </si>
  <si>
    <t>000000222350</t>
  </si>
  <si>
    <t>000000126842</t>
  </si>
  <si>
    <t>000000257183</t>
  </si>
  <si>
    <t>000000244074</t>
  </si>
  <si>
    <t>000000226695</t>
  </si>
  <si>
    <t>000000250483</t>
  </si>
  <si>
    <t>000000353675</t>
  </si>
  <si>
    <t>000000072483</t>
  </si>
  <si>
    <t>Cobertura Gerencial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</si>
</sst>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R$&quot;\ #,##0.00"/>
    <numFmt numFmtId="167" formatCode="0.0%"/>
    <numFmt numFmtId="168" formatCode="0000"/>
    <numFmt numFmtId="169" formatCode="00000"/>
    <numFmt numFmtId="170" formatCode="000"/>
    <numFmt numFmtId="171" formatCode="000000000000"/>
  </numFmts>
  <fonts count="3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b/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"/>
      <family val="2"/>
      <scheme val="minor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1">
    <xf numFmtId="0" fontId="0" fillId="0" borderId="0"/>
    <xf numFmtId="0" fontId="7" fillId="0" borderId="0"/>
    <xf numFmtId="0" fontId="1" fillId="0" borderId="0"/>
    <xf numFmtId="0" fontId="9" fillId="0" borderId="0"/>
    <xf numFmtId="0" fontId="10" fillId="0" borderId="0"/>
    <xf numFmtId="164" fontId="12" fillId="0" borderId="0" applyFont="0" applyFill="0" applyBorder="0" applyAlignment="0" applyProtection="0"/>
    <xf numFmtId="0" fontId="12" fillId="0" borderId="0"/>
    <xf numFmtId="0" fontId="24" fillId="0" borderId="0"/>
    <xf numFmtId="0" fontId="1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247">
    <xf numFmtId="0" fontId="0" fillId="0" borderId="0" xfId="0"/>
    <xf numFmtId="0" fontId="22" fillId="0" borderId="2" xfId="0" applyFont="1" applyBorder="1" applyAlignment="1">
      <alignment horizontal="center" wrapText="1"/>
    </xf>
    <xf numFmtId="0" fontId="16" fillId="19" borderId="0" xfId="0" applyFont="1" applyFill="1" applyAlignment="1">
      <alignment horizontal="center"/>
    </xf>
    <xf numFmtId="0" fontId="15" fillId="3" borderId="1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164" fontId="1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/>
    <xf numFmtId="0" fontId="15" fillId="7" borderId="1" xfId="0" applyFont="1" applyFill="1" applyBorder="1" applyAlignment="1">
      <alignment horizontal="center" vertical="center" wrapText="1"/>
    </xf>
    <xf numFmtId="49" fontId="16" fillId="0" borderId="1" xfId="0" applyNumberFormat="1" applyFont="1" applyBorder="1" applyAlignment="1">
      <alignment horizontal="center"/>
    </xf>
    <xf numFmtId="49" fontId="16" fillId="0" borderId="1" xfId="0" applyNumberFormat="1" applyFont="1" applyBorder="1"/>
    <xf numFmtId="14" fontId="16" fillId="0" borderId="1" xfId="0" applyNumberFormat="1" applyFont="1" applyBorder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164" fontId="16" fillId="0" borderId="1" xfId="0" applyNumberFormat="1" applyFont="1" applyBorder="1"/>
    <xf numFmtId="0" fontId="16" fillId="0" borderId="1" xfId="0" applyFont="1" applyBorder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49" fontId="16" fillId="7" borderId="1" xfId="0" applyNumberFormat="1" applyFont="1" applyFill="1" applyBorder="1" applyAlignment="1">
      <alignment horizontal="center"/>
    </xf>
    <xf numFmtId="49" fontId="16" fillId="7" borderId="1" xfId="0" applyNumberFormat="1" applyFont="1" applyFill="1" applyBorder="1"/>
    <xf numFmtId="14" fontId="16" fillId="7" borderId="1" xfId="0" applyNumberFormat="1" applyFont="1" applyFill="1" applyBorder="1" applyAlignment="1">
      <alignment horizontal="center"/>
    </xf>
    <xf numFmtId="49" fontId="16" fillId="7" borderId="0" xfId="0" applyNumberFormat="1" applyFont="1" applyFill="1" applyBorder="1" applyAlignment="1">
      <alignment horizontal="center"/>
    </xf>
    <xf numFmtId="164" fontId="16" fillId="7" borderId="1" xfId="0" applyNumberFormat="1" applyFont="1" applyFill="1" applyBorder="1"/>
    <xf numFmtId="0" fontId="16" fillId="7" borderId="1" xfId="0" applyFont="1" applyFill="1" applyBorder="1"/>
    <xf numFmtId="0" fontId="16" fillId="7" borderId="0" xfId="0" applyFont="1" applyFill="1"/>
    <xf numFmtId="2" fontId="16" fillId="0" borderId="1" xfId="0" applyNumberFormat="1" applyFont="1" applyBorder="1" applyAlignment="1">
      <alignment horizontal="center"/>
    </xf>
    <xf numFmtId="2" fontId="16" fillId="7" borderId="1" xfId="0" applyNumberFormat="1" applyFont="1" applyFill="1" applyBorder="1" applyAlignment="1">
      <alignment horizontal="center"/>
    </xf>
    <xf numFmtId="2" fontId="16" fillId="4" borderId="1" xfId="0" applyNumberFormat="1" applyFont="1" applyFill="1" applyBorder="1" applyAlignment="1">
      <alignment horizontal="center"/>
    </xf>
    <xf numFmtId="49" fontId="16" fillId="4" borderId="1" xfId="0" applyNumberFormat="1" applyFont="1" applyFill="1" applyBorder="1"/>
    <xf numFmtId="49" fontId="16" fillId="4" borderId="1" xfId="0" applyNumberFormat="1" applyFont="1" applyFill="1" applyBorder="1" applyAlignment="1">
      <alignment horizontal="center"/>
    </xf>
    <xf numFmtId="14" fontId="16" fillId="4" borderId="1" xfId="0" applyNumberFormat="1" applyFont="1" applyFill="1" applyBorder="1" applyAlignment="1">
      <alignment horizontal="center"/>
    </xf>
    <xf numFmtId="49" fontId="16" fillId="4" borderId="0" xfId="0" applyNumberFormat="1" applyFont="1" applyFill="1" applyBorder="1" applyAlignment="1">
      <alignment horizontal="center"/>
    </xf>
    <xf numFmtId="164" fontId="16" fillId="4" borderId="1" xfId="0" applyNumberFormat="1" applyFont="1" applyFill="1" applyBorder="1"/>
    <xf numFmtId="0" fontId="16" fillId="4" borderId="1" xfId="0" applyFont="1" applyFill="1" applyBorder="1"/>
    <xf numFmtId="0" fontId="16" fillId="4" borderId="0" xfId="0" applyFont="1" applyFill="1"/>
    <xf numFmtId="165" fontId="16" fillId="0" borderId="0" xfId="0" applyNumberFormat="1" applyFont="1"/>
    <xf numFmtId="2" fontId="17" fillId="0" borderId="1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/>
    <xf numFmtId="0" fontId="17" fillId="0" borderId="1" xfId="0" applyFont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18" fillId="8" borderId="9" xfId="0" applyFont="1" applyFill="1" applyBorder="1"/>
    <xf numFmtId="0" fontId="18" fillId="8" borderId="9" xfId="0" applyFont="1" applyFill="1" applyBorder="1" applyAlignment="1">
      <alignment horizontal="center"/>
    </xf>
    <xf numFmtId="0" fontId="1" fillId="0" borderId="9" xfId="0" applyFont="1" applyBorder="1"/>
    <xf numFmtId="0" fontId="19" fillId="9" borderId="9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1" fillId="0" borderId="0" xfId="0" quotePrefix="1" applyFont="1"/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center" wrapText="1"/>
    </xf>
    <xf numFmtId="4" fontId="1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center"/>
    </xf>
    <xf numFmtId="165" fontId="1" fillId="0" borderId="1" xfId="10" applyFont="1" applyBorder="1"/>
    <xf numFmtId="165" fontId="1" fillId="0" borderId="1" xfId="0" applyNumberFormat="1" applyFont="1" applyBorder="1"/>
    <xf numFmtId="165" fontId="1" fillId="0" borderId="0" xfId="0" applyNumberFormat="1" applyFont="1"/>
    <xf numFmtId="0" fontId="1" fillId="10" borderId="0" xfId="0" applyFont="1" applyFill="1"/>
    <xf numFmtId="0" fontId="1" fillId="10" borderId="0" xfId="0" applyFont="1" applyFill="1" applyAlignment="1">
      <alignment horizontal="center"/>
    </xf>
    <xf numFmtId="4" fontId="1" fillId="10" borderId="0" xfId="0" applyNumberFormat="1" applyFont="1" applyFill="1" applyAlignment="1">
      <alignment horizontal="center"/>
    </xf>
    <xf numFmtId="0" fontId="12" fillId="0" borderId="0" xfId="2" quotePrefix="1" applyFont="1" applyAlignment="1">
      <alignment horizontal="center" vertical="center" wrapText="1"/>
    </xf>
    <xf numFmtId="0" fontId="20" fillId="0" borderId="0" xfId="0" quotePrefix="1" applyFont="1"/>
    <xf numFmtId="0" fontId="20" fillId="0" borderId="0" xfId="2" applyFont="1" applyAlignment="1">
      <alignment horizontal="center" vertical="center" wrapText="1"/>
    </xf>
    <xf numFmtId="0" fontId="20" fillId="0" borderId="0" xfId="2" applyFont="1" applyAlignment="1">
      <alignment horizontal="left" vertical="center" wrapText="1"/>
    </xf>
    <xf numFmtId="4" fontId="20" fillId="0" borderId="0" xfId="0" applyNumberFormat="1" applyFont="1" applyAlignment="1">
      <alignment horizontal="center"/>
    </xf>
    <xf numFmtId="0" fontId="20" fillId="0" borderId="0" xfId="0" applyFont="1"/>
    <xf numFmtId="10" fontId="20" fillId="0" borderId="0" xfId="0" applyNumberFormat="1" applyFont="1" applyAlignment="1">
      <alignment horizontal="center"/>
    </xf>
    <xf numFmtId="165" fontId="20" fillId="0" borderId="1" xfId="10" applyFont="1" applyBorder="1"/>
    <xf numFmtId="165" fontId="20" fillId="0" borderId="1" xfId="0" applyNumberFormat="1" applyFont="1" applyBorder="1"/>
    <xf numFmtId="0" fontId="1" fillId="0" borderId="0" xfId="2" quotePrefix="1" applyAlignment="1">
      <alignment horizontal="center" vertical="center" wrapText="1"/>
    </xf>
    <xf numFmtId="165" fontId="1" fillId="0" borderId="0" xfId="10" applyFont="1"/>
    <xf numFmtId="0" fontId="1" fillId="0" borderId="1" xfId="0" applyFont="1" applyBorder="1"/>
    <xf numFmtId="0" fontId="20" fillId="0" borderId="0" xfId="2" quotePrefix="1" applyFont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1" fillId="12" borderId="0" xfId="0" applyFont="1" applyFill="1"/>
    <xf numFmtId="0" fontId="21" fillId="12" borderId="0" xfId="0" applyFont="1" applyFill="1" applyAlignment="1">
      <alignment horizontal="center"/>
    </xf>
    <xf numFmtId="4" fontId="21" fillId="12" borderId="0" xfId="0" applyNumberFormat="1" applyFont="1" applyFill="1" applyAlignment="1">
      <alignment horizontal="center"/>
    </xf>
    <xf numFmtId="0" fontId="12" fillId="13" borderId="1" xfId="6" applyFill="1" applyBorder="1"/>
    <xf numFmtId="0" fontId="12" fillId="13" borderId="1" xfId="6" applyFill="1" applyBorder="1" applyAlignment="1">
      <alignment horizontal="center"/>
    </xf>
    <xf numFmtId="0" fontId="12" fillId="0" borderId="0" xfId="6"/>
    <xf numFmtId="0" fontId="14" fillId="7" borderId="1" xfId="6" applyFont="1" applyFill="1" applyBorder="1" applyAlignment="1">
      <alignment horizontal="center"/>
    </xf>
    <xf numFmtId="4" fontId="12" fillId="0" borderId="0" xfId="6" applyNumberFormat="1"/>
    <xf numFmtId="4" fontId="12" fillId="0" borderId="0" xfId="6" applyNumberFormat="1" applyAlignment="1">
      <alignment horizontal="center"/>
    </xf>
    <xf numFmtId="4" fontId="14" fillId="0" borderId="0" xfId="6" applyNumberFormat="1" applyFont="1" applyAlignment="1">
      <alignment horizontal="center"/>
    </xf>
    <xf numFmtId="10" fontId="12" fillId="0" borderId="0" xfId="9" applyNumberFormat="1" applyFont="1" applyAlignment="1">
      <alignment horizontal="center"/>
    </xf>
    <xf numFmtId="165" fontId="12" fillId="0" borderId="0" xfId="10" applyFont="1"/>
    <xf numFmtId="0" fontId="12" fillId="0" borderId="0" xfId="6" quotePrefix="1"/>
    <xf numFmtId="0" fontId="14" fillId="14" borderId="0" xfId="6" applyFont="1" applyFill="1"/>
    <xf numFmtId="0" fontId="12" fillId="14" borderId="0" xfId="6" applyFill="1"/>
    <xf numFmtId="4" fontId="12" fillId="14" borderId="0" xfId="6" applyNumberFormat="1" applyFill="1"/>
    <xf numFmtId="4" fontId="14" fillId="14" borderId="0" xfId="6" applyNumberFormat="1" applyFont="1" applyFill="1" applyAlignment="1">
      <alignment horizontal="center"/>
    </xf>
    <xf numFmtId="10" fontId="14" fillId="14" borderId="0" xfId="9" applyNumberFormat="1" applyFont="1" applyFill="1" applyAlignment="1">
      <alignment horizontal="center"/>
    </xf>
    <xf numFmtId="14" fontId="12" fillId="0" borderId="0" xfId="6" applyNumberFormat="1"/>
    <xf numFmtId="0" fontId="0" fillId="0" borderId="0" xfId="0" applyAlignment="1">
      <alignment horizontal="center"/>
    </xf>
    <xf numFmtId="166" fontId="0" fillId="0" borderId="0" xfId="0" applyNumberFormat="1"/>
    <xf numFmtId="164" fontId="12" fillId="0" borderId="0" xfId="5" applyFont="1"/>
    <xf numFmtId="0" fontId="14" fillId="7" borderId="1" xfId="0" applyFont="1" applyFill="1" applyBorder="1" applyAlignment="1">
      <alignment horizontal="center"/>
    </xf>
    <xf numFmtId="166" fontId="14" fillId="7" borderId="1" xfId="0" applyNumberFormat="1" applyFont="1" applyFill="1" applyBorder="1" applyAlignment="1">
      <alignment horizontal="center"/>
    </xf>
    <xf numFmtId="164" fontId="14" fillId="7" borderId="1" xfId="5" applyFont="1" applyFill="1" applyBorder="1" applyAlignment="1">
      <alignment horizontal="center"/>
    </xf>
    <xf numFmtId="0" fontId="14" fillId="7" borderId="1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23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166" fontId="23" fillId="4" borderId="1" xfId="0" applyNumberFormat="1" applyFont="1" applyFill="1" applyBorder="1" applyAlignment="1">
      <alignment horizontal="center" vertical="center" wrapText="1"/>
    </xf>
    <xf numFmtId="164" fontId="23" fillId="4" borderId="1" xfId="5" applyFont="1" applyFill="1" applyBorder="1" applyAlignment="1">
      <alignment horizontal="center" vertical="center" wrapText="1"/>
    </xf>
    <xf numFmtId="0" fontId="23" fillId="4" borderId="1" xfId="0" applyFont="1" applyFill="1" applyBorder="1"/>
    <xf numFmtId="0" fontId="0" fillId="0" borderId="0" xfId="0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/>
    </xf>
    <xf numFmtId="0" fontId="6" fillId="16" borderId="1" xfId="6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167" fontId="5" fillId="4" borderId="1" xfId="0" applyNumberFormat="1" applyFont="1" applyFill="1" applyBorder="1" applyAlignment="1">
      <alignment horizontal="center"/>
    </xf>
    <xf numFmtId="167" fontId="23" fillId="4" borderId="1" xfId="0" applyNumberFormat="1" applyFont="1" applyFill="1" applyBorder="1" applyAlignment="1">
      <alignment horizontal="center" vertical="center"/>
    </xf>
    <xf numFmtId="166" fontId="23" fillId="4" borderId="1" xfId="0" applyNumberFormat="1" applyFont="1" applyFill="1" applyBorder="1" applyAlignment="1">
      <alignment horizontal="center" vertical="center"/>
    </xf>
    <xf numFmtId="164" fontId="23" fillId="4" borderId="1" xfId="5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5" fillId="4" borderId="1" xfId="0" quotePrefix="1" applyFont="1" applyFill="1" applyBorder="1" applyAlignment="1">
      <alignment horizontal="center"/>
    </xf>
    <xf numFmtId="0" fontId="8" fillId="4" borderId="1" xfId="1" applyFont="1" applyFill="1" applyBorder="1" applyAlignment="1">
      <alignment horizontal="center" vertical="center"/>
    </xf>
    <xf numFmtId="3" fontId="8" fillId="4" borderId="1" xfId="3" applyNumberFormat="1" applyFont="1" applyFill="1" applyBorder="1" applyAlignment="1">
      <alignment horizontal="center" vertical="top"/>
    </xf>
    <xf numFmtId="0" fontId="8" fillId="4" borderId="1" xfId="2" applyFont="1" applyFill="1" applyBorder="1" applyAlignment="1">
      <alignment horizontal="center" vertical="center"/>
    </xf>
    <xf numFmtId="3" fontId="8" fillId="4" borderId="1" xfId="4" applyNumberFormat="1" applyFont="1" applyFill="1" applyBorder="1" applyAlignment="1">
      <alignment horizontal="center" vertical="top"/>
    </xf>
    <xf numFmtId="10" fontId="5" fillId="4" borderId="1" xfId="0" applyNumberFormat="1" applyFont="1" applyFill="1" applyBorder="1" applyAlignment="1">
      <alignment horizontal="center" vertical="center"/>
    </xf>
    <xf numFmtId="49" fontId="8" fillId="4" borderId="1" xfId="3" applyNumberFormat="1" applyFont="1" applyFill="1" applyBorder="1" applyAlignment="1">
      <alignment horizontal="center" vertical="top"/>
    </xf>
    <xf numFmtId="49" fontId="8" fillId="4" borderId="1" xfId="1" applyNumberFormat="1" applyFont="1" applyFill="1" applyBorder="1" applyAlignment="1">
      <alignment horizontal="center" vertical="center"/>
    </xf>
    <xf numFmtId="0" fontId="6" fillId="17" borderId="1" xfId="7" applyFont="1" applyFill="1" applyBorder="1" applyAlignment="1">
      <alignment horizontal="center" vertical="center"/>
    </xf>
    <xf numFmtId="3" fontId="8" fillId="4" borderId="1" xfId="4" applyNumberFormat="1" applyFont="1" applyFill="1" applyBorder="1" applyAlignment="1" applyProtection="1">
      <alignment horizontal="center"/>
      <protection locked="0"/>
    </xf>
    <xf numFmtId="166" fontId="23" fillId="4" borderId="1" xfId="5" applyNumberFormat="1" applyFont="1" applyFill="1" applyBorder="1" applyAlignment="1">
      <alignment horizontal="center" vertical="center"/>
    </xf>
    <xf numFmtId="0" fontId="6" fillId="15" borderId="1" xfId="6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14" fillId="4" borderId="1" xfId="0" applyNumberFormat="1" applyFont="1" applyFill="1" applyBorder="1" applyAlignment="1">
      <alignment horizontal="center" wrapText="1"/>
    </xf>
    <xf numFmtId="0" fontId="14" fillId="4" borderId="1" xfId="0" applyFont="1" applyFill="1" applyBorder="1" applyAlignment="1">
      <alignment horizontal="center" wrapText="1"/>
    </xf>
    <xf numFmtId="0" fontId="26" fillId="18" borderId="1" xfId="6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/>
    </xf>
    <xf numFmtId="167" fontId="16" fillId="4" borderId="1" xfId="0" applyNumberFormat="1" applyFont="1" applyFill="1" applyBorder="1" applyAlignment="1">
      <alignment horizontal="center"/>
    </xf>
    <xf numFmtId="167" fontId="16" fillId="0" borderId="1" xfId="0" applyNumberFormat="1" applyFont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16" fillId="4" borderId="1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3" fontId="27" fillId="4" borderId="4" xfId="4" applyNumberFormat="1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>
      <alignment horizontal="center"/>
    </xf>
    <xf numFmtId="3" fontId="27" fillId="4" borderId="1" xfId="8" applyNumberFormat="1" applyFont="1" applyFill="1" applyBorder="1" applyAlignment="1" applyProtection="1">
      <alignment horizontal="center"/>
      <protection locked="0"/>
    </xf>
    <xf numFmtId="3" fontId="27" fillId="4" borderId="6" xfId="3" applyNumberFormat="1" applyFont="1" applyFill="1" applyBorder="1" applyAlignment="1" applyProtection="1">
      <alignment horizontal="center"/>
      <protection locked="0"/>
    </xf>
    <xf numFmtId="0" fontId="16" fillId="0" borderId="0" xfId="2" applyFont="1" applyAlignment="1">
      <alignment horizontal="center" wrapText="1"/>
    </xf>
    <xf numFmtId="0" fontId="16" fillId="4" borderId="1" xfId="2" applyFont="1" applyFill="1" applyBorder="1" applyAlignment="1">
      <alignment horizontal="center" wrapText="1"/>
    </xf>
    <xf numFmtId="166" fontId="14" fillId="4" borderId="1" xfId="0" applyNumberFormat="1" applyFont="1" applyFill="1" applyBorder="1" applyAlignment="1">
      <alignment horizontal="center"/>
    </xf>
    <xf numFmtId="3" fontId="27" fillId="4" borderId="7" xfId="3" applyNumberFormat="1" applyFont="1" applyFill="1" applyBorder="1" applyAlignment="1" applyProtection="1">
      <alignment horizontal="center"/>
      <protection locked="0"/>
    </xf>
    <xf numFmtId="3" fontId="27" fillId="4" borderId="1" xfId="3" applyNumberFormat="1" applyFont="1" applyFill="1" applyBorder="1" applyAlignment="1" applyProtection="1">
      <alignment horizontal="center"/>
      <protection locked="0"/>
    </xf>
    <xf numFmtId="3" fontId="27" fillId="4" borderId="1" xfId="4" applyNumberFormat="1" applyFont="1" applyFill="1" applyBorder="1" applyAlignment="1" applyProtection="1">
      <alignment horizontal="center"/>
      <protection locked="0"/>
    </xf>
    <xf numFmtId="0" fontId="28" fillId="0" borderId="1" xfId="2" applyFont="1" applyBorder="1" applyAlignment="1">
      <alignment horizontal="center" wrapText="1"/>
    </xf>
    <xf numFmtId="167" fontId="16" fillId="4" borderId="5" xfId="0" applyNumberFormat="1" applyFont="1" applyFill="1" applyBorder="1" applyAlignment="1">
      <alignment horizontal="center"/>
    </xf>
    <xf numFmtId="167" fontId="16" fillId="0" borderId="5" xfId="0" applyNumberFormat="1" applyFont="1" applyBorder="1" applyAlignment="1">
      <alignment horizontal="center"/>
    </xf>
    <xf numFmtId="0" fontId="26" fillId="18" borderId="10" xfId="7" applyFont="1" applyFill="1" applyBorder="1" applyAlignment="1">
      <alignment horizontal="center"/>
    </xf>
    <xf numFmtId="3" fontId="27" fillId="4" borderId="4" xfId="3" applyNumberFormat="1" applyFont="1" applyFill="1" applyBorder="1" applyAlignment="1" applyProtection="1">
      <alignment horizontal="center"/>
      <protection locked="0"/>
    </xf>
    <xf numFmtId="0" fontId="26" fillId="18" borderId="8" xfId="7" applyFont="1" applyFill="1" applyBorder="1" applyAlignment="1">
      <alignment horizontal="center"/>
    </xf>
    <xf numFmtId="2" fontId="2" fillId="0" borderId="0" xfId="0" applyNumberFormat="1" applyFont="1"/>
    <xf numFmtId="0" fontId="0" fillId="0" borderId="0" xfId="0" applyAlignment="1">
      <alignment horizontal="right"/>
    </xf>
    <xf numFmtId="168" fontId="0" fillId="2" borderId="0" xfId="0" applyNumberFormat="1" applyFill="1"/>
    <xf numFmtId="169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center"/>
    </xf>
    <xf numFmtId="2" fontId="0" fillId="2" borderId="0" xfId="0" applyNumberFormat="1" applyFill="1"/>
    <xf numFmtId="164" fontId="12" fillId="0" borderId="0" xfId="5" applyFont="1" applyProtection="1"/>
    <xf numFmtId="168" fontId="2" fillId="0" borderId="0" xfId="0" applyNumberFormat="1" applyFont="1"/>
    <xf numFmtId="169" fontId="2" fillId="0" borderId="0" xfId="0" applyNumberFormat="1" applyFont="1" applyAlignment="1">
      <alignment horizontal="right"/>
    </xf>
    <xf numFmtId="170" fontId="1" fillId="0" borderId="0" xfId="0" applyNumberFormat="1" applyFont="1" applyAlignment="1">
      <alignment horizontal="center"/>
    </xf>
    <xf numFmtId="171" fontId="0" fillId="0" borderId="0" xfId="0" applyNumberFormat="1"/>
    <xf numFmtId="164" fontId="2" fillId="0" borderId="0" xfId="5" applyFont="1" applyProtection="1"/>
    <xf numFmtId="165" fontId="12" fillId="0" borderId="0" xfId="10" applyFont="1" applyProtection="1"/>
    <xf numFmtId="165" fontId="2" fillId="0" borderId="0" xfId="10" applyFont="1" applyProtection="1"/>
    <xf numFmtId="2" fontId="29" fillId="0" borderId="1" xfId="0" applyNumberFormat="1" applyFont="1" applyBorder="1" applyAlignment="1">
      <alignment horizontal="center"/>
    </xf>
    <xf numFmtId="0" fontId="23" fillId="3" borderId="1" xfId="0" applyFont="1" applyFill="1" applyBorder="1" applyAlignment="1">
      <alignment horizontal="center" vertical="center"/>
    </xf>
    <xf numFmtId="165" fontId="23" fillId="3" borderId="1" xfId="10" applyFont="1" applyFill="1" applyBorder="1" applyAlignment="1">
      <alignment horizontal="center" vertical="center"/>
    </xf>
    <xf numFmtId="0" fontId="29" fillId="0" borderId="0" xfId="0" applyFont="1"/>
    <xf numFmtId="0" fontId="29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left"/>
    </xf>
    <xf numFmtId="49" fontId="29" fillId="0" borderId="1" xfId="0" applyNumberFormat="1" applyFont="1" applyBorder="1"/>
    <xf numFmtId="49" fontId="29" fillId="0" borderId="1" xfId="0" applyNumberFormat="1" applyFont="1" applyBorder="1" applyAlignment="1">
      <alignment horizontal="center"/>
    </xf>
    <xf numFmtId="14" fontId="29" fillId="0" borderId="1" xfId="0" applyNumberFormat="1" applyFont="1" applyBorder="1" applyAlignment="1">
      <alignment horizontal="center"/>
    </xf>
    <xf numFmtId="165" fontId="29" fillId="0" borderId="1" xfId="10" applyFont="1" applyBorder="1"/>
    <xf numFmtId="2" fontId="27" fillId="0" borderId="1" xfId="0" applyNumberFormat="1" applyFont="1" applyBorder="1" applyAlignment="1">
      <alignment horizontal="center"/>
    </xf>
    <xf numFmtId="49" fontId="27" fillId="0" borderId="1" xfId="0" applyNumberFormat="1" applyFont="1" applyBorder="1"/>
    <xf numFmtId="49" fontId="27" fillId="0" borderId="1" xfId="0" applyNumberFormat="1" applyFont="1" applyBorder="1" applyAlignment="1">
      <alignment horizontal="center"/>
    </xf>
    <xf numFmtId="14" fontId="27" fillId="0" borderId="1" xfId="0" applyNumberFormat="1" applyFont="1" applyBorder="1" applyAlignment="1">
      <alignment horizontal="center"/>
    </xf>
    <xf numFmtId="49" fontId="27" fillId="0" borderId="0" xfId="0" applyNumberFormat="1" applyFont="1" applyBorder="1" applyAlignment="1">
      <alignment horizontal="center"/>
    </xf>
    <xf numFmtId="164" fontId="27" fillId="0" borderId="1" xfId="0" applyNumberFormat="1" applyFont="1" applyBorder="1"/>
    <xf numFmtId="0" fontId="27" fillId="0" borderId="0" xfId="0" applyFont="1"/>
    <xf numFmtId="0" fontId="27" fillId="0" borderId="1" xfId="0" applyFont="1" applyBorder="1"/>
    <xf numFmtId="0" fontId="13" fillId="0" borderId="0" xfId="2" applyFont="1" applyAlignment="1">
      <alignment horizontal="center" vertical="center" wrapText="1"/>
    </xf>
    <xf numFmtId="0" fontId="13" fillId="0" borderId="0" xfId="2" applyFont="1" applyAlignment="1">
      <alignment horizontal="left" vertical="center" wrapText="1"/>
    </xf>
    <xf numFmtId="164" fontId="17" fillId="0" borderId="1" xfId="0" applyNumberFormat="1" applyFont="1" applyBorder="1"/>
    <xf numFmtId="2" fontId="17" fillId="4" borderId="1" xfId="0" applyNumberFormat="1" applyFont="1" applyFill="1" applyBorder="1" applyAlignment="1">
      <alignment horizontal="center"/>
    </xf>
    <xf numFmtId="49" fontId="17" fillId="4" borderId="1" xfId="0" applyNumberFormat="1" applyFont="1" applyFill="1" applyBorder="1"/>
    <xf numFmtId="49" fontId="17" fillId="4" borderId="1" xfId="0" applyNumberFormat="1" applyFont="1" applyFill="1" applyBorder="1" applyAlignment="1">
      <alignment horizontal="center"/>
    </xf>
    <xf numFmtId="14" fontId="17" fillId="4" borderId="1" xfId="0" applyNumberFormat="1" applyFont="1" applyFill="1" applyBorder="1" applyAlignment="1">
      <alignment horizontal="center"/>
    </xf>
    <xf numFmtId="49" fontId="17" fillId="4" borderId="0" xfId="0" applyNumberFormat="1" applyFont="1" applyFill="1" applyBorder="1" applyAlignment="1">
      <alignment horizontal="center"/>
    </xf>
    <xf numFmtId="164" fontId="17" fillId="4" borderId="1" xfId="0" applyNumberFormat="1" applyFont="1" applyFill="1" applyBorder="1"/>
    <xf numFmtId="0" fontId="17" fillId="4" borderId="0" xfId="0" applyFont="1" applyFill="1"/>
    <xf numFmtId="0" fontId="17" fillId="4" borderId="1" xfId="0" applyFont="1" applyFill="1" applyBorder="1"/>
    <xf numFmtId="164" fontId="17" fillId="19" borderId="1" xfId="0" applyNumberFormat="1" applyFont="1" applyFill="1" applyBorder="1"/>
    <xf numFmtId="164" fontId="15" fillId="7" borderId="1" xfId="0" applyNumberFormat="1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/>
    </xf>
    <xf numFmtId="0" fontId="18" fillId="20" borderId="0" xfId="0" applyFont="1" applyFill="1" applyAlignment="1">
      <alignment horizontal="center" vertical="center"/>
    </xf>
    <xf numFmtId="3" fontId="1" fillId="0" borderId="0" xfId="0" applyNumberFormat="1" applyFont="1"/>
    <xf numFmtId="0" fontId="16" fillId="0" borderId="0" xfId="0" applyFont="1" applyFill="1"/>
    <xf numFmtId="0" fontId="1" fillId="0" borderId="0" xfId="0" applyFont="1" applyFill="1"/>
    <xf numFmtId="0" fontId="20" fillId="0" borderId="0" xfId="0" applyFont="1" applyFill="1"/>
    <xf numFmtId="0" fontId="15" fillId="0" borderId="1" xfId="0" applyFont="1" applyFill="1" applyBorder="1" applyAlignment="1">
      <alignment horizontal="center" vertical="center" wrapText="1"/>
    </xf>
    <xf numFmtId="165" fontId="16" fillId="0" borderId="0" xfId="0" applyNumberFormat="1" applyFont="1" applyFill="1"/>
    <xf numFmtId="164" fontId="16" fillId="0" borderId="0" xfId="0" applyNumberFormat="1" applyFont="1"/>
    <xf numFmtId="165" fontId="15" fillId="0" borderId="5" xfId="10" applyFont="1" applyFill="1" applyBorder="1" applyAlignment="1">
      <alignment horizontal="center" vertical="center" wrapText="1"/>
    </xf>
    <xf numFmtId="9" fontId="15" fillId="3" borderId="5" xfId="10" applyNumberFormat="1" applyFont="1" applyFill="1" applyBorder="1" applyAlignment="1">
      <alignment horizontal="center" vertical="center" wrapText="1"/>
    </xf>
    <xf numFmtId="165" fontId="15" fillId="7" borderId="5" xfId="1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49" fontId="0" fillId="0" borderId="0" xfId="0" applyNumberFormat="1"/>
    <xf numFmtId="0" fontId="15" fillId="21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1" fontId="30" fillId="22" borderId="1" xfId="0" applyNumberFormat="1" applyFont="1" applyFill="1" applyBorder="1" applyAlignment="1">
      <alignment horizontal="center"/>
    </xf>
    <xf numFmtId="0" fontId="30" fillId="22" borderId="1" xfId="0" applyNumberFormat="1" applyFont="1" applyFill="1" applyBorder="1" applyAlignment="1">
      <alignment horizontal="center"/>
    </xf>
    <xf numFmtId="0" fontId="30" fillId="22" borderId="1" xfId="0" applyFont="1" applyFill="1" applyBorder="1"/>
    <xf numFmtId="165" fontId="30" fillId="22" borderId="1" xfId="10" applyFont="1" applyFill="1" applyBorder="1"/>
    <xf numFmtId="165" fontId="31" fillId="22" borderId="1" xfId="10" applyFont="1" applyFill="1" applyBorder="1"/>
    <xf numFmtId="0" fontId="31" fillId="22" borderId="1" xfId="0" applyNumberFormat="1" applyFont="1" applyFill="1" applyBorder="1"/>
    <xf numFmtId="43" fontId="31" fillId="22" borderId="1" xfId="0" applyNumberFormat="1" applyFont="1" applyFill="1" applyBorder="1"/>
    <xf numFmtId="0" fontId="15" fillId="7" borderId="0" xfId="0" applyFont="1" applyFill="1" applyAlignment="1">
      <alignment vertical="center" wrapText="1"/>
    </xf>
    <xf numFmtId="0" fontId="22" fillId="0" borderId="0" xfId="0" applyFont="1" applyBorder="1" applyAlignment="1">
      <alignment horizontal="center" wrapText="1"/>
    </xf>
    <xf numFmtId="0" fontId="14" fillId="7" borderId="1" xfId="0" applyFont="1" applyFill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7" borderId="1" xfId="0" applyFill="1" applyBorder="1" applyAlignment="1">
      <alignment horizontal="center"/>
    </xf>
    <xf numFmtId="0" fontId="32" fillId="23" borderId="1" xfId="0" applyFont="1" applyFill="1" applyBorder="1"/>
    <xf numFmtId="43" fontId="32" fillId="23" borderId="1" xfId="0" applyNumberFormat="1" applyFont="1" applyFill="1" applyBorder="1"/>
    <xf numFmtId="165" fontId="32" fillId="23" borderId="1" xfId="10" applyFont="1" applyFill="1" applyBorder="1"/>
    <xf numFmtId="7" fontId="32" fillId="23" borderId="1" xfId="0" applyNumberFormat="1" applyFont="1" applyFill="1" applyBorder="1"/>
    <xf numFmtId="1" fontId="32" fillId="23" borderId="1" xfId="0" applyNumberFormat="1" applyFont="1" applyFill="1" applyBorder="1" applyAlignment="1">
      <alignment horizontal="center"/>
    </xf>
    <xf numFmtId="0" fontId="32" fillId="23" borderId="1" xfId="0" applyNumberFormat="1" applyFont="1" applyFill="1" applyBorder="1"/>
    <xf numFmtId="44" fontId="32" fillId="23" borderId="1" xfId="0" applyNumberFormat="1" applyFont="1" applyFill="1" applyBorder="1"/>
    <xf numFmtId="0" fontId="32" fillId="24" borderId="1" xfId="0" applyFont="1" applyFill="1" applyBorder="1"/>
    <xf numFmtId="7" fontId="32" fillId="24" borderId="1" xfId="0" applyNumberFormat="1" applyFont="1" applyFill="1" applyBorder="1"/>
    <xf numFmtId="0" fontId="32" fillId="25" borderId="1" xfId="0" applyNumberFormat="1" applyFont="1" applyFill="1" applyBorder="1" applyAlignment="1">
      <alignment horizontal="center"/>
    </xf>
    <xf numFmtId="1" fontId="32" fillId="25" borderId="1" xfId="0" applyNumberFormat="1" applyFont="1" applyFill="1" applyBorder="1" applyAlignment="1">
      <alignment horizontal="center"/>
    </xf>
  </cellXfs>
  <cellStyles count="11">
    <cellStyle name="Comma" xfId="10" builtinId="3"/>
    <cellStyle name="Currency" xfId="5" builtinId="4"/>
    <cellStyle name="Excel Built-in Normal" xfId="3" xr:uid="{00000000-0005-0000-0000-000002000000}"/>
    <cellStyle name="Excel Built-in Normal 2" xfId="4" xr:uid="{00000000-0005-0000-0000-000003000000}"/>
    <cellStyle name="Normal" xfId="0" builtinId="0"/>
    <cellStyle name="Normal 2" xfId="6" xr:uid="{00000000-0005-0000-0000-000005000000}"/>
    <cellStyle name="Normal 3" xfId="7" xr:uid="{00000000-0005-0000-0000-000006000000}"/>
    <cellStyle name="Normal 9" xfId="8" xr:uid="{00000000-0005-0000-0000-000007000000}"/>
    <cellStyle name="Porcentagem 2" xfId="9" xr:uid="{00000000-0005-0000-0000-000008000000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5965232"/>
  <ax:ocxPr ax:name="_ExtentY" ax:value="5965232"/>
  <ax:ocxPr ax:name="_Version" ax:value="393216"/>
  <ax:ocxPr ax:name="BorderStyle" ax:value="1"/>
  <ax:ocxPr ax:name="Appearance" ax:value="0"/>
  <ax:ocxPr ax:name="Max" ax:value="222"/>
  <ax:ocxPr ax:name="Scrolling" ax:value="1"/>
</ax:ocx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29725" y="123825"/>
          <a:ext cx="3990975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0</xdr:row>
          <xdr:rowOff>624840</xdr:rowOff>
        </xdr:from>
        <xdr:to>
          <xdr:col>16</xdr:col>
          <xdr:colOff>563880</xdr:colOff>
          <xdr:row>0</xdr:row>
          <xdr:rowOff>982980</xdr:rowOff>
        </xdr:to>
        <xdr:sp macro="" textlink="">
          <xdr:nvSpPr>
            <xdr:cNvPr id="1025" name="Progress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334125" y="95250"/>
          <a:ext cx="2714625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137160</xdr:colOff>
      <xdr:row>33</xdr:row>
      <xdr:rowOff>76200</xdr:rowOff>
    </xdr:from>
    <xdr:to>
      <xdr:col>30</xdr:col>
      <xdr:colOff>342900</xdr:colOff>
      <xdr:row>39</xdr:row>
      <xdr:rowOff>68580</xdr:rowOff>
    </xdr:to>
    <xdr:pic>
      <xdr:nvPicPr>
        <xdr:cNvPr id="2350" name="Imagem 1">
          <a:extLst>
            <a:ext uri="{FF2B5EF4-FFF2-40B4-BE49-F238E27FC236}">
              <a16:creationId xmlns:a16="http://schemas.microsoft.com/office/drawing/2014/main" id="{00000000-0008-0000-01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03180" y="536448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60960</xdr:colOff>
      <xdr:row>134</xdr:row>
      <xdr:rowOff>152400</xdr:rowOff>
    </xdr:from>
    <xdr:to>
      <xdr:col>30</xdr:col>
      <xdr:colOff>266700</xdr:colOff>
      <xdr:row>140</xdr:row>
      <xdr:rowOff>144780</xdr:rowOff>
    </xdr:to>
    <xdr:pic>
      <xdr:nvPicPr>
        <xdr:cNvPr id="2351" name="Imagem 2">
          <a:extLst>
            <a:ext uri="{FF2B5EF4-FFF2-40B4-BE49-F238E27FC236}">
              <a16:creationId xmlns:a16="http://schemas.microsoft.com/office/drawing/2014/main" id="{00000000-0008-0000-01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6980" y="2160270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68580</xdr:colOff>
      <xdr:row>360</xdr:row>
      <xdr:rowOff>30480</xdr:rowOff>
    </xdr:from>
    <xdr:to>
      <xdr:col>31</xdr:col>
      <xdr:colOff>274321</xdr:colOff>
      <xdr:row>366</xdr:row>
      <xdr:rowOff>15240</xdr:rowOff>
    </xdr:to>
    <xdr:pic>
      <xdr:nvPicPr>
        <xdr:cNvPr id="2352" name="Imagem 4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59440" y="57645300"/>
          <a:ext cx="645414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144780</xdr:colOff>
      <xdr:row>377</xdr:row>
      <xdr:rowOff>152400</xdr:rowOff>
    </xdr:from>
    <xdr:to>
      <xdr:col>31</xdr:col>
      <xdr:colOff>350521</xdr:colOff>
      <xdr:row>383</xdr:row>
      <xdr:rowOff>144780</xdr:rowOff>
    </xdr:to>
    <xdr:pic>
      <xdr:nvPicPr>
        <xdr:cNvPr id="2353" name="Imagem 5">
          <a:extLst>
            <a:ext uri="{FF2B5EF4-FFF2-40B4-BE49-F238E27FC236}">
              <a16:creationId xmlns:a16="http://schemas.microsoft.com/office/drawing/2014/main" id="{00000000-0008-0000-01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5640" y="6048756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114300</xdr:colOff>
      <xdr:row>393</xdr:row>
      <xdr:rowOff>152400</xdr:rowOff>
    </xdr:from>
    <xdr:to>
      <xdr:col>30</xdr:col>
      <xdr:colOff>320040</xdr:colOff>
      <xdr:row>399</xdr:row>
      <xdr:rowOff>144780</xdr:rowOff>
    </xdr:to>
    <xdr:pic>
      <xdr:nvPicPr>
        <xdr:cNvPr id="2354" name="Imagem 6">
          <a:extLst>
            <a:ext uri="{FF2B5EF4-FFF2-40B4-BE49-F238E27FC236}">
              <a16:creationId xmlns:a16="http://schemas.microsoft.com/office/drawing/2014/main" id="{00000000-0008-0000-01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0320" y="6304788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23"/>
  <sheetViews>
    <sheetView showGridLines="0" tabSelected="1" zoomScale="102" zoomScaleNormal="102" workbookViewId="0">
      <pane ySplit="2" topLeftCell="A3" activePane="bottomLeft" state="frozen"/>
      <selection pane="bottomLeft" activeCellId="1" sqref="A3 A1:AH1"/>
    </sheetView>
  </sheetViews>
  <sheetFormatPr defaultColWidth="9.109375" defaultRowHeight="12" x14ac:dyDescent="0.25"/>
  <cols>
    <col min="1" max="1" width="8.6640625" style="18" customWidth="1"/>
    <col min="2" max="3" width="9.88671875" style="18" customWidth="1"/>
    <col min="4" max="4" width="31" style="10" customWidth="1"/>
    <col min="5" max="5" width="18.21875" style="10" bestFit="1" customWidth="1"/>
    <col min="6" max="6" width="11.88671875" style="18" bestFit="1" customWidth="1"/>
    <col min="7" max="7" width="9" style="18" bestFit="1" customWidth="1"/>
    <col min="8" max="8" width="20.44140625" style="18" bestFit="1" customWidth="1"/>
    <col min="9" max="9" width="3.44140625" style="18" customWidth="1"/>
    <col min="10" max="10" width="10" style="18" customWidth="1"/>
    <col min="11" max="11" width="7.44140625" style="18" customWidth="1"/>
    <col min="12" max="12" width="7.109375" style="223" customWidth="1"/>
    <col min="13" max="13" width="2.44140625" style="18" customWidth="1"/>
    <col min="14" max="14" width="14.33203125" style="19" customWidth="1"/>
    <col min="15" max="15" width="10.44140625" style="19" customWidth="1"/>
    <col min="16" max="18" width="9.109375" style="19" customWidth="1"/>
    <col min="19" max="19" width="12.44140625" style="19" customWidth="1"/>
    <col min="20" max="20" width="9.109375" style="19" customWidth="1"/>
    <col min="21" max="21" width="9.109375" style="206" customWidth="1"/>
    <col min="22" max="23" width="9.109375" style="10" customWidth="1"/>
    <col min="24" max="24" width="2" style="10" customWidth="1"/>
    <col min="25" max="25" width="11" style="10" customWidth="1"/>
    <col min="26" max="26" width="1.88671875" style="10" customWidth="1"/>
    <col min="27" max="27" width="10.33203125" style="206" customWidth="1"/>
    <col min="28" max="28" width="9.109375" style="206"/>
    <col min="29" max="29" width="9.109375" style="10" customWidth="1"/>
    <col min="30" max="30" width="9.109375" style="206"/>
    <col min="31" max="34" width="9.109375" style="10"/>
    <col min="35" max="35" width="10.33203125" style="10" bestFit="1" customWidth="1"/>
    <col min="36" max="36" width="10.109375" style="10" bestFit="1" customWidth="1"/>
    <col min="37" max="16384" width="9.109375" style="10"/>
  </cols>
  <sheetData>
    <row r="1" spans="1:36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6" ht="43.5" customHeight="1" x14ac:dyDescent="0.25">
      <c r="A2" s="218" t="s">
        <v>454</v>
      </c>
      <c r="B2" s="3" t="s">
        <v>2</v>
      </c>
      <c r="C2" s="3"/>
      <c r="D2" s="3" t="s">
        <v>731</v>
      </c>
      <c r="E2" s="203" t="s">
        <v>1</v>
      </c>
      <c r="F2" s="3" t="s">
        <v>3</v>
      </c>
      <c r="G2" s="3" t="s">
        <v>455</v>
      </c>
      <c r="H2" s="3" t="s">
        <v>456</v>
      </c>
      <c r="I2" s="4"/>
      <c r="J2" s="5" t="s">
        <v>457</v>
      </c>
      <c r="K2" s="6" t="s">
        <v>458</v>
      </c>
      <c r="L2" s="3" t="s">
        <v>459</v>
      </c>
      <c r="M2" s="15"/>
      <c r="N2" s="7" t="s">
        <v>460</v>
      </c>
      <c r="O2" s="7" t="s">
        <v>461</v>
      </c>
      <c r="P2" s="9" t="s">
        <v>462</v>
      </c>
      <c r="Q2" s="202" t="s">
        <v>732</v>
      </c>
      <c r="R2" s="202" t="s">
        <v>734</v>
      </c>
      <c r="S2" s="9" t="s">
        <v>463</v>
      </c>
      <c r="T2" s="202" t="s">
        <v>733</v>
      </c>
      <c r="U2" s="212" t="s">
        <v>464</v>
      </c>
      <c r="V2" s="213">
        <v>0.06</v>
      </c>
      <c r="W2" s="214" t="s">
        <v>735</v>
      </c>
      <c r="Y2" s="215" t="s">
        <v>465</v>
      </c>
      <c r="AA2" s="216" t="s">
        <v>736</v>
      </c>
      <c r="AB2" s="216" t="s">
        <v>466</v>
      </c>
      <c r="AC2" s="11" t="s">
        <v>467</v>
      </c>
      <c r="AD2" s="209" t="s">
        <v>468</v>
      </c>
      <c r="AE2" s="8" t="s">
        <v>469</v>
      </c>
      <c r="AF2" s="5" t="s">
        <v>470</v>
      </c>
      <c r="AG2" s="11" t="s">
        <v>737</v>
      </c>
      <c r="AH2" s="11" t="s">
        <v>471</v>
      </c>
      <c r="AI2" s="231" t="s">
        <v>1275</v>
      </c>
    </row>
    <row r="3" spans="1:36" x14ac:dyDescent="0.25">
      <c r="A3" s="140">
        <v>62</v>
      </c>
      <c r="B3" s="140">
        <v>286</v>
      </c>
      <c r="C3" s="27" t="s">
        <v>976</v>
      </c>
      <c r="D3" s="13" t="s">
        <v>15</v>
      </c>
      <c r="E3" s="13" t="s">
        <v>14</v>
      </c>
      <c r="F3" s="12" t="s">
        <v>16</v>
      </c>
      <c r="G3" s="14">
        <v>42685</v>
      </c>
      <c r="H3" s="12" t="s">
        <v>10</v>
      </c>
      <c r="I3" s="15"/>
      <c r="J3" s="240">
        <v>18</v>
      </c>
      <c r="K3" s="224">
        <v>6</v>
      </c>
      <c r="L3" s="240">
        <v>24</v>
      </c>
      <c r="M3" s="4"/>
      <c r="N3" s="16">
        <v>0</v>
      </c>
      <c r="O3" s="16">
        <v>1719</v>
      </c>
      <c r="P3" s="16"/>
      <c r="Q3" s="16"/>
      <c r="R3" s="16">
        <v>41</v>
      </c>
      <c r="S3" s="16"/>
      <c r="T3" s="16">
        <v>485</v>
      </c>
      <c r="U3" s="239">
        <v>485</v>
      </c>
      <c r="V3" s="241">
        <v>293.38978199999997</v>
      </c>
      <c r="W3" s="238">
        <v>293.38978199999997</v>
      </c>
      <c r="Y3" s="242">
        <v>1031.3999999999999</v>
      </c>
      <c r="AA3" s="236">
        <v>3911.8637599999997</v>
      </c>
      <c r="AB3" s="237">
        <v>977.96593999999993</v>
      </c>
      <c r="AC3" s="226">
        <v>200</v>
      </c>
      <c r="AD3" s="238">
        <v>698.54709999999989</v>
      </c>
      <c r="AE3" s="237">
        <v>4610.41086</v>
      </c>
      <c r="AF3" s="228">
        <v>0</v>
      </c>
      <c r="AG3" s="226">
        <v>400</v>
      </c>
      <c r="AH3" s="16"/>
      <c r="AI3" s="16"/>
      <c r="AJ3" s="211"/>
    </row>
    <row r="4" spans="1:36" x14ac:dyDescent="0.25">
      <c r="A4" s="140">
        <v>62</v>
      </c>
      <c r="B4" s="140">
        <v>325</v>
      </c>
      <c r="C4" s="27" t="s">
        <v>977</v>
      </c>
      <c r="D4" s="13" t="s">
        <v>32</v>
      </c>
      <c r="E4" s="13" t="s">
        <v>21</v>
      </c>
      <c r="F4" s="12" t="s">
        <v>33</v>
      </c>
      <c r="G4" s="14">
        <v>44174</v>
      </c>
      <c r="H4" s="12" t="s">
        <v>10</v>
      </c>
      <c r="I4" s="15"/>
      <c r="J4" s="240">
        <v>14</v>
      </c>
      <c r="K4" s="224">
        <v>8</v>
      </c>
      <c r="L4" s="240">
        <v>22</v>
      </c>
      <c r="M4" s="15"/>
      <c r="N4" s="16">
        <v>1575.67</v>
      </c>
      <c r="O4" s="16">
        <v>0</v>
      </c>
      <c r="P4" s="16">
        <v>97</v>
      </c>
      <c r="Q4" s="16"/>
      <c r="R4" s="16">
        <v>41</v>
      </c>
      <c r="S4" s="16" t="s">
        <v>1177</v>
      </c>
      <c r="T4" s="16"/>
      <c r="U4" s="242">
        <v>0</v>
      </c>
      <c r="V4" s="241">
        <v>44.118599999999994</v>
      </c>
      <c r="W4" s="238">
        <v>44.118599999999994</v>
      </c>
      <c r="Y4" s="242">
        <v>735.3126666666667</v>
      </c>
      <c r="AA4" s="228"/>
      <c r="AB4" s="230"/>
      <c r="AC4" s="226"/>
      <c r="AD4" s="228"/>
      <c r="AE4" s="230">
        <v>0</v>
      </c>
      <c r="AF4" s="238">
        <v>735.31</v>
      </c>
      <c r="AG4" s="226"/>
      <c r="AH4" s="17"/>
      <c r="AI4" s="16"/>
    </row>
    <row r="5" spans="1:36" x14ac:dyDescent="0.25">
      <c r="A5" s="140">
        <v>62</v>
      </c>
      <c r="B5" s="140">
        <v>106</v>
      </c>
      <c r="C5" s="27" t="s">
        <v>978</v>
      </c>
      <c r="D5" s="13" t="s">
        <v>4</v>
      </c>
      <c r="E5" s="13" t="s">
        <v>7</v>
      </c>
      <c r="F5" s="12" t="s">
        <v>5</v>
      </c>
      <c r="G5" s="14">
        <v>40868</v>
      </c>
      <c r="H5" s="12" t="s">
        <v>6</v>
      </c>
      <c r="I5" s="15"/>
      <c r="J5" s="240">
        <v>30</v>
      </c>
      <c r="K5" s="224">
        <v>0</v>
      </c>
      <c r="L5" s="240">
        <v>30</v>
      </c>
      <c r="M5" s="15"/>
      <c r="N5" s="16">
        <v>1406</v>
      </c>
      <c r="O5" s="16">
        <v>0</v>
      </c>
      <c r="P5" s="16"/>
      <c r="Q5" s="16"/>
      <c r="R5" s="16"/>
      <c r="S5" s="16">
        <v>0</v>
      </c>
      <c r="T5" s="16"/>
      <c r="U5" s="239">
        <v>0</v>
      </c>
      <c r="V5" s="241">
        <v>84.36</v>
      </c>
      <c r="W5" s="238">
        <v>84.36</v>
      </c>
      <c r="Y5" s="242">
        <v>1406</v>
      </c>
      <c r="AA5" s="228"/>
      <c r="AB5" s="230"/>
      <c r="AC5" s="226"/>
      <c r="AD5" s="228"/>
      <c r="AE5" s="230">
        <v>0</v>
      </c>
      <c r="AF5" s="238">
        <v>1406</v>
      </c>
      <c r="AG5" s="226"/>
      <c r="AH5" s="17"/>
      <c r="AI5" s="16"/>
    </row>
    <row r="6" spans="1:36" x14ac:dyDescent="0.25">
      <c r="A6" s="140">
        <v>62</v>
      </c>
      <c r="B6" s="140">
        <v>322</v>
      </c>
      <c r="C6" s="27" t="s">
        <v>979</v>
      </c>
      <c r="D6" s="13" t="s">
        <v>28</v>
      </c>
      <c r="E6" s="13" t="s">
        <v>14</v>
      </c>
      <c r="F6" s="12" t="s">
        <v>29</v>
      </c>
      <c r="G6" s="14">
        <v>44113</v>
      </c>
      <c r="H6" s="12" t="s">
        <v>10</v>
      </c>
      <c r="I6" s="15"/>
      <c r="J6" s="240">
        <v>30</v>
      </c>
      <c r="K6" s="224">
        <v>0</v>
      </c>
      <c r="L6" s="240">
        <v>30</v>
      </c>
      <c r="M6" s="15"/>
      <c r="N6" s="16">
        <v>0</v>
      </c>
      <c r="O6" s="16">
        <v>1719</v>
      </c>
      <c r="P6" s="16"/>
      <c r="Q6" s="16"/>
      <c r="R6" s="16">
        <v>41</v>
      </c>
      <c r="S6" s="16"/>
      <c r="T6" s="16">
        <v>480</v>
      </c>
      <c r="U6" s="239">
        <v>480</v>
      </c>
      <c r="V6" s="241">
        <v>158.57580899999996</v>
      </c>
      <c r="W6" s="238">
        <v>158.57580899999996</v>
      </c>
      <c r="Y6" s="242">
        <v>1719</v>
      </c>
      <c r="AA6" s="238">
        <v>2114.3441199999997</v>
      </c>
      <c r="AB6" s="237">
        <v>528.58602999999994</v>
      </c>
      <c r="AC6" s="227"/>
      <c r="AD6" s="228"/>
      <c r="AE6" s="237">
        <v>2114.3441199999997</v>
      </c>
      <c r="AF6" s="228">
        <v>0</v>
      </c>
      <c r="AG6" s="226"/>
      <c r="AH6" s="17"/>
      <c r="AI6" s="16"/>
    </row>
    <row r="7" spans="1:36" x14ac:dyDescent="0.25">
      <c r="A7" s="140">
        <v>62</v>
      </c>
      <c r="B7" s="140">
        <v>282</v>
      </c>
      <c r="C7" s="27" t="s">
        <v>980</v>
      </c>
      <c r="D7" s="13" t="s">
        <v>12</v>
      </c>
      <c r="E7" s="13" t="s">
        <v>14</v>
      </c>
      <c r="F7" s="12" t="s">
        <v>13</v>
      </c>
      <c r="G7" s="14">
        <v>42529</v>
      </c>
      <c r="H7" s="12" t="s">
        <v>10</v>
      </c>
      <c r="I7" s="15"/>
      <c r="J7" s="240">
        <v>30</v>
      </c>
      <c r="K7" s="224">
        <v>0</v>
      </c>
      <c r="L7" s="240">
        <v>30</v>
      </c>
      <c r="M7" s="15"/>
      <c r="N7" s="16">
        <v>0</v>
      </c>
      <c r="O7" s="16">
        <v>1719</v>
      </c>
      <c r="P7" s="16"/>
      <c r="Q7" s="16"/>
      <c r="R7" s="16"/>
      <c r="S7" s="16"/>
      <c r="T7" s="16">
        <v>580</v>
      </c>
      <c r="U7" s="239">
        <v>580</v>
      </c>
      <c r="V7" s="241">
        <v>117.55990799999999</v>
      </c>
      <c r="W7" s="238">
        <v>117.55990799999999</v>
      </c>
      <c r="Y7" s="242">
        <v>1719</v>
      </c>
      <c r="AA7" s="238">
        <v>961.3374399999999</v>
      </c>
      <c r="AB7" s="237">
        <v>240.33435999999998</v>
      </c>
      <c r="AC7" s="227"/>
      <c r="AD7" s="228"/>
      <c r="AE7" s="237">
        <v>961.3374399999999</v>
      </c>
      <c r="AF7" s="238">
        <v>757.66</v>
      </c>
      <c r="AG7" s="226"/>
      <c r="AH7" s="17"/>
      <c r="AI7" s="16"/>
    </row>
    <row r="8" spans="1:36" x14ac:dyDescent="0.25">
      <c r="A8" s="140">
        <v>62</v>
      </c>
      <c r="B8" s="140">
        <v>316</v>
      </c>
      <c r="C8" s="27" t="s">
        <v>981</v>
      </c>
      <c r="D8" s="13" t="s">
        <v>24</v>
      </c>
      <c r="E8" s="13" t="s">
        <v>14</v>
      </c>
      <c r="F8" s="12" t="s">
        <v>25</v>
      </c>
      <c r="G8" s="14">
        <v>43752</v>
      </c>
      <c r="H8" s="12" t="s">
        <v>10</v>
      </c>
      <c r="I8" s="15"/>
      <c r="J8" s="240">
        <v>30</v>
      </c>
      <c r="K8" s="224">
        <v>0</v>
      </c>
      <c r="L8" s="240">
        <v>30</v>
      </c>
      <c r="M8" s="15"/>
      <c r="N8" s="16">
        <v>0</v>
      </c>
      <c r="O8" s="16">
        <v>1719</v>
      </c>
      <c r="P8" s="16"/>
      <c r="Q8" s="16"/>
      <c r="R8" s="16">
        <v>41</v>
      </c>
      <c r="S8" s="16"/>
      <c r="T8" s="16">
        <v>485</v>
      </c>
      <c r="U8" s="239">
        <v>485</v>
      </c>
      <c r="V8" s="241">
        <v>240.87894599999996</v>
      </c>
      <c r="W8" s="238">
        <v>240.87894599999996</v>
      </c>
      <c r="Y8" s="242">
        <v>1719</v>
      </c>
      <c r="AA8" s="238">
        <v>3211.7192799999998</v>
      </c>
      <c r="AB8" s="237">
        <v>802.92981999999995</v>
      </c>
      <c r="AC8" s="227"/>
      <c r="AD8" s="238">
        <v>573.5213</v>
      </c>
      <c r="AE8" s="237">
        <v>3785.2405799999997</v>
      </c>
      <c r="AF8" s="228">
        <v>0</v>
      </c>
      <c r="AG8" s="226"/>
      <c r="AH8" s="17"/>
      <c r="AI8" s="16"/>
    </row>
    <row r="9" spans="1:36" x14ac:dyDescent="0.25">
      <c r="A9" s="140">
        <v>62</v>
      </c>
      <c r="B9" s="140">
        <v>266</v>
      </c>
      <c r="C9" s="27" t="s">
        <v>982</v>
      </c>
      <c r="D9" s="13" t="s">
        <v>8</v>
      </c>
      <c r="E9" s="13" t="s">
        <v>11</v>
      </c>
      <c r="F9" s="12" t="s">
        <v>9</v>
      </c>
      <c r="G9" s="14">
        <v>42333</v>
      </c>
      <c r="H9" s="12" t="s">
        <v>10</v>
      </c>
      <c r="I9" s="15"/>
      <c r="J9" s="240">
        <v>30</v>
      </c>
      <c r="K9" s="224">
        <v>0</v>
      </c>
      <c r="L9" s="240">
        <v>30</v>
      </c>
      <c r="M9" s="15"/>
      <c r="N9" s="16">
        <v>0</v>
      </c>
      <c r="O9" s="16">
        <v>4692.6000000000004</v>
      </c>
      <c r="P9" s="16"/>
      <c r="Q9" s="16"/>
      <c r="R9" s="16">
        <v>41</v>
      </c>
      <c r="S9" s="16">
        <v>0</v>
      </c>
      <c r="T9" s="16"/>
      <c r="U9" s="239">
        <v>0</v>
      </c>
      <c r="V9" s="241">
        <v>282.65715899999992</v>
      </c>
      <c r="W9" s="238">
        <v>282.65715899999992</v>
      </c>
      <c r="Y9" s="242">
        <v>4692.6000000000004</v>
      </c>
      <c r="AA9" s="238">
        <v>73.410120000000006</v>
      </c>
      <c r="AB9" s="237">
        <v>18.352530000000002</v>
      </c>
      <c r="AC9" s="226"/>
      <c r="AD9" s="228"/>
      <c r="AE9" s="237">
        <v>73.410120000000006</v>
      </c>
      <c r="AF9" s="238">
        <v>4619.1899999999996</v>
      </c>
      <c r="AG9" s="226"/>
      <c r="AH9" s="17"/>
      <c r="AI9" s="16"/>
    </row>
    <row r="10" spans="1:36" x14ac:dyDescent="0.25">
      <c r="A10" s="140">
        <v>62</v>
      </c>
      <c r="B10" s="140">
        <v>323</v>
      </c>
      <c r="C10" s="27" t="s">
        <v>983</v>
      </c>
      <c r="D10" s="13" t="s">
        <v>30</v>
      </c>
      <c r="E10" s="13" t="s">
        <v>21</v>
      </c>
      <c r="F10" s="12" t="s">
        <v>31</v>
      </c>
      <c r="G10" s="14">
        <v>44152</v>
      </c>
      <c r="H10" s="12" t="s">
        <v>10</v>
      </c>
      <c r="I10" s="15"/>
      <c r="J10" s="240">
        <v>30</v>
      </c>
      <c r="K10" s="224">
        <v>0</v>
      </c>
      <c r="L10" s="240">
        <v>30</v>
      </c>
      <c r="M10" s="15"/>
      <c r="N10" s="16">
        <v>1575.67</v>
      </c>
      <c r="O10" s="16">
        <v>0</v>
      </c>
      <c r="P10" s="16">
        <v>97</v>
      </c>
      <c r="Q10" s="16"/>
      <c r="R10" s="16"/>
      <c r="S10" s="16">
        <v>0</v>
      </c>
      <c r="T10" s="16">
        <v>200</v>
      </c>
      <c r="U10" s="239">
        <v>200</v>
      </c>
      <c r="V10" s="241">
        <v>94.540199999999999</v>
      </c>
      <c r="W10" s="238">
        <v>94.540199999999999</v>
      </c>
      <c r="Y10" s="242">
        <v>1575.67</v>
      </c>
      <c r="AA10" s="228"/>
      <c r="AB10" s="230"/>
      <c r="AC10" s="226"/>
      <c r="AD10" s="228"/>
      <c r="AE10" s="230">
        <v>0</v>
      </c>
      <c r="AF10" s="238">
        <v>1575.67</v>
      </c>
      <c r="AG10" s="226"/>
      <c r="AH10" s="17"/>
      <c r="AI10" s="16"/>
    </row>
    <row r="11" spans="1:36" x14ac:dyDescent="0.25">
      <c r="A11" s="140">
        <v>62</v>
      </c>
      <c r="B11" s="140">
        <v>326</v>
      </c>
      <c r="C11" s="27" t="s">
        <v>984</v>
      </c>
      <c r="D11" s="13" t="s">
        <v>34</v>
      </c>
      <c r="E11" s="13" t="s">
        <v>21</v>
      </c>
      <c r="F11" s="12" t="s">
        <v>35</v>
      </c>
      <c r="G11" s="14">
        <v>44221</v>
      </c>
      <c r="H11" s="12" t="s">
        <v>10</v>
      </c>
      <c r="I11" s="15"/>
      <c r="J11" s="240">
        <v>30</v>
      </c>
      <c r="K11" s="224">
        <v>0</v>
      </c>
      <c r="L11" s="240">
        <v>30</v>
      </c>
      <c r="M11" s="15"/>
      <c r="N11" s="16">
        <v>1575.67</v>
      </c>
      <c r="O11" s="16">
        <v>0</v>
      </c>
      <c r="P11" s="16">
        <v>97</v>
      </c>
      <c r="Q11" s="16"/>
      <c r="R11" s="16">
        <v>41</v>
      </c>
      <c r="S11" s="16"/>
      <c r="T11" s="16">
        <v>200</v>
      </c>
      <c r="U11" s="239">
        <v>200</v>
      </c>
      <c r="V11" s="241">
        <v>94.540199999999999</v>
      </c>
      <c r="W11" s="238">
        <v>94.540199999999999</v>
      </c>
      <c r="Y11" s="242">
        <v>1575.67</v>
      </c>
      <c r="AA11" s="228"/>
      <c r="AB11" s="230"/>
      <c r="AC11" s="226"/>
      <c r="AD11" s="228"/>
      <c r="AE11" s="230">
        <v>0</v>
      </c>
      <c r="AF11" s="238">
        <v>1575.67</v>
      </c>
      <c r="AG11" s="226"/>
      <c r="AH11" s="17"/>
      <c r="AI11" s="16"/>
    </row>
    <row r="12" spans="1:36" x14ac:dyDescent="0.25">
      <c r="A12" s="140">
        <v>62</v>
      </c>
      <c r="B12" s="140">
        <v>314</v>
      </c>
      <c r="C12" s="27" t="s">
        <v>985</v>
      </c>
      <c r="D12" s="13" t="s">
        <v>22</v>
      </c>
      <c r="E12" s="13" t="s">
        <v>14</v>
      </c>
      <c r="F12" s="12" t="s">
        <v>23</v>
      </c>
      <c r="G12" s="14">
        <v>43714</v>
      </c>
      <c r="H12" s="12" t="s">
        <v>10</v>
      </c>
      <c r="I12" s="15"/>
      <c r="J12" s="240">
        <v>30</v>
      </c>
      <c r="K12" s="224">
        <v>0</v>
      </c>
      <c r="L12" s="240">
        <v>30</v>
      </c>
      <c r="M12" s="15"/>
      <c r="N12" s="16">
        <v>0</v>
      </c>
      <c r="O12" s="16">
        <v>1719</v>
      </c>
      <c r="P12" s="16"/>
      <c r="Q12" s="16"/>
      <c r="R12" s="16">
        <v>41</v>
      </c>
      <c r="S12" s="16">
        <v>0</v>
      </c>
      <c r="T12" s="16"/>
      <c r="U12" s="239">
        <v>0</v>
      </c>
      <c r="V12" s="241">
        <v>103.14</v>
      </c>
      <c r="W12" s="238">
        <v>103.14</v>
      </c>
      <c r="Y12" s="242">
        <v>1719</v>
      </c>
      <c r="AA12" s="228"/>
      <c r="AB12" s="230"/>
      <c r="AC12" s="226"/>
      <c r="AD12" s="228"/>
      <c r="AE12" s="230">
        <v>0</v>
      </c>
      <c r="AF12" s="238">
        <v>1719</v>
      </c>
      <c r="AG12" s="226"/>
      <c r="AH12" s="17"/>
      <c r="AI12" s="16"/>
    </row>
    <row r="13" spans="1:36" x14ac:dyDescent="0.25">
      <c r="A13" s="140">
        <v>62</v>
      </c>
      <c r="B13" s="140">
        <v>303</v>
      </c>
      <c r="C13" s="27" t="s">
        <v>986</v>
      </c>
      <c r="D13" s="13" t="s">
        <v>19</v>
      </c>
      <c r="E13" s="13" t="s">
        <v>21</v>
      </c>
      <c r="F13" s="12" t="s">
        <v>20</v>
      </c>
      <c r="G13" s="14">
        <v>43336</v>
      </c>
      <c r="H13" s="12" t="s">
        <v>10</v>
      </c>
      <c r="I13" s="15"/>
      <c r="J13" s="240">
        <v>30</v>
      </c>
      <c r="K13" s="224">
        <v>0</v>
      </c>
      <c r="L13" s="240">
        <v>30</v>
      </c>
      <c r="M13" s="15"/>
      <c r="N13" s="16">
        <v>1575.67</v>
      </c>
      <c r="O13" s="16">
        <v>0</v>
      </c>
      <c r="P13" s="16">
        <v>97</v>
      </c>
      <c r="Q13" s="16"/>
      <c r="R13" s="16">
        <v>41</v>
      </c>
      <c r="S13" s="16"/>
      <c r="T13" s="16">
        <v>490</v>
      </c>
      <c r="U13" s="239">
        <v>490</v>
      </c>
      <c r="V13" s="241">
        <v>94.540199999999999</v>
      </c>
      <c r="W13" s="238">
        <v>94.540199999999999</v>
      </c>
      <c r="Y13" s="242">
        <v>1575.67</v>
      </c>
      <c r="AA13" s="228"/>
      <c r="AB13" s="230"/>
      <c r="AC13" s="226">
        <v>200</v>
      </c>
      <c r="AD13" s="228"/>
      <c r="AE13" s="230">
        <v>0</v>
      </c>
      <c r="AF13" s="238">
        <v>1575.67</v>
      </c>
      <c r="AG13" s="226"/>
      <c r="AH13" s="17"/>
      <c r="AI13" s="16"/>
    </row>
    <row r="14" spans="1:36" x14ac:dyDescent="0.25">
      <c r="A14" s="140">
        <v>62</v>
      </c>
      <c r="B14" s="140">
        <v>320</v>
      </c>
      <c r="C14" s="27" t="s">
        <v>987</v>
      </c>
      <c r="D14" s="13" t="s">
        <v>26</v>
      </c>
      <c r="E14" s="13" t="s">
        <v>14</v>
      </c>
      <c r="F14" s="12" t="s">
        <v>27</v>
      </c>
      <c r="G14" s="14">
        <v>43810</v>
      </c>
      <c r="H14" s="12" t="s">
        <v>10</v>
      </c>
      <c r="I14" s="15"/>
      <c r="J14" s="240">
        <v>30</v>
      </c>
      <c r="K14" s="224">
        <v>0</v>
      </c>
      <c r="L14" s="240">
        <v>30</v>
      </c>
      <c r="M14" s="15"/>
      <c r="N14" s="16">
        <v>0</v>
      </c>
      <c r="O14" s="16">
        <v>1719</v>
      </c>
      <c r="P14" s="16"/>
      <c r="Q14" s="16"/>
      <c r="R14" s="16">
        <v>41</v>
      </c>
      <c r="S14" s="16"/>
      <c r="T14" s="16">
        <v>485</v>
      </c>
      <c r="U14" s="239">
        <v>485</v>
      </c>
      <c r="V14" s="241">
        <v>234.86326500000001</v>
      </c>
      <c r="W14" s="238">
        <v>234.86326500000001</v>
      </c>
      <c r="Y14" s="242">
        <v>1719</v>
      </c>
      <c r="AA14" s="238">
        <v>3131.5102000000002</v>
      </c>
      <c r="AB14" s="237">
        <v>782.87755000000004</v>
      </c>
      <c r="AC14" s="226"/>
      <c r="AD14" s="238">
        <v>559.19825000000003</v>
      </c>
      <c r="AE14" s="237">
        <v>3690.7084500000001</v>
      </c>
      <c r="AF14" s="228">
        <v>0</v>
      </c>
      <c r="AG14" s="226"/>
      <c r="AH14" s="17"/>
      <c r="AI14" s="16"/>
    </row>
    <row r="15" spans="1:36" x14ac:dyDescent="0.25">
      <c r="A15" s="140">
        <v>62</v>
      </c>
      <c r="B15" s="140">
        <v>289</v>
      </c>
      <c r="C15" s="27" t="s">
        <v>988</v>
      </c>
      <c r="D15" s="13" t="s">
        <v>17</v>
      </c>
      <c r="E15" s="13" t="s">
        <v>14</v>
      </c>
      <c r="F15" s="12" t="s">
        <v>18</v>
      </c>
      <c r="G15" s="14">
        <v>42695</v>
      </c>
      <c r="H15" s="12" t="s">
        <v>10</v>
      </c>
      <c r="I15" s="15"/>
      <c r="J15" s="240">
        <v>30</v>
      </c>
      <c r="K15" s="224">
        <v>0</v>
      </c>
      <c r="L15" s="240">
        <v>30</v>
      </c>
      <c r="M15" s="15"/>
      <c r="N15" s="16">
        <v>0</v>
      </c>
      <c r="O15" s="16">
        <v>1719</v>
      </c>
      <c r="P15" s="16"/>
      <c r="Q15" s="16"/>
      <c r="R15" s="16">
        <v>41</v>
      </c>
      <c r="S15" s="16"/>
      <c r="T15" s="16">
        <v>435</v>
      </c>
      <c r="U15" s="239">
        <v>435</v>
      </c>
      <c r="V15" s="241">
        <v>266.83135500000003</v>
      </c>
      <c r="W15" s="238">
        <v>266.83135500000003</v>
      </c>
      <c r="Y15" s="242">
        <v>1719</v>
      </c>
      <c r="AA15" s="238">
        <v>3557.7514000000001</v>
      </c>
      <c r="AB15" s="237">
        <v>889.43785000000003</v>
      </c>
      <c r="AC15" s="226">
        <v>200</v>
      </c>
      <c r="AD15" s="238">
        <v>635.31275000000005</v>
      </c>
      <c r="AE15" s="237">
        <v>4193.0641500000002</v>
      </c>
      <c r="AF15" s="228">
        <v>0</v>
      </c>
      <c r="AG15" s="226">
        <v>400</v>
      </c>
      <c r="AH15" s="17"/>
      <c r="AI15" s="16"/>
    </row>
    <row r="16" spans="1:36" s="40" customFormat="1" x14ac:dyDescent="0.25">
      <c r="A16" s="219">
        <v>93</v>
      </c>
      <c r="B16" s="219">
        <v>98</v>
      </c>
      <c r="C16" s="38" t="s">
        <v>989</v>
      </c>
      <c r="D16" s="194" t="s">
        <v>50</v>
      </c>
      <c r="E16" s="194" t="s">
        <v>14</v>
      </c>
      <c r="F16" s="195" t="s">
        <v>51</v>
      </c>
      <c r="G16" s="196">
        <v>44085</v>
      </c>
      <c r="H16" s="195" t="s">
        <v>10</v>
      </c>
      <c r="I16" s="39"/>
      <c r="J16" s="240">
        <v>30</v>
      </c>
      <c r="K16" s="224">
        <v>0</v>
      </c>
      <c r="L16" s="240">
        <v>30</v>
      </c>
      <c r="M16" s="39"/>
      <c r="N16" s="192">
        <v>0</v>
      </c>
      <c r="O16" s="192">
        <v>1389.75</v>
      </c>
      <c r="P16" s="192"/>
      <c r="Q16" s="192"/>
      <c r="R16" s="192">
        <v>17</v>
      </c>
      <c r="S16" s="192">
        <v>212.5</v>
      </c>
      <c r="T16" s="192"/>
      <c r="U16" s="239">
        <v>212.5</v>
      </c>
      <c r="V16" s="241">
        <v>149.44826399999999</v>
      </c>
      <c r="W16" s="238">
        <v>149.44826399999999</v>
      </c>
      <c r="Y16" s="242">
        <v>1389.75</v>
      </c>
      <c r="Z16" s="10"/>
      <c r="AA16" s="238">
        <v>1992.6435199999999</v>
      </c>
      <c r="AB16" s="237">
        <v>498.16087999999996</v>
      </c>
      <c r="AC16" s="226"/>
      <c r="AD16" s="238">
        <v>355.82920000000001</v>
      </c>
      <c r="AE16" s="237">
        <v>2348.4727199999998</v>
      </c>
      <c r="AF16" s="228">
        <v>0</v>
      </c>
      <c r="AG16" s="226"/>
      <c r="AH16" s="41"/>
      <c r="AI16" s="192"/>
    </row>
    <row r="17" spans="1:35" s="40" customFormat="1" x14ac:dyDescent="0.25">
      <c r="A17" s="219">
        <v>93</v>
      </c>
      <c r="B17" s="219">
        <v>70</v>
      </c>
      <c r="C17" s="38" t="s">
        <v>990</v>
      </c>
      <c r="D17" s="194" t="s">
        <v>38</v>
      </c>
      <c r="E17" s="194" t="s">
        <v>14</v>
      </c>
      <c r="F17" s="195" t="s">
        <v>39</v>
      </c>
      <c r="G17" s="196">
        <v>43070</v>
      </c>
      <c r="H17" s="195" t="s">
        <v>10</v>
      </c>
      <c r="I17" s="39"/>
      <c r="J17" s="240">
        <v>30</v>
      </c>
      <c r="K17" s="224">
        <v>0</v>
      </c>
      <c r="L17" s="240">
        <v>30</v>
      </c>
      <c r="M17" s="39"/>
      <c r="N17" s="192">
        <v>0</v>
      </c>
      <c r="O17" s="192">
        <v>1389.75</v>
      </c>
      <c r="P17" s="192"/>
      <c r="Q17" s="192"/>
      <c r="R17" s="192">
        <v>17</v>
      </c>
      <c r="S17" s="192">
        <v>216</v>
      </c>
      <c r="T17" s="192"/>
      <c r="U17" s="239">
        <v>216</v>
      </c>
      <c r="V17" s="241">
        <v>120.43884299999999</v>
      </c>
      <c r="W17" s="238">
        <v>120.43884299999999</v>
      </c>
      <c r="Y17" s="242">
        <v>1389.75</v>
      </c>
      <c r="Z17" s="10"/>
      <c r="AA17" s="238">
        <v>1605.85124</v>
      </c>
      <c r="AB17" s="237">
        <v>401.46280999999999</v>
      </c>
      <c r="AC17" s="226"/>
      <c r="AD17" s="228"/>
      <c r="AE17" s="237">
        <v>1605.85124</v>
      </c>
      <c r="AF17" s="228">
        <v>0</v>
      </c>
      <c r="AG17" s="226"/>
      <c r="AH17" s="41"/>
      <c r="AI17" s="192"/>
    </row>
    <row r="18" spans="1:35" s="40" customFormat="1" x14ac:dyDescent="0.25">
      <c r="A18" s="219">
        <v>93</v>
      </c>
      <c r="B18" s="219">
        <v>90</v>
      </c>
      <c r="C18" s="38" t="s">
        <v>991</v>
      </c>
      <c r="D18" s="194" t="s">
        <v>42</v>
      </c>
      <c r="E18" s="194" t="s">
        <v>11</v>
      </c>
      <c r="F18" s="195" t="s">
        <v>43</v>
      </c>
      <c r="G18" s="196">
        <v>43713</v>
      </c>
      <c r="H18" s="195" t="s">
        <v>10</v>
      </c>
      <c r="I18" s="39"/>
      <c r="J18" s="240">
        <v>30</v>
      </c>
      <c r="K18" s="224">
        <v>0</v>
      </c>
      <c r="L18" s="240">
        <v>30</v>
      </c>
      <c r="M18" s="39"/>
      <c r="N18" s="192">
        <v>0</v>
      </c>
      <c r="O18" s="192">
        <v>4998.1899999999996</v>
      </c>
      <c r="P18" s="192"/>
      <c r="Q18" s="192"/>
      <c r="R18" s="192">
        <v>17</v>
      </c>
      <c r="S18" s="192">
        <v>513.75</v>
      </c>
      <c r="T18" s="192"/>
      <c r="U18" s="239">
        <v>513.75</v>
      </c>
      <c r="V18" s="241">
        <v>300.06293700000003</v>
      </c>
      <c r="W18" s="238">
        <v>300.06293700000003</v>
      </c>
      <c r="Y18" s="242">
        <v>4998.1899999999996</v>
      </c>
      <c r="Z18" s="10"/>
      <c r="AA18" s="238">
        <v>11.423160000000001</v>
      </c>
      <c r="AB18" s="237">
        <v>2.8557900000000003</v>
      </c>
      <c r="AC18" s="226"/>
      <c r="AD18" s="228"/>
      <c r="AE18" s="237">
        <v>11.423160000000001</v>
      </c>
      <c r="AF18" s="238">
        <v>4986.7700000000004</v>
      </c>
      <c r="AG18" s="226"/>
      <c r="AH18" s="41"/>
      <c r="AI18" s="192"/>
    </row>
    <row r="19" spans="1:35" s="199" customFormat="1" x14ac:dyDescent="0.25">
      <c r="A19" s="220">
        <v>93</v>
      </c>
      <c r="B19" s="220">
        <v>92</v>
      </c>
      <c r="C19" s="193" t="s">
        <v>992</v>
      </c>
      <c r="D19" s="194" t="s">
        <v>46</v>
      </c>
      <c r="E19" s="194" t="s">
        <v>21</v>
      </c>
      <c r="F19" s="195" t="s">
        <v>47</v>
      </c>
      <c r="G19" s="196">
        <v>43770</v>
      </c>
      <c r="H19" s="195" t="s">
        <v>10</v>
      </c>
      <c r="I19" s="197"/>
      <c r="J19" s="240">
        <v>30</v>
      </c>
      <c r="K19" s="224">
        <v>0</v>
      </c>
      <c r="L19" s="240">
        <v>30</v>
      </c>
      <c r="M19" s="197"/>
      <c r="N19" s="198">
        <v>1389.75</v>
      </c>
      <c r="O19" s="198">
        <v>0</v>
      </c>
      <c r="P19" s="198">
        <v>138.97499999999999</v>
      </c>
      <c r="Q19" s="198"/>
      <c r="R19" s="198">
        <v>17</v>
      </c>
      <c r="S19" s="198">
        <v>204</v>
      </c>
      <c r="T19" s="198"/>
      <c r="U19" s="239">
        <v>204</v>
      </c>
      <c r="V19" s="241">
        <v>83.384999999999991</v>
      </c>
      <c r="W19" s="238">
        <v>83.384999999999991</v>
      </c>
      <c r="Y19" s="242">
        <v>1389.75</v>
      </c>
      <c r="Z19" s="10"/>
      <c r="AA19" s="228"/>
      <c r="AB19" s="230"/>
      <c r="AC19" s="226"/>
      <c r="AD19" s="228"/>
      <c r="AE19" s="230">
        <v>0</v>
      </c>
      <c r="AF19" s="238">
        <v>1389.75</v>
      </c>
      <c r="AG19" s="226"/>
      <c r="AH19" s="200"/>
      <c r="AI19" s="198"/>
    </row>
    <row r="20" spans="1:35" s="40" customFormat="1" x14ac:dyDescent="0.25">
      <c r="A20" s="219">
        <v>93</v>
      </c>
      <c r="B20" s="219">
        <v>103</v>
      </c>
      <c r="C20" s="38" t="s">
        <v>993</v>
      </c>
      <c r="D20" s="194" t="s">
        <v>56</v>
      </c>
      <c r="E20" s="194" t="s">
        <v>21</v>
      </c>
      <c r="F20" s="195" t="s">
        <v>57</v>
      </c>
      <c r="G20" s="196">
        <v>44369</v>
      </c>
      <c r="H20" s="195" t="s">
        <v>10</v>
      </c>
      <c r="I20" s="39"/>
      <c r="J20" s="240">
        <v>30</v>
      </c>
      <c r="K20" s="224">
        <v>0</v>
      </c>
      <c r="L20" s="240">
        <v>30</v>
      </c>
      <c r="M20" s="39"/>
      <c r="N20" s="192">
        <v>1389.75</v>
      </c>
      <c r="O20" s="192">
        <v>0</v>
      </c>
      <c r="P20" s="201">
        <v>138.97499999999999</v>
      </c>
      <c r="Q20" s="192"/>
      <c r="R20" s="192">
        <v>34</v>
      </c>
      <c r="S20" s="192">
        <v>91.8</v>
      </c>
      <c r="T20" s="192"/>
      <c r="U20" s="239">
        <v>91.8</v>
      </c>
      <c r="V20" s="241">
        <v>83.384999999999991</v>
      </c>
      <c r="W20" s="238">
        <v>83.384999999999991</v>
      </c>
      <c r="Y20" s="242">
        <v>1389.75</v>
      </c>
      <c r="Z20" s="10"/>
      <c r="AA20" s="228"/>
      <c r="AB20" s="230"/>
      <c r="AC20" s="226"/>
      <c r="AD20" s="228"/>
      <c r="AE20" s="230">
        <v>0</v>
      </c>
      <c r="AF20" s="238">
        <v>1389.75</v>
      </c>
      <c r="AG20" s="226"/>
      <c r="AH20" s="41"/>
      <c r="AI20" s="192"/>
    </row>
    <row r="21" spans="1:35" s="199" customFormat="1" x14ac:dyDescent="0.25">
      <c r="A21" s="219">
        <v>93</v>
      </c>
      <c r="B21" s="219">
        <v>95</v>
      </c>
      <c r="C21" s="38" t="s">
        <v>994</v>
      </c>
      <c r="D21" s="194" t="s">
        <v>48</v>
      </c>
      <c r="E21" s="194" t="s">
        <v>14</v>
      </c>
      <c r="F21" s="195" t="s">
        <v>49</v>
      </c>
      <c r="G21" s="196">
        <v>43787</v>
      </c>
      <c r="H21" s="195" t="s">
        <v>10</v>
      </c>
      <c r="I21" s="39"/>
      <c r="J21" s="240">
        <v>30</v>
      </c>
      <c r="K21" s="224">
        <v>0</v>
      </c>
      <c r="L21" s="240">
        <v>30</v>
      </c>
      <c r="M21" s="39"/>
      <c r="N21" s="192">
        <v>0</v>
      </c>
      <c r="O21" s="192">
        <v>1389.75</v>
      </c>
      <c r="P21" s="192"/>
      <c r="Q21" s="192"/>
      <c r="R21" s="192">
        <v>17</v>
      </c>
      <c r="S21" s="192">
        <v>0</v>
      </c>
      <c r="T21" s="192"/>
      <c r="U21" s="239">
        <v>0</v>
      </c>
      <c r="V21" s="241">
        <v>149.93918099999999</v>
      </c>
      <c r="W21" s="238">
        <v>149.93918099999999</v>
      </c>
      <c r="X21" s="40"/>
      <c r="Y21" s="242">
        <v>1389.75</v>
      </c>
      <c r="Z21" s="10"/>
      <c r="AA21" s="238">
        <v>1999.1890800000001</v>
      </c>
      <c r="AB21" s="237">
        <v>499.79727000000003</v>
      </c>
      <c r="AC21" s="226"/>
      <c r="AD21" s="238">
        <v>356.99805000000003</v>
      </c>
      <c r="AE21" s="237">
        <v>2356.1871300000003</v>
      </c>
      <c r="AF21" s="228">
        <v>0</v>
      </c>
      <c r="AG21" s="226"/>
      <c r="AH21" s="41"/>
      <c r="AI21" s="192"/>
    </row>
    <row r="22" spans="1:35" s="40" customFormat="1" x14ac:dyDescent="0.25">
      <c r="A22" s="219">
        <v>93</v>
      </c>
      <c r="B22" s="219">
        <v>36</v>
      </c>
      <c r="C22" s="38" t="s">
        <v>995</v>
      </c>
      <c r="D22" s="194" t="s">
        <v>36</v>
      </c>
      <c r="E22" s="194" t="s">
        <v>14</v>
      </c>
      <c r="F22" s="195" t="s">
        <v>37</v>
      </c>
      <c r="G22" s="196">
        <v>42482</v>
      </c>
      <c r="H22" s="195" t="s">
        <v>10</v>
      </c>
      <c r="I22" s="39"/>
      <c r="J22" s="240">
        <v>30</v>
      </c>
      <c r="K22" s="224">
        <v>0</v>
      </c>
      <c r="L22" s="240">
        <v>30</v>
      </c>
      <c r="M22" s="39"/>
      <c r="N22" s="192">
        <v>0</v>
      </c>
      <c r="O22" s="192">
        <v>1389.75</v>
      </c>
      <c r="P22" s="192"/>
      <c r="Q22" s="192"/>
      <c r="R22" s="192">
        <v>17</v>
      </c>
      <c r="S22" s="192">
        <v>427.5</v>
      </c>
      <c r="T22" s="192"/>
      <c r="U22" s="239">
        <v>427.5</v>
      </c>
      <c r="V22" s="241">
        <v>149.96097900000001</v>
      </c>
      <c r="W22" s="238">
        <v>149.96097900000001</v>
      </c>
      <c r="Y22" s="242">
        <v>1389.75</v>
      </c>
      <c r="Z22" s="10"/>
      <c r="AA22" s="238">
        <v>1999.4797200000003</v>
      </c>
      <c r="AB22" s="237">
        <v>499.86993000000007</v>
      </c>
      <c r="AC22" s="226">
        <v>200</v>
      </c>
      <c r="AD22" s="238">
        <v>357.04995000000002</v>
      </c>
      <c r="AE22" s="237">
        <v>2356.5296700000004</v>
      </c>
      <c r="AF22" s="228">
        <v>0</v>
      </c>
      <c r="AG22" s="226">
        <v>400</v>
      </c>
      <c r="AH22" s="41"/>
      <c r="AI22" s="192"/>
    </row>
    <row r="23" spans="1:35" s="40" customFormat="1" x14ac:dyDescent="0.25">
      <c r="A23" s="219">
        <v>93</v>
      </c>
      <c r="B23" s="219">
        <v>79</v>
      </c>
      <c r="C23" s="38" t="s">
        <v>996</v>
      </c>
      <c r="D23" s="194" t="s">
        <v>40</v>
      </c>
      <c r="E23" s="194" t="s">
        <v>14</v>
      </c>
      <c r="F23" s="195" t="s">
        <v>41</v>
      </c>
      <c r="G23" s="196">
        <v>43425</v>
      </c>
      <c r="H23" s="195" t="s">
        <v>10</v>
      </c>
      <c r="I23" s="39"/>
      <c r="J23" s="240">
        <v>30</v>
      </c>
      <c r="K23" s="224">
        <v>0</v>
      </c>
      <c r="L23" s="240">
        <v>30</v>
      </c>
      <c r="M23" s="39"/>
      <c r="N23" s="192">
        <v>0</v>
      </c>
      <c r="O23" s="192">
        <v>1389.75</v>
      </c>
      <c r="P23" s="192"/>
      <c r="Q23" s="192"/>
      <c r="R23" s="192">
        <v>17</v>
      </c>
      <c r="S23" s="192">
        <v>216</v>
      </c>
      <c r="T23" s="192"/>
      <c r="U23" s="239">
        <v>216</v>
      </c>
      <c r="V23" s="241">
        <v>139.33882199999999</v>
      </c>
      <c r="W23" s="238">
        <v>139.33882199999999</v>
      </c>
      <c r="Y23" s="242">
        <v>1389.75</v>
      </c>
      <c r="Z23" s="10"/>
      <c r="AA23" s="238">
        <v>1857.8509600000002</v>
      </c>
      <c r="AB23" s="237">
        <v>464.46274000000005</v>
      </c>
      <c r="AC23" s="226"/>
      <c r="AD23" s="228"/>
      <c r="AE23" s="237">
        <v>1857.8509600000002</v>
      </c>
      <c r="AF23" s="228">
        <v>0</v>
      </c>
      <c r="AG23" s="226"/>
      <c r="AH23" s="41"/>
      <c r="AI23" s="192"/>
    </row>
    <row r="24" spans="1:35" s="40" customFormat="1" x14ac:dyDescent="0.25">
      <c r="A24" s="219">
        <v>93</v>
      </c>
      <c r="B24" s="219">
        <v>91</v>
      </c>
      <c r="C24" s="38" t="s">
        <v>997</v>
      </c>
      <c r="D24" s="194" t="s">
        <v>44</v>
      </c>
      <c r="E24" s="194" t="s">
        <v>14</v>
      </c>
      <c r="F24" s="195" t="s">
        <v>45</v>
      </c>
      <c r="G24" s="196">
        <v>43740</v>
      </c>
      <c r="H24" s="195" t="s">
        <v>10</v>
      </c>
      <c r="I24" s="39"/>
      <c r="J24" s="240">
        <v>30</v>
      </c>
      <c r="K24" s="224">
        <v>0</v>
      </c>
      <c r="L24" s="240">
        <v>30</v>
      </c>
      <c r="M24" s="39"/>
      <c r="N24" s="192">
        <v>0</v>
      </c>
      <c r="O24" s="192">
        <v>1389.75</v>
      </c>
      <c r="P24" s="192"/>
      <c r="Q24" s="192"/>
      <c r="R24" s="192">
        <v>17</v>
      </c>
      <c r="S24" s="192">
        <v>557.5</v>
      </c>
      <c r="T24" s="192"/>
      <c r="U24" s="239">
        <v>557.5</v>
      </c>
      <c r="V24" s="241">
        <v>150.38486399999996</v>
      </c>
      <c r="W24" s="238">
        <v>150.38486399999996</v>
      </c>
      <c r="Y24" s="242">
        <v>1389.75</v>
      </c>
      <c r="Z24" s="10"/>
      <c r="AA24" s="238">
        <v>2005.1315199999999</v>
      </c>
      <c r="AB24" s="237">
        <v>501.28287999999998</v>
      </c>
      <c r="AC24" s="226">
        <v>200</v>
      </c>
      <c r="AD24" s="238">
        <v>358.05919999999998</v>
      </c>
      <c r="AE24" s="237">
        <v>2363.1907200000001</v>
      </c>
      <c r="AF24" s="228">
        <v>0</v>
      </c>
      <c r="AG24" s="226">
        <v>400</v>
      </c>
      <c r="AH24" s="41"/>
      <c r="AI24" s="192"/>
    </row>
    <row r="25" spans="1:35" s="40" customFormat="1" x14ac:dyDescent="0.25">
      <c r="A25" s="219">
        <v>93</v>
      </c>
      <c r="B25" s="219">
        <v>102</v>
      </c>
      <c r="C25" s="38" t="s">
        <v>998</v>
      </c>
      <c r="D25" s="194" t="s">
        <v>54</v>
      </c>
      <c r="E25" s="194" t="s">
        <v>21</v>
      </c>
      <c r="F25" s="195" t="s">
        <v>55</v>
      </c>
      <c r="G25" s="196">
        <v>44152</v>
      </c>
      <c r="H25" s="195" t="s">
        <v>10</v>
      </c>
      <c r="I25" s="39"/>
      <c r="J25" s="240">
        <v>30</v>
      </c>
      <c r="K25" s="224">
        <v>0</v>
      </c>
      <c r="L25" s="240">
        <v>30</v>
      </c>
      <c r="M25" s="39"/>
      <c r="N25" s="192">
        <v>1389.75</v>
      </c>
      <c r="O25" s="192">
        <v>0</v>
      </c>
      <c r="P25" s="201">
        <v>138.97499999999999</v>
      </c>
      <c r="Q25" s="192"/>
      <c r="R25" s="192">
        <v>17</v>
      </c>
      <c r="S25" s="192">
        <v>386.4</v>
      </c>
      <c r="T25" s="192"/>
      <c r="U25" s="239">
        <v>386.4</v>
      </c>
      <c r="V25" s="241">
        <v>83.384999999999991</v>
      </c>
      <c r="W25" s="238">
        <v>83.384999999999991</v>
      </c>
      <c r="Y25" s="242">
        <v>1389.75</v>
      </c>
      <c r="Z25" s="10"/>
      <c r="AA25" s="228"/>
      <c r="AB25" s="230"/>
      <c r="AC25" s="226"/>
      <c r="AD25" s="228"/>
      <c r="AE25" s="230">
        <v>0</v>
      </c>
      <c r="AF25" s="238">
        <v>1389.75</v>
      </c>
      <c r="AG25" s="226"/>
      <c r="AH25" s="41"/>
      <c r="AI25" s="192"/>
    </row>
    <row r="26" spans="1:35" s="40" customFormat="1" x14ac:dyDescent="0.25">
      <c r="A26" s="219">
        <v>93</v>
      </c>
      <c r="B26" s="219">
        <v>100</v>
      </c>
      <c r="C26" s="38" t="s">
        <v>999</v>
      </c>
      <c r="D26" s="194" t="s">
        <v>52</v>
      </c>
      <c r="E26" s="194" t="s">
        <v>14</v>
      </c>
      <c r="F26" s="195" t="s">
        <v>53</v>
      </c>
      <c r="G26" s="196">
        <v>44152</v>
      </c>
      <c r="H26" s="195" t="s">
        <v>10</v>
      </c>
      <c r="I26" s="39"/>
      <c r="J26" s="240">
        <v>30</v>
      </c>
      <c r="K26" s="224">
        <v>0</v>
      </c>
      <c r="L26" s="240">
        <v>30</v>
      </c>
      <c r="M26" s="39"/>
      <c r="N26" s="192">
        <v>0</v>
      </c>
      <c r="O26" s="192">
        <v>1389.75</v>
      </c>
      <c r="P26" s="192"/>
      <c r="Q26" s="192"/>
      <c r="R26" s="192">
        <v>17</v>
      </c>
      <c r="S26" s="192">
        <v>365</v>
      </c>
      <c r="T26" s="192"/>
      <c r="U26" s="239">
        <v>365</v>
      </c>
      <c r="V26" s="241">
        <v>150.66846899999999</v>
      </c>
      <c r="W26" s="238">
        <v>150.66846899999999</v>
      </c>
      <c r="Y26" s="242">
        <v>1389.75</v>
      </c>
      <c r="Z26" s="10"/>
      <c r="AA26" s="238">
        <v>2008.91292</v>
      </c>
      <c r="AB26" s="237">
        <v>502.22823</v>
      </c>
      <c r="AC26" s="226"/>
      <c r="AD26" s="238">
        <v>358.73444999999998</v>
      </c>
      <c r="AE26" s="237">
        <v>2367.6473700000001</v>
      </c>
      <c r="AF26" s="228">
        <v>0</v>
      </c>
      <c r="AG26" s="226"/>
      <c r="AH26" s="41"/>
      <c r="AI26" s="192"/>
    </row>
    <row r="27" spans="1:35" x14ac:dyDescent="0.25">
      <c r="A27" s="140">
        <v>94</v>
      </c>
      <c r="B27" s="140">
        <v>3</v>
      </c>
      <c r="C27" s="27" t="s">
        <v>1000</v>
      </c>
      <c r="D27" s="13" t="s">
        <v>58</v>
      </c>
      <c r="E27" s="13" t="s">
        <v>14</v>
      </c>
      <c r="F27" s="12" t="s">
        <v>59</v>
      </c>
      <c r="G27" s="14">
        <v>42320</v>
      </c>
      <c r="H27" s="12" t="s">
        <v>10</v>
      </c>
      <c r="I27" s="15"/>
      <c r="J27" s="240">
        <v>30</v>
      </c>
      <c r="K27" s="224">
        <v>0</v>
      </c>
      <c r="L27" s="240">
        <v>30</v>
      </c>
      <c r="M27" s="15"/>
      <c r="N27" s="16">
        <v>0</v>
      </c>
      <c r="O27" s="16">
        <v>1370</v>
      </c>
      <c r="P27" s="16"/>
      <c r="Q27" s="16"/>
      <c r="R27" s="16">
        <v>22</v>
      </c>
      <c r="S27" s="16">
        <v>210.6</v>
      </c>
      <c r="T27" s="16"/>
      <c r="U27" s="239">
        <v>210.6</v>
      </c>
      <c r="V27" s="241">
        <v>82.2</v>
      </c>
      <c r="W27" s="238">
        <v>82.2</v>
      </c>
      <c r="Y27" s="242">
        <v>1370</v>
      </c>
      <c r="AA27" s="228"/>
      <c r="AB27" s="230"/>
      <c r="AC27" s="226"/>
      <c r="AD27" s="228"/>
      <c r="AE27" s="230">
        <v>0</v>
      </c>
      <c r="AF27" s="238">
        <v>1370</v>
      </c>
      <c r="AG27" s="226">
        <v>200</v>
      </c>
      <c r="AH27" s="17"/>
      <c r="AI27" s="16"/>
    </row>
    <row r="28" spans="1:35" x14ac:dyDescent="0.25">
      <c r="A28" s="140">
        <v>94</v>
      </c>
      <c r="B28" s="140">
        <v>6</v>
      </c>
      <c r="C28" s="27" t="s">
        <v>1001</v>
      </c>
      <c r="D28" s="13" t="s">
        <v>60</v>
      </c>
      <c r="E28" s="13" t="s">
        <v>21</v>
      </c>
      <c r="F28" s="12" t="s">
        <v>61</v>
      </c>
      <c r="G28" s="14">
        <v>42320</v>
      </c>
      <c r="H28" s="12" t="s">
        <v>10</v>
      </c>
      <c r="I28" s="15"/>
      <c r="J28" s="240">
        <v>30</v>
      </c>
      <c r="K28" s="224">
        <v>0</v>
      </c>
      <c r="L28" s="240">
        <v>30</v>
      </c>
      <c r="M28" s="15"/>
      <c r="N28" s="16">
        <v>1335.01</v>
      </c>
      <c r="O28" s="16">
        <v>0</v>
      </c>
      <c r="P28" s="16">
        <v>57</v>
      </c>
      <c r="Q28" s="16"/>
      <c r="R28" s="16">
        <v>22</v>
      </c>
      <c r="S28" s="16">
        <v>202.5</v>
      </c>
      <c r="T28" s="16"/>
      <c r="U28" s="239">
        <v>202.5</v>
      </c>
      <c r="V28" s="241">
        <v>80.1006</v>
      </c>
      <c r="W28" s="238">
        <v>80.1006</v>
      </c>
      <c r="Y28" s="242">
        <v>1335.01</v>
      </c>
      <c r="AA28" s="228"/>
      <c r="AB28" s="230"/>
      <c r="AC28" s="226"/>
      <c r="AD28" s="228"/>
      <c r="AE28" s="230">
        <v>0</v>
      </c>
      <c r="AF28" s="238">
        <v>1335.01</v>
      </c>
      <c r="AG28" s="226">
        <v>150</v>
      </c>
      <c r="AH28" s="17"/>
      <c r="AI28" s="16"/>
    </row>
    <row r="29" spans="1:35" x14ac:dyDescent="0.25">
      <c r="A29" s="140">
        <v>94</v>
      </c>
      <c r="B29" s="140">
        <v>34</v>
      </c>
      <c r="C29" s="27" t="s">
        <v>1002</v>
      </c>
      <c r="D29" s="13" t="s">
        <v>62</v>
      </c>
      <c r="E29" s="13" t="s">
        <v>11</v>
      </c>
      <c r="F29" s="12" t="s">
        <v>63</v>
      </c>
      <c r="G29" s="14">
        <v>42903</v>
      </c>
      <c r="H29" s="12" t="s">
        <v>10</v>
      </c>
      <c r="I29" s="15"/>
      <c r="J29" s="240">
        <v>14</v>
      </c>
      <c r="K29" s="225">
        <v>8</v>
      </c>
      <c r="L29" s="240">
        <v>22</v>
      </c>
      <c r="M29" s="15"/>
      <c r="N29" s="16">
        <v>0</v>
      </c>
      <c r="O29" s="16">
        <v>3500</v>
      </c>
      <c r="P29" s="16"/>
      <c r="Q29" s="16"/>
      <c r="R29" s="16"/>
      <c r="S29" s="16">
        <v>162</v>
      </c>
      <c r="T29" s="16"/>
      <c r="U29" s="239">
        <v>162</v>
      </c>
      <c r="V29" s="241">
        <v>98.496288000000007</v>
      </c>
      <c r="W29" s="238">
        <v>98.496288000000007</v>
      </c>
      <c r="Y29" s="242">
        <v>1633.3333333333335</v>
      </c>
      <c r="AA29" s="238">
        <v>33.083839999999995</v>
      </c>
      <c r="AB29" s="237">
        <v>8.2709599999999988</v>
      </c>
      <c r="AC29" s="226"/>
      <c r="AD29" s="228"/>
      <c r="AE29" s="237">
        <v>33.083839999999995</v>
      </c>
      <c r="AF29" s="238">
        <v>1600.25</v>
      </c>
      <c r="AG29" s="226"/>
      <c r="AH29" s="17"/>
      <c r="AI29" s="16"/>
    </row>
    <row r="30" spans="1:35" x14ac:dyDescent="0.25">
      <c r="A30" s="140">
        <v>94</v>
      </c>
      <c r="B30" s="140">
        <v>55</v>
      </c>
      <c r="C30" s="27" t="s">
        <v>1003</v>
      </c>
      <c r="D30" s="13" t="s">
        <v>64</v>
      </c>
      <c r="E30" s="13" t="s">
        <v>14</v>
      </c>
      <c r="F30" s="12" t="s">
        <v>65</v>
      </c>
      <c r="G30" s="14">
        <v>43787</v>
      </c>
      <c r="H30" s="12" t="s">
        <v>10</v>
      </c>
      <c r="I30" s="15"/>
      <c r="J30" s="240">
        <v>30</v>
      </c>
      <c r="K30" s="224">
        <v>0</v>
      </c>
      <c r="L30" s="240">
        <v>30</v>
      </c>
      <c r="M30" s="15"/>
      <c r="N30" s="16">
        <v>0</v>
      </c>
      <c r="O30" s="16">
        <v>1370</v>
      </c>
      <c r="P30" s="16"/>
      <c r="Q30" s="16"/>
      <c r="R30" s="16">
        <v>22</v>
      </c>
      <c r="S30" s="16">
        <v>202.5</v>
      </c>
      <c r="T30" s="16"/>
      <c r="U30" s="239">
        <v>202.5</v>
      </c>
      <c r="V30" s="241">
        <v>98.00327999999999</v>
      </c>
      <c r="W30" s="238">
        <v>98.00327999999999</v>
      </c>
      <c r="Y30" s="242">
        <v>1370</v>
      </c>
      <c r="AA30" s="238">
        <v>1053.5663999999999</v>
      </c>
      <c r="AB30" s="237">
        <v>263.39159999999998</v>
      </c>
      <c r="AC30" s="226"/>
      <c r="AD30" s="228"/>
      <c r="AE30" s="237">
        <v>1053.5663999999999</v>
      </c>
      <c r="AF30" s="238">
        <v>316.43</v>
      </c>
      <c r="AG30" s="226"/>
      <c r="AH30" s="17"/>
      <c r="AI30" s="16"/>
    </row>
    <row r="31" spans="1:35" x14ac:dyDescent="0.25">
      <c r="A31" s="140">
        <v>94</v>
      </c>
      <c r="B31" s="140">
        <v>66</v>
      </c>
      <c r="C31" s="27" t="s">
        <v>1004</v>
      </c>
      <c r="D31" s="13" t="s">
        <v>66</v>
      </c>
      <c r="E31" s="13" t="s">
        <v>14</v>
      </c>
      <c r="F31" s="12" t="s">
        <v>67</v>
      </c>
      <c r="G31" s="14">
        <v>44257</v>
      </c>
      <c r="H31" s="12" t="s">
        <v>68</v>
      </c>
      <c r="I31" s="15"/>
      <c r="J31" s="240">
        <v>30</v>
      </c>
      <c r="K31" s="224">
        <v>0</v>
      </c>
      <c r="L31" s="240">
        <v>30</v>
      </c>
      <c r="M31" s="15"/>
      <c r="N31" s="16">
        <v>0</v>
      </c>
      <c r="O31" s="16">
        <v>1370</v>
      </c>
      <c r="P31" s="16"/>
      <c r="Q31" s="16"/>
      <c r="R31" s="16">
        <v>22</v>
      </c>
      <c r="S31" s="16">
        <v>210.6</v>
      </c>
      <c r="T31" s="16"/>
      <c r="U31" s="239">
        <v>210.6</v>
      </c>
      <c r="V31" s="241">
        <v>97.563095999999987</v>
      </c>
      <c r="W31" s="238">
        <v>97.563095999999987</v>
      </c>
      <c r="Y31" s="242">
        <v>1370</v>
      </c>
      <c r="AA31" s="238">
        <v>1024.19328</v>
      </c>
      <c r="AB31" s="237">
        <v>256.04831999999999</v>
      </c>
      <c r="AC31" s="226"/>
      <c r="AD31" s="228"/>
      <c r="AE31" s="237">
        <v>1024.19328</v>
      </c>
      <c r="AF31" s="238">
        <v>345.81</v>
      </c>
      <c r="AG31" s="226"/>
      <c r="AH31" s="17"/>
      <c r="AI31" s="16"/>
    </row>
    <row r="32" spans="1:35" x14ac:dyDescent="0.25">
      <c r="A32" s="140">
        <v>94</v>
      </c>
      <c r="B32" s="140">
        <v>68</v>
      </c>
      <c r="C32" s="27" t="s">
        <v>1005</v>
      </c>
      <c r="D32" s="13" t="s">
        <v>69</v>
      </c>
      <c r="E32" s="13" t="s">
        <v>14</v>
      </c>
      <c r="F32" s="12" t="s">
        <v>70</v>
      </c>
      <c r="G32" s="14">
        <v>44359</v>
      </c>
      <c r="H32" s="12" t="s">
        <v>10</v>
      </c>
      <c r="I32" s="15"/>
      <c r="J32" s="240">
        <v>30</v>
      </c>
      <c r="K32" s="224">
        <v>0</v>
      </c>
      <c r="L32" s="240">
        <v>30</v>
      </c>
      <c r="M32" s="15"/>
      <c r="N32" s="16">
        <v>0</v>
      </c>
      <c r="O32" s="16">
        <v>1370</v>
      </c>
      <c r="P32" s="16"/>
      <c r="Q32" s="16"/>
      <c r="R32" s="16">
        <v>47</v>
      </c>
      <c r="S32" s="16">
        <v>145.80000000000001</v>
      </c>
      <c r="T32" s="16"/>
      <c r="U32" s="239">
        <v>145.80000000000001</v>
      </c>
      <c r="V32" s="241">
        <v>88.622831999999988</v>
      </c>
      <c r="W32" s="238">
        <v>88.622831999999988</v>
      </c>
      <c r="Y32" s="242">
        <v>1370</v>
      </c>
      <c r="AA32" s="238">
        <v>428.19776000000002</v>
      </c>
      <c r="AB32" s="237">
        <v>107.04944</v>
      </c>
      <c r="AC32" s="226"/>
      <c r="AD32" s="228"/>
      <c r="AE32" s="237">
        <v>428.19776000000002</v>
      </c>
      <c r="AF32" s="238">
        <v>941.8</v>
      </c>
      <c r="AG32" s="226"/>
      <c r="AH32" s="17"/>
      <c r="AI32" s="16"/>
    </row>
    <row r="33" spans="1:35" x14ac:dyDescent="0.25">
      <c r="A33" s="140">
        <v>95</v>
      </c>
      <c r="B33" s="140">
        <v>56</v>
      </c>
      <c r="C33" s="27" t="s">
        <v>707</v>
      </c>
      <c r="D33" s="13" t="s">
        <v>71</v>
      </c>
      <c r="E33" s="13" t="s">
        <v>14</v>
      </c>
      <c r="F33" s="12" t="s">
        <v>72</v>
      </c>
      <c r="G33" s="14">
        <v>43165</v>
      </c>
      <c r="H33" s="12" t="s">
        <v>10</v>
      </c>
      <c r="I33" s="15"/>
      <c r="J33" s="240">
        <v>30</v>
      </c>
      <c r="K33" s="224">
        <v>0</v>
      </c>
      <c r="L33" s="240">
        <v>30</v>
      </c>
      <c r="M33" s="15"/>
      <c r="N33" s="16">
        <v>0</v>
      </c>
      <c r="O33" s="16">
        <v>1807.35</v>
      </c>
      <c r="P33" s="16"/>
      <c r="Q33" s="16"/>
      <c r="R33" s="16">
        <v>40</v>
      </c>
      <c r="S33" s="16">
        <v>231.84</v>
      </c>
      <c r="T33" s="16"/>
      <c r="U33" s="239">
        <v>231.84</v>
      </c>
      <c r="V33" s="241">
        <v>108.44099999999999</v>
      </c>
      <c r="W33" s="238">
        <v>108.44099999999999</v>
      </c>
      <c r="Y33" s="242">
        <v>1807.35</v>
      </c>
      <c r="AA33" s="228"/>
      <c r="AB33" s="230"/>
      <c r="AC33" s="226">
        <v>150</v>
      </c>
      <c r="AD33" s="228"/>
      <c r="AE33" s="230">
        <v>0</v>
      </c>
      <c r="AF33" s="238">
        <v>1807.35</v>
      </c>
      <c r="AG33" s="226">
        <v>300</v>
      </c>
      <c r="AH33" s="17"/>
      <c r="AI33" s="16"/>
    </row>
    <row r="34" spans="1:35" x14ac:dyDescent="0.25">
      <c r="A34" s="140">
        <v>95</v>
      </c>
      <c r="B34" s="140">
        <v>59</v>
      </c>
      <c r="C34" s="27" t="s">
        <v>708</v>
      </c>
      <c r="D34" s="13" t="s">
        <v>73</v>
      </c>
      <c r="E34" s="13" t="s">
        <v>14</v>
      </c>
      <c r="F34" s="12" t="s">
        <v>74</v>
      </c>
      <c r="G34" s="14">
        <v>43213</v>
      </c>
      <c r="H34" s="12" t="s">
        <v>10</v>
      </c>
      <c r="I34" s="15"/>
      <c r="J34" s="240">
        <v>30</v>
      </c>
      <c r="K34" s="224">
        <v>0</v>
      </c>
      <c r="L34" s="240">
        <v>30</v>
      </c>
      <c r="M34" s="15"/>
      <c r="N34" s="16">
        <v>0</v>
      </c>
      <c r="O34" s="16">
        <v>1807.35</v>
      </c>
      <c r="P34" s="16"/>
      <c r="Q34" s="16"/>
      <c r="R34" s="16">
        <v>40</v>
      </c>
      <c r="S34" s="16">
        <v>425.04</v>
      </c>
      <c r="T34" s="16"/>
      <c r="U34" s="239">
        <v>425.04</v>
      </c>
      <c r="V34" s="241">
        <v>159.123648</v>
      </c>
      <c r="W34" s="238">
        <v>159.123648</v>
      </c>
      <c r="Y34" s="242">
        <v>1807.35</v>
      </c>
      <c r="AA34" s="238">
        <v>2121.6486400000003</v>
      </c>
      <c r="AB34" s="237">
        <v>530.41216000000009</v>
      </c>
      <c r="AC34" s="226"/>
      <c r="AD34" s="228"/>
      <c r="AE34" s="237">
        <v>2121.6486400000003</v>
      </c>
      <c r="AF34" s="228">
        <v>0</v>
      </c>
      <c r="AG34" s="226"/>
      <c r="AH34" s="17"/>
      <c r="AI34" s="16"/>
    </row>
    <row r="35" spans="1:35" x14ac:dyDescent="0.25">
      <c r="A35" s="140">
        <v>95</v>
      </c>
      <c r="B35" s="140">
        <v>80</v>
      </c>
      <c r="C35" s="27" t="s">
        <v>709</v>
      </c>
      <c r="D35" s="13" t="s">
        <v>75</v>
      </c>
      <c r="E35" s="13" t="s">
        <v>21</v>
      </c>
      <c r="F35" s="12" t="s">
        <v>76</v>
      </c>
      <c r="G35" s="14">
        <v>44064</v>
      </c>
      <c r="H35" s="12" t="s">
        <v>10</v>
      </c>
      <c r="I35" s="15"/>
      <c r="J35" s="240">
        <v>30</v>
      </c>
      <c r="K35" s="224">
        <v>0</v>
      </c>
      <c r="L35" s="240">
        <v>30</v>
      </c>
      <c r="M35" s="15"/>
      <c r="N35" s="16">
        <v>1504.22</v>
      </c>
      <c r="O35" s="16">
        <v>0</v>
      </c>
      <c r="P35" s="16">
        <v>70.41</v>
      </c>
      <c r="Q35" s="16"/>
      <c r="R35" s="16"/>
      <c r="S35" s="16">
        <v>211.2</v>
      </c>
      <c r="T35" s="16"/>
      <c r="U35" s="239">
        <v>211.2</v>
      </c>
      <c r="V35" s="241">
        <v>90.253199999999993</v>
      </c>
      <c r="W35" s="238">
        <v>90.253199999999993</v>
      </c>
      <c r="Y35" s="242">
        <v>1504.22</v>
      </c>
      <c r="AA35" s="228"/>
      <c r="AB35" s="230"/>
      <c r="AC35" s="226"/>
      <c r="AD35" s="228"/>
      <c r="AE35" s="230">
        <v>0</v>
      </c>
      <c r="AF35" s="238">
        <v>1504.22</v>
      </c>
      <c r="AG35" s="226"/>
      <c r="AH35" s="17"/>
      <c r="AI35" s="16"/>
    </row>
    <row r="36" spans="1:35" x14ac:dyDescent="0.25">
      <c r="A36" s="140">
        <v>95</v>
      </c>
      <c r="B36" s="140">
        <v>83</v>
      </c>
      <c r="C36" s="27" t="s">
        <v>1006</v>
      </c>
      <c r="D36" s="13" t="s">
        <v>77</v>
      </c>
      <c r="E36" s="13" t="s">
        <v>21</v>
      </c>
      <c r="F36" s="12" t="s">
        <v>78</v>
      </c>
      <c r="G36" s="14">
        <v>44152</v>
      </c>
      <c r="H36" s="12" t="s">
        <v>10</v>
      </c>
      <c r="I36" s="15"/>
      <c r="J36" s="240">
        <v>30</v>
      </c>
      <c r="K36" s="224">
        <v>0</v>
      </c>
      <c r="L36" s="240">
        <v>30</v>
      </c>
      <c r="M36" s="15"/>
      <c r="N36" s="16">
        <v>1504.22</v>
      </c>
      <c r="O36" s="16">
        <v>0</v>
      </c>
      <c r="P36" s="16">
        <v>70.41</v>
      </c>
      <c r="Q36" s="16"/>
      <c r="R36" s="16">
        <v>40</v>
      </c>
      <c r="S36" s="16">
        <v>443.52</v>
      </c>
      <c r="T36" s="16"/>
      <c r="U36" s="239">
        <v>443.52</v>
      </c>
      <c r="V36" s="241">
        <v>90.253199999999993</v>
      </c>
      <c r="W36" s="238">
        <v>90.253199999999993</v>
      </c>
      <c r="Y36" s="242">
        <v>1504.22</v>
      </c>
      <c r="AA36" s="228"/>
      <c r="AB36" s="230"/>
      <c r="AC36" s="226"/>
      <c r="AD36" s="228"/>
      <c r="AE36" s="230">
        <v>0</v>
      </c>
      <c r="AF36" s="238">
        <v>1504.22</v>
      </c>
      <c r="AG36" s="226"/>
      <c r="AH36" s="17"/>
      <c r="AI36" s="16"/>
    </row>
    <row r="37" spans="1:35" x14ac:dyDescent="0.25">
      <c r="A37" s="140">
        <v>95</v>
      </c>
      <c r="B37" s="140">
        <v>84</v>
      </c>
      <c r="C37" s="27" t="s">
        <v>710</v>
      </c>
      <c r="D37" s="13" t="s">
        <v>79</v>
      </c>
      <c r="E37" s="13" t="s">
        <v>11</v>
      </c>
      <c r="F37" s="12" t="s">
        <v>80</v>
      </c>
      <c r="G37" s="14">
        <v>43475</v>
      </c>
      <c r="H37" s="12" t="s">
        <v>10</v>
      </c>
      <c r="I37" s="15"/>
      <c r="J37" s="240">
        <v>30</v>
      </c>
      <c r="K37" s="224">
        <v>0</v>
      </c>
      <c r="L37" s="240">
        <v>30</v>
      </c>
      <c r="M37" s="15"/>
      <c r="N37" s="16">
        <v>0</v>
      </c>
      <c r="O37" s="16">
        <v>4117.6000000000004</v>
      </c>
      <c r="P37" s="16"/>
      <c r="Q37" s="16"/>
      <c r="R37" s="16">
        <v>40</v>
      </c>
      <c r="S37" s="16">
        <v>0</v>
      </c>
      <c r="T37" s="16"/>
      <c r="U37" s="239">
        <v>0</v>
      </c>
      <c r="V37" s="241">
        <v>247.21315200000001</v>
      </c>
      <c r="W37" s="238">
        <v>247.21315200000001</v>
      </c>
      <c r="Y37" s="242">
        <v>4117.6000000000004</v>
      </c>
      <c r="AA37" s="238">
        <v>10.463360000000002</v>
      </c>
      <c r="AB37" s="237">
        <v>2.6158400000000004</v>
      </c>
      <c r="AC37" s="226"/>
      <c r="AD37" s="228"/>
      <c r="AE37" s="237">
        <v>10.463360000000002</v>
      </c>
      <c r="AF37" s="238">
        <v>4107.1400000000003</v>
      </c>
      <c r="AG37" s="226"/>
      <c r="AH37" s="17"/>
      <c r="AI37" s="16"/>
    </row>
    <row r="38" spans="1:35" x14ac:dyDescent="0.25">
      <c r="A38" s="140">
        <v>95</v>
      </c>
      <c r="B38" s="140">
        <v>85</v>
      </c>
      <c r="C38" s="27" t="s">
        <v>1007</v>
      </c>
      <c r="D38" s="13" t="s">
        <v>81</v>
      </c>
      <c r="E38" s="13" t="s">
        <v>14</v>
      </c>
      <c r="F38" s="12" t="s">
        <v>82</v>
      </c>
      <c r="G38" s="14">
        <v>44181</v>
      </c>
      <c r="H38" s="12" t="s">
        <v>10</v>
      </c>
      <c r="I38" s="15"/>
      <c r="J38" s="240">
        <v>30</v>
      </c>
      <c r="K38" s="224">
        <v>0</v>
      </c>
      <c r="L38" s="240">
        <v>30</v>
      </c>
      <c r="M38" s="15"/>
      <c r="N38" s="16">
        <v>0</v>
      </c>
      <c r="O38" s="16">
        <v>1807.35</v>
      </c>
      <c r="P38" s="16"/>
      <c r="Q38" s="16"/>
      <c r="R38" s="16"/>
      <c r="S38" s="16">
        <v>340</v>
      </c>
      <c r="T38" s="16"/>
      <c r="U38" s="239">
        <v>340</v>
      </c>
      <c r="V38" s="241">
        <v>132.60604799999999</v>
      </c>
      <c r="W38" s="238">
        <v>132.60604799999999</v>
      </c>
      <c r="Y38" s="242">
        <v>1807.35</v>
      </c>
      <c r="AA38" s="238">
        <v>1611.0166399999998</v>
      </c>
      <c r="AB38" s="237">
        <v>402.75415999999996</v>
      </c>
      <c r="AC38" s="226"/>
      <c r="AD38" s="228"/>
      <c r="AE38" s="237">
        <v>1611.0166399999998</v>
      </c>
      <c r="AF38" s="238">
        <v>196.33</v>
      </c>
      <c r="AG38" s="226"/>
      <c r="AH38" s="17"/>
      <c r="AI38" s="16"/>
    </row>
    <row r="39" spans="1:35" x14ac:dyDescent="0.25">
      <c r="A39" s="140">
        <v>95</v>
      </c>
      <c r="B39" s="140">
        <v>88</v>
      </c>
      <c r="C39" s="27" t="s">
        <v>1008</v>
      </c>
      <c r="D39" s="13" t="s">
        <v>83</v>
      </c>
      <c r="E39" s="13" t="s">
        <v>14</v>
      </c>
      <c r="F39" s="12" t="s">
        <v>84</v>
      </c>
      <c r="G39" s="14">
        <v>44256</v>
      </c>
      <c r="H39" s="12" t="s">
        <v>10</v>
      </c>
      <c r="I39" s="15"/>
      <c r="J39" s="240">
        <v>30</v>
      </c>
      <c r="K39" s="224">
        <v>0</v>
      </c>
      <c r="L39" s="240">
        <v>30</v>
      </c>
      <c r="M39" s="15"/>
      <c r="N39" s="16">
        <v>0</v>
      </c>
      <c r="O39" s="16">
        <v>1807.35</v>
      </c>
      <c r="P39" s="16"/>
      <c r="Q39" s="16"/>
      <c r="R39" s="16">
        <v>40</v>
      </c>
      <c r="S39" s="16">
        <v>0</v>
      </c>
      <c r="T39" s="16"/>
      <c r="U39" s="239">
        <v>0</v>
      </c>
      <c r="V39" s="241">
        <v>133.98909599999999</v>
      </c>
      <c r="W39" s="238">
        <v>133.98909599999999</v>
      </c>
      <c r="Y39" s="242">
        <v>1807.35</v>
      </c>
      <c r="AA39" s="238">
        <v>1703.19328</v>
      </c>
      <c r="AB39" s="237">
        <v>425.79831999999999</v>
      </c>
      <c r="AC39" s="226"/>
      <c r="AD39" s="228"/>
      <c r="AE39" s="237">
        <v>1703.19328</v>
      </c>
      <c r="AF39" s="238">
        <v>104.16</v>
      </c>
      <c r="AG39" s="226"/>
      <c r="AH39" s="17"/>
      <c r="AI39" s="16"/>
    </row>
    <row r="40" spans="1:35" x14ac:dyDescent="0.25">
      <c r="A40" s="140">
        <v>103</v>
      </c>
      <c r="B40" s="140">
        <v>184</v>
      </c>
      <c r="C40" s="27" t="s">
        <v>711</v>
      </c>
      <c r="D40" s="13" t="s">
        <v>85</v>
      </c>
      <c r="E40" s="13" t="s">
        <v>21</v>
      </c>
      <c r="F40" s="12" t="s">
        <v>86</v>
      </c>
      <c r="G40" s="14">
        <v>43782</v>
      </c>
      <c r="H40" s="12" t="s">
        <v>10</v>
      </c>
      <c r="I40" s="15"/>
      <c r="J40" s="240">
        <v>30</v>
      </c>
      <c r="K40" s="224">
        <v>0</v>
      </c>
      <c r="L40" s="240">
        <v>30</v>
      </c>
      <c r="M40" s="15"/>
      <c r="N40" s="16">
        <v>1504.22</v>
      </c>
      <c r="O40" s="16">
        <v>0</v>
      </c>
      <c r="P40" s="16">
        <v>70.41</v>
      </c>
      <c r="Q40" s="16"/>
      <c r="R40" s="16">
        <v>40</v>
      </c>
      <c r="S40" s="16">
        <v>222.18</v>
      </c>
      <c r="T40" s="16"/>
      <c r="U40" s="239">
        <v>222.18</v>
      </c>
      <c r="V40" s="241">
        <v>90.253199999999993</v>
      </c>
      <c r="W40" s="238">
        <v>90.253199999999993</v>
      </c>
      <c r="Y40" s="242">
        <v>1504.22</v>
      </c>
      <c r="AA40" s="228"/>
      <c r="AB40" s="230"/>
      <c r="AC40" s="226"/>
      <c r="AD40" s="228"/>
      <c r="AE40" s="230">
        <v>0</v>
      </c>
      <c r="AF40" s="238">
        <v>1504.22</v>
      </c>
      <c r="AG40" s="226"/>
      <c r="AH40" s="17"/>
      <c r="AI40" s="16"/>
    </row>
    <row r="41" spans="1:35" x14ac:dyDescent="0.25">
      <c r="A41" s="140">
        <v>103</v>
      </c>
      <c r="B41" s="140">
        <v>185</v>
      </c>
      <c r="C41" s="27" t="s">
        <v>712</v>
      </c>
      <c r="D41" s="13" t="s">
        <v>87</v>
      </c>
      <c r="E41" s="13" t="s">
        <v>14</v>
      </c>
      <c r="F41" s="12" t="s">
        <v>88</v>
      </c>
      <c r="G41" s="14">
        <v>43782</v>
      </c>
      <c r="H41" s="12" t="s">
        <v>10</v>
      </c>
      <c r="I41" s="15"/>
      <c r="J41" s="240">
        <v>30</v>
      </c>
      <c r="K41" s="224">
        <v>0</v>
      </c>
      <c r="L41" s="240">
        <v>30</v>
      </c>
      <c r="M41" s="15"/>
      <c r="N41" s="16">
        <v>0</v>
      </c>
      <c r="O41" s="16">
        <v>1807.35</v>
      </c>
      <c r="P41" s="16"/>
      <c r="Q41" s="16"/>
      <c r="R41" s="16">
        <v>40</v>
      </c>
      <c r="S41" s="16">
        <v>452.18</v>
      </c>
      <c r="T41" s="16"/>
      <c r="U41" s="239">
        <v>452.18</v>
      </c>
      <c r="V41" s="241">
        <v>157.81636799999998</v>
      </c>
      <c r="W41" s="238">
        <v>157.81636799999998</v>
      </c>
      <c r="Y41" s="242">
        <v>1807.35</v>
      </c>
      <c r="AA41" s="238">
        <v>2104.2182399999997</v>
      </c>
      <c r="AB41" s="237">
        <v>526.05455999999992</v>
      </c>
      <c r="AC41" s="226"/>
      <c r="AD41" s="238">
        <v>328.78409999999997</v>
      </c>
      <c r="AE41" s="237">
        <v>2433.0023399999995</v>
      </c>
      <c r="AF41" s="228">
        <v>0</v>
      </c>
      <c r="AG41" s="226"/>
      <c r="AH41" s="17"/>
      <c r="AI41" s="16"/>
    </row>
    <row r="42" spans="1:35" x14ac:dyDescent="0.25">
      <c r="A42" s="140">
        <v>103</v>
      </c>
      <c r="B42" s="140">
        <v>187</v>
      </c>
      <c r="C42" s="27" t="s">
        <v>713</v>
      </c>
      <c r="D42" s="13" t="s">
        <v>89</v>
      </c>
      <c r="E42" s="13" t="s">
        <v>14</v>
      </c>
      <c r="F42" s="12" t="s">
        <v>90</v>
      </c>
      <c r="G42" s="14">
        <v>43815</v>
      </c>
      <c r="H42" s="12" t="s">
        <v>10</v>
      </c>
      <c r="I42" s="15"/>
      <c r="J42" s="240">
        <v>30</v>
      </c>
      <c r="K42" s="224">
        <v>0</v>
      </c>
      <c r="L42" s="240">
        <v>30</v>
      </c>
      <c r="M42" s="15"/>
      <c r="N42" s="16">
        <v>0</v>
      </c>
      <c r="O42" s="16">
        <v>1807.35</v>
      </c>
      <c r="P42" s="16"/>
      <c r="Q42" s="16"/>
      <c r="R42" s="16">
        <v>40</v>
      </c>
      <c r="S42" s="16">
        <v>425.04</v>
      </c>
      <c r="T42" s="16"/>
      <c r="U42" s="239">
        <v>425.04</v>
      </c>
      <c r="V42" s="241">
        <v>157.10306399999999</v>
      </c>
      <c r="W42" s="238">
        <v>157.10306399999999</v>
      </c>
      <c r="Y42" s="242">
        <v>1807.35</v>
      </c>
      <c r="AA42" s="238">
        <v>2094.7075199999999</v>
      </c>
      <c r="AB42" s="237">
        <v>523.67687999999998</v>
      </c>
      <c r="AC42" s="226"/>
      <c r="AD42" s="238">
        <v>327.29804999999999</v>
      </c>
      <c r="AE42" s="237">
        <v>2422.0055699999998</v>
      </c>
      <c r="AF42" s="228">
        <v>0</v>
      </c>
      <c r="AG42" s="226"/>
      <c r="AH42" s="17"/>
      <c r="AI42" s="16"/>
    </row>
    <row r="43" spans="1:35" x14ac:dyDescent="0.25">
      <c r="A43" s="140">
        <v>103</v>
      </c>
      <c r="B43" s="140">
        <v>193</v>
      </c>
      <c r="C43" s="27" t="s">
        <v>1009</v>
      </c>
      <c r="D43" s="13" t="s">
        <v>91</v>
      </c>
      <c r="E43" s="13" t="s">
        <v>14</v>
      </c>
      <c r="F43" s="12" t="s">
        <v>92</v>
      </c>
      <c r="G43" s="14">
        <v>44121</v>
      </c>
      <c r="H43" s="12" t="s">
        <v>10</v>
      </c>
      <c r="I43" s="15"/>
      <c r="J43" s="240">
        <v>30</v>
      </c>
      <c r="K43" s="224">
        <v>0</v>
      </c>
      <c r="L43" s="240">
        <v>30</v>
      </c>
      <c r="M43" s="15"/>
      <c r="N43" s="16">
        <v>0</v>
      </c>
      <c r="O43" s="16">
        <v>1807.35</v>
      </c>
      <c r="P43" s="16"/>
      <c r="Q43" s="16"/>
      <c r="R43" s="16"/>
      <c r="S43" s="16">
        <v>0</v>
      </c>
      <c r="T43" s="16"/>
      <c r="U43" s="239">
        <v>0</v>
      </c>
      <c r="V43" s="241">
        <v>162.09751200000002</v>
      </c>
      <c r="W43" s="238">
        <v>162.09751200000002</v>
      </c>
      <c r="Y43" s="242">
        <v>1807.35</v>
      </c>
      <c r="AA43" s="238">
        <v>2161.3001600000002</v>
      </c>
      <c r="AB43" s="237">
        <v>540.32504000000006</v>
      </c>
      <c r="AC43" s="244" t="s">
        <v>1179</v>
      </c>
      <c r="AD43" s="238">
        <v>337.70315000000005</v>
      </c>
      <c r="AE43" s="237">
        <v>2499.0033100000001</v>
      </c>
      <c r="AF43" s="228">
        <v>0</v>
      </c>
      <c r="AG43" s="243" t="s">
        <v>1179</v>
      </c>
      <c r="AH43" s="17"/>
      <c r="AI43" s="16"/>
    </row>
    <row r="44" spans="1:35" x14ac:dyDescent="0.25">
      <c r="A44" s="140">
        <v>103</v>
      </c>
      <c r="B44" s="140">
        <v>194</v>
      </c>
      <c r="C44" s="27" t="s">
        <v>1010</v>
      </c>
      <c r="D44" s="13" t="s">
        <v>93</v>
      </c>
      <c r="E44" s="13" t="s">
        <v>14</v>
      </c>
      <c r="F44" s="12" t="s">
        <v>94</v>
      </c>
      <c r="G44" s="14">
        <v>44121</v>
      </c>
      <c r="H44" s="12" t="s">
        <v>10</v>
      </c>
      <c r="I44" s="15"/>
      <c r="J44" s="240">
        <v>30</v>
      </c>
      <c r="K44" s="224">
        <v>0</v>
      </c>
      <c r="L44" s="240">
        <v>30</v>
      </c>
      <c r="M44" s="15"/>
      <c r="N44" s="16">
        <v>0</v>
      </c>
      <c r="O44" s="16">
        <v>1807.35</v>
      </c>
      <c r="P44" s="16"/>
      <c r="Q44" s="16"/>
      <c r="R44" s="16">
        <v>40</v>
      </c>
      <c r="S44" s="16">
        <v>425.04</v>
      </c>
      <c r="T44" s="16"/>
      <c r="U44" s="239">
        <v>425.04</v>
      </c>
      <c r="V44" s="241">
        <v>165.35068799999999</v>
      </c>
      <c r="W44" s="238">
        <v>165.35068799999999</v>
      </c>
      <c r="Y44" s="242">
        <v>1807.35</v>
      </c>
      <c r="AA44" s="238">
        <v>2204.6758399999999</v>
      </c>
      <c r="AB44" s="237">
        <v>551.16895999999997</v>
      </c>
      <c r="AC44" s="226"/>
      <c r="AD44" s="238">
        <v>344.48059999999998</v>
      </c>
      <c r="AE44" s="237">
        <v>2549.1564399999997</v>
      </c>
      <c r="AF44" s="228">
        <v>0</v>
      </c>
      <c r="AG44" s="226"/>
      <c r="AH44" s="17"/>
      <c r="AI44" s="16"/>
    </row>
    <row r="45" spans="1:35" x14ac:dyDescent="0.25">
      <c r="A45" s="140">
        <v>103</v>
      </c>
      <c r="B45" s="140">
        <v>199</v>
      </c>
      <c r="C45" s="27" t="s">
        <v>714</v>
      </c>
      <c r="D45" s="13" t="s">
        <v>95</v>
      </c>
      <c r="E45" s="13" t="s">
        <v>11</v>
      </c>
      <c r="F45" s="12" t="s">
        <v>96</v>
      </c>
      <c r="G45" s="14">
        <v>43284</v>
      </c>
      <c r="H45" s="12" t="s">
        <v>10</v>
      </c>
      <c r="I45" s="15"/>
      <c r="J45" s="240">
        <v>30</v>
      </c>
      <c r="K45" s="224">
        <v>0</v>
      </c>
      <c r="L45" s="240">
        <v>30</v>
      </c>
      <c r="M45" s="15"/>
      <c r="N45" s="16">
        <v>0</v>
      </c>
      <c r="O45" s="16">
        <v>4282.3</v>
      </c>
      <c r="P45" s="16"/>
      <c r="Q45" s="16"/>
      <c r="R45" s="16">
        <v>40</v>
      </c>
      <c r="S45" s="16">
        <v>443.52</v>
      </c>
      <c r="T45" s="16"/>
      <c r="U45" s="239">
        <v>443.52</v>
      </c>
      <c r="V45" s="241">
        <v>259.04327999999998</v>
      </c>
      <c r="W45" s="238">
        <v>259.04327999999998</v>
      </c>
      <c r="Y45" s="242">
        <v>4282.3</v>
      </c>
      <c r="AA45" s="238">
        <v>140.3664</v>
      </c>
      <c r="AB45" s="237">
        <v>35.0916</v>
      </c>
      <c r="AC45" s="226"/>
      <c r="AD45" s="228"/>
      <c r="AE45" s="237">
        <v>140.3664</v>
      </c>
      <c r="AF45" s="238">
        <v>4141.93</v>
      </c>
      <c r="AG45" s="226"/>
      <c r="AH45" s="17"/>
      <c r="AI45" s="16"/>
    </row>
    <row r="46" spans="1:35" x14ac:dyDescent="0.25">
      <c r="A46" s="140">
        <v>103</v>
      </c>
      <c r="B46" s="140">
        <v>200</v>
      </c>
      <c r="C46" s="27" t="s">
        <v>1011</v>
      </c>
      <c r="D46" s="13" t="s">
        <v>97</v>
      </c>
      <c r="E46" s="13" t="s">
        <v>21</v>
      </c>
      <c r="F46" s="12" t="s">
        <v>98</v>
      </c>
      <c r="G46" s="14">
        <v>44180</v>
      </c>
      <c r="H46" s="12" t="s">
        <v>10</v>
      </c>
      <c r="I46" s="15"/>
      <c r="J46" s="240">
        <v>30</v>
      </c>
      <c r="K46" s="224">
        <v>0</v>
      </c>
      <c r="L46" s="240">
        <v>30</v>
      </c>
      <c r="M46" s="15"/>
      <c r="N46" s="16">
        <v>1504.22</v>
      </c>
      <c r="O46" s="16">
        <v>0</v>
      </c>
      <c r="P46" s="16">
        <v>70.41</v>
      </c>
      <c r="Q46" s="16"/>
      <c r="R46" s="16">
        <v>40</v>
      </c>
      <c r="S46" s="16">
        <v>0</v>
      </c>
      <c r="T46" s="16"/>
      <c r="U46" s="239">
        <v>0</v>
      </c>
      <c r="V46" s="241">
        <v>90.253199999999993</v>
      </c>
      <c r="W46" s="238">
        <v>90.253199999999993</v>
      </c>
      <c r="Y46" s="242">
        <v>1504.22</v>
      </c>
      <c r="AA46" s="228"/>
      <c r="AB46" s="230"/>
      <c r="AC46" s="226"/>
      <c r="AD46" s="228"/>
      <c r="AE46" s="230">
        <v>0</v>
      </c>
      <c r="AF46" s="238">
        <v>1504.22</v>
      </c>
      <c r="AG46" s="226"/>
      <c r="AH46" s="17"/>
      <c r="AI46" s="16"/>
    </row>
    <row r="47" spans="1:35" x14ac:dyDescent="0.25">
      <c r="A47" s="140">
        <v>103</v>
      </c>
      <c r="B47" s="140">
        <v>202</v>
      </c>
      <c r="C47" s="27" t="s">
        <v>1012</v>
      </c>
      <c r="D47" s="13" t="s">
        <v>99</v>
      </c>
      <c r="E47" s="13" t="s">
        <v>14</v>
      </c>
      <c r="F47" s="12" t="s">
        <v>100</v>
      </c>
      <c r="G47" s="14">
        <v>44228</v>
      </c>
      <c r="H47" s="12" t="s">
        <v>10</v>
      </c>
      <c r="I47" s="15"/>
      <c r="J47" s="240">
        <v>30</v>
      </c>
      <c r="K47" s="224">
        <v>0</v>
      </c>
      <c r="L47" s="240">
        <v>30</v>
      </c>
      <c r="M47" s="15"/>
      <c r="N47" s="16">
        <v>0</v>
      </c>
      <c r="O47" s="16">
        <v>1807.35</v>
      </c>
      <c r="P47" s="16"/>
      <c r="Q47" s="16"/>
      <c r="R47" s="16">
        <v>40</v>
      </c>
      <c r="S47" s="16">
        <v>443.52</v>
      </c>
      <c r="T47" s="16"/>
      <c r="U47" s="239">
        <v>443.52</v>
      </c>
      <c r="V47" s="241">
        <v>158.59989599999997</v>
      </c>
      <c r="W47" s="238">
        <v>158.59989599999997</v>
      </c>
      <c r="Y47" s="242">
        <v>1807.35</v>
      </c>
      <c r="AA47" s="238">
        <v>2114.6652799999997</v>
      </c>
      <c r="AB47" s="237">
        <v>528.66631999999993</v>
      </c>
      <c r="AC47" s="226"/>
      <c r="AD47" s="238">
        <v>330.41645</v>
      </c>
      <c r="AE47" s="237">
        <v>2445.0817299999999</v>
      </c>
      <c r="AF47" s="228">
        <v>0</v>
      </c>
      <c r="AG47" s="226"/>
      <c r="AH47" s="17"/>
      <c r="AI47" s="16"/>
    </row>
    <row r="48" spans="1:35" x14ac:dyDescent="0.25">
      <c r="A48" s="140">
        <v>104</v>
      </c>
      <c r="B48" s="140">
        <v>52</v>
      </c>
      <c r="C48" s="27" t="s">
        <v>1013</v>
      </c>
      <c r="D48" s="13" t="s">
        <v>110</v>
      </c>
      <c r="E48" s="13" t="s">
        <v>21</v>
      </c>
      <c r="F48" s="12" t="s">
        <v>111</v>
      </c>
      <c r="G48" s="14">
        <v>44117</v>
      </c>
      <c r="H48" s="12" t="s">
        <v>10</v>
      </c>
      <c r="I48" s="15"/>
      <c r="J48" s="240">
        <v>30</v>
      </c>
      <c r="K48" s="224">
        <v>0</v>
      </c>
      <c r="L48" s="240">
        <v>30</v>
      </c>
      <c r="M48" s="15"/>
      <c r="N48" s="16">
        <v>1155</v>
      </c>
      <c r="O48" s="16">
        <v>0</v>
      </c>
      <c r="P48" s="16">
        <v>115.5</v>
      </c>
      <c r="Q48" s="16"/>
      <c r="R48" s="16"/>
      <c r="S48" s="16">
        <v>197.6</v>
      </c>
      <c r="T48" s="16"/>
      <c r="U48" s="239">
        <v>197.6</v>
      </c>
      <c r="V48" s="241">
        <v>69.3</v>
      </c>
      <c r="W48" s="238">
        <v>69.3</v>
      </c>
      <c r="Y48" s="242">
        <v>1155</v>
      </c>
      <c r="AA48" s="228"/>
      <c r="AB48" s="230"/>
      <c r="AC48" s="226"/>
      <c r="AD48" s="228"/>
      <c r="AE48" s="230">
        <v>0</v>
      </c>
      <c r="AF48" s="238">
        <v>1155</v>
      </c>
      <c r="AG48" s="226"/>
      <c r="AH48" s="17"/>
      <c r="AI48" s="16"/>
    </row>
    <row r="49" spans="1:35" x14ac:dyDescent="0.25">
      <c r="A49" s="140">
        <v>104</v>
      </c>
      <c r="B49" s="140">
        <v>49</v>
      </c>
      <c r="C49" s="27" t="s">
        <v>1014</v>
      </c>
      <c r="D49" s="13" t="s">
        <v>108</v>
      </c>
      <c r="E49" s="13" t="s">
        <v>11</v>
      </c>
      <c r="F49" s="12" t="s">
        <v>109</v>
      </c>
      <c r="G49" s="14">
        <v>43549</v>
      </c>
      <c r="H49" s="12" t="s">
        <v>10</v>
      </c>
      <c r="I49" s="15"/>
      <c r="J49" s="240">
        <v>30</v>
      </c>
      <c r="K49" s="224">
        <v>0</v>
      </c>
      <c r="L49" s="240">
        <v>30</v>
      </c>
      <c r="M49" s="15"/>
      <c r="N49" s="16">
        <v>0</v>
      </c>
      <c r="O49" s="16">
        <v>4612.5</v>
      </c>
      <c r="P49" s="16"/>
      <c r="Q49" s="16"/>
      <c r="R49" s="16"/>
      <c r="S49" s="16">
        <v>0</v>
      </c>
      <c r="T49" s="16"/>
      <c r="U49" s="239">
        <v>0</v>
      </c>
      <c r="V49" s="241">
        <v>276.80156999999997</v>
      </c>
      <c r="W49" s="238">
        <v>276.80156999999997</v>
      </c>
      <c r="Y49" s="242">
        <v>4612.5</v>
      </c>
      <c r="AA49" s="238">
        <v>3.4556</v>
      </c>
      <c r="AB49" s="237">
        <v>0.8639</v>
      </c>
      <c r="AC49" s="226"/>
      <c r="AD49" s="228"/>
      <c r="AE49" s="237">
        <v>3.4556</v>
      </c>
      <c r="AF49" s="238">
        <v>4609.04</v>
      </c>
      <c r="AG49" s="226"/>
      <c r="AH49" s="17"/>
      <c r="AI49" s="16"/>
    </row>
    <row r="50" spans="1:35" x14ac:dyDescent="0.25">
      <c r="A50" s="140">
        <v>104</v>
      </c>
      <c r="B50" s="140">
        <v>33</v>
      </c>
      <c r="C50" s="27" t="s">
        <v>1015</v>
      </c>
      <c r="D50" s="13" t="s">
        <v>101</v>
      </c>
      <c r="E50" s="13" t="s">
        <v>103</v>
      </c>
      <c r="F50" s="12" t="s">
        <v>102</v>
      </c>
      <c r="G50" s="14">
        <v>42705</v>
      </c>
      <c r="H50" s="12" t="s">
        <v>10</v>
      </c>
      <c r="I50" s="15"/>
      <c r="J50" s="240">
        <v>30</v>
      </c>
      <c r="K50" s="224">
        <v>0</v>
      </c>
      <c r="L50" s="240">
        <v>30</v>
      </c>
      <c r="M50" s="15"/>
      <c r="N50" s="16">
        <v>0</v>
      </c>
      <c r="O50" s="16">
        <v>1155</v>
      </c>
      <c r="P50" s="16"/>
      <c r="Q50" s="16">
        <v>30.33</v>
      </c>
      <c r="R50" s="16"/>
      <c r="S50" s="16">
        <v>0</v>
      </c>
      <c r="T50" s="16"/>
      <c r="U50" s="239">
        <v>0</v>
      </c>
      <c r="V50" s="241">
        <v>154.34012999999999</v>
      </c>
      <c r="W50" s="238">
        <v>154.34012999999999</v>
      </c>
      <c r="Y50" s="242">
        <v>1155</v>
      </c>
      <c r="AA50" s="238">
        <v>2057.8683999999998</v>
      </c>
      <c r="AB50" s="237">
        <v>514.46709999999996</v>
      </c>
      <c r="AC50" s="226">
        <v>0</v>
      </c>
      <c r="AD50" s="238">
        <v>514.46709999999996</v>
      </c>
      <c r="AE50" s="237">
        <v>2572.3354999999997</v>
      </c>
      <c r="AF50" s="228">
        <v>0</v>
      </c>
      <c r="AG50" s="243" t="s">
        <v>1180</v>
      </c>
      <c r="AH50" s="17"/>
      <c r="AI50" s="16"/>
    </row>
    <row r="51" spans="1:35" x14ac:dyDescent="0.25">
      <c r="A51" s="140">
        <v>104</v>
      </c>
      <c r="B51" s="140">
        <v>45</v>
      </c>
      <c r="C51" s="27" t="s">
        <v>1016</v>
      </c>
      <c r="D51" s="13" t="s">
        <v>106</v>
      </c>
      <c r="E51" s="13" t="s">
        <v>21</v>
      </c>
      <c r="F51" s="12" t="s">
        <v>107</v>
      </c>
      <c r="G51" s="14">
        <v>43441</v>
      </c>
      <c r="H51" s="12" t="s">
        <v>10</v>
      </c>
      <c r="I51" s="15"/>
      <c r="J51" s="240">
        <v>30</v>
      </c>
      <c r="K51" s="224">
        <v>0</v>
      </c>
      <c r="L51" s="240">
        <v>30</v>
      </c>
      <c r="M51" s="15"/>
      <c r="N51" s="16">
        <v>1155</v>
      </c>
      <c r="O51" s="16">
        <v>0</v>
      </c>
      <c r="P51" s="16">
        <v>115.5</v>
      </c>
      <c r="Q51" s="16"/>
      <c r="R51" s="16"/>
      <c r="S51" s="16">
        <v>0</v>
      </c>
      <c r="T51" s="16"/>
      <c r="U51" s="239">
        <v>0</v>
      </c>
      <c r="V51" s="241">
        <v>69.3</v>
      </c>
      <c r="W51" s="238">
        <v>69.3</v>
      </c>
      <c r="Y51" s="242">
        <v>1155</v>
      </c>
      <c r="AA51" s="228"/>
      <c r="AB51" s="230"/>
      <c r="AC51" s="226"/>
      <c r="AD51" s="228"/>
      <c r="AE51" s="230">
        <v>0</v>
      </c>
      <c r="AF51" s="238">
        <v>1155</v>
      </c>
      <c r="AG51" s="226"/>
      <c r="AH51" s="17"/>
      <c r="AI51" s="16"/>
    </row>
    <row r="52" spans="1:35" x14ac:dyDescent="0.25">
      <c r="A52" s="140">
        <v>104</v>
      </c>
      <c r="B52" s="140">
        <v>53</v>
      </c>
      <c r="C52" s="27" t="s">
        <v>1017</v>
      </c>
      <c r="D52" s="13" t="s">
        <v>112</v>
      </c>
      <c r="E52" s="13" t="s">
        <v>14</v>
      </c>
      <c r="F52" s="12" t="s">
        <v>113</v>
      </c>
      <c r="G52" s="14">
        <v>44132</v>
      </c>
      <c r="H52" s="12" t="s">
        <v>10</v>
      </c>
      <c r="I52" s="15"/>
      <c r="J52" s="240">
        <v>30</v>
      </c>
      <c r="K52" s="224">
        <v>0</v>
      </c>
      <c r="L52" s="240">
        <v>30</v>
      </c>
      <c r="M52" s="15"/>
      <c r="N52" s="16">
        <v>0</v>
      </c>
      <c r="O52" s="16">
        <v>1155</v>
      </c>
      <c r="P52" s="16"/>
      <c r="Q52" s="16">
        <v>30.33</v>
      </c>
      <c r="R52" s="16"/>
      <c r="S52" s="16">
        <v>197.6</v>
      </c>
      <c r="T52" s="16"/>
      <c r="U52" s="239">
        <v>197.6</v>
      </c>
      <c r="V52" s="241">
        <v>94.336199999999991</v>
      </c>
      <c r="W52" s="238">
        <v>94.336199999999991</v>
      </c>
      <c r="Y52" s="242">
        <v>1155</v>
      </c>
      <c r="AA52" s="238">
        <v>1257.816</v>
      </c>
      <c r="AB52" s="237">
        <v>314.45400000000001</v>
      </c>
      <c r="AC52" s="226"/>
      <c r="AD52" s="228"/>
      <c r="AE52" s="237">
        <v>1257.816</v>
      </c>
      <c r="AF52" s="228">
        <v>0</v>
      </c>
      <c r="AG52" s="226"/>
      <c r="AH52" s="17"/>
      <c r="AI52" s="16"/>
    </row>
    <row r="53" spans="1:35" x14ac:dyDescent="0.25">
      <c r="A53" s="140">
        <v>104</v>
      </c>
      <c r="B53" s="140">
        <v>41</v>
      </c>
      <c r="C53" s="27" t="s">
        <v>1018</v>
      </c>
      <c r="D53" s="13" t="s">
        <v>104</v>
      </c>
      <c r="E53" s="13" t="s">
        <v>14</v>
      </c>
      <c r="F53" s="12" t="s">
        <v>105</v>
      </c>
      <c r="G53" s="14">
        <v>43070</v>
      </c>
      <c r="H53" s="12" t="s">
        <v>10</v>
      </c>
      <c r="I53" s="15"/>
      <c r="J53" s="240">
        <v>30</v>
      </c>
      <c r="K53" s="224">
        <v>0</v>
      </c>
      <c r="L53" s="240">
        <v>30</v>
      </c>
      <c r="M53" s="15"/>
      <c r="N53" s="16">
        <v>0</v>
      </c>
      <c r="O53" s="16">
        <v>1155</v>
      </c>
      <c r="P53" s="16"/>
      <c r="Q53" s="16">
        <v>30.33</v>
      </c>
      <c r="R53" s="16"/>
      <c r="S53" s="16">
        <v>0</v>
      </c>
      <c r="T53" s="16"/>
      <c r="U53" s="239">
        <v>0</v>
      </c>
      <c r="V53" s="241">
        <v>154.15885500000002</v>
      </c>
      <c r="W53" s="238">
        <v>154.15885500000002</v>
      </c>
      <c r="Y53" s="242">
        <v>1155</v>
      </c>
      <c r="AA53" s="238">
        <v>2055.4514000000004</v>
      </c>
      <c r="AB53" s="237">
        <v>513.86285000000009</v>
      </c>
      <c r="AC53" s="226"/>
      <c r="AD53" s="238">
        <v>513.86285000000009</v>
      </c>
      <c r="AE53" s="237">
        <v>2569.3142500000004</v>
      </c>
      <c r="AF53" s="228">
        <v>0</v>
      </c>
      <c r="AG53" s="226"/>
      <c r="AH53" s="17"/>
      <c r="AI53" s="16"/>
    </row>
    <row r="54" spans="1:35" x14ac:dyDescent="0.25">
      <c r="A54" s="140">
        <v>105</v>
      </c>
      <c r="B54" s="140">
        <v>93</v>
      </c>
      <c r="C54" s="27" t="s">
        <v>1019</v>
      </c>
      <c r="D54" s="13" t="s">
        <v>124</v>
      </c>
      <c r="E54" s="13" t="s">
        <v>14</v>
      </c>
      <c r="F54" s="12" t="s">
        <v>125</v>
      </c>
      <c r="G54" s="14">
        <v>43735</v>
      </c>
      <c r="H54" s="12" t="s">
        <v>10</v>
      </c>
      <c r="I54" s="15"/>
      <c r="J54" s="240">
        <v>30</v>
      </c>
      <c r="K54" s="224">
        <v>0</v>
      </c>
      <c r="L54" s="240">
        <v>30</v>
      </c>
      <c r="M54" s="15"/>
      <c r="N54" s="16">
        <v>0</v>
      </c>
      <c r="O54" s="16">
        <v>1495</v>
      </c>
      <c r="P54" s="16"/>
      <c r="Q54" s="16"/>
      <c r="R54" s="16">
        <v>30.09</v>
      </c>
      <c r="S54" s="16"/>
      <c r="T54" s="16">
        <v>637</v>
      </c>
      <c r="U54" s="239">
        <v>637</v>
      </c>
      <c r="V54" s="241">
        <v>138.35331300000001</v>
      </c>
      <c r="W54" s="238">
        <v>138.35331300000001</v>
      </c>
      <c r="Y54" s="242">
        <v>1495</v>
      </c>
      <c r="AA54" s="238">
        <v>1844.71084</v>
      </c>
      <c r="AB54" s="237">
        <v>461.17770999999999</v>
      </c>
      <c r="AC54" s="226"/>
      <c r="AD54" s="228"/>
      <c r="AE54" s="237">
        <v>1844.71084</v>
      </c>
      <c r="AF54" s="228">
        <v>0</v>
      </c>
      <c r="AG54" s="226">
        <v>300</v>
      </c>
      <c r="AH54" s="17"/>
      <c r="AI54" s="16"/>
    </row>
    <row r="55" spans="1:35" x14ac:dyDescent="0.25">
      <c r="A55" s="140">
        <v>105</v>
      </c>
      <c r="B55" s="140">
        <v>68</v>
      </c>
      <c r="C55" s="27" t="s">
        <v>1020</v>
      </c>
      <c r="D55" s="13" t="s">
        <v>118</v>
      </c>
      <c r="E55" s="13" t="s">
        <v>14</v>
      </c>
      <c r="F55" s="12" t="s">
        <v>119</v>
      </c>
      <c r="G55" s="14">
        <v>42692</v>
      </c>
      <c r="H55" s="12" t="s">
        <v>10</v>
      </c>
      <c r="I55" s="15"/>
      <c r="J55" s="240">
        <v>30</v>
      </c>
      <c r="K55" s="224">
        <v>0</v>
      </c>
      <c r="L55" s="240">
        <v>30</v>
      </c>
      <c r="M55" s="15"/>
      <c r="N55" s="16">
        <v>0</v>
      </c>
      <c r="O55" s="16">
        <v>1495</v>
      </c>
      <c r="P55" s="16"/>
      <c r="Q55" s="16"/>
      <c r="R55" s="16"/>
      <c r="S55" s="16"/>
      <c r="T55" s="16">
        <v>543.4</v>
      </c>
      <c r="U55" s="239">
        <v>543.4</v>
      </c>
      <c r="V55" s="241">
        <v>90.707747999999995</v>
      </c>
      <c r="W55" s="238">
        <v>90.707747999999995</v>
      </c>
      <c r="Y55" s="242">
        <v>1495</v>
      </c>
      <c r="AA55" s="238">
        <v>67.196640000000002</v>
      </c>
      <c r="AB55" s="237">
        <v>16.799160000000001</v>
      </c>
      <c r="AC55" s="226"/>
      <c r="AD55" s="228"/>
      <c r="AE55" s="237">
        <v>67.196640000000002</v>
      </c>
      <c r="AF55" s="238">
        <v>1427.8</v>
      </c>
      <c r="AG55" s="226"/>
      <c r="AH55" s="17"/>
      <c r="AI55" s="16"/>
    </row>
    <row r="56" spans="1:35" x14ac:dyDescent="0.25">
      <c r="A56" s="140">
        <v>105</v>
      </c>
      <c r="B56" s="140">
        <v>100</v>
      </c>
      <c r="C56" s="27" t="s">
        <v>1021</v>
      </c>
      <c r="D56" s="13" t="s">
        <v>128</v>
      </c>
      <c r="E56" s="13" t="s">
        <v>21</v>
      </c>
      <c r="F56" s="12" t="s">
        <v>129</v>
      </c>
      <c r="G56" s="14">
        <v>44148</v>
      </c>
      <c r="H56" s="12" t="s">
        <v>10</v>
      </c>
      <c r="I56" s="15"/>
      <c r="J56" s="240">
        <v>30</v>
      </c>
      <c r="K56" s="224">
        <v>0</v>
      </c>
      <c r="L56" s="240">
        <v>30</v>
      </c>
      <c r="M56" s="15"/>
      <c r="N56" s="16">
        <v>1377.6</v>
      </c>
      <c r="O56" s="16">
        <v>0</v>
      </c>
      <c r="P56" s="16">
        <v>137.76</v>
      </c>
      <c r="Q56" s="16"/>
      <c r="R56" s="16">
        <v>30.09</v>
      </c>
      <c r="S56" s="16"/>
      <c r="T56" s="16">
        <v>200.2</v>
      </c>
      <c r="U56" s="239">
        <v>200.2</v>
      </c>
      <c r="V56" s="241">
        <v>82.655999999999992</v>
      </c>
      <c r="W56" s="238">
        <v>82.655999999999992</v>
      </c>
      <c r="Y56" s="242">
        <v>1377.6</v>
      </c>
      <c r="AA56" s="228"/>
      <c r="AB56" s="230"/>
      <c r="AC56" s="226"/>
      <c r="AD56" s="228"/>
      <c r="AE56" s="230">
        <v>0</v>
      </c>
      <c r="AF56" s="238">
        <v>1377.6</v>
      </c>
      <c r="AG56" s="226"/>
      <c r="AH56" s="17"/>
      <c r="AI56" s="16"/>
    </row>
    <row r="57" spans="1:35" x14ac:dyDescent="0.25">
      <c r="A57" s="140">
        <v>105</v>
      </c>
      <c r="B57" s="140">
        <v>61</v>
      </c>
      <c r="C57" s="27" t="s">
        <v>1022</v>
      </c>
      <c r="D57" s="13" t="s">
        <v>116</v>
      </c>
      <c r="E57" s="13" t="s">
        <v>11</v>
      </c>
      <c r="F57" s="12" t="s">
        <v>117</v>
      </c>
      <c r="G57" s="14">
        <v>42893</v>
      </c>
      <c r="H57" s="12" t="s">
        <v>10</v>
      </c>
      <c r="I57" s="15"/>
      <c r="J57" s="240">
        <v>30</v>
      </c>
      <c r="K57" s="224">
        <v>0</v>
      </c>
      <c r="L57" s="240">
        <v>30</v>
      </c>
      <c r="M57" s="15"/>
      <c r="N57" s="16">
        <v>0</v>
      </c>
      <c r="O57" s="16">
        <v>4635.8999999999996</v>
      </c>
      <c r="P57" s="16"/>
      <c r="Q57" s="16"/>
      <c r="R57" s="16">
        <v>30.09</v>
      </c>
      <c r="S57" s="16">
        <v>0</v>
      </c>
      <c r="T57" s="16"/>
      <c r="U57" s="239">
        <v>0</v>
      </c>
      <c r="V57" s="241">
        <v>279.07123200000001</v>
      </c>
      <c r="W57" s="238">
        <v>279.07123200000001</v>
      </c>
      <c r="Y57" s="242">
        <v>4635.8999999999996</v>
      </c>
      <c r="AA57" s="238">
        <v>61.149760000000001</v>
      </c>
      <c r="AB57" s="237">
        <v>15.28744</v>
      </c>
      <c r="AC57" s="226"/>
      <c r="AD57" s="228"/>
      <c r="AE57" s="237">
        <v>61.149760000000001</v>
      </c>
      <c r="AF57" s="238">
        <v>4574.75</v>
      </c>
      <c r="AG57" s="226"/>
      <c r="AH57" s="17"/>
      <c r="AI57" s="16"/>
    </row>
    <row r="58" spans="1:35" x14ac:dyDescent="0.25">
      <c r="A58" s="140">
        <v>105</v>
      </c>
      <c r="B58" s="140">
        <v>84</v>
      </c>
      <c r="C58" s="27" t="s">
        <v>1023</v>
      </c>
      <c r="D58" s="13" t="s">
        <v>120</v>
      </c>
      <c r="E58" s="13" t="s">
        <v>14</v>
      </c>
      <c r="F58" s="12" t="s">
        <v>121</v>
      </c>
      <c r="G58" s="14">
        <v>43347</v>
      </c>
      <c r="H58" s="12" t="s">
        <v>10</v>
      </c>
      <c r="I58" s="15"/>
      <c r="J58" s="240">
        <v>30</v>
      </c>
      <c r="K58" s="224">
        <v>0</v>
      </c>
      <c r="L58" s="240">
        <v>30</v>
      </c>
      <c r="M58" s="15"/>
      <c r="N58" s="16">
        <v>0</v>
      </c>
      <c r="O58" s="16">
        <v>1495</v>
      </c>
      <c r="P58" s="16"/>
      <c r="Q58" s="16"/>
      <c r="R58" s="16">
        <v>30.09</v>
      </c>
      <c r="S58" s="16"/>
      <c r="T58" s="16">
        <v>310</v>
      </c>
      <c r="U58" s="239">
        <v>310</v>
      </c>
      <c r="V58" s="241">
        <v>218.81115899999998</v>
      </c>
      <c r="W58" s="238">
        <v>218.81115899999998</v>
      </c>
      <c r="Y58" s="242">
        <v>1495</v>
      </c>
      <c r="AA58" s="238">
        <v>2917.4821199999997</v>
      </c>
      <c r="AB58" s="237">
        <v>729.37052999999992</v>
      </c>
      <c r="AC58" s="226"/>
      <c r="AD58" s="238">
        <v>520.97894999999994</v>
      </c>
      <c r="AE58" s="237">
        <v>3438.4610699999994</v>
      </c>
      <c r="AF58" s="228">
        <v>0</v>
      </c>
      <c r="AG58" s="226">
        <v>300</v>
      </c>
      <c r="AH58" s="17"/>
      <c r="AI58" s="16"/>
    </row>
    <row r="59" spans="1:35" x14ac:dyDescent="0.25">
      <c r="A59" s="140">
        <v>105</v>
      </c>
      <c r="B59" s="140">
        <v>85</v>
      </c>
      <c r="C59" s="27" t="s">
        <v>1024</v>
      </c>
      <c r="D59" s="13" t="s">
        <v>122</v>
      </c>
      <c r="E59" s="13" t="s">
        <v>14</v>
      </c>
      <c r="F59" s="12" t="s">
        <v>123</v>
      </c>
      <c r="G59" s="14">
        <v>43411</v>
      </c>
      <c r="H59" s="12" t="s">
        <v>10</v>
      </c>
      <c r="I59" s="15"/>
      <c r="J59" s="240">
        <v>30</v>
      </c>
      <c r="K59" s="224">
        <v>0</v>
      </c>
      <c r="L59" s="240">
        <v>30</v>
      </c>
      <c r="M59" s="15"/>
      <c r="N59" s="16">
        <v>0</v>
      </c>
      <c r="O59" s="16">
        <v>1495</v>
      </c>
      <c r="P59" s="16"/>
      <c r="Q59" s="16"/>
      <c r="R59" s="16"/>
      <c r="S59" s="16"/>
      <c r="T59" s="16">
        <v>192.5</v>
      </c>
      <c r="U59" s="239">
        <v>192.5</v>
      </c>
      <c r="V59" s="241">
        <v>105.151398</v>
      </c>
      <c r="W59" s="238">
        <v>105.151398</v>
      </c>
      <c r="Y59" s="242">
        <v>1495</v>
      </c>
      <c r="AA59" s="238">
        <v>1030.07464</v>
      </c>
      <c r="AB59" s="237">
        <v>257.51866000000001</v>
      </c>
      <c r="AC59" s="226"/>
      <c r="AD59" s="228"/>
      <c r="AE59" s="237">
        <v>1030.07464</v>
      </c>
      <c r="AF59" s="238">
        <v>464.93</v>
      </c>
      <c r="AG59" s="226"/>
      <c r="AH59" s="17"/>
      <c r="AI59" s="16"/>
    </row>
    <row r="60" spans="1:35" x14ac:dyDescent="0.25">
      <c r="A60" s="140">
        <v>105</v>
      </c>
      <c r="B60" s="140">
        <v>29</v>
      </c>
      <c r="C60" s="27" t="s">
        <v>1025</v>
      </c>
      <c r="D60" s="13" t="s">
        <v>114</v>
      </c>
      <c r="E60" s="13" t="s">
        <v>21</v>
      </c>
      <c r="F60" s="12" t="s">
        <v>115</v>
      </c>
      <c r="G60" s="14">
        <v>42167</v>
      </c>
      <c r="H60" s="12" t="s">
        <v>10</v>
      </c>
      <c r="I60" s="15"/>
      <c r="J60" s="240">
        <v>30</v>
      </c>
      <c r="K60" s="224">
        <v>0</v>
      </c>
      <c r="L60" s="240">
        <v>30</v>
      </c>
      <c r="M60" s="15"/>
      <c r="N60" s="16">
        <v>1468.46</v>
      </c>
      <c r="O60" s="16">
        <v>0</v>
      </c>
      <c r="P60" s="16">
        <v>146.846</v>
      </c>
      <c r="Q60" s="16"/>
      <c r="R60" s="16">
        <v>30.09</v>
      </c>
      <c r="S60" s="16"/>
      <c r="T60" s="16">
        <v>400.4</v>
      </c>
      <c r="U60" s="239">
        <v>400.4</v>
      </c>
      <c r="V60" s="241">
        <v>88.107600000000005</v>
      </c>
      <c r="W60" s="238">
        <v>88.107600000000005</v>
      </c>
      <c r="Y60" s="242">
        <v>1468.46</v>
      </c>
      <c r="AA60" s="228"/>
      <c r="AB60" s="230"/>
      <c r="AC60" s="226"/>
      <c r="AD60" s="228"/>
      <c r="AE60" s="230">
        <v>0</v>
      </c>
      <c r="AF60" s="238">
        <v>1468.46</v>
      </c>
      <c r="AG60" s="226"/>
      <c r="AH60" s="17"/>
      <c r="AI60" s="16"/>
    </row>
    <row r="61" spans="1:35" x14ac:dyDescent="0.25">
      <c r="A61" s="140">
        <v>105</v>
      </c>
      <c r="B61" s="140">
        <v>95</v>
      </c>
      <c r="C61" s="27" t="s">
        <v>1026</v>
      </c>
      <c r="D61" s="13" t="s">
        <v>126</v>
      </c>
      <c r="E61" s="13" t="s">
        <v>14</v>
      </c>
      <c r="F61" s="12" t="s">
        <v>127</v>
      </c>
      <c r="G61" s="14">
        <v>43759</v>
      </c>
      <c r="H61" s="12" t="s">
        <v>10</v>
      </c>
      <c r="I61" s="15"/>
      <c r="J61" s="240">
        <v>30</v>
      </c>
      <c r="K61" s="224">
        <v>0</v>
      </c>
      <c r="L61" s="240">
        <v>30</v>
      </c>
      <c r="M61" s="15"/>
      <c r="N61" s="16">
        <v>0</v>
      </c>
      <c r="O61" s="16">
        <v>1495</v>
      </c>
      <c r="P61" s="16"/>
      <c r="Q61" s="16"/>
      <c r="R61" s="16">
        <v>30.09</v>
      </c>
      <c r="S61" s="16"/>
      <c r="T61" s="16">
        <v>442</v>
      </c>
      <c r="U61" s="239">
        <v>442</v>
      </c>
      <c r="V61" s="241">
        <v>208.95644700000003</v>
      </c>
      <c r="W61" s="238">
        <v>208.95644700000003</v>
      </c>
      <c r="Y61" s="242">
        <v>1495</v>
      </c>
      <c r="AA61" s="238">
        <v>2786.0859600000003</v>
      </c>
      <c r="AB61" s="237">
        <v>696.52149000000009</v>
      </c>
      <c r="AC61" s="226"/>
      <c r="AD61" s="238">
        <v>497.51535000000007</v>
      </c>
      <c r="AE61" s="237">
        <v>3283.6013100000005</v>
      </c>
      <c r="AF61" s="228">
        <v>0</v>
      </c>
      <c r="AG61" s="226"/>
      <c r="AH61" s="17"/>
      <c r="AI61" s="16"/>
    </row>
    <row r="62" spans="1:35" x14ac:dyDescent="0.25">
      <c r="A62" s="140">
        <v>105</v>
      </c>
      <c r="B62" s="140">
        <v>103</v>
      </c>
      <c r="C62" s="27" t="s">
        <v>1027</v>
      </c>
      <c r="D62" s="13" t="s">
        <v>130</v>
      </c>
      <c r="E62" s="13" t="s">
        <v>14</v>
      </c>
      <c r="F62" s="12" t="s">
        <v>131</v>
      </c>
      <c r="G62" s="14">
        <v>44236</v>
      </c>
      <c r="H62" s="12" t="s">
        <v>10</v>
      </c>
      <c r="I62" s="15"/>
      <c r="J62" s="240">
        <v>30</v>
      </c>
      <c r="K62" s="224">
        <v>0</v>
      </c>
      <c r="L62" s="240">
        <v>30</v>
      </c>
      <c r="M62" s="15"/>
      <c r="N62" s="16">
        <v>0</v>
      </c>
      <c r="O62" s="16">
        <v>1495</v>
      </c>
      <c r="P62" s="16"/>
      <c r="Q62" s="16"/>
      <c r="R62" s="16">
        <v>30.09</v>
      </c>
      <c r="S62" s="16"/>
      <c r="T62" s="16">
        <v>402.5</v>
      </c>
      <c r="U62" s="239">
        <v>402.5</v>
      </c>
      <c r="V62" s="241">
        <v>102.17159099999999</v>
      </c>
      <c r="W62" s="238">
        <v>102.17159099999999</v>
      </c>
      <c r="Y62" s="242">
        <v>1495</v>
      </c>
      <c r="AA62" s="238">
        <v>831.42387999999994</v>
      </c>
      <c r="AB62" s="237">
        <v>207.85596999999999</v>
      </c>
      <c r="AC62" s="226"/>
      <c r="AD62" s="228"/>
      <c r="AE62" s="237">
        <v>831.42387999999994</v>
      </c>
      <c r="AF62" s="238">
        <v>663.58</v>
      </c>
      <c r="AG62" s="226"/>
      <c r="AH62" s="17"/>
      <c r="AI62" s="16"/>
    </row>
    <row r="63" spans="1:35" x14ac:dyDescent="0.25">
      <c r="A63" s="140">
        <v>116</v>
      </c>
      <c r="B63" s="140">
        <v>143</v>
      </c>
      <c r="C63" s="27" t="s">
        <v>715</v>
      </c>
      <c r="D63" s="13" t="s">
        <v>132</v>
      </c>
      <c r="E63" s="13" t="s">
        <v>11</v>
      </c>
      <c r="F63" s="12" t="s">
        <v>133</v>
      </c>
      <c r="G63" s="14">
        <v>43405</v>
      </c>
      <c r="H63" s="12" t="s">
        <v>10</v>
      </c>
      <c r="I63" s="15"/>
      <c r="J63" s="240">
        <v>30</v>
      </c>
      <c r="K63" s="224">
        <v>0</v>
      </c>
      <c r="L63" s="240">
        <v>30</v>
      </c>
      <c r="M63" s="15"/>
      <c r="N63" s="16">
        <v>0</v>
      </c>
      <c r="O63" s="16">
        <v>4680</v>
      </c>
      <c r="P63" s="16"/>
      <c r="Q63" s="16"/>
      <c r="R63" s="16"/>
      <c r="S63" s="16">
        <v>0</v>
      </c>
      <c r="T63" s="16"/>
      <c r="U63" s="239">
        <v>0</v>
      </c>
      <c r="V63" s="241">
        <v>280.8</v>
      </c>
      <c r="W63" s="238">
        <v>280.8</v>
      </c>
      <c r="Y63" s="242">
        <v>4680</v>
      </c>
      <c r="AA63" s="228">
        <v>0</v>
      </c>
      <c r="AB63" s="230">
        <v>0</v>
      </c>
      <c r="AC63" s="226"/>
      <c r="AD63" s="228"/>
      <c r="AE63" s="230">
        <v>0</v>
      </c>
      <c r="AF63" s="238">
        <v>4680</v>
      </c>
      <c r="AG63" s="226"/>
      <c r="AH63" s="17"/>
      <c r="AI63" s="16"/>
    </row>
    <row r="64" spans="1:35" x14ac:dyDescent="0.25">
      <c r="A64" s="140">
        <v>116</v>
      </c>
      <c r="B64" s="140">
        <v>164</v>
      </c>
      <c r="C64" s="27" t="s">
        <v>716</v>
      </c>
      <c r="D64" s="13" t="s">
        <v>140</v>
      </c>
      <c r="E64" s="13" t="s">
        <v>14</v>
      </c>
      <c r="F64" s="12" t="s">
        <v>141</v>
      </c>
      <c r="G64" s="14">
        <v>43717</v>
      </c>
      <c r="H64" s="12" t="s">
        <v>10</v>
      </c>
      <c r="I64" s="15"/>
      <c r="J64" s="240">
        <v>30</v>
      </c>
      <c r="K64" s="224">
        <v>0</v>
      </c>
      <c r="L64" s="240">
        <v>30</v>
      </c>
      <c r="M64" s="15"/>
      <c r="N64" s="16">
        <v>0</v>
      </c>
      <c r="O64" s="16">
        <v>1755.73</v>
      </c>
      <c r="P64" s="16"/>
      <c r="Q64" s="16"/>
      <c r="R64" s="16"/>
      <c r="S64" s="16">
        <v>561.6</v>
      </c>
      <c r="T64" s="16"/>
      <c r="U64" s="239">
        <v>561.6</v>
      </c>
      <c r="V64" s="241">
        <v>128.2824</v>
      </c>
      <c r="W64" s="238">
        <v>128.2824</v>
      </c>
      <c r="Y64" s="242">
        <v>1755.73</v>
      </c>
      <c r="AA64" s="238">
        <v>1529.2239999999999</v>
      </c>
      <c r="AB64" s="237">
        <v>382.30599999999998</v>
      </c>
      <c r="AC64" s="226"/>
      <c r="AD64" s="228"/>
      <c r="AE64" s="237">
        <v>1529.2239999999999</v>
      </c>
      <c r="AF64" s="238">
        <v>226.51</v>
      </c>
      <c r="AG64" s="226"/>
      <c r="AH64" s="17"/>
      <c r="AI64" s="16"/>
    </row>
    <row r="65" spans="1:35" x14ac:dyDescent="0.25">
      <c r="A65" s="140">
        <v>116</v>
      </c>
      <c r="B65" s="140">
        <v>148</v>
      </c>
      <c r="C65" s="27" t="s">
        <v>717</v>
      </c>
      <c r="D65" s="13" t="s">
        <v>138</v>
      </c>
      <c r="E65" s="13" t="s">
        <v>14</v>
      </c>
      <c r="F65" s="12" t="s">
        <v>139</v>
      </c>
      <c r="G65" s="14">
        <v>43437</v>
      </c>
      <c r="H65" s="12" t="s">
        <v>10</v>
      </c>
      <c r="I65" s="15"/>
      <c r="J65" s="240">
        <v>30</v>
      </c>
      <c r="K65" s="224">
        <v>0</v>
      </c>
      <c r="L65" s="240">
        <v>30</v>
      </c>
      <c r="M65" s="15"/>
      <c r="N65" s="16">
        <v>0</v>
      </c>
      <c r="O65" s="16">
        <v>1755.73</v>
      </c>
      <c r="P65" s="16"/>
      <c r="Q65" s="16"/>
      <c r="R65" s="16"/>
      <c r="S65" s="16">
        <v>425.04</v>
      </c>
      <c r="T65" s="16"/>
      <c r="U65" s="239">
        <v>425.04</v>
      </c>
      <c r="V65" s="241">
        <v>134.892696</v>
      </c>
      <c r="W65" s="238">
        <v>134.892696</v>
      </c>
      <c r="Y65" s="242">
        <v>1755.73</v>
      </c>
      <c r="AA65" s="238">
        <v>1798.5692800000002</v>
      </c>
      <c r="AB65" s="237">
        <v>449.64232000000004</v>
      </c>
      <c r="AC65" s="226"/>
      <c r="AD65" s="228"/>
      <c r="AE65" s="237">
        <v>1798.5692800000002</v>
      </c>
      <c r="AF65" s="228">
        <v>0</v>
      </c>
      <c r="AG65" s="226">
        <v>400</v>
      </c>
      <c r="AH65" s="17"/>
      <c r="AI65" s="16"/>
    </row>
    <row r="66" spans="1:35" x14ac:dyDescent="0.25">
      <c r="A66" s="140">
        <v>116</v>
      </c>
      <c r="B66" s="140">
        <v>146</v>
      </c>
      <c r="C66" s="27" t="s">
        <v>718</v>
      </c>
      <c r="D66" s="13" t="s">
        <v>136</v>
      </c>
      <c r="E66" s="13" t="s">
        <v>21</v>
      </c>
      <c r="F66" s="12" t="s">
        <v>137</v>
      </c>
      <c r="G66" s="14">
        <v>43431</v>
      </c>
      <c r="H66" s="12" t="s">
        <v>10</v>
      </c>
      <c r="I66" s="15"/>
      <c r="J66" s="240">
        <v>-6</v>
      </c>
      <c r="K66" s="245">
        <v>18</v>
      </c>
      <c r="L66" s="240">
        <v>12</v>
      </c>
      <c r="M66" s="15"/>
      <c r="N66" s="16">
        <v>1504.22</v>
      </c>
      <c r="O66" s="16">
        <v>0</v>
      </c>
      <c r="P66" s="16">
        <v>68.400000000000006</v>
      </c>
      <c r="Q66" s="16"/>
      <c r="R66" s="16"/>
      <c r="S66" s="16">
        <v>425.04</v>
      </c>
      <c r="T66" s="16"/>
      <c r="U66" s="239">
        <v>425.04</v>
      </c>
      <c r="V66" s="229">
        <v>0</v>
      </c>
      <c r="W66" s="238">
        <v>0</v>
      </c>
      <c r="Y66" s="242">
        <v>-300.84399999999999</v>
      </c>
      <c r="AA66" s="228"/>
      <c r="AB66" s="230"/>
      <c r="AC66" s="226"/>
      <c r="AD66" s="228"/>
      <c r="AE66" s="230">
        <v>0</v>
      </c>
      <c r="AF66" s="228">
        <v>0</v>
      </c>
      <c r="AG66" s="226">
        <v>300</v>
      </c>
      <c r="AH66" s="17"/>
      <c r="AI66" s="16"/>
    </row>
    <row r="67" spans="1:35" x14ac:dyDescent="0.25">
      <c r="A67" s="140">
        <v>116</v>
      </c>
      <c r="B67" s="140">
        <v>175</v>
      </c>
      <c r="C67" s="27" t="s">
        <v>1028</v>
      </c>
      <c r="D67" s="13" t="s">
        <v>146</v>
      </c>
      <c r="E67" s="13" t="s">
        <v>14</v>
      </c>
      <c r="F67" s="12" t="s">
        <v>147</v>
      </c>
      <c r="G67" s="14">
        <v>44092</v>
      </c>
      <c r="H67" s="12" t="s">
        <v>10</v>
      </c>
      <c r="I67" s="15"/>
      <c r="J67" s="240">
        <v>30</v>
      </c>
      <c r="K67" s="224">
        <v>0</v>
      </c>
      <c r="L67" s="240">
        <v>30</v>
      </c>
      <c r="M67" s="15"/>
      <c r="N67" s="16">
        <v>0</v>
      </c>
      <c r="O67" s="16">
        <v>1755.73</v>
      </c>
      <c r="P67" s="16"/>
      <c r="Q67" s="16"/>
      <c r="R67" s="16"/>
      <c r="S67" s="16">
        <v>0</v>
      </c>
      <c r="T67" s="16"/>
      <c r="U67" s="239">
        <v>0</v>
      </c>
      <c r="V67" s="241">
        <v>173.88458399999999</v>
      </c>
      <c r="W67" s="238">
        <v>173.88458399999999</v>
      </c>
      <c r="Y67" s="242">
        <v>1755.73</v>
      </c>
      <c r="AA67" s="238">
        <v>2318.4611199999999</v>
      </c>
      <c r="AB67" s="237">
        <v>579.61527999999998</v>
      </c>
      <c r="AC67" s="226"/>
      <c r="AD67" s="228"/>
      <c r="AE67" s="237">
        <v>2318.4611199999999</v>
      </c>
      <c r="AF67" s="228">
        <v>0</v>
      </c>
      <c r="AG67" s="226"/>
      <c r="AH67" s="17"/>
      <c r="AI67" s="16"/>
    </row>
    <row r="68" spans="1:35" x14ac:dyDescent="0.25">
      <c r="A68" s="140">
        <v>116</v>
      </c>
      <c r="B68" s="140">
        <v>170</v>
      </c>
      <c r="C68" s="27" t="s">
        <v>1029</v>
      </c>
      <c r="D68" s="13" t="s">
        <v>144</v>
      </c>
      <c r="E68" s="13" t="s">
        <v>14</v>
      </c>
      <c r="F68" s="12" t="s">
        <v>145</v>
      </c>
      <c r="G68" s="14">
        <v>44079</v>
      </c>
      <c r="H68" s="12" t="s">
        <v>10</v>
      </c>
      <c r="I68" s="15"/>
      <c r="J68" s="240">
        <v>30</v>
      </c>
      <c r="K68" s="224">
        <v>0</v>
      </c>
      <c r="L68" s="240">
        <v>30</v>
      </c>
      <c r="M68" s="15"/>
      <c r="N68" s="16">
        <v>0</v>
      </c>
      <c r="O68" s="16">
        <v>1755.73</v>
      </c>
      <c r="P68" s="16"/>
      <c r="Q68" s="16"/>
      <c r="R68" s="16"/>
      <c r="S68" s="16">
        <v>427.2</v>
      </c>
      <c r="T68" s="16"/>
      <c r="U68" s="239">
        <v>427.2</v>
      </c>
      <c r="V68" s="241">
        <v>131.534064</v>
      </c>
      <c r="W68" s="238">
        <v>131.534064</v>
      </c>
      <c r="Y68" s="242">
        <v>1755.73</v>
      </c>
      <c r="AA68" s="238">
        <v>1746.0195200000001</v>
      </c>
      <c r="AB68" s="237">
        <v>436.50488000000001</v>
      </c>
      <c r="AC68" s="226"/>
      <c r="AD68" s="228"/>
      <c r="AE68" s="237">
        <v>1746.0195200000001</v>
      </c>
      <c r="AF68" s="238">
        <v>9.7100000000000009</v>
      </c>
      <c r="AG68" s="226"/>
      <c r="AH68" s="17"/>
      <c r="AI68" s="16"/>
    </row>
    <row r="69" spans="1:35" x14ac:dyDescent="0.25">
      <c r="A69" s="140">
        <v>116</v>
      </c>
      <c r="B69" s="140">
        <v>144</v>
      </c>
      <c r="C69" s="27" t="s">
        <v>719</v>
      </c>
      <c r="D69" s="13" t="s">
        <v>134</v>
      </c>
      <c r="E69" s="13" t="s">
        <v>14</v>
      </c>
      <c r="F69" s="12" t="s">
        <v>135</v>
      </c>
      <c r="G69" s="14">
        <v>43412</v>
      </c>
      <c r="H69" s="12" t="s">
        <v>10</v>
      </c>
      <c r="I69" s="15"/>
      <c r="J69" s="240">
        <v>30</v>
      </c>
      <c r="K69" s="224">
        <v>0</v>
      </c>
      <c r="L69" s="240">
        <v>30</v>
      </c>
      <c r="M69" s="15"/>
      <c r="N69" s="16">
        <v>0</v>
      </c>
      <c r="O69" s="16">
        <v>1755.73</v>
      </c>
      <c r="P69" s="16"/>
      <c r="Q69" s="16"/>
      <c r="R69" s="16"/>
      <c r="S69" s="16">
        <v>0</v>
      </c>
      <c r="T69" s="16"/>
      <c r="U69" s="239">
        <v>0</v>
      </c>
      <c r="V69" s="241">
        <v>235.87500000000003</v>
      </c>
      <c r="W69" s="238">
        <v>235.87500000000003</v>
      </c>
      <c r="Y69" s="242">
        <v>1755.73</v>
      </c>
      <c r="AA69" s="238">
        <v>3145.0000000000005</v>
      </c>
      <c r="AB69" s="237">
        <v>786.25000000000011</v>
      </c>
      <c r="AC69" s="226"/>
      <c r="AD69" s="238">
        <v>425</v>
      </c>
      <c r="AE69" s="237">
        <v>3570.0000000000005</v>
      </c>
      <c r="AF69" s="228">
        <v>0</v>
      </c>
      <c r="AG69" s="226"/>
      <c r="AH69" s="17"/>
      <c r="AI69" s="16"/>
    </row>
    <row r="70" spans="1:35" x14ac:dyDescent="0.25">
      <c r="A70" s="140">
        <v>116</v>
      </c>
      <c r="B70" s="140">
        <v>169</v>
      </c>
      <c r="C70" s="27" t="s">
        <v>720</v>
      </c>
      <c r="D70" s="13" t="s">
        <v>142</v>
      </c>
      <c r="E70" s="13" t="s">
        <v>14</v>
      </c>
      <c r="F70" s="12" t="s">
        <v>143</v>
      </c>
      <c r="G70" s="14">
        <v>41720</v>
      </c>
      <c r="H70" s="12" t="s">
        <v>10</v>
      </c>
      <c r="I70" s="15"/>
      <c r="J70" s="240">
        <v>30</v>
      </c>
      <c r="K70" s="224">
        <v>0</v>
      </c>
      <c r="L70" s="240">
        <v>30</v>
      </c>
      <c r="M70" s="15"/>
      <c r="N70" s="16">
        <v>0</v>
      </c>
      <c r="O70" s="16">
        <v>1755.73</v>
      </c>
      <c r="P70" s="16"/>
      <c r="Q70" s="16"/>
      <c r="R70" s="16"/>
      <c r="S70" s="16">
        <v>0</v>
      </c>
      <c r="T70" s="16"/>
      <c r="U70" s="239">
        <v>0</v>
      </c>
      <c r="V70" s="241">
        <v>141.08018399999997</v>
      </c>
      <c r="W70" s="238">
        <v>141.08018399999997</v>
      </c>
      <c r="Y70" s="242">
        <v>1755.73</v>
      </c>
      <c r="AA70" s="238">
        <v>1881.0691199999999</v>
      </c>
      <c r="AB70" s="237">
        <v>470.26727999999997</v>
      </c>
      <c r="AC70" s="226">
        <v>0</v>
      </c>
      <c r="AD70" s="228"/>
      <c r="AE70" s="237">
        <v>1881.0691199999999</v>
      </c>
      <c r="AF70" s="228">
        <v>0</v>
      </c>
      <c r="AG70" s="226">
        <v>400</v>
      </c>
      <c r="AH70" s="17"/>
      <c r="AI70" s="16"/>
    </row>
    <row r="71" spans="1:35" x14ac:dyDescent="0.25">
      <c r="A71" s="140">
        <v>123</v>
      </c>
      <c r="B71" s="140">
        <v>58</v>
      </c>
      <c r="C71" s="27" t="s">
        <v>1030</v>
      </c>
      <c r="D71" s="13" t="s">
        <v>150</v>
      </c>
      <c r="E71" s="13" t="s">
        <v>14</v>
      </c>
      <c r="F71" s="12" t="s">
        <v>151</v>
      </c>
      <c r="G71" s="14">
        <v>43252</v>
      </c>
      <c r="H71" s="12" t="s">
        <v>10</v>
      </c>
      <c r="I71" s="15"/>
      <c r="J71" s="240">
        <v>30</v>
      </c>
      <c r="K71" s="224">
        <v>0</v>
      </c>
      <c r="L71" s="240">
        <v>30</v>
      </c>
      <c r="M71" s="15"/>
      <c r="N71" s="16">
        <v>0</v>
      </c>
      <c r="O71" s="16">
        <v>1189</v>
      </c>
      <c r="P71" s="16"/>
      <c r="Q71" s="16">
        <v>60</v>
      </c>
      <c r="R71" s="16">
        <v>15</v>
      </c>
      <c r="S71" s="16"/>
      <c r="T71" s="16">
        <v>496.8</v>
      </c>
      <c r="U71" s="239">
        <v>496.8</v>
      </c>
      <c r="V71" s="241">
        <v>110.66364750000001</v>
      </c>
      <c r="W71" s="238">
        <v>110.66364750000001</v>
      </c>
      <c r="Y71" s="242">
        <v>1189</v>
      </c>
      <c r="AA71" s="238">
        <v>1475.5153000000003</v>
      </c>
      <c r="AB71" s="237">
        <v>368.87882500000006</v>
      </c>
      <c r="AC71" s="226"/>
      <c r="AD71" s="228"/>
      <c r="AE71" s="237">
        <v>1475.5153000000003</v>
      </c>
      <c r="AF71" s="228">
        <v>0</v>
      </c>
      <c r="AG71" s="226"/>
      <c r="AH71" s="17"/>
      <c r="AI71" s="16"/>
    </row>
    <row r="72" spans="1:35" x14ac:dyDescent="0.25">
      <c r="A72" s="140">
        <v>123</v>
      </c>
      <c r="B72" s="140">
        <v>69</v>
      </c>
      <c r="C72" s="27" t="s">
        <v>1031</v>
      </c>
      <c r="D72" s="13" t="s">
        <v>154</v>
      </c>
      <c r="E72" s="13" t="s">
        <v>14</v>
      </c>
      <c r="F72" s="12" t="s">
        <v>155</v>
      </c>
      <c r="G72" s="14">
        <v>43573</v>
      </c>
      <c r="H72" s="12" t="s">
        <v>10</v>
      </c>
      <c r="I72" s="15"/>
      <c r="J72" s="240">
        <v>30</v>
      </c>
      <c r="K72" s="224">
        <v>0</v>
      </c>
      <c r="L72" s="240">
        <v>30</v>
      </c>
      <c r="M72" s="15"/>
      <c r="N72" s="16">
        <v>0</v>
      </c>
      <c r="O72" s="16">
        <v>1189</v>
      </c>
      <c r="P72" s="16"/>
      <c r="Q72" s="16">
        <v>60</v>
      </c>
      <c r="R72" s="16">
        <v>15</v>
      </c>
      <c r="S72" s="16"/>
      <c r="T72" s="16">
        <v>496.8</v>
      </c>
      <c r="U72" s="239">
        <v>496.8</v>
      </c>
      <c r="V72" s="241">
        <v>177.34527449999999</v>
      </c>
      <c r="W72" s="238">
        <v>177.34527449999999</v>
      </c>
      <c r="Y72" s="242">
        <v>1189</v>
      </c>
      <c r="AA72" s="238">
        <v>2364.6036599999998</v>
      </c>
      <c r="AB72" s="237">
        <v>591.15091499999994</v>
      </c>
      <c r="AC72" s="226"/>
      <c r="AD72" s="238">
        <v>288.36630000000002</v>
      </c>
      <c r="AE72" s="237">
        <v>2652.9699599999999</v>
      </c>
      <c r="AF72" s="228">
        <v>0</v>
      </c>
      <c r="AG72" s="226"/>
      <c r="AH72" s="17"/>
      <c r="AI72" s="16"/>
    </row>
    <row r="73" spans="1:35" x14ac:dyDescent="0.25">
      <c r="A73" s="140">
        <v>123</v>
      </c>
      <c r="B73" s="140">
        <v>81</v>
      </c>
      <c r="C73" s="27" t="s">
        <v>1032</v>
      </c>
      <c r="D73" s="13" t="s">
        <v>162</v>
      </c>
      <c r="E73" s="13" t="s">
        <v>14</v>
      </c>
      <c r="F73" s="12" t="s">
        <v>163</v>
      </c>
      <c r="G73" s="14">
        <v>44371</v>
      </c>
      <c r="H73" s="12" t="s">
        <v>10</v>
      </c>
      <c r="I73" s="15"/>
      <c r="J73" s="240">
        <v>30</v>
      </c>
      <c r="K73" s="224">
        <v>0</v>
      </c>
      <c r="L73" s="240">
        <v>30</v>
      </c>
      <c r="M73" s="15"/>
      <c r="N73" s="16">
        <v>0</v>
      </c>
      <c r="O73" s="16">
        <v>1189</v>
      </c>
      <c r="P73" s="16"/>
      <c r="Q73" s="16"/>
      <c r="R73" s="16">
        <v>68.599999999999994</v>
      </c>
      <c r="S73" s="16"/>
      <c r="T73" s="16">
        <v>369.6</v>
      </c>
      <c r="U73" s="239">
        <v>369.6</v>
      </c>
      <c r="V73" s="241">
        <v>71.34</v>
      </c>
      <c r="W73" s="238">
        <v>71.34</v>
      </c>
      <c r="Y73" s="242">
        <v>1189</v>
      </c>
      <c r="AA73" s="228"/>
      <c r="AB73" s="230"/>
      <c r="AC73" s="226"/>
      <c r="AD73" s="228"/>
      <c r="AE73" s="230">
        <v>0</v>
      </c>
      <c r="AF73" s="238">
        <v>1189</v>
      </c>
      <c r="AG73" s="226"/>
      <c r="AH73" s="17"/>
      <c r="AI73" s="16"/>
    </row>
    <row r="74" spans="1:35" x14ac:dyDescent="0.25">
      <c r="A74" s="140">
        <v>123</v>
      </c>
      <c r="B74" s="140">
        <v>75</v>
      </c>
      <c r="C74" s="27" t="s">
        <v>1033</v>
      </c>
      <c r="D74" s="13" t="s">
        <v>158</v>
      </c>
      <c r="E74" s="13" t="s">
        <v>14</v>
      </c>
      <c r="F74" s="12" t="s">
        <v>159</v>
      </c>
      <c r="G74" s="14">
        <v>43808</v>
      </c>
      <c r="H74" s="12" t="s">
        <v>10</v>
      </c>
      <c r="I74" s="15"/>
      <c r="J74" s="240">
        <v>30</v>
      </c>
      <c r="K74" s="224">
        <v>0</v>
      </c>
      <c r="L74" s="240">
        <v>30</v>
      </c>
      <c r="M74" s="15"/>
      <c r="N74" s="16">
        <v>0</v>
      </c>
      <c r="O74" s="16">
        <v>1189</v>
      </c>
      <c r="P74" s="16"/>
      <c r="Q74" s="16">
        <v>60</v>
      </c>
      <c r="R74" s="16">
        <v>15</v>
      </c>
      <c r="S74" s="16"/>
      <c r="T74" s="16">
        <v>412.8</v>
      </c>
      <c r="U74" s="239">
        <v>412.8</v>
      </c>
      <c r="V74" s="241">
        <v>242.57920500000003</v>
      </c>
      <c r="W74" s="238">
        <v>242.57920500000003</v>
      </c>
      <c r="Y74" s="242">
        <v>1189</v>
      </c>
      <c r="AA74" s="238">
        <v>3234.3894000000005</v>
      </c>
      <c r="AB74" s="237">
        <v>808.59735000000012</v>
      </c>
      <c r="AC74" s="226"/>
      <c r="AD74" s="238">
        <v>367.54425000000003</v>
      </c>
      <c r="AE74" s="237">
        <v>3601.9336500000004</v>
      </c>
      <c r="AF74" s="228">
        <v>0</v>
      </c>
      <c r="AG74" s="226"/>
      <c r="AH74" s="17"/>
      <c r="AI74" s="16"/>
    </row>
    <row r="75" spans="1:35" x14ac:dyDescent="0.25">
      <c r="A75" s="140">
        <v>123</v>
      </c>
      <c r="B75" s="140">
        <v>76</v>
      </c>
      <c r="C75" s="27" t="s">
        <v>1034</v>
      </c>
      <c r="D75" s="13" t="s">
        <v>160</v>
      </c>
      <c r="E75" s="13" t="s">
        <v>21</v>
      </c>
      <c r="F75" s="12" t="s">
        <v>161</v>
      </c>
      <c r="G75" s="14">
        <v>44084</v>
      </c>
      <c r="H75" s="12" t="s">
        <v>10</v>
      </c>
      <c r="I75" s="15"/>
      <c r="J75" s="240">
        <v>30</v>
      </c>
      <c r="K75" s="224">
        <v>0</v>
      </c>
      <c r="L75" s="240">
        <v>30</v>
      </c>
      <c r="M75" s="15"/>
      <c r="N75" s="16">
        <v>1189</v>
      </c>
      <c r="O75" s="16">
        <v>0</v>
      </c>
      <c r="P75" s="16">
        <v>118.9</v>
      </c>
      <c r="Q75" s="16">
        <v>60</v>
      </c>
      <c r="R75" s="16">
        <v>15</v>
      </c>
      <c r="S75" s="16"/>
      <c r="T75" s="16">
        <v>197.8</v>
      </c>
      <c r="U75" s="239">
        <v>197.8</v>
      </c>
      <c r="V75" s="241">
        <v>71.34</v>
      </c>
      <c r="W75" s="238">
        <v>71.34</v>
      </c>
      <c r="Y75" s="242">
        <v>1189</v>
      </c>
      <c r="AA75" s="228"/>
      <c r="AB75" s="230"/>
      <c r="AC75" s="226"/>
      <c r="AD75" s="228"/>
      <c r="AE75" s="230">
        <v>0</v>
      </c>
      <c r="AF75" s="238">
        <v>1189</v>
      </c>
      <c r="AG75" s="226"/>
      <c r="AH75" s="17"/>
      <c r="AI75" s="16"/>
    </row>
    <row r="76" spans="1:35" x14ac:dyDescent="0.25">
      <c r="A76" s="140">
        <v>123</v>
      </c>
      <c r="B76" s="140">
        <v>68</v>
      </c>
      <c r="C76" s="27" t="s">
        <v>1035</v>
      </c>
      <c r="D76" s="13" t="s">
        <v>152</v>
      </c>
      <c r="E76" s="13" t="s">
        <v>11</v>
      </c>
      <c r="F76" s="12" t="s">
        <v>153</v>
      </c>
      <c r="G76" s="14">
        <v>43560</v>
      </c>
      <c r="H76" s="12" t="s">
        <v>10</v>
      </c>
      <c r="I76" s="15"/>
      <c r="J76" s="240">
        <v>30</v>
      </c>
      <c r="K76" s="224">
        <v>0</v>
      </c>
      <c r="L76" s="240">
        <v>30</v>
      </c>
      <c r="M76" s="15"/>
      <c r="N76" s="16">
        <v>0</v>
      </c>
      <c r="O76" s="16">
        <v>4676.3999999999996</v>
      </c>
      <c r="P76" s="16"/>
      <c r="Q76" s="16">
        <v>60</v>
      </c>
      <c r="R76" s="16">
        <v>15</v>
      </c>
      <c r="S76" s="16"/>
      <c r="T76" s="16">
        <v>561.6</v>
      </c>
      <c r="U76" s="239">
        <v>561.6</v>
      </c>
      <c r="V76" s="241">
        <v>280.58399999999995</v>
      </c>
      <c r="W76" s="238">
        <v>280.58399999999995</v>
      </c>
      <c r="Y76" s="242">
        <v>4676.3999999999996</v>
      </c>
      <c r="AA76" s="228"/>
      <c r="AB76" s="230"/>
      <c r="AC76" s="226"/>
      <c r="AD76" s="228"/>
      <c r="AE76" s="230">
        <v>0</v>
      </c>
      <c r="AF76" s="238">
        <v>4676.3999999999996</v>
      </c>
      <c r="AG76" s="226"/>
      <c r="AH76" s="17"/>
      <c r="AI76" s="16"/>
    </row>
    <row r="77" spans="1:35" x14ac:dyDescent="0.25">
      <c r="A77" s="140">
        <v>123</v>
      </c>
      <c r="B77" s="140">
        <v>36</v>
      </c>
      <c r="C77" s="27" t="s">
        <v>1036</v>
      </c>
      <c r="D77" s="13" t="s">
        <v>148</v>
      </c>
      <c r="E77" s="13" t="s">
        <v>14</v>
      </c>
      <c r="F77" s="12" t="s">
        <v>149</v>
      </c>
      <c r="G77" s="14">
        <v>42564</v>
      </c>
      <c r="H77" s="12" t="s">
        <v>10</v>
      </c>
      <c r="I77" s="15"/>
      <c r="J77" s="240">
        <v>30</v>
      </c>
      <c r="K77" s="224">
        <v>0</v>
      </c>
      <c r="L77" s="240">
        <v>30</v>
      </c>
      <c r="M77" s="15"/>
      <c r="N77" s="16">
        <v>0</v>
      </c>
      <c r="O77" s="16">
        <v>1189</v>
      </c>
      <c r="P77" s="16"/>
      <c r="Q77" s="16">
        <v>60</v>
      </c>
      <c r="R77" s="16">
        <v>15</v>
      </c>
      <c r="S77" s="16"/>
      <c r="T77" s="16">
        <v>518.4</v>
      </c>
      <c r="U77" s="239">
        <v>518.4</v>
      </c>
      <c r="V77" s="241">
        <v>140.59907849999999</v>
      </c>
      <c r="W77" s="238">
        <v>140.59907849999999</v>
      </c>
      <c r="Y77" s="242">
        <v>1189</v>
      </c>
      <c r="AA77" s="238">
        <v>1874.6543799999999</v>
      </c>
      <c r="AB77" s="237">
        <v>468.66359499999999</v>
      </c>
      <c r="AC77" s="226">
        <v>400</v>
      </c>
      <c r="AD77" s="238">
        <v>246.66505000000001</v>
      </c>
      <c r="AE77" s="237">
        <v>2121.31943</v>
      </c>
      <c r="AF77" s="228">
        <v>0</v>
      </c>
      <c r="AG77" s="226">
        <v>300</v>
      </c>
      <c r="AH77" s="17"/>
      <c r="AI77" s="16"/>
    </row>
    <row r="78" spans="1:35" x14ac:dyDescent="0.25">
      <c r="A78" s="140">
        <v>123</v>
      </c>
      <c r="B78" s="140">
        <v>70</v>
      </c>
      <c r="C78" s="27" t="s">
        <v>1037</v>
      </c>
      <c r="D78" s="13" t="s">
        <v>156</v>
      </c>
      <c r="E78" s="13" t="s">
        <v>14</v>
      </c>
      <c r="F78" s="12" t="s">
        <v>157</v>
      </c>
      <c r="G78" s="14">
        <v>43718</v>
      </c>
      <c r="H78" s="12" t="s">
        <v>10</v>
      </c>
      <c r="I78" s="15"/>
      <c r="J78" s="240">
        <v>30</v>
      </c>
      <c r="K78" s="224">
        <v>0</v>
      </c>
      <c r="L78" s="240">
        <v>30</v>
      </c>
      <c r="M78" s="15"/>
      <c r="N78" s="16">
        <v>0</v>
      </c>
      <c r="O78" s="16">
        <v>1189</v>
      </c>
      <c r="P78" s="16"/>
      <c r="Q78" s="16">
        <v>60</v>
      </c>
      <c r="R78" s="16">
        <v>15</v>
      </c>
      <c r="S78" s="16"/>
      <c r="T78" s="16">
        <v>206.4</v>
      </c>
      <c r="U78" s="239">
        <v>206.4</v>
      </c>
      <c r="V78" s="241">
        <v>153.40278899999998</v>
      </c>
      <c r="W78" s="238">
        <v>153.40278899999998</v>
      </c>
      <c r="Y78" s="242">
        <v>1189</v>
      </c>
      <c r="AA78" s="238">
        <v>2045.3705199999999</v>
      </c>
      <c r="AB78" s="237">
        <v>511.34262999999999</v>
      </c>
      <c r="AC78" s="226">
        <v>400</v>
      </c>
      <c r="AD78" s="238">
        <v>269.1277</v>
      </c>
      <c r="AE78" s="237">
        <v>2314.4982199999999</v>
      </c>
      <c r="AF78" s="228">
        <v>0</v>
      </c>
      <c r="AG78" s="226">
        <v>300</v>
      </c>
      <c r="AH78" s="17"/>
      <c r="AI78" s="16"/>
    </row>
    <row r="79" spans="1:35" x14ac:dyDescent="0.25">
      <c r="A79" s="135">
        <v>124</v>
      </c>
      <c r="B79" s="135">
        <v>32</v>
      </c>
      <c r="C79" s="29" t="s">
        <v>1038</v>
      </c>
      <c r="D79" s="30" t="s">
        <v>168</v>
      </c>
      <c r="E79" s="30" t="s">
        <v>11</v>
      </c>
      <c r="F79" s="31" t="s">
        <v>169</v>
      </c>
      <c r="G79" s="32">
        <v>42681</v>
      </c>
      <c r="H79" s="31" t="s">
        <v>10</v>
      </c>
      <c r="I79" s="33"/>
      <c r="J79" s="240">
        <v>30</v>
      </c>
      <c r="K79" s="224">
        <v>0</v>
      </c>
      <c r="L79" s="240">
        <v>30</v>
      </c>
      <c r="M79" s="33"/>
      <c r="N79" s="34">
        <v>0</v>
      </c>
      <c r="O79" s="34">
        <v>5272.5</v>
      </c>
      <c r="P79" s="34"/>
      <c r="Q79" s="34">
        <v>73.14</v>
      </c>
      <c r="R79" s="34"/>
      <c r="S79" s="16">
        <v>0</v>
      </c>
      <c r="T79" s="34"/>
      <c r="U79" s="239">
        <v>0</v>
      </c>
      <c r="V79" s="241">
        <v>316.34999999999997</v>
      </c>
      <c r="W79" s="238">
        <v>316.34999999999997</v>
      </c>
      <c r="X79" s="36"/>
      <c r="Y79" s="242">
        <v>5272.5</v>
      </c>
      <c r="AA79" s="228"/>
      <c r="AB79" s="230"/>
      <c r="AC79" s="226"/>
      <c r="AD79" s="228"/>
      <c r="AE79" s="230">
        <v>0</v>
      </c>
      <c r="AF79" s="238">
        <v>5272.5</v>
      </c>
      <c r="AG79" s="226"/>
      <c r="AH79" s="35"/>
      <c r="AI79" s="16"/>
    </row>
    <row r="80" spans="1:35" x14ac:dyDescent="0.25">
      <c r="A80" s="140">
        <v>124</v>
      </c>
      <c r="B80" s="140">
        <v>2</v>
      </c>
      <c r="C80" s="27" t="s">
        <v>1039</v>
      </c>
      <c r="D80" s="13" t="s">
        <v>164</v>
      </c>
      <c r="E80" s="13" t="s">
        <v>14</v>
      </c>
      <c r="F80" s="12" t="s">
        <v>165</v>
      </c>
      <c r="G80" s="14">
        <v>41929</v>
      </c>
      <c r="H80" s="12" t="s">
        <v>10</v>
      </c>
      <c r="I80" s="15"/>
      <c r="J80" s="240">
        <v>30</v>
      </c>
      <c r="K80" s="224">
        <v>0</v>
      </c>
      <c r="L80" s="240">
        <v>30</v>
      </c>
      <c r="M80" s="15"/>
      <c r="N80" s="16">
        <v>0</v>
      </c>
      <c r="O80" s="16">
        <v>1214.54</v>
      </c>
      <c r="P80" s="16"/>
      <c r="Q80" s="16">
        <v>73.14</v>
      </c>
      <c r="R80" s="16"/>
      <c r="S80" s="16">
        <v>0</v>
      </c>
      <c r="T80" s="16"/>
      <c r="U80" s="239">
        <v>0</v>
      </c>
      <c r="V80" s="241">
        <v>194.58038400000001</v>
      </c>
      <c r="W80" s="238">
        <v>194.58038400000001</v>
      </c>
      <c r="Y80" s="242">
        <v>1214.54</v>
      </c>
      <c r="AA80" s="238">
        <v>2594.4051200000004</v>
      </c>
      <c r="AB80" s="237">
        <v>648.60128000000009</v>
      </c>
      <c r="AC80" s="226">
        <v>400</v>
      </c>
      <c r="AD80" s="238">
        <v>405.37580000000003</v>
      </c>
      <c r="AE80" s="237">
        <v>2999.7809200000002</v>
      </c>
      <c r="AF80" s="228">
        <v>0</v>
      </c>
      <c r="AG80" s="226">
        <v>400</v>
      </c>
      <c r="AH80" s="17"/>
      <c r="AI80" s="16"/>
    </row>
    <row r="81" spans="1:35" s="36" customFormat="1" x14ac:dyDescent="0.25">
      <c r="A81" s="140">
        <v>124</v>
      </c>
      <c r="B81" s="140">
        <v>19</v>
      </c>
      <c r="C81" s="27" t="s">
        <v>1040</v>
      </c>
      <c r="D81" s="13" t="s">
        <v>166</v>
      </c>
      <c r="E81" s="13" t="s">
        <v>21</v>
      </c>
      <c r="F81" s="12" t="s">
        <v>167</v>
      </c>
      <c r="G81" s="14">
        <v>42082</v>
      </c>
      <c r="H81" s="12" t="s">
        <v>10</v>
      </c>
      <c r="I81" s="15"/>
      <c r="J81" s="240">
        <v>30</v>
      </c>
      <c r="K81" s="224">
        <v>0</v>
      </c>
      <c r="L81" s="240">
        <v>30</v>
      </c>
      <c r="M81" s="15"/>
      <c r="N81" s="16">
        <v>1420.42</v>
      </c>
      <c r="O81" s="16">
        <v>0</v>
      </c>
      <c r="P81" s="16">
        <v>142.042</v>
      </c>
      <c r="Q81" s="16">
        <v>73.14</v>
      </c>
      <c r="R81" s="16"/>
      <c r="S81" s="16">
        <v>0</v>
      </c>
      <c r="T81" s="16"/>
      <c r="U81" s="239">
        <v>0</v>
      </c>
      <c r="V81" s="241">
        <v>85.225200000000001</v>
      </c>
      <c r="W81" s="238">
        <v>85.225200000000001</v>
      </c>
      <c r="X81" s="10"/>
      <c r="Y81" s="242">
        <v>1420.42</v>
      </c>
      <c r="Z81" s="10"/>
      <c r="AA81" s="228"/>
      <c r="AB81" s="230"/>
      <c r="AC81" s="226"/>
      <c r="AD81" s="228"/>
      <c r="AE81" s="230">
        <v>0</v>
      </c>
      <c r="AF81" s="238">
        <v>1420.42</v>
      </c>
      <c r="AG81" s="226">
        <v>100</v>
      </c>
      <c r="AH81" s="17"/>
      <c r="AI81" s="16"/>
    </row>
    <row r="82" spans="1:35" x14ac:dyDescent="0.25">
      <c r="A82" s="140">
        <v>124</v>
      </c>
      <c r="B82" s="140">
        <v>49</v>
      </c>
      <c r="C82" s="27" t="s">
        <v>1041</v>
      </c>
      <c r="D82" s="13" t="s">
        <v>174</v>
      </c>
      <c r="E82" s="13" t="s">
        <v>14</v>
      </c>
      <c r="F82" s="12" t="s">
        <v>175</v>
      </c>
      <c r="G82" s="14">
        <v>44166</v>
      </c>
      <c r="H82" s="12" t="s">
        <v>10</v>
      </c>
      <c r="I82" s="15"/>
      <c r="J82" s="240">
        <v>30</v>
      </c>
      <c r="K82" s="224">
        <v>0</v>
      </c>
      <c r="L82" s="240">
        <v>30</v>
      </c>
      <c r="M82" s="15"/>
      <c r="N82" s="16">
        <v>0</v>
      </c>
      <c r="O82" s="16">
        <v>1214.54</v>
      </c>
      <c r="P82" s="16"/>
      <c r="Q82" s="16">
        <v>73.14</v>
      </c>
      <c r="R82" s="16"/>
      <c r="S82" s="16">
        <v>0</v>
      </c>
      <c r="T82" s="16"/>
      <c r="U82" s="239">
        <v>0</v>
      </c>
      <c r="V82" s="241">
        <v>138.97216799999998</v>
      </c>
      <c r="W82" s="238">
        <v>138.97216799999998</v>
      </c>
      <c r="Y82" s="242">
        <v>1214.54</v>
      </c>
      <c r="AA82" s="238">
        <v>1852.9622400000001</v>
      </c>
      <c r="AB82" s="237">
        <v>463.24056000000002</v>
      </c>
      <c r="AC82" s="226"/>
      <c r="AD82" s="238">
        <v>289.52535</v>
      </c>
      <c r="AE82" s="237">
        <v>2142.4875900000002</v>
      </c>
      <c r="AF82" s="228">
        <v>0</v>
      </c>
      <c r="AG82" s="226"/>
      <c r="AH82" s="17"/>
      <c r="AI82" s="16"/>
    </row>
    <row r="83" spans="1:35" x14ac:dyDescent="0.25">
      <c r="A83" s="140">
        <v>124</v>
      </c>
      <c r="B83" s="140">
        <v>40</v>
      </c>
      <c r="C83" s="27" t="s">
        <v>1042</v>
      </c>
      <c r="D83" s="13" t="s">
        <v>172</v>
      </c>
      <c r="E83" s="13" t="s">
        <v>14</v>
      </c>
      <c r="F83" s="12" t="s">
        <v>173</v>
      </c>
      <c r="G83" s="14">
        <v>42980</v>
      </c>
      <c r="H83" s="12" t="s">
        <v>10</v>
      </c>
      <c r="I83" s="15"/>
      <c r="J83" s="240">
        <v>30</v>
      </c>
      <c r="K83" s="224">
        <v>0</v>
      </c>
      <c r="L83" s="240">
        <v>30</v>
      </c>
      <c r="M83" s="15"/>
      <c r="N83" s="16">
        <v>0</v>
      </c>
      <c r="O83" s="16">
        <v>1214.54</v>
      </c>
      <c r="P83" s="16"/>
      <c r="Q83" s="16">
        <v>73.14</v>
      </c>
      <c r="R83" s="16"/>
      <c r="S83" s="16">
        <v>0</v>
      </c>
      <c r="T83" s="16"/>
      <c r="U83" s="239">
        <v>0</v>
      </c>
      <c r="V83" s="241">
        <v>80.635607999999991</v>
      </c>
      <c r="W83" s="238">
        <v>80.635607999999991</v>
      </c>
      <c r="Y83" s="242">
        <v>1214.54</v>
      </c>
      <c r="AA83" s="238">
        <v>517.54944</v>
      </c>
      <c r="AB83" s="237">
        <v>129.38736</v>
      </c>
      <c r="AC83" s="226"/>
      <c r="AD83" s="228"/>
      <c r="AE83" s="237">
        <v>517.54944</v>
      </c>
      <c r="AF83" s="238">
        <v>696.99</v>
      </c>
      <c r="AG83" s="226"/>
      <c r="AH83" s="17"/>
      <c r="AI83" s="16"/>
    </row>
    <row r="84" spans="1:35" x14ac:dyDescent="0.25">
      <c r="A84" s="140">
        <v>124</v>
      </c>
      <c r="B84" s="140">
        <v>39</v>
      </c>
      <c r="C84" s="27" t="s">
        <v>1043</v>
      </c>
      <c r="D84" s="13" t="s">
        <v>170</v>
      </c>
      <c r="E84" s="13" t="s">
        <v>14</v>
      </c>
      <c r="F84" s="12" t="s">
        <v>171</v>
      </c>
      <c r="G84" s="14">
        <v>42956</v>
      </c>
      <c r="H84" s="12" t="s">
        <v>10</v>
      </c>
      <c r="I84" s="15"/>
      <c r="J84" s="240">
        <v>30</v>
      </c>
      <c r="K84" s="224">
        <v>0</v>
      </c>
      <c r="L84" s="240">
        <v>30</v>
      </c>
      <c r="M84" s="15"/>
      <c r="N84" s="16">
        <v>0</v>
      </c>
      <c r="O84" s="16">
        <v>1214.54</v>
      </c>
      <c r="P84" s="16"/>
      <c r="Q84" s="16">
        <v>73.14</v>
      </c>
      <c r="R84" s="16"/>
      <c r="S84" s="16">
        <v>0</v>
      </c>
      <c r="T84" s="16"/>
      <c r="U84" s="239">
        <v>0</v>
      </c>
      <c r="V84" s="241">
        <v>158.04458399999999</v>
      </c>
      <c r="W84" s="238">
        <v>158.04458399999999</v>
      </c>
      <c r="Y84" s="242">
        <v>1214.54</v>
      </c>
      <c r="AA84" s="238">
        <v>2107.2611200000001</v>
      </c>
      <c r="AB84" s="237">
        <v>526.81528000000003</v>
      </c>
      <c r="AC84" s="226"/>
      <c r="AD84" s="238">
        <v>329.25955000000005</v>
      </c>
      <c r="AE84" s="237">
        <v>2436.5206700000003</v>
      </c>
      <c r="AF84" s="228">
        <v>0</v>
      </c>
      <c r="AG84" s="226"/>
      <c r="AH84" s="17"/>
      <c r="AI84" s="16"/>
    </row>
    <row r="85" spans="1:35" x14ac:dyDescent="0.25">
      <c r="A85" s="140">
        <v>125</v>
      </c>
      <c r="B85" s="140">
        <v>38</v>
      </c>
      <c r="C85" s="27" t="s">
        <v>1044</v>
      </c>
      <c r="D85" s="13" t="s">
        <v>180</v>
      </c>
      <c r="E85" s="13" t="s">
        <v>14</v>
      </c>
      <c r="F85" s="12" t="s">
        <v>181</v>
      </c>
      <c r="G85" s="14">
        <v>43245</v>
      </c>
      <c r="H85" s="12" t="s">
        <v>182</v>
      </c>
      <c r="I85" s="15"/>
      <c r="J85" s="240">
        <v>30</v>
      </c>
      <c r="K85" s="224">
        <v>0</v>
      </c>
      <c r="L85" s="240">
        <v>30</v>
      </c>
      <c r="M85" s="15"/>
      <c r="N85" s="16">
        <v>0</v>
      </c>
      <c r="O85" s="16">
        <v>1112</v>
      </c>
      <c r="P85" s="16"/>
      <c r="Q85" s="16"/>
      <c r="R85" s="16"/>
      <c r="S85" s="16">
        <v>0</v>
      </c>
      <c r="T85" s="16"/>
      <c r="U85" s="239">
        <v>0</v>
      </c>
      <c r="V85" s="241">
        <v>66.72</v>
      </c>
      <c r="W85" s="238">
        <v>66.72</v>
      </c>
      <c r="Y85" s="242">
        <v>1112</v>
      </c>
      <c r="AA85" s="228"/>
      <c r="AB85" s="230"/>
      <c r="AC85" s="226"/>
      <c r="AD85" s="228"/>
      <c r="AE85" s="230">
        <v>0</v>
      </c>
      <c r="AF85" s="238">
        <v>1112</v>
      </c>
      <c r="AG85" s="226"/>
      <c r="AH85" s="17"/>
      <c r="AI85" s="16"/>
    </row>
    <row r="86" spans="1:35" x14ac:dyDescent="0.25">
      <c r="A86" s="140">
        <v>125</v>
      </c>
      <c r="B86" s="140">
        <v>25</v>
      </c>
      <c r="C86" s="27" t="s">
        <v>1045</v>
      </c>
      <c r="D86" s="13" t="s">
        <v>176</v>
      </c>
      <c r="E86" s="13" t="s">
        <v>11</v>
      </c>
      <c r="F86" s="12" t="s">
        <v>177</v>
      </c>
      <c r="G86" s="14">
        <v>41996</v>
      </c>
      <c r="H86" s="12" t="s">
        <v>10</v>
      </c>
      <c r="I86" s="15"/>
      <c r="J86" s="240">
        <v>30</v>
      </c>
      <c r="K86" s="224">
        <v>0</v>
      </c>
      <c r="L86" s="240">
        <v>30</v>
      </c>
      <c r="M86" s="15"/>
      <c r="N86" s="16">
        <v>0</v>
      </c>
      <c r="O86" s="16">
        <v>4500</v>
      </c>
      <c r="P86" s="16"/>
      <c r="Q86" s="16"/>
      <c r="R86" s="16"/>
      <c r="S86" s="16">
        <v>0</v>
      </c>
      <c r="T86" s="16"/>
      <c r="U86" s="239">
        <v>0</v>
      </c>
      <c r="V86" s="241">
        <v>270</v>
      </c>
      <c r="W86" s="238">
        <v>270</v>
      </c>
      <c r="Y86" s="242">
        <v>4500</v>
      </c>
      <c r="AA86" s="228"/>
      <c r="AB86" s="230"/>
      <c r="AC86" s="226"/>
      <c r="AD86" s="228"/>
      <c r="AE86" s="230">
        <v>0</v>
      </c>
      <c r="AF86" s="238">
        <v>4500</v>
      </c>
      <c r="AG86" s="226"/>
      <c r="AH86" s="17"/>
      <c r="AI86" s="16"/>
    </row>
    <row r="87" spans="1:35" x14ac:dyDescent="0.25">
      <c r="A87" s="140">
        <v>125</v>
      </c>
      <c r="B87" s="140">
        <v>54</v>
      </c>
      <c r="C87" s="27" t="s">
        <v>1046</v>
      </c>
      <c r="D87" s="13" t="s">
        <v>185</v>
      </c>
      <c r="E87" s="13" t="s">
        <v>14</v>
      </c>
      <c r="F87" s="12" t="s">
        <v>186</v>
      </c>
      <c r="G87" s="14">
        <v>43900</v>
      </c>
      <c r="H87" s="12" t="s">
        <v>10</v>
      </c>
      <c r="I87" s="15"/>
      <c r="J87" s="240">
        <v>30</v>
      </c>
      <c r="K87" s="224">
        <v>0</v>
      </c>
      <c r="L87" s="240">
        <v>30</v>
      </c>
      <c r="M87" s="15"/>
      <c r="N87" s="16">
        <v>0</v>
      </c>
      <c r="O87" s="16">
        <v>1112</v>
      </c>
      <c r="P87" s="16"/>
      <c r="Q87" s="16"/>
      <c r="R87" s="16"/>
      <c r="S87" s="16">
        <v>340.8</v>
      </c>
      <c r="T87" s="16"/>
      <c r="U87" s="239">
        <v>340.8</v>
      </c>
      <c r="V87" s="241">
        <v>95.425616999999988</v>
      </c>
      <c r="W87" s="238">
        <v>95.425616999999988</v>
      </c>
      <c r="Y87" s="242">
        <v>1112</v>
      </c>
      <c r="AA87" s="238">
        <v>1272.3415599999998</v>
      </c>
      <c r="AB87" s="237">
        <v>318.08538999999996</v>
      </c>
      <c r="AC87" s="226"/>
      <c r="AD87" s="228"/>
      <c r="AE87" s="237">
        <v>1272.3415599999998</v>
      </c>
      <c r="AF87" s="228">
        <v>0</v>
      </c>
      <c r="AG87" s="226"/>
      <c r="AH87" s="17"/>
      <c r="AI87" s="16"/>
    </row>
    <row r="88" spans="1:35" x14ac:dyDescent="0.25">
      <c r="A88" s="140">
        <v>125</v>
      </c>
      <c r="B88" s="140">
        <v>48</v>
      </c>
      <c r="C88" s="27" t="s">
        <v>1047</v>
      </c>
      <c r="D88" s="13" t="s">
        <v>183</v>
      </c>
      <c r="E88" s="13" t="s">
        <v>14</v>
      </c>
      <c r="F88" s="12" t="s">
        <v>184</v>
      </c>
      <c r="G88" s="14">
        <v>43787</v>
      </c>
      <c r="H88" s="12" t="s">
        <v>10</v>
      </c>
      <c r="I88" s="15"/>
      <c r="J88" s="240">
        <v>-106</v>
      </c>
      <c r="K88" s="245">
        <v>68</v>
      </c>
      <c r="L88" s="240">
        <v>-38</v>
      </c>
      <c r="M88" s="15"/>
      <c r="N88" s="16">
        <v>0</v>
      </c>
      <c r="O88" s="16">
        <v>1112</v>
      </c>
      <c r="P88" s="16"/>
      <c r="Q88" s="16"/>
      <c r="R88" s="16"/>
      <c r="S88" s="16">
        <v>0</v>
      </c>
      <c r="T88" s="16"/>
      <c r="U88" s="239">
        <v>0</v>
      </c>
      <c r="V88" s="229">
        <v>0</v>
      </c>
      <c r="W88" s="238">
        <v>0</v>
      </c>
      <c r="Y88" s="242">
        <v>-3929.0666666666671</v>
      </c>
      <c r="AA88" s="228"/>
      <c r="AB88" s="230"/>
      <c r="AC88" s="226"/>
      <c r="AD88" s="228"/>
      <c r="AE88" s="230">
        <v>0</v>
      </c>
      <c r="AF88" s="228">
        <v>0</v>
      </c>
      <c r="AG88" s="226"/>
      <c r="AH88" s="17"/>
      <c r="AI88" s="16"/>
    </row>
    <row r="89" spans="1:35" x14ac:dyDescent="0.25">
      <c r="A89" s="140">
        <v>125</v>
      </c>
      <c r="B89" s="140">
        <v>58</v>
      </c>
      <c r="C89" s="27" t="s">
        <v>1048</v>
      </c>
      <c r="D89" s="13" t="s">
        <v>189</v>
      </c>
      <c r="E89" s="13" t="s">
        <v>14</v>
      </c>
      <c r="F89" s="12" t="s">
        <v>190</v>
      </c>
      <c r="G89" s="14">
        <v>44158</v>
      </c>
      <c r="H89" s="12" t="s">
        <v>10</v>
      </c>
      <c r="I89" s="15"/>
      <c r="J89" s="240">
        <v>30</v>
      </c>
      <c r="K89" s="224">
        <v>0</v>
      </c>
      <c r="L89" s="240">
        <v>30</v>
      </c>
      <c r="M89" s="15"/>
      <c r="N89" s="16">
        <v>0</v>
      </c>
      <c r="O89" s="16">
        <v>1112</v>
      </c>
      <c r="P89" s="16"/>
      <c r="Q89" s="16"/>
      <c r="R89" s="16"/>
      <c r="S89" s="16">
        <v>0</v>
      </c>
      <c r="T89" s="16"/>
      <c r="U89" s="239">
        <v>0</v>
      </c>
      <c r="V89" s="241">
        <v>115.82392499999999</v>
      </c>
      <c r="W89" s="238">
        <v>115.82392499999999</v>
      </c>
      <c r="Y89" s="242">
        <v>1112</v>
      </c>
      <c r="AA89" s="238">
        <v>1544.319</v>
      </c>
      <c r="AB89" s="237">
        <v>386.07974999999999</v>
      </c>
      <c r="AC89" s="226"/>
      <c r="AD89" s="238">
        <v>275.77125000000001</v>
      </c>
      <c r="AE89" s="237">
        <v>1820.09025</v>
      </c>
      <c r="AF89" s="228">
        <v>0</v>
      </c>
      <c r="AG89" s="226"/>
      <c r="AH89" s="17"/>
      <c r="AI89" s="16"/>
    </row>
    <row r="90" spans="1:35" x14ac:dyDescent="0.25">
      <c r="A90" s="140">
        <v>125</v>
      </c>
      <c r="B90" s="140">
        <v>28</v>
      </c>
      <c r="C90" s="27" t="s">
        <v>1049</v>
      </c>
      <c r="D90" s="13" t="s">
        <v>178</v>
      </c>
      <c r="E90" s="13" t="s">
        <v>14</v>
      </c>
      <c r="F90" s="12" t="s">
        <v>179</v>
      </c>
      <c r="G90" s="14">
        <v>42710</v>
      </c>
      <c r="H90" s="12" t="s">
        <v>10</v>
      </c>
      <c r="I90" s="15"/>
      <c r="J90" s="240">
        <v>30</v>
      </c>
      <c r="K90" s="224">
        <v>0</v>
      </c>
      <c r="L90" s="240">
        <v>30</v>
      </c>
      <c r="M90" s="15"/>
      <c r="N90" s="16">
        <v>0</v>
      </c>
      <c r="O90" s="16">
        <v>1112</v>
      </c>
      <c r="P90" s="16"/>
      <c r="Q90" s="16"/>
      <c r="R90" s="16"/>
      <c r="S90" s="16">
        <v>0</v>
      </c>
      <c r="T90" s="16"/>
      <c r="U90" s="239">
        <v>0</v>
      </c>
      <c r="V90" s="241">
        <v>112.76775300000001</v>
      </c>
      <c r="W90" s="238">
        <v>112.76775300000001</v>
      </c>
      <c r="Y90" s="242">
        <v>1112</v>
      </c>
      <c r="AA90" s="238">
        <v>1503.5700400000001</v>
      </c>
      <c r="AB90" s="237">
        <v>375.89251000000002</v>
      </c>
      <c r="AC90" s="226">
        <v>400</v>
      </c>
      <c r="AD90" s="238">
        <v>268.49464999999998</v>
      </c>
      <c r="AE90" s="237">
        <v>1772.0646900000002</v>
      </c>
      <c r="AF90" s="228">
        <v>0</v>
      </c>
      <c r="AG90" s="226">
        <v>300</v>
      </c>
      <c r="AH90" s="17"/>
      <c r="AI90" s="16"/>
    </row>
    <row r="91" spans="1:35" x14ac:dyDescent="0.25">
      <c r="A91" s="140">
        <v>125</v>
      </c>
      <c r="B91" s="140">
        <v>55</v>
      </c>
      <c r="C91" s="27" t="s">
        <v>1050</v>
      </c>
      <c r="D91" s="13" t="s">
        <v>187</v>
      </c>
      <c r="E91" s="13" t="s">
        <v>14</v>
      </c>
      <c r="F91" s="12" t="s">
        <v>188</v>
      </c>
      <c r="G91" s="14">
        <v>44099</v>
      </c>
      <c r="H91" s="12" t="s">
        <v>10</v>
      </c>
      <c r="I91" s="15"/>
      <c r="J91" s="240">
        <v>30</v>
      </c>
      <c r="K91" s="224">
        <v>0</v>
      </c>
      <c r="L91" s="240">
        <v>30</v>
      </c>
      <c r="M91" s="15"/>
      <c r="N91" s="16">
        <v>0</v>
      </c>
      <c r="O91" s="16">
        <v>1112</v>
      </c>
      <c r="P91" s="16"/>
      <c r="Q91" s="16"/>
      <c r="R91" s="16"/>
      <c r="S91" s="16">
        <v>0</v>
      </c>
      <c r="T91" s="16"/>
      <c r="U91" s="239">
        <v>0</v>
      </c>
      <c r="V91" s="241">
        <v>129.962763</v>
      </c>
      <c r="W91" s="238">
        <v>129.962763</v>
      </c>
      <c r="Y91" s="242">
        <v>1112</v>
      </c>
      <c r="AA91" s="238">
        <v>1732.8368399999999</v>
      </c>
      <c r="AB91" s="237">
        <v>433.20920999999998</v>
      </c>
      <c r="AC91" s="226"/>
      <c r="AD91" s="238">
        <v>309.43515000000002</v>
      </c>
      <c r="AE91" s="237">
        <v>2042.27199</v>
      </c>
      <c r="AF91" s="228">
        <v>0</v>
      </c>
      <c r="AG91" s="226"/>
      <c r="AH91" s="17"/>
      <c r="AI91" s="16"/>
    </row>
    <row r="92" spans="1:35" x14ac:dyDescent="0.25">
      <c r="A92" s="140">
        <v>126</v>
      </c>
      <c r="B92" s="140">
        <v>41</v>
      </c>
      <c r="C92" s="27" t="s">
        <v>1051</v>
      </c>
      <c r="D92" s="13" t="s">
        <v>197</v>
      </c>
      <c r="E92" s="13" t="s">
        <v>14</v>
      </c>
      <c r="F92" s="12" t="s">
        <v>198</v>
      </c>
      <c r="G92" s="14">
        <v>43160</v>
      </c>
      <c r="H92" s="12" t="s">
        <v>10</v>
      </c>
      <c r="I92" s="15"/>
      <c r="J92" s="240">
        <v>30</v>
      </c>
      <c r="K92" s="224">
        <v>0</v>
      </c>
      <c r="L92" s="240">
        <v>30</v>
      </c>
      <c r="M92" s="15"/>
      <c r="N92" s="16">
        <v>662.04</v>
      </c>
      <c r="O92" s="16">
        <v>1315</v>
      </c>
      <c r="P92" s="16"/>
      <c r="Q92" s="16"/>
      <c r="R92" s="16">
        <v>41</v>
      </c>
      <c r="S92" s="16">
        <v>206.4</v>
      </c>
      <c r="T92" s="16"/>
      <c r="U92" s="239">
        <v>206.4</v>
      </c>
      <c r="V92" s="241">
        <v>219.17025600000002</v>
      </c>
      <c r="W92" s="238">
        <v>206.4</v>
      </c>
      <c r="Y92" s="242">
        <v>1977.0399999999997</v>
      </c>
      <c r="AA92" s="238">
        <v>2922.2700800000002</v>
      </c>
      <c r="AB92" s="237">
        <v>730.56752000000006</v>
      </c>
      <c r="AC92" s="226">
        <v>200</v>
      </c>
      <c r="AD92" s="238">
        <v>456.60470000000004</v>
      </c>
      <c r="AE92" s="237">
        <v>3378.8747800000001</v>
      </c>
      <c r="AF92" s="228">
        <v>0</v>
      </c>
      <c r="AG92" s="226">
        <v>300</v>
      </c>
      <c r="AH92" s="17"/>
      <c r="AI92" s="16"/>
    </row>
    <row r="93" spans="1:35" x14ac:dyDescent="0.25">
      <c r="A93" s="140">
        <v>126</v>
      </c>
      <c r="B93" s="140">
        <v>56</v>
      </c>
      <c r="C93" s="27" t="s">
        <v>1052</v>
      </c>
      <c r="D93" s="13" t="s">
        <v>205</v>
      </c>
      <c r="E93" s="13" t="s">
        <v>21</v>
      </c>
      <c r="F93" s="12" t="s">
        <v>206</v>
      </c>
      <c r="G93" s="14">
        <v>44183</v>
      </c>
      <c r="H93" s="12" t="s">
        <v>10</v>
      </c>
      <c r="I93" s="15"/>
      <c r="J93" s="240">
        <v>30</v>
      </c>
      <c r="K93" s="224">
        <v>0</v>
      </c>
      <c r="L93" s="240">
        <v>30</v>
      </c>
      <c r="M93" s="15"/>
      <c r="N93" s="16">
        <v>1283</v>
      </c>
      <c r="O93" s="16">
        <v>0</v>
      </c>
      <c r="P93" s="16">
        <v>158</v>
      </c>
      <c r="Q93" s="16"/>
      <c r="R93" s="16">
        <v>21</v>
      </c>
      <c r="S93" s="16">
        <v>215</v>
      </c>
      <c r="T93" s="16"/>
      <c r="U93" s="239">
        <v>215</v>
      </c>
      <c r="V93" s="241">
        <v>76.98</v>
      </c>
      <c r="W93" s="238">
        <v>76.98</v>
      </c>
      <c r="Y93" s="242">
        <v>1283</v>
      </c>
      <c r="AA93" s="228"/>
      <c r="AB93" s="230"/>
      <c r="AC93" s="226"/>
      <c r="AD93" s="228"/>
      <c r="AE93" s="230">
        <v>0</v>
      </c>
      <c r="AF93" s="238">
        <v>1283</v>
      </c>
      <c r="AG93" s="226"/>
      <c r="AH93" s="17"/>
      <c r="AI93" s="16"/>
    </row>
    <row r="94" spans="1:35" x14ac:dyDescent="0.25">
      <c r="A94" s="140">
        <v>126</v>
      </c>
      <c r="B94" s="140">
        <v>45</v>
      </c>
      <c r="C94" s="27" t="s">
        <v>1053</v>
      </c>
      <c r="D94" s="13" t="s">
        <v>199</v>
      </c>
      <c r="E94" s="13" t="s">
        <v>14</v>
      </c>
      <c r="F94" s="12" t="s">
        <v>200</v>
      </c>
      <c r="G94" s="14">
        <v>43431</v>
      </c>
      <c r="H94" s="12" t="s">
        <v>10</v>
      </c>
      <c r="I94" s="15"/>
      <c r="J94" s="240">
        <v>30</v>
      </c>
      <c r="K94" s="224">
        <v>0</v>
      </c>
      <c r="L94" s="240">
        <v>30</v>
      </c>
      <c r="M94" s="15"/>
      <c r="N94" s="16">
        <v>662.04</v>
      </c>
      <c r="O94" s="16">
        <v>1315</v>
      </c>
      <c r="P94" s="16"/>
      <c r="Q94" s="16"/>
      <c r="R94" s="16">
        <v>41</v>
      </c>
      <c r="S94" s="16">
        <v>206.4</v>
      </c>
      <c r="T94" s="16"/>
      <c r="U94" s="239">
        <v>206.4</v>
      </c>
      <c r="V94" s="241">
        <v>142.81435199999999</v>
      </c>
      <c r="W94" s="238">
        <v>142.81435199999999</v>
      </c>
      <c r="Y94" s="242">
        <v>1977.0399999999997</v>
      </c>
      <c r="AA94" s="238">
        <v>1612.7913600000002</v>
      </c>
      <c r="AB94" s="237">
        <v>403.19784000000004</v>
      </c>
      <c r="AC94" s="226"/>
      <c r="AD94" s="228"/>
      <c r="AE94" s="237">
        <v>1612.7913600000002</v>
      </c>
      <c r="AF94" s="238">
        <v>364.25</v>
      </c>
      <c r="AG94" s="226"/>
      <c r="AH94" s="17"/>
      <c r="AI94" s="16"/>
    </row>
    <row r="95" spans="1:35" x14ac:dyDescent="0.25">
      <c r="A95" s="140">
        <v>126</v>
      </c>
      <c r="B95" s="140">
        <v>37</v>
      </c>
      <c r="C95" s="27" t="s">
        <v>1054</v>
      </c>
      <c r="D95" s="13" t="s">
        <v>195</v>
      </c>
      <c r="E95" s="13" t="s">
        <v>14</v>
      </c>
      <c r="F95" s="12" t="s">
        <v>196</v>
      </c>
      <c r="G95" s="14">
        <v>43047</v>
      </c>
      <c r="H95" s="12" t="s">
        <v>10</v>
      </c>
      <c r="I95" s="15"/>
      <c r="J95" s="240">
        <v>30</v>
      </c>
      <c r="K95" s="224">
        <v>0</v>
      </c>
      <c r="L95" s="240">
        <v>30</v>
      </c>
      <c r="M95" s="15"/>
      <c r="N95" s="16">
        <v>662.04</v>
      </c>
      <c r="O95" s="16">
        <v>1315</v>
      </c>
      <c r="P95" s="16"/>
      <c r="Q95" s="16"/>
      <c r="R95" s="16"/>
      <c r="S95" s="16">
        <v>215</v>
      </c>
      <c r="T95" s="16"/>
      <c r="U95" s="239">
        <v>215</v>
      </c>
      <c r="V95" s="241">
        <v>141.31615200000002</v>
      </c>
      <c r="W95" s="238">
        <v>141.31615200000002</v>
      </c>
      <c r="Y95" s="242">
        <v>1977.0399999999997</v>
      </c>
      <c r="AA95" s="238">
        <v>1512.9273600000001</v>
      </c>
      <c r="AB95" s="237">
        <v>378.23184000000003</v>
      </c>
      <c r="AC95" s="226">
        <v>200</v>
      </c>
      <c r="AD95" s="228"/>
      <c r="AE95" s="237">
        <v>1512.9273600000001</v>
      </c>
      <c r="AF95" s="238">
        <v>464.11</v>
      </c>
      <c r="AG95" s="226">
        <v>300</v>
      </c>
      <c r="AH95" s="17"/>
      <c r="AI95" s="16"/>
    </row>
    <row r="96" spans="1:35" x14ac:dyDescent="0.25">
      <c r="A96" s="140">
        <v>126</v>
      </c>
      <c r="B96" s="140">
        <v>1</v>
      </c>
      <c r="C96" s="27" t="s">
        <v>1055</v>
      </c>
      <c r="D96" s="13" t="s">
        <v>191</v>
      </c>
      <c r="E96" s="13" t="s">
        <v>11</v>
      </c>
      <c r="F96" s="12" t="s">
        <v>192</v>
      </c>
      <c r="G96" s="14">
        <v>41946</v>
      </c>
      <c r="H96" s="12" t="s">
        <v>10</v>
      </c>
      <c r="I96" s="15"/>
      <c r="J96" s="240">
        <v>30</v>
      </c>
      <c r="K96" s="224">
        <v>0</v>
      </c>
      <c r="L96" s="240">
        <v>30</v>
      </c>
      <c r="M96" s="15"/>
      <c r="N96" s="16">
        <v>662.04</v>
      </c>
      <c r="O96" s="16">
        <v>4000</v>
      </c>
      <c r="P96" s="16"/>
      <c r="Q96" s="16"/>
      <c r="R96" s="16">
        <v>41</v>
      </c>
      <c r="S96" s="16">
        <v>215</v>
      </c>
      <c r="T96" s="16"/>
      <c r="U96" s="239">
        <v>215</v>
      </c>
      <c r="V96" s="241">
        <v>281.383872</v>
      </c>
      <c r="W96" s="238">
        <v>215</v>
      </c>
      <c r="Y96" s="242">
        <v>4662.04</v>
      </c>
      <c r="AA96" s="238">
        <v>110.77696</v>
      </c>
      <c r="AB96" s="237">
        <v>27.694240000000001</v>
      </c>
      <c r="AC96" s="226"/>
      <c r="AD96" s="228"/>
      <c r="AE96" s="237">
        <v>110.77696</v>
      </c>
      <c r="AF96" s="238">
        <v>4551.26</v>
      </c>
      <c r="AG96" s="226"/>
      <c r="AH96" s="17"/>
      <c r="AI96" s="16"/>
    </row>
    <row r="97" spans="1:35" x14ac:dyDescent="0.25">
      <c r="A97" s="140">
        <v>126</v>
      </c>
      <c r="B97" s="140">
        <v>28</v>
      </c>
      <c r="C97" s="27" t="s">
        <v>1056</v>
      </c>
      <c r="D97" s="13" t="s">
        <v>193</v>
      </c>
      <c r="E97" s="13" t="s">
        <v>14</v>
      </c>
      <c r="F97" s="12" t="s">
        <v>194</v>
      </c>
      <c r="G97" s="14">
        <v>42669</v>
      </c>
      <c r="H97" s="12" t="s">
        <v>10</v>
      </c>
      <c r="I97" s="15"/>
      <c r="J97" s="240">
        <v>30</v>
      </c>
      <c r="K97" s="224">
        <v>0</v>
      </c>
      <c r="L97" s="240">
        <v>30</v>
      </c>
      <c r="M97" s="15"/>
      <c r="N97" s="16">
        <v>662.04</v>
      </c>
      <c r="O97" s="16">
        <v>1315</v>
      </c>
      <c r="P97" s="16"/>
      <c r="Q97" s="16"/>
      <c r="R97" s="16">
        <v>41</v>
      </c>
      <c r="S97" s="16">
        <v>197.8</v>
      </c>
      <c r="T97" s="16"/>
      <c r="U97" s="239">
        <v>197.8</v>
      </c>
      <c r="V97" s="241">
        <v>145.91347199999998</v>
      </c>
      <c r="W97" s="238">
        <v>145.91347199999998</v>
      </c>
      <c r="Y97" s="242">
        <v>1977.0399999999997</v>
      </c>
      <c r="AA97" s="238">
        <v>1819.3929599999999</v>
      </c>
      <c r="AB97" s="237">
        <v>454.84823999999998</v>
      </c>
      <c r="AC97" s="226">
        <v>200</v>
      </c>
      <c r="AD97" s="228"/>
      <c r="AE97" s="237">
        <v>1819.3929599999999</v>
      </c>
      <c r="AF97" s="238">
        <v>157.65</v>
      </c>
      <c r="AG97" s="226">
        <v>300</v>
      </c>
      <c r="AH97" s="17"/>
      <c r="AI97" s="16"/>
    </row>
    <row r="98" spans="1:35" x14ac:dyDescent="0.25">
      <c r="A98" s="140">
        <v>126</v>
      </c>
      <c r="B98" s="140">
        <v>55</v>
      </c>
      <c r="C98" s="27" t="s">
        <v>1057</v>
      </c>
      <c r="D98" s="13" t="s">
        <v>203</v>
      </c>
      <c r="E98" s="13" t="s">
        <v>14</v>
      </c>
      <c r="F98" s="12" t="s">
        <v>204</v>
      </c>
      <c r="G98" s="14">
        <v>44152</v>
      </c>
      <c r="H98" s="12" t="s">
        <v>10</v>
      </c>
      <c r="I98" s="15"/>
      <c r="J98" s="240">
        <v>30</v>
      </c>
      <c r="K98" s="224">
        <v>0</v>
      </c>
      <c r="L98" s="240">
        <v>30</v>
      </c>
      <c r="M98" s="15"/>
      <c r="N98" s="16">
        <v>662.04</v>
      </c>
      <c r="O98" s="16">
        <v>1315</v>
      </c>
      <c r="P98" s="16"/>
      <c r="Q98" s="16"/>
      <c r="R98" s="16">
        <v>41</v>
      </c>
      <c r="S98" s="16">
        <v>215</v>
      </c>
      <c r="T98" s="16"/>
      <c r="U98" s="239">
        <v>215</v>
      </c>
      <c r="V98" s="241">
        <v>139.057344</v>
      </c>
      <c r="W98" s="238">
        <v>139.057344</v>
      </c>
      <c r="Y98" s="242">
        <v>1977.0399999999997</v>
      </c>
      <c r="AA98" s="238">
        <v>1362.3379199999999</v>
      </c>
      <c r="AB98" s="237">
        <v>340.58447999999999</v>
      </c>
      <c r="AC98" s="226"/>
      <c r="AD98" s="228"/>
      <c r="AE98" s="237">
        <v>1362.3379199999999</v>
      </c>
      <c r="AF98" s="238">
        <v>614.70000000000005</v>
      </c>
      <c r="AG98" s="226"/>
      <c r="AH98" s="17"/>
      <c r="AI98" s="16"/>
    </row>
    <row r="99" spans="1:35" x14ac:dyDescent="0.25">
      <c r="A99" s="140">
        <v>126</v>
      </c>
      <c r="B99" s="140">
        <v>46</v>
      </c>
      <c r="C99" s="27" t="s">
        <v>1058</v>
      </c>
      <c r="D99" s="13" t="s">
        <v>201</v>
      </c>
      <c r="E99" s="13" t="s">
        <v>14</v>
      </c>
      <c r="F99" s="12" t="s">
        <v>202</v>
      </c>
      <c r="G99" s="14">
        <v>43438</v>
      </c>
      <c r="H99" s="12" t="s">
        <v>10</v>
      </c>
      <c r="I99" s="15"/>
      <c r="J99" s="240">
        <v>30</v>
      </c>
      <c r="K99" s="224">
        <v>0</v>
      </c>
      <c r="L99" s="240">
        <v>30</v>
      </c>
      <c r="M99" s="15"/>
      <c r="N99" s="16">
        <v>662.04</v>
      </c>
      <c r="O99" s="16">
        <v>1315</v>
      </c>
      <c r="P99" s="16"/>
      <c r="Q99" s="16"/>
      <c r="R99" s="16">
        <v>41</v>
      </c>
      <c r="S99" s="16">
        <v>206.4</v>
      </c>
      <c r="T99" s="16"/>
      <c r="U99" s="239">
        <v>206.4</v>
      </c>
      <c r="V99" s="241">
        <v>147.11359200000001</v>
      </c>
      <c r="W99" s="238">
        <v>147.11359200000001</v>
      </c>
      <c r="Y99" s="242">
        <v>1977.0399999999997</v>
      </c>
      <c r="AA99" s="238">
        <v>1899.4265600000001</v>
      </c>
      <c r="AB99" s="237">
        <v>474.85664000000003</v>
      </c>
      <c r="AC99" s="226"/>
      <c r="AD99" s="228"/>
      <c r="AE99" s="237">
        <v>1899.4265600000001</v>
      </c>
      <c r="AF99" s="238">
        <v>77.61</v>
      </c>
      <c r="AG99" s="226"/>
      <c r="AH99" s="17"/>
      <c r="AI99" s="16"/>
    </row>
    <row r="100" spans="1:35" x14ac:dyDescent="0.25">
      <c r="A100" s="140">
        <v>127</v>
      </c>
      <c r="B100" s="140">
        <v>70</v>
      </c>
      <c r="C100" s="27" t="s">
        <v>1059</v>
      </c>
      <c r="D100" s="13" t="s">
        <v>207</v>
      </c>
      <c r="E100" s="13" t="s">
        <v>11</v>
      </c>
      <c r="F100" s="12" t="s">
        <v>208</v>
      </c>
      <c r="G100" s="14">
        <v>43770</v>
      </c>
      <c r="H100" s="12" t="s">
        <v>10</v>
      </c>
      <c r="I100" s="15"/>
      <c r="J100" s="240">
        <v>30</v>
      </c>
      <c r="K100" s="224">
        <v>0</v>
      </c>
      <c r="L100" s="240">
        <v>30</v>
      </c>
      <c r="M100" s="15"/>
      <c r="N100" s="16">
        <v>0</v>
      </c>
      <c r="O100" s="16">
        <v>4195.6000000000004</v>
      </c>
      <c r="P100" s="16"/>
      <c r="Q100" s="16">
        <v>39</v>
      </c>
      <c r="R100" s="16">
        <v>25</v>
      </c>
      <c r="S100" s="16">
        <v>235</v>
      </c>
      <c r="T100" s="16"/>
      <c r="U100" s="239">
        <v>235</v>
      </c>
      <c r="V100" s="241">
        <v>252.69607199999999</v>
      </c>
      <c r="W100" s="238">
        <v>235</v>
      </c>
      <c r="Y100" s="242">
        <v>4195.6000000000004</v>
      </c>
      <c r="AA100" s="238">
        <v>63.984960000000001</v>
      </c>
      <c r="AB100" s="237">
        <v>15.99624</v>
      </c>
      <c r="AC100" s="226"/>
      <c r="AD100" s="228"/>
      <c r="AE100" s="237">
        <v>63.984960000000001</v>
      </c>
      <c r="AF100" s="238">
        <v>4131.62</v>
      </c>
      <c r="AG100" s="226"/>
      <c r="AH100" s="17"/>
      <c r="AI100" s="16"/>
    </row>
    <row r="101" spans="1:35" x14ac:dyDescent="0.25">
      <c r="A101" s="140">
        <v>127</v>
      </c>
      <c r="B101" s="140">
        <v>79</v>
      </c>
      <c r="C101" s="27" t="s">
        <v>1060</v>
      </c>
      <c r="D101" s="13" t="s">
        <v>211</v>
      </c>
      <c r="E101" s="13" t="s">
        <v>14</v>
      </c>
      <c r="F101" s="12" t="s">
        <v>212</v>
      </c>
      <c r="G101" s="14">
        <v>44221</v>
      </c>
      <c r="H101" s="12" t="s">
        <v>10</v>
      </c>
      <c r="I101" s="15"/>
      <c r="J101" s="240">
        <v>30</v>
      </c>
      <c r="K101" s="224">
        <v>0</v>
      </c>
      <c r="L101" s="240">
        <v>30</v>
      </c>
      <c r="M101" s="15"/>
      <c r="N101" s="16">
        <v>0</v>
      </c>
      <c r="O101" s="16">
        <v>1909</v>
      </c>
      <c r="P101" s="16"/>
      <c r="Q101" s="16"/>
      <c r="R101" s="16"/>
      <c r="S101" s="16">
        <v>204.7</v>
      </c>
      <c r="T101" s="16"/>
      <c r="U101" s="239">
        <v>204.7</v>
      </c>
      <c r="V101" s="241">
        <v>135.719088</v>
      </c>
      <c r="W101" s="238">
        <v>135.719088</v>
      </c>
      <c r="Y101" s="242">
        <v>1909</v>
      </c>
      <c r="AA101" s="238">
        <v>1411.94784</v>
      </c>
      <c r="AB101" s="237">
        <v>352.98696000000001</v>
      </c>
      <c r="AC101" s="226"/>
      <c r="AD101" s="228"/>
      <c r="AE101" s="237">
        <v>1411.94784</v>
      </c>
      <c r="AF101" s="238">
        <v>497.05</v>
      </c>
      <c r="AG101" s="226"/>
      <c r="AH101" s="17"/>
      <c r="AI101" s="16"/>
    </row>
    <row r="102" spans="1:35" x14ac:dyDescent="0.25">
      <c r="A102" s="140">
        <v>127</v>
      </c>
      <c r="B102" s="140">
        <v>75</v>
      </c>
      <c r="C102" s="27" t="s">
        <v>1061</v>
      </c>
      <c r="D102" s="13" t="s">
        <v>209</v>
      </c>
      <c r="E102" s="13" t="s">
        <v>21</v>
      </c>
      <c r="F102" s="12" t="s">
        <v>210</v>
      </c>
      <c r="G102" s="14">
        <v>44152</v>
      </c>
      <c r="H102" s="12" t="s">
        <v>10</v>
      </c>
      <c r="I102" s="15"/>
      <c r="J102" s="240">
        <v>30</v>
      </c>
      <c r="K102" s="224">
        <v>0</v>
      </c>
      <c r="L102" s="240">
        <v>30</v>
      </c>
      <c r="M102" s="15"/>
      <c r="N102" s="16">
        <v>1591</v>
      </c>
      <c r="O102" s="16">
        <v>0</v>
      </c>
      <c r="P102" s="16">
        <v>87</v>
      </c>
      <c r="Q102" s="16">
        <v>39</v>
      </c>
      <c r="R102" s="16">
        <v>25</v>
      </c>
      <c r="S102" s="16">
        <v>225.6</v>
      </c>
      <c r="T102" s="16"/>
      <c r="U102" s="239">
        <v>225.6</v>
      </c>
      <c r="V102" s="241">
        <v>95.46</v>
      </c>
      <c r="W102" s="238">
        <v>95.46</v>
      </c>
      <c r="Y102" s="242">
        <v>1591</v>
      </c>
      <c r="AA102" s="228"/>
      <c r="AB102" s="230"/>
      <c r="AC102" s="226"/>
      <c r="AD102" s="228"/>
      <c r="AE102" s="230">
        <v>0</v>
      </c>
      <c r="AF102" s="238">
        <v>1591</v>
      </c>
      <c r="AG102" s="226">
        <v>300</v>
      </c>
      <c r="AH102" s="17"/>
      <c r="AI102" s="16"/>
    </row>
    <row r="103" spans="1:35" x14ac:dyDescent="0.25">
      <c r="A103" s="140">
        <v>127</v>
      </c>
      <c r="B103" s="140">
        <v>80</v>
      </c>
      <c r="C103" s="27" t="s">
        <v>1062</v>
      </c>
      <c r="D103" s="13" t="s">
        <v>213</v>
      </c>
      <c r="E103" s="13" t="s">
        <v>14</v>
      </c>
      <c r="F103" s="12" t="s">
        <v>214</v>
      </c>
      <c r="G103" s="14">
        <v>44221</v>
      </c>
      <c r="H103" s="12" t="s">
        <v>10</v>
      </c>
      <c r="I103" s="15"/>
      <c r="J103" s="240">
        <v>30</v>
      </c>
      <c r="K103" s="224">
        <v>0</v>
      </c>
      <c r="L103" s="240">
        <v>30</v>
      </c>
      <c r="M103" s="15"/>
      <c r="N103" s="16">
        <v>0</v>
      </c>
      <c r="O103" s="16">
        <v>1909</v>
      </c>
      <c r="P103" s="16"/>
      <c r="Q103" s="16">
        <v>39</v>
      </c>
      <c r="R103" s="16">
        <v>25</v>
      </c>
      <c r="S103" s="16">
        <v>225.4</v>
      </c>
      <c r="T103" s="16"/>
      <c r="U103" s="239">
        <v>225.4</v>
      </c>
      <c r="V103" s="241">
        <v>167.119248</v>
      </c>
      <c r="W103" s="238">
        <v>167.119248</v>
      </c>
      <c r="Y103" s="242">
        <v>1909</v>
      </c>
      <c r="AA103" s="238">
        <v>2228.2566400000001</v>
      </c>
      <c r="AB103" s="237">
        <v>557.06416000000002</v>
      </c>
      <c r="AC103" s="226"/>
      <c r="AD103" s="238">
        <v>348.16510000000005</v>
      </c>
      <c r="AE103" s="237">
        <v>2576.4217400000002</v>
      </c>
      <c r="AF103" s="228">
        <v>0</v>
      </c>
      <c r="AG103" s="226"/>
      <c r="AH103" s="17"/>
      <c r="AI103" s="16"/>
    </row>
    <row r="104" spans="1:35" x14ac:dyDescent="0.25">
      <c r="A104" s="140">
        <v>127</v>
      </c>
      <c r="B104" s="140">
        <v>82</v>
      </c>
      <c r="C104" s="27" t="s">
        <v>1063</v>
      </c>
      <c r="D104" s="13" t="s">
        <v>215</v>
      </c>
      <c r="E104" s="13" t="s">
        <v>14</v>
      </c>
      <c r="F104" s="12" t="s">
        <v>216</v>
      </c>
      <c r="G104" s="14">
        <v>44371</v>
      </c>
      <c r="H104" s="12" t="s">
        <v>10</v>
      </c>
      <c r="I104" s="15"/>
      <c r="J104" s="240">
        <v>30</v>
      </c>
      <c r="K104" s="224">
        <v>0</v>
      </c>
      <c r="L104" s="240">
        <v>30</v>
      </c>
      <c r="M104" s="15"/>
      <c r="N104" s="16">
        <v>0</v>
      </c>
      <c r="O104" s="16">
        <v>1909</v>
      </c>
      <c r="P104" s="16"/>
      <c r="Q104" s="16"/>
      <c r="R104" s="16">
        <v>26</v>
      </c>
      <c r="S104" s="16">
        <v>0</v>
      </c>
      <c r="T104" s="16"/>
      <c r="U104" s="239">
        <v>0</v>
      </c>
      <c r="V104" s="241">
        <v>116.68087199999999</v>
      </c>
      <c r="W104" s="238">
        <v>116.68087199999999</v>
      </c>
      <c r="Y104" s="242">
        <v>1909</v>
      </c>
      <c r="AA104" s="238">
        <v>142.71295999999998</v>
      </c>
      <c r="AB104" s="237">
        <v>35.678239999999995</v>
      </c>
      <c r="AC104" s="226"/>
      <c r="AD104" s="228"/>
      <c r="AE104" s="237">
        <v>142.71295999999998</v>
      </c>
      <c r="AF104" s="238">
        <v>1766.29</v>
      </c>
      <c r="AG104" s="226"/>
      <c r="AH104" s="17"/>
      <c r="AI104" s="16"/>
    </row>
    <row r="105" spans="1:35" x14ac:dyDescent="0.25">
      <c r="A105" s="140">
        <v>139</v>
      </c>
      <c r="B105" s="140">
        <v>55</v>
      </c>
      <c r="C105" s="27" t="s">
        <v>1064</v>
      </c>
      <c r="D105" s="13" t="s">
        <v>239</v>
      </c>
      <c r="E105" s="13" t="s">
        <v>14</v>
      </c>
      <c r="F105" s="12" t="s">
        <v>240</v>
      </c>
      <c r="G105" s="14">
        <v>44363</v>
      </c>
      <c r="H105" s="12" t="s">
        <v>10</v>
      </c>
      <c r="I105" s="15"/>
      <c r="J105" s="240">
        <v>30</v>
      </c>
      <c r="K105" s="224">
        <v>0</v>
      </c>
      <c r="L105" s="240">
        <v>30</v>
      </c>
      <c r="M105" s="15"/>
      <c r="N105" s="16">
        <v>0</v>
      </c>
      <c r="O105" s="16">
        <v>1660</v>
      </c>
      <c r="P105" s="16"/>
      <c r="Q105" s="16"/>
      <c r="R105" s="16"/>
      <c r="S105" s="16">
        <v>0</v>
      </c>
      <c r="T105" s="16"/>
      <c r="U105" s="239">
        <v>0</v>
      </c>
      <c r="V105" s="241">
        <v>114.264081</v>
      </c>
      <c r="W105" s="238">
        <v>114.264081</v>
      </c>
      <c r="Y105" s="242">
        <v>1660</v>
      </c>
      <c r="AA105" s="238">
        <v>977.60908000000006</v>
      </c>
      <c r="AB105" s="237">
        <v>244.40227000000002</v>
      </c>
      <c r="AC105" s="226"/>
      <c r="AD105" s="228"/>
      <c r="AE105" s="237">
        <v>977.60908000000006</v>
      </c>
      <c r="AF105" s="238">
        <v>682.39</v>
      </c>
      <c r="AG105" s="226"/>
      <c r="AH105" s="17"/>
      <c r="AI105" s="16"/>
    </row>
    <row r="106" spans="1:35" x14ac:dyDescent="0.25">
      <c r="A106" s="140">
        <v>139</v>
      </c>
      <c r="B106" s="140">
        <v>43</v>
      </c>
      <c r="C106" s="27" t="s">
        <v>1065</v>
      </c>
      <c r="D106" s="13" t="s">
        <v>223</v>
      </c>
      <c r="E106" s="13" t="s">
        <v>21</v>
      </c>
      <c r="F106" s="12" t="s">
        <v>224</v>
      </c>
      <c r="G106" s="14">
        <v>44152</v>
      </c>
      <c r="H106" s="12" t="s">
        <v>10</v>
      </c>
      <c r="I106" s="15"/>
      <c r="J106" s="240">
        <v>30</v>
      </c>
      <c r="K106" s="224">
        <v>0</v>
      </c>
      <c r="L106" s="240">
        <v>30</v>
      </c>
      <c r="M106" s="15"/>
      <c r="N106" s="16">
        <v>1415</v>
      </c>
      <c r="O106" s="16">
        <v>0</v>
      </c>
      <c r="P106" s="16">
        <v>71</v>
      </c>
      <c r="Q106" s="16"/>
      <c r="R106" s="16">
        <v>37.200000000000003</v>
      </c>
      <c r="S106" s="16" t="s">
        <v>1178</v>
      </c>
      <c r="T106" s="16"/>
      <c r="U106" s="242">
        <v>0</v>
      </c>
      <c r="V106" s="241">
        <v>84.899999999999991</v>
      </c>
      <c r="W106" s="238">
        <v>84.899999999999991</v>
      </c>
      <c r="Y106" s="242">
        <v>1415</v>
      </c>
      <c r="AA106" s="228"/>
      <c r="AB106" s="230"/>
      <c r="AC106" s="226"/>
      <c r="AD106" s="228"/>
      <c r="AE106" s="230">
        <v>0</v>
      </c>
      <c r="AF106" s="238">
        <v>1415</v>
      </c>
      <c r="AG106" s="226"/>
      <c r="AH106" s="17"/>
      <c r="AI106" s="16"/>
    </row>
    <row r="107" spans="1:35" x14ac:dyDescent="0.25">
      <c r="A107" s="140">
        <v>139</v>
      </c>
      <c r="B107" s="140">
        <v>24</v>
      </c>
      <c r="C107" s="27" t="s">
        <v>1066</v>
      </c>
      <c r="D107" s="13" t="s">
        <v>217</v>
      </c>
      <c r="E107" s="13" t="s">
        <v>14</v>
      </c>
      <c r="F107" s="12" t="s">
        <v>218</v>
      </c>
      <c r="G107" s="14">
        <v>43501</v>
      </c>
      <c r="H107" s="12" t="s">
        <v>10</v>
      </c>
      <c r="I107" s="15"/>
      <c r="J107" s="240">
        <v>30</v>
      </c>
      <c r="K107" s="224">
        <v>0</v>
      </c>
      <c r="L107" s="240">
        <v>30</v>
      </c>
      <c r="M107" s="15"/>
      <c r="N107" s="16">
        <v>0</v>
      </c>
      <c r="O107" s="16">
        <v>1660</v>
      </c>
      <c r="P107" s="16"/>
      <c r="Q107" s="16"/>
      <c r="R107" s="16">
        <v>37.200000000000003</v>
      </c>
      <c r="S107" s="16" t="s">
        <v>1178</v>
      </c>
      <c r="T107" s="16"/>
      <c r="U107" s="242">
        <v>0</v>
      </c>
      <c r="V107" s="241">
        <v>117.39686699999999</v>
      </c>
      <c r="W107" s="238">
        <v>117.39686699999999</v>
      </c>
      <c r="Y107" s="242">
        <v>1660</v>
      </c>
      <c r="AA107" s="238">
        <v>1186.45156</v>
      </c>
      <c r="AB107" s="237">
        <v>296.61288999999999</v>
      </c>
      <c r="AC107" s="226"/>
      <c r="AD107" s="228"/>
      <c r="AE107" s="237">
        <v>1186.45156</v>
      </c>
      <c r="AF107" s="238">
        <v>473.55</v>
      </c>
      <c r="AG107" s="226">
        <v>400</v>
      </c>
      <c r="AH107" s="17"/>
      <c r="AI107" s="16"/>
    </row>
    <row r="108" spans="1:35" x14ac:dyDescent="0.25">
      <c r="A108" s="140">
        <v>139</v>
      </c>
      <c r="B108" s="140">
        <v>54</v>
      </c>
      <c r="C108" s="27" t="s">
        <v>1067</v>
      </c>
      <c r="D108" s="13" t="s">
        <v>237</v>
      </c>
      <c r="E108" s="13" t="s">
        <v>14</v>
      </c>
      <c r="F108" s="12" t="s">
        <v>238</v>
      </c>
      <c r="G108" s="14">
        <v>44358</v>
      </c>
      <c r="H108" s="12" t="s">
        <v>10</v>
      </c>
      <c r="I108" s="15"/>
      <c r="J108" s="240">
        <v>30</v>
      </c>
      <c r="K108" s="224">
        <v>0</v>
      </c>
      <c r="L108" s="240">
        <v>30</v>
      </c>
      <c r="M108" s="15"/>
      <c r="N108" s="16">
        <v>0</v>
      </c>
      <c r="O108" s="16">
        <v>1660</v>
      </c>
      <c r="P108" s="16"/>
      <c r="Q108" s="16"/>
      <c r="R108" s="16"/>
      <c r="S108" s="16"/>
      <c r="T108" s="16">
        <v>266</v>
      </c>
      <c r="U108" s="239">
        <v>266</v>
      </c>
      <c r="V108" s="241">
        <v>118.70304600000001</v>
      </c>
      <c r="W108" s="238">
        <v>118.70304600000001</v>
      </c>
      <c r="Y108" s="242">
        <v>1660</v>
      </c>
      <c r="AA108" s="238">
        <v>1273.5312800000002</v>
      </c>
      <c r="AB108" s="237">
        <v>318.38282000000004</v>
      </c>
      <c r="AC108" s="226"/>
      <c r="AD108" s="228"/>
      <c r="AE108" s="237">
        <v>1273.5312800000002</v>
      </c>
      <c r="AF108" s="238">
        <v>386.47</v>
      </c>
      <c r="AG108" s="226"/>
      <c r="AH108" s="17"/>
      <c r="AI108" s="16"/>
    </row>
    <row r="109" spans="1:35" x14ac:dyDescent="0.25">
      <c r="A109" s="140">
        <v>139</v>
      </c>
      <c r="B109" s="140">
        <v>41</v>
      </c>
      <c r="C109" s="27" t="s">
        <v>1068</v>
      </c>
      <c r="D109" s="13" t="s">
        <v>221</v>
      </c>
      <c r="E109" s="13" t="s">
        <v>14</v>
      </c>
      <c r="F109" s="12" t="s">
        <v>222</v>
      </c>
      <c r="G109" s="14">
        <v>44085</v>
      </c>
      <c r="H109" s="12" t="s">
        <v>10</v>
      </c>
      <c r="I109" s="15"/>
      <c r="J109" s="240">
        <v>30</v>
      </c>
      <c r="K109" s="224">
        <v>0</v>
      </c>
      <c r="L109" s="240">
        <v>30</v>
      </c>
      <c r="M109" s="15"/>
      <c r="N109" s="16">
        <v>0</v>
      </c>
      <c r="O109" s="16">
        <v>1660</v>
      </c>
      <c r="P109" s="16"/>
      <c r="Q109" s="16"/>
      <c r="R109" s="16">
        <v>37.200000000000003</v>
      </c>
      <c r="S109" s="16" t="s">
        <v>1178</v>
      </c>
      <c r="T109" s="16"/>
      <c r="U109" s="242">
        <v>0</v>
      </c>
      <c r="V109" s="241">
        <v>117.49958700000001</v>
      </c>
      <c r="W109" s="238">
        <v>117.49958700000001</v>
      </c>
      <c r="Y109" s="242">
        <v>1660</v>
      </c>
      <c r="AA109" s="238">
        <v>1193.3171600000001</v>
      </c>
      <c r="AB109" s="237">
        <v>298.32929000000001</v>
      </c>
      <c r="AC109" s="226"/>
      <c r="AD109" s="228"/>
      <c r="AE109" s="237">
        <v>1193.3171600000001</v>
      </c>
      <c r="AF109" s="238">
        <v>466.68</v>
      </c>
      <c r="AG109" s="226">
        <v>400</v>
      </c>
      <c r="AH109" s="17"/>
      <c r="AI109" s="16"/>
    </row>
    <row r="110" spans="1:35" x14ac:dyDescent="0.25">
      <c r="A110" s="140">
        <v>139</v>
      </c>
      <c r="B110" s="140">
        <v>50</v>
      </c>
      <c r="C110" s="27" t="s">
        <v>1069</v>
      </c>
      <c r="D110" s="13" t="s">
        <v>229</v>
      </c>
      <c r="E110" s="13" t="s">
        <v>14</v>
      </c>
      <c r="F110" s="12" t="s">
        <v>230</v>
      </c>
      <c r="G110" s="14">
        <v>44256</v>
      </c>
      <c r="H110" s="12" t="s">
        <v>6</v>
      </c>
      <c r="I110" s="15"/>
      <c r="J110" s="240">
        <v>30</v>
      </c>
      <c r="K110" s="224">
        <v>0</v>
      </c>
      <c r="L110" s="240">
        <v>30</v>
      </c>
      <c r="M110" s="15"/>
      <c r="N110" s="16">
        <v>0</v>
      </c>
      <c r="O110" s="16">
        <v>1660</v>
      </c>
      <c r="P110" s="16"/>
      <c r="Q110" s="16"/>
      <c r="R110" s="16"/>
      <c r="S110" s="16" t="s">
        <v>1178</v>
      </c>
      <c r="T110" s="16"/>
      <c r="U110" s="242">
        <v>0</v>
      </c>
      <c r="V110" s="241">
        <v>99.6</v>
      </c>
      <c r="W110" s="238">
        <v>99.6</v>
      </c>
      <c r="Y110" s="242">
        <v>1660</v>
      </c>
      <c r="AA110" s="228"/>
      <c r="AB110" s="230"/>
      <c r="AC110" s="226"/>
      <c r="AD110" s="228"/>
      <c r="AE110" s="230">
        <v>0</v>
      </c>
      <c r="AF110" s="238">
        <v>1660</v>
      </c>
      <c r="AG110" s="226"/>
      <c r="AH110" s="17"/>
      <c r="AI110" s="16"/>
    </row>
    <row r="111" spans="1:35" x14ac:dyDescent="0.25">
      <c r="A111" s="140">
        <v>139</v>
      </c>
      <c r="B111" s="140">
        <v>52</v>
      </c>
      <c r="C111" s="27" t="s">
        <v>1070</v>
      </c>
      <c r="D111" s="13" t="s">
        <v>233</v>
      </c>
      <c r="E111" s="13" t="s">
        <v>11</v>
      </c>
      <c r="F111" s="12" t="s">
        <v>234</v>
      </c>
      <c r="G111" s="14">
        <v>44257</v>
      </c>
      <c r="H111" s="12" t="s">
        <v>10</v>
      </c>
      <c r="I111" s="15"/>
      <c r="J111" s="240">
        <v>30</v>
      </c>
      <c r="K111" s="224">
        <v>0</v>
      </c>
      <c r="L111" s="240">
        <v>30</v>
      </c>
      <c r="M111" s="15"/>
      <c r="N111" s="16">
        <v>0</v>
      </c>
      <c r="O111" s="16">
        <v>5000</v>
      </c>
      <c r="P111" s="16"/>
      <c r="Q111" s="16"/>
      <c r="R111" s="16">
        <v>37.200000000000003</v>
      </c>
      <c r="S111" s="16">
        <v>0</v>
      </c>
      <c r="T111" s="16"/>
      <c r="U111" s="239">
        <v>0</v>
      </c>
      <c r="V111" s="241">
        <v>300</v>
      </c>
      <c r="W111" s="238">
        <v>300</v>
      </c>
      <c r="Y111" s="242">
        <v>5000</v>
      </c>
      <c r="AA111" s="228"/>
      <c r="AB111" s="230"/>
      <c r="AC111" s="226"/>
      <c r="AD111" s="228"/>
      <c r="AE111" s="230">
        <v>0</v>
      </c>
      <c r="AF111" s="238">
        <v>5000</v>
      </c>
      <c r="AG111" s="226"/>
      <c r="AH111" s="17"/>
      <c r="AI111" s="16"/>
    </row>
    <row r="112" spans="1:35" x14ac:dyDescent="0.25">
      <c r="A112" s="140">
        <v>139</v>
      </c>
      <c r="B112" s="140">
        <v>51</v>
      </c>
      <c r="C112" s="27" t="s">
        <v>1071</v>
      </c>
      <c r="D112" s="13" t="s">
        <v>231</v>
      </c>
      <c r="E112" s="13" t="s">
        <v>14</v>
      </c>
      <c r="F112" s="12" t="s">
        <v>232</v>
      </c>
      <c r="G112" s="14">
        <v>44256</v>
      </c>
      <c r="H112" s="12" t="s">
        <v>10</v>
      </c>
      <c r="I112" s="15"/>
      <c r="J112" s="240">
        <v>30</v>
      </c>
      <c r="K112" s="224">
        <v>0</v>
      </c>
      <c r="L112" s="240">
        <v>30</v>
      </c>
      <c r="M112" s="15"/>
      <c r="N112" s="16">
        <v>0</v>
      </c>
      <c r="O112" s="16">
        <v>1660</v>
      </c>
      <c r="P112" s="16"/>
      <c r="Q112" s="16"/>
      <c r="R112" s="16">
        <v>37.200000000000003</v>
      </c>
      <c r="S112" s="16">
        <v>0</v>
      </c>
      <c r="T112" s="16"/>
      <c r="U112" s="239">
        <v>0</v>
      </c>
      <c r="V112" s="241">
        <v>142.01758199999998</v>
      </c>
      <c r="W112" s="238">
        <v>142.01758199999998</v>
      </c>
      <c r="Y112" s="242">
        <v>1660</v>
      </c>
      <c r="AA112" s="238">
        <v>1893.5677599999999</v>
      </c>
      <c r="AB112" s="237">
        <v>473.39193999999998</v>
      </c>
      <c r="AC112" s="226"/>
      <c r="AD112" s="228"/>
      <c r="AE112" s="237">
        <v>1893.5677599999999</v>
      </c>
      <c r="AF112" s="228">
        <v>0</v>
      </c>
      <c r="AG112" s="226"/>
      <c r="AH112" s="17"/>
      <c r="AI112" s="16"/>
    </row>
    <row r="113" spans="1:35" x14ac:dyDescent="0.25">
      <c r="A113" s="140">
        <v>139</v>
      </c>
      <c r="B113" s="140">
        <v>28</v>
      </c>
      <c r="C113" s="27" t="s">
        <v>1072</v>
      </c>
      <c r="D113" s="13" t="s">
        <v>219</v>
      </c>
      <c r="E113" s="13" t="s">
        <v>14</v>
      </c>
      <c r="F113" s="12" t="s">
        <v>220</v>
      </c>
      <c r="G113" s="14">
        <v>43623</v>
      </c>
      <c r="H113" s="12" t="s">
        <v>10</v>
      </c>
      <c r="I113" s="15"/>
      <c r="J113" s="240">
        <v>30</v>
      </c>
      <c r="K113" s="224">
        <v>0</v>
      </c>
      <c r="L113" s="240">
        <v>30</v>
      </c>
      <c r="M113" s="15"/>
      <c r="N113" s="16">
        <v>0</v>
      </c>
      <c r="O113" s="16">
        <v>1660</v>
      </c>
      <c r="P113" s="16"/>
      <c r="Q113" s="16"/>
      <c r="R113" s="16">
        <v>37.200000000000003</v>
      </c>
      <c r="S113" s="16">
        <v>0</v>
      </c>
      <c r="T113" s="16"/>
      <c r="U113" s="239">
        <v>0</v>
      </c>
      <c r="V113" s="241">
        <v>218.207514</v>
      </c>
      <c r="W113" s="238">
        <v>218.207514</v>
      </c>
      <c r="Y113" s="242">
        <v>1660</v>
      </c>
      <c r="AA113" s="238">
        <v>2909.43352</v>
      </c>
      <c r="AB113" s="237">
        <v>727.35838000000001</v>
      </c>
      <c r="AC113" s="226"/>
      <c r="AD113" s="238">
        <v>519.54169999999999</v>
      </c>
      <c r="AE113" s="237">
        <v>3428.9752200000003</v>
      </c>
      <c r="AF113" s="228">
        <v>0</v>
      </c>
      <c r="AG113" s="226">
        <v>150</v>
      </c>
      <c r="AH113" s="17"/>
      <c r="AI113" s="16"/>
    </row>
    <row r="114" spans="1:35" x14ac:dyDescent="0.25">
      <c r="A114" s="140">
        <v>139</v>
      </c>
      <c r="B114" s="140">
        <v>49</v>
      </c>
      <c r="C114" s="27" t="s">
        <v>1073</v>
      </c>
      <c r="D114" s="13" t="s">
        <v>227</v>
      </c>
      <c r="E114" s="13" t="s">
        <v>21</v>
      </c>
      <c r="F114" s="12" t="s">
        <v>228</v>
      </c>
      <c r="G114" s="14">
        <v>44169</v>
      </c>
      <c r="H114" s="12" t="s">
        <v>10</v>
      </c>
      <c r="I114" s="15"/>
      <c r="J114" s="240">
        <v>30</v>
      </c>
      <c r="K114" s="224">
        <v>0</v>
      </c>
      <c r="L114" s="240">
        <v>30</v>
      </c>
      <c r="M114" s="15"/>
      <c r="N114" s="16">
        <v>1415</v>
      </c>
      <c r="O114" s="16">
        <v>0</v>
      </c>
      <c r="P114" s="16">
        <v>71</v>
      </c>
      <c r="Q114" s="16"/>
      <c r="R114" s="16">
        <v>37.200000000000003</v>
      </c>
      <c r="S114" s="16">
        <v>0</v>
      </c>
      <c r="T114" s="16"/>
      <c r="U114" s="239">
        <v>0</v>
      </c>
      <c r="V114" s="241">
        <v>84.899999999999991</v>
      </c>
      <c r="W114" s="238">
        <v>84.899999999999991</v>
      </c>
      <c r="Y114" s="242">
        <v>1415</v>
      </c>
      <c r="AA114" s="228"/>
      <c r="AB114" s="230"/>
      <c r="AC114" s="226"/>
      <c r="AD114" s="228"/>
      <c r="AE114" s="230">
        <v>0</v>
      </c>
      <c r="AF114" s="238">
        <v>1415</v>
      </c>
      <c r="AG114" s="226"/>
      <c r="AH114" s="17"/>
      <c r="AI114" s="16"/>
    </row>
    <row r="115" spans="1:35" x14ac:dyDescent="0.25">
      <c r="A115" s="140">
        <v>139</v>
      </c>
      <c r="B115" s="140">
        <v>47</v>
      </c>
      <c r="C115" s="27" t="s">
        <v>1074</v>
      </c>
      <c r="D115" s="13" t="s">
        <v>225</v>
      </c>
      <c r="E115" s="13" t="s">
        <v>14</v>
      </c>
      <c r="F115" s="12" t="s">
        <v>226</v>
      </c>
      <c r="G115" s="14">
        <v>44169</v>
      </c>
      <c r="H115" s="12" t="s">
        <v>10</v>
      </c>
      <c r="I115" s="15"/>
      <c r="J115" s="240">
        <v>30</v>
      </c>
      <c r="K115" s="224">
        <v>0</v>
      </c>
      <c r="L115" s="240">
        <v>30</v>
      </c>
      <c r="M115" s="15"/>
      <c r="N115" s="16">
        <v>0</v>
      </c>
      <c r="O115" s="16">
        <v>1660</v>
      </c>
      <c r="P115" s="16"/>
      <c r="Q115" s="16"/>
      <c r="R115" s="16">
        <v>37.200000000000003</v>
      </c>
      <c r="S115" s="16">
        <v>220</v>
      </c>
      <c r="T115" s="16"/>
      <c r="U115" s="239">
        <v>220</v>
      </c>
      <c r="V115" s="241">
        <v>118.03521299999998</v>
      </c>
      <c r="W115" s="238">
        <v>118.03521299999998</v>
      </c>
      <c r="Y115" s="242">
        <v>1660</v>
      </c>
      <c r="AA115" s="238">
        <v>1229.01884</v>
      </c>
      <c r="AB115" s="237">
        <v>307.25470999999999</v>
      </c>
      <c r="AC115" s="226"/>
      <c r="AD115" s="228"/>
      <c r="AE115" s="237">
        <v>1229.01884</v>
      </c>
      <c r="AF115" s="238">
        <v>430.98</v>
      </c>
      <c r="AG115" s="226"/>
      <c r="AH115" s="17"/>
      <c r="AI115" s="16"/>
    </row>
    <row r="116" spans="1:35" x14ac:dyDescent="0.25">
      <c r="A116" s="140">
        <v>139</v>
      </c>
      <c r="B116" s="140">
        <v>53</v>
      </c>
      <c r="C116" s="27" t="s">
        <v>1075</v>
      </c>
      <c r="D116" s="13" t="s">
        <v>235</v>
      </c>
      <c r="E116" s="13" t="s">
        <v>21</v>
      </c>
      <c r="F116" s="12" t="s">
        <v>236</v>
      </c>
      <c r="G116" s="14">
        <v>44356</v>
      </c>
      <c r="H116" s="12" t="s">
        <v>10</v>
      </c>
      <c r="I116" s="15"/>
      <c r="J116" s="240">
        <v>30</v>
      </c>
      <c r="K116" s="224">
        <v>0</v>
      </c>
      <c r="L116" s="240">
        <v>30</v>
      </c>
      <c r="M116" s="15"/>
      <c r="N116" s="16">
        <v>1415</v>
      </c>
      <c r="O116" s="16">
        <v>0</v>
      </c>
      <c r="P116" s="16">
        <v>71</v>
      </c>
      <c r="Q116" s="16"/>
      <c r="R116" s="16"/>
      <c r="S116" s="16">
        <v>0</v>
      </c>
      <c r="T116" s="16"/>
      <c r="U116" s="239">
        <v>0</v>
      </c>
      <c r="V116" s="241">
        <v>91.825952999999998</v>
      </c>
      <c r="W116" s="238">
        <v>91.825952999999998</v>
      </c>
      <c r="Y116" s="242">
        <v>1415</v>
      </c>
      <c r="AA116" s="238">
        <v>461.74603999999999</v>
      </c>
      <c r="AB116" s="237">
        <v>115.43651</v>
      </c>
      <c r="AC116" s="226"/>
      <c r="AD116" s="228"/>
      <c r="AE116" s="237">
        <v>461.74603999999999</v>
      </c>
      <c r="AF116" s="238">
        <v>953.25</v>
      </c>
      <c r="AG116" s="226"/>
      <c r="AH116" s="17"/>
      <c r="AI116" s="16"/>
    </row>
    <row r="117" spans="1:35" x14ac:dyDescent="0.25">
      <c r="A117" s="140">
        <v>144</v>
      </c>
      <c r="B117" s="140">
        <v>81</v>
      </c>
      <c r="C117" s="27" t="s">
        <v>1076</v>
      </c>
      <c r="D117" s="13" t="s">
        <v>247</v>
      </c>
      <c r="E117" s="13" t="s">
        <v>14</v>
      </c>
      <c r="F117" s="12" t="s">
        <v>248</v>
      </c>
      <c r="G117" s="14">
        <v>43864</v>
      </c>
      <c r="H117" s="12" t="s">
        <v>10</v>
      </c>
      <c r="I117" s="15"/>
      <c r="J117" s="240">
        <v>30</v>
      </c>
      <c r="K117" s="224">
        <v>0</v>
      </c>
      <c r="L117" s="240">
        <v>30</v>
      </c>
      <c r="M117" s="15"/>
      <c r="N117" s="16">
        <v>0</v>
      </c>
      <c r="O117" s="16">
        <v>1693</v>
      </c>
      <c r="P117" s="16"/>
      <c r="Q117" s="16"/>
      <c r="R117" s="16">
        <v>23.5</v>
      </c>
      <c r="S117" s="16">
        <v>0</v>
      </c>
      <c r="T117" s="16"/>
      <c r="U117" s="239">
        <v>0</v>
      </c>
      <c r="V117" s="241">
        <v>160.18603200000001</v>
      </c>
      <c r="W117" s="238">
        <v>160.18603200000001</v>
      </c>
      <c r="Y117" s="242">
        <v>1693</v>
      </c>
      <c r="AA117" s="238">
        <v>2135.81376</v>
      </c>
      <c r="AB117" s="237">
        <v>533.95344</v>
      </c>
      <c r="AC117" s="226"/>
      <c r="AD117" s="238">
        <v>333.72089999999997</v>
      </c>
      <c r="AE117" s="237">
        <v>2469.5346599999998</v>
      </c>
      <c r="AF117" s="228">
        <v>0</v>
      </c>
      <c r="AG117" s="226">
        <v>300</v>
      </c>
      <c r="AH117" s="17"/>
      <c r="AI117" s="16"/>
    </row>
    <row r="118" spans="1:35" x14ac:dyDescent="0.25">
      <c r="A118" s="140">
        <v>144</v>
      </c>
      <c r="B118" s="140">
        <v>71</v>
      </c>
      <c r="C118" s="27" t="s">
        <v>1077</v>
      </c>
      <c r="D118" s="13" t="s">
        <v>243</v>
      </c>
      <c r="E118" s="13" t="s">
        <v>14</v>
      </c>
      <c r="F118" s="12" t="s">
        <v>244</v>
      </c>
      <c r="G118" s="14">
        <v>43509</v>
      </c>
      <c r="H118" s="12" t="s">
        <v>10</v>
      </c>
      <c r="I118" s="15"/>
      <c r="J118" s="240">
        <v>30</v>
      </c>
      <c r="K118" s="224">
        <v>0</v>
      </c>
      <c r="L118" s="240">
        <v>30</v>
      </c>
      <c r="M118" s="15"/>
      <c r="N118" s="16">
        <v>0</v>
      </c>
      <c r="O118" s="16">
        <v>1693</v>
      </c>
      <c r="P118" s="16"/>
      <c r="Q118" s="16"/>
      <c r="R118" s="16">
        <v>23.5</v>
      </c>
      <c r="S118" s="16">
        <v>0</v>
      </c>
      <c r="T118" s="16"/>
      <c r="U118" s="239">
        <v>0</v>
      </c>
      <c r="V118" s="241">
        <v>123.19135200000001</v>
      </c>
      <c r="W118" s="238">
        <v>123.19135200000001</v>
      </c>
      <c r="Y118" s="242">
        <v>1693</v>
      </c>
      <c r="AA118" s="238">
        <v>1440.7513600000002</v>
      </c>
      <c r="AB118" s="237">
        <v>360.18784000000005</v>
      </c>
      <c r="AC118" s="226"/>
      <c r="AD118" s="228"/>
      <c r="AE118" s="237">
        <v>1440.7513600000002</v>
      </c>
      <c r="AF118" s="238">
        <v>252.25</v>
      </c>
      <c r="AG118" s="226">
        <v>300</v>
      </c>
      <c r="AH118" s="17"/>
      <c r="AI118" s="16"/>
    </row>
    <row r="119" spans="1:35" x14ac:dyDescent="0.25">
      <c r="A119" s="140">
        <v>144</v>
      </c>
      <c r="B119" s="140">
        <v>85</v>
      </c>
      <c r="C119" s="27" t="s">
        <v>1078</v>
      </c>
      <c r="D119" s="13" t="s">
        <v>249</v>
      </c>
      <c r="E119" s="13" t="s">
        <v>21</v>
      </c>
      <c r="F119" s="12" t="s">
        <v>250</v>
      </c>
      <c r="G119" s="14">
        <v>44155</v>
      </c>
      <c r="H119" s="12" t="s">
        <v>10</v>
      </c>
      <c r="I119" s="15"/>
      <c r="J119" s="240">
        <v>30</v>
      </c>
      <c r="K119" s="224">
        <v>0</v>
      </c>
      <c r="L119" s="240">
        <v>30</v>
      </c>
      <c r="M119" s="15"/>
      <c r="N119" s="16">
        <v>1449</v>
      </c>
      <c r="O119" s="16">
        <v>0</v>
      </c>
      <c r="P119" s="16">
        <v>74.5</v>
      </c>
      <c r="Q119" s="16"/>
      <c r="R119" s="16">
        <v>23.5</v>
      </c>
      <c r="S119" s="16">
        <v>0</v>
      </c>
      <c r="T119" s="16"/>
      <c r="U119" s="239">
        <v>0</v>
      </c>
      <c r="V119" s="241">
        <v>86.94</v>
      </c>
      <c r="W119" s="238">
        <v>86.94</v>
      </c>
      <c r="Y119" s="242">
        <v>1449</v>
      </c>
      <c r="AA119" s="228"/>
      <c r="AB119" s="230"/>
      <c r="AC119" s="226"/>
      <c r="AD119" s="228"/>
      <c r="AE119" s="230">
        <v>0</v>
      </c>
      <c r="AF119" s="238">
        <v>1449</v>
      </c>
      <c r="AG119" s="226"/>
      <c r="AH119" s="17"/>
      <c r="AI119" s="16"/>
    </row>
    <row r="120" spans="1:35" x14ac:dyDescent="0.25">
      <c r="A120" s="140">
        <v>144</v>
      </c>
      <c r="B120" s="140">
        <v>35</v>
      </c>
      <c r="C120" s="27" t="s">
        <v>1079</v>
      </c>
      <c r="D120" s="13" t="s">
        <v>241</v>
      </c>
      <c r="E120" s="13" t="s">
        <v>11</v>
      </c>
      <c r="F120" s="12" t="s">
        <v>242</v>
      </c>
      <c r="G120" s="14">
        <v>42545</v>
      </c>
      <c r="H120" s="12" t="s">
        <v>10</v>
      </c>
      <c r="I120" s="15"/>
      <c r="J120" s="240">
        <v>30</v>
      </c>
      <c r="K120" s="224">
        <v>0</v>
      </c>
      <c r="L120" s="240">
        <v>30</v>
      </c>
      <c r="M120" s="15"/>
      <c r="N120" s="16">
        <v>0</v>
      </c>
      <c r="O120" s="16">
        <v>4500</v>
      </c>
      <c r="P120" s="16"/>
      <c r="Q120" s="16"/>
      <c r="R120" s="16">
        <v>23.5</v>
      </c>
      <c r="S120" s="16">
        <v>0</v>
      </c>
      <c r="T120" s="16"/>
      <c r="U120" s="239">
        <v>0</v>
      </c>
      <c r="V120" s="241">
        <v>271.06296000000003</v>
      </c>
      <c r="W120" s="238">
        <v>271.06296000000003</v>
      </c>
      <c r="Y120" s="242">
        <v>4500</v>
      </c>
      <c r="AA120" s="238">
        <v>70.876800000000003</v>
      </c>
      <c r="AB120" s="237">
        <v>17.719200000000001</v>
      </c>
      <c r="AC120" s="226"/>
      <c r="AD120" s="228"/>
      <c r="AE120" s="237">
        <v>70.876800000000003</v>
      </c>
      <c r="AF120" s="238">
        <v>4429.12</v>
      </c>
      <c r="AG120" s="226"/>
      <c r="AH120" s="17"/>
      <c r="AI120" s="16"/>
    </row>
    <row r="121" spans="1:35" x14ac:dyDescent="0.25">
      <c r="A121" s="140">
        <v>144</v>
      </c>
      <c r="B121" s="140">
        <v>74</v>
      </c>
      <c r="C121" s="27" t="s">
        <v>1080</v>
      </c>
      <c r="D121" s="13" t="s">
        <v>245</v>
      </c>
      <c r="E121" s="13" t="s">
        <v>14</v>
      </c>
      <c r="F121" s="12" t="s">
        <v>246</v>
      </c>
      <c r="G121" s="14">
        <v>43559</v>
      </c>
      <c r="H121" s="12" t="s">
        <v>10</v>
      </c>
      <c r="I121" s="15"/>
      <c r="J121" s="240">
        <v>30</v>
      </c>
      <c r="K121" s="224">
        <v>0</v>
      </c>
      <c r="L121" s="240">
        <v>30</v>
      </c>
      <c r="M121" s="15"/>
      <c r="N121" s="16">
        <v>0</v>
      </c>
      <c r="O121" s="16">
        <v>1693</v>
      </c>
      <c r="P121" s="16"/>
      <c r="Q121" s="16"/>
      <c r="R121" s="16"/>
      <c r="S121" s="16"/>
      <c r="T121" s="16">
        <v>218.4</v>
      </c>
      <c r="U121" s="239">
        <v>218.4</v>
      </c>
      <c r="V121" s="241">
        <v>124.03372800000001</v>
      </c>
      <c r="W121" s="238">
        <v>124.03372800000001</v>
      </c>
      <c r="Y121" s="242">
        <v>1693</v>
      </c>
      <c r="AA121" s="238">
        <v>1496.9030400000001</v>
      </c>
      <c r="AB121" s="237">
        <v>374.22576000000004</v>
      </c>
      <c r="AC121" s="226"/>
      <c r="AD121" s="228"/>
      <c r="AE121" s="237">
        <v>1496.9030400000001</v>
      </c>
      <c r="AF121" s="238">
        <v>196.1</v>
      </c>
      <c r="AG121" s="226"/>
      <c r="AH121" s="17"/>
      <c r="AI121" s="16"/>
    </row>
    <row r="122" spans="1:35" x14ac:dyDescent="0.25">
      <c r="A122" s="140">
        <v>144</v>
      </c>
      <c r="B122" s="140">
        <v>88</v>
      </c>
      <c r="C122" s="27" t="s">
        <v>1081</v>
      </c>
      <c r="D122" s="13" t="s">
        <v>251</v>
      </c>
      <c r="E122" s="13" t="s">
        <v>14</v>
      </c>
      <c r="F122" s="12" t="s">
        <v>252</v>
      </c>
      <c r="G122" s="14">
        <v>44166</v>
      </c>
      <c r="H122" s="12" t="s">
        <v>10</v>
      </c>
      <c r="I122" s="15"/>
      <c r="J122" s="240">
        <v>30</v>
      </c>
      <c r="K122" s="224">
        <v>0</v>
      </c>
      <c r="L122" s="240">
        <v>30</v>
      </c>
      <c r="M122" s="15"/>
      <c r="N122" s="16">
        <v>0</v>
      </c>
      <c r="O122" s="16">
        <v>1693</v>
      </c>
      <c r="P122" s="16"/>
      <c r="Q122" s="16"/>
      <c r="R122" s="16">
        <v>23.5</v>
      </c>
      <c r="S122" s="16"/>
      <c r="T122" s="16">
        <v>227.7</v>
      </c>
      <c r="U122" s="239">
        <v>227.7</v>
      </c>
      <c r="V122" s="241">
        <v>118.843992</v>
      </c>
      <c r="W122" s="238">
        <v>118.843992</v>
      </c>
      <c r="Y122" s="242">
        <v>1693</v>
      </c>
      <c r="AA122" s="238">
        <v>1150.9145600000002</v>
      </c>
      <c r="AB122" s="237">
        <v>287.72864000000004</v>
      </c>
      <c r="AC122" s="226"/>
      <c r="AD122" s="228"/>
      <c r="AE122" s="237">
        <v>1150.9145600000002</v>
      </c>
      <c r="AF122" s="238">
        <v>542.09</v>
      </c>
      <c r="AG122" s="226"/>
      <c r="AH122" s="17"/>
      <c r="AI122" s="16"/>
    </row>
    <row r="123" spans="1:35" x14ac:dyDescent="0.25">
      <c r="A123" s="140">
        <v>154</v>
      </c>
      <c r="B123" s="140">
        <v>38</v>
      </c>
      <c r="C123" s="27" t="s">
        <v>1082</v>
      </c>
      <c r="D123" s="13" t="s">
        <v>255</v>
      </c>
      <c r="E123" s="13" t="s">
        <v>14</v>
      </c>
      <c r="F123" s="12" t="s">
        <v>256</v>
      </c>
      <c r="G123" s="14">
        <v>43679</v>
      </c>
      <c r="H123" s="12" t="s">
        <v>10</v>
      </c>
      <c r="I123" s="15"/>
      <c r="J123" s="240">
        <v>-48</v>
      </c>
      <c r="K123" s="246">
        <v>39</v>
      </c>
      <c r="L123" s="240">
        <v>-9</v>
      </c>
      <c r="M123" s="15"/>
      <c r="N123" s="16">
        <v>0</v>
      </c>
      <c r="O123" s="16">
        <v>1240</v>
      </c>
      <c r="P123" s="16"/>
      <c r="Q123" s="16"/>
      <c r="R123" s="16"/>
      <c r="S123" s="16">
        <v>0</v>
      </c>
      <c r="T123" s="16"/>
      <c r="U123" s="239">
        <v>0</v>
      </c>
      <c r="V123" s="241">
        <v>14.342088</v>
      </c>
      <c r="W123" s="238">
        <v>14.342088</v>
      </c>
      <c r="Y123" s="242">
        <v>-1984</v>
      </c>
      <c r="AA123" s="238">
        <v>191.22784000000001</v>
      </c>
      <c r="AB123" s="237">
        <v>47.806960000000004</v>
      </c>
      <c r="AC123" s="226"/>
      <c r="AD123" s="228"/>
      <c r="AE123" s="237">
        <v>191.22784000000001</v>
      </c>
      <c r="AF123" s="228">
        <v>0</v>
      </c>
      <c r="AG123" s="226"/>
      <c r="AH123" s="17"/>
      <c r="AI123" s="16"/>
    </row>
    <row r="124" spans="1:35" x14ac:dyDescent="0.25">
      <c r="A124" s="140">
        <v>154</v>
      </c>
      <c r="B124" s="140">
        <v>43</v>
      </c>
      <c r="C124" s="27" t="s">
        <v>1083</v>
      </c>
      <c r="D124" s="13" t="s">
        <v>259</v>
      </c>
      <c r="E124" s="13" t="s">
        <v>21</v>
      </c>
      <c r="F124" s="12" t="s">
        <v>260</v>
      </c>
      <c r="G124" s="14">
        <v>44097</v>
      </c>
      <c r="H124" s="12" t="s">
        <v>10</v>
      </c>
      <c r="I124" s="15"/>
      <c r="J124" s="240">
        <v>30</v>
      </c>
      <c r="K124" s="224">
        <v>0</v>
      </c>
      <c r="L124" s="240">
        <v>30</v>
      </c>
      <c r="M124" s="15"/>
      <c r="N124" s="16">
        <v>1240</v>
      </c>
      <c r="O124" s="16">
        <v>0</v>
      </c>
      <c r="P124" s="16">
        <v>124</v>
      </c>
      <c r="Q124" s="16"/>
      <c r="R124" s="16"/>
      <c r="S124" s="16">
        <v>422.5</v>
      </c>
      <c r="T124" s="16"/>
      <c r="U124" s="239">
        <v>422.5</v>
      </c>
      <c r="V124" s="241">
        <v>74.399999999999991</v>
      </c>
      <c r="W124" s="238">
        <v>74.399999999999991</v>
      </c>
      <c r="Y124" s="242">
        <v>1240</v>
      </c>
      <c r="AA124" s="228"/>
      <c r="AB124" s="230"/>
      <c r="AC124" s="226"/>
      <c r="AD124" s="228"/>
      <c r="AE124" s="230">
        <v>0</v>
      </c>
      <c r="AF124" s="238">
        <v>1240</v>
      </c>
      <c r="AG124" s="226"/>
      <c r="AH124" s="17"/>
      <c r="AI124" s="16"/>
    </row>
    <row r="125" spans="1:35" x14ac:dyDescent="0.25">
      <c r="A125" s="140">
        <v>154</v>
      </c>
      <c r="B125" s="140">
        <v>45</v>
      </c>
      <c r="C125" s="27" t="s">
        <v>1084</v>
      </c>
      <c r="D125" s="13" t="s">
        <v>261</v>
      </c>
      <c r="E125" s="13" t="s">
        <v>14</v>
      </c>
      <c r="F125" s="12" t="s">
        <v>262</v>
      </c>
      <c r="G125" s="14">
        <v>44152</v>
      </c>
      <c r="H125" s="12" t="s">
        <v>10</v>
      </c>
      <c r="I125" s="15"/>
      <c r="J125" s="240">
        <v>30</v>
      </c>
      <c r="K125" s="224">
        <v>0</v>
      </c>
      <c r="L125" s="240">
        <v>30</v>
      </c>
      <c r="M125" s="15"/>
      <c r="N125" s="16">
        <v>0</v>
      </c>
      <c r="O125" s="16">
        <v>1240</v>
      </c>
      <c r="P125" s="16"/>
      <c r="Q125" s="16"/>
      <c r="R125" s="16"/>
      <c r="S125" s="16">
        <v>187.5</v>
      </c>
      <c r="T125" s="16"/>
      <c r="U125" s="239">
        <v>187.5</v>
      </c>
      <c r="V125" s="241">
        <v>179.81284799999997</v>
      </c>
      <c r="W125" s="238">
        <v>179.81284799999997</v>
      </c>
      <c r="Y125" s="242">
        <v>1240</v>
      </c>
      <c r="AA125" s="238">
        <v>2397.5046400000001</v>
      </c>
      <c r="AB125" s="237">
        <v>599.37616000000003</v>
      </c>
      <c r="AC125" s="226"/>
      <c r="AD125" s="238">
        <v>374.61010000000005</v>
      </c>
      <c r="AE125" s="237">
        <v>2772.11474</v>
      </c>
      <c r="AF125" s="228">
        <v>0</v>
      </c>
      <c r="AG125" s="226"/>
      <c r="AH125" s="17"/>
      <c r="AI125" s="16"/>
    </row>
    <row r="126" spans="1:35" x14ac:dyDescent="0.25">
      <c r="A126" s="140">
        <v>154</v>
      </c>
      <c r="B126" s="140">
        <v>28</v>
      </c>
      <c r="C126" s="27" t="s">
        <v>1085</v>
      </c>
      <c r="D126" s="13" t="s">
        <v>253</v>
      </c>
      <c r="E126" s="13" t="s">
        <v>14</v>
      </c>
      <c r="F126" s="12" t="s">
        <v>254</v>
      </c>
      <c r="G126" s="14">
        <v>42789</v>
      </c>
      <c r="H126" s="12" t="s">
        <v>10</v>
      </c>
      <c r="I126" s="15"/>
      <c r="J126" s="240">
        <v>30</v>
      </c>
      <c r="K126" s="224">
        <v>0</v>
      </c>
      <c r="L126" s="240">
        <v>30</v>
      </c>
      <c r="M126" s="15"/>
      <c r="N126" s="16">
        <v>0</v>
      </c>
      <c r="O126" s="16">
        <v>1240</v>
      </c>
      <c r="P126" s="16"/>
      <c r="Q126" s="16"/>
      <c r="R126" s="16"/>
      <c r="S126" s="16">
        <v>375</v>
      </c>
      <c r="T126" s="16"/>
      <c r="U126" s="239">
        <v>375</v>
      </c>
      <c r="V126" s="241">
        <v>183.17484000000002</v>
      </c>
      <c r="W126" s="238">
        <v>183.17484000000002</v>
      </c>
      <c r="Y126" s="242">
        <v>1240</v>
      </c>
      <c r="AA126" s="238">
        <v>2442.3312000000001</v>
      </c>
      <c r="AB126" s="237">
        <v>610.58280000000002</v>
      </c>
      <c r="AC126" s="244" t="s">
        <v>1181</v>
      </c>
      <c r="AD126" s="238">
        <v>381.61425000000003</v>
      </c>
      <c r="AE126" s="237">
        <v>2823.9454500000002</v>
      </c>
      <c r="AF126" s="228">
        <v>0</v>
      </c>
      <c r="AG126" s="243" t="s">
        <v>1180</v>
      </c>
      <c r="AH126" s="17"/>
      <c r="AI126" s="16"/>
    </row>
    <row r="127" spans="1:35" x14ac:dyDescent="0.25">
      <c r="A127" s="140">
        <v>154</v>
      </c>
      <c r="B127" s="140">
        <v>42</v>
      </c>
      <c r="C127" s="27" t="s">
        <v>1086</v>
      </c>
      <c r="D127" s="13" t="s">
        <v>257</v>
      </c>
      <c r="E127" s="13" t="s">
        <v>14</v>
      </c>
      <c r="F127" s="12" t="s">
        <v>258</v>
      </c>
      <c r="G127" s="14">
        <v>43787</v>
      </c>
      <c r="H127" s="12" t="s">
        <v>10</v>
      </c>
      <c r="I127" s="15"/>
      <c r="J127" s="240">
        <v>30</v>
      </c>
      <c r="K127" s="224">
        <v>0</v>
      </c>
      <c r="L127" s="240">
        <v>30</v>
      </c>
      <c r="M127" s="15"/>
      <c r="N127" s="16">
        <v>0</v>
      </c>
      <c r="O127" s="16">
        <v>1240</v>
      </c>
      <c r="P127" s="16"/>
      <c r="Q127" s="16"/>
      <c r="R127" s="16"/>
      <c r="S127" s="16">
        <v>0</v>
      </c>
      <c r="T127" s="16"/>
      <c r="U127" s="239">
        <v>0</v>
      </c>
      <c r="V127" s="241">
        <v>188.24872799999997</v>
      </c>
      <c r="W127" s="238">
        <v>188.24872799999997</v>
      </c>
      <c r="Y127" s="242">
        <v>1240</v>
      </c>
      <c r="AA127" s="238">
        <v>2509.9830400000001</v>
      </c>
      <c r="AB127" s="237">
        <v>627.49576000000002</v>
      </c>
      <c r="AC127" s="226"/>
      <c r="AD127" s="238">
        <v>392.18485000000004</v>
      </c>
      <c r="AE127" s="237">
        <v>2902.1678900000002</v>
      </c>
      <c r="AF127" s="228">
        <v>0</v>
      </c>
      <c r="AG127" s="226"/>
      <c r="AH127" s="17"/>
      <c r="AI127" s="16"/>
    </row>
    <row r="128" spans="1:35" x14ac:dyDescent="0.25">
      <c r="A128" s="140">
        <v>156</v>
      </c>
      <c r="B128" s="140">
        <v>76</v>
      </c>
      <c r="C128" s="27" t="s">
        <v>721</v>
      </c>
      <c r="D128" s="13" t="s">
        <v>269</v>
      </c>
      <c r="E128" s="13" t="s">
        <v>14</v>
      </c>
      <c r="F128" s="12" t="s">
        <v>270</v>
      </c>
      <c r="G128" s="14">
        <v>43901</v>
      </c>
      <c r="H128" s="12" t="s">
        <v>10</v>
      </c>
      <c r="I128" s="15"/>
      <c r="J128" s="240">
        <v>30</v>
      </c>
      <c r="K128" s="224">
        <v>0</v>
      </c>
      <c r="L128" s="240">
        <v>30</v>
      </c>
      <c r="M128" s="15"/>
      <c r="N128" s="16">
        <v>0</v>
      </c>
      <c r="O128" s="16">
        <v>1807.35</v>
      </c>
      <c r="P128" s="16"/>
      <c r="Q128" s="16"/>
      <c r="R128" s="16">
        <v>40</v>
      </c>
      <c r="S128" s="16">
        <v>443.52</v>
      </c>
      <c r="T128" s="16"/>
      <c r="U128" s="239">
        <v>443.52</v>
      </c>
      <c r="V128" s="241">
        <v>187.47724799999997</v>
      </c>
      <c r="W128" s="238">
        <v>187.47724799999997</v>
      </c>
      <c r="Y128" s="242">
        <v>1807.35</v>
      </c>
      <c r="AA128" s="238">
        <v>2499.6966399999997</v>
      </c>
      <c r="AB128" s="237">
        <v>624.92415999999992</v>
      </c>
      <c r="AC128" s="226"/>
      <c r="AD128" s="238">
        <v>390.57759999999996</v>
      </c>
      <c r="AE128" s="237">
        <v>2890.2742399999997</v>
      </c>
      <c r="AF128" s="228">
        <v>0</v>
      </c>
      <c r="AG128" s="226"/>
      <c r="AH128" s="17"/>
      <c r="AI128" s="16"/>
    </row>
    <row r="129" spans="1:35" x14ac:dyDescent="0.25">
      <c r="A129" s="140">
        <v>156</v>
      </c>
      <c r="B129" s="140">
        <v>72</v>
      </c>
      <c r="C129" s="27" t="s">
        <v>722</v>
      </c>
      <c r="D129" s="13" t="s">
        <v>265</v>
      </c>
      <c r="E129" s="13" t="s">
        <v>14</v>
      </c>
      <c r="F129" s="12" t="s">
        <v>266</v>
      </c>
      <c r="G129" s="14">
        <v>43852</v>
      </c>
      <c r="H129" s="12" t="s">
        <v>10</v>
      </c>
      <c r="I129" s="15"/>
      <c r="J129" s="240">
        <v>30</v>
      </c>
      <c r="K129" s="224">
        <v>0</v>
      </c>
      <c r="L129" s="240">
        <v>30</v>
      </c>
      <c r="M129" s="15"/>
      <c r="N129" s="16">
        <v>0</v>
      </c>
      <c r="O129" s="16">
        <v>1807.35</v>
      </c>
      <c r="P129" s="16"/>
      <c r="Q129" s="16"/>
      <c r="R129" s="16">
        <v>40</v>
      </c>
      <c r="S129" s="16">
        <v>443.52</v>
      </c>
      <c r="T129" s="16"/>
      <c r="U129" s="239">
        <v>443.52</v>
      </c>
      <c r="V129" s="241">
        <v>166.76267999999999</v>
      </c>
      <c r="W129" s="238">
        <v>166.76267999999999</v>
      </c>
      <c r="Y129" s="242">
        <v>1807.35</v>
      </c>
      <c r="AA129" s="238">
        <v>2223.5023999999999</v>
      </c>
      <c r="AB129" s="237">
        <v>555.87559999999996</v>
      </c>
      <c r="AC129" s="226">
        <v>600</v>
      </c>
      <c r="AD129" s="228"/>
      <c r="AE129" s="237">
        <v>2223.5023999999999</v>
      </c>
      <c r="AF129" s="228">
        <v>0</v>
      </c>
      <c r="AG129" s="226">
        <v>300</v>
      </c>
      <c r="AH129" s="17"/>
      <c r="AI129" s="16"/>
    </row>
    <row r="130" spans="1:35" x14ac:dyDescent="0.25">
      <c r="A130" s="140">
        <v>156</v>
      </c>
      <c r="B130" s="140">
        <v>78</v>
      </c>
      <c r="C130" s="27" t="s">
        <v>723</v>
      </c>
      <c r="D130" s="13" t="s">
        <v>271</v>
      </c>
      <c r="E130" s="13" t="s">
        <v>14</v>
      </c>
      <c r="F130" s="12" t="s">
        <v>272</v>
      </c>
      <c r="G130" s="14">
        <v>43902</v>
      </c>
      <c r="H130" s="12" t="s">
        <v>10</v>
      </c>
      <c r="I130" s="15"/>
      <c r="J130" s="240">
        <v>30</v>
      </c>
      <c r="K130" s="224">
        <v>0</v>
      </c>
      <c r="L130" s="240">
        <v>30</v>
      </c>
      <c r="M130" s="15"/>
      <c r="N130" s="16">
        <v>0</v>
      </c>
      <c r="O130" s="16">
        <v>1807.35</v>
      </c>
      <c r="P130" s="16"/>
      <c r="Q130" s="16"/>
      <c r="R130" s="16">
        <v>40</v>
      </c>
      <c r="S130" s="16">
        <v>0</v>
      </c>
      <c r="T130" s="16"/>
      <c r="U130" s="239">
        <v>0</v>
      </c>
      <c r="V130" s="241">
        <v>127.46697599999999</v>
      </c>
      <c r="W130" s="238">
        <v>127.46697599999999</v>
      </c>
      <c r="Y130" s="242">
        <v>1807.35</v>
      </c>
      <c r="AA130" s="238">
        <v>1268.4156800000001</v>
      </c>
      <c r="AB130" s="237">
        <v>317.10392000000002</v>
      </c>
      <c r="AC130" s="226">
        <v>600</v>
      </c>
      <c r="AD130" s="228"/>
      <c r="AE130" s="237">
        <v>1268.4156800000001</v>
      </c>
      <c r="AF130" s="238">
        <v>538.92999999999995</v>
      </c>
      <c r="AG130" s="226">
        <v>300</v>
      </c>
      <c r="AH130" s="17"/>
      <c r="AI130" s="16"/>
    </row>
    <row r="131" spans="1:35" x14ac:dyDescent="0.25">
      <c r="A131" s="140">
        <v>156</v>
      </c>
      <c r="B131" s="140">
        <v>67</v>
      </c>
      <c r="C131" s="27" t="s">
        <v>724</v>
      </c>
      <c r="D131" s="13" t="s">
        <v>263</v>
      </c>
      <c r="E131" s="13" t="s">
        <v>14</v>
      </c>
      <c r="F131" s="12" t="s">
        <v>264</v>
      </c>
      <c r="G131" s="14">
        <v>43759</v>
      </c>
      <c r="H131" s="12" t="s">
        <v>10</v>
      </c>
      <c r="I131" s="15"/>
      <c r="J131" s="240">
        <v>30</v>
      </c>
      <c r="K131" s="224">
        <v>0</v>
      </c>
      <c r="L131" s="240">
        <v>30</v>
      </c>
      <c r="M131" s="15"/>
      <c r="N131" s="16">
        <v>0</v>
      </c>
      <c r="O131" s="16">
        <v>1807.35</v>
      </c>
      <c r="P131" s="16"/>
      <c r="Q131" s="16"/>
      <c r="R131" s="16">
        <v>40</v>
      </c>
      <c r="S131" s="16">
        <v>0</v>
      </c>
      <c r="T131" s="16"/>
      <c r="U131" s="239">
        <v>0</v>
      </c>
      <c r="V131" s="241">
        <v>192.88761599999998</v>
      </c>
      <c r="W131" s="238">
        <v>192.88761599999998</v>
      </c>
      <c r="Y131" s="242">
        <v>1807.35</v>
      </c>
      <c r="AA131" s="238">
        <v>2571.8348799999999</v>
      </c>
      <c r="AB131" s="237">
        <v>642.95871999999997</v>
      </c>
      <c r="AC131" s="226">
        <v>200</v>
      </c>
      <c r="AD131" s="238">
        <v>401.8492</v>
      </c>
      <c r="AE131" s="237">
        <v>2973.68408</v>
      </c>
      <c r="AF131" s="228">
        <v>0</v>
      </c>
      <c r="AG131" s="226">
        <v>300</v>
      </c>
      <c r="AH131" s="17"/>
      <c r="AI131" s="16"/>
    </row>
    <row r="132" spans="1:35" s="188" customFormat="1" x14ac:dyDescent="0.25">
      <c r="A132" s="221">
        <v>156</v>
      </c>
      <c r="B132" s="221">
        <v>81</v>
      </c>
      <c r="C132" s="182" t="s">
        <v>1087</v>
      </c>
      <c r="D132" s="183" t="s">
        <v>275</v>
      </c>
      <c r="E132" s="183" t="s">
        <v>14</v>
      </c>
      <c r="F132" s="184" t="s">
        <v>276</v>
      </c>
      <c r="G132" s="185">
        <v>44152</v>
      </c>
      <c r="H132" s="184" t="s">
        <v>10</v>
      </c>
      <c r="I132" s="186"/>
      <c r="J132" s="240">
        <v>30</v>
      </c>
      <c r="K132" s="224">
        <v>0</v>
      </c>
      <c r="L132" s="240">
        <v>30</v>
      </c>
      <c r="M132" s="186"/>
      <c r="N132" s="187"/>
      <c r="O132" s="187">
        <v>1807.35</v>
      </c>
      <c r="P132" s="187"/>
      <c r="Q132" s="187"/>
      <c r="R132" s="187">
        <v>40</v>
      </c>
      <c r="S132" s="187">
        <v>443.52</v>
      </c>
      <c r="T132" s="187"/>
      <c r="U132" s="239">
        <v>443.52</v>
      </c>
      <c r="V132" s="241">
        <v>133.20453599999996</v>
      </c>
      <c r="W132" s="238">
        <v>133.20453599999996</v>
      </c>
      <c r="Y132" s="242">
        <v>1807.35</v>
      </c>
      <c r="Z132" s="10"/>
      <c r="AA132" s="238">
        <v>1650.8844799999999</v>
      </c>
      <c r="AB132" s="237">
        <v>412.72111999999998</v>
      </c>
      <c r="AC132" s="226"/>
      <c r="AD132" s="228"/>
      <c r="AE132" s="237">
        <v>1650.8844799999999</v>
      </c>
      <c r="AF132" s="238">
        <v>156.47</v>
      </c>
      <c r="AG132" s="226"/>
      <c r="AH132" s="189"/>
      <c r="AI132" s="187"/>
    </row>
    <row r="133" spans="1:35" x14ac:dyDescent="0.25">
      <c r="A133" s="140">
        <v>156</v>
      </c>
      <c r="B133" s="140">
        <v>79</v>
      </c>
      <c r="C133" s="27" t="s">
        <v>1088</v>
      </c>
      <c r="D133" s="13" t="s">
        <v>273</v>
      </c>
      <c r="E133" s="13" t="s">
        <v>14</v>
      </c>
      <c r="F133" s="12" t="s">
        <v>274</v>
      </c>
      <c r="G133" s="14">
        <v>44145</v>
      </c>
      <c r="H133" s="12" t="s">
        <v>10</v>
      </c>
      <c r="I133" s="15"/>
      <c r="J133" s="240">
        <v>30</v>
      </c>
      <c r="K133" s="224">
        <v>0</v>
      </c>
      <c r="L133" s="240">
        <v>30</v>
      </c>
      <c r="M133" s="15"/>
      <c r="N133" s="16">
        <v>0</v>
      </c>
      <c r="O133" s="16">
        <v>1807.35</v>
      </c>
      <c r="P133" s="16"/>
      <c r="Q133" s="16"/>
      <c r="R133" s="16">
        <v>40</v>
      </c>
      <c r="S133" s="16">
        <v>443.52</v>
      </c>
      <c r="T133" s="16"/>
      <c r="U133" s="239">
        <v>443.52</v>
      </c>
      <c r="V133" s="241">
        <v>188.73518399999998</v>
      </c>
      <c r="W133" s="238">
        <v>188.73518399999998</v>
      </c>
      <c r="Y133" s="242">
        <v>1807.35</v>
      </c>
      <c r="AA133" s="238">
        <v>2516.4691199999997</v>
      </c>
      <c r="AB133" s="237">
        <v>629.11727999999994</v>
      </c>
      <c r="AC133" s="226"/>
      <c r="AD133" s="238">
        <v>393.19829999999996</v>
      </c>
      <c r="AE133" s="237">
        <v>2909.6674199999998</v>
      </c>
      <c r="AF133" s="228">
        <v>0</v>
      </c>
      <c r="AG133" s="226"/>
      <c r="AH133" s="17"/>
      <c r="AI133" s="16"/>
    </row>
    <row r="134" spans="1:35" s="40" customFormat="1" x14ac:dyDescent="0.25">
      <c r="A134" s="140">
        <v>156</v>
      </c>
      <c r="B134" s="140">
        <v>75</v>
      </c>
      <c r="C134" s="27" t="s">
        <v>725</v>
      </c>
      <c r="D134" s="13" t="s">
        <v>267</v>
      </c>
      <c r="E134" s="13" t="s">
        <v>11</v>
      </c>
      <c r="F134" s="12" t="s">
        <v>268</v>
      </c>
      <c r="G134" s="14">
        <v>43889</v>
      </c>
      <c r="H134" s="12" t="s">
        <v>10</v>
      </c>
      <c r="I134" s="15"/>
      <c r="J134" s="240">
        <v>30</v>
      </c>
      <c r="K134" s="224">
        <v>0</v>
      </c>
      <c r="L134" s="240">
        <v>30</v>
      </c>
      <c r="M134" s="15"/>
      <c r="N134" s="16">
        <v>0</v>
      </c>
      <c r="O134" s="16">
        <v>4817.59</v>
      </c>
      <c r="P134" s="16"/>
      <c r="Q134" s="16"/>
      <c r="R134" s="16">
        <v>40</v>
      </c>
      <c r="S134" s="16">
        <v>0</v>
      </c>
      <c r="T134" s="16"/>
      <c r="U134" s="239">
        <v>0</v>
      </c>
      <c r="V134" s="241">
        <v>290.16335999999995</v>
      </c>
      <c r="W134" s="238">
        <v>290.16335999999995</v>
      </c>
      <c r="X134" s="10"/>
      <c r="Y134" s="242">
        <v>4817.59</v>
      </c>
      <c r="Z134" s="10"/>
      <c r="AA134" s="238">
        <v>73.852800000000002</v>
      </c>
      <c r="AB134" s="237">
        <v>18.463200000000001</v>
      </c>
      <c r="AC134" s="226"/>
      <c r="AD134" s="228"/>
      <c r="AE134" s="237">
        <v>73.852800000000002</v>
      </c>
      <c r="AF134" s="238">
        <v>4743.74</v>
      </c>
      <c r="AG134" s="226"/>
      <c r="AH134" s="17"/>
      <c r="AI134" s="16"/>
    </row>
    <row r="135" spans="1:35" x14ac:dyDescent="0.25">
      <c r="A135" s="140">
        <v>156</v>
      </c>
      <c r="B135" s="140">
        <v>84</v>
      </c>
      <c r="C135" s="27" t="s">
        <v>1089</v>
      </c>
      <c r="D135" s="13" t="s">
        <v>277</v>
      </c>
      <c r="E135" s="13" t="s">
        <v>21</v>
      </c>
      <c r="F135" s="12" t="s">
        <v>278</v>
      </c>
      <c r="G135" s="14">
        <v>44354</v>
      </c>
      <c r="H135" s="12" t="s">
        <v>10</v>
      </c>
      <c r="I135" s="15"/>
      <c r="J135" s="240">
        <v>30</v>
      </c>
      <c r="K135" s="224">
        <v>0</v>
      </c>
      <c r="L135" s="240">
        <v>30</v>
      </c>
      <c r="M135" s="15"/>
      <c r="N135" s="16">
        <v>1461.24</v>
      </c>
      <c r="O135" s="16">
        <v>0</v>
      </c>
      <c r="P135" s="16">
        <v>68.400000000000006</v>
      </c>
      <c r="Q135" s="16"/>
      <c r="R135" s="16">
        <v>34</v>
      </c>
      <c r="S135" s="16"/>
      <c r="T135" s="16">
        <v>491.28</v>
      </c>
      <c r="U135" s="239">
        <v>491.28</v>
      </c>
      <c r="V135" s="241">
        <v>87.674399999999991</v>
      </c>
      <c r="W135" s="238">
        <v>87.674399999999991</v>
      </c>
      <c r="Y135" s="242">
        <v>1461.24</v>
      </c>
      <c r="AA135" s="228"/>
      <c r="AB135" s="230"/>
      <c r="AC135" s="226"/>
      <c r="AD135" s="228"/>
      <c r="AE135" s="230">
        <v>0</v>
      </c>
      <c r="AF135" s="238">
        <v>1461.24</v>
      </c>
      <c r="AG135" s="226"/>
      <c r="AH135" s="17"/>
      <c r="AI135" s="16"/>
    </row>
    <row r="136" spans="1:35" x14ac:dyDescent="0.25">
      <c r="A136" s="140">
        <v>157</v>
      </c>
      <c r="B136" s="140">
        <v>14</v>
      </c>
      <c r="C136" s="27" t="s">
        <v>1090</v>
      </c>
      <c r="D136" s="13" t="s">
        <v>279</v>
      </c>
      <c r="E136" s="13" t="s">
        <v>14</v>
      </c>
      <c r="F136" s="12" t="s">
        <v>280</v>
      </c>
      <c r="G136" s="14">
        <v>42684</v>
      </c>
      <c r="H136" s="12" t="s">
        <v>10</v>
      </c>
      <c r="I136" s="15"/>
      <c r="J136" s="240">
        <v>30</v>
      </c>
      <c r="K136" s="224">
        <v>0</v>
      </c>
      <c r="L136" s="240">
        <v>30</v>
      </c>
      <c r="M136" s="15"/>
      <c r="N136" s="16">
        <v>1</v>
      </c>
      <c r="O136" s="16">
        <v>1478</v>
      </c>
      <c r="P136" s="16"/>
      <c r="Q136" s="16"/>
      <c r="R136" s="16"/>
      <c r="S136" s="16"/>
      <c r="T136" s="16">
        <v>216</v>
      </c>
      <c r="U136" s="239">
        <v>216</v>
      </c>
      <c r="V136" s="241">
        <v>183.05531999999999</v>
      </c>
      <c r="W136" s="238">
        <v>183.05531999999999</v>
      </c>
      <c r="Y136" s="242">
        <v>1479</v>
      </c>
      <c r="AA136" s="238">
        <v>2440.7375999999999</v>
      </c>
      <c r="AB136" s="237">
        <v>610.18439999999998</v>
      </c>
      <c r="AC136" s="244" t="s">
        <v>1180</v>
      </c>
      <c r="AD136" s="238">
        <v>381.36525</v>
      </c>
      <c r="AE136" s="237">
        <v>2822.1028499999998</v>
      </c>
      <c r="AF136" s="228">
        <v>0</v>
      </c>
      <c r="AG136" s="243" t="s">
        <v>1180</v>
      </c>
      <c r="AH136" s="17"/>
      <c r="AI136" s="16"/>
    </row>
    <row r="137" spans="1:35" x14ac:dyDescent="0.25">
      <c r="A137" s="140">
        <v>157</v>
      </c>
      <c r="B137" s="140">
        <v>33</v>
      </c>
      <c r="C137" s="27" t="s">
        <v>1091</v>
      </c>
      <c r="D137" s="13" t="s">
        <v>281</v>
      </c>
      <c r="E137" s="13" t="s">
        <v>11</v>
      </c>
      <c r="F137" s="12" t="s">
        <v>282</v>
      </c>
      <c r="G137" s="14">
        <v>43693</v>
      </c>
      <c r="H137" s="12" t="s">
        <v>10</v>
      </c>
      <c r="I137" s="15"/>
      <c r="J137" s="240">
        <v>-82</v>
      </c>
      <c r="K137" s="246">
        <v>56</v>
      </c>
      <c r="L137" s="240">
        <v>-26</v>
      </c>
      <c r="M137" s="15"/>
      <c r="N137" s="16">
        <v>0</v>
      </c>
      <c r="O137" s="16">
        <v>4500</v>
      </c>
      <c r="P137" s="16"/>
      <c r="Q137" s="16"/>
      <c r="R137" s="16"/>
      <c r="S137" s="16">
        <v>0</v>
      </c>
      <c r="T137" s="16"/>
      <c r="U137" s="239">
        <v>0</v>
      </c>
      <c r="V137" s="241">
        <v>6.6958079999999995</v>
      </c>
      <c r="W137" s="238">
        <v>6.6958079999999995</v>
      </c>
      <c r="Y137" s="242">
        <v>-12300</v>
      </c>
      <c r="AA137" s="238">
        <v>89.277439999999999</v>
      </c>
      <c r="AB137" s="237">
        <v>22.31936</v>
      </c>
      <c r="AC137" s="226"/>
      <c r="AD137" s="228"/>
      <c r="AE137" s="237">
        <v>89.277439999999999</v>
      </c>
      <c r="AF137" s="228">
        <v>0</v>
      </c>
      <c r="AG137" s="226"/>
      <c r="AH137" s="17"/>
      <c r="AI137" s="16"/>
    </row>
    <row r="138" spans="1:35" x14ac:dyDescent="0.25">
      <c r="A138" s="140">
        <v>157</v>
      </c>
      <c r="B138" s="140">
        <v>34</v>
      </c>
      <c r="C138" s="27" t="s">
        <v>1092</v>
      </c>
      <c r="D138" s="13" t="s">
        <v>283</v>
      </c>
      <c r="E138" s="13" t="s">
        <v>21</v>
      </c>
      <c r="F138" s="12" t="s">
        <v>284</v>
      </c>
      <c r="G138" s="14">
        <v>43728</v>
      </c>
      <c r="H138" s="12" t="s">
        <v>10</v>
      </c>
      <c r="I138" s="15"/>
      <c r="J138" s="240">
        <v>30</v>
      </c>
      <c r="K138" s="224">
        <v>0</v>
      </c>
      <c r="L138" s="240">
        <v>30</v>
      </c>
      <c r="M138" s="15"/>
      <c r="N138" s="16">
        <v>1408</v>
      </c>
      <c r="O138" s="16">
        <v>0</v>
      </c>
      <c r="P138" s="16">
        <v>140.80000000000001</v>
      </c>
      <c r="Q138" s="16"/>
      <c r="R138" s="16"/>
      <c r="S138" s="16"/>
      <c r="T138" s="16">
        <v>225</v>
      </c>
      <c r="U138" s="239">
        <v>225</v>
      </c>
      <c r="V138" s="241">
        <v>84.47999999999999</v>
      </c>
      <c r="W138" s="238">
        <v>84.47999999999999</v>
      </c>
      <c r="Y138" s="242">
        <v>1408</v>
      </c>
      <c r="AA138" s="228"/>
      <c r="AB138" s="230"/>
      <c r="AC138" s="226"/>
      <c r="AD138" s="228"/>
      <c r="AE138" s="230">
        <v>0</v>
      </c>
      <c r="AF138" s="238">
        <v>1408</v>
      </c>
      <c r="AG138" s="226"/>
      <c r="AH138" s="17"/>
      <c r="AI138" s="16"/>
    </row>
    <row r="139" spans="1:35" x14ac:dyDescent="0.25">
      <c r="A139" s="140">
        <v>157</v>
      </c>
      <c r="B139" s="140">
        <v>43</v>
      </c>
      <c r="C139" s="27" t="s">
        <v>1093</v>
      </c>
      <c r="D139" s="13" t="s">
        <v>285</v>
      </c>
      <c r="E139" s="13" t="s">
        <v>14</v>
      </c>
      <c r="F139" s="12" t="s">
        <v>286</v>
      </c>
      <c r="G139" s="14">
        <v>44086</v>
      </c>
      <c r="H139" s="12" t="s">
        <v>10</v>
      </c>
      <c r="I139" s="15"/>
      <c r="J139" s="240">
        <v>30</v>
      </c>
      <c r="K139" s="224">
        <v>0</v>
      </c>
      <c r="L139" s="240">
        <v>30</v>
      </c>
      <c r="M139" s="15"/>
      <c r="N139" s="16">
        <v>0</v>
      </c>
      <c r="O139" s="16">
        <v>1478</v>
      </c>
      <c r="P139" s="16"/>
      <c r="Q139" s="16"/>
      <c r="R139" s="16"/>
      <c r="S139" s="16"/>
      <c r="T139" s="16">
        <v>216</v>
      </c>
      <c r="U139" s="239">
        <v>216</v>
      </c>
      <c r="V139" s="241">
        <v>128.172504</v>
      </c>
      <c r="W139" s="238">
        <v>128.172504</v>
      </c>
      <c r="Y139" s="242">
        <v>1478</v>
      </c>
      <c r="AA139" s="238">
        <v>1708.9667199999999</v>
      </c>
      <c r="AB139" s="237">
        <v>427.24167999999997</v>
      </c>
      <c r="AC139" s="226"/>
      <c r="AD139" s="238">
        <v>267.02605</v>
      </c>
      <c r="AE139" s="237">
        <v>1975.9927699999998</v>
      </c>
      <c r="AF139" s="228">
        <v>0</v>
      </c>
      <c r="AG139" s="226"/>
      <c r="AH139" s="17"/>
      <c r="AI139" s="16"/>
    </row>
    <row r="140" spans="1:35" x14ac:dyDescent="0.25">
      <c r="A140" s="140">
        <v>157</v>
      </c>
      <c r="B140" s="140">
        <v>44</v>
      </c>
      <c r="C140" s="27" t="s">
        <v>1094</v>
      </c>
      <c r="D140" s="13" t="s">
        <v>287</v>
      </c>
      <c r="E140" s="13" t="s">
        <v>21</v>
      </c>
      <c r="F140" s="12" t="s">
        <v>288</v>
      </c>
      <c r="G140" s="14">
        <v>44152</v>
      </c>
      <c r="H140" s="12" t="s">
        <v>10</v>
      </c>
      <c r="I140" s="15"/>
      <c r="J140" s="240">
        <v>30</v>
      </c>
      <c r="K140" s="224">
        <v>0</v>
      </c>
      <c r="L140" s="240">
        <v>30</v>
      </c>
      <c r="M140" s="15"/>
      <c r="N140" s="16">
        <v>1408</v>
      </c>
      <c r="O140" s="16">
        <v>0</v>
      </c>
      <c r="P140" s="16">
        <v>140.80000000000001</v>
      </c>
      <c r="Q140" s="16"/>
      <c r="R140" s="16"/>
      <c r="S140" s="16"/>
      <c r="T140" s="16">
        <v>207</v>
      </c>
      <c r="U140" s="239">
        <v>207</v>
      </c>
      <c r="V140" s="241">
        <v>84.47999999999999</v>
      </c>
      <c r="W140" s="238">
        <v>84.47999999999999</v>
      </c>
      <c r="Y140" s="242">
        <v>1408</v>
      </c>
      <c r="AA140" s="228"/>
      <c r="AB140" s="230"/>
      <c r="AC140" s="226"/>
      <c r="AD140" s="228"/>
      <c r="AE140" s="230">
        <v>0</v>
      </c>
      <c r="AF140" s="238">
        <v>1408</v>
      </c>
      <c r="AG140" s="226"/>
      <c r="AH140" s="17"/>
      <c r="AI140" s="16"/>
    </row>
    <row r="141" spans="1:35" x14ac:dyDescent="0.25">
      <c r="A141" s="140">
        <v>157</v>
      </c>
      <c r="B141" s="140">
        <v>45</v>
      </c>
      <c r="C141" s="27" t="s">
        <v>1095</v>
      </c>
      <c r="D141" s="13" t="s">
        <v>289</v>
      </c>
      <c r="E141" s="13" t="s">
        <v>14</v>
      </c>
      <c r="F141" s="12" t="s">
        <v>290</v>
      </c>
      <c r="G141" s="14">
        <v>44155</v>
      </c>
      <c r="H141" s="12" t="s">
        <v>10</v>
      </c>
      <c r="I141" s="15"/>
      <c r="J141" s="240">
        <v>30</v>
      </c>
      <c r="K141" s="224">
        <v>0</v>
      </c>
      <c r="L141" s="240">
        <v>30</v>
      </c>
      <c r="M141" s="15"/>
      <c r="N141" s="16">
        <v>0</v>
      </c>
      <c r="O141" s="16">
        <v>1478</v>
      </c>
      <c r="P141" s="16"/>
      <c r="Q141" s="16"/>
      <c r="R141" s="16"/>
      <c r="S141" s="16"/>
      <c r="T141" s="16">
        <v>207</v>
      </c>
      <c r="U141" s="239">
        <v>207</v>
      </c>
      <c r="V141" s="241">
        <v>135.55224000000001</v>
      </c>
      <c r="W141" s="238">
        <v>135.55224000000001</v>
      </c>
      <c r="Y141" s="242">
        <v>1478</v>
      </c>
      <c r="AA141" s="238">
        <v>1807.3632</v>
      </c>
      <c r="AB141" s="237">
        <v>451.8408</v>
      </c>
      <c r="AC141" s="226"/>
      <c r="AD141" s="238">
        <v>282.40050000000002</v>
      </c>
      <c r="AE141" s="237">
        <v>2089.7637</v>
      </c>
      <c r="AF141" s="228">
        <v>0</v>
      </c>
      <c r="AG141" s="226"/>
      <c r="AH141" s="17"/>
      <c r="AI141" s="16"/>
    </row>
    <row r="142" spans="1:35" x14ac:dyDescent="0.25">
      <c r="A142" s="140">
        <v>157</v>
      </c>
      <c r="B142" s="140">
        <v>46</v>
      </c>
      <c r="C142" s="27" t="s">
        <v>1096</v>
      </c>
      <c r="D142" s="13" t="s">
        <v>291</v>
      </c>
      <c r="E142" s="13" t="s">
        <v>14</v>
      </c>
      <c r="F142" s="12" t="s">
        <v>292</v>
      </c>
      <c r="G142" s="14">
        <v>44179</v>
      </c>
      <c r="H142" s="12" t="s">
        <v>10</v>
      </c>
      <c r="I142" s="15"/>
      <c r="J142" s="240">
        <v>30</v>
      </c>
      <c r="K142" s="224">
        <v>0</v>
      </c>
      <c r="L142" s="240">
        <v>30</v>
      </c>
      <c r="M142" s="15"/>
      <c r="N142" s="16">
        <v>0</v>
      </c>
      <c r="O142" s="16">
        <v>1478</v>
      </c>
      <c r="P142" s="16"/>
      <c r="Q142" s="16"/>
      <c r="R142" s="16"/>
      <c r="S142" s="16"/>
      <c r="T142" s="16">
        <v>207</v>
      </c>
      <c r="U142" s="239">
        <v>207</v>
      </c>
      <c r="V142" s="241">
        <v>99.613728000000009</v>
      </c>
      <c r="W142" s="238">
        <v>99.613728000000009</v>
      </c>
      <c r="Y142" s="242">
        <v>1478</v>
      </c>
      <c r="AA142" s="238">
        <v>728.89504000000011</v>
      </c>
      <c r="AB142" s="237">
        <v>182.22376000000003</v>
      </c>
      <c r="AC142" s="226"/>
      <c r="AD142" s="228"/>
      <c r="AE142" s="237">
        <v>728.89504000000011</v>
      </c>
      <c r="AF142" s="238">
        <v>749.11</v>
      </c>
      <c r="AG142" s="226"/>
      <c r="AH142" s="17"/>
      <c r="AI142" s="16"/>
    </row>
    <row r="143" spans="1:35" x14ac:dyDescent="0.25">
      <c r="A143" s="140">
        <v>161</v>
      </c>
      <c r="B143" s="140">
        <v>51</v>
      </c>
      <c r="C143" s="27" t="s">
        <v>1097</v>
      </c>
      <c r="D143" s="13" t="s">
        <v>301</v>
      </c>
      <c r="E143" s="13" t="s">
        <v>14</v>
      </c>
      <c r="F143" s="12" t="s">
        <v>302</v>
      </c>
      <c r="G143" s="14">
        <v>44342</v>
      </c>
      <c r="H143" s="12" t="s">
        <v>10</v>
      </c>
      <c r="I143" s="15"/>
      <c r="J143" s="240">
        <v>30</v>
      </c>
      <c r="K143" s="224">
        <v>0</v>
      </c>
      <c r="L143" s="240">
        <v>30</v>
      </c>
      <c r="M143" s="15"/>
      <c r="N143" s="16">
        <v>1</v>
      </c>
      <c r="O143" s="16">
        <v>1420.37</v>
      </c>
      <c r="P143" s="16"/>
      <c r="Q143" s="16">
        <v>42.77</v>
      </c>
      <c r="R143" s="16">
        <v>30.09</v>
      </c>
      <c r="S143" s="16"/>
      <c r="T143" s="16">
        <v>506</v>
      </c>
      <c r="U143" s="239">
        <v>506</v>
      </c>
      <c r="V143" s="241">
        <v>183.94807200000002</v>
      </c>
      <c r="W143" s="238">
        <v>183.94807200000002</v>
      </c>
      <c r="Y143" s="242">
        <v>1421.37</v>
      </c>
      <c r="AA143" s="238">
        <v>2452.6409600000002</v>
      </c>
      <c r="AB143" s="237">
        <v>613.16024000000004</v>
      </c>
      <c r="AC143" s="226">
        <v>0</v>
      </c>
      <c r="AD143" s="238">
        <v>383.22514999999999</v>
      </c>
      <c r="AE143" s="237">
        <v>2835.8661099999999</v>
      </c>
      <c r="AF143" s="228">
        <v>0</v>
      </c>
      <c r="AG143" s="243" t="s">
        <v>1180</v>
      </c>
      <c r="AH143" s="17"/>
      <c r="AI143" s="16"/>
    </row>
    <row r="144" spans="1:35" s="26" customFormat="1" x14ac:dyDescent="0.25">
      <c r="A144" s="140">
        <v>161</v>
      </c>
      <c r="B144" s="140">
        <v>49</v>
      </c>
      <c r="C144" s="27" t="s">
        <v>1098</v>
      </c>
      <c r="D144" s="13" t="s">
        <v>299</v>
      </c>
      <c r="E144" s="13" t="s">
        <v>14</v>
      </c>
      <c r="F144" s="12" t="s">
        <v>300</v>
      </c>
      <c r="G144" s="14">
        <v>44287</v>
      </c>
      <c r="H144" s="12" t="s">
        <v>10</v>
      </c>
      <c r="I144" s="15"/>
      <c r="J144" s="240">
        <v>30</v>
      </c>
      <c r="K144" s="224">
        <v>0</v>
      </c>
      <c r="L144" s="240">
        <v>30</v>
      </c>
      <c r="M144" s="15"/>
      <c r="N144" s="16">
        <v>0</v>
      </c>
      <c r="O144" s="16">
        <v>1420.37</v>
      </c>
      <c r="P144" s="16"/>
      <c r="Q144" s="16">
        <v>42.77</v>
      </c>
      <c r="R144" s="16">
        <v>30.09</v>
      </c>
      <c r="S144" s="16"/>
      <c r="T144" s="16">
        <v>402.5</v>
      </c>
      <c r="U144" s="239">
        <v>402.5</v>
      </c>
      <c r="V144" s="241">
        <v>178.87672799999999</v>
      </c>
      <c r="W144" s="238">
        <v>178.87672799999999</v>
      </c>
      <c r="X144" s="10"/>
      <c r="Y144" s="242">
        <v>1420.37</v>
      </c>
      <c r="Z144" s="10"/>
      <c r="AA144" s="238">
        <v>2385.02304</v>
      </c>
      <c r="AB144" s="237">
        <v>596.25576000000001</v>
      </c>
      <c r="AC144" s="226"/>
      <c r="AD144" s="238">
        <v>372.65985000000001</v>
      </c>
      <c r="AE144" s="237">
        <v>2757.68289</v>
      </c>
      <c r="AF144" s="228">
        <v>0</v>
      </c>
      <c r="AG144" s="226"/>
      <c r="AH144" s="17"/>
      <c r="AI144" s="16"/>
    </row>
    <row r="145" spans="1:35" x14ac:dyDescent="0.25">
      <c r="A145" s="140">
        <v>161</v>
      </c>
      <c r="B145" s="140">
        <v>45</v>
      </c>
      <c r="C145" s="27" t="s">
        <v>1099</v>
      </c>
      <c r="D145" s="13" t="s">
        <v>297</v>
      </c>
      <c r="E145" s="13" t="s">
        <v>21</v>
      </c>
      <c r="F145" s="12" t="s">
        <v>298</v>
      </c>
      <c r="G145" s="14">
        <v>44154</v>
      </c>
      <c r="H145" s="12" t="s">
        <v>10</v>
      </c>
      <c r="I145" s="15"/>
      <c r="J145" s="240">
        <v>30</v>
      </c>
      <c r="K145" s="224">
        <v>0</v>
      </c>
      <c r="L145" s="240">
        <v>30</v>
      </c>
      <c r="M145" s="15"/>
      <c r="N145" s="16">
        <v>1285</v>
      </c>
      <c r="O145" s="16">
        <v>0</v>
      </c>
      <c r="P145" s="16">
        <v>128.5</v>
      </c>
      <c r="Q145" s="16"/>
      <c r="R145" s="16"/>
      <c r="S145" s="16"/>
      <c r="T145" s="16">
        <v>227.5</v>
      </c>
      <c r="U145" s="239">
        <v>227.5</v>
      </c>
      <c r="V145" s="241">
        <v>77.099999999999994</v>
      </c>
      <c r="W145" s="238">
        <v>77.099999999999994</v>
      </c>
      <c r="Y145" s="242">
        <v>1285</v>
      </c>
      <c r="AA145" s="228"/>
      <c r="AB145" s="230"/>
      <c r="AC145" s="226"/>
      <c r="AD145" s="228"/>
      <c r="AE145" s="230">
        <v>0</v>
      </c>
      <c r="AF145" s="238">
        <v>1285</v>
      </c>
      <c r="AG145" s="226"/>
      <c r="AH145" s="17"/>
      <c r="AI145" s="16"/>
    </row>
    <row r="146" spans="1:35" x14ac:dyDescent="0.25">
      <c r="A146" s="140">
        <v>161</v>
      </c>
      <c r="B146" s="140">
        <v>32</v>
      </c>
      <c r="C146" s="27" t="s">
        <v>1100</v>
      </c>
      <c r="D146" s="13" t="s">
        <v>293</v>
      </c>
      <c r="E146" s="13" t="s">
        <v>11</v>
      </c>
      <c r="F146" s="12" t="s">
        <v>294</v>
      </c>
      <c r="G146" s="14">
        <v>43491</v>
      </c>
      <c r="H146" s="12" t="s">
        <v>10</v>
      </c>
      <c r="I146" s="15"/>
      <c r="J146" s="240">
        <v>30</v>
      </c>
      <c r="K146" s="224">
        <v>0</v>
      </c>
      <c r="L146" s="240">
        <v>30</v>
      </c>
      <c r="M146" s="15"/>
      <c r="N146" s="16">
        <v>0</v>
      </c>
      <c r="O146" s="16">
        <v>4000</v>
      </c>
      <c r="P146" s="16"/>
      <c r="Q146" s="16">
        <v>42.77</v>
      </c>
      <c r="R146" s="16">
        <v>30.09</v>
      </c>
      <c r="S146" s="16"/>
      <c r="T146" s="16">
        <v>418.6</v>
      </c>
      <c r="U146" s="239">
        <v>418.6</v>
      </c>
      <c r="V146" s="241">
        <v>240.24777599999999</v>
      </c>
      <c r="W146" s="238">
        <v>240.24777599999999</v>
      </c>
      <c r="Y146" s="242">
        <v>4000.0000000000005</v>
      </c>
      <c r="AA146" s="238">
        <v>16.511680000000002</v>
      </c>
      <c r="AB146" s="237">
        <v>4.1279200000000005</v>
      </c>
      <c r="AC146" s="226"/>
      <c r="AD146" s="228"/>
      <c r="AE146" s="237">
        <v>16.511680000000002</v>
      </c>
      <c r="AF146" s="238">
        <v>3983.49</v>
      </c>
      <c r="AG146" s="226"/>
      <c r="AH146" s="17"/>
      <c r="AI146" s="16"/>
    </row>
    <row r="147" spans="1:35" x14ac:dyDescent="0.25">
      <c r="A147" s="140">
        <v>161</v>
      </c>
      <c r="B147" s="140">
        <v>52</v>
      </c>
      <c r="C147" s="27" t="s">
        <v>1101</v>
      </c>
      <c r="D147" s="13" t="s">
        <v>303</v>
      </c>
      <c r="E147" s="13" t="s">
        <v>14</v>
      </c>
      <c r="F147" s="12" t="s">
        <v>304</v>
      </c>
      <c r="G147" s="14">
        <v>44355</v>
      </c>
      <c r="H147" s="12" t="s">
        <v>10</v>
      </c>
      <c r="I147" s="15"/>
      <c r="J147" s="240">
        <v>30</v>
      </c>
      <c r="K147" s="224">
        <v>0</v>
      </c>
      <c r="L147" s="240">
        <v>30</v>
      </c>
      <c r="M147" s="15"/>
      <c r="N147" s="16">
        <v>0</v>
      </c>
      <c r="O147" s="16">
        <v>1420.37</v>
      </c>
      <c r="P147" s="16"/>
      <c r="Q147" s="16"/>
      <c r="R147" s="16">
        <v>27.78</v>
      </c>
      <c r="S147" s="16"/>
      <c r="T147" s="16">
        <v>223.19</v>
      </c>
      <c r="U147" s="239">
        <v>223.19</v>
      </c>
      <c r="V147" s="241">
        <v>98.196455999999984</v>
      </c>
      <c r="W147" s="238">
        <v>98.196455999999984</v>
      </c>
      <c r="Y147" s="242">
        <v>1420.37</v>
      </c>
      <c r="AA147" s="238">
        <v>864.95808</v>
      </c>
      <c r="AB147" s="237">
        <v>216.23952</v>
      </c>
      <c r="AC147" s="226"/>
      <c r="AD147" s="228"/>
      <c r="AE147" s="237">
        <v>864.95808</v>
      </c>
      <c r="AF147" s="238">
        <v>555.41</v>
      </c>
      <c r="AG147" s="226"/>
      <c r="AH147" s="17"/>
      <c r="AI147" s="16"/>
    </row>
    <row r="148" spans="1:35" x14ac:dyDescent="0.25">
      <c r="A148" s="222">
        <v>161</v>
      </c>
      <c r="B148" s="222">
        <v>34</v>
      </c>
      <c r="C148" s="28" t="s">
        <v>1102</v>
      </c>
      <c r="D148" s="21" t="s">
        <v>295</v>
      </c>
      <c r="E148" s="21" t="s">
        <v>14</v>
      </c>
      <c r="F148" s="20" t="s">
        <v>296</v>
      </c>
      <c r="G148" s="22">
        <v>43521</v>
      </c>
      <c r="H148" s="20" t="s">
        <v>6</v>
      </c>
      <c r="I148" s="23"/>
      <c r="J148" s="240">
        <v>30</v>
      </c>
      <c r="K148" s="224">
        <v>0</v>
      </c>
      <c r="L148" s="240">
        <v>30</v>
      </c>
      <c r="M148" s="23"/>
      <c r="N148" s="24">
        <v>0</v>
      </c>
      <c r="O148" s="24">
        <v>1420.37</v>
      </c>
      <c r="P148" s="24"/>
      <c r="Q148" s="24"/>
      <c r="R148" s="24"/>
      <c r="S148" s="16">
        <v>0</v>
      </c>
      <c r="T148" s="24"/>
      <c r="U148" s="239">
        <v>0</v>
      </c>
      <c r="V148" s="241">
        <v>85.222199999999987</v>
      </c>
      <c r="W148" s="238">
        <v>85.222199999999987</v>
      </c>
      <c r="X148" s="26"/>
      <c r="Y148" s="242">
        <v>1420.37</v>
      </c>
      <c r="AA148" s="228"/>
      <c r="AB148" s="230"/>
      <c r="AC148" s="226"/>
      <c r="AD148" s="228"/>
      <c r="AE148" s="230">
        <v>0</v>
      </c>
      <c r="AF148" s="238">
        <v>1420.37</v>
      </c>
      <c r="AG148" s="226"/>
      <c r="AH148" s="25"/>
      <c r="AI148" s="16"/>
    </row>
    <row r="149" spans="1:35" x14ac:dyDescent="0.25">
      <c r="A149" s="140">
        <v>166</v>
      </c>
      <c r="B149" s="140">
        <v>34</v>
      </c>
      <c r="C149" s="27" t="s">
        <v>1103</v>
      </c>
      <c r="D149" s="13" t="s">
        <v>311</v>
      </c>
      <c r="E149" s="13" t="s">
        <v>14</v>
      </c>
      <c r="F149" s="12" t="s">
        <v>312</v>
      </c>
      <c r="G149" s="14">
        <v>43794</v>
      </c>
      <c r="H149" s="12" t="s">
        <v>10</v>
      </c>
      <c r="I149" s="15"/>
      <c r="J149" s="240">
        <v>30</v>
      </c>
      <c r="K149" s="224">
        <v>0</v>
      </c>
      <c r="L149" s="240">
        <v>30</v>
      </c>
      <c r="M149" s="15"/>
      <c r="N149" s="16">
        <v>0</v>
      </c>
      <c r="O149" s="16">
        <v>1300</v>
      </c>
      <c r="P149" s="16"/>
      <c r="Q149" s="16">
        <v>91</v>
      </c>
      <c r="R149" s="16"/>
      <c r="S149" s="16">
        <v>193.2</v>
      </c>
      <c r="T149" s="16"/>
      <c r="U149" s="239">
        <v>193.2</v>
      </c>
      <c r="V149" s="241">
        <v>139.212816</v>
      </c>
      <c r="W149" s="238">
        <v>139.212816</v>
      </c>
      <c r="Y149" s="242">
        <v>1300</v>
      </c>
      <c r="AA149" s="238">
        <v>1856.1708799999999</v>
      </c>
      <c r="AB149" s="237">
        <v>464.04271999999997</v>
      </c>
      <c r="AC149" s="226"/>
      <c r="AD149" s="228"/>
      <c r="AE149" s="237">
        <v>1856.1708799999999</v>
      </c>
      <c r="AF149" s="228">
        <v>0</v>
      </c>
      <c r="AG149" s="226"/>
      <c r="AH149" s="17"/>
      <c r="AI149" s="16"/>
    </row>
    <row r="150" spans="1:35" x14ac:dyDescent="0.25">
      <c r="A150" s="140">
        <v>166</v>
      </c>
      <c r="B150" s="140">
        <v>1</v>
      </c>
      <c r="C150" s="27" t="s">
        <v>1104</v>
      </c>
      <c r="D150" s="13" t="s">
        <v>305</v>
      </c>
      <c r="E150" s="13" t="s">
        <v>11</v>
      </c>
      <c r="F150" s="12" t="s">
        <v>306</v>
      </c>
      <c r="G150" s="14">
        <v>43069</v>
      </c>
      <c r="H150" s="12" t="s">
        <v>10</v>
      </c>
      <c r="I150" s="15"/>
      <c r="J150" s="240">
        <v>30</v>
      </c>
      <c r="K150" s="224">
        <v>0</v>
      </c>
      <c r="L150" s="240">
        <v>30</v>
      </c>
      <c r="M150" s="15"/>
      <c r="N150" s="16">
        <v>0</v>
      </c>
      <c r="O150" s="16">
        <v>4000</v>
      </c>
      <c r="P150" s="16"/>
      <c r="Q150" s="16">
        <v>280</v>
      </c>
      <c r="R150" s="16"/>
      <c r="S150" s="16">
        <v>0</v>
      </c>
      <c r="T150" s="16"/>
      <c r="U150" s="239">
        <v>0</v>
      </c>
      <c r="V150" s="241">
        <v>240.96765599999998</v>
      </c>
      <c r="W150" s="238">
        <v>240.96765599999998</v>
      </c>
      <c r="Y150" s="242">
        <v>4000.0000000000005</v>
      </c>
      <c r="AA150" s="238">
        <v>64.510080000000002</v>
      </c>
      <c r="AB150" s="237">
        <v>16.127520000000001</v>
      </c>
      <c r="AC150" s="226"/>
      <c r="AD150" s="228"/>
      <c r="AE150" s="237">
        <v>64.510080000000002</v>
      </c>
      <c r="AF150" s="238">
        <v>3935.49</v>
      </c>
      <c r="AG150" s="226"/>
      <c r="AH150" s="17"/>
      <c r="AI150" s="16"/>
    </row>
    <row r="151" spans="1:35" x14ac:dyDescent="0.25">
      <c r="A151" s="140">
        <v>166</v>
      </c>
      <c r="B151" s="140">
        <v>22</v>
      </c>
      <c r="C151" s="27" t="s">
        <v>1105</v>
      </c>
      <c r="D151" s="13" t="s">
        <v>309</v>
      </c>
      <c r="E151" s="13" t="s">
        <v>14</v>
      </c>
      <c r="F151" s="12" t="s">
        <v>310</v>
      </c>
      <c r="G151" s="14">
        <v>43426</v>
      </c>
      <c r="H151" s="12" t="s">
        <v>10</v>
      </c>
      <c r="I151" s="15"/>
      <c r="J151" s="240">
        <v>30</v>
      </c>
      <c r="K151" s="224">
        <v>0</v>
      </c>
      <c r="L151" s="240">
        <v>30</v>
      </c>
      <c r="M151" s="15"/>
      <c r="N151" s="16">
        <v>0</v>
      </c>
      <c r="O151" s="16">
        <v>1300</v>
      </c>
      <c r="P151" s="16"/>
      <c r="Q151" s="16"/>
      <c r="R151" s="16"/>
      <c r="S151" s="16">
        <v>0</v>
      </c>
      <c r="T151" s="16"/>
      <c r="U151" s="239">
        <v>0</v>
      </c>
      <c r="V151" s="241">
        <v>148.07601599999998</v>
      </c>
      <c r="W151" s="238">
        <v>148.07601599999998</v>
      </c>
      <c r="Y151" s="242">
        <v>1300</v>
      </c>
      <c r="AA151" s="238">
        <v>1974.3468799999998</v>
      </c>
      <c r="AB151" s="237">
        <v>493.58671999999996</v>
      </c>
      <c r="AC151" s="226"/>
      <c r="AD151" s="228"/>
      <c r="AE151" s="237">
        <v>1974.3468799999998</v>
      </c>
      <c r="AF151" s="228">
        <v>0</v>
      </c>
      <c r="AG151" s="226"/>
      <c r="AH151" s="17"/>
      <c r="AI151" s="16"/>
    </row>
    <row r="152" spans="1:35" x14ac:dyDescent="0.25">
      <c r="A152" s="140">
        <v>166</v>
      </c>
      <c r="B152" s="140">
        <v>39</v>
      </c>
      <c r="C152" s="27" t="s">
        <v>1106</v>
      </c>
      <c r="D152" s="13" t="s">
        <v>313</v>
      </c>
      <c r="E152" s="13" t="s">
        <v>14</v>
      </c>
      <c r="F152" s="12" t="s">
        <v>314</v>
      </c>
      <c r="G152" s="14">
        <v>44153</v>
      </c>
      <c r="H152" s="12" t="s">
        <v>10</v>
      </c>
      <c r="I152" s="15"/>
      <c r="J152" s="240">
        <v>30</v>
      </c>
      <c r="K152" s="224">
        <v>0</v>
      </c>
      <c r="L152" s="240">
        <v>30</v>
      </c>
      <c r="M152" s="15"/>
      <c r="N152" s="16">
        <v>0</v>
      </c>
      <c r="O152" s="16">
        <v>1300</v>
      </c>
      <c r="P152" s="16"/>
      <c r="Q152" s="16"/>
      <c r="R152" s="16"/>
      <c r="S152" s="16">
        <v>0</v>
      </c>
      <c r="T152" s="16"/>
      <c r="U152" s="239">
        <v>0</v>
      </c>
      <c r="V152" s="241">
        <v>95.455055999999999</v>
      </c>
      <c r="W152" s="238">
        <v>95.455055999999999</v>
      </c>
      <c r="Y152" s="242">
        <v>1300</v>
      </c>
      <c r="AA152" s="238">
        <v>1163.6780800000001</v>
      </c>
      <c r="AB152" s="237">
        <v>290.91952000000003</v>
      </c>
      <c r="AC152" s="226"/>
      <c r="AD152" s="228"/>
      <c r="AE152" s="237">
        <v>1163.6780800000001</v>
      </c>
      <c r="AF152" s="238">
        <v>136.32</v>
      </c>
      <c r="AG152" s="226"/>
      <c r="AH152" s="17"/>
      <c r="AI152" s="16"/>
    </row>
    <row r="153" spans="1:35" x14ac:dyDescent="0.25">
      <c r="A153" s="140">
        <v>166</v>
      </c>
      <c r="B153" s="140">
        <v>8</v>
      </c>
      <c r="C153" s="27" t="s">
        <v>1107</v>
      </c>
      <c r="D153" s="13" t="s">
        <v>307</v>
      </c>
      <c r="E153" s="13" t="s">
        <v>14</v>
      </c>
      <c r="F153" s="12" t="s">
        <v>308</v>
      </c>
      <c r="G153" s="14">
        <v>43069</v>
      </c>
      <c r="H153" s="12" t="s">
        <v>10</v>
      </c>
      <c r="I153" s="15"/>
      <c r="J153" s="240">
        <v>30</v>
      </c>
      <c r="K153" s="224">
        <v>0</v>
      </c>
      <c r="L153" s="240">
        <v>30</v>
      </c>
      <c r="M153" s="15"/>
      <c r="N153" s="16">
        <v>1</v>
      </c>
      <c r="O153" s="16">
        <v>1300</v>
      </c>
      <c r="P153" s="16"/>
      <c r="Q153" s="16">
        <v>91</v>
      </c>
      <c r="R153" s="16"/>
      <c r="S153" s="16">
        <v>0</v>
      </c>
      <c r="T153" s="16"/>
      <c r="U153" s="239">
        <v>0</v>
      </c>
      <c r="V153" s="241">
        <v>146.06371199999998</v>
      </c>
      <c r="W153" s="238">
        <v>146.06371199999998</v>
      </c>
      <c r="Y153" s="242">
        <v>1301</v>
      </c>
      <c r="AA153" s="238">
        <v>1947.5161599999999</v>
      </c>
      <c r="AB153" s="237">
        <v>486.87903999999997</v>
      </c>
      <c r="AC153" s="226">
        <v>0</v>
      </c>
      <c r="AD153" s="228"/>
      <c r="AE153" s="237">
        <v>1947.5161599999999</v>
      </c>
      <c r="AF153" s="228">
        <v>0</v>
      </c>
      <c r="AG153" s="243" t="s">
        <v>1180</v>
      </c>
      <c r="AH153" s="17"/>
      <c r="AI153" s="16"/>
    </row>
    <row r="154" spans="1:35" x14ac:dyDescent="0.25">
      <c r="A154" s="140">
        <v>169</v>
      </c>
      <c r="B154" s="140">
        <v>35</v>
      </c>
      <c r="C154" s="27" t="s">
        <v>1108</v>
      </c>
      <c r="D154" s="13" t="s">
        <v>323</v>
      </c>
      <c r="E154" s="13" t="s">
        <v>21</v>
      </c>
      <c r="F154" s="12" t="s">
        <v>324</v>
      </c>
      <c r="G154" s="14">
        <v>44035</v>
      </c>
      <c r="H154" s="12" t="s">
        <v>10</v>
      </c>
      <c r="I154" s="15"/>
      <c r="J154" s="240">
        <v>30</v>
      </c>
      <c r="K154" s="224">
        <v>0</v>
      </c>
      <c r="L154" s="240">
        <v>30</v>
      </c>
      <c r="M154" s="15"/>
      <c r="N154" s="16">
        <v>1314</v>
      </c>
      <c r="O154" s="16">
        <v>0</v>
      </c>
      <c r="P154" s="16">
        <v>262.8</v>
      </c>
      <c r="Q154" s="16">
        <v>63</v>
      </c>
      <c r="R154" s="16"/>
      <c r="S154" s="16" t="s">
        <v>1177</v>
      </c>
      <c r="T154" s="16"/>
      <c r="U154" s="242">
        <v>0</v>
      </c>
      <c r="V154" s="241">
        <v>78.84</v>
      </c>
      <c r="W154" s="238">
        <v>78.84</v>
      </c>
      <c r="Y154" s="242">
        <v>1314</v>
      </c>
      <c r="AA154" s="228"/>
      <c r="AB154" s="230"/>
      <c r="AC154" s="226"/>
      <c r="AD154" s="228"/>
      <c r="AE154" s="230">
        <v>0</v>
      </c>
      <c r="AF154" s="238">
        <v>1314</v>
      </c>
      <c r="AG154" s="226"/>
      <c r="AH154" s="17"/>
      <c r="AI154" s="16"/>
    </row>
    <row r="155" spans="1:35" x14ac:dyDescent="0.25">
      <c r="A155" s="140">
        <v>169</v>
      </c>
      <c r="B155" s="140">
        <v>39</v>
      </c>
      <c r="C155" s="27" t="s">
        <v>1109</v>
      </c>
      <c r="D155" s="13" t="s">
        <v>329</v>
      </c>
      <c r="E155" s="13" t="s">
        <v>21</v>
      </c>
      <c r="F155" s="12" t="s">
        <v>330</v>
      </c>
      <c r="G155" s="14">
        <v>44152</v>
      </c>
      <c r="H155" s="12" t="s">
        <v>10</v>
      </c>
      <c r="I155" s="15"/>
      <c r="J155" s="240">
        <v>30</v>
      </c>
      <c r="K155" s="224">
        <v>0</v>
      </c>
      <c r="L155" s="240">
        <v>30</v>
      </c>
      <c r="M155" s="15"/>
      <c r="N155" s="16">
        <v>1314</v>
      </c>
      <c r="O155" s="16">
        <v>0</v>
      </c>
      <c r="P155" s="16">
        <v>262.8</v>
      </c>
      <c r="Q155" s="16">
        <v>63</v>
      </c>
      <c r="R155" s="16"/>
      <c r="S155" s="16">
        <v>0</v>
      </c>
      <c r="T155" s="16"/>
      <c r="U155" s="239">
        <v>0</v>
      </c>
      <c r="V155" s="241">
        <v>78.84</v>
      </c>
      <c r="W155" s="238">
        <v>78.84</v>
      </c>
      <c r="Y155" s="242">
        <v>1314</v>
      </c>
      <c r="AA155" s="228"/>
      <c r="AB155" s="230"/>
      <c r="AC155" s="226"/>
      <c r="AD155" s="228"/>
      <c r="AE155" s="230">
        <v>0</v>
      </c>
      <c r="AF155" s="238">
        <v>1314</v>
      </c>
      <c r="AG155" s="226"/>
      <c r="AH155" s="17"/>
      <c r="AI155" s="16"/>
    </row>
    <row r="156" spans="1:35" x14ac:dyDescent="0.25">
      <c r="A156" s="140">
        <v>169</v>
      </c>
      <c r="B156" s="140">
        <v>16</v>
      </c>
      <c r="C156" s="27" t="s">
        <v>1110</v>
      </c>
      <c r="D156" s="13" t="s">
        <v>319</v>
      </c>
      <c r="E156" s="13" t="s">
        <v>11</v>
      </c>
      <c r="F156" s="12" t="s">
        <v>320</v>
      </c>
      <c r="G156" s="14">
        <v>42626</v>
      </c>
      <c r="H156" s="12" t="s">
        <v>10</v>
      </c>
      <c r="I156" s="15"/>
      <c r="J156" s="240">
        <v>30</v>
      </c>
      <c r="K156" s="224">
        <v>0</v>
      </c>
      <c r="L156" s="240">
        <v>30</v>
      </c>
      <c r="M156" s="15"/>
      <c r="N156" s="16">
        <v>0</v>
      </c>
      <c r="O156" s="16">
        <v>5665</v>
      </c>
      <c r="P156" s="16"/>
      <c r="Q156" s="16"/>
      <c r="R156" s="16"/>
      <c r="S156" s="16">
        <v>0</v>
      </c>
      <c r="T156" s="16"/>
      <c r="U156" s="239">
        <v>0</v>
      </c>
      <c r="V156" s="241">
        <v>339.9</v>
      </c>
      <c r="W156" s="238">
        <v>339.9</v>
      </c>
      <c r="Y156" s="242">
        <v>5665</v>
      </c>
      <c r="AA156" s="228"/>
      <c r="AB156" s="230"/>
      <c r="AC156" s="226"/>
      <c r="AD156" s="228"/>
      <c r="AE156" s="230">
        <v>0</v>
      </c>
      <c r="AF156" s="238">
        <v>5665</v>
      </c>
      <c r="AG156" s="226"/>
      <c r="AH156" s="17"/>
      <c r="AI156" s="16"/>
    </row>
    <row r="157" spans="1:35" x14ac:dyDescent="0.25">
      <c r="A157" s="140">
        <v>169</v>
      </c>
      <c r="B157" s="140">
        <v>31</v>
      </c>
      <c r="C157" s="27" t="s">
        <v>1111</v>
      </c>
      <c r="D157" s="13" t="s">
        <v>321</v>
      </c>
      <c r="E157" s="13" t="s">
        <v>14</v>
      </c>
      <c r="F157" s="12" t="s">
        <v>322</v>
      </c>
      <c r="G157" s="14">
        <v>43781</v>
      </c>
      <c r="H157" s="12" t="s">
        <v>10</v>
      </c>
      <c r="I157" s="15"/>
      <c r="J157" s="240">
        <v>30</v>
      </c>
      <c r="K157" s="224">
        <v>0</v>
      </c>
      <c r="L157" s="240">
        <v>30</v>
      </c>
      <c r="M157" s="15"/>
      <c r="N157" s="16">
        <v>0</v>
      </c>
      <c r="O157" s="16">
        <v>1314</v>
      </c>
      <c r="P157" s="16"/>
      <c r="Q157" s="16">
        <v>63</v>
      </c>
      <c r="R157" s="16"/>
      <c r="S157" s="16">
        <v>0</v>
      </c>
      <c r="T157" s="16"/>
      <c r="U157" s="239">
        <v>0</v>
      </c>
      <c r="V157" s="241">
        <v>112.902816</v>
      </c>
      <c r="W157" s="238">
        <v>112.902816</v>
      </c>
      <c r="Y157" s="242">
        <v>1314</v>
      </c>
      <c r="AA157" s="238">
        <v>1505.3708799999999</v>
      </c>
      <c r="AB157" s="237">
        <v>376.34271999999999</v>
      </c>
      <c r="AC157" s="226"/>
      <c r="AD157" s="228"/>
      <c r="AE157" s="237">
        <v>1505.3708799999999</v>
      </c>
      <c r="AF157" s="228">
        <v>0</v>
      </c>
      <c r="AG157" s="226"/>
      <c r="AH157" s="17"/>
      <c r="AI157" s="16"/>
    </row>
    <row r="158" spans="1:35" x14ac:dyDescent="0.25">
      <c r="A158" s="140">
        <v>169</v>
      </c>
      <c r="B158" s="140">
        <v>7</v>
      </c>
      <c r="C158" s="27" t="s">
        <v>1112</v>
      </c>
      <c r="D158" s="13" t="s">
        <v>317</v>
      </c>
      <c r="E158" s="13" t="s">
        <v>14</v>
      </c>
      <c r="F158" s="12" t="s">
        <v>318</v>
      </c>
      <c r="G158" s="14">
        <v>43442</v>
      </c>
      <c r="H158" s="12" t="s">
        <v>10</v>
      </c>
      <c r="I158" s="15"/>
      <c r="J158" s="240">
        <v>30</v>
      </c>
      <c r="K158" s="224">
        <v>0</v>
      </c>
      <c r="L158" s="240">
        <v>30</v>
      </c>
      <c r="M158" s="15"/>
      <c r="N158" s="16">
        <v>0</v>
      </c>
      <c r="O158" s="16">
        <v>1314</v>
      </c>
      <c r="P158" s="16"/>
      <c r="Q158" s="16">
        <v>63</v>
      </c>
      <c r="R158" s="16"/>
      <c r="S158" s="16">
        <v>0</v>
      </c>
      <c r="T158" s="16"/>
      <c r="U158" s="239">
        <v>0</v>
      </c>
      <c r="V158" s="241">
        <v>164.50125600000001</v>
      </c>
      <c r="W158" s="238">
        <v>164.50125600000001</v>
      </c>
      <c r="Y158" s="242">
        <v>1314</v>
      </c>
      <c r="AA158" s="238">
        <v>2193.3500800000002</v>
      </c>
      <c r="AB158" s="237">
        <v>548.33752000000004</v>
      </c>
      <c r="AC158" s="226"/>
      <c r="AD158" s="238">
        <v>342.71095000000003</v>
      </c>
      <c r="AE158" s="237">
        <v>2536.0610300000003</v>
      </c>
      <c r="AF158" s="228">
        <v>0</v>
      </c>
      <c r="AG158" s="226"/>
      <c r="AH158" s="17"/>
      <c r="AI158" s="16"/>
    </row>
    <row r="159" spans="1:35" x14ac:dyDescent="0.25">
      <c r="A159" s="140">
        <v>169</v>
      </c>
      <c r="B159" s="140">
        <v>41</v>
      </c>
      <c r="C159" s="27" t="s">
        <v>1113</v>
      </c>
      <c r="D159" s="13" t="s">
        <v>331</v>
      </c>
      <c r="E159" s="13" t="s">
        <v>14</v>
      </c>
      <c r="F159" s="12" t="s">
        <v>332</v>
      </c>
      <c r="G159" s="14">
        <v>44221</v>
      </c>
      <c r="H159" s="12" t="s">
        <v>10</v>
      </c>
      <c r="I159" s="15"/>
      <c r="J159" s="240">
        <v>30</v>
      </c>
      <c r="K159" s="224">
        <v>0</v>
      </c>
      <c r="L159" s="240">
        <v>30</v>
      </c>
      <c r="M159" s="15"/>
      <c r="N159" s="16">
        <v>0</v>
      </c>
      <c r="O159" s="16">
        <v>1314</v>
      </c>
      <c r="P159" s="16"/>
      <c r="Q159" s="16">
        <v>63</v>
      </c>
      <c r="R159" s="16"/>
      <c r="S159" s="16">
        <v>0</v>
      </c>
      <c r="T159" s="16"/>
      <c r="U159" s="239">
        <v>0</v>
      </c>
      <c r="V159" s="241">
        <v>128.058696</v>
      </c>
      <c r="W159" s="238">
        <v>128.058696</v>
      </c>
      <c r="Y159" s="242">
        <v>1314</v>
      </c>
      <c r="AA159" s="238">
        <v>1707.44928</v>
      </c>
      <c r="AB159" s="237">
        <v>426.86232000000001</v>
      </c>
      <c r="AC159" s="226"/>
      <c r="AD159" s="228"/>
      <c r="AE159" s="237">
        <v>1707.44928</v>
      </c>
      <c r="AF159" s="228">
        <v>0</v>
      </c>
      <c r="AG159" s="226"/>
      <c r="AH159" s="17"/>
      <c r="AI159" s="16"/>
    </row>
    <row r="160" spans="1:35" x14ac:dyDescent="0.25">
      <c r="A160" s="140">
        <v>169</v>
      </c>
      <c r="B160" s="140">
        <v>37</v>
      </c>
      <c r="C160" s="27" t="s">
        <v>1114</v>
      </c>
      <c r="D160" s="13" t="s">
        <v>325</v>
      </c>
      <c r="E160" s="13" t="s">
        <v>14</v>
      </c>
      <c r="F160" s="12" t="s">
        <v>326</v>
      </c>
      <c r="G160" s="14">
        <v>44095</v>
      </c>
      <c r="H160" s="12" t="s">
        <v>10</v>
      </c>
      <c r="I160" s="15"/>
      <c r="J160" s="240">
        <v>30</v>
      </c>
      <c r="K160" s="224">
        <v>0</v>
      </c>
      <c r="L160" s="240">
        <v>30</v>
      </c>
      <c r="M160" s="15"/>
      <c r="N160" s="16">
        <v>1</v>
      </c>
      <c r="O160" s="16">
        <v>1314</v>
      </c>
      <c r="P160" s="16"/>
      <c r="Q160" s="16">
        <v>63</v>
      </c>
      <c r="R160" s="16"/>
      <c r="S160" s="16">
        <v>0</v>
      </c>
      <c r="T160" s="16"/>
      <c r="U160" s="239">
        <v>0</v>
      </c>
      <c r="V160" s="241">
        <v>170.02089599999999</v>
      </c>
      <c r="W160" s="238">
        <v>170.02089599999999</v>
      </c>
      <c r="Y160" s="242">
        <v>1315</v>
      </c>
      <c r="AA160" s="238">
        <v>2266.9452799999999</v>
      </c>
      <c r="AB160" s="237">
        <v>566.73631999999998</v>
      </c>
      <c r="AC160" s="226">
        <v>400</v>
      </c>
      <c r="AD160" s="238">
        <v>354.21019999999999</v>
      </c>
      <c r="AE160" s="237">
        <v>2621.1554799999999</v>
      </c>
      <c r="AF160" s="228">
        <v>0</v>
      </c>
      <c r="AG160" s="226">
        <v>400</v>
      </c>
      <c r="AH160" s="17"/>
      <c r="AI160" s="16"/>
    </row>
    <row r="161" spans="1:35" x14ac:dyDescent="0.25">
      <c r="A161" s="140">
        <v>169</v>
      </c>
      <c r="B161" s="140">
        <v>38</v>
      </c>
      <c r="C161" s="27" t="s">
        <v>1115</v>
      </c>
      <c r="D161" s="13" t="s">
        <v>327</v>
      </c>
      <c r="E161" s="13" t="s">
        <v>14</v>
      </c>
      <c r="F161" s="12" t="s">
        <v>328</v>
      </c>
      <c r="G161" s="14">
        <v>44153</v>
      </c>
      <c r="H161" s="12" t="s">
        <v>10</v>
      </c>
      <c r="I161" s="15"/>
      <c r="J161" s="240">
        <v>30</v>
      </c>
      <c r="K161" s="224">
        <v>0</v>
      </c>
      <c r="L161" s="240">
        <v>30</v>
      </c>
      <c r="M161" s="15"/>
      <c r="N161" s="16">
        <v>0</v>
      </c>
      <c r="O161" s="16">
        <v>1314</v>
      </c>
      <c r="P161" s="16"/>
      <c r="Q161" s="16">
        <v>63</v>
      </c>
      <c r="R161" s="16"/>
      <c r="S161" s="16">
        <v>0</v>
      </c>
      <c r="T161" s="16"/>
      <c r="U161" s="239">
        <v>0</v>
      </c>
      <c r="V161" s="241">
        <v>135.608856</v>
      </c>
      <c r="W161" s="238">
        <v>135.608856</v>
      </c>
      <c r="Y161" s="242">
        <v>1314</v>
      </c>
      <c r="AA161" s="238">
        <v>1808.1180800000002</v>
      </c>
      <c r="AB161" s="237">
        <v>452.02952000000005</v>
      </c>
      <c r="AC161" s="226"/>
      <c r="AD161" s="228"/>
      <c r="AE161" s="237">
        <v>1808.1180800000002</v>
      </c>
      <c r="AF161" s="228">
        <v>0</v>
      </c>
      <c r="AG161" s="226"/>
      <c r="AH161" s="17"/>
      <c r="AI161" s="16"/>
    </row>
    <row r="162" spans="1:35" x14ac:dyDescent="0.25">
      <c r="A162" s="140">
        <v>169</v>
      </c>
      <c r="B162" s="140">
        <v>1</v>
      </c>
      <c r="C162" s="27" t="s">
        <v>1116</v>
      </c>
      <c r="D162" s="13" t="s">
        <v>315</v>
      </c>
      <c r="E162" s="13" t="s">
        <v>14</v>
      </c>
      <c r="F162" s="12" t="s">
        <v>316</v>
      </c>
      <c r="G162" s="14">
        <v>43442</v>
      </c>
      <c r="H162" s="12" t="s">
        <v>10</v>
      </c>
      <c r="I162" s="15"/>
      <c r="J162" s="240">
        <v>30</v>
      </c>
      <c r="K162" s="224">
        <v>0</v>
      </c>
      <c r="L162" s="240">
        <v>30</v>
      </c>
      <c r="M162" s="15"/>
      <c r="N162" s="16">
        <v>1</v>
      </c>
      <c r="O162" s="16">
        <v>1314</v>
      </c>
      <c r="P162" s="16"/>
      <c r="Q162" s="16">
        <v>63</v>
      </c>
      <c r="R162" s="16"/>
      <c r="S162" s="16">
        <v>0</v>
      </c>
      <c r="T162" s="16"/>
      <c r="U162" s="239">
        <v>0</v>
      </c>
      <c r="V162" s="241">
        <v>187.86196800000002</v>
      </c>
      <c r="W162" s="238">
        <v>187.86196800000002</v>
      </c>
      <c r="Y162" s="242">
        <v>1315</v>
      </c>
      <c r="AA162" s="238">
        <v>2504.8262400000003</v>
      </c>
      <c r="AB162" s="237">
        <v>626.20656000000008</v>
      </c>
      <c r="AC162" s="244" t="s">
        <v>1179</v>
      </c>
      <c r="AD162" s="238">
        <v>391.37910000000005</v>
      </c>
      <c r="AE162" s="237">
        <v>2896.2053400000004</v>
      </c>
      <c r="AF162" s="228">
        <v>0</v>
      </c>
      <c r="AG162" s="243" t="s">
        <v>1179</v>
      </c>
      <c r="AH162" s="17"/>
      <c r="AI162" s="16"/>
    </row>
    <row r="163" spans="1:35" s="26" customFormat="1" x14ac:dyDescent="0.25">
      <c r="A163" s="222">
        <v>173</v>
      </c>
      <c r="B163" s="222">
        <v>5</v>
      </c>
      <c r="C163" s="28" t="s">
        <v>1117</v>
      </c>
      <c r="D163" s="21" t="s">
        <v>333</v>
      </c>
      <c r="E163" s="21" t="s">
        <v>14</v>
      </c>
      <c r="F163" s="20" t="s">
        <v>334</v>
      </c>
      <c r="G163" s="22">
        <v>43427</v>
      </c>
      <c r="H163" s="12" t="s">
        <v>6</v>
      </c>
      <c r="I163" s="15"/>
      <c r="J163" s="240">
        <v>30</v>
      </c>
      <c r="K163" s="224">
        <v>0</v>
      </c>
      <c r="L163" s="240">
        <v>30</v>
      </c>
      <c r="M163" s="15"/>
      <c r="N163" s="24">
        <v>0</v>
      </c>
      <c r="O163" s="24">
        <v>0</v>
      </c>
      <c r="P163" s="24"/>
      <c r="Q163" s="24"/>
      <c r="R163" s="24"/>
      <c r="S163" s="16">
        <v>0</v>
      </c>
      <c r="T163" s="24"/>
      <c r="U163" s="239">
        <v>0</v>
      </c>
      <c r="V163" s="229">
        <v>0</v>
      </c>
      <c r="W163" s="238">
        <v>0</v>
      </c>
      <c r="Y163" s="242">
        <v>0</v>
      </c>
      <c r="Z163" s="10"/>
      <c r="AA163" s="228"/>
      <c r="AB163" s="230"/>
      <c r="AC163" s="226"/>
      <c r="AD163" s="228"/>
      <c r="AE163" s="230">
        <v>0</v>
      </c>
      <c r="AF163" s="228">
        <v>0</v>
      </c>
      <c r="AG163" s="226"/>
      <c r="AH163" s="25"/>
      <c r="AI163" s="16"/>
    </row>
    <row r="164" spans="1:35" x14ac:dyDescent="0.25">
      <c r="A164" s="140">
        <v>173</v>
      </c>
      <c r="B164" s="140">
        <v>26</v>
      </c>
      <c r="C164" s="27" t="s">
        <v>1118</v>
      </c>
      <c r="D164" s="13" t="s">
        <v>335</v>
      </c>
      <c r="E164" s="13" t="s">
        <v>14</v>
      </c>
      <c r="F164" s="12" t="s">
        <v>336</v>
      </c>
      <c r="G164" s="14">
        <v>43791</v>
      </c>
      <c r="H164" s="12" t="s">
        <v>10</v>
      </c>
      <c r="I164" s="15"/>
      <c r="J164" s="240">
        <v>30</v>
      </c>
      <c r="K164" s="224">
        <v>0</v>
      </c>
      <c r="L164" s="240">
        <v>30</v>
      </c>
      <c r="M164" s="15"/>
      <c r="N164" s="16">
        <v>0</v>
      </c>
      <c r="O164" s="16">
        <v>1713</v>
      </c>
      <c r="P164" s="16"/>
      <c r="Q164" s="16"/>
      <c r="R164" s="16"/>
      <c r="S164" s="16">
        <v>355.2</v>
      </c>
      <c r="T164" s="16"/>
      <c r="U164" s="239">
        <v>355.2</v>
      </c>
      <c r="V164" s="241">
        <v>182.84755275000001</v>
      </c>
      <c r="W164" s="238">
        <v>182.84755275000001</v>
      </c>
      <c r="Y164" s="242">
        <v>1713</v>
      </c>
      <c r="AA164" s="238">
        <v>2437.9673700000003</v>
      </c>
      <c r="AB164" s="237">
        <v>609.49184250000008</v>
      </c>
      <c r="AC164" s="226"/>
      <c r="AD164" s="238">
        <v>329.45504999999997</v>
      </c>
      <c r="AE164" s="237">
        <v>2767.4224200000003</v>
      </c>
      <c r="AF164" s="228">
        <v>0</v>
      </c>
      <c r="AG164" s="226">
        <v>400</v>
      </c>
      <c r="AH164" s="17"/>
      <c r="AI164" s="16"/>
    </row>
    <row r="165" spans="1:35" x14ac:dyDescent="0.25">
      <c r="A165" s="140">
        <v>173</v>
      </c>
      <c r="B165" s="140">
        <v>30</v>
      </c>
      <c r="C165" s="27" t="s">
        <v>1119</v>
      </c>
      <c r="D165" s="13" t="s">
        <v>337</v>
      </c>
      <c r="E165" s="13" t="s">
        <v>21</v>
      </c>
      <c r="F165" s="12" t="s">
        <v>338</v>
      </c>
      <c r="G165" s="14">
        <v>43791</v>
      </c>
      <c r="H165" s="12" t="s">
        <v>10</v>
      </c>
      <c r="I165" s="15"/>
      <c r="J165" s="240">
        <v>30</v>
      </c>
      <c r="K165" s="224">
        <v>0</v>
      </c>
      <c r="L165" s="240">
        <v>30</v>
      </c>
      <c r="M165" s="15"/>
      <c r="N165" s="16">
        <v>1447</v>
      </c>
      <c r="O165" s="16">
        <v>0</v>
      </c>
      <c r="P165" s="16">
        <v>80</v>
      </c>
      <c r="Q165" s="16"/>
      <c r="R165" s="16">
        <v>40</v>
      </c>
      <c r="S165" s="16">
        <v>264</v>
      </c>
      <c r="T165" s="16"/>
      <c r="U165" s="239">
        <v>264</v>
      </c>
      <c r="V165" s="241">
        <v>86.82</v>
      </c>
      <c r="W165" s="238">
        <v>86.82</v>
      </c>
      <c r="Y165" s="242">
        <v>1447</v>
      </c>
      <c r="AA165" s="228"/>
      <c r="AB165" s="230"/>
      <c r="AC165" s="226"/>
      <c r="AD165" s="228"/>
      <c r="AE165" s="230">
        <v>0</v>
      </c>
      <c r="AF165" s="238">
        <v>1447</v>
      </c>
      <c r="AG165" s="226"/>
      <c r="AH165" s="17"/>
      <c r="AI165" s="16"/>
    </row>
    <row r="166" spans="1:35" x14ac:dyDescent="0.25">
      <c r="A166" s="140">
        <v>173</v>
      </c>
      <c r="B166" s="140">
        <v>34</v>
      </c>
      <c r="C166" s="27" t="s">
        <v>1120</v>
      </c>
      <c r="D166" s="13" t="s">
        <v>339</v>
      </c>
      <c r="E166" s="13" t="s">
        <v>14</v>
      </c>
      <c r="F166" s="12" t="s">
        <v>340</v>
      </c>
      <c r="G166" s="14">
        <v>43899</v>
      </c>
      <c r="H166" s="12" t="s">
        <v>10</v>
      </c>
      <c r="I166" s="15"/>
      <c r="J166" s="240">
        <v>30</v>
      </c>
      <c r="K166" s="224">
        <v>0</v>
      </c>
      <c r="L166" s="240">
        <v>30</v>
      </c>
      <c r="M166" s="15"/>
      <c r="N166" s="16">
        <v>0</v>
      </c>
      <c r="O166" s="16">
        <v>1713</v>
      </c>
      <c r="P166" s="16"/>
      <c r="Q166" s="16"/>
      <c r="R166" s="16">
        <v>40</v>
      </c>
      <c r="S166" s="16">
        <v>572.64</v>
      </c>
      <c r="T166" s="16"/>
      <c r="U166" s="239">
        <v>572.64</v>
      </c>
      <c r="V166" s="241">
        <v>124.00463999999998</v>
      </c>
      <c r="W166" s="238">
        <v>124.00463999999998</v>
      </c>
      <c r="Y166" s="242">
        <v>1713</v>
      </c>
      <c r="AA166" s="238">
        <v>1414.9712</v>
      </c>
      <c r="AB166" s="237">
        <v>353.74279999999999</v>
      </c>
      <c r="AC166" s="226"/>
      <c r="AD166" s="228"/>
      <c r="AE166" s="237">
        <v>1414.9712</v>
      </c>
      <c r="AF166" s="238">
        <v>298.02999999999997</v>
      </c>
      <c r="AG166" s="226"/>
      <c r="AH166" s="17"/>
      <c r="AI166" s="16"/>
    </row>
    <row r="167" spans="1:35" x14ac:dyDescent="0.25">
      <c r="A167" s="140">
        <v>173</v>
      </c>
      <c r="B167" s="140">
        <v>35</v>
      </c>
      <c r="C167" s="27" t="s">
        <v>1121</v>
      </c>
      <c r="D167" s="13" t="s">
        <v>341</v>
      </c>
      <c r="E167" s="13" t="s">
        <v>11</v>
      </c>
      <c r="F167" s="12" t="s">
        <v>342</v>
      </c>
      <c r="G167" s="14">
        <v>42531</v>
      </c>
      <c r="H167" s="12" t="s">
        <v>10</v>
      </c>
      <c r="I167" s="15"/>
      <c r="J167" s="240">
        <v>30</v>
      </c>
      <c r="K167" s="224">
        <v>0</v>
      </c>
      <c r="L167" s="240">
        <v>30</v>
      </c>
      <c r="M167" s="15"/>
      <c r="N167" s="16">
        <v>0</v>
      </c>
      <c r="O167" s="16">
        <v>4500</v>
      </c>
      <c r="P167" s="16"/>
      <c r="Q167" s="16"/>
      <c r="R167" s="16">
        <v>40</v>
      </c>
      <c r="S167" s="16">
        <v>0</v>
      </c>
      <c r="T167" s="16"/>
      <c r="U167" s="239">
        <v>0</v>
      </c>
      <c r="V167" s="241">
        <v>271.19731200000001</v>
      </c>
      <c r="W167" s="238">
        <v>271.19731200000001</v>
      </c>
      <c r="Y167" s="242">
        <v>4500</v>
      </c>
      <c r="AA167" s="238">
        <v>79.820160000000001</v>
      </c>
      <c r="AB167" s="237">
        <v>19.95504</v>
      </c>
      <c r="AC167" s="226"/>
      <c r="AD167" s="228"/>
      <c r="AE167" s="237">
        <v>79.820160000000001</v>
      </c>
      <c r="AF167" s="238">
        <v>4420.18</v>
      </c>
      <c r="AG167" s="226"/>
      <c r="AH167" s="17"/>
      <c r="AI167" s="16"/>
    </row>
    <row r="168" spans="1:35" x14ac:dyDescent="0.25">
      <c r="A168" s="140">
        <v>173</v>
      </c>
      <c r="B168" s="140">
        <v>38</v>
      </c>
      <c r="C168" s="27" t="s">
        <v>1122</v>
      </c>
      <c r="D168" s="13" t="s">
        <v>343</v>
      </c>
      <c r="E168" s="13" t="s">
        <v>14</v>
      </c>
      <c r="F168" s="12" t="s">
        <v>344</v>
      </c>
      <c r="G168" s="14">
        <v>44152</v>
      </c>
      <c r="H168" s="12" t="s">
        <v>10</v>
      </c>
      <c r="I168" s="15"/>
      <c r="J168" s="240">
        <v>30</v>
      </c>
      <c r="K168" s="224">
        <v>0</v>
      </c>
      <c r="L168" s="240">
        <v>30</v>
      </c>
      <c r="M168" s="15"/>
      <c r="N168" s="16">
        <v>0</v>
      </c>
      <c r="O168" s="16">
        <v>1713</v>
      </c>
      <c r="P168" s="16"/>
      <c r="Q168" s="16"/>
      <c r="R168" s="16">
        <v>40</v>
      </c>
      <c r="S168" s="16">
        <v>216</v>
      </c>
      <c r="T168" s="16"/>
      <c r="U168" s="239">
        <v>216</v>
      </c>
      <c r="V168" s="241">
        <v>141.53443200000001</v>
      </c>
      <c r="W168" s="238">
        <v>141.53443200000001</v>
      </c>
      <c r="Y168" s="242">
        <v>1713</v>
      </c>
      <c r="AA168" s="238">
        <v>1887.1257600000001</v>
      </c>
      <c r="AB168" s="237">
        <v>471.78144000000003</v>
      </c>
      <c r="AC168" s="226"/>
      <c r="AD168" s="228"/>
      <c r="AE168" s="237">
        <v>1887.1257600000001</v>
      </c>
      <c r="AF168" s="228">
        <v>0</v>
      </c>
      <c r="AG168" s="226"/>
      <c r="AH168" s="17"/>
      <c r="AI168" s="16"/>
    </row>
    <row r="169" spans="1:35" x14ac:dyDescent="0.25">
      <c r="A169" s="140">
        <v>173</v>
      </c>
      <c r="B169" s="140">
        <v>41</v>
      </c>
      <c r="C169" s="27" t="s">
        <v>1123</v>
      </c>
      <c r="D169" s="13" t="s">
        <v>345</v>
      </c>
      <c r="E169" s="13" t="s">
        <v>14</v>
      </c>
      <c r="F169" s="12" t="s">
        <v>346</v>
      </c>
      <c r="G169" s="14">
        <v>44358</v>
      </c>
      <c r="H169" s="12" t="s">
        <v>10</v>
      </c>
      <c r="I169" s="15"/>
      <c r="J169" s="240">
        <v>30</v>
      </c>
      <c r="K169" s="224">
        <v>0</v>
      </c>
      <c r="L169" s="240">
        <v>30</v>
      </c>
      <c r="M169" s="15"/>
      <c r="N169" s="16">
        <v>0</v>
      </c>
      <c r="O169" s="16">
        <v>1713</v>
      </c>
      <c r="P169" s="16"/>
      <c r="Q169" s="16"/>
      <c r="R169" s="16">
        <v>34</v>
      </c>
      <c r="S169" s="16"/>
      <c r="T169" s="16">
        <v>423.7</v>
      </c>
      <c r="U169" s="239">
        <v>423.7</v>
      </c>
      <c r="V169" s="241">
        <v>115.82930399999999</v>
      </c>
      <c r="W169" s="238">
        <v>115.82930399999999</v>
      </c>
      <c r="Y169" s="242">
        <v>1713</v>
      </c>
      <c r="AA169" s="238">
        <v>869.96672000000001</v>
      </c>
      <c r="AB169" s="237">
        <v>217.49168</v>
      </c>
      <c r="AC169" s="226"/>
      <c r="AD169" s="228"/>
      <c r="AE169" s="237">
        <v>869.96672000000001</v>
      </c>
      <c r="AF169" s="238">
        <v>843.03</v>
      </c>
      <c r="AG169" s="226"/>
      <c r="AH169" s="17"/>
      <c r="AI169" s="16"/>
    </row>
    <row r="170" spans="1:35" x14ac:dyDescent="0.25">
      <c r="A170" s="140">
        <v>175</v>
      </c>
      <c r="B170" s="140">
        <v>17</v>
      </c>
      <c r="C170" s="27" t="s">
        <v>1124</v>
      </c>
      <c r="D170" s="13" t="s">
        <v>359</v>
      </c>
      <c r="E170" s="13" t="s">
        <v>21</v>
      </c>
      <c r="F170" s="12" t="s">
        <v>360</v>
      </c>
      <c r="G170" s="14">
        <v>44153</v>
      </c>
      <c r="H170" s="12" t="s">
        <v>10</v>
      </c>
      <c r="I170" s="15"/>
      <c r="J170" s="240">
        <v>30</v>
      </c>
      <c r="K170" s="224">
        <v>0</v>
      </c>
      <c r="L170" s="240">
        <v>30</v>
      </c>
      <c r="M170" s="15"/>
      <c r="N170" s="16">
        <v>1060.3699999999999</v>
      </c>
      <c r="O170" s="16">
        <v>0</v>
      </c>
      <c r="P170" s="16">
        <v>158</v>
      </c>
      <c r="Q170" s="16"/>
      <c r="R170" s="16">
        <v>425</v>
      </c>
      <c r="S170" s="16" t="s">
        <v>1177</v>
      </c>
      <c r="T170" s="16"/>
      <c r="U170" s="242">
        <v>0</v>
      </c>
      <c r="V170" s="241">
        <v>63.62</v>
      </c>
      <c r="W170" s="238">
        <v>63.62</v>
      </c>
      <c r="Y170" s="242">
        <v>1060.3699999999999</v>
      </c>
      <c r="AA170" s="228"/>
      <c r="AB170" s="230"/>
      <c r="AC170" s="226"/>
      <c r="AD170" s="228"/>
      <c r="AE170" s="230">
        <v>0</v>
      </c>
      <c r="AF170" s="238">
        <v>1060.3699999999999</v>
      </c>
      <c r="AG170" s="226"/>
      <c r="AH170" s="17"/>
      <c r="AI170" s="16"/>
    </row>
    <row r="171" spans="1:35" x14ac:dyDescent="0.25">
      <c r="A171" s="140">
        <v>175</v>
      </c>
      <c r="B171" s="140">
        <v>13</v>
      </c>
      <c r="C171" s="27" t="s">
        <v>1125</v>
      </c>
      <c r="D171" s="13" t="s">
        <v>357</v>
      </c>
      <c r="E171" s="13" t="s">
        <v>14</v>
      </c>
      <c r="F171" s="12" t="s">
        <v>358</v>
      </c>
      <c r="G171" s="14">
        <v>43782</v>
      </c>
      <c r="H171" s="12" t="s">
        <v>10</v>
      </c>
      <c r="I171" s="15"/>
      <c r="J171" s="240">
        <v>30</v>
      </c>
      <c r="K171" s="224">
        <v>0</v>
      </c>
      <c r="L171" s="240">
        <v>30</v>
      </c>
      <c r="M171" s="15"/>
      <c r="N171" s="16">
        <v>998</v>
      </c>
      <c r="O171" s="16">
        <v>1257</v>
      </c>
      <c r="P171" s="16"/>
      <c r="Q171" s="16"/>
      <c r="R171" s="16">
        <v>436</v>
      </c>
      <c r="S171" s="16" t="s">
        <v>1177</v>
      </c>
      <c r="T171" s="16">
        <f>N171*0.06</f>
        <v>59.879999999999995</v>
      </c>
      <c r="U171" s="242">
        <v>0</v>
      </c>
      <c r="V171" s="241">
        <v>59.88</v>
      </c>
      <c r="W171" s="238">
        <v>59.88</v>
      </c>
      <c r="Y171" s="242">
        <v>2255</v>
      </c>
      <c r="AA171" s="238">
        <v>1430.8551599999998</v>
      </c>
      <c r="AB171" s="237">
        <v>357.71378999999996</v>
      </c>
      <c r="AC171" s="226"/>
      <c r="AD171" s="228"/>
      <c r="AE171" s="237">
        <v>1430.8551599999998</v>
      </c>
      <c r="AF171" s="238">
        <v>824.14</v>
      </c>
      <c r="AG171" s="226">
        <v>400</v>
      </c>
      <c r="AH171" s="17"/>
      <c r="AI171" s="16"/>
    </row>
    <row r="172" spans="1:35" x14ac:dyDescent="0.25">
      <c r="A172" s="140">
        <v>175</v>
      </c>
      <c r="B172" s="140">
        <v>11</v>
      </c>
      <c r="C172" s="27" t="s">
        <v>1126</v>
      </c>
      <c r="D172" s="13" t="s">
        <v>355</v>
      </c>
      <c r="E172" s="13" t="s">
        <v>14</v>
      </c>
      <c r="F172" s="12" t="s">
        <v>356</v>
      </c>
      <c r="G172" s="14">
        <v>43782</v>
      </c>
      <c r="H172" s="12" t="s">
        <v>10</v>
      </c>
      <c r="I172" s="15"/>
      <c r="J172" s="240">
        <v>30</v>
      </c>
      <c r="K172" s="224">
        <v>0</v>
      </c>
      <c r="L172" s="240">
        <v>30</v>
      </c>
      <c r="M172" s="15"/>
      <c r="N172" s="16">
        <v>1</v>
      </c>
      <c r="O172" s="16">
        <v>1257</v>
      </c>
      <c r="P172" s="16"/>
      <c r="Q172" s="16"/>
      <c r="R172" s="16">
        <v>419</v>
      </c>
      <c r="S172" s="16" t="s">
        <v>1177</v>
      </c>
      <c r="T172" s="16"/>
      <c r="U172" s="242">
        <v>0</v>
      </c>
      <c r="V172" s="241">
        <v>0.06</v>
      </c>
      <c r="W172" s="238">
        <v>0.06</v>
      </c>
      <c r="Y172" s="242">
        <v>1258</v>
      </c>
      <c r="AA172" s="238">
        <v>3135.9444600000006</v>
      </c>
      <c r="AB172" s="237">
        <v>783.98611500000015</v>
      </c>
      <c r="AC172" s="226">
        <v>0</v>
      </c>
      <c r="AD172" s="238">
        <v>475.14310000000006</v>
      </c>
      <c r="AE172" s="237">
        <v>3611.0875600000008</v>
      </c>
      <c r="AF172" s="228">
        <v>0</v>
      </c>
      <c r="AG172" s="243" t="s">
        <v>1179</v>
      </c>
      <c r="AH172" s="17"/>
      <c r="AI172" s="16"/>
    </row>
    <row r="173" spans="1:35" x14ac:dyDescent="0.25">
      <c r="A173" s="140">
        <v>175</v>
      </c>
      <c r="B173" s="140">
        <v>8</v>
      </c>
      <c r="C173" s="27" t="s">
        <v>1127</v>
      </c>
      <c r="D173" s="13" t="s">
        <v>351</v>
      </c>
      <c r="E173" s="13" t="s">
        <v>21</v>
      </c>
      <c r="F173" s="12" t="s">
        <v>352</v>
      </c>
      <c r="G173" s="14">
        <v>43782</v>
      </c>
      <c r="H173" s="12" t="s">
        <v>10</v>
      </c>
      <c r="I173" s="15"/>
      <c r="J173" s="240">
        <v>30</v>
      </c>
      <c r="K173" s="224">
        <v>0</v>
      </c>
      <c r="L173" s="240">
        <v>30</v>
      </c>
      <c r="M173" s="15"/>
      <c r="N173" s="16">
        <v>1060.3699999999999</v>
      </c>
      <c r="O173" s="16">
        <v>0</v>
      </c>
      <c r="P173" s="16">
        <v>158</v>
      </c>
      <c r="Q173" s="16"/>
      <c r="R173" s="16">
        <v>419</v>
      </c>
      <c r="S173" s="16" t="s">
        <v>1177</v>
      </c>
      <c r="T173" s="16"/>
      <c r="U173" s="242">
        <v>0</v>
      </c>
      <c r="V173" s="241">
        <v>63.62</v>
      </c>
      <c r="W173" s="238">
        <v>63.62</v>
      </c>
      <c r="Y173" s="242">
        <v>1060.3699999999999</v>
      </c>
      <c r="AA173" s="228"/>
      <c r="AB173" s="230"/>
      <c r="AC173" s="226"/>
      <c r="AD173" s="228"/>
      <c r="AE173" s="230">
        <v>0</v>
      </c>
      <c r="AF173" s="238">
        <v>1060.3699999999999</v>
      </c>
      <c r="AG173" s="226"/>
      <c r="AH173" s="17"/>
      <c r="AI173" s="16"/>
    </row>
    <row r="174" spans="1:35" x14ac:dyDescent="0.25">
      <c r="A174" s="140">
        <v>175</v>
      </c>
      <c r="B174" s="140">
        <v>3</v>
      </c>
      <c r="C174" s="27" t="s">
        <v>1128</v>
      </c>
      <c r="D174" s="13" t="s">
        <v>349</v>
      </c>
      <c r="E174" s="13" t="s">
        <v>14</v>
      </c>
      <c r="F174" s="12" t="s">
        <v>350</v>
      </c>
      <c r="G174" s="14">
        <v>43782</v>
      </c>
      <c r="H174" s="12" t="s">
        <v>10</v>
      </c>
      <c r="I174" s="15"/>
      <c r="J174" s="240">
        <v>30</v>
      </c>
      <c r="K174" s="224">
        <v>0</v>
      </c>
      <c r="L174" s="240">
        <v>30</v>
      </c>
      <c r="M174" s="15"/>
      <c r="N174" s="16">
        <v>998</v>
      </c>
      <c r="O174" s="16">
        <v>1257</v>
      </c>
      <c r="P174" s="16"/>
      <c r="Q174" s="16"/>
      <c r="R174" s="16">
        <v>419</v>
      </c>
      <c r="S174" s="16" t="s">
        <v>1177</v>
      </c>
      <c r="T174" s="16"/>
      <c r="U174" s="242">
        <v>0</v>
      </c>
      <c r="V174" s="241">
        <v>59.88</v>
      </c>
      <c r="W174" s="238">
        <v>59.88</v>
      </c>
      <c r="Y174" s="242">
        <v>2255</v>
      </c>
      <c r="AA174" s="238">
        <v>1982.0866799999997</v>
      </c>
      <c r="AB174" s="237">
        <v>495.52166999999992</v>
      </c>
      <c r="AC174" s="226"/>
      <c r="AD174" s="228"/>
      <c r="AE174" s="237">
        <v>1982.0866799999997</v>
      </c>
      <c r="AF174" s="238">
        <v>272.91000000000003</v>
      </c>
      <c r="AG174" s="226"/>
      <c r="AH174" s="17"/>
      <c r="AI174" s="16"/>
    </row>
    <row r="175" spans="1:35" x14ac:dyDescent="0.25">
      <c r="A175" s="140">
        <v>175</v>
      </c>
      <c r="B175" s="140">
        <v>9</v>
      </c>
      <c r="C175" s="27" t="s">
        <v>1129</v>
      </c>
      <c r="D175" s="13" t="s">
        <v>353</v>
      </c>
      <c r="E175" s="13" t="s">
        <v>11</v>
      </c>
      <c r="F175" s="12" t="s">
        <v>354</v>
      </c>
      <c r="G175" s="14">
        <v>43782</v>
      </c>
      <c r="H175" s="12" t="s">
        <v>10</v>
      </c>
      <c r="I175" s="15"/>
      <c r="J175" s="240">
        <v>30</v>
      </c>
      <c r="K175" s="224">
        <v>0</v>
      </c>
      <c r="L175" s="240">
        <v>30</v>
      </c>
      <c r="M175" s="15"/>
      <c r="N175" s="16">
        <v>0</v>
      </c>
      <c r="O175" s="16">
        <v>4000</v>
      </c>
      <c r="P175" s="16"/>
      <c r="Q175" s="16"/>
      <c r="R175" s="16">
        <v>436</v>
      </c>
      <c r="S175" s="16">
        <v>0</v>
      </c>
      <c r="T175" s="16"/>
      <c r="U175" s="239">
        <v>0</v>
      </c>
      <c r="V175" s="229">
        <v>0</v>
      </c>
      <c r="W175" s="238">
        <v>0</v>
      </c>
      <c r="Y175" s="242">
        <v>4000.0000000000005</v>
      </c>
      <c r="AA175" s="228"/>
      <c r="AB175" s="230"/>
      <c r="AC175" s="226"/>
      <c r="AD175" s="228"/>
      <c r="AE175" s="230">
        <v>0</v>
      </c>
      <c r="AF175" s="238">
        <v>4000</v>
      </c>
      <c r="AG175" s="226"/>
      <c r="AH175" s="17"/>
      <c r="AI175" s="16"/>
    </row>
    <row r="176" spans="1:35" x14ac:dyDescent="0.25">
      <c r="A176" s="140">
        <v>175</v>
      </c>
      <c r="B176" s="140">
        <v>1</v>
      </c>
      <c r="C176" s="27" t="s">
        <v>1130</v>
      </c>
      <c r="D176" s="13" t="s">
        <v>347</v>
      </c>
      <c r="E176" s="13" t="s">
        <v>14</v>
      </c>
      <c r="F176" s="12" t="s">
        <v>348</v>
      </c>
      <c r="G176" s="14">
        <v>43782</v>
      </c>
      <c r="H176" s="12" t="s">
        <v>10</v>
      </c>
      <c r="I176" s="15"/>
      <c r="J176" s="240">
        <v>-58</v>
      </c>
      <c r="K176" s="246">
        <v>44</v>
      </c>
      <c r="L176" s="240">
        <v>-14</v>
      </c>
      <c r="M176" s="15"/>
      <c r="N176" s="16">
        <v>998</v>
      </c>
      <c r="O176" s="16">
        <v>1257</v>
      </c>
      <c r="P176" s="16"/>
      <c r="Q176" s="16"/>
      <c r="R176" s="16">
        <v>419</v>
      </c>
      <c r="S176" s="16" t="s">
        <v>1177</v>
      </c>
      <c r="T176" s="16"/>
      <c r="U176" s="242">
        <v>0</v>
      </c>
      <c r="V176" s="241">
        <v>59.88</v>
      </c>
      <c r="W176" s="238">
        <v>59.88</v>
      </c>
      <c r="Y176" s="242">
        <v>-4359.666666666667</v>
      </c>
      <c r="AA176" s="238">
        <v>438.32011999999997</v>
      </c>
      <c r="AB176" s="237">
        <v>109.58002999999999</v>
      </c>
      <c r="AC176" s="226"/>
      <c r="AD176" s="228"/>
      <c r="AE176" s="237">
        <v>438.32011999999997</v>
      </c>
      <c r="AF176" s="228">
        <v>0</v>
      </c>
      <c r="AG176" s="226"/>
      <c r="AH176" s="17"/>
      <c r="AI176" s="16"/>
    </row>
    <row r="177" spans="1:35" x14ac:dyDescent="0.25">
      <c r="A177" s="140">
        <v>179</v>
      </c>
      <c r="B177" s="140">
        <v>1</v>
      </c>
      <c r="C177" s="27" t="s">
        <v>1131</v>
      </c>
      <c r="D177" s="13" t="s">
        <v>361</v>
      </c>
      <c r="E177" s="13" t="s">
        <v>21</v>
      </c>
      <c r="F177" s="12" t="s">
        <v>362</v>
      </c>
      <c r="G177" s="14">
        <v>44033</v>
      </c>
      <c r="H177" s="12" t="s">
        <v>10</v>
      </c>
      <c r="I177" s="15"/>
      <c r="J177" s="240">
        <v>30</v>
      </c>
      <c r="K177" s="224">
        <v>0</v>
      </c>
      <c r="L177" s="240">
        <v>30</v>
      </c>
      <c r="M177" s="15"/>
      <c r="N177" s="16">
        <v>1591</v>
      </c>
      <c r="O177" s="16">
        <v>0</v>
      </c>
      <c r="P177" s="16">
        <v>87</v>
      </c>
      <c r="Q177" s="16">
        <v>39</v>
      </c>
      <c r="R177" s="16">
        <v>25</v>
      </c>
      <c r="S177" s="16">
        <v>326.39999999999998</v>
      </c>
      <c r="T177" s="16"/>
      <c r="U177" s="239">
        <v>326.39999999999998</v>
      </c>
      <c r="V177" s="241">
        <v>95.46</v>
      </c>
      <c r="W177" s="238">
        <v>95.46</v>
      </c>
      <c r="Y177" s="242">
        <v>1591</v>
      </c>
      <c r="AA177" s="228"/>
      <c r="AB177" s="230"/>
      <c r="AC177" s="226"/>
      <c r="AD177" s="228"/>
      <c r="AE177" s="230">
        <v>0</v>
      </c>
      <c r="AF177" s="238">
        <v>1591</v>
      </c>
      <c r="AG177" s="226"/>
      <c r="AH177" s="17"/>
      <c r="AI177" s="16"/>
    </row>
    <row r="178" spans="1:35" x14ac:dyDescent="0.25">
      <c r="A178" s="140">
        <v>179</v>
      </c>
      <c r="B178" s="140">
        <v>2</v>
      </c>
      <c r="C178" s="27" t="s">
        <v>1132</v>
      </c>
      <c r="D178" s="13" t="s">
        <v>363</v>
      </c>
      <c r="E178" s="13" t="s">
        <v>14</v>
      </c>
      <c r="F178" s="12" t="s">
        <v>364</v>
      </c>
      <c r="G178" s="14">
        <v>44033</v>
      </c>
      <c r="H178" s="12" t="s">
        <v>10</v>
      </c>
      <c r="I178" s="15"/>
      <c r="J178" s="240">
        <v>30</v>
      </c>
      <c r="K178" s="224">
        <v>0</v>
      </c>
      <c r="L178" s="240">
        <v>30</v>
      </c>
      <c r="M178" s="15"/>
      <c r="N178" s="16">
        <v>0</v>
      </c>
      <c r="O178" s="16">
        <v>1909</v>
      </c>
      <c r="P178" s="16"/>
      <c r="Q178" s="16">
        <v>39</v>
      </c>
      <c r="R178" s="16">
        <v>25</v>
      </c>
      <c r="S178" s="16">
        <v>0</v>
      </c>
      <c r="T178" s="16"/>
      <c r="U178" s="239">
        <v>0</v>
      </c>
      <c r="V178" s="241">
        <v>210.28971149999998</v>
      </c>
      <c r="W178" s="238">
        <v>210.28971149999998</v>
      </c>
      <c r="Y178" s="242">
        <v>1909</v>
      </c>
      <c r="AA178" s="238">
        <v>2803.8628199999998</v>
      </c>
      <c r="AB178" s="237">
        <v>700.96570499999996</v>
      </c>
      <c r="AC178" s="226"/>
      <c r="AD178" s="238">
        <v>424.82769999999999</v>
      </c>
      <c r="AE178" s="237">
        <v>3228.6905199999997</v>
      </c>
      <c r="AF178" s="228">
        <v>0</v>
      </c>
      <c r="AG178" s="226"/>
      <c r="AH178" s="17"/>
      <c r="AI178" s="16"/>
    </row>
    <row r="179" spans="1:35" x14ac:dyDescent="0.25">
      <c r="A179" s="140">
        <v>179</v>
      </c>
      <c r="B179" s="140">
        <v>3</v>
      </c>
      <c r="C179" s="27" t="s">
        <v>1133</v>
      </c>
      <c r="D179" s="13" t="s">
        <v>365</v>
      </c>
      <c r="E179" s="13" t="s">
        <v>14</v>
      </c>
      <c r="F179" s="12" t="s">
        <v>366</v>
      </c>
      <c r="G179" s="14">
        <v>44033</v>
      </c>
      <c r="H179" s="12" t="s">
        <v>10</v>
      </c>
      <c r="I179" s="15"/>
      <c r="J179" s="240">
        <v>30</v>
      </c>
      <c r="K179" s="224">
        <v>0</v>
      </c>
      <c r="L179" s="240">
        <v>30</v>
      </c>
      <c r="M179" s="15"/>
      <c r="N179" s="16">
        <v>1</v>
      </c>
      <c r="O179" s="16">
        <v>1909</v>
      </c>
      <c r="P179" s="16"/>
      <c r="Q179" s="16">
        <v>39</v>
      </c>
      <c r="R179" s="16">
        <v>25</v>
      </c>
      <c r="S179" s="16">
        <v>0</v>
      </c>
      <c r="T179" s="16"/>
      <c r="U179" s="239">
        <v>0</v>
      </c>
      <c r="V179" s="241">
        <v>265.2559215</v>
      </c>
      <c r="W179" s="238">
        <v>265.2559215</v>
      </c>
      <c r="Y179" s="242">
        <v>1910</v>
      </c>
      <c r="AA179" s="238">
        <v>3536.7456200000001</v>
      </c>
      <c r="AB179" s="237">
        <v>884.18640500000004</v>
      </c>
      <c r="AC179" s="244" t="s">
        <v>1182</v>
      </c>
      <c r="AD179" s="238">
        <v>520.10964999999999</v>
      </c>
      <c r="AE179" s="237">
        <v>4056.85527</v>
      </c>
      <c r="AF179" s="228">
        <v>0</v>
      </c>
      <c r="AG179" s="243" t="s">
        <v>1179</v>
      </c>
      <c r="AH179" s="17"/>
      <c r="AI179" s="16"/>
    </row>
    <row r="180" spans="1:35" x14ac:dyDescent="0.25">
      <c r="A180" s="140">
        <v>179</v>
      </c>
      <c r="B180" s="140">
        <v>4</v>
      </c>
      <c r="C180" s="27" t="s">
        <v>1134</v>
      </c>
      <c r="D180" s="13" t="s">
        <v>367</v>
      </c>
      <c r="E180" s="13" t="s">
        <v>14</v>
      </c>
      <c r="F180" s="12" t="s">
        <v>368</v>
      </c>
      <c r="G180" s="14">
        <v>44034</v>
      </c>
      <c r="H180" s="12" t="s">
        <v>10</v>
      </c>
      <c r="I180" s="15"/>
      <c r="J180" s="240">
        <v>30</v>
      </c>
      <c r="K180" s="224">
        <v>0</v>
      </c>
      <c r="L180" s="240">
        <v>30</v>
      </c>
      <c r="M180" s="15"/>
      <c r="N180" s="16">
        <v>1</v>
      </c>
      <c r="O180" s="16">
        <v>1909</v>
      </c>
      <c r="P180" s="16"/>
      <c r="Q180" s="16">
        <v>39</v>
      </c>
      <c r="R180" s="16">
        <v>25</v>
      </c>
      <c r="S180" s="16">
        <v>312.8</v>
      </c>
      <c r="T180" s="16"/>
      <c r="U180" s="239">
        <v>312.8</v>
      </c>
      <c r="V180" s="241">
        <v>125.47255724999998</v>
      </c>
      <c r="W180" s="238">
        <v>125.47255724999998</v>
      </c>
      <c r="Y180" s="242">
        <v>1910</v>
      </c>
      <c r="AA180" s="238">
        <v>724.83142999999995</v>
      </c>
      <c r="AB180" s="237">
        <v>181.20785749999999</v>
      </c>
      <c r="AC180" s="226">
        <v>200</v>
      </c>
      <c r="AD180" s="228"/>
      <c r="AE180" s="237">
        <v>724.83142999999995</v>
      </c>
      <c r="AF180" s="238">
        <v>1185.17</v>
      </c>
      <c r="AG180" s="226">
        <v>400</v>
      </c>
      <c r="AH180" s="17"/>
      <c r="AI180" s="16"/>
    </row>
    <row r="181" spans="1:35" x14ac:dyDescent="0.25">
      <c r="A181" s="140">
        <v>179</v>
      </c>
      <c r="B181" s="140">
        <v>16</v>
      </c>
      <c r="C181" s="27" t="s">
        <v>1135</v>
      </c>
      <c r="D181" s="13" t="s">
        <v>371</v>
      </c>
      <c r="E181" s="13" t="s">
        <v>14</v>
      </c>
      <c r="F181" s="12" t="s">
        <v>372</v>
      </c>
      <c r="G181" s="14">
        <v>44183</v>
      </c>
      <c r="H181" s="12" t="s">
        <v>10</v>
      </c>
      <c r="I181" s="15"/>
      <c r="J181" s="240">
        <v>30</v>
      </c>
      <c r="K181" s="224">
        <v>0</v>
      </c>
      <c r="L181" s="240">
        <v>30</v>
      </c>
      <c r="M181" s="15"/>
      <c r="N181" s="16">
        <v>0</v>
      </c>
      <c r="O181" s="16">
        <v>1909</v>
      </c>
      <c r="P181" s="16"/>
      <c r="Q181" s="16">
        <v>39</v>
      </c>
      <c r="R181" s="16">
        <v>25</v>
      </c>
      <c r="S181" s="16">
        <v>237.12</v>
      </c>
      <c r="T181" s="16"/>
      <c r="U181" s="239">
        <v>237.12</v>
      </c>
      <c r="V181" s="241">
        <v>224.23519349999998</v>
      </c>
      <c r="W181" s="238">
        <v>224.23519349999998</v>
      </c>
      <c r="Y181" s="242">
        <v>1909</v>
      </c>
      <c r="AA181" s="238">
        <v>2989.80258</v>
      </c>
      <c r="AB181" s="237">
        <v>747.45064500000001</v>
      </c>
      <c r="AC181" s="226"/>
      <c r="AD181" s="238">
        <v>439.67685</v>
      </c>
      <c r="AE181" s="237">
        <v>3429.4794299999999</v>
      </c>
      <c r="AF181" s="228">
        <v>0</v>
      </c>
      <c r="AG181" s="226"/>
      <c r="AH181" s="17"/>
      <c r="AI181" s="16"/>
    </row>
    <row r="182" spans="1:35" x14ac:dyDescent="0.25">
      <c r="A182" s="140">
        <v>179</v>
      </c>
      <c r="B182" s="140">
        <v>12</v>
      </c>
      <c r="C182" s="27" t="s">
        <v>1136</v>
      </c>
      <c r="D182" s="13" t="s">
        <v>369</v>
      </c>
      <c r="E182" s="13" t="s">
        <v>21</v>
      </c>
      <c r="F182" s="12" t="s">
        <v>370</v>
      </c>
      <c r="G182" s="14">
        <v>44121</v>
      </c>
      <c r="H182" s="12" t="s">
        <v>10</v>
      </c>
      <c r="I182" s="15"/>
      <c r="J182" s="240">
        <v>30</v>
      </c>
      <c r="K182" s="224">
        <v>0</v>
      </c>
      <c r="L182" s="240">
        <v>30</v>
      </c>
      <c r="M182" s="15"/>
      <c r="N182" s="16">
        <v>1591</v>
      </c>
      <c r="O182" s="16">
        <v>0</v>
      </c>
      <c r="P182" s="16">
        <v>87</v>
      </c>
      <c r="Q182" s="16">
        <v>39</v>
      </c>
      <c r="R182" s="16">
        <v>25</v>
      </c>
      <c r="S182" s="16">
        <v>347.3</v>
      </c>
      <c r="T182" s="16"/>
      <c r="U182" s="239">
        <v>347.3</v>
      </c>
      <c r="V182" s="241">
        <v>95.46</v>
      </c>
      <c r="W182" s="238">
        <v>95.46</v>
      </c>
      <c r="Y182" s="242">
        <v>1591</v>
      </c>
      <c r="AA182" s="228"/>
      <c r="AB182" s="230"/>
      <c r="AC182" s="226"/>
      <c r="AD182" s="228"/>
      <c r="AE182" s="230">
        <v>0</v>
      </c>
      <c r="AF182" s="238">
        <v>1591</v>
      </c>
      <c r="AG182" s="226"/>
      <c r="AH182" s="17"/>
      <c r="AI182" s="16"/>
    </row>
    <row r="183" spans="1:35" x14ac:dyDescent="0.25">
      <c r="A183" s="140">
        <v>179</v>
      </c>
      <c r="B183" s="140">
        <v>18</v>
      </c>
      <c r="C183" s="27" t="s">
        <v>1137</v>
      </c>
      <c r="D183" s="13" t="s">
        <v>373</v>
      </c>
      <c r="E183" s="13" t="s">
        <v>14</v>
      </c>
      <c r="F183" s="12" t="s">
        <v>374</v>
      </c>
      <c r="G183" s="14">
        <v>44342</v>
      </c>
      <c r="H183" s="12" t="s">
        <v>10</v>
      </c>
      <c r="I183" s="15"/>
      <c r="J183" s="240">
        <v>30</v>
      </c>
      <c r="K183" s="224">
        <v>0</v>
      </c>
      <c r="L183" s="240">
        <v>30</v>
      </c>
      <c r="M183" s="15"/>
      <c r="N183" s="16">
        <v>0</v>
      </c>
      <c r="O183" s="16">
        <v>1909</v>
      </c>
      <c r="P183" s="16"/>
      <c r="Q183" s="16">
        <v>39</v>
      </c>
      <c r="R183" s="16">
        <v>25</v>
      </c>
      <c r="S183" s="16">
        <v>639.6</v>
      </c>
      <c r="T183" s="16"/>
      <c r="U183" s="239">
        <v>639.6</v>
      </c>
      <c r="V183" s="241">
        <v>207.11401424999997</v>
      </c>
      <c r="W183" s="238">
        <v>207.11401424999997</v>
      </c>
      <c r="Y183" s="242">
        <v>1909</v>
      </c>
      <c r="AA183" s="238">
        <v>2761.5201899999997</v>
      </c>
      <c r="AB183" s="237">
        <v>690.38004749999993</v>
      </c>
      <c r="AC183" s="226"/>
      <c r="AD183" s="238">
        <v>418.41215</v>
      </c>
      <c r="AE183" s="237">
        <v>3179.9323399999998</v>
      </c>
      <c r="AF183" s="228">
        <v>0</v>
      </c>
      <c r="AG183" s="226"/>
      <c r="AH183" s="17"/>
      <c r="AI183" s="16"/>
    </row>
    <row r="184" spans="1:35" x14ac:dyDescent="0.25">
      <c r="A184" s="140">
        <v>181</v>
      </c>
      <c r="B184" s="140">
        <v>2</v>
      </c>
      <c r="C184" s="27" t="s">
        <v>1138</v>
      </c>
      <c r="D184" s="13" t="s">
        <v>377</v>
      </c>
      <c r="E184" s="13" t="s">
        <v>14</v>
      </c>
      <c r="F184" s="12" t="s">
        <v>378</v>
      </c>
      <c r="G184" s="14">
        <v>44078</v>
      </c>
      <c r="H184" s="12" t="s">
        <v>10</v>
      </c>
      <c r="I184" s="15"/>
      <c r="J184" s="240">
        <v>30</v>
      </c>
      <c r="K184" s="224">
        <v>0</v>
      </c>
      <c r="L184" s="240">
        <v>30</v>
      </c>
      <c r="M184" s="15"/>
      <c r="N184" s="16">
        <v>0</v>
      </c>
      <c r="O184" s="16">
        <v>1103.92</v>
      </c>
      <c r="P184" s="16"/>
      <c r="Q184" s="16"/>
      <c r="R184" s="16"/>
      <c r="S184" s="16"/>
      <c r="T184" s="16">
        <v>247.2</v>
      </c>
      <c r="U184" s="239">
        <v>247.2</v>
      </c>
      <c r="V184" s="241">
        <v>273.57075899999995</v>
      </c>
      <c r="W184" s="238">
        <v>247.2</v>
      </c>
      <c r="Y184" s="242">
        <v>1103.92</v>
      </c>
      <c r="AA184" s="238">
        <v>3647.6101199999998</v>
      </c>
      <c r="AB184" s="237">
        <v>911.90252999999996</v>
      </c>
      <c r="AC184" s="226"/>
      <c r="AD184" s="238">
        <v>651.35894999999994</v>
      </c>
      <c r="AE184" s="237">
        <v>4298.9690700000001</v>
      </c>
      <c r="AF184" s="228">
        <v>0</v>
      </c>
      <c r="AG184" s="226">
        <v>400</v>
      </c>
      <c r="AH184" s="17"/>
      <c r="AI184" s="16"/>
    </row>
    <row r="185" spans="1:35" x14ac:dyDescent="0.25">
      <c r="A185" s="140">
        <v>181</v>
      </c>
      <c r="B185" s="140">
        <v>33</v>
      </c>
      <c r="C185" s="27" t="s">
        <v>1139</v>
      </c>
      <c r="D185" s="13" t="s">
        <v>393</v>
      </c>
      <c r="E185" s="13" t="s">
        <v>14</v>
      </c>
      <c r="F185" s="12" t="s">
        <v>394</v>
      </c>
      <c r="G185" s="14">
        <v>44348</v>
      </c>
      <c r="H185" s="12" t="s">
        <v>10</v>
      </c>
      <c r="I185" s="15"/>
      <c r="J185" s="240">
        <v>30</v>
      </c>
      <c r="K185" s="224">
        <v>0</v>
      </c>
      <c r="L185" s="240">
        <v>30</v>
      </c>
      <c r="M185" s="15"/>
      <c r="N185" s="16">
        <v>0</v>
      </c>
      <c r="O185" s="16">
        <v>1103.92</v>
      </c>
      <c r="P185" s="16"/>
      <c r="Q185" s="16"/>
      <c r="R185" s="16">
        <v>160.5</v>
      </c>
      <c r="S185" s="16"/>
      <c r="T185" s="16">
        <v>149.80000000000001</v>
      </c>
      <c r="U185" s="239">
        <v>149.80000000000001</v>
      </c>
      <c r="V185" s="241">
        <v>165.94267200000002</v>
      </c>
      <c r="W185" s="238">
        <v>149.80000000000001</v>
      </c>
      <c r="Y185" s="242">
        <v>1103.92</v>
      </c>
      <c r="AA185" s="238">
        <v>2212.5689600000001</v>
      </c>
      <c r="AB185" s="237">
        <v>553.14224000000002</v>
      </c>
      <c r="AC185" s="226"/>
      <c r="AD185" s="228"/>
      <c r="AE185" s="237">
        <v>2212.5689600000001</v>
      </c>
      <c r="AF185" s="228">
        <v>0</v>
      </c>
      <c r="AG185" s="226"/>
      <c r="AH185" s="17"/>
      <c r="AI185" s="16"/>
    </row>
    <row r="186" spans="1:35" x14ac:dyDescent="0.25">
      <c r="A186" s="140">
        <v>181</v>
      </c>
      <c r="B186" s="140">
        <v>31</v>
      </c>
      <c r="C186" s="27" t="s">
        <v>1140</v>
      </c>
      <c r="D186" s="13" t="s">
        <v>389</v>
      </c>
      <c r="E186" s="13" t="s">
        <v>21</v>
      </c>
      <c r="F186" s="12" t="s">
        <v>390</v>
      </c>
      <c r="G186" s="14">
        <v>44153</v>
      </c>
      <c r="H186" s="12" t="s">
        <v>10</v>
      </c>
      <c r="I186" s="15"/>
      <c r="J186" s="240">
        <v>30</v>
      </c>
      <c r="K186" s="224">
        <v>0</v>
      </c>
      <c r="L186" s="240">
        <v>30</v>
      </c>
      <c r="M186" s="15"/>
      <c r="N186" s="16">
        <v>1120</v>
      </c>
      <c r="O186" s="16">
        <v>0</v>
      </c>
      <c r="P186" s="16">
        <v>89.33</v>
      </c>
      <c r="Q186" s="16"/>
      <c r="R186" s="16"/>
      <c r="S186" s="16"/>
      <c r="T186" s="16">
        <v>216</v>
      </c>
      <c r="U186" s="239">
        <v>216</v>
      </c>
      <c r="V186" s="241">
        <v>67.2</v>
      </c>
      <c r="W186" s="238">
        <v>67.2</v>
      </c>
      <c r="Y186" s="242">
        <v>1120</v>
      </c>
      <c r="AA186" s="228"/>
      <c r="AB186" s="230"/>
      <c r="AC186" s="226"/>
      <c r="AD186" s="228"/>
      <c r="AE186" s="230">
        <v>0</v>
      </c>
      <c r="AF186" s="238">
        <v>1120</v>
      </c>
      <c r="AG186" s="226"/>
      <c r="AH186" s="17"/>
      <c r="AI186" s="16"/>
    </row>
    <row r="187" spans="1:35" x14ac:dyDescent="0.25">
      <c r="A187" s="140">
        <v>181</v>
      </c>
      <c r="B187" s="140">
        <v>12</v>
      </c>
      <c r="C187" s="27" t="s">
        <v>1141</v>
      </c>
      <c r="D187" s="13" t="s">
        <v>379</v>
      </c>
      <c r="E187" s="13" t="s">
        <v>11</v>
      </c>
      <c r="F187" s="12" t="s">
        <v>380</v>
      </c>
      <c r="G187" s="14">
        <v>41611</v>
      </c>
      <c r="H187" s="12" t="s">
        <v>10</v>
      </c>
      <c r="I187" s="15"/>
      <c r="J187" s="240">
        <v>30</v>
      </c>
      <c r="K187" s="224">
        <v>0</v>
      </c>
      <c r="L187" s="240">
        <v>30</v>
      </c>
      <c r="M187" s="15"/>
      <c r="N187" s="16">
        <v>0</v>
      </c>
      <c r="O187" s="16">
        <v>4500</v>
      </c>
      <c r="P187" s="16"/>
      <c r="Q187" s="16"/>
      <c r="R187" s="16"/>
      <c r="S187" s="16">
        <v>0</v>
      </c>
      <c r="T187" s="16"/>
      <c r="U187" s="239">
        <v>0</v>
      </c>
      <c r="V187" s="241">
        <v>271.656834</v>
      </c>
      <c r="W187" s="238">
        <v>271.656834</v>
      </c>
      <c r="Y187" s="242">
        <v>4500</v>
      </c>
      <c r="AA187" s="238">
        <v>110.47512</v>
      </c>
      <c r="AB187" s="237">
        <v>27.618780000000001</v>
      </c>
      <c r="AC187" s="226"/>
      <c r="AD187" s="228"/>
      <c r="AE187" s="237">
        <v>110.47512</v>
      </c>
      <c r="AF187" s="238">
        <v>4389.5200000000004</v>
      </c>
      <c r="AG187" s="226"/>
      <c r="AH187" s="17"/>
      <c r="AI187" s="16"/>
    </row>
    <row r="188" spans="1:35" x14ac:dyDescent="0.25">
      <c r="A188" s="140">
        <v>181</v>
      </c>
      <c r="B188" s="140">
        <v>16</v>
      </c>
      <c r="C188" s="27" t="s">
        <v>1142</v>
      </c>
      <c r="D188" s="13" t="s">
        <v>383</v>
      </c>
      <c r="E188" s="13" t="s">
        <v>14</v>
      </c>
      <c r="F188" s="12" t="s">
        <v>384</v>
      </c>
      <c r="G188" s="14">
        <v>44127</v>
      </c>
      <c r="H188" s="12" t="s">
        <v>10</v>
      </c>
      <c r="I188" s="15"/>
      <c r="J188" s="240">
        <v>30</v>
      </c>
      <c r="K188" s="224">
        <v>0</v>
      </c>
      <c r="L188" s="240">
        <v>30</v>
      </c>
      <c r="M188" s="15"/>
      <c r="N188" s="16">
        <v>0</v>
      </c>
      <c r="O188" s="16">
        <v>1103.92</v>
      </c>
      <c r="P188" s="16"/>
      <c r="Q188" s="16"/>
      <c r="R188" s="16"/>
      <c r="S188" s="16"/>
      <c r="T188" s="16">
        <v>292.5</v>
      </c>
      <c r="U188" s="239">
        <v>292.5</v>
      </c>
      <c r="V188" s="241">
        <v>271.28459399999997</v>
      </c>
      <c r="W188" s="238">
        <v>271.28459399999997</v>
      </c>
      <c r="Y188" s="242">
        <v>1103.92</v>
      </c>
      <c r="AA188" s="238">
        <v>3617.1279199999999</v>
      </c>
      <c r="AB188" s="237">
        <v>904.28197999999998</v>
      </c>
      <c r="AC188" s="226"/>
      <c r="AD188" s="238">
        <v>645.91570000000002</v>
      </c>
      <c r="AE188" s="237">
        <v>4263.0436200000004</v>
      </c>
      <c r="AF188" s="228">
        <v>0</v>
      </c>
      <c r="AG188" s="226"/>
      <c r="AH188" s="17"/>
      <c r="AI188" s="16"/>
    </row>
    <row r="189" spans="1:35" x14ac:dyDescent="0.25">
      <c r="A189" s="140">
        <v>181</v>
      </c>
      <c r="B189" s="140">
        <v>18</v>
      </c>
      <c r="C189" s="27" t="s">
        <v>1143</v>
      </c>
      <c r="D189" s="13" t="s">
        <v>385</v>
      </c>
      <c r="E189" s="13" t="s">
        <v>14</v>
      </c>
      <c r="F189" s="12" t="s">
        <v>386</v>
      </c>
      <c r="G189" s="14">
        <v>44128</v>
      </c>
      <c r="H189" s="12" t="s">
        <v>10</v>
      </c>
      <c r="I189" s="15"/>
      <c r="J189" s="240">
        <v>30</v>
      </c>
      <c r="K189" s="224">
        <v>0</v>
      </c>
      <c r="L189" s="240">
        <v>30</v>
      </c>
      <c r="M189" s="15"/>
      <c r="N189" s="16">
        <v>0</v>
      </c>
      <c r="O189" s="16">
        <v>1103.92</v>
      </c>
      <c r="P189" s="16"/>
      <c r="Q189" s="16"/>
      <c r="R189" s="16"/>
      <c r="S189" s="16"/>
      <c r="T189" s="16">
        <v>216</v>
      </c>
      <c r="U189" s="239">
        <v>216</v>
      </c>
      <c r="V189" s="241">
        <v>170.14212599999996</v>
      </c>
      <c r="W189" s="238">
        <v>170.14212599999996</v>
      </c>
      <c r="Y189" s="242">
        <v>1103.92</v>
      </c>
      <c r="AA189" s="238">
        <v>2268.5616799999998</v>
      </c>
      <c r="AB189" s="237">
        <v>567.14041999999995</v>
      </c>
      <c r="AC189" s="226"/>
      <c r="AD189" s="228"/>
      <c r="AE189" s="237">
        <v>2268.5616799999998</v>
      </c>
      <c r="AF189" s="228">
        <v>0</v>
      </c>
      <c r="AG189" s="226"/>
      <c r="AH189" s="17"/>
      <c r="AI189" s="16"/>
    </row>
    <row r="190" spans="1:35" x14ac:dyDescent="0.25">
      <c r="A190" s="140">
        <v>181</v>
      </c>
      <c r="B190" s="140">
        <v>32</v>
      </c>
      <c r="C190" s="27" t="s">
        <v>1144</v>
      </c>
      <c r="D190" s="13" t="s">
        <v>391</v>
      </c>
      <c r="E190" s="13" t="s">
        <v>21</v>
      </c>
      <c r="F190" s="12" t="s">
        <v>392</v>
      </c>
      <c r="G190" s="14">
        <v>44320</v>
      </c>
      <c r="H190" s="12" t="s">
        <v>10</v>
      </c>
      <c r="I190" s="15"/>
      <c r="J190" s="240">
        <v>30</v>
      </c>
      <c r="K190" s="224">
        <v>0</v>
      </c>
      <c r="L190" s="240">
        <v>30</v>
      </c>
      <c r="M190" s="15"/>
      <c r="N190" s="16">
        <v>1120</v>
      </c>
      <c r="O190" s="16">
        <v>0</v>
      </c>
      <c r="P190" s="16">
        <v>89.33</v>
      </c>
      <c r="Q190" s="16"/>
      <c r="R190" s="16"/>
      <c r="S190" s="16"/>
      <c r="T190" s="16">
        <v>292.5</v>
      </c>
      <c r="U190" s="239">
        <v>292.5</v>
      </c>
      <c r="V190" s="241">
        <v>67.2</v>
      </c>
      <c r="W190" s="238">
        <v>67.2</v>
      </c>
      <c r="Y190" s="242">
        <v>1120</v>
      </c>
      <c r="AA190" s="228"/>
      <c r="AB190" s="230"/>
      <c r="AC190" s="226"/>
      <c r="AD190" s="228"/>
      <c r="AE190" s="230">
        <v>0</v>
      </c>
      <c r="AF190" s="238">
        <v>1120</v>
      </c>
      <c r="AG190" s="226"/>
      <c r="AH190" s="17"/>
      <c r="AI190" s="16"/>
    </row>
    <row r="191" spans="1:35" x14ac:dyDescent="0.25">
      <c r="A191" s="140">
        <v>181</v>
      </c>
      <c r="B191" s="140">
        <v>1</v>
      </c>
      <c r="C191" s="27" t="s">
        <v>1145</v>
      </c>
      <c r="D191" s="13" t="s">
        <v>375</v>
      </c>
      <c r="E191" s="13" t="s">
        <v>14</v>
      </c>
      <c r="F191" s="12" t="s">
        <v>376</v>
      </c>
      <c r="G191" s="14">
        <v>44078</v>
      </c>
      <c r="H191" s="12" t="s">
        <v>10</v>
      </c>
      <c r="I191" s="15"/>
      <c r="J191" s="240">
        <v>30</v>
      </c>
      <c r="K191" s="224">
        <v>0</v>
      </c>
      <c r="L191" s="240">
        <v>30</v>
      </c>
      <c r="M191" s="15"/>
      <c r="N191" s="16">
        <v>0</v>
      </c>
      <c r="O191" s="16">
        <v>1103.92</v>
      </c>
      <c r="P191" s="16"/>
      <c r="Q191" s="16"/>
      <c r="R191" s="16"/>
      <c r="S191" s="16"/>
      <c r="T191" s="16">
        <v>236.9</v>
      </c>
      <c r="U191" s="239">
        <v>236.9</v>
      </c>
      <c r="V191" s="241">
        <v>302.21242799999993</v>
      </c>
      <c r="W191" s="238">
        <v>236.9</v>
      </c>
      <c r="Y191" s="242">
        <v>1103.92</v>
      </c>
      <c r="AA191" s="238">
        <v>4029.4990399999997</v>
      </c>
      <c r="AB191" s="237">
        <v>1007.3747599999999</v>
      </c>
      <c r="AC191" s="226"/>
      <c r="AD191" s="238">
        <v>719.55340000000001</v>
      </c>
      <c r="AE191" s="237">
        <v>4749.0524399999995</v>
      </c>
      <c r="AF191" s="228">
        <v>0</v>
      </c>
      <c r="AG191" s="226"/>
      <c r="AH191" s="17"/>
      <c r="AI191" s="16"/>
    </row>
    <row r="192" spans="1:35" x14ac:dyDescent="0.25">
      <c r="A192" s="140">
        <v>181</v>
      </c>
      <c r="B192" s="140">
        <v>19</v>
      </c>
      <c r="C192" s="27" t="s">
        <v>1146</v>
      </c>
      <c r="D192" s="13" t="s">
        <v>387</v>
      </c>
      <c r="E192" s="13" t="s">
        <v>14</v>
      </c>
      <c r="F192" s="12" t="s">
        <v>388</v>
      </c>
      <c r="G192" s="14">
        <v>44138</v>
      </c>
      <c r="H192" s="12" t="s">
        <v>10</v>
      </c>
      <c r="I192" s="15"/>
      <c r="J192" s="240">
        <v>30</v>
      </c>
      <c r="K192" s="224">
        <v>0</v>
      </c>
      <c r="L192" s="240">
        <v>30</v>
      </c>
      <c r="M192" s="15"/>
      <c r="N192" s="16">
        <v>0</v>
      </c>
      <c r="O192" s="16">
        <v>1103.92</v>
      </c>
      <c r="P192" s="16"/>
      <c r="Q192" s="16"/>
      <c r="R192" s="16"/>
      <c r="S192" s="16">
        <v>0</v>
      </c>
      <c r="T192" s="16"/>
      <c r="U192" s="239">
        <v>0</v>
      </c>
      <c r="V192" s="241">
        <v>154.63872900000001</v>
      </c>
      <c r="W192" s="238">
        <v>154.63872900000001</v>
      </c>
      <c r="Y192" s="242">
        <v>1103.92</v>
      </c>
      <c r="AA192" s="238">
        <v>2061.8497200000002</v>
      </c>
      <c r="AB192" s="237">
        <v>515.46243000000004</v>
      </c>
      <c r="AC192" s="226"/>
      <c r="AD192" s="228"/>
      <c r="AE192" s="237">
        <v>2061.8497200000002</v>
      </c>
      <c r="AF192" s="228">
        <v>0</v>
      </c>
      <c r="AG192" s="226"/>
      <c r="AH192" s="17"/>
      <c r="AI192" s="16"/>
    </row>
    <row r="193" spans="1:35" x14ac:dyDescent="0.25">
      <c r="A193" s="140">
        <v>181</v>
      </c>
      <c r="B193" s="140">
        <v>13</v>
      </c>
      <c r="C193" s="27" t="s">
        <v>1147</v>
      </c>
      <c r="D193" s="13" t="s">
        <v>381</v>
      </c>
      <c r="E193" s="13" t="s">
        <v>14</v>
      </c>
      <c r="F193" s="12" t="s">
        <v>382</v>
      </c>
      <c r="G193" s="14">
        <v>43476</v>
      </c>
      <c r="H193" s="12" t="s">
        <v>10</v>
      </c>
      <c r="I193" s="15"/>
      <c r="J193" s="240">
        <v>30</v>
      </c>
      <c r="K193" s="224">
        <v>0</v>
      </c>
      <c r="L193" s="240">
        <v>30</v>
      </c>
      <c r="M193" s="15"/>
      <c r="N193" s="16">
        <v>0</v>
      </c>
      <c r="O193" s="16">
        <v>1103.92</v>
      </c>
      <c r="P193" s="16"/>
      <c r="Q193" s="16"/>
      <c r="R193" s="16"/>
      <c r="S193" s="16"/>
      <c r="T193" s="16">
        <v>381.8</v>
      </c>
      <c r="U193" s="239">
        <v>381.8</v>
      </c>
      <c r="V193" s="241">
        <v>259.225617</v>
      </c>
      <c r="W193" s="238">
        <v>259.225617</v>
      </c>
      <c r="Y193" s="242">
        <v>1103.92</v>
      </c>
      <c r="AA193" s="238">
        <v>3456.3415600000003</v>
      </c>
      <c r="AB193" s="237">
        <v>864.08539000000007</v>
      </c>
      <c r="AC193" s="226"/>
      <c r="AD193" s="238">
        <v>617.20384999999999</v>
      </c>
      <c r="AE193" s="237">
        <v>4073.5454100000002</v>
      </c>
      <c r="AF193" s="228">
        <v>0</v>
      </c>
      <c r="AG193" s="226">
        <v>400</v>
      </c>
      <c r="AH193" s="17"/>
      <c r="AI193" s="16"/>
    </row>
    <row r="194" spans="1:35" x14ac:dyDescent="0.25">
      <c r="A194" s="140">
        <v>183</v>
      </c>
      <c r="B194" s="140">
        <v>14</v>
      </c>
      <c r="C194" s="27" t="s">
        <v>1148</v>
      </c>
      <c r="D194" s="13" t="s">
        <v>405</v>
      </c>
      <c r="E194" s="13" t="s">
        <v>14</v>
      </c>
      <c r="F194" s="12" t="s">
        <v>406</v>
      </c>
      <c r="G194" s="14">
        <v>44342</v>
      </c>
      <c r="H194" s="12" t="s">
        <v>10</v>
      </c>
      <c r="I194" s="15"/>
      <c r="J194" s="240">
        <v>30</v>
      </c>
      <c r="K194" s="224">
        <v>0</v>
      </c>
      <c r="L194" s="240">
        <v>30</v>
      </c>
      <c r="M194" s="15"/>
      <c r="N194" s="16">
        <v>0</v>
      </c>
      <c r="O194" s="16">
        <v>1786</v>
      </c>
      <c r="P194" s="16"/>
      <c r="Q194" s="16"/>
      <c r="R194" s="16">
        <v>28</v>
      </c>
      <c r="S194" s="16">
        <v>499.2</v>
      </c>
      <c r="T194" s="16"/>
      <c r="U194" s="239">
        <v>499.2</v>
      </c>
      <c r="V194" s="241">
        <v>129.455073</v>
      </c>
      <c r="W194" s="238">
        <v>129.455073</v>
      </c>
      <c r="Y194" s="242">
        <v>1786</v>
      </c>
      <c r="AA194" s="238">
        <v>1486.35564</v>
      </c>
      <c r="AB194" s="237">
        <v>371.58891</v>
      </c>
      <c r="AC194" s="226"/>
      <c r="AD194" s="228"/>
      <c r="AE194" s="237">
        <v>1486.35564</v>
      </c>
      <c r="AF194" s="238">
        <v>299.64</v>
      </c>
      <c r="AG194" s="226"/>
      <c r="AH194" s="17"/>
      <c r="AI194" s="16"/>
    </row>
    <row r="195" spans="1:35" x14ac:dyDescent="0.25">
      <c r="A195" s="140">
        <v>183</v>
      </c>
      <c r="B195" s="140">
        <v>16</v>
      </c>
      <c r="C195" s="27" t="s">
        <v>1149</v>
      </c>
      <c r="D195" s="13" t="s">
        <v>409</v>
      </c>
      <c r="E195" s="13" t="s">
        <v>14</v>
      </c>
      <c r="F195" s="12" t="s">
        <v>410</v>
      </c>
      <c r="G195" s="14">
        <v>44358</v>
      </c>
      <c r="H195" s="12" t="s">
        <v>10</v>
      </c>
      <c r="I195" s="15"/>
      <c r="J195" s="240">
        <v>30</v>
      </c>
      <c r="K195" s="224">
        <v>0</v>
      </c>
      <c r="L195" s="240">
        <v>30</v>
      </c>
      <c r="M195" s="15"/>
      <c r="N195" s="16">
        <v>0</v>
      </c>
      <c r="O195" s="16">
        <v>1786</v>
      </c>
      <c r="P195" s="16"/>
      <c r="Q195" s="16"/>
      <c r="R195" s="16"/>
      <c r="S195" s="16">
        <v>0</v>
      </c>
      <c r="T195" s="16"/>
      <c r="U195" s="239">
        <v>0</v>
      </c>
      <c r="V195" s="241">
        <v>119.090727</v>
      </c>
      <c r="W195" s="238">
        <v>119.090727</v>
      </c>
      <c r="Y195" s="242">
        <v>1786</v>
      </c>
      <c r="AA195" s="238">
        <v>795.36436000000003</v>
      </c>
      <c r="AB195" s="237">
        <v>198.84109000000001</v>
      </c>
      <c r="AC195" s="226"/>
      <c r="AD195" s="228"/>
      <c r="AE195" s="237">
        <v>795.36436000000003</v>
      </c>
      <c r="AF195" s="238">
        <v>990.64</v>
      </c>
      <c r="AG195" s="226"/>
      <c r="AH195" s="17"/>
      <c r="AI195" s="16"/>
    </row>
    <row r="196" spans="1:35" x14ac:dyDescent="0.25">
      <c r="A196" s="140">
        <v>183</v>
      </c>
      <c r="B196" s="140">
        <v>8</v>
      </c>
      <c r="C196" s="27" t="s">
        <v>1150</v>
      </c>
      <c r="D196" s="13" t="s">
        <v>401</v>
      </c>
      <c r="E196" s="13" t="s">
        <v>14</v>
      </c>
      <c r="F196" s="12" t="s">
        <v>402</v>
      </c>
      <c r="G196" s="14">
        <v>44148</v>
      </c>
      <c r="H196" s="12" t="s">
        <v>10</v>
      </c>
      <c r="I196" s="15"/>
      <c r="J196" s="240">
        <v>30</v>
      </c>
      <c r="K196" s="224">
        <v>0</v>
      </c>
      <c r="L196" s="240">
        <v>30</v>
      </c>
      <c r="M196" s="15"/>
      <c r="N196" s="16">
        <v>0</v>
      </c>
      <c r="O196" s="16">
        <v>1786</v>
      </c>
      <c r="P196" s="16"/>
      <c r="Q196" s="16"/>
      <c r="R196" s="16">
        <v>28</v>
      </c>
      <c r="S196" s="16" t="s">
        <v>1177</v>
      </c>
      <c r="T196" s="16"/>
      <c r="U196" s="242">
        <v>0</v>
      </c>
      <c r="V196" s="241">
        <v>124.25891999999999</v>
      </c>
      <c r="W196" s="238">
        <v>124.25891999999999</v>
      </c>
      <c r="Y196" s="242">
        <v>1786</v>
      </c>
      <c r="AA196" s="238">
        <v>1139.9135999999999</v>
      </c>
      <c r="AB196" s="237">
        <v>284.97839999999997</v>
      </c>
      <c r="AC196" s="226"/>
      <c r="AD196" s="228"/>
      <c r="AE196" s="237">
        <v>1139.9135999999999</v>
      </c>
      <c r="AF196" s="238">
        <v>646.09</v>
      </c>
      <c r="AG196" s="226"/>
      <c r="AH196" s="17"/>
      <c r="AI196" s="16"/>
    </row>
    <row r="197" spans="1:35" x14ac:dyDescent="0.25">
      <c r="A197" s="140">
        <v>179</v>
      </c>
      <c r="B197" s="140">
        <v>19</v>
      </c>
      <c r="C197" s="27" t="s">
        <v>1151</v>
      </c>
      <c r="D197" s="13" t="s">
        <v>403</v>
      </c>
      <c r="E197" s="13" t="s">
        <v>11</v>
      </c>
      <c r="F197" s="12" t="s">
        <v>404</v>
      </c>
      <c r="G197" s="14">
        <v>43364</v>
      </c>
      <c r="H197" s="12" t="s">
        <v>10</v>
      </c>
      <c r="I197" s="15"/>
      <c r="J197" s="240">
        <v>30</v>
      </c>
      <c r="K197" s="224">
        <v>0</v>
      </c>
      <c r="L197" s="240">
        <v>30</v>
      </c>
      <c r="M197" s="15"/>
      <c r="N197" s="16">
        <v>0</v>
      </c>
      <c r="O197" s="16">
        <v>4180</v>
      </c>
      <c r="P197" s="16"/>
      <c r="Q197" s="16"/>
      <c r="R197" s="16">
        <v>28</v>
      </c>
      <c r="S197" s="16">
        <v>0</v>
      </c>
      <c r="T197" s="16"/>
      <c r="U197" s="239">
        <v>0</v>
      </c>
      <c r="V197" s="241">
        <v>250.79999999999998</v>
      </c>
      <c r="W197" s="238">
        <v>250.79999999999998</v>
      </c>
      <c r="Y197" s="242">
        <v>4180</v>
      </c>
      <c r="AA197" s="228"/>
      <c r="AB197" s="230"/>
      <c r="AC197" s="226"/>
      <c r="AD197" s="228"/>
      <c r="AE197" s="230">
        <v>0</v>
      </c>
      <c r="AF197" s="238">
        <v>4180</v>
      </c>
      <c r="AG197" s="226"/>
      <c r="AH197" s="17"/>
      <c r="AI197" s="16"/>
    </row>
    <row r="198" spans="1:35" x14ac:dyDescent="0.25">
      <c r="A198" s="140">
        <v>183</v>
      </c>
      <c r="B198" s="140">
        <v>1</v>
      </c>
      <c r="C198" s="27" t="s">
        <v>1152</v>
      </c>
      <c r="D198" s="13" t="s">
        <v>395</v>
      </c>
      <c r="E198" s="13" t="s">
        <v>14</v>
      </c>
      <c r="F198" s="12" t="s">
        <v>396</v>
      </c>
      <c r="G198" s="14">
        <v>44146</v>
      </c>
      <c r="H198" s="12" t="s">
        <v>10</v>
      </c>
      <c r="I198" s="15"/>
      <c r="J198" s="240">
        <v>30</v>
      </c>
      <c r="K198" s="224">
        <v>0</v>
      </c>
      <c r="L198" s="240">
        <v>30</v>
      </c>
      <c r="M198" s="15"/>
      <c r="N198" s="16">
        <v>0</v>
      </c>
      <c r="O198" s="16">
        <v>1786</v>
      </c>
      <c r="P198" s="16"/>
      <c r="Q198" s="16"/>
      <c r="R198" s="16">
        <v>28</v>
      </c>
      <c r="S198" s="16">
        <v>216</v>
      </c>
      <c r="T198" s="16"/>
      <c r="U198" s="239">
        <v>216</v>
      </c>
      <c r="V198" s="241">
        <v>124.06048799999998</v>
      </c>
      <c r="W198" s="238">
        <v>124.06048799999998</v>
      </c>
      <c r="Y198" s="242">
        <v>1786</v>
      </c>
      <c r="AA198" s="238">
        <v>1126.69984</v>
      </c>
      <c r="AB198" s="237">
        <v>281.67496</v>
      </c>
      <c r="AC198" s="226"/>
      <c r="AD198" s="228"/>
      <c r="AE198" s="237">
        <v>1126.69984</v>
      </c>
      <c r="AF198" s="238">
        <v>659.3</v>
      </c>
      <c r="AG198" s="226">
        <v>400</v>
      </c>
      <c r="AH198" s="17"/>
      <c r="AI198" s="16"/>
    </row>
    <row r="199" spans="1:35" x14ac:dyDescent="0.25">
      <c r="A199" s="140">
        <v>183</v>
      </c>
      <c r="B199" s="140">
        <v>5</v>
      </c>
      <c r="C199" s="27" t="s">
        <v>1153</v>
      </c>
      <c r="D199" s="13" t="s">
        <v>399</v>
      </c>
      <c r="E199" s="13" t="s">
        <v>14</v>
      </c>
      <c r="F199" s="12" t="s">
        <v>400</v>
      </c>
      <c r="G199" s="14">
        <v>44147</v>
      </c>
      <c r="H199" s="12" t="s">
        <v>10</v>
      </c>
      <c r="I199" s="15"/>
      <c r="J199" s="240">
        <v>30</v>
      </c>
      <c r="K199" s="224">
        <v>0</v>
      </c>
      <c r="L199" s="240">
        <v>30</v>
      </c>
      <c r="M199" s="15"/>
      <c r="N199" s="16">
        <v>0</v>
      </c>
      <c r="O199" s="16">
        <v>1786</v>
      </c>
      <c r="P199" s="16"/>
      <c r="Q199" s="16"/>
      <c r="R199" s="16"/>
      <c r="S199" s="16">
        <v>216</v>
      </c>
      <c r="T199" s="16"/>
      <c r="U199" s="239">
        <v>216</v>
      </c>
      <c r="V199" s="241">
        <v>129.697935</v>
      </c>
      <c r="W199" s="238">
        <v>129.697935</v>
      </c>
      <c r="Y199" s="242">
        <v>1786</v>
      </c>
      <c r="AA199" s="238">
        <v>1502.5458000000001</v>
      </c>
      <c r="AB199" s="237">
        <v>375.63645000000002</v>
      </c>
      <c r="AC199" s="226"/>
      <c r="AD199" s="228"/>
      <c r="AE199" s="237">
        <v>1502.5458000000001</v>
      </c>
      <c r="AF199" s="238">
        <v>283.45</v>
      </c>
      <c r="AG199" s="226">
        <v>400</v>
      </c>
      <c r="AH199" s="17"/>
      <c r="AI199" s="16"/>
    </row>
    <row r="200" spans="1:35" x14ac:dyDescent="0.25">
      <c r="A200" s="140">
        <v>183</v>
      </c>
      <c r="B200" s="140">
        <v>15</v>
      </c>
      <c r="C200" s="27" t="s">
        <v>1154</v>
      </c>
      <c r="D200" s="13" t="s">
        <v>407</v>
      </c>
      <c r="E200" s="13" t="s">
        <v>14</v>
      </c>
      <c r="F200" s="12" t="s">
        <v>408</v>
      </c>
      <c r="G200" s="14">
        <v>44342</v>
      </c>
      <c r="H200" s="12" t="s">
        <v>10</v>
      </c>
      <c r="I200" s="15"/>
      <c r="J200" s="240">
        <v>30</v>
      </c>
      <c r="K200" s="224">
        <v>0</v>
      </c>
      <c r="L200" s="240">
        <v>30</v>
      </c>
      <c r="M200" s="15"/>
      <c r="N200" s="16">
        <v>0</v>
      </c>
      <c r="O200" s="16">
        <v>1786</v>
      </c>
      <c r="P200" s="16"/>
      <c r="Q200" s="16"/>
      <c r="R200" s="16">
        <v>28</v>
      </c>
      <c r="S200" s="16">
        <v>0</v>
      </c>
      <c r="T200" s="16"/>
      <c r="U200" s="239">
        <v>0</v>
      </c>
      <c r="V200" s="241">
        <v>173.05337699999995</v>
      </c>
      <c r="W200" s="238">
        <v>173.05337699999995</v>
      </c>
      <c r="Y200" s="242">
        <v>1786</v>
      </c>
      <c r="AA200" s="238">
        <v>2307.3783599999997</v>
      </c>
      <c r="AB200" s="237">
        <v>576.84458999999993</v>
      </c>
      <c r="AC200" s="226"/>
      <c r="AD200" s="238">
        <v>412.03184999999996</v>
      </c>
      <c r="AE200" s="237">
        <v>2719.4102099999996</v>
      </c>
      <c r="AF200" s="228">
        <v>0</v>
      </c>
      <c r="AG200" s="226"/>
      <c r="AH200" s="17"/>
      <c r="AI200" s="16"/>
    </row>
    <row r="201" spans="1:35" x14ac:dyDescent="0.25">
      <c r="A201" s="140">
        <v>183</v>
      </c>
      <c r="B201" s="140">
        <v>2</v>
      </c>
      <c r="C201" s="27" t="s">
        <v>1155</v>
      </c>
      <c r="D201" s="13" t="s">
        <v>397</v>
      </c>
      <c r="E201" s="13" t="s">
        <v>21</v>
      </c>
      <c r="F201" s="12" t="s">
        <v>398</v>
      </c>
      <c r="G201" s="14">
        <v>44146</v>
      </c>
      <c r="H201" s="12" t="s">
        <v>6</v>
      </c>
      <c r="I201" s="15"/>
      <c r="J201" s="240">
        <v>30</v>
      </c>
      <c r="K201" s="224">
        <v>0</v>
      </c>
      <c r="L201" s="240">
        <v>30</v>
      </c>
      <c r="M201" s="15"/>
      <c r="N201" s="16">
        <v>1519.44</v>
      </c>
      <c r="O201" s="16">
        <v>0</v>
      </c>
      <c r="P201" s="16">
        <v>82</v>
      </c>
      <c r="Q201" s="16"/>
      <c r="R201" s="16"/>
      <c r="S201" s="16">
        <v>216</v>
      </c>
      <c r="T201" s="16"/>
      <c r="U201" s="239">
        <v>216</v>
      </c>
      <c r="V201" s="241">
        <v>91.166399999999996</v>
      </c>
      <c r="W201" s="238">
        <v>91.166399999999996</v>
      </c>
      <c r="Y201" s="242">
        <v>1519.44</v>
      </c>
      <c r="AA201" s="228"/>
      <c r="AB201" s="230"/>
      <c r="AC201" s="226"/>
      <c r="AD201" s="228"/>
      <c r="AE201" s="230">
        <v>0</v>
      </c>
      <c r="AF201" s="238">
        <v>1519.44</v>
      </c>
      <c r="AG201" s="226"/>
      <c r="AH201" s="17"/>
      <c r="AI201" s="16"/>
    </row>
    <row r="202" spans="1:35" x14ac:dyDescent="0.25">
      <c r="A202" s="140">
        <v>185</v>
      </c>
      <c r="B202" s="140">
        <v>6</v>
      </c>
      <c r="C202" s="27" t="s">
        <v>1156</v>
      </c>
      <c r="D202" s="13" t="s">
        <v>422</v>
      </c>
      <c r="E202" s="13" t="s">
        <v>14</v>
      </c>
      <c r="F202" s="12" t="s">
        <v>423</v>
      </c>
      <c r="G202" s="14">
        <v>44293</v>
      </c>
      <c r="H202" s="12" t="s">
        <v>10</v>
      </c>
      <c r="I202" s="15"/>
      <c r="J202" s="240">
        <v>30</v>
      </c>
      <c r="K202" s="224">
        <v>0</v>
      </c>
      <c r="L202" s="240">
        <v>30</v>
      </c>
      <c r="M202" s="15"/>
      <c r="N202" s="16">
        <v>0</v>
      </c>
      <c r="O202" s="16">
        <v>1055</v>
      </c>
      <c r="P202" s="16"/>
      <c r="Q202" s="16"/>
      <c r="R202" s="16"/>
      <c r="S202" s="16">
        <v>180</v>
      </c>
      <c r="T202" s="16"/>
      <c r="U202" s="239">
        <v>180</v>
      </c>
      <c r="V202" s="241">
        <v>63.3</v>
      </c>
      <c r="W202" s="238">
        <v>63.3</v>
      </c>
      <c r="Y202" s="242">
        <v>1055</v>
      </c>
      <c r="AA202" s="228"/>
      <c r="AB202" s="230"/>
      <c r="AC202" s="226"/>
      <c r="AD202" s="228"/>
      <c r="AE202" s="230">
        <v>0</v>
      </c>
      <c r="AF202" s="238">
        <v>1055</v>
      </c>
      <c r="AG202" s="226"/>
      <c r="AH202" s="17"/>
      <c r="AI202" s="16"/>
    </row>
    <row r="203" spans="1:35" x14ac:dyDescent="0.25">
      <c r="A203" s="140">
        <v>185</v>
      </c>
      <c r="B203" s="140">
        <v>1</v>
      </c>
      <c r="C203" s="27" t="s">
        <v>1157</v>
      </c>
      <c r="D203" s="13" t="s">
        <v>411</v>
      </c>
      <c r="E203" s="13" t="s">
        <v>11</v>
      </c>
      <c r="F203" s="12" t="s">
        <v>412</v>
      </c>
      <c r="G203" s="14">
        <v>44273</v>
      </c>
      <c r="H203" s="12" t="s">
        <v>10</v>
      </c>
      <c r="I203" s="15"/>
      <c r="J203" s="240">
        <v>30</v>
      </c>
      <c r="K203" s="224">
        <v>0</v>
      </c>
      <c r="L203" s="240">
        <v>30</v>
      </c>
      <c r="M203" s="15"/>
      <c r="N203" s="16">
        <v>0</v>
      </c>
      <c r="O203" s="16">
        <v>4000</v>
      </c>
      <c r="P203" s="16"/>
      <c r="Q203" s="16"/>
      <c r="R203" s="16"/>
      <c r="S203" s="16">
        <v>0</v>
      </c>
      <c r="T203" s="16"/>
      <c r="U203" s="239">
        <v>0</v>
      </c>
      <c r="V203" s="241">
        <v>240</v>
      </c>
      <c r="W203" s="238">
        <v>240</v>
      </c>
      <c r="Y203" s="242">
        <v>4000.0000000000005</v>
      </c>
      <c r="AA203" s="228"/>
      <c r="AB203" s="230"/>
      <c r="AC203" s="226"/>
      <c r="AD203" s="228"/>
      <c r="AE203" s="230">
        <v>0</v>
      </c>
      <c r="AF203" s="238">
        <v>4000</v>
      </c>
      <c r="AG203" s="226"/>
      <c r="AH203" s="17"/>
      <c r="AI203" s="16"/>
    </row>
    <row r="204" spans="1:35" x14ac:dyDescent="0.25">
      <c r="A204" s="140">
        <v>185</v>
      </c>
      <c r="B204" s="140">
        <v>3</v>
      </c>
      <c r="C204" s="27" t="s">
        <v>1158</v>
      </c>
      <c r="D204" s="13" t="s">
        <v>415</v>
      </c>
      <c r="E204" s="13" t="s">
        <v>417</v>
      </c>
      <c r="F204" s="12" t="s">
        <v>416</v>
      </c>
      <c r="G204" s="14">
        <v>44287</v>
      </c>
      <c r="H204" s="12" t="s">
        <v>10</v>
      </c>
      <c r="I204" s="15"/>
      <c r="J204" s="240">
        <v>30</v>
      </c>
      <c r="K204" s="224">
        <v>0</v>
      </c>
      <c r="L204" s="240">
        <v>30</v>
      </c>
      <c r="M204" s="15"/>
      <c r="N204" s="16">
        <v>1055</v>
      </c>
      <c r="O204" s="16">
        <v>0</v>
      </c>
      <c r="P204" s="16"/>
      <c r="Q204" s="16"/>
      <c r="R204" s="16"/>
      <c r="S204" s="16">
        <v>235</v>
      </c>
      <c r="T204" s="16"/>
      <c r="U204" s="239">
        <v>235</v>
      </c>
      <c r="V204" s="241">
        <v>63.3</v>
      </c>
      <c r="W204" s="238">
        <v>63.3</v>
      </c>
      <c r="Y204" s="242">
        <v>1055</v>
      </c>
      <c r="AA204" s="228"/>
      <c r="AB204" s="230"/>
      <c r="AC204" s="226"/>
      <c r="AD204" s="228"/>
      <c r="AE204" s="230">
        <v>0</v>
      </c>
      <c r="AF204" s="238">
        <v>1055</v>
      </c>
      <c r="AG204" s="226"/>
      <c r="AH204" s="17"/>
      <c r="AI204" s="16"/>
    </row>
    <row r="205" spans="1:35" x14ac:dyDescent="0.25">
      <c r="A205" s="140">
        <v>185</v>
      </c>
      <c r="B205" s="140">
        <v>7</v>
      </c>
      <c r="C205" s="27" t="s">
        <v>1159</v>
      </c>
      <c r="D205" s="13" t="s">
        <v>424</v>
      </c>
      <c r="E205" s="13" t="s">
        <v>14</v>
      </c>
      <c r="F205" s="12" t="s">
        <v>425</v>
      </c>
      <c r="G205" s="14">
        <v>44293</v>
      </c>
      <c r="H205" s="12" t="s">
        <v>10</v>
      </c>
      <c r="I205" s="15"/>
      <c r="J205" s="240">
        <v>30</v>
      </c>
      <c r="K205" s="224">
        <v>0</v>
      </c>
      <c r="L205" s="240">
        <v>30</v>
      </c>
      <c r="M205" s="15"/>
      <c r="N205" s="16">
        <v>0</v>
      </c>
      <c r="O205" s="16">
        <v>1055</v>
      </c>
      <c r="P205" s="16"/>
      <c r="Q205" s="16"/>
      <c r="R205" s="16"/>
      <c r="S205" s="16">
        <v>0</v>
      </c>
      <c r="T205" s="16"/>
      <c r="U205" s="239">
        <v>0</v>
      </c>
      <c r="V205" s="241">
        <v>63.3</v>
      </c>
      <c r="W205" s="238">
        <v>63.3</v>
      </c>
      <c r="Y205" s="242">
        <v>1055</v>
      </c>
      <c r="AA205" s="228"/>
      <c r="AB205" s="230"/>
      <c r="AC205" s="226"/>
      <c r="AD205" s="228"/>
      <c r="AE205" s="230">
        <v>0</v>
      </c>
      <c r="AF205" s="238">
        <v>1055</v>
      </c>
      <c r="AG205" s="226"/>
      <c r="AH205" s="17"/>
      <c r="AI205" s="16"/>
    </row>
    <row r="206" spans="1:35" x14ac:dyDescent="0.25">
      <c r="A206" s="140">
        <v>185</v>
      </c>
      <c r="B206" s="140">
        <v>2</v>
      </c>
      <c r="C206" s="27" t="s">
        <v>1160</v>
      </c>
      <c r="D206" s="13" t="s">
        <v>413</v>
      </c>
      <c r="E206" s="13" t="s">
        <v>14</v>
      </c>
      <c r="F206" s="12" t="s">
        <v>414</v>
      </c>
      <c r="G206" s="14">
        <v>44287</v>
      </c>
      <c r="H206" s="12" t="s">
        <v>10</v>
      </c>
      <c r="I206" s="15"/>
      <c r="J206" s="240">
        <v>30</v>
      </c>
      <c r="K206" s="224">
        <v>0</v>
      </c>
      <c r="L206" s="240">
        <v>30</v>
      </c>
      <c r="M206" s="15"/>
      <c r="N206" s="16">
        <v>0</v>
      </c>
      <c r="O206" s="16">
        <v>1055</v>
      </c>
      <c r="P206" s="16"/>
      <c r="Q206" s="16"/>
      <c r="R206" s="16"/>
      <c r="S206" s="16">
        <v>187.5</v>
      </c>
      <c r="T206" s="16"/>
      <c r="U206" s="239">
        <v>187.5</v>
      </c>
      <c r="V206" s="241">
        <v>63.3</v>
      </c>
      <c r="W206" s="238">
        <v>63.3</v>
      </c>
      <c r="Y206" s="242">
        <v>1055</v>
      </c>
      <c r="AA206" s="228"/>
      <c r="AB206" s="230"/>
      <c r="AC206" s="226"/>
      <c r="AD206" s="228"/>
      <c r="AE206" s="230">
        <v>0</v>
      </c>
      <c r="AF206" s="238">
        <v>1055</v>
      </c>
      <c r="AG206" s="226"/>
      <c r="AH206" s="17"/>
      <c r="AI206" s="16"/>
    </row>
    <row r="207" spans="1:35" x14ac:dyDescent="0.25">
      <c r="A207" s="140">
        <v>185</v>
      </c>
      <c r="B207" s="140">
        <v>9</v>
      </c>
      <c r="C207" s="27" t="s">
        <v>1161</v>
      </c>
      <c r="D207" s="13" t="s">
        <v>428</v>
      </c>
      <c r="E207" s="13" t="s">
        <v>417</v>
      </c>
      <c r="F207" s="12" t="s">
        <v>429</v>
      </c>
      <c r="G207" s="14">
        <v>44303</v>
      </c>
      <c r="H207" s="12" t="s">
        <v>10</v>
      </c>
      <c r="I207" s="15"/>
      <c r="J207" s="240">
        <v>30</v>
      </c>
      <c r="K207" s="224">
        <v>0</v>
      </c>
      <c r="L207" s="240">
        <v>30</v>
      </c>
      <c r="M207" s="15"/>
      <c r="N207" s="16">
        <v>1055</v>
      </c>
      <c r="O207" s="16">
        <v>0</v>
      </c>
      <c r="P207" s="16"/>
      <c r="Q207" s="16"/>
      <c r="R207" s="16"/>
      <c r="S207" s="16">
        <v>360</v>
      </c>
      <c r="T207" s="16"/>
      <c r="U207" s="239">
        <v>360</v>
      </c>
      <c r="V207" s="241">
        <v>63.3</v>
      </c>
      <c r="W207" s="238">
        <v>63.3</v>
      </c>
      <c r="Y207" s="242">
        <v>1055</v>
      </c>
      <c r="AA207" s="228"/>
      <c r="AB207" s="230"/>
      <c r="AC207" s="226"/>
      <c r="AD207" s="228"/>
      <c r="AE207" s="230">
        <v>0</v>
      </c>
      <c r="AF207" s="238">
        <v>1055</v>
      </c>
      <c r="AG207" s="226"/>
      <c r="AH207" s="17"/>
      <c r="AI207" s="16"/>
    </row>
    <row r="208" spans="1:35" x14ac:dyDescent="0.25">
      <c r="A208" s="140">
        <v>185</v>
      </c>
      <c r="B208" s="140">
        <v>10</v>
      </c>
      <c r="C208" s="27" t="s">
        <v>1162</v>
      </c>
      <c r="D208" s="13" t="s">
        <v>430</v>
      </c>
      <c r="E208" s="13" t="s">
        <v>14</v>
      </c>
      <c r="F208" s="12" t="s">
        <v>431</v>
      </c>
      <c r="G208" s="14">
        <v>44303</v>
      </c>
      <c r="H208" s="12" t="s">
        <v>10</v>
      </c>
      <c r="I208" s="15"/>
      <c r="J208" s="240">
        <v>30</v>
      </c>
      <c r="K208" s="224">
        <v>0</v>
      </c>
      <c r="L208" s="240">
        <v>30</v>
      </c>
      <c r="M208" s="15"/>
      <c r="N208" s="16">
        <v>0</v>
      </c>
      <c r="O208" s="16">
        <v>1055</v>
      </c>
      <c r="P208" s="16"/>
      <c r="Q208" s="16"/>
      <c r="R208" s="16"/>
      <c r="S208" s="16">
        <v>187.5</v>
      </c>
      <c r="T208" s="16"/>
      <c r="U208" s="239">
        <v>187.5</v>
      </c>
      <c r="V208" s="241">
        <v>63.3</v>
      </c>
      <c r="W208" s="238">
        <v>63.3</v>
      </c>
      <c r="Y208" s="242">
        <v>1055</v>
      </c>
      <c r="AA208" s="228"/>
      <c r="AB208" s="230"/>
      <c r="AC208" s="226"/>
      <c r="AD208" s="228"/>
      <c r="AE208" s="230">
        <v>0</v>
      </c>
      <c r="AF208" s="238">
        <v>1055</v>
      </c>
      <c r="AG208" s="226"/>
      <c r="AH208" s="17"/>
      <c r="AI208" s="16"/>
    </row>
    <row r="209" spans="1:35" x14ac:dyDescent="0.25">
      <c r="A209" s="140">
        <v>185</v>
      </c>
      <c r="B209" s="140">
        <v>11</v>
      </c>
      <c r="C209" s="27" t="s">
        <v>1163</v>
      </c>
      <c r="D209" s="13" t="s">
        <v>432</v>
      </c>
      <c r="E209" s="13" t="s">
        <v>14</v>
      </c>
      <c r="F209" s="12" t="s">
        <v>433</v>
      </c>
      <c r="G209" s="14">
        <v>44303</v>
      </c>
      <c r="H209" s="12" t="s">
        <v>10</v>
      </c>
      <c r="I209" s="15"/>
      <c r="J209" s="240">
        <v>30</v>
      </c>
      <c r="K209" s="224">
        <v>0</v>
      </c>
      <c r="L209" s="240">
        <v>30</v>
      </c>
      <c r="M209" s="15"/>
      <c r="N209" s="16">
        <v>0</v>
      </c>
      <c r="O209" s="16">
        <v>1055</v>
      </c>
      <c r="P209" s="16"/>
      <c r="Q209" s="16"/>
      <c r="R209" s="16"/>
      <c r="S209" s="16">
        <v>195</v>
      </c>
      <c r="T209" s="16"/>
      <c r="U209" s="239">
        <v>195</v>
      </c>
      <c r="V209" s="241">
        <v>63.3</v>
      </c>
      <c r="W209" s="238">
        <v>63.3</v>
      </c>
      <c r="Y209" s="242">
        <v>1055</v>
      </c>
      <c r="AA209" s="228"/>
      <c r="AB209" s="230"/>
      <c r="AC209" s="226"/>
      <c r="AD209" s="228"/>
      <c r="AE209" s="230">
        <v>0</v>
      </c>
      <c r="AF209" s="238">
        <v>1055</v>
      </c>
      <c r="AG209" s="226"/>
      <c r="AH209" s="17"/>
      <c r="AI209" s="16"/>
    </row>
    <row r="210" spans="1:35" x14ac:dyDescent="0.25">
      <c r="A210" s="140">
        <v>185</v>
      </c>
      <c r="B210" s="140">
        <v>4</v>
      </c>
      <c r="C210" s="27" t="s">
        <v>1164</v>
      </c>
      <c r="D210" s="13" t="s">
        <v>418</v>
      </c>
      <c r="E210" s="13" t="s">
        <v>417</v>
      </c>
      <c r="F210" s="12" t="s">
        <v>419</v>
      </c>
      <c r="G210" s="14">
        <v>44287</v>
      </c>
      <c r="H210" s="12" t="s">
        <v>10</v>
      </c>
      <c r="I210" s="15"/>
      <c r="J210" s="240">
        <v>30</v>
      </c>
      <c r="K210" s="224">
        <v>0</v>
      </c>
      <c r="L210" s="240">
        <v>30</v>
      </c>
      <c r="M210" s="15"/>
      <c r="N210" s="16">
        <v>1055</v>
      </c>
      <c r="O210" s="16">
        <v>0</v>
      </c>
      <c r="P210" s="16"/>
      <c r="Q210" s="16"/>
      <c r="R210" s="16"/>
      <c r="S210" s="16">
        <v>187.5</v>
      </c>
      <c r="T210" s="16"/>
      <c r="U210" s="239">
        <v>187.5</v>
      </c>
      <c r="V210" s="241">
        <v>63.3</v>
      </c>
      <c r="W210" s="238">
        <v>63.3</v>
      </c>
      <c r="Y210" s="242">
        <v>1055</v>
      </c>
      <c r="AA210" s="228"/>
      <c r="AB210" s="230"/>
      <c r="AC210" s="226"/>
      <c r="AD210" s="228"/>
      <c r="AE210" s="230">
        <v>0</v>
      </c>
      <c r="AF210" s="238">
        <v>1055</v>
      </c>
      <c r="AG210" s="226"/>
      <c r="AH210" s="17"/>
      <c r="AI210" s="16"/>
    </row>
    <row r="211" spans="1:35" x14ac:dyDescent="0.25">
      <c r="A211" s="140">
        <v>185</v>
      </c>
      <c r="B211" s="140">
        <v>8</v>
      </c>
      <c r="C211" s="27" t="s">
        <v>1165</v>
      </c>
      <c r="D211" s="13" t="s">
        <v>426</v>
      </c>
      <c r="E211" s="13" t="s">
        <v>14</v>
      </c>
      <c r="F211" s="12" t="s">
        <v>427</v>
      </c>
      <c r="G211" s="14">
        <v>44293</v>
      </c>
      <c r="H211" s="12" t="s">
        <v>10</v>
      </c>
      <c r="I211" s="15"/>
      <c r="J211" s="240">
        <v>30</v>
      </c>
      <c r="K211" s="224">
        <v>0</v>
      </c>
      <c r="L211" s="240">
        <v>30</v>
      </c>
      <c r="M211" s="15"/>
      <c r="N211" s="16">
        <v>0</v>
      </c>
      <c r="O211" s="16">
        <v>1055</v>
      </c>
      <c r="P211" s="16"/>
      <c r="Q211" s="16"/>
      <c r="R211" s="16"/>
      <c r="S211" s="16">
        <v>180</v>
      </c>
      <c r="T211" s="16"/>
      <c r="U211" s="239">
        <v>180</v>
      </c>
      <c r="V211" s="241">
        <v>63.3</v>
      </c>
      <c r="W211" s="238">
        <v>63.3</v>
      </c>
      <c r="Y211" s="242">
        <v>1055</v>
      </c>
      <c r="AA211" s="228"/>
      <c r="AB211" s="230"/>
      <c r="AC211" s="226"/>
      <c r="AD211" s="228"/>
      <c r="AE211" s="230">
        <v>0</v>
      </c>
      <c r="AF211" s="238">
        <v>1055</v>
      </c>
      <c r="AG211" s="226">
        <v>400</v>
      </c>
      <c r="AH211" s="17"/>
      <c r="AI211" s="16"/>
    </row>
    <row r="212" spans="1:35" x14ac:dyDescent="0.25">
      <c r="A212" s="140">
        <v>185</v>
      </c>
      <c r="B212" s="140">
        <v>5</v>
      </c>
      <c r="C212" s="27" t="s">
        <v>1166</v>
      </c>
      <c r="D212" s="13" t="s">
        <v>420</v>
      </c>
      <c r="E212" s="13" t="s">
        <v>14</v>
      </c>
      <c r="F212" s="12" t="s">
        <v>421</v>
      </c>
      <c r="G212" s="14">
        <v>44287</v>
      </c>
      <c r="H212" s="12" t="s">
        <v>10</v>
      </c>
      <c r="I212" s="15"/>
      <c r="J212" s="240">
        <v>30</v>
      </c>
      <c r="K212" s="224">
        <v>0</v>
      </c>
      <c r="L212" s="240">
        <v>30</v>
      </c>
      <c r="M212" s="15"/>
      <c r="N212" s="16">
        <v>0</v>
      </c>
      <c r="O212" s="16">
        <v>1055</v>
      </c>
      <c r="P212" s="16"/>
      <c r="Q212" s="16"/>
      <c r="R212" s="16"/>
      <c r="S212" s="16">
        <v>0</v>
      </c>
      <c r="T212" s="16"/>
      <c r="U212" s="239">
        <v>0</v>
      </c>
      <c r="V212" s="241">
        <v>63.3</v>
      </c>
      <c r="W212" s="238">
        <v>63.3</v>
      </c>
      <c r="Y212" s="242">
        <v>1055</v>
      </c>
      <c r="AA212" s="228"/>
      <c r="AB212" s="230"/>
      <c r="AC212" s="226"/>
      <c r="AD212" s="228"/>
      <c r="AE212" s="230">
        <v>0</v>
      </c>
      <c r="AF212" s="238">
        <v>1055</v>
      </c>
      <c r="AG212" s="226"/>
      <c r="AH212" s="17"/>
      <c r="AI212" s="16"/>
    </row>
    <row r="213" spans="1:35" x14ac:dyDescent="0.25">
      <c r="A213" s="140">
        <v>200</v>
      </c>
      <c r="B213" s="140">
        <v>129</v>
      </c>
      <c r="C213" s="27" t="s">
        <v>1167</v>
      </c>
      <c r="D213" s="13" t="s">
        <v>442</v>
      </c>
      <c r="E213" s="13" t="s">
        <v>14</v>
      </c>
      <c r="F213" s="12" t="s">
        <v>443</v>
      </c>
      <c r="G213" s="14">
        <v>44090</v>
      </c>
      <c r="H213" s="12" t="s">
        <v>10</v>
      </c>
      <c r="I213" s="15"/>
      <c r="J213" s="240">
        <v>30</v>
      </c>
      <c r="K213" s="224">
        <v>0</v>
      </c>
      <c r="L213" s="240">
        <v>30</v>
      </c>
      <c r="M213" s="15"/>
      <c r="N213" s="16">
        <v>0</v>
      </c>
      <c r="O213" s="16">
        <v>1266.07</v>
      </c>
      <c r="P213" s="16"/>
      <c r="Q213" s="16"/>
      <c r="R213" s="16"/>
      <c r="S213" s="16"/>
      <c r="T213" s="16">
        <v>468</v>
      </c>
      <c r="U213" s="239">
        <v>468</v>
      </c>
      <c r="V213" s="241">
        <v>75.964199999999991</v>
      </c>
      <c r="W213" s="238">
        <v>75.964199999999991</v>
      </c>
      <c r="Y213" s="242">
        <v>1266.07</v>
      </c>
      <c r="AA213" s="228"/>
      <c r="AB213" s="230"/>
      <c r="AC213" s="226"/>
      <c r="AD213" s="228"/>
      <c r="AE213" s="230">
        <v>0</v>
      </c>
      <c r="AF213" s="238">
        <v>1266.07</v>
      </c>
      <c r="AG213" s="226"/>
      <c r="AH213" s="17"/>
      <c r="AI213" s="16"/>
    </row>
    <row r="214" spans="1:35" x14ac:dyDescent="0.25">
      <c r="A214" s="140">
        <v>200</v>
      </c>
      <c r="B214" s="140">
        <v>82</v>
      </c>
      <c r="C214" s="27" t="s">
        <v>1168</v>
      </c>
      <c r="D214" s="13" t="s">
        <v>436</v>
      </c>
      <c r="E214" s="13" t="s">
        <v>14</v>
      </c>
      <c r="F214" s="12" t="s">
        <v>437</v>
      </c>
      <c r="G214" s="14">
        <v>42965</v>
      </c>
      <c r="H214" s="12" t="s">
        <v>10</v>
      </c>
      <c r="I214" s="15"/>
      <c r="J214" s="240">
        <v>30</v>
      </c>
      <c r="K214" s="224">
        <v>0</v>
      </c>
      <c r="L214" s="240">
        <v>30</v>
      </c>
      <c r="M214" s="15"/>
      <c r="N214" s="16">
        <v>0</v>
      </c>
      <c r="O214" s="16">
        <v>1266.07</v>
      </c>
      <c r="P214" s="16"/>
      <c r="Q214" s="16"/>
      <c r="R214" s="16"/>
      <c r="S214" s="16"/>
      <c r="T214" s="16">
        <v>608.4</v>
      </c>
      <c r="U214" s="239">
        <v>608.4</v>
      </c>
      <c r="V214" s="241">
        <v>75.964199999999991</v>
      </c>
      <c r="W214" s="238">
        <v>75.964199999999991</v>
      </c>
      <c r="Y214" s="242">
        <v>1266.07</v>
      </c>
      <c r="AA214" s="228"/>
      <c r="AB214" s="230"/>
      <c r="AC214" s="226"/>
      <c r="AD214" s="228"/>
      <c r="AE214" s="230">
        <v>0</v>
      </c>
      <c r="AF214" s="238">
        <v>1266.07</v>
      </c>
      <c r="AG214" s="226"/>
      <c r="AH214" s="17"/>
      <c r="AI214" s="16"/>
    </row>
    <row r="215" spans="1:35" x14ac:dyDescent="0.25">
      <c r="A215" s="140">
        <v>200</v>
      </c>
      <c r="B215" s="140">
        <v>132</v>
      </c>
      <c r="C215" s="27" t="s">
        <v>1169</v>
      </c>
      <c r="D215" s="13" t="s">
        <v>446</v>
      </c>
      <c r="E215" s="13" t="s">
        <v>14</v>
      </c>
      <c r="F215" s="12" t="s">
        <v>447</v>
      </c>
      <c r="G215" s="14">
        <v>44152</v>
      </c>
      <c r="H215" s="12" t="s">
        <v>10</v>
      </c>
      <c r="I215" s="15"/>
      <c r="J215" s="240">
        <v>30</v>
      </c>
      <c r="K215" s="224">
        <v>0</v>
      </c>
      <c r="L215" s="240">
        <v>30</v>
      </c>
      <c r="M215" s="15"/>
      <c r="N215" s="16">
        <v>0</v>
      </c>
      <c r="O215" s="16">
        <v>1266.07</v>
      </c>
      <c r="P215" s="16"/>
      <c r="Q215" s="16"/>
      <c r="R215" s="16"/>
      <c r="S215" s="16"/>
      <c r="T215" s="16">
        <v>468</v>
      </c>
      <c r="U215" s="239">
        <v>468</v>
      </c>
      <c r="V215" s="241">
        <v>75.964199999999991</v>
      </c>
      <c r="W215" s="238">
        <v>75.964199999999991</v>
      </c>
      <c r="Y215" s="242">
        <v>1266.07</v>
      </c>
      <c r="AA215" s="228"/>
      <c r="AB215" s="230"/>
      <c r="AC215" s="226"/>
      <c r="AD215" s="228"/>
      <c r="AE215" s="230">
        <v>0</v>
      </c>
      <c r="AF215" s="238">
        <v>1266.07</v>
      </c>
      <c r="AG215" s="226"/>
      <c r="AH215" s="17"/>
      <c r="AI215" s="16"/>
    </row>
    <row r="216" spans="1:35" x14ac:dyDescent="0.25">
      <c r="A216" s="140">
        <v>200</v>
      </c>
      <c r="B216" s="140">
        <v>130</v>
      </c>
      <c r="C216" s="27" t="s">
        <v>1170</v>
      </c>
      <c r="D216" s="13" t="s">
        <v>444</v>
      </c>
      <c r="E216" s="13" t="s">
        <v>21</v>
      </c>
      <c r="F216" s="12" t="s">
        <v>445</v>
      </c>
      <c r="G216" s="14">
        <v>44147</v>
      </c>
      <c r="H216" s="12" t="s">
        <v>10</v>
      </c>
      <c r="I216" s="15"/>
      <c r="J216" s="240">
        <v>30</v>
      </c>
      <c r="K216" s="224">
        <v>0</v>
      </c>
      <c r="L216" s="240">
        <v>30</v>
      </c>
      <c r="M216" s="15"/>
      <c r="N216" s="16">
        <v>1131.54</v>
      </c>
      <c r="O216" s="16">
        <v>0</v>
      </c>
      <c r="P216" s="16">
        <v>135</v>
      </c>
      <c r="Q216" s="16"/>
      <c r="R216" s="16"/>
      <c r="S216" s="16"/>
      <c r="T216" s="16">
        <v>468</v>
      </c>
      <c r="U216" s="239">
        <v>468</v>
      </c>
      <c r="V216" s="241">
        <v>67.892399999999995</v>
      </c>
      <c r="W216" s="238">
        <v>67.892399999999995</v>
      </c>
      <c r="Y216" s="242">
        <v>1131.54</v>
      </c>
      <c r="AA216" s="228"/>
      <c r="AB216" s="230"/>
      <c r="AC216" s="226"/>
      <c r="AD216" s="228"/>
      <c r="AE216" s="230">
        <v>0</v>
      </c>
      <c r="AF216" s="238">
        <v>1131.54</v>
      </c>
      <c r="AG216" s="226"/>
      <c r="AH216" s="17"/>
      <c r="AI216" s="16"/>
    </row>
    <row r="217" spans="1:35" x14ac:dyDescent="0.25">
      <c r="A217" s="140">
        <v>200</v>
      </c>
      <c r="B217" s="140">
        <v>133</v>
      </c>
      <c r="C217" s="27" t="s">
        <v>1171</v>
      </c>
      <c r="D217" s="13" t="s">
        <v>448</v>
      </c>
      <c r="E217" s="13" t="s">
        <v>21</v>
      </c>
      <c r="F217" s="12" t="s">
        <v>449</v>
      </c>
      <c r="G217" s="14">
        <v>44155</v>
      </c>
      <c r="H217" s="12" t="s">
        <v>68</v>
      </c>
      <c r="I217" s="15"/>
      <c r="J217" s="240">
        <v>30</v>
      </c>
      <c r="K217" s="224">
        <v>0</v>
      </c>
      <c r="L217" s="240">
        <v>30</v>
      </c>
      <c r="M217" s="15"/>
      <c r="N217" s="16">
        <v>1131.54</v>
      </c>
      <c r="O217" s="16">
        <v>0</v>
      </c>
      <c r="P217" s="16">
        <v>135</v>
      </c>
      <c r="Q217" s="16"/>
      <c r="R217" s="16"/>
      <c r="S217" s="16">
        <v>0</v>
      </c>
      <c r="T217" s="16"/>
      <c r="U217" s="239">
        <v>0</v>
      </c>
      <c r="V217" s="241">
        <v>67.892399999999995</v>
      </c>
      <c r="W217" s="238">
        <v>67.892399999999995</v>
      </c>
      <c r="Y217" s="242">
        <v>1131.54</v>
      </c>
      <c r="AA217" s="228"/>
      <c r="AB217" s="230"/>
      <c r="AC217" s="226"/>
      <c r="AD217" s="228"/>
      <c r="AE217" s="230">
        <v>0</v>
      </c>
      <c r="AF217" s="238">
        <v>1131.54</v>
      </c>
      <c r="AG217" s="226"/>
      <c r="AH217" s="17"/>
      <c r="AI217" s="16"/>
    </row>
    <row r="218" spans="1:35" x14ac:dyDescent="0.25">
      <c r="A218" s="140">
        <v>200</v>
      </c>
      <c r="B218" s="140">
        <v>120</v>
      </c>
      <c r="C218" s="27" t="s">
        <v>1172</v>
      </c>
      <c r="D218" s="13" t="s">
        <v>438</v>
      </c>
      <c r="E218" s="13" t="s">
        <v>14</v>
      </c>
      <c r="F218" s="12" t="s">
        <v>439</v>
      </c>
      <c r="G218" s="14">
        <v>43721</v>
      </c>
      <c r="H218" s="12" t="s">
        <v>10</v>
      </c>
      <c r="I218" s="15"/>
      <c r="J218" s="240">
        <v>30</v>
      </c>
      <c r="K218" s="224">
        <v>0</v>
      </c>
      <c r="L218" s="240">
        <v>30</v>
      </c>
      <c r="M218" s="15"/>
      <c r="N218" s="16">
        <v>0</v>
      </c>
      <c r="O218" s="16">
        <v>1266.07</v>
      </c>
      <c r="P218" s="16"/>
      <c r="Q218" s="16"/>
      <c r="R218" s="16"/>
      <c r="S218" s="16"/>
      <c r="T218" s="16">
        <v>234</v>
      </c>
      <c r="U218" s="239">
        <v>234</v>
      </c>
      <c r="V218" s="241">
        <v>75.964199999999991</v>
      </c>
      <c r="W218" s="238">
        <v>75.964199999999991</v>
      </c>
      <c r="Y218" s="242">
        <v>1266.07</v>
      </c>
      <c r="AA218" s="228"/>
      <c r="AB218" s="230"/>
      <c r="AC218" s="226"/>
      <c r="AD218" s="228"/>
      <c r="AE218" s="230">
        <v>0</v>
      </c>
      <c r="AF218" s="238">
        <v>1266.07</v>
      </c>
      <c r="AG218" s="226"/>
      <c r="AH218" s="17"/>
      <c r="AI218" s="16"/>
    </row>
    <row r="219" spans="1:35" x14ac:dyDescent="0.25">
      <c r="A219" s="140">
        <v>200</v>
      </c>
      <c r="B219" s="140">
        <v>74</v>
      </c>
      <c r="C219" s="27" t="s">
        <v>1173</v>
      </c>
      <c r="D219" s="13" t="s">
        <v>434</v>
      </c>
      <c r="E219" s="13" t="s">
        <v>14</v>
      </c>
      <c r="F219" s="12" t="s">
        <v>435</v>
      </c>
      <c r="G219" s="14">
        <v>42830</v>
      </c>
      <c r="H219" s="12" t="s">
        <v>10</v>
      </c>
      <c r="I219" s="15"/>
      <c r="J219" s="240">
        <v>30</v>
      </c>
      <c r="K219" s="224">
        <v>0</v>
      </c>
      <c r="L219" s="240">
        <v>30</v>
      </c>
      <c r="M219" s="15"/>
      <c r="N219" s="16">
        <v>0</v>
      </c>
      <c r="O219" s="16">
        <v>1266.07</v>
      </c>
      <c r="P219" s="16"/>
      <c r="Q219" s="16"/>
      <c r="R219" s="16"/>
      <c r="S219" s="16"/>
      <c r="T219" s="16">
        <v>292.5</v>
      </c>
      <c r="U219" s="239">
        <v>292.5</v>
      </c>
      <c r="V219" s="241">
        <v>75.964199999999991</v>
      </c>
      <c r="W219" s="238">
        <v>75.964199999999991</v>
      </c>
      <c r="Y219" s="242">
        <v>1266.07</v>
      </c>
      <c r="AA219" s="228"/>
      <c r="AB219" s="230"/>
      <c r="AC219" s="226">
        <v>150</v>
      </c>
      <c r="AD219" s="228"/>
      <c r="AE219" s="230">
        <v>0</v>
      </c>
      <c r="AF219" s="238">
        <v>1266.07</v>
      </c>
      <c r="AG219" s="226">
        <v>300</v>
      </c>
      <c r="AH219" s="17"/>
      <c r="AI219" s="16"/>
    </row>
    <row r="220" spans="1:35" x14ac:dyDescent="0.25">
      <c r="A220" s="140">
        <v>200</v>
      </c>
      <c r="B220" s="140">
        <v>136</v>
      </c>
      <c r="C220" s="27" t="s">
        <v>1174</v>
      </c>
      <c r="D220" s="13" t="s">
        <v>452</v>
      </c>
      <c r="E220" s="13" t="s">
        <v>21</v>
      </c>
      <c r="F220" s="12" t="s">
        <v>453</v>
      </c>
      <c r="G220" s="14">
        <v>44355</v>
      </c>
      <c r="H220" s="12" t="s">
        <v>10</v>
      </c>
      <c r="I220" s="15"/>
      <c r="J220" s="240">
        <v>30</v>
      </c>
      <c r="K220" s="224">
        <v>0</v>
      </c>
      <c r="L220" s="240">
        <v>30</v>
      </c>
      <c r="M220" s="15"/>
      <c r="N220" s="16">
        <v>1131.54</v>
      </c>
      <c r="O220" s="16">
        <v>0</v>
      </c>
      <c r="P220" s="16">
        <v>135</v>
      </c>
      <c r="Q220" s="16"/>
      <c r="R220" s="16">
        <v>103.04</v>
      </c>
      <c r="S220" s="16"/>
      <c r="T220" s="16">
        <v>203.7</v>
      </c>
      <c r="U220" s="239">
        <v>203.7</v>
      </c>
      <c r="V220" s="241">
        <v>67.892399999999995</v>
      </c>
      <c r="W220" s="238">
        <v>67.892399999999995</v>
      </c>
      <c r="Y220" s="242">
        <v>1131.54</v>
      </c>
      <c r="AA220" s="228"/>
      <c r="AB220" s="230"/>
      <c r="AC220" s="226"/>
      <c r="AD220" s="228"/>
      <c r="AE220" s="230">
        <v>0</v>
      </c>
      <c r="AF220" s="238">
        <v>1131.54</v>
      </c>
      <c r="AG220" s="226"/>
      <c r="AH220" s="17"/>
      <c r="AI220" s="16"/>
    </row>
    <row r="221" spans="1:35" x14ac:dyDescent="0.25">
      <c r="A221" s="140">
        <v>200</v>
      </c>
      <c r="B221" s="140">
        <v>128</v>
      </c>
      <c r="C221" s="27" t="s">
        <v>1175</v>
      </c>
      <c r="D221" s="13" t="s">
        <v>440</v>
      </c>
      <c r="E221" s="13" t="s">
        <v>11</v>
      </c>
      <c r="F221" s="12" t="s">
        <v>441</v>
      </c>
      <c r="G221" s="14">
        <v>44075</v>
      </c>
      <c r="H221" s="12" t="s">
        <v>10</v>
      </c>
      <c r="I221" s="15"/>
      <c r="J221" s="240">
        <v>30</v>
      </c>
      <c r="K221" s="224">
        <v>0</v>
      </c>
      <c r="L221" s="240">
        <v>30</v>
      </c>
      <c r="M221" s="15"/>
      <c r="N221" s="16">
        <v>0</v>
      </c>
      <c r="O221" s="16">
        <v>4569.3</v>
      </c>
      <c r="P221" s="16"/>
      <c r="Q221" s="16"/>
      <c r="R221" s="16"/>
      <c r="S221" s="16">
        <v>0</v>
      </c>
      <c r="T221" s="16"/>
      <c r="U221" s="239">
        <v>0</v>
      </c>
      <c r="V221" s="241">
        <v>274.15800000000002</v>
      </c>
      <c r="W221" s="238">
        <v>274.15800000000002</v>
      </c>
      <c r="Y221" s="242">
        <v>4569.3</v>
      </c>
      <c r="AA221" s="228"/>
      <c r="AB221" s="230"/>
      <c r="AC221" s="226"/>
      <c r="AD221" s="228"/>
      <c r="AE221" s="230">
        <v>0</v>
      </c>
      <c r="AF221" s="238">
        <v>4569.3</v>
      </c>
      <c r="AG221" s="226"/>
      <c r="AH221" s="17"/>
      <c r="AI221" s="16"/>
    </row>
    <row r="222" spans="1:35" x14ac:dyDescent="0.25">
      <c r="A222" s="140">
        <v>200</v>
      </c>
      <c r="B222" s="140">
        <v>135</v>
      </c>
      <c r="C222" s="27" t="s">
        <v>1176</v>
      </c>
      <c r="D222" s="13" t="s">
        <v>450</v>
      </c>
      <c r="E222" s="13" t="s">
        <v>14</v>
      </c>
      <c r="F222" s="12" t="s">
        <v>451</v>
      </c>
      <c r="G222" s="14">
        <v>44352</v>
      </c>
      <c r="H222" s="12" t="s">
        <v>10</v>
      </c>
      <c r="I222" s="15"/>
      <c r="J222" s="240">
        <v>30</v>
      </c>
      <c r="K222" s="224">
        <v>0</v>
      </c>
      <c r="L222" s="240">
        <v>30</v>
      </c>
      <c r="M222" s="15"/>
      <c r="N222" s="16">
        <v>0</v>
      </c>
      <c r="O222" s="16">
        <v>1266.07</v>
      </c>
      <c r="P222" s="16"/>
      <c r="Q222" s="16"/>
      <c r="R222" s="16">
        <v>296.24</v>
      </c>
      <c r="S222" s="16"/>
      <c r="T222" s="16">
        <v>536.25</v>
      </c>
      <c r="U222" s="239">
        <v>536.25</v>
      </c>
      <c r="V222" s="241">
        <v>75.964199999999991</v>
      </c>
      <c r="W222" s="238">
        <v>75.964199999999991</v>
      </c>
      <c r="Y222" s="242">
        <v>1266.07</v>
      </c>
      <c r="AA222" s="228"/>
      <c r="AB222" s="230"/>
      <c r="AC222" s="226"/>
      <c r="AD222" s="228"/>
      <c r="AE222" s="230">
        <v>0</v>
      </c>
      <c r="AF222" s="238">
        <v>1266.07</v>
      </c>
      <c r="AG222" s="226"/>
      <c r="AH222" s="17"/>
      <c r="AI222" s="16"/>
    </row>
    <row r="223" spans="1:35" x14ac:dyDescent="0.25">
      <c r="AA223" s="210"/>
      <c r="AB223" s="210"/>
      <c r="AC223" s="37"/>
      <c r="AD223" s="210"/>
    </row>
  </sheetData>
  <dataConsolidate/>
  <mergeCells count="1">
    <mergeCell ref="A1:A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ProgressBar1">
          <controlPr defaultSize="0" autoFill="0" autoLine="0" autoPict="0" r:id="rId5">
            <anchor moveWithCells="1">
              <from>
                <xdr:col>10</xdr:col>
                <xdr:colOff>327660</xdr:colOff>
                <xdr:row>0</xdr:row>
                <xdr:rowOff>624840</xdr:rowOff>
              </from>
              <to>
                <xdr:col>16</xdr:col>
                <xdr:colOff>563880</xdr:colOff>
                <xdr:row>0</xdr:row>
                <xdr:rowOff>982980</xdr:rowOff>
              </to>
            </anchor>
          </controlPr>
        </control>
      </mc:Choice>
      <mc:Fallback>
        <control shapeId="1025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656"/>
  <sheetViews>
    <sheetView showGridLines="0" zoomScale="80" zoomScaleNormal="80" workbookViewId="0">
      <selection sqref="A1:XFD1048576"/>
    </sheetView>
  </sheetViews>
  <sheetFormatPr defaultColWidth="9.109375" defaultRowHeight="13.2" x14ac:dyDescent="0.25"/>
  <cols>
    <col min="1" max="1" width="4.88671875" style="42" customWidth="1"/>
    <col min="2" max="3" width="7.33203125" style="43" customWidth="1"/>
    <col min="4" max="4" width="31" style="42" customWidth="1"/>
    <col min="5" max="5" width="14.109375" style="52" customWidth="1"/>
    <col min="6" max="6" width="14.109375" style="52" bestFit="1" customWidth="1"/>
    <col min="7" max="7" width="12.6640625" style="52" bestFit="1" customWidth="1"/>
    <col min="8" max="8" width="9.109375" style="52" bestFit="1" customWidth="1"/>
    <col min="9" max="9" width="14.88671875" style="52" hidden="1" customWidth="1"/>
    <col min="10" max="10" width="22.6640625" style="52" bestFit="1" customWidth="1"/>
    <col min="11" max="11" width="14.88671875" style="52" customWidth="1"/>
    <col min="12" max="12" width="1.33203125" style="42" customWidth="1"/>
    <col min="13" max="13" width="11.6640625" style="42" bestFit="1" customWidth="1"/>
    <col min="14" max="14" width="9.109375" style="42"/>
    <col min="15" max="15" width="1.33203125" style="42" customWidth="1"/>
    <col min="16" max="16" width="12.6640625" style="42" bestFit="1" customWidth="1"/>
    <col min="17" max="17" width="9.109375" style="42"/>
    <col min="18" max="18" width="11.33203125" style="42" bestFit="1" customWidth="1"/>
    <col min="19" max="20" width="10.33203125" style="42" bestFit="1" customWidth="1"/>
    <col min="21" max="21" width="9.109375" style="207"/>
    <col min="22" max="26" width="9.109375" style="42"/>
    <col min="27" max="28" width="9.109375" style="207"/>
    <col min="29" max="29" width="9.109375" style="42"/>
    <col min="30" max="30" width="9.109375" style="207"/>
    <col min="31" max="16384" width="9.109375" style="42"/>
  </cols>
  <sheetData>
    <row r="1" spans="1:28" x14ac:dyDescent="0.25">
      <c r="E1" s="42"/>
      <c r="F1" s="42"/>
      <c r="G1" s="42"/>
      <c r="H1" s="42"/>
      <c r="I1" s="42"/>
      <c r="J1" s="42"/>
      <c r="K1" s="42"/>
    </row>
    <row r="2" spans="1:28" ht="12.75" customHeight="1" x14ac:dyDescent="0.25">
      <c r="A2" s="44" t="s">
        <v>454</v>
      </c>
      <c r="B2" s="45" t="s">
        <v>472</v>
      </c>
      <c r="C2" s="45"/>
      <c r="D2" s="44" t="s">
        <v>473</v>
      </c>
      <c r="E2" s="45" t="s">
        <v>474</v>
      </c>
      <c r="F2" s="45" t="s">
        <v>475</v>
      </c>
      <c r="G2" s="45" t="s">
        <v>476</v>
      </c>
      <c r="H2" s="45" t="s">
        <v>477</v>
      </c>
      <c r="I2" s="45" t="s">
        <v>478</v>
      </c>
      <c r="J2" s="45" t="s">
        <v>457</v>
      </c>
      <c r="K2" s="45" t="s">
        <v>480</v>
      </c>
      <c r="L2" s="46"/>
      <c r="M2" s="47" t="s">
        <v>481</v>
      </c>
      <c r="N2" s="47" t="s">
        <v>482</v>
      </c>
      <c r="O2" s="46"/>
      <c r="P2" s="45" t="s">
        <v>483</v>
      </c>
      <c r="R2" s="48" t="s">
        <v>484</v>
      </c>
      <c r="S2" s="48" t="s">
        <v>466</v>
      </c>
      <c r="T2" s="48" t="s">
        <v>485</v>
      </c>
    </row>
    <row r="3" spans="1:28" ht="12.75" customHeight="1" x14ac:dyDescent="0.25">
      <c r="A3" s="49">
        <v>62</v>
      </c>
      <c r="B3" s="50">
        <v>266</v>
      </c>
      <c r="C3" s="50" t="str">
        <f>CONCATENATE(A3,"-",B3)</f>
        <v>62-266</v>
      </c>
      <c r="D3" s="51" t="s">
        <v>8</v>
      </c>
      <c r="E3" s="52">
        <v>2621.79</v>
      </c>
      <c r="G3" s="52">
        <v>0</v>
      </c>
      <c r="H3" s="52">
        <v>0</v>
      </c>
      <c r="I3" s="52">
        <v>0</v>
      </c>
      <c r="J3" s="52">
        <v>30</v>
      </c>
      <c r="K3" s="52">
        <v>4</v>
      </c>
      <c r="M3" s="52"/>
      <c r="N3" s="53">
        <f>IFERROR(K3/M3,)</f>
        <v>0</v>
      </c>
      <c r="P3" s="52">
        <v>700000</v>
      </c>
      <c r="R3" s="54">
        <v>0</v>
      </c>
      <c r="S3" s="55">
        <f>R3*25%</f>
        <v>0</v>
      </c>
      <c r="T3" s="54">
        <f>IF(N3&gt;1,K3*0.5%,0)</f>
        <v>0</v>
      </c>
      <c r="U3" s="207">
        <v>292.5</v>
      </c>
      <c r="V3" s="205">
        <v>291.49</v>
      </c>
      <c r="AA3" s="207">
        <v>4000</v>
      </c>
      <c r="AB3" s="207">
        <v>977.89</v>
      </c>
    </row>
    <row r="4" spans="1:28" ht="12.75" customHeight="1" x14ac:dyDescent="0.25">
      <c r="A4" s="49">
        <v>62</v>
      </c>
      <c r="B4" s="50">
        <v>282</v>
      </c>
      <c r="C4" s="50" t="str">
        <f t="shared" ref="C4:C67" si="0">CONCATENATE(A4,"-",B4)</f>
        <v>62-282</v>
      </c>
      <c r="D4" s="51" t="s">
        <v>12</v>
      </c>
      <c r="E4" s="52">
        <v>33983.49</v>
      </c>
      <c r="G4" s="52">
        <v>0</v>
      </c>
      <c r="H4" s="52">
        <v>349.99</v>
      </c>
      <c r="I4" s="52">
        <v>0</v>
      </c>
      <c r="K4" s="52">
        <v>8</v>
      </c>
      <c r="M4" s="52">
        <v>110000</v>
      </c>
      <c r="N4" s="53">
        <f t="shared" ref="N4:N13" si="1">IFERROR(K4/M4,)</f>
        <v>7.2727272727272728E-5</v>
      </c>
      <c r="R4" s="54">
        <f t="shared" ref="R4:R10" si="2">K4*2.8%</f>
        <v>0.22399999999999998</v>
      </c>
      <c r="S4" s="55">
        <f t="shared" ref="S4:S10" si="3">R4*25%</f>
        <v>5.5999999999999994E-2</v>
      </c>
      <c r="T4" s="54">
        <f t="shared" ref="T4:T10" si="4">IF(N4&gt;1,K4*0.5%,0)</f>
        <v>0</v>
      </c>
    </row>
    <row r="5" spans="1:28" ht="12.75" customHeight="1" x14ac:dyDescent="0.25">
      <c r="A5" s="49">
        <v>62</v>
      </c>
      <c r="B5" s="50">
        <v>286</v>
      </c>
      <c r="C5" s="50" t="str">
        <f t="shared" si="0"/>
        <v>62-286</v>
      </c>
      <c r="D5" s="51" t="s">
        <v>15</v>
      </c>
      <c r="E5" s="52">
        <v>138809.43</v>
      </c>
      <c r="G5" s="52">
        <v>0</v>
      </c>
      <c r="H5" s="52">
        <v>899.99</v>
      </c>
      <c r="I5" s="52">
        <v>0</v>
      </c>
      <c r="K5" s="52">
        <v>9</v>
      </c>
      <c r="M5" s="52">
        <v>110000</v>
      </c>
      <c r="N5" s="53">
        <f t="shared" si="1"/>
        <v>8.1818181818181816E-5</v>
      </c>
      <c r="R5" s="54">
        <f t="shared" si="2"/>
        <v>0.252</v>
      </c>
      <c r="S5" s="55">
        <f t="shared" si="3"/>
        <v>6.3E-2</v>
      </c>
      <c r="T5" s="54">
        <f t="shared" si="4"/>
        <v>0</v>
      </c>
    </row>
    <row r="6" spans="1:28" ht="12.75" customHeight="1" x14ac:dyDescent="0.25">
      <c r="A6" s="49">
        <v>62</v>
      </c>
      <c r="B6" s="50">
        <v>289</v>
      </c>
      <c r="C6" s="50" t="str">
        <f t="shared" si="0"/>
        <v>62-289</v>
      </c>
      <c r="D6" s="51" t="s">
        <v>486</v>
      </c>
      <c r="E6" s="52">
        <v>127062.55</v>
      </c>
      <c r="G6" s="52">
        <v>0</v>
      </c>
      <c r="H6" s="52">
        <v>0</v>
      </c>
      <c r="I6" s="52">
        <v>0</v>
      </c>
      <c r="K6" s="52">
        <f t="shared" ref="K6:K13" si="5">SUM(E6:J6)</f>
        <v>127062.55</v>
      </c>
      <c r="M6" s="52">
        <v>110000</v>
      </c>
      <c r="N6" s="53">
        <f t="shared" si="1"/>
        <v>1.1551140909090909</v>
      </c>
      <c r="R6" s="54">
        <f t="shared" si="2"/>
        <v>3557.7513999999996</v>
      </c>
      <c r="S6" s="55">
        <f t="shared" si="3"/>
        <v>889.43784999999991</v>
      </c>
      <c r="T6" s="54">
        <f t="shared" si="4"/>
        <v>635.31275000000005</v>
      </c>
      <c r="AA6" s="207">
        <v>2200</v>
      </c>
    </row>
    <row r="7" spans="1:28" ht="12.75" customHeight="1" x14ac:dyDescent="0.25">
      <c r="A7" s="49">
        <v>62</v>
      </c>
      <c r="B7" s="50">
        <v>314</v>
      </c>
      <c r="C7" s="50" t="str">
        <f t="shared" si="0"/>
        <v>62-314</v>
      </c>
      <c r="D7" s="51" t="s">
        <v>487</v>
      </c>
      <c r="E7" s="52">
        <v>111127.59</v>
      </c>
      <c r="G7" s="52">
        <v>0</v>
      </c>
      <c r="H7" s="52">
        <v>0</v>
      </c>
      <c r="I7" s="52">
        <v>0</v>
      </c>
      <c r="K7" s="52">
        <f t="shared" si="5"/>
        <v>111127.59</v>
      </c>
      <c r="M7" s="52">
        <v>110000</v>
      </c>
      <c r="N7" s="53">
        <f t="shared" si="1"/>
        <v>1.0102508181818182</v>
      </c>
      <c r="R7" s="54">
        <f t="shared" si="2"/>
        <v>3111.5725199999997</v>
      </c>
      <c r="S7" s="55">
        <f t="shared" si="3"/>
        <v>777.89312999999993</v>
      </c>
      <c r="T7" s="54">
        <f t="shared" si="4"/>
        <v>555.63795000000005</v>
      </c>
    </row>
    <row r="8" spans="1:28" ht="12.75" customHeight="1" x14ac:dyDescent="0.25">
      <c r="A8" s="49">
        <v>62</v>
      </c>
      <c r="B8" s="50">
        <v>316</v>
      </c>
      <c r="C8" s="50" t="str">
        <f t="shared" si="0"/>
        <v>62-316</v>
      </c>
      <c r="D8" s="51" t="s">
        <v>488</v>
      </c>
      <c r="E8" s="52">
        <v>114704.26</v>
      </c>
      <c r="G8" s="52">
        <v>0</v>
      </c>
      <c r="H8" s="52">
        <v>0</v>
      </c>
      <c r="I8" s="52">
        <v>0</v>
      </c>
      <c r="K8" s="52">
        <f t="shared" si="5"/>
        <v>114704.26</v>
      </c>
      <c r="M8" s="52">
        <v>110000</v>
      </c>
      <c r="N8" s="53">
        <f t="shared" si="1"/>
        <v>1.0427659999999999</v>
      </c>
      <c r="R8" s="54">
        <f t="shared" si="2"/>
        <v>3211.7192799999993</v>
      </c>
      <c r="S8" s="55">
        <f t="shared" si="3"/>
        <v>802.92981999999984</v>
      </c>
      <c r="T8" s="54">
        <f t="shared" si="4"/>
        <v>573.5213</v>
      </c>
    </row>
    <row r="9" spans="1:28" ht="12.75" customHeight="1" x14ac:dyDescent="0.25">
      <c r="A9" s="49">
        <v>62</v>
      </c>
      <c r="B9" s="50">
        <v>320</v>
      </c>
      <c r="C9" s="50" t="str">
        <f t="shared" si="0"/>
        <v>62-320</v>
      </c>
      <c r="D9" s="51" t="s">
        <v>489</v>
      </c>
      <c r="E9" s="52">
        <v>111639.66</v>
      </c>
      <c r="G9" s="52">
        <v>0</v>
      </c>
      <c r="H9" s="52">
        <v>199.99</v>
      </c>
      <c r="I9" s="52">
        <v>0</v>
      </c>
      <c r="K9" s="52">
        <f t="shared" si="5"/>
        <v>111839.65000000001</v>
      </c>
      <c r="M9" s="52">
        <v>110000</v>
      </c>
      <c r="N9" s="53">
        <f t="shared" si="1"/>
        <v>1.0167240909090909</v>
      </c>
      <c r="R9" s="54">
        <f t="shared" si="2"/>
        <v>3131.5101999999997</v>
      </c>
      <c r="S9" s="55">
        <f t="shared" si="3"/>
        <v>782.87754999999993</v>
      </c>
      <c r="T9" s="54">
        <f t="shared" si="4"/>
        <v>559.19825000000003</v>
      </c>
    </row>
    <row r="10" spans="1:28" ht="12.75" customHeight="1" x14ac:dyDescent="0.25">
      <c r="A10" s="49">
        <v>62</v>
      </c>
      <c r="B10" s="50">
        <v>322</v>
      </c>
      <c r="C10" s="50" t="str">
        <f t="shared" si="0"/>
        <v>62-322</v>
      </c>
      <c r="D10" s="51" t="s">
        <v>490</v>
      </c>
      <c r="E10" s="52">
        <v>75512.289999999994</v>
      </c>
      <c r="G10" s="52">
        <v>0</v>
      </c>
      <c r="H10" s="52">
        <v>0</v>
      </c>
      <c r="I10" s="52">
        <v>0</v>
      </c>
      <c r="K10" s="52">
        <f t="shared" si="5"/>
        <v>75512.289999999994</v>
      </c>
      <c r="M10" s="52">
        <v>110000</v>
      </c>
      <c r="N10" s="53">
        <f t="shared" si="1"/>
        <v>0.68647536363636363</v>
      </c>
      <c r="R10" s="54">
        <f t="shared" si="2"/>
        <v>2114.3441199999997</v>
      </c>
      <c r="S10" s="55">
        <f t="shared" si="3"/>
        <v>528.58602999999994</v>
      </c>
      <c r="T10" s="54">
        <f t="shared" si="4"/>
        <v>0</v>
      </c>
    </row>
    <row r="11" spans="1:28" ht="12.75" customHeight="1" x14ac:dyDescent="0.25">
      <c r="A11" s="49">
        <v>62</v>
      </c>
      <c r="B11" s="50"/>
      <c r="C11" s="50" t="str">
        <f>CONCATENATE(A11,"-",B11)</f>
        <v>62-</v>
      </c>
      <c r="D11" s="51"/>
      <c r="E11" s="52">
        <v>0</v>
      </c>
      <c r="G11" s="52">
        <v>0</v>
      </c>
      <c r="H11" s="52">
        <v>0</v>
      </c>
      <c r="I11" s="52">
        <v>0</v>
      </c>
      <c r="K11" s="52">
        <f t="shared" si="5"/>
        <v>0</v>
      </c>
      <c r="M11" s="52"/>
      <c r="N11" s="53">
        <f t="shared" si="1"/>
        <v>0</v>
      </c>
      <c r="R11" s="56">
        <f>SUM(R3:R10)</f>
        <v>15127.373519999999</v>
      </c>
      <c r="S11" s="56">
        <f>SUM(S3:S10)</f>
        <v>3781.8433799999998</v>
      </c>
      <c r="T11" s="56">
        <f>SUM(T3:T10)</f>
        <v>2323.6702500000001</v>
      </c>
    </row>
    <row r="12" spans="1:28" ht="12.75" customHeight="1" x14ac:dyDescent="0.25">
      <c r="A12" s="49">
        <v>62</v>
      </c>
      <c r="B12" s="50"/>
      <c r="C12" s="50" t="str">
        <f t="shared" si="0"/>
        <v>62-</v>
      </c>
      <c r="D12" s="51"/>
      <c r="E12" s="52">
        <v>0</v>
      </c>
      <c r="G12" s="52">
        <v>0</v>
      </c>
      <c r="H12" s="52">
        <v>0</v>
      </c>
      <c r="I12" s="52">
        <v>0</v>
      </c>
      <c r="K12" s="52">
        <f t="shared" si="5"/>
        <v>0</v>
      </c>
      <c r="M12" s="52"/>
      <c r="N12" s="53">
        <f t="shared" si="1"/>
        <v>0</v>
      </c>
    </row>
    <row r="13" spans="1:28" ht="12.75" customHeight="1" x14ac:dyDescent="0.25">
      <c r="A13" s="49">
        <v>62</v>
      </c>
      <c r="B13" s="50"/>
      <c r="C13" s="50" t="str">
        <f t="shared" si="0"/>
        <v>62-</v>
      </c>
      <c r="D13" s="51"/>
      <c r="E13" s="52">
        <v>0</v>
      </c>
      <c r="G13" s="52">
        <v>0</v>
      </c>
      <c r="H13" s="52">
        <v>0</v>
      </c>
      <c r="I13" s="52">
        <v>0</v>
      </c>
      <c r="K13" s="52">
        <f t="shared" si="5"/>
        <v>0</v>
      </c>
      <c r="M13" s="52"/>
      <c r="N13" s="53">
        <f t="shared" si="1"/>
        <v>0</v>
      </c>
    </row>
    <row r="14" spans="1:28" ht="12.75" customHeight="1" x14ac:dyDescent="0.25">
      <c r="A14" s="57" t="s">
        <v>459</v>
      </c>
      <c r="B14" s="58"/>
      <c r="C14" s="50" t="str">
        <f t="shared" si="0"/>
        <v>Total-</v>
      </c>
      <c r="D14" s="57"/>
      <c r="E14" s="59">
        <v>715461.06</v>
      </c>
      <c r="F14" s="59">
        <v>0</v>
      </c>
      <c r="G14" s="59">
        <v>0</v>
      </c>
      <c r="H14" s="59">
        <v>1449.97</v>
      </c>
      <c r="I14" s="59">
        <v>0</v>
      </c>
      <c r="J14" s="59">
        <v>0</v>
      </c>
      <c r="K14" s="59">
        <f>SUM(K3:K13)</f>
        <v>540267.34000000008</v>
      </c>
      <c r="M14" s="59">
        <f>SUM(M3:M13)</f>
        <v>770000</v>
      </c>
    </row>
    <row r="15" spans="1:28" ht="12.75" customHeight="1" x14ac:dyDescent="0.25">
      <c r="C15" s="50" t="str">
        <f t="shared" si="0"/>
        <v>-</v>
      </c>
    </row>
    <row r="16" spans="1:28" ht="12.75" customHeight="1" x14ac:dyDescent="0.25">
      <c r="C16" s="50" t="str">
        <f t="shared" si="0"/>
        <v>-</v>
      </c>
    </row>
    <row r="17" spans="1:30" ht="12.75" customHeight="1" x14ac:dyDescent="0.25">
      <c r="C17" s="50" t="str">
        <f t="shared" si="0"/>
        <v>-</v>
      </c>
    </row>
    <row r="18" spans="1:30" ht="12.75" customHeight="1" x14ac:dyDescent="0.25">
      <c r="A18" s="44" t="s">
        <v>454</v>
      </c>
      <c r="B18" s="45" t="s">
        <v>472</v>
      </c>
      <c r="C18" s="50" t="str">
        <f t="shared" si="0"/>
        <v>Loja-Cod</v>
      </c>
      <c r="D18" s="44" t="s">
        <v>473</v>
      </c>
      <c r="E18" s="45" t="s">
        <v>474</v>
      </c>
      <c r="F18" s="45" t="s">
        <v>475</v>
      </c>
      <c r="G18" s="45" t="s">
        <v>476</v>
      </c>
      <c r="H18" s="45" t="s">
        <v>477</v>
      </c>
      <c r="I18" s="45" t="s">
        <v>478</v>
      </c>
      <c r="J18" s="45" t="s">
        <v>479</v>
      </c>
      <c r="K18" s="45" t="s">
        <v>480</v>
      </c>
      <c r="M18" s="47" t="s">
        <v>481</v>
      </c>
      <c r="N18" s="47" t="s">
        <v>482</v>
      </c>
      <c r="P18" s="45" t="s">
        <v>483</v>
      </c>
      <c r="R18" s="48" t="s">
        <v>484</v>
      </c>
      <c r="S18" s="48" t="s">
        <v>466</v>
      </c>
      <c r="T18" s="48" t="s">
        <v>485</v>
      </c>
    </row>
    <row r="19" spans="1:30" s="65" customFormat="1" ht="12.75" customHeight="1" x14ac:dyDescent="0.25">
      <c r="A19" s="61">
        <v>93</v>
      </c>
      <c r="B19" s="190">
        <v>36</v>
      </c>
      <c r="C19" s="190" t="str">
        <f t="shared" si="0"/>
        <v>93-36</v>
      </c>
      <c r="D19" s="191" t="s">
        <v>36</v>
      </c>
      <c r="E19" s="64">
        <v>71409.990000000005</v>
      </c>
      <c r="F19" s="64"/>
      <c r="G19" s="64">
        <v>0</v>
      </c>
      <c r="H19" s="64">
        <v>0</v>
      </c>
      <c r="I19" s="64">
        <v>0</v>
      </c>
      <c r="J19" s="64">
        <v>19</v>
      </c>
      <c r="K19" s="64">
        <v>4</v>
      </c>
      <c r="M19" s="64">
        <v>70800</v>
      </c>
      <c r="N19" s="66">
        <f t="shared" ref="N19:N29" si="6">IFERROR(K19/M19,)</f>
        <v>5.6497175141242937E-5</v>
      </c>
      <c r="P19" s="64">
        <v>450000</v>
      </c>
      <c r="R19" s="67">
        <f>(K19*2.8%)</f>
        <v>0.11199999999999999</v>
      </c>
      <c r="S19" s="67">
        <f>R19*25%</f>
        <v>2.7999999999999997E-2</v>
      </c>
      <c r="T19" s="67">
        <f>IF(N19&gt;1,K19*0.5%,0)</f>
        <v>0</v>
      </c>
      <c r="U19" s="208"/>
      <c r="AA19" s="208"/>
      <c r="AB19" s="208"/>
      <c r="AD19" s="208"/>
    </row>
    <row r="20" spans="1:30" s="65" customFormat="1" ht="12.75" customHeight="1" x14ac:dyDescent="0.25">
      <c r="A20" s="61">
        <v>93</v>
      </c>
      <c r="B20" s="190">
        <v>70</v>
      </c>
      <c r="C20" s="190" t="str">
        <f t="shared" si="0"/>
        <v>93-70</v>
      </c>
      <c r="D20" s="191" t="s">
        <v>38</v>
      </c>
      <c r="E20" s="64">
        <v>57151.839999999997</v>
      </c>
      <c r="F20" s="64"/>
      <c r="G20" s="64">
        <v>0</v>
      </c>
      <c r="H20" s="64">
        <v>199.99</v>
      </c>
      <c r="I20" s="64">
        <v>0</v>
      </c>
      <c r="J20" s="64"/>
      <c r="K20" s="64">
        <f t="shared" ref="K20:K29" si="7">SUM(E20:J20)</f>
        <v>57351.829999999994</v>
      </c>
      <c r="M20" s="64">
        <v>70800</v>
      </c>
      <c r="N20" s="66">
        <f t="shared" si="6"/>
        <v>0.81005409604519762</v>
      </c>
      <c r="R20" s="67">
        <f t="shared" ref="R20:R26" si="8">(K20*2.8%)</f>
        <v>1605.8512399999997</v>
      </c>
      <c r="S20" s="67">
        <f t="shared" ref="S20:S26" si="9">R20*25%</f>
        <v>401.46280999999993</v>
      </c>
      <c r="T20" s="67">
        <f t="shared" ref="T20:T26" si="10">IF(N20&gt;1,K20*0.5%,0)</f>
        <v>0</v>
      </c>
      <c r="U20" s="208"/>
      <c r="AA20" s="208"/>
      <c r="AB20" s="208"/>
      <c r="AD20" s="208"/>
    </row>
    <row r="21" spans="1:30" s="65" customFormat="1" ht="12.75" customHeight="1" x14ac:dyDescent="0.25">
      <c r="A21" s="61">
        <v>93</v>
      </c>
      <c r="B21" s="190">
        <v>79</v>
      </c>
      <c r="C21" s="190" t="str">
        <f t="shared" si="0"/>
        <v>93-79</v>
      </c>
      <c r="D21" s="191" t="s">
        <v>40</v>
      </c>
      <c r="E21" s="64">
        <v>66351.820000000007</v>
      </c>
      <c r="F21" s="64"/>
      <c r="G21" s="64">
        <v>0</v>
      </c>
      <c r="H21" s="64">
        <v>0</v>
      </c>
      <c r="I21" s="64">
        <v>0</v>
      </c>
      <c r="J21" s="64"/>
      <c r="K21" s="64">
        <f t="shared" si="7"/>
        <v>66351.820000000007</v>
      </c>
      <c r="M21" s="64">
        <v>70800</v>
      </c>
      <c r="N21" s="66">
        <f t="shared" si="6"/>
        <v>0.93717259887005655</v>
      </c>
      <c r="R21" s="67">
        <f t="shared" si="8"/>
        <v>1857.85096</v>
      </c>
      <c r="S21" s="67">
        <f t="shared" si="9"/>
        <v>464.46274</v>
      </c>
      <c r="T21" s="67">
        <f t="shared" si="10"/>
        <v>0</v>
      </c>
      <c r="U21" s="208"/>
      <c r="AA21" s="208"/>
      <c r="AB21" s="208"/>
      <c r="AD21" s="208"/>
    </row>
    <row r="22" spans="1:30" ht="12.75" customHeight="1" x14ac:dyDescent="0.25">
      <c r="A22" s="49">
        <v>93</v>
      </c>
      <c r="B22" s="50">
        <v>90</v>
      </c>
      <c r="C22" s="50" t="str">
        <f t="shared" si="0"/>
        <v>93-90</v>
      </c>
      <c r="D22" s="51" t="s">
        <v>42</v>
      </c>
      <c r="E22" s="52">
        <v>407.97</v>
      </c>
      <c r="G22" s="52">
        <v>0</v>
      </c>
      <c r="H22" s="52">
        <v>0</v>
      </c>
      <c r="I22" s="52">
        <v>0</v>
      </c>
      <c r="K22" s="52">
        <f t="shared" si="7"/>
        <v>407.97</v>
      </c>
      <c r="M22" s="52"/>
      <c r="N22" s="53">
        <f t="shared" si="6"/>
        <v>0</v>
      </c>
      <c r="R22" s="54">
        <v>0</v>
      </c>
      <c r="S22" s="54">
        <f t="shared" si="9"/>
        <v>0</v>
      </c>
      <c r="T22" s="54">
        <f t="shared" si="10"/>
        <v>0</v>
      </c>
    </row>
    <row r="23" spans="1:30" s="65" customFormat="1" ht="12.75" customHeight="1" x14ac:dyDescent="0.25">
      <c r="A23" s="61">
        <v>93</v>
      </c>
      <c r="B23" s="190">
        <v>91</v>
      </c>
      <c r="C23" s="190" t="str">
        <f t="shared" si="0"/>
        <v>93-91</v>
      </c>
      <c r="D23" s="191" t="s">
        <v>44</v>
      </c>
      <c r="E23" s="64">
        <v>71611.839999999997</v>
      </c>
      <c r="F23" s="64"/>
      <c r="G23" s="64">
        <v>0</v>
      </c>
      <c r="H23" s="64">
        <v>0</v>
      </c>
      <c r="I23" s="64">
        <v>0</v>
      </c>
      <c r="J23" s="64"/>
      <c r="K23" s="64">
        <f t="shared" si="7"/>
        <v>71611.839999999997</v>
      </c>
      <c r="M23" s="64">
        <v>70800</v>
      </c>
      <c r="N23" s="66">
        <f t="shared" si="6"/>
        <v>1.0114666666666665</v>
      </c>
      <c r="R23" s="67">
        <f t="shared" si="8"/>
        <v>2005.1315199999997</v>
      </c>
      <c r="S23" s="67">
        <f t="shared" si="9"/>
        <v>501.28287999999992</v>
      </c>
      <c r="T23" s="67">
        <f t="shared" si="10"/>
        <v>358.05919999999998</v>
      </c>
      <c r="U23" s="208"/>
      <c r="AA23" s="208"/>
      <c r="AB23" s="208"/>
      <c r="AD23" s="208"/>
    </row>
    <row r="24" spans="1:30" s="65" customFormat="1" ht="12.75" customHeight="1" x14ac:dyDescent="0.25">
      <c r="A24" s="61">
        <v>93</v>
      </c>
      <c r="B24" s="190">
        <v>95</v>
      </c>
      <c r="C24" s="190" t="str">
        <f t="shared" si="0"/>
        <v>93-95</v>
      </c>
      <c r="D24" s="191" t="s">
        <v>48</v>
      </c>
      <c r="E24" s="64">
        <v>71399.61</v>
      </c>
      <c r="F24" s="64"/>
      <c r="G24" s="64">
        <v>0</v>
      </c>
      <c r="H24" s="64">
        <v>0</v>
      </c>
      <c r="I24" s="64">
        <v>0</v>
      </c>
      <c r="J24" s="64"/>
      <c r="K24" s="64">
        <f t="shared" si="7"/>
        <v>71399.61</v>
      </c>
      <c r="M24" s="64">
        <v>70800</v>
      </c>
      <c r="N24" s="66">
        <f t="shared" si="6"/>
        <v>1.0084690677966102</v>
      </c>
      <c r="R24" s="67">
        <f t="shared" si="8"/>
        <v>1999.1890799999999</v>
      </c>
      <c r="S24" s="67">
        <f t="shared" si="9"/>
        <v>499.79726999999997</v>
      </c>
      <c r="T24" s="67">
        <f t="shared" si="10"/>
        <v>356.99805000000003</v>
      </c>
      <c r="U24" s="208"/>
      <c r="AA24" s="208"/>
      <c r="AB24" s="208"/>
      <c r="AD24" s="208"/>
    </row>
    <row r="25" spans="1:30" s="65" customFormat="1" ht="12.75" customHeight="1" x14ac:dyDescent="0.25">
      <c r="A25" s="61">
        <v>93</v>
      </c>
      <c r="B25" s="190">
        <v>98</v>
      </c>
      <c r="C25" s="190" t="str">
        <f t="shared" si="0"/>
        <v>93-98</v>
      </c>
      <c r="D25" s="191" t="s">
        <v>50</v>
      </c>
      <c r="E25" s="64">
        <v>71165.84</v>
      </c>
      <c r="F25" s="64"/>
      <c r="G25" s="64">
        <v>0</v>
      </c>
      <c r="H25" s="64">
        <v>0</v>
      </c>
      <c r="I25" s="64">
        <v>0</v>
      </c>
      <c r="J25" s="64"/>
      <c r="K25" s="64">
        <f t="shared" si="7"/>
        <v>71165.84</v>
      </c>
      <c r="M25" s="64">
        <v>70800</v>
      </c>
      <c r="N25" s="66">
        <f t="shared" si="6"/>
        <v>1.0051672316384179</v>
      </c>
      <c r="R25" s="67">
        <f t="shared" si="8"/>
        <v>1992.6435199999996</v>
      </c>
      <c r="S25" s="67">
        <f t="shared" si="9"/>
        <v>498.16087999999991</v>
      </c>
      <c r="T25" s="67">
        <f t="shared" si="10"/>
        <v>355.82920000000001</v>
      </c>
      <c r="U25" s="208"/>
      <c r="AA25" s="208"/>
      <c r="AB25" s="208"/>
      <c r="AD25" s="208"/>
    </row>
    <row r="26" spans="1:30" s="65" customFormat="1" ht="12.75" customHeight="1" x14ac:dyDescent="0.25">
      <c r="A26" s="61">
        <v>93</v>
      </c>
      <c r="B26" s="190">
        <v>100</v>
      </c>
      <c r="C26" s="190" t="str">
        <f t="shared" si="0"/>
        <v>93-100</v>
      </c>
      <c r="D26" s="191" t="s">
        <v>491</v>
      </c>
      <c r="E26" s="64">
        <v>71746.89</v>
      </c>
      <c r="F26" s="64"/>
      <c r="G26" s="64">
        <v>0</v>
      </c>
      <c r="H26" s="64">
        <v>0</v>
      </c>
      <c r="I26" s="64">
        <v>0</v>
      </c>
      <c r="J26" s="64"/>
      <c r="K26" s="64">
        <f t="shared" si="7"/>
        <v>71746.89</v>
      </c>
      <c r="M26" s="64">
        <v>70800</v>
      </c>
      <c r="N26" s="66">
        <f t="shared" si="6"/>
        <v>1.013374152542373</v>
      </c>
      <c r="R26" s="67">
        <f t="shared" si="8"/>
        <v>2008.9129199999998</v>
      </c>
      <c r="S26" s="67">
        <f t="shared" si="9"/>
        <v>502.22822999999994</v>
      </c>
      <c r="T26" s="67">
        <f t="shared" si="10"/>
        <v>358.73444999999998</v>
      </c>
      <c r="U26" s="208"/>
      <c r="AA26" s="208"/>
      <c r="AB26" s="208"/>
      <c r="AD26" s="208"/>
    </row>
    <row r="27" spans="1:30" ht="12.75" customHeight="1" x14ac:dyDescent="0.25">
      <c r="A27" s="49">
        <v>93</v>
      </c>
      <c r="B27" s="50"/>
      <c r="C27" s="50" t="str">
        <f t="shared" si="0"/>
        <v>93-</v>
      </c>
      <c r="D27" s="51"/>
      <c r="E27" s="52">
        <v>0</v>
      </c>
      <c r="G27" s="52">
        <v>0</v>
      </c>
      <c r="H27" s="52">
        <v>0</v>
      </c>
      <c r="I27" s="52">
        <v>0</v>
      </c>
      <c r="K27" s="52">
        <f t="shared" si="7"/>
        <v>0</v>
      </c>
      <c r="M27" s="52"/>
      <c r="N27" s="53">
        <f t="shared" si="6"/>
        <v>0</v>
      </c>
      <c r="R27" s="56">
        <f>SUM(R19:R26)</f>
        <v>11469.69124</v>
      </c>
      <c r="S27" s="56">
        <f>SUM(S19:S26)</f>
        <v>2867.42281</v>
      </c>
      <c r="T27" s="56">
        <f>SUM(T19:T26)</f>
        <v>1429.6208999999999</v>
      </c>
    </row>
    <row r="28" spans="1:30" ht="12.75" customHeight="1" x14ac:dyDescent="0.25">
      <c r="A28" s="49">
        <v>93</v>
      </c>
      <c r="B28" s="50"/>
      <c r="C28" s="50" t="str">
        <f t="shared" si="0"/>
        <v>93-</v>
      </c>
      <c r="D28" s="51"/>
      <c r="E28" s="52">
        <v>0</v>
      </c>
      <c r="G28" s="52">
        <v>0</v>
      </c>
      <c r="H28" s="52">
        <v>0</v>
      </c>
      <c r="I28" s="52">
        <v>0</v>
      </c>
      <c r="K28" s="52">
        <f t="shared" si="7"/>
        <v>0</v>
      </c>
      <c r="M28" s="52"/>
      <c r="N28" s="53">
        <f t="shared" si="6"/>
        <v>0</v>
      </c>
    </row>
    <row r="29" spans="1:30" ht="12.75" customHeight="1" x14ac:dyDescent="0.25">
      <c r="A29" s="49">
        <v>93</v>
      </c>
      <c r="B29" s="50"/>
      <c r="C29" s="50" t="str">
        <f t="shared" si="0"/>
        <v>93-</v>
      </c>
      <c r="D29" s="51"/>
      <c r="E29" s="52">
        <v>0</v>
      </c>
      <c r="G29" s="52">
        <v>0</v>
      </c>
      <c r="H29" s="52">
        <v>0</v>
      </c>
      <c r="I29" s="52">
        <v>0</v>
      </c>
      <c r="K29" s="52">
        <f t="shared" si="7"/>
        <v>0</v>
      </c>
      <c r="M29" s="52"/>
      <c r="N29" s="53">
        <f t="shared" si="6"/>
        <v>0</v>
      </c>
    </row>
    <row r="30" spans="1:30" ht="12.75" customHeight="1" x14ac:dyDescent="0.25">
      <c r="A30" s="57" t="s">
        <v>459</v>
      </c>
      <c r="B30" s="58"/>
      <c r="C30" s="50" t="str">
        <f t="shared" si="0"/>
        <v>Total-</v>
      </c>
      <c r="D30" s="57"/>
      <c r="E30" s="59">
        <v>481245.80000000005</v>
      </c>
      <c r="F30" s="59">
        <v>0</v>
      </c>
      <c r="G30" s="59">
        <v>0</v>
      </c>
      <c r="H30" s="59">
        <v>199.99</v>
      </c>
      <c r="I30" s="59">
        <v>0</v>
      </c>
      <c r="J30" s="59">
        <v>0</v>
      </c>
      <c r="K30" s="59">
        <f>SUM(K19:K29)</f>
        <v>410039.80000000005</v>
      </c>
      <c r="M30" s="59">
        <f>SUM(M19:M29)</f>
        <v>495600</v>
      </c>
    </row>
    <row r="31" spans="1:30" ht="12.75" customHeight="1" x14ac:dyDescent="0.25">
      <c r="C31" s="50" t="str">
        <f t="shared" si="0"/>
        <v>-</v>
      </c>
    </row>
    <row r="32" spans="1:30" ht="12.75" customHeight="1" x14ac:dyDescent="0.25">
      <c r="C32" s="50" t="str">
        <f t="shared" si="0"/>
        <v>-</v>
      </c>
    </row>
    <row r="33" spans="1:20" ht="12.75" customHeight="1" x14ac:dyDescent="0.25">
      <c r="C33" s="50" t="str">
        <f t="shared" si="0"/>
        <v>-</v>
      </c>
    </row>
    <row r="34" spans="1:20" ht="12.75" customHeight="1" x14ac:dyDescent="0.25">
      <c r="C34" s="50" t="str">
        <f t="shared" si="0"/>
        <v>-</v>
      </c>
    </row>
    <row r="35" spans="1:20" ht="12.75" customHeight="1" x14ac:dyDescent="0.25">
      <c r="A35" s="44" t="s">
        <v>454</v>
      </c>
      <c r="B35" s="45" t="s">
        <v>472</v>
      </c>
      <c r="C35" s="50" t="str">
        <f t="shared" si="0"/>
        <v>Loja-Cod</v>
      </c>
      <c r="D35" s="44" t="s">
        <v>473</v>
      </c>
      <c r="E35" s="45" t="s">
        <v>474</v>
      </c>
      <c r="F35" s="45" t="s">
        <v>475</v>
      </c>
      <c r="G35" s="45" t="s">
        <v>476</v>
      </c>
      <c r="H35" s="45" t="s">
        <v>477</v>
      </c>
      <c r="I35" s="45" t="s">
        <v>478</v>
      </c>
      <c r="J35" s="45" t="s">
        <v>479</v>
      </c>
      <c r="K35" s="45" t="s">
        <v>480</v>
      </c>
      <c r="M35" s="47" t="s">
        <v>481</v>
      </c>
      <c r="N35" s="47" t="s">
        <v>482</v>
      </c>
      <c r="P35" s="45" t="s">
        <v>483</v>
      </c>
      <c r="R35" s="48" t="s">
        <v>484</v>
      </c>
      <c r="S35" s="48" t="s">
        <v>466</v>
      </c>
      <c r="T35" s="48" t="s">
        <v>485</v>
      </c>
    </row>
    <row r="36" spans="1:20" ht="12.75" customHeight="1" x14ac:dyDescent="0.25">
      <c r="A36" s="49">
        <v>94</v>
      </c>
      <c r="B36" s="50">
        <v>34</v>
      </c>
      <c r="C36" s="50" t="str">
        <f t="shared" si="0"/>
        <v>94-34</v>
      </c>
      <c r="D36" s="51" t="s">
        <v>62</v>
      </c>
      <c r="E36" s="52">
        <v>1033.8699999999999</v>
      </c>
      <c r="G36" s="52">
        <v>0</v>
      </c>
      <c r="H36" s="52">
        <v>0</v>
      </c>
      <c r="I36" s="52">
        <v>0</v>
      </c>
      <c r="K36" s="52">
        <f t="shared" ref="K36:K46" si="11">SUM(E36:J36)</f>
        <v>1033.8699999999999</v>
      </c>
      <c r="M36" s="52"/>
      <c r="N36" s="53">
        <f t="shared" ref="N36:N46" si="12">IFERROR(K36/M36,)</f>
        <v>0</v>
      </c>
      <c r="P36" s="52">
        <v>155000</v>
      </c>
      <c r="R36" s="54">
        <v>0</v>
      </c>
      <c r="S36" s="54">
        <f>R36*25%</f>
        <v>0</v>
      </c>
      <c r="T36" s="54">
        <f>IF(N36&gt;1,K36*0.5%,0)</f>
        <v>0</v>
      </c>
    </row>
    <row r="37" spans="1:20" ht="12.75" customHeight="1" x14ac:dyDescent="0.25">
      <c r="A37" s="49">
        <v>94</v>
      </c>
      <c r="B37" s="50">
        <v>55</v>
      </c>
      <c r="C37" s="50" t="str">
        <f t="shared" si="0"/>
        <v>94-55</v>
      </c>
      <c r="D37" s="51" t="s">
        <v>64</v>
      </c>
      <c r="E37" s="52">
        <v>31923.96</v>
      </c>
      <c r="G37" s="52">
        <v>0</v>
      </c>
      <c r="H37" s="52">
        <v>999.99</v>
      </c>
      <c r="I37" s="52">
        <v>0</v>
      </c>
      <c r="K37" s="52">
        <f t="shared" si="11"/>
        <v>32923.949999999997</v>
      </c>
      <c r="M37" s="52">
        <v>45600</v>
      </c>
      <c r="N37" s="53">
        <f t="shared" si="12"/>
        <v>0.72201644736842097</v>
      </c>
      <c r="R37" s="54">
        <f>(K37*3.2%)</f>
        <v>1053.5663999999999</v>
      </c>
      <c r="S37" s="54">
        <f>R37*25%</f>
        <v>263.39159999999998</v>
      </c>
      <c r="T37" s="54">
        <f>IF(N37&gt;1,K37*0.5%,0)</f>
        <v>0</v>
      </c>
    </row>
    <row r="38" spans="1:20" ht="12.75" customHeight="1" x14ac:dyDescent="0.25">
      <c r="A38" s="49">
        <v>94</v>
      </c>
      <c r="B38" s="50">
        <v>3</v>
      </c>
      <c r="C38" s="50" t="str">
        <f t="shared" si="0"/>
        <v>94-3</v>
      </c>
      <c r="D38" s="51" t="s">
        <v>492</v>
      </c>
      <c r="E38" s="52">
        <v>54707.97</v>
      </c>
      <c r="G38" s="52">
        <v>0</v>
      </c>
      <c r="H38" s="52">
        <v>499.98</v>
      </c>
      <c r="I38" s="52">
        <v>399.99</v>
      </c>
      <c r="K38" s="52">
        <f t="shared" si="11"/>
        <v>55607.94</v>
      </c>
      <c r="M38" s="52">
        <v>45600</v>
      </c>
      <c r="N38" s="53">
        <f t="shared" si="12"/>
        <v>1.2194723684210527</v>
      </c>
      <c r="R38" s="54">
        <f>(K38*4.5%)</f>
        <v>2502.3573000000001</v>
      </c>
      <c r="S38" s="54">
        <f>R38*25%</f>
        <v>625.58932500000003</v>
      </c>
      <c r="T38" s="54">
        <f>IF(N38&gt;1,K38*0.5%,0)</f>
        <v>278.03970000000004</v>
      </c>
    </row>
    <row r="39" spans="1:20" ht="12.75" customHeight="1" x14ac:dyDescent="0.25">
      <c r="A39" s="49">
        <v>94</v>
      </c>
      <c r="B39" s="50">
        <v>66</v>
      </c>
      <c r="C39" s="50" t="str">
        <f t="shared" si="0"/>
        <v>94-66</v>
      </c>
      <c r="D39" s="51" t="s">
        <v>66</v>
      </c>
      <c r="E39" s="52">
        <v>32006.04</v>
      </c>
      <c r="G39" s="52">
        <v>0</v>
      </c>
      <c r="H39" s="52">
        <v>0</v>
      </c>
      <c r="I39" s="52">
        <v>0</v>
      </c>
      <c r="K39" s="52">
        <f t="shared" si="11"/>
        <v>32006.04</v>
      </c>
      <c r="M39" s="52">
        <v>45600</v>
      </c>
      <c r="N39" s="53">
        <f t="shared" si="12"/>
        <v>0.7018868421052632</v>
      </c>
      <c r="R39" s="54">
        <f>(K39*3.2%)</f>
        <v>1024.19328</v>
      </c>
      <c r="S39" s="54">
        <f>R39*25%</f>
        <v>256.04831999999999</v>
      </c>
      <c r="T39" s="54">
        <f>IF(N39&gt;1,K39*0.5%,0)</f>
        <v>0</v>
      </c>
    </row>
    <row r="40" spans="1:20" ht="12.75" customHeight="1" x14ac:dyDescent="0.25">
      <c r="A40" s="49">
        <v>94</v>
      </c>
      <c r="B40" s="50">
        <v>68</v>
      </c>
      <c r="C40" s="50" t="str">
        <f t="shared" si="0"/>
        <v>94-68</v>
      </c>
      <c r="D40" s="51" t="s">
        <v>69</v>
      </c>
      <c r="E40" s="52">
        <v>13381.18</v>
      </c>
      <c r="G40" s="52">
        <v>0</v>
      </c>
      <c r="H40" s="52">
        <v>0</v>
      </c>
      <c r="I40" s="52">
        <v>0</v>
      </c>
      <c r="K40" s="52">
        <f t="shared" si="11"/>
        <v>13381.18</v>
      </c>
      <c r="M40" s="52">
        <v>34200</v>
      </c>
      <c r="N40" s="53">
        <f t="shared" si="12"/>
        <v>0.3912625730994152</v>
      </c>
      <c r="R40" s="54">
        <f>(K40*3.2%)</f>
        <v>428.19776000000002</v>
      </c>
      <c r="S40" s="54">
        <f>R40*25%</f>
        <v>107.04944</v>
      </c>
      <c r="T40" s="54">
        <f>IF(N40&gt;1,K40*0.5%,0)</f>
        <v>0</v>
      </c>
    </row>
    <row r="41" spans="1:20" ht="12.75" customHeight="1" x14ac:dyDescent="0.25">
      <c r="A41" s="49">
        <v>94</v>
      </c>
      <c r="B41" s="50"/>
      <c r="C41" s="50" t="str">
        <f t="shared" si="0"/>
        <v>94-</v>
      </c>
      <c r="D41" s="51"/>
      <c r="E41" s="52">
        <v>0</v>
      </c>
      <c r="G41" s="52">
        <v>0</v>
      </c>
      <c r="H41" s="52">
        <v>0</v>
      </c>
      <c r="I41" s="52">
        <v>0</v>
      </c>
      <c r="K41" s="52">
        <f t="shared" si="11"/>
        <v>0</v>
      </c>
      <c r="M41" s="52"/>
      <c r="N41" s="53">
        <f t="shared" si="12"/>
        <v>0</v>
      </c>
      <c r="R41" s="56">
        <f>SUM(R36:R40)</f>
        <v>5008.3147400000007</v>
      </c>
      <c r="S41" s="56">
        <f>SUM(S36:S40)</f>
        <v>1252.0786850000002</v>
      </c>
      <c r="T41" s="56">
        <f>SUM(T36:T40)</f>
        <v>278.03970000000004</v>
      </c>
    </row>
    <row r="42" spans="1:20" ht="12.75" customHeight="1" x14ac:dyDescent="0.25">
      <c r="A42" s="49">
        <v>94</v>
      </c>
      <c r="B42" s="50"/>
      <c r="C42" s="50" t="str">
        <f t="shared" si="0"/>
        <v>94-</v>
      </c>
      <c r="D42" s="51"/>
      <c r="E42" s="52">
        <v>0</v>
      </c>
      <c r="G42" s="52">
        <v>0</v>
      </c>
      <c r="H42" s="52">
        <v>0</v>
      </c>
      <c r="I42" s="52">
        <v>0</v>
      </c>
      <c r="K42" s="52">
        <f t="shared" si="11"/>
        <v>0</v>
      </c>
      <c r="M42" s="52"/>
      <c r="N42" s="53">
        <f t="shared" si="12"/>
        <v>0</v>
      </c>
    </row>
    <row r="43" spans="1:20" ht="12.75" customHeight="1" x14ac:dyDescent="0.25">
      <c r="A43" s="49">
        <v>94</v>
      </c>
      <c r="B43" s="50"/>
      <c r="C43" s="50" t="str">
        <f t="shared" si="0"/>
        <v>94-</v>
      </c>
      <c r="D43" s="51"/>
      <c r="E43" s="52">
        <v>0</v>
      </c>
      <c r="G43" s="52">
        <v>0</v>
      </c>
      <c r="H43" s="52">
        <v>0</v>
      </c>
      <c r="I43" s="52">
        <v>0</v>
      </c>
      <c r="K43" s="52">
        <f t="shared" si="11"/>
        <v>0</v>
      </c>
      <c r="M43" s="52"/>
      <c r="N43" s="53">
        <f t="shared" si="12"/>
        <v>0</v>
      </c>
    </row>
    <row r="44" spans="1:20" ht="12.75" customHeight="1" x14ac:dyDescent="0.25">
      <c r="A44" s="49">
        <v>94</v>
      </c>
      <c r="B44" s="50"/>
      <c r="C44" s="50" t="str">
        <f t="shared" si="0"/>
        <v>94-</v>
      </c>
      <c r="D44" s="51"/>
      <c r="E44" s="52">
        <v>0</v>
      </c>
      <c r="G44" s="52">
        <v>0</v>
      </c>
      <c r="H44" s="52">
        <v>0</v>
      </c>
      <c r="I44" s="52">
        <v>0</v>
      </c>
      <c r="K44" s="52">
        <f t="shared" si="11"/>
        <v>0</v>
      </c>
      <c r="M44" s="52"/>
      <c r="N44" s="53">
        <f t="shared" si="12"/>
        <v>0</v>
      </c>
    </row>
    <row r="45" spans="1:20" ht="12.75" customHeight="1" x14ac:dyDescent="0.25">
      <c r="A45" s="49">
        <v>94</v>
      </c>
      <c r="B45" s="50"/>
      <c r="C45" s="50" t="str">
        <f t="shared" si="0"/>
        <v>94-</v>
      </c>
      <c r="D45" s="51"/>
      <c r="E45" s="52">
        <v>0</v>
      </c>
      <c r="G45" s="52">
        <v>0</v>
      </c>
      <c r="H45" s="52">
        <v>0</v>
      </c>
      <c r="I45" s="52">
        <v>0</v>
      </c>
      <c r="K45" s="52">
        <f t="shared" si="11"/>
        <v>0</v>
      </c>
      <c r="M45" s="52"/>
      <c r="N45" s="53">
        <f t="shared" si="12"/>
        <v>0</v>
      </c>
    </row>
    <row r="46" spans="1:20" ht="12.75" customHeight="1" x14ac:dyDescent="0.25">
      <c r="A46" s="49">
        <v>94</v>
      </c>
      <c r="B46" s="50"/>
      <c r="C46" s="50" t="str">
        <f t="shared" si="0"/>
        <v>94-</v>
      </c>
      <c r="D46" s="51"/>
      <c r="E46" s="52">
        <v>0</v>
      </c>
      <c r="G46" s="52">
        <v>0</v>
      </c>
      <c r="H46" s="52">
        <v>0</v>
      </c>
      <c r="I46" s="52">
        <v>0</v>
      </c>
      <c r="K46" s="52">
        <f t="shared" si="11"/>
        <v>0</v>
      </c>
      <c r="M46" s="52"/>
      <c r="N46" s="53">
        <f t="shared" si="12"/>
        <v>0</v>
      </c>
    </row>
    <row r="47" spans="1:20" ht="12.75" customHeight="1" x14ac:dyDescent="0.25">
      <c r="A47" s="57" t="s">
        <v>459</v>
      </c>
      <c r="B47" s="58"/>
      <c r="C47" s="50" t="str">
        <f t="shared" si="0"/>
        <v>Total-</v>
      </c>
      <c r="D47" s="57"/>
      <c r="E47" s="59">
        <v>133053.01999999999</v>
      </c>
      <c r="F47" s="59">
        <v>0</v>
      </c>
      <c r="G47" s="59">
        <v>0</v>
      </c>
      <c r="H47" s="59">
        <v>1499.97</v>
      </c>
      <c r="I47" s="59">
        <v>399.99</v>
      </c>
      <c r="J47" s="59">
        <v>0</v>
      </c>
      <c r="K47" s="59">
        <f>SUM(K36:K46)</f>
        <v>134952.98000000001</v>
      </c>
      <c r="M47" s="59">
        <f>SUM(M36:M46)</f>
        <v>171000</v>
      </c>
    </row>
    <row r="48" spans="1:20" ht="12.75" customHeight="1" x14ac:dyDescent="0.25">
      <c r="C48" s="50" t="str">
        <f t="shared" si="0"/>
        <v>-</v>
      </c>
    </row>
    <row r="49" spans="1:20" ht="12.75" customHeight="1" x14ac:dyDescent="0.25">
      <c r="C49" s="50" t="str">
        <f t="shared" si="0"/>
        <v>-</v>
      </c>
    </row>
    <row r="50" spans="1:20" ht="12.75" customHeight="1" x14ac:dyDescent="0.25">
      <c r="C50" s="50" t="str">
        <f t="shared" si="0"/>
        <v>-</v>
      </c>
    </row>
    <row r="51" spans="1:20" ht="12.75" customHeight="1" x14ac:dyDescent="0.25">
      <c r="C51" s="50" t="str">
        <f t="shared" si="0"/>
        <v>-</v>
      </c>
    </row>
    <row r="52" spans="1:20" ht="12.75" customHeight="1" x14ac:dyDescent="0.25">
      <c r="A52" s="44" t="s">
        <v>454</v>
      </c>
      <c r="B52" s="45" t="s">
        <v>472</v>
      </c>
      <c r="C52" s="50" t="str">
        <f t="shared" si="0"/>
        <v>Loja-Cod</v>
      </c>
      <c r="D52" s="44" t="s">
        <v>473</v>
      </c>
      <c r="E52" s="45" t="s">
        <v>474</v>
      </c>
      <c r="F52" s="45" t="s">
        <v>475</v>
      </c>
      <c r="G52" s="45" t="s">
        <v>476</v>
      </c>
      <c r="H52" s="45" t="s">
        <v>477</v>
      </c>
      <c r="I52" s="45" t="s">
        <v>478</v>
      </c>
      <c r="J52" s="45" t="s">
        <v>479</v>
      </c>
      <c r="K52" s="45" t="s">
        <v>480</v>
      </c>
      <c r="M52" s="47" t="s">
        <v>481</v>
      </c>
      <c r="N52" s="47" t="s">
        <v>482</v>
      </c>
      <c r="P52" s="45" t="s">
        <v>483</v>
      </c>
      <c r="R52" s="48" t="s">
        <v>484</v>
      </c>
      <c r="S52" s="48" t="s">
        <v>466</v>
      </c>
      <c r="T52" s="48" t="s">
        <v>485</v>
      </c>
    </row>
    <row r="53" spans="1:20" ht="12.75" customHeight="1" x14ac:dyDescent="0.25">
      <c r="A53" s="49">
        <v>95</v>
      </c>
      <c r="B53" s="50">
        <v>59</v>
      </c>
      <c r="C53" s="50" t="str">
        <f t="shared" si="0"/>
        <v>95-59</v>
      </c>
      <c r="D53" s="51" t="s">
        <v>493</v>
      </c>
      <c r="E53" s="52">
        <v>65751.53</v>
      </c>
      <c r="G53" s="52">
        <v>0</v>
      </c>
      <c r="H53" s="52">
        <v>549.99</v>
      </c>
      <c r="I53" s="52">
        <v>0</v>
      </c>
      <c r="K53" s="52">
        <f t="shared" ref="K53:K63" si="13">SUM(E53:J53)</f>
        <v>66301.52</v>
      </c>
      <c r="M53" s="52">
        <v>68750</v>
      </c>
      <c r="N53" s="53">
        <f t="shared" ref="N53:N63" si="14">IFERROR(K53/M53,)</f>
        <v>0.96438574545454547</v>
      </c>
      <c r="P53" s="52">
        <v>250000</v>
      </c>
      <c r="R53" s="54">
        <f>(K53*3.2%)</f>
        <v>2121.6486400000003</v>
      </c>
      <c r="S53" s="54">
        <f>R53*25%</f>
        <v>530.41216000000009</v>
      </c>
      <c r="T53" s="54">
        <f>IF(N53&gt;1,K53*0.5%,0)</f>
        <v>0</v>
      </c>
    </row>
    <row r="54" spans="1:20" ht="12.75" customHeight="1" x14ac:dyDescent="0.25">
      <c r="A54" s="49">
        <v>95</v>
      </c>
      <c r="B54" s="50">
        <v>84</v>
      </c>
      <c r="C54" s="50" t="str">
        <f t="shared" si="0"/>
        <v>95-84</v>
      </c>
      <c r="D54" s="51" t="s">
        <v>494</v>
      </c>
      <c r="E54" s="52">
        <v>326.98</v>
      </c>
      <c r="G54" s="52">
        <v>0</v>
      </c>
      <c r="H54" s="52">
        <v>0</v>
      </c>
      <c r="I54" s="52">
        <v>0</v>
      </c>
      <c r="K54" s="52">
        <f t="shared" si="13"/>
        <v>326.98</v>
      </c>
      <c r="M54" s="52"/>
      <c r="N54" s="53">
        <f t="shared" si="14"/>
        <v>0</v>
      </c>
      <c r="R54" s="54">
        <v>0</v>
      </c>
      <c r="S54" s="54">
        <f>R54*25%</f>
        <v>0</v>
      </c>
      <c r="T54" s="54">
        <f>IF(N54&gt;1,K54*0.5%,0)</f>
        <v>0</v>
      </c>
    </row>
    <row r="55" spans="1:20" ht="12.75" customHeight="1" x14ac:dyDescent="0.25">
      <c r="A55" s="49">
        <v>95</v>
      </c>
      <c r="B55" s="50">
        <v>85</v>
      </c>
      <c r="C55" s="50" t="str">
        <f t="shared" si="0"/>
        <v>95-85</v>
      </c>
      <c r="D55" s="51" t="s">
        <v>81</v>
      </c>
      <c r="E55" s="52">
        <v>50344.27</v>
      </c>
      <c r="G55" s="52">
        <v>0</v>
      </c>
      <c r="H55" s="52">
        <v>0</v>
      </c>
      <c r="I55" s="52">
        <v>0</v>
      </c>
      <c r="K55" s="52">
        <f t="shared" si="13"/>
        <v>50344.27</v>
      </c>
      <c r="M55" s="52">
        <v>68750</v>
      </c>
      <c r="N55" s="53">
        <f t="shared" si="14"/>
        <v>0.73228029090909086</v>
      </c>
      <c r="R55" s="54">
        <f>(K55*3.2%)</f>
        <v>1611.0166399999998</v>
      </c>
      <c r="S55" s="54">
        <f>R55*25%</f>
        <v>402.75415999999996</v>
      </c>
      <c r="T55" s="54">
        <f>IF(N55&gt;1,K55*0.5%,0)</f>
        <v>0</v>
      </c>
    </row>
    <row r="56" spans="1:20" ht="12.75" customHeight="1" x14ac:dyDescent="0.25">
      <c r="A56" s="49">
        <v>95</v>
      </c>
      <c r="B56" s="60">
        <v>88</v>
      </c>
      <c r="C56" s="50" t="str">
        <f t="shared" si="0"/>
        <v>95-88</v>
      </c>
      <c r="D56" s="51" t="s">
        <v>83</v>
      </c>
      <c r="E56" s="52">
        <v>53224.79</v>
      </c>
      <c r="G56" s="52">
        <v>0</v>
      </c>
      <c r="H56" s="52">
        <v>0</v>
      </c>
      <c r="I56" s="52">
        <v>0</v>
      </c>
      <c r="K56" s="52">
        <f t="shared" si="13"/>
        <v>53224.79</v>
      </c>
      <c r="M56" s="52">
        <v>68750</v>
      </c>
      <c r="N56" s="53">
        <f t="shared" si="14"/>
        <v>0.77417876363636362</v>
      </c>
      <c r="R56" s="54">
        <f>(K56*3.2%)</f>
        <v>1703.19328</v>
      </c>
      <c r="S56" s="54">
        <f>R56*25%</f>
        <v>425.79831999999999</v>
      </c>
      <c r="T56" s="54">
        <f>IF(N56&gt;1,K56*0.5%,0)</f>
        <v>0</v>
      </c>
    </row>
    <row r="57" spans="1:20" ht="12.75" customHeight="1" x14ac:dyDescent="0.25">
      <c r="A57" s="49">
        <v>95</v>
      </c>
      <c r="B57" s="50">
        <v>56</v>
      </c>
      <c r="C57" s="50" t="str">
        <f t="shared" si="0"/>
        <v>95-56</v>
      </c>
      <c r="D57" s="51" t="s">
        <v>495</v>
      </c>
      <c r="E57" s="52">
        <v>78591.429999999993</v>
      </c>
      <c r="G57" s="52">
        <v>0</v>
      </c>
      <c r="H57" s="52">
        <v>649.99</v>
      </c>
      <c r="I57" s="52">
        <v>899.97</v>
      </c>
      <c r="K57" s="52">
        <f t="shared" si="13"/>
        <v>80141.39</v>
      </c>
      <c r="M57" s="52">
        <v>68750</v>
      </c>
      <c r="N57" s="53">
        <f t="shared" si="14"/>
        <v>1.1656929454545455</v>
      </c>
      <c r="R57" s="54">
        <f>(K57*3.2%)</f>
        <v>2564.52448</v>
      </c>
      <c r="S57" s="54">
        <f>R57*25%</f>
        <v>641.13112000000001</v>
      </c>
      <c r="T57" s="54">
        <f>IF(N57&gt;1,K57*0.5%,0)</f>
        <v>400.70695000000001</v>
      </c>
    </row>
    <row r="58" spans="1:20" ht="12.75" customHeight="1" x14ac:dyDescent="0.25">
      <c r="A58" s="49">
        <v>95</v>
      </c>
      <c r="B58" s="50"/>
      <c r="C58" s="50" t="str">
        <f t="shared" si="0"/>
        <v>95-</v>
      </c>
      <c r="D58" s="51"/>
      <c r="E58" s="52">
        <v>0</v>
      </c>
      <c r="G58" s="52">
        <v>0</v>
      </c>
      <c r="H58" s="52">
        <v>0</v>
      </c>
      <c r="I58" s="52">
        <v>0</v>
      </c>
      <c r="K58" s="52">
        <f t="shared" si="13"/>
        <v>0</v>
      </c>
      <c r="M58" s="52"/>
      <c r="N58" s="53">
        <f t="shared" si="14"/>
        <v>0</v>
      </c>
      <c r="R58" s="56">
        <f>SUM(R53:R57)</f>
        <v>8000.3830400000006</v>
      </c>
      <c r="S58" s="56">
        <f>SUM(S53:S57)</f>
        <v>2000.0957600000002</v>
      </c>
      <c r="T58" s="56">
        <f>SUM(T53:T57)</f>
        <v>400.70695000000001</v>
      </c>
    </row>
    <row r="59" spans="1:20" ht="12.75" customHeight="1" x14ac:dyDescent="0.25">
      <c r="A59" s="49">
        <v>95</v>
      </c>
      <c r="B59" s="50"/>
      <c r="C59" s="50" t="str">
        <f t="shared" si="0"/>
        <v>95-</v>
      </c>
      <c r="D59" s="51"/>
      <c r="E59" s="52">
        <v>0</v>
      </c>
      <c r="G59" s="52">
        <v>0</v>
      </c>
      <c r="H59" s="52">
        <v>0</v>
      </c>
      <c r="I59" s="52">
        <v>0</v>
      </c>
      <c r="K59" s="52">
        <f t="shared" si="13"/>
        <v>0</v>
      </c>
      <c r="M59" s="52"/>
      <c r="N59" s="53">
        <f t="shared" si="14"/>
        <v>0</v>
      </c>
    </row>
    <row r="60" spans="1:20" ht="12.75" customHeight="1" x14ac:dyDescent="0.25">
      <c r="A60" s="49">
        <v>95</v>
      </c>
      <c r="B60" s="50"/>
      <c r="C60" s="50" t="str">
        <f t="shared" si="0"/>
        <v>95-</v>
      </c>
      <c r="D60" s="51"/>
      <c r="E60" s="52">
        <v>0</v>
      </c>
      <c r="G60" s="52">
        <v>0</v>
      </c>
      <c r="H60" s="52">
        <v>0</v>
      </c>
      <c r="I60" s="52">
        <v>0</v>
      </c>
      <c r="K60" s="52">
        <f t="shared" si="13"/>
        <v>0</v>
      </c>
      <c r="M60" s="52"/>
      <c r="N60" s="53">
        <f t="shared" si="14"/>
        <v>0</v>
      </c>
    </row>
    <row r="61" spans="1:20" ht="12.75" customHeight="1" x14ac:dyDescent="0.25">
      <c r="A61" s="49">
        <v>95</v>
      </c>
      <c r="B61" s="50"/>
      <c r="C61" s="50" t="str">
        <f t="shared" si="0"/>
        <v>95-</v>
      </c>
      <c r="D61" s="51"/>
      <c r="E61" s="52">
        <v>0</v>
      </c>
      <c r="G61" s="52">
        <v>0</v>
      </c>
      <c r="H61" s="52">
        <v>0</v>
      </c>
      <c r="I61" s="52">
        <v>0</v>
      </c>
      <c r="K61" s="52">
        <f t="shared" si="13"/>
        <v>0</v>
      </c>
      <c r="M61" s="52"/>
      <c r="N61" s="53">
        <f t="shared" si="14"/>
        <v>0</v>
      </c>
    </row>
    <row r="62" spans="1:20" ht="12.75" customHeight="1" x14ac:dyDescent="0.25">
      <c r="A62" s="49">
        <v>95</v>
      </c>
      <c r="B62" s="50"/>
      <c r="C62" s="50" t="str">
        <f t="shared" si="0"/>
        <v>95-</v>
      </c>
      <c r="D62" s="51"/>
      <c r="E62" s="52">
        <v>0</v>
      </c>
      <c r="G62" s="52">
        <v>0</v>
      </c>
      <c r="H62" s="52">
        <v>0</v>
      </c>
      <c r="I62" s="52">
        <v>0</v>
      </c>
      <c r="K62" s="52">
        <f t="shared" si="13"/>
        <v>0</v>
      </c>
      <c r="M62" s="52"/>
      <c r="N62" s="53">
        <f t="shared" si="14"/>
        <v>0</v>
      </c>
    </row>
    <row r="63" spans="1:20" ht="12.75" customHeight="1" x14ac:dyDescent="0.25">
      <c r="A63" s="49">
        <v>95</v>
      </c>
      <c r="B63" s="50"/>
      <c r="C63" s="50" t="str">
        <f t="shared" si="0"/>
        <v>95-</v>
      </c>
      <c r="D63" s="51"/>
      <c r="E63" s="52">
        <v>0</v>
      </c>
      <c r="G63" s="52">
        <v>0</v>
      </c>
      <c r="H63" s="52">
        <v>0</v>
      </c>
      <c r="I63" s="52">
        <v>0</v>
      </c>
      <c r="K63" s="52">
        <f t="shared" si="13"/>
        <v>0</v>
      </c>
      <c r="M63" s="52"/>
      <c r="N63" s="53">
        <f t="shared" si="14"/>
        <v>0</v>
      </c>
    </row>
    <row r="64" spans="1:20" ht="12.75" customHeight="1" x14ac:dyDescent="0.25">
      <c r="A64" s="57" t="s">
        <v>459</v>
      </c>
      <c r="B64" s="58"/>
      <c r="C64" s="50" t="str">
        <f t="shared" si="0"/>
        <v>Total-</v>
      </c>
      <c r="D64" s="57"/>
      <c r="E64" s="59">
        <v>248239</v>
      </c>
      <c r="F64" s="59">
        <v>0</v>
      </c>
      <c r="G64" s="59">
        <v>0</v>
      </c>
      <c r="H64" s="59">
        <v>1199.98</v>
      </c>
      <c r="I64" s="59">
        <v>899.97</v>
      </c>
      <c r="J64" s="59">
        <v>0</v>
      </c>
      <c r="K64" s="59">
        <f>SUM(K53:K63)</f>
        <v>250338.95</v>
      </c>
      <c r="M64" s="59">
        <f>SUM(M53:M63)</f>
        <v>275000</v>
      </c>
    </row>
    <row r="65" spans="1:20" ht="12.75" customHeight="1" x14ac:dyDescent="0.25">
      <c r="C65" s="50" t="str">
        <f t="shared" si="0"/>
        <v>-</v>
      </c>
    </row>
    <row r="66" spans="1:20" ht="12.75" customHeight="1" x14ac:dyDescent="0.25">
      <c r="C66" s="50" t="str">
        <f t="shared" si="0"/>
        <v>-</v>
      </c>
    </row>
    <row r="67" spans="1:20" ht="12.75" customHeight="1" x14ac:dyDescent="0.25">
      <c r="C67" s="50" t="str">
        <f t="shared" si="0"/>
        <v>-</v>
      </c>
    </row>
    <row r="68" spans="1:20" ht="12.75" customHeight="1" x14ac:dyDescent="0.25">
      <c r="A68" s="44" t="s">
        <v>454</v>
      </c>
      <c r="B68" s="45" t="s">
        <v>472</v>
      </c>
      <c r="C68" s="50" t="str">
        <f t="shared" ref="C68:C131" si="15">CONCATENATE(A68,"-",B68)</f>
        <v>Loja-Cod</v>
      </c>
      <c r="D68" s="44" t="s">
        <v>473</v>
      </c>
      <c r="E68" s="45" t="s">
        <v>474</v>
      </c>
      <c r="F68" s="45" t="s">
        <v>475</v>
      </c>
      <c r="G68" s="45" t="s">
        <v>476</v>
      </c>
      <c r="H68" s="45" t="s">
        <v>477</v>
      </c>
      <c r="I68" s="45" t="s">
        <v>478</v>
      </c>
      <c r="J68" s="45" t="s">
        <v>479</v>
      </c>
      <c r="K68" s="45" t="s">
        <v>480</v>
      </c>
      <c r="M68" s="47" t="s">
        <v>481</v>
      </c>
      <c r="N68" s="47" t="s">
        <v>482</v>
      </c>
      <c r="P68" s="45" t="s">
        <v>483</v>
      </c>
      <c r="R68" s="48" t="s">
        <v>484</v>
      </c>
      <c r="S68" s="48" t="s">
        <v>466</v>
      </c>
      <c r="T68" s="48" t="s">
        <v>485</v>
      </c>
    </row>
    <row r="69" spans="1:20" ht="12.75" customHeight="1" x14ac:dyDescent="0.25">
      <c r="A69" s="49">
        <v>103</v>
      </c>
      <c r="B69" s="50">
        <v>185</v>
      </c>
      <c r="C69" s="50" t="str">
        <f t="shared" si="15"/>
        <v>103-185</v>
      </c>
      <c r="D69" s="51" t="s">
        <v>87</v>
      </c>
      <c r="E69" s="52">
        <v>63276.85</v>
      </c>
      <c r="G69" s="52">
        <v>0</v>
      </c>
      <c r="H69" s="52">
        <v>2479.9700000000003</v>
      </c>
      <c r="I69" s="52">
        <v>0</v>
      </c>
      <c r="K69" s="52">
        <f t="shared" ref="K69:K79" si="16">SUM(E69:J69)</f>
        <v>65756.819999999992</v>
      </c>
      <c r="M69" s="52">
        <v>64900</v>
      </c>
      <c r="N69" s="53">
        <f t="shared" ref="N69:N79" si="17">IFERROR(K69/M69,)</f>
        <v>1.0132021571648688</v>
      </c>
      <c r="P69" s="52">
        <v>295000</v>
      </c>
      <c r="R69" s="54">
        <f t="shared" ref="R69:R74" si="18">(K69*3.2%)</f>
        <v>2104.2182399999997</v>
      </c>
      <c r="S69" s="54">
        <f t="shared" ref="S69:S74" si="19">R69*25%</f>
        <v>526.05455999999992</v>
      </c>
      <c r="T69" s="54">
        <f t="shared" ref="T69:T74" si="20">IF(N69&gt;1,K69*0.5%,0)</f>
        <v>328.78409999999997</v>
      </c>
    </row>
    <row r="70" spans="1:20" ht="12.75" customHeight="1" x14ac:dyDescent="0.25">
      <c r="A70" s="49">
        <v>103</v>
      </c>
      <c r="B70" s="50">
        <v>187</v>
      </c>
      <c r="C70" s="50" t="str">
        <f t="shared" si="15"/>
        <v>103-187</v>
      </c>
      <c r="D70" s="51" t="s">
        <v>496</v>
      </c>
      <c r="E70" s="52">
        <v>65459.61</v>
      </c>
      <c r="G70" s="52">
        <v>0</v>
      </c>
      <c r="H70" s="52">
        <v>0</v>
      </c>
      <c r="I70" s="52">
        <v>0</v>
      </c>
      <c r="K70" s="52">
        <f t="shared" si="16"/>
        <v>65459.61</v>
      </c>
      <c r="M70" s="52">
        <v>64900</v>
      </c>
      <c r="N70" s="53">
        <f t="shared" si="17"/>
        <v>1.0086226502311249</v>
      </c>
      <c r="R70" s="54">
        <f t="shared" si="18"/>
        <v>2094.7075199999999</v>
      </c>
      <c r="S70" s="54">
        <f t="shared" si="19"/>
        <v>523.67687999999998</v>
      </c>
      <c r="T70" s="54">
        <f t="shared" si="20"/>
        <v>327.29804999999999</v>
      </c>
    </row>
    <row r="71" spans="1:20" ht="12.75" customHeight="1" x14ac:dyDescent="0.25">
      <c r="A71" s="49">
        <v>103</v>
      </c>
      <c r="B71" s="50">
        <v>193</v>
      </c>
      <c r="C71" s="50" t="str">
        <f t="shared" si="15"/>
        <v>103-193</v>
      </c>
      <c r="D71" s="51" t="s">
        <v>497</v>
      </c>
      <c r="E71" s="52">
        <v>63400.71</v>
      </c>
      <c r="G71" s="52">
        <v>0</v>
      </c>
      <c r="H71" s="52">
        <v>999.99</v>
      </c>
      <c r="I71" s="52">
        <v>3139.9300000000003</v>
      </c>
      <c r="K71" s="52">
        <f t="shared" si="16"/>
        <v>67540.63</v>
      </c>
      <c r="M71" s="52">
        <v>64900</v>
      </c>
      <c r="N71" s="53">
        <f t="shared" si="17"/>
        <v>1.0406876733436057</v>
      </c>
      <c r="R71" s="54">
        <f t="shared" si="18"/>
        <v>2161.3001600000002</v>
      </c>
      <c r="S71" s="54">
        <f t="shared" si="19"/>
        <v>540.32504000000006</v>
      </c>
      <c r="T71" s="54">
        <f t="shared" si="20"/>
        <v>337.70315000000005</v>
      </c>
    </row>
    <row r="72" spans="1:20" ht="12.75" customHeight="1" x14ac:dyDescent="0.25">
      <c r="A72" s="49">
        <v>103</v>
      </c>
      <c r="B72" s="50">
        <v>194</v>
      </c>
      <c r="C72" s="50" t="str">
        <f t="shared" si="15"/>
        <v>103-194</v>
      </c>
      <c r="D72" s="51" t="s">
        <v>498</v>
      </c>
      <c r="E72" s="52">
        <v>67736.149999999994</v>
      </c>
      <c r="G72" s="52">
        <v>0</v>
      </c>
      <c r="H72" s="52">
        <v>1159.97</v>
      </c>
      <c r="I72" s="52">
        <v>0</v>
      </c>
      <c r="K72" s="52">
        <f t="shared" si="16"/>
        <v>68896.12</v>
      </c>
      <c r="M72" s="52">
        <v>64900</v>
      </c>
      <c r="N72" s="53">
        <f t="shared" si="17"/>
        <v>1.0615734976887519</v>
      </c>
      <c r="R72" s="54">
        <f t="shared" si="18"/>
        <v>2204.6758399999999</v>
      </c>
      <c r="S72" s="54">
        <f t="shared" si="19"/>
        <v>551.16895999999997</v>
      </c>
      <c r="T72" s="54">
        <f t="shared" si="20"/>
        <v>344.48059999999998</v>
      </c>
    </row>
    <row r="73" spans="1:20" ht="12.75" customHeight="1" x14ac:dyDescent="0.25">
      <c r="A73" s="49">
        <v>103</v>
      </c>
      <c r="B73" s="50">
        <v>199</v>
      </c>
      <c r="C73" s="50" t="str">
        <f t="shared" si="15"/>
        <v>103-199</v>
      </c>
      <c r="D73" s="51" t="s">
        <v>499</v>
      </c>
      <c r="E73" s="52">
        <v>4386.45</v>
      </c>
      <c r="G73" s="52">
        <v>0</v>
      </c>
      <c r="H73" s="52">
        <v>0</v>
      </c>
      <c r="I73" s="52">
        <v>0</v>
      </c>
      <c r="K73" s="52">
        <f t="shared" si="16"/>
        <v>4386.45</v>
      </c>
      <c r="M73" s="52"/>
      <c r="N73" s="53">
        <f t="shared" si="17"/>
        <v>0</v>
      </c>
      <c r="R73" s="54">
        <v>0</v>
      </c>
      <c r="S73" s="54">
        <f t="shared" si="19"/>
        <v>0</v>
      </c>
      <c r="T73" s="54">
        <f t="shared" si="20"/>
        <v>0</v>
      </c>
    </row>
    <row r="74" spans="1:20" ht="12.75" customHeight="1" x14ac:dyDescent="0.25">
      <c r="A74" s="49">
        <v>103</v>
      </c>
      <c r="B74" s="50">
        <v>202</v>
      </c>
      <c r="C74" s="50" t="str">
        <f t="shared" si="15"/>
        <v>103-202</v>
      </c>
      <c r="D74" s="51" t="s">
        <v>99</v>
      </c>
      <c r="E74" s="52">
        <v>66083.289999999994</v>
      </c>
      <c r="G74" s="52">
        <v>0</v>
      </c>
      <c r="H74" s="52">
        <v>0</v>
      </c>
      <c r="I74" s="52">
        <v>0</v>
      </c>
      <c r="K74" s="52">
        <f t="shared" si="16"/>
        <v>66083.289999999994</v>
      </c>
      <c r="M74" s="52">
        <v>64900</v>
      </c>
      <c r="N74" s="53">
        <f t="shared" si="17"/>
        <v>1.0182325115562403</v>
      </c>
      <c r="R74" s="54">
        <f t="shared" si="18"/>
        <v>2114.6652799999997</v>
      </c>
      <c r="S74" s="54">
        <f t="shared" si="19"/>
        <v>528.66631999999993</v>
      </c>
      <c r="T74" s="54">
        <f t="shared" si="20"/>
        <v>330.41645</v>
      </c>
    </row>
    <row r="75" spans="1:20" ht="12.75" customHeight="1" x14ac:dyDescent="0.25">
      <c r="A75" s="49">
        <v>103</v>
      </c>
      <c r="B75" s="50"/>
      <c r="C75" s="50" t="str">
        <f t="shared" si="15"/>
        <v>103-</v>
      </c>
      <c r="D75" s="51"/>
      <c r="E75" s="52">
        <v>0</v>
      </c>
      <c r="G75" s="52">
        <v>0</v>
      </c>
      <c r="H75" s="52">
        <v>0</v>
      </c>
      <c r="I75" s="52">
        <v>0</v>
      </c>
      <c r="K75" s="52">
        <f t="shared" si="16"/>
        <v>0</v>
      </c>
      <c r="M75" s="52"/>
      <c r="N75" s="53">
        <f t="shared" si="17"/>
        <v>0</v>
      </c>
      <c r="R75" s="56">
        <f>SUM(R69:R74)</f>
        <v>10679.56704</v>
      </c>
      <c r="S75" s="56">
        <f>SUM(S69:S74)</f>
        <v>2669.89176</v>
      </c>
      <c r="T75" s="56">
        <f>SUM(T69:T74)</f>
        <v>1668.6823499999998</v>
      </c>
    </row>
    <row r="76" spans="1:20" ht="12.75" customHeight="1" x14ac:dyDescent="0.25">
      <c r="A76" s="49">
        <v>103</v>
      </c>
      <c r="B76" s="50"/>
      <c r="C76" s="50" t="str">
        <f t="shared" si="15"/>
        <v>103-</v>
      </c>
      <c r="D76" s="51"/>
      <c r="E76" s="52">
        <v>0</v>
      </c>
      <c r="G76" s="52">
        <v>0</v>
      </c>
      <c r="H76" s="52">
        <v>0</v>
      </c>
      <c r="I76" s="52">
        <v>0</v>
      </c>
      <c r="K76" s="52">
        <f t="shared" si="16"/>
        <v>0</v>
      </c>
      <c r="M76" s="52"/>
      <c r="N76" s="53">
        <f t="shared" si="17"/>
        <v>0</v>
      </c>
    </row>
    <row r="77" spans="1:20" ht="12.75" customHeight="1" x14ac:dyDescent="0.25">
      <c r="A77" s="49">
        <v>103</v>
      </c>
      <c r="B77" s="50"/>
      <c r="C77" s="50" t="str">
        <f t="shared" si="15"/>
        <v>103-</v>
      </c>
      <c r="D77" s="51"/>
      <c r="E77" s="52">
        <v>0</v>
      </c>
      <c r="G77" s="52">
        <v>0</v>
      </c>
      <c r="H77" s="52">
        <v>0</v>
      </c>
      <c r="I77" s="52">
        <v>0</v>
      </c>
      <c r="K77" s="52">
        <f t="shared" si="16"/>
        <v>0</v>
      </c>
      <c r="M77" s="52"/>
      <c r="N77" s="53">
        <f t="shared" si="17"/>
        <v>0</v>
      </c>
    </row>
    <row r="78" spans="1:20" ht="12.75" customHeight="1" x14ac:dyDescent="0.25">
      <c r="A78" s="49">
        <v>103</v>
      </c>
      <c r="B78" s="50"/>
      <c r="C78" s="50" t="str">
        <f t="shared" si="15"/>
        <v>103-</v>
      </c>
      <c r="D78" s="51"/>
      <c r="E78" s="52">
        <v>0</v>
      </c>
      <c r="G78" s="52">
        <v>0</v>
      </c>
      <c r="H78" s="52">
        <v>0</v>
      </c>
      <c r="I78" s="52">
        <v>0</v>
      </c>
      <c r="K78" s="52">
        <f t="shared" si="16"/>
        <v>0</v>
      </c>
      <c r="M78" s="52"/>
      <c r="N78" s="53">
        <f t="shared" si="17"/>
        <v>0</v>
      </c>
    </row>
    <row r="79" spans="1:20" ht="12.75" customHeight="1" x14ac:dyDescent="0.25">
      <c r="A79" s="49">
        <v>103</v>
      </c>
      <c r="B79" s="50"/>
      <c r="C79" s="50" t="str">
        <f t="shared" si="15"/>
        <v>103-</v>
      </c>
      <c r="D79" s="51"/>
      <c r="E79" s="52">
        <v>0</v>
      </c>
      <c r="G79" s="52">
        <v>0</v>
      </c>
      <c r="H79" s="52">
        <v>0</v>
      </c>
      <c r="I79" s="52">
        <v>0</v>
      </c>
      <c r="K79" s="52">
        <f t="shared" si="16"/>
        <v>0</v>
      </c>
      <c r="M79" s="52"/>
      <c r="N79" s="53">
        <f t="shared" si="17"/>
        <v>0</v>
      </c>
    </row>
    <row r="80" spans="1:20" ht="12.75" customHeight="1" x14ac:dyDescent="0.25">
      <c r="A80" s="57" t="s">
        <v>459</v>
      </c>
      <c r="B80" s="58"/>
      <c r="C80" s="50" t="str">
        <f t="shared" si="15"/>
        <v>Total-</v>
      </c>
      <c r="D80" s="57"/>
      <c r="E80" s="59">
        <v>330343.05999999994</v>
      </c>
      <c r="F80" s="59">
        <v>0</v>
      </c>
      <c r="G80" s="59">
        <v>0</v>
      </c>
      <c r="H80" s="59">
        <v>4639.93</v>
      </c>
      <c r="I80" s="59">
        <v>3139.9300000000003</v>
      </c>
      <c r="J80" s="59">
        <v>0</v>
      </c>
      <c r="K80" s="59">
        <f>SUM(K69:K79)</f>
        <v>338122.92</v>
      </c>
      <c r="M80" s="59">
        <f>SUM(M69:M79)</f>
        <v>324500</v>
      </c>
    </row>
    <row r="81" spans="1:20" ht="12.75" customHeight="1" x14ac:dyDescent="0.25">
      <c r="C81" s="50" t="str">
        <f t="shared" si="15"/>
        <v>-</v>
      </c>
    </row>
    <row r="82" spans="1:20" ht="12.75" customHeight="1" x14ac:dyDescent="0.25">
      <c r="C82" s="50" t="str">
        <f t="shared" si="15"/>
        <v>-</v>
      </c>
    </row>
    <row r="83" spans="1:20" ht="12.75" customHeight="1" x14ac:dyDescent="0.25">
      <c r="C83" s="50" t="str">
        <f t="shared" si="15"/>
        <v>-</v>
      </c>
    </row>
    <row r="84" spans="1:20" ht="12.75" customHeight="1" x14ac:dyDescent="0.25">
      <c r="C84" s="50" t="str">
        <f t="shared" si="15"/>
        <v>-</v>
      </c>
    </row>
    <row r="85" spans="1:20" ht="12.75" customHeight="1" x14ac:dyDescent="0.25">
      <c r="A85" s="44" t="s">
        <v>454</v>
      </c>
      <c r="B85" s="45" t="s">
        <v>472</v>
      </c>
      <c r="C85" s="50" t="str">
        <f t="shared" si="15"/>
        <v>Loja-Cod</v>
      </c>
      <c r="D85" s="44" t="s">
        <v>473</v>
      </c>
      <c r="E85" s="45" t="s">
        <v>474</v>
      </c>
      <c r="F85" s="45" t="s">
        <v>475</v>
      </c>
      <c r="G85" s="45" t="s">
        <v>476</v>
      </c>
      <c r="H85" s="45" t="s">
        <v>477</v>
      </c>
      <c r="I85" s="45" t="s">
        <v>478</v>
      </c>
      <c r="J85" s="45" t="s">
        <v>479</v>
      </c>
      <c r="K85" s="45" t="s">
        <v>480</v>
      </c>
      <c r="M85" s="47" t="s">
        <v>481</v>
      </c>
      <c r="N85" s="47" t="s">
        <v>482</v>
      </c>
      <c r="P85" s="45" t="s">
        <v>483</v>
      </c>
      <c r="R85" s="48" t="s">
        <v>484</v>
      </c>
      <c r="S85" s="48" t="s">
        <v>466</v>
      </c>
      <c r="T85" s="48" t="s">
        <v>485</v>
      </c>
    </row>
    <row r="86" spans="1:20" ht="12.75" customHeight="1" x14ac:dyDescent="0.25">
      <c r="A86" s="49">
        <v>104</v>
      </c>
      <c r="B86" s="50">
        <v>33</v>
      </c>
      <c r="C86" s="50" t="str">
        <f t="shared" si="15"/>
        <v>104-33</v>
      </c>
      <c r="D86" s="51" t="s">
        <v>101</v>
      </c>
      <c r="E86" s="52">
        <v>102893.42</v>
      </c>
      <c r="G86" s="52">
        <v>0</v>
      </c>
      <c r="H86" s="52">
        <v>0</v>
      </c>
      <c r="I86" s="52">
        <v>0</v>
      </c>
      <c r="K86" s="52">
        <f t="shared" ref="K86:K96" si="21">SUM(E86:J86)</f>
        <v>102893.42</v>
      </c>
      <c r="M86" s="52">
        <v>102667</v>
      </c>
      <c r="N86" s="53">
        <f t="shared" ref="N86:N96" si="22">IFERROR(K86/M86,)</f>
        <v>1.002205382450057</v>
      </c>
      <c r="P86" s="52">
        <v>280000</v>
      </c>
      <c r="R86" s="54">
        <f>(K86*2%)</f>
        <v>2057.8683999999998</v>
      </c>
      <c r="S86" s="54">
        <f>R86*25%</f>
        <v>514.46709999999996</v>
      </c>
      <c r="T86" s="54">
        <f>IF(N86&gt;1,M86*0.5%,0)</f>
        <v>513.33500000000004</v>
      </c>
    </row>
    <row r="87" spans="1:20" ht="12.75" customHeight="1" x14ac:dyDescent="0.25">
      <c r="A87" s="49">
        <v>104</v>
      </c>
      <c r="B87" s="50">
        <v>41</v>
      </c>
      <c r="C87" s="50" t="str">
        <f t="shared" si="15"/>
        <v>104-41</v>
      </c>
      <c r="D87" s="51" t="s">
        <v>104</v>
      </c>
      <c r="E87" s="52">
        <v>102772.57</v>
      </c>
      <c r="G87" s="52">
        <v>0</v>
      </c>
      <c r="H87" s="52">
        <v>0</v>
      </c>
      <c r="I87" s="52">
        <v>0</v>
      </c>
      <c r="K87" s="52">
        <f t="shared" si="21"/>
        <v>102772.57</v>
      </c>
      <c r="M87" s="52">
        <v>102667</v>
      </c>
      <c r="N87" s="53">
        <f t="shared" si="22"/>
        <v>1.0010282758822213</v>
      </c>
      <c r="R87" s="54">
        <f>(K87*2%)</f>
        <v>2055.4514000000004</v>
      </c>
      <c r="S87" s="54">
        <f>R87*25%</f>
        <v>513.86285000000009</v>
      </c>
      <c r="T87" s="54">
        <f>IF(N87&gt;1,M87*0.5%,0)</f>
        <v>513.33500000000004</v>
      </c>
    </row>
    <row r="88" spans="1:20" ht="12.75" customHeight="1" x14ac:dyDescent="0.25">
      <c r="A88" s="49">
        <v>104</v>
      </c>
      <c r="B88" s="50">
        <v>49</v>
      </c>
      <c r="C88" s="50" t="str">
        <f t="shared" si="15"/>
        <v>104-49</v>
      </c>
      <c r="D88" s="51" t="s">
        <v>108</v>
      </c>
      <c r="E88" s="52">
        <v>172.78</v>
      </c>
      <c r="G88" s="52">
        <v>0</v>
      </c>
      <c r="H88" s="52">
        <v>0</v>
      </c>
      <c r="I88" s="52">
        <v>0</v>
      </c>
      <c r="K88" s="52">
        <f t="shared" si="21"/>
        <v>172.78</v>
      </c>
      <c r="M88" s="52"/>
      <c r="N88" s="53">
        <f t="shared" si="22"/>
        <v>0</v>
      </c>
      <c r="R88" s="54">
        <v>0</v>
      </c>
      <c r="S88" s="54">
        <f>R88*25%</f>
        <v>0</v>
      </c>
      <c r="T88" s="54">
        <f>IF(N88&gt;1,M88*0.5%,0)</f>
        <v>0</v>
      </c>
    </row>
    <row r="89" spans="1:20" ht="12.75" customHeight="1" x14ac:dyDescent="0.25">
      <c r="A89" s="49">
        <v>104</v>
      </c>
      <c r="B89" s="50">
        <v>53</v>
      </c>
      <c r="C89" s="50" t="str">
        <f t="shared" si="15"/>
        <v>104-53</v>
      </c>
      <c r="D89" s="51" t="s">
        <v>112</v>
      </c>
      <c r="E89" s="52">
        <v>62540.81</v>
      </c>
      <c r="G89" s="52">
        <v>0</v>
      </c>
      <c r="H89" s="52">
        <v>0</v>
      </c>
      <c r="I89" s="52">
        <v>349.99</v>
      </c>
      <c r="K89" s="52">
        <f t="shared" si="21"/>
        <v>62890.799999999996</v>
      </c>
      <c r="M89" s="52">
        <v>102667</v>
      </c>
      <c r="N89" s="53">
        <f t="shared" si="22"/>
        <v>0.6125707384066934</v>
      </c>
      <c r="R89" s="54">
        <f>(K89*2%)</f>
        <v>1257.816</v>
      </c>
      <c r="S89" s="54">
        <f>R89*25%</f>
        <v>314.45400000000001</v>
      </c>
      <c r="T89" s="54">
        <f>IF(N89&gt;1,M89*0.5%,0)</f>
        <v>0</v>
      </c>
    </row>
    <row r="90" spans="1:20" ht="12.75" customHeight="1" x14ac:dyDescent="0.25">
      <c r="A90" s="49">
        <v>104</v>
      </c>
      <c r="B90" s="50"/>
      <c r="C90" s="50" t="str">
        <f t="shared" si="15"/>
        <v>104-</v>
      </c>
      <c r="D90" s="51"/>
      <c r="E90" s="52">
        <v>0</v>
      </c>
      <c r="G90" s="52">
        <v>0</v>
      </c>
      <c r="H90" s="52">
        <v>0</v>
      </c>
      <c r="I90" s="52">
        <v>0</v>
      </c>
      <c r="K90" s="52">
        <f t="shared" si="21"/>
        <v>0</v>
      </c>
      <c r="M90" s="52"/>
      <c r="N90" s="53">
        <f t="shared" si="22"/>
        <v>0</v>
      </c>
      <c r="R90" s="56">
        <f>SUM(R86:R89)</f>
        <v>5371.1358</v>
      </c>
      <c r="S90" s="56">
        <f>SUM(S86:S89)</f>
        <v>1342.78395</v>
      </c>
      <c r="T90" s="56">
        <f>SUM(T86:T89)</f>
        <v>1026.67</v>
      </c>
    </row>
    <row r="91" spans="1:20" ht="12.75" customHeight="1" x14ac:dyDescent="0.25">
      <c r="A91" s="49">
        <v>104</v>
      </c>
      <c r="B91" s="50"/>
      <c r="C91" s="50" t="str">
        <f t="shared" si="15"/>
        <v>104-</v>
      </c>
      <c r="D91" s="51"/>
      <c r="E91" s="52">
        <v>0</v>
      </c>
      <c r="G91" s="52">
        <v>0</v>
      </c>
      <c r="H91" s="52">
        <v>0</v>
      </c>
      <c r="I91" s="52">
        <v>0</v>
      </c>
      <c r="K91" s="52">
        <f t="shared" si="21"/>
        <v>0</v>
      </c>
      <c r="M91" s="52"/>
      <c r="N91" s="53">
        <f t="shared" si="22"/>
        <v>0</v>
      </c>
    </row>
    <row r="92" spans="1:20" ht="12.75" customHeight="1" x14ac:dyDescent="0.25">
      <c r="A92" s="49">
        <v>104</v>
      </c>
      <c r="B92" s="50"/>
      <c r="C92" s="50" t="str">
        <f t="shared" si="15"/>
        <v>104-</v>
      </c>
      <c r="D92" s="51"/>
      <c r="E92" s="52">
        <v>0</v>
      </c>
      <c r="G92" s="52">
        <v>0</v>
      </c>
      <c r="H92" s="52">
        <v>0</v>
      </c>
      <c r="I92" s="52">
        <v>0</v>
      </c>
      <c r="K92" s="52">
        <f t="shared" si="21"/>
        <v>0</v>
      </c>
      <c r="M92" s="52"/>
      <c r="N92" s="53">
        <f t="shared" si="22"/>
        <v>0</v>
      </c>
    </row>
    <row r="93" spans="1:20" ht="12.75" customHeight="1" x14ac:dyDescent="0.25">
      <c r="A93" s="49">
        <v>104</v>
      </c>
      <c r="B93" s="50"/>
      <c r="C93" s="50" t="str">
        <f t="shared" si="15"/>
        <v>104-</v>
      </c>
      <c r="D93" s="51"/>
      <c r="E93" s="52">
        <v>0</v>
      </c>
      <c r="G93" s="52">
        <v>0</v>
      </c>
      <c r="H93" s="52">
        <v>0</v>
      </c>
      <c r="I93" s="52">
        <v>0</v>
      </c>
      <c r="K93" s="52">
        <f t="shared" si="21"/>
        <v>0</v>
      </c>
      <c r="M93" s="52"/>
      <c r="N93" s="53">
        <f t="shared" si="22"/>
        <v>0</v>
      </c>
    </row>
    <row r="94" spans="1:20" ht="12.75" customHeight="1" x14ac:dyDescent="0.25">
      <c r="A94" s="49">
        <v>104</v>
      </c>
      <c r="B94" s="50"/>
      <c r="C94" s="50" t="str">
        <f t="shared" si="15"/>
        <v>104-</v>
      </c>
      <c r="D94" s="51"/>
      <c r="E94" s="52">
        <v>0</v>
      </c>
      <c r="G94" s="52">
        <v>0</v>
      </c>
      <c r="H94" s="52">
        <v>0</v>
      </c>
      <c r="I94" s="52">
        <v>0</v>
      </c>
      <c r="K94" s="52">
        <f t="shared" si="21"/>
        <v>0</v>
      </c>
      <c r="M94" s="52"/>
      <c r="N94" s="53">
        <f t="shared" si="22"/>
        <v>0</v>
      </c>
    </row>
    <row r="95" spans="1:20" ht="12.75" customHeight="1" x14ac:dyDescent="0.25">
      <c r="A95" s="49">
        <v>104</v>
      </c>
      <c r="B95" s="50"/>
      <c r="C95" s="50" t="str">
        <f t="shared" si="15"/>
        <v>104-</v>
      </c>
      <c r="D95" s="51"/>
      <c r="E95" s="52">
        <v>0</v>
      </c>
      <c r="G95" s="52">
        <v>0</v>
      </c>
      <c r="H95" s="52">
        <v>0</v>
      </c>
      <c r="I95" s="52">
        <v>0</v>
      </c>
      <c r="K95" s="52">
        <f t="shared" si="21"/>
        <v>0</v>
      </c>
      <c r="M95" s="52"/>
      <c r="N95" s="53">
        <f t="shared" si="22"/>
        <v>0</v>
      </c>
    </row>
    <row r="96" spans="1:20" ht="12.75" customHeight="1" x14ac:dyDescent="0.25">
      <c r="A96" s="49">
        <v>104</v>
      </c>
      <c r="B96" s="50"/>
      <c r="C96" s="50" t="str">
        <f t="shared" si="15"/>
        <v>104-</v>
      </c>
      <c r="D96" s="51"/>
      <c r="E96" s="52">
        <v>0</v>
      </c>
      <c r="G96" s="52">
        <v>0</v>
      </c>
      <c r="H96" s="52">
        <v>0</v>
      </c>
      <c r="I96" s="52">
        <v>0</v>
      </c>
      <c r="K96" s="52">
        <f t="shared" si="21"/>
        <v>0</v>
      </c>
      <c r="M96" s="52"/>
      <c r="N96" s="53">
        <f t="shared" si="22"/>
        <v>0</v>
      </c>
    </row>
    <row r="97" spans="1:20" ht="12.75" customHeight="1" x14ac:dyDescent="0.25">
      <c r="A97" s="57" t="s">
        <v>459</v>
      </c>
      <c r="B97" s="58"/>
      <c r="C97" s="50" t="str">
        <f t="shared" si="15"/>
        <v>Total-</v>
      </c>
      <c r="D97" s="57"/>
      <c r="E97" s="59">
        <v>268379.57999999996</v>
      </c>
      <c r="F97" s="59">
        <v>0</v>
      </c>
      <c r="G97" s="59">
        <v>0</v>
      </c>
      <c r="H97" s="59">
        <v>0</v>
      </c>
      <c r="I97" s="59">
        <v>349.99</v>
      </c>
      <c r="J97" s="59">
        <v>0</v>
      </c>
      <c r="K97" s="59">
        <f>SUM(K86:K96)</f>
        <v>268729.57</v>
      </c>
      <c r="M97" s="59">
        <f>SUM(M86:M96)</f>
        <v>308001</v>
      </c>
    </row>
    <row r="98" spans="1:20" ht="12.75" customHeight="1" x14ac:dyDescent="0.25">
      <c r="C98" s="50" t="str">
        <f t="shared" si="15"/>
        <v>-</v>
      </c>
    </row>
    <row r="99" spans="1:20" ht="12.75" customHeight="1" x14ac:dyDescent="0.25">
      <c r="C99" s="50" t="str">
        <f t="shared" si="15"/>
        <v>-</v>
      </c>
    </row>
    <row r="100" spans="1:20" ht="12.75" customHeight="1" x14ac:dyDescent="0.25">
      <c r="C100" s="50" t="str">
        <f t="shared" si="15"/>
        <v>-</v>
      </c>
    </row>
    <row r="101" spans="1:20" ht="12.75" customHeight="1" x14ac:dyDescent="0.25">
      <c r="C101" s="50" t="str">
        <f t="shared" si="15"/>
        <v>-</v>
      </c>
    </row>
    <row r="102" spans="1:20" ht="12.75" customHeight="1" x14ac:dyDescent="0.25">
      <c r="A102" s="44" t="s">
        <v>454</v>
      </c>
      <c r="B102" s="45" t="s">
        <v>472</v>
      </c>
      <c r="C102" s="50" t="str">
        <f t="shared" si="15"/>
        <v>Loja-Cod</v>
      </c>
      <c r="D102" s="44" t="s">
        <v>473</v>
      </c>
      <c r="E102" s="45" t="s">
        <v>474</v>
      </c>
      <c r="F102" s="45" t="s">
        <v>475</v>
      </c>
      <c r="G102" s="45" t="s">
        <v>476</v>
      </c>
      <c r="H102" s="45" t="s">
        <v>477</v>
      </c>
      <c r="I102" s="45" t="s">
        <v>478</v>
      </c>
      <c r="J102" s="45" t="s">
        <v>479</v>
      </c>
      <c r="K102" s="45" t="s">
        <v>480</v>
      </c>
      <c r="M102" s="47" t="s">
        <v>481</v>
      </c>
      <c r="N102" s="47" t="s">
        <v>482</v>
      </c>
      <c r="P102" s="45" t="s">
        <v>483</v>
      </c>
      <c r="R102" s="48" t="s">
        <v>484</v>
      </c>
      <c r="S102" s="48" t="s">
        <v>466</v>
      </c>
      <c r="T102" s="48" t="s">
        <v>485</v>
      </c>
    </row>
    <row r="103" spans="1:20" ht="12.75" customHeight="1" x14ac:dyDescent="0.25">
      <c r="A103" s="49">
        <v>105</v>
      </c>
      <c r="B103" s="50">
        <v>61</v>
      </c>
      <c r="C103" s="50" t="str">
        <f t="shared" si="15"/>
        <v>105-61</v>
      </c>
      <c r="D103" s="51" t="s">
        <v>500</v>
      </c>
      <c r="E103" s="52">
        <v>2183.92</v>
      </c>
      <c r="G103" s="52">
        <v>0</v>
      </c>
      <c r="H103" s="52">
        <v>0</v>
      </c>
      <c r="I103" s="52">
        <v>0</v>
      </c>
      <c r="K103" s="52">
        <f t="shared" ref="K103:K113" si="23">SUM(E103:J103)</f>
        <v>2183.92</v>
      </c>
      <c r="M103" s="52"/>
      <c r="N103" s="53">
        <f t="shared" ref="N103:N113" si="24">IFERROR(K103/M103,)</f>
        <v>0</v>
      </c>
      <c r="P103" s="52">
        <v>400000</v>
      </c>
      <c r="R103" s="54">
        <v>0</v>
      </c>
      <c r="S103" s="54">
        <f>R103*25%</f>
        <v>0</v>
      </c>
      <c r="T103" s="54">
        <f>IF(N103&gt;1,K103*0.5%,0)</f>
        <v>0</v>
      </c>
    </row>
    <row r="104" spans="1:20" ht="12.75" customHeight="1" x14ac:dyDescent="0.25">
      <c r="A104" s="49">
        <v>105</v>
      </c>
      <c r="B104" s="50">
        <v>68</v>
      </c>
      <c r="C104" s="50" t="str">
        <f t="shared" si="15"/>
        <v>105-68</v>
      </c>
      <c r="D104" s="51" t="s">
        <v>118</v>
      </c>
      <c r="E104" s="52">
        <v>2399.88</v>
      </c>
      <c r="G104" s="52">
        <v>0</v>
      </c>
      <c r="H104" s="52">
        <v>0</v>
      </c>
      <c r="I104" s="52">
        <v>0</v>
      </c>
      <c r="K104" s="52">
        <f t="shared" si="23"/>
        <v>2399.88</v>
      </c>
      <c r="M104" s="52"/>
      <c r="N104" s="53">
        <f t="shared" si="24"/>
        <v>0</v>
      </c>
      <c r="R104" s="54">
        <f t="shared" ref="R104:R109" si="25">(K104*2.8%)</f>
        <v>67.196640000000002</v>
      </c>
      <c r="S104" s="54">
        <f t="shared" ref="S104:S109" si="26">R104*25%</f>
        <v>16.799160000000001</v>
      </c>
      <c r="T104" s="54">
        <f t="shared" ref="T104:T109" si="27">IF(N104&gt;1,K104*0.5%,0)</f>
        <v>0</v>
      </c>
    </row>
    <row r="105" spans="1:20" ht="12.75" customHeight="1" x14ac:dyDescent="0.25">
      <c r="A105" s="49">
        <v>105</v>
      </c>
      <c r="B105" s="50">
        <v>84</v>
      </c>
      <c r="C105" s="50" t="str">
        <f t="shared" si="15"/>
        <v>105-84</v>
      </c>
      <c r="D105" s="51" t="s">
        <v>120</v>
      </c>
      <c r="E105" s="52">
        <v>104195.79</v>
      </c>
      <c r="G105" s="52">
        <v>0</v>
      </c>
      <c r="H105" s="52">
        <v>0</v>
      </c>
      <c r="I105" s="52">
        <v>0</v>
      </c>
      <c r="K105" s="52">
        <f t="shared" si="23"/>
        <v>104195.79</v>
      </c>
      <c r="M105" s="52">
        <v>88000</v>
      </c>
      <c r="N105" s="53">
        <f t="shared" si="24"/>
        <v>1.1840430681818181</v>
      </c>
      <c r="R105" s="54">
        <f t="shared" si="25"/>
        <v>2917.4821199999997</v>
      </c>
      <c r="S105" s="54">
        <f t="shared" si="26"/>
        <v>729.37052999999992</v>
      </c>
      <c r="T105" s="54">
        <f t="shared" si="27"/>
        <v>520.97894999999994</v>
      </c>
    </row>
    <row r="106" spans="1:20" ht="12.75" customHeight="1" x14ac:dyDescent="0.25">
      <c r="A106" s="49">
        <v>105</v>
      </c>
      <c r="B106" s="50">
        <v>85</v>
      </c>
      <c r="C106" s="50" t="str">
        <f t="shared" si="15"/>
        <v>105-85</v>
      </c>
      <c r="D106" s="51" t="s">
        <v>501</v>
      </c>
      <c r="E106" s="52">
        <v>36788.379999999997</v>
      </c>
      <c r="G106" s="52">
        <v>0</v>
      </c>
      <c r="H106" s="52">
        <v>0</v>
      </c>
      <c r="I106" s="52">
        <v>0</v>
      </c>
      <c r="K106" s="52">
        <f t="shared" si="23"/>
        <v>36788.379999999997</v>
      </c>
      <c r="M106" s="52">
        <v>88000</v>
      </c>
      <c r="N106" s="53">
        <f t="shared" si="24"/>
        <v>0.41804977272727267</v>
      </c>
      <c r="R106" s="54">
        <f t="shared" si="25"/>
        <v>1030.0746399999998</v>
      </c>
      <c r="S106" s="54">
        <f t="shared" si="26"/>
        <v>257.51865999999995</v>
      </c>
      <c r="T106" s="54">
        <f t="shared" si="27"/>
        <v>0</v>
      </c>
    </row>
    <row r="107" spans="1:20" ht="12.75" customHeight="1" x14ac:dyDescent="0.25">
      <c r="A107" s="49">
        <v>105</v>
      </c>
      <c r="B107" s="50">
        <v>93</v>
      </c>
      <c r="C107" s="50" t="str">
        <f t="shared" si="15"/>
        <v>105-93</v>
      </c>
      <c r="D107" s="51" t="s">
        <v>124</v>
      </c>
      <c r="E107" s="52">
        <v>65882.53</v>
      </c>
      <c r="G107" s="52">
        <v>0</v>
      </c>
      <c r="H107" s="52">
        <v>0</v>
      </c>
      <c r="I107" s="52">
        <v>0</v>
      </c>
      <c r="K107" s="52">
        <f t="shared" si="23"/>
        <v>65882.53</v>
      </c>
      <c r="M107" s="52">
        <v>88000</v>
      </c>
      <c r="N107" s="53">
        <f t="shared" si="24"/>
        <v>0.74866511363636368</v>
      </c>
      <c r="R107" s="54">
        <f t="shared" si="25"/>
        <v>1844.7108399999997</v>
      </c>
      <c r="S107" s="54">
        <f t="shared" si="26"/>
        <v>461.17770999999993</v>
      </c>
      <c r="T107" s="54">
        <f t="shared" si="27"/>
        <v>0</v>
      </c>
    </row>
    <row r="108" spans="1:20" ht="12.75" customHeight="1" x14ac:dyDescent="0.25">
      <c r="A108" s="49">
        <v>105</v>
      </c>
      <c r="B108" s="50">
        <v>95</v>
      </c>
      <c r="C108" s="50" t="str">
        <f t="shared" si="15"/>
        <v>105-95</v>
      </c>
      <c r="D108" s="51" t="s">
        <v>126</v>
      </c>
      <c r="E108" s="52">
        <v>99503.07</v>
      </c>
      <c r="G108" s="52">
        <v>0</v>
      </c>
      <c r="H108" s="52">
        <v>0</v>
      </c>
      <c r="I108" s="52">
        <v>0</v>
      </c>
      <c r="K108" s="52">
        <f t="shared" si="23"/>
        <v>99503.07</v>
      </c>
      <c r="M108" s="52">
        <v>88000</v>
      </c>
      <c r="N108" s="53">
        <f t="shared" si="24"/>
        <v>1.1307167045454547</v>
      </c>
      <c r="R108" s="54">
        <f t="shared" si="25"/>
        <v>2786.0859599999999</v>
      </c>
      <c r="S108" s="54">
        <f t="shared" si="26"/>
        <v>696.52148999999997</v>
      </c>
      <c r="T108" s="54">
        <f t="shared" si="27"/>
        <v>497.51535000000007</v>
      </c>
    </row>
    <row r="109" spans="1:20" ht="12.75" customHeight="1" x14ac:dyDescent="0.25">
      <c r="A109" s="49">
        <v>105</v>
      </c>
      <c r="B109" s="50">
        <v>103</v>
      </c>
      <c r="C109" s="50" t="str">
        <f t="shared" si="15"/>
        <v>105-103</v>
      </c>
      <c r="D109" s="51" t="s">
        <v>130</v>
      </c>
      <c r="E109" s="52">
        <v>29693.71</v>
      </c>
      <c r="G109" s="52">
        <v>0</v>
      </c>
      <c r="H109" s="52">
        <v>0</v>
      </c>
      <c r="I109" s="52">
        <v>0</v>
      </c>
      <c r="K109" s="52">
        <f t="shared" si="23"/>
        <v>29693.71</v>
      </c>
      <c r="M109" s="52">
        <v>88000</v>
      </c>
      <c r="N109" s="53">
        <f t="shared" si="24"/>
        <v>0.3374285227272727</v>
      </c>
      <c r="R109" s="54">
        <f t="shared" si="25"/>
        <v>831.42387999999994</v>
      </c>
      <c r="S109" s="54">
        <f t="shared" si="26"/>
        <v>207.85596999999999</v>
      </c>
      <c r="T109" s="54">
        <f t="shared" si="27"/>
        <v>0</v>
      </c>
    </row>
    <row r="110" spans="1:20" ht="12.75" customHeight="1" x14ac:dyDescent="0.25">
      <c r="A110" s="49">
        <v>105</v>
      </c>
      <c r="B110" s="50"/>
      <c r="C110" s="50" t="str">
        <f t="shared" si="15"/>
        <v>105-</v>
      </c>
      <c r="D110" s="51"/>
      <c r="E110" s="52">
        <v>0</v>
      </c>
      <c r="G110" s="52">
        <v>0</v>
      </c>
      <c r="H110" s="52">
        <v>0</v>
      </c>
      <c r="I110" s="52">
        <v>0</v>
      </c>
      <c r="K110" s="52">
        <f t="shared" si="23"/>
        <v>0</v>
      </c>
      <c r="M110" s="52"/>
      <c r="N110" s="53">
        <f t="shared" si="24"/>
        <v>0</v>
      </c>
      <c r="R110" s="56">
        <f>SUM(R103:R109)</f>
        <v>9476.97408</v>
      </c>
      <c r="S110" s="56">
        <f>SUM(S103:S109)</f>
        <v>2369.24352</v>
      </c>
      <c r="T110" s="56">
        <f>SUM(T103:T109)</f>
        <v>1018.4943000000001</v>
      </c>
    </row>
    <row r="111" spans="1:20" ht="12.75" customHeight="1" x14ac:dyDescent="0.25">
      <c r="A111" s="49">
        <v>105</v>
      </c>
      <c r="B111" s="50"/>
      <c r="C111" s="50" t="str">
        <f t="shared" si="15"/>
        <v>105-</v>
      </c>
      <c r="D111" s="51"/>
      <c r="E111" s="52">
        <v>0</v>
      </c>
      <c r="G111" s="52">
        <v>0</v>
      </c>
      <c r="H111" s="52">
        <v>0</v>
      </c>
      <c r="I111" s="52">
        <v>0</v>
      </c>
      <c r="K111" s="52">
        <f t="shared" si="23"/>
        <v>0</v>
      </c>
      <c r="M111" s="52"/>
      <c r="N111" s="53">
        <f t="shared" si="24"/>
        <v>0</v>
      </c>
    </row>
    <row r="112" spans="1:20" ht="12.75" customHeight="1" x14ac:dyDescent="0.25">
      <c r="A112" s="49">
        <v>105</v>
      </c>
      <c r="B112" s="50"/>
      <c r="C112" s="50" t="str">
        <f t="shared" si="15"/>
        <v>105-</v>
      </c>
      <c r="D112" s="51"/>
      <c r="E112" s="52">
        <v>0</v>
      </c>
      <c r="G112" s="52">
        <v>0</v>
      </c>
      <c r="H112" s="52">
        <v>0</v>
      </c>
      <c r="I112" s="52">
        <v>0</v>
      </c>
      <c r="K112" s="52">
        <f t="shared" si="23"/>
        <v>0</v>
      </c>
      <c r="M112" s="52"/>
      <c r="N112" s="53">
        <f t="shared" si="24"/>
        <v>0</v>
      </c>
    </row>
    <row r="113" spans="1:20" ht="12.75" customHeight="1" x14ac:dyDescent="0.25">
      <c r="A113" s="49">
        <v>105</v>
      </c>
      <c r="B113" s="50"/>
      <c r="C113" s="50" t="str">
        <f t="shared" si="15"/>
        <v>105-</v>
      </c>
      <c r="D113" s="51"/>
      <c r="E113" s="52">
        <v>0</v>
      </c>
      <c r="G113" s="52">
        <v>0</v>
      </c>
      <c r="H113" s="52">
        <v>0</v>
      </c>
      <c r="I113" s="52">
        <v>0</v>
      </c>
      <c r="K113" s="52">
        <f t="shared" si="23"/>
        <v>0</v>
      </c>
      <c r="M113" s="52"/>
      <c r="N113" s="53">
        <f t="shared" si="24"/>
        <v>0</v>
      </c>
    </row>
    <row r="114" spans="1:20" ht="12.75" customHeight="1" x14ac:dyDescent="0.25">
      <c r="A114" s="57" t="s">
        <v>459</v>
      </c>
      <c r="B114" s="58"/>
      <c r="C114" s="50" t="str">
        <f t="shared" si="15"/>
        <v>Total-</v>
      </c>
      <c r="D114" s="57"/>
      <c r="E114" s="59">
        <v>340647.28</v>
      </c>
      <c r="F114" s="59">
        <v>0</v>
      </c>
      <c r="G114" s="59">
        <v>0</v>
      </c>
      <c r="H114" s="59">
        <v>0</v>
      </c>
      <c r="I114" s="59">
        <v>0</v>
      </c>
      <c r="J114" s="59">
        <v>0</v>
      </c>
      <c r="K114" s="59">
        <f>SUM(K103:K113)</f>
        <v>340647.28</v>
      </c>
      <c r="M114" s="59">
        <f>SUM(M103:M113)</f>
        <v>440000</v>
      </c>
    </row>
    <row r="115" spans="1:20" ht="12.75" customHeight="1" x14ac:dyDescent="0.25">
      <c r="C115" s="50" t="str">
        <f t="shared" si="15"/>
        <v>-</v>
      </c>
    </row>
    <row r="116" spans="1:20" ht="12.75" customHeight="1" x14ac:dyDescent="0.25">
      <c r="C116" s="50" t="str">
        <f t="shared" si="15"/>
        <v>-</v>
      </c>
    </row>
    <row r="117" spans="1:20" ht="12.75" customHeight="1" x14ac:dyDescent="0.25">
      <c r="C117" s="50" t="str">
        <f t="shared" si="15"/>
        <v>-</v>
      </c>
    </row>
    <row r="118" spans="1:20" ht="12.75" customHeight="1" x14ac:dyDescent="0.25">
      <c r="C118" s="50" t="str">
        <f t="shared" si="15"/>
        <v>-</v>
      </c>
    </row>
    <row r="119" spans="1:20" ht="12.75" customHeight="1" x14ac:dyDescent="0.25">
      <c r="A119" s="44" t="s">
        <v>454</v>
      </c>
      <c r="B119" s="45" t="s">
        <v>472</v>
      </c>
      <c r="C119" s="50" t="str">
        <f t="shared" si="15"/>
        <v>Loja-Cod</v>
      </c>
      <c r="D119" s="44" t="s">
        <v>473</v>
      </c>
      <c r="E119" s="45" t="s">
        <v>474</v>
      </c>
      <c r="F119" s="45" t="s">
        <v>475</v>
      </c>
      <c r="G119" s="45" t="s">
        <v>476</v>
      </c>
      <c r="H119" s="45" t="s">
        <v>477</v>
      </c>
      <c r="I119" s="45" t="s">
        <v>478</v>
      </c>
      <c r="J119" s="45" t="s">
        <v>479</v>
      </c>
      <c r="K119" s="45" t="s">
        <v>480</v>
      </c>
      <c r="M119" s="47" t="s">
        <v>481</v>
      </c>
      <c r="N119" s="47" t="s">
        <v>482</v>
      </c>
      <c r="P119" s="45" t="s">
        <v>483</v>
      </c>
      <c r="R119" s="48" t="s">
        <v>484</v>
      </c>
      <c r="S119" s="48" t="s">
        <v>466</v>
      </c>
      <c r="T119" s="48" t="s">
        <v>485</v>
      </c>
    </row>
    <row r="120" spans="1:20" ht="12.75" customHeight="1" x14ac:dyDescent="0.25">
      <c r="A120" s="49">
        <v>116</v>
      </c>
      <c r="B120" s="50">
        <v>143</v>
      </c>
      <c r="C120" s="50" t="str">
        <f t="shared" si="15"/>
        <v>116-143</v>
      </c>
      <c r="D120" s="51" t="s">
        <v>132</v>
      </c>
      <c r="E120" s="52">
        <v>0</v>
      </c>
      <c r="G120" s="52">
        <v>0</v>
      </c>
      <c r="H120" s="52">
        <v>0</v>
      </c>
      <c r="I120" s="52">
        <v>0</v>
      </c>
      <c r="K120" s="52">
        <f t="shared" ref="K120:K130" si="28">SUM(E120:J120)</f>
        <v>0</v>
      </c>
      <c r="M120" s="52"/>
      <c r="N120" s="53">
        <f t="shared" ref="N120:N130" si="29">IFERROR(K120/M120,)</f>
        <v>0</v>
      </c>
      <c r="P120" s="52">
        <v>450000</v>
      </c>
      <c r="R120" s="54">
        <f>(K120*3.2%)</f>
        <v>0</v>
      </c>
      <c r="S120" s="55">
        <f>R120*25%</f>
        <v>0</v>
      </c>
      <c r="T120" s="54">
        <f>IF(N120&gt;1,K120*0.5%,0)</f>
        <v>0</v>
      </c>
    </row>
    <row r="121" spans="1:20" ht="12.75" customHeight="1" x14ac:dyDescent="0.25">
      <c r="A121" s="49">
        <v>116</v>
      </c>
      <c r="B121" s="50">
        <v>144</v>
      </c>
      <c r="C121" s="50" t="str">
        <f t="shared" si="15"/>
        <v>116-144</v>
      </c>
      <c r="D121" s="51" t="s">
        <v>134</v>
      </c>
      <c r="E121" s="52">
        <v>71332.320000000007</v>
      </c>
      <c r="G121" s="52">
        <v>0</v>
      </c>
      <c r="H121" s="52">
        <v>1179.97</v>
      </c>
      <c r="I121" s="52">
        <v>0</v>
      </c>
      <c r="K121" s="52">
        <f t="shared" si="28"/>
        <v>72512.290000000008</v>
      </c>
      <c r="M121" s="52">
        <v>82500</v>
      </c>
      <c r="N121" s="53">
        <f t="shared" si="29"/>
        <v>0.87893684848484854</v>
      </c>
      <c r="R121" s="54">
        <f t="shared" ref="R121:R126" si="30">(K121*3.2%)</f>
        <v>2320.3932800000002</v>
      </c>
      <c r="S121" s="55">
        <f t="shared" ref="S121:S126" si="31">R121*25%</f>
        <v>580.09832000000006</v>
      </c>
      <c r="T121" s="54">
        <f t="shared" ref="T121:T126" si="32">IF(N121&gt;1,K121*0.5%,0)</f>
        <v>0</v>
      </c>
    </row>
    <row r="122" spans="1:20" ht="12.75" customHeight="1" x14ac:dyDescent="0.25">
      <c r="A122" s="49">
        <v>116</v>
      </c>
      <c r="B122" s="50">
        <v>148</v>
      </c>
      <c r="C122" s="50" t="str">
        <f t="shared" si="15"/>
        <v>116-148</v>
      </c>
      <c r="D122" s="51" t="s">
        <v>138</v>
      </c>
      <c r="E122" s="52">
        <v>55055.32</v>
      </c>
      <c r="G122" s="52">
        <v>0</v>
      </c>
      <c r="H122" s="52">
        <v>1149.97</v>
      </c>
      <c r="I122" s="52">
        <v>0</v>
      </c>
      <c r="K122" s="52">
        <f t="shared" si="28"/>
        <v>56205.29</v>
      </c>
      <c r="M122" s="52">
        <v>82500</v>
      </c>
      <c r="N122" s="53">
        <f t="shared" si="29"/>
        <v>0.68127624242424245</v>
      </c>
      <c r="R122" s="54">
        <f t="shared" si="30"/>
        <v>1798.5692800000002</v>
      </c>
      <c r="S122" s="55">
        <f t="shared" si="31"/>
        <v>449.64232000000004</v>
      </c>
      <c r="T122" s="54">
        <f t="shared" si="32"/>
        <v>0</v>
      </c>
    </row>
    <row r="123" spans="1:20" ht="12.75" customHeight="1" x14ac:dyDescent="0.25">
      <c r="A123" s="49">
        <v>116</v>
      </c>
      <c r="B123" s="50">
        <v>164</v>
      </c>
      <c r="C123" s="50" t="str">
        <f t="shared" si="15"/>
        <v>116-164</v>
      </c>
      <c r="D123" s="51" t="s">
        <v>140</v>
      </c>
      <c r="E123" s="52">
        <v>46458.27</v>
      </c>
      <c r="G123" s="52">
        <v>0</v>
      </c>
      <c r="H123" s="52">
        <v>1329.98</v>
      </c>
      <c r="I123" s="52">
        <v>0</v>
      </c>
      <c r="K123" s="52">
        <f t="shared" si="28"/>
        <v>47788.25</v>
      </c>
      <c r="M123" s="52">
        <v>82500</v>
      </c>
      <c r="N123" s="53">
        <f t="shared" si="29"/>
        <v>0.57925151515151518</v>
      </c>
      <c r="R123" s="54">
        <f t="shared" si="30"/>
        <v>1529.2239999999999</v>
      </c>
      <c r="S123" s="55">
        <f t="shared" si="31"/>
        <v>382.30599999999998</v>
      </c>
      <c r="T123" s="54">
        <f t="shared" si="32"/>
        <v>0</v>
      </c>
    </row>
    <row r="124" spans="1:20" ht="12.75" customHeight="1" x14ac:dyDescent="0.25">
      <c r="A124" s="49">
        <v>116</v>
      </c>
      <c r="B124" s="50">
        <v>169</v>
      </c>
      <c r="C124" s="50" t="str">
        <f t="shared" si="15"/>
        <v>116-169</v>
      </c>
      <c r="D124" s="51" t="s">
        <v>142</v>
      </c>
      <c r="E124" s="52">
        <v>58183.42</v>
      </c>
      <c r="G124" s="52">
        <v>0</v>
      </c>
      <c r="H124" s="52">
        <v>0</v>
      </c>
      <c r="I124" s="52">
        <v>599.99</v>
      </c>
      <c r="K124" s="52">
        <f t="shared" si="28"/>
        <v>58783.409999999996</v>
      </c>
      <c r="M124" s="52">
        <v>82500</v>
      </c>
      <c r="N124" s="53">
        <f t="shared" si="29"/>
        <v>0.71252618181818173</v>
      </c>
      <c r="R124" s="54">
        <f t="shared" si="30"/>
        <v>1881.0691199999999</v>
      </c>
      <c r="S124" s="55">
        <f t="shared" si="31"/>
        <v>470.26727999999997</v>
      </c>
      <c r="T124" s="54">
        <f t="shared" si="32"/>
        <v>0</v>
      </c>
    </row>
    <row r="125" spans="1:20" ht="12.75" customHeight="1" x14ac:dyDescent="0.25">
      <c r="A125" s="49">
        <v>116</v>
      </c>
      <c r="B125" s="50">
        <v>170</v>
      </c>
      <c r="C125" s="50" t="str">
        <f t="shared" si="15"/>
        <v>116-170</v>
      </c>
      <c r="D125" s="51" t="s">
        <v>502</v>
      </c>
      <c r="E125" s="52">
        <v>53063.13</v>
      </c>
      <c r="G125" s="52">
        <v>0</v>
      </c>
      <c r="H125" s="52">
        <v>1499.98</v>
      </c>
      <c r="I125" s="52">
        <v>0</v>
      </c>
      <c r="K125" s="52">
        <f t="shared" si="28"/>
        <v>54563.11</v>
      </c>
      <c r="M125" s="52">
        <v>82500</v>
      </c>
      <c r="N125" s="53">
        <f t="shared" si="29"/>
        <v>0.66137103030303035</v>
      </c>
      <c r="R125" s="54">
        <f t="shared" si="30"/>
        <v>1746.0195200000001</v>
      </c>
      <c r="S125" s="55">
        <f t="shared" si="31"/>
        <v>436.50488000000001</v>
      </c>
      <c r="T125" s="54">
        <f t="shared" si="32"/>
        <v>0</v>
      </c>
    </row>
    <row r="126" spans="1:20" ht="12.75" customHeight="1" x14ac:dyDescent="0.25">
      <c r="A126" s="49">
        <v>116</v>
      </c>
      <c r="B126" s="50">
        <v>175</v>
      </c>
      <c r="C126" s="50" t="str">
        <f t="shared" si="15"/>
        <v>116-175</v>
      </c>
      <c r="D126" s="51" t="s">
        <v>503</v>
      </c>
      <c r="E126" s="52">
        <v>70651.94</v>
      </c>
      <c r="G126" s="52">
        <v>0</v>
      </c>
      <c r="H126" s="52">
        <v>1799.97</v>
      </c>
      <c r="I126" s="52">
        <v>0</v>
      </c>
      <c r="K126" s="52">
        <f t="shared" si="28"/>
        <v>72451.91</v>
      </c>
      <c r="M126" s="52">
        <v>82500</v>
      </c>
      <c r="N126" s="53">
        <f t="shared" si="29"/>
        <v>0.87820496969696971</v>
      </c>
      <c r="R126" s="54">
        <f t="shared" si="30"/>
        <v>2318.4611199999999</v>
      </c>
      <c r="S126" s="55">
        <f t="shared" si="31"/>
        <v>579.61527999999998</v>
      </c>
      <c r="T126" s="54">
        <f t="shared" si="32"/>
        <v>0</v>
      </c>
    </row>
    <row r="127" spans="1:20" ht="12.75" customHeight="1" x14ac:dyDescent="0.25">
      <c r="A127" s="49">
        <v>116</v>
      </c>
      <c r="B127" s="50"/>
      <c r="C127" s="50" t="str">
        <f t="shared" si="15"/>
        <v>116-</v>
      </c>
      <c r="D127" s="51"/>
      <c r="E127" s="52">
        <v>0</v>
      </c>
      <c r="G127" s="52">
        <v>0</v>
      </c>
      <c r="H127" s="52">
        <v>0</v>
      </c>
      <c r="I127" s="52">
        <v>0</v>
      </c>
      <c r="K127" s="52">
        <f t="shared" si="28"/>
        <v>0</v>
      </c>
      <c r="M127" s="52"/>
      <c r="N127" s="53">
        <f t="shared" si="29"/>
        <v>0</v>
      </c>
      <c r="R127" s="56">
        <f>SUM(R120:R126)</f>
        <v>11593.73632</v>
      </c>
      <c r="S127" s="56">
        <f>SUM(S120:S126)</f>
        <v>2898.43408</v>
      </c>
      <c r="T127" s="56">
        <f>SUM(T120:T126)</f>
        <v>0</v>
      </c>
    </row>
    <row r="128" spans="1:20" ht="12.75" customHeight="1" x14ac:dyDescent="0.25">
      <c r="A128" s="49">
        <v>116</v>
      </c>
      <c r="B128" s="50"/>
      <c r="C128" s="50" t="str">
        <f t="shared" si="15"/>
        <v>116-</v>
      </c>
      <c r="D128" s="51"/>
      <c r="E128" s="52">
        <v>0</v>
      </c>
      <c r="G128" s="52">
        <v>0</v>
      </c>
      <c r="H128" s="52">
        <v>0</v>
      </c>
      <c r="I128" s="52">
        <v>0</v>
      </c>
      <c r="K128" s="52">
        <f t="shared" si="28"/>
        <v>0</v>
      </c>
      <c r="M128" s="52"/>
      <c r="N128" s="53">
        <f t="shared" si="29"/>
        <v>0</v>
      </c>
    </row>
    <row r="129" spans="1:20" ht="12.75" customHeight="1" x14ac:dyDescent="0.25">
      <c r="A129" s="49">
        <v>116</v>
      </c>
      <c r="B129" s="50"/>
      <c r="C129" s="50" t="str">
        <f t="shared" si="15"/>
        <v>116-</v>
      </c>
      <c r="D129" s="51"/>
      <c r="E129" s="52">
        <v>0</v>
      </c>
      <c r="G129" s="52">
        <v>0</v>
      </c>
      <c r="H129" s="52">
        <v>0</v>
      </c>
      <c r="I129" s="52">
        <v>0</v>
      </c>
      <c r="K129" s="52">
        <f t="shared" si="28"/>
        <v>0</v>
      </c>
      <c r="M129" s="52"/>
      <c r="N129" s="53">
        <f t="shared" si="29"/>
        <v>0</v>
      </c>
    </row>
    <row r="130" spans="1:20" ht="12.75" customHeight="1" x14ac:dyDescent="0.25">
      <c r="A130" s="49">
        <v>116</v>
      </c>
      <c r="B130" s="50"/>
      <c r="C130" s="50" t="str">
        <f t="shared" si="15"/>
        <v>116-</v>
      </c>
      <c r="D130" s="51"/>
      <c r="E130" s="52">
        <v>0</v>
      </c>
      <c r="G130" s="52">
        <v>0</v>
      </c>
      <c r="H130" s="52">
        <v>0</v>
      </c>
      <c r="I130" s="52">
        <v>0</v>
      </c>
      <c r="K130" s="52">
        <f t="shared" si="28"/>
        <v>0</v>
      </c>
      <c r="M130" s="52"/>
      <c r="N130" s="53">
        <f t="shared" si="29"/>
        <v>0</v>
      </c>
    </row>
    <row r="131" spans="1:20" ht="12.75" customHeight="1" x14ac:dyDescent="0.25">
      <c r="A131" s="57" t="s">
        <v>459</v>
      </c>
      <c r="B131" s="58"/>
      <c r="C131" s="50" t="str">
        <f t="shared" si="15"/>
        <v>Total-</v>
      </c>
      <c r="D131" s="57"/>
      <c r="E131" s="59">
        <v>354744.4</v>
      </c>
      <c r="F131" s="59">
        <v>0</v>
      </c>
      <c r="G131" s="59">
        <v>0</v>
      </c>
      <c r="H131" s="59">
        <v>6959.87</v>
      </c>
      <c r="I131" s="59">
        <v>599.99</v>
      </c>
      <c r="J131" s="59">
        <v>0</v>
      </c>
      <c r="K131" s="59">
        <f>SUM(K120:K130)</f>
        <v>362304.26</v>
      </c>
      <c r="M131" s="59">
        <f>SUM(M120:M130)</f>
        <v>495000</v>
      </c>
    </row>
    <row r="132" spans="1:20" ht="12.75" customHeight="1" x14ac:dyDescent="0.25">
      <c r="C132" s="50" t="str">
        <f t="shared" ref="C132:C195" si="33">CONCATENATE(A132,"-",B132)</f>
        <v>-</v>
      </c>
    </row>
    <row r="133" spans="1:20" ht="12.75" customHeight="1" x14ac:dyDescent="0.25">
      <c r="C133" s="50" t="str">
        <f t="shared" si="33"/>
        <v>-</v>
      </c>
    </row>
    <row r="134" spans="1:20" ht="12.75" customHeight="1" x14ac:dyDescent="0.25">
      <c r="C134" s="50" t="str">
        <f t="shared" si="33"/>
        <v>-</v>
      </c>
    </row>
    <row r="135" spans="1:20" ht="12.75" customHeight="1" x14ac:dyDescent="0.25">
      <c r="C135" s="50" t="str">
        <f t="shared" si="33"/>
        <v>-</v>
      </c>
    </row>
    <row r="136" spans="1:20" ht="12.75" customHeight="1" x14ac:dyDescent="0.25">
      <c r="A136" s="44" t="s">
        <v>454</v>
      </c>
      <c r="B136" s="45" t="s">
        <v>472</v>
      </c>
      <c r="C136" s="50" t="str">
        <f t="shared" si="33"/>
        <v>Loja-Cod</v>
      </c>
      <c r="D136" s="44" t="s">
        <v>473</v>
      </c>
      <c r="E136" s="45" t="s">
        <v>474</v>
      </c>
      <c r="F136" s="45" t="s">
        <v>475</v>
      </c>
      <c r="G136" s="45" t="s">
        <v>476</v>
      </c>
      <c r="H136" s="45" t="s">
        <v>477</v>
      </c>
      <c r="I136" s="45" t="s">
        <v>478</v>
      </c>
      <c r="J136" s="45" t="s">
        <v>479</v>
      </c>
      <c r="K136" s="45" t="s">
        <v>480</v>
      </c>
      <c r="M136" s="47" t="s">
        <v>481</v>
      </c>
      <c r="N136" s="47" t="s">
        <v>482</v>
      </c>
      <c r="P136" s="45" t="s">
        <v>483</v>
      </c>
      <c r="R136" s="48" t="s">
        <v>484</v>
      </c>
      <c r="S136" s="48" t="s">
        <v>466</v>
      </c>
      <c r="T136" s="48" t="s">
        <v>485</v>
      </c>
    </row>
    <row r="137" spans="1:20" ht="12.75" customHeight="1" x14ac:dyDescent="0.25">
      <c r="A137" s="49">
        <v>123</v>
      </c>
      <c r="B137" s="50">
        <v>20</v>
      </c>
      <c r="C137" s="50" t="str">
        <f t="shared" si="33"/>
        <v>123-20</v>
      </c>
      <c r="D137" s="51" t="s">
        <v>504</v>
      </c>
      <c r="E137" s="52">
        <v>389.96</v>
      </c>
      <c r="G137" s="52">
        <v>0</v>
      </c>
      <c r="H137" s="52">
        <v>0</v>
      </c>
      <c r="I137" s="52">
        <v>0</v>
      </c>
      <c r="K137" s="52">
        <f t="shared" ref="K137:K147" si="34">SUM(E137:J137)</f>
        <v>389.96</v>
      </c>
      <c r="M137" s="52"/>
      <c r="N137" s="53">
        <f t="shared" ref="N137:N147" si="35">IFERROR(K137/M137,)</f>
        <v>0</v>
      </c>
      <c r="P137" s="52">
        <v>220000</v>
      </c>
      <c r="R137" s="54">
        <v>0</v>
      </c>
      <c r="S137" s="55">
        <f t="shared" ref="S137:S142" si="36">R137*25%</f>
        <v>0</v>
      </c>
      <c r="T137" s="54">
        <f t="shared" ref="T137:T142" si="37">IF(N137&gt;1,K137*0.5%,0)</f>
        <v>0</v>
      </c>
    </row>
    <row r="138" spans="1:20" ht="12.75" customHeight="1" x14ac:dyDescent="0.25">
      <c r="A138" s="49">
        <v>123</v>
      </c>
      <c r="B138" s="50">
        <v>36</v>
      </c>
      <c r="C138" s="50" t="str">
        <f t="shared" si="33"/>
        <v>123-36</v>
      </c>
      <c r="D138" s="51" t="s">
        <v>148</v>
      </c>
      <c r="E138" s="52">
        <v>49333.01</v>
      </c>
      <c r="G138" s="52">
        <v>0</v>
      </c>
      <c r="H138" s="52">
        <v>0</v>
      </c>
      <c r="I138" s="52">
        <v>0</v>
      </c>
      <c r="K138" s="52">
        <f t="shared" si="34"/>
        <v>49333.01</v>
      </c>
      <c r="M138" s="52">
        <v>49000</v>
      </c>
      <c r="N138" s="53">
        <f t="shared" si="35"/>
        <v>1.0067961224489796</v>
      </c>
      <c r="R138" s="54">
        <f>(K138*3.8%)</f>
        <v>1874.6543799999999</v>
      </c>
      <c r="S138" s="55">
        <f t="shared" si="36"/>
        <v>468.66359499999999</v>
      </c>
      <c r="T138" s="54">
        <f t="shared" si="37"/>
        <v>246.66505000000001</v>
      </c>
    </row>
    <row r="139" spans="1:20" ht="12.75" customHeight="1" x14ac:dyDescent="0.25">
      <c r="A139" s="49">
        <v>123</v>
      </c>
      <c r="B139" s="50">
        <v>58</v>
      </c>
      <c r="C139" s="50" t="str">
        <f t="shared" si="33"/>
        <v>123-58</v>
      </c>
      <c r="D139" s="51" t="s">
        <v>150</v>
      </c>
      <c r="E139" s="52">
        <v>42157.58</v>
      </c>
      <c r="G139" s="52">
        <v>0</v>
      </c>
      <c r="H139" s="52">
        <v>0</v>
      </c>
      <c r="I139" s="52">
        <v>0</v>
      </c>
      <c r="K139" s="52">
        <f t="shared" si="34"/>
        <v>42157.58</v>
      </c>
      <c r="M139" s="52">
        <v>49000</v>
      </c>
      <c r="N139" s="53">
        <f t="shared" si="35"/>
        <v>0.86035877551020412</v>
      </c>
      <c r="R139" s="54">
        <f>(K139*3.5%)</f>
        <v>1475.5153000000003</v>
      </c>
      <c r="S139" s="55">
        <f t="shared" si="36"/>
        <v>368.87882500000006</v>
      </c>
      <c r="T139" s="54">
        <f t="shared" si="37"/>
        <v>0</v>
      </c>
    </row>
    <row r="140" spans="1:20" ht="12.75" customHeight="1" x14ac:dyDescent="0.25">
      <c r="A140" s="49">
        <v>123</v>
      </c>
      <c r="B140" s="50">
        <v>69</v>
      </c>
      <c r="C140" s="50" t="str">
        <f t="shared" si="33"/>
        <v>123-69</v>
      </c>
      <c r="D140" s="51" t="s">
        <v>154</v>
      </c>
      <c r="E140" s="52">
        <v>57673.26</v>
      </c>
      <c r="G140" s="52">
        <v>0</v>
      </c>
      <c r="H140" s="52">
        <v>0</v>
      </c>
      <c r="I140" s="52">
        <v>0</v>
      </c>
      <c r="K140" s="52">
        <f t="shared" si="34"/>
        <v>57673.26</v>
      </c>
      <c r="M140" s="52">
        <v>49000</v>
      </c>
      <c r="N140" s="53">
        <f t="shared" si="35"/>
        <v>1.177005306122449</v>
      </c>
      <c r="R140" s="54">
        <f>(K140*4.1%)</f>
        <v>2364.6036599999998</v>
      </c>
      <c r="S140" s="55">
        <f t="shared" si="36"/>
        <v>591.15091499999994</v>
      </c>
      <c r="T140" s="54">
        <f t="shared" si="37"/>
        <v>288.36630000000002</v>
      </c>
    </row>
    <row r="141" spans="1:20" ht="12.75" customHeight="1" x14ac:dyDescent="0.25">
      <c r="A141" s="49">
        <v>123</v>
      </c>
      <c r="B141" s="50">
        <v>70</v>
      </c>
      <c r="C141" s="50" t="str">
        <f t="shared" si="33"/>
        <v>123-70</v>
      </c>
      <c r="D141" s="51" t="s">
        <v>156</v>
      </c>
      <c r="E141" s="52">
        <v>53825.54</v>
      </c>
      <c r="G141" s="52">
        <v>0</v>
      </c>
      <c r="H141" s="52">
        <v>0</v>
      </c>
      <c r="I141" s="52">
        <v>0</v>
      </c>
      <c r="K141" s="52">
        <f t="shared" si="34"/>
        <v>53825.54</v>
      </c>
      <c r="M141" s="52">
        <v>49000</v>
      </c>
      <c r="N141" s="53">
        <f t="shared" si="35"/>
        <v>1.0984804081632653</v>
      </c>
      <c r="R141" s="54">
        <f>(K141*3.8%)</f>
        <v>2045.3705199999999</v>
      </c>
      <c r="S141" s="55">
        <f t="shared" si="36"/>
        <v>511.34262999999999</v>
      </c>
      <c r="T141" s="54">
        <f t="shared" si="37"/>
        <v>269.1277</v>
      </c>
    </row>
    <row r="142" spans="1:20" ht="12.75" customHeight="1" x14ac:dyDescent="0.25">
      <c r="A142" s="49">
        <v>123</v>
      </c>
      <c r="B142" s="50">
        <v>75</v>
      </c>
      <c r="C142" s="50" t="str">
        <f t="shared" si="33"/>
        <v>123-75</v>
      </c>
      <c r="D142" s="51" t="s">
        <v>505</v>
      </c>
      <c r="E142" s="52">
        <v>73508.850000000006</v>
      </c>
      <c r="G142" s="52">
        <v>0</v>
      </c>
      <c r="H142" s="52">
        <v>0</v>
      </c>
      <c r="I142" s="52">
        <v>0</v>
      </c>
      <c r="K142" s="52">
        <f t="shared" si="34"/>
        <v>73508.850000000006</v>
      </c>
      <c r="M142" s="52">
        <v>49000</v>
      </c>
      <c r="N142" s="53">
        <f t="shared" si="35"/>
        <v>1.5001806122448982</v>
      </c>
      <c r="R142" s="54">
        <f>(K142*4.4%)</f>
        <v>3234.3894000000005</v>
      </c>
      <c r="S142" s="55">
        <f t="shared" si="36"/>
        <v>808.59735000000012</v>
      </c>
      <c r="T142" s="54">
        <f t="shared" si="37"/>
        <v>367.54425000000003</v>
      </c>
    </row>
    <row r="143" spans="1:20" ht="12.75" customHeight="1" x14ac:dyDescent="0.25">
      <c r="A143" s="49">
        <v>123</v>
      </c>
      <c r="B143" s="50"/>
      <c r="C143" s="50" t="str">
        <f t="shared" si="33"/>
        <v>123-</v>
      </c>
      <c r="D143" s="51"/>
      <c r="E143" s="52">
        <v>0</v>
      </c>
      <c r="G143" s="52">
        <v>0</v>
      </c>
      <c r="H143" s="52">
        <v>0</v>
      </c>
      <c r="I143" s="52">
        <v>0</v>
      </c>
      <c r="K143" s="52">
        <f t="shared" si="34"/>
        <v>0</v>
      </c>
      <c r="M143" s="52"/>
      <c r="N143" s="53">
        <f t="shared" si="35"/>
        <v>0</v>
      </c>
      <c r="R143" s="56">
        <f>SUM(R137:R142)</f>
        <v>10994.53326</v>
      </c>
      <c r="S143" s="56">
        <f>SUM(S137:S142)</f>
        <v>2748.633315</v>
      </c>
      <c r="T143" s="56">
        <f>SUM(T137:T142)</f>
        <v>1171.7033000000001</v>
      </c>
    </row>
    <row r="144" spans="1:20" ht="12.75" customHeight="1" x14ac:dyDescent="0.25">
      <c r="A144" s="49">
        <v>123</v>
      </c>
      <c r="B144" s="50"/>
      <c r="C144" s="50" t="str">
        <f t="shared" si="33"/>
        <v>123-</v>
      </c>
      <c r="D144" s="51"/>
      <c r="E144" s="52">
        <v>0</v>
      </c>
      <c r="G144" s="52">
        <v>0</v>
      </c>
      <c r="H144" s="52">
        <v>0</v>
      </c>
      <c r="I144" s="52">
        <v>0</v>
      </c>
      <c r="K144" s="52">
        <f t="shared" si="34"/>
        <v>0</v>
      </c>
      <c r="M144" s="52"/>
      <c r="N144" s="53">
        <f t="shared" si="35"/>
        <v>0</v>
      </c>
    </row>
    <row r="145" spans="1:20" ht="12.75" customHeight="1" x14ac:dyDescent="0.25">
      <c r="A145" s="49">
        <v>123</v>
      </c>
      <c r="B145" s="50"/>
      <c r="C145" s="50" t="str">
        <f t="shared" si="33"/>
        <v>123-</v>
      </c>
      <c r="D145" s="51"/>
      <c r="E145" s="52">
        <v>0</v>
      </c>
      <c r="G145" s="52">
        <v>0</v>
      </c>
      <c r="H145" s="52">
        <v>0</v>
      </c>
      <c r="I145" s="52">
        <v>0</v>
      </c>
      <c r="K145" s="52">
        <f t="shared" si="34"/>
        <v>0</v>
      </c>
      <c r="M145" s="52"/>
      <c r="N145" s="53">
        <f t="shared" si="35"/>
        <v>0</v>
      </c>
    </row>
    <row r="146" spans="1:20" ht="12.75" customHeight="1" x14ac:dyDescent="0.25">
      <c r="A146" s="49">
        <v>123</v>
      </c>
      <c r="B146" s="50"/>
      <c r="C146" s="50" t="str">
        <f t="shared" si="33"/>
        <v>123-</v>
      </c>
      <c r="D146" s="51"/>
      <c r="E146" s="52">
        <v>0</v>
      </c>
      <c r="G146" s="52">
        <v>0</v>
      </c>
      <c r="H146" s="52">
        <v>0</v>
      </c>
      <c r="I146" s="52">
        <v>0</v>
      </c>
      <c r="K146" s="52">
        <f t="shared" si="34"/>
        <v>0</v>
      </c>
      <c r="M146" s="52"/>
      <c r="N146" s="53">
        <f t="shared" si="35"/>
        <v>0</v>
      </c>
    </row>
    <row r="147" spans="1:20" ht="12.75" customHeight="1" x14ac:dyDescent="0.25">
      <c r="A147" s="49">
        <v>123</v>
      </c>
      <c r="B147" s="50"/>
      <c r="C147" s="50" t="str">
        <f t="shared" si="33"/>
        <v>123-</v>
      </c>
      <c r="D147" s="51"/>
      <c r="E147" s="52">
        <v>0</v>
      </c>
      <c r="G147" s="52">
        <v>0</v>
      </c>
      <c r="H147" s="52">
        <v>0</v>
      </c>
      <c r="I147" s="52">
        <v>0</v>
      </c>
      <c r="K147" s="52">
        <f t="shared" si="34"/>
        <v>0</v>
      </c>
      <c r="M147" s="52"/>
      <c r="N147" s="53">
        <f t="shared" si="35"/>
        <v>0</v>
      </c>
    </row>
    <row r="148" spans="1:20" ht="12.75" customHeight="1" x14ac:dyDescent="0.25">
      <c r="A148" s="57" t="s">
        <v>459</v>
      </c>
      <c r="B148" s="58"/>
      <c r="C148" s="50" t="str">
        <f t="shared" si="33"/>
        <v>Total-</v>
      </c>
      <c r="D148" s="57"/>
      <c r="E148" s="59">
        <v>276888.2</v>
      </c>
      <c r="F148" s="59">
        <v>0</v>
      </c>
      <c r="G148" s="59">
        <v>0</v>
      </c>
      <c r="H148" s="59">
        <v>0</v>
      </c>
      <c r="I148" s="59">
        <v>0</v>
      </c>
      <c r="J148" s="59">
        <v>0</v>
      </c>
      <c r="K148" s="59">
        <f>SUM(K137:K147)</f>
        <v>276888.2</v>
      </c>
      <c r="M148" s="59">
        <f>SUM(M137:M147)</f>
        <v>245000</v>
      </c>
    </row>
    <row r="149" spans="1:20" ht="12.75" customHeight="1" x14ac:dyDescent="0.25">
      <c r="C149" s="50" t="str">
        <f t="shared" si="33"/>
        <v>-</v>
      </c>
    </row>
    <row r="150" spans="1:20" ht="12.75" customHeight="1" x14ac:dyDescent="0.25">
      <c r="C150" s="50" t="str">
        <f t="shared" si="33"/>
        <v>-</v>
      </c>
    </row>
    <row r="151" spans="1:20" ht="12.75" customHeight="1" x14ac:dyDescent="0.25">
      <c r="C151" s="50" t="str">
        <f t="shared" si="33"/>
        <v>-</v>
      </c>
    </row>
    <row r="152" spans="1:20" ht="12.75" customHeight="1" x14ac:dyDescent="0.25">
      <c r="C152" s="50" t="str">
        <f t="shared" si="33"/>
        <v>-</v>
      </c>
    </row>
    <row r="153" spans="1:20" ht="12.75" customHeight="1" x14ac:dyDescent="0.25">
      <c r="A153" s="44" t="s">
        <v>454</v>
      </c>
      <c r="B153" s="45" t="s">
        <v>472</v>
      </c>
      <c r="C153" s="50" t="str">
        <f t="shared" si="33"/>
        <v>Loja-Cod</v>
      </c>
      <c r="D153" s="44" t="s">
        <v>473</v>
      </c>
      <c r="E153" s="45" t="s">
        <v>474</v>
      </c>
      <c r="F153" s="45" t="s">
        <v>475</v>
      </c>
      <c r="G153" s="45" t="s">
        <v>476</v>
      </c>
      <c r="H153" s="45" t="s">
        <v>477</v>
      </c>
      <c r="I153" s="45" t="s">
        <v>478</v>
      </c>
      <c r="J153" s="45" t="s">
        <v>479</v>
      </c>
      <c r="K153" s="45" t="s">
        <v>480</v>
      </c>
      <c r="M153" s="47" t="s">
        <v>481</v>
      </c>
      <c r="N153" s="47" t="s">
        <v>482</v>
      </c>
      <c r="P153" s="45" t="s">
        <v>483</v>
      </c>
      <c r="R153" s="48" t="s">
        <v>484</v>
      </c>
      <c r="S153" s="48" t="s">
        <v>466</v>
      </c>
      <c r="T153" s="48" t="s">
        <v>485</v>
      </c>
    </row>
    <row r="154" spans="1:20" ht="12.75" customHeight="1" x14ac:dyDescent="0.25">
      <c r="A154" s="49">
        <v>124</v>
      </c>
      <c r="B154" s="50">
        <v>1</v>
      </c>
      <c r="C154" s="50" t="str">
        <f t="shared" si="33"/>
        <v>124-1</v>
      </c>
      <c r="D154" s="51" t="s">
        <v>506</v>
      </c>
      <c r="E154" s="52">
        <v>4.5474735088649996E-13</v>
      </c>
      <c r="G154" s="52">
        <v>0</v>
      </c>
      <c r="H154" s="52">
        <v>0</v>
      </c>
      <c r="I154" s="52">
        <v>0</v>
      </c>
      <c r="K154" s="52">
        <f t="shared" ref="K154:K164" si="38">SUM(E154:J154)</f>
        <v>4.5474735088649996E-13</v>
      </c>
      <c r="M154" s="52"/>
      <c r="N154" s="53">
        <f t="shared" ref="N154:N164" si="39">IFERROR(K154/M154,)</f>
        <v>0</v>
      </c>
      <c r="P154" s="52">
        <v>190000</v>
      </c>
      <c r="R154" s="54">
        <v>0</v>
      </c>
      <c r="S154" s="55">
        <f>R154*25%</f>
        <v>0</v>
      </c>
      <c r="T154" s="54">
        <f>IF(N154&gt;1,K154*0.5%,0)</f>
        <v>0</v>
      </c>
    </row>
    <row r="155" spans="1:20" ht="12.75" customHeight="1" x14ac:dyDescent="0.25">
      <c r="A155" s="49">
        <v>124</v>
      </c>
      <c r="B155" s="50">
        <v>2</v>
      </c>
      <c r="C155" s="50" t="str">
        <f t="shared" si="33"/>
        <v>124-2</v>
      </c>
      <c r="D155" s="51" t="s">
        <v>164</v>
      </c>
      <c r="E155" s="52">
        <v>81075.16</v>
      </c>
      <c r="G155" s="52">
        <v>0</v>
      </c>
      <c r="H155" s="52">
        <v>0</v>
      </c>
      <c r="I155" s="52">
        <v>0</v>
      </c>
      <c r="K155" s="52">
        <f t="shared" si="38"/>
        <v>81075.16</v>
      </c>
      <c r="M155" s="52">
        <v>52500</v>
      </c>
      <c r="N155" s="53">
        <f t="shared" si="39"/>
        <v>1.5442887619047621</v>
      </c>
      <c r="R155" s="54">
        <f>(K155*3.2%)</f>
        <v>2594.4051200000004</v>
      </c>
      <c r="S155" s="55">
        <f>R155*25%</f>
        <v>648.60128000000009</v>
      </c>
      <c r="T155" s="54">
        <f>IF(N155&gt;1,K155*0.5%,0)</f>
        <v>405.37580000000003</v>
      </c>
    </row>
    <row r="156" spans="1:20" ht="12.75" customHeight="1" x14ac:dyDescent="0.25">
      <c r="A156" s="49">
        <v>124</v>
      </c>
      <c r="B156" s="50">
        <v>39</v>
      </c>
      <c r="C156" s="50" t="str">
        <f t="shared" si="33"/>
        <v>124-39</v>
      </c>
      <c r="D156" s="51" t="s">
        <v>170</v>
      </c>
      <c r="E156" s="52">
        <v>65851.91</v>
      </c>
      <c r="G156" s="52">
        <v>0</v>
      </c>
      <c r="H156" s="52">
        <v>0</v>
      </c>
      <c r="I156" s="52">
        <v>0</v>
      </c>
      <c r="K156" s="52">
        <f t="shared" si="38"/>
        <v>65851.91</v>
      </c>
      <c r="M156" s="52">
        <v>52500</v>
      </c>
      <c r="N156" s="53">
        <f t="shared" si="39"/>
        <v>1.2543220952380953</v>
      </c>
      <c r="R156" s="54">
        <f>(K156*3.2%)</f>
        <v>2107.2611200000001</v>
      </c>
      <c r="S156" s="55">
        <f>R156*25%</f>
        <v>526.81528000000003</v>
      </c>
      <c r="T156" s="54">
        <f>IF(N156&gt;1,K156*0.5%,0)</f>
        <v>329.25955000000005</v>
      </c>
    </row>
    <row r="157" spans="1:20" ht="12.75" customHeight="1" x14ac:dyDescent="0.25">
      <c r="A157" s="49">
        <v>124</v>
      </c>
      <c r="B157" s="50">
        <v>40</v>
      </c>
      <c r="C157" s="50" t="str">
        <f t="shared" si="33"/>
        <v>124-40</v>
      </c>
      <c r="D157" s="51" t="s">
        <v>172</v>
      </c>
      <c r="E157" s="52">
        <v>16173.42</v>
      </c>
      <c r="G157" s="52">
        <v>0</v>
      </c>
      <c r="H157" s="52">
        <v>0</v>
      </c>
      <c r="I157" s="52">
        <v>0</v>
      </c>
      <c r="K157" s="52">
        <f t="shared" si="38"/>
        <v>16173.42</v>
      </c>
      <c r="M157" s="52">
        <v>52500</v>
      </c>
      <c r="N157" s="53">
        <f t="shared" si="39"/>
        <v>0.30806514285714287</v>
      </c>
      <c r="R157" s="54">
        <f>(K157*3.2%)</f>
        <v>517.54944</v>
      </c>
      <c r="S157" s="55">
        <f>R157*25%</f>
        <v>129.38736</v>
      </c>
      <c r="T157" s="54">
        <f>IF(N157&gt;1,K157*0.5%,0)</f>
        <v>0</v>
      </c>
    </row>
    <row r="158" spans="1:20" ht="12.75" customHeight="1" x14ac:dyDescent="0.25">
      <c r="A158" s="49">
        <v>124</v>
      </c>
      <c r="B158" s="50">
        <v>49</v>
      </c>
      <c r="C158" s="50" t="str">
        <f t="shared" si="33"/>
        <v>124-49</v>
      </c>
      <c r="D158" s="51" t="s">
        <v>174</v>
      </c>
      <c r="E158" s="52">
        <v>57905.07</v>
      </c>
      <c r="G158" s="52">
        <v>0</v>
      </c>
      <c r="H158" s="52">
        <v>0</v>
      </c>
      <c r="I158" s="52">
        <v>0</v>
      </c>
      <c r="K158" s="52">
        <f t="shared" si="38"/>
        <v>57905.07</v>
      </c>
      <c r="M158" s="52">
        <v>52500</v>
      </c>
      <c r="N158" s="53">
        <f t="shared" si="39"/>
        <v>1.1029537142857142</v>
      </c>
      <c r="R158" s="54">
        <f>(K158*3.2%)</f>
        <v>1852.9622400000001</v>
      </c>
      <c r="S158" s="55">
        <f>R158*25%</f>
        <v>463.24056000000002</v>
      </c>
      <c r="T158" s="54">
        <f>IF(N158&gt;1,K158*0.5%,0)</f>
        <v>289.52535</v>
      </c>
    </row>
    <row r="159" spans="1:20" ht="12.75" customHeight="1" x14ac:dyDescent="0.25">
      <c r="A159" s="49">
        <v>124</v>
      </c>
      <c r="B159" s="50"/>
      <c r="C159" s="50" t="str">
        <f t="shared" si="33"/>
        <v>124-</v>
      </c>
      <c r="D159" s="51"/>
      <c r="E159" s="52">
        <v>0</v>
      </c>
      <c r="G159" s="52">
        <v>0</v>
      </c>
      <c r="H159" s="52">
        <v>0</v>
      </c>
      <c r="I159" s="52">
        <v>0</v>
      </c>
      <c r="K159" s="52">
        <f t="shared" si="38"/>
        <v>0</v>
      </c>
      <c r="M159" s="52"/>
      <c r="N159" s="53">
        <f t="shared" si="39"/>
        <v>0</v>
      </c>
      <c r="R159" s="56">
        <f>SUM(R154:R158)</f>
        <v>7072.1779200000001</v>
      </c>
      <c r="S159" s="56">
        <f>SUM(S154:S158)</f>
        <v>1768.04448</v>
      </c>
      <c r="T159" s="56">
        <f>SUM(T154:T158)</f>
        <v>1024.1606999999999</v>
      </c>
    </row>
    <row r="160" spans="1:20" ht="12.75" customHeight="1" x14ac:dyDescent="0.25">
      <c r="A160" s="49">
        <v>124</v>
      </c>
      <c r="B160" s="50"/>
      <c r="C160" s="50" t="str">
        <f t="shared" si="33"/>
        <v>124-</v>
      </c>
      <c r="D160" s="51"/>
      <c r="E160" s="52">
        <v>0</v>
      </c>
      <c r="G160" s="52">
        <v>0</v>
      </c>
      <c r="H160" s="52">
        <v>0</v>
      </c>
      <c r="I160" s="52">
        <v>0</v>
      </c>
      <c r="K160" s="52">
        <f t="shared" si="38"/>
        <v>0</v>
      </c>
      <c r="M160" s="52"/>
      <c r="N160" s="53">
        <f t="shared" si="39"/>
        <v>0</v>
      </c>
    </row>
    <row r="161" spans="1:20" ht="12.75" customHeight="1" x14ac:dyDescent="0.25">
      <c r="A161" s="49">
        <v>124</v>
      </c>
      <c r="B161" s="50"/>
      <c r="C161" s="50" t="str">
        <f t="shared" si="33"/>
        <v>124-</v>
      </c>
      <c r="D161" s="51"/>
      <c r="E161" s="52">
        <v>0</v>
      </c>
      <c r="G161" s="52">
        <v>0</v>
      </c>
      <c r="H161" s="52">
        <v>0</v>
      </c>
      <c r="I161" s="52">
        <v>0</v>
      </c>
      <c r="K161" s="52">
        <f t="shared" si="38"/>
        <v>0</v>
      </c>
      <c r="M161" s="52"/>
      <c r="N161" s="53">
        <f t="shared" si="39"/>
        <v>0</v>
      </c>
    </row>
    <row r="162" spans="1:20" ht="12.75" customHeight="1" x14ac:dyDescent="0.25">
      <c r="A162" s="49">
        <v>124</v>
      </c>
      <c r="B162" s="50"/>
      <c r="C162" s="50" t="str">
        <f t="shared" si="33"/>
        <v>124-</v>
      </c>
      <c r="D162" s="51"/>
      <c r="E162" s="52">
        <v>0</v>
      </c>
      <c r="G162" s="52">
        <v>0</v>
      </c>
      <c r="H162" s="52">
        <v>0</v>
      </c>
      <c r="I162" s="52">
        <v>0</v>
      </c>
      <c r="K162" s="52">
        <f t="shared" si="38"/>
        <v>0</v>
      </c>
      <c r="M162" s="52"/>
      <c r="N162" s="53">
        <f t="shared" si="39"/>
        <v>0</v>
      </c>
    </row>
    <row r="163" spans="1:20" ht="12.75" customHeight="1" x14ac:dyDescent="0.25">
      <c r="A163" s="49">
        <v>124</v>
      </c>
      <c r="B163" s="50"/>
      <c r="C163" s="50" t="str">
        <f t="shared" si="33"/>
        <v>124-</v>
      </c>
      <c r="D163" s="51"/>
      <c r="E163" s="52">
        <v>0</v>
      </c>
      <c r="G163" s="52">
        <v>0</v>
      </c>
      <c r="H163" s="52">
        <v>0</v>
      </c>
      <c r="I163" s="52">
        <v>0</v>
      </c>
      <c r="K163" s="52">
        <f t="shared" si="38"/>
        <v>0</v>
      </c>
      <c r="M163" s="52"/>
      <c r="N163" s="53">
        <f t="shared" si="39"/>
        <v>0</v>
      </c>
    </row>
    <row r="164" spans="1:20" ht="12.75" customHeight="1" x14ac:dyDescent="0.25">
      <c r="A164" s="49">
        <v>124</v>
      </c>
      <c r="B164" s="50"/>
      <c r="C164" s="50" t="str">
        <f t="shared" si="33"/>
        <v>124-</v>
      </c>
      <c r="D164" s="51"/>
      <c r="E164" s="52">
        <v>0</v>
      </c>
      <c r="G164" s="52">
        <v>0</v>
      </c>
      <c r="H164" s="52">
        <v>0</v>
      </c>
      <c r="I164" s="52">
        <v>0</v>
      </c>
      <c r="K164" s="52">
        <f t="shared" si="38"/>
        <v>0</v>
      </c>
      <c r="M164" s="52"/>
      <c r="N164" s="53">
        <f t="shared" si="39"/>
        <v>0</v>
      </c>
    </row>
    <row r="165" spans="1:20" ht="12.75" customHeight="1" x14ac:dyDescent="0.25">
      <c r="A165" s="57" t="s">
        <v>459</v>
      </c>
      <c r="B165" s="58"/>
      <c r="C165" s="50" t="str">
        <f t="shared" si="33"/>
        <v>Total-</v>
      </c>
      <c r="D165" s="57"/>
      <c r="E165" s="59">
        <v>221005.56000000003</v>
      </c>
      <c r="F165" s="59">
        <v>0</v>
      </c>
      <c r="G165" s="59">
        <v>0</v>
      </c>
      <c r="H165" s="59">
        <v>0</v>
      </c>
      <c r="I165" s="59">
        <v>0</v>
      </c>
      <c r="J165" s="59">
        <v>0</v>
      </c>
      <c r="K165" s="59">
        <f>SUM(K154:K164)</f>
        <v>221005.56000000003</v>
      </c>
      <c r="M165" s="59">
        <f>SUM(M154:M164)</f>
        <v>210000</v>
      </c>
    </row>
    <row r="166" spans="1:20" ht="12.75" customHeight="1" x14ac:dyDescent="0.25">
      <c r="C166" s="50" t="str">
        <f t="shared" si="33"/>
        <v>-</v>
      </c>
    </row>
    <row r="167" spans="1:20" ht="12.75" customHeight="1" x14ac:dyDescent="0.25">
      <c r="C167" s="50" t="str">
        <f t="shared" si="33"/>
        <v>-</v>
      </c>
    </row>
    <row r="168" spans="1:20" ht="12.75" customHeight="1" x14ac:dyDescent="0.25">
      <c r="C168" s="50" t="str">
        <f t="shared" si="33"/>
        <v>-</v>
      </c>
    </row>
    <row r="169" spans="1:20" ht="12.75" customHeight="1" x14ac:dyDescent="0.25">
      <c r="C169" s="50" t="str">
        <f t="shared" si="33"/>
        <v>-</v>
      </c>
    </row>
    <row r="170" spans="1:20" ht="12.75" customHeight="1" x14ac:dyDescent="0.25">
      <c r="A170" s="44" t="s">
        <v>454</v>
      </c>
      <c r="B170" s="45" t="s">
        <v>472</v>
      </c>
      <c r="C170" s="50" t="str">
        <f t="shared" si="33"/>
        <v>Loja-Cod</v>
      </c>
      <c r="D170" s="44" t="s">
        <v>473</v>
      </c>
      <c r="E170" s="45" t="s">
        <v>474</v>
      </c>
      <c r="F170" s="45" t="s">
        <v>475</v>
      </c>
      <c r="G170" s="45" t="s">
        <v>476</v>
      </c>
      <c r="H170" s="45" t="s">
        <v>477</v>
      </c>
      <c r="I170" s="45" t="s">
        <v>478</v>
      </c>
      <c r="J170" s="45" t="s">
        <v>479</v>
      </c>
      <c r="K170" s="45" t="s">
        <v>480</v>
      </c>
      <c r="M170" s="47" t="s">
        <v>481</v>
      </c>
      <c r="N170" s="47" t="s">
        <v>482</v>
      </c>
      <c r="P170" s="45" t="s">
        <v>483</v>
      </c>
      <c r="R170" s="48" t="s">
        <v>484</v>
      </c>
      <c r="S170" s="48" t="s">
        <v>466</v>
      </c>
      <c r="T170" s="48" t="s">
        <v>485</v>
      </c>
    </row>
    <row r="171" spans="1:20" ht="12.75" customHeight="1" x14ac:dyDescent="0.25">
      <c r="A171" s="49">
        <v>125</v>
      </c>
      <c r="B171" s="50">
        <v>1</v>
      </c>
      <c r="C171" s="50" t="str">
        <f t="shared" si="33"/>
        <v>125-1</v>
      </c>
      <c r="D171" s="51" t="s">
        <v>507</v>
      </c>
      <c r="E171" s="52">
        <v>995.96</v>
      </c>
      <c r="G171" s="52">
        <v>0</v>
      </c>
      <c r="H171" s="52">
        <v>0</v>
      </c>
      <c r="I171" s="52">
        <v>0</v>
      </c>
      <c r="K171" s="52">
        <f t="shared" ref="K171:K181" si="40">SUM(E171:J171)</f>
        <v>995.96</v>
      </c>
      <c r="M171" s="52"/>
      <c r="N171" s="53">
        <f t="shared" ref="N171:N181" si="41">IFERROR(K171/M171,)</f>
        <v>0</v>
      </c>
      <c r="P171" s="52">
        <v>190000</v>
      </c>
      <c r="R171" s="54">
        <v>0</v>
      </c>
      <c r="S171" s="55">
        <f>R171*25%</f>
        <v>0</v>
      </c>
      <c r="T171" s="54">
        <f>IF(N171&gt;1,K171*0.5%,0)</f>
        <v>0</v>
      </c>
    </row>
    <row r="172" spans="1:20" ht="12.75" customHeight="1" x14ac:dyDescent="0.25">
      <c r="A172" s="49">
        <v>125</v>
      </c>
      <c r="B172" s="50">
        <v>28</v>
      </c>
      <c r="C172" s="50" t="str">
        <f t="shared" si="33"/>
        <v>125-28</v>
      </c>
      <c r="D172" s="51" t="s">
        <v>178</v>
      </c>
      <c r="E172" s="52">
        <v>53698.93</v>
      </c>
      <c r="G172" s="52">
        <v>0</v>
      </c>
      <c r="H172" s="52">
        <v>0</v>
      </c>
      <c r="I172" s="52">
        <v>0</v>
      </c>
      <c r="K172" s="52">
        <f t="shared" si="40"/>
        <v>53698.93</v>
      </c>
      <c r="M172" s="52">
        <v>52500</v>
      </c>
      <c r="N172" s="53">
        <f t="shared" si="41"/>
        <v>1.0228367619047618</v>
      </c>
      <c r="R172" s="54">
        <f>(K172*2.8%)</f>
        <v>1503.5700399999998</v>
      </c>
      <c r="S172" s="55">
        <f>R172*25%</f>
        <v>375.89250999999996</v>
      </c>
      <c r="T172" s="54">
        <f>IF(N172&gt;1,K172*0.5%,0)</f>
        <v>268.49464999999998</v>
      </c>
    </row>
    <row r="173" spans="1:20" ht="12.75" customHeight="1" x14ac:dyDescent="0.25">
      <c r="A173" s="49">
        <v>125</v>
      </c>
      <c r="B173" s="50">
        <v>54</v>
      </c>
      <c r="C173" s="50" t="str">
        <f t="shared" si="33"/>
        <v>125-54</v>
      </c>
      <c r="D173" s="51" t="s">
        <v>508</v>
      </c>
      <c r="E173" s="52">
        <v>45440.77</v>
      </c>
      <c r="G173" s="52">
        <v>0</v>
      </c>
      <c r="H173" s="52">
        <v>0</v>
      </c>
      <c r="I173" s="52">
        <v>0</v>
      </c>
      <c r="K173" s="52">
        <f t="shared" si="40"/>
        <v>45440.77</v>
      </c>
      <c r="M173" s="52">
        <v>52500</v>
      </c>
      <c r="N173" s="53">
        <f t="shared" si="41"/>
        <v>0.86553847619047608</v>
      </c>
      <c r="R173" s="54">
        <f>(K173*2.8%)</f>
        <v>1272.3415599999998</v>
      </c>
      <c r="S173" s="55">
        <f>R173*25%</f>
        <v>318.08538999999996</v>
      </c>
      <c r="T173" s="54">
        <f>IF(N173&gt;1,K173*0.5%,0)</f>
        <v>0</v>
      </c>
    </row>
    <row r="174" spans="1:20" ht="12.75" customHeight="1" x14ac:dyDescent="0.25">
      <c r="A174" s="49">
        <v>125</v>
      </c>
      <c r="B174" s="50">
        <v>55</v>
      </c>
      <c r="C174" s="50" t="str">
        <f t="shared" si="33"/>
        <v>125-55</v>
      </c>
      <c r="D174" s="51" t="s">
        <v>509</v>
      </c>
      <c r="E174" s="52">
        <v>61887.03</v>
      </c>
      <c r="G174" s="52">
        <v>0</v>
      </c>
      <c r="H174" s="52">
        <v>0</v>
      </c>
      <c r="I174" s="52">
        <v>0</v>
      </c>
      <c r="K174" s="52">
        <f t="shared" si="40"/>
        <v>61887.03</v>
      </c>
      <c r="M174" s="52">
        <v>52500</v>
      </c>
      <c r="N174" s="53">
        <f t="shared" si="41"/>
        <v>1.1788005714285714</v>
      </c>
      <c r="R174" s="54">
        <f>(K174*2.8%)</f>
        <v>1732.8368399999997</v>
      </c>
      <c r="S174" s="55">
        <f>R174*25%</f>
        <v>433.20920999999993</v>
      </c>
      <c r="T174" s="54">
        <f>IF(N174&gt;1,K174*0.5%,0)</f>
        <v>309.43515000000002</v>
      </c>
    </row>
    <row r="175" spans="1:20" ht="12.75" customHeight="1" x14ac:dyDescent="0.25">
      <c r="A175" s="49">
        <v>125</v>
      </c>
      <c r="B175" s="50">
        <v>58</v>
      </c>
      <c r="C175" s="50" t="str">
        <f t="shared" si="33"/>
        <v>125-58</v>
      </c>
      <c r="D175" s="51" t="s">
        <v>189</v>
      </c>
      <c r="E175" s="52">
        <v>55154.25</v>
      </c>
      <c r="G175" s="52">
        <v>0</v>
      </c>
      <c r="H175" s="52">
        <v>0</v>
      </c>
      <c r="I175" s="52">
        <v>0</v>
      </c>
      <c r="K175" s="52">
        <f t="shared" si="40"/>
        <v>55154.25</v>
      </c>
      <c r="M175" s="52">
        <v>52500</v>
      </c>
      <c r="N175" s="53">
        <f t="shared" si="41"/>
        <v>1.050557142857143</v>
      </c>
      <c r="R175" s="54">
        <f>(K175*2.8%)</f>
        <v>1544.3189999999997</v>
      </c>
      <c r="S175" s="55">
        <f>R175*25%</f>
        <v>386.07974999999993</v>
      </c>
      <c r="T175" s="54">
        <f>IF(N175&gt;1,K175*0.5%,0)</f>
        <v>275.77125000000001</v>
      </c>
    </row>
    <row r="176" spans="1:20" ht="12.75" customHeight="1" x14ac:dyDescent="0.25">
      <c r="A176" s="49">
        <v>125</v>
      </c>
      <c r="B176" s="50"/>
      <c r="C176" s="50" t="str">
        <f t="shared" si="33"/>
        <v>125-</v>
      </c>
      <c r="D176" s="51"/>
      <c r="E176" s="52">
        <v>0</v>
      </c>
      <c r="G176" s="52">
        <v>0</v>
      </c>
      <c r="H176" s="52">
        <v>0</v>
      </c>
      <c r="I176" s="52">
        <v>0</v>
      </c>
      <c r="K176" s="52">
        <f t="shared" si="40"/>
        <v>0</v>
      </c>
      <c r="M176" s="52"/>
      <c r="N176" s="53">
        <f t="shared" si="41"/>
        <v>0</v>
      </c>
      <c r="R176" s="56">
        <f>SUM(R171:R175)</f>
        <v>6053.0674399999989</v>
      </c>
      <c r="S176" s="56">
        <f>SUM(S171:S175)</f>
        <v>1513.2668599999997</v>
      </c>
      <c r="T176" s="56">
        <f>SUM(T171:T175)</f>
        <v>853.70105000000001</v>
      </c>
    </row>
    <row r="177" spans="1:20" ht="12.75" customHeight="1" x14ac:dyDescent="0.25">
      <c r="A177" s="49">
        <v>125</v>
      </c>
      <c r="B177" s="50"/>
      <c r="C177" s="50" t="str">
        <f t="shared" si="33"/>
        <v>125-</v>
      </c>
      <c r="D177" s="51"/>
      <c r="E177" s="52">
        <v>0</v>
      </c>
      <c r="G177" s="52">
        <v>0</v>
      </c>
      <c r="H177" s="52">
        <v>0</v>
      </c>
      <c r="I177" s="52">
        <v>0</v>
      </c>
      <c r="K177" s="52">
        <f t="shared" si="40"/>
        <v>0</v>
      </c>
      <c r="M177" s="52"/>
      <c r="N177" s="53">
        <f t="shared" si="41"/>
        <v>0</v>
      </c>
    </row>
    <row r="178" spans="1:20" ht="12.75" customHeight="1" x14ac:dyDescent="0.25">
      <c r="A178" s="49">
        <v>125</v>
      </c>
      <c r="B178" s="50"/>
      <c r="C178" s="50" t="str">
        <f t="shared" si="33"/>
        <v>125-</v>
      </c>
      <c r="D178" s="51"/>
      <c r="E178" s="52">
        <v>0</v>
      </c>
      <c r="G178" s="52">
        <v>0</v>
      </c>
      <c r="H178" s="52">
        <v>0</v>
      </c>
      <c r="I178" s="52">
        <v>0</v>
      </c>
      <c r="K178" s="52">
        <f t="shared" si="40"/>
        <v>0</v>
      </c>
      <c r="M178" s="52"/>
      <c r="N178" s="53">
        <f t="shared" si="41"/>
        <v>0</v>
      </c>
    </row>
    <row r="179" spans="1:20" ht="12.75" customHeight="1" x14ac:dyDescent="0.25">
      <c r="A179" s="49">
        <v>125</v>
      </c>
      <c r="B179" s="50"/>
      <c r="C179" s="50" t="str">
        <f t="shared" si="33"/>
        <v>125-</v>
      </c>
      <c r="D179" s="51"/>
      <c r="E179" s="52">
        <v>0</v>
      </c>
      <c r="G179" s="52">
        <v>0</v>
      </c>
      <c r="H179" s="52">
        <v>0</v>
      </c>
      <c r="I179" s="52">
        <v>0</v>
      </c>
      <c r="K179" s="52">
        <f t="shared" si="40"/>
        <v>0</v>
      </c>
      <c r="M179" s="52"/>
      <c r="N179" s="53">
        <f t="shared" si="41"/>
        <v>0</v>
      </c>
    </row>
    <row r="180" spans="1:20" ht="12.75" customHeight="1" x14ac:dyDescent="0.25">
      <c r="A180" s="49">
        <v>125</v>
      </c>
      <c r="B180" s="50"/>
      <c r="C180" s="50" t="str">
        <f t="shared" si="33"/>
        <v>125-</v>
      </c>
      <c r="D180" s="51"/>
      <c r="E180" s="52">
        <v>0</v>
      </c>
      <c r="G180" s="52">
        <v>0</v>
      </c>
      <c r="H180" s="52">
        <v>0</v>
      </c>
      <c r="I180" s="52">
        <v>0</v>
      </c>
      <c r="K180" s="52">
        <f t="shared" si="40"/>
        <v>0</v>
      </c>
      <c r="M180" s="52"/>
      <c r="N180" s="53">
        <f t="shared" si="41"/>
        <v>0</v>
      </c>
    </row>
    <row r="181" spans="1:20" ht="12.75" customHeight="1" x14ac:dyDescent="0.25">
      <c r="A181" s="49">
        <v>125</v>
      </c>
      <c r="B181" s="50"/>
      <c r="C181" s="50" t="str">
        <f t="shared" si="33"/>
        <v>125-</v>
      </c>
      <c r="D181" s="51"/>
      <c r="E181" s="52">
        <v>0</v>
      </c>
      <c r="G181" s="52">
        <v>0</v>
      </c>
      <c r="H181" s="52">
        <v>0</v>
      </c>
      <c r="I181" s="52">
        <v>0</v>
      </c>
      <c r="K181" s="52">
        <f t="shared" si="40"/>
        <v>0</v>
      </c>
      <c r="M181" s="52"/>
      <c r="N181" s="53">
        <f t="shared" si="41"/>
        <v>0</v>
      </c>
    </row>
    <row r="182" spans="1:20" ht="12.75" customHeight="1" x14ac:dyDescent="0.25">
      <c r="A182" s="57" t="s">
        <v>459</v>
      </c>
      <c r="B182" s="58"/>
      <c r="C182" s="50" t="str">
        <f t="shared" si="33"/>
        <v>Total-</v>
      </c>
      <c r="D182" s="57"/>
      <c r="E182" s="59">
        <v>217176.94</v>
      </c>
      <c r="F182" s="59">
        <v>0</v>
      </c>
      <c r="G182" s="59">
        <v>0</v>
      </c>
      <c r="H182" s="59">
        <v>0</v>
      </c>
      <c r="I182" s="59">
        <v>0</v>
      </c>
      <c r="J182" s="59">
        <v>0</v>
      </c>
      <c r="K182" s="59">
        <f>SUM(K171:K181)</f>
        <v>217176.94</v>
      </c>
      <c r="M182" s="59">
        <f>SUM(M171:M181)</f>
        <v>210000</v>
      </c>
    </row>
    <row r="183" spans="1:20" ht="12.75" customHeight="1" x14ac:dyDescent="0.25">
      <c r="C183" s="50" t="str">
        <f t="shared" si="33"/>
        <v>-</v>
      </c>
    </row>
    <row r="184" spans="1:20" ht="12.75" customHeight="1" x14ac:dyDescent="0.25">
      <c r="C184" s="50" t="str">
        <f t="shared" si="33"/>
        <v>-</v>
      </c>
    </row>
    <row r="185" spans="1:20" ht="12.75" customHeight="1" x14ac:dyDescent="0.25">
      <c r="C185" s="50" t="str">
        <f t="shared" si="33"/>
        <v>-</v>
      </c>
    </row>
    <row r="186" spans="1:20" ht="12.75" customHeight="1" x14ac:dyDescent="0.25">
      <c r="C186" s="50" t="str">
        <f t="shared" si="33"/>
        <v>-</v>
      </c>
    </row>
    <row r="187" spans="1:20" ht="12.75" customHeight="1" x14ac:dyDescent="0.25">
      <c r="A187" s="44" t="s">
        <v>454</v>
      </c>
      <c r="B187" s="45" t="s">
        <v>472</v>
      </c>
      <c r="C187" s="50" t="str">
        <f t="shared" si="33"/>
        <v>Loja-Cod</v>
      </c>
      <c r="D187" s="44" t="s">
        <v>473</v>
      </c>
      <c r="E187" s="45" t="s">
        <v>474</v>
      </c>
      <c r="F187" s="45" t="s">
        <v>475</v>
      </c>
      <c r="G187" s="45" t="s">
        <v>476</v>
      </c>
      <c r="H187" s="45" t="s">
        <v>477</v>
      </c>
      <c r="I187" s="45" t="s">
        <v>478</v>
      </c>
      <c r="J187" s="45" t="s">
        <v>479</v>
      </c>
      <c r="K187" s="45" t="s">
        <v>480</v>
      </c>
      <c r="M187" s="47" t="s">
        <v>481</v>
      </c>
      <c r="N187" s="47" t="s">
        <v>482</v>
      </c>
      <c r="P187" s="45" t="s">
        <v>483</v>
      </c>
      <c r="R187" s="48" t="s">
        <v>484</v>
      </c>
      <c r="S187" s="48" t="s">
        <v>466</v>
      </c>
      <c r="T187" s="48" t="s">
        <v>485</v>
      </c>
    </row>
    <row r="188" spans="1:20" ht="12.75" customHeight="1" x14ac:dyDescent="0.25">
      <c r="A188" s="49">
        <v>126</v>
      </c>
      <c r="B188" s="50">
        <v>1</v>
      </c>
      <c r="C188" s="50" t="str">
        <f t="shared" si="33"/>
        <v>126-1</v>
      </c>
      <c r="D188" s="51" t="s">
        <v>191</v>
      </c>
      <c r="E188" s="52">
        <v>3461.78</v>
      </c>
      <c r="G188" s="52">
        <v>0</v>
      </c>
      <c r="H188" s="52">
        <v>0</v>
      </c>
      <c r="I188" s="52">
        <v>0</v>
      </c>
      <c r="K188" s="52">
        <f t="shared" ref="K188:K198" si="42">SUM(E188:J188)</f>
        <v>3461.78</v>
      </c>
      <c r="M188" s="52"/>
      <c r="N188" s="53">
        <f t="shared" ref="N188:N198" si="43">IFERROR(K188/M188,)</f>
        <v>0</v>
      </c>
      <c r="P188" s="52">
        <v>350000</v>
      </c>
      <c r="R188" s="54">
        <v>0</v>
      </c>
      <c r="S188" s="55">
        <f>R188*25%</f>
        <v>0</v>
      </c>
      <c r="T188" s="54">
        <f>IF(N188&gt;1,K188*0.5%,0)</f>
        <v>0</v>
      </c>
    </row>
    <row r="189" spans="1:20" ht="12.75" customHeight="1" x14ac:dyDescent="0.25">
      <c r="A189" s="49">
        <v>126</v>
      </c>
      <c r="B189" s="50">
        <v>28</v>
      </c>
      <c r="C189" s="50" t="str">
        <f t="shared" si="33"/>
        <v>126-28</v>
      </c>
      <c r="D189" s="51" t="s">
        <v>510</v>
      </c>
      <c r="E189" s="52">
        <v>56856.03</v>
      </c>
      <c r="G189" s="52">
        <v>0</v>
      </c>
      <c r="H189" s="52">
        <v>0</v>
      </c>
      <c r="I189" s="52">
        <v>0</v>
      </c>
      <c r="K189" s="52">
        <f t="shared" si="42"/>
        <v>56856.03</v>
      </c>
      <c r="M189" s="52">
        <v>64167</v>
      </c>
      <c r="N189" s="53">
        <f t="shared" si="43"/>
        <v>0.88606339707326198</v>
      </c>
      <c r="R189" s="54">
        <f t="shared" ref="R189:R194" si="44">(K189*3.2%)</f>
        <v>1819.3929599999999</v>
      </c>
      <c r="S189" s="55">
        <f t="shared" ref="S189:S195" si="45">R189*25%</f>
        <v>454.84823999999998</v>
      </c>
      <c r="T189" s="54">
        <f t="shared" ref="T189:T195" si="46">IF(N189&gt;1,K189*0.5%,0)</f>
        <v>0</v>
      </c>
    </row>
    <row r="190" spans="1:20" ht="12.75" customHeight="1" x14ac:dyDescent="0.25">
      <c r="A190" s="49">
        <v>126</v>
      </c>
      <c r="B190" s="50">
        <v>37</v>
      </c>
      <c r="C190" s="50" t="str">
        <f t="shared" si="33"/>
        <v>126-37</v>
      </c>
      <c r="D190" s="51" t="s">
        <v>511</v>
      </c>
      <c r="E190" s="52">
        <v>47278.98</v>
      </c>
      <c r="G190" s="52">
        <v>0</v>
      </c>
      <c r="H190" s="52">
        <v>0</v>
      </c>
      <c r="I190" s="52">
        <v>0</v>
      </c>
      <c r="K190" s="52">
        <f t="shared" si="42"/>
        <v>47278.98</v>
      </c>
      <c r="M190" s="52">
        <v>64167</v>
      </c>
      <c r="N190" s="53">
        <f t="shared" si="43"/>
        <v>0.73681144513535002</v>
      </c>
      <c r="R190" s="54">
        <f t="shared" si="44"/>
        <v>1512.9273600000001</v>
      </c>
      <c r="S190" s="55">
        <f t="shared" si="45"/>
        <v>378.23184000000003</v>
      </c>
      <c r="T190" s="54">
        <f t="shared" si="46"/>
        <v>0</v>
      </c>
    </row>
    <row r="191" spans="1:20" ht="12.75" customHeight="1" x14ac:dyDescent="0.25">
      <c r="A191" s="49">
        <v>126</v>
      </c>
      <c r="B191" s="50">
        <v>41</v>
      </c>
      <c r="C191" s="50" t="str">
        <f t="shared" si="33"/>
        <v>126-41</v>
      </c>
      <c r="D191" s="51" t="s">
        <v>197</v>
      </c>
      <c r="E191" s="52">
        <v>90420.95</v>
      </c>
      <c r="G191" s="52">
        <v>0</v>
      </c>
      <c r="H191" s="52">
        <v>899.99</v>
      </c>
      <c r="I191" s="52">
        <v>0</v>
      </c>
      <c r="K191" s="52">
        <f t="shared" si="42"/>
        <v>91320.94</v>
      </c>
      <c r="M191" s="52">
        <v>64167</v>
      </c>
      <c r="N191" s="53">
        <f t="shared" si="43"/>
        <v>1.4231760873969486</v>
      </c>
      <c r="R191" s="54">
        <f t="shared" si="44"/>
        <v>2922.2700800000002</v>
      </c>
      <c r="S191" s="55">
        <f t="shared" si="45"/>
        <v>730.56752000000006</v>
      </c>
      <c r="T191" s="54">
        <f t="shared" si="46"/>
        <v>456.60470000000004</v>
      </c>
    </row>
    <row r="192" spans="1:20" ht="12.75" customHeight="1" x14ac:dyDescent="0.25">
      <c r="A192" s="49">
        <v>126</v>
      </c>
      <c r="B192" s="50">
        <v>45</v>
      </c>
      <c r="C192" s="50" t="str">
        <f t="shared" si="33"/>
        <v>126-45</v>
      </c>
      <c r="D192" s="51" t="s">
        <v>512</v>
      </c>
      <c r="E192" s="52">
        <v>50399.73</v>
      </c>
      <c r="G192" s="52">
        <v>0</v>
      </c>
      <c r="H192" s="52">
        <v>0</v>
      </c>
      <c r="I192" s="52">
        <v>0</v>
      </c>
      <c r="K192" s="52">
        <f t="shared" si="42"/>
        <v>50399.73</v>
      </c>
      <c r="M192" s="52">
        <v>64167</v>
      </c>
      <c r="N192" s="53">
        <f t="shared" si="43"/>
        <v>0.78544625742203944</v>
      </c>
      <c r="R192" s="54">
        <f t="shared" si="44"/>
        <v>1612.7913600000002</v>
      </c>
      <c r="S192" s="55">
        <f t="shared" si="45"/>
        <v>403.19784000000004</v>
      </c>
      <c r="T192" s="54">
        <f t="shared" si="46"/>
        <v>0</v>
      </c>
    </row>
    <row r="193" spans="1:30" ht="12.75" customHeight="1" x14ac:dyDescent="0.25">
      <c r="A193" s="49">
        <v>126</v>
      </c>
      <c r="B193" s="50">
        <v>46</v>
      </c>
      <c r="C193" s="50" t="str">
        <f t="shared" si="33"/>
        <v>126-46</v>
      </c>
      <c r="D193" s="51" t="s">
        <v>201</v>
      </c>
      <c r="E193" s="52">
        <v>59357.08</v>
      </c>
      <c r="G193" s="52">
        <v>0</v>
      </c>
      <c r="H193" s="52">
        <v>0</v>
      </c>
      <c r="I193" s="52">
        <v>0</v>
      </c>
      <c r="K193" s="52">
        <f t="shared" si="42"/>
        <v>59357.08</v>
      </c>
      <c r="M193" s="52">
        <v>64167</v>
      </c>
      <c r="N193" s="53">
        <f t="shared" si="43"/>
        <v>0.92504059719170295</v>
      </c>
      <c r="R193" s="54">
        <f t="shared" si="44"/>
        <v>1899.4265600000001</v>
      </c>
      <c r="S193" s="55">
        <f t="shared" si="45"/>
        <v>474.85664000000003</v>
      </c>
      <c r="T193" s="54">
        <f t="shared" si="46"/>
        <v>0</v>
      </c>
    </row>
    <row r="194" spans="1:30" ht="12.75" customHeight="1" x14ac:dyDescent="0.25">
      <c r="A194" s="49">
        <v>126</v>
      </c>
      <c r="B194" s="50">
        <v>55</v>
      </c>
      <c r="C194" s="50" t="str">
        <f t="shared" si="33"/>
        <v>126-55</v>
      </c>
      <c r="D194" s="51" t="s">
        <v>513</v>
      </c>
      <c r="E194" s="52">
        <v>42573.06</v>
      </c>
      <c r="G194" s="52">
        <v>0</v>
      </c>
      <c r="H194" s="52">
        <v>0</v>
      </c>
      <c r="I194" s="52">
        <v>0</v>
      </c>
      <c r="K194" s="52">
        <f t="shared" si="42"/>
        <v>42573.06</v>
      </c>
      <c r="M194" s="52">
        <v>64167</v>
      </c>
      <c r="N194" s="53">
        <f t="shared" si="43"/>
        <v>0.66347281312824347</v>
      </c>
      <c r="R194" s="54">
        <f t="shared" si="44"/>
        <v>1362.3379199999999</v>
      </c>
      <c r="S194" s="55">
        <f t="shared" si="45"/>
        <v>340.58447999999999</v>
      </c>
      <c r="T194" s="54">
        <f t="shared" si="46"/>
        <v>0</v>
      </c>
    </row>
    <row r="195" spans="1:30" ht="12.75" customHeight="1" x14ac:dyDescent="0.25">
      <c r="A195" s="49">
        <v>126</v>
      </c>
      <c r="B195" s="50">
        <v>13</v>
      </c>
      <c r="C195" s="50" t="str">
        <f t="shared" si="33"/>
        <v>126-13</v>
      </c>
      <c r="D195" s="51"/>
      <c r="E195" s="52">
        <v>28231.59</v>
      </c>
      <c r="G195" s="52">
        <v>0</v>
      </c>
      <c r="H195" s="52">
        <v>0</v>
      </c>
      <c r="I195" s="52">
        <v>0</v>
      </c>
      <c r="K195" s="52">
        <f t="shared" si="42"/>
        <v>28231.59</v>
      </c>
      <c r="M195" s="52"/>
      <c r="N195" s="53">
        <f t="shared" si="43"/>
        <v>0</v>
      </c>
      <c r="R195" s="54">
        <v>0</v>
      </c>
      <c r="S195" s="55">
        <f t="shared" si="45"/>
        <v>0</v>
      </c>
      <c r="T195" s="54">
        <f t="shared" si="46"/>
        <v>0</v>
      </c>
    </row>
    <row r="196" spans="1:30" ht="12.75" customHeight="1" x14ac:dyDescent="0.25">
      <c r="A196" s="49">
        <v>126</v>
      </c>
      <c r="B196" s="50"/>
      <c r="C196" s="50" t="str">
        <f t="shared" ref="C196:C259" si="47">CONCATENATE(A196,"-",B196)</f>
        <v>126-</v>
      </c>
      <c r="D196" s="51"/>
      <c r="E196" s="52">
        <v>0</v>
      </c>
      <c r="G196" s="52">
        <v>0</v>
      </c>
      <c r="H196" s="52">
        <v>0</v>
      </c>
      <c r="I196" s="52">
        <v>0</v>
      </c>
      <c r="K196" s="52">
        <f t="shared" si="42"/>
        <v>0</v>
      </c>
      <c r="M196" s="52"/>
      <c r="N196" s="53">
        <f t="shared" si="43"/>
        <v>0</v>
      </c>
      <c r="R196" s="56">
        <f>SUM(R188:R195)</f>
        <v>11129.14624</v>
      </c>
      <c r="S196" s="56">
        <f>SUM(S188:S195)</f>
        <v>2782.28656</v>
      </c>
      <c r="T196" s="56">
        <f>SUM(T188:T195)</f>
        <v>456.60470000000004</v>
      </c>
    </row>
    <row r="197" spans="1:30" ht="12.75" customHeight="1" x14ac:dyDescent="0.25">
      <c r="A197" s="49">
        <v>126</v>
      </c>
      <c r="B197" s="50"/>
      <c r="C197" s="50" t="str">
        <f t="shared" si="47"/>
        <v>126-</v>
      </c>
      <c r="D197" s="51"/>
      <c r="E197" s="52">
        <v>0</v>
      </c>
      <c r="G197" s="52">
        <v>0</v>
      </c>
      <c r="H197" s="52">
        <v>0</v>
      </c>
      <c r="I197" s="52">
        <v>0</v>
      </c>
      <c r="K197" s="52">
        <f t="shared" si="42"/>
        <v>0</v>
      </c>
      <c r="M197" s="52"/>
      <c r="N197" s="53">
        <f t="shared" si="43"/>
        <v>0</v>
      </c>
    </row>
    <row r="198" spans="1:30" ht="12.75" customHeight="1" x14ac:dyDescent="0.25">
      <c r="A198" s="49">
        <v>126</v>
      </c>
      <c r="B198" s="50"/>
      <c r="C198" s="50" t="str">
        <f t="shared" si="47"/>
        <v>126-</v>
      </c>
      <c r="D198" s="51"/>
      <c r="E198" s="52">
        <v>0</v>
      </c>
      <c r="G198" s="52">
        <v>0</v>
      </c>
      <c r="H198" s="52">
        <v>0</v>
      </c>
      <c r="I198" s="52">
        <v>0</v>
      </c>
      <c r="K198" s="52">
        <f t="shared" si="42"/>
        <v>0</v>
      </c>
      <c r="M198" s="52"/>
      <c r="N198" s="53">
        <f t="shared" si="43"/>
        <v>0</v>
      </c>
    </row>
    <row r="199" spans="1:30" ht="12.75" customHeight="1" x14ac:dyDescent="0.25">
      <c r="A199" s="57" t="s">
        <v>459</v>
      </c>
      <c r="B199" s="58"/>
      <c r="C199" s="50" t="str">
        <f t="shared" si="47"/>
        <v>Total-</v>
      </c>
      <c r="D199" s="57"/>
      <c r="E199" s="59">
        <v>378579.20000000001</v>
      </c>
      <c r="F199" s="59">
        <v>0</v>
      </c>
      <c r="G199" s="59">
        <v>0</v>
      </c>
      <c r="H199" s="59">
        <v>899.99</v>
      </c>
      <c r="I199" s="59">
        <v>0</v>
      </c>
      <c r="J199" s="59">
        <v>0</v>
      </c>
      <c r="K199" s="59">
        <f>SUM(K188:K198)</f>
        <v>379479.19000000006</v>
      </c>
      <c r="M199" s="59">
        <f>SUM(M188:M198)</f>
        <v>385002</v>
      </c>
    </row>
    <row r="200" spans="1:30" ht="12.75" customHeight="1" x14ac:dyDescent="0.25">
      <c r="C200" s="50" t="str">
        <f t="shared" si="47"/>
        <v>-</v>
      </c>
    </row>
    <row r="201" spans="1:30" ht="12.75" customHeight="1" x14ac:dyDescent="0.25">
      <c r="C201" s="50" t="str">
        <f t="shared" si="47"/>
        <v>-</v>
      </c>
    </row>
    <row r="202" spans="1:30" ht="12.75" customHeight="1" x14ac:dyDescent="0.25">
      <c r="C202" s="50" t="str">
        <f t="shared" si="47"/>
        <v>-</v>
      </c>
    </row>
    <row r="203" spans="1:30" ht="12.75" customHeight="1" x14ac:dyDescent="0.25">
      <c r="C203" s="50" t="str">
        <f t="shared" si="47"/>
        <v>-</v>
      </c>
    </row>
    <row r="204" spans="1:30" ht="12.75" customHeight="1" x14ac:dyDescent="0.25">
      <c r="A204" s="44" t="s">
        <v>454</v>
      </c>
      <c r="B204" s="45" t="s">
        <v>472</v>
      </c>
      <c r="C204" s="50" t="str">
        <f t="shared" si="47"/>
        <v>Loja-Cod</v>
      </c>
      <c r="D204" s="44" t="s">
        <v>473</v>
      </c>
      <c r="E204" s="45" t="s">
        <v>474</v>
      </c>
      <c r="F204" s="45" t="s">
        <v>475</v>
      </c>
      <c r="G204" s="45" t="s">
        <v>476</v>
      </c>
      <c r="H204" s="45" t="s">
        <v>477</v>
      </c>
      <c r="I204" s="45" t="s">
        <v>478</v>
      </c>
      <c r="J204" s="45" t="s">
        <v>479</v>
      </c>
      <c r="K204" s="45" t="s">
        <v>480</v>
      </c>
      <c r="M204" s="47" t="s">
        <v>481</v>
      </c>
      <c r="N204" s="47" t="s">
        <v>482</v>
      </c>
      <c r="P204" s="45" t="s">
        <v>483</v>
      </c>
      <c r="R204" s="48" t="s">
        <v>484</v>
      </c>
      <c r="S204" s="48" t="s">
        <v>466</v>
      </c>
      <c r="T204" s="48" t="s">
        <v>485</v>
      </c>
    </row>
    <row r="205" spans="1:30" ht="12.75" customHeight="1" x14ac:dyDescent="0.25">
      <c r="A205" s="49">
        <v>127</v>
      </c>
      <c r="B205" s="50">
        <v>70</v>
      </c>
      <c r="C205" s="50" t="str">
        <f t="shared" si="47"/>
        <v>127-70</v>
      </c>
      <c r="D205" s="51" t="s">
        <v>207</v>
      </c>
      <c r="E205" s="52">
        <v>1999.53</v>
      </c>
      <c r="G205" s="52">
        <v>0</v>
      </c>
      <c r="H205" s="52">
        <v>0</v>
      </c>
      <c r="I205" s="52">
        <v>0</v>
      </c>
      <c r="K205" s="52">
        <f t="shared" ref="K205:K215" si="48">SUM(E205:J205)</f>
        <v>1999.53</v>
      </c>
      <c r="M205" s="52"/>
      <c r="N205" s="53">
        <f t="shared" ref="N205:N215" si="49">IFERROR(K205/M205,)</f>
        <v>0</v>
      </c>
      <c r="P205" s="52">
        <v>135000</v>
      </c>
      <c r="R205" s="54">
        <v>0</v>
      </c>
      <c r="S205" s="54">
        <f>R205*25%</f>
        <v>0</v>
      </c>
      <c r="T205" s="54">
        <f>IF(N205&gt;1,K205*0.5%,0)</f>
        <v>0</v>
      </c>
    </row>
    <row r="206" spans="1:30" ht="12.75" customHeight="1" x14ac:dyDescent="0.25">
      <c r="A206" s="49">
        <v>127</v>
      </c>
      <c r="B206" s="50">
        <v>79</v>
      </c>
      <c r="C206" s="50" t="str">
        <f t="shared" si="47"/>
        <v>127-79</v>
      </c>
      <c r="D206" s="51" t="s">
        <v>211</v>
      </c>
      <c r="E206" s="52">
        <v>44123.37</v>
      </c>
      <c r="G206" s="52">
        <v>0</v>
      </c>
      <c r="H206" s="52">
        <v>0</v>
      </c>
      <c r="I206" s="52">
        <v>0</v>
      </c>
      <c r="K206" s="52">
        <f t="shared" si="48"/>
        <v>44123.37</v>
      </c>
      <c r="M206" s="52">
        <v>49500</v>
      </c>
      <c r="N206" s="53">
        <f t="shared" si="49"/>
        <v>0.89138121212121213</v>
      </c>
      <c r="R206" s="54">
        <f>(K206*3.2%)</f>
        <v>1411.94784</v>
      </c>
      <c r="S206" s="54">
        <f>R206*25%</f>
        <v>352.98696000000001</v>
      </c>
      <c r="T206" s="54">
        <f>IF(N206&gt;1,K206*0.5%,0)</f>
        <v>0</v>
      </c>
    </row>
    <row r="207" spans="1:30" ht="12.75" customHeight="1" x14ac:dyDescent="0.25">
      <c r="A207" s="49">
        <v>127</v>
      </c>
      <c r="B207" s="50">
        <v>80</v>
      </c>
      <c r="C207" s="50" t="str">
        <f t="shared" si="47"/>
        <v>127-80</v>
      </c>
      <c r="D207" s="51" t="s">
        <v>213</v>
      </c>
      <c r="E207" s="52">
        <v>69633.02</v>
      </c>
      <c r="G207" s="52">
        <v>0</v>
      </c>
      <c r="H207" s="52">
        <v>0</v>
      </c>
      <c r="I207" s="52">
        <v>0</v>
      </c>
      <c r="K207" s="52">
        <f t="shared" si="48"/>
        <v>69633.02</v>
      </c>
      <c r="M207" s="52">
        <v>49500</v>
      </c>
      <c r="N207" s="53">
        <f t="shared" si="49"/>
        <v>1.4067276767676768</v>
      </c>
      <c r="R207" s="54">
        <f>(K207*3.2%)</f>
        <v>2228.2566400000001</v>
      </c>
      <c r="S207" s="54">
        <f>R207*25%</f>
        <v>557.06416000000002</v>
      </c>
      <c r="T207" s="54">
        <f>IF(N207&gt;1,K207*0.5%,0)</f>
        <v>348.16510000000005</v>
      </c>
    </row>
    <row r="208" spans="1:30" s="65" customFormat="1" ht="12.75" customHeight="1" x14ac:dyDescent="0.25">
      <c r="A208" s="61">
        <v>127</v>
      </c>
      <c r="B208" s="62">
        <v>81</v>
      </c>
      <c r="C208" s="62" t="str">
        <f t="shared" si="47"/>
        <v>127-81</v>
      </c>
      <c r="D208" s="63" t="s">
        <v>514</v>
      </c>
      <c r="E208" s="64">
        <v>19656.46</v>
      </c>
      <c r="F208" s="64"/>
      <c r="G208" s="64">
        <v>0</v>
      </c>
      <c r="H208" s="64">
        <v>0</v>
      </c>
      <c r="I208" s="64">
        <v>0</v>
      </c>
      <c r="J208" s="64"/>
      <c r="K208" s="64">
        <f t="shared" si="48"/>
        <v>19656.46</v>
      </c>
      <c r="M208" s="64">
        <v>49500</v>
      </c>
      <c r="N208" s="66">
        <f t="shared" si="49"/>
        <v>0.39710020202020202</v>
      </c>
      <c r="R208" s="67">
        <v>0</v>
      </c>
      <c r="S208" s="67">
        <f>R208*25%</f>
        <v>0</v>
      </c>
      <c r="T208" s="67">
        <f>IF(N208&gt;1,K208*0.5%,0)</f>
        <v>0</v>
      </c>
      <c r="U208" s="208" t="s">
        <v>515</v>
      </c>
      <c r="AA208" s="208"/>
      <c r="AB208" s="208"/>
      <c r="AD208" s="208"/>
    </row>
    <row r="209" spans="1:20" ht="12.75" customHeight="1" x14ac:dyDescent="0.25">
      <c r="A209" s="49">
        <v>127</v>
      </c>
      <c r="B209" s="50">
        <v>82</v>
      </c>
      <c r="C209" s="50" t="str">
        <f t="shared" si="47"/>
        <v>127-82</v>
      </c>
      <c r="D209" s="51" t="s">
        <v>215</v>
      </c>
      <c r="E209" s="52">
        <v>4459.78</v>
      </c>
      <c r="G209" s="52">
        <v>0</v>
      </c>
      <c r="H209" s="52">
        <v>0</v>
      </c>
      <c r="I209" s="52">
        <v>0</v>
      </c>
      <c r="K209" s="52">
        <f t="shared" si="48"/>
        <v>4459.78</v>
      </c>
      <c r="M209" s="52">
        <v>9000</v>
      </c>
      <c r="N209" s="53">
        <f t="shared" si="49"/>
        <v>0.49553111111111109</v>
      </c>
      <c r="R209" s="54">
        <f>(K209*3.2%)</f>
        <v>142.71295999999998</v>
      </c>
      <c r="S209" s="54">
        <f>R209*25%</f>
        <v>35.678239999999995</v>
      </c>
      <c r="T209" s="54">
        <f>IF(N209&gt;1,K209*0.5%,0)</f>
        <v>0</v>
      </c>
    </row>
    <row r="210" spans="1:20" ht="12.75" customHeight="1" x14ac:dyDescent="0.25">
      <c r="A210" s="49">
        <v>127</v>
      </c>
      <c r="B210" s="50"/>
      <c r="C210" s="50" t="str">
        <f t="shared" si="47"/>
        <v>127-</v>
      </c>
      <c r="D210" s="51"/>
      <c r="E210" s="52">
        <v>0</v>
      </c>
      <c r="G210" s="52">
        <v>0</v>
      </c>
      <c r="H210" s="52">
        <v>0</v>
      </c>
      <c r="I210" s="52">
        <v>0</v>
      </c>
      <c r="K210" s="52">
        <f t="shared" si="48"/>
        <v>0</v>
      </c>
      <c r="M210" s="52"/>
      <c r="N210" s="53">
        <f t="shared" si="49"/>
        <v>0</v>
      </c>
      <c r="R210" s="56">
        <f>SUM(R205:R209)</f>
        <v>3782.9174400000002</v>
      </c>
      <c r="S210" s="56">
        <f>SUM(S205:S209)</f>
        <v>945.72936000000004</v>
      </c>
      <c r="T210" s="56">
        <f>SUM(T205:T209)</f>
        <v>348.16510000000005</v>
      </c>
    </row>
    <row r="211" spans="1:20" ht="12.75" customHeight="1" x14ac:dyDescent="0.25">
      <c r="A211" s="49">
        <v>127</v>
      </c>
      <c r="B211" s="50"/>
      <c r="C211" s="50" t="str">
        <f t="shared" si="47"/>
        <v>127-</v>
      </c>
      <c r="D211" s="51"/>
      <c r="E211" s="52">
        <v>0</v>
      </c>
      <c r="G211" s="52">
        <v>0</v>
      </c>
      <c r="H211" s="52">
        <v>0</v>
      </c>
      <c r="I211" s="52">
        <v>0</v>
      </c>
      <c r="K211" s="52">
        <f t="shared" si="48"/>
        <v>0</v>
      </c>
      <c r="M211" s="52"/>
      <c r="N211" s="53">
        <f t="shared" si="49"/>
        <v>0</v>
      </c>
    </row>
    <row r="212" spans="1:20" ht="12.75" customHeight="1" x14ac:dyDescent="0.25">
      <c r="A212" s="49">
        <v>127</v>
      </c>
      <c r="B212" s="50"/>
      <c r="C212" s="50" t="str">
        <f t="shared" si="47"/>
        <v>127-</v>
      </c>
      <c r="D212" s="51"/>
      <c r="E212" s="52">
        <v>0</v>
      </c>
      <c r="G212" s="52">
        <v>0</v>
      </c>
      <c r="H212" s="52">
        <v>0</v>
      </c>
      <c r="I212" s="52">
        <v>0</v>
      </c>
      <c r="K212" s="52">
        <f t="shared" si="48"/>
        <v>0</v>
      </c>
      <c r="M212" s="52"/>
      <c r="N212" s="53">
        <f t="shared" si="49"/>
        <v>0</v>
      </c>
    </row>
    <row r="213" spans="1:20" ht="12.75" customHeight="1" x14ac:dyDescent="0.25">
      <c r="A213" s="49">
        <v>127</v>
      </c>
      <c r="B213" s="50"/>
      <c r="C213" s="50" t="str">
        <f t="shared" si="47"/>
        <v>127-</v>
      </c>
      <c r="D213" s="51"/>
      <c r="E213" s="52">
        <v>0</v>
      </c>
      <c r="G213" s="52">
        <v>0</v>
      </c>
      <c r="H213" s="52">
        <v>0</v>
      </c>
      <c r="I213" s="52">
        <v>0</v>
      </c>
      <c r="K213" s="52">
        <f t="shared" si="48"/>
        <v>0</v>
      </c>
      <c r="M213" s="52"/>
      <c r="N213" s="53">
        <f t="shared" si="49"/>
        <v>0</v>
      </c>
    </row>
    <row r="214" spans="1:20" ht="12.75" customHeight="1" x14ac:dyDescent="0.25">
      <c r="A214" s="49">
        <v>127</v>
      </c>
      <c r="B214" s="50"/>
      <c r="C214" s="50" t="str">
        <f t="shared" si="47"/>
        <v>127-</v>
      </c>
      <c r="D214" s="51"/>
      <c r="E214" s="52">
        <v>0</v>
      </c>
      <c r="G214" s="52">
        <v>0</v>
      </c>
      <c r="H214" s="52">
        <v>0</v>
      </c>
      <c r="I214" s="52">
        <v>0</v>
      </c>
      <c r="K214" s="52">
        <f t="shared" si="48"/>
        <v>0</v>
      </c>
      <c r="M214" s="52"/>
      <c r="N214" s="53">
        <f t="shared" si="49"/>
        <v>0</v>
      </c>
    </row>
    <row r="215" spans="1:20" ht="12.75" customHeight="1" x14ac:dyDescent="0.25">
      <c r="A215" s="49">
        <v>127</v>
      </c>
      <c r="B215" s="50"/>
      <c r="C215" s="50" t="str">
        <f t="shared" si="47"/>
        <v>127-</v>
      </c>
      <c r="D215" s="51"/>
      <c r="E215" s="52">
        <v>0</v>
      </c>
      <c r="G215" s="52">
        <v>0</v>
      </c>
      <c r="H215" s="52">
        <v>0</v>
      </c>
      <c r="I215" s="52">
        <v>0</v>
      </c>
      <c r="K215" s="52">
        <f t="shared" si="48"/>
        <v>0</v>
      </c>
      <c r="M215" s="52"/>
      <c r="N215" s="53">
        <f t="shared" si="49"/>
        <v>0</v>
      </c>
    </row>
    <row r="216" spans="1:20" ht="12.75" customHeight="1" x14ac:dyDescent="0.25">
      <c r="A216" s="57" t="s">
        <v>459</v>
      </c>
      <c r="B216" s="58"/>
      <c r="C216" s="50" t="str">
        <f t="shared" si="47"/>
        <v>Total-</v>
      </c>
      <c r="D216" s="57"/>
      <c r="E216" s="59">
        <v>139872.16</v>
      </c>
      <c r="F216" s="59">
        <v>0</v>
      </c>
      <c r="G216" s="59">
        <v>0</v>
      </c>
      <c r="H216" s="59">
        <v>0</v>
      </c>
      <c r="I216" s="59">
        <v>0</v>
      </c>
      <c r="J216" s="59">
        <v>0</v>
      </c>
      <c r="K216" s="59">
        <f>SUM(K205:K215)</f>
        <v>139872.16</v>
      </c>
      <c r="M216" s="59">
        <f>SUM(M205:M215)</f>
        <v>157500</v>
      </c>
    </row>
    <row r="217" spans="1:20" ht="12.75" customHeight="1" x14ac:dyDescent="0.25">
      <c r="C217" s="50" t="str">
        <f t="shared" si="47"/>
        <v>-</v>
      </c>
    </row>
    <row r="218" spans="1:20" ht="12.75" customHeight="1" x14ac:dyDescent="0.25">
      <c r="C218" s="50" t="str">
        <f t="shared" si="47"/>
        <v>-</v>
      </c>
    </row>
    <row r="219" spans="1:20" ht="12.75" customHeight="1" x14ac:dyDescent="0.25">
      <c r="C219" s="50" t="str">
        <f t="shared" si="47"/>
        <v>-</v>
      </c>
    </row>
    <row r="220" spans="1:20" ht="12.75" customHeight="1" x14ac:dyDescent="0.25">
      <c r="C220" s="50" t="str">
        <f t="shared" si="47"/>
        <v>-</v>
      </c>
    </row>
    <row r="221" spans="1:20" ht="12.75" customHeight="1" x14ac:dyDescent="0.25">
      <c r="A221" s="44" t="s">
        <v>454</v>
      </c>
      <c r="B221" s="45" t="s">
        <v>472</v>
      </c>
      <c r="C221" s="50" t="str">
        <f t="shared" si="47"/>
        <v>Loja-Cod</v>
      </c>
      <c r="D221" s="44" t="s">
        <v>473</v>
      </c>
      <c r="E221" s="45" t="s">
        <v>474</v>
      </c>
      <c r="F221" s="45" t="s">
        <v>475</v>
      </c>
      <c r="G221" s="45" t="s">
        <v>476</v>
      </c>
      <c r="H221" s="45" t="s">
        <v>477</v>
      </c>
      <c r="I221" s="45" t="s">
        <v>478</v>
      </c>
      <c r="J221" s="45" t="s">
        <v>479</v>
      </c>
      <c r="K221" s="45" t="s">
        <v>480</v>
      </c>
      <c r="M221" s="47" t="s">
        <v>481</v>
      </c>
      <c r="N221" s="47" t="s">
        <v>482</v>
      </c>
      <c r="P221" s="45" t="s">
        <v>483</v>
      </c>
      <c r="R221" s="48" t="s">
        <v>484</v>
      </c>
      <c r="S221" s="48" t="s">
        <v>466</v>
      </c>
      <c r="T221" s="48" t="s">
        <v>485</v>
      </c>
    </row>
    <row r="222" spans="1:20" ht="12.75" customHeight="1" x14ac:dyDescent="0.25">
      <c r="A222" s="49">
        <v>139</v>
      </c>
      <c r="B222" s="50">
        <v>23</v>
      </c>
      <c r="C222" s="50" t="str">
        <f t="shared" si="47"/>
        <v>139-23</v>
      </c>
      <c r="D222" s="51" t="s">
        <v>516</v>
      </c>
      <c r="E222" s="52">
        <v>199.99</v>
      </c>
      <c r="G222" s="52">
        <v>0</v>
      </c>
      <c r="H222" s="52">
        <v>0</v>
      </c>
      <c r="I222" s="52">
        <v>0</v>
      </c>
      <c r="K222" s="52">
        <f t="shared" ref="K222:K232" si="50">SUM(E222:J222)</f>
        <v>199.99</v>
      </c>
      <c r="M222" s="52"/>
      <c r="N222" s="53">
        <f t="shared" ref="N222:N232" si="51">IFERROR(K222/M222,)</f>
        <v>0</v>
      </c>
      <c r="P222" s="52">
        <v>540000</v>
      </c>
      <c r="R222" s="54">
        <v>0</v>
      </c>
      <c r="S222" s="55">
        <f>R222*25%</f>
        <v>0</v>
      </c>
      <c r="T222" s="54">
        <f>IF(N222&gt;1,K222*0.5%,0)</f>
        <v>0</v>
      </c>
    </row>
    <row r="223" spans="1:20" ht="12.75" customHeight="1" x14ac:dyDescent="0.25">
      <c r="A223" s="49">
        <v>139</v>
      </c>
      <c r="B223" s="50">
        <v>24</v>
      </c>
      <c r="C223" s="50" t="str">
        <f t="shared" si="47"/>
        <v>139-24</v>
      </c>
      <c r="D223" s="51" t="s">
        <v>217</v>
      </c>
      <c r="E223" s="52">
        <v>42373.27</v>
      </c>
      <c r="G223" s="52">
        <v>0</v>
      </c>
      <c r="H223" s="52">
        <v>0</v>
      </c>
      <c r="I223" s="52">
        <v>0</v>
      </c>
      <c r="K223" s="52">
        <f t="shared" si="50"/>
        <v>42373.27</v>
      </c>
      <c r="M223" s="52">
        <v>99000</v>
      </c>
      <c r="N223" s="53">
        <f t="shared" si="51"/>
        <v>0.42801282828282827</v>
      </c>
      <c r="R223" s="54">
        <f t="shared" ref="R223:R231" si="52">(K223*2.8%)</f>
        <v>1186.4515599999997</v>
      </c>
      <c r="S223" s="55">
        <f t="shared" ref="S223:S232" si="53">R223*25%</f>
        <v>296.61288999999994</v>
      </c>
      <c r="T223" s="54">
        <f t="shared" ref="T223:T232" si="54">IF(N223&gt;1,K223*0.5%,0)</f>
        <v>0</v>
      </c>
    </row>
    <row r="224" spans="1:20" ht="12.75" customHeight="1" x14ac:dyDescent="0.25">
      <c r="A224" s="49">
        <v>139</v>
      </c>
      <c r="B224" s="50">
        <v>28</v>
      </c>
      <c r="C224" s="50" t="str">
        <f t="shared" si="47"/>
        <v>139-28</v>
      </c>
      <c r="D224" s="51" t="s">
        <v>219</v>
      </c>
      <c r="E224" s="52">
        <v>103908.34</v>
      </c>
      <c r="G224" s="52">
        <v>0</v>
      </c>
      <c r="H224" s="52">
        <v>0</v>
      </c>
      <c r="I224" s="52">
        <v>0</v>
      </c>
      <c r="K224" s="52">
        <f t="shared" si="50"/>
        <v>103908.34</v>
      </c>
      <c r="M224" s="52">
        <v>99000</v>
      </c>
      <c r="N224" s="53">
        <f t="shared" si="51"/>
        <v>1.0495791919191919</v>
      </c>
      <c r="R224" s="54">
        <f t="shared" si="52"/>
        <v>2909.4335199999996</v>
      </c>
      <c r="S224" s="55">
        <f t="shared" si="53"/>
        <v>727.3583799999999</v>
      </c>
      <c r="T224" s="54">
        <f t="shared" si="54"/>
        <v>519.54169999999999</v>
      </c>
    </row>
    <row r="225" spans="1:30" s="65" customFormat="1" ht="12.75" customHeight="1" x14ac:dyDescent="0.25">
      <c r="A225" s="61">
        <v>139</v>
      </c>
      <c r="B225" s="62">
        <v>38</v>
      </c>
      <c r="C225" s="62" t="str">
        <f t="shared" si="47"/>
        <v>139-38</v>
      </c>
      <c r="D225" s="63" t="s">
        <v>517</v>
      </c>
      <c r="E225" s="64">
        <v>9734.6</v>
      </c>
      <c r="F225" s="64"/>
      <c r="G225" s="64">
        <v>0</v>
      </c>
      <c r="H225" s="64">
        <v>0</v>
      </c>
      <c r="I225" s="64">
        <v>0</v>
      </c>
      <c r="J225" s="64"/>
      <c r="K225" s="64">
        <f t="shared" si="50"/>
        <v>9734.6</v>
      </c>
      <c r="M225" s="64"/>
      <c r="N225" s="66">
        <f t="shared" si="51"/>
        <v>0</v>
      </c>
      <c r="R225" s="67">
        <v>0</v>
      </c>
      <c r="S225" s="68">
        <f t="shared" si="53"/>
        <v>0</v>
      </c>
      <c r="T225" s="67">
        <f t="shared" si="54"/>
        <v>0</v>
      </c>
      <c r="U225" s="208" t="s">
        <v>515</v>
      </c>
      <c r="AA225" s="208"/>
      <c r="AB225" s="208"/>
      <c r="AD225" s="208"/>
    </row>
    <row r="226" spans="1:30" ht="12.75" customHeight="1" x14ac:dyDescent="0.25">
      <c r="A226" s="49">
        <v>139</v>
      </c>
      <c r="B226" s="50">
        <v>41</v>
      </c>
      <c r="C226" s="50" t="str">
        <f t="shared" si="47"/>
        <v>139-41</v>
      </c>
      <c r="D226" s="51" t="s">
        <v>221</v>
      </c>
      <c r="E226" s="52">
        <v>42618.47</v>
      </c>
      <c r="G226" s="52">
        <v>0</v>
      </c>
      <c r="H226" s="52">
        <v>0</v>
      </c>
      <c r="I226" s="52">
        <v>0</v>
      </c>
      <c r="K226" s="52">
        <f t="shared" si="50"/>
        <v>42618.47</v>
      </c>
      <c r="M226" s="52">
        <v>99000</v>
      </c>
      <c r="N226" s="53">
        <f t="shared" si="51"/>
        <v>0.43048959595959596</v>
      </c>
      <c r="R226" s="54">
        <f t="shared" si="52"/>
        <v>1193.3171599999998</v>
      </c>
      <c r="S226" s="55">
        <f t="shared" si="53"/>
        <v>298.32928999999996</v>
      </c>
      <c r="T226" s="54">
        <f t="shared" si="54"/>
        <v>0</v>
      </c>
    </row>
    <row r="227" spans="1:30" ht="12.75" customHeight="1" x14ac:dyDescent="0.25">
      <c r="A227" s="49">
        <v>139</v>
      </c>
      <c r="B227" s="50">
        <v>47</v>
      </c>
      <c r="C227" s="50" t="str">
        <f t="shared" si="47"/>
        <v>139-47</v>
      </c>
      <c r="D227" s="51" t="s">
        <v>225</v>
      </c>
      <c r="E227" s="52">
        <v>43893.53</v>
      </c>
      <c r="G227" s="52">
        <v>0</v>
      </c>
      <c r="H227" s="52">
        <v>0</v>
      </c>
      <c r="I227" s="52">
        <v>0</v>
      </c>
      <c r="K227" s="52">
        <f t="shared" si="50"/>
        <v>43893.53</v>
      </c>
      <c r="M227" s="52">
        <v>99000</v>
      </c>
      <c r="N227" s="53">
        <f t="shared" si="51"/>
        <v>0.44336898989898987</v>
      </c>
      <c r="R227" s="54">
        <f t="shared" si="52"/>
        <v>1229.0188399999997</v>
      </c>
      <c r="S227" s="55">
        <f t="shared" si="53"/>
        <v>307.25470999999993</v>
      </c>
      <c r="T227" s="54">
        <f t="shared" si="54"/>
        <v>0</v>
      </c>
    </row>
    <row r="228" spans="1:30" ht="12.75" customHeight="1" x14ac:dyDescent="0.25">
      <c r="A228" s="49">
        <v>139</v>
      </c>
      <c r="B228" s="50">
        <v>51</v>
      </c>
      <c r="C228" s="50" t="str">
        <f t="shared" si="47"/>
        <v>139-51</v>
      </c>
      <c r="D228" s="51" t="s">
        <v>231</v>
      </c>
      <c r="E228" s="52">
        <v>67627.42</v>
      </c>
      <c r="G228" s="52">
        <v>0</v>
      </c>
      <c r="H228" s="52">
        <v>0</v>
      </c>
      <c r="I228" s="52">
        <v>0</v>
      </c>
      <c r="K228" s="52">
        <f t="shared" si="50"/>
        <v>67627.42</v>
      </c>
      <c r="M228" s="52">
        <v>99000</v>
      </c>
      <c r="N228" s="53">
        <f t="shared" si="51"/>
        <v>0.68310525252525256</v>
      </c>
      <c r="R228" s="54">
        <f t="shared" si="52"/>
        <v>1893.5677599999997</v>
      </c>
      <c r="S228" s="55">
        <f t="shared" si="53"/>
        <v>473.39193999999992</v>
      </c>
      <c r="T228" s="54">
        <f t="shared" si="54"/>
        <v>0</v>
      </c>
    </row>
    <row r="229" spans="1:30" s="65" customFormat="1" ht="12.75" customHeight="1" x14ac:dyDescent="0.25">
      <c r="A229" s="61">
        <v>139</v>
      </c>
      <c r="B229" s="62">
        <v>53</v>
      </c>
      <c r="C229" s="62" t="str">
        <f t="shared" si="47"/>
        <v>139-53</v>
      </c>
      <c r="D229" s="63" t="s">
        <v>235</v>
      </c>
      <c r="E229" s="64">
        <v>16490.93</v>
      </c>
      <c r="F229" s="64"/>
      <c r="G229" s="64">
        <v>0</v>
      </c>
      <c r="H229" s="64">
        <v>0</v>
      </c>
      <c r="I229" s="64">
        <v>0</v>
      </c>
      <c r="J229" s="64"/>
      <c r="K229" s="64">
        <f t="shared" si="50"/>
        <v>16490.93</v>
      </c>
      <c r="M229" s="64"/>
      <c r="N229" s="66">
        <f t="shared" si="51"/>
        <v>0</v>
      </c>
      <c r="R229" s="67"/>
      <c r="S229" s="68">
        <f t="shared" si="53"/>
        <v>0</v>
      </c>
      <c r="T229" s="67">
        <f t="shared" si="54"/>
        <v>0</v>
      </c>
      <c r="U229" s="208" t="s">
        <v>518</v>
      </c>
      <c r="AA229" s="208"/>
      <c r="AB229" s="208"/>
      <c r="AD229" s="208"/>
    </row>
    <row r="230" spans="1:30" ht="12.75" customHeight="1" x14ac:dyDescent="0.25">
      <c r="A230" s="49">
        <v>139</v>
      </c>
      <c r="B230" s="50">
        <v>54</v>
      </c>
      <c r="C230" s="50" t="str">
        <f t="shared" si="47"/>
        <v>139-54</v>
      </c>
      <c r="D230" s="51"/>
      <c r="E230" s="52">
        <v>45483.26</v>
      </c>
      <c r="G230" s="52">
        <v>0</v>
      </c>
      <c r="H230" s="52">
        <v>0</v>
      </c>
      <c r="I230" s="52">
        <v>0</v>
      </c>
      <c r="K230" s="52">
        <f t="shared" si="50"/>
        <v>45483.26</v>
      </c>
      <c r="M230" s="52">
        <v>99000</v>
      </c>
      <c r="N230" s="53">
        <f t="shared" si="51"/>
        <v>0.45942686868686872</v>
      </c>
      <c r="R230" s="54">
        <f t="shared" si="52"/>
        <v>1273.5312799999999</v>
      </c>
      <c r="S230" s="55">
        <f t="shared" si="53"/>
        <v>318.38281999999998</v>
      </c>
      <c r="T230" s="54">
        <f t="shared" si="54"/>
        <v>0</v>
      </c>
    </row>
    <row r="231" spans="1:30" ht="12.75" customHeight="1" x14ac:dyDescent="0.25">
      <c r="A231" s="49">
        <v>139</v>
      </c>
      <c r="B231" s="69">
        <v>55</v>
      </c>
      <c r="C231" s="50" t="str">
        <f t="shared" si="47"/>
        <v>139-55</v>
      </c>
      <c r="D231" s="51" t="s">
        <v>239</v>
      </c>
      <c r="E231" s="52">
        <v>34914.61</v>
      </c>
      <c r="G231" s="52">
        <v>0</v>
      </c>
      <c r="H231" s="52">
        <v>0</v>
      </c>
      <c r="I231" s="52">
        <v>0</v>
      </c>
      <c r="K231" s="52">
        <f t="shared" si="50"/>
        <v>34914.61</v>
      </c>
      <c r="M231" s="52">
        <v>99000</v>
      </c>
      <c r="N231" s="53">
        <f t="shared" si="51"/>
        <v>0.35267282828282831</v>
      </c>
      <c r="R231" s="54">
        <f t="shared" si="52"/>
        <v>977.60907999999995</v>
      </c>
      <c r="S231" s="55">
        <f t="shared" si="53"/>
        <v>244.40226999999999</v>
      </c>
      <c r="T231" s="54">
        <f t="shared" si="54"/>
        <v>0</v>
      </c>
    </row>
    <row r="232" spans="1:30" ht="12.75" customHeight="1" x14ac:dyDescent="0.25">
      <c r="A232" s="49">
        <v>139</v>
      </c>
      <c r="B232" s="50">
        <v>799</v>
      </c>
      <c r="C232" s="50" t="str">
        <f t="shared" si="47"/>
        <v>139-799</v>
      </c>
      <c r="D232" s="51" t="s">
        <v>506</v>
      </c>
      <c r="E232" s="52">
        <v>5404.73</v>
      </c>
      <c r="G232" s="52">
        <v>0</v>
      </c>
      <c r="H232" s="52">
        <v>0</v>
      </c>
      <c r="I232" s="52">
        <v>0</v>
      </c>
      <c r="K232" s="52">
        <f t="shared" si="50"/>
        <v>5404.73</v>
      </c>
      <c r="M232" s="52"/>
      <c r="N232" s="53">
        <f t="shared" si="51"/>
        <v>0</v>
      </c>
      <c r="R232" s="54">
        <v>0</v>
      </c>
      <c r="S232" s="55">
        <f t="shared" si="53"/>
        <v>0</v>
      </c>
      <c r="T232" s="54">
        <f t="shared" si="54"/>
        <v>0</v>
      </c>
    </row>
    <row r="233" spans="1:30" ht="12.75" customHeight="1" x14ac:dyDescent="0.25">
      <c r="A233" s="57" t="s">
        <v>459</v>
      </c>
      <c r="B233" s="58"/>
      <c r="C233" s="50" t="str">
        <f t="shared" si="47"/>
        <v>Total-</v>
      </c>
      <c r="D233" s="57"/>
      <c r="E233" s="59">
        <v>412649.14999999997</v>
      </c>
      <c r="F233" s="59">
        <v>0</v>
      </c>
      <c r="G233" s="59">
        <v>0</v>
      </c>
      <c r="H233" s="59">
        <v>0</v>
      </c>
      <c r="I233" s="59">
        <v>0</v>
      </c>
      <c r="J233" s="59">
        <v>0</v>
      </c>
      <c r="K233" s="59">
        <f>SUM(K222:K232)</f>
        <v>412649.14999999997</v>
      </c>
      <c r="M233" s="59">
        <f>SUM(M222:M232)</f>
        <v>693000</v>
      </c>
      <c r="R233" s="56">
        <f>SUM(R222:R232)</f>
        <v>10662.929199999997</v>
      </c>
      <c r="S233" s="56">
        <f>SUM(S222:S232)</f>
        <v>2665.7322999999992</v>
      </c>
      <c r="T233" s="56">
        <f>SUM(T222:T232)</f>
        <v>519.54169999999999</v>
      </c>
    </row>
    <row r="234" spans="1:30" ht="12.75" customHeight="1" x14ac:dyDescent="0.25">
      <c r="C234" s="50" t="str">
        <f t="shared" si="47"/>
        <v>-</v>
      </c>
    </row>
    <row r="235" spans="1:30" ht="12.75" customHeight="1" x14ac:dyDescent="0.25">
      <c r="C235" s="50" t="str">
        <f t="shared" si="47"/>
        <v>-</v>
      </c>
    </row>
    <row r="236" spans="1:30" ht="12.75" customHeight="1" x14ac:dyDescent="0.25">
      <c r="C236" s="50" t="str">
        <f t="shared" si="47"/>
        <v>-</v>
      </c>
    </row>
    <row r="237" spans="1:30" ht="12.75" customHeight="1" x14ac:dyDescent="0.25">
      <c r="C237" s="50" t="str">
        <f t="shared" si="47"/>
        <v>-</v>
      </c>
    </row>
    <row r="238" spans="1:30" ht="12.75" customHeight="1" x14ac:dyDescent="0.25">
      <c r="A238" s="44" t="s">
        <v>454</v>
      </c>
      <c r="B238" s="45" t="s">
        <v>472</v>
      </c>
      <c r="C238" s="50" t="str">
        <f t="shared" si="47"/>
        <v>Loja-Cod</v>
      </c>
      <c r="D238" s="44" t="s">
        <v>473</v>
      </c>
      <c r="E238" s="45" t="s">
        <v>474</v>
      </c>
      <c r="F238" s="45" t="s">
        <v>475</v>
      </c>
      <c r="G238" s="45" t="s">
        <v>476</v>
      </c>
      <c r="H238" s="45" t="s">
        <v>477</v>
      </c>
      <c r="I238" s="45" t="s">
        <v>478</v>
      </c>
      <c r="J238" s="45" t="s">
        <v>479</v>
      </c>
      <c r="K238" s="45" t="s">
        <v>480</v>
      </c>
      <c r="M238" s="47" t="s">
        <v>481</v>
      </c>
      <c r="N238" s="47" t="s">
        <v>482</v>
      </c>
      <c r="P238" s="45" t="s">
        <v>483</v>
      </c>
      <c r="R238" s="48" t="s">
        <v>484</v>
      </c>
      <c r="S238" s="48" t="s">
        <v>466</v>
      </c>
      <c r="T238" s="48" t="s">
        <v>485</v>
      </c>
    </row>
    <row r="239" spans="1:30" ht="12.75" customHeight="1" x14ac:dyDescent="0.25">
      <c r="A239" s="49">
        <v>144</v>
      </c>
      <c r="B239" s="50">
        <v>35</v>
      </c>
      <c r="C239" s="50" t="str">
        <f t="shared" si="47"/>
        <v>144-35</v>
      </c>
      <c r="D239" s="51" t="s">
        <v>241</v>
      </c>
      <c r="E239" s="52">
        <v>2214.9</v>
      </c>
      <c r="G239" s="52">
        <v>0</v>
      </c>
      <c r="H239" s="52">
        <v>0</v>
      </c>
      <c r="I239" s="52">
        <v>0</v>
      </c>
      <c r="K239" s="52">
        <f t="shared" ref="K239:K249" si="55">SUM(E239:J239)</f>
        <v>2214.9</v>
      </c>
      <c r="M239" s="52"/>
      <c r="N239" s="53">
        <f t="shared" ref="N239:N249" si="56">IFERROR(K239/M239,)</f>
        <v>0</v>
      </c>
      <c r="P239" s="52">
        <v>240000</v>
      </c>
      <c r="R239" s="54">
        <v>0</v>
      </c>
      <c r="S239" s="55">
        <f>R239*25%</f>
        <v>0</v>
      </c>
      <c r="T239" s="54">
        <f>IF(N239&gt;1,K239*0.5%,0)</f>
        <v>0</v>
      </c>
    </row>
    <row r="240" spans="1:30" ht="12.75" customHeight="1" x14ac:dyDescent="0.25">
      <c r="A240" s="49">
        <v>144</v>
      </c>
      <c r="B240" s="50">
        <v>71</v>
      </c>
      <c r="C240" s="50" t="str">
        <f t="shared" si="47"/>
        <v>144-71</v>
      </c>
      <c r="D240" s="51" t="s">
        <v>519</v>
      </c>
      <c r="E240" s="52">
        <v>45023.48</v>
      </c>
      <c r="G240" s="52">
        <v>0</v>
      </c>
      <c r="H240" s="52">
        <v>0</v>
      </c>
      <c r="I240" s="52">
        <v>0</v>
      </c>
      <c r="K240" s="52">
        <f t="shared" si="55"/>
        <v>45023.48</v>
      </c>
      <c r="M240" s="52">
        <v>66000</v>
      </c>
      <c r="N240" s="53">
        <f t="shared" si="56"/>
        <v>0.68217393939393944</v>
      </c>
      <c r="R240" s="54">
        <f>(K240*3.2%)</f>
        <v>1440.7513600000002</v>
      </c>
      <c r="S240" s="55">
        <f>R240*25%</f>
        <v>360.18784000000005</v>
      </c>
      <c r="T240" s="54">
        <f>IF(N240&gt;1,K240*0.5%,0)</f>
        <v>0</v>
      </c>
    </row>
    <row r="241" spans="1:20" ht="12.75" customHeight="1" x14ac:dyDescent="0.25">
      <c r="A241" s="49">
        <v>144</v>
      </c>
      <c r="B241" s="50">
        <v>74</v>
      </c>
      <c r="C241" s="50" t="str">
        <f t="shared" si="47"/>
        <v>144-74</v>
      </c>
      <c r="D241" s="51" t="s">
        <v>245</v>
      </c>
      <c r="E241" s="52">
        <v>46778.22</v>
      </c>
      <c r="G241" s="52">
        <v>0</v>
      </c>
      <c r="H241" s="52">
        <v>0</v>
      </c>
      <c r="I241" s="52">
        <v>0</v>
      </c>
      <c r="K241" s="52">
        <f t="shared" si="55"/>
        <v>46778.22</v>
      </c>
      <c r="M241" s="52">
        <v>66000</v>
      </c>
      <c r="N241" s="53">
        <f t="shared" si="56"/>
        <v>0.70876090909090916</v>
      </c>
      <c r="R241" s="54">
        <f>(K241*3.2%)</f>
        <v>1496.9030400000001</v>
      </c>
      <c r="S241" s="55">
        <f>R241*25%</f>
        <v>374.22576000000004</v>
      </c>
      <c r="T241" s="54">
        <f>IF(N241&gt;1,K241*0.5%,0)</f>
        <v>0</v>
      </c>
    </row>
    <row r="242" spans="1:20" ht="12.75" customHeight="1" x14ac:dyDescent="0.25">
      <c r="A242" s="49">
        <v>144</v>
      </c>
      <c r="B242" s="50">
        <v>81</v>
      </c>
      <c r="C242" s="50" t="str">
        <f t="shared" si="47"/>
        <v>144-81</v>
      </c>
      <c r="D242" s="51" t="s">
        <v>247</v>
      </c>
      <c r="E242" s="52">
        <v>66744.179999999993</v>
      </c>
      <c r="G242" s="52">
        <v>0</v>
      </c>
      <c r="H242" s="52">
        <v>0</v>
      </c>
      <c r="I242" s="52">
        <v>0</v>
      </c>
      <c r="K242" s="52">
        <f t="shared" si="55"/>
        <v>66744.179999999993</v>
      </c>
      <c r="M242" s="52">
        <v>66000</v>
      </c>
      <c r="N242" s="53">
        <f t="shared" si="56"/>
        <v>1.0112754545454545</v>
      </c>
      <c r="R242" s="54">
        <f>(K242*3.2%)</f>
        <v>2135.81376</v>
      </c>
      <c r="S242" s="55">
        <f>R242*25%</f>
        <v>533.95344</v>
      </c>
      <c r="T242" s="54">
        <f>IF(N242&gt;1,K242*0.5%,0)</f>
        <v>333.72089999999997</v>
      </c>
    </row>
    <row r="243" spans="1:20" ht="12.75" customHeight="1" x14ac:dyDescent="0.25">
      <c r="A243" s="49">
        <v>144</v>
      </c>
      <c r="B243" s="50">
        <v>88</v>
      </c>
      <c r="C243" s="50" t="str">
        <f t="shared" si="47"/>
        <v>144-88</v>
      </c>
      <c r="D243" s="51" t="s">
        <v>520</v>
      </c>
      <c r="E243" s="52">
        <v>35966.080000000002</v>
      </c>
      <c r="G243" s="52">
        <v>0</v>
      </c>
      <c r="H243" s="52">
        <v>0</v>
      </c>
      <c r="I243" s="52">
        <v>0</v>
      </c>
      <c r="K243" s="52">
        <f t="shared" si="55"/>
        <v>35966.080000000002</v>
      </c>
      <c r="M243" s="52">
        <v>66000</v>
      </c>
      <c r="N243" s="53">
        <f t="shared" si="56"/>
        <v>0.54494060606060613</v>
      </c>
      <c r="R243" s="54">
        <f>(K243*3.2%)</f>
        <v>1150.9145600000002</v>
      </c>
      <c r="S243" s="55">
        <f>R243*25%</f>
        <v>287.72864000000004</v>
      </c>
      <c r="T243" s="54">
        <f>IF(N243&gt;1,K243*0.5%,0)</f>
        <v>0</v>
      </c>
    </row>
    <row r="244" spans="1:20" ht="12.75" customHeight="1" x14ac:dyDescent="0.25">
      <c r="A244" s="49">
        <v>144</v>
      </c>
      <c r="B244" s="50"/>
      <c r="C244" s="50" t="str">
        <f t="shared" si="47"/>
        <v>144-</v>
      </c>
      <c r="D244" s="51"/>
      <c r="E244" s="52">
        <v>0</v>
      </c>
      <c r="G244" s="52">
        <v>0</v>
      </c>
      <c r="H244" s="52">
        <v>0</v>
      </c>
      <c r="I244" s="52">
        <v>0</v>
      </c>
      <c r="K244" s="52">
        <f t="shared" si="55"/>
        <v>0</v>
      </c>
      <c r="M244" s="52"/>
      <c r="N244" s="53">
        <f t="shared" si="56"/>
        <v>0</v>
      </c>
      <c r="R244" s="56">
        <f>SUM(R239:R243)</f>
        <v>6224.3827200000005</v>
      </c>
      <c r="S244" s="56">
        <f>SUM(S239:S243)</f>
        <v>1556.0956800000001</v>
      </c>
      <c r="T244" s="56">
        <f>SUM(T239:T243)</f>
        <v>333.72089999999997</v>
      </c>
    </row>
    <row r="245" spans="1:20" ht="12.75" customHeight="1" x14ac:dyDescent="0.25">
      <c r="A245" s="49">
        <v>144</v>
      </c>
      <c r="B245" s="50"/>
      <c r="C245" s="50" t="str">
        <f t="shared" si="47"/>
        <v>144-</v>
      </c>
      <c r="D245" s="51"/>
      <c r="E245" s="52">
        <v>0</v>
      </c>
      <c r="G245" s="52">
        <v>0</v>
      </c>
      <c r="H245" s="52">
        <v>0</v>
      </c>
      <c r="I245" s="52">
        <v>0</v>
      </c>
      <c r="K245" s="52">
        <f t="shared" si="55"/>
        <v>0</v>
      </c>
      <c r="M245" s="52"/>
      <c r="N245" s="53">
        <f t="shared" si="56"/>
        <v>0</v>
      </c>
    </row>
    <row r="246" spans="1:20" ht="12.75" customHeight="1" x14ac:dyDescent="0.25">
      <c r="A246" s="49">
        <v>144</v>
      </c>
      <c r="B246" s="50"/>
      <c r="C246" s="50" t="str">
        <f t="shared" si="47"/>
        <v>144-</v>
      </c>
      <c r="D246" s="51"/>
      <c r="E246" s="52">
        <v>0</v>
      </c>
      <c r="G246" s="52">
        <v>0</v>
      </c>
      <c r="H246" s="52">
        <v>0</v>
      </c>
      <c r="I246" s="52">
        <v>0</v>
      </c>
      <c r="K246" s="52">
        <f t="shared" si="55"/>
        <v>0</v>
      </c>
      <c r="M246" s="52"/>
      <c r="N246" s="53">
        <f t="shared" si="56"/>
        <v>0</v>
      </c>
    </row>
    <row r="247" spans="1:20" ht="12.75" customHeight="1" x14ac:dyDescent="0.25">
      <c r="A247" s="49">
        <v>144</v>
      </c>
      <c r="B247" s="50"/>
      <c r="C247" s="50" t="str">
        <f t="shared" si="47"/>
        <v>144-</v>
      </c>
      <c r="D247" s="51"/>
      <c r="E247" s="52">
        <v>0</v>
      </c>
      <c r="G247" s="52">
        <v>0</v>
      </c>
      <c r="H247" s="52">
        <v>0</v>
      </c>
      <c r="I247" s="52">
        <v>0</v>
      </c>
      <c r="K247" s="52">
        <f t="shared" si="55"/>
        <v>0</v>
      </c>
      <c r="M247" s="52"/>
      <c r="N247" s="53">
        <f t="shared" si="56"/>
        <v>0</v>
      </c>
    </row>
    <row r="248" spans="1:20" ht="12.75" customHeight="1" x14ac:dyDescent="0.25">
      <c r="A248" s="49">
        <v>144</v>
      </c>
      <c r="B248" s="50"/>
      <c r="C248" s="50" t="str">
        <f t="shared" si="47"/>
        <v>144-</v>
      </c>
      <c r="D248" s="51"/>
      <c r="E248" s="52">
        <v>0</v>
      </c>
      <c r="G248" s="52">
        <v>0</v>
      </c>
      <c r="H248" s="52">
        <v>0</v>
      </c>
      <c r="I248" s="52">
        <v>0</v>
      </c>
      <c r="K248" s="52">
        <f t="shared" si="55"/>
        <v>0</v>
      </c>
      <c r="M248" s="52"/>
      <c r="N248" s="53">
        <f t="shared" si="56"/>
        <v>0</v>
      </c>
    </row>
    <row r="249" spans="1:20" ht="12.75" customHeight="1" x14ac:dyDescent="0.25">
      <c r="A249" s="49">
        <v>144</v>
      </c>
      <c r="B249" s="50"/>
      <c r="C249" s="50" t="str">
        <f t="shared" si="47"/>
        <v>144-</v>
      </c>
      <c r="D249" s="51"/>
      <c r="E249" s="52">
        <v>0</v>
      </c>
      <c r="G249" s="52">
        <v>0</v>
      </c>
      <c r="H249" s="52">
        <v>0</v>
      </c>
      <c r="I249" s="52">
        <v>0</v>
      </c>
      <c r="K249" s="52">
        <f t="shared" si="55"/>
        <v>0</v>
      </c>
      <c r="M249" s="52"/>
      <c r="N249" s="53">
        <f t="shared" si="56"/>
        <v>0</v>
      </c>
    </row>
    <row r="250" spans="1:20" ht="12.75" customHeight="1" x14ac:dyDescent="0.25">
      <c r="A250" s="57" t="s">
        <v>459</v>
      </c>
      <c r="B250" s="58"/>
      <c r="C250" s="50" t="str">
        <f t="shared" si="47"/>
        <v>Total-</v>
      </c>
      <c r="D250" s="57"/>
      <c r="E250" s="59">
        <v>196726.86</v>
      </c>
      <c r="F250" s="59">
        <v>0</v>
      </c>
      <c r="G250" s="59">
        <v>0</v>
      </c>
      <c r="H250" s="59">
        <v>0</v>
      </c>
      <c r="I250" s="59">
        <v>0</v>
      </c>
      <c r="J250" s="59">
        <v>0</v>
      </c>
      <c r="K250" s="59">
        <f>SUM(K239:K249)</f>
        <v>196726.86</v>
      </c>
      <c r="M250" s="59">
        <f>SUM(M239:M249)</f>
        <v>264000</v>
      </c>
    </row>
    <row r="251" spans="1:20" ht="12.75" customHeight="1" x14ac:dyDescent="0.25">
      <c r="C251" s="50" t="str">
        <f t="shared" si="47"/>
        <v>-</v>
      </c>
    </row>
    <row r="252" spans="1:20" ht="12.75" customHeight="1" x14ac:dyDescent="0.25">
      <c r="C252" s="50" t="str">
        <f t="shared" si="47"/>
        <v>-</v>
      </c>
    </row>
    <row r="253" spans="1:20" ht="12.75" customHeight="1" x14ac:dyDescent="0.25">
      <c r="C253" s="50" t="str">
        <f t="shared" si="47"/>
        <v>-</v>
      </c>
    </row>
    <row r="254" spans="1:20" ht="12.75" customHeight="1" x14ac:dyDescent="0.25">
      <c r="C254" s="50" t="str">
        <f t="shared" si="47"/>
        <v>-</v>
      </c>
    </row>
    <row r="255" spans="1:20" ht="12.75" customHeight="1" x14ac:dyDescent="0.25">
      <c r="A255" s="44" t="s">
        <v>454</v>
      </c>
      <c r="B255" s="45" t="s">
        <v>472</v>
      </c>
      <c r="C255" s="50" t="str">
        <f t="shared" si="47"/>
        <v>Loja-Cod</v>
      </c>
      <c r="D255" s="44" t="s">
        <v>473</v>
      </c>
      <c r="E255" s="45" t="s">
        <v>474</v>
      </c>
      <c r="F255" s="45" t="s">
        <v>475</v>
      </c>
      <c r="G255" s="45" t="s">
        <v>476</v>
      </c>
      <c r="H255" s="45" t="s">
        <v>477</v>
      </c>
      <c r="I255" s="45" t="s">
        <v>478</v>
      </c>
      <c r="J255" s="45" t="s">
        <v>479</v>
      </c>
      <c r="K255" s="45" t="s">
        <v>480</v>
      </c>
      <c r="M255" s="47" t="s">
        <v>481</v>
      </c>
      <c r="N255" s="47" t="s">
        <v>482</v>
      </c>
      <c r="P255" s="45" t="s">
        <v>483</v>
      </c>
      <c r="R255" s="48" t="s">
        <v>484</v>
      </c>
      <c r="S255" s="48" t="s">
        <v>466</v>
      </c>
      <c r="T255" s="48" t="s">
        <v>485</v>
      </c>
    </row>
    <row r="256" spans="1:20" ht="12.75" customHeight="1" x14ac:dyDescent="0.25">
      <c r="A256" s="49">
        <v>154</v>
      </c>
      <c r="B256" s="50">
        <v>28</v>
      </c>
      <c r="C256" s="50" t="str">
        <f t="shared" si="47"/>
        <v>154-28</v>
      </c>
      <c r="D256" s="51" t="s">
        <v>521</v>
      </c>
      <c r="E256" s="52">
        <v>75822.86</v>
      </c>
      <c r="G256" s="52">
        <v>0</v>
      </c>
      <c r="H256" s="52">
        <v>0</v>
      </c>
      <c r="I256" s="52">
        <v>499.99</v>
      </c>
      <c r="K256" s="52">
        <f t="shared" ref="K256:K266" si="57">SUM(E256:J256)</f>
        <v>76322.850000000006</v>
      </c>
      <c r="M256" s="52">
        <v>74678</v>
      </c>
      <c r="N256" s="53">
        <f t="shared" ref="N256:N266" si="58">IFERROR(K256/M256,)</f>
        <v>1.02202589785479</v>
      </c>
      <c r="P256" s="52">
        <v>204000</v>
      </c>
      <c r="R256" s="54">
        <f>(K256*3.2%)</f>
        <v>2442.3312000000001</v>
      </c>
      <c r="S256" s="54">
        <f>R256*25%</f>
        <v>610.58280000000002</v>
      </c>
      <c r="T256" s="54">
        <f>IF(N256&gt;1,K256*0.5%,0)</f>
        <v>381.61425000000003</v>
      </c>
    </row>
    <row r="257" spans="1:20" ht="12.75" customHeight="1" x14ac:dyDescent="0.25">
      <c r="A257" s="49">
        <v>154</v>
      </c>
      <c r="B257" s="50">
        <v>37</v>
      </c>
      <c r="C257" s="50" t="str">
        <f t="shared" si="47"/>
        <v>154-37</v>
      </c>
      <c r="D257" s="51" t="s">
        <v>522</v>
      </c>
      <c r="E257" s="52">
        <v>1085.97</v>
      </c>
      <c r="G257" s="52">
        <v>0</v>
      </c>
      <c r="H257" s="52">
        <v>0</v>
      </c>
      <c r="I257" s="52">
        <v>0</v>
      </c>
      <c r="K257" s="52">
        <f t="shared" si="57"/>
        <v>1085.97</v>
      </c>
      <c r="M257" s="52"/>
      <c r="N257" s="53">
        <f t="shared" si="58"/>
        <v>0</v>
      </c>
      <c r="R257" s="54">
        <v>0</v>
      </c>
      <c r="S257" s="54">
        <f>R257*25%</f>
        <v>0</v>
      </c>
      <c r="T257" s="54">
        <f>IF(N257&gt;1,K257*0.5%,0)</f>
        <v>0</v>
      </c>
    </row>
    <row r="258" spans="1:20" ht="12.75" customHeight="1" x14ac:dyDescent="0.25">
      <c r="A258" s="49">
        <v>154</v>
      </c>
      <c r="B258" s="50">
        <v>38</v>
      </c>
      <c r="C258" s="50" t="str">
        <f t="shared" si="47"/>
        <v>154-38</v>
      </c>
      <c r="D258" s="51" t="s">
        <v>255</v>
      </c>
      <c r="E258" s="52">
        <v>5975.87</v>
      </c>
      <c r="G258" s="52">
        <v>0</v>
      </c>
      <c r="H258" s="52">
        <v>0</v>
      </c>
      <c r="I258" s="52">
        <v>0</v>
      </c>
      <c r="K258" s="52">
        <f t="shared" si="57"/>
        <v>5975.87</v>
      </c>
      <c r="M258" s="52"/>
      <c r="N258" s="53">
        <f t="shared" si="58"/>
        <v>0</v>
      </c>
      <c r="R258" s="54">
        <f>(K258*3.2%)</f>
        <v>191.22784000000001</v>
      </c>
      <c r="S258" s="54">
        <f>R258*25%</f>
        <v>47.806960000000004</v>
      </c>
      <c r="T258" s="54">
        <f>IF(N258&gt;1,K258*0.5%,0)</f>
        <v>0</v>
      </c>
    </row>
    <row r="259" spans="1:20" ht="12.75" customHeight="1" x14ac:dyDescent="0.25">
      <c r="A259" s="49">
        <v>154</v>
      </c>
      <c r="B259" s="50">
        <v>42</v>
      </c>
      <c r="C259" s="50" t="str">
        <f t="shared" si="47"/>
        <v>154-42</v>
      </c>
      <c r="D259" s="51" t="s">
        <v>257</v>
      </c>
      <c r="E259" s="52">
        <v>78436.97</v>
      </c>
      <c r="G259" s="52">
        <v>0</v>
      </c>
      <c r="H259" s="52">
        <v>0</v>
      </c>
      <c r="I259" s="52">
        <v>0</v>
      </c>
      <c r="K259" s="52">
        <f t="shared" si="57"/>
        <v>78436.97</v>
      </c>
      <c r="M259" s="52">
        <v>74678</v>
      </c>
      <c r="N259" s="53">
        <f t="shared" si="58"/>
        <v>1.050335707972897</v>
      </c>
      <c r="R259" s="54">
        <f>(K259*3.2%)</f>
        <v>2509.9830400000001</v>
      </c>
      <c r="S259" s="54">
        <f>R259*25%</f>
        <v>627.49576000000002</v>
      </c>
      <c r="T259" s="54">
        <f>IF(N259&gt;1,K259*0.5%,0)</f>
        <v>392.18485000000004</v>
      </c>
    </row>
    <row r="260" spans="1:20" ht="12.75" customHeight="1" x14ac:dyDescent="0.25">
      <c r="A260" s="49">
        <v>154</v>
      </c>
      <c r="B260" s="50">
        <v>45</v>
      </c>
      <c r="C260" s="50" t="str">
        <f t="shared" ref="C260:C323" si="59">CONCATENATE(A260,"-",B260)</f>
        <v>154-45</v>
      </c>
      <c r="D260" s="51" t="s">
        <v>523</v>
      </c>
      <c r="E260" s="52">
        <v>74922.02</v>
      </c>
      <c r="G260" s="52">
        <v>0</v>
      </c>
      <c r="H260" s="52">
        <v>0</v>
      </c>
      <c r="I260" s="52">
        <v>0</v>
      </c>
      <c r="K260" s="52">
        <f t="shared" si="57"/>
        <v>74922.02</v>
      </c>
      <c r="M260" s="52">
        <v>74678</v>
      </c>
      <c r="N260" s="53">
        <f t="shared" si="58"/>
        <v>1.0032676290205951</v>
      </c>
      <c r="R260" s="54">
        <f>(K260*3.2%)</f>
        <v>2397.5046400000001</v>
      </c>
      <c r="S260" s="54">
        <f>R260*25%</f>
        <v>599.37616000000003</v>
      </c>
      <c r="T260" s="54">
        <f>IF(N260&gt;1,K260*0.5%,0)</f>
        <v>374.61010000000005</v>
      </c>
    </row>
    <row r="261" spans="1:20" ht="12.75" customHeight="1" x14ac:dyDescent="0.25">
      <c r="A261" s="49">
        <v>154</v>
      </c>
      <c r="B261" s="50"/>
      <c r="C261" s="50" t="str">
        <f t="shared" si="59"/>
        <v>154-</v>
      </c>
      <c r="D261" s="51"/>
      <c r="E261" s="52">
        <v>0</v>
      </c>
      <c r="G261" s="52">
        <v>0</v>
      </c>
      <c r="H261" s="52">
        <v>0</v>
      </c>
      <c r="I261" s="52">
        <v>0</v>
      </c>
      <c r="K261" s="52">
        <f t="shared" si="57"/>
        <v>0</v>
      </c>
      <c r="M261" s="52"/>
      <c r="N261" s="53">
        <f t="shared" si="58"/>
        <v>0</v>
      </c>
      <c r="R261" s="56">
        <f>SUM(R256:R260)</f>
        <v>7541.0467200000003</v>
      </c>
      <c r="S261" s="56">
        <f>SUM(S256:S260)</f>
        <v>1885.2616800000001</v>
      </c>
      <c r="T261" s="56">
        <f>SUM(T256:T260)</f>
        <v>1148.4092000000001</v>
      </c>
    </row>
    <row r="262" spans="1:20" ht="12.75" customHeight="1" x14ac:dyDescent="0.25">
      <c r="A262" s="49">
        <v>154</v>
      </c>
      <c r="B262" s="50"/>
      <c r="C262" s="50" t="str">
        <f t="shared" si="59"/>
        <v>154-</v>
      </c>
      <c r="D262" s="51"/>
      <c r="E262" s="52">
        <v>0</v>
      </c>
      <c r="G262" s="52">
        <v>0</v>
      </c>
      <c r="H262" s="52">
        <v>0</v>
      </c>
      <c r="I262" s="52">
        <v>0</v>
      </c>
      <c r="K262" s="52">
        <f t="shared" si="57"/>
        <v>0</v>
      </c>
      <c r="M262" s="52"/>
      <c r="N262" s="53">
        <f t="shared" si="58"/>
        <v>0</v>
      </c>
    </row>
    <row r="263" spans="1:20" ht="12.75" customHeight="1" x14ac:dyDescent="0.25">
      <c r="A263" s="49">
        <v>154</v>
      </c>
      <c r="B263" s="50"/>
      <c r="C263" s="50" t="str">
        <f t="shared" si="59"/>
        <v>154-</v>
      </c>
      <c r="D263" s="51"/>
      <c r="E263" s="52">
        <v>0</v>
      </c>
      <c r="G263" s="52">
        <v>0</v>
      </c>
      <c r="H263" s="52">
        <v>0</v>
      </c>
      <c r="I263" s="52">
        <v>0</v>
      </c>
      <c r="K263" s="52">
        <f t="shared" si="57"/>
        <v>0</v>
      </c>
      <c r="M263" s="52"/>
      <c r="N263" s="53">
        <f t="shared" si="58"/>
        <v>0</v>
      </c>
    </row>
    <row r="264" spans="1:20" ht="12.75" customHeight="1" x14ac:dyDescent="0.25">
      <c r="A264" s="49">
        <v>154</v>
      </c>
      <c r="B264" s="50"/>
      <c r="C264" s="50" t="str">
        <f t="shared" si="59"/>
        <v>154-</v>
      </c>
      <c r="D264" s="51"/>
      <c r="E264" s="52">
        <v>0</v>
      </c>
      <c r="G264" s="52">
        <v>0</v>
      </c>
      <c r="H264" s="52">
        <v>0</v>
      </c>
      <c r="I264" s="52">
        <v>0</v>
      </c>
      <c r="K264" s="52">
        <f t="shared" si="57"/>
        <v>0</v>
      </c>
      <c r="M264" s="52"/>
      <c r="N264" s="53">
        <f t="shared" si="58"/>
        <v>0</v>
      </c>
    </row>
    <row r="265" spans="1:20" ht="12.75" customHeight="1" x14ac:dyDescent="0.25">
      <c r="A265" s="49">
        <v>154</v>
      </c>
      <c r="B265" s="50"/>
      <c r="C265" s="50" t="str">
        <f t="shared" si="59"/>
        <v>154-</v>
      </c>
      <c r="D265" s="51"/>
      <c r="E265" s="52">
        <v>0</v>
      </c>
      <c r="G265" s="52">
        <v>0</v>
      </c>
      <c r="H265" s="52">
        <v>0</v>
      </c>
      <c r="I265" s="52">
        <v>0</v>
      </c>
      <c r="K265" s="52">
        <f t="shared" si="57"/>
        <v>0</v>
      </c>
      <c r="M265" s="52"/>
      <c r="N265" s="53">
        <f t="shared" si="58"/>
        <v>0</v>
      </c>
    </row>
    <row r="266" spans="1:20" ht="12.75" customHeight="1" x14ac:dyDescent="0.25">
      <c r="A266" s="49">
        <v>154</v>
      </c>
      <c r="B266" s="50"/>
      <c r="C266" s="50" t="str">
        <f t="shared" si="59"/>
        <v>154-</v>
      </c>
      <c r="D266" s="51"/>
      <c r="E266" s="52">
        <v>0</v>
      </c>
      <c r="G266" s="52">
        <v>0</v>
      </c>
      <c r="H266" s="52">
        <v>0</v>
      </c>
      <c r="I266" s="52">
        <v>0</v>
      </c>
      <c r="K266" s="52">
        <f t="shared" si="57"/>
        <v>0</v>
      </c>
      <c r="M266" s="52"/>
      <c r="N266" s="53">
        <f t="shared" si="58"/>
        <v>0</v>
      </c>
    </row>
    <row r="267" spans="1:20" ht="12.75" customHeight="1" x14ac:dyDescent="0.25">
      <c r="A267" s="57" t="s">
        <v>459</v>
      </c>
      <c r="B267" s="58"/>
      <c r="C267" s="50" t="str">
        <f t="shared" si="59"/>
        <v>Total-</v>
      </c>
      <c r="D267" s="57"/>
      <c r="E267" s="59">
        <v>236243.69</v>
      </c>
      <c r="F267" s="59">
        <v>0</v>
      </c>
      <c r="G267" s="59">
        <v>0</v>
      </c>
      <c r="H267" s="59">
        <v>0</v>
      </c>
      <c r="I267" s="59">
        <v>499.99</v>
      </c>
      <c r="J267" s="59">
        <v>0</v>
      </c>
      <c r="K267" s="59">
        <f>SUM(K256:K266)</f>
        <v>236743.67999999999</v>
      </c>
      <c r="M267" s="59">
        <f>SUM(M256:M266)</f>
        <v>224034</v>
      </c>
    </row>
    <row r="268" spans="1:20" ht="12.75" customHeight="1" x14ac:dyDescent="0.25">
      <c r="C268" s="50" t="str">
        <f t="shared" si="59"/>
        <v>-</v>
      </c>
    </row>
    <row r="269" spans="1:20" ht="12.75" customHeight="1" x14ac:dyDescent="0.25">
      <c r="C269" s="50" t="str">
        <f t="shared" si="59"/>
        <v>-</v>
      </c>
    </row>
    <row r="270" spans="1:20" ht="12.75" customHeight="1" x14ac:dyDescent="0.25">
      <c r="C270" s="50" t="str">
        <f t="shared" si="59"/>
        <v>-</v>
      </c>
    </row>
    <row r="271" spans="1:20" ht="12.75" customHeight="1" x14ac:dyDescent="0.25">
      <c r="C271" s="50" t="str">
        <f t="shared" si="59"/>
        <v>-</v>
      </c>
    </row>
    <row r="272" spans="1:20" ht="12.75" customHeight="1" x14ac:dyDescent="0.25">
      <c r="A272" s="44" t="s">
        <v>454</v>
      </c>
      <c r="B272" s="45" t="s">
        <v>472</v>
      </c>
      <c r="C272" s="50" t="str">
        <f t="shared" si="59"/>
        <v>Loja-Cod</v>
      </c>
      <c r="D272" s="44" t="s">
        <v>473</v>
      </c>
      <c r="E272" s="45" t="s">
        <v>474</v>
      </c>
      <c r="F272" s="45" t="s">
        <v>475</v>
      </c>
      <c r="G272" s="45" t="s">
        <v>476</v>
      </c>
      <c r="H272" s="45" t="s">
        <v>477</v>
      </c>
      <c r="I272" s="45" t="s">
        <v>478</v>
      </c>
      <c r="J272" s="45" t="s">
        <v>479</v>
      </c>
      <c r="K272" s="45" t="s">
        <v>480</v>
      </c>
      <c r="M272" s="47" t="s">
        <v>481</v>
      </c>
      <c r="N272" s="47" t="s">
        <v>482</v>
      </c>
      <c r="P272" s="45" t="s">
        <v>483</v>
      </c>
      <c r="R272" s="48" t="s">
        <v>484</v>
      </c>
      <c r="S272" s="48" t="s">
        <v>466</v>
      </c>
      <c r="T272" s="48" t="s">
        <v>485</v>
      </c>
    </row>
    <row r="273" spans="1:20" ht="12.75" customHeight="1" x14ac:dyDescent="0.25">
      <c r="A273" s="49">
        <v>156</v>
      </c>
      <c r="B273" s="50">
        <v>67</v>
      </c>
      <c r="C273" s="50" t="str">
        <f t="shared" si="59"/>
        <v>156-67</v>
      </c>
      <c r="D273" s="51" t="s">
        <v>263</v>
      </c>
      <c r="E273" s="52">
        <v>78859.88</v>
      </c>
      <c r="G273" s="52">
        <v>0</v>
      </c>
      <c r="H273" s="52">
        <v>1169.98</v>
      </c>
      <c r="I273" s="52">
        <v>339.98</v>
      </c>
      <c r="K273" s="52">
        <f t="shared" ref="K273:K283" si="60">SUM(E273:J273)</f>
        <v>80369.84</v>
      </c>
      <c r="M273" s="52">
        <v>69700</v>
      </c>
      <c r="N273" s="53">
        <f t="shared" ref="N273:N283" si="61">IFERROR(K273/M273,)</f>
        <v>1.1530823529411764</v>
      </c>
      <c r="P273" s="52">
        <v>380000</v>
      </c>
      <c r="R273" s="54">
        <f>(K273*3.2%)</f>
        <v>2571.8348799999999</v>
      </c>
      <c r="S273" s="54">
        <f>R273*25%</f>
        <v>642.95871999999997</v>
      </c>
      <c r="T273" s="54">
        <f>IF(N273&gt;1,K273*0.5%,0)</f>
        <v>401.8492</v>
      </c>
    </row>
    <row r="274" spans="1:20" ht="12.75" customHeight="1" x14ac:dyDescent="0.25">
      <c r="A274" s="49">
        <v>156</v>
      </c>
      <c r="B274" s="50">
        <v>72</v>
      </c>
      <c r="C274" s="50" t="str">
        <f t="shared" si="59"/>
        <v>156-72</v>
      </c>
      <c r="D274" s="51" t="s">
        <v>265</v>
      </c>
      <c r="E274" s="52">
        <v>66854.5</v>
      </c>
      <c r="F274" s="52">
        <v>899.99</v>
      </c>
      <c r="G274" s="52">
        <v>0</v>
      </c>
      <c r="H274" s="52">
        <v>1079.98</v>
      </c>
      <c r="I274" s="52">
        <v>649.98</v>
      </c>
      <c r="K274" s="52">
        <f t="shared" si="60"/>
        <v>69484.45</v>
      </c>
      <c r="M274" s="52">
        <v>69700</v>
      </c>
      <c r="N274" s="53">
        <f t="shared" si="61"/>
        <v>0.99690746054519364</v>
      </c>
      <c r="R274" s="54">
        <f t="shared" ref="R274:R279" si="62">(K274*3.2%)</f>
        <v>2223.5023999999999</v>
      </c>
      <c r="S274" s="54">
        <f t="shared" ref="S274:S279" si="63">R274*25%</f>
        <v>555.87559999999996</v>
      </c>
      <c r="T274" s="54">
        <f t="shared" ref="T274:T279" si="64">IF(N274&gt;1,K274*0.5%,0)</f>
        <v>0</v>
      </c>
    </row>
    <row r="275" spans="1:20" ht="12.75" customHeight="1" x14ac:dyDescent="0.25">
      <c r="A275" s="49">
        <v>156</v>
      </c>
      <c r="B275" s="50">
        <v>75</v>
      </c>
      <c r="C275" s="50" t="str">
        <f t="shared" si="59"/>
        <v>156-75</v>
      </c>
      <c r="D275" s="51" t="s">
        <v>267</v>
      </c>
      <c r="E275" s="52">
        <v>1907.91</v>
      </c>
      <c r="G275" s="52">
        <v>0</v>
      </c>
      <c r="H275" s="52">
        <v>399.99</v>
      </c>
      <c r="I275" s="52">
        <v>0</v>
      </c>
      <c r="K275" s="52">
        <f t="shared" si="60"/>
        <v>2307.9</v>
      </c>
      <c r="M275" s="52">
        <v>69700</v>
      </c>
      <c r="N275" s="53">
        <f t="shared" si="61"/>
        <v>3.3111908177905311E-2</v>
      </c>
      <c r="R275" s="54">
        <v>0</v>
      </c>
      <c r="S275" s="54">
        <f t="shared" si="63"/>
        <v>0</v>
      </c>
      <c r="T275" s="54">
        <f t="shared" si="64"/>
        <v>0</v>
      </c>
    </row>
    <row r="276" spans="1:20" ht="12.75" customHeight="1" x14ac:dyDescent="0.25">
      <c r="A276" s="49">
        <v>156</v>
      </c>
      <c r="B276" s="50">
        <v>76</v>
      </c>
      <c r="C276" s="50" t="str">
        <f t="shared" si="59"/>
        <v>156-76</v>
      </c>
      <c r="D276" s="51" t="s">
        <v>269</v>
      </c>
      <c r="E276" s="52">
        <v>77245.539999999994</v>
      </c>
      <c r="G276" s="52">
        <v>0</v>
      </c>
      <c r="H276" s="52">
        <v>0</v>
      </c>
      <c r="I276" s="52">
        <v>869.98</v>
      </c>
      <c r="K276" s="52">
        <f t="shared" si="60"/>
        <v>78115.51999999999</v>
      </c>
      <c r="M276" s="52">
        <v>69700</v>
      </c>
      <c r="N276" s="53">
        <f t="shared" si="61"/>
        <v>1.1207391678622667</v>
      </c>
      <c r="R276" s="54">
        <f t="shared" si="62"/>
        <v>2499.6966399999997</v>
      </c>
      <c r="S276" s="54">
        <f t="shared" si="63"/>
        <v>624.92415999999992</v>
      </c>
      <c r="T276" s="54">
        <f t="shared" si="64"/>
        <v>390.57759999999996</v>
      </c>
    </row>
    <row r="277" spans="1:20" ht="12.75" customHeight="1" x14ac:dyDescent="0.25">
      <c r="A277" s="49">
        <v>156</v>
      </c>
      <c r="B277" s="50">
        <v>78</v>
      </c>
      <c r="C277" s="50" t="str">
        <f t="shared" si="59"/>
        <v>156-78</v>
      </c>
      <c r="D277" s="51" t="s">
        <v>271</v>
      </c>
      <c r="E277" s="52">
        <v>36947.019999999997</v>
      </c>
      <c r="G277" s="52">
        <v>0</v>
      </c>
      <c r="H277" s="52">
        <v>1299.98</v>
      </c>
      <c r="I277" s="52">
        <v>1390.99</v>
      </c>
      <c r="K277" s="52">
        <f t="shared" si="60"/>
        <v>39637.99</v>
      </c>
      <c r="M277" s="52">
        <v>69700</v>
      </c>
      <c r="N277" s="53">
        <f t="shared" si="61"/>
        <v>0.56869426111908172</v>
      </c>
      <c r="R277" s="54">
        <f t="shared" si="62"/>
        <v>1268.4156800000001</v>
      </c>
      <c r="S277" s="54">
        <f t="shared" si="63"/>
        <v>317.10392000000002</v>
      </c>
      <c r="T277" s="54">
        <f t="shared" si="64"/>
        <v>0</v>
      </c>
    </row>
    <row r="278" spans="1:20" ht="12.75" customHeight="1" x14ac:dyDescent="0.25">
      <c r="A278" s="49">
        <v>156</v>
      </c>
      <c r="B278" s="50">
        <v>79</v>
      </c>
      <c r="C278" s="50" t="str">
        <f t="shared" si="59"/>
        <v>156-79</v>
      </c>
      <c r="D278" s="51" t="s">
        <v>524</v>
      </c>
      <c r="E278" s="52">
        <v>75559.73</v>
      </c>
      <c r="G278" s="52">
        <v>0</v>
      </c>
      <c r="H278" s="52">
        <v>2129.9499999999998</v>
      </c>
      <c r="I278" s="52">
        <v>949.98</v>
      </c>
      <c r="K278" s="52">
        <f t="shared" si="60"/>
        <v>78639.659999999989</v>
      </c>
      <c r="M278" s="52">
        <v>69700</v>
      </c>
      <c r="N278" s="53">
        <f t="shared" si="61"/>
        <v>1.1282591104734576</v>
      </c>
      <c r="R278" s="54">
        <f t="shared" si="62"/>
        <v>2516.4691199999997</v>
      </c>
      <c r="S278" s="54">
        <f t="shared" si="63"/>
        <v>629.11727999999994</v>
      </c>
      <c r="T278" s="54">
        <f t="shared" si="64"/>
        <v>393.19829999999996</v>
      </c>
    </row>
    <row r="279" spans="1:20" ht="12.75" customHeight="1" x14ac:dyDescent="0.25">
      <c r="A279" s="49">
        <v>156</v>
      </c>
      <c r="B279" s="50">
        <v>81</v>
      </c>
      <c r="C279" s="50" t="str">
        <f t="shared" si="59"/>
        <v>156-81</v>
      </c>
      <c r="D279" s="51" t="s">
        <v>275</v>
      </c>
      <c r="E279" s="52">
        <v>51190.15</v>
      </c>
      <c r="G279" s="52">
        <v>0</v>
      </c>
      <c r="H279" s="52">
        <v>0</v>
      </c>
      <c r="I279" s="52">
        <v>399.99</v>
      </c>
      <c r="K279" s="52">
        <f t="shared" si="60"/>
        <v>51590.14</v>
      </c>
      <c r="M279" s="52">
        <v>69700</v>
      </c>
      <c r="N279" s="53">
        <f t="shared" si="61"/>
        <v>0.74017417503586802</v>
      </c>
      <c r="R279" s="54">
        <f t="shared" si="62"/>
        <v>1650.8844799999999</v>
      </c>
      <c r="S279" s="54">
        <f t="shared" si="63"/>
        <v>412.72111999999998</v>
      </c>
      <c r="T279" s="54">
        <f t="shared" si="64"/>
        <v>0</v>
      </c>
    </row>
    <row r="280" spans="1:20" ht="12.75" customHeight="1" x14ac:dyDescent="0.25">
      <c r="A280" s="49">
        <v>156</v>
      </c>
      <c r="B280" s="50"/>
      <c r="C280" s="50" t="str">
        <f t="shared" si="59"/>
        <v>156-</v>
      </c>
      <c r="D280" s="51"/>
      <c r="E280" s="52">
        <v>0</v>
      </c>
      <c r="G280" s="52">
        <v>0</v>
      </c>
      <c r="H280" s="52">
        <v>0</v>
      </c>
      <c r="I280" s="52">
        <v>0</v>
      </c>
      <c r="K280" s="52">
        <f t="shared" si="60"/>
        <v>0</v>
      </c>
      <c r="M280" s="52"/>
      <c r="N280" s="53">
        <f t="shared" si="61"/>
        <v>0</v>
      </c>
      <c r="R280" s="56">
        <f>SUM(R273:R279)</f>
        <v>12730.8032</v>
      </c>
      <c r="S280" s="56">
        <f>SUM(S273:S279)</f>
        <v>3182.7008000000001</v>
      </c>
      <c r="T280" s="56">
        <f>SUM(T273:T279)</f>
        <v>1185.6251</v>
      </c>
    </row>
    <row r="281" spans="1:20" ht="12.75" customHeight="1" x14ac:dyDescent="0.25">
      <c r="A281" s="49">
        <v>156</v>
      </c>
      <c r="B281" s="50"/>
      <c r="C281" s="50" t="str">
        <f t="shared" si="59"/>
        <v>156-</v>
      </c>
      <c r="D281" s="51"/>
      <c r="E281" s="52">
        <v>0</v>
      </c>
      <c r="G281" s="52">
        <v>0</v>
      </c>
      <c r="H281" s="52">
        <v>0</v>
      </c>
      <c r="I281" s="52">
        <v>0</v>
      </c>
      <c r="K281" s="52">
        <f t="shared" si="60"/>
        <v>0</v>
      </c>
      <c r="M281" s="52"/>
      <c r="N281" s="53">
        <f t="shared" si="61"/>
        <v>0</v>
      </c>
    </row>
    <row r="282" spans="1:20" ht="12.75" customHeight="1" x14ac:dyDescent="0.25">
      <c r="A282" s="49">
        <v>156</v>
      </c>
      <c r="B282" s="50"/>
      <c r="C282" s="50" t="str">
        <f t="shared" si="59"/>
        <v>156-</v>
      </c>
      <c r="D282" s="51"/>
      <c r="E282" s="52">
        <v>0</v>
      </c>
      <c r="G282" s="52">
        <v>0</v>
      </c>
      <c r="H282" s="52">
        <v>0</v>
      </c>
      <c r="I282" s="52">
        <v>0</v>
      </c>
      <c r="K282" s="52">
        <f t="shared" si="60"/>
        <v>0</v>
      </c>
      <c r="M282" s="52"/>
      <c r="N282" s="53">
        <f t="shared" si="61"/>
        <v>0</v>
      </c>
    </row>
    <row r="283" spans="1:20" ht="12.75" customHeight="1" x14ac:dyDescent="0.25">
      <c r="A283" s="49">
        <v>156</v>
      </c>
      <c r="B283" s="50"/>
      <c r="C283" s="50" t="str">
        <f t="shared" si="59"/>
        <v>156-</v>
      </c>
      <c r="D283" s="51"/>
      <c r="E283" s="52">
        <v>0</v>
      </c>
      <c r="G283" s="52">
        <v>0</v>
      </c>
      <c r="H283" s="52">
        <v>0</v>
      </c>
      <c r="I283" s="52">
        <v>0</v>
      </c>
      <c r="K283" s="52">
        <f t="shared" si="60"/>
        <v>0</v>
      </c>
      <c r="M283" s="52"/>
      <c r="N283" s="53">
        <f t="shared" si="61"/>
        <v>0</v>
      </c>
    </row>
    <row r="284" spans="1:20" ht="12.75" customHeight="1" x14ac:dyDescent="0.25">
      <c r="A284" s="57" t="s">
        <v>459</v>
      </c>
      <c r="B284" s="58"/>
      <c r="C284" s="50" t="str">
        <f t="shared" si="59"/>
        <v>Total-</v>
      </c>
      <c r="D284" s="57"/>
      <c r="E284" s="59">
        <v>388564.73000000004</v>
      </c>
      <c r="F284" s="59">
        <v>899.99</v>
      </c>
      <c r="G284" s="59">
        <v>0</v>
      </c>
      <c r="H284" s="59">
        <v>6079.8799999999992</v>
      </c>
      <c r="I284" s="59">
        <v>4600.8999999999996</v>
      </c>
      <c r="J284" s="59">
        <v>0</v>
      </c>
      <c r="K284" s="59">
        <f>SUM(K273:K283)</f>
        <v>400145.49999999994</v>
      </c>
      <c r="M284" s="59">
        <f>SUM(M273:M283)</f>
        <v>487900</v>
      </c>
    </row>
    <row r="285" spans="1:20" ht="12.75" customHeight="1" x14ac:dyDescent="0.25">
      <c r="C285" s="50" t="str">
        <f t="shared" si="59"/>
        <v>-</v>
      </c>
    </row>
    <row r="286" spans="1:20" ht="12.75" customHeight="1" x14ac:dyDescent="0.25">
      <c r="C286" s="50" t="str">
        <f t="shared" si="59"/>
        <v>-</v>
      </c>
    </row>
    <row r="287" spans="1:20" ht="12.75" customHeight="1" x14ac:dyDescent="0.25">
      <c r="C287" s="50" t="str">
        <f t="shared" si="59"/>
        <v>-</v>
      </c>
    </row>
    <row r="288" spans="1:20" ht="12.75" customHeight="1" x14ac:dyDescent="0.25">
      <c r="C288" s="50" t="str">
        <f t="shared" si="59"/>
        <v>-</v>
      </c>
    </row>
    <row r="289" spans="1:20" ht="12.75" customHeight="1" x14ac:dyDescent="0.25">
      <c r="A289" s="44" t="s">
        <v>454</v>
      </c>
      <c r="B289" s="45" t="s">
        <v>472</v>
      </c>
      <c r="C289" s="50" t="str">
        <f t="shared" si="59"/>
        <v>Loja-Cod</v>
      </c>
      <c r="D289" s="44" t="s">
        <v>473</v>
      </c>
      <c r="E289" s="45" t="s">
        <v>474</v>
      </c>
      <c r="F289" s="45" t="s">
        <v>475</v>
      </c>
      <c r="G289" s="45" t="s">
        <v>476</v>
      </c>
      <c r="H289" s="45" t="s">
        <v>477</v>
      </c>
      <c r="I289" s="45" t="s">
        <v>478</v>
      </c>
      <c r="J289" s="45" t="s">
        <v>479</v>
      </c>
      <c r="K289" s="45" t="s">
        <v>480</v>
      </c>
      <c r="M289" s="47" t="s">
        <v>481</v>
      </c>
      <c r="N289" s="47" t="s">
        <v>482</v>
      </c>
      <c r="P289" s="45" t="s">
        <v>483</v>
      </c>
      <c r="R289" s="48" t="s">
        <v>484</v>
      </c>
      <c r="S289" s="48" t="s">
        <v>466</v>
      </c>
      <c r="T289" s="48" t="s">
        <v>485</v>
      </c>
    </row>
    <row r="290" spans="1:20" ht="12.75" customHeight="1" x14ac:dyDescent="0.25">
      <c r="A290" s="49">
        <v>157</v>
      </c>
      <c r="B290" s="50">
        <v>14</v>
      </c>
      <c r="C290" s="50" t="str">
        <f t="shared" si="59"/>
        <v>157-14</v>
      </c>
      <c r="D290" s="51" t="s">
        <v>279</v>
      </c>
      <c r="E290" s="52">
        <v>75253.09</v>
      </c>
      <c r="G290" s="52">
        <v>0</v>
      </c>
      <c r="H290" s="52">
        <v>619.97</v>
      </c>
      <c r="I290" s="52">
        <v>399.99</v>
      </c>
      <c r="K290" s="52">
        <f t="shared" ref="K290:K300" si="65">SUM(E290:J290)</f>
        <v>76273.05</v>
      </c>
      <c r="M290" s="52">
        <v>45375</v>
      </c>
      <c r="N290" s="53">
        <f t="shared" ref="N290:N300" si="66">IFERROR(K290/M290,)</f>
        <v>1.6809487603305786</v>
      </c>
      <c r="P290" s="52">
        <v>165000</v>
      </c>
      <c r="R290" s="54">
        <f>(K290*3.2%)</f>
        <v>2440.7375999999999</v>
      </c>
      <c r="S290" s="54">
        <f>R290*25%</f>
        <v>610.18439999999998</v>
      </c>
      <c r="T290" s="54">
        <f>IF(N290&gt;1,K290*0.5%,0)</f>
        <v>381.36525</v>
      </c>
    </row>
    <row r="291" spans="1:20" ht="12.75" customHeight="1" x14ac:dyDescent="0.25">
      <c r="A291" s="49">
        <v>157</v>
      </c>
      <c r="B291" s="69">
        <v>33</v>
      </c>
      <c r="C291" s="50" t="str">
        <f t="shared" si="59"/>
        <v>157-33</v>
      </c>
      <c r="D291" s="51" t="s">
        <v>281</v>
      </c>
      <c r="E291" s="52">
        <v>2789.92</v>
      </c>
      <c r="G291" s="52">
        <v>0</v>
      </c>
      <c r="H291" s="52">
        <v>0</v>
      </c>
      <c r="I291" s="52">
        <v>0</v>
      </c>
      <c r="K291" s="52">
        <f t="shared" si="65"/>
        <v>2789.92</v>
      </c>
      <c r="M291" s="52"/>
      <c r="N291" s="53">
        <f t="shared" si="66"/>
        <v>0</v>
      </c>
      <c r="R291" s="54">
        <v>0</v>
      </c>
      <c r="S291" s="54">
        <f>R291*25%</f>
        <v>0</v>
      </c>
      <c r="T291" s="54">
        <f>IF(N291&gt;1,K291*0.5%,0)</f>
        <v>0</v>
      </c>
    </row>
    <row r="292" spans="1:20" ht="12.75" customHeight="1" x14ac:dyDescent="0.25">
      <c r="A292" s="49">
        <v>157</v>
      </c>
      <c r="B292" s="50">
        <v>43</v>
      </c>
      <c r="C292" s="50" t="str">
        <f t="shared" si="59"/>
        <v>157-43</v>
      </c>
      <c r="D292" s="51" t="s">
        <v>525</v>
      </c>
      <c r="E292" s="52">
        <v>53005.22</v>
      </c>
      <c r="G292" s="52">
        <v>0</v>
      </c>
      <c r="H292" s="52">
        <v>399.99</v>
      </c>
      <c r="I292" s="52">
        <v>0</v>
      </c>
      <c r="K292" s="52">
        <f t="shared" si="65"/>
        <v>53405.21</v>
      </c>
      <c r="M292" s="52">
        <v>45375</v>
      </c>
      <c r="N292" s="53">
        <f t="shared" si="66"/>
        <v>1.1769743250688705</v>
      </c>
      <c r="R292" s="54">
        <f>(K292*3.2%)</f>
        <v>1708.9667199999999</v>
      </c>
      <c r="S292" s="54">
        <f>R292*25%</f>
        <v>427.24167999999997</v>
      </c>
      <c r="T292" s="54">
        <f>IF(N292&gt;1,K292*0.5%,0)</f>
        <v>267.02605</v>
      </c>
    </row>
    <row r="293" spans="1:20" ht="12.75" customHeight="1" x14ac:dyDescent="0.25">
      <c r="A293" s="49">
        <v>157</v>
      </c>
      <c r="B293" s="50">
        <v>45</v>
      </c>
      <c r="C293" s="50" t="str">
        <f t="shared" si="59"/>
        <v>157-45</v>
      </c>
      <c r="D293" s="51" t="s">
        <v>526</v>
      </c>
      <c r="E293" s="52">
        <v>55980.11</v>
      </c>
      <c r="G293" s="52">
        <v>0</v>
      </c>
      <c r="H293" s="52">
        <v>499.99</v>
      </c>
      <c r="I293" s="52">
        <v>0</v>
      </c>
      <c r="K293" s="52">
        <f t="shared" si="65"/>
        <v>56480.1</v>
      </c>
      <c r="M293" s="52">
        <v>45375</v>
      </c>
      <c r="N293" s="53">
        <f t="shared" si="66"/>
        <v>1.2447404958677686</v>
      </c>
      <c r="R293" s="54">
        <f>(K293*3.2%)</f>
        <v>1807.3632</v>
      </c>
      <c r="S293" s="54">
        <f>R293*25%</f>
        <v>451.8408</v>
      </c>
      <c r="T293" s="54">
        <f>IF(N293&gt;1,K293*0.5%,0)</f>
        <v>282.40050000000002</v>
      </c>
    </row>
    <row r="294" spans="1:20" ht="12.75" customHeight="1" x14ac:dyDescent="0.25">
      <c r="A294" s="49">
        <v>157</v>
      </c>
      <c r="B294" s="50">
        <v>46</v>
      </c>
      <c r="C294" s="50" t="str">
        <f t="shared" si="59"/>
        <v>157-46</v>
      </c>
      <c r="D294" s="51" t="s">
        <v>527</v>
      </c>
      <c r="E294" s="52">
        <v>22127.99</v>
      </c>
      <c r="G294" s="52">
        <v>0</v>
      </c>
      <c r="H294" s="52">
        <v>649.98</v>
      </c>
      <c r="I294" s="52">
        <v>0</v>
      </c>
      <c r="K294" s="52">
        <f t="shared" si="65"/>
        <v>22777.97</v>
      </c>
      <c r="M294" s="52">
        <v>45375</v>
      </c>
      <c r="N294" s="53">
        <f t="shared" si="66"/>
        <v>0.50199382920110192</v>
      </c>
      <c r="R294" s="54">
        <f>(K294*3.2%)</f>
        <v>728.89504000000011</v>
      </c>
      <c r="S294" s="54">
        <f>R294*25%</f>
        <v>182.22376000000003</v>
      </c>
      <c r="T294" s="54">
        <f>IF(N294&gt;1,K294*0.5%,0)</f>
        <v>0</v>
      </c>
    </row>
    <row r="295" spans="1:20" ht="12.75" customHeight="1" x14ac:dyDescent="0.25">
      <c r="A295" s="49">
        <v>157</v>
      </c>
      <c r="B295" s="50"/>
      <c r="C295" s="50" t="str">
        <f t="shared" si="59"/>
        <v>157-</v>
      </c>
      <c r="D295" s="51"/>
      <c r="E295" s="52">
        <v>0</v>
      </c>
      <c r="G295" s="52">
        <v>0</v>
      </c>
      <c r="H295" s="52">
        <v>0</v>
      </c>
      <c r="I295" s="52">
        <v>0</v>
      </c>
      <c r="K295" s="52">
        <f t="shared" si="65"/>
        <v>0</v>
      </c>
      <c r="M295" s="52"/>
      <c r="N295" s="53">
        <f t="shared" si="66"/>
        <v>0</v>
      </c>
      <c r="R295" s="56">
        <f>SUM(R290:R294)</f>
        <v>6685.9625599999999</v>
      </c>
      <c r="S295" s="56">
        <f>SUM(S290:S294)</f>
        <v>1671.49064</v>
      </c>
      <c r="T295" s="56">
        <f>SUM(T290:T294)</f>
        <v>930.79179999999997</v>
      </c>
    </row>
    <row r="296" spans="1:20" ht="12.75" customHeight="1" x14ac:dyDescent="0.25">
      <c r="A296" s="49">
        <v>157</v>
      </c>
      <c r="B296" s="50"/>
      <c r="C296" s="50" t="str">
        <f t="shared" si="59"/>
        <v>157-</v>
      </c>
      <c r="D296" s="51"/>
      <c r="E296" s="52">
        <v>0</v>
      </c>
      <c r="G296" s="52">
        <v>0</v>
      </c>
      <c r="H296" s="52">
        <v>0</v>
      </c>
      <c r="I296" s="52">
        <v>0</v>
      </c>
      <c r="K296" s="52">
        <f t="shared" si="65"/>
        <v>0</v>
      </c>
      <c r="M296" s="52"/>
      <c r="N296" s="53">
        <f t="shared" si="66"/>
        <v>0</v>
      </c>
    </row>
    <row r="297" spans="1:20" ht="12.75" customHeight="1" x14ac:dyDescent="0.25">
      <c r="A297" s="49">
        <v>157</v>
      </c>
      <c r="B297" s="50"/>
      <c r="C297" s="50" t="str">
        <f t="shared" si="59"/>
        <v>157-</v>
      </c>
      <c r="D297" s="51"/>
      <c r="E297" s="52">
        <v>0</v>
      </c>
      <c r="G297" s="52">
        <v>0</v>
      </c>
      <c r="H297" s="52">
        <v>0</v>
      </c>
      <c r="I297" s="52">
        <v>0</v>
      </c>
      <c r="K297" s="52">
        <f t="shared" si="65"/>
        <v>0</v>
      </c>
      <c r="M297" s="52"/>
      <c r="N297" s="53">
        <f t="shared" si="66"/>
        <v>0</v>
      </c>
    </row>
    <row r="298" spans="1:20" ht="12.75" customHeight="1" x14ac:dyDescent="0.25">
      <c r="A298" s="49">
        <v>157</v>
      </c>
      <c r="B298" s="50"/>
      <c r="C298" s="50" t="str">
        <f t="shared" si="59"/>
        <v>157-</v>
      </c>
      <c r="D298" s="51"/>
      <c r="E298" s="52">
        <v>0</v>
      </c>
      <c r="G298" s="52">
        <v>0</v>
      </c>
      <c r="H298" s="52">
        <v>0</v>
      </c>
      <c r="I298" s="52">
        <v>0</v>
      </c>
      <c r="K298" s="52">
        <f t="shared" si="65"/>
        <v>0</v>
      </c>
      <c r="M298" s="52"/>
      <c r="N298" s="53">
        <f t="shared" si="66"/>
        <v>0</v>
      </c>
    </row>
    <row r="299" spans="1:20" ht="12.75" customHeight="1" x14ac:dyDescent="0.25">
      <c r="A299" s="49">
        <v>157</v>
      </c>
      <c r="B299" s="50"/>
      <c r="C299" s="50" t="str">
        <f t="shared" si="59"/>
        <v>157-</v>
      </c>
      <c r="D299" s="51"/>
      <c r="E299" s="52">
        <v>0</v>
      </c>
      <c r="G299" s="52">
        <v>0</v>
      </c>
      <c r="H299" s="52">
        <v>0</v>
      </c>
      <c r="I299" s="52">
        <v>0</v>
      </c>
      <c r="K299" s="52">
        <f t="shared" si="65"/>
        <v>0</v>
      </c>
      <c r="M299" s="52"/>
      <c r="N299" s="53">
        <f t="shared" si="66"/>
        <v>0</v>
      </c>
    </row>
    <row r="300" spans="1:20" ht="12.75" customHeight="1" x14ac:dyDescent="0.25">
      <c r="A300" s="49">
        <v>157</v>
      </c>
      <c r="B300" s="50"/>
      <c r="C300" s="50" t="str">
        <f t="shared" si="59"/>
        <v>157-</v>
      </c>
      <c r="D300" s="51"/>
      <c r="E300" s="52">
        <v>0</v>
      </c>
      <c r="G300" s="52">
        <v>0</v>
      </c>
      <c r="H300" s="52">
        <v>0</v>
      </c>
      <c r="I300" s="52">
        <v>0</v>
      </c>
      <c r="K300" s="52">
        <f t="shared" si="65"/>
        <v>0</v>
      </c>
      <c r="M300" s="52"/>
      <c r="N300" s="53">
        <f t="shared" si="66"/>
        <v>0</v>
      </c>
    </row>
    <row r="301" spans="1:20" ht="12.75" customHeight="1" x14ac:dyDescent="0.25">
      <c r="A301" s="57" t="s">
        <v>459</v>
      </c>
      <c r="B301" s="58"/>
      <c r="C301" s="50" t="str">
        <f t="shared" si="59"/>
        <v>Total-</v>
      </c>
      <c r="D301" s="57"/>
      <c r="E301" s="59">
        <v>209156.33</v>
      </c>
      <c r="F301" s="59">
        <v>0</v>
      </c>
      <c r="G301" s="59">
        <v>0</v>
      </c>
      <c r="H301" s="59">
        <v>2169.9300000000003</v>
      </c>
      <c r="I301" s="59">
        <v>399.99</v>
      </c>
      <c r="J301" s="59">
        <v>0</v>
      </c>
      <c r="K301" s="59">
        <f>SUM(K290:K300)</f>
        <v>211726.25</v>
      </c>
      <c r="M301" s="59">
        <f>SUM(M290:M300)</f>
        <v>181500</v>
      </c>
    </row>
    <row r="302" spans="1:20" ht="12.75" customHeight="1" x14ac:dyDescent="0.25">
      <c r="C302" s="50" t="str">
        <f t="shared" si="59"/>
        <v>-</v>
      </c>
    </row>
    <row r="303" spans="1:20" ht="12.75" customHeight="1" x14ac:dyDescent="0.25">
      <c r="C303" s="50" t="str">
        <f t="shared" si="59"/>
        <v>-</v>
      </c>
    </row>
    <row r="304" spans="1:20" ht="12.75" customHeight="1" x14ac:dyDescent="0.25">
      <c r="C304" s="50" t="str">
        <f t="shared" si="59"/>
        <v>-</v>
      </c>
    </row>
    <row r="305" spans="1:30" ht="12.75" customHeight="1" x14ac:dyDescent="0.25">
      <c r="C305" s="50" t="str">
        <f t="shared" si="59"/>
        <v>-</v>
      </c>
    </row>
    <row r="306" spans="1:30" ht="12.75" customHeight="1" x14ac:dyDescent="0.25">
      <c r="A306" s="44" t="s">
        <v>454</v>
      </c>
      <c r="B306" s="45" t="s">
        <v>472</v>
      </c>
      <c r="C306" s="50" t="str">
        <f t="shared" si="59"/>
        <v>Loja-Cod</v>
      </c>
      <c r="D306" s="44" t="s">
        <v>473</v>
      </c>
      <c r="E306" s="45" t="s">
        <v>474</v>
      </c>
      <c r="F306" s="45" t="s">
        <v>475</v>
      </c>
      <c r="G306" s="45" t="s">
        <v>476</v>
      </c>
      <c r="H306" s="45" t="s">
        <v>477</v>
      </c>
      <c r="I306" s="45" t="s">
        <v>478</v>
      </c>
      <c r="J306" s="45" t="s">
        <v>479</v>
      </c>
      <c r="K306" s="45" t="s">
        <v>480</v>
      </c>
      <c r="M306" s="47" t="s">
        <v>481</v>
      </c>
      <c r="N306" s="47" t="s">
        <v>482</v>
      </c>
      <c r="P306" s="45" t="s">
        <v>483</v>
      </c>
      <c r="R306" s="48" t="s">
        <v>484</v>
      </c>
      <c r="S306" s="48" t="s">
        <v>466</v>
      </c>
      <c r="T306" s="48" t="s">
        <v>485</v>
      </c>
    </row>
    <row r="307" spans="1:30" ht="12.75" customHeight="1" x14ac:dyDescent="0.25">
      <c r="A307" s="49">
        <v>161</v>
      </c>
      <c r="B307" s="50">
        <v>32</v>
      </c>
      <c r="C307" s="50" t="str">
        <f t="shared" si="59"/>
        <v>161-32</v>
      </c>
      <c r="D307" s="51" t="s">
        <v>293</v>
      </c>
      <c r="E307" s="52">
        <v>515.99</v>
      </c>
      <c r="G307" s="52">
        <v>0</v>
      </c>
      <c r="H307" s="52">
        <v>0</v>
      </c>
      <c r="I307" s="52">
        <v>0</v>
      </c>
      <c r="K307" s="52">
        <f t="shared" ref="K307:K317" si="67">SUM(E307:J307)</f>
        <v>515.99</v>
      </c>
      <c r="M307" s="52"/>
      <c r="N307" s="53">
        <f t="shared" ref="N307:N317" si="68">IFERROR(K307/M307,)</f>
        <v>0</v>
      </c>
      <c r="P307" s="52">
        <v>230000</v>
      </c>
      <c r="R307" s="54">
        <v>0</v>
      </c>
      <c r="S307" s="54">
        <f>R307*25%</f>
        <v>0</v>
      </c>
      <c r="T307" s="54">
        <f>IF(N307&gt;1,K307*0.5%,0)</f>
        <v>0</v>
      </c>
    </row>
    <row r="308" spans="1:30" s="65" customFormat="1" ht="12.75" customHeight="1" x14ac:dyDescent="0.25">
      <c r="A308" s="61">
        <v>161</v>
      </c>
      <c r="B308" s="62">
        <v>44</v>
      </c>
      <c r="C308" s="62" t="str">
        <f t="shared" si="59"/>
        <v>161-44</v>
      </c>
      <c r="D308" s="63" t="s">
        <v>528</v>
      </c>
      <c r="E308" s="64">
        <v>11652.63</v>
      </c>
      <c r="F308" s="64"/>
      <c r="G308" s="64">
        <v>0</v>
      </c>
      <c r="H308" s="64">
        <v>0</v>
      </c>
      <c r="I308" s="64">
        <v>0</v>
      </c>
      <c r="J308" s="64"/>
      <c r="K308" s="64">
        <f t="shared" si="67"/>
        <v>11652.63</v>
      </c>
      <c r="M308" s="64">
        <v>42000</v>
      </c>
      <c r="N308" s="66">
        <f t="shared" si="68"/>
        <v>0.2774435714285714</v>
      </c>
      <c r="R308" s="67">
        <v>0</v>
      </c>
      <c r="S308" s="67">
        <f>R308*25%</f>
        <v>0</v>
      </c>
      <c r="T308" s="67">
        <f>IF(N308&gt;1,K308*0.5%,0)</f>
        <v>0</v>
      </c>
      <c r="U308" s="208" t="s">
        <v>515</v>
      </c>
      <c r="AA308" s="208"/>
      <c r="AB308" s="208"/>
      <c r="AD308" s="208"/>
    </row>
    <row r="309" spans="1:30" ht="12.75" customHeight="1" x14ac:dyDescent="0.25">
      <c r="A309" s="49">
        <v>161</v>
      </c>
      <c r="B309" s="50">
        <v>49</v>
      </c>
      <c r="C309" s="50" t="str">
        <f t="shared" si="59"/>
        <v>161-49</v>
      </c>
      <c r="D309" s="51" t="s">
        <v>529</v>
      </c>
      <c r="E309" s="52">
        <v>74531.97</v>
      </c>
      <c r="G309" s="52">
        <v>0</v>
      </c>
      <c r="H309" s="52">
        <v>0</v>
      </c>
      <c r="I309" s="52">
        <v>0</v>
      </c>
      <c r="K309" s="52">
        <f t="shared" si="67"/>
        <v>74531.97</v>
      </c>
      <c r="M309" s="52">
        <v>70400</v>
      </c>
      <c r="N309" s="53">
        <f t="shared" si="68"/>
        <v>1.0586927556818182</v>
      </c>
      <c r="R309" s="54">
        <f>(K309*3.2%)</f>
        <v>2385.02304</v>
      </c>
      <c r="S309" s="54">
        <f>R309*25%</f>
        <v>596.25576000000001</v>
      </c>
      <c r="T309" s="54">
        <f>IF(N309&gt;1,K309*0.5%,0)</f>
        <v>372.65985000000001</v>
      </c>
    </row>
    <row r="310" spans="1:30" ht="12.75" customHeight="1" x14ac:dyDescent="0.25">
      <c r="A310" s="49">
        <v>161</v>
      </c>
      <c r="B310" s="50">
        <v>51</v>
      </c>
      <c r="C310" s="50" t="str">
        <f t="shared" si="59"/>
        <v>161-51</v>
      </c>
      <c r="D310" s="51" t="s">
        <v>301</v>
      </c>
      <c r="E310" s="52">
        <v>76645.03</v>
      </c>
      <c r="G310" s="52">
        <v>0</v>
      </c>
      <c r="H310" s="52">
        <v>0</v>
      </c>
      <c r="I310" s="52">
        <v>0</v>
      </c>
      <c r="K310" s="52">
        <f t="shared" si="67"/>
        <v>76645.03</v>
      </c>
      <c r="M310" s="52">
        <v>70400</v>
      </c>
      <c r="N310" s="53">
        <f t="shared" si="68"/>
        <v>1.0887078125</v>
      </c>
      <c r="R310" s="54">
        <f>(K310*3.2%)</f>
        <v>2452.6409600000002</v>
      </c>
      <c r="S310" s="54">
        <f>R310*25%</f>
        <v>613.16024000000004</v>
      </c>
      <c r="T310" s="54">
        <f>IF(N310&gt;1,K310*0.5%,0)</f>
        <v>383.22514999999999</v>
      </c>
    </row>
    <row r="311" spans="1:30" ht="12.75" customHeight="1" x14ac:dyDescent="0.25">
      <c r="A311" s="49">
        <v>161</v>
      </c>
      <c r="B311" s="50">
        <v>52</v>
      </c>
      <c r="C311" s="50" t="str">
        <f t="shared" si="59"/>
        <v>161-52</v>
      </c>
      <c r="D311" s="51" t="s">
        <v>303</v>
      </c>
      <c r="E311" s="52">
        <v>27029.94</v>
      </c>
      <c r="G311" s="52">
        <v>0</v>
      </c>
      <c r="H311" s="52">
        <v>0</v>
      </c>
      <c r="I311" s="52">
        <v>0</v>
      </c>
      <c r="K311" s="52">
        <f t="shared" si="67"/>
        <v>27029.94</v>
      </c>
      <c r="M311" s="52">
        <v>70400</v>
      </c>
      <c r="N311" s="53">
        <f t="shared" si="68"/>
        <v>0.38394801136363632</v>
      </c>
      <c r="R311" s="54">
        <f>(K311*3.2%)</f>
        <v>864.95808</v>
      </c>
      <c r="S311" s="54">
        <f>R311*25%</f>
        <v>216.23952</v>
      </c>
      <c r="T311" s="54">
        <f>IF(N311&gt;1,K311*0.5%,0)</f>
        <v>0</v>
      </c>
    </row>
    <row r="312" spans="1:30" ht="12.75" customHeight="1" x14ac:dyDescent="0.25">
      <c r="A312" s="49">
        <v>161</v>
      </c>
      <c r="B312" s="50"/>
      <c r="C312" s="50" t="str">
        <f t="shared" si="59"/>
        <v>161-</v>
      </c>
      <c r="D312" s="51"/>
      <c r="E312" s="52">
        <v>0</v>
      </c>
      <c r="G312" s="52">
        <v>0</v>
      </c>
      <c r="H312" s="52">
        <v>0</v>
      </c>
      <c r="I312" s="52">
        <v>0</v>
      </c>
      <c r="K312" s="52">
        <f t="shared" si="67"/>
        <v>0</v>
      </c>
      <c r="M312" s="52"/>
      <c r="N312" s="53">
        <f t="shared" si="68"/>
        <v>0</v>
      </c>
      <c r="R312" s="70">
        <f>SUM(R307:R311)</f>
        <v>5702.622080000001</v>
      </c>
      <c r="S312" s="70">
        <f>SUM(S307:S311)</f>
        <v>1425.6555200000003</v>
      </c>
      <c r="T312" s="70">
        <f>SUM(T307:T311)</f>
        <v>755.88499999999999</v>
      </c>
    </row>
    <row r="313" spans="1:30" ht="12.75" customHeight="1" x14ac:dyDescent="0.25">
      <c r="A313" s="49">
        <v>161</v>
      </c>
      <c r="B313" s="50"/>
      <c r="C313" s="50" t="str">
        <f t="shared" si="59"/>
        <v>161-</v>
      </c>
      <c r="D313" s="51"/>
      <c r="E313" s="52">
        <v>0</v>
      </c>
      <c r="G313" s="52">
        <v>0</v>
      </c>
      <c r="H313" s="52">
        <v>0</v>
      </c>
      <c r="I313" s="52">
        <v>0</v>
      </c>
      <c r="K313" s="52">
        <f t="shared" si="67"/>
        <v>0</v>
      </c>
      <c r="M313" s="52"/>
      <c r="N313" s="53">
        <f t="shared" si="68"/>
        <v>0</v>
      </c>
    </row>
    <row r="314" spans="1:30" ht="12.75" customHeight="1" x14ac:dyDescent="0.25">
      <c r="A314" s="49">
        <v>161</v>
      </c>
      <c r="B314" s="50"/>
      <c r="C314" s="50" t="str">
        <f t="shared" si="59"/>
        <v>161-</v>
      </c>
      <c r="D314" s="51"/>
      <c r="E314" s="52">
        <v>0</v>
      </c>
      <c r="G314" s="52">
        <v>0</v>
      </c>
      <c r="H314" s="52">
        <v>0</v>
      </c>
      <c r="I314" s="52">
        <v>0</v>
      </c>
      <c r="K314" s="52">
        <f t="shared" si="67"/>
        <v>0</v>
      </c>
      <c r="M314" s="52"/>
      <c r="N314" s="53">
        <f t="shared" si="68"/>
        <v>0</v>
      </c>
    </row>
    <row r="315" spans="1:30" ht="12.75" customHeight="1" x14ac:dyDescent="0.25">
      <c r="A315" s="49">
        <v>161</v>
      </c>
      <c r="B315" s="50"/>
      <c r="C315" s="50" t="str">
        <f t="shared" si="59"/>
        <v>161-</v>
      </c>
      <c r="D315" s="51"/>
      <c r="E315" s="52">
        <v>0</v>
      </c>
      <c r="G315" s="52">
        <v>0</v>
      </c>
      <c r="H315" s="52">
        <v>0</v>
      </c>
      <c r="I315" s="52">
        <v>0</v>
      </c>
      <c r="K315" s="52">
        <f t="shared" si="67"/>
        <v>0</v>
      </c>
      <c r="M315" s="52"/>
      <c r="N315" s="53">
        <f t="shared" si="68"/>
        <v>0</v>
      </c>
    </row>
    <row r="316" spans="1:30" ht="12.75" customHeight="1" x14ac:dyDescent="0.25">
      <c r="A316" s="49">
        <v>161</v>
      </c>
      <c r="B316" s="50"/>
      <c r="C316" s="50" t="str">
        <f t="shared" si="59"/>
        <v>161-</v>
      </c>
      <c r="D316" s="51"/>
      <c r="E316" s="52">
        <v>0</v>
      </c>
      <c r="G316" s="52">
        <v>0</v>
      </c>
      <c r="H316" s="52">
        <v>0</v>
      </c>
      <c r="I316" s="52">
        <v>0</v>
      </c>
      <c r="K316" s="52">
        <f t="shared" si="67"/>
        <v>0</v>
      </c>
      <c r="M316" s="52"/>
      <c r="N316" s="53">
        <f t="shared" si="68"/>
        <v>0</v>
      </c>
    </row>
    <row r="317" spans="1:30" ht="12.75" customHeight="1" x14ac:dyDescent="0.25">
      <c r="A317" s="49">
        <v>161</v>
      </c>
      <c r="B317" s="50"/>
      <c r="C317" s="50" t="str">
        <f t="shared" si="59"/>
        <v>161-</v>
      </c>
      <c r="D317" s="51"/>
      <c r="E317" s="52">
        <v>0</v>
      </c>
      <c r="G317" s="52">
        <v>0</v>
      </c>
      <c r="H317" s="52">
        <v>0</v>
      </c>
      <c r="I317" s="52">
        <v>0</v>
      </c>
      <c r="K317" s="52">
        <f t="shared" si="67"/>
        <v>0</v>
      </c>
      <c r="M317" s="52"/>
      <c r="N317" s="53">
        <f t="shared" si="68"/>
        <v>0</v>
      </c>
    </row>
    <row r="318" spans="1:30" ht="12.75" customHeight="1" x14ac:dyDescent="0.25">
      <c r="A318" s="57" t="s">
        <v>459</v>
      </c>
      <c r="B318" s="58"/>
      <c r="C318" s="50" t="str">
        <f t="shared" si="59"/>
        <v>Total-</v>
      </c>
      <c r="D318" s="57"/>
      <c r="E318" s="59">
        <v>190375.56</v>
      </c>
      <c r="F318" s="59">
        <v>0</v>
      </c>
      <c r="G318" s="59">
        <v>0</v>
      </c>
      <c r="H318" s="59">
        <v>0</v>
      </c>
      <c r="I318" s="59">
        <v>0</v>
      </c>
      <c r="J318" s="59">
        <v>0</v>
      </c>
      <c r="K318" s="59">
        <f>SUM(K307:K317)</f>
        <v>190375.56</v>
      </c>
      <c r="M318" s="59">
        <f>SUM(M307:M317)</f>
        <v>253200</v>
      </c>
    </row>
    <row r="319" spans="1:30" ht="12.75" customHeight="1" x14ac:dyDescent="0.25">
      <c r="C319" s="50" t="str">
        <f t="shared" si="59"/>
        <v>-</v>
      </c>
    </row>
    <row r="320" spans="1:30" ht="12.75" customHeight="1" x14ac:dyDescent="0.25">
      <c r="C320" s="50" t="str">
        <f t="shared" si="59"/>
        <v>-</v>
      </c>
    </row>
    <row r="321" spans="1:20" ht="12.75" customHeight="1" x14ac:dyDescent="0.25">
      <c r="C321" s="50" t="str">
        <f t="shared" si="59"/>
        <v>-</v>
      </c>
    </row>
    <row r="322" spans="1:20" ht="12.75" customHeight="1" x14ac:dyDescent="0.25">
      <c r="C322" s="50" t="str">
        <f t="shared" si="59"/>
        <v>-</v>
      </c>
    </row>
    <row r="323" spans="1:20" ht="12.75" customHeight="1" x14ac:dyDescent="0.25">
      <c r="C323" s="50" t="str">
        <f t="shared" si="59"/>
        <v>-</v>
      </c>
    </row>
    <row r="324" spans="1:20" ht="12.75" customHeight="1" x14ac:dyDescent="0.25">
      <c r="A324" s="44" t="s">
        <v>454</v>
      </c>
      <c r="B324" s="45" t="s">
        <v>472</v>
      </c>
      <c r="C324" s="50" t="str">
        <f t="shared" ref="C324:C387" si="69">CONCATENATE(A324,"-",B324)</f>
        <v>Loja-Cod</v>
      </c>
      <c r="D324" s="44" t="s">
        <v>473</v>
      </c>
      <c r="E324" s="45" t="s">
        <v>474</v>
      </c>
      <c r="F324" s="45" t="s">
        <v>475</v>
      </c>
      <c r="G324" s="45" t="s">
        <v>476</v>
      </c>
      <c r="H324" s="45" t="s">
        <v>477</v>
      </c>
      <c r="I324" s="45" t="s">
        <v>478</v>
      </c>
      <c r="J324" s="45" t="s">
        <v>479</v>
      </c>
      <c r="K324" s="45" t="s">
        <v>480</v>
      </c>
      <c r="M324" s="47" t="s">
        <v>481</v>
      </c>
      <c r="N324" s="47" t="s">
        <v>482</v>
      </c>
      <c r="P324" s="45" t="s">
        <v>483</v>
      </c>
      <c r="R324" s="48" t="s">
        <v>484</v>
      </c>
      <c r="S324" s="48" t="s">
        <v>466</v>
      </c>
      <c r="T324" s="48" t="s">
        <v>485</v>
      </c>
    </row>
    <row r="325" spans="1:20" ht="12.75" customHeight="1" x14ac:dyDescent="0.25">
      <c r="A325" s="49">
        <v>166</v>
      </c>
      <c r="B325" s="50">
        <v>1</v>
      </c>
      <c r="C325" s="50" t="str">
        <f t="shared" si="69"/>
        <v>166-1</v>
      </c>
      <c r="D325" s="51" t="s">
        <v>305</v>
      </c>
      <c r="E325" s="52">
        <v>2015.94</v>
      </c>
      <c r="G325" s="52">
        <v>0</v>
      </c>
      <c r="H325" s="52">
        <v>0</v>
      </c>
      <c r="I325" s="52">
        <v>0</v>
      </c>
      <c r="K325" s="52">
        <f t="shared" ref="K325:K335" si="70">SUM(E325:J325)</f>
        <v>2015.94</v>
      </c>
      <c r="M325" s="52"/>
      <c r="N325" s="53">
        <f t="shared" ref="N325:N335" si="71">IFERROR(K325/M325,)</f>
        <v>0</v>
      </c>
      <c r="P325" s="52">
        <v>250000</v>
      </c>
      <c r="R325" s="54">
        <v>0</v>
      </c>
      <c r="S325" s="54">
        <f>R325*25%</f>
        <v>0</v>
      </c>
      <c r="T325" s="54"/>
    </row>
    <row r="326" spans="1:20" ht="12.75" customHeight="1" x14ac:dyDescent="0.25">
      <c r="A326" s="49">
        <v>166</v>
      </c>
      <c r="B326" s="50">
        <v>8</v>
      </c>
      <c r="C326" s="50" t="str">
        <f t="shared" si="69"/>
        <v>166-8</v>
      </c>
      <c r="D326" s="51" t="s">
        <v>307</v>
      </c>
      <c r="E326" s="52">
        <v>60859.88</v>
      </c>
      <c r="G326" s="52">
        <v>0</v>
      </c>
      <c r="H326" s="52">
        <v>0</v>
      </c>
      <c r="I326" s="52">
        <v>0</v>
      </c>
      <c r="K326" s="52">
        <f t="shared" si="70"/>
        <v>60859.88</v>
      </c>
      <c r="M326" s="52">
        <v>68750</v>
      </c>
      <c r="N326" s="53">
        <f t="shared" si="71"/>
        <v>0.88523461818181814</v>
      </c>
      <c r="R326" s="54">
        <f>(K326*3.2%)</f>
        <v>1947.5161599999999</v>
      </c>
      <c r="S326" s="54">
        <f>R326*25%</f>
        <v>486.87903999999997</v>
      </c>
      <c r="T326" s="54"/>
    </row>
    <row r="327" spans="1:20" ht="12.75" customHeight="1" x14ac:dyDescent="0.25">
      <c r="A327" s="49">
        <v>166</v>
      </c>
      <c r="B327" s="50">
        <v>22</v>
      </c>
      <c r="C327" s="50" t="str">
        <f t="shared" si="69"/>
        <v>166-22</v>
      </c>
      <c r="D327" s="51" t="s">
        <v>309</v>
      </c>
      <c r="E327" s="52">
        <v>61698.34</v>
      </c>
      <c r="G327" s="52">
        <v>0</v>
      </c>
      <c r="H327" s="52">
        <v>0</v>
      </c>
      <c r="I327" s="52">
        <v>0</v>
      </c>
      <c r="K327" s="52">
        <f t="shared" si="70"/>
        <v>61698.34</v>
      </c>
      <c r="M327" s="52">
        <v>68750</v>
      </c>
      <c r="N327" s="53">
        <f t="shared" si="71"/>
        <v>0.89743039999999996</v>
      </c>
      <c r="R327" s="54">
        <f>(K327*3.2%)</f>
        <v>1974.3468799999998</v>
      </c>
      <c r="S327" s="54">
        <f>R327*25%</f>
        <v>493.58671999999996</v>
      </c>
      <c r="T327" s="54"/>
    </row>
    <row r="328" spans="1:20" ht="12.75" customHeight="1" x14ac:dyDescent="0.25">
      <c r="A328" s="49">
        <v>166</v>
      </c>
      <c r="B328" s="50">
        <v>34</v>
      </c>
      <c r="C328" s="50" t="str">
        <f t="shared" si="69"/>
        <v>166-34</v>
      </c>
      <c r="D328" s="51" t="s">
        <v>311</v>
      </c>
      <c r="E328" s="52">
        <v>58005.34</v>
      </c>
      <c r="G328" s="52">
        <v>0</v>
      </c>
      <c r="H328" s="52">
        <v>0</v>
      </c>
      <c r="I328" s="52">
        <v>0</v>
      </c>
      <c r="K328" s="52">
        <f t="shared" si="70"/>
        <v>58005.34</v>
      </c>
      <c r="M328" s="52">
        <v>68750</v>
      </c>
      <c r="N328" s="53">
        <f t="shared" si="71"/>
        <v>0.84371403636363629</v>
      </c>
      <c r="R328" s="54">
        <f>(K328*3.2%)</f>
        <v>1856.1708799999999</v>
      </c>
      <c r="S328" s="54">
        <f>R328*25%</f>
        <v>464.04271999999997</v>
      </c>
      <c r="T328" s="54"/>
    </row>
    <row r="329" spans="1:20" ht="12.75" customHeight="1" x14ac:dyDescent="0.25">
      <c r="A329" s="49">
        <v>166</v>
      </c>
      <c r="B329" s="50">
        <v>39</v>
      </c>
      <c r="C329" s="50" t="str">
        <f t="shared" si="69"/>
        <v>166-39</v>
      </c>
      <c r="D329" s="51" t="s">
        <v>530</v>
      </c>
      <c r="E329" s="52">
        <v>36364.94</v>
      </c>
      <c r="G329" s="52">
        <v>0</v>
      </c>
      <c r="H329" s="52">
        <v>0</v>
      </c>
      <c r="I329" s="52">
        <v>0</v>
      </c>
      <c r="K329" s="52">
        <f t="shared" si="70"/>
        <v>36364.94</v>
      </c>
      <c r="M329" s="52">
        <v>68750</v>
      </c>
      <c r="N329" s="53">
        <f t="shared" si="71"/>
        <v>0.52894458181818182</v>
      </c>
      <c r="R329" s="54">
        <f>(K329*3.2%)</f>
        <v>1163.6780800000001</v>
      </c>
      <c r="S329" s="54">
        <f>R329*25%</f>
        <v>290.91952000000003</v>
      </c>
      <c r="T329" s="54"/>
    </row>
    <row r="330" spans="1:20" ht="12.75" customHeight="1" x14ac:dyDescent="0.25">
      <c r="A330" s="49">
        <v>166</v>
      </c>
      <c r="B330" s="50"/>
      <c r="C330" s="50" t="str">
        <f t="shared" si="69"/>
        <v>166-</v>
      </c>
      <c r="D330" s="51"/>
      <c r="E330" s="52">
        <v>0</v>
      </c>
      <c r="G330" s="52">
        <v>0</v>
      </c>
      <c r="H330" s="52">
        <v>0</v>
      </c>
      <c r="I330" s="52">
        <v>0</v>
      </c>
      <c r="K330" s="52">
        <f t="shared" si="70"/>
        <v>0</v>
      </c>
      <c r="M330" s="52"/>
      <c r="N330" s="53">
        <f t="shared" si="71"/>
        <v>0</v>
      </c>
      <c r="R330" s="71"/>
      <c r="S330" s="71"/>
      <c r="T330" s="71"/>
    </row>
    <row r="331" spans="1:20" ht="12.75" customHeight="1" x14ac:dyDescent="0.25">
      <c r="A331" s="49">
        <v>166</v>
      </c>
      <c r="B331" s="50"/>
      <c r="C331" s="50" t="str">
        <f t="shared" si="69"/>
        <v>166-</v>
      </c>
      <c r="D331" s="51"/>
      <c r="E331" s="52">
        <v>0</v>
      </c>
      <c r="G331" s="52">
        <v>0</v>
      </c>
      <c r="H331" s="52">
        <v>0</v>
      </c>
      <c r="I331" s="52">
        <v>0</v>
      </c>
      <c r="K331" s="52">
        <f t="shared" si="70"/>
        <v>0</v>
      </c>
      <c r="M331" s="52"/>
      <c r="N331" s="53">
        <f t="shared" si="71"/>
        <v>0</v>
      </c>
      <c r="R331" s="56">
        <f>SUM(R325:R330)</f>
        <v>6941.7119999999995</v>
      </c>
      <c r="S331" s="56">
        <f>SUM(S325:S330)</f>
        <v>1735.4279999999999</v>
      </c>
      <c r="T331" s="56">
        <f>SUM(T325:T330)</f>
        <v>0</v>
      </c>
    </row>
    <row r="332" spans="1:20" ht="12.75" customHeight="1" x14ac:dyDescent="0.25">
      <c r="A332" s="49">
        <v>166</v>
      </c>
      <c r="B332" s="50"/>
      <c r="C332" s="50" t="str">
        <f t="shared" si="69"/>
        <v>166-</v>
      </c>
      <c r="D332" s="51"/>
      <c r="E332" s="52">
        <v>0</v>
      </c>
      <c r="G332" s="52">
        <v>0</v>
      </c>
      <c r="H332" s="52">
        <v>0</v>
      </c>
      <c r="I332" s="52">
        <v>0</v>
      </c>
      <c r="K332" s="52">
        <f t="shared" si="70"/>
        <v>0</v>
      </c>
      <c r="M332" s="52"/>
      <c r="N332" s="53">
        <f t="shared" si="71"/>
        <v>0</v>
      </c>
    </row>
    <row r="333" spans="1:20" ht="12.75" customHeight="1" x14ac:dyDescent="0.25">
      <c r="A333" s="49">
        <v>166</v>
      </c>
      <c r="B333" s="50"/>
      <c r="C333" s="50" t="str">
        <f t="shared" si="69"/>
        <v>166-</v>
      </c>
      <c r="D333" s="51"/>
      <c r="E333" s="52">
        <v>0</v>
      </c>
      <c r="G333" s="52">
        <v>0</v>
      </c>
      <c r="H333" s="52">
        <v>0</v>
      </c>
      <c r="I333" s="52">
        <v>0</v>
      </c>
      <c r="K333" s="52">
        <f t="shared" si="70"/>
        <v>0</v>
      </c>
      <c r="M333" s="52"/>
      <c r="N333" s="53">
        <f t="shared" si="71"/>
        <v>0</v>
      </c>
    </row>
    <row r="334" spans="1:20" ht="12.75" customHeight="1" x14ac:dyDescent="0.25">
      <c r="A334" s="49">
        <v>166</v>
      </c>
      <c r="B334" s="50"/>
      <c r="C334" s="50" t="str">
        <f t="shared" si="69"/>
        <v>166-</v>
      </c>
      <c r="D334" s="51"/>
      <c r="E334" s="52">
        <v>0</v>
      </c>
      <c r="G334" s="52">
        <v>0</v>
      </c>
      <c r="H334" s="52">
        <v>0</v>
      </c>
      <c r="I334" s="52">
        <v>0</v>
      </c>
      <c r="K334" s="52">
        <f t="shared" si="70"/>
        <v>0</v>
      </c>
      <c r="M334" s="52"/>
      <c r="N334" s="53">
        <f t="shared" si="71"/>
        <v>0</v>
      </c>
    </row>
    <row r="335" spans="1:20" ht="12.75" customHeight="1" x14ac:dyDescent="0.25">
      <c r="A335" s="49">
        <v>166</v>
      </c>
      <c r="B335" s="50"/>
      <c r="C335" s="50" t="str">
        <f t="shared" si="69"/>
        <v>166-</v>
      </c>
      <c r="D335" s="51"/>
      <c r="E335" s="52">
        <v>0</v>
      </c>
      <c r="G335" s="52">
        <v>0</v>
      </c>
      <c r="H335" s="52">
        <v>0</v>
      </c>
      <c r="I335" s="52">
        <v>0</v>
      </c>
      <c r="K335" s="52">
        <f t="shared" si="70"/>
        <v>0</v>
      </c>
      <c r="M335" s="52"/>
      <c r="N335" s="53">
        <f t="shared" si="71"/>
        <v>0</v>
      </c>
    </row>
    <row r="336" spans="1:20" ht="12.75" customHeight="1" x14ac:dyDescent="0.25">
      <c r="A336" s="57" t="s">
        <v>459</v>
      </c>
      <c r="B336" s="58"/>
      <c r="C336" s="50" t="str">
        <f t="shared" si="69"/>
        <v>Total-</v>
      </c>
      <c r="D336" s="57"/>
      <c r="E336" s="59">
        <v>218944.44</v>
      </c>
      <c r="F336" s="59">
        <v>0</v>
      </c>
      <c r="G336" s="59">
        <v>0</v>
      </c>
      <c r="H336" s="59">
        <v>0</v>
      </c>
      <c r="I336" s="59">
        <v>0</v>
      </c>
      <c r="J336" s="59">
        <v>0</v>
      </c>
      <c r="K336" s="59">
        <f>SUM(K325:K335)</f>
        <v>218944.44</v>
      </c>
      <c r="M336" s="59">
        <f>SUM(M325:M335)</f>
        <v>275000</v>
      </c>
    </row>
    <row r="337" spans="1:20" ht="12.75" customHeight="1" x14ac:dyDescent="0.25">
      <c r="C337" s="50" t="str">
        <f t="shared" si="69"/>
        <v>-</v>
      </c>
    </row>
    <row r="338" spans="1:20" ht="12.75" customHeight="1" x14ac:dyDescent="0.25">
      <c r="C338" s="50" t="str">
        <f t="shared" si="69"/>
        <v>-</v>
      </c>
    </row>
    <row r="339" spans="1:20" ht="12.75" customHeight="1" x14ac:dyDescent="0.25">
      <c r="C339" s="50" t="str">
        <f t="shared" si="69"/>
        <v>-</v>
      </c>
    </row>
    <row r="340" spans="1:20" ht="12.75" customHeight="1" x14ac:dyDescent="0.25">
      <c r="C340" s="50" t="str">
        <f t="shared" si="69"/>
        <v>-</v>
      </c>
    </row>
    <row r="341" spans="1:20" ht="12.75" customHeight="1" x14ac:dyDescent="0.25">
      <c r="C341" s="50" t="str">
        <f t="shared" si="69"/>
        <v>-</v>
      </c>
    </row>
    <row r="342" spans="1:20" ht="12.75" customHeight="1" x14ac:dyDescent="0.25">
      <c r="C342" s="50" t="str">
        <f t="shared" si="69"/>
        <v>-</v>
      </c>
    </row>
    <row r="343" spans="1:20" ht="12.75" customHeight="1" x14ac:dyDescent="0.25">
      <c r="A343" s="44" t="s">
        <v>454</v>
      </c>
      <c r="B343" s="45" t="s">
        <v>472</v>
      </c>
      <c r="C343" s="50" t="str">
        <f t="shared" si="69"/>
        <v>Loja-Cod</v>
      </c>
      <c r="D343" s="44" t="s">
        <v>473</v>
      </c>
      <c r="E343" s="45" t="s">
        <v>474</v>
      </c>
      <c r="F343" s="45" t="s">
        <v>475</v>
      </c>
      <c r="G343" s="45" t="s">
        <v>476</v>
      </c>
      <c r="H343" s="45" t="s">
        <v>477</v>
      </c>
      <c r="I343" s="45" t="s">
        <v>478</v>
      </c>
      <c r="J343" s="45" t="s">
        <v>479</v>
      </c>
      <c r="K343" s="45" t="s">
        <v>480</v>
      </c>
      <c r="M343" s="47" t="s">
        <v>481</v>
      </c>
      <c r="N343" s="47" t="s">
        <v>482</v>
      </c>
      <c r="P343" s="45" t="s">
        <v>483</v>
      </c>
      <c r="R343" s="48" t="s">
        <v>484</v>
      </c>
      <c r="S343" s="48" t="s">
        <v>466</v>
      </c>
      <c r="T343" s="48" t="s">
        <v>485</v>
      </c>
    </row>
    <row r="344" spans="1:20" ht="12.75" customHeight="1" x14ac:dyDescent="0.25">
      <c r="A344" s="49">
        <v>169</v>
      </c>
      <c r="B344" s="50">
        <v>1</v>
      </c>
      <c r="C344" s="50" t="str">
        <f t="shared" si="69"/>
        <v>169-1</v>
      </c>
      <c r="D344" s="51" t="s">
        <v>315</v>
      </c>
      <c r="E344" s="52">
        <v>78275.820000000007</v>
      </c>
      <c r="G344" s="52">
        <v>0</v>
      </c>
      <c r="H344" s="52">
        <v>0</v>
      </c>
      <c r="I344" s="52">
        <v>0</v>
      </c>
      <c r="K344" s="52">
        <f t="shared" ref="K344:K354" si="72">SUM(E344:J344)</f>
        <v>78275.820000000007</v>
      </c>
      <c r="M344" s="52">
        <v>62334</v>
      </c>
      <c r="N344" s="53">
        <f t="shared" ref="N344:N354" si="73">IFERROR(K344/M344,)</f>
        <v>1.2557483877177786</v>
      </c>
      <c r="P344" s="52">
        <v>340000</v>
      </c>
      <c r="R344" s="54">
        <f t="shared" ref="R344:R349" si="74">(K344*3.2%)</f>
        <v>2504.8262400000003</v>
      </c>
      <c r="S344" s="54">
        <f>R344*25%</f>
        <v>626.20656000000008</v>
      </c>
      <c r="T344" s="54">
        <f>IF(N344&gt;1,K344*0.5%,0)</f>
        <v>391.37910000000005</v>
      </c>
    </row>
    <row r="345" spans="1:20" ht="12.75" customHeight="1" x14ac:dyDescent="0.25">
      <c r="A345" s="49">
        <v>169</v>
      </c>
      <c r="B345" s="50">
        <v>7</v>
      </c>
      <c r="C345" s="50" t="str">
        <f t="shared" si="69"/>
        <v>169-7</v>
      </c>
      <c r="D345" s="51" t="s">
        <v>317</v>
      </c>
      <c r="E345" s="52">
        <v>67242.2</v>
      </c>
      <c r="G345" s="52">
        <v>0</v>
      </c>
      <c r="H345" s="52">
        <v>1299.99</v>
      </c>
      <c r="I345" s="52">
        <v>0</v>
      </c>
      <c r="K345" s="52">
        <f t="shared" si="72"/>
        <v>68542.19</v>
      </c>
      <c r="M345" s="52">
        <v>62334</v>
      </c>
      <c r="N345" s="53">
        <f t="shared" si="73"/>
        <v>1.0995955658228254</v>
      </c>
      <c r="R345" s="54">
        <f t="shared" si="74"/>
        <v>2193.3500800000002</v>
      </c>
      <c r="S345" s="54">
        <f t="shared" ref="S345:S350" si="75">R345*25%</f>
        <v>548.33752000000004</v>
      </c>
      <c r="T345" s="54">
        <f t="shared" ref="T345:T350" si="76">IF(N345&gt;1,K345*0.5%,0)</f>
        <v>342.71095000000003</v>
      </c>
    </row>
    <row r="346" spans="1:20" ht="12.75" customHeight="1" x14ac:dyDescent="0.25">
      <c r="A346" s="49">
        <v>169</v>
      </c>
      <c r="B346" s="50">
        <v>31</v>
      </c>
      <c r="C346" s="50" t="str">
        <f t="shared" si="69"/>
        <v>169-31</v>
      </c>
      <c r="D346" s="51" t="s">
        <v>531</v>
      </c>
      <c r="E346" s="52">
        <v>47042.84</v>
      </c>
      <c r="G346" s="52">
        <v>0</v>
      </c>
      <c r="H346" s="52">
        <v>0</v>
      </c>
      <c r="I346" s="52">
        <v>0</v>
      </c>
      <c r="K346" s="52">
        <f t="shared" si="72"/>
        <v>47042.84</v>
      </c>
      <c r="M346" s="52">
        <v>62334</v>
      </c>
      <c r="N346" s="53">
        <f t="shared" si="73"/>
        <v>0.75468989636474471</v>
      </c>
      <c r="R346" s="54">
        <f t="shared" si="74"/>
        <v>1505.3708799999999</v>
      </c>
      <c r="S346" s="54">
        <f t="shared" si="75"/>
        <v>376.34271999999999</v>
      </c>
      <c r="T346" s="54">
        <f t="shared" si="76"/>
        <v>0</v>
      </c>
    </row>
    <row r="347" spans="1:20" ht="12.75" customHeight="1" x14ac:dyDescent="0.25">
      <c r="A347" s="49">
        <v>169</v>
      </c>
      <c r="B347" s="50">
        <v>37</v>
      </c>
      <c r="C347" s="50" t="str">
        <f t="shared" si="69"/>
        <v>169-37</v>
      </c>
      <c r="D347" s="51" t="s">
        <v>532</v>
      </c>
      <c r="E347" s="52">
        <v>70842.039999999994</v>
      </c>
      <c r="G347" s="52">
        <v>0</v>
      </c>
      <c r="H347" s="52">
        <v>0</v>
      </c>
      <c r="I347" s="52">
        <v>0</v>
      </c>
      <c r="K347" s="52">
        <f t="shared" si="72"/>
        <v>70842.039999999994</v>
      </c>
      <c r="M347" s="52">
        <v>62334</v>
      </c>
      <c r="N347" s="53">
        <f t="shared" si="73"/>
        <v>1.1364911605223473</v>
      </c>
      <c r="R347" s="54">
        <f t="shared" si="74"/>
        <v>2266.9452799999999</v>
      </c>
      <c r="S347" s="54">
        <f t="shared" si="75"/>
        <v>566.73631999999998</v>
      </c>
      <c r="T347" s="54">
        <f t="shared" si="76"/>
        <v>354.21019999999999</v>
      </c>
    </row>
    <row r="348" spans="1:20" ht="12.75" customHeight="1" x14ac:dyDescent="0.25">
      <c r="A348" s="49">
        <v>169</v>
      </c>
      <c r="B348" s="50">
        <v>38</v>
      </c>
      <c r="C348" s="50" t="str">
        <f t="shared" si="69"/>
        <v>169-38</v>
      </c>
      <c r="D348" s="51" t="s">
        <v>533</v>
      </c>
      <c r="E348" s="52">
        <v>56503.69</v>
      </c>
      <c r="G348" s="52">
        <v>0</v>
      </c>
      <c r="H348" s="52">
        <v>0</v>
      </c>
      <c r="I348" s="52">
        <v>0</v>
      </c>
      <c r="K348" s="52">
        <f t="shared" si="72"/>
        <v>56503.69</v>
      </c>
      <c r="M348" s="52">
        <v>62334</v>
      </c>
      <c r="N348" s="53">
        <f t="shared" si="73"/>
        <v>0.90646661533031736</v>
      </c>
      <c r="R348" s="54">
        <f t="shared" si="74"/>
        <v>1808.1180800000002</v>
      </c>
      <c r="S348" s="54">
        <f t="shared" si="75"/>
        <v>452.02952000000005</v>
      </c>
      <c r="T348" s="54">
        <f t="shared" si="76"/>
        <v>0</v>
      </c>
    </row>
    <row r="349" spans="1:20" ht="12.75" customHeight="1" x14ac:dyDescent="0.25">
      <c r="A349" s="49">
        <v>169</v>
      </c>
      <c r="B349" s="50">
        <v>41</v>
      </c>
      <c r="C349" s="50" t="str">
        <f t="shared" si="69"/>
        <v>169-41</v>
      </c>
      <c r="D349" s="51" t="s">
        <v>331</v>
      </c>
      <c r="E349" s="52">
        <v>53357.79</v>
      </c>
      <c r="G349" s="52">
        <v>0</v>
      </c>
      <c r="H349" s="52">
        <v>0</v>
      </c>
      <c r="I349" s="52">
        <v>0</v>
      </c>
      <c r="K349" s="52">
        <f t="shared" si="72"/>
        <v>53357.79</v>
      </c>
      <c r="M349" s="52">
        <v>62334</v>
      </c>
      <c r="N349" s="53">
        <f t="shared" si="73"/>
        <v>0.85599817114255461</v>
      </c>
      <c r="R349" s="54">
        <f t="shared" si="74"/>
        <v>1707.44928</v>
      </c>
      <c r="S349" s="54">
        <f t="shared" si="75"/>
        <v>426.86232000000001</v>
      </c>
      <c r="T349" s="54">
        <f t="shared" si="76"/>
        <v>0</v>
      </c>
    </row>
    <row r="350" spans="1:20" ht="12.75" customHeight="1" x14ac:dyDescent="0.25">
      <c r="A350" s="49">
        <v>169</v>
      </c>
      <c r="B350" s="50">
        <v>99</v>
      </c>
      <c r="C350" s="50" t="str">
        <f t="shared" si="69"/>
        <v>169-99</v>
      </c>
      <c r="D350" s="51" t="s">
        <v>534</v>
      </c>
      <c r="E350" s="52">
        <v>1234.93</v>
      </c>
      <c r="G350" s="52">
        <v>0</v>
      </c>
      <c r="H350" s="52">
        <v>0</v>
      </c>
      <c r="I350" s="52">
        <v>0</v>
      </c>
      <c r="K350" s="52">
        <f t="shared" si="72"/>
        <v>1234.93</v>
      </c>
      <c r="M350" s="52"/>
      <c r="N350" s="53">
        <f t="shared" si="73"/>
        <v>0</v>
      </c>
      <c r="R350" s="54">
        <v>0</v>
      </c>
      <c r="S350" s="54">
        <f t="shared" si="75"/>
        <v>0</v>
      </c>
      <c r="T350" s="54">
        <f t="shared" si="76"/>
        <v>0</v>
      </c>
    </row>
    <row r="351" spans="1:20" ht="12.75" customHeight="1" x14ac:dyDescent="0.25">
      <c r="A351" s="49">
        <v>169</v>
      </c>
      <c r="B351" s="50"/>
      <c r="C351" s="50" t="str">
        <f t="shared" si="69"/>
        <v>169-</v>
      </c>
      <c r="D351" s="51"/>
      <c r="E351" s="52">
        <v>0</v>
      </c>
      <c r="G351" s="52">
        <v>0</v>
      </c>
      <c r="H351" s="52">
        <v>0</v>
      </c>
      <c r="I351" s="52">
        <v>0</v>
      </c>
      <c r="K351" s="52">
        <f t="shared" si="72"/>
        <v>0</v>
      </c>
      <c r="M351" s="52"/>
      <c r="N351" s="53">
        <f t="shared" si="73"/>
        <v>0</v>
      </c>
      <c r="R351" s="56">
        <f>SUM(R344:R350)</f>
        <v>11986.059840000002</v>
      </c>
      <c r="S351" s="56">
        <f>SUM(S344:S350)</f>
        <v>2996.5149600000004</v>
      </c>
      <c r="T351" s="56">
        <f>SUM(T344:T350)</f>
        <v>1088.30025</v>
      </c>
    </row>
    <row r="352" spans="1:20" ht="12.75" customHeight="1" x14ac:dyDescent="0.25">
      <c r="A352" s="49">
        <v>169</v>
      </c>
      <c r="B352" s="50"/>
      <c r="C352" s="50" t="str">
        <f t="shared" si="69"/>
        <v>169-</v>
      </c>
      <c r="D352" s="51"/>
      <c r="E352" s="52">
        <v>0</v>
      </c>
      <c r="G352" s="52">
        <v>0</v>
      </c>
      <c r="H352" s="52">
        <v>0</v>
      </c>
      <c r="I352" s="52">
        <v>0</v>
      </c>
      <c r="K352" s="52">
        <f t="shared" si="72"/>
        <v>0</v>
      </c>
      <c r="M352" s="52"/>
      <c r="N352" s="53">
        <f t="shared" si="73"/>
        <v>0</v>
      </c>
    </row>
    <row r="353" spans="1:30" ht="12.75" customHeight="1" x14ac:dyDescent="0.25">
      <c r="A353" s="49">
        <v>169</v>
      </c>
      <c r="B353" s="50"/>
      <c r="C353" s="50" t="str">
        <f t="shared" si="69"/>
        <v>169-</v>
      </c>
      <c r="D353" s="51"/>
      <c r="E353" s="52">
        <v>0</v>
      </c>
      <c r="G353" s="52">
        <v>0</v>
      </c>
      <c r="H353" s="52">
        <v>0</v>
      </c>
      <c r="I353" s="52">
        <v>0</v>
      </c>
      <c r="K353" s="52">
        <f t="shared" si="72"/>
        <v>0</v>
      </c>
      <c r="M353" s="52"/>
      <c r="N353" s="53">
        <f t="shared" si="73"/>
        <v>0</v>
      </c>
    </row>
    <row r="354" spans="1:30" ht="12.75" customHeight="1" x14ac:dyDescent="0.25">
      <c r="A354" s="49">
        <v>169</v>
      </c>
      <c r="B354" s="50"/>
      <c r="C354" s="50" t="str">
        <f t="shared" si="69"/>
        <v>169-</v>
      </c>
      <c r="D354" s="51"/>
      <c r="E354" s="52">
        <v>0</v>
      </c>
      <c r="G354" s="52">
        <v>0</v>
      </c>
      <c r="H354" s="52">
        <v>0</v>
      </c>
      <c r="I354" s="52">
        <v>0</v>
      </c>
      <c r="K354" s="52">
        <f t="shared" si="72"/>
        <v>0</v>
      </c>
      <c r="M354" s="52"/>
      <c r="N354" s="53">
        <f t="shared" si="73"/>
        <v>0</v>
      </c>
    </row>
    <row r="355" spans="1:30" ht="12.75" customHeight="1" x14ac:dyDescent="0.25">
      <c r="A355" s="57" t="s">
        <v>459</v>
      </c>
      <c r="B355" s="58"/>
      <c r="C355" s="50" t="str">
        <f t="shared" si="69"/>
        <v>Total-</v>
      </c>
      <c r="D355" s="57"/>
      <c r="E355" s="59">
        <v>374499.31</v>
      </c>
      <c r="F355" s="59">
        <v>0</v>
      </c>
      <c r="G355" s="59">
        <v>0</v>
      </c>
      <c r="H355" s="59">
        <v>1299.99</v>
      </c>
      <c r="I355" s="59">
        <v>0</v>
      </c>
      <c r="J355" s="59">
        <v>0</v>
      </c>
      <c r="K355" s="59">
        <f>SUM(K344:K354)</f>
        <v>375799.3</v>
      </c>
      <c r="M355" s="59">
        <f>SUM(M344:M354)</f>
        <v>374004</v>
      </c>
    </row>
    <row r="356" spans="1:30" ht="12.75" customHeight="1" x14ac:dyDescent="0.25">
      <c r="C356" s="50" t="str">
        <f t="shared" si="69"/>
        <v>-</v>
      </c>
    </row>
    <row r="357" spans="1:30" ht="12.75" customHeight="1" x14ac:dyDescent="0.25">
      <c r="C357" s="50" t="str">
        <f t="shared" si="69"/>
        <v>-</v>
      </c>
    </row>
    <row r="358" spans="1:30" ht="12.75" customHeight="1" x14ac:dyDescent="0.25">
      <c r="C358" s="50" t="str">
        <f t="shared" si="69"/>
        <v>-</v>
      </c>
    </row>
    <row r="359" spans="1:30" ht="12.75" customHeight="1" x14ac:dyDescent="0.25">
      <c r="C359" s="50" t="str">
        <f t="shared" si="69"/>
        <v>-</v>
      </c>
    </row>
    <row r="360" spans="1:30" ht="12.75" customHeight="1" x14ac:dyDescent="0.25">
      <c r="C360" s="50" t="str">
        <f t="shared" si="69"/>
        <v>-</v>
      </c>
    </row>
    <row r="361" spans="1:30" ht="12.75" customHeight="1" x14ac:dyDescent="0.25">
      <c r="A361" s="44" t="s">
        <v>454</v>
      </c>
      <c r="B361" s="45" t="s">
        <v>472</v>
      </c>
      <c r="C361" s="50" t="str">
        <f t="shared" si="69"/>
        <v>Loja-Cod</v>
      </c>
      <c r="D361" s="44" t="s">
        <v>473</v>
      </c>
      <c r="E361" s="45" t="s">
        <v>474</v>
      </c>
      <c r="F361" s="45" t="s">
        <v>475</v>
      </c>
      <c r="G361" s="45" t="s">
        <v>476</v>
      </c>
      <c r="H361" s="45" t="s">
        <v>477</v>
      </c>
      <c r="I361" s="45" t="s">
        <v>478</v>
      </c>
      <c r="J361" s="45" t="s">
        <v>479</v>
      </c>
      <c r="K361" s="45" t="s">
        <v>480</v>
      </c>
      <c r="M361" s="47" t="s">
        <v>481</v>
      </c>
      <c r="N361" s="47" t="s">
        <v>482</v>
      </c>
      <c r="P361" s="45" t="s">
        <v>483</v>
      </c>
      <c r="R361" s="48" t="s">
        <v>484</v>
      </c>
      <c r="S361" s="48" t="s">
        <v>466</v>
      </c>
      <c r="T361" s="48" t="s">
        <v>485</v>
      </c>
    </row>
    <row r="362" spans="1:30" s="65" customFormat="1" ht="12.75" customHeight="1" x14ac:dyDescent="0.25">
      <c r="A362" s="61">
        <v>173</v>
      </c>
      <c r="B362" s="62">
        <v>23</v>
      </c>
      <c r="C362" s="62" t="str">
        <f t="shared" si="69"/>
        <v>173-23</v>
      </c>
      <c r="D362" s="63" t="s">
        <v>535</v>
      </c>
      <c r="E362" s="64">
        <v>62369.5</v>
      </c>
      <c r="F362" s="64"/>
      <c r="G362" s="64">
        <v>0</v>
      </c>
      <c r="H362" s="64">
        <v>0</v>
      </c>
      <c r="I362" s="64">
        <v>0</v>
      </c>
      <c r="J362" s="64"/>
      <c r="K362" s="64">
        <f t="shared" ref="K362:K372" si="77">SUM(E362:J362)</f>
        <v>62369.5</v>
      </c>
      <c r="M362" s="64">
        <v>61600</v>
      </c>
      <c r="N362" s="66">
        <f t="shared" ref="N362:N372" si="78">IFERROR(K362/M362,)</f>
        <v>1.0124918831168832</v>
      </c>
      <c r="P362" s="64">
        <v>280000</v>
      </c>
      <c r="R362" s="67">
        <v>0</v>
      </c>
      <c r="S362" s="67">
        <f t="shared" ref="S362:S367" si="79">R362*25%</f>
        <v>0</v>
      </c>
      <c r="T362" s="67">
        <v>0</v>
      </c>
      <c r="U362" s="208" t="s">
        <v>536</v>
      </c>
      <c r="AA362" s="208"/>
      <c r="AB362" s="208"/>
      <c r="AD362" s="208"/>
    </row>
    <row r="363" spans="1:30" ht="12.75" customHeight="1" x14ac:dyDescent="0.25">
      <c r="A363" s="49">
        <v>173</v>
      </c>
      <c r="B363" s="50">
        <v>26</v>
      </c>
      <c r="C363" s="50" t="str">
        <f t="shared" si="69"/>
        <v>173-26</v>
      </c>
      <c r="D363" s="51" t="s">
        <v>335</v>
      </c>
      <c r="E363" s="52">
        <v>65341.02</v>
      </c>
      <c r="G363" s="52">
        <v>0</v>
      </c>
      <c r="H363" s="52">
        <v>0</v>
      </c>
      <c r="I363" s="52">
        <v>549.99</v>
      </c>
      <c r="K363" s="52">
        <f t="shared" si="77"/>
        <v>65891.009999999995</v>
      </c>
      <c r="M363" s="52">
        <v>61600</v>
      </c>
      <c r="N363" s="53">
        <f t="shared" si="78"/>
        <v>1.0696592532467533</v>
      </c>
      <c r="R363" s="54">
        <f>(K363*3.7%)</f>
        <v>2437.9673700000003</v>
      </c>
      <c r="S363" s="54">
        <f t="shared" si="79"/>
        <v>609.49184250000008</v>
      </c>
      <c r="T363" s="54">
        <f>IF(N363&gt;1,K363*0.5%,0)</f>
        <v>329.45504999999997</v>
      </c>
    </row>
    <row r="364" spans="1:30" ht="12.75" customHeight="1" x14ac:dyDescent="0.25">
      <c r="A364" s="49">
        <v>173</v>
      </c>
      <c r="B364" s="50">
        <v>34</v>
      </c>
      <c r="C364" s="50" t="str">
        <f t="shared" si="69"/>
        <v>173-34</v>
      </c>
      <c r="D364" s="51" t="s">
        <v>537</v>
      </c>
      <c r="E364" s="52">
        <v>43917.86</v>
      </c>
      <c r="G364" s="52">
        <v>0</v>
      </c>
      <c r="H364" s="52">
        <v>0</v>
      </c>
      <c r="I364" s="52">
        <v>299.99</v>
      </c>
      <c r="K364" s="52">
        <f t="shared" si="77"/>
        <v>44217.85</v>
      </c>
      <c r="M364" s="52">
        <v>61600</v>
      </c>
      <c r="N364" s="53">
        <f t="shared" si="78"/>
        <v>0.71782224025974029</v>
      </c>
      <c r="R364" s="54">
        <f>(K364*3.2%)</f>
        <v>1414.9712</v>
      </c>
      <c r="S364" s="54">
        <f t="shared" si="79"/>
        <v>353.74279999999999</v>
      </c>
      <c r="T364" s="54">
        <f>IF(N364&gt;1,K364*0.5%,0)</f>
        <v>0</v>
      </c>
    </row>
    <row r="365" spans="1:30" ht="12.75" customHeight="1" x14ac:dyDescent="0.25">
      <c r="A365" s="49">
        <v>173</v>
      </c>
      <c r="B365" s="50">
        <v>35</v>
      </c>
      <c r="C365" s="50" t="str">
        <f t="shared" si="69"/>
        <v>173-35</v>
      </c>
      <c r="D365" s="51" t="s">
        <v>538</v>
      </c>
      <c r="E365" s="52">
        <v>2494.38</v>
      </c>
      <c r="G365" s="52">
        <v>0</v>
      </c>
      <c r="H365" s="52">
        <v>0</v>
      </c>
      <c r="I365" s="52">
        <v>0</v>
      </c>
      <c r="K365" s="52">
        <f t="shared" si="77"/>
        <v>2494.38</v>
      </c>
      <c r="M365" s="52"/>
      <c r="N365" s="53">
        <f t="shared" si="78"/>
        <v>0</v>
      </c>
      <c r="R365" s="54">
        <v>0</v>
      </c>
      <c r="S365" s="54">
        <f t="shared" si="79"/>
        <v>0</v>
      </c>
      <c r="T365" s="54">
        <f>IF(N365&gt;1,K365*0.5%,0)</f>
        <v>0</v>
      </c>
    </row>
    <row r="366" spans="1:30" ht="12.75" customHeight="1" x14ac:dyDescent="0.25">
      <c r="A366" s="49">
        <v>173</v>
      </c>
      <c r="B366" s="50">
        <v>38</v>
      </c>
      <c r="C366" s="50" t="str">
        <f t="shared" si="69"/>
        <v>173-38</v>
      </c>
      <c r="D366" s="51" t="s">
        <v>539</v>
      </c>
      <c r="E366" s="52">
        <v>57072.7</v>
      </c>
      <c r="G366" s="52">
        <v>0</v>
      </c>
      <c r="H366" s="52">
        <v>0</v>
      </c>
      <c r="I366" s="52">
        <v>1899.98</v>
      </c>
      <c r="K366" s="52">
        <f t="shared" si="77"/>
        <v>58972.68</v>
      </c>
      <c r="M366" s="52">
        <v>61600</v>
      </c>
      <c r="N366" s="53">
        <f t="shared" si="78"/>
        <v>0.95734870129870131</v>
      </c>
      <c r="R366" s="54">
        <f>(K366*3.2%)</f>
        <v>1887.1257600000001</v>
      </c>
      <c r="S366" s="54">
        <f t="shared" si="79"/>
        <v>471.78144000000003</v>
      </c>
      <c r="T366" s="54">
        <f>IF(N366&gt;1,K366*0.5%,0)</f>
        <v>0</v>
      </c>
    </row>
    <row r="367" spans="1:30" ht="12.75" customHeight="1" x14ac:dyDescent="0.25">
      <c r="A367" s="49">
        <v>173</v>
      </c>
      <c r="B367" s="50">
        <v>41</v>
      </c>
      <c r="C367" s="50" t="str">
        <f t="shared" si="69"/>
        <v>173-41</v>
      </c>
      <c r="D367" s="51" t="s">
        <v>345</v>
      </c>
      <c r="E367" s="52">
        <v>27186.46</v>
      </c>
      <c r="G367" s="52">
        <v>0</v>
      </c>
      <c r="H367" s="52">
        <v>0</v>
      </c>
      <c r="I367" s="52">
        <v>0</v>
      </c>
      <c r="K367" s="52">
        <f t="shared" si="77"/>
        <v>27186.46</v>
      </c>
      <c r="M367" s="52">
        <v>61600</v>
      </c>
      <c r="N367" s="53">
        <f t="shared" si="78"/>
        <v>0.44133863636363635</v>
      </c>
      <c r="R367" s="54">
        <f>(K367*3.2%)</f>
        <v>869.96672000000001</v>
      </c>
      <c r="S367" s="54">
        <f t="shared" si="79"/>
        <v>217.49168</v>
      </c>
      <c r="T367" s="54">
        <f>IF(N367&gt;1,K367*0.5%,0)</f>
        <v>0</v>
      </c>
    </row>
    <row r="368" spans="1:30" ht="12.75" customHeight="1" x14ac:dyDescent="0.25">
      <c r="A368" s="49">
        <v>173</v>
      </c>
      <c r="B368" s="50"/>
      <c r="C368" s="50" t="str">
        <f t="shared" si="69"/>
        <v>173-</v>
      </c>
      <c r="D368" s="51"/>
      <c r="E368" s="52">
        <v>0</v>
      </c>
      <c r="G368" s="52">
        <v>0</v>
      </c>
      <c r="H368" s="52">
        <v>0</v>
      </c>
      <c r="I368" s="52">
        <v>0</v>
      </c>
      <c r="K368" s="52">
        <f t="shared" si="77"/>
        <v>0</v>
      </c>
      <c r="M368" s="52"/>
      <c r="N368" s="53">
        <f t="shared" si="78"/>
        <v>0</v>
      </c>
      <c r="R368" s="56">
        <f>SUM(R362:R367)</f>
        <v>6610.0310500000005</v>
      </c>
      <c r="S368" s="56">
        <f>SUM(S362:S367)</f>
        <v>1652.5077625000001</v>
      </c>
      <c r="T368" s="56">
        <f>SUM(T362:T367)</f>
        <v>329.45504999999997</v>
      </c>
    </row>
    <row r="369" spans="1:30" ht="12.75" customHeight="1" x14ac:dyDescent="0.25">
      <c r="A369" s="49">
        <v>173</v>
      </c>
      <c r="B369" s="50"/>
      <c r="C369" s="50" t="str">
        <f t="shared" si="69"/>
        <v>173-</v>
      </c>
      <c r="D369" s="51"/>
      <c r="E369" s="52">
        <v>0</v>
      </c>
      <c r="G369" s="52">
        <v>0</v>
      </c>
      <c r="H369" s="52">
        <v>0</v>
      </c>
      <c r="I369" s="52">
        <v>0</v>
      </c>
      <c r="K369" s="52">
        <f t="shared" si="77"/>
        <v>0</v>
      </c>
      <c r="M369" s="52"/>
      <c r="N369" s="53">
        <f t="shared" si="78"/>
        <v>0</v>
      </c>
    </row>
    <row r="370" spans="1:30" ht="12.75" customHeight="1" x14ac:dyDescent="0.25">
      <c r="A370" s="49">
        <v>173</v>
      </c>
      <c r="B370" s="50"/>
      <c r="C370" s="50" t="str">
        <f t="shared" si="69"/>
        <v>173-</v>
      </c>
      <c r="D370" s="51"/>
      <c r="E370" s="52">
        <v>0</v>
      </c>
      <c r="G370" s="52">
        <v>0</v>
      </c>
      <c r="H370" s="52">
        <v>0</v>
      </c>
      <c r="I370" s="52">
        <v>0</v>
      </c>
      <c r="K370" s="52">
        <f t="shared" si="77"/>
        <v>0</v>
      </c>
      <c r="M370" s="52"/>
      <c r="N370" s="53">
        <f t="shared" si="78"/>
        <v>0</v>
      </c>
    </row>
    <row r="371" spans="1:30" ht="12.75" customHeight="1" x14ac:dyDescent="0.25">
      <c r="A371" s="49">
        <v>173</v>
      </c>
      <c r="B371" s="50"/>
      <c r="C371" s="50" t="str">
        <f t="shared" si="69"/>
        <v>173-</v>
      </c>
      <c r="D371" s="51"/>
      <c r="E371" s="52">
        <v>0</v>
      </c>
      <c r="G371" s="52">
        <v>0</v>
      </c>
      <c r="H371" s="52">
        <v>0</v>
      </c>
      <c r="I371" s="52">
        <v>0</v>
      </c>
      <c r="K371" s="52">
        <f t="shared" si="77"/>
        <v>0</v>
      </c>
      <c r="M371" s="52"/>
      <c r="N371" s="53">
        <f t="shared" si="78"/>
        <v>0</v>
      </c>
    </row>
    <row r="372" spans="1:30" ht="12.75" customHeight="1" x14ac:dyDescent="0.25">
      <c r="A372" s="49">
        <v>173</v>
      </c>
      <c r="B372" s="50"/>
      <c r="C372" s="50" t="str">
        <f t="shared" si="69"/>
        <v>173-</v>
      </c>
      <c r="D372" s="51"/>
      <c r="E372" s="52">
        <v>0</v>
      </c>
      <c r="G372" s="52">
        <v>0</v>
      </c>
      <c r="H372" s="52">
        <v>0</v>
      </c>
      <c r="I372" s="52">
        <v>0</v>
      </c>
      <c r="K372" s="52">
        <f t="shared" si="77"/>
        <v>0</v>
      </c>
      <c r="M372" s="52"/>
      <c r="N372" s="53">
        <f t="shared" si="78"/>
        <v>0</v>
      </c>
    </row>
    <row r="373" spans="1:30" ht="12.75" customHeight="1" x14ac:dyDescent="0.25">
      <c r="A373" s="57" t="s">
        <v>459</v>
      </c>
      <c r="B373" s="58"/>
      <c r="C373" s="50" t="str">
        <f t="shared" si="69"/>
        <v>Total-</v>
      </c>
      <c r="D373" s="57"/>
      <c r="E373" s="59">
        <v>258381.92</v>
      </c>
      <c r="F373" s="59">
        <v>0</v>
      </c>
      <c r="G373" s="59">
        <v>0</v>
      </c>
      <c r="H373" s="59">
        <v>0</v>
      </c>
      <c r="I373" s="59">
        <v>2749.96</v>
      </c>
      <c r="J373" s="59">
        <v>0</v>
      </c>
      <c r="K373" s="59">
        <f>SUM(K362:K372)</f>
        <v>261131.87999999998</v>
      </c>
      <c r="M373" s="59">
        <f>SUM(M362:M372)</f>
        <v>308000</v>
      </c>
    </row>
    <row r="374" spans="1:30" ht="12.75" customHeight="1" x14ac:dyDescent="0.25">
      <c r="C374" s="50" t="str">
        <f t="shared" si="69"/>
        <v>-</v>
      </c>
    </row>
    <row r="375" spans="1:30" ht="12.75" customHeight="1" x14ac:dyDescent="0.25">
      <c r="C375" s="50" t="str">
        <f t="shared" si="69"/>
        <v>-</v>
      </c>
    </row>
    <row r="376" spans="1:30" ht="12.75" customHeight="1" x14ac:dyDescent="0.25">
      <c r="C376" s="50" t="str">
        <f t="shared" si="69"/>
        <v>-</v>
      </c>
    </row>
    <row r="377" spans="1:30" ht="12.75" customHeight="1" x14ac:dyDescent="0.25">
      <c r="C377" s="50" t="str">
        <f t="shared" si="69"/>
        <v>-</v>
      </c>
    </row>
    <row r="378" spans="1:30" ht="12.75" customHeight="1" x14ac:dyDescent="0.25">
      <c r="C378" s="50" t="str">
        <f t="shared" si="69"/>
        <v>-</v>
      </c>
    </row>
    <row r="379" spans="1:30" ht="12.75" customHeight="1" x14ac:dyDescent="0.25">
      <c r="A379" s="44" t="s">
        <v>454</v>
      </c>
      <c r="B379" s="45" t="s">
        <v>472</v>
      </c>
      <c r="C379" s="50" t="str">
        <f t="shared" si="69"/>
        <v>Loja-Cod</v>
      </c>
      <c r="D379" s="44" t="s">
        <v>473</v>
      </c>
      <c r="E379" s="45" t="s">
        <v>474</v>
      </c>
      <c r="F379" s="45" t="s">
        <v>475</v>
      </c>
      <c r="G379" s="45" t="s">
        <v>476</v>
      </c>
      <c r="H379" s="45" t="s">
        <v>477</v>
      </c>
      <c r="I379" s="45" t="s">
        <v>478</v>
      </c>
      <c r="J379" s="45" t="s">
        <v>479</v>
      </c>
      <c r="K379" s="45" t="s">
        <v>480</v>
      </c>
      <c r="M379" s="47" t="s">
        <v>481</v>
      </c>
      <c r="N379" s="47" t="s">
        <v>482</v>
      </c>
      <c r="P379" s="45" t="s">
        <v>483</v>
      </c>
      <c r="R379" s="48" t="s">
        <v>484</v>
      </c>
      <c r="S379" s="48" t="s">
        <v>466</v>
      </c>
      <c r="T379" s="48" t="s">
        <v>485</v>
      </c>
    </row>
    <row r="380" spans="1:30" ht="12.75" customHeight="1" x14ac:dyDescent="0.25">
      <c r="A380" s="49">
        <v>175</v>
      </c>
      <c r="B380" s="50">
        <v>1</v>
      </c>
      <c r="C380" s="50" t="str">
        <f t="shared" si="69"/>
        <v>175-1</v>
      </c>
      <c r="D380" s="51" t="s">
        <v>347</v>
      </c>
      <c r="E380" s="52">
        <v>15654.29</v>
      </c>
      <c r="G380" s="52">
        <v>0</v>
      </c>
      <c r="H380" s="52">
        <v>0</v>
      </c>
      <c r="I380" s="52">
        <v>0</v>
      </c>
      <c r="K380" s="52">
        <f t="shared" ref="K380:K390" si="80">SUM(E380:J380)</f>
        <v>15654.29</v>
      </c>
      <c r="M380" s="52">
        <v>20000</v>
      </c>
      <c r="N380" s="53">
        <f t="shared" ref="N380:N390" si="81">IFERROR(K380/M380,)</f>
        <v>0.78271450000000009</v>
      </c>
      <c r="P380" s="52">
        <v>350000</v>
      </c>
      <c r="R380" s="54">
        <f>K380*2.8%</f>
        <v>438.32011999999997</v>
      </c>
      <c r="S380" s="54">
        <f t="shared" ref="S380:S385" si="82">R380*25%</f>
        <v>109.58002999999999</v>
      </c>
      <c r="T380" s="54">
        <f t="shared" ref="T380:T385" si="83">IF(N380&gt;1,K380*0.5%,0)</f>
        <v>0</v>
      </c>
    </row>
    <row r="381" spans="1:30" ht="12.75" customHeight="1" x14ac:dyDescent="0.25">
      <c r="A381" s="49">
        <v>175</v>
      </c>
      <c r="B381" s="50">
        <v>3</v>
      </c>
      <c r="C381" s="50" t="str">
        <f t="shared" si="69"/>
        <v>175-3</v>
      </c>
      <c r="D381" s="51" t="s">
        <v>540</v>
      </c>
      <c r="E381" s="52">
        <v>70788.81</v>
      </c>
      <c r="G381" s="52">
        <v>0</v>
      </c>
      <c r="H381" s="52">
        <v>0</v>
      </c>
      <c r="I381" s="52">
        <v>0</v>
      </c>
      <c r="K381" s="52">
        <f t="shared" si="80"/>
        <v>70788.81</v>
      </c>
      <c r="M381" s="52">
        <v>91250</v>
      </c>
      <c r="N381" s="53">
        <f t="shared" si="81"/>
        <v>0.77576778082191777</v>
      </c>
      <c r="R381" s="54">
        <f>K381*2.8%</f>
        <v>1982.0866799999997</v>
      </c>
      <c r="S381" s="54">
        <f t="shared" si="82"/>
        <v>495.52166999999992</v>
      </c>
      <c r="T381" s="54">
        <f t="shared" si="83"/>
        <v>0</v>
      </c>
    </row>
    <row r="382" spans="1:30" s="65" customFormat="1" ht="12.75" customHeight="1" x14ac:dyDescent="0.25">
      <c r="A382" s="61">
        <v>175</v>
      </c>
      <c r="B382" s="62">
        <v>6</v>
      </c>
      <c r="C382" s="62" t="str">
        <f t="shared" si="69"/>
        <v>175-6</v>
      </c>
      <c r="D382" s="63" t="s">
        <v>541</v>
      </c>
      <c r="E382" s="64">
        <v>70354.58</v>
      </c>
      <c r="F382" s="64"/>
      <c r="G382" s="64">
        <v>0</v>
      </c>
      <c r="H382" s="64">
        <v>599.98</v>
      </c>
      <c r="I382" s="64">
        <v>0</v>
      </c>
      <c r="J382" s="64"/>
      <c r="K382" s="64">
        <f t="shared" si="80"/>
        <v>70954.559999999998</v>
      </c>
      <c r="M382" s="64">
        <v>91250</v>
      </c>
      <c r="N382" s="66">
        <f t="shared" si="81"/>
        <v>0.77758421917808218</v>
      </c>
      <c r="R382" s="67">
        <v>0</v>
      </c>
      <c r="S382" s="67">
        <f t="shared" si="82"/>
        <v>0</v>
      </c>
      <c r="T382" s="67">
        <f t="shared" si="83"/>
        <v>0</v>
      </c>
      <c r="U382" s="208" t="s">
        <v>515</v>
      </c>
      <c r="AA382" s="208"/>
      <c r="AB382" s="208"/>
      <c r="AD382" s="208"/>
    </row>
    <row r="383" spans="1:30" ht="12.75" customHeight="1" x14ac:dyDescent="0.25">
      <c r="A383" s="49">
        <v>175</v>
      </c>
      <c r="B383" s="50">
        <v>11</v>
      </c>
      <c r="C383" s="50" t="str">
        <f t="shared" si="69"/>
        <v>175-11</v>
      </c>
      <c r="D383" s="51" t="s">
        <v>355</v>
      </c>
      <c r="E383" s="52">
        <v>92683.71</v>
      </c>
      <c r="G383" s="52">
        <v>0</v>
      </c>
      <c r="H383" s="52">
        <v>2344.91</v>
      </c>
      <c r="I383" s="52">
        <v>0</v>
      </c>
      <c r="K383" s="52">
        <f t="shared" si="80"/>
        <v>95028.62000000001</v>
      </c>
      <c r="M383" s="52">
        <v>91250</v>
      </c>
      <c r="N383" s="53">
        <f t="shared" si="81"/>
        <v>1.0414095342465755</v>
      </c>
      <c r="R383" s="54">
        <f>K383*3.3%</f>
        <v>3135.9444600000006</v>
      </c>
      <c r="S383" s="54">
        <f t="shared" si="82"/>
        <v>783.98611500000015</v>
      </c>
      <c r="T383" s="54">
        <f t="shared" si="83"/>
        <v>475.14310000000006</v>
      </c>
    </row>
    <row r="384" spans="1:30" ht="12.75" customHeight="1" x14ac:dyDescent="0.25">
      <c r="A384" s="49">
        <v>175</v>
      </c>
      <c r="B384" s="50">
        <v>13</v>
      </c>
      <c r="C384" s="50" t="str">
        <f t="shared" si="69"/>
        <v>175-13</v>
      </c>
      <c r="D384" s="51" t="s">
        <v>357</v>
      </c>
      <c r="E384" s="52">
        <v>51101.97</v>
      </c>
      <c r="G384" s="52">
        <v>0</v>
      </c>
      <c r="H384" s="52">
        <v>0</v>
      </c>
      <c r="I384" s="52">
        <v>0</v>
      </c>
      <c r="K384" s="52">
        <f t="shared" si="80"/>
        <v>51101.97</v>
      </c>
      <c r="M384" s="52">
        <v>91250</v>
      </c>
      <c r="N384" s="53">
        <f t="shared" si="81"/>
        <v>0.56002158904109589</v>
      </c>
      <c r="R384" s="54">
        <f>K384*2.8%</f>
        <v>1430.8551599999998</v>
      </c>
      <c r="S384" s="54">
        <f t="shared" si="82"/>
        <v>357.71378999999996</v>
      </c>
      <c r="T384" s="54">
        <f t="shared" si="83"/>
        <v>0</v>
      </c>
    </row>
    <row r="385" spans="1:20" ht="12.75" customHeight="1" x14ac:dyDescent="0.25">
      <c r="A385" s="49">
        <v>175</v>
      </c>
      <c r="B385" s="50">
        <v>777</v>
      </c>
      <c r="C385" s="50" t="str">
        <f t="shared" si="69"/>
        <v>175-777</v>
      </c>
      <c r="D385" s="51"/>
      <c r="E385" s="52">
        <v>917.93</v>
      </c>
      <c r="G385" s="52">
        <v>0</v>
      </c>
      <c r="H385" s="52">
        <v>0</v>
      </c>
      <c r="I385" s="52">
        <v>0</v>
      </c>
      <c r="K385" s="52">
        <f t="shared" si="80"/>
        <v>917.93</v>
      </c>
      <c r="M385" s="52"/>
      <c r="N385" s="53">
        <f t="shared" si="81"/>
        <v>0</v>
      </c>
      <c r="R385" s="54">
        <v>0</v>
      </c>
      <c r="S385" s="71">
        <f t="shared" si="82"/>
        <v>0</v>
      </c>
      <c r="T385" s="54">
        <f t="shared" si="83"/>
        <v>0</v>
      </c>
    </row>
    <row r="386" spans="1:20" ht="12.75" customHeight="1" x14ac:dyDescent="0.25">
      <c r="A386" s="49">
        <v>175</v>
      </c>
      <c r="B386" s="50"/>
      <c r="C386" s="50" t="str">
        <f t="shared" si="69"/>
        <v>175-</v>
      </c>
      <c r="D386" s="51"/>
      <c r="E386" s="52">
        <v>0</v>
      </c>
      <c r="G386" s="52">
        <v>0</v>
      </c>
      <c r="H386" s="52">
        <v>0</v>
      </c>
      <c r="I386" s="52">
        <v>0</v>
      </c>
      <c r="K386" s="52">
        <f t="shared" si="80"/>
        <v>0</v>
      </c>
      <c r="M386" s="52"/>
      <c r="N386" s="53">
        <f t="shared" si="81"/>
        <v>0</v>
      </c>
      <c r="R386" s="56">
        <f>SUM(R380:R385)</f>
        <v>6987.2064200000004</v>
      </c>
      <c r="S386" s="56">
        <f>SUM(S380:S385)</f>
        <v>1746.8016050000001</v>
      </c>
      <c r="T386" s="56">
        <f>SUM(T380:T385)</f>
        <v>475.14310000000006</v>
      </c>
    </row>
    <row r="387" spans="1:20" ht="12.75" customHeight="1" x14ac:dyDescent="0.25">
      <c r="A387" s="49">
        <v>175</v>
      </c>
      <c r="B387" s="50"/>
      <c r="C387" s="50" t="str">
        <f t="shared" si="69"/>
        <v>175-</v>
      </c>
      <c r="D387" s="51"/>
      <c r="E387" s="52">
        <v>0</v>
      </c>
      <c r="G387" s="52">
        <v>0</v>
      </c>
      <c r="H387" s="52">
        <v>0</v>
      </c>
      <c r="I387" s="52">
        <v>0</v>
      </c>
      <c r="K387" s="52">
        <f t="shared" si="80"/>
        <v>0</v>
      </c>
      <c r="M387" s="52"/>
      <c r="N387" s="53">
        <f t="shared" si="81"/>
        <v>0</v>
      </c>
    </row>
    <row r="388" spans="1:20" ht="12.75" customHeight="1" x14ac:dyDescent="0.25">
      <c r="A388" s="49">
        <v>175</v>
      </c>
      <c r="B388" s="50"/>
      <c r="C388" s="50" t="str">
        <f t="shared" ref="C388:C451" si="84">CONCATENATE(A388,"-",B388)</f>
        <v>175-</v>
      </c>
      <c r="D388" s="51"/>
      <c r="E388" s="52">
        <v>0</v>
      </c>
      <c r="G388" s="52">
        <v>0</v>
      </c>
      <c r="H388" s="52">
        <v>0</v>
      </c>
      <c r="I388" s="52">
        <v>0</v>
      </c>
      <c r="K388" s="52">
        <f t="shared" si="80"/>
        <v>0</v>
      </c>
      <c r="M388" s="52"/>
      <c r="N388" s="53">
        <f t="shared" si="81"/>
        <v>0</v>
      </c>
    </row>
    <row r="389" spans="1:20" ht="12.75" customHeight="1" x14ac:dyDescent="0.25">
      <c r="A389" s="49">
        <v>175</v>
      </c>
      <c r="B389" s="50"/>
      <c r="C389" s="50" t="str">
        <f t="shared" si="84"/>
        <v>175-</v>
      </c>
      <c r="D389" s="51"/>
      <c r="E389" s="52">
        <v>0</v>
      </c>
      <c r="G389" s="52">
        <v>0</v>
      </c>
      <c r="H389" s="52">
        <v>0</v>
      </c>
      <c r="I389" s="52">
        <v>0</v>
      </c>
      <c r="K389" s="52">
        <f t="shared" si="80"/>
        <v>0</v>
      </c>
      <c r="M389" s="52"/>
      <c r="N389" s="53">
        <f t="shared" si="81"/>
        <v>0</v>
      </c>
    </row>
    <row r="390" spans="1:20" ht="12.75" customHeight="1" x14ac:dyDescent="0.25">
      <c r="A390" s="49">
        <v>175</v>
      </c>
      <c r="B390" s="50"/>
      <c r="C390" s="50" t="str">
        <f t="shared" si="84"/>
        <v>175-</v>
      </c>
      <c r="D390" s="51"/>
      <c r="E390" s="52">
        <v>0</v>
      </c>
      <c r="G390" s="52">
        <v>0</v>
      </c>
      <c r="H390" s="52">
        <v>0</v>
      </c>
      <c r="I390" s="52">
        <v>0</v>
      </c>
      <c r="K390" s="52">
        <f t="shared" si="80"/>
        <v>0</v>
      </c>
      <c r="M390" s="52"/>
      <c r="N390" s="53">
        <f t="shared" si="81"/>
        <v>0</v>
      </c>
    </row>
    <row r="391" spans="1:20" ht="12.75" customHeight="1" x14ac:dyDescent="0.25">
      <c r="A391" s="57" t="s">
        <v>459</v>
      </c>
      <c r="B391" s="58"/>
      <c r="C391" s="50" t="str">
        <f t="shared" si="84"/>
        <v>Total-</v>
      </c>
      <c r="D391" s="57"/>
      <c r="E391" s="59">
        <v>301501.28999999998</v>
      </c>
      <c r="F391" s="59">
        <v>0</v>
      </c>
      <c r="G391" s="59">
        <v>0</v>
      </c>
      <c r="H391" s="59">
        <v>2944.89</v>
      </c>
      <c r="I391" s="59">
        <v>0</v>
      </c>
      <c r="J391" s="59">
        <v>0</v>
      </c>
      <c r="K391" s="59">
        <f>SUM(K380:K390)</f>
        <v>304446.18</v>
      </c>
      <c r="M391" s="59">
        <f>SUM(M380:M390)</f>
        <v>385000</v>
      </c>
    </row>
    <row r="392" spans="1:20" ht="12.75" customHeight="1" x14ac:dyDescent="0.25">
      <c r="C392" s="50" t="str">
        <f t="shared" si="84"/>
        <v>-</v>
      </c>
    </row>
    <row r="393" spans="1:20" ht="12.75" customHeight="1" x14ac:dyDescent="0.25">
      <c r="C393" s="50" t="str">
        <f t="shared" si="84"/>
        <v>-</v>
      </c>
    </row>
    <row r="394" spans="1:20" ht="12.75" customHeight="1" x14ac:dyDescent="0.25">
      <c r="C394" s="50" t="str">
        <f t="shared" si="84"/>
        <v>-</v>
      </c>
    </row>
    <row r="395" spans="1:20" ht="12.75" customHeight="1" x14ac:dyDescent="0.25">
      <c r="A395" s="44" t="s">
        <v>454</v>
      </c>
      <c r="B395" s="45" t="s">
        <v>472</v>
      </c>
      <c r="C395" s="50" t="str">
        <f t="shared" si="84"/>
        <v>Loja-Cod</v>
      </c>
      <c r="D395" s="44" t="s">
        <v>473</v>
      </c>
      <c r="E395" s="45" t="s">
        <v>474</v>
      </c>
      <c r="F395" s="45" t="s">
        <v>475</v>
      </c>
      <c r="G395" s="45" t="s">
        <v>476</v>
      </c>
      <c r="H395" s="45" t="s">
        <v>477</v>
      </c>
      <c r="I395" s="45" t="s">
        <v>478</v>
      </c>
      <c r="J395" s="45" t="s">
        <v>479</v>
      </c>
      <c r="K395" s="45" t="s">
        <v>480</v>
      </c>
      <c r="M395" s="47" t="s">
        <v>481</v>
      </c>
      <c r="N395" s="47" t="s">
        <v>482</v>
      </c>
      <c r="P395" s="45" t="s">
        <v>483</v>
      </c>
      <c r="R395" s="48" t="s">
        <v>484</v>
      </c>
      <c r="S395" s="48" t="s">
        <v>466</v>
      </c>
      <c r="T395" s="48" t="s">
        <v>485</v>
      </c>
    </row>
    <row r="396" spans="1:20" ht="12.75" customHeight="1" x14ac:dyDescent="0.25">
      <c r="A396" s="49">
        <v>179</v>
      </c>
      <c r="B396" s="50">
        <v>2</v>
      </c>
      <c r="C396" s="50" t="str">
        <f t="shared" si="84"/>
        <v>179-2</v>
      </c>
      <c r="D396" s="51" t="s">
        <v>542</v>
      </c>
      <c r="E396" s="52">
        <v>84965.54</v>
      </c>
      <c r="G396" s="52">
        <v>0</v>
      </c>
      <c r="H396" s="52">
        <v>0</v>
      </c>
      <c r="I396" s="52">
        <v>0</v>
      </c>
      <c r="K396" s="52">
        <f t="shared" ref="K396:K406" si="85">SUM(E396:J396)</f>
        <v>84965.54</v>
      </c>
      <c r="M396" s="52">
        <v>79200</v>
      </c>
      <c r="N396" s="53">
        <f t="shared" ref="N396:N406" si="86">IFERROR(K396/M396,)</f>
        <v>1.0727972222222222</v>
      </c>
      <c r="P396" s="52">
        <v>360000</v>
      </c>
      <c r="R396" s="54">
        <f>K396*3.3%</f>
        <v>2803.8628199999998</v>
      </c>
      <c r="S396" s="54">
        <f t="shared" ref="S396:S401" si="87">R396*25%</f>
        <v>700.96570499999996</v>
      </c>
      <c r="T396" s="54">
        <f t="shared" ref="T396:T401" si="88">IF(N396&gt;1,K396*0.5%,0)</f>
        <v>424.82769999999999</v>
      </c>
    </row>
    <row r="397" spans="1:20" ht="12.75" customHeight="1" x14ac:dyDescent="0.25">
      <c r="A397" s="49">
        <v>179</v>
      </c>
      <c r="B397" s="50">
        <v>3</v>
      </c>
      <c r="C397" s="50" t="str">
        <f t="shared" si="84"/>
        <v>179-3</v>
      </c>
      <c r="D397" s="51" t="s">
        <v>543</v>
      </c>
      <c r="E397" s="52">
        <v>104021.93</v>
      </c>
      <c r="G397" s="52">
        <v>0</v>
      </c>
      <c r="H397" s="52">
        <v>0</v>
      </c>
      <c r="I397" s="52">
        <v>0</v>
      </c>
      <c r="K397" s="52">
        <f t="shared" si="85"/>
        <v>104021.93</v>
      </c>
      <c r="M397" s="52">
        <v>79200</v>
      </c>
      <c r="N397" s="53">
        <f t="shared" si="86"/>
        <v>1.3134082070707069</v>
      </c>
      <c r="R397" s="54">
        <f>K397*3.4%</f>
        <v>3536.7456200000001</v>
      </c>
      <c r="S397" s="54">
        <f t="shared" si="87"/>
        <v>884.18640500000004</v>
      </c>
      <c r="T397" s="54">
        <f t="shared" si="88"/>
        <v>520.10964999999999</v>
      </c>
    </row>
    <row r="398" spans="1:20" ht="12.75" customHeight="1" x14ac:dyDescent="0.25">
      <c r="A398" s="49">
        <v>179</v>
      </c>
      <c r="B398" s="50">
        <v>4</v>
      </c>
      <c r="C398" s="50" t="str">
        <f t="shared" si="84"/>
        <v>179-4</v>
      </c>
      <c r="D398" s="51" t="s">
        <v>544</v>
      </c>
      <c r="E398" s="52">
        <v>31514.41</v>
      </c>
      <c r="G398" s="52">
        <v>0</v>
      </c>
      <c r="H398" s="52">
        <v>0</v>
      </c>
      <c r="I398" s="52">
        <v>0</v>
      </c>
      <c r="K398" s="52">
        <f t="shared" si="85"/>
        <v>31514.41</v>
      </c>
      <c r="M398" s="52">
        <v>79200</v>
      </c>
      <c r="N398" s="53">
        <f t="shared" si="86"/>
        <v>0.39790921717171718</v>
      </c>
      <c r="R398" s="54">
        <f>K398*2.3%</f>
        <v>724.83142999999995</v>
      </c>
      <c r="S398" s="54">
        <f t="shared" si="87"/>
        <v>181.20785749999999</v>
      </c>
      <c r="T398" s="54">
        <f t="shared" si="88"/>
        <v>0</v>
      </c>
    </row>
    <row r="399" spans="1:20" ht="12.75" customHeight="1" x14ac:dyDescent="0.25">
      <c r="A399" s="49">
        <v>179</v>
      </c>
      <c r="B399" s="50">
        <v>16</v>
      </c>
      <c r="C399" s="50" t="str">
        <f t="shared" si="84"/>
        <v>179-16</v>
      </c>
      <c r="D399" s="51" t="s">
        <v>545</v>
      </c>
      <c r="E399" s="52">
        <v>87935.37</v>
      </c>
      <c r="G399" s="52">
        <v>0</v>
      </c>
      <c r="H399" s="52">
        <v>0</v>
      </c>
      <c r="I399" s="52">
        <v>0</v>
      </c>
      <c r="K399" s="52">
        <f t="shared" si="85"/>
        <v>87935.37</v>
      </c>
      <c r="M399" s="52">
        <v>79200</v>
      </c>
      <c r="N399" s="53">
        <f t="shared" si="86"/>
        <v>1.1102950757575758</v>
      </c>
      <c r="R399" s="54">
        <f>K399*3.3%</f>
        <v>2901.8672099999999</v>
      </c>
      <c r="S399" s="54">
        <f t="shared" si="87"/>
        <v>725.46680249999997</v>
      </c>
      <c r="T399" s="54">
        <f t="shared" si="88"/>
        <v>439.67685</v>
      </c>
    </row>
    <row r="400" spans="1:20" ht="12.75" customHeight="1" x14ac:dyDescent="0.25">
      <c r="A400" s="49">
        <v>179</v>
      </c>
      <c r="B400" s="50">
        <v>18</v>
      </c>
      <c r="C400" s="50" t="str">
        <f t="shared" si="84"/>
        <v>179-18</v>
      </c>
      <c r="D400" s="51" t="s">
        <v>373</v>
      </c>
      <c r="E400" s="52">
        <v>83682.429999999993</v>
      </c>
      <c r="G400" s="52">
        <v>0</v>
      </c>
      <c r="H400" s="52">
        <v>0</v>
      </c>
      <c r="I400" s="52">
        <v>0</v>
      </c>
      <c r="K400" s="52">
        <f t="shared" si="85"/>
        <v>83682.429999999993</v>
      </c>
      <c r="M400" s="52">
        <v>79200</v>
      </c>
      <c r="N400" s="53">
        <f t="shared" si="86"/>
        <v>1.0565963383838384</v>
      </c>
      <c r="R400" s="54">
        <f>K400*3.3%</f>
        <v>2761.5201899999997</v>
      </c>
      <c r="S400" s="54">
        <f t="shared" si="87"/>
        <v>690.38004749999993</v>
      </c>
      <c r="T400" s="54">
        <f t="shared" si="88"/>
        <v>418.41215</v>
      </c>
    </row>
    <row r="401" spans="1:20" ht="12.75" customHeight="1" x14ac:dyDescent="0.25">
      <c r="A401" s="49">
        <v>179</v>
      </c>
      <c r="B401" s="50">
        <v>57</v>
      </c>
      <c r="C401" s="50" t="str">
        <f t="shared" si="84"/>
        <v>179-57</v>
      </c>
      <c r="D401" s="51"/>
      <c r="E401" s="52">
        <v>385.97</v>
      </c>
      <c r="G401" s="52">
        <v>0</v>
      </c>
      <c r="H401" s="52">
        <v>0</v>
      </c>
      <c r="I401" s="52">
        <v>0</v>
      </c>
      <c r="K401" s="52">
        <f t="shared" si="85"/>
        <v>385.97</v>
      </c>
      <c r="M401" s="52"/>
      <c r="N401" s="53">
        <f t="shared" si="86"/>
        <v>0</v>
      </c>
      <c r="R401" s="54">
        <v>0</v>
      </c>
      <c r="S401" s="54">
        <f t="shared" si="87"/>
        <v>0</v>
      </c>
      <c r="T401" s="54">
        <f t="shared" si="88"/>
        <v>0</v>
      </c>
    </row>
    <row r="402" spans="1:20" ht="12.75" customHeight="1" x14ac:dyDescent="0.25">
      <c r="A402" s="49">
        <v>179</v>
      </c>
      <c r="B402" s="60"/>
      <c r="C402" s="50" t="str">
        <f t="shared" si="84"/>
        <v>179-</v>
      </c>
      <c r="D402" s="51"/>
      <c r="E402" s="52">
        <v>0</v>
      </c>
      <c r="G402" s="52">
        <v>0</v>
      </c>
      <c r="H402" s="52">
        <v>0</v>
      </c>
      <c r="I402" s="52">
        <v>0</v>
      </c>
      <c r="K402" s="52">
        <f t="shared" si="85"/>
        <v>0</v>
      </c>
      <c r="M402" s="52"/>
      <c r="N402" s="53">
        <f t="shared" si="86"/>
        <v>0</v>
      </c>
      <c r="R402" s="56">
        <f>SUM(R396:R401)</f>
        <v>12728.82727</v>
      </c>
      <c r="S402" s="56">
        <f>SUM(S396:S401)</f>
        <v>3182.2068174999999</v>
      </c>
      <c r="T402" s="56">
        <f>SUM(T396:T401)</f>
        <v>1803.0263500000001</v>
      </c>
    </row>
    <row r="403" spans="1:20" ht="12.75" customHeight="1" x14ac:dyDescent="0.25">
      <c r="A403" s="49">
        <v>179</v>
      </c>
      <c r="B403" s="60"/>
      <c r="C403" s="50" t="str">
        <f t="shared" si="84"/>
        <v>179-</v>
      </c>
      <c r="D403" s="51"/>
      <c r="E403" s="52">
        <v>0</v>
      </c>
      <c r="G403" s="52">
        <v>0</v>
      </c>
      <c r="H403" s="52">
        <v>0</v>
      </c>
      <c r="I403" s="52">
        <v>0</v>
      </c>
      <c r="K403" s="52">
        <f t="shared" si="85"/>
        <v>0</v>
      </c>
      <c r="M403" s="52"/>
      <c r="N403" s="53">
        <f t="shared" si="86"/>
        <v>0</v>
      </c>
    </row>
    <row r="404" spans="1:20" ht="12.75" customHeight="1" x14ac:dyDescent="0.25">
      <c r="A404" s="49">
        <v>179</v>
      </c>
      <c r="B404" s="50"/>
      <c r="C404" s="50" t="str">
        <f t="shared" si="84"/>
        <v>179-</v>
      </c>
      <c r="D404" s="51"/>
      <c r="E404" s="52">
        <v>0</v>
      </c>
      <c r="G404" s="52">
        <v>0</v>
      </c>
      <c r="H404" s="52">
        <v>0</v>
      </c>
      <c r="I404" s="52">
        <v>0</v>
      </c>
      <c r="K404" s="52">
        <f t="shared" si="85"/>
        <v>0</v>
      </c>
      <c r="M404" s="52"/>
      <c r="N404" s="53">
        <f t="shared" si="86"/>
        <v>0</v>
      </c>
    </row>
    <row r="405" spans="1:20" ht="12.75" customHeight="1" x14ac:dyDescent="0.25">
      <c r="A405" s="49">
        <v>179</v>
      </c>
      <c r="B405" s="50"/>
      <c r="C405" s="50" t="str">
        <f t="shared" si="84"/>
        <v>179-</v>
      </c>
      <c r="D405" s="51"/>
      <c r="E405" s="52">
        <v>0</v>
      </c>
      <c r="G405" s="52">
        <v>0</v>
      </c>
      <c r="H405" s="52">
        <v>0</v>
      </c>
      <c r="I405" s="52">
        <v>0</v>
      </c>
      <c r="K405" s="52">
        <f t="shared" si="85"/>
        <v>0</v>
      </c>
      <c r="M405" s="52"/>
      <c r="N405" s="53">
        <f t="shared" si="86"/>
        <v>0</v>
      </c>
    </row>
    <row r="406" spans="1:20" ht="12.75" customHeight="1" x14ac:dyDescent="0.25">
      <c r="A406" s="49">
        <v>179</v>
      </c>
      <c r="B406" s="50"/>
      <c r="C406" s="50" t="str">
        <f t="shared" si="84"/>
        <v>179-</v>
      </c>
      <c r="D406" s="51"/>
      <c r="E406" s="52">
        <v>0</v>
      </c>
      <c r="G406" s="52">
        <v>0</v>
      </c>
      <c r="H406" s="52">
        <v>0</v>
      </c>
      <c r="I406" s="52">
        <v>0</v>
      </c>
      <c r="K406" s="52">
        <f t="shared" si="85"/>
        <v>0</v>
      </c>
      <c r="M406" s="52"/>
      <c r="N406" s="53">
        <f t="shared" si="86"/>
        <v>0</v>
      </c>
    </row>
    <row r="407" spans="1:20" ht="12.75" customHeight="1" x14ac:dyDescent="0.25">
      <c r="A407" s="57" t="s">
        <v>459</v>
      </c>
      <c r="B407" s="58"/>
      <c r="C407" s="50" t="str">
        <f t="shared" si="84"/>
        <v>Total-</v>
      </c>
      <c r="D407" s="57"/>
      <c r="E407" s="59">
        <v>392505.64999999997</v>
      </c>
      <c r="F407" s="59">
        <v>0</v>
      </c>
      <c r="G407" s="59">
        <v>0</v>
      </c>
      <c r="H407" s="59">
        <v>0</v>
      </c>
      <c r="I407" s="59">
        <v>0</v>
      </c>
      <c r="J407" s="59">
        <v>0</v>
      </c>
      <c r="K407" s="59">
        <f>SUM(K396:K406)</f>
        <v>392505.64999999997</v>
      </c>
      <c r="M407" s="59">
        <f>SUM(M396:M406)</f>
        <v>396000</v>
      </c>
    </row>
    <row r="408" spans="1:20" ht="12.75" customHeight="1" x14ac:dyDescent="0.25">
      <c r="C408" s="50" t="str">
        <f t="shared" si="84"/>
        <v>-</v>
      </c>
    </row>
    <row r="409" spans="1:20" ht="12.75" customHeight="1" x14ac:dyDescent="0.25">
      <c r="C409" s="50" t="str">
        <f t="shared" si="84"/>
        <v>-</v>
      </c>
    </row>
    <row r="410" spans="1:20" ht="12.75" customHeight="1" x14ac:dyDescent="0.25">
      <c r="C410" s="50" t="str">
        <f t="shared" si="84"/>
        <v>-</v>
      </c>
    </row>
    <row r="411" spans="1:20" ht="12.75" customHeight="1" x14ac:dyDescent="0.25">
      <c r="C411" s="50" t="str">
        <f t="shared" si="84"/>
        <v>-</v>
      </c>
    </row>
    <row r="412" spans="1:20" ht="12.75" customHeight="1" x14ac:dyDescent="0.25">
      <c r="A412" s="44" t="s">
        <v>454</v>
      </c>
      <c r="B412" s="45" t="s">
        <v>472</v>
      </c>
      <c r="C412" s="50" t="str">
        <f t="shared" si="84"/>
        <v>Loja-Cod</v>
      </c>
      <c r="D412" s="44" t="s">
        <v>473</v>
      </c>
      <c r="E412" s="45" t="s">
        <v>474</v>
      </c>
      <c r="F412" s="45" t="s">
        <v>475</v>
      </c>
      <c r="G412" s="45" t="s">
        <v>476</v>
      </c>
      <c r="H412" s="45" t="s">
        <v>477</v>
      </c>
      <c r="I412" s="45" t="s">
        <v>478</v>
      </c>
      <c r="J412" s="45" t="s">
        <v>479</v>
      </c>
      <c r="K412" s="45" t="s">
        <v>480</v>
      </c>
      <c r="M412" s="47" t="s">
        <v>481</v>
      </c>
      <c r="N412" s="47" t="s">
        <v>482</v>
      </c>
      <c r="P412" s="45" t="s">
        <v>483</v>
      </c>
      <c r="R412" s="48" t="s">
        <v>484</v>
      </c>
      <c r="S412" s="48" t="s">
        <v>466</v>
      </c>
      <c r="T412" s="48" t="s">
        <v>485</v>
      </c>
    </row>
    <row r="413" spans="1:20" ht="12.75" customHeight="1" x14ac:dyDescent="0.25">
      <c r="A413" s="49">
        <v>181</v>
      </c>
      <c r="B413" s="50">
        <v>1</v>
      </c>
      <c r="C413" s="50" t="str">
        <f t="shared" si="84"/>
        <v>181-1</v>
      </c>
      <c r="D413" s="51" t="s">
        <v>546</v>
      </c>
      <c r="E413" s="52">
        <v>143910.68</v>
      </c>
      <c r="G413" s="52">
        <v>0</v>
      </c>
      <c r="H413" s="52">
        <v>0</v>
      </c>
      <c r="I413" s="52">
        <v>0</v>
      </c>
      <c r="K413" s="52">
        <f t="shared" ref="K413:K425" si="89">SUM(E413:J413)</f>
        <v>143910.68</v>
      </c>
      <c r="M413" s="52">
        <v>122500</v>
      </c>
      <c r="N413" s="53">
        <f t="shared" ref="N413:N425" si="90">IFERROR(K413/M413,)</f>
        <v>1.1747810612244898</v>
      </c>
      <c r="P413" s="52">
        <v>890000</v>
      </c>
      <c r="R413" s="54">
        <f>K413*2.8%</f>
        <v>4029.4990399999992</v>
      </c>
      <c r="S413" s="54">
        <f>R413*25%</f>
        <v>1007.3747599999998</v>
      </c>
      <c r="T413" s="54">
        <f>IF(N413&gt;1,K413*0.5%,0)</f>
        <v>719.55340000000001</v>
      </c>
    </row>
    <row r="414" spans="1:20" ht="12.75" customHeight="1" x14ac:dyDescent="0.25">
      <c r="A414" s="49">
        <v>181</v>
      </c>
      <c r="B414" s="50">
        <v>2</v>
      </c>
      <c r="C414" s="50" t="str">
        <f t="shared" si="84"/>
        <v>181-2</v>
      </c>
      <c r="D414" s="51" t="s">
        <v>547</v>
      </c>
      <c r="E414" s="52">
        <v>130271.79</v>
      </c>
      <c r="G414" s="52">
        <v>0</v>
      </c>
      <c r="H414" s="52">
        <v>0</v>
      </c>
      <c r="I414" s="52">
        <v>0</v>
      </c>
      <c r="K414" s="52">
        <f t="shared" si="89"/>
        <v>130271.79</v>
      </c>
      <c r="M414" s="52">
        <v>122500</v>
      </c>
      <c r="N414" s="53">
        <f t="shared" si="90"/>
        <v>1.0634431836734692</v>
      </c>
      <c r="R414" s="54">
        <f t="shared" ref="R414:R421" si="91">K414*2.8%</f>
        <v>3647.6101199999994</v>
      </c>
      <c r="S414" s="54">
        <f t="shared" ref="S414:S421" si="92">R414*25%</f>
        <v>911.90252999999984</v>
      </c>
      <c r="T414" s="54">
        <f t="shared" ref="T414:T421" si="93">IF(N414&gt;1,K414*0.5%,0)</f>
        <v>651.35894999999994</v>
      </c>
    </row>
    <row r="415" spans="1:20" ht="12.75" customHeight="1" x14ac:dyDescent="0.25">
      <c r="A415" s="49">
        <v>181</v>
      </c>
      <c r="B415" s="50">
        <v>12</v>
      </c>
      <c r="C415" s="50" t="str">
        <f t="shared" si="84"/>
        <v>181-12</v>
      </c>
      <c r="D415" s="51"/>
      <c r="E415" s="52">
        <v>3945.54</v>
      </c>
      <c r="G415" s="52">
        <v>0</v>
      </c>
      <c r="H415" s="52">
        <v>0</v>
      </c>
      <c r="I415" s="52">
        <v>0</v>
      </c>
      <c r="K415" s="52">
        <f t="shared" si="89"/>
        <v>3945.54</v>
      </c>
      <c r="M415" s="52"/>
      <c r="N415" s="53">
        <f t="shared" si="90"/>
        <v>0</v>
      </c>
      <c r="R415" s="54">
        <v>0</v>
      </c>
      <c r="S415" s="54">
        <f t="shared" si="92"/>
        <v>0</v>
      </c>
      <c r="T415" s="54">
        <f t="shared" si="93"/>
        <v>0</v>
      </c>
    </row>
    <row r="416" spans="1:20" ht="12.75" customHeight="1" x14ac:dyDescent="0.25">
      <c r="A416" s="49">
        <v>181</v>
      </c>
      <c r="B416" s="50">
        <v>13</v>
      </c>
      <c r="C416" s="50" t="str">
        <f t="shared" si="84"/>
        <v>181-13</v>
      </c>
      <c r="D416" s="51" t="s">
        <v>548</v>
      </c>
      <c r="E416" s="52">
        <v>123440.77</v>
      </c>
      <c r="G416" s="52">
        <v>0</v>
      </c>
      <c r="H416" s="52">
        <v>0</v>
      </c>
      <c r="I416" s="52">
        <v>0</v>
      </c>
      <c r="K416" s="52">
        <f t="shared" si="89"/>
        <v>123440.77</v>
      </c>
      <c r="M416" s="52">
        <v>122500</v>
      </c>
      <c r="N416" s="53">
        <f t="shared" si="90"/>
        <v>1.0076797551020409</v>
      </c>
      <c r="R416" s="54">
        <f t="shared" si="91"/>
        <v>3456.3415599999998</v>
      </c>
      <c r="S416" s="54">
        <f t="shared" si="92"/>
        <v>864.08538999999996</v>
      </c>
      <c r="T416" s="54">
        <f t="shared" si="93"/>
        <v>617.20384999999999</v>
      </c>
    </row>
    <row r="417" spans="1:30" ht="12.75" customHeight="1" x14ac:dyDescent="0.25">
      <c r="A417" s="49">
        <v>181</v>
      </c>
      <c r="B417" s="50">
        <v>16</v>
      </c>
      <c r="C417" s="50" t="str">
        <f t="shared" si="84"/>
        <v>181-16</v>
      </c>
      <c r="D417" s="51" t="s">
        <v>549</v>
      </c>
      <c r="E417" s="52">
        <v>129183.14</v>
      </c>
      <c r="G417" s="52">
        <v>0</v>
      </c>
      <c r="H417" s="52">
        <v>0</v>
      </c>
      <c r="I417" s="52">
        <v>0</v>
      </c>
      <c r="K417" s="52">
        <f t="shared" si="89"/>
        <v>129183.14</v>
      </c>
      <c r="M417" s="52">
        <v>122500</v>
      </c>
      <c r="N417" s="53">
        <f t="shared" si="90"/>
        <v>1.0545562448979591</v>
      </c>
      <c r="R417" s="54">
        <f t="shared" si="91"/>
        <v>3617.1279199999994</v>
      </c>
      <c r="S417" s="54">
        <f t="shared" si="92"/>
        <v>904.28197999999986</v>
      </c>
      <c r="T417" s="54">
        <f t="shared" si="93"/>
        <v>645.91570000000002</v>
      </c>
    </row>
    <row r="418" spans="1:30" ht="12.75" customHeight="1" x14ac:dyDescent="0.25">
      <c r="A418" s="49">
        <v>181</v>
      </c>
      <c r="B418" s="50">
        <v>18</v>
      </c>
      <c r="C418" s="50" t="str">
        <f t="shared" si="84"/>
        <v>181-18</v>
      </c>
      <c r="D418" s="51" t="s">
        <v>550</v>
      </c>
      <c r="E418" s="52">
        <v>81020.06</v>
      </c>
      <c r="G418" s="52">
        <v>0</v>
      </c>
      <c r="H418" s="52">
        <v>0</v>
      </c>
      <c r="I418" s="52">
        <v>0</v>
      </c>
      <c r="K418" s="52">
        <f t="shared" si="89"/>
        <v>81020.06</v>
      </c>
      <c r="M418" s="52">
        <v>122500</v>
      </c>
      <c r="N418" s="53">
        <f t="shared" si="90"/>
        <v>0.66138824489795911</v>
      </c>
      <c r="R418" s="54">
        <f t="shared" si="91"/>
        <v>2268.5616799999998</v>
      </c>
      <c r="S418" s="54">
        <f t="shared" si="92"/>
        <v>567.14041999999995</v>
      </c>
      <c r="T418" s="54">
        <f t="shared" si="93"/>
        <v>0</v>
      </c>
    </row>
    <row r="419" spans="1:30" ht="12.75" customHeight="1" x14ac:dyDescent="0.25">
      <c r="A419" s="49">
        <v>181</v>
      </c>
      <c r="B419" s="60">
        <v>19</v>
      </c>
      <c r="C419" s="50" t="str">
        <f t="shared" si="84"/>
        <v>181-19</v>
      </c>
      <c r="D419" s="51" t="s">
        <v>551</v>
      </c>
      <c r="E419" s="52">
        <v>73637.490000000005</v>
      </c>
      <c r="G419" s="52">
        <v>0</v>
      </c>
      <c r="H419" s="52">
        <v>0</v>
      </c>
      <c r="I419" s="52">
        <v>0</v>
      </c>
      <c r="K419" s="52">
        <f t="shared" si="89"/>
        <v>73637.490000000005</v>
      </c>
      <c r="M419" s="52">
        <v>122500</v>
      </c>
      <c r="N419" s="53">
        <f t="shared" si="90"/>
        <v>0.6011223673469388</v>
      </c>
      <c r="R419" s="54">
        <f t="shared" si="91"/>
        <v>2061.8497200000002</v>
      </c>
      <c r="S419" s="54">
        <f t="shared" si="92"/>
        <v>515.46243000000004</v>
      </c>
      <c r="T419" s="54">
        <f t="shared" si="93"/>
        <v>0</v>
      </c>
    </row>
    <row r="420" spans="1:30" s="65" customFormat="1" ht="12.75" customHeight="1" x14ac:dyDescent="0.25">
      <c r="A420" s="61">
        <v>181</v>
      </c>
      <c r="B420" s="72">
        <v>30</v>
      </c>
      <c r="C420" s="62" t="str">
        <f t="shared" si="84"/>
        <v>181-30</v>
      </c>
      <c r="D420" s="63" t="s">
        <v>552</v>
      </c>
      <c r="E420" s="64">
        <v>57776.82</v>
      </c>
      <c r="F420" s="64"/>
      <c r="G420" s="64">
        <v>0</v>
      </c>
      <c r="H420" s="64">
        <v>0</v>
      </c>
      <c r="I420" s="64">
        <v>0</v>
      </c>
      <c r="J420" s="64"/>
      <c r="K420" s="64">
        <f>SUM(E420:J420)</f>
        <v>57776.82</v>
      </c>
      <c r="M420" s="64">
        <v>122500</v>
      </c>
      <c r="N420" s="66">
        <f>IFERROR(K420/M420,)</f>
        <v>0.47164751020408163</v>
      </c>
      <c r="R420" s="67">
        <v>0</v>
      </c>
      <c r="S420" s="67">
        <f t="shared" si="92"/>
        <v>0</v>
      </c>
      <c r="T420" s="67">
        <f t="shared" si="93"/>
        <v>0</v>
      </c>
      <c r="U420" s="208" t="s">
        <v>515</v>
      </c>
      <c r="AA420" s="208"/>
      <c r="AB420" s="208"/>
      <c r="AD420" s="208"/>
    </row>
    <row r="421" spans="1:30" ht="12.75" customHeight="1" x14ac:dyDescent="0.25">
      <c r="A421" s="49">
        <v>181</v>
      </c>
      <c r="B421" s="60">
        <v>33</v>
      </c>
      <c r="C421" s="50" t="str">
        <f t="shared" si="84"/>
        <v>181-33</v>
      </c>
      <c r="D421" s="51" t="s">
        <v>393</v>
      </c>
      <c r="E421" s="52">
        <v>79020.320000000007</v>
      </c>
      <c r="G421" s="52">
        <v>0</v>
      </c>
      <c r="H421" s="52">
        <v>0</v>
      </c>
      <c r="I421" s="52">
        <v>0</v>
      </c>
      <c r="K421" s="52">
        <f>SUM(E421:J421)</f>
        <v>79020.320000000007</v>
      </c>
      <c r="M421" s="52">
        <v>122500</v>
      </c>
      <c r="N421" s="53">
        <f>IFERROR(K421/M421,)</f>
        <v>0.64506383673469392</v>
      </c>
      <c r="R421" s="54">
        <f t="shared" si="91"/>
        <v>2212.5689600000001</v>
      </c>
      <c r="S421" s="54">
        <f t="shared" si="92"/>
        <v>553.14224000000002</v>
      </c>
      <c r="T421" s="54">
        <f t="shared" si="93"/>
        <v>0</v>
      </c>
    </row>
    <row r="422" spans="1:30" ht="12.75" customHeight="1" x14ac:dyDescent="0.25">
      <c r="A422" s="49">
        <v>181</v>
      </c>
      <c r="B422" s="60"/>
      <c r="C422" s="50" t="str">
        <f t="shared" si="84"/>
        <v>181-</v>
      </c>
      <c r="D422" s="51"/>
      <c r="E422" s="52">
        <v>0</v>
      </c>
      <c r="G422" s="52">
        <v>0</v>
      </c>
      <c r="H422" s="52">
        <v>0</v>
      </c>
      <c r="I422" s="52">
        <v>0</v>
      </c>
      <c r="K422" s="52">
        <f t="shared" si="89"/>
        <v>0</v>
      </c>
      <c r="M422" s="52"/>
      <c r="N422" s="53">
        <f t="shared" si="90"/>
        <v>0</v>
      </c>
      <c r="R422" s="56">
        <f>SUM(R413:R421)</f>
        <v>21293.558999999997</v>
      </c>
      <c r="S422" s="56">
        <f>SUM(S413:S421)</f>
        <v>5323.3897499999994</v>
      </c>
      <c r="T422" s="56">
        <f>SUM(T413:T421)</f>
        <v>2634.0319</v>
      </c>
    </row>
    <row r="423" spans="1:30" ht="12.75" customHeight="1" x14ac:dyDescent="0.25">
      <c r="A423" s="49">
        <v>181</v>
      </c>
      <c r="B423" s="50"/>
      <c r="C423" s="50" t="str">
        <f t="shared" si="84"/>
        <v>181-</v>
      </c>
      <c r="D423" s="51"/>
      <c r="E423" s="52">
        <v>0</v>
      </c>
      <c r="G423" s="52">
        <v>0</v>
      </c>
      <c r="H423" s="52">
        <v>0</v>
      </c>
      <c r="I423" s="52">
        <v>0</v>
      </c>
      <c r="K423" s="52">
        <f t="shared" si="89"/>
        <v>0</v>
      </c>
      <c r="M423" s="52"/>
      <c r="N423" s="53">
        <f t="shared" si="90"/>
        <v>0</v>
      </c>
    </row>
    <row r="424" spans="1:30" ht="12.75" customHeight="1" x14ac:dyDescent="0.25">
      <c r="A424" s="49">
        <v>181</v>
      </c>
      <c r="B424" s="50"/>
      <c r="C424" s="50" t="str">
        <f t="shared" si="84"/>
        <v>181-</v>
      </c>
      <c r="D424" s="51"/>
      <c r="E424" s="52">
        <v>0</v>
      </c>
      <c r="G424" s="52">
        <v>0</v>
      </c>
      <c r="H424" s="52">
        <v>0</v>
      </c>
      <c r="I424" s="52">
        <v>0</v>
      </c>
      <c r="K424" s="52">
        <f t="shared" si="89"/>
        <v>0</v>
      </c>
      <c r="M424" s="52"/>
      <c r="N424" s="53">
        <f t="shared" si="90"/>
        <v>0</v>
      </c>
    </row>
    <row r="425" spans="1:30" ht="12.75" customHeight="1" x14ac:dyDescent="0.25">
      <c r="A425" s="49">
        <v>181</v>
      </c>
      <c r="B425" s="50"/>
      <c r="C425" s="50" t="str">
        <f t="shared" si="84"/>
        <v>181-</v>
      </c>
      <c r="D425" s="51"/>
      <c r="E425" s="52">
        <v>0</v>
      </c>
      <c r="G425" s="52">
        <v>0</v>
      </c>
      <c r="H425" s="52">
        <v>0</v>
      </c>
      <c r="I425" s="52">
        <v>0</v>
      </c>
      <c r="K425" s="52">
        <f t="shared" si="89"/>
        <v>0</v>
      </c>
      <c r="M425" s="52"/>
      <c r="N425" s="53">
        <f t="shared" si="90"/>
        <v>0</v>
      </c>
    </row>
    <row r="426" spans="1:30" ht="12.75" customHeight="1" x14ac:dyDescent="0.25">
      <c r="A426" s="57" t="s">
        <v>459</v>
      </c>
      <c r="B426" s="58"/>
      <c r="C426" s="50" t="str">
        <f t="shared" si="84"/>
        <v>Total-</v>
      </c>
      <c r="D426" s="57"/>
      <c r="E426" s="59">
        <v>822206.60999999987</v>
      </c>
      <c r="F426" s="59">
        <v>0</v>
      </c>
      <c r="G426" s="59">
        <v>0</v>
      </c>
      <c r="H426" s="59">
        <v>0</v>
      </c>
      <c r="I426" s="59">
        <v>0</v>
      </c>
      <c r="J426" s="59">
        <v>0</v>
      </c>
      <c r="K426" s="59">
        <f>SUM(K413:K425)</f>
        <v>822206.60999999987</v>
      </c>
      <c r="M426" s="59">
        <f>SUM(M413:M425)</f>
        <v>980000</v>
      </c>
    </row>
    <row r="427" spans="1:30" ht="12.75" customHeight="1" x14ac:dyDescent="0.25">
      <c r="C427" s="50" t="str">
        <f t="shared" si="84"/>
        <v>-</v>
      </c>
    </row>
    <row r="428" spans="1:30" ht="12.75" customHeight="1" x14ac:dyDescent="0.25">
      <c r="C428" s="50" t="str">
        <f t="shared" si="84"/>
        <v>-</v>
      </c>
    </row>
    <row r="429" spans="1:30" ht="12.75" customHeight="1" x14ac:dyDescent="0.25">
      <c r="C429" s="50" t="str">
        <f t="shared" si="84"/>
        <v>-</v>
      </c>
    </row>
    <row r="430" spans="1:30" ht="12.75" customHeight="1" x14ac:dyDescent="0.25">
      <c r="A430" s="44" t="s">
        <v>454</v>
      </c>
      <c r="B430" s="45" t="s">
        <v>472</v>
      </c>
      <c r="C430" s="50" t="str">
        <f t="shared" si="84"/>
        <v>Loja-Cod</v>
      </c>
      <c r="D430" s="44" t="s">
        <v>473</v>
      </c>
      <c r="E430" s="45" t="s">
        <v>474</v>
      </c>
      <c r="F430" s="45" t="s">
        <v>475</v>
      </c>
      <c r="G430" s="45" t="s">
        <v>476</v>
      </c>
      <c r="H430" s="45" t="s">
        <v>477</v>
      </c>
      <c r="I430" s="45" t="s">
        <v>478</v>
      </c>
      <c r="J430" s="45" t="s">
        <v>479</v>
      </c>
      <c r="K430" s="45" t="s">
        <v>480</v>
      </c>
      <c r="M430" s="47" t="s">
        <v>481</v>
      </c>
      <c r="N430" s="47" t="s">
        <v>482</v>
      </c>
      <c r="P430" s="45" t="s">
        <v>483</v>
      </c>
      <c r="R430" s="48" t="s">
        <v>484</v>
      </c>
      <c r="S430" s="48" t="s">
        <v>466</v>
      </c>
      <c r="T430" s="48" t="s">
        <v>485</v>
      </c>
    </row>
    <row r="431" spans="1:30" ht="12.75" customHeight="1" x14ac:dyDescent="0.25">
      <c r="A431" s="49">
        <v>183</v>
      </c>
      <c r="B431" s="50">
        <v>1</v>
      </c>
      <c r="C431" s="50" t="str">
        <f t="shared" si="84"/>
        <v>183-1</v>
      </c>
      <c r="D431" s="51" t="s">
        <v>553</v>
      </c>
      <c r="E431" s="52">
        <v>39589.29</v>
      </c>
      <c r="G431" s="52">
        <v>0</v>
      </c>
      <c r="H431" s="52">
        <v>649.99</v>
      </c>
      <c r="I431" s="52">
        <v>0</v>
      </c>
      <c r="K431" s="52">
        <f t="shared" ref="K431:K443" si="94">SUM(E431:J431)</f>
        <v>40239.279999999999</v>
      </c>
      <c r="M431" s="52">
        <v>70500</v>
      </c>
      <c r="N431" s="53">
        <f t="shared" ref="N431:N443" si="95">IFERROR(K431/M431,)</f>
        <v>0.57076992907801416</v>
      </c>
      <c r="P431" s="52">
        <v>360000</v>
      </c>
      <c r="R431" s="54">
        <f t="shared" ref="R431:R436" si="96">K431*2.8%</f>
        <v>1126.6998399999998</v>
      </c>
      <c r="S431" s="54">
        <f>R431*25%</f>
        <v>281.67495999999994</v>
      </c>
      <c r="T431" s="54">
        <f>IF(N431&gt;1,K431*0.5%,0)</f>
        <v>0</v>
      </c>
    </row>
    <row r="432" spans="1:30" ht="12.75" customHeight="1" x14ac:dyDescent="0.25">
      <c r="A432" s="49">
        <v>183</v>
      </c>
      <c r="B432" s="50">
        <v>5</v>
      </c>
      <c r="C432" s="50" t="str">
        <f t="shared" si="84"/>
        <v>183-5</v>
      </c>
      <c r="D432" s="51" t="s">
        <v>554</v>
      </c>
      <c r="E432" s="52">
        <v>53662.35</v>
      </c>
      <c r="G432" s="52">
        <v>0</v>
      </c>
      <c r="H432" s="52">
        <v>0</v>
      </c>
      <c r="I432" s="52">
        <v>0</v>
      </c>
      <c r="K432" s="52">
        <f t="shared" si="94"/>
        <v>53662.35</v>
      </c>
      <c r="M432" s="52">
        <v>70500</v>
      </c>
      <c r="N432" s="53">
        <f t="shared" si="95"/>
        <v>0.76116808510638301</v>
      </c>
      <c r="R432" s="54">
        <f t="shared" si="96"/>
        <v>1502.5457999999999</v>
      </c>
      <c r="S432" s="54">
        <f t="shared" ref="S432:S437" si="97">R432*25%</f>
        <v>375.63644999999997</v>
      </c>
      <c r="T432" s="54">
        <f t="shared" ref="T432:T437" si="98">IF(N432&gt;1,K432*0.5%,0)</f>
        <v>0</v>
      </c>
    </row>
    <row r="433" spans="1:20" ht="12.75" customHeight="1" x14ac:dyDescent="0.25">
      <c r="A433" s="49">
        <v>183</v>
      </c>
      <c r="B433" s="50">
        <v>8</v>
      </c>
      <c r="C433" s="50" t="str">
        <f t="shared" si="84"/>
        <v>183-8</v>
      </c>
      <c r="D433" s="51"/>
      <c r="E433" s="52">
        <v>40711.199999999997</v>
      </c>
      <c r="G433" s="52">
        <v>0</v>
      </c>
      <c r="H433" s="52">
        <v>0</v>
      </c>
      <c r="I433" s="52">
        <v>0</v>
      </c>
      <c r="K433" s="52">
        <f t="shared" si="94"/>
        <v>40711.199999999997</v>
      </c>
      <c r="M433" s="52">
        <v>70500</v>
      </c>
      <c r="N433" s="53">
        <f t="shared" si="95"/>
        <v>0.57746382978723398</v>
      </c>
      <c r="R433" s="54">
        <f t="shared" si="96"/>
        <v>1139.9135999999999</v>
      </c>
      <c r="S433" s="54">
        <f t="shared" si="97"/>
        <v>284.97839999999997</v>
      </c>
      <c r="T433" s="54">
        <f t="shared" si="98"/>
        <v>0</v>
      </c>
    </row>
    <row r="434" spans="1:20" ht="12.75" customHeight="1" x14ac:dyDescent="0.25">
      <c r="A434" s="49">
        <v>183</v>
      </c>
      <c r="B434" s="50">
        <v>14</v>
      </c>
      <c r="C434" s="50" t="str">
        <f t="shared" si="84"/>
        <v>183-14</v>
      </c>
      <c r="D434" s="51" t="s">
        <v>405</v>
      </c>
      <c r="E434" s="52">
        <v>53084.13</v>
      </c>
      <c r="G434" s="52">
        <v>0</v>
      </c>
      <c r="H434" s="52">
        <v>0</v>
      </c>
      <c r="I434" s="52">
        <v>0</v>
      </c>
      <c r="K434" s="52">
        <f t="shared" si="94"/>
        <v>53084.13</v>
      </c>
      <c r="M434" s="52">
        <v>70500</v>
      </c>
      <c r="N434" s="53">
        <f t="shared" si="95"/>
        <v>0.75296638297872331</v>
      </c>
      <c r="R434" s="54">
        <f t="shared" si="96"/>
        <v>1486.3556399999998</v>
      </c>
      <c r="S434" s="54">
        <f t="shared" si="97"/>
        <v>371.58890999999994</v>
      </c>
      <c r="T434" s="54">
        <f t="shared" si="98"/>
        <v>0</v>
      </c>
    </row>
    <row r="435" spans="1:20" ht="12.75" customHeight="1" x14ac:dyDescent="0.25">
      <c r="A435" s="49">
        <v>183</v>
      </c>
      <c r="B435" s="50">
        <v>15</v>
      </c>
      <c r="C435" s="50" t="str">
        <f t="shared" si="84"/>
        <v>183-15</v>
      </c>
      <c r="D435" s="51" t="s">
        <v>407</v>
      </c>
      <c r="E435" s="52">
        <v>82406.37</v>
      </c>
      <c r="G435" s="52">
        <v>0</v>
      </c>
      <c r="H435" s="52">
        <v>0</v>
      </c>
      <c r="I435" s="52">
        <v>0</v>
      </c>
      <c r="K435" s="52">
        <f t="shared" si="94"/>
        <v>82406.37</v>
      </c>
      <c r="M435" s="52">
        <v>70500</v>
      </c>
      <c r="N435" s="53">
        <f t="shared" si="95"/>
        <v>1.1688846808510638</v>
      </c>
      <c r="R435" s="54">
        <f t="shared" si="96"/>
        <v>2307.3783599999997</v>
      </c>
      <c r="S435" s="54">
        <f t="shared" si="97"/>
        <v>576.84458999999993</v>
      </c>
      <c r="T435" s="54">
        <f t="shared" si="98"/>
        <v>412.03184999999996</v>
      </c>
    </row>
    <row r="436" spans="1:20" ht="12.75" customHeight="1" x14ac:dyDescent="0.25">
      <c r="A436" s="49">
        <v>183</v>
      </c>
      <c r="B436" s="50">
        <v>16</v>
      </c>
      <c r="C436" s="50" t="str">
        <f t="shared" si="84"/>
        <v>183-16</v>
      </c>
      <c r="D436" s="51"/>
      <c r="E436" s="52">
        <v>28405.87</v>
      </c>
      <c r="G436" s="52">
        <v>0</v>
      </c>
      <c r="H436" s="52">
        <v>0</v>
      </c>
      <c r="I436" s="52">
        <v>0</v>
      </c>
      <c r="K436" s="52">
        <f t="shared" si="94"/>
        <v>28405.87</v>
      </c>
      <c r="M436" s="52">
        <v>43560</v>
      </c>
      <c r="N436" s="53">
        <f t="shared" si="95"/>
        <v>0.65210904499540856</v>
      </c>
      <c r="R436" s="54">
        <f t="shared" si="96"/>
        <v>795.36435999999992</v>
      </c>
      <c r="S436" s="54">
        <f t="shared" si="97"/>
        <v>198.84108999999998</v>
      </c>
      <c r="T436" s="54">
        <f t="shared" si="98"/>
        <v>0</v>
      </c>
    </row>
    <row r="437" spans="1:20" ht="12.75" customHeight="1" x14ac:dyDescent="0.25">
      <c r="A437" s="49">
        <v>183</v>
      </c>
      <c r="B437" s="60">
        <v>777</v>
      </c>
      <c r="C437" s="50" t="str">
        <f t="shared" si="84"/>
        <v>183-777</v>
      </c>
      <c r="D437" s="51"/>
      <c r="E437" s="52">
        <v>1552.89</v>
      </c>
      <c r="G437" s="52">
        <v>0</v>
      </c>
      <c r="H437" s="52">
        <v>0</v>
      </c>
      <c r="I437" s="52">
        <v>0</v>
      </c>
      <c r="K437" s="52">
        <f t="shared" si="94"/>
        <v>1552.89</v>
      </c>
      <c r="M437" s="52"/>
      <c r="N437" s="53">
        <f t="shared" si="95"/>
        <v>0</v>
      </c>
      <c r="R437" s="54">
        <v>0</v>
      </c>
      <c r="S437" s="54">
        <f t="shared" si="97"/>
        <v>0</v>
      </c>
      <c r="T437" s="54">
        <f t="shared" si="98"/>
        <v>0</v>
      </c>
    </row>
    <row r="438" spans="1:20" ht="12.75" customHeight="1" x14ac:dyDescent="0.25">
      <c r="A438" s="49">
        <v>183</v>
      </c>
      <c r="B438" s="60"/>
      <c r="C438" s="50" t="str">
        <f t="shared" si="84"/>
        <v>183-</v>
      </c>
      <c r="D438" s="51"/>
      <c r="E438" s="52">
        <v>0</v>
      </c>
      <c r="G438" s="52">
        <v>0</v>
      </c>
      <c r="H438" s="52">
        <v>0</v>
      </c>
      <c r="I438" s="52">
        <v>0</v>
      </c>
      <c r="K438" s="52">
        <f t="shared" si="94"/>
        <v>0</v>
      </c>
      <c r="M438" s="52"/>
      <c r="N438" s="53">
        <f t="shared" si="95"/>
        <v>0</v>
      </c>
      <c r="R438" s="56">
        <f>SUM(R431:R437)</f>
        <v>8358.257599999999</v>
      </c>
      <c r="S438" s="56">
        <f>SUM(S431:S437)</f>
        <v>2089.5643999999998</v>
      </c>
      <c r="T438" s="56">
        <f>SUM(T431:T437)</f>
        <v>412.03184999999996</v>
      </c>
    </row>
    <row r="439" spans="1:20" ht="12.75" customHeight="1" x14ac:dyDescent="0.3">
      <c r="A439" s="49">
        <v>183</v>
      </c>
      <c r="B439" s="60"/>
      <c r="C439" s="50" t="str">
        <f t="shared" si="84"/>
        <v>183-</v>
      </c>
      <c r="D439" s="51"/>
      <c r="E439" s="52">
        <v>0</v>
      </c>
      <c r="G439" s="52">
        <v>0</v>
      </c>
      <c r="H439" s="52">
        <v>0</v>
      </c>
      <c r="I439" s="52">
        <v>0</v>
      </c>
      <c r="K439" s="52">
        <f t="shared" si="94"/>
        <v>0</v>
      </c>
      <c r="M439" s="73"/>
      <c r="N439" s="53">
        <f t="shared" si="95"/>
        <v>0</v>
      </c>
    </row>
    <row r="440" spans="1:20" ht="12.75" customHeight="1" x14ac:dyDescent="0.3">
      <c r="A440" s="49">
        <v>183</v>
      </c>
      <c r="B440" s="60"/>
      <c r="C440" s="50" t="str">
        <f t="shared" si="84"/>
        <v>183-</v>
      </c>
      <c r="D440" s="51"/>
      <c r="E440" s="52">
        <v>0</v>
      </c>
      <c r="G440" s="52">
        <v>0</v>
      </c>
      <c r="H440" s="52">
        <v>0</v>
      </c>
      <c r="I440" s="52">
        <v>0</v>
      </c>
      <c r="K440" s="52">
        <f t="shared" si="94"/>
        <v>0</v>
      </c>
      <c r="M440" s="73"/>
      <c r="N440" s="53">
        <f t="shared" si="95"/>
        <v>0</v>
      </c>
    </row>
    <row r="441" spans="1:20" ht="12.75" customHeight="1" x14ac:dyDescent="0.25">
      <c r="A441" s="49">
        <v>183</v>
      </c>
      <c r="B441" s="50"/>
      <c r="C441" s="50" t="str">
        <f t="shared" si="84"/>
        <v>183-</v>
      </c>
      <c r="D441" s="51"/>
      <c r="E441" s="52">
        <v>0</v>
      </c>
      <c r="G441" s="52">
        <v>0</v>
      </c>
      <c r="H441" s="52">
        <v>0</v>
      </c>
      <c r="I441" s="52">
        <v>0</v>
      </c>
      <c r="K441" s="52">
        <f t="shared" si="94"/>
        <v>0</v>
      </c>
      <c r="N441" s="53">
        <f t="shared" si="95"/>
        <v>0</v>
      </c>
    </row>
    <row r="442" spans="1:20" ht="12.75" customHeight="1" x14ac:dyDescent="0.25">
      <c r="A442" s="49">
        <v>183</v>
      </c>
      <c r="B442" s="50"/>
      <c r="C442" s="50" t="str">
        <f t="shared" si="84"/>
        <v>183-</v>
      </c>
      <c r="D442" s="51"/>
      <c r="E442" s="52">
        <v>0</v>
      </c>
      <c r="G442" s="52">
        <v>0</v>
      </c>
      <c r="H442" s="52">
        <v>0</v>
      </c>
      <c r="I442" s="52">
        <v>0</v>
      </c>
      <c r="K442" s="52">
        <f t="shared" si="94"/>
        <v>0</v>
      </c>
      <c r="N442" s="53">
        <f t="shared" si="95"/>
        <v>0</v>
      </c>
    </row>
    <row r="443" spans="1:20" ht="12.75" customHeight="1" x14ac:dyDescent="0.25">
      <c r="A443" s="49">
        <v>183</v>
      </c>
      <c r="B443" s="50"/>
      <c r="C443" s="50" t="str">
        <f t="shared" si="84"/>
        <v>183-</v>
      </c>
      <c r="D443" s="51"/>
      <c r="E443" s="52">
        <v>0</v>
      </c>
      <c r="G443" s="52">
        <v>0</v>
      </c>
      <c r="H443" s="52">
        <v>0</v>
      </c>
      <c r="I443" s="52">
        <v>0</v>
      </c>
      <c r="K443" s="52">
        <f t="shared" si="94"/>
        <v>0</v>
      </c>
      <c r="N443" s="53">
        <f t="shared" si="95"/>
        <v>0</v>
      </c>
    </row>
    <row r="444" spans="1:20" ht="12.75" customHeight="1" x14ac:dyDescent="0.25">
      <c r="A444" s="57" t="s">
        <v>459</v>
      </c>
      <c r="B444" s="58"/>
      <c r="C444" s="50" t="str">
        <f t="shared" si="84"/>
        <v>Total-</v>
      </c>
      <c r="D444" s="57"/>
      <c r="E444" s="59">
        <v>299412.09999999998</v>
      </c>
      <c r="F444" s="59">
        <v>0</v>
      </c>
      <c r="G444" s="59">
        <v>0</v>
      </c>
      <c r="H444" s="59">
        <v>649.99</v>
      </c>
      <c r="I444" s="59">
        <v>0</v>
      </c>
      <c r="J444" s="59">
        <v>0</v>
      </c>
      <c r="K444" s="59">
        <f>SUM(K431:K443)</f>
        <v>300062.09000000003</v>
      </c>
      <c r="M444" s="59">
        <f>SUM(M431:M443)</f>
        <v>396060</v>
      </c>
    </row>
    <row r="445" spans="1:20" ht="12.75" customHeight="1" x14ac:dyDescent="0.25">
      <c r="C445" s="50" t="str">
        <f t="shared" si="84"/>
        <v>-</v>
      </c>
    </row>
    <row r="446" spans="1:20" ht="12.75" customHeight="1" x14ac:dyDescent="0.25">
      <c r="C446" s="50" t="str">
        <f t="shared" si="84"/>
        <v>-</v>
      </c>
    </row>
    <row r="447" spans="1:20" ht="12.75" customHeight="1" x14ac:dyDescent="0.25">
      <c r="C447" s="50" t="str">
        <f t="shared" si="84"/>
        <v>-</v>
      </c>
    </row>
    <row r="448" spans="1:20" ht="12.75" customHeight="1" x14ac:dyDescent="0.25">
      <c r="A448" s="44" t="s">
        <v>454</v>
      </c>
      <c r="B448" s="45" t="s">
        <v>472</v>
      </c>
      <c r="C448" s="50" t="str">
        <f t="shared" si="84"/>
        <v>Loja-Cod</v>
      </c>
      <c r="D448" s="44" t="s">
        <v>473</v>
      </c>
      <c r="E448" s="45" t="s">
        <v>474</v>
      </c>
      <c r="F448" s="45" t="s">
        <v>475</v>
      </c>
      <c r="G448" s="45" t="s">
        <v>476</v>
      </c>
      <c r="H448" s="45" t="s">
        <v>477</v>
      </c>
      <c r="I448" s="45" t="s">
        <v>478</v>
      </c>
      <c r="J448" s="45" t="s">
        <v>479</v>
      </c>
      <c r="K448" s="45" t="s">
        <v>480</v>
      </c>
      <c r="M448" s="47" t="s">
        <v>481</v>
      </c>
      <c r="N448" s="47" t="s">
        <v>482</v>
      </c>
      <c r="P448" s="45" t="s">
        <v>483</v>
      </c>
      <c r="R448" s="48" t="s">
        <v>484</v>
      </c>
      <c r="S448" s="48" t="s">
        <v>466</v>
      </c>
      <c r="T448" s="48" t="s">
        <v>485</v>
      </c>
    </row>
    <row r="449" spans="1:20" ht="12.75" customHeight="1" x14ac:dyDescent="0.25">
      <c r="A449" s="49">
        <v>185</v>
      </c>
      <c r="B449" s="50">
        <v>1</v>
      </c>
      <c r="C449" s="50" t="str">
        <f t="shared" si="84"/>
        <v>185-1</v>
      </c>
      <c r="D449" s="51" t="s">
        <v>411</v>
      </c>
      <c r="E449" s="52">
        <v>1929.91</v>
      </c>
      <c r="G449" s="52">
        <v>0</v>
      </c>
      <c r="H449" s="52">
        <v>0</v>
      </c>
      <c r="I449" s="52">
        <v>0</v>
      </c>
      <c r="K449" s="52">
        <f t="shared" ref="K449:K461" si="99">SUM(E449:J449)</f>
        <v>1929.91</v>
      </c>
      <c r="M449" s="52"/>
      <c r="N449" s="53">
        <f t="shared" ref="N449:N461" si="100">IFERROR(K449/M449,)</f>
        <v>0</v>
      </c>
      <c r="P449" s="52">
        <v>433000</v>
      </c>
      <c r="R449" s="54">
        <v>0</v>
      </c>
      <c r="S449" s="54">
        <f>R449*25%</f>
        <v>0</v>
      </c>
      <c r="T449" s="54">
        <f>IF(N449&gt;1,K449*0.5%,0)</f>
        <v>0</v>
      </c>
    </row>
    <row r="450" spans="1:20" ht="12.75" customHeight="1" x14ac:dyDescent="0.25">
      <c r="A450" s="49">
        <v>185</v>
      </c>
      <c r="B450" s="50">
        <v>2</v>
      </c>
      <c r="C450" s="50" t="str">
        <f t="shared" si="84"/>
        <v>185-2</v>
      </c>
      <c r="D450" s="51" t="s">
        <v>413</v>
      </c>
      <c r="E450" s="52">
        <v>51971.77</v>
      </c>
      <c r="G450" s="52">
        <v>0</v>
      </c>
      <c r="H450" s="52">
        <v>79.989999999999995</v>
      </c>
      <c r="I450" s="52">
        <v>0</v>
      </c>
      <c r="K450" s="52">
        <f t="shared" si="99"/>
        <v>52051.759999999995</v>
      </c>
      <c r="M450" s="52">
        <v>68043</v>
      </c>
      <c r="N450" s="53">
        <f t="shared" si="100"/>
        <v>0.76498331937157382</v>
      </c>
      <c r="R450" s="54">
        <f t="shared" ref="R450:R456" si="101">K450*2.8%</f>
        <v>1457.4492799999996</v>
      </c>
      <c r="S450" s="54">
        <f t="shared" ref="S450:S456" si="102">R450*25%</f>
        <v>364.3623199999999</v>
      </c>
      <c r="T450" s="54">
        <f t="shared" ref="T450:T456" si="103">IF(N450&gt;1,K450*0.5%,0)</f>
        <v>0</v>
      </c>
    </row>
    <row r="451" spans="1:20" ht="12.75" customHeight="1" x14ac:dyDescent="0.25">
      <c r="A451" s="49">
        <v>185</v>
      </c>
      <c r="B451" s="50">
        <v>5</v>
      </c>
      <c r="C451" s="50" t="str">
        <f t="shared" si="84"/>
        <v>185-5</v>
      </c>
      <c r="D451" s="51" t="s">
        <v>420</v>
      </c>
      <c r="E451" s="52">
        <v>59908.68</v>
      </c>
      <c r="G451" s="52">
        <v>0</v>
      </c>
      <c r="H451" s="52">
        <v>0</v>
      </c>
      <c r="I451" s="52">
        <v>0</v>
      </c>
      <c r="K451" s="52">
        <f t="shared" si="99"/>
        <v>59908.68</v>
      </c>
      <c r="M451" s="52">
        <v>68043</v>
      </c>
      <c r="N451" s="53">
        <f t="shared" si="100"/>
        <v>0.8804532428023456</v>
      </c>
      <c r="R451" s="54">
        <f t="shared" si="101"/>
        <v>1677.4430399999999</v>
      </c>
      <c r="S451" s="54">
        <f t="shared" si="102"/>
        <v>419.36075999999997</v>
      </c>
      <c r="T451" s="54">
        <f t="shared" si="103"/>
        <v>0</v>
      </c>
    </row>
    <row r="452" spans="1:20" ht="12.75" customHeight="1" x14ac:dyDescent="0.25">
      <c r="A452" s="49">
        <v>185</v>
      </c>
      <c r="B452" s="50">
        <v>6</v>
      </c>
      <c r="C452" s="50" t="str">
        <f t="shared" ref="C452:C477" si="104">CONCATENATE(A452,"-",B452)</f>
        <v>185-6</v>
      </c>
      <c r="D452" s="51" t="s">
        <v>422</v>
      </c>
      <c r="E452" s="52">
        <v>43724.160000000003</v>
      </c>
      <c r="G452" s="52">
        <v>0</v>
      </c>
      <c r="H452" s="52">
        <v>0</v>
      </c>
      <c r="I452" s="52">
        <v>0</v>
      </c>
      <c r="K452" s="52">
        <f t="shared" si="99"/>
        <v>43724.160000000003</v>
      </c>
      <c r="M452" s="52">
        <v>68043</v>
      </c>
      <c r="N452" s="53">
        <f t="shared" si="100"/>
        <v>0.64259600546713114</v>
      </c>
      <c r="R452" s="54">
        <f t="shared" si="101"/>
        <v>1224.27648</v>
      </c>
      <c r="S452" s="54">
        <f t="shared" si="102"/>
        <v>306.06912</v>
      </c>
      <c r="T452" s="54">
        <f t="shared" si="103"/>
        <v>0</v>
      </c>
    </row>
    <row r="453" spans="1:20" ht="12.75" customHeight="1" x14ac:dyDescent="0.25">
      <c r="A453" s="49">
        <v>185</v>
      </c>
      <c r="B453" s="50">
        <v>7</v>
      </c>
      <c r="C453" s="50" t="str">
        <f t="shared" si="104"/>
        <v>185-7</v>
      </c>
      <c r="D453" s="51" t="s">
        <v>424</v>
      </c>
      <c r="E453" s="52">
        <v>30782.06</v>
      </c>
      <c r="G453" s="52">
        <v>0</v>
      </c>
      <c r="H453" s="52">
        <v>0</v>
      </c>
      <c r="I453" s="52">
        <v>0</v>
      </c>
      <c r="K453" s="52">
        <f t="shared" si="99"/>
        <v>30782.06</v>
      </c>
      <c r="M453" s="52">
        <v>68043</v>
      </c>
      <c r="N453" s="53">
        <f t="shared" si="100"/>
        <v>0.45239128198345169</v>
      </c>
      <c r="R453" s="54">
        <f t="shared" si="101"/>
        <v>861.89767999999992</v>
      </c>
      <c r="S453" s="54">
        <f t="shared" si="102"/>
        <v>215.47441999999998</v>
      </c>
      <c r="T453" s="54">
        <f t="shared" si="103"/>
        <v>0</v>
      </c>
    </row>
    <row r="454" spans="1:20" ht="12.75" customHeight="1" x14ac:dyDescent="0.25">
      <c r="A454" s="49">
        <v>185</v>
      </c>
      <c r="B454" s="50">
        <v>8</v>
      </c>
      <c r="C454" s="50" t="str">
        <f t="shared" si="104"/>
        <v>185-8</v>
      </c>
      <c r="D454" s="51" t="s">
        <v>426</v>
      </c>
      <c r="E454" s="52">
        <v>58974.99</v>
      </c>
      <c r="G454" s="52">
        <v>0</v>
      </c>
      <c r="H454" s="52">
        <v>0</v>
      </c>
      <c r="I454" s="52">
        <v>0</v>
      </c>
      <c r="K454" s="52">
        <f t="shared" si="99"/>
        <v>58974.99</v>
      </c>
      <c r="M454" s="52">
        <v>68043</v>
      </c>
      <c r="N454" s="53">
        <f t="shared" si="100"/>
        <v>0.86673118469203292</v>
      </c>
      <c r="R454" s="54">
        <f t="shared" si="101"/>
        <v>1651.2997199999998</v>
      </c>
      <c r="S454" s="54">
        <f t="shared" si="102"/>
        <v>412.82492999999994</v>
      </c>
      <c r="T454" s="54">
        <f t="shared" si="103"/>
        <v>0</v>
      </c>
    </row>
    <row r="455" spans="1:20" ht="12.75" customHeight="1" x14ac:dyDescent="0.25">
      <c r="A455" s="49">
        <v>185</v>
      </c>
      <c r="B455" s="60">
        <v>10</v>
      </c>
      <c r="C455" s="50" t="str">
        <f t="shared" si="104"/>
        <v>185-10</v>
      </c>
      <c r="D455" s="51" t="s">
        <v>430</v>
      </c>
      <c r="E455" s="52">
        <v>41373.57</v>
      </c>
      <c r="G455" s="52">
        <v>0</v>
      </c>
      <c r="H455" s="52">
        <v>0</v>
      </c>
      <c r="I455" s="52">
        <v>0</v>
      </c>
      <c r="K455" s="52">
        <f t="shared" si="99"/>
        <v>41373.57</v>
      </c>
      <c r="M455" s="52">
        <v>68043</v>
      </c>
      <c r="N455" s="53">
        <f t="shared" si="100"/>
        <v>0.60805035051364575</v>
      </c>
      <c r="R455" s="54">
        <f t="shared" si="101"/>
        <v>1158.4599599999999</v>
      </c>
      <c r="S455" s="54">
        <f t="shared" si="102"/>
        <v>289.61498999999998</v>
      </c>
      <c r="T455" s="54">
        <f t="shared" si="103"/>
        <v>0</v>
      </c>
    </row>
    <row r="456" spans="1:20" ht="12.75" customHeight="1" x14ac:dyDescent="0.25">
      <c r="A456" s="49">
        <v>185</v>
      </c>
      <c r="B456" s="60">
        <v>11</v>
      </c>
      <c r="C456" s="50" t="str">
        <f t="shared" si="104"/>
        <v>185-11</v>
      </c>
      <c r="D456" s="51" t="s">
        <v>432</v>
      </c>
      <c r="E456" s="52">
        <v>38633.11</v>
      </c>
      <c r="G456" s="52">
        <v>0</v>
      </c>
      <c r="H456" s="52">
        <v>0</v>
      </c>
      <c r="I456" s="52">
        <v>0</v>
      </c>
      <c r="K456" s="52">
        <f t="shared" si="99"/>
        <v>38633.11</v>
      </c>
      <c r="M456" s="52">
        <v>68043</v>
      </c>
      <c r="N456" s="53">
        <f t="shared" si="100"/>
        <v>0.56777493643725296</v>
      </c>
      <c r="R456" s="54">
        <f t="shared" si="101"/>
        <v>1081.7270799999999</v>
      </c>
      <c r="S456" s="54">
        <f t="shared" si="102"/>
        <v>270.43176999999997</v>
      </c>
      <c r="T456" s="54">
        <f t="shared" si="103"/>
        <v>0</v>
      </c>
    </row>
    <row r="457" spans="1:20" ht="12.75" customHeight="1" x14ac:dyDescent="0.3">
      <c r="A457" s="49">
        <v>185</v>
      </c>
      <c r="B457" s="60"/>
      <c r="C457" s="50" t="str">
        <f t="shared" si="104"/>
        <v>185-</v>
      </c>
      <c r="D457" s="51"/>
      <c r="E457" s="52">
        <v>0</v>
      </c>
      <c r="G457" s="52">
        <v>0</v>
      </c>
      <c r="H457" s="52">
        <v>0</v>
      </c>
      <c r="I457" s="52">
        <v>0</v>
      </c>
      <c r="K457" s="52">
        <f t="shared" si="99"/>
        <v>0</v>
      </c>
      <c r="M457" s="73"/>
      <c r="N457" s="53">
        <f t="shared" si="100"/>
        <v>0</v>
      </c>
      <c r="R457" s="56">
        <f>SUM(R449:R456)</f>
        <v>9112.5532399999993</v>
      </c>
      <c r="S457" s="56">
        <f>SUM(S449:S456)</f>
        <v>2278.1383099999998</v>
      </c>
      <c r="T457" s="56">
        <f>SUM(T449:T456)</f>
        <v>0</v>
      </c>
    </row>
    <row r="458" spans="1:20" ht="12.75" customHeight="1" x14ac:dyDescent="0.3">
      <c r="A458" s="49">
        <v>185</v>
      </c>
      <c r="B458" s="60"/>
      <c r="C458" s="50" t="str">
        <f t="shared" si="104"/>
        <v>185-</v>
      </c>
      <c r="D458" s="51"/>
      <c r="E458" s="52">
        <v>0</v>
      </c>
      <c r="G458" s="52">
        <v>0</v>
      </c>
      <c r="H458" s="52">
        <v>0</v>
      </c>
      <c r="I458" s="52">
        <v>0</v>
      </c>
      <c r="K458" s="52">
        <f t="shared" si="99"/>
        <v>0</v>
      </c>
      <c r="M458" s="73"/>
      <c r="N458" s="53">
        <f t="shared" si="100"/>
        <v>0</v>
      </c>
    </row>
    <row r="459" spans="1:20" ht="12.75" customHeight="1" x14ac:dyDescent="0.25">
      <c r="A459" s="49">
        <v>185</v>
      </c>
      <c r="B459" s="50"/>
      <c r="C459" s="50" t="str">
        <f t="shared" si="104"/>
        <v>185-</v>
      </c>
      <c r="D459" s="51"/>
      <c r="E459" s="52">
        <v>0</v>
      </c>
      <c r="G459" s="52">
        <v>0</v>
      </c>
      <c r="H459" s="52">
        <v>0</v>
      </c>
      <c r="I459" s="52">
        <v>0</v>
      </c>
      <c r="K459" s="52">
        <f t="shared" si="99"/>
        <v>0</v>
      </c>
      <c r="N459" s="53">
        <f t="shared" si="100"/>
        <v>0</v>
      </c>
    </row>
    <row r="460" spans="1:20" ht="12.75" customHeight="1" x14ac:dyDescent="0.25">
      <c r="A460" s="49">
        <v>185</v>
      </c>
      <c r="B460" s="50"/>
      <c r="C460" s="50" t="str">
        <f t="shared" si="104"/>
        <v>185-</v>
      </c>
      <c r="D460" s="51"/>
      <c r="E460" s="52">
        <v>0</v>
      </c>
      <c r="G460" s="52">
        <v>0</v>
      </c>
      <c r="H460" s="52">
        <v>0</v>
      </c>
      <c r="I460" s="52">
        <v>0</v>
      </c>
      <c r="K460" s="52">
        <f t="shared" si="99"/>
        <v>0</v>
      </c>
      <c r="N460" s="53">
        <f t="shared" si="100"/>
        <v>0</v>
      </c>
    </row>
    <row r="461" spans="1:20" ht="12.75" customHeight="1" x14ac:dyDescent="0.25">
      <c r="A461" s="49">
        <v>185</v>
      </c>
      <c r="B461" s="50"/>
      <c r="C461" s="50" t="str">
        <f t="shared" si="104"/>
        <v>185-</v>
      </c>
      <c r="D461" s="51"/>
      <c r="E461" s="52">
        <v>0</v>
      </c>
      <c r="G461" s="52">
        <v>0</v>
      </c>
      <c r="H461" s="52">
        <v>0</v>
      </c>
      <c r="I461" s="52">
        <v>0</v>
      </c>
      <c r="K461" s="52">
        <f t="shared" si="99"/>
        <v>0</v>
      </c>
      <c r="N461" s="53">
        <f t="shared" si="100"/>
        <v>0</v>
      </c>
    </row>
    <row r="462" spans="1:20" ht="12.75" customHeight="1" x14ac:dyDescent="0.25">
      <c r="A462" s="57" t="s">
        <v>459</v>
      </c>
      <c r="B462" s="58"/>
      <c r="C462" s="50" t="str">
        <f t="shared" si="104"/>
        <v>Total-</v>
      </c>
      <c r="D462" s="57"/>
      <c r="E462" s="59">
        <v>327298.25</v>
      </c>
      <c r="F462" s="59">
        <v>0</v>
      </c>
      <c r="G462" s="59">
        <v>0</v>
      </c>
      <c r="H462" s="59">
        <v>79.989999999999995</v>
      </c>
      <c r="I462" s="59">
        <v>0</v>
      </c>
      <c r="J462" s="59">
        <v>0</v>
      </c>
      <c r="K462" s="59">
        <f>SUM(K449:K461)</f>
        <v>327378.24</v>
      </c>
      <c r="M462" s="59">
        <f>SUM(M449:M461)</f>
        <v>476301</v>
      </c>
    </row>
    <row r="463" spans="1:20" ht="12.75" customHeight="1" x14ac:dyDescent="0.25">
      <c r="C463" s="50" t="str">
        <f t="shared" si="104"/>
        <v>-</v>
      </c>
    </row>
    <row r="464" spans="1:20" ht="12.75" customHeight="1" x14ac:dyDescent="0.25">
      <c r="C464" s="50" t="str">
        <f t="shared" si="104"/>
        <v>-</v>
      </c>
    </row>
    <row r="465" spans="1:20" ht="12.75" customHeight="1" x14ac:dyDescent="0.25">
      <c r="C465" s="50" t="str">
        <f t="shared" si="104"/>
        <v>-</v>
      </c>
    </row>
    <row r="466" spans="1:20" ht="12.75" customHeight="1" x14ac:dyDescent="0.25">
      <c r="A466" s="44" t="s">
        <v>454</v>
      </c>
      <c r="B466" s="45" t="s">
        <v>472</v>
      </c>
      <c r="C466" s="50" t="str">
        <f t="shared" si="104"/>
        <v>Loja-Cod</v>
      </c>
      <c r="D466" s="44" t="s">
        <v>473</v>
      </c>
      <c r="E466" s="45" t="s">
        <v>474</v>
      </c>
      <c r="F466" s="45" t="s">
        <v>475</v>
      </c>
      <c r="G466" s="45" t="s">
        <v>476</v>
      </c>
      <c r="H466" s="45" t="s">
        <v>477</v>
      </c>
      <c r="I466" s="45" t="s">
        <v>478</v>
      </c>
      <c r="J466" s="45" t="s">
        <v>479</v>
      </c>
      <c r="K466" s="45" t="s">
        <v>480</v>
      </c>
      <c r="M466" s="47" t="s">
        <v>481</v>
      </c>
      <c r="N466" s="47" t="s">
        <v>482</v>
      </c>
      <c r="P466" s="45" t="s">
        <v>483</v>
      </c>
      <c r="R466" s="48" t="s">
        <v>484</v>
      </c>
      <c r="S466" s="48" t="s">
        <v>466</v>
      </c>
      <c r="T466" s="48" t="s">
        <v>485</v>
      </c>
    </row>
    <row r="467" spans="1:20" ht="12.75" customHeight="1" x14ac:dyDescent="0.25">
      <c r="A467" s="49">
        <v>200</v>
      </c>
      <c r="B467" s="50">
        <v>74</v>
      </c>
      <c r="C467" s="50" t="str">
        <f t="shared" si="104"/>
        <v>200-74</v>
      </c>
      <c r="D467" s="51" t="s">
        <v>434</v>
      </c>
      <c r="E467" s="52">
        <v>58223.18</v>
      </c>
      <c r="G467" s="52">
        <v>0</v>
      </c>
      <c r="H467" s="52">
        <v>399.99</v>
      </c>
      <c r="I467" s="52">
        <v>0</v>
      </c>
      <c r="K467" s="52">
        <f t="shared" ref="K467:K477" si="105">SUM(E467:J467)</f>
        <v>58623.17</v>
      </c>
      <c r="M467" s="52">
        <v>39784</v>
      </c>
      <c r="N467" s="53">
        <f t="shared" ref="N467:N477" si="106">IFERROR(K467/M467,)</f>
        <v>1.4735363462698572</v>
      </c>
      <c r="P467" s="52">
        <v>217000</v>
      </c>
      <c r="R467" s="54">
        <f>K467*2.8%</f>
        <v>1641.4487599999998</v>
      </c>
      <c r="S467" s="54">
        <f>R467*25%</f>
        <v>410.36218999999994</v>
      </c>
      <c r="T467" s="54">
        <f>IF(N467&gt;1,K467*0.5%,0)</f>
        <v>293.11585000000002</v>
      </c>
    </row>
    <row r="468" spans="1:20" ht="12.75" customHeight="1" x14ac:dyDescent="0.25">
      <c r="A468" s="49">
        <v>200</v>
      </c>
      <c r="B468" s="50">
        <v>82</v>
      </c>
      <c r="C468" s="50" t="str">
        <f t="shared" si="104"/>
        <v>200-82</v>
      </c>
      <c r="D468" s="51" t="s">
        <v>555</v>
      </c>
      <c r="E468" s="52">
        <v>37378.269999999997</v>
      </c>
      <c r="G468" s="52">
        <v>0</v>
      </c>
      <c r="H468" s="52">
        <v>0</v>
      </c>
      <c r="I468" s="52">
        <v>0</v>
      </c>
      <c r="K468" s="52">
        <f t="shared" si="105"/>
        <v>37378.269999999997</v>
      </c>
      <c r="M468" s="52">
        <v>39784</v>
      </c>
      <c r="N468" s="53">
        <f t="shared" si="106"/>
        <v>0.93953021315101537</v>
      </c>
      <c r="R468" s="54">
        <f t="shared" ref="R468:R473" si="107">K468*2.8%</f>
        <v>1046.5915599999998</v>
      </c>
      <c r="S468" s="54">
        <f t="shared" ref="S468:S473" si="108">R468*25%</f>
        <v>261.64788999999996</v>
      </c>
      <c r="T468" s="54">
        <f t="shared" ref="T468:T473" si="109">IF(N468&gt;1,K468*0.5%,0)</f>
        <v>0</v>
      </c>
    </row>
    <row r="469" spans="1:20" ht="12.75" customHeight="1" x14ac:dyDescent="0.25">
      <c r="A469" s="49">
        <v>200</v>
      </c>
      <c r="B469" s="50">
        <v>120</v>
      </c>
      <c r="C469" s="50" t="str">
        <f t="shared" si="104"/>
        <v>200-120</v>
      </c>
      <c r="D469" s="51" t="s">
        <v>556</v>
      </c>
      <c r="E469" s="52">
        <v>25198.01</v>
      </c>
      <c r="G469" s="52">
        <v>0</v>
      </c>
      <c r="H469" s="52">
        <v>0</v>
      </c>
      <c r="I469" s="52">
        <v>0</v>
      </c>
      <c r="K469" s="52">
        <f t="shared" si="105"/>
        <v>25198.01</v>
      </c>
      <c r="M469" s="52">
        <v>39784</v>
      </c>
      <c r="N469" s="53">
        <f>IFERROR(K469/M469,)</f>
        <v>0.63337045043233453</v>
      </c>
      <c r="R469" s="54">
        <f t="shared" si="107"/>
        <v>705.54427999999984</v>
      </c>
      <c r="S469" s="54">
        <f t="shared" si="108"/>
        <v>176.38606999999996</v>
      </c>
      <c r="T469" s="54">
        <f t="shared" si="109"/>
        <v>0</v>
      </c>
    </row>
    <row r="470" spans="1:20" ht="12.75" customHeight="1" x14ac:dyDescent="0.25">
      <c r="A470" s="49">
        <v>200</v>
      </c>
      <c r="B470" s="50">
        <v>128</v>
      </c>
      <c r="C470" s="50" t="str">
        <f t="shared" si="104"/>
        <v>200-128</v>
      </c>
      <c r="D470" s="51"/>
      <c r="E470" s="52">
        <v>-400.2</v>
      </c>
      <c r="G470" s="52">
        <v>0</v>
      </c>
      <c r="H470" s="52">
        <v>0</v>
      </c>
      <c r="I470" s="52">
        <v>0</v>
      </c>
      <c r="K470" s="52">
        <f t="shared" si="105"/>
        <v>-400.2</v>
      </c>
      <c r="M470" s="52"/>
      <c r="N470" s="53">
        <f t="shared" si="106"/>
        <v>0</v>
      </c>
      <c r="R470" s="54">
        <v>0</v>
      </c>
      <c r="S470" s="54">
        <f t="shared" si="108"/>
        <v>0</v>
      </c>
      <c r="T470" s="54">
        <f t="shared" si="109"/>
        <v>0</v>
      </c>
    </row>
    <row r="471" spans="1:20" ht="12.75" customHeight="1" x14ac:dyDescent="0.25">
      <c r="A471" s="49">
        <v>200</v>
      </c>
      <c r="B471" s="50">
        <v>129</v>
      </c>
      <c r="C471" s="50" t="str">
        <f t="shared" si="104"/>
        <v>200-129</v>
      </c>
      <c r="D471" s="51" t="s">
        <v>442</v>
      </c>
      <c r="E471" s="52">
        <v>48005.66</v>
      </c>
      <c r="G471" s="52">
        <v>0</v>
      </c>
      <c r="H471" s="52">
        <v>0</v>
      </c>
      <c r="I471" s="52">
        <v>0</v>
      </c>
      <c r="K471" s="52">
        <f t="shared" si="105"/>
        <v>48005.66</v>
      </c>
      <c r="M471" s="52">
        <v>39784</v>
      </c>
      <c r="N471" s="53">
        <f t="shared" si="106"/>
        <v>1.2066574502312488</v>
      </c>
      <c r="R471" s="54">
        <f t="shared" si="107"/>
        <v>1344.1584800000001</v>
      </c>
      <c r="S471" s="54">
        <f t="shared" si="108"/>
        <v>336.03962000000001</v>
      </c>
      <c r="T471" s="54">
        <f t="shared" si="109"/>
        <v>240.02830000000003</v>
      </c>
    </row>
    <row r="472" spans="1:20" ht="12.75" customHeight="1" x14ac:dyDescent="0.25">
      <c r="A472" s="49">
        <v>200</v>
      </c>
      <c r="B472" s="50">
        <v>132</v>
      </c>
      <c r="C472" s="50" t="str">
        <f t="shared" si="104"/>
        <v>200-132</v>
      </c>
      <c r="D472" s="51" t="s">
        <v>557</v>
      </c>
      <c r="E472" s="52">
        <v>53712.55</v>
      </c>
      <c r="G472" s="52">
        <v>0</v>
      </c>
      <c r="H472" s="52">
        <v>0</v>
      </c>
      <c r="I472" s="52">
        <v>0</v>
      </c>
      <c r="K472" s="52">
        <f t="shared" si="105"/>
        <v>53712.55</v>
      </c>
      <c r="M472" s="52">
        <v>39784</v>
      </c>
      <c r="N472" s="53">
        <f t="shared" si="106"/>
        <v>1.3501043132917756</v>
      </c>
      <c r="R472" s="54">
        <f t="shared" si="107"/>
        <v>1503.9513999999999</v>
      </c>
      <c r="S472" s="54">
        <f t="shared" si="108"/>
        <v>375.98784999999998</v>
      </c>
      <c r="T472" s="54">
        <f t="shared" si="109"/>
        <v>268.56274999999999</v>
      </c>
    </row>
    <row r="473" spans="1:20" ht="12.75" customHeight="1" x14ac:dyDescent="0.25">
      <c r="A473" s="49">
        <v>200</v>
      </c>
      <c r="B473" s="60">
        <v>135</v>
      </c>
      <c r="C473" s="50" t="str">
        <f t="shared" si="104"/>
        <v>200-135</v>
      </c>
      <c r="D473" s="51" t="s">
        <v>450</v>
      </c>
      <c r="E473" s="52">
        <v>26443.65</v>
      </c>
      <c r="G473" s="52">
        <v>0</v>
      </c>
      <c r="H473" s="52">
        <v>349.99</v>
      </c>
      <c r="I473" s="52">
        <v>0</v>
      </c>
      <c r="K473" s="52">
        <f t="shared" si="105"/>
        <v>26793.640000000003</v>
      </c>
      <c r="M473" s="52">
        <v>39784</v>
      </c>
      <c r="N473" s="53">
        <f t="shared" si="106"/>
        <v>0.67347778001206526</v>
      </c>
      <c r="R473" s="54">
        <f t="shared" si="107"/>
        <v>750.22191999999995</v>
      </c>
      <c r="S473" s="54">
        <f t="shared" si="108"/>
        <v>187.55547999999999</v>
      </c>
      <c r="T473" s="54">
        <f t="shared" si="109"/>
        <v>0</v>
      </c>
    </row>
    <row r="474" spans="1:20" ht="12.75" customHeight="1" x14ac:dyDescent="0.25">
      <c r="A474" s="49">
        <v>200</v>
      </c>
      <c r="B474" s="50"/>
      <c r="C474" s="50" t="str">
        <f t="shared" si="104"/>
        <v>200-</v>
      </c>
      <c r="D474" s="51"/>
      <c r="E474" s="52">
        <v>0</v>
      </c>
      <c r="G474" s="52">
        <v>0</v>
      </c>
      <c r="H474" s="52">
        <v>0</v>
      </c>
      <c r="I474" s="52">
        <v>0</v>
      </c>
      <c r="K474" s="52">
        <f t="shared" si="105"/>
        <v>0</v>
      </c>
      <c r="M474" s="52"/>
      <c r="N474" s="53">
        <f t="shared" si="106"/>
        <v>0</v>
      </c>
      <c r="R474" s="56">
        <f>SUM(R467:R473)</f>
        <v>6991.9163999999992</v>
      </c>
      <c r="S474" s="56">
        <f>SUM(S467:S473)</f>
        <v>1747.9790999999998</v>
      </c>
      <c r="T474" s="56">
        <f>SUM(T467:T473)</f>
        <v>801.70690000000013</v>
      </c>
    </row>
    <row r="475" spans="1:20" ht="12.75" customHeight="1" x14ac:dyDescent="0.25">
      <c r="A475" s="49">
        <v>200</v>
      </c>
      <c r="B475" s="50"/>
      <c r="C475" s="50" t="str">
        <f t="shared" si="104"/>
        <v>200-</v>
      </c>
      <c r="D475" s="51"/>
      <c r="E475" s="52">
        <v>0</v>
      </c>
      <c r="G475" s="52">
        <v>0</v>
      </c>
      <c r="H475" s="52">
        <v>0</v>
      </c>
      <c r="I475" s="52">
        <v>0</v>
      </c>
      <c r="K475" s="52">
        <f t="shared" si="105"/>
        <v>0</v>
      </c>
      <c r="M475" s="52"/>
      <c r="N475" s="53">
        <f t="shared" si="106"/>
        <v>0</v>
      </c>
    </row>
    <row r="476" spans="1:20" ht="12.75" customHeight="1" x14ac:dyDescent="0.25">
      <c r="A476" s="49">
        <v>200</v>
      </c>
      <c r="B476" s="50"/>
      <c r="C476" s="50" t="str">
        <f t="shared" si="104"/>
        <v>200-</v>
      </c>
      <c r="D476" s="51"/>
      <c r="E476" s="52">
        <v>0</v>
      </c>
      <c r="G476" s="52">
        <v>0</v>
      </c>
      <c r="H476" s="52">
        <v>0</v>
      </c>
      <c r="I476" s="52">
        <v>0</v>
      </c>
      <c r="K476" s="52">
        <f t="shared" si="105"/>
        <v>0</v>
      </c>
      <c r="M476" s="52"/>
      <c r="N476" s="53">
        <f t="shared" si="106"/>
        <v>0</v>
      </c>
    </row>
    <row r="477" spans="1:20" ht="12.75" customHeight="1" x14ac:dyDescent="0.25">
      <c r="A477" s="49">
        <v>200</v>
      </c>
      <c r="B477" s="50"/>
      <c r="C477" s="50" t="str">
        <f t="shared" si="104"/>
        <v>200-</v>
      </c>
      <c r="D477" s="51"/>
      <c r="E477" s="52">
        <v>0</v>
      </c>
      <c r="G477" s="52">
        <v>0</v>
      </c>
      <c r="H477" s="52">
        <v>0</v>
      </c>
      <c r="I477" s="52">
        <v>0</v>
      </c>
      <c r="K477" s="52">
        <f t="shared" si="105"/>
        <v>0</v>
      </c>
      <c r="M477" s="52"/>
      <c r="N477" s="53">
        <f t="shared" si="106"/>
        <v>0</v>
      </c>
    </row>
    <row r="478" spans="1:20" ht="12.75" customHeight="1" x14ac:dyDescent="0.25">
      <c r="A478" s="57" t="s">
        <v>459</v>
      </c>
      <c r="B478" s="58"/>
      <c r="C478" s="58"/>
      <c r="D478" s="57"/>
      <c r="E478" s="59">
        <v>248561.11999999997</v>
      </c>
      <c r="F478" s="59">
        <v>0</v>
      </c>
      <c r="G478" s="59">
        <v>0</v>
      </c>
      <c r="H478" s="59">
        <v>749.98</v>
      </c>
      <c r="I478" s="59">
        <v>0</v>
      </c>
      <c r="J478" s="59">
        <v>0</v>
      </c>
      <c r="K478" s="59">
        <f>SUM(K467:K477)</f>
        <v>249311.10000000003</v>
      </c>
      <c r="M478" s="59">
        <f>SUM(M467:M477)</f>
        <v>238704</v>
      </c>
    </row>
    <row r="479" spans="1:20" ht="12.75" customHeight="1" x14ac:dyDescent="0.25">
      <c r="S479" s="74" t="s">
        <v>459</v>
      </c>
    </row>
    <row r="480" spans="1:20" ht="12.75" customHeight="1" x14ac:dyDescent="0.25">
      <c r="R480" s="48" t="s">
        <v>484</v>
      </c>
      <c r="S480" s="48" t="s">
        <v>466</v>
      </c>
      <c r="T480" s="48" t="s">
        <v>485</v>
      </c>
    </row>
    <row r="481" spans="1:20" ht="12.75" customHeight="1" x14ac:dyDescent="0.25">
      <c r="R481" s="55">
        <f>SUM(R11,R27,R41,R58,R75,R90,R110,R127,R143,R159,R176,R196,R210,R233,R244,R261,R280,R295,R312,R331,R351,R368,R386,R402,R422,R438,R457,R474)</f>
        <v>256316.88738000006</v>
      </c>
      <c r="S481" s="55">
        <f>SUM(S11,S27,S41,S58,S75,S90,S110,S127,S143,S159,S176,S196,S210,S233,S244,S261,S280,S295,S312,S331,S351,S368,S386,S402,S422,S438,S457,S474)</f>
        <v>64079.221845000015</v>
      </c>
      <c r="T481" s="55">
        <f>SUM(T11,T27,T41,T58,T75,T90,T110,T127,T143,T159,T176,T196,T210,T233,T244,T261,T280,T295,T312,T331,T351,T368,T386,T402,T422,T438,T457,T474)</f>
        <v>24417.8884</v>
      </c>
    </row>
    <row r="482" spans="1:20" ht="12.75" customHeight="1" x14ac:dyDescent="0.25">
      <c r="A482" s="75" t="s">
        <v>558</v>
      </c>
      <c r="B482" s="76"/>
      <c r="C482" s="76"/>
      <c r="D482" s="75"/>
      <c r="E482" s="77">
        <v>8982662.2699999977</v>
      </c>
      <c r="F482" s="77">
        <v>899.99</v>
      </c>
      <c r="G482" s="77">
        <v>0</v>
      </c>
      <c r="H482" s="77">
        <v>30824.350000000006</v>
      </c>
      <c r="I482" s="77">
        <v>13640.71</v>
      </c>
      <c r="J482" s="77">
        <v>0</v>
      </c>
      <c r="K482" s="77">
        <f>K478+K407+K391+K373+K355+K336+K318+K301+K284+K267+K250+K233+K216+K199+K182+K165+K148+K131+K114+K97+K80+K64+K47+K30+K14+K426+K444+K462</f>
        <v>8779977.6400000006</v>
      </c>
      <c r="P482" s="77">
        <v>9304000</v>
      </c>
    </row>
    <row r="483" spans="1:20" ht="12.75" customHeight="1" x14ac:dyDescent="0.25"/>
    <row r="484" spans="1:20" ht="12.75" customHeight="1" x14ac:dyDescent="0.25">
      <c r="E484" s="52">
        <v>8734101.1499999985</v>
      </c>
      <c r="F484" s="52">
        <v>899.99</v>
      </c>
      <c r="G484" s="52">
        <v>0</v>
      </c>
      <c r="H484" s="52">
        <v>30074.370000000006</v>
      </c>
      <c r="I484" s="52">
        <v>13640.71</v>
      </c>
      <c r="J484" s="52">
        <v>0</v>
      </c>
      <c r="K484" s="52">
        <f>K482-K478</f>
        <v>8530666.540000001</v>
      </c>
    </row>
    <row r="485" spans="1:20" ht="12.75" customHeight="1" x14ac:dyDescent="0.25"/>
    <row r="486" spans="1:20" ht="12.75" customHeight="1" x14ac:dyDescent="0.25"/>
    <row r="487" spans="1:20" ht="12.75" customHeight="1" x14ac:dyDescent="0.25"/>
    <row r="488" spans="1:20" ht="12.75" customHeight="1" x14ac:dyDescent="0.25"/>
    <row r="489" spans="1:20" ht="12.75" customHeight="1" x14ac:dyDescent="0.25"/>
    <row r="490" spans="1:20" ht="12.75" customHeight="1" x14ac:dyDescent="0.25"/>
    <row r="491" spans="1:20" ht="12.75" customHeight="1" x14ac:dyDescent="0.25"/>
    <row r="492" spans="1:20" ht="12.75" customHeight="1" x14ac:dyDescent="0.25"/>
    <row r="493" spans="1:20" ht="12.75" customHeight="1" x14ac:dyDescent="0.25"/>
    <row r="494" spans="1:20" ht="12.75" customHeight="1" x14ac:dyDescent="0.25"/>
    <row r="495" spans="1:20" ht="12.75" customHeight="1" x14ac:dyDescent="0.25"/>
    <row r="496" spans="1:20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</sheetData>
  <conditionalFormatting sqref="N3">
    <cfRule type="cellIs" dxfId="38" priority="36" stopIfTrue="1" operator="greaterThan">
      <formula>0.999999999999999</formula>
    </cfRule>
  </conditionalFormatting>
  <conditionalFormatting sqref="N4:N13">
    <cfRule type="cellIs" dxfId="37" priority="35" stopIfTrue="1" operator="greaterThan">
      <formula>0.999999999999999</formula>
    </cfRule>
  </conditionalFormatting>
  <conditionalFormatting sqref="N19:N29">
    <cfRule type="cellIs" dxfId="36" priority="34" stopIfTrue="1" operator="greaterThan">
      <formula>0.999999999999999</formula>
    </cfRule>
  </conditionalFormatting>
  <conditionalFormatting sqref="N36:N46">
    <cfRule type="cellIs" dxfId="35" priority="33" stopIfTrue="1" operator="greaterThan">
      <formula>0.999999999999999</formula>
    </cfRule>
  </conditionalFormatting>
  <conditionalFormatting sqref="N53:N63">
    <cfRule type="cellIs" dxfId="34" priority="32" stopIfTrue="1" operator="greaterThan">
      <formula>0.999999999999999</formula>
    </cfRule>
  </conditionalFormatting>
  <conditionalFormatting sqref="N69:N79">
    <cfRule type="cellIs" dxfId="33" priority="31" stopIfTrue="1" operator="greaterThan">
      <formula>0.999999999999999</formula>
    </cfRule>
  </conditionalFormatting>
  <conditionalFormatting sqref="N86:N96">
    <cfRule type="cellIs" dxfId="32" priority="30" stopIfTrue="1" operator="greaterThan">
      <formula>0.999999999999999</formula>
    </cfRule>
  </conditionalFormatting>
  <conditionalFormatting sqref="N103:N113">
    <cfRule type="cellIs" dxfId="31" priority="29" stopIfTrue="1" operator="greaterThan">
      <formula>0.999999999999999</formula>
    </cfRule>
  </conditionalFormatting>
  <conditionalFormatting sqref="N120:N130">
    <cfRule type="cellIs" dxfId="30" priority="28" stopIfTrue="1" operator="greaterThan">
      <formula>0.999999999999999</formula>
    </cfRule>
  </conditionalFormatting>
  <conditionalFormatting sqref="N137:N147">
    <cfRule type="cellIs" dxfId="29" priority="27" stopIfTrue="1" operator="greaterThan">
      <formula>0.999999999999999</formula>
    </cfRule>
  </conditionalFormatting>
  <conditionalFormatting sqref="N154:N164">
    <cfRule type="cellIs" dxfId="28" priority="26" stopIfTrue="1" operator="greaterThan">
      <formula>0.999999999999999</formula>
    </cfRule>
  </conditionalFormatting>
  <conditionalFormatting sqref="N171:N181">
    <cfRule type="cellIs" dxfId="27" priority="25" stopIfTrue="1" operator="greaterThan">
      <formula>0.999999999999999</formula>
    </cfRule>
  </conditionalFormatting>
  <conditionalFormatting sqref="N188:N198">
    <cfRule type="cellIs" dxfId="26" priority="24" stopIfTrue="1" operator="greaterThan">
      <formula>0.999999999999999</formula>
    </cfRule>
  </conditionalFormatting>
  <conditionalFormatting sqref="N205:N215">
    <cfRule type="cellIs" dxfId="25" priority="23" stopIfTrue="1" operator="greaterThan">
      <formula>0.999999999999999</formula>
    </cfRule>
  </conditionalFormatting>
  <conditionalFormatting sqref="N222:N232">
    <cfRule type="cellIs" dxfId="24" priority="22" stopIfTrue="1" operator="greaterThan">
      <formula>0.999999999999999</formula>
    </cfRule>
  </conditionalFormatting>
  <conditionalFormatting sqref="N239:N249">
    <cfRule type="cellIs" dxfId="23" priority="21" stopIfTrue="1" operator="greaterThan">
      <formula>0.999999999999999</formula>
    </cfRule>
  </conditionalFormatting>
  <conditionalFormatting sqref="N256:N266">
    <cfRule type="cellIs" dxfId="22" priority="20" stopIfTrue="1" operator="greaterThan">
      <formula>0.999999999999999</formula>
    </cfRule>
  </conditionalFormatting>
  <conditionalFormatting sqref="N273:N283">
    <cfRule type="cellIs" dxfId="21" priority="19" stopIfTrue="1" operator="greaterThan">
      <formula>0.999999999999999</formula>
    </cfRule>
  </conditionalFormatting>
  <conditionalFormatting sqref="N290:N300">
    <cfRule type="cellIs" dxfId="20" priority="18" stopIfTrue="1" operator="greaterThan">
      <formula>0.999999999999999</formula>
    </cfRule>
  </conditionalFormatting>
  <conditionalFormatting sqref="N307:N317">
    <cfRule type="cellIs" dxfId="19" priority="17" stopIfTrue="1" operator="greaterThan">
      <formula>0.999999999999999</formula>
    </cfRule>
  </conditionalFormatting>
  <conditionalFormatting sqref="N325:N335">
    <cfRule type="cellIs" dxfId="18" priority="16" stopIfTrue="1" operator="greaterThan">
      <formula>0.999999999999999</formula>
    </cfRule>
  </conditionalFormatting>
  <conditionalFormatting sqref="N344:N354">
    <cfRule type="cellIs" dxfId="17" priority="15" stopIfTrue="1" operator="greaterThan">
      <formula>0.999999999999999</formula>
    </cfRule>
  </conditionalFormatting>
  <conditionalFormatting sqref="N362:N372">
    <cfRule type="cellIs" dxfId="16" priority="14" stopIfTrue="1" operator="greaterThan">
      <formula>0.999999999999999</formula>
    </cfRule>
  </conditionalFormatting>
  <conditionalFormatting sqref="N380:N390">
    <cfRule type="cellIs" dxfId="15" priority="13" stopIfTrue="1" operator="greaterThan">
      <formula>0.999999999999999</formula>
    </cfRule>
  </conditionalFormatting>
  <conditionalFormatting sqref="N396:N398 N400:N406">
    <cfRule type="cellIs" dxfId="14" priority="12" stopIfTrue="1" operator="greaterThan">
      <formula>0.999999999999999</formula>
    </cfRule>
  </conditionalFormatting>
  <conditionalFormatting sqref="N467:N477">
    <cfRule type="cellIs" dxfId="13" priority="11" stopIfTrue="1" operator="greaterThan">
      <formula>0.999999999999999</formula>
    </cfRule>
  </conditionalFormatting>
  <conditionalFormatting sqref="N399">
    <cfRule type="cellIs" dxfId="12" priority="10" stopIfTrue="1" operator="greaterThan">
      <formula>0.999999999999999</formula>
    </cfRule>
  </conditionalFormatting>
  <conditionalFormatting sqref="N413:N415 N417:N419 N422:N425">
    <cfRule type="cellIs" dxfId="11" priority="9" stopIfTrue="1" operator="greaterThan">
      <formula>0.999999999999999</formula>
    </cfRule>
  </conditionalFormatting>
  <conditionalFormatting sqref="N416">
    <cfRule type="cellIs" dxfId="10" priority="8" stopIfTrue="1" operator="greaterThan">
      <formula>0.999999999999999</formula>
    </cfRule>
  </conditionalFormatting>
  <conditionalFormatting sqref="N420:N421">
    <cfRule type="cellIs" dxfId="9" priority="7" stopIfTrue="1" operator="greaterThan">
      <formula>0.999999999999999</formula>
    </cfRule>
  </conditionalFormatting>
  <conditionalFormatting sqref="N431:N433 N435:N437 N440:N443">
    <cfRule type="cellIs" dxfId="8" priority="6" stopIfTrue="1" operator="greaterThan">
      <formula>0.999999999999999</formula>
    </cfRule>
  </conditionalFormatting>
  <conditionalFormatting sqref="N434">
    <cfRule type="cellIs" dxfId="7" priority="5" stopIfTrue="1" operator="greaterThan">
      <formula>0.999999999999999</formula>
    </cfRule>
  </conditionalFormatting>
  <conditionalFormatting sqref="N438:N439">
    <cfRule type="cellIs" dxfId="6" priority="4" stopIfTrue="1" operator="greaterThan">
      <formula>0.999999999999999</formula>
    </cfRule>
  </conditionalFormatting>
  <conditionalFormatting sqref="N456:N457">
    <cfRule type="cellIs" dxfId="5" priority="1" stopIfTrue="1" operator="greaterThan">
      <formula>0.999999999999999</formula>
    </cfRule>
  </conditionalFormatting>
  <conditionalFormatting sqref="N449:N451 N453:N455 N458:N461">
    <cfRule type="cellIs" dxfId="4" priority="3" stopIfTrue="1" operator="greaterThan">
      <formula>0.999999999999999</formula>
    </cfRule>
  </conditionalFormatting>
  <conditionalFormatting sqref="N452">
    <cfRule type="cellIs" dxfId="3" priority="2" stopIfTrue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A32"/>
  <sheetViews>
    <sheetView showGridLines="0" workbookViewId="0">
      <selection sqref="A1:XFD1048576"/>
    </sheetView>
  </sheetViews>
  <sheetFormatPr defaultColWidth="9.109375" defaultRowHeight="14.4" x14ac:dyDescent="0.3"/>
  <cols>
    <col min="1" max="1" width="4.33203125" style="80" customWidth="1"/>
    <col min="2" max="2" width="9.109375" style="80"/>
    <col min="3" max="3" width="34.88671875" style="93" bestFit="1" customWidth="1"/>
    <col min="4" max="4" width="12.44140625" style="82" bestFit="1" customWidth="1"/>
    <col min="5" max="5" width="13.5546875" style="82" hidden="1" customWidth="1"/>
    <col min="6" max="6" width="14.33203125" style="82" hidden="1" customWidth="1"/>
    <col min="7" max="7" width="20.5546875" style="82" hidden="1" customWidth="1"/>
    <col min="8" max="10" width="16.33203125" style="82" hidden="1" customWidth="1"/>
    <col min="11" max="12" width="13.5546875" style="82" customWidth="1"/>
    <col min="13" max="13" width="17.44140625" style="80" bestFit="1" customWidth="1"/>
    <col min="14" max="14" width="9.109375" style="80"/>
    <col min="15" max="15" width="11.109375" style="80" bestFit="1" customWidth="1"/>
    <col min="16" max="16" width="10" style="80" bestFit="1" customWidth="1"/>
    <col min="17" max="16384" width="9.109375" style="80"/>
  </cols>
  <sheetData>
    <row r="1" spans="2:27" x14ac:dyDescent="0.3">
      <c r="B1" s="78" t="s">
        <v>559</v>
      </c>
      <c r="C1" s="78" t="s">
        <v>454</v>
      </c>
      <c r="D1" s="79" t="s">
        <v>560</v>
      </c>
      <c r="E1" s="79" t="s">
        <v>561</v>
      </c>
      <c r="F1" s="79" t="s">
        <v>475</v>
      </c>
      <c r="G1" s="79" t="s">
        <v>562</v>
      </c>
      <c r="H1" s="79" t="s">
        <v>477</v>
      </c>
      <c r="I1" s="79" t="s">
        <v>478</v>
      </c>
      <c r="J1" s="79" t="s">
        <v>479</v>
      </c>
      <c r="K1" s="79" t="s">
        <v>480</v>
      </c>
      <c r="L1" s="79" t="s">
        <v>563</v>
      </c>
      <c r="M1" s="79" t="s">
        <v>564</v>
      </c>
      <c r="O1" s="81" t="s">
        <v>484</v>
      </c>
      <c r="P1" s="81" t="s">
        <v>466</v>
      </c>
      <c r="Q1" s="81" t="s">
        <v>485</v>
      </c>
    </row>
    <row r="2" spans="2:27" x14ac:dyDescent="0.3">
      <c r="B2" s="80">
        <v>62</v>
      </c>
      <c r="C2" s="80" t="s">
        <v>565</v>
      </c>
      <c r="D2" s="82" t="s">
        <v>566</v>
      </c>
      <c r="E2" s="83">
        <v>715461.06</v>
      </c>
      <c r="F2" s="83"/>
      <c r="G2" s="83">
        <v>0</v>
      </c>
      <c r="H2" s="83">
        <v>1449.97</v>
      </c>
      <c r="I2" s="83">
        <v>0</v>
      </c>
      <c r="J2" s="83">
        <v>0</v>
      </c>
      <c r="K2" s="84">
        <f>SUM(E2:J2)</f>
        <v>716911.03</v>
      </c>
      <c r="L2" s="83">
        <v>700000</v>
      </c>
      <c r="M2" s="85">
        <f>IFERROR(K2/L2,0)</f>
        <v>1.0241586142857144</v>
      </c>
      <c r="O2" s="86">
        <f>K2*0.9%</f>
        <v>6452.199270000001</v>
      </c>
      <c r="P2" s="86">
        <f t="shared" ref="P2:P8" si="0">O2*25%</f>
        <v>1613.0498175000002</v>
      </c>
      <c r="Q2" s="86" t="str">
        <f t="shared" ref="Q2:Q8" si="1">IF(M2&gt;1,"2000",0)</f>
        <v>2000</v>
      </c>
    </row>
    <row r="3" spans="2:27" x14ac:dyDescent="0.3">
      <c r="B3" s="80">
        <v>93</v>
      </c>
      <c r="C3" s="80" t="s">
        <v>567</v>
      </c>
      <c r="D3" s="82" t="s">
        <v>566</v>
      </c>
      <c r="E3" s="83">
        <v>481245.8</v>
      </c>
      <c r="F3" s="83"/>
      <c r="G3" s="83">
        <v>0</v>
      </c>
      <c r="H3" s="83">
        <v>199.99</v>
      </c>
      <c r="I3" s="83">
        <v>0</v>
      </c>
      <c r="J3" s="83">
        <v>0</v>
      </c>
      <c r="K3" s="84">
        <f t="shared" ref="K3:K29" si="2">SUM(E3:J3)</f>
        <v>481445.79</v>
      </c>
      <c r="L3" s="83">
        <v>450000</v>
      </c>
      <c r="M3" s="85">
        <f t="shared" ref="M3:M30" si="3">IFERROR(K3/L3,0)</f>
        <v>1.0698795333333333</v>
      </c>
      <c r="O3" s="86">
        <f>K3*1%</f>
        <v>4814.4579000000003</v>
      </c>
      <c r="P3" s="86">
        <f t="shared" si="0"/>
        <v>1203.6144750000001</v>
      </c>
      <c r="Q3" s="86" t="str">
        <f t="shared" si="1"/>
        <v>2000</v>
      </c>
      <c r="AA3" s="80">
        <v>0</v>
      </c>
    </row>
    <row r="4" spans="2:27" x14ac:dyDescent="0.3">
      <c r="B4" s="80">
        <v>94</v>
      </c>
      <c r="C4" s="80" t="s">
        <v>568</v>
      </c>
      <c r="D4" s="82" t="s">
        <v>566</v>
      </c>
      <c r="E4" s="83">
        <v>133053.01999999999</v>
      </c>
      <c r="F4" s="83"/>
      <c r="G4" s="83">
        <v>0</v>
      </c>
      <c r="H4" s="83">
        <v>1499.97</v>
      </c>
      <c r="I4" s="83">
        <v>399.99</v>
      </c>
      <c r="J4" s="83">
        <v>0</v>
      </c>
      <c r="K4" s="84">
        <f t="shared" si="2"/>
        <v>134952.97999999998</v>
      </c>
      <c r="L4" s="83">
        <v>155000</v>
      </c>
      <c r="M4" s="85">
        <f t="shared" si="3"/>
        <v>0.87066438709677407</v>
      </c>
      <c r="O4" s="86">
        <f>K4*1.7%</f>
        <v>2294.20066</v>
      </c>
      <c r="P4" s="86">
        <f t="shared" si="0"/>
        <v>573.55016499999999</v>
      </c>
      <c r="Q4" s="86">
        <f t="shared" si="1"/>
        <v>0</v>
      </c>
    </row>
    <row r="5" spans="2:27" x14ac:dyDescent="0.3">
      <c r="B5" s="80">
        <v>95</v>
      </c>
      <c r="C5" s="80" t="s">
        <v>569</v>
      </c>
      <c r="D5" s="82" t="s">
        <v>570</v>
      </c>
      <c r="E5" s="83">
        <v>248239</v>
      </c>
      <c r="F5" s="83"/>
      <c r="G5" s="83">
        <v>0</v>
      </c>
      <c r="H5" s="83">
        <v>1199.98</v>
      </c>
      <c r="I5" s="83">
        <v>899.97</v>
      </c>
      <c r="J5" s="83">
        <v>0</v>
      </c>
      <c r="K5" s="84">
        <f t="shared" si="2"/>
        <v>250338.95</v>
      </c>
      <c r="L5" s="83">
        <v>250000</v>
      </c>
      <c r="M5" s="85">
        <f t="shared" si="3"/>
        <v>1.0013558</v>
      </c>
      <c r="O5" s="86">
        <f>K5*1.3%</f>
        <v>3254.4063500000007</v>
      </c>
      <c r="P5" s="86">
        <f t="shared" si="0"/>
        <v>813.60158750000016</v>
      </c>
      <c r="Q5" s="86" t="str">
        <f t="shared" si="1"/>
        <v>2000</v>
      </c>
    </row>
    <row r="6" spans="2:27" x14ac:dyDescent="0.3">
      <c r="B6" s="80">
        <v>103</v>
      </c>
      <c r="C6" s="80" t="s">
        <v>571</v>
      </c>
      <c r="D6" s="82" t="s">
        <v>570</v>
      </c>
      <c r="E6" s="83">
        <v>330343.06</v>
      </c>
      <c r="F6" s="83"/>
      <c r="G6" s="83">
        <v>0</v>
      </c>
      <c r="H6" s="83">
        <v>4639.9299999999994</v>
      </c>
      <c r="I6" s="83">
        <v>3139.9300000000003</v>
      </c>
      <c r="J6" s="83">
        <v>0</v>
      </c>
      <c r="K6" s="84">
        <f t="shared" si="2"/>
        <v>338122.92</v>
      </c>
      <c r="L6" s="83">
        <v>295000</v>
      </c>
      <c r="M6" s="85">
        <f t="shared" si="3"/>
        <v>1.1461793898305084</v>
      </c>
      <c r="O6" s="86">
        <f>K6*1.1%</f>
        <v>3719.35212</v>
      </c>
      <c r="P6" s="86">
        <f t="shared" si="0"/>
        <v>929.83803</v>
      </c>
      <c r="Q6" s="86" t="str">
        <f t="shared" si="1"/>
        <v>2000</v>
      </c>
    </row>
    <row r="7" spans="2:27" x14ac:dyDescent="0.3">
      <c r="B7" s="80">
        <v>104</v>
      </c>
      <c r="C7" s="80" t="s">
        <v>572</v>
      </c>
      <c r="D7" s="82" t="s">
        <v>570</v>
      </c>
      <c r="E7" s="83">
        <v>268379.58</v>
      </c>
      <c r="F7" s="83"/>
      <c r="G7" s="83">
        <v>0</v>
      </c>
      <c r="H7" s="83">
        <v>0</v>
      </c>
      <c r="I7" s="83">
        <v>349.99</v>
      </c>
      <c r="J7" s="83">
        <v>0</v>
      </c>
      <c r="K7" s="84">
        <f t="shared" si="2"/>
        <v>268729.57</v>
      </c>
      <c r="L7" s="83">
        <v>280000</v>
      </c>
      <c r="M7" s="85">
        <f t="shared" si="3"/>
        <v>0.95974846428571436</v>
      </c>
      <c r="O7" s="86">
        <f>K7*1.3%</f>
        <v>3493.4844100000005</v>
      </c>
      <c r="P7" s="86">
        <f t="shared" si="0"/>
        <v>873.37110250000012</v>
      </c>
      <c r="Q7" s="86">
        <f t="shared" si="1"/>
        <v>0</v>
      </c>
    </row>
    <row r="8" spans="2:27" x14ac:dyDescent="0.3">
      <c r="B8" s="80">
        <v>105</v>
      </c>
      <c r="C8" s="80" t="s">
        <v>573</v>
      </c>
      <c r="D8" s="82" t="s">
        <v>570</v>
      </c>
      <c r="E8" s="83">
        <v>340647.28</v>
      </c>
      <c r="F8" s="83"/>
      <c r="G8" s="83">
        <v>0</v>
      </c>
      <c r="H8" s="83">
        <v>0</v>
      </c>
      <c r="I8" s="83">
        <v>0</v>
      </c>
      <c r="J8" s="83">
        <v>0</v>
      </c>
      <c r="K8" s="84">
        <f t="shared" si="2"/>
        <v>340647.28</v>
      </c>
      <c r="L8" s="83">
        <v>400000</v>
      </c>
      <c r="M8" s="85">
        <f t="shared" si="3"/>
        <v>0.8516182000000001</v>
      </c>
      <c r="O8" s="86">
        <f>K8*1.2%</f>
        <v>4087.7673600000003</v>
      </c>
      <c r="P8" s="86">
        <f t="shared" si="0"/>
        <v>1021.9418400000001</v>
      </c>
      <c r="Q8" s="86">
        <f t="shared" si="1"/>
        <v>0</v>
      </c>
    </row>
    <row r="9" spans="2:27" x14ac:dyDescent="0.3">
      <c r="B9" s="80">
        <v>116</v>
      </c>
      <c r="C9" s="80" t="s">
        <v>574</v>
      </c>
      <c r="D9" s="82" t="s">
        <v>566</v>
      </c>
      <c r="E9" s="83">
        <v>354744.4</v>
      </c>
      <c r="F9" s="83"/>
      <c r="G9" s="83">
        <v>0</v>
      </c>
      <c r="H9" s="83">
        <v>6959.869999999999</v>
      </c>
      <c r="I9" s="83">
        <v>599.99</v>
      </c>
      <c r="J9" s="83">
        <v>0</v>
      </c>
      <c r="K9" s="84">
        <f t="shared" si="2"/>
        <v>362304.26</v>
      </c>
      <c r="L9" s="83">
        <v>450000</v>
      </c>
      <c r="M9" s="85">
        <f t="shared" si="3"/>
        <v>0.80512057777777779</v>
      </c>
      <c r="O9" s="86">
        <f>K9*1.3%</f>
        <v>4709.9553800000003</v>
      </c>
      <c r="P9" s="86">
        <f t="shared" ref="P9:P29" si="4">O9*25%</f>
        <v>1177.4888450000001</v>
      </c>
      <c r="Q9" s="86">
        <f t="shared" ref="Q9:Q29" si="5">IF(M9&gt;1,"2000",0)</f>
        <v>0</v>
      </c>
    </row>
    <row r="10" spans="2:27" x14ac:dyDescent="0.3">
      <c r="B10" s="80">
        <v>123</v>
      </c>
      <c r="C10" s="80" t="s">
        <v>575</v>
      </c>
      <c r="D10" s="82" t="s">
        <v>566</v>
      </c>
      <c r="E10" s="83">
        <v>276888.2</v>
      </c>
      <c r="F10" s="83"/>
      <c r="G10" s="83">
        <v>0</v>
      </c>
      <c r="H10" s="83">
        <v>0</v>
      </c>
      <c r="I10" s="83">
        <v>0</v>
      </c>
      <c r="J10" s="83">
        <v>0</v>
      </c>
      <c r="K10" s="84">
        <f t="shared" si="2"/>
        <v>276888.2</v>
      </c>
      <c r="L10" s="83">
        <v>220000</v>
      </c>
      <c r="M10" s="85">
        <f t="shared" si="3"/>
        <v>1.2585827272727272</v>
      </c>
      <c r="O10" s="86">
        <f>K10*1.7%</f>
        <v>4707.099400000001</v>
      </c>
      <c r="P10" s="86">
        <f t="shared" si="4"/>
        <v>1176.7748500000002</v>
      </c>
      <c r="Q10" s="86" t="str">
        <f t="shared" si="5"/>
        <v>2000</v>
      </c>
    </row>
    <row r="11" spans="2:27" x14ac:dyDescent="0.3">
      <c r="B11" s="80">
        <v>124</v>
      </c>
      <c r="C11" s="80" t="s">
        <v>576</v>
      </c>
      <c r="D11" s="82" t="s">
        <v>566</v>
      </c>
      <c r="E11" s="83">
        <v>221005.56</v>
      </c>
      <c r="F11" s="83"/>
      <c r="G11" s="83">
        <v>0</v>
      </c>
      <c r="H11" s="83">
        <v>0</v>
      </c>
      <c r="I11" s="83">
        <v>0</v>
      </c>
      <c r="J11" s="83">
        <v>0</v>
      </c>
      <c r="K11" s="84">
        <f t="shared" si="2"/>
        <v>221005.56</v>
      </c>
      <c r="L11" s="83">
        <v>190000</v>
      </c>
      <c r="M11" s="85">
        <f t="shared" si="3"/>
        <v>1.1631871578947368</v>
      </c>
      <c r="O11" s="86">
        <f>K11*1.6%</f>
        <v>3536.08896</v>
      </c>
      <c r="P11" s="86">
        <f t="shared" si="4"/>
        <v>884.02224000000001</v>
      </c>
      <c r="Q11" s="86" t="str">
        <f t="shared" si="5"/>
        <v>2000</v>
      </c>
    </row>
    <row r="12" spans="2:27" x14ac:dyDescent="0.3">
      <c r="B12" s="80">
        <v>125</v>
      </c>
      <c r="C12" s="80" t="s">
        <v>577</v>
      </c>
      <c r="D12" s="82" t="s">
        <v>566</v>
      </c>
      <c r="E12" s="83">
        <v>217176.94</v>
      </c>
      <c r="F12" s="83"/>
      <c r="G12" s="83">
        <v>0</v>
      </c>
      <c r="H12" s="83">
        <v>0</v>
      </c>
      <c r="I12" s="83">
        <v>0</v>
      </c>
      <c r="J12" s="83">
        <v>0</v>
      </c>
      <c r="K12" s="84">
        <f t="shared" si="2"/>
        <v>217176.94</v>
      </c>
      <c r="L12" s="83">
        <v>190000</v>
      </c>
      <c r="M12" s="85">
        <f t="shared" si="3"/>
        <v>1.1430365263157896</v>
      </c>
      <c r="O12" s="86">
        <f>K12*1.3%</f>
        <v>2823.3002200000001</v>
      </c>
      <c r="P12" s="86">
        <f t="shared" si="4"/>
        <v>705.82505500000002</v>
      </c>
      <c r="Q12" s="86" t="str">
        <f t="shared" si="5"/>
        <v>2000</v>
      </c>
    </row>
    <row r="13" spans="2:27" x14ac:dyDescent="0.3">
      <c r="B13" s="80">
        <v>126</v>
      </c>
      <c r="C13" s="80" t="s">
        <v>578</v>
      </c>
      <c r="D13" s="82" t="s">
        <v>570</v>
      </c>
      <c r="E13" s="83">
        <v>378579.20000000001</v>
      </c>
      <c r="F13" s="83"/>
      <c r="G13" s="83">
        <v>0</v>
      </c>
      <c r="H13" s="83">
        <v>899.99</v>
      </c>
      <c r="I13" s="83">
        <v>0</v>
      </c>
      <c r="J13" s="83">
        <v>0</v>
      </c>
      <c r="K13" s="84">
        <f t="shared" si="2"/>
        <v>379479.19</v>
      </c>
      <c r="L13" s="83">
        <v>350000</v>
      </c>
      <c r="M13" s="85">
        <f t="shared" si="3"/>
        <v>1.0842262571428571</v>
      </c>
      <c r="O13" s="86">
        <f>K13*1.2%</f>
        <v>4553.7502800000002</v>
      </c>
      <c r="P13" s="86">
        <f t="shared" si="4"/>
        <v>1138.4375700000001</v>
      </c>
      <c r="Q13" s="86" t="str">
        <f t="shared" si="5"/>
        <v>2000</v>
      </c>
    </row>
    <row r="14" spans="2:27" x14ac:dyDescent="0.3">
      <c r="B14" s="80">
        <v>127</v>
      </c>
      <c r="C14" s="80" t="s">
        <v>579</v>
      </c>
      <c r="D14" s="82" t="s">
        <v>570</v>
      </c>
      <c r="E14" s="83">
        <v>139872.16</v>
      </c>
      <c r="F14" s="83"/>
      <c r="G14" s="83">
        <v>0</v>
      </c>
      <c r="H14" s="83">
        <v>0</v>
      </c>
      <c r="I14" s="83">
        <v>0</v>
      </c>
      <c r="J14" s="83">
        <v>0</v>
      </c>
      <c r="K14" s="84">
        <f t="shared" si="2"/>
        <v>139872.16</v>
      </c>
      <c r="L14" s="83">
        <v>135000</v>
      </c>
      <c r="M14" s="85">
        <f t="shared" si="3"/>
        <v>1.0360900740740742</v>
      </c>
      <c r="O14" s="86">
        <f>K14*1.6%</f>
        <v>2237.9545600000001</v>
      </c>
      <c r="P14" s="86">
        <f t="shared" si="4"/>
        <v>559.48864000000003</v>
      </c>
      <c r="Q14" s="86" t="str">
        <f t="shared" si="5"/>
        <v>2000</v>
      </c>
    </row>
    <row r="15" spans="2:27" x14ac:dyDescent="0.3">
      <c r="B15" s="80">
        <v>139</v>
      </c>
      <c r="C15" s="80" t="s">
        <v>580</v>
      </c>
      <c r="D15" s="82" t="s">
        <v>566</v>
      </c>
      <c r="E15" s="83">
        <v>412649.15</v>
      </c>
      <c r="F15" s="83"/>
      <c r="G15" s="83">
        <v>0</v>
      </c>
      <c r="H15" s="83">
        <v>0</v>
      </c>
      <c r="I15" s="83">
        <v>0</v>
      </c>
      <c r="J15" s="83">
        <v>0</v>
      </c>
      <c r="K15" s="84">
        <f t="shared" si="2"/>
        <v>412649.15</v>
      </c>
      <c r="L15" s="83">
        <v>540000</v>
      </c>
      <c r="M15" s="85">
        <f t="shared" si="3"/>
        <v>0.76416509259259269</v>
      </c>
      <c r="O15" s="86">
        <f>K15*0.9%</f>
        <v>3713.8423500000008</v>
      </c>
      <c r="P15" s="86">
        <f t="shared" si="4"/>
        <v>928.4605875000002</v>
      </c>
      <c r="Q15" s="86">
        <f t="shared" si="5"/>
        <v>0</v>
      </c>
    </row>
    <row r="16" spans="2:27" x14ac:dyDescent="0.3">
      <c r="B16" s="80">
        <v>144</v>
      </c>
      <c r="C16" s="80" t="s">
        <v>581</v>
      </c>
      <c r="D16" s="82" t="s">
        <v>566</v>
      </c>
      <c r="E16" s="83">
        <v>196726.86</v>
      </c>
      <c r="F16" s="83"/>
      <c r="G16" s="83">
        <v>0</v>
      </c>
      <c r="H16" s="83">
        <v>0</v>
      </c>
      <c r="I16" s="83">
        <v>0</v>
      </c>
      <c r="J16" s="83">
        <v>0</v>
      </c>
      <c r="K16" s="84">
        <f t="shared" si="2"/>
        <v>196726.86</v>
      </c>
      <c r="L16" s="83">
        <v>240000</v>
      </c>
      <c r="M16" s="85">
        <f t="shared" si="3"/>
        <v>0.81969524999999999</v>
      </c>
      <c r="O16" s="86">
        <f>K16*1.4%</f>
        <v>2754.1760399999994</v>
      </c>
      <c r="P16" s="86">
        <f t="shared" si="4"/>
        <v>688.54400999999984</v>
      </c>
      <c r="Q16" s="86">
        <f t="shared" si="5"/>
        <v>0</v>
      </c>
    </row>
    <row r="17" spans="2:17" x14ac:dyDescent="0.3">
      <c r="B17" s="80">
        <v>154</v>
      </c>
      <c r="C17" s="80" t="s">
        <v>582</v>
      </c>
      <c r="D17" s="82" t="s">
        <v>570</v>
      </c>
      <c r="E17" s="83">
        <v>236243.69</v>
      </c>
      <c r="F17" s="83"/>
      <c r="G17" s="83">
        <v>0</v>
      </c>
      <c r="H17" s="83">
        <v>0</v>
      </c>
      <c r="I17" s="83">
        <v>499.99</v>
      </c>
      <c r="J17" s="83">
        <v>0</v>
      </c>
      <c r="K17" s="84">
        <f t="shared" si="2"/>
        <v>236743.67999999999</v>
      </c>
      <c r="L17" s="83">
        <v>204000</v>
      </c>
      <c r="M17" s="85">
        <f t="shared" si="3"/>
        <v>1.1605082352941176</v>
      </c>
      <c r="O17" s="86">
        <f>K17*1.4%</f>
        <v>3314.4115199999997</v>
      </c>
      <c r="P17" s="86">
        <f t="shared" si="4"/>
        <v>828.60287999999991</v>
      </c>
      <c r="Q17" s="86" t="str">
        <f t="shared" si="5"/>
        <v>2000</v>
      </c>
    </row>
    <row r="18" spans="2:17" x14ac:dyDescent="0.3">
      <c r="B18" s="80">
        <v>156</v>
      </c>
      <c r="C18" s="80" t="s">
        <v>583</v>
      </c>
      <c r="D18" s="82" t="s">
        <v>566</v>
      </c>
      <c r="E18" s="83">
        <v>388564.73</v>
      </c>
      <c r="F18" s="83">
        <v>899.99</v>
      </c>
      <c r="G18" s="83">
        <v>0</v>
      </c>
      <c r="H18" s="83">
        <v>6079.88</v>
      </c>
      <c r="I18" s="83">
        <v>4600.8999999999996</v>
      </c>
      <c r="J18" s="83">
        <v>0</v>
      </c>
      <c r="K18" s="84">
        <f t="shared" si="2"/>
        <v>400145.5</v>
      </c>
      <c r="L18" s="83">
        <v>380000</v>
      </c>
      <c r="M18" s="85">
        <f t="shared" si="3"/>
        <v>1.0530144736842104</v>
      </c>
      <c r="O18" s="86">
        <f>K18*1.2%</f>
        <v>4801.7460000000001</v>
      </c>
      <c r="P18" s="86">
        <f t="shared" si="4"/>
        <v>1200.4365</v>
      </c>
      <c r="Q18" s="86" t="str">
        <f t="shared" si="5"/>
        <v>2000</v>
      </c>
    </row>
    <row r="19" spans="2:17" x14ac:dyDescent="0.3">
      <c r="B19" s="80">
        <v>157</v>
      </c>
      <c r="C19" s="80" t="s">
        <v>584</v>
      </c>
      <c r="D19" s="82" t="s">
        <v>570</v>
      </c>
      <c r="E19" s="83">
        <v>209156.33</v>
      </c>
      <c r="F19" s="83"/>
      <c r="G19" s="83">
        <v>0</v>
      </c>
      <c r="H19" s="83">
        <v>2169.9300000000003</v>
      </c>
      <c r="I19" s="83">
        <v>399.99</v>
      </c>
      <c r="J19" s="83">
        <v>0</v>
      </c>
      <c r="K19" s="84">
        <f t="shared" si="2"/>
        <v>211726.24999999997</v>
      </c>
      <c r="L19" s="83">
        <v>165000</v>
      </c>
      <c r="M19" s="85">
        <f t="shared" si="3"/>
        <v>1.2831893939393937</v>
      </c>
      <c r="O19" s="86">
        <f>K19*1.6%</f>
        <v>3387.6199999999994</v>
      </c>
      <c r="P19" s="86">
        <f t="shared" si="4"/>
        <v>846.90499999999986</v>
      </c>
      <c r="Q19" s="86" t="str">
        <f t="shared" si="5"/>
        <v>2000</v>
      </c>
    </row>
    <row r="20" spans="2:17" x14ac:dyDescent="0.3">
      <c r="B20" s="80">
        <v>161</v>
      </c>
      <c r="C20" s="80" t="s">
        <v>585</v>
      </c>
      <c r="D20" s="82" t="s">
        <v>570</v>
      </c>
      <c r="E20" s="83">
        <v>190375.56</v>
      </c>
      <c r="F20" s="83"/>
      <c r="G20" s="83">
        <v>0</v>
      </c>
      <c r="H20" s="83">
        <v>0</v>
      </c>
      <c r="I20" s="83">
        <v>0</v>
      </c>
      <c r="J20" s="83">
        <v>0</v>
      </c>
      <c r="K20" s="84">
        <f t="shared" si="2"/>
        <v>190375.56</v>
      </c>
      <c r="L20" s="83">
        <v>230000</v>
      </c>
      <c r="M20" s="85">
        <f t="shared" si="3"/>
        <v>0.82771982608695649</v>
      </c>
      <c r="O20" s="86">
        <f>K20*1.5%</f>
        <v>2855.6333999999997</v>
      </c>
      <c r="P20" s="86">
        <f t="shared" si="4"/>
        <v>713.90834999999993</v>
      </c>
      <c r="Q20" s="86">
        <f t="shared" si="5"/>
        <v>0</v>
      </c>
    </row>
    <row r="21" spans="2:17" x14ac:dyDescent="0.3">
      <c r="B21" s="80">
        <v>166</v>
      </c>
      <c r="C21" s="80" t="s">
        <v>586</v>
      </c>
      <c r="D21" s="82" t="s">
        <v>570</v>
      </c>
      <c r="E21" s="83">
        <v>218944.44</v>
      </c>
      <c r="F21" s="83"/>
      <c r="G21" s="83">
        <v>0</v>
      </c>
      <c r="H21" s="83">
        <v>0</v>
      </c>
      <c r="I21" s="83">
        <v>0</v>
      </c>
      <c r="J21" s="83">
        <v>0</v>
      </c>
      <c r="K21" s="84">
        <f t="shared" si="2"/>
        <v>218944.44</v>
      </c>
      <c r="L21" s="83">
        <v>250000</v>
      </c>
      <c r="M21" s="85">
        <f t="shared" si="3"/>
        <v>0.87577775999999996</v>
      </c>
      <c r="O21" s="86">
        <f>K21*1.5%</f>
        <v>3284.1666</v>
      </c>
      <c r="P21" s="86">
        <f t="shared" si="4"/>
        <v>821.04165</v>
      </c>
      <c r="Q21" s="86">
        <f t="shared" si="5"/>
        <v>0</v>
      </c>
    </row>
    <row r="22" spans="2:17" x14ac:dyDescent="0.3">
      <c r="B22" s="80">
        <v>169</v>
      </c>
      <c r="C22" s="80" t="s">
        <v>587</v>
      </c>
      <c r="D22" s="82" t="s">
        <v>570</v>
      </c>
      <c r="E22" s="83">
        <v>374499.31</v>
      </c>
      <c r="F22" s="83"/>
      <c r="G22" s="83">
        <v>0</v>
      </c>
      <c r="H22" s="83">
        <v>1299.99</v>
      </c>
      <c r="I22" s="83">
        <v>0</v>
      </c>
      <c r="J22" s="83">
        <v>0</v>
      </c>
      <c r="K22" s="84">
        <f t="shared" si="2"/>
        <v>375799.3</v>
      </c>
      <c r="L22" s="83">
        <v>340000</v>
      </c>
      <c r="M22" s="85">
        <f t="shared" si="3"/>
        <v>1.1052920588235293</v>
      </c>
      <c r="O22" s="86">
        <f>K22*1.2%</f>
        <v>4509.5915999999997</v>
      </c>
      <c r="P22" s="86">
        <f t="shared" si="4"/>
        <v>1127.3978999999999</v>
      </c>
      <c r="Q22" s="86" t="str">
        <f t="shared" si="5"/>
        <v>2000</v>
      </c>
    </row>
    <row r="23" spans="2:17" x14ac:dyDescent="0.3">
      <c r="B23" s="80">
        <v>173</v>
      </c>
      <c r="C23" s="80" t="s">
        <v>588</v>
      </c>
      <c r="D23" s="82" t="s">
        <v>566</v>
      </c>
      <c r="E23" s="83">
        <v>258381.92</v>
      </c>
      <c r="F23" s="83"/>
      <c r="G23" s="83">
        <v>0</v>
      </c>
      <c r="H23" s="83">
        <v>0</v>
      </c>
      <c r="I23" s="83">
        <v>2749.96</v>
      </c>
      <c r="J23" s="83">
        <v>0</v>
      </c>
      <c r="K23" s="84">
        <f t="shared" si="2"/>
        <v>261131.88</v>
      </c>
      <c r="L23" s="83">
        <v>280000</v>
      </c>
      <c r="M23" s="85">
        <f t="shared" si="3"/>
        <v>0.93261385714285716</v>
      </c>
      <c r="O23" s="86">
        <f>K23*1.4%</f>
        <v>3655.8463199999997</v>
      </c>
      <c r="P23" s="86">
        <f t="shared" si="4"/>
        <v>913.96157999999991</v>
      </c>
      <c r="Q23" s="86">
        <f t="shared" si="5"/>
        <v>0</v>
      </c>
    </row>
    <row r="24" spans="2:17" x14ac:dyDescent="0.3">
      <c r="B24" s="80">
        <v>175</v>
      </c>
      <c r="C24" s="80" t="s">
        <v>589</v>
      </c>
      <c r="D24" s="82" t="s">
        <v>570</v>
      </c>
      <c r="E24" s="83">
        <v>301501.28999999998</v>
      </c>
      <c r="F24" s="83"/>
      <c r="G24" s="83">
        <v>0</v>
      </c>
      <c r="H24" s="83">
        <v>2944.89</v>
      </c>
      <c r="I24" s="83">
        <v>0</v>
      </c>
      <c r="J24" s="83">
        <v>0</v>
      </c>
      <c r="K24" s="84">
        <f t="shared" si="2"/>
        <v>304446.18</v>
      </c>
      <c r="L24" s="83">
        <v>350000</v>
      </c>
      <c r="M24" s="85">
        <f t="shared" si="3"/>
        <v>0.86984622857142857</v>
      </c>
      <c r="O24" s="86">
        <f>K24*1.3%</f>
        <v>3957.8003400000002</v>
      </c>
      <c r="P24" s="86">
        <f t="shared" si="4"/>
        <v>989.45008500000006</v>
      </c>
      <c r="Q24" s="86">
        <f t="shared" si="5"/>
        <v>0</v>
      </c>
    </row>
    <row r="25" spans="2:17" x14ac:dyDescent="0.3">
      <c r="B25" s="80">
        <v>179</v>
      </c>
      <c r="C25" s="80" t="s">
        <v>590</v>
      </c>
      <c r="D25" s="82" t="s">
        <v>570</v>
      </c>
      <c r="E25" s="83">
        <v>392505.65</v>
      </c>
      <c r="F25" s="83"/>
      <c r="G25" s="83">
        <v>0</v>
      </c>
      <c r="H25" s="83">
        <v>0</v>
      </c>
      <c r="I25" s="83">
        <v>0</v>
      </c>
      <c r="J25" s="83">
        <v>0</v>
      </c>
      <c r="K25" s="84">
        <f t="shared" si="2"/>
        <v>392505.65</v>
      </c>
      <c r="L25" s="83">
        <v>360000</v>
      </c>
      <c r="M25" s="85">
        <f t="shared" si="3"/>
        <v>1.0902934722222224</v>
      </c>
      <c r="O25" s="86">
        <f>K25*0.9%</f>
        <v>3532.5508500000005</v>
      </c>
      <c r="P25" s="86">
        <f t="shared" si="4"/>
        <v>883.13771250000013</v>
      </c>
      <c r="Q25" s="86" t="str">
        <f t="shared" si="5"/>
        <v>2000</v>
      </c>
    </row>
    <row r="26" spans="2:17" x14ac:dyDescent="0.3">
      <c r="B26" s="87">
        <v>181</v>
      </c>
      <c r="C26" s="80" t="s">
        <v>591</v>
      </c>
      <c r="D26" s="82" t="s">
        <v>566</v>
      </c>
      <c r="E26" s="83">
        <v>822206.61</v>
      </c>
      <c r="F26" s="83"/>
      <c r="G26" s="83">
        <v>0</v>
      </c>
      <c r="H26" s="83">
        <v>0</v>
      </c>
      <c r="I26" s="83">
        <v>0</v>
      </c>
      <c r="J26" s="83">
        <v>0</v>
      </c>
      <c r="K26" s="84">
        <f t="shared" si="2"/>
        <v>822206.61</v>
      </c>
      <c r="L26" s="83">
        <v>890000</v>
      </c>
      <c r="M26" s="85">
        <f t="shared" si="3"/>
        <v>0.92382765168539327</v>
      </c>
      <c r="O26" s="86">
        <f>K26*0.9%</f>
        <v>7399.8594900000007</v>
      </c>
      <c r="P26" s="86">
        <f t="shared" si="4"/>
        <v>1849.9648725000002</v>
      </c>
      <c r="Q26" s="86">
        <f t="shared" si="5"/>
        <v>0</v>
      </c>
    </row>
    <row r="27" spans="2:17" x14ac:dyDescent="0.3">
      <c r="B27" s="87">
        <v>183</v>
      </c>
      <c r="C27" s="80" t="s">
        <v>592</v>
      </c>
      <c r="D27" s="82" t="s">
        <v>570</v>
      </c>
      <c r="E27" s="83">
        <v>299412.09999999998</v>
      </c>
      <c r="F27" s="83"/>
      <c r="G27" s="83">
        <v>0</v>
      </c>
      <c r="H27" s="83">
        <v>649.99</v>
      </c>
      <c r="I27" s="83">
        <v>0</v>
      </c>
      <c r="J27" s="83">
        <v>0</v>
      </c>
      <c r="K27" s="84">
        <f t="shared" si="2"/>
        <v>300062.08999999997</v>
      </c>
      <c r="L27" s="83">
        <v>360000</v>
      </c>
      <c r="M27" s="85">
        <f t="shared" si="3"/>
        <v>0.83350580555555542</v>
      </c>
      <c r="O27" s="86">
        <f>K27*0.9%</f>
        <v>2700.55881</v>
      </c>
      <c r="P27" s="86">
        <f t="shared" si="4"/>
        <v>675.1397025</v>
      </c>
      <c r="Q27" s="86">
        <f t="shared" si="5"/>
        <v>0</v>
      </c>
    </row>
    <row r="28" spans="2:17" x14ac:dyDescent="0.3">
      <c r="B28" s="87">
        <v>185</v>
      </c>
      <c r="C28" s="80" t="s">
        <v>593</v>
      </c>
      <c r="D28" s="82" t="s">
        <v>570</v>
      </c>
      <c r="E28" s="83">
        <v>327298.25</v>
      </c>
      <c r="F28" s="83"/>
      <c r="G28" s="83">
        <v>0</v>
      </c>
      <c r="H28" s="83">
        <v>79.989999999999995</v>
      </c>
      <c r="I28" s="83">
        <v>0</v>
      </c>
      <c r="J28" s="83">
        <v>0</v>
      </c>
      <c r="K28" s="84">
        <f t="shared" si="2"/>
        <v>327378.24</v>
      </c>
      <c r="L28" s="83">
        <v>433000</v>
      </c>
      <c r="M28" s="85">
        <f t="shared" si="3"/>
        <v>0.75606983833718244</v>
      </c>
      <c r="O28" s="86">
        <f>K28*0.8%</f>
        <v>2619.02592</v>
      </c>
      <c r="P28" s="86">
        <f t="shared" si="4"/>
        <v>654.75648000000001</v>
      </c>
      <c r="Q28" s="86">
        <f t="shared" si="5"/>
        <v>0</v>
      </c>
    </row>
    <row r="29" spans="2:17" x14ac:dyDescent="0.3">
      <c r="B29" s="80">
        <v>200</v>
      </c>
      <c r="C29" s="80" t="s">
        <v>594</v>
      </c>
      <c r="D29" s="82" t="s">
        <v>566</v>
      </c>
      <c r="E29" s="83">
        <v>248561.12</v>
      </c>
      <c r="F29" s="83"/>
      <c r="G29" s="83">
        <v>0</v>
      </c>
      <c r="H29" s="83">
        <v>749.98</v>
      </c>
      <c r="I29" s="83">
        <v>0</v>
      </c>
      <c r="J29" s="83">
        <v>0</v>
      </c>
      <c r="K29" s="84">
        <f t="shared" si="2"/>
        <v>249311.1</v>
      </c>
      <c r="L29" s="83">
        <v>217000</v>
      </c>
      <c r="M29" s="85">
        <f t="shared" si="3"/>
        <v>1.1488990783410138</v>
      </c>
      <c r="O29" s="86">
        <f>K29*1.3%</f>
        <v>3241.0443000000005</v>
      </c>
      <c r="P29" s="86">
        <f t="shared" si="4"/>
        <v>810.26107500000012</v>
      </c>
      <c r="Q29" s="86" t="str">
        <f t="shared" si="5"/>
        <v>2000</v>
      </c>
    </row>
    <row r="30" spans="2:17" x14ac:dyDescent="0.3">
      <c r="B30" s="88" t="s">
        <v>459</v>
      </c>
      <c r="C30" s="89"/>
      <c r="D30" s="90"/>
      <c r="E30" s="91">
        <f t="shared" ref="E30:L30" si="6">SUM(E2:E29)</f>
        <v>8982662.2700000014</v>
      </c>
      <c r="F30" s="91">
        <f t="shared" si="6"/>
        <v>899.99</v>
      </c>
      <c r="G30" s="91">
        <f t="shared" si="6"/>
        <v>0</v>
      </c>
      <c r="H30" s="91">
        <f t="shared" si="6"/>
        <v>30824.350000000006</v>
      </c>
      <c r="I30" s="91">
        <f t="shared" si="6"/>
        <v>13640.71</v>
      </c>
      <c r="J30" s="91">
        <f t="shared" si="6"/>
        <v>0</v>
      </c>
      <c r="K30" s="91">
        <f t="shared" si="6"/>
        <v>9028027.3200000003</v>
      </c>
      <c r="L30" s="91">
        <f t="shared" si="6"/>
        <v>9304000</v>
      </c>
      <c r="M30" s="92">
        <f t="shared" si="3"/>
        <v>0.97033827601031819</v>
      </c>
    </row>
    <row r="31" spans="2:17" x14ac:dyDescent="0.3">
      <c r="C31" s="80"/>
    </row>
    <row r="32" spans="2:17" x14ac:dyDescent="0.3">
      <c r="C32" s="80"/>
    </row>
  </sheetData>
  <conditionalFormatting sqref="M2:M25 M29:M30">
    <cfRule type="cellIs" dxfId="2" priority="3" operator="greaterThan">
      <formula>0.999999999999999</formula>
    </cfRule>
  </conditionalFormatting>
  <conditionalFormatting sqref="M26:M27">
    <cfRule type="cellIs" dxfId="1" priority="2" operator="greaterThan">
      <formula>0.999999999999999</formula>
    </cfRule>
  </conditionalFormatting>
  <conditionalFormatting sqref="M28">
    <cfRule type="cellIs" dxfId="0" priority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8"/>
  <sheetViews>
    <sheetView workbookViewId="0">
      <selection sqref="A1:XFD1048576"/>
    </sheetView>
  </sheetViews>
  <sheetFormatPr defaultRowHeight="14.4" x14ac:dyDescent="0.3"/>
  <cols>
    <col min="1" max="1" width="7" style="94" customWidth="1"/>
    <col min="2" max="3" width="19" style="94" customWidth="1"/>
    <col min="4" max="4" width="36.33203125" customWidth="1"/>
    <col min="5" max="5" width="25.5546875" customWidth="1"/>
    <col min="6" max="6" width="16.5546875" hidden="1" customWidth="1"/>
    <col min="7" max="8" width="18.33203125" style="95" customWidth="1"/>
    <col min="9" max="9" width="18.33203125" style="96" customWidth="1"/>
    <col min="10" max="10" width="22.109375" style="96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595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</row>
    <row r="2" spans="1:13" ht="9" customHeight="1" x14ac:dyDescent="0.3"/>
    <row r="3" spans="1:13" x14ac:dyDescent="0.3">
      <c r="A3" s="97" t="s">
        <v>596</v>
      </c>
      <c r="B3" s="97" t="s">
        <v>506</v>
      </c>
      <c r="C3" s="97"/>
      <c r="D3" s="97" t="s">
        <v>597</v>
      </c>
      <c r="E3" s="233" t="s">
        <v>598</v>
      </c>
      <c r="F3" s="233"/>
      <c r="G3" s="98"/>
      <c r="H3" s="98"/>
      <c r="I3" s="99"/>
      <c r="J3" s="99"/>
      <c r="K3" s="97"/>
      <c r="L3" s="100" t="s">
        <v>599</v>
      </c>
      <c r="M3" s="101"/>
    </row>
    <row r="4" spans="1:13" s="107" customFormat="1" ht="21" customHeight="1" x14ac:dyDescent="0.3">
      <c r="A4" s="102" t="s">
        <v>506</v>
      </c>
      <c r="B4" s="102" t="s">
        <v>600</v>
      </c>
      <c r="C4" s="102" t="s">
        <v>601</v>
      </c>
      <c r="D4" s="103" t="s">
        <v>602</v>
      </c>
      <c r="E4" s="103" t="s">
        <v>603</v>
      </c>
      <c r="F4" s="102" t="s">
        <v>604</v>
      </c>
      <c r="G4" s="104" t="s">
        <v>605</v>
      </c>
      <c r="H4" s="104" t="s">
        <v>606</v>
      </c>
      <c r="I4" s="105" t="s">
        <v>607</v>
      </c>
      <c r="J4" s="105" t="s">
        <v>608</v>
      </c>
      <c r="K4" s="102" t="s">
        <v>609</v>
      </c>
      <c r="L4" s="102" t="s">
        <v>610</v>
      </c>
      <c r="M4" s="106" t="s">
        <v>611</v>
      </c>
    </row>
    <row r="5" spans="1:13" s="107" customFormat="1" x14ac:dyDescent="0.3">
      <c r="A5" s="108">
        <v>62</v>
      </c>
      <c r="B5" s="109" t="s">
        <v>612</v>
      </c>
      <c r="C5" s="109" t="s">
        <v>613</v>
      </c>
      <c r="D5" s="103" t="s">
        <v>614</v>
      </c>
      <c r="E5" s="103" t="s">
        <v>615</v>
      </c>
      <c r="F5" s="102"/>
      <c r="G5" s="104"/>
      <c r="H5" s="104">
        <v>2000</v>
      </c>
      <c r="I5" s="105"/>
      <c r="J5" s="105"/>
      <c r="K5" s="104">
        <f>G5+H5+I5+J5</f>
        <v>2000</v>
      </c>
      <c r="L5" s="102"/>
      <c r="M5" s="106"/>
    </row>
    <row r="6" spans="1:13" x14ac:dyDescent="0.3">
      <c r="A6" s="110">
        <v>62</v>
      </c>
      <c r="B6" s="109" t="s">
        <v>612</v>
      </c>
      <c r="C6" s="109" t="s">
        <v>616</v>
      </c>
      <c r="D6" s="111" t="s">
        <v>617</v>
      </c>
      <c r="E6" s="112">
        <v>2.8000000000000001E-2</v>
      </c>
      <c r="F6" s="113">
        <v>5.0000000000000001E-3</v>
      </c>
      <c r="G6" s="114">
        <v>400</v>
      </c>
      <c r="H6" s="114">
        <v>200</v>
      </c>
      <c r="I6" s="115"/>
      <c r="J6" s="115"/>
      <c r="K6" s="104">
        <f t="shared" ref="K6:K48" si="0">G6+H6+I6+J6</f>
        <v>600</v>
      </c>
      <c r="L6" s="116" t="s">
        <v>618</v>
      </c>
      <c r="M6" s="106" t="s">
        <v>619</v>
      </c>
    </row>
    <row r="7" spans="1:13" x14ac:dyDescent="0.3">
      <c r="A7" s="110">
        <v>62</v>
      </c>
      <c r="B7" s="109" t="s">
        <v>612</v>
      </c>
      <c r="C7" s="109" t="s">
        <v>616</v>
      </c>
      <c r="D7" s="117" t="s">
        <v>620</v>
      </c>
      <c r="E7" s="112">
        <v>2.8000000000000001E-2</v>
      </c>
      <c r="F7" s="113">
        <v>5.0000000000000001E-3</v>
      </c>
      <c r="G7" s="114">
        <v>400</v>
      </c>
      <c r="H7" s="114">
        <v>200</v>
      </c>
      <c r="I7" s="115"/>
      <c r="J7" s="115"/>
      <c r="K7" s="104">
        <f t="shared" si="0"/>
        <v>600</v>
      </c>
      <c r="L7" s="116" t="s">
        <v>618</v>
      </c>
      <c r="M7" s="106" t="s">
        <v>619</v>
      </c>
    </row>
    <row r="8" spans="1:13" x14ac:dyDescent="0.3">
      <c r="A8" s="110">
        <v>62</v>
      </c>
      <c r="B8" s="109" t="s">
        <v>612</v>
      </c>
      <c r="C8" s="109" t="s">
        <v>621</v>
      </c>
      <c r="D8" s="111" t="s">
        <v>622</v>
      </c>
      <c r="E8" s="112"/>
      <c r="F8" s="113"/>
      <c r="G8" s="114"/>
      <c r="H8" s="114">
        <v>200</v>
      </c>
      <c r="I8" s="115"/>
      <c r="J8" s="115"/>
      <c r="K8" s="104">
        <f t="shared" si="0"/>
        <v>200</v>
      </c>
      <c r="L8" s="116"/>
      <c r="M8" s="106"/>
    </row>
    <row r="9" spans="1:13" x14ac:dyDescent="0.3">
      <c r="A9" s="110">
        <v>93</v>
      </c>
      <c r="B9" s="109" t="s">
        <v>623</v>
      </c>
      <c r="C9" s="109" t="s">
        <v>613</v>
      </c>
      <c r="D9" s="111" t="s">
        <v>624</v>
      </c>
      <c r="E9" s="103" t="s">
        <v>615</v>
      </c>
      <c r="F9" s="113"/>
      <c r="G9" s="114"/>
      <c r="H9" s="114">
        <v>2000</v>
      </c>
      <c r="I9" s="115"/>
      <c r="J9" s="115"/>
      <c r="K9" s="104">
        <f t="shared" si="0"/>
        <v>2000</v>
      </c>
      <c r="L9" s="116"/>
      <c r="M9" s="106"/>
    </row>
    <row r="10" spans="1:13" x14ac:dyDescent="0.3">
      <c r="A10" s="110">
        <v>93</v>
      </c>
      <c r="B10" s="109" t="s">
        <v>623</v>
      </c>
      <c r="C10" s="109" t="s">
        <v>616</v>
      </c>
      <c r="D10" s="118" t="s">
        <v>625</v>
      </c>
      <c r="E10" s="112">
        <v>2.8000000000000001E-2</v>
      </c>
      <c r="F10" s="113">
        <v>5.0000000000000001E-3</v>
      </c>
      <c r="G10" s="114">
        <v>400</v>
      </c>
      <c r="H10" s="114">
        <v>200</v>
      </c>
      <c r="I10" s="115"/>
      <c r="J10" s="115"/>
      <c r="K10" s="104">
        <f t="shared" si="0"/>
        <v>600</v>
      </c>
      <c r="L10" s="116" t="s">
        <v>618</v>
      </c>
      <c r="M10" s="106"/>
    </row>
    <row r="11" spans="1:13" x14ac:dyDescent="0.3">
      <c r="A11" s="110">
        <v>93</v>
      </c>
      <c r="B11" s="109" t="s">
        <v>623</v>
      </c>
      <c r="C11" s="109" t="s">
        <v>616</v>
      </c>
      <c r="D11" s="111" t="s">
        <v>626</v>
      </c>
      <c r="E11" s="112">
        <v>2.8000000000000001E-2</v>
      </c>
      <c r="F11" s="113">
        <v>5.0000000000000001E-3</v>
      </c>
      <c r="G11" s="114">
        <v>400</v>
      </c>
      <c r="H11" s="114">
        <v>200</v>
      </c>
      <c r="I11" s="115"/>
      <c r="J11" s="115"/>
      <c r="K11" s="104">
        <f t="shared" si="0"/>
        <v>600</v>
      </c>
      <c r="L11" s="116" t="s">
        <v>618</v>
      </c>
      <c r="M11" s="106"/>
    </row>
    <row r="12" spans="1:13" x14ac:dyDescent="0.3">
      <c r="A12" s="110">
        <v>94</v>
      </c>
      <c r="B12" s="109" t="s">
        <v>627</v>
      </c>
      <c r="C12" s="109" t="s">
        <v>613</v>
      </c>
      <c r="D12" s="111" t="s">
        <v>628</v>
      </c>
      <c r="E12" s="103" t="s">
        <v>615</v>
      </c>
      <c r="F12" s="113"/>
      <c r="G12" s="114"/>
      <c r="H12" s="114"/>
      <c r="I12" s="115"/>
      <c r="J12" s="115"/>
      <c r="K12" s="104">
        <f t="shared" si="0"/>
        <v>0</v>
      </c>
      <c r="L12" s="116"/>
      <c r="M12" s="106"/>
    </row>
    <row r="13" spans="1:13" x14ac:dyDescent="0.3">
      <c r="A13" s="110">
        <v>94</v>
      </c>
      <c r="B13" s="109" t="s">
        <v>627</v>
      </c>
      <c r="C13" s="109" t="s">
        <v>616</v>
      </c>
      <c r="D13" s="119" t="s">
        <v>629</v>
      </c>
      <c r="E13" s="112" t="s">
        <v>630</v>
      </c>
      <c r="F13" s="113"/>
      <c r="G13" s="114">
        <v>200</v>
      </c>
      <c r="H13" s="114"/>
      <c r="I13" s="115"/>
      <c r="J13" s="115"/>
      <c r="K13" s="104">
        <f t="shared" si="0"/>
        <v>200</v>
      </c>
      <c r="L13" s="116" t="s">
        <v>631</v>
      </c>
      <c r="M13" s="106" t="s">
        <v>619</v>
      </c>
    </row>
    <row r="14" spans="1:13" x14ac:dyDescent="0.3">
      <c r="A14" s="110">
        <v>94</v>
      </c>
      <c r="B14" s="109" t="s">
        <v>627</v>
      </c>
      <c r="C14" s="109" t="s">
        <v>616</v>
      </c>
      <c r="D14" s="119" t="s">
        <v>632</v>
      </c>
      <c r="E14" s="112"/>
      <c r="F14" s="113"/>
      <c r="G14" s="114">
        <v>150</v>
      </c>
      <c r="H14" s="114"/>
      <c r="I14" s="115"/>
      <c r="J14" s="115"/>
      <c r="K14" s="104">
        <f t="shared" si="0"/>
        <v>150</v>
      </c>
      <c r="L14" s="116"/>
      <c r="M14" s="106" t="s">
        <v>619</v>
      </c>
    </row>
    <row r="15" spans="1:13" x14ac:dyDescent="0.3">
      <c r="A15" s="110">
        <v>116</v>
      </c>
      <c r="B15" s="109" t="s">
        <v>633</v>
      </c>
      <c r="C15" s="109" t="s">
        <v>613</v>
      </c>
      <c r="D15" s="119" t="s">
        <v>634</v>
      </c>
      <c r="E15" s="103" t="s">
        <v>615</v>
      </c>
      <c r="F15" s="113"/>
      <c r="G15" s="114"/>
      <c r="H15" s="114"/>
      <c r="I15" s="115"/>
      <c r="J15" s="115"/>
      <c r="K15" s="104">
        <f t="shared" si="0"/>
        <v>0</v>
      </c>
      <c r="L15" s="116"/>
      <c r="M15" s="106"/>
    </row>
    <row r="16" spans="1:13" x14ac:dyDescent="0.3">
      <c r="A16" s="110">
        <v>116</v>
      </c>
      <c r="B16" s="109" t="s">
        <v>633</v>
      </c>
      <c r="C16" s="109" t="s">
        <v>616</v>
      </c>
      <c r="D16" s="120" t="s">
        <v>635</v>
      </c>
      <c r="E16" s="112" t="s">
        <v>630</v>
      </c>
      <c r="F16" s="113"/>
      <c r="G16" s="114">
        <v>400</v>
      </c>
      <c r="H16" s="114"/>
      <c r="I16" s="115"/>
      <c r="J16" s="115"/>
      <c r="K16" s="104">
        <f t="shared" si="0"/>
        <v>400</v>
      </c>
      <c r="L16" s="116" t="s">
        <v>618</v>
      </c>
      <c r="M16" s="106" t="s">
        <v>619</v>
      </c>
    </row>
    <row r="17" spans="1:13" x14ac:dyDescent="0.3">
      <c r="A17" s="110">
        <v>116</v>
      </c>
      <c r="B17" s="109" t="s">
        <v>633</v>
      </c>
      <c r="C17" s="109" t="s">
        <v>616</v>
      </c>
      <c r="D17" s="121" t="s">
        <v>138</v>
      </c>
      <c r="E17" s="112" t="s">
        <v>630</v>
      </c>
      <c r="F17" s="113"/>
      <c r="G17" s="114">
        <v>400</v>
      </c>
      <c r="H17" s="114"/>
      <c r="I17" s="115"/>
      <c r="J17" s="115"/>
      <c r="K17" s="104">
        <f t="shared" si="0"/>
        <v>400</v>
      </c>
      <c r="L17" s="116" t="s">
        <v>618</v>
      </c>
      <c r="M17" s="106" t="s">
        <v>619</v>
      </c>
    </row>
    <row r="18" spans="1:13" x14ac:dyDescent="0.3">
      <c r="A18" s="110">
        <v>116</v>
      </c>
      <c r="B18" s="109" t="s">
        <v>633</v>
      </c>
      <c r="C18" s="109" t="s">
        <v>621</v>
      </c>
      <c r="D18" s="121" t="s">
        <v>636</v>
      </c>
      <c r="E18" s="112"/>
      <c r="F18" s="113"/>
      <c r="G18" s="114">
        <v>300</v>
      </c>
      <c r="H18" s="114"/>
      <c r="I18" s="115"/>
      <c r="J18" s="115"/>
      <c r="K18" s="104">
        <f t="shared" si="0"/>
        <v>300</v>
      </c>
      <c r="L18" s="116"/>
      <c r="M18" s="106" t="s">
        <v>637</v>
      </c>
    </row>
    <row r="19" spans="1:13" x14ac:dyDescent="0.3">
      <c r="A19" s="110">
        <v>123</v>
      </c>
      <c r="B19" s="109" t="s">
        <v>638</v>
      </c>
      <c r="C19" s="109" t="s">
        <v>613</v>
      </c>
      <c r="D19" s="121" t="s">
        <v>639</v>
      </c>
      <c r="E19" s="103" t="s">
        <v>615</v>
      </c>
      <c r="F19" s="113"/>
      <c r="G19" s="114"/>
      <c r="H19" s="114">
        <v>2000</v>
      </c>
      <c r="I19" s="115"/>
      <c r="J19" s="115"/>
      <c r="K19" s="104">
        <f t="shared" si="0"/>
        <v>2000</v>
      </c>
      <c r="L19" s="116"/>
      <c r="M19" s="106"/>
    </row>
    <row r="20" spans="1:13" x14ac:dyDescent="0.3">
      <c r="A20" s="110">
        <v>123</v>
      </c>
      <c r="B20" s="109" t="s">
        <v>638</v>
      </c>
      <c r="C20" s="109" t="s">
        <v>616</v>
      </c>
      <c r="D20" s="118" t="s">
        <v>148</v>
      </c>
      <c r="E20" s="112" t="s">
        <v>640</v>
      </c>
      <c r="F20" s="113"/>
      <c r="G20" s="114">
        <v>300</v>
      </c>
      <c r="H20" s="114">
        <v>200</v>
      </c>
      <c r="I20" s="115">
        <v>200</v>
      </c>
      <c r="J20" s="115"/>
      <c r="K20" s="104">
        <f t="shared" si="0"/>
        <v>700</v>
      </c>
      <c r="L20" s="116" t="s">
        <v>641</v>
      </c>
      <c r="M20" s="106"/>
    </row>
    <row r="21" spans="1:13" x14ac:dyDescent="0.3">
      <c r="A21" s="110">
        <v>123</v>
      </c>
      <c r="B21" s="109" t="s">
        <v>638</v>
      </c>
      <c r="C21" s="109" t="s">
        <v>616</v>
      </c>
      <c r="D21" s="118" t="s">
        <v>642</v>
      </c>
      <c r="E21" s="112" t="s">
        <v>640</v>
      </c>
      <c r="F21" s="113"/>
      <c r="G21" s="114">
        <v>300</v>
      </c>
      <c r="H21" s="114">
        <v>200</v>
      </c>
      <c r="I21" s="115">
        <v>200</v>
      </c>
      <c r="J21" s="115"/>
      <c r="K21" s="104">
        <f t="shared" si="0"/>
        <v>700</v>
      </c>
      <c r="L21" s="116" t="s">
        <v>641</v>
      </c>
      <c r="M21" s="106"/>
    </row>
    <row r="22" spans="1:13" x14ac:dyDescent="0.3">
      <c r="A22" s="110">
        <v>124</v>
      </c>
      <c r="B22" s="109" t="s">
        <v>643</v>
      </c>
      <c r="C22" s="109" t="s">
        <v>613</v>
      </c>
      <c r="D22" s="118" t="s">
        <v>644</v>
      </c>
      <c r="E22" s="103" t="s">
        <v>615</v>
      </c>
      <c r="F22" s="113"/>
      <c r="G22" s="114"/>
      <c r="H22" s="114">
        <v>2000</v>
      </c>
      <c r="I22" s="115"/>
      <c r="J22" s="115"/>
      <c r="K22" s="104">
        <f t="shared" si="0"/>
        <v>2000</v>
      </c>
      <c r="L22" s="116"/>
      <c r="M22" s="106"/>
    </row>
    <row r="23" spans="1:13" x14ac:dyDescent="0.3">
      <c r="A23" s="110">
        <v>124</v>
      </c>
      <c r="B23" s="109" t="s">
        <v>643</v>
      </c>
      <c r="C23" s="109" t="s">
        <v>616</v>
      </c>
      <c r="D23" s="121" t="s">
        <v>164</v>
      </c>
      <c r="E23" s="122">
        <v>3.2000000000000001E-2</v>
      </c>
      <c r="F23" s="113">
        <v>5.0000000000000001E-3</v>
      </c>
      <c r="G23" s="114">
        <v>400</v>
      </c>
      <c r="H23" s="114">
        <v>200</v>
      </c>
      <c r="I23" s="115">
        <v>200</v>
      </c>
      <c r="J23" s="115"/>
      <c r="K23" s="104">
        <f t="shared" si="0"/>
        <v>800</v>
      </c>
      <c r="L23" s="116" t="s">
        <v>618</v>
      </c>
      <c r="M23" s="106"/>
    </row>
    <row r="24" spans="1:13" x14ac:dyDescent="0.3">
      <c r="A24" s="110">
        <v>124</v>
      </c>
      <c r="B24" s="109" t="s">
        <v>643</v>
      </c>
      <c r="C24" s="109" t="s">
        <v>616</v>
      </c>
      <c r="D24" s="111" t="s">
        <v>645</v>
      </c>
      <c r="E24" s="103"/>
      <c r="F24" s="113"/>
      <c r="G24" s="114">
        <v>100</v>
      </c>
      <c r="H24" s="114"/>
      <c r="I24" s="115"/>
      <c r="J24" s="115"/>
      <c r="K24" s="104">
        <f t="shared" si="0"/>
        <v>100</v>
      </c>
      <c r="L24" s="116" t="s">
        <v>618</v>
      </c>
      <c r="M24" s="106"/>
    </row>
    <row r="25" spans="1:13" x14ac:dyDescent="0.3">
      <c r="A25" s="110">
        <v>125</v>
      </c>
      <c r="B25" s="109" t="s">
        <v>646</v>
      </c>
      <c r="C25" s="109" t="s">
        <v>613</v>
      </c>
      <c r="D25" s="111" t="s">
        <v>647</v>
      </c>
      <c r="E25" s="103" t="s">
        <v>615</v>
      </c>
      <c r="F25" s="113"/>
      <c r="G25" s="114"/>
      <c r="H25" s="114">
        <v>2000</v>
      </c>
      <c r="I25" s="115"/>
      <c r="J25" s="115"/>
      <c r="K25" s="104">
        <f t="shared" si="0"/>
        <v>2000</v>
      </c>
      <c r="L25" s="116"/>
      <c r="M25" s="106"/>
    </row>
    <row r="26" spans="1:13" x14ac:dyDescent="0.3">
      <c r="A26" s="110">
        <v>125</v>
      </c>
      <c r="B26" s="109" t="s">
        <v>646</v>
      </c>
      <c r="C26" s="109" t="s">
        <v>616</v>
      </c>
      <c r="D26" s="121"/>
      <c r="E26" s="112">
        <v>2.8000000000000001E-2</v>
      </c>
      <c r="F26" s="113">
        <v>5.0000000000000001E-3</v>
      </c>
      <c r="G26" s="114"/>
      <c r="H26" s="114"/>
      <c r="I26" s="115"/>
      <c r="J26" s="115"/>
      <c r="K26" s="104">
        <f t="shared" si="0"/>
        <v>0</v>
      </c>
      <c r="L26" s="116" t="s">
        <v>641</v>
      </c>
      <c r="M26" s="106"/>
    </row>
    <row r="27" spans="1:13" x14ac:dyDescent="0.3">
      <c r="A27" s="110">
        <v>125</v>
      </c>
      <c r="B27" s="109" t="s">
        <v>646</v>
      </c>
      <c r="C27" s="109" t="s">
        <v>616</v>
      </c>
      <c r="D27" s="121" t="s">
        <v>648</v>
      </c>
      <c r="E27" s="112">
        <v>2.8000000000000001E-2</v>
      </c>
      <c r="F27" s="113">
        <v>5.0000000000000001E-3</v>
      </c>
      <c r="G27" s="114">
        <v>300</v>
      </c>
      <c r="H27" s="114">
        <v>200</v>
      </c>
      <c r="I27" s="115">
        <v>200</v>
      </c>
      <c r="J27" s="115"/>
      <c r="K27" s="104">
        <f t="shared" si="0"/>
        <v>700</v>
      </c>
      <c r="L27" s="116" t="s">
        <v>641</v>
      </c>
      <c r="M27" s="106"/>
    </row>
    <row r="28" spans="1:13" x14ac:dyDescent="0.3">
      <c r="A28" s="110">
        <v>125</v>
      </c>
      <c r="B28" s="109" t="s">
        <v>646</v>
      </c>
      <c r="C28" s="109" t="s">
        <v>621</v>
      </c>
      <c r="D28" s="121"/>
      <c r="E28" s="112"/>
      <c r="F28" s="113"/>
      <c r="G28" s="114"/>
      <c r="H28" s="114"/>
      <c r="I28" s="115"/>
      <c r="J28" s="115"/>
      <c r="K28" s="104">
        <f t="shared" si="0"/>
        <v>0</v>
      </c>
      <c r="L28" s="116"/>
      <c r="M28" s="106"/>
    </row>
    <row r="29" spans="1:13" x14ac:dyDescent="0.3">
      <c r="A29" s="110">
        <v>139</v>
      </c>
      <c r="B29" s="109" t="s">
        <v>649</v>
      </c>
      <c r="C29" s="109" t="s">
        <v>613</v>
      </c>
      <c r="D29" s="121" t="s">
        <v>639</v>
      </c>
      <c r="E29" s="103" t="s">
        <v>615</v>
      </c>
      <c r="F29" s="113"/>
      <c r="G29" s="114"/>
      <c r="H29" s="114"/>
      <c r="I29" s="115"/>
      <c r="J29" s="115"/>
      <c r="K29" s="104">
        <f t="shared" si="0"/>
        <v>0</v>
      </c>
      <c r="L29" s="116"/>
      <c r="M29" s="106"/>
    </row>
    <row r="30" spans="1:13" x14ac:dyDescent="0.3">
      <c r="A30" s="110">
        <v>139</v>
      </c>
      <c r="B30" s="109" t="s">
        <v>649</v>
      </c>
      <c r="C30" s="109" t="s">
        <v>616</v>
      </c>
      <c r="D30" s="119" t="s">
        <v>217</v>
      </c>
      <c r="E30" s="112">
        <v>2.8000000000000001E-2</v>
      </c>
      <c r="F30" s="113">
        <v>5.0000000000000001E-3</v>
      </c>
      <c r="G30" s="114">
        <v>400</v>
      </c>
      <c r="H30" s="114"/>
      <c r="I30" s="115"/>
      <c r="J30" s="115"/>
      <c r="K30" s="104">
        <f t="shared" si="0"/>
        <v>400</v>
      </c>
      <c r="L30" s="116" t="s">
        <v>618</v>
      </c>
      <c r="M30" s="106"/>
    </row>
    <row r="31" spans="1:13" x14ac:dyDescent="0.3">
      <c r="A31" s="110">
        <v>139</v>
      </c>
      <c r="B31" s="109" t="s">
        <v>649</v>
      </c>
      <c r="C31" s="109" t="s">
        <v>616</v>
      </c>
      <c r="D31" s="111" t="s">
        <v>650</v>
      </c>
      <c r="E31" s="112">
        <v>2.8000000000000001E-2</v>
      </c>
      <c r="F31" s="113">
        <v>5.0000000000000001E-3</v>
      </c>
      <c r="G31" s="114">
        <v>400</v>
      </c>
      <c r="H31" s="114"/>
      <c r="I31" s="115"/>
      <c r="J31" s="115"/>
      <c r="K31" s="104">
        <f t="shared" si="0"/>
        <v>400</v>
      </c>
      <c r="L31" s="116" t="s">
        <v>618</v>
      </c>
      <c r="M31" s="106"/>
    </row>
    <row r="32" spans="1:13" x14ac:dyDescent="0.3">
      <c r="A32" s="110">
        <v>139</v>
      </c>
      <c r="B32" s="109" t="s">
        <v>649</v>
      </c>
      <c r="C32" s="109" t="s">
        <v>616</v>
      </c>
      <c r="D32" s="111" t="s">
        <v>651</v>
      </c>
      <c r="E32" s="112"/>
      <c r="F32" s="113"/>
      <c r="G32" s="114">
        <v>150</v>
      </c>
      <c r="H32" s="114"/>
      <c r="I32" s="115"/>
      <c r="J32" s="115"/>
      <c r="K32" s="104">
        <f t="shared" si="0"/>
        <v>150</v>
      </c>
      <c r="L32" s="116"/>
      <c r="M32" s="106" t="s">
        <v>652</v>
      </c>
    </row>
    <row r="33" spans="1:13" x14ac:dyDescent="0.3">
      <c r="A33" s="110">
        <v>144</v>
      </c>
      <c r="B33" s="109" t="s">
        <v>653</v>
      </c>
      <c r="C33" s="109" t="s">
        <v>613</v>
      </c>
      <c r="D33" s="111" t="s">
        <v>654</v>
      </c>
      <c r="E33" s="103" t="s">
        <v>615</v>
      </c>
      <c r="F33" s="113"/>
      <c r="G33" s="114"/>
      <c r="H33" s="114"/>
      <c r="I33" s="115"/>
      <c r="J33" s="115"/>
      <c r="K33" s="104">
        <f t="shared" si="0"/>
        <v>0</v>
      </c>
      <c r="L33" s="116"/>
      <c r="M33" s="106"/>
    </row>
    <row r="34" spans="1:13" x14ac:dyDescent="0.3">
      <c r="A34" s="110">
        <v>144</v>
      </c>
      <c r="B34" s="109" t="s">
        <v>653</v>
      </c>
      <c r="C34" s="109" t="s">
        <v>616</v>
      </c>
      <c r="D34" s="119" t="s">
        <v>655</v>
      </c>
      <c r="E34" s="112">
        <v>3.2000000000000001E-2</v>
      </c>
      <c r="F34" s="113">
        <v>5.0000000000000001E-3</v>
      </c>
      <c r="G34" s="114">
        <v>300</v>
      </c>
      <c r="H34" s="114"/>
      <c r="I34" s="115"/>
      <c r="J34" s="115"/>
      <c r="K34" s="104">
        <f t="shared" si="0"/>
        <v>300</v>
      </c>
      <c r="L34" s="116" t="s">
        <v>656</v>
      </c>
      <c r="M34" s="106"/>
    </row>
    <row r="35" spans="1:13" x14ac:dyDescent="0.3">
      <c r="A35" s="110">
        <v>144</v>
      </c>
      <c r="B35" s="109" t="s">
        <v>653</v>
      </c>
      <c r="C35" s="109" t="s">
        <v>616</v>
      </c>
      <c r="D35" s="111" t="s">
        <v>247</v>
      </c>
      <c r="E35" s="112">
        <v>3.2000000000000001E-2</v>
      </c>
      <c r="F35" s="113">
        <v>5.0000000000000001E-3</v>
      </c>
      <c r="G35" s="114">
        <v>300</v>
      </c>
      <c r="H35" s="114"/>
      <c r="I35" s="115"/>
      <c r="J35" s="115"/>
      <c r="K35" s="104">
        <f t="shared" si="0"/>
        <v>300</v>
      </c>
      <c r="L35" s="116" t="s">
        <v>656</v>
      </c>
      <c r="M35" s="106"/>
    </row>
    <row r="36" spans="1:13" x14ac:dyDescent="0.3">
      <c r="A36" s="110">
        <v>156</v>
      </c>
      <c r="B36" s="109" t="s">
        <v>657</v>
      </c>
      <c r="C36" s="109" t="s">
        <v>613</v>
      </c>
      <c r="D36" s="111" t="s">
        <v>658</v>
      </c>
      <c r="E36" s="103" t="s">
        <v>615</v>
      </c>
      <c r="F36" s="113"/>
      <c r="G36" s="114"/>
      <c r="H36" s="114">
        <v>2000</v>
      </c>
      <c r="I36" s="115"/>
      <c r="J36" s="115"/>
      <c r="K36" s="104">
        <f t="shared" si="0"/>
        <v>2000</v>
      </c>
      <c r="L36" s="116"/>
      <c r="M36" s="106"/>
    </row>
    <row r="37" spans="1:13" x14ac:dyDescent="0.3">
      <c r="A37" s="110">
        <v>156</v>
      </c>
      <c r="B37" s="109" t="s">
        <v>657</v>
      </c>
      <c r="C37" s="109" t="s">
        <v>616</v>
      </c>
      <c r="D37" s="123" t="s">
        <v>659</v>
      </c>
      <c r="E37" s="112">
        <v>3.2000000000000001E-2</v>
      </c>
      <c r="F37" s="113">
        <v>5.0000000000000001E-3</v>
      </c>
      <c r="G37" s="114">
        <v>300</v>
      </c>
      <c r="H37" s="114">
        <v>200</v>
      </c>
      <c r="I37" s="115"/>
      <c r="J37" s="115"/>
      <c r="K37" s="104">
        <f t="shared" si="0"/>
        <v>500</v>
      </c>
      <c r="L37" s="116" t="s">
        <v>641</v>
      </c>
      <c r="M37" s="106"/>
    </row>
    <row r="38" spans="1:13" x14ac:dyDescent="0.3">
      <c r="A38" s="110">
        <v>156</v>
      </c>
      <c r="B38" s="109" t="s">
        <v>657</v>
      </c>
      <c r="C38" s="109" t="s">
        <v>616</v>
      </c>
      <c r="D38" s="111" t="s">
        <v>660</v>
      </c>
      <c r="E38" s="112">
        <v>3.2000000000000001E-2</v>
      </c>
      <c r="F38" s="113">
        <v>5.0000000000000001E-3</v>
      </c>
      <c r="G38" s="114">
        <v>300</v>
      </c>
      <c r="H38" s="114">
        <v>200</v>
      </c>
      <c r="I38" s="115"/>
      <c r="J38" s="115">
        <v>400</v>
      </c>
      <c r="K38" s="104">
        <f t="shared" si="0"/>
        <v>900</v>
      </c>
      <c r="L38" s="116" t="s">
        <v>641</v>
      </c>
      <c r="M38" s="106" t="s">
        <v>637</v>
      </c>
    </row>
    <row r="39" spans="1:13" x14ac:dyDescent="0.3">
      <c r="A39" s="110">
        <v>156</v>
      </c>
      <c r="B39" s="109" t="s">
        <v>657</v>
      </c>
      <c r="C39" s="109" t="s">
        <v>616</v>
      </c>
      <c r="D39" s="111" t="s">
        <v>624</v>
      </c>
      <c r="E39" s="112">
        <v>3.2000000000000001E-2</v>
      </c>
      <c r="F39" s="113">
        <v>5.0000000000000001E-3</v>
      </c>
      <c r="G39" s="114">
        <v>300</v>
      </c>
      <c r="H39" s="114"/>
      <c r="I39" s="115"/>
      <c r="J39" s="115">
        <v>600</v>
      </c>
      <c r="K39" s="104">
        <f t="shared" si="0"/>
        <v>900</v>
      </c>
      <c r="L39" s="116" t="s">
        <v>641</v>
      </c>
      <c r="M39" s="106" t="s">
        <v>637</v>
      </c>
    </row>
    <row r="40" spans="1:13" x14ac:dyDescent="0.3">
      <c r="A40" s="110">
        <v>173</v>
      </c>
      <c r="B40" s="109" t="s">
        <v>661</v>
      </c>
      <c r="C40" s="109" t="s">
        <v>613</v>
      </c>
      <c r="D40" s="111" t="s">
        <v>662</v>
      </c>
      <c r="E40" s="103" t="s">
        <v>615</v>
      </c>
      <c r="F40" s="113"/>
      <c r="G40" s="114"/>
      <c r="H40" s="114"/>
      <c r="I40" s="115"/>
      <c r="J40" s="115"/>
      <c r="K40" s="104">
        <f t="shared" si="0"/>
        <v>0</v>
      </c>
      <c r="L40" s="116"/>
      <c r="M40" s="106"/>
    </row>
    <row r="41" spans="1:13" x14ac:dyDescent="0.3">
      <c r="A41" s="110">
        <v>173</v>
      </c>
      <c r="B41" s="109" t="s">
        <v>661</v>
      </c>
      <c r="C41" s="109" t="s">
        <v>616</v>
      </c>
      <c r="D41" s="124" t="s">
        <v>335</v>
      </c>
      <c r="E41" s="112" t="s">
        <v>630</v>
      </c>
      <c r="F41" s="113"/>
      <c r="G41" s="114">
        <v>400</v>
      </c>
      <c r="H41" s="114"/>
      <c r="I41" s="115"/>
      <c r="J41" s="115"/>
      <c r="K41" s="104">
        <f t="shared" si="0"/>
        <v>400</v>
      </c>
      <c r="L41" s="116" t="s">
        <v>618</v>
      </c>
      <c r="M41" s="106"/>
    </row>
    <row r="42" spans="1:13" x14ac:dyDescent="0.3">
      <c r="A42" s="110">
        <v>173</v>
      </c>
      <c r="B42" s="109" t="s">
        <v>661</v>
      </c>
      <c r="C42" s="109" t="s">
        <v>616</v>
      </c>
      <c r="D42" s="124" t="s">
        <v>663</v>
      </c>
      <c r="E42" s="112" t="s">
        <v>630</v>
      </c>
      <c r="F42" s="113"/>
      <c r="G42" s="114">
        <v>400</v>
      </c>
      <c r="H42" s="114"/>
      <c r="I42" s="115"/>
      <c r="J42" s="115"/>
      <c r="K42" s="104">
        <f t="shared" si="0"/>
        <v>400</v>
      </c>
      <c r="L42" s="116" t="s">
        <v>618</v>
      </c>
      <c r="M42" s="106"/>
    </row>
    <row r="43" spans="1:13" x14ac:dyDescent="0.3">
      <c r="A43" s="110">
        <v>181</v>
      </c>
      <c r="B43" s="109" t="s">
        <v>664</v>
      </c>
      <c r="C43" s="109" t="s">
        <v>613</v>
      </c>
      <c r="D43" s="124" t="s">
        <v>665</v>
      </c>
      <c r="E43" s="103" t="s">
        <v>615</v>
      </c>
      <c r="F43" s="113"/>
      <c r="G43" s="114"/>
      <c r="H43" s="114"/>
      <c r="I43" s="115"/>
      <c r="J43" s="115"/>
      <c r="K43" s="104">
        <f t="shared" si="0"/>
        <v>0</v>
      </c>
      <c r="L43" s="116"/>
      <c r="M43" s="106"/>
    </row>
    <row r="44" spans="1:13" x14ac:dyDescent="0.3">
      <c r="A44" s="125">
        <v>181</v>
      </c>
      <c r="B44" s="109" t="s">
        <v>664</v>
      </c>
      <c r="C44" s="109" t="s">
        <v>616</v>
      </c>
      <c r="D44" s="126" t="s">
        <v>381</v>
      </c>
      <c r="E44" s="112">
        <v>2.8000000000000001E-2</v>
      </c>
      <c r="F44" s="113">
        <v>5.0000000000000001E-3</v>
      </c>
      <c r="G44" s="114">
        <v>400</v>
      </c>
      <c r="H44" s="114"/>
      <c r="I44" s="115"/>
      <c r="J44" s="127"/>
      <c r="K44" s="104">
        <f t="shared" si="0"/>
        <v>400</v>
      </c>
      <c r="L44" s="116" t="s">
        <v>618</v>
      </c>
      <c r="M44" s="106"/>
    </row>
    <row r="45" spans="1:13" x14ac:dyDescent="0.3">
      <c r="A45" s="125">
        <v>181</v>
      </c>
      <c r="B45" s="109" t="s">
        <v>664</v>
      </c>
      <c r="C45" s="109" t="s">
        <v>616</v>
      </c>
      <c r="D45" s="126" t="s">
        <v>666</v>
      </c>
      <c r="E45" s="112">
        <v>2.8000000000000001E-2</v>
      </c>
      <c r="F45" s="113">
        <v>5.0000000000000001E-3</v>
      </c>
      <c r="G45" s="114">
        <v>400</v>
      </c>
      <c r="H45" s="114"/>
      <c r="I45" s="115"/>
      <c r="J45" s="115"/>
      <c r="K45" s="104">
        <f t="shared" si="0"/>
        <v>400</v>
      </c>
      <c r="L45" s="116" t="s">
        <v>618</v>
      </c>
      <c r="M45" s="106"/>
    </row>
    <row r="46" spans="1:13" x14ac:dyDescent="0.3">
      <c r="A46" s="125">
        <v>200</v>
      </c>
      <c r="B46" s="109" t="s">
        <v>667</v>
      </c>
      <c r="C46" s="109" t="s">
        <v>613</v>
      </c>
      <c r="D46" s="126" t="s">
        <v>658</v>
      </c>
      <c r="E46" s="103" t="s">
        <v>615</v>
      </c>
      <c r="F46" s="113"/>
      <c r="G46" s="114"/>
      <c r="H46" s="114">
        <v>2000</v>
      </c>
      <c r="I46" s="115"/>
      <c r="J46" s="115"/>
      <c r="K46" s="104">
        <f t="shared" si="0"/>
        <v>2000</v>
      </c>
      <c r="L46" s="116"/>
      <c r="M46" s="106"/>
    </row>
    <row r="47" spans="1:13" x14ac:dyDescent="0.3">
      <c r="A47" s="128">
        <v>200</v>
      </c>
      <c r="B47" s="109" t="s">
        <v>667</v>
      </c>
      <c r="C47" s="109" t="s">
        <v>616</v>
      </c>
      <c r="D47" s="126" t="s">
        <v>668</v>
      </c>
      <c r="E47" s="112">
        <v>2.8000000000000001E-2</v>
      </c>
      <c r="F47" s="113">
        <v>5.0000000000000001E-3</v>
      </c>
      <c r="G47" s="114">
        <v>300</v>
      </c>
      <c r="H47" s="114">
        <v>150</v>
      </c>
      <c r="I47" s="115"/>
      <c r="J47" s="115"/>
      <c r="K47" s="104">
        <f t="shared" si="0"/>
        <v>450</v>
      </c>
      <c r="L47" s="116" t="s">
        <v>656</v>
      </c>
      <c r="M47" s="106"/>
    </row>
    <row r="48" spans="1:13" x14ac:dyDescent="0.3">
      <c r="A48" s="128">
        <v>200</v>
      </c>
      <c r="B48" s="109" t="s">
        <v>667</v>
      </c>
      <c r="C48" s="109" t="s">
        <v>616</v>
      </c>
      <c r="D48" s="111" t="s">
        <v>669</v>
      </c>
      <c r="E48" s="112">
        <v>2.8000000000000001E-2</v>
      </c>
      <c r="F48" s="113">
        <v>5.0000000000000001E-3</v>
      </c>
      <c r="G48" s="114"/>
      <c r="H48" s="114"/>
      <c r="I48" s="115"/>
      <c r="J48" s="115"/>
      <c r="K48" s="104">
        <f t="shared" si="0"/>
        <v>0</v>
      </c>
      <c r="L48" s="116"/>
      <c r="M48" s="106"/>
    </row>
  </sheetData>
  <autoFilter ref="A4:M48" xr:uid="{00000000-0009-0000-0000-000003000000}"/>
  <mergeCells count="2">
    <mergeCell ref="A1:L1"/>
    <mergeCell ref="E3:F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9"/>
  <sheetViews>
    <sheetView showGridLines="0" workbookViewId="0">
      <selection sqref="A1:XFD1048576"/>
    </sheetView>
  </sheetViews>
  <sheetFormatPr defaultRowHeight="14.4" x14ac:dyDescent="0.3"/>
  <cols>
    <col min="1" max="1" width="7" style="94" customWidth="1"/>
    <col min="2" max="2" width="20" style="94" customWidth="1"/>
    <col min="3" max="3" width="44.109375" bestFit="1" customWidth="1"/>
    <col min="4" max="4" width="39.33203125" bestFit="1" customWidth="1"/>
    <col min="5" max="5" width="25.5546875" bestFit="1" customWidth="1"/>
    <col min="6" max="6" width="22.88671875" bestFit="1" customWidth="1"/>
    <col min="7" max="7" width="16.5546875" customWidth="1"/>
    <col min="8" max="10" width="21.5546875" customWidth="1"/>
    <col min="11" max="11" width="22.109375" bestFit="1" customWidth="1"/>
    <col min="12" max="12" width="32" bestFit="1" customWidth="1"/>
    <col min="13" max="13" width="57.44140625" bestFit="1" customWidth="1"/>
    <col min="14" max="14" width="38.6640625" customWidth="1"/>
  </cols>
  <sheetData>
    <row r="1" spans="1:13" ht="19.5" customHeight="1" x14ac:dyDescent="0.4">
      <c r="A1" s="1" t="s">
        <v>595</v>
      </c>
      <c r="B1" s="234"/>
      <c r="C1" s="234"/>
      <c r="D1" s="234"/>
      <c r="E1" s="234"/>
      <c r="F1" s="234"/>
      <c r="G1" s="234"/>
    </row>
    <row r="3" spans="1:13" x14ac:dyDescent="0.3">
      <c r="A3" s="129" t="s">
        <v>596</v>
      </c>
      <c r="B3" s="129" t="s">
        <v>506</v>
      </c>
      <c r="C3" s="129" t="s">
        <v>670</v>
      </c>
      <c r="D3" s="129" t="s">
        <v>671</v>
      </c>
      <c r="E3" s="129"/>
      <c r="F3" s="235" t="s">
        <v>598</v>
      </c>
      <c r="G3" s="235"/>
      <c r="H3" s="129" t="s">
        <v>728</v>
      </c>
      <c r="I3" s="129" t="s">
        <v>729</v>
      </c>
      <c r="J3" s="129" t="s">
        <v>730</v>
      </c>
      <c r="K3" s="129" t="s">
        <v>608</v>
      </c>
      <c r="L3" s="129" t="s">
        <v>599</v>
      </c>
      <c r="M3" s="129" t="s">
        <v>672</v>
      </c>
    </row>
    <row r="4" spans="1:13" s="107" customFormat="1" x14ac:dyDescent="0.3">
      <c r="A4" s="130" t="s">
        <v>506</v>
      </c>
      <c r="B4" s="130" t="s">
        <v>600</v>
      </c>
      <c r="C4" s="131" t="s">
        <v>673</v>
      </c>
      <c r="D4" s="131" t="s">
        <v>674</v>
      </c>
      <c r="E4" s="131"/>
      <c r="F4" s="131" t="s">
        <v>603</v>
      </c>
      <c r="G4" s="130" t="s">
        <v>604</v>
      </c>
      <c r="H4" s="132"/>
      <c r="I4" s="132"/>
      <c r="J4" s="132"/>
      <c r="K4" s="132"/>
      <c r="L4" s="130" t="s">
        <v>610</v>
      </c>
      <c r="M4" s="133"/>
    </row>
    <row r="5" spans="1:13" x14ac:dyDescent="0.3">
      <c r="A5" s="134">
        <v>95</v>
      </c>
      <c r="B5" s="135" t="s">
        <v>675</v>
      </c>
      <c r="C5" s="135" t="s">
        <v>676</v>
      </c>
      <c r="D5" s="135" t="s">
        <v>669</v>
      </c>
      <c r="E5" s="135"/>
      <c r="F5" s="136">
        <v>3.2000000000000001E-2</v>
      </c>
      <c r="G5" s="137">
        <v>5.0000000000000001E-3</v>
      </c>
      <c r="H5" s="138">
        <v>300</v>
      </c>
      <c r="I5" s="138">
        <v>150</v>
      </c>
      <c r="J5" s="138"/>
      <c r="K5" s="139"/>
      <c r="L5" s="140" t="s">
        <v>656</v>
      </c>
      <c r="M5" s="141"/>
    </row>
    <row r="6" spans="1:13" x14ac:dyDescent="0.3">
      <c r="A6" s="134">
        <v>103</v>
      </c>
      <c r="B6" s="135" t="s">
        <v>677</v>
      </c>
      <c r="C6" s="135" t="s">
        <v>91</v>
      </c>
      <c r="D6" s="135" t="s">
        <v>669</v>
      </c>
      <c r="E6" s="135"/>
      <c r="F6" s="136">
        <v>3.2000000000000001E-2</v>
      </c>
      <c r="G6" s="137">
        <v>5.0000000000000001E-3</v>
      </c>
      <c r="H6" s="138">
        <v>400</v>
      </c>
      <c r="I6" s="138">
        <v>200</v>
      </c>
      <c r="J6" s="138">
        <v>200</v>
      </c>
      <c r="K6" s="139"/>
      <c r="L6" s="140" t="s">
        <v>618</v>
      </c>
      <c r="M6" s="141"/>
    </row>
    <row r="7" spans="1:13" x14ac:dyDescent="0.3">
      <c r="A7" s="134">
        <v>104</v>
      </c>
      <c r="B7" s="140" t="s">
        <v>678</v>
      </c>
      <c r="C7" s="142" t="s">
        <v>101</v>
      </c>
      <c r="D7" s="143" t="s">
        <v>669</v>
      </c>
      <c r="E7" s="143"/>
      <c r="F7" s="136">
        <v>0.02</v>
      </c>
      <c r="G7" s="137">
        <v>5.0000000000000001E-3</v>
      </c>
      <c r="H7" s="138">
        <v>300</v>
      </c>
      <c r="I7" s="138"/>
      <c r="J7" s="138"/>
      <c r="K7" s="139"/>
      <c r="L7" s="140" t="s">
        <v>656</v>
      </c>
      <c r="M7" s="141"/>
    </row>
    <row r="8" spans="1:13" x14ac:dyDescent="0.3">
      <c r="A8" s="134">
        <v>105</v>
      </c>
      <c r="B8" s="135" t="s">
        <v>679</v>
      </c>
      <c r="C8" s="144" t="s">
        <v>680</v>
      </c>
      <c r="D8" s="144" t="s">
        <v>120</v>
      </c>
      <c r="E8" s="144"/>
      <c r="F8" s="136">
        <v>2.8000000000000001E-2</v>
      </c>
      <c r="G8" s="137">
        <v>5.0000000000000001E-3</v>
      </c>
      <c r="H8" s="138">
        <v>300</v>
      </c>
      <c r="I8" s="138"/>
      <c r="J8" s="138"/>
      <c r="K8" s="139"/>
      <c r="L8" s="140" t="s">
        <v>656</v>
      </c>
      <c r="M8" s="141"/>
    </row>
    <row r="9" spans="1:13" x14ac:dyDescent="0.3">
      <c r="A9" s="134">
        <v>126</v>
      </c>
      <c r="B9" s="135" t="s">
        <v>681</v>
      </c>
      <c r="C9" s="145" t="s">
        <v>739</v>
      </c>
      <c r="D9" s="145" t="s">
        <v>511</v>
      </c>
      <c r="E9" s="146" t="s">
        <v>197</v>
      </c>
      <c r="F9" s="136">
        <v>3.2000000000000001E-2</v>
      </c>
      <c r="G9" s="137">
        <v>5.0000000000000001E-3</v>
      </c>
      <c r="H9" s="138">
        <v>300</v>
      </c>
      <c r="I9" s="138">
        <v>200</v>
      </c>
      <c r="J9" s="138"/>
      <c r="K9" s="139">
        <v>300</v>
      </c>
      <c r="L9" s="140" t="s">
        <v>641</v>
      </c>
      <c r="M9" s="147" t="s">
        <v>682</v>
      </c>
    </row>
    <row r="10" spans="1:13" x14ac:dyDescent="0.3">
      <c r="A10" s="134">
        <v>127</v>
      </c>
      <c r="B10" s="135" t="s">
        <v>683</v>
      </c>
      <c r="C10" s="135" t="s">
        <v>684</v>
      </c>
      <c r="D10" s="135" t="s">
        <v>669</v>
      </c>
      <c r="E10" s="135"/>
      <c r="F10" s="136">
        <v>3.2000000000000001E-2</v>
      </c>
      <c r="G10" s="137">
        <v>5.0000000000000001E-3</v>
      </c>
      <c r="H10" s="138">
        <v>300</v>
      </c>
      <c r="I10" s="138"/>
      <c r="J10" s="138"/>
      <c r="K10" s="139"/>
      <c r="L10" s="140" t="s">
        <v>656</v>
      </c>
      <c r="M10" s="148"/>
    </row>
    <row r="11" spans="1:13" x14ac:dyDescent="0.3">
      <c r="A11" s="134">
        <v>154</v>
      </c>
      <c r="B11" s="135" t="s">
        <v>685</v>
      </c>
      <c r="C11" s="149" t="s">
        <v>253</v>
      </c>
      <c r="D11" s="135"/>
      <c r="E11" s="135"/>
      <c r="F11" s="136">
        <v>3.2000000000000001E-2</v>
      </c>
      <c r="G11" s="137">
        <v>5.0000000000000001E-3</v>
      </c>
      <c r="H11" s="138">
        <v>300</v>
      </c>
      <c r="I11" s="138">
        <v>150</v>
      </c>
      <c r="J11" s="138"/>
      <c r="K11" s="139">
        <v>300</v>
      </c>
      <c r="L11" s="140" t="s">
        <v>656</v>
      </c>
      <c r="M11" s="150" t="s">
        <v>686</v>
      </c>
    </row>
    <row r="12" spans="1:13" x14ac:dyDescent="0.3">
      <c r="A12" s="134">
        <v>157</v>
      </c>
      <c r="B12" s="135" t="s">
        <v>687</v>
      </c>
      <c r="C12" s="142" t="s">
        <v>279</v>
      </c>
      <c r="D12" s="135" t="s">
        <v>669</v>
      </c>
      <c r="E12" s="135"/>
      <c r="F12" s="136">
        <v>3.2000000000000001E-2</v>
      </c>
      <c r="G12" s="137">
        <v>5.0000000000000001E-3</v>
      </c>
      <c r="H12" s="138">
        <v>300</v>
      </c>
      <c r="I12" s="138">
        <v>150</v>
      </c>
      <c r="J12" s="138">
        <v>150</v>
      </c>
      <c r="K12" s="139">
        <v>600</v>
      </c>
      <c r="L12" s="140" t="s">
        <v>656</v>
      </c>
      <c r="M12" s="151" t="s">
        <v>688</v>
      </c>
    </row>
    <row r="13" spans="1:13" x14ac:dyDescent="0.3">
      <c r="A13" s="134">
        <v>161</v>
      </c>
      <c r="B13" s="135" t="s">
        <v>689</v>
      </c>
      <c r="C13" s="152" t="s">
        <v>301</v>
      </c>
      <c r="D13" s="135" t="s">
        <v>669</v>
      </c>
      <c r="E13" s="135"/>
      <c r="F13" s="136">
        <v>3.2000000000000001E-2</v>
      </c>
      <c r="G13" s="137">
        <v>5.0000000000000001E-3</v>
      </c>
      <c r="H13" s="138">
        <v>300</v>
      </c>
      <c r="I13" s="138"/>
      <c r="J13" s="138"/>
      <c r="K13" s="139"/>
      <c r="L13" s="140" t="s">
        <v>656</v>
      </c>
      <c r="M13" s="148"/>
    </row>
    <row r="14" spans="1:13" x14ac:dyDescent="0.3">
      <c r="A14" s="134">
        <v>166</v>
      </c>
      <c r="B14" s="135" t="s">
        <v>690</v>
      </c>
      <c r="C14" s="145" t="s">
        <v>307</v>
      </c>
      <c r="D14" s="135" t="s">
        <v>669</v>
      </c>
      <c r="E14" s="135"/>
      <c r="F14" s="136">
        <v>3.2000000000000001E-2</v>
      </c>
      <c r="G14" s="137">
        <v>5.0000000000000001E-3</v>
      </c>
      <c r="H14" s="138">
        <v>300</v>
      </c>
      <c r="I14" s="138"/>
      <c r="J14" s="138"/>
      <c r="K14" s="139"/>
      <c r="L14" s="140" t="s">
        <v>656</v>
      </c>
      <c r="M14" s="141"/>
    </row>
    <row r="15" spans="1:13" x14ac:dyDescent="0.3">
      <c r="A15" s="134">
        <v>169</v>
      </c>
      <c r="B15" s="135" t="s">
        <v>691</v>
      </c>
      <c r="C15" s="149" t="s">
        <v>315</v>
      </c>
      <c r="D15" s="135" t="s">
        <v>325</v>
      </c>
      <c r="E15" s="143"/>
      <c r="F15" s="153">
        <v>3.2000000000000001E-2</v>
      </c>
      <c r="G15" s="154">
        <v>5.0000000000000001E-3</v>
      </c>
      <c r="H15" s="138">
        <v>400</v>
      </c>
      <c r="I15" s="138">
        <v>200</v>
      </c>
      <c r="J15" s="138">
        <v>200</v>
      </c>
      <c r="K15" s="139"/>
      <c r="L15" s="140" t="s">
        <v>618</v>
      </c>
      <c r="M15" s="141"/>
    </row>
    <row r="16" spans="1:13" x14ac:dyDescent="0.3">
      <c r="A16" s="155">
        <v>175</v>
      </c>
      <c r="B16" s="143" t="s">
        <v>692</v>
      </c>
      <c r="C16" s="156" t="s">
        <v>355</v>
      </c>
      <c r="D16" s="143" t="s">
        <v>693</v>
      </c>
      <c r="E16" s="143"/>
      <c r="F16" s="136" t="s">
        <v>694</v>
      </c>
      <c r="G16" s="154"/>
      <c r="H16" s="138">
        <v>400</v>
      </c>
      <c r="I16" s="138"/>
      <c r="J16" s="138"/>
      <c r="K16" s="139">
        <v>1000</v>
      </c>
      <c r="L16" s="140" t="s">
        <v>618</v>
      </c>
      <c r="M16" s="135" t="s">
        <v>695</v>
      </c>
    </row>
    <row r="17" spans="1:13" x14ac:dyDescent="0.3">
      <c r="A17" s="157">
        <v>179</v>
      </c>
      <c r="B17" s="135" t="s">
        <v>696</v>
      </c>
      <c r="C17" s="150" t="s">
        <v>365</v>
      </c>
      <c r="D17" s="150" t="s">
        <v>367</v>
      </c>
      <c r="E17" s="150"/>
      <c r="F17" s="136" t="s">
        <v>697</v>
      </c>
      <c r="G17" s="154">
        <v>5.0000000000000001E-3</v>
      </c>
      <c r="H17" s="138">
        <v>400</v>
      </c>
      <c r="I17" s="138">
        <v>200</v>
      </c>
      <c r="J17" s="138"/>
      <c r="K17" s="139"/>
      <c r="L17" s="140" t="s">
        <v>618</v>
      </c>
      <c r="M17" s="148"/>
    </row>
    <row r="18" spans="1:13" x14ac:dyDescent="0.3">
      <c r="A18" s="157">
        <v>183</v>
      </c>
      <c r="B18" s="135" t="s">
        <v>698</v>
      </c>
      <c r="C18" s="135" t="s">
        <v>699</v>
      </c>
      <c r="D18" s="135" t="s">
        <v>700</v>
      </c>
      <c r="E18" s="135"/>
      <c r="F18" s="136">
        <v>2.8000000000000001E-2</v>
      </c>
      <c r="G18" s="137">
        <v>5.0000000000000001E-3</v>
      </c>
      <c r="H18" s="138">
        <v>400</v>
      </c>
      <c r="I18" s="138"/>
      <c r="J18" s="138"/>
      <c r="K18" s="139">
        <v>1000</v>
      </c>
      <c r="L18" s="140" t="s">
        <v>618</v>
      </c>
      <c r="M18" s="135" t="s">
        <v>701</v>
      </c>
    </row>
    <row r="19" spans="1:13" x14ac:dyDescent="0.3">
      <c r="A19" s="157">
        <v>185</v>
      </c>
      <c r="B19" s="135" t="s">
        <v>702</v>
      </c>
      <c r="C19" s="135" t="s">
        <v>703</v>
      </c>
      <c r="D19" s="135" t="s">
        <v>669</v>
      </c>
      <c r="E19" s="135"/>
      <c r="F19" s="136">
        <v>2.8000000000000001E-2</v>
      </c>
      <c r="G19" s="137">
        <v>5.0000000000000001E-3</v>
      </c>
      <c r="H19" s="138">
        <v>400</v>
      </c>
      <c r="I19" s="138"/>
      <c r="J19" s="138"/>
      <c r="K19" s="139"/>
      <c r="L19" s="140" t="s">
        <v>618</v>
      </c>
      <c r="M19" s="141"/>
    </row>
  </sheetData>
  <mergeCells count="2">
    <mergeCell ref="A1:G1"/>
    <mergeCell ref="F3:G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0"/>
  <sheetViews>
    <sheetView showGridLines="0" zoomScale="99" zoomScaleNormal="99" workbookViewId="0">
      <selection sqref="A1:XFD1048576"/>
    </sheetView>
  </sheetViews>
  <sheetFormatPr defaultColWidth="9.109375" defaultRowHeight="14.4" x14ac:dyDescent="0.3"/>
  <cols>
    <col min="1" max="1" width="4.5546875" style="175" bestFit="1" customWidth="1"/>
    <col min="2" max="2" width="7.109375" style="175" bestFit="1" customWidth="1"/>
    <col min="3" max="3" width="7.6640625" style="175" bestFit="1" customWidth="1"/>
    <col min="4" max="4" width="33.33203125" style="175" bestFit="1" customWidth="1"/>
    <col min="5" max="5" width="19.88671875" style="175" bestFit="1" customWidth="1"/>
    <col min="6" max="6" width="14" style="175" bestFit="1" customWidth="1"/>
    <col min="7" max="7" width="10.6640625" style="175" bestFit="1" customWidth="1"/>
    <col min="8" max="8" width="5.6640625" style="175" bestFit="1" customWidth="1"/>
    <col min="9" max="9" width="8.33203125" style="175" bestFit="1" customWidth="1"/>
    <col min="10" max="16384" width="9.109375" style="175"/>
  </cols>
  <sheetData>
    <row r="1" spans="1:9" x14ac:dyDescent="0.3">
      <c r="A1" s="173" t="s">
        <v>454</v>
      </c>
      <c r="B1" s="173" t="s">
        <v>2</v>
      </c>
      <c r="C1" s="173"/>
      <c r="D1" s="173" t="s">
        <v>0</v>
      </c>
      <c r="E1" s="173" t="s">
        <v>1</v>
      </c>
      <c r="F1" s="173" t="s">
        <v>3</v>
      </c>
      <c r="G1" s="173" t="s">
        <v>455</v>
      </c>
      <c r="H1" s="173" t="s">
        <v>726</v>
      </c>
      <c r="I1" s="174" t="s">
        <v>727</v>
      </c>
    </row>
    <row r="2" spans="1:9" x14ac:dyDescent="0.3">
      <c r="A2" s="176">
        <v>95</v>
      </c>
      <c r="B2" s="176">
        <v>56</v>
      </c>
      <c r="C2" s="172" t="s">
        <v>707</v>
      </c>
      <c r="D2" s="177" t="s">
        <v>71</v>
      </c>
      <c r="E2" s="178" t="s">
        <v>14</v>
      </c>
      <c r="F2" s="179" t="s">
        <v>72</v>
      </c>
      <c r="G2" s="180">
        <v>43165</v>
      </c>
      <c r="H2" s="179" t="s">
        <v>10</v>
      </c>
      <c r="I2" s="181">
        <v>70</v>
      </c>
    </row>
    <row r="3" spans="1:9" x14ac:dyDescent="0.3">
      <c r="A3" s="176">
        <v>95</v>
      </c>
      <c r="B3" s="176">
        <v>59</v>
      </c>
      <c r="C3" s="172" t="s">
        <v>708</v>
      </c>
      <c r="D3" s="177" t="s">
        <v>73</v>
      </c>
      <c r="E3" s="178" t="s">
        <v>14</v>
      </c>
      <c r="F3" s="179" t="s">
        <v>74</v>
      </c>
      <c r="G3" s="180">
        <v>43213</v>
      </c>
      <c r="H3" s="179" t="s">
        <v>10</v>
      </c>
      <c r="I3" s="181">
        <v>70</v>
      </c>
    </row>
    <row r="4" spans="1:9" x14ac:dyDescent="0.3">
      <c r="A4" s="176">
        <v>95</v>
      </c>
      <c r="B4" s="176">
        <v>80</v>
      </c>
      <c r="C4" s="172" t="s">
        <v>709</v>
      </c>
      <c r="D4" s="177" t="s">
        <v>75</v>
      </c>
      <c r="E4" s="178" t="s">
        <v>21</v>
      </c>
      <c r="F4" s="179" t="s">
        <v>76</v>
      </c>
      <c r="G4" s="180">
        <v>44064</v>
      </c>
      <c r="H4" s="179" t="s">
        <v>10</v>
      </c>
      <c r="I4" s="181">
        <v>70</v>
      </c>
    </row>
    <row r="5" spans="1:9" x14ac:dyDescent="0.3">
      <c r="A5" s="176">
        <v>95</v>
      </c>
      <c r="B5" s="176">
        <v>84</v>
      </c>
      <c r="C5" s="172" t="s">
        <v>710</v>
      </c>
      <c r="D5" s="177" t="s">
        <v>79</v>
      </c>
      <c r="E5" s="178" t="s">
        <v>11</v>
      </c>
      <c r="F5" s="179" t="s">
        <v>80</v>
      </c>
      <c r="G5" s="180">
        <v>43475</v>
      </c>
      <c r="H5" s="179" t="s">
        <v>10</v>
      </c>
      <c r="I5" s="181">
        <v>70</v>
      </c>
    </row>
    <row r="6" spans="1:9" x14ac:dyDescent="0.3">
      <c r="A6" s="176">
        <v>103</v>
      </c>
      <c r="B6" s="176">
        <v>185</v>
      </c>
      <c r="C6" s="172" t="s">
        <v>712</v>
      </c>
      <c r="D6" s="177" t="s">
        <v>87</v>
      </c>
      <c r="E6" s="178" t="s">
        <v>14</v>
      </c>
      <c r="F6" s="179" t="s">
        <v>88</v>
      </c>
      <c r="G6" s="180">
        <v>43782</v>
      </c>
      <c r="H6" s="179" t="s">
        <v>10</v>
      </c>
      <c r="I6" s="181">
        <v>70</v>
      </c>
    </row>
    <row r="7" spans="1:9" x14ac:dyDescent="0.3">
      <c r="A7" s="176">
        <v>103</v>
      </c>
      <c r="B7" s="176">
        <v>187</v>
      </c>
      <c r="C7" s="172" t="s">
        <v>713</v>
      </c>
      <c r="D7" s="177" t="s">
        <v>89</v>
      </c>
      <c r="E7" s="178" t="s">
        <v>14</v>
      </c>
      <c r="F7" s="179" t="s">
        <v>90</v>
      </c>
      <c r="G7" s="180">
        <v>43815</v>
      </c>
      <c r="H7" s="179" t="s">
        <v>10</v>
      </c>
      <c r="I7" s="181">
        <v>70</v>
      </c>
    </row>
    <row r="8" spans="1:9" x14ac:dyDescent="0.3">
      <c r="A8" s="176">
        <v>103</v>
      </c>
      <c r="B8" s="176">
        <v>199</v>
      </c>
      <c r="C8" s="172" t="s">
        <v>714</v>
      </c>
      <c r="D8" s="177" t="s">
        <v>95</v>
      </c>
      <c r="E8" s="178" t="s">
        <v>11</v>
      </c>
      <c r="F8" s="179" t="s">
        <v>96</v>
      </c>
      <c r="G8" s="180">
        <v>43284</v>
      </c>
      <c r="H8" s="179" t="s">
        <v>10</v>
      </c>
      <c r="I8" s="181">
        <v>70</v>
      </c>
    </row>
    <row r="9" spans="1:9" x14ac:dyDescent="0.3">
      <c r="A9" s="176">
        <v>103</v>
      </c>
      <c r="B9" s="176">
        <v>184</v>
      </c>
      <c r="C9" s="172" t="s">
        <v>711</v>
      </c>
      <c r="D9" s="177" t="s">
        <v>85</v>
      </c>
      <c r="E9" s="178" t="s">
        <v>21</v>
      </c>
      <c r="F9" s="179" t="s">
        <v>86</v>
      </c>
      <c r="G9" s="180">
        <v>43782</v>
      </c>
      <c r="H9" s="179" t="s">
        <v>10</v>
      </c>
      <c r="I9" s="181">
        <v>70</v>
      </c>
    </row>
    <row r="10" spans="1:9" x14ac:dyDescent="0.3">
      <c r="A10" s="176">
        <v>116</v>
      </c>
      <c r="B10" s="176">
        <v>143</v>
      </c>
      <c r="C10" s="172" t="s">
        <v>715</v>
      </c>
      <c r="D10" s="177" t="s">
        <v>132</v>
      </c>
      <c r="E10" s="178" t="s">
        <v>11</v>
      </c>
      <c r="F10" s="179" t="s">
        <v>133</v>
      </c>
      <c r="G10" s="180">
        <v>43405</v>
      </c>
      <c r="H10" s="179" t="s">
        <v>10</v>
      </c>
      <c r="I10" s="181">
        <v>70</v>
      </c>
    </row>
    <row r="11" spans="1:9" x14ac:dyDescent="0.3">
      <c r="A11" s="176">
        <v>116</v>
      </c>
      <c r="B11" s="176">
        <v>144</v>
      </c>
      <c r="C11" s="172" t="s">
        <v>719</v>
      </c>
      <c r="D11" s="177" t="s">
        <v>134</v>
      </c>
      <c r="E11" s="178" t="s">
        <v>14</v>
      </c>
      <c r="F11" s="179" t="s">
        <v>135</v>
      </c>
      <c r="G11" s="180">
        <v>43412</v>
      </c>
      <c r="H11" s="179" t="s">
        <v>10</v>
      </c>
      <c r="I11" s="181">
        <v>70</v>
      </c>
    </row>
    <row r="12" spans="1:9" x14ac:dyDescent="0.3">
      <c r="A12" s="176">
        <v>116</v>
      </c>
      <c r="B12" s="176">
        <v>146</v>
      </c>
      <c r="C12" s="172" t="s">
        <v>718</v>
      </c>
      <c r="D12" s="177" t="s">
        <v>136</v>
      </c>
      <c r="E12" s="178" t="s">
        <v>21</v>
      </c>
      <c r="F12" s="179" t="s">
        <v>137</v>
      </c>
      <c r="G12" s="180">
        <v>43431</v>
      </c>
      <c r="H12" s="179" t="s">
        <v>10</v>
      </c>
      <c r="I12" s="181">
        <v>70</v>
      </c>
    </row>
    <row r="13" spans="1:9" x14ac:dyDescent="0.3">
      <c r="A13" s="176">
        <v>116</v>
      </c>
      <c r="B13" s="176">
        <v>148</v>
      </c>
      <c r="C13" s="172" t="s">
        <v>717</v>
      </c>
      <c r="D13" s="177" t="s">
        <v>138</v>
      </c>
      <c r="E13" s="178" t="s">
        <v>14</v>
      </c>
      <c r="F13" s="179" t="s">
        <v>139</v>
      </c>
      <c r="G13" s="180">
        <v>43437</v>
      </c>
      <c r="H13" s="179" t="s">
        <v>10</v>
      </c>
      <c r="I13" s="181">
        <v>70</v>
      </c>
    </row>
    <row r="14" spans="1:9" x14ac:dyDescent="0.3">
      <c r="A14" s="176">
        <v>116</v>
      </c>
      <c r="B14" s="176">
        <v>164</v>
      </c>
      <c r="C14" s="172" t="s">
        <v>716</v>
      </c>
      <c r="D14" s="177" t="s">
        <v>140</v>
      </c>
      <c r="E14" s="178" t="s">
        <v>14</v>
      </c>
      <c r="F14" s="179" t="s">
        <v>141</v>
      </c>
      <c r="G14" s="180">
        <v>43717</v>
      </c>
      <c r="H14" s="179" t="s">
        <v>10</v>
      </c>
      <c r="I14" s="181">
        <v>70</v>
      </c>
    </row>
    <row r="15" spans="1:9" x14ac:dyDescent="0.3">
      <c r="A15" s="176">
        <v>116</v>
      </c>
      <c r="B15" s="176">
        <v>169</v>
      </c>
      <c r="C15" s="172" t="s">
        <v>720</v>
      </c>
      <c r="D15" s="177" t="s">
        <v>142</v>
      </c>
      <c r="E15" s="178" t="s">
        <v>14</v>
      </c>
      <c r="F15" s="179" t="s">
        <v>143</v>
      </c>
      <c r="G15" s="180">
        <v>41720</v>
      </c>
      <c r="H15" s="179" t="s">
        <v>10</v>
      </c>
      <c r="I15" s="181">
        <v>70</v>
      </c>
    </row>
    <row r="16" spans="1:9" x14ac:dyDescent="0.3">
      <c r="A16" s="176">
        <v>156</v>
      </c>
      <c r="B16" s="176">
        <v>67</v>
      </c>
      <c r="C16" s="172" t="s">
        <v>724</v>
      </c>
      <c r="D16" s="177" t="s">
        <v>263</v>
      </c>
      <c r="E16" s="178" t="s">
        <v>14</v>
      </c>
      <c r="F16" s="179" t="s">
        <v>264</v>
      </c>
      <c r="G16" s="180">
        <v>43759</v>
      </c>
      <c r="H16" s="179" t="s">
        <v>10</v>
      </c>
      <c r="I16" s="181">
        <v>70</v>
      </c>
    </row>
    <row r="17" spans="1:9" x14ac:dyDescent="0.3">
      <c r="A17" s="176">
        <v>156</v>
      </c>
      <c r="B17" s="176">
        <v>72</v>
      </c>
      <c r="C17" s="172" t="s">
        <v>722</v>
      </c>
      <c r="D17" s="177" t="s">
        <v>265</v>
      </c>
      <c r="E17" s="178" t="s">
        <v>14</v>
      </c>
      <c r="F17" s="179" t="s">
        <v>266</v>
      </c>
      <c r="G17" s="180">
        <v>43852</v>
      </c>
      <c r="H17" s="179" t="s">
        <v>10</v>
      </c>
      <c r="I17" s="181">
        <v>70</v>
      </c>
    </row>
    <row r="18" spans="1:9" x14ac:dyDescent="0.3">
      <c r="A18" s="176">
        <v>156</v>
      </c>
      <c r="B18" s="176">
        <v>75</v>
      </c>
      <c r="C18" s="172" t="s">
        <v>725</v>
      </c>
      <c r="D18" s="177" t="s">
        <v>267</v>
      </c>
      <c r="E18" s="178" t="s">
        <v>11</v>
      </c>
      <c r="F18" s="179" t="s">
        <v>268</v>
      </c>
      <c r="G18" s="180">
        <v>43889</v>
      </c>
      <c r="H18" s="179" t="s">
        <v>10</v>
      </c>
      <c r="I18" s="181">
        <v>70</v>
      </c>
    </row>
    <row r="19" spans="1:9" x14ac:dyDescent="0.3">
      <c r="A19" s="176">
        <v>156</v>
      </c>
      <c r="B19" s="176">
        <v>76</v>
      </c>
      <c r="C19" s="172" t="s">
        <v>721</v>
      </c>
      <c r="D19" s="177" t="s">
        <v>269</v>
      </c>
      <c r="E19" s="178" t="s">
        <v>14</v>
      </c>
      <c r="F19" s="179" t="s">
        <v>270</v>
      </c>
      <c r="G19" s="180">
        <v>43901</v>
      </c>
      <c r="H19" s="179" t="s">
        <v>10</v>
      </c>
      <c r="I19" s="181">
        <v>70</v>
      </c>
    </row>
    <row r="20" spans="1:9" x14ac:dyDescent="0.3">
      <c r="A20" s="176">
        <v>156</v>
      </c>
      <c r="B20" s="176">
        <v>78</v>
      </c>
      <c r="C20" s="172" t="s">
        <v>723</v>
      </c>
      <c r="D20" s="177" t="s">
        <v>271</v>
      </c>
      <c r="E20" s="178" t="s">
        <v>14</v>
      </c>
      <c r="F20" s="179" t="s">
        <v>272</v>
      </c>
      <c r="G20" s="180">
        <v>43902</v>
      </c>
      <c r="H20" s="179" t="s">
        <v>10</v>
      </c>
      <c r="I20" s="181">
        <v>70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3"/>
  <sheetViews>
    <sheetView showGridLines="0" topLeftCell="A2" workbookViewId="0">
      <selection activeCell="A2"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95</v>
      </c>
      <c r="B5" s="166">
        <v>56</v>
      </c>
      <c r="C5" s="167">
        <v>85</v>
      </c>
      <c r="D5" s="168">
        <f>F5</f>
        <v>7000</v>
      </c>
      <c r="E5" s="169">
        <v>70</v>
      </c>
      <c r="F5" s="42">
        <f>E5*100</f>
        <v>7000</v>
      </c>
    </row>
    <row r="6" spans="1:6" x14ac:dyDescent="0.3">
      <c r="A6" s="165">
        <v>95</v>
      </c>
      <c r="B6" s="166">
        <v>59</v>
      </c>
      <c r="C6" s="167">
        <v>85</v>
      </c>
      <c r="D6" s="168">
        <f t="shared" ref="D6:D23" si="0">F6</f>
        <v>7000</v>
      </c>
      <c r="E6" s="169">
        <v>70</v>
      </c>
      <c r="F6" s="42">
        <f t="shared" ref="F6:F23" si="1">E6*100</f>
        <v>7000</v>
      </c>
    </row>
    <row r="7" spans="1:6" x14ac:dyDescent="0.3">
      <c r="A7" s="165">
        <v>95</v>
      </c>
      <c r="B7" s="166">
        <v>80</v>
      </c>
      <c r="C7" s="167">
        <v>85</v>
      </c>
      <c r="D7" s="168">
        <f t="shared" si="0"/>
        <v>7000</v>
      </c>
      <c r="E7" s="169">
        <v>70</v>
      </c>
      <c r="F7" s="42">
        <f t="shared" si="1"/>
        <v>7000</v>
      </c>
    </row>
    <row r="8" spans="1:6" x14ac:dyDescent="0.3">
      <c r="A8" s="165">
        <v>95</v>
      </c>
      <c r="B8" s="166">
        <v>84</v>
      </c>
      <c r="C8" s="167">
        <v>85</v>
      </c>
      <c r="D8" s="168">
        <f t="shared" si="0"/>
        <v>7000</v>
      </c>
      <c r="E8" s="169">
        <v>70</v>
      </c>
      <c r="F8" s="42">
        <f t="shared" si="1"/>
        <v>7000</v>
      </c>
    </row>
    <row r="9" spans="1:6" x14ac:dyDescent="0.3">
      <c r="A9" s="165">
        <v>103</v>
      </c>
      <c r="B9" s="166">
        <v>184</v>
      </c>
      <c r="C9" s="167">
        <v>85</v>
      </c>
      <c r="D9" s="168">
        <f t="shared" si="0"/>
        <v>7000</v>
      </c>
      <c r="E9" s="169">
        <v>70</v>
      </c>
      <c r="F9" s="42">
        <f t="shared" si="1"/>
        <v>7000</v>
      </c>
    </row>
    <row r="10" spans="1:6" x14ac:dyDescent="0.3">
      <c r="A10" s="165">
        <v>103</v>
      </c>
      <c r="B10" s="166">
        <v>185</v>
      </c>
      <c r="C10" s="167">
        <v>85</v>
      </c>
      <c r="D10" s="168">
        <f t="shared" si="0"/>
        <v>7000</v>
      </c>
      <c r="E10" s="169">
        <v>70</v>
      </c>
      <c r="F10" s="42">
        <f t="shared" si="1"/>
        <v>7000</v>
      </c>
    </row>
    <row r="11" spans="1:6" x14ac:dyDescent="0.3">
      <c r="A11" s="165">
        <v>103</v>
      </c>
      <c r="B11" s="166">
        <v>187</v>
      </c>
      <c r="C11" s="167">
        <v>85</v>
      </c>
      <c r="D11" s="168">
        <f t="shared" si="0"/>
        <v>7000</v>
      </c>
      <c r="E11" s="169">
        <v>70</v>
      </c>
      <c r="F11" s="42">
        <f t="shared" si="1"/>
        <v>7000</v>
      </c>
    </row>
    <row r="12" spans="1:6" x14ac:dyDescent="0.3">
      <c r="A12" s="165">
        <v>103</v>
      </c>
      <c r="B12" s="166">
        <v>199</v>
      </c>
      <c r="C12" s="167">
        <v>85</v>
      </c>
      <c r="D12" s="168">
        <f t="shared" si="0"/>
        <v>7000</v>
      </c>
      <c r="E12" s="169">
        <v>70</v>
      </c>
      <c r="F12" s="42">
        <f t="shared" si="1"/>
        <v>7000</v>
      </c>
    </row>
    <row r="13" spans="1:6" x14ac:dyDescent="0.3">
      <c r="A13" s="165">
        <v>116</v>
      </c>
      <c r="B13" s="166">
        <v>143</v>
      </c>
      <c r="C13" s="167">
        <v>85</v>
      </c>
      <c r="D13" s="168">
        <f t="shared" si="0"/>
        <v>7000</v>
      </c>
      <c r="E13" s="169">
        <v>70</v>
      </c>
      <c r="F13" s="42">
        <f t="shared" si="1"/>
        <v>7000</v>
      </c>
    </row>
    <row r="14" spans="1:6" x14ac:dyDescent="0.3">
      <c r="A14" s="165">
        <v>116</v>
      </c>
      <c r="B14" s="166">
        <v>144</v>
      </c>
      <c r="C14" s="167">
        <v>85</v>
      </c>
      <c r="D14" s="168">
        <f t="shared" si="0"/>
        <v>7000</v>
      </c>
      <c r="E14" s="169">
        <v>70</v>
      </c>
      <c r="F14" s="42">
        <f t="shared" si="1"/>
        <v>7000</v>
      </c>
    </row>
    <row r="15" spans="1:6" x14ac:dyDescent="0.3">
      <c r="A15" s="165">
        <v>116</v>
      </c>
      <c r="B15" s="166">
        <v>146</v>
      </c>
      <c r="C15" s="167">
        <v>85</v>
      </c>
      <c r="D15" s="168">
        <f t="shared" si="0"/>
        <v>7000</v>
      </c>
      <c r="E15" s="169">
        <v>70</v>
      </c>
      <c r="F15" s="42">
        <f t="shared" si="1"/>
        <v>7000</v>
      </c>
    </row>
    <row r="16" spans="1:6" x14ac:dyDescent="0.3">
      <c r="A16" s="165">
        <v>116</v>
      </c>
      <c r="B16" s="166">
        <v>148</v>
      </c>
      <c r="C16" s="167">
        <v>85</v>
      </c>
      <c r="D16" s="168">
        <f t="shared" si="0"/>
        <v>7000</v>
      </c>
      <c r="E16" s="169">
        <v>70</v>
      </c>
      <c r="F16" s="42">
        <f t="shared" si="1"/>
        <v>7000</v>
      </c>
    </row>
    <row r="17" spans="1:6" x14ac:dyDescent="0.3">
      <c r="A17" s="165">
        <v>116</v>
      </c>
      <c r="B17" s="166">
        <v>164</v>
      </c>
      <c r="C17" s="167">
        <v>85</v>
      </c>
      <c r="D17" s="168">
        <f t="shared" si="0"/>
        <v>7000</v>
      </c>
      <c r="E17" s="169">
        <v>70</v>
      </c>
      <c r="F17" s="42">
        <f t="shared" si="1"/>
        <v>7000</v>
      </c>
    </row>
    <row r="18" spans="1:6" x14ac:dyDescent="0.3">
      <c r="A18" s="165">
        <v>116</v>
      </c>
      <c r="B18" s="166">
        <v>169</v>
      </c>
      <c r="C18" s="167">
        <v>85</v>
      </c>
      <c r="D18" s="168">
        <f t="shared" si="0"/>
        <v>7000</v>
      </c>
      <c r="E18" s="169">
        <v>70</v>
      </c>
      <c r="F18" s="42">
        <f t="shared" si="1"/>
        <v>7000</v>
      </c>
    </row>
    <row r="19" spans="1:6" x14ac:dyDescent="0.3">
      <c r="A19" s="165">
        <v>156</v>
      </c>
      <c r="B19" s="166">
        <v>67</v>
      </c>
      <c r="C19" s="167">
        <v>85</v>
      </c>
      <c r="D19" s="168">
        <f t="shared" si="0"/>
        <v>7000</v>
      </c>
      <c r="E19" s="169">
        <v>70</v>
      </c>
      <c r="F19" s="42">
        <f t="shared" si="1"/>
        <v>7000</v>
      </c>
    </row>
    <row r="20" spans="1:6" x14ac:dyDescent="0.3">
      <c r="A20" s="165">
        <v>156</v>
      </c>
      <c r="B20" s="166">
        <v>72</v>
      </c>
      <c r="C20" s="167">
        <v>85</v>
      </c>
      <c r="D20" s="168">
        <f t="shared" si="0"/>
        <v>7000</v>
      </c>
      <c r="E20" s="169">
        <v>70</v>
      </c>
      <c r="F20" s="42">
        <f t="shared" si="1"/>
        <v>7000</v>
      </c>
    </row>
    <row r="21" spans="1:6" x14ac:dyDescent="0.3">
      <c r="A21" s="165">
        <v>156</v>
      </c>
      <c r="B21" s="166">
        <v>75</v>
      </c>
      <c r="C21" s="167">
        <v>85</v>
      </c>
      <c r="D21" s="168">
        <f t="shared" si="0"/>
        <v>7000</v>
      </c>
      <c r="E21" s="169">
        <v>70</v>
      </c>
      <c r="F21" s="42">
        <f t="shared" si="1"/>
        <v>7000</v>
      </c>
    </row>
    <row r="22" spans="1:6" x14ac:dyDescent="0.3">
      <c r="A22" s="165">
        <v>156</v>
      </c>
      <c r="B22" s="166">
        <v>76</v>
      </c>
      <c r="C22" s="167">
        <v>85</v>
      </c>
      <c r="D22" s="168">
        <f t="shared" si="0"/>
        <v>7000</v>
      </c>
      <c r="E22" s="169">
        <v>70</v>
      </c>
      <c r="F22" s="42">
        <f t="shared" si="1"/>
        <v>7000</v>
      </c>
    </row>
    <row r="23" spans="1:6" x14ac:dyDescent="0.3">
      <c r="A23" s="165">
        <v>156</v>
      </c>
      <c r="B23" s="166">
        <v>78</v>
      </c>
      <c r="C23" s="167">
        <v>85</v>
      </c>
      <c r="D23" s="168">
        <f t="shared" si="0"/>
        <v>7000</v>
      </c>
      <c r="E23" s="169">
        <v>70</v>
      </c>
      <c r="F23" s="42">
        <f t="shared" si="1"/>
        <v>7000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000"/>
  <sheetViews>
    <sheetView showGridLines="0" workbookViewId="0">
      <selection activeCell="A5" sqref="A5:D5"/>
    </sheetView>
  </sheetViews>
  <sheetFormatPr defaultRowHeight="14.4" x14ac:dyDescent="0.3"/>
  <cols>
    <col min="1" max="1" width="8.88671875" style="217" customWidth="1"/>
    <col min="2" max="2" width="8.44140625" style="217" customWidth="1"/>
    <col min="3" max="3" width="8.6640625" style="217" customWidth="1"/>
    <col min="4" max="4" width="13.109375" style="217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E5" s="217"/>
      <c r="F5" s="217"/>
      <c r="H5" s="165"/>
      <c r="I5" s="166"/>
      <c r="J5" s="167"/>
      <c r="K5" s="168"/>
      <c r="L5" s="169"/>
      <c r="M5" s="42"/>
    </row>
    <row r="6" spans="1:13" x14ac:dyDescent="0.3">
      <c r="A6" s="217" t="s">
        <v>740</v>
      </c>
      <c r="B6" s="217" t="s">
        <v>744</v>
      </c>
      <c r="C6" s="217" t="s">
        <v>741</v>
      </c>
      <c r="D6" s="217" t="s">
        <v>1254</v>
      </c>
      <c r="E6" s="217">
        <v>3911.8637599999997</v>
      </c>
      <c r="F6" s="217"/>
    </row>
    <row r="7" spans="1:13" x14ac:dyDescent="0.3">
      <c r="E7" s="217"/>
      <c r="F7" s="217"/>
    </row>
    <row r="8" spans="1:13" x14ac:dyDescent="0.3">
      <c r="E8" s="217"/>
      <c r="F8" s="217"/>
    </row>
    <row r="9" spans="1:13" x14ac:dyDescent="0.3">
      <c r="A9" s="217" t="s">
        <v>740</v>
      </c>
      <c r="B9" s="217" t="s">
        <v>745</v>
      </c>
      <c r="C9" s="217" t="s">
        <v>741</v>
      </c>
      <c r="D9" s="217" t="s">
        <v>746</v>
      </c>
      <c r="E9" s="217">
        <v>2114.3441199999997</v>
      </c>
      <c r="F9" s="217"/>
    </row>
    <row r="10" spans="1:13" x14ac:dyDescent="0.3">
      <c r="A10" s="217" t="s">
        <v>740</v>
      </c>
      <c r="B10" s="217" t="s">
        <v>747</v>
      </c>
      <c r="C10" s="217" t="s">
        <v>741</v>
      </c>
      <c r="D10" s="217" t="s">
        <v>748</v>
      </c>
      <c r="E10" s="217">
        <v>961.3374399999999</v>
      </c>
      <c r="F10" s="217"/>
    </row>
    <row r="11" spans="1:13" x14ac:dyDescent="0.3">
      <c r="A11" s="217" t="s">
        <v>740</v>
      </c>
      <c r="B11" s="217" t="s">
        <v>749</v>
      </c>
      <c r="C11" s="217" t="s">
        <v>741</v>
      </c>
      <c r="D11" s="217" t="s">
        <v>750</v>
      </c>
      <c r="E11" s="217">
        <v>3211.7192799999998</v>
      </c>
      <c r="F11" s="217"/>
    </row>
    <row r="12" spans="1:13" x14ac:dyDescent="0.3">
      <c r="A12" s="217" t="s">
        <v>740</v>
      </c>
      <c r="B12" s="217" t="s">
        <v>751</v>
      </c>
      <c r="C12" s="217" t="s">
        <v>741</v>
      </c>
      <c r="D12" s="217" t="s">
        <v>752</v>
      </c>
      <c r="E12" s="217">
        <v>73.410120000000006</v>
      </c>
      <c r="F12" s="217"/>
    </row>
    <row r="13" spans="1:13" x14ac:dyDescent="0.3">
      <c r="E13" s="217"/>
      <c r="F13" s="217"/>
    </row>
    <row r="14" spans="1:13" x14ac:dyDescent="0.3">
      <c r="E14" s="217"/>
      <c r="F14" s="217"/>
    </row>
    <row r="15" spans="1:13" x14ac:dyDescent="0.3">
      <c r="E15" s="217"/>
      <c r="F15" s="217"/>
    </row>
    <row r="16" spans="1:13" x14ac:dyDescent="0.3">
      <c r="E16" s="217"/>
      <c r="F16" s="217"/>
    </row>
    <row r="17" spans="1:6" x14ac:dyDescent="0.3">
      <c r="A17" s="217" t="s">
        <v>740</v>
      </c>
      <c r="B17" s="217" t="s">
        <v>753</v>
      </c>
      <c r="C17" s="217" t="s">
        <v>741</v>
      </c>
      <c r="D17" s="217" t="s">
        <v>754</v>
      </c>
      <c r="E17" s="217">
        <v>3131.5102000000002</v>
      </c>
      <c r="F17" s="217"/>
    </row>
    <row r="18" spans="1:6" x14ac:dyDescent="0.3">
      <c r="A18" s="217" t="s">
        <v>740</v>
      </c>
      <c r="B18" s="217" t="s">
        <v>755</v>
      </c>
      <c r="C18" s="217" t="s">
        <v>741</v>
      </c>
      <c r="D18" s="217" t="s">
        <v>1255</v>
      </c>
      <c r="E18" s="217">
        <v>3557.7514000000001</v>
      </c>
      <c r="F18" s="217"/>
    </row>
    <row r="19" spans="1:6" x14ac:dyDescent="0.3">
      <c r="A19" s="217" t="s">
        <v>743</v>
      </c>
      <c r="B19" s="217" t="s">
        <v>756</v>
      </c>
      <c r="C19" s="217" t="s">
        <v>741</v>
      </c>
      <c r="D19" s="217" t="s">
        <v>757</v>
      </c>
      <c r="E19" s="217">
        <v>1992.6435199999999</v>
      </c>
      <c r="F19" s="217"/>
    </row>
    <row r="20" spans="1:6" x14ac:dyDescent="0.3">
      <c r="A20" s="217" t="s">
        <v>743</v>
      </c>
      <c r="B20" s="217" t="s">
        <v>758</v>
      </c>
      <c r="C20" s="217" t="s">
        <v>741</v>
      </c>
      <c r="D20" s="217" t="s">
        <v>759</v>
      </c>
      <c r="E20" s="217">
        <v>1605.85124</v>
      </c>
      <c r="F20" s="217"/>
    </row>
    <row r="21" spans="1:6" x14ac:dyDescent="0.3">
      <c r="A21" s="217" t="s">
        <v>743</v>
      </c>
      <c r="B21" s="217" t="s">
        <v>760</v>
      </c>
      <c r="C21" s="217" t="s">
        <v>741</v>
      </c>
      <c r="D21" s="217" t="s">
        <v>761</v>
      </c>
      <c r="E21" s="217">
        <v>11.423160000000001</v>
      </c>
      <c r="F21" s="217"/>
    </row>
    <row r="22" spans="1:6" x14ac:dyDescent="0.3">
      <c r="E22" s="217"/>
      <c r="F22" s="217"/>
    </row>
    <row r="23" spans="1:6" x14ac:dyDescent="0.3">
      <c r="E23" s="217"/>
      <c r="F23" s="217"/>
    </row>
    <row r="24" spans="1:6" x14ac:dyDescent="0.3">
      <c r="A24" s="217" t="s">
        <v>743</v>
      </c>
      <c r="B24" s="217" t="s">
        <v>763</v>
      </c>
      <c r="C24" s="217" t="s">
        <v>741</v>
      </c>
      <c r="D24" s="217" t="s">
        <v>764</v>
      </c>
      <c r="E24" s="217">
        <v>1999.1890800000001</v>
      </c>
      <c r="F24" s="217"/>
    </row>
    <row r="25" spans="1:6" x14ac:dyDescent="0.3">
      <c r="A25" s="217" t="s">
        <v>743</v>
      </c>
      <c r="B25" s="217" t="s">
        <v>765</v>
      </c>
      <c r="C25" s="217" t="s">
        <v>741</v>
      </c>
      <c r="D25" s="217" t="s">
        <v>1256</v>
      </c>
      <c r="E25" s="217">
        <v>1999.4797200000003</v>
      </c>
      <c r="F25" s="217"/>
    </row>
    <row r="26" spans="1:6" x14ac:dyDescent="0.3">
      <c r="A26" s="217" t="s">
        <v>743</v>
      </c>
      <c r="B26" s="217" t="s">
        <v>766</v>
      </c>
      <c r="C26" s="217" t="s">
        <v>741</v>
      </c>
      <c r="D26" s="217" t="s">
        <v>767</v>
      </c>
      <c r="E26" s="217">
        <v>1857.8509600000002</v>
      </c>
      <c r="F26" s="217"/>
    </row>
    <row r="27" spans="1:6" x14ac:dyDescent="0.3">
      <c r="A27" s="217" t="s">
        <v>743</v>
      </c>
      <c r="B27" s="217" t="s">
        <v>768</v>
      </c>
      <c r="C27" s="217" t="s">
        <v>741</v>
      </c>
      <c r="D27" s="217" t="s">
        <v>1257</v>
      </c>
      <c r="E27" s="217">
        <v>2005.1315199999999</v>
      </c>
      <c r="F27" s="217"/>
    </row>
    <row r="28" spans="1:6" x14ac:dyDescent="0.3">
      <c r="E28" s="217"/>
      <c r="F28" s="217"/>
    </row>
    <row r="29" spans="1:6" x14ac:dyDescent="0.3">
      <c r="A29" s="217" t="s">
        <v>743</v>
      </c>
      <c r="B29" s="217" t="s">
        <v>769</v>
      </c>
      <c r="C29" s="217" t="s">
        <v>741</v>
      </c>
      <c r="D29" s="217" t="s">
        <v>770</v>
      </c>
      <c r="E29" s="217">
        <v>2008.91292</v>
      </c>
      <c r="F29" s="217"/>
    </row>
    <row r="30" spans="1:6" x14ac:dyDescent="0.3">
      <c r="E30" s="217"/>
      <c r="F30" s="217"/>
    </row>
    <row r="31" spans="1:6" x14ac:dyDescent="0.3">
      <c r="E31" s="217"/>
      <c r="F31" s="217"/>
    </row>
    <row r="32" spans="1:6" x14ac:dyDescent="0.3">
      <c r="A32" s="217" t="s">
        <v>771</v>
      </c>
      <c r="B32" s="217" t="s">
        <v>773</v>
      </c>
      <c r="C32" s="217" t="s">
        <v>741</v>
      </c>
      <c r="D32" s="217" t="s">
        <v>774</v>
      </c>
      <c r="E32" s="217">
        <v>33.083839999999995</v>
      </c>
      <c r="F32" s="217"/>
    </row>
    <row r="33" spans="1:6" x14ac:dyDescent="0.3">
      <c r="A33" s="217" t="s">
        <v>771</v>
      </c>
      <c r="B33" s="217" t="s">
        <v>775</v>
      </c>
      <c r="C33" s="217" t="s">
        <v>741</v>
      </c>
      <c r="D33" s="217" t="s">
        <v>776</v>
      </c>
      <c r="E33" s="217">
        <v>1053.5663999999999</v>
      </c>
      <c r="F33" s="217"/>
    </row>
    <row r="34" spans="1:6" x14ac:dyDescent="0.3">
      <c r="A34" s="217" t="s">
        <v>771</v>
      </c>
      <c r="B34" s="217" t="s">
        <v>777</v>
      </c>
      <c r="C34" s="217" t="s">
        <v>741</v>
      </c>
      <c r="D34" s="217" t="s">
        <v>778</v>
      </c>
      <c r="E34" s="217">
        <v>1024.19328</v>
      </c>
      <c r="F34" s="217"/>
    </row>
    <row r="35" spans="1:6" x14ac:dyDescent="0.3">
      <c r="A35" s="217" t="s">
        <v>771</v>
      </c>
      <c r="B35" s="217" t="s">
        <v>779</v>
      </c>
      <c r="C35" s="217" t="s">
        <v>741</v>
      </c>
      <c r="D35" s="217" t="s">
        <v>780</v>
      </c>
      <c r="E35" s="217">
        <v>428.19776000000002</v>
      </c>
      <c r="F35" s="217"/>
    </row>
    <row r="36" spans="1:6" x14ac:dyDescent="0.3">
      <c r="E36" s="217"/>
      <c r="F36" s="217"/>
    </row>
    <row r="37" spans="1:6" x14ac:dyDescent="0.3">
      <c r="A37" s="217" t="s">
        <v>781</v>
      </c>
      <c r="B37" s="217" t="s">
        <v>782</v>
      </c>
      <c r="C37" s="217" t="s">
        <v>741</v>
      </c>
      <c r="D37" s="217" t="s">
        <v>783</v>
      </c>
      <c r="E37" s="217">
        <v>2121.6486400000003</v>
      </c>
      <c r="F37" s="217"/>
    </row>
    <row r="38" spans="1:6" x14ac:dyDescent="0.3">
      <c r="E38" s="217"/>
      <c r="F38" s="217"/>
    </row>
    <row r="39" spans="1:6" x14ac:dyDescent="0.3">
      <c r="E39" s="217"/>
      <c r="F39" s="217"/>
    </row>
    <row r="40" spans="1:6" x14ac:dyDescent="0.3">
      <c r="A40" s="217" t="s">
        <v>781</v>
      </c>
      <c r="B40" s="217" t="s">
        <v>785</v>
      </c>
      <c r="C40" s="217" t="s">
        <v>741</v>
      </c>
      <c r="D40" s="217" t="s">
        <v>786</v>
      </c>
      <c r="E40" s="217">
        <v>10.463360000000002</v>
      </c>
      <c r="F40" s="217"/>
    </row>
    <row r="41" spans="1:6" x14ac:dyDescent="0.3">
      <c r="A41" s="217" t="s">
        <v>781</v>
      </c>
      <c r="B41" s="217" t="s">
        <v>787</v>
      </c>
      <c r="C41" s="217" t="s">
        <v>741</v>
      </c>
      <c r="D41" s="217" t="s">
        <v>788</v>
      </c>
      <c r="E41" s="217">
        <v>1611.0166399999998</v>
      </c>
      <c r="F41" s="217"/>
    </row>
    <row r="42" spans="1:6" x14ac:dyDescent="0.3">
      <c r="A42" s="217" t="s">
        <v>781</v>
      </c>
      <c r="B42" s="217" t="s">
        <v>789</v>
      </c>
      <c r="C42" s="217" t="s">
        <v>741</v>
      </c>
      <c r="D42" s="217" t="s">
        <v>790</v>
      </c>
      <c r="E42" s="217">
        <v>1703.19328</v>
      </c>
      <c r="F42" s="217"/>
    </row>
    <row r="43" spans="1:6" x14ac:dyDescent="0.3">
      <c r="E43" s="217"/>
      <c r="F43" s="217"/>
    </row>
    <row r="44" spans="1:6" x14ac:dyDescent="0.3">
      <c r="A44" s="217" t="s">
        <v>791</v>
      </c>
      <c r="B44" s="217" t="s">
        <v>792</v>
      </c>
      <c r="C44" s="217" t="s">
        <v>741</v>
      </c>
      <c r="D44" s="217" t="s">
        <v>793</v>
      </c>
      <c r="E44" s="217">
        <v>2104.2182399999997</v>
      </c>
      <c r="F44" s="217"/>
    </row>
    <row r="45" spans="1:6" x14ac:dyDescent="0.3">
      <c r="A45" s="217" t="s">
        <v>791</v>
      </c>
      <c r="B45" s="217" t="s">
        <v>794</v>
      </c>
      <c r="C45" s="217" t="s">
        <v>741</v>
      </c>
      <c r="D45" s="217" t="s">
        <v>795</v>
      </c>
      <c r="E45" s="217">
        <v>2094.7075199999999</v>
      </c>
      <c r="F45" s="217"/>
    </row>
    <row r="46" spans="1:6" x14ac:dyDescent="0.3">
      <c r="A46" s="217" t="s">
        <v>791</v>
      </c>
      <c r="B46" s="217" t="s">
        <v>796</v>
      </c>
      <c r="C46" s="217" t="s">
        <v>741</v>
      </c>
      <c r="D46" s="217" t="s">
        <v>1258</v>
      </c>
      <c r="E46" s="217">
        <v>2161.3001600000002</v>
      </c>
      <c r="F46" s="217"/>
    </row>
    <row r="47" spans="1:6" x14ac:dyDescent="0.3">
      <c r="A47" s="217" t="s">
        <v>791</v>
      </c>
      <c r="B47" s="217" t="s">
        <v>797</v>
      </c>
      <c r="C47" s="217" t="s">
        <v>741</v>
      </c>
      <c r="D47" s="217" t="s">
        <v>798</v>
      </c>
      <c r="E47" s="217">
        <v>2204.6758399999999</v>
      </c>
      <c r="F47" s="217"/>
    </row>
    <row r="48" spans="1:6" x14ac:dyDescent="0.3">
      <c r="A48" s="217" t="s">
        <v>791</v>
      </c>
      <c r="B48" s="217" t="s">
        <v>799</v>
      </c>
      <c r="C48" s="217" t="s">
        <v>741</v>
      </c>
      <c r="D48" s="217" t="s">
        <v>800</v>
      </c>
      <c r="E48" s="217">
        <v>140.3664</v>
      </c>
      <c r="F48" s="217"/>
    </row>
    <row r="49" spans="1:6" x14ac:dyDescent="0.3">
      <c r="E49" s="217"/>
      <c r="F49" s="217"/>
    </row>
    <row r="50" spans="1:6" x14ac:dyDescent="0.3">
      <c r="A50" s="217" t="s">
        <v>791</v>
      </c>
      <c r="B50" s="217" t="s">
        <v>801</v>
      </c>
      <c r="C50" s="217" t="s">
        <v>741</v>
      </c>
      <c r="D50" s="217" t="s">
        <v>802</v>
      </c>
      <c r="E50" s="217">
        <v>2114.6652799999997</v>
      </c>
      <c r="F50" s="217"/>
    </row>
    <row r="51" spans="1:6" x14ac:dyDescent="0.3">
      <c r="E51" s="217"/>
      <c r="F51" s="217"/>
    </row>
    <row r="52" spans="1:6" x14ac:dyDescent="0.3">
      <c r="A52" s="217" t="s">
        <v>803</v>
      </c>
      <c r="B52" s="217" t="s">
        <v>805</v>
      </c>
      <c r="C52" s="217" t="s">
        <v>741</v>
      </c>
      <c r="D52" s="217" t="s">
        <v>806</v>
      </c>
      <c r="E52" s="217">
        <v>3.4556</v>
      </c>
      <c r="F52" s="217"/>
    </row>
    <row r="53" spans="1:6" x14ac:dyDescent="0.3">
      <c r="A53" s="217" t="s">
        <v>803</v>
      </c>
      <c r="B53" s="217" t="s">
        <v>807</v>
      </c>
      <c r="C53" s="217" t="s">
        <v>741</v>
      </c>
      <c r="D53" s="217" t="s">
        <v>808</v>
      </c>
      <c r="E53" s="217">
        <v>2057.8683999999998</v>
      </c>
      <c r="F53" s="217"/>
    </row>
    <row r="54" spans="1:6" x14ac:dyDescent="0.3">
      <c r="E54" s="217"/>
      <c r="F54" s="217"/>
    </row>
    <row r="55" spans="1:6" x14ac:dyDescent="0.3">
      <c r="A55" s="217" t="s">
        <v>803</v>
      </c>
      <c r="B55" s="217" t="s">
        <v>810</v>
      </c>
      <c r="C55" s="217" t="s">
        <v>741</v>
      </c>
      <c r="D55" s="217" t="s">
        <v>811</v>
      </c>
      <c r="E55" s="217">
        <v>1257.816</v>
      </c>
      <c r="F55" s="217"/>
    </row>
    <row r="56" spans="1:6" x14ac:dyDescent="0.3">
      <c r="A56" s="217" t="s">
        <v>803</v>
      </c>
      <c r="B56" s="217" t="s">
        <v>812</v>
      </c>
      <c r="C56" s="217" t="s">
        <v>741</v>
      </c>
      <c r="D56" s="217" t="s">
        <v>813</v>
      </c>
      <c r="E56" s="217">
        <v>2055.4514000000004</v>
      </c>
      <c r="F56" s="217"/>
    </row>
    <row r="57" spans="1:6" x14ac:dyDescent="0.3">
      <c r="A57" s="217" t="s">
        <v>814</v>
      </c>
      <c r="B57" s="217" t="s">
        <v>742</v>
      </c>
      <c r="C57" s="217" t="s">
        <v>741</v>
      </c>
      <c r="D57" s="217" t="s">
        <v>815</v>
      </c>
      <c r="E57" s="217">
        <v>1844.71084</v>
      </c>
      <c r="F57" s="217"/>
    </row>
    <row r="58" spans="1:6" x14ac:dyDescent="0.3">
      <c r="A58" s="217" t="s">
        <v>814</v>
      </c>
      <c r="B58" s="217" t="s">
        <v>779</v>
      </c>
      <c r="C58" s="217" t="s">
        <v>741</v>
      </c>
      <c r="D58" s="217" t="s">
        <v>816</v>
      </c>
      <c r="E58" s="217">
        <v>67.196640000000002</v>
      </c>
      <c r="F58" s="217"/>
    </row>
    <row r="59" spans="1:6" x14ac:dyDescent="0.3">
      <c r="E59" s="217"/>
      <c r="F59" s="217"/>
    </row>
    <row r="60" spans="1:6" x14ac:dyDescent="0.3">
      <c r="A60" s="217" t="s">
        <v>814</v>
      </c>
      <c r="B60" s="217" t="s">
        <v>817</v>
      </c>
      <c r="C60" s="217" t="s">
        <v>741</v>
      </c>
      <c r="D60" s="217" t="s">
        <v>818</v>
      </c>
      <c r="E60" s="217">
        <v>61.149760000000001</v>
      </c>
      <c r="F60" s="217"/>
    </row>
    <row r="61" spans="1:6" x14ac:dyDescent="0.3">
      <c r="A61" s="217" t="s">
        <v>814</v>
      </c>
      <c r="B61" s="217" t="s">
        <v>785</v>
      </c>
      <c r="C61" s="217" t="s">
        <v>741</v>
      </c>
      <c r="D61" s="217" t="s">
        <v>819</v>
      </c>
      <c r="E61" s="217">
        <v>2917.4821199999997</v>
      </c>
      <c r="F61" s="217"/>
    </row>
    <row r="62" spans="1:6" x14ac:dyDescent="0.3">
      <c r="A62" s="217" t="s">
        <v>814</v>
      </c>
      <c r="B62" s="217" t="s">
        <v>787</v>
      </c>
      <c r="C62" s="217" t="s">
        <v>741</v>
      </c>
      <c r="D62" s="217" t="s">
        <v>820</v>
      </c>
      <c r="E62" s="217">
        <v>1030.07464</v>
      </c>
      <c r="F62" s="217"/>
    </row>
    <row r="63" spans="1:6" x14ac:dyDescent="0.3">
      <c r="E63" s="217"/>
      <c r="F63" s="217"/>
    </row>
    <row r="64" spans="1:6" x14ac:dyDescent="0.3">
      <c r="A64" s="217" t="s">
        <v>814</v>
      </c>
      <c r="B64" s="217" t="s">
        <v>763</v>
      </c>
      <c r="C64" s="217" t="s">
        <v>741</v>
      </c>
      <c r="D64" s="217" t="s">
        <v>821</v>
      </c>
      <c r="E64" s="217">
        <v>2786.0859600000003</v>
      </c>
      <c r="F64" s="217"/>
    </row>
    <row r="65" spans="1:6" x14ac:dyDescent="0.3">
      <c r="A65" s="217" t="s">
        <v>814</v>
      </c>
      <c r="B65" s="217" t="s">
        <v>762</v>
      </c>
      <c r="C65" s="217" t="s">
        <v>741</v>
      </c>
      <c r="D65" s="217" t="s">
        <v>822</v>
      </c>
      <c r="E65" s="217">
        <v>831.42387999999994</v>
      </c>
      <c r="F65" s="217"/>
    </row>
    <row r="66" spans="1:6" x14ac:dyDescent="0.3">
      <c r="E66" s="217"/>
      <c r="F66" s="217"/>
    </row>
    <row r="67" spans="1:6" x14ac:dyDescent="0.3">
      <c r="A67" s="217" t="s">
        <v>823</v>
      </c>
      <c r="B67" s="217" t="s">
        <v>824</v>
      </c>
      <c r="C67" s="217" t="s">
        <v>741</v>
      </c>
      <c r="D67" s="217" t="s">
        <v>825</v>
      </c>
      <c r="E67" s="217">
        <v>1529.2239999999999</v>
      </c>
      <c r="F67" s="217"/>
    </row>
    <row r="68" spans="1:6" x14ac:dyDescent="0.3">
      <c r="A68" s="217" t="s">
        <v>823</v>
      </c>
      <c r="B68" s="217" t="s">
        <v>826</v>
      </c>
      <c r="C68" s="217" t="s">
        <v>741</v>
      </c>
      <c r="D68" s="217" t="s">
        <v>827</v>
      </c>
      <c r="E68" s="217">
        <v>1798.5692800000002</v>
      </c>
      <c r="F68" s="217"/>
    </row>
    <row r="69" spans="1:6" x14ac:dyDescent="0.3">
      <c r="E69" s="217"/>
      <c r="F69" s="217"/>
    </row>
    <row r="70" spans="1:6" x14ac:dyDescent="0.3">
      <c r="A70" s="217" t="s">
        <v>823</v>
      </c>
      <c r="B70" s="217" t="s">
        <v>828</v>
      </c>
      <c r="C70" s="217" t="s">
        <v>741</v>
      </c>
      <c r="D70" s="217" t="s">
        <v>829</v>
      </c>
      <c r="E70" s="217">
        <v>2318.4611199999999</v>
      </c>
      <c r="F70" s="217"/>
    </row>
    <row r="71" spans="1:6" x14ac:dyDescent="0.3">
      <c r="A71" s="217" t="s">
        <v>823</v>
      </c>
      <c r="B71" s="217" t="s">
        <v>830</v>
      </c>
      <c r="C71" s="217" t="s">
        <v>741</v>
      </c>
      <c r="D71" s="217" t="s">
        <v>831</v>
      </c>
      <c r="E71" s="217">
        <v>1746.0195200000001</v>
      </c>
      <c r="F71" s="217"/>
    </row>
    <row r="72" spans="1:6" x14ac:dyDescent="0.3">
      <c r="A72" s="217" t="s">
        <v>823</v>
      </c>
      <c r="B72" s="217" t="s">
        <v>832</v>
      </c>
      <c r="C72" s="217" t="s">
        <v>741</v>
      </c>
      <c r="D72" s="217" t="s">
        <v>833</v>
      </c>
      <c r="E72" s="217">
        <v>3145.0000000000005</v>
      </c>
      <c r="F72" s="217"/>
    </row>
    <row r="73" spans="1:6" x14ac:dyDescent="0.3">
      <c r="A73" s="217" t="s">
        <v>823</v>
      </c>
      <c r="B73" s="217" t="s">
        <v>834</v>
      </c>
      <c r="C73" s="217" t="s">
        <v>741</v>
      </c>
      <c r="D73" s="217" t="s">
        <v>835</v>
      </c>
      <c r="E73" s="217">
        <v>1881.0691199999999</v>
      </c>
      <c r="F73" s="217"/>
    </row>
    <row r="74" spans="1:6" x14ac:dyDescent="0.3">
      <c r="A74" s="217" t="s">
        <v>836</v>
      </c>
      <c r="B74" s="217" t="s">
        <v>837</v>
      </c>
      <c r="C74" s="217" t="s">
        <v>741</v>
      </c>
      <c r="D74" s="217" t="s">
        <v>838</v>
      </c>
      <c r="E74" s="217">
        <v>1475.5153000000003</v>
      </c>
      <c r="F74" s="217"/>
    </row>
    <row r="75" spans="1:6" x14ac:dyDescent="0.3">
      <c r="A75" s="217" t="s">
        <v>836</v>
      </c>
      <c r="B75" s="217" t="s">
        <v>839</v>
      </c>
      <c r="C75" s="217" t="s">
        <v>741</v>
      </c>
      <c r="D75" s="217" t="s">
        <v>840</v>
      </c>
      <c r="E75" s="217">
        <v>2364.6036599999998</v>
      </c>
      <c r="F75" s="217"/>
    </row>
    <row r="76" spans="1:6" x14ac:dyDescent="0.3">
      <c r="E76" s="217"/>
      <c r="F76" s="217"/>
    </row>
    <row r="77" spans="1:6" x14ac:dyDescent="0.3">
      <c r="A77" s="217" t="s">
        <v>836</v>
      </c>
      <c r="B77" s="217" t="s">
        <v>842</v>
      </c>
      <c r="C77" s="217" t="s">
        <v>741</v>
      </c>
      <c r="D77" s="217" t="s">
        <v>843</v>
      </c>
      <c r="E77" s="217">
        <v>3234.3894000000005</v>
      </c>
      <c r="F77" s="217"/>
    </row>
    <row r="78" spans="1:6" x14ac:dyDescent="0.3">
      <c r="E78" s="217"/>
      <c r="F78" s="217"/>
    </row>
    <row r="79" spans="1:6" x14ac:dyDescent="0.3">
      <c r="E79" s="217"/>
      <c r="F79" s="217"/>
    </row>
    <row r="80" spans="1:6" x14ac:dyDescent="0.3">
      <c r="A80" s="217" t="s">
        <v>836</v>
      </c>
      <c r="B80" s="217" t="s">
        <v>765</v>
      </c>
      <c r="C80" s="217" t="s">
        <v>741</v>
      </c>
      <c r="D80" s="217" t="s">
        <v>1259</v>
      </c>
      <c r="E80" s="217">
        <v>1874.6543799999999</v>
      </c>
      <c r="F80" s="217"/>
    </row>
    <row r="81" spans="1:6" x14ac:dyDescent="0.3">
      <c r="A81" s="217" t="s">
        <v>836</v>
      </c>
      <c r="B81" s="217" t="s">
        <v>758</v>
      </c>
      <c r="C81" s="217" t="s">
        <v>741</v>
      </c>
      <c r="D81" s="217" t="s">
        <v>1260</v>
      </c>
      <c r="E81" s="217">
        <v>2045.3705199999999</v>
      </c>
      <c r="F81" s="217"/>
    </row>
    <row r="82" spans="1:6" x14ac:dyDescent="0.3">
      <c r="E82" s="217"/>
      <c r="F82" s="217"/>
    </row>
    <row r="83" spans="1:6" x14ac:dyDescent="0.3">
      <c r="A83" s="217" t="s">
        <v>845</v>
      </c>
      <c r="B83" s="217" t="s">
        <v>847</v>
      </c>
      <c r="C83" s="217" t="s">
        <v>741</v>
      </c>
      <c r="D83" s="217" t="s">
        <v>1261</v>
      </c>
      <c r="E83" s="217">
        <v>2594.4051200000004</v>
      </c>
      <c r="F83" s="217"/>
    </row>
    <row r="84" spans="1:6" x14ac:dyDescent="0.3">
      <c r="E84" s="217"/>
      <c r="F84" s="217"/>
    </row>
    <row r="85" spans="1:6" x14ac:dyDescent="0.3">
      <c r="A85" s="217" t="s">
        <v>845</v>
      </c>
      <c r="B85" s="217" t="s">
        <v>805</v>
      </c>
      <c r="C85" s="217" t="s">
        <v>741</v>
      </c>
      <c r="D85" s="217" t="s">
        <v>849</v>
      </c>
      <c r="E85" s="217">
        <v>1852.9622400000001</v>
      </c>
      <c r="F85" s="217"/>
    </row>
    <row r="86" spans="1:6" x14ac:dyDescent="0.3">
      <c r="A86" s="217" t="s">
        <v>845</v>
      </c>
      <c r="B86" s="217" t="s">
        <v>850</v>
      </c>
      <c r="C86" s="217" t="s">
        <v>741</v>
      </c>
      <c r="D86" s="217" t="s">
        <v>851</v>
      </c>
      <c r="E86" s="217">
        <v>517.54944</v>
      </c>
      <c r="F86" s="217"/>
    </row>
    <row r="87" spans="1:6" x14ac:dyDescent="0.3">
      <c r="A87" s="217" t="s">
        <v>845</v>
      </c>
      <c r="B87" s="217" t="s">
        <v>852</v>
      </c>
      <c r="C87" s="217" t="s">
        <v>741</v>
      </c>
      <c r="D87" s="217" t="s">
        <v>853</v>
      </c>
      <c r="E87" s="217">
        <v>2107.2611200000001</v>
      </c>
      <c r="F87" s="217"/>
    </row>
    <row r="88" spans="1:6" x14ac:dyDescent="0.3">
      <c r="E88" s="217"/>
      <c r="F88" s="217"/>
    </row>
    <row r="89" spans="1:6" x14ac:dyDescent="0.3">
      <c r="E89" s="217"/>
      <c r="F89" s="217"/>
    </row>
    <row r="90" spans="1:6" x14ac:dyDescent="0.3">
      <c r="A90" s="217" t="s">
        <v>854</v>
      </c>
      <c r="B90" s="217" t="s">
        <v>856</v>
      </c>
      <c r="C90" s="217" t="s">
        <v>741</v>
      </c>
      <c r="D90" s="217" t="s">
        <v>857</v>
      </c>
      <c r="E90" s="217">
        <v>1272.3415599999998</v>
      </c>
      <c r="F90" s="217"/>
    </row>
    <row r="91" spans="1:6" x14ac:dyDescent="0.3">
      <c r="E91" s="217"/>
      <c r="F91" s="217"/>
    </row>
    <row r="92" spans="1:6" x14ac:dyDescent="0.3">
      <c r="A92" s="217" t="s">
        <v>854</v>
      </c>
      <c r="B92" s="217" t="s">
        <v>837</v>
      </c>
      <c r="C92" s="217" t="s">
        <v>741</v>
      </c>
      <c r="D92" s="217" t="s">
        <v>858</v>
      </c>
      <c r="E92" s="217">
        <v>1544.319</v>
      </c>
      <c r="F92" s="217"/>
    </row>
    <row r="93" spans="1:6" x14ac:dyDescent="0.3">
      <c r="A93" s="217" t="s">
        <v>854</v>
      </c>
      <c r="B93" s="217" t="s">
        <v>859</v>
      </c>
      <c r="C93" s="217" t="s">
        <v>741</v>
      </c>
      <c r="D93" s="217" t="s">
        <v>1262</v>
      </c>
      <c r="E93" s="217">
        <v>1503.5700400000001</v>
      </c>
      <c r="F93" s="217"/>
    </row>
    <row r="94" spans="1:6" x14ac:dyDescent="0.3">
      <c r="A94" s="217" t="s">
        <v>854</v>
      </c>
      <c r="B94" s="217" t="s">
        <v>775</v>
      </c>
      <c r="C94" s="217" t="s">
        <v>741</v>
      </c>
      <c r="D94" s="217" t="s">
        <v>860</v>
      </c>
      <c r="E94" s="217">
        <v>1732.8368399999999</v>
      </c>
      <c r="F94" s="217"/>
    </row>
    <row r="95" spans="1:6" x14ac:dyDescent="0.3">
      <c r="A95" s="217" t="s">
        <v>861</v>
      </c>
      <c r="B95" s="217" t="s">
        <v>812</v>
      </c>
      <c r="C95" s="217" t="s">
        <v>741</v>
      </c>
      <c r="D95" s="217" t="s">
        <v>1263</v>
      </c>
      <c r="E95" s="217">
        <v>2922.2700800000002</v>
      </c>
      <c r="F95" s="217"/>
    </row>
    <row r="96" spans="1:6" x14ac:dyDescent="0.3">
      <c r="E96" s="217"/>
      <c r="F96" s="217"/>
    </row>
    <row r="97" spans="1:6" x14ac:dyDescent="0.3">
      <c r="A97" s="217" t="s">
        <v>861</v>
      </c>
      <c r="B97" s="217" t="s">
        <v>809</v>
      </c>
      <c r="C97" s="217" t="s">
        <v>741</v>
      </c>
      <c r="D97" s="217" t="s">
        <v>862</v>
      </c>
      <c r="E97" s="217">
        <v>1612.7913600000002</v>
      </c>
      <c r="F97" s="217"/>
    </row>
    <row r="98" spans="1:6" x14ac:dyDescent="0.3">
      <c r="A98" s="217" t="s">
        <v>861</v>
      </c>
      <c r="B98" s="217" t="s">
        <v>863</v>
      </c>
      <c r="C98" s="217" t="s">
        <v>741</v>
      </c>
      <c r="D98" s="217" t="s">
        <v>1264</v>
      </c>
      <c r="E98" s="217">
        <v>1512.9273600000001</v>
      </c>
      <c r="F98" s="217"/>
    </row>
    <row r="99" spans="1:6" x14ac:dyDescent="0.3">
      <c r="A99" s="217" t="s">
        <v>861</v>
      </c>
      <c r="B99" s="217" t="s">
        <v>864</v>
      </c>
      <c r="C99" s="217" t="s">
        <v>741</v>
      </c>
      <c r="D99" s="217" t="s">
        <v>865</v>
      </c>
      <c r="E99" s="217">
        <v>110.77696</v>
      </c>
      <c r="F99" s="217"/>
    </row>
    <row r="100" spans="1:6" x14ac:dyDescent="0.3">
      <c r="A100" s="217" t="s">
        <v>861</v>
      </c>
      <c r="B100" s="217" t="s">
        <v>859</v>
      </c>
      <c r="C100" s="217" t="s">
        <v>741</v>
      </c>
      <c r="D100" s="217" t="s">
        <v>1265</v>
      </c>
      <c r="E100" s="217">
        <v>1819.3929599999999</v>
      </c>
      <c r="F100" s="217"/>
    </row>
    <row r="101" spans="1:6" x14ac:dyDescent="0.3">
      <c r="A101" s="217" t="s">
        <v>861</v>
      </c>
      <c r="B101" s="217" t="s">
        <v>775</v>
      </c>
      <c r="C101" s="217" t="s">
        <v>741</v>
      </c>
      <c r="D101" s="217" t="s">
        <v>866</v>
      </c>
      <c r="E101" s="217">
        <v>1362.3379199999999</v>
      </c>
      <c r="F101" s="217"/>
    </row>
    <row r="102" spans="1:6" x14ac:dyDescent="0.3">
      <c r="A102" s="217" t="s">
        <v>861</v>
      </c>
      <c r="B102" s="217" t="s">
        <v>867</v>
      </c>
      <c r="C102" s="217" t="s">
        <v>741</v>
      </c>
      <c r="D102" s="217" t="s">
        <v>868</v>
      </c>
      <c r="E102" s="217">
        <v>1899.4265600000001</v>
      </c>
      <c r="F102" s="217"/>
    </row>
    <row r="103" spans="1:6" x14ac:dyDescent="0.3">
      <c r="A103" s="217" t="s">
        <v>869</v>
      </c>
      <c r="B103" s="217" t="s">
        <v>758</v>
      </c>
      <c r="C103" s="217" t="s">
        <v>741</v>
      </c>
      <c r="D103" s="217" t="s">
        <v>870</v>
      </c>
      <c r="E103" s="217">
        <v>63.984960000000001</v>
      </c>
      <c r="F103" s="217"/>
    </row>
    <row r="104" spans="1:6" x14ac:dyDescent="0.3">
      <c r="A104" s="217" t="s">
        <v>869</v>
      </c>
      <c r="B104" s="217" t="s">
        <v>766</v>
      </c>
      <c r="C104" s="217" t="s">
        <v>741</v>
      </c>
      <c r="D104" s="217" t="s">
        <v>871</v>
      </c>
      <c r="E104" s="217">
        <v>1411.94784</v>
      </c>
      <c r="F104" s="217"/>
    </row>
    <row r="105" spans="1:6" x14ac:dyDescent="0.3">
      <c r="E105" s="217"/>
      <c r="F105" s="217"/>
    </row>
    <row r="106" spans="1:6" x14ac:dyDescent="0.3">
      <c r="A106" s="217" t="s">
        <v>869</v>
      </c>
      <c r="B106" s="217" t="s">
        <v>784</v>
      </c>
      <c r="C106" s="217" t="s">
        <v>741</v>
      </c>
      <c r="D106" s="217" t="s">
        <v>872</v>
      </c>
      <c r="E106" s="217">
        <v>2228.2566400000001</v>
      </c>
      <c r="F106" s="217"/>
    </row>
    <row r="107" spans="1:6" x14ac:dyDescent="0.3">
      <c r="A107" s="217" t="s">
        <v>869</v>
      </c>
      <c r="B107" s="217" t="s">
        <v>873</v>
      </c>
      <c r="C107" s="217" t="s">
        <v>741</v>
      </c>
      <c r="D107" s="217" t="s">
        <v>874</v>
      </c>
      <c r="E107" s="217">
        <v>142.71295999999998</v>
      </c>
      <c r="F107" s="217"/>
    </row>
    <row r="108" spans="1:6" x14ac:dyDescent="0.3">
      <c r="A108" s="217" t="s">
        <v>875</v>
      </c>
      <c r="B108" s="217" t="s">
        <v>775</v>
      </c>
      <c r="C108" s="217" t="s">
        <v>741</v>
      </c>
      <c r="D108" s="217" t="s">
        <v>876</v>
      </c>
      <c r="E108" s="217">
        <v>977.60908000000006</v>
      </c>
      <c r="F108" s="217"/>
    </row>
    <row r="109" spans="1:6" x14ac:dyDescent="0.3">
      <c r="E109" s="217"/>
      <c r="F109" s="217"/>
    </row>
    <row r="110" spans="1:6" x14ac:dyDescent="0.3">
      <c r="A110" s="217" t="s">
        <v>875</v>
      </c>
      <c r="B110" s="217" t="s">
        <v>878</v>
      </c>
      <c r="C110" s="217" t="s">
        <v>741</v>
      </c>
      <c r="D110" s="217" t="s">
        <v>879</v>
      </c>
      <c r="E110" s="217">
        <v>1186.45156</v>
      </c>
      <c r="F110" s="217"/>
    </row>
    <row r="111" spans="1:6" x14ac:dyDescent="0.3">
      <c r="A111" s="217" t="s">
        <v>875</v>
      </c>
      <c r="B111" s="217" t="s">
        <v>856</v>
      </c>
      <c r="C111" s="217" t="s">
        <v>741</v>
      </c>
      <c r="D111" s="217" t="s">
        <v>880</v>
      </c>
      <c r="E111" s="217">
        <v>1273.5312800000002</v>
      </c>
      <c r="F111" s="217"/>
    </row>
    <row r="112" spans="1:6" x14ac:dyDescent="0.3">
      <c r="A112" s="217" t="s">
        <v>875</v>
      </c>
      <c r="B112" s="217" t="s">
        <v>812</v>
      </c>
      <c r="C112" s="217" t="s">
        <v>741</v>
      </c>
      <c r="D112" s="217" t="s">
        <v>881</v>
      </c>
      <c r="E112" s="217">
        <v>1193.3171600000001</v>
      </c>
      <c r="F112" s="217"/>
    </row>
    <row r="113" spans="1:6" x14ac:dyDescent="0.3">
      <c r="E113" s="217"/>
      <c r="F113" s="217"/>
    </row>
    <row r="114" spans="1:6" x14ac:dyDescent="0.3">
      <c r="E114" s="217"/>
      <c r="F114" s="217"/>
    </row>
    <row r="115" spans="1:6" x14ac:dyDescent="0.3">
      <c r="A115" s="217" t="s">
        <v>875</v>
      </c>
      <c r="B115" s="217" t="s">
        <v>882</v>
      </c>
      <c r="C115" s="217" t="s">
        <v>741</v>
      </c>
      <c r="D115" s="217" t="s">
        <v>883</v>
      </c>
      <c r="E115" s="217">
        <v>1893.5677599999999</v>
      </c>
      <c r="F115" s="217"/>
    </row>
    <row r="116" spans="1:6" x14ac:dyDescent="0.3">
      <c r="A116" s="217" t="s">
        <v>875</v>
      </c>
      <c r="B116" s="217" t="s">
        <v>859</v>
      </c>
      <c r="C116" s="217" t="s">
        <v>741</v>
      </c>
      <c r="D116" s="217" t="s">
        <v>884</v>
      </c>
      <c r="E116" s="217">
        <v>2909.43352</v>
      </c>
      <c r="F116" s="217"/>
    </row>
    <row r="117" spans="1:6" x14ac:dyDescent="0.3">
      <c r="E117" s="217"/>
      <c r="F117" s="217"/>
    </row>
    <row r="118" spans="1:6" x14ac:dyDescent="0.3">
      <c r="A118" s="217" t="s">
        <v>875</v>
      </c>
      <c r="B118" s="217" t="s">
        <v>885</v>
      </c>
      <c r="C118" s="217" t="s">
        <v>741</v>
      </c>
      <c r="D118" s="217" t="s">
        <v>886</v>
      </c>
      <c r="E118" s="217">
        <v>1229.01884</v>
      </c>
      <c r="F118" s="217"/>
    </row>
    <row r="119" spans="1:6" x14ac:dyDescent="0.3">
      <c r="A119" s="217" t="s">
        <v>875</v>
      </c>
      <c r="B119" s="217" t="s">
        <v>810</v>
      </c>
      <c r="C119" s="217" t="s">
        <v>741</v>
      </c>
      <c r="D119" s="217" t="s">
        <v>887</v>
      </c>
      <c r="E119" s="217">
        <v>461.74603999999999</v>
      </c>
      <c r="F119" s="217"/>
    </row>
    <row r="120" spans="1:6" x14ac:dyDescent="0.3">
      <c r="A120" s="217" t="s">
        <v>888</v>
      </c>
      <c r="B120" s="217" t="s">
        <v>841</v>
      </c>
      <c r="C120" s="217" t="s">
        <v>741</v>
      </c>
      <c r="D120" s="217" t="s">
        <v>889</v>
      </c>
      <c r="E120" s="217">
        <v>2135.81376</v>
      </c>
      <c r="F120" s="217"/>
    </row>
    <row r="121" spans="1:6" x14ac:dyDescent="0.3">
      <c r="A121" s="217" t="s">
        <v>888</v>
      </c>
      <c r="B121" s="217" t="s">
        <v>890</v>
      </c>
      <c r="C121" s="217" t="s">
        <v>741</v>
      </c>
      <c r="D121" s="217" t="s">
        <v>891</v>
      </c>
      <c r="E121" s="217">
        <v>1440.7513600000002</v>
      </c>
      <c r="F121" s="217"/>
    </row>
    <row r="122" spans="1:6" x14ac:dyDescent="0.3">
      <c r="E122" s="217"/>
      <c r="F122" s="217"/>
    </row>
    <row r="123" spans="1:6" x14ac:dyDescent="0.3">
      <c r="A123" s="217" t="s">
        <v>888</v>
      </c>
      <c r="B123" s="217" t="s">
        <v>892</v>
      </c>
      <c r="C123" s="217" t="s">
        <v>741</v>
      </c>
      <c r="D123" s="217" t="s">
        <v>893</v>
      </c>
      <c r="E123" s="217">
        <v>70.876800000000003</v>
      </c>
      <c r="F123" s="217"/>
    </row>
    <row r="124" spans="1:6" x14ac:dyDescent="0.3">
      <c r="A124" s="217" t="s">
        <v>888</v>
      </c>
      <c r="B124" s="217" t="s">
        <v>894</v>
      </c>
      <c r="C124" s="217" t="s">
        <v>741</v>
      </c>
      <c r="D124" s="217" t="s">
        <v>895</v>
      </c>
      <c r="E124" s="217">
        <v>1496.9030400000001</v>
      </c>
      <c r="F124" s="217"/>
    </row>
    <row r="125" spans="1:6" x14ac:dyDescent="0.3">
      <c r="A125" s="217" t="s">
        <v>888</v>
      </c>
      <c r="B125" s="217" t="s">
        <v>789</v>
      </c>
      <c r="C125" s="217" t="s">
        <v>741</v>
      </c>
      <c r="D125" s="217" t="s">
        <v>896</v>
      </c>
      <c r="E125" s="217">
        <v>1150.9145600000002</v>
      </c>
      <c r="F125" s="217"/>
    </row>
    <row r="126" spans="1:6" x14ac:dyDescent="0.3">
      <c r="A126" s="217" t="s">
        <v>897</v>
      </c>
      <c r="B126" s="217" t="s">
        <v>855</v>
      </c>
      <c r="C126" s="217" t="s">
        <v>741</v>
      </c>
      <c r="D126" s="217" t="s">
        <v>898</v>
      </c>
      <c r="E126" s="217">
        <v>191.22784000000001</v>
      </c>
      <c r="F126" s="217"/>
    </row>
    <row r="127" spans="1:6" x14ac:dyDescent="0.3">
      <c r="E127" s="217"/>
      <c r="F127" s="217"/>
    </row>
    <row r="128" spans="1:6" x14ac:dyDescent="0.3">
      <c r="A128" s="217" t="s">
        <v>897</v>
      </c>
      <c r="B128" s="217" t="s">
        <v>809</v>
      </c>
      <c r="C128" s="217" t="s">
        <v>741</v>
      </c>
      <c r="D128" s="217" t="s">
        <v>899</v>
      </c>
      <c r="E128" s="217">
        <v>2397.5046400000001</v>
      </c>
      <c r="F128" s="217"/>
    </row>
    <row r="129" spans="1:6" x14ac:dyDescent="0.3">
      <c r="A129" s="217" t="s">
        <v>897</v>
      </c>
      <c r="B129" s="217" t="s">
        <v>859</v>
      </c>
      <c r="C129" s="217" t="s">
        <v>741</v>
      </c>
      <c r="D129" s="217" t="s">
        <v>1266</v>
      </c>
      <c r="E129" s="217">
        <v>2442.3312000000001</v>
      </c>
      <c r="F129" s="217"/>
    </row>
    <row r="130" spans="1:6" x14ac:dyDescent="0.3">
      <c r="A130" s="217" t="s">
        <v>897</v>
      </c>
      <c r="B130" s="217" t="s">
        <v>900</v>
      </c>
      <c r="C130" s="217" t="s">
        <v>741</v>
      </c>
      <c r="D130" s="217" t="s">
        <v>901</v>
      </c>
      <c r="E130" s="217">
        <v>2509.9830400000001</v>
      </c>
      <c r="F130" s="217"/>
    </row>
    <row r="131" spans="1:6" x14ac:dyDescent="0.3">
      <c r="A131" s="217" t="s">
        <v>902</v>
      </c>
      <c r="B131" s="217" t="s">
        <v>844</v>
      </c>
      <c r="C131" s="217" t="s">
        <v>741</v>
      </c>
      <c r="D131" s="217" t="s">
        <v>903</v>
      </c>
      <c r="E131" s="217">
        <v>2499.6966399999997</v>
      </c>
      <c r="F131" s="217"/>
    </row>
    <row r="132" spans="1:6" x14ac:dyDescent="0.3">
      <c r="A132" s="217" t="s">
        <v>902</v>
      </c>
      <c r="B132" s="217" t="s">
        <v>904</v>
      </c>
      <c r="C132" s="217" t="s">
        <v>741</v>
      </c>
      <c r="D132" s="217" t="s">
        <v>1267</v>
      </c>
      <c r="E132" s="217">
        <v>2223.5023999999999</v>
      </c>
      <c r="F132" s="217"/>
    </row>
    <row r="133" spans="1:6" x14ac:dyDescent="0.3">
      <c r="A133" s="217" t="s">
        <v>902</v>
      </c>
      <c r="B133" s="217" t="s">
        <v>905</v>
      </c>
      <c r="C133" s="217" t="s">
        <v>741</v>
      </c>
      <c r="D133" s="217" t="s">
        <v>1268</v>
      </c>
      <c r="E133" s="217">
        <v>1268.4156800000001</v>
      </c>
      <c r="F133" s="217"/>
    </row>
    <row r="134" spans="1:6" x14ac:dyDescent="0.3">
      <c r="A134" s="217" t="s">
        <v>902</v>
      </c>
      <c r="B134" s="217" t="s">
        <v>906</v>
      </c>
      <c r="C134" s="217" t="s">
        <v>741</v>
      </c>
      <c r="D134" s="217" t="s">
        <v>1269</v>
      </c>
      <c r="E134" s="217">
        <v>2571.8348799999999</v>
      </c>
      <c r="F134" s="217"/>
    </row>
    <row r="135" spans="1:6" x14ac:dyDescent="0.3">
      <c r="A135" s="217" t="s">
        <v>902</v>
      </c>
      <c r="B135" s="217" t="s">
        <v>841</v>
      </c>
      <c r="C135" s="217" t="s">
        <v>741</v>
      </c>
      <c r="D135" s="217" t="s">
        <v>907</v>
      </c>
      <c r="E135" s="217">
        <v>1650.8844799999999</v>
      </c>
      <c r="F135" s="217"/>
    </row>
    <row r="136" spans="1:6" x14ac:dyDescent="0.3">
      <c r="A136" s="217" t="s">
        <v>902</v>
      </c>
      <c r="B136" s="217" t="s">
        <v>766</v>
      </c>
      <c r="C136" s="217" t="s">
        <v>741</v>
      </c>
      <c r="D136" s="217" t="s">
        <v>908</v>
      </c>
      <c r="E136" s="217">
        <v>2516.4691199999997</v>
      </c>
      <c r="F136" s="217"/>
    </row>
    <row r="137" spans="1:6" x14ac:dyDescent="0.3">
      <c r="A137" s="217" t="s">
        <v>902</v>
      </c>
      <c r="B137" s="217" t="s">
        <v>842</v>
      </c>
      <c r="C137" s="217" t="s">
        <v>741</v>
      </c>
      <c r="D137" s="217" t="s">
        <v>909</v>
      </c>
      <c r="E137" s="217">
        <v>73.852800000000002</v>
      </c>
      <c r="F137" s="217"/>
    </row>
    <row r="138" spans="1:6" x14ac:dyDescent="0.3">
      <c r="E138" s="217"/>
      <c r="F138" s="217"/>
    </row>
    <row r="139" spans="1:6" x14ac:dyDescent="0.3">
      <c r="A139" s="217" t="s">
        <v>910</v>
      </c>
      <c r="B139" s="217" t="s">
        <v>911</v>
      </c>
      <c r="C139" s="217" t="s">
        <v>741</v>
      </c>
      <c r="D139" s="217" t="s">
        <v>1270</v>
      </c>
      <c r="E139" s="217">
        <v>2440.7375999999999</v>
      </c>
      <c r="F139" s="217"/>
    </row>
    <row r="140" spans="1:6" x14ac:dyDescent="0.3">
      <c r="A140" s="217" t="s">
        <v>910</v>
      </c>
      <c r="B140" s="217" t="s">
        <v>807</v>
      </c>
      <c r="C140" s="217" t="s">
        <v>741</v>
      </c>
      <c r="D140" s="217" t="s">
        <v>912</v>
      </c>
      <c r="E140" s="217">
        <v>89.277439999999999</v>
      </c>
      <c r="F140" s="217"/>
    </row>
    <row r="141" spans="1:6" x14ac:dyDescent="0.3">
      <c r="E141" s="217"/>
      <c r="F141" s="217"/>
    </row>
    <row r="142" spans="1:6" x14ac:dyDescent="0.3">
      <c r="A142" s="217" t="s">
        <v>910</v>
      </c>
      <c r="B142" s="217" t="s">
        <v>877</v>
      </c>
      <c r="C142" s="217" t="s">
        <v>741</v>
      </c>
      <c r="D142" s="217" t="s">
        <v>913</v>
      </c>
      <c r="E142" s="217">
        <v>1708.9667199999999</v>
      </c>
      <c r="F142" s="217"/>
    </row>
    <row r="143" spans="1:6" x14ac:dyDescent="0.3">
      <c r="E143" s="217"/>
      <c r="F143" s="217"/>
    </row>
    <row r="144" spans="1:6" x14ac:dyDescent="0.3">
      <c r="A144" s="217" t="s">
        <v>910</v>
      </c>
      <c r="B144" s="217" t="s">
        <v>809</v>
      </c>
      <c r="C144" s="217" t="s">
        <v>741</v>
      </c>
      <c r="D144" s="217" t="s">
        <v>914</v>
      </c>
      <c r="E144" s="217">
        <v>1807.3632</v>
      </c>
      <c r="F144" s="217"/>
    </row>
    <row r="145" spans="1:6" x14ac:dyDescent="0.3">
      <c r="A145" s="217" t="s">
        <v>910</v>
      </c>
      <c r="B145" s="217" t="s">
        <v>867</v>
      </c>
      <c r="C145" s="217" t="s">
        <v>741</v>
      </c>
      <c r="D145" s="217" t="s">
        <v>915</v>
      </c>
      <c r="E145" s="217">
        <v>728.89504000000011</v>
      </c>
      <c r="F145" s="217"/>
    </row>
    <row r="146" spans="1:6" x14ac:dyDescent="0.3">
      <c r="A146" s="217" t="s">
        <v>916</v>
      </c>
      <c r="B146" s="217" t="s">
        <v>882</v>
      </c>
      <c r="C146" s="217" t="s">
        <v>741</v>
      </c>
      <c r="D146" s="217" t="s">
        <v>917</v>
      </c>
      <c r="E146" s="217">
        <v>2452.6409600000002</v>
      </c>
      <c r="F146" s="217"/>
    </row>
    <row r="147" spans="1:6" x14ac:dyDescent="0.3">
      <c r="A147" s="217" t="s">
        <v>916</v>
      </c>
      <c r="B147" s="217" t="s">
        <v>805</v>
      </c>
      <c r="C147" s="217" t="s">
        <v>741</v>
      </c>
      <c r="D147" s="217" t="s">
        <v>918</v>
      </c>
      <c r="E147" s="217">
        <v>2385.02304</v>
      </c>
      <c r="F147" s="217"/>
    </row>
    <row r="148" spans="1:6" x14ac:dyDescent="0.3">
      <c r="E148" s="217"/>
      <c r="F148" s="217"/>
    </row>
    <row r="149" spans="1:6" x14ac:dyDescent="0.3">
      <c r="A149" s="217" t="s">
        <v>916</v>
      </c>
      <c r="B149" s="217" t="s">
        <v>846</v>
      </c>
      <c r="C149" s="217" t="s">
        <v>741</v>
      </c>
      <c r="D149" s="217" t="s">
        <v>919</v>
      </c>
      <c r="E149" s="217">
        <v>16.511680000000002</v>
      </c>
      <c r="F149" s="217"/>
    </row>
    <row r="150" spans="1:6" x14ac:dyDescent="0.3">
      <c r="A150" s="217" t="s">
        <v>916</v>
      </c>
      <c r="B150" s="217" t="s">
        <v>804</v>
      </c>
      <c r="C150" s="217" t="s">
        <v>741</v>
      </c>
      <c r="D150" s="217" t="s">
        <v>920</v>
      </c>
      <c r="E150" s="217">
        <v>864.95808</v>
      </c>
      <c r="F150" s="217"/>
    </row>
    <row r="151" spans="1:6" x14ac:dyDescent="0.3">
      <c r="E151" s="217"/>
      <c r="F151" s="217"/>
    </row>
    <row r="152" spans="1:6" x14ac:dyDescent="0.3">
      <c r="A152" s="217" t="s">
        <v>921</v>
      </c>
      <c r="B152" s="217" t="s">
        <v>773</v>
      </c>
      <c r="C152" s="217" t="s">
        <v>741</v>
      </c>
      <c r="D152" s="217" t="s">
        <v>922</v>
      </c>
      <c r="E152" s="217">
        <v>1856.1708799999999</v>
      </c>
      <c r="F152" s="217"/>
    </row>
    <row r="153" spans="1:6" x14ac:dyDescent="0.3">
      <c r="A153" s="217" t="s">
        <v>921</v>
      </c>
      <c r="B153" s="217" t="s">
        <v>864</v>
      </c>
      <c r="C153" s="217" t="s">
        <v>741</v>
      </c>
      <c r="D153" s="217" t="s">
        <v>923</v>
      </c>
      <c r="E153" s="217">
        <v>64.510080000000002</v>
      </c>
      <c r="F153" s="217"/>
    </row>
    <row r="154" spans="1:6" x14ac:dyDescent="0.3">
      <c r="A154" s="217" t="s">
        <v>921</v>
      </c>
      <c r="B154" s="217" t="s">
        <v>924</v>
      </c>
      <c r="C154" s="217" t="s">
        <v>741</v>
      </c>
      <c r="D154" s="217" t="s">
        <v>925</v>
      </c>
      <c r="E154" s="217">
        <v>1974.3468799999998</v>
      </c>
      <c r="F154" s="217"/>
    </row>
    <row r="155" spans="1:6" x14ac:dyDescent="0.3">
      <c r="A155" s="217" t="s">
        <v>921</v>
      </c>
      <c r="B155" s="217" t="s">
        <v>852</v>
      </c>
      <c r="C155" s="217" t="s">
        <v>741</v>
      </c>
      <c r="D155" s="217" t="s">
        <v>926</v>
      </c>
      <c r="E155" s="217">
        <v>1163.6780800000001</v>
      </c>
      <c r="F155" s="217"/>
    </row>
    <row r="156" spans="1:6" x14ac:dyDescent="0.3">
      <c r="A156" s="217" t="s">
        <v>921</v>
      </c>
      <c r="B156" s="217" t="s">
        <v>927</v>
      </c>
      <c r="C156" s="217" t="s">
        <v>741</v>
      </c>
      <c r="D156" s="217" t="s">
        <v>928</v>
      </c>
      <c r="E156" s="217">
        <v>1947.5161599999999</v>
      </c>
      <c r="F156" s="217"/>
    </row>
    <row r="157" spans="1:6" x14ac:dyDescent="0.3">
      <c r="E157" s="217"/>
      <c r="F157" s="217"/>
    </row>
    <row r="158" spans="1:6" x14ac:dyDescent="0.3">
      <c r="E158" s="217"/>
      <c r="F158" s="217"/>
    </row>
    <row r="159" spans="1:6" x14ac:dyDescent="0.3">
      <c r="E159" s="217"/>
      <c r="F159" s="217"/>
    </row>
    <row r="160" spans="1:6" x14ac:dyDescent="0.3">
      <c r="A160" s="217" t="s">
        <v>929</v>
      </c>
      <c r="B160" s="217" t="s">
        <v>931</v>
      </c>
      <c r="C160" s="217" t="s">
        <v>741</v>
      </c>
      <c r="D160" s="217" t="s">
        <v>932</v>
      </c>
      <c r="E160" s="217">
        <v>1505.3708799999999</v>
      </c>
      <c r="F160" s="217"/>
    </row>
    <row r="161" spans="1:6" x14ac:dyDescent="0.3">
      <c r="A161" s="217" t="s">
        <v>929</v>
      </c>
      <c r="B161" s="217" t="s">
        <v>933</v>
      </c>
      <c r="C161" s="217" t="s">
        <v>741</v>
      </c>
      <c r="D161" s="217" t="s">
        <v>934</v>
      </c>
      <c r="E161" s="217">
        <v>2193.3500800000002</v>
      </c>
      <c r="F161" s="217"/>
    </row>
    <row r="162" spans="1:6" x14ac:dyDescent="0.3">
      <c r="A162" s="217" t="s">
        <v>929</v>
      </c>
      <c r="B162" s="217" t="s">
        <v>812</v>
      </c>
      <c r="C162" s="217" t="s">
        <v>741</v>
      </c>
      <c r="D162" s="217" t="s">
        <v>935</v>
      </c>
      <c r="E162" s="217">
        <v>1707.44928</v>
      </c>
      <c r="F162" s="217"/>
    </row>
    <row r="163" spans="1:6" x14ac:dyDescent="0.3">
      <c r="A163" s="217" t="s">
        <v>929</v>
      </c>
      <c r="B163" s="217" t="s">
        <v>863</v>
      </c>
      <c r="C163" s="217" t="s">
        <v>741</v>
      </c>
      <c r="D163" s="217" t="s">
        <v>1271</v>
      </c>
      <c r="E163" s="217">
        <v>2266.9452799999999</v>
      </c>
      <c r="F163" s="217"/>
    </row>
    <row r="164" spans="1:6" x14ac:dyDescent="0.3">
      <c r="A164" s="217" t="s">
        <v>929</v>
      </c>
      <c r="B164" s="217" t="s">
        <v>855</v>
      </c>
      <c r="C164" s="217" t="s">
        <v>741</v>
      </c>
      <c r="D164" s="217" t="s">
        <v>936</v>
      </c>
      <c r="E164" s="217">
        <v>1808.1180800000002</v>
      </c>
      <c r="F164" s="217"/>
    </row>
    <row r="165" spans="1:6" x14ac:dyDescent="0.3">
      <c r="A165" s="217" t="s">
        <v>929</v>
      </c>
      <c r="B165" s="217" t="s">
        <v>864</v>
      </c>
      <c r="C165" s="217" t="s">
        <v>741</v>
      </c>
      <c r="D165" s="217" t="s">
        <v>1272</v>
      </c>
      <c r="E165" s="217">
        <v>2504.8262400000003</v>
      </c>
      <c r="F165" s="217"/>
    </row>
    <row r="166" spans="1:6" x14ac:dyDescent="0.3">
      <c r="E166" s="217"/>
      <c r="F166" s="217"/>
    </row>
    <row r="167" spans="1:6" x14ac:dyDescent="0.3">
      <c r="A167" s="217" t="s">
        <v>937</v>
      </c>
      <c r="B167" s="217" t="s">
        <v>939</v>
      </c>
      <c r="C167" s="217" t="s">
        <v>741</v>
      </c>
      <c r="D167" s="217" t="s">
        <v>940</v>
      </c>
      <c r="E167" s="217">
        <v>2437.9673700000003</v>
      </c>
      <c r="F167" s="217"/>
    </row>
    <row r="168" spans="1:6" x14ac:dyDescent="0.3">
      <c r="E168" s="217"/>
      <c r="F168" s="217"/>
    </row>
    <row r="169" spans="1:6" x14ac:dyDescent="0.3">
      <c r="A169" s="217" t="s">
        <v>937</v>
      </c>
      <c r="B169" s="217" t="s">
        <v>773</v>
      </c>
      <c r="C169" s="217" t="s">
        <v>741</v>
      </c>
      <c r="D169" s="217" t="s">
        <v>941</v>
      </c>
      <c r="E169" s="217">
        <v>1414.9712</v>
      </c>
      <c r="F169" s="217"/>
    </row>
    <row r="170" spans="1:6" x14ac:dyDescent="0.3">
      <c r="A170" s="217" t="s">
        <v>937</v>
      </c>
      <c r="B170" s="217" t="s">
        <v>892</v>
      </c>
      <c r="C170" s="217" t="s">
        <v>741</v>
      </c>
      <c r="D170" s="217" t="s">
        <v>942</v>
      </c>
      <c r="E170" s="217">
        <v>79.820160000000001</v>
      </c>
      <c r="F170" s="217"/>
    </row>
    <row r="171" spans="1:6" x14ac:dyDescent="0.3">
      <c r="A171" s="217" t="s">
        <v>937</v>
      </c>
      <c r="B171" s="217" t="s">
        <v>855</v>
      </c>
      <c r="C171" s="217" t="s">
        <v>741</v>
      </c>
      <c r="D171" s="217" t="s">
        <v>943</v>
      </c>
      <c r="E171" s="217">
        <v>1887.1257600000001</v>
      </c>
      <c r="F171" s="217"/>
    </row>
    <row r="172" spans="1:6" x14ac:dyDescent="0.3">
      <c r="A172" s="217" t="s">
        <v>937</v>
      </c>
      <c r="B172" s="217" t="s">
        <v>812</v>
      </c>
      <c r="C172" s="217" t="s">
        <v>741</v>
      </c>
      <c r="D172" s="217" t="s">
        <v>944</v>
      </c>
      <c r="E172" s="217">
        <v>869.96672000000001</v>
      </c>
      <c r="F172" s="217"/>
    </row>
    <row r="173" spans="1:6" x14ac:dyDescent="0.3">
      <c r="E173" s="217"/>
      <c r="F173" s="217"/>
    </row>
    <row r="174" spans="1:6" x14ac:dyDescent="0.3">
      <c r="A174" s="217" t="s">
        <v>945</v>
      </c>
      <c r="B174" s="217" t="s">
        <v>946</v>
      </c>
      <c r="C174" s="217" t="s">
        <v>741</v>
      </c>
      <c r="D174" s="217" t="s">
        <v>947</v>
      </c>
      <c r="E174" s="217">
        <v>1430.8551599999998</v>
      </c>
      <c r="F174" s="217"/>
    </row>
    <row r="175" spans="1:6" x14ac:dyDescent="0.3">
      <c r="A175" s="217" t="s">
        <v>945</v>
      </c>
      <c r="B175" s="217" t="s">
        <v>948</v>
      </c>
      <c r="C175" s="217" t="s">
        <v>741</v>
      </c>
      <c r="D175" s="217" t="s">
        <v>949</v>
      </c>
      <c r="E175" s="217">
        <v>3135.9444600000006</v>
      </c>
      <c r="F175" s="217"/>
    </row>
    <row r="176" spans="1:6" x14ac:dyDescent="0.3">
      <c r="E176" s="217"/>
      <c r="F176" s="217"/>
    </row>
    <row r="177" spans="1:6" x14ac:dyDescent="0.3">
      <c r="A177" s="217" t="s">
        <v>945</v>
      </c>
      <c r="B177" s="217" t="s">
        <v>772</v>
      </c>
      <c r="C177" s="217" t="s">
        <v>741</v>
      </c>
      <c r="D177" s="217" t="s">
        <v>950</v>
      </c>
      <c r="E177" s="217">
        <v>1982.0866799999997</v>
      </c>
      <c r="F177" s="217"/>
    </row>
    <row r="178" spans="1:6" x14ac:dyDescent="0.3">
      <c r="E178" s="217"/>
      <c r="F178" s="217"/>
    </row>
    <row r="179" spans="1:6" x14ac:dyDescent="0.3">
      <c r="A179" s="217" t="s">
        <v>945</v>
      </c>
      <c r="B179" s="217" t="s">
        <v>864</v>
      </c>
      <c r="C179" s="217" t="s">
        <v>741</v>
      </c>
      <c r="D179" s="217" t="s">
        <v>951</v>
      </c>
      <c r="E179" s="217">
        <v>438.32011999999997</v>
      </c>
      <c r="F179" s="217"/>
    </row>
    <row r="180" spans="1:6" x14ac:dyDescent="0.3">
      <c r="E180" s="217"/>
      <c r="F180" s="217"/>
    </row>
    <row r="181" spans="1:6" x14ac:dyDescent="0.3">
      <c r="A181" s="217" t="s">
        <v>952</v>
      </c>
      <c r="B181" s="217" t="s">
        <v>847</v>
      </c>
      <c r="C181" s="217" t="s">
        <v>741</v>
      </c>
      <c r="D181" s="217" t="s">
        <v>953</v>
      </c>
      <c r="E181" s="217">
        <v>2803.8628199999998</v>
      </c>
      <c r="F181" s="217"/>
    </row>
    <row r="182" spans="1:6" x14ac:dyDescent="0.3">
      <c r="A182" s="217" t="s">
        <v>952</v>
      </c>
      <c r="B182" s="217" t="s">
        <v>772</v>
      </c>
      <c r="C182" s="217" t="s">
        <v>741</v>
      </c>
      <c r="D182" s="217" t="s">
        <v>1273</v>
      </c>
      <c r="E182" s="217">
        <v>3536.7456200000001</v>
      </c>
      <c r="F182" s="217"/>
    </row>
    <row r="183" spans="1:6" x14ac:dyDescent="0.3">
      <c r="A183" s="217" t="s">
        <v>952</v>
      </c>
      <c r="B183" s="217" t="s">
        <v>954</v>
      </c>
      <c r="C183" s="217" t="s">
        <v>741</v>
      </c>
      <c r="D183" s="217" t="s">
        <v>1274</v>
      </c>
      <c r="E183" s="217">
        <v>724.83142999999995</v>
      </c>
      <c r="F183" s="217"/>
    </row>
    <row r="184" spans="1:6" x14ac:dyDescent="0.3">
      <c r="A184" s="217" t="s">
        <v>952</v>
      </c>
      <c r="B184" s="217" t="s">
        <v>930</v>
      </c>
      <c r="C184" s="217" t="s">
        <v>741</v>
      </c>
      <c r="D184" s="217" t="s">
        <v>955</v>
      </c>
      <c r="E184" s="217">
        <v>2989.80258</v>
      </c>
      <c r="F184" s="217"/>
    </row>
    <row r="185" spans="1:6" x14ac:dyDescent="0.3">
      <c r="E185" s="217"/>
      <c r="F185" s="217"/>
    </row>
    <row r="186" spans="1:6" x14ac:dyDescent="0.3">
      <c r="A186" s="217" t="s">
        <v>952</v>
      </c>
      <c r="B186" s="217" t="s">
        <v>957</v>
      </c>
      <c r="C186" s="217" t="s">
        <v>741</v>
      </c>
      <c r="D186" s="217" t="s">
        <v>958</v>
      </c>
      <c r="E186" s="217">
        <v>2761.5201899999997</v>
      </c>
      <c r="F186" s="217"/>
    </row>
    <row r="187" spans="1:6" x14ac:dyDescent="0.3">
      <c r="A187" s="217" t="s">
        <v>959</v>
      </c>
      <c r="B187" s="217" t="s">
        <v>847</v>
      </c>
      <c r="C187" s="217" t="s">
        <v>741</v>
      </c>
      <c r="D187" s="217" t="s">
        <v>960</v>
      </c>
      <c r="E187" s="217">
        <v>3647.6101199999998</v>
      </c>
      <c r="F187" s="217"/>
    </row>
    <row r="188" spans="1:6" x14ac:dyDescent="0.3">
      <c r="A188" s="217" t="s">
        <v>959</v>
      </c>
      <c r="B188" s="217" t="s">
        <v>807</v>
      </c>
      <c r="C188" s="217" t="s">
        <v>741</v>
      </c>
      <c r="D188" s="217" t="s">
        <v>961</v>
      </c>
      <c r="E188" s="217">
        <v>2212.5689600000001</v>
      </c>
      <c r="F188" s="217"/>
    </row>
    <row r="189" spans="1:6" x14ac:dyDescent="0.3">
      <c r="E189" s="217"/>
      <c r="F189" s="217"/>
    </row>
    <row r="190" spans="1:6" x14ac:dyDescent="0.3">
      <c r="A190" s="217" t="s">
        <v>959</v>
      </c>
      <c r="B190" s="217" t="s">
        <v>956</v>
      </c>
      <c r="C190" s="217" t="s">
        <v>741</v>
      </c>
      <c r="D190" s="217" t="s">
        <v>962</v>
      </c>
      <c r="E190" s="217">
        <v>110.47512</v>
      </c>
      <c r="F190" s="217"/>
    </row>
    <row r="191" spans="1:6" x14ac:dyDescent="0.3">
      <c r="A191" s="217" t="s">
        <v>959</v>
      </c>
      <c r="B191" s="217" t="s">
        <v>930</v>
      </c>
      <c r="C191" s="217" t="s">
        <v>741</v>
      </c>
      <c r="D191" s="217" t="s">
        <v>963</v>
      </c>
      <c r="E191" s="217">
        <v>3617.1279199999999</v>
      </c>
      <c r="F191" s="217"/>
    </row>
    <row r="192" spans="1:6" x14ac:dyDescent="0.3">
      <c r="A192" s="217" t="s">
        <v>959</v>
      </c>
      <c r="B192" s="217" t="s">
        <v>957</v>
      </c>
      <c r="C192" s="217" t="s">
        <v>741</v>
      </c>
      <c r="D192" s="217" t="s">
        <v>964</v>
      </c>
      <c r="E192" s="217">
        <v>2268.5616799999998</v>
      </c>
      <c r="F192" s="217"/>
    </row>
    <row r="193" spans="1:6" x14ac:dyDescent="0.3">
      <c r="E193" s="217"/>
      <c r="F193" s="217"/>
    </row>
    <row r="194" spans="1:6" x14ac:dyDescent="0.3">
      <c r="A194" s="217" t="s">
        <v>959</v>
      </c>
      <c r="B194" s="217" t="s">
        <v>864</v>
      </c>
      <c r="C194" s="217" t="s">
        <v>741</v>
      </c>
      <c r="D194" s="217" t="s">
        <v>965</v>
      </c>
      <c r="E194" s="217">
        <v>4029.4990399999997</v>
      </c>
      <c r="F194" s="217"/>
    </row>
    <row r="195" spans="1:6" x14ac:dyDescent="0.3">
      <c r="A195" s="217" t="s">
        <v>959</v>
      </c>
      <c r="B195" s="217" t="s">
        <v>848</v>
      </c>
      <c r="C195" s="217" t="s">
        <v>741</v>
      </c>
      <c r="D195" s="217" t="s">
        <v>966</v>
      </c>
      <c r="E195" s="217">
        <v>2061.8497200000002</v>
      </c>
      <c r="F195" s="217"/>
    </row>
    <row r="196" spans="1:6" x14ac:dyDescent="0.3">
      <c r="A196" s="217" t="s">
        <v>959</v>
      </c>
      <c r="B196" s="217" t="s">
        <v>946</v>
      </c>
      <c r="C196" s="217" t="s">
        <v>741</v>
      </c>
      <c r="D196" s="217" t="s">
        <v>967</v>
      </c>
      <c r="E196" s="217">
        <v>3456.3415600000003</v>
      </c>
      <c r="F196" s="217"/>
    </row>
    <row r="197" spans="1:6" x14ac:dyDescent="0.3">
      <c r="A197" s="217" t="s">
        <v>968</v>
      </c>
      <c r="B197" s="217" t="s">
        <v>911</v>
      </c>
      <c r="C197" s="217" t="s">
        <v>741</v>
      </c>
      <c r="D197" s="217" t="s">
        <v>969</v>
      </c>
      <c r="E197" s="217">
        <v>1486.35564</v>
      </c>
      <c r="F197" s="217"/>
    </row>
    <row r="198" spans="1:6" x14ac:dyDescent="0.3">
      <c r="A198" s="217" t="s">
        <v>968</v>
      </c>
      <c r="B198" s="217" t="s">
        <v>930</v>
      </c>
      <c r="C198" s="217" t="s">
        <v>741</v>
      </c>
      <c r="D198" s="217" t="s">
        <v>970</v>
      </c>
      <c r="E198" s="217">
        <v>795.36436000000003</v>
      </c>
      <c r="F198" s="217"/>
    </row>
    <row r="199" spans="1:6" x14ac:dyDescent="0.3">
      <c r="A199" s="217" t="s">
        <v>968</v>
      </c>
      <c r="B199" s="217" t="s">
        <v>927</v>
      </c>
      <c r="C199" s="217" t="s">
        <v>741</v>
      </c>
      <c r="D199" s="217" t="s">
        <v>971</v>
      </c>
      <c r="E199" s="217">
        <v>1139.9135999999999</v>
      </c>
      <c r="F199" s="217"/>
    </row>
    <row r="200" spans="1:6" x14ac:dyDescent="0.3">
      <c r="E200" s="217"/>
      <c r="F200" s="217"/>
    </row>
    <row r="201" spans="1:6" x14ac:dyDescent="0.3">
      <c r="A201" s="217" t="s">
        <v>968</v>
      </c>
      <c r="B201" s="217" t="s">
        <v>864</v>
      </c>
      <c r="C201" s="217" t="s">
        <v>741</v>
      </c>
      <c r="D201" s="217" t="s">
        <v>972</v>
      </c>
      <c r="E201" s="217">
        <v>1126.69984</v>
      </c>
      <c r="F201" s="217"/>
    </row>
    <row r="202" spans="1:6" x14ac:dyDescent="0.3">
      <c r="A202" s="217" t="s">
        <v>968</v>
      </c>
      <c r="B202" s="217" t="s">
        <v>938</v>
      </c>
      <c r="C202" s="217" t="s">
        <v>741</v>
      </c>
      <c r="D202" s="217" t="s">
        <v>973</v>
      </c>
      <c r="E202" s="217">
        <v>1502.5458000000001</v>
      </c>
      <c r="F202" s="217"/>
    </row>
    <row r="203" spans="1:6" x14ac:dyDescent="0.3">
      <c r="A203" s="217" t="s">
        <v>968</v>
      </c>
      <c r="B203" s="217" t="s">
        <v>974</v>
      </c>
      <c r="C203" s="217" t="s">
        <v>741</v>
      </c>
      <c r="D203" s="217" t="s">
        <v>975</v>
      </c>
      <c r="E203" s="217">
        <v>2307.3783599999997</v>
      </c>
      <c r="F203" s="217"/>
    </row>
    <row r="204" spans="1:6" x14ac:dyDescent="0.3">
      <c r="E204" s="217"/>
      <c r="F204" s="217"/>
    </row>
    <row r="205" spans="1:6" x14ac:dyDescent="0.3">
      <c r="E205" s="217"/>
      <c r="F205" s="217"/>
    </row>
    <row r="206" spans="1:6" x14ac:dyDescent="0.3">
      <c r="E206" s="217"/>
      <c r="F206" s="217"/>
    </row>
    <row r="207" spans="1:6" x14ac:dyDescent="0.3">
      <c r="E207" s="217"/>
      <c r="F207" s="217"/>
    </row>
    <row r="208" spans="1:6" x14ac:dyDescent="0.3">
      <c r="E208" s="217"/>
      <c r="F208" s="217"/>
    </row>
    <row r="209" spans="5:6" x14ac:dyDescent="0.3">
      <c r="E209" s="217"/>
      <c r="F209" s="217"/>
    </row>
    <row r="210" spans="5:6" x14ac:dyDescent="0.3">
      <c r="E210" s="217"/>
      <c r="F210" s="217"/>
    </row>
    <row r="211" spans="5:6" x14ac:dyDescent="0.3">
      <c r="E211" s="217"/>
      <c r="F211" s="217"/>
    </row>
    <row r="212" spans="5:6" x14ac:dyDescent="0.3">
      <c r="E212" s="217"/>
      <c r="F212" s="217"/>
    </row>
    <row r="213" spans="5:6" x14ac:dyDescent="0.3">
      <c r="E213" s="217"/>
      <c r="F213" s="217"/>
    </row>
    <row r="214" spans="5:6" x14ac:dyDescent="0.3">
      <c r="E214" s="217"/>
      <c r="F214" s="217"/>
    </row>
    <row r="215" spans="5:6" x14ac:dyDescent="0.3">
      <c r="E215" s="217"/>
      <c r="F215" s="217"/>
    </row>
    <row r="216" spans="5:6" x14ac:dyDescent="0.3">
      <c r="E216" s="217"/>
      <c r="F216" s="217"/>
    </row>
    <row r="217" spans="5:6" x14ac:dyDescent="0.3">
      <c r="E217" s="217"/>
      <c r="F217" s="217"/>
    </row>
    <row r="218" spans="5:6" x14ac:dyDescent="0.3">
      <c r="E218" s="217"/>
      <c r="F218" s="217"/>
    </row>
    <row r="219" spans="5:6" x14ac:dyDescent="0.3">
      <c r="E219" s="217"/>
      <c r="F219" s="217"/>
    </row>
    <row r="220" spans="5:6" x14ac:dyDescent="0.3">
      <c r="E220" s="217"/>
      <c r="F220" s="217"/>
    </row>
    <row r="221" spans="5:6" x14ac:dyDescent="0.3">
      <c r="E221" s="217"/>
      <c r="F221" s="217"/>
    </row>
    <row r="222" spans="5:6" x14ac:dyDescent="0.3">
      <c r="E222" s="217"/>
      <c r="F222" s="217"/>
    </row>
    <row r="223" spans="5:6" x14ac:dyDescent="0.3">
      <c r="E223" s="217"/>
      <c r="F223" s="217"/>
    </row>
    <row r="224" spans="5:6" x14ac:dyDescent="0.3">
      <c r="E224" s="217"/>
      <c r="F224" s="217"/>
    </row>
    <row r="225" spans="5:6" x14ac:dyDescent="0.3">
      <c r="E225" s="217"/>
      <c r="F225" s="217"/>
    </row>
    <row r="226" spans="5:6" x14ac:dyDescent="0.3">
      <c r="E226" s="217"/>
      <c r="F226" s="217"/>
    </row>
    <row r="227" spans="5:6" x14ac:dyDescent="0.3">
      <c r="E227" s="217"/>
      <c r="F227" s="217"/>
    </row>
    <row r="228" spans="5:6" x14ac:dyDescent="0.3">
      <c r="E228" s="217"/>
      <c r="F228" s="217"/>
    </row>
    <row r="229" spans="5:6" x14ac:dyDescent="0.3">
      <c r="E229" s="217"/>
      <c r="F229" s="217"/>
    </row>
    <row r="230" spans="5:6" x14ac:dyDescent="0.3">
      <c r="E230" s="217"/>
      <c r="F230" s="217"/>
    </row>
    <row r="231" spans="5:6" x14ac:dyDescent="0.3">
      <c r="E231" s="217"/>
      <c r="F231" s="217"/>
    </row>
    <row r="232" spans="5:6" x14ac:dyDescent="0.3">
      <c r="E232" s="217"/>
      <c r="F232" s="217"/>
    </row>
    <row r="233" spans="5:6" x14ac:dyDescent="0.3">
      <c r="E233" s="217"/>
      <c r="F233" s="217"/>
    </row>
    <row r="234" spans="5:6" x14ac:dyDescent="0.3">
      <c r="E234" s="217"/>
      <c r="F234" s="217"/>
    </row>
    <row r="235" spans="5:6" x14ac:dyDescent="0.3">
      <c r="E235" s="217"/>
      <c r="F235" s="217"/>
    </row>
    <row r="236" spans="5:6" x14ac:dyDescent="0.3">
      <c r="E236" s="217"/>
      <c r="F236" s="217"/>
    </row>
    <row r="237" spans="5:6" x14ac:dyDescent="0.3">
      <c r="E237" s="217"/>
      <c r="F237" s="217"/>
    </row>
    <row r="238" spans="5:6" x14ac:dyDescent="0.3">
      <c r="E238" s="217"/>
      <c r="F238" s="217"/>
    </row>
    <row r="239" spans="5:6" x14ac:dyDescent="0.3">
      <c r="E239" s="217"/>
      <c r="F239" s="217"/>
    </row>
    <row r="240" spans="5:6" x14ac:dyDescent="0.3">
      <c r="E240" s="217"/>
      <c r="F240" s="217"/>
    </row>
    <row r="241" spans="5:6" x14ac:dyDescent="0.3">
      <c r="E241" s="217"/>
      <c r="F241" s="217"/>
    </row>
    <row r="242" spans="5:6" x14ac:dyDescent="0.3">
      <c r="E242" s="217"/>
      <c r="F242" s="217"/>
    </row>
    <row r="243" spans="5:6" x14ac:dyDescent="0.3">
      <c r="E243" s="217"/>
      <c r="F243" s="217"/>
    </row>
    <row r="244" spans="5:6" x14ac:dyDescent="0.3">
      <c r="E244" s="217"/>
      <c r="F244" s="217"/>
    </row>
    <row r="245" spans="5:6" x14ac:dyDescent="0.3">
      <c r="E245" s="217"/>
      <c r="F245" s="217"/>
    </row>
    <row r="246" spans="5:6" x14ac:dyDescent="0.3">
      <c r="E246" s="217"/>
      <c r="F246" s="217"/>
    </row>
    <row r="247" spans="5:6" x14ac:dyDescent="0.3">
      <c r="E247" s="217"/>
      <c r="F247" s="217"/>
    </row>
    <row r="248" spans="5:6" x14ac:dyDescent="0.3">
      <c r="E248" s="217"/>
      <c r="F248" s="217"/>
    </row>
    <row r="249" spans="5:6" x14ac:dyDescent="0.3">
      <c r="E249" s="217"/>
      <c r="F249" s="217"/>
    </row>
    <row r="250" spans="5:6" x14ac:dyDescent="0.3">
      <c r="E250" s="217"/>
      <c r="F250" s="217"/>
    </row>
    <row r="251" spans="5:6" x14ac:dyDescent="0.3">
      <c r="E251" s="217"/>
      <c r="F251" s="217"/>
    </row>
    <row r="252" spans="5:6" x14ac:dyDescent="0.3">
      <c r="E252" s="217"/>
      <c r="F252" s="217"/>
    </row>
    <row r="253" spans="5:6" x14ac:dyDescent="0.3">
      <c r="E253" s="217"/>
      <c r="F253" s="217"/>
    </row>
    <row r="254" spans="5:6" x14ac:dyDescent="0.3">
      <c r="E254" s="217"/>
      <c r="F254" s="217"/>
    </row>
    <row r="255" spans="5:6" x14ac:dyDescent="0.3">
      <c r="E255" s="217"/>
      <c r="F255" s="217"/>
    </row>
    <row r="256" spans="5:6" x14ac:dyDescent="0.3">
      <c r="E256" s="217"/>
      <c r="F256" s="217"/>
    </row>
    <row r="257" spans="5:6" x14ac:dyDescent="0.3">
      <c r="E257" s="217"/>
      <c r="F257" s="217"/>
    </row>
    <row r="258" spans="5:6" x14ac:dyDescent="0.3">
      <c r="E258" s="217"/>
      <c r="F258" s="217"/>
    </row>
    <row r="259" spans="5:6" x14ac:dyDescent="0.3">
      <c r="E259" s="217"/>
      <c r="F259" s="217"/>
    </row>
    <row r="260" spans="5:6" x14ac:dyDescent="0.3">
      <c r="E260" s="217"/>
      <c r="F260" s="217"/>
    </row>
    <row r="261" spans="5:6" x14ac:dyDescent="0.3">
      <c r="E261" s="217"/>
      <c r="F261" s="217"/>
    </row>
    <row r="262" spans="5:6" x14ac:dyDescent="0.3">
      <c r="E262" s="217"/>
      <c r="F262" s="217"/>
    </row>
    <row r="263" spans="5:6" x14ac:dyDescent="0.3">
      <c r="E263" s="217"/>
      <c r="F263" s="217"/>
    </row>
    <row r="264" spans="5:6" x14ac:dyDescent="0.3">
      <c r="E264" s="217"/>
      <c r="F264" s="217"/>
    </row>
    <row r="265" spans="5:6" x14ac:dyDescent="0.3">
      <c r="E265" s="217"/>
      <c r="F265" s="217"/>
    </row>
    <row r="266" spans="5:6" x14ac:dyDescent="0.3">
      <c r="E266" s="217"/>
      <c r="F266" s="217"/>
    </row>
    <row r="267" spans="5:6" x14ac:dyDescent="0.3">
      <c r="E267" s="217"/>
      <c r="F267" s="217"/>
    </row>
    <row r="268" spans="5:6" x14ac:dyDescent="0.3">
      <c r="E268" s="217"/>
      <c r="F268" s="217"/>
    </row>
    <row r="269" spans="5:6" x14ac:dyDescent="0.3">
      <c r="E269" s="217"/>
      <c r="F269" s="217"/>
    </row>
    <row r="270" spans="5:6" x14ac:dyDescent="0.3">
      <c r="E270" s="217"/>
      <c r="F270" s="217"/>
    </row>
    <row r="271" spans="5:6" x14ac:dyDescent="0.3">
      <c r="E271" s="217"/>
      <c r="F271" s="217"/>
    </row>
    <row r="272" spans="5:6" x14ac:dyDescent="0.3">
      <c r="E272" s="217"/>
      <c r="F272" s="217"/>
    </row>
    <row r="273" spans="5:6" x14ac:dyDescent="0.3">
      <c r="E273" s="217"/>
      <c r="F273" s="217"/>
    </row>
    <row r="274" spans="5:6" x14ac:dyDescent="0.3">
      <c r="E274" s="217"/>
      <c r="F274" s="217"/>
    </row>
    <row r="275" spans="5:6" x14ac:dyDescent="0.3">
      <c r="E275" s="217"/>
      <c r="F275" s="217"/>
    </row>
    <row r="276" spans="5:6" x14ac:dyDescent="0.3">
      <c r="E276" s="217"/>
      <c r="F276" s="217"/>
    </row>
    <row r="277" spans="5:6" x14ac:dyDescent="0.3">
      <c r="E277" s="217"/>
      <c r="F277" s="217"/>
    </row>
    <row r="278" spans="5:6" x14ac:dyDescent="0.3">
      <c r="E278" s="217"/>
      <c r="F278" s="217"/>
    </row>
    <row r="279" spans="5:6" x14ac:dyDescent="0.3">
      <c r="E279" s="217"/>
      <c r="F279" s="217"/>
    </row>
    <row r="280" spans="5:6" x14ac:dyDescent="0.3">
      <c r="E280" s="217"/>
      <c r="F280" s="217"/>
    </row>
    <row r="281" spans="5:6" x14ac:dyDescent="0.3">
      <c r="E281" s="217"/>
      <c r="F281" s="217"/>
    </row>
    <row r="282" spans="5:6" x14ac:dyDescent="0.3">
      <c r="E282" s="217"/>
      <c r="F282" s="217"/>
    </row>
    <row r="283" spans="5:6" x14ac:dyDescent="0.3">
      <c r="E283" s="217"/>
      <c r="F283" s="217"/>
    </row>
    <row r="284" spans="5:6" x14ac:dyDescent="0.3">
      <c r="E284" s="217"/>
      <c r="F284" s="217"/>
    </row>
    <row r="285" spans="5:6" x14ac:dyDescent="0.3">
      <c r="E285" s="217"/>
      <c r="F285" s="217"/>
    </row>
    <row r="286" spans="5:6" x14ac:dyDescent="0.3">
      <c r="E286" s="217"/>
      <c r="F286" s="217"/>
    </row>
    <row r="287" spans="5:6" x14ac:dyDescent="0.3">
      <c r="E287" s="217"/>
      <c r="F287" s="217"/>
    </row>
    <row r="288" spans="5:6" x14ac:dyDescent="0.3">
      <c r="E288" s="217"/>
      <c r="F288" s="217"/>
    </row>
    <row r="289" spans="5:6" x14ac:dyDescent="0.3">
      <c r="E289" s="217"/>
      <c r="F289" s="217"/>
    </row>
    <row r="290" spans="5:6" x14ac:dyDescent="0.3">
      <c r="E290" s="217"/>
      <c r="F290" s="217"/>
    </row>
    <row r="291" spans="5:6" x14ac:dyDescent="0.3">
      <c r="E291" s="217"/>
      <c r="F291" s="217"/>
    </row>
    <row r="292" spans="5:6" x14ac:dyDescent="0.3">
      <c r="E292" s="217"/>
      <c r="F292" s="217"/>
    </row>
    <row r="293" spans="5:6" x14ac:dyDescent="0.3">
      <c r="E293" s="217"/>
      <c r="F293" s="217"/>
    </row>
    <row r="294" spans="5:6" x14ac:dyDescent="0.3">
      <c r="E294" s="217"/>
      <c r="F294" s="217"/>
    </row>
    <row r="295" spans="5:6" x14ac:dyDescent="0.3">
      <c r="E295" s="217"/>
      <c r="F295" s="217"/>
    </row>
    <row r="296" spans="5:6" x14ac:dyDescent="0.3">
      <c r="E296" s="217"/>
      <c r="F296" s="217"/>
    </row>
    <row r="297" spans="5:6" x14ac:dyDescent="0.3">
      <c r="E297" s="217"/>
      <c r="F297" s="217"/>
    </row>
    <row r="298" spans="5:6" x14ac:dyDescent="0.3">
      <c r="E298" s="217"/>
      <c r="F298" s="217"/>
    </row>
    <row r="299" spans="5:6" x14ac:dyDescent="0.3">
      <c r="E299" s="217"/>
      <c r="F299" s="217"/>
    </row>
    <row r="300" spans="5:6" x14ac:dyDescent="0.3">
      <c r="E300" s="217"/>
      <c r="F300" s="217"/>
    </row>
    <row r="301" spans="5:6" x14ac:dyDescent="0.3">
      <c r="E301" s="217"/>
      <c r="F301" s="217"/>
    </row>
    <row r="302" spans="5:6" x14ac:dyDescent="0.3">
      <c r="E302" s="217"/>
      <c r="F302" s="217"/>
    </row>
    <row r="303" spans="5:6" x14ac:dyDescent="0.3">
      <c r="E303" s="217"/>
      <c r="F303" s="217"/>
    </row>
    <row r="304" spans="5:6" x14ac:dyDescent="0.3">
      <c r="E304" s="217"/>
      <c r="F304" s="217"/>
    </row>
    <row r="305" spans="5:6" x14ac:dyDescent="0.3">
      <c r="E305" s="217"/>
      <c r="F305" s="217"/>
    </row>
    <row r="306" spans="5:6" x14ac:dyDescent="0.3">
      <c r="E306" s="217"/>
      <c r="F306" s="217"/>
    </row>
    <row r="307" spans="5:6" x14ac:dyDescent="0.3">
      <c r="E307" s="217"/>
      <c r="F307" s="217"/>
    </row>
    <row r="308" spans="5:6" x14ac:dyDescent="0.3">
      <c r="E308" s="217"/>
      <c r="F308" s="217"/>
    </row>
    <row r="309" spans="5:6" x14ac:dyDescent="0.3">
      <c r="E309" s="217"/>
      <c r="F309" s="217"/>
    </row>
    <row r="310" spans="5:6" x14ac:dyDescent="0.3">
      <c r="E310" s="217"/>
      <c r="F310" s="217"/>
    </row>
    <row r="311" spans="5:6" x14ac:dyDescent="0.3">
      <c r="E311" s="217"/>
      <c r="F311" s="217"/>
    </row>
    <row r="312" spans="5:6" x14ac:dyDescent="0.3">
      <c r="E312" s="217"/>
      <c r="F312" s="217"/>
    </row>
    <row r="313" spans="5:6" x14ac:dyDescent="0.3">
      <c r="E313" s="217"/>
      <c r="F313" s="217"/>
    </row>
    <row r="314" spans="5:6" x14ac:dyDescent="0.3">
      <c r="E314" s="217"/>
      <c r="F314" s="217"/>
    </row>
    <row r="315" spans="5:6" x14ac:dyDescent="0.3">
      <c r="E315" s="217"/>
      <c r="F315" s="217"/>
    </row>
    <row r="316" spans="5:6" x14ac:dyDescent="0.3">
      <c r="E316" s="217"/>
      <c r="F316" s="217"/>
    </row>
    <row r="317" spans="5:6" x14ac:dyDescent="0.3">
      <c r="E317" s="217"/>
      <c r="F317" s="217"/>
    </row>
    <row r="318" spans="5:6" x14ac:dyDescent="0.3">
      <c r="E318" s="217"/>
      <c r="F318" s="217"/>
    </row>
    <row r="319" spans="5:6" x14ac:dyDescent="0.3">
      <c r="E319" s="217"/>
      <c r="F319" s="217"/>
    </row>
    <row r="320" spans="5:6" x14ac:dyDescent="0.3">
      <c r="E320" s="217"/>
      <c r="F320" s="217"/>
    </row>
    <row r="321" spans="5:6" x14ac:dyDescent="0.3">
      <c r="E321" s="217"/>
      <c r="F321" s="217"/>
    </row>
    <row r="322" spans="5:6" x14ac:dyDescent="0.3">
      <c r="E322" s="217"/>
      <c r="F322" s="217"/>
    </row>
    <row r="323" spans="5:6" x14ac:dyDescent="0.3">
      <c r="E323" s="217"/>
      <c r="F323" s="217"/>
    </row>
    <row r="324" spans="5:6" x14ac:dyDescent="0.3">
      <c r="E324" s="217"/>
      <c r="F324" s="217"/>
    </row>
    <row r="325" spans="5:6" x14ac:dyDescent="0.3">
      <c r="E325" s="217"/>
      <c r="F325" s="217"/>
    </row>
    <row r="326" spans="5:6" x14ac:dyDescent="0.3">
      <c r="E326" s="217"/>
      <c r="F326" s="217"/>
    </row>
    <row r="327" spans="5:6" x14ac:dyDescent="0.3">
      <c r="E327" s="217"/>
      <c r="F327" s="217"/>
    </row>
    <row r="328" spans="5:6" x14ac:dyDescent="0.3">
      <c r="E328" s="217"/>
      <c r="F328" s="217"/>
    </row>
    <row r="329" spans="5:6" x14ac:dyDescent="0.3">
      <c r="E329" s="217"/>
      <c r="F329" s="217"/>
    </row>
    <row r="330" spans="5:6" x14ac:dyDescent="0.3">
      <c r="E330" s="217"/>
      <c r="F330" s="217"/>
    </row>
    <row r="331" spans="5:6" x14ac:dyDescent="0.3">
      <c r="E331" s="217"/>
      <c r="F331" s="217"/>
    </row>
    <row r="332" spans="5:6" x14ac:dyDescent="0.3">
      <c r="E332" s="217"/>
      <c r="F332" s="217"/>
    </row>
    <row r="333" spans="5:6" x14ac:dyDescent="0.3">
      <c r="E333" s="217"/>
      <c r="F333" s="217"/>
    </row>
    <row r="334" spans="5:6" x14ac:dyDescent="0.3">
      <c r="E334" s="217"/>
      <c r="F334" s="217"/>
    </row>
    <row r="335" spans="5:6" x14ac:dyDescent="0.3">
      <c r="E335" s="217"/>
      <c r="F335" s="217"/>
    </row>
    <row r="336" spans="5:6" x14ac:dyDescent="0.3">
      <c r="E336" s="217"/>
      <c r="F336" s="217"/>
    </row>
    <row r="337" spans="5:6" x14ac:dyDescent="0.3">
      <c r="E337" s="217"/>
      <c r="F337" s="217"/>
    </row>
    <row r="338" spans="5:6" x14ac:dyDescent="0.3">
      <c r="E338" s="217"/>
      <c r="F338" s="217"/>
    </row>
    <row r="339" spans="5:6" x14ac:dyDescent="0.3">
      <c r="E339" s="217"/>
      <c r="F339" s="217"/>
    </row>
    <row r="340" spans="5:6" x14ac:dyDescent="0.3">
      <c r="E340" s="217"/>
      <c r="F340" s="217"/>
    </row>
    <row r="341" spans="5:6" x14ac:dyDescent="0.3">
      <c r="E341" s="217"/>
      <c r="F341" s="217"/>
    </row>
    <row r="342" spans="5:6" x14ac:dyDescent="0.3">
      <c r="E342" s="217"/>
      <c r="F342" s="217"/>
    </row>
    <row r="343" spans="5:6" x14ac:dyDescent="0.3">
      <c r="E343" s="217"/>
      <c r="F343" s="217"/>
    </row>
    <row r="344" spans="5:6" x14ac:dyDescent="0.3">
      <c r="E344" s="217"/>
      <c r="F344" s="217"/>
    </row>
    <row r="345" spans="5:6" x14ac:dyDescent="0.3">
      <c r="E345" s="217"/>
      <c r="F345" s="217"/>
    </row>
    <row r="346" spans="5:6" x14ac:dyDescent="0.3">
      <c r="E346" s="217"/>
      <c r="F346" s="217"/>
    </row>
    <row r="347" spans="5:6" x14ac:dyDescent="0.3">
      <c r="E347" s="217"/>
      <c r="F347" s="217"/>
    </row>
    <row r="348" spans="5:6" x14ac:dyDescent="0.3">
      <c r="E348" s="217"/>
      <c r="F348" s="217"/>
    </row>
    <row r="349" spans="5:6" x14ac:dyDescent="0.3">
      <c r="E349" s="217"/>
      <c r="F349" s="217"/>
    </row>
    <row r="350" spans="5:6" x14ac:dyDescent="0.3">
      <c r="E350" s="217"/>
      <c r="F350" s="217"/>
    </row>
    <row r="351" spans="5:6" x14ac:dyDescent="0.3">
      <c r="E351" s="217"/>
      <c r="F351" s="217"/>
    </row>
    <row r="352" spans="5:6" x14ac:dyDescent="0.3">
      <c r="E352" s="217"/>
      <c r="F352" s="217"/>
    </row>
    <row r="353" spans="5:6" x14ac:dyDescent="0.3">
      <c r="E353" s="217"/>
      <c r="F353" s="217"/>
    </row>
    <row r="354" spans="5:6" x14ac:dyDescent="0.3">
      <c r="E354" s="217"/>
      <c r="F354" s="217"/>
    </row>
    <row r="355" spans="5:6" x14ac:dyDescent="0.3">
      <c r="E355" s="217"/>
      <c r="F355" s="217"/>
    </row>
    <row r="356" spans="5:6" x14ac:dyDescent="0.3">
      <c r="E356" s="217"/>
      <c r="F356" s="217"/>
    </row>
    <row r="357" spans="5:6" x14ac:dyDescent="0.3">
      <c r="E357" s="217"/>
      <c r="F357" s="217"/>
    </row>
    <row r="358" spans="5:6" x14ac:dyDescent="0.3">
      <c r="E358" s="217"/>
      <c r="F358" s="217"/>
    </row>
    <row r="359" spans="5:6" x14ac:dyDescent="0.3">
      <c r="E359" s="217"/>
      <c r="F359" s="217"/>
    </row>
    <row r="360" spans="5:6" x14ac:dyDescent="0.3">
      <c r="E360" s="217"/>
      <c r="F360" s="217"/>
    </row>
    <row r="361" spans="5:6" x14ac:dyDescent="0.3">
      <c r="E361" s="217"/>
      <c r="F361" s="217"/>
    </row>
    <row r="362" spans="5:6" x14ac:dyDescent="0.3">
      <c r="E362" s="217"/>
      <c r="F362" s="217"/>
    </row>
    <row r="363" spans="5:6" x14ac:dyDescent="0.3">
      <c r="E363" s="217"/>
      <c r="F363" s="217"/>
    </row>
    <row r="364" spans="5:6" x14ac:dyDescent="0.3">
      <c r="E364" s="217"/>
      <c r="F364" s="217"/>
    </row>
    <row r="365" spans="5:6" x14ac:dyDescent="0.3">
      <c r="E365" s="217"/>
      <c r="F365" s="217"/>
    </row>
    <row r="366" spans="5:6" x14ac:dyDescent="0.3">
      <c r="E366" s="217"/>
      <c r="F366" s="217"/>
    </row>
    <row r="367" spans="5:6" x14ac:dyDescent="0.3">
      <c r="E367" s="217"/>
      <c r="F367" s="217"/>
    </row>
    <row r="368" spans="5:6" x14ac:dyDescent="0.3">
      <c r="E368" s="217"/>
      <c r="F368" s="217"/>
    </row>
    <row r="369" spans="5:6" x14ac:dyDescent="0.3">
      <c r="E369" s="217"/>
      <c r="F369" s="217"/>
    </row>
    <row r="370" spans="5:6" x14ac:dyDescent="0.3">
      <c r="E370" s="217"/>
      <c r="F370" s="217"/>
    </row>
    <row r="371" spans="5:6" x14ac:dyDescent="0.3">
      <c r="E371" s="217"/>
      <c r="F371" s="217"/>
    </row>
    <row r="372" spans="5:6" x14ac:dyDescent="0.3">
      <c r="E372" s="217"/>
      <c r="F372" s="217"/>
    </row>
    <row r="373" spans="5:6" x14ac:dyDescent="0.3">
      <c r="E373" s="217"/>
      <c r="F373" s="217"/>
    </row>
    <row r="374" spans="5:6" x14ac:dyDescent="0.3">
      <c r="E374" s="217"/>
      <c r="F374" s="217"/>
    </row>
    <row r="375" spans="5:6" x14ac:dyDescent="0.3">
      <c r="E375" s="217"/>
      <c r="F375" s="217"/>
    </row>
    <row r="376" spans="5:6" x14ac:dyDescent="0.3">
      <c r="E376" s="217"/>
      <c r="F376" s="217"/>
    </row>
    <row r="377" spans="5:6" x14ac:dyDescent="0.3">
      <c r="E377" s="217"/>
      <c r="F377" s="217"/>
    </row>
    <row r="378" spans="5:6" x14ac:dyDescent="0.3">
      <c r="E378" s="217"/>
      <c r="F378" s="217"/>
    </row>
    <row r="379" spans="5:6" x14ac:dyDescent="0.3">
      <c r="E379" s="217"/>
      <c r="F379" s="217"/>
    </row>
    <row r="380" spans="5:6" x14ac:dyDescent="0.3">
      <c r="E380" s="217"/>
      <c r="F380" s="217"/>
    </row>
    <row r="381" spans="5:6" x14ac:dyDescent="0.3">
      <c r="E381" s="217"/>
      <c r="F381" s="217"/>
    </row>
    <row r="382" spans="5:6" x14ac:dyDescent="0.3">
      <c r="E382" s="217"/>
      <c r="F382" s="217"/>
    </row>
    <row r="383" spans="5:6" x14ac:dyDescent="0.3">
      <c r="E383" s="217"/>
      <c r="F383" s="217"/>
    </row>
    <row r="384" spans="5:6" x14ac:dyDescent="0.3">
      <c r="E384" s="217"/>
      <c r="F384" s="217"/>
    </row>
    <row r="385" spans="5:6" x14ac:dyDescent="0.3">
      <c r="E385" s="217"/>
      <c r="F385" s="217"/>
    </row>
    <row r="386" spans="5:6" x14ac:dyDescent="0.3">
      <c r="E386" s="217"/>
      <c r="F386" s="217"/>
    </row>
    <row r="387" spans="5:6" x14ac:dyDescent="0.3">
      <c r="E387" s="217"/>
      <c r="F387" s="217"/>
    </row>
    <row r="388" spans="5:6" x14ac:dyDescent="0.3">
      <c r="E388" s="217"/>
      <c r="F388" s="217"/>
    </row>
    <row r="389" spans="5:6" x14ac:dyDescent="0.3">
      <c r="E389" s="217"/>
      <c r="F389" s="217"/>
    </row>
    <row r="390" spans="5:6" x14ac:dyDescent="0.3">
      <c r="E390" s="217"/>
      <c r="F390" s="217"/>
    </row>
    <row r="391" spans="5:6" x14ac:dyDescent="0.3">
      <c r="E391" s="217"/>
      <c r="F391" s="217"/>
    </row>
    <row r="392" spans="5:6" x14ac:dyDescent="0.3">
      <c r="E392" s="217"/>
      <c r="F392" s="217"/>
    </row>
    <row r="393" spans="5:6" x14ac:dyDescent="0.3">
      <c r="E393" s="217"/>
      <c r="F393" s="217"/>
    </row>
    <row r="394" spans="5:6" x14ac:dyDescent="0.3">
      <c r="E394" s="217"/>
      <c r="F394" s="217"/>
    </row>
    <row r="395" spans="5:6" x14ac:dyDescent="0.3">
      <c r="E395" s="217"/>
      <c r="F395" s="217"/>
    </row>
    <row r="396" spans="5:6" x14ac:dyDescent="0.3">
      <c r="E396" s="217"/>
      <c r="F396" s="217"/>
    </row>
    <row r="397" spans="5:6" x14ac:dyDescent="0.3">
      <c r="E397" s="217"/>
      <c r="F397" s="217"/>
    </row>
    <row r="398" spans="5:6" x14ac:dyDescent="0.3">
      <c r="E398" s="217"/>
      <c r="F398" s="217"/>
    </row>
    <row r="399" spans="5:6" x14ac:dyDescent="0.3">
      <c r="E399" s="217"/>
      <c r="F399" s="217"/>
    </row>
    <row r="400" spans="5:6" x14ac:dyDescent="0.3">
      <c r="E400" s="217"/>
      <c r="F400" s="217"/>
    </row>
    <row r="401" spans="5:6" x14ac:dyDescent="0.3">
      <c r="E401" s="217"/>
      <c r="F401" s="217"/>
    </row>
    <row r="402" spans="5:6" x14ac:dyDescent="0.3">
      <c r="E402" s="217"/>
      <c r="F402" s="217"/>
    </row>
    <row r="403" spans="5:6" x14ac:dyDescent="0.3">
      <c r="E403" s="217"/>
      <c r="F403" s="217"/>
    </row>
    <row r="404" spans="5:6" x14ac:dyDescent="0.3">
      <c r="E404" s="217"/>
      <c r="F404" s="217"/>
    </row>
    <row r="405" spans="5:6" x14ac:dyDescent="0.3">
      <c r="E405" s="217"/>
      <c r="F405" s="217"/>
    </row>
    <row r="406" spans="5:6" x14ac:dyDescent="0.3">
      <c r="E406" s="217"/>
      <c r="F406" s="217"/>
    </row>
    <row r="407" spans="5:6" x14ac:dyDescent="0.3">
      <c r="E407" s="217"/>
      <c r="F407" s="217"/>
    </row>
    <row r="408" spans="5:6" x14ac:dyDescent="0.3">
      <c r="E408" s="217"/>
      <c r="F408" s="217"/>
    </row>
    <row r="409" spans="5:6" x14ac:dyDescent="0.3">
      <c r="E409" s="217"/>
      <c r="F409" s="217"/>
    </row>
    <row r="410" spans="5:6" x14ac:dyDescent="0.3">
      <c r="E410" s="217"/>
      <c r="F410" s="217"/>
    </row>
    <row r="411" spans="5:6" x14ac:dyDescent="0.3">
      <c r="E411" s="217"/>
      <c r="F411" s="217"/>
    </row>
    <row r="412" spans="5:6" x14ac:dyDescent="0.3">
      <c r="E412" s="217"/>
      <c r="F412" s="217"/>
    </row>
    <row r="413" spans="5:6" x14ac:dyDescent="0.3">
      <c r="E413" s="217"/>
      <c r="F413" s="217"/>
    </row>
    <row r="414" spans="5:6" x14ac:dyDescent="0.3">
      <c r="E414" s="217"/>
      <c r="F414" s="217"/>
    </row>
    <row r="415" spans="5:6" x14ac:dyDescent="0.3">
      <c r="E415" s="217"/>
      <c r="F415" s="217"/>
    </row>
    <row r="416" spans="5:6" x14ac:dyDescent="0.3">
      <c r="E416" s="217"/>
      <c r="F416" s="217"/>
    </row>
    <row r="417" spans="5:6" x14ac:dyDescent="0.3">
      <c r="E417" s="217"/>
      <c r="F417" s="217"/>
    </row>
    <row r="418" spans="5:6" x14ac:dyDescent="0.3">
      <c r="E418" s="217"/>
      <c r="F418" s="217"/>
    </row>
    <row r="419" spans="5:6" x14ac:dyDescent="0.3">
      <c r="E419" s="217"/>
      <c r="F419" s="217"/>
    </row>
    <row r="420" spans="5:6" x14ac:dyDescent="0.3">
      <c r="E420" s="217"/>
      <c r="F420" s="217"/>
    </row>
    <row r="421" spans="5:6" x14ac:dyDescent="0.3">
      <c r="E421" s="217"/>
      <c r="F421" s="217"/>
    </row>
    <row r="422" spans="5:6" x14ac:dyDescent="0.3">
      <c r="E422" s="217"/>
      <c r="F422" s="217"/>
    </row>
    <row r="423" spans="5:6" x14ac:dyDescent="0.3">
      <c r="E423" s="217"/>
      <c r="F423" s="217"/>
    </row>
    <row r="424" spans="5:6" x14ac:dyDescent="0.3">
      <c r="E424" s="217"/>
      <c r="F424" s="217"/>
    </row>
    <row r="425" spans="5:6" x14ac:dyDescent="0.3">
      <c r="E425" s="217"/>
      <c r="F425" s="217"/>
    </row>
    <row r="426" spans="5:6" x14ac:dyDescent="0.3">
      <c r="E426" s="217"/>
      <c r="F426" s="217"/>
    </row>
    <row r="427" spans="5:6" x14ac:dyDescent="0.3">
      <c r="E427" s="217"/>
      <c r="F427" s="217"/>
    </row>
    <row r="428" spans="5:6" x14ac:dyDescent="0.3">
      <c r="E428" s="217"/>
      <c r="F428" s="217"/>
    </row>
    <row r="429" spans="5:6" x14ac:dyDescent="0.3">
      <c r="E429" s="217"/>
      <c r="F429" s="217"/>
    </row>
    <row r="430" spans="5:6" x14ac:dyDescent="0.3">
      <c r="E430" s="217"/>
      <c r="F430" s="217"/>
    </row>
    <row r="431" spans="5:6" x14ac:dyDescent="0.3">
      <c r="E431" s="217"/>
      <c r="F431" s="217"/>
    </row>
    <row r="432" spans="5:6" x14ac:dyDescent="0.3">
      <c r="E432" s="217"/>
      <c r="F432" s="217"/>
    </row>
    <row r="433" spans="5:6" x14ac:dyDescent="0.3">
      <c r="E433" s="217"/>
      <c r="F433" s="217"/>
    </row>
    <row r="434" spans="5:6" x14ac:dyDescent="0.3">
      <c r="E434" s="217"/>
      <c r="F434" s="217"/>
    </row>
    <row r="435" spans="5:6" x14ac:dyDescent="0.3">
      <c r="E435" s="217"/>
      <c r="F435" s="217"/>
    </row>
    <row r="436" spans="5:6" x14ac:dyDescent="0.3">
      <c r="E436" s="217"/>
      <c r="F436" s="217"/>
    </row>
    <row r="437" spans="5:6" x14ac:dyDescent="0.3">
      <c r="E437" s="217"/>
      <c r="F437" s="217"/>
    </row>
    <row r="438" spans="5:6" x14ac:dyDescent="0.3">
      <c r="E438" s="217"/>
      <c r="F438" s="217"/>
    </row>
    <row r="439" spans="5:6" x14ac:dyDescent="0.3">
      <c r="E439" s="217"/>
      <c r="F439" s="217"/>
    </row>
    <row r="440" spans="5:6" x14ac:dyDescent="0.3">
      <c r="E440" s="217"/>
      <c r="F440" s="217"/>
    </row>
    <row r="441" spans="5:6" x14ac:dyDescent="0.3">
      <c r="E441" s="217"/>
      <c r="F441" s="217"/>
    </row>
    <row r="442" spans="5:6" x14ac:dyDescent="0.3">
      <c r="E442" s="217"/>
      <c r="F442" s="217"/>
    </row>
    <row r="443" spans="5:6" x14ac:dyDescent="0.3">
      <c r="E443" s="217"/>
      <c r="F443" s="217"/>
    </row>
    <row r="444" spans="5:6" x14ac:dyDescent="0.3">
      <c r="E444" s="217"/>
      <c r="F444" s="217"/>
    </row>
    <row r="445" spans="5:6" x14ac:dyDescent="0.3">
      <c r="E445" s="217"/>
      <c r="F445" s="217"/>
    </row>
    <row r="446" spans="5:6" x14ac:dyDescent="0.3">
      <c r="E446" s="217"/>
      <c r="F446" s="217"/>
    </row>
    <row r="447" spans="5:6" x14ac:dyDescent="0.3">
      <c r="E447" s="217"/>
      <c r="F447" s="217"/>
    </row>
    <row r="448" spans="5:6" x14ac:dyDescent="0.3">
      <c r="E448" s="217"/>
      <c r="F448" s="217"/>
    </row>
    <row r="449" spans="5:6" x14ac:dyDescent="0.3">
      <c r="E449" s="217"/>
      <c r="F449" s="217"/>
    </row>
    <row r="450" spans="5:6" x14ac:dyDescent="0.3">
      <c r="E450" s="217"/>
      <c r="F450" s="217"/>
    </row>
    <row r="451" spans="5:6" x14ac:dyDescent="0.3">
      <c r="E451" s="217"/>
      <c r="F451" s="217"/>
    </row>
    <row r="452" spans="5:6" x14ac:dyDescent="0.3">
      <c r="E452" s="217"/>
      <c r="F452" s="217"/>
    </row>
    <row r="453" spans="5:6" x14ac:dyDescent="0.3">
      <c r="E453" s="217"/>
      <c r="F453" s="217"/>
    </row>
    <row r="454" spans="5:6" x14ac:dyDescent="0.3">
      <c r="E454" s="217"/>
      <c r="F454" s="217"/>
    </row>
    <row r="455" spans="5:6" x14ac:dyDescent="0.3">
      <c r="E455" s="217"/>
      <c r="F455" s="217"/>
    </row>
    <row r="456" spans="5:6" x14ac:dyDescent="0.3">
      <c r="E456" s="217"/>
      <c r="F456" s="217"/>
    </row>
    <row r="457" spans="5:6" x14ac:dyDescent="0.3">
      <c r="E457" s="217"/>
      <c r="F457" s="217"/>
    </row>
    <row r="458" spans="5:6" x14ac:dyDescent="0.3">
      <c r="E458" s="217"/>
      <c r="F458" s="217"/>
    </row>
    <row r="459" spans="5:6" x14ac:dyDescent="0.3">
      <c r="E459" s="217"/>
      <c r="F459" s="217"/>
    </row>
    <row r="460" spans="5:6" x14ac:dyDescent="0.3">
      <c r="E460" s="217"/>
      <c r="F460" s="217"/>
    </row>
    <row r="461" spans="5:6" x14ac:dyDescent="0.3">
      <c r="E461" s="217"/>
      <c r="F461" s="217"/>
    </row>
    <row r="462" spans="5:6" x14ac:dyDescent="0.3">
      <c r="E462" s="217"/>
      <c r="F462" s="217"/>
    </row>
    <row r="463" spans="5:6" x14ac:dyDescent="0.3">
      <c r="E463" s="217"/>
      <c r="F463" s="217"/>
    </row>
    <row r="464" spans="5:6" x14ac:dyDescent="0.3">
      <c r="E464" s="217"/>
      <c r="F464" s="217"/>
    </row>
    <row r="465" spans="5:6" x14ac:dyDescent="0.3">
      <c r="E465" s="217"/>
      <c r="F465" s="217"/>
    </row>
    <row r="466" spans="5:6" x14ac:dyDescent="0.3">
      <c r="E466" s="217"/>
      <c r="F466" s="217"/>
    </row>
    <row r="467" spans="5:6" x14ac:dyDescent="0.3">
      <c r="E467" s="217"/>
      <c r="F467" s="217"/>
    </row>
    <row r="468" spans="5:6" x14ac:dyDescent="0.3">
      <c r="E468" s="217"/>
      <c r="F468" s="217"/>
    </row>
    <row r="469" spans="5:6" x14ac:dyDescent="0.3">
      <c r="E469" s="217"/>
      <c r="F469" s="217"/>
    </row>
    <row r="470" spans="5:6" x14ac:dyDescent="0.3">
      <c r="E470" s="217"/>
      <c r="F470" s="217"/>
    </row>
    <row r="471" spans="5:6" x14ac:dyDescent="0.3">
      <c r="E471" s="217"/>
      <c r="F471" s="217"/>
    </row>
    <row r="472" spans="5:6" x14ac:dyDescent="0.3">
      <c r="E472" s="217"/>
      <c r="F472" s="217"/>
    </row>
    <row r="473" spans="5:6" x14ac:dyDescent="0.3">
      <c r="E473" s="217"/>
      <c r="F473" s="217"/>
    </row>
    <row r="474" spans="5:6" x14ac:dyDescent="0.3">
      <c r="E474" s="217"/>
      <c r="F474" s="217"/>
    </row>
    <row r="475" spans="5:6" x14ac:dyDescent="0.3">
      <c r="E475" s="217"/>
      <c r="F475" s="217"/>
    </row>
    <row r="476" spans="5:6" x14ac:dyDescent="0.3">
      <c r="E476" s="217"/>
      <c r="F476" s="217"/>
    </row>
    <row r="477" spans="5:6" x14ac:dyDescent="0.3">
      <c r="E477" s="217"/>
      <c r="F477" s="217"/>
    </row>
    <row r="478" spans="5:6" x14ac:dyDescent="0.3">
      <c r="E478" s="217"/>
      <c r="F478" s="217"/>
    </row>
    <row r="479" spans="5:6" x14ac:dyDescent="0.3">
      <c r="E479" s="217"/>
      <c r="F479" s="217"/>
    </row>
    <row r="480" spans="5:6" x14ac:dyDescent="0.3">
      <c r="E480" s="217"/>
      <c r="F480" s="217"/>
    </row>
    <row r="481" spans="5:6" x14ac:dyDescent="0.3">
      <c r="E481" s="217"/>
      <c r="F481" s="217"/>
    </row>
    <row r="482" spans="5:6" x14ac:dyDescent="0.3">
      <c r="E482" s="217"/>
      <c r="F482" s="217"/>
    </row>
    <row r="483" spans="5:6" x14ac:dyDescent="0.3">
      <c r="E483" s="217"/>
      <c r="F483" s="217"/>
    </row>
    <row r="484" spans="5:6" x14ac:dyDescent="0.3">
      <c r="E484" s="217"/>
      <c r="F484" s="217"/>
    </row>
    <row r="485" spans="5:6" x14ac:dyDescent="0.3">
      <c r="E485" s="217"/>
      <c r="F485" s="217"/>
    </row>
    <row r="486" spans="5:6" x14ac:dyDescent="0.3">
      <c r="E486" s="217"/>
      <c r="F486" s="217"/>
    </row>
    <row r="487" spans="5:6" x14ac:dyDescent="0.3">
      <c r="E487" s="217"/>
      <c r="F487" s="217"/>
    </row>
    <row r="488" spans="5:6" x14ac:dyDescent="0.3">
      <c r="E488" s="217"/>
      <c r="F488" s="217"/>
    </row>
    <row r="489" spans="5:6" x14ac:dyDescent="0.3">
      <c r="E489" s="217"/>
      <c r="F489" s="217"/>
    </row>
    <row r="490" spans="5:6" x14ac:dyDescent="0.3">
      <c r="E490" s="217"/>
      <c r="F490" s="217"/>
    </row>
    <row r="491" spans="5:6" x14ac:dyDescent="0.3">
      <c r="E491" s="217"/>
      <c r="F491" s="217"/>
    </row>
    <row r="492" spans="5:6" x14ac:dyDescent="0.3">
      <c r="E492" s="217"/>
      <c r="F492" s="217"/>
    </row>
    <row r="493" spans="5:6" x14ac:dyDescent="0.3">
      <c r="E493" s="217"/>
      <c r="F493" s="217"/>
    </row>
    <row r="494" spans="5:6" x14ac:dyDescent="0.3">
      <c r="E494" s="217"/>
      <c r="F494" s="217"/>
    </row>
    <row r="495" spans="5:6" x14ac:dyDescent="0.3">
      <c r="E495" s="217"/>
      <c r="F495" s="217"/>
    </row>
    <row r="496" spans="5:6" x14ac:dyDescent="0.3">
      <c r="E496" s="217"/>
      <c r="F496" s="217"/>
    </row>
    <row r="497" spans="5:6" x14ac:dyDescent="0.3">
      <c r="E497" s="217"/>
      <c r="F497" s="217"/>
    </row>
    <row r="498" spans="5:6" x14ac:dyDescent="0.3">
      <c r="E498" s="217"/>
      <c r="F498" s="217"/>
    </row>
    <row r="499" spans="5:6" x14ac:dyDescent="0.3">
      <c r="E499" s="217"/>
      <c r="F499" s="217"/>
    </row>
    <row r="500" spans="5:6" x14ac:dyDescent="0.3">
      <c r="E500" s="217"/>
      <c r="F500" s="217"/>
    </row>
    <row r="501" spans="5:6" x14ac:dyDescent="0.3">
      <c r="E501" s="217"/>
      <c r="F501" s="217"/>
    </row>
    <row r="502" spans="5:6" x14ac:dyDescent="0.3">
      <c r="E502" s="217"/>
      <c r="F502" s="217"/>
    </row>
    <row r="503" spans="5:6" x14ac:dyDescent="0.3">
      <c r="E503" s="217"/>
      <c r="F503" s="217"/>
    </row>
    <row r="504" spans="5:6" x14ac:dyDescent="0.3">
      <c r="E504" s="217"/>
      <c r="F504" s="217"/>
    </row>
    <row r="505" spans="5:6" x14ac:dyDescent="0.3">
      <c r="E505" s="217"/>
      <c r="F505" s="217"/>
    </row>
    <row r="506" spans="5:6" x14ac:dyDescent="0.3">
      <c r="E506" s="217"/>
      <c r="F506" s="217"/>
    </row>
    <row r="507" spans="5:6" x14ac:dyDescent="0.3">
      <c r="E507" s="217"/>
      <c r="F507" s="217"/>
    </row>
    <row r="508" spans="5:6" x14ac:dyDescent="0.3">
      <c r="E508" s="217"/>
      <c r="F508" s="217"/>
    </row>
    <row r="509" spans="5:6" x14ac:dyDescent="0.3">
      <c r="E509" s="217"/>
      <c r="F509" s="217"/>
    </row>
    <row r="510" spans="5:6" x14ac:dyDescent="0.3">
      <c r="E510" s="217"/>
      <c r="F510" s="217"/>
    </row>
    <row r="511" spans="5:6" x14ac:dyDescent="0.3">
      <c r="E511" s="217"/>
      <c r="F511" s="217"/>
    </row>
    <row r="512" spans="5:6" x14ac:dyDescent="0.3">
      <c r="E512" s="217"/>
      <c r="F512" s="217"/>
    </row>
    <row r="513" spans="5:6" x14ac:dyDescent="0.3">
      <c r="E513" s="217"/>
      <c r="F513" s="217"/>
    </row>
    <row r="514" spans="5:6" x14ac:dyDescent="0.3">
      <c r="E514" s="217"/>
      <c r="F514" s="217"/>
    </row>
    <row r="515" spans="5:6" x14ac:dyDescent="0.3">
      <c r="E515" s="217"/>
      <c r="F515" s="217"/>
    </row>
    <row r="516" spans="5:6" x14ac:dyDescent="0.3">
      <c r="E516" s="217"/>
      <c r="F516" s="217"/>
    </row>
    <row r="517" spans="5:6" x14ac:dyDescent="0.3">
      <c r="E517" s="217"/>
      <c r="F517" s="217"/>
    </row>
    <row r="518" spans="5:6" x14ac:dyDescent="0.3">
      <c r="E518" s="217"/>
      <c r="F518" s="217"/>
    </row>
    <row r="519" spans="5:6" x14ac:dyDescent="0.3">
      <c r="E519" s="217"/>
      <c r="F519" s="217"/>
    </row>
    <row r="520" spans="5:6" x14ac:dyDescent="0.3">
      <c r="E520" s="217"/>
      <c r="F520" s="217"/>
    </row>
    <row r="521" spans="5:6" x14ac:dyDescent="0.3">
      <c r="E521" s="217"/>
      <c r="F521" s="217"/>
    </row>
    <row r="522" spans="5:6" x14ac:dyDescent="0.3">
      <c r="E522" s="217"/>
      <c r="F522" s="217"/>
    </row>
    <row r="523" spans="5:6" x14ac:dyDescent="0.3">
      <c r="E523" s="217"/>
      <c r="F523" s="217"/>
    </row>
    <row r="524" spans="5:6" x14ac:dyDescent="0.3">
      <c r="E524" s="217"/>
      <c r="F524" s="217"/>
    </row>
    <row r="525" spans="5:6" x14ac:dyDescent="0.3">
      <c r="E525" s="217"/>
      <c r="F525" s="217"/>
    </row>
    <row r="526" spans="5:6" x14ac:dyDescent="0.3">
      <c r="E526" s="217"/>
      <c r="F526" s="217"/>
    </row>
    <row r="527" spans="5:6" x14ac:dyDescent="0.3">
      <c r="E527" s="217"/>
      <c r="F527" s="217"/>
    </row>
    <row r="528" spans="5:6" x14ac:dyDescent="0.3">
      <c r="E528" s="217"/>
      <c r="F528" s="217"/>
    </row>
    <row r="529" spans="5:6" x14ac:dyDescent="0.3">
      <c r="E529" s="217"/>
      <c r="F529" s="217"/>
    </row>
    <row r="530" spans="5:6" x14ac:dyDescent="0.3">
      <c r="E530" s="217"/>
      <c r="F530" s="217"/>
    </row>
    <row r="531" spans="5:6" x14ac:dyDescent="0.3">
      <c r="E531" s="217"/>
      <c r="F531" s="217"/>
    </row>
    <row r="532" spans="5:6" x14ac:dyDescent="0.3">
      <c r="E532" s="217"/>
      <c r="F532" s="217"/>
    </row>
    <row r="533" spans="5:6" x14ac:dyDescent="0.3">
      <c r="E533" s="217"/>
      <c r="F533" s="217"/>
    </row>
    <row r="534" spans="5:6" x14ac:dyDescent="0.3">
      <c r="E534" s="217"/>
      <c r="F534" s="217"/>
    </row>
    <row r="535" spans="5:6" x14ac:dyDescent="0.3">
      <c r="E535" s="217"/>
      <c r="F535" s="217"/>
    </row>
    <row r="536" spans="5:6" x14ac:dyDescent="0.3">
      <c r="E536" s="217"/>
      <c r="F536" s="217"/>
    </row>
    <row r="537" spans="5:6" x14ac:dyDescent="0.3">
      <c r="E537" s="217"/>
      <c r="F537" s="217"/>
    </row>
    <row r="538" spans="5:6" x14ac:dyDescent="0.3">
      <c r="E538" s="217"/>
      <c r="F538" s="217"/>
    </row>
    <row r="539" spans="5:6" x14ac:dyDescent="0.3">
      <c r="E539" s="217"/>
      <c r="F539" s="217"/>
    </row>
    <row r="540" spans="5:6" x14ac:dyDescent="0.3">
      <c r="E540" s="217"/>
      <c r="F540" s="217"/>
    </row>
    <row r="541" spans="5:6" x14ac:dyDescent="0.3">
      <c r="E541" s="217"/>
      <c r="F541" s="217"/>
    </row>
    <row r="542" spans="5:6" x14ac:dyDescent="0.3">
      <c r="E542" s="217"/>
      <c r="F542" s="217"/>
    </row>
    <row r="543" spans="5:6" x14ac:dyDescent="0.3">
      <c r="E543" s="217"/>
      <c r="F543" s="217"/>
    </row>
    <row r="544" spans="5:6" x14ac:dyDescent="0.3">
      <c r="E544" s="217"/>
      <c r="F544" s="217"/>
    </row>
    <row r="545" spans="5:6" x14ac:dyDescent="0.3">
      <c r="E545" s="217"/>
      <c r="F545" s="217"/>
    </row>
    <row r="546" spans="5:6" x14ac:dyDescent="0.3">
      <c r="E546" s="217"/>
      <c r="F546" s="217"/>
    </row>
    <row r="547" spans="5:6" x14ac:dyDescent="0.3">
      <c r="E547" s="217"/>
      <c r="F547" s="217"/>
    </row>
    <row r="548" spans="5:6" x14ac:dyDescent="0.3">
      <c r="E548" s="217"/>
      <c r="F548" s="217"/>
    </row>
    <row r="549" spans="5:6" x14ac:dyDescent="0.3">
      <c r="E549" s="217"/>
      <c r="F549" s="217"/>
    </row>
    <row r="550" spans="5:6" x14ac:dyDescent="0.3">
      <c r="E550" s="217"/>
      <c r="F550" s="217"/>
    </row>
    <row r="551" spans="5:6" x14ac:dyDescent="0.3">
      <c r="E551" s="217"/>
      <c r="F551" s="217"/>
    </row>
    <row r="552" spans="5:6" x14ac:dyDescent="0.3">
      <c r="E552" s="217"/>
      <c r="F552" s="217"/>
    </row>
    <row r="553" spans="5:6" x14ac:dyDescent="0.3">
      <c r="E553" s="217"/>
      <c r="F553" s="217"/>
    </row>
    <row r="554" spans="5:6" x14ac:dyDescent="0.3">
      <c r="E554" s="217"/>
      <c r="F554" s="217"/>
    </row>
    <row r="555" spans="5:6" x14ac:dyDescent="0.3">
      <c r="E555" s="217"/>
      <c r="F555" s="217"/>
    </row>
    <row r="556" spans="5:6" x14ac:dyDescent="0.3">
      <c r="E556" s="217"/>
      <c r="F556" s="217"/>
    </row>
    <row r="557" spans="5:6" x14ac:dyDescent="0.3">
      <c r="E557" s="217"/>
      <c r="F557" s="217"/>
    </row>
    <row r="558" spans="5:6" x14ac:dyDescent="0.3">
      <c r="E558" s="217"/>
      <c r="F558" s="217"/>
    </row>
    <row r="559" spans="5:6" x14ac:dyDescent="0.3">
      <c r="E559" s="217"/>
      <c r="F559" s="217"/>
    </row>
    <row r="560" spans="5:6" x14ac:dyDescent="0.3">
      <c r="E560" s="217"/>
      <c r="F560" s="217"/>
    </row>
    <row r="561" spans="5:6" x14ac:dyDescent="0.3">
      <c r="E561" s="217"/>
      <c r="F561" s="217"/>
    </row>
    <row r="562" spans="5:6" x14ac:dyDescent="0.3">
      <c r="E562" s="217"/>
      <c r="F562" s="217"/>
    </row>
    <row r="563" spans="5:6" x14ac:dyDescent="0.3">
      <c r="E563" s="217"/>
      <c r="F563" s="217"/>
    </row>
    <row r="564" spans="5:6" x14ac:dyDescent="0.3">
      <c r="E564" s="217"/>
      <c r="F564" s="217"/>
    </row>
    <row r="565" spans="5:6" x14ac:dyDescent="0.3">
      <c r="E565" s="217"/>
      <c r="F565" s="217"/>
    </row>
    <row r="566" spans="5:6" x14ac:dyDescent="0.3">
      <c r="E566" s="217"/>
      <c r="F566" s="217"/>
    </row>
    <row r="567" spans="5:6" x14ac:dyDescent="0.3">
      <c r="E567" s="217"/>
      <c r="F567" s="217"/>
    </row>
    <row r="568" spans="5:6" x14ac:dyDescent="0.3">
      <c r="E568" s="217"/>
      <c r="F568" s="217"/>
    </row>
    <row r="569" spans="5:6" x14ac:dyDescent="0.3">
      <c r="E569" s="217"/>
      <c r="F569" s="217"/>
    </row>
    <row r="570" spans="5:6" x14ac:dyDescent="0.3">
      <c r="E570" s="217"/>
      <c r="F570" s="217"/>
    </row>
    <row r="571" spans="5:6" x14ac:dyDescent="0.3">
      <c r="E571" s="217"/>
      <c r="F571" s="217"/>
    </row>
    <row r="572" spans="5:6" x14ac:dyDescent="0.3">
      <c r="E572" s="217"/>
      <c r="F572" s="217"/>
    </row>
    <row r="573" spans="5:6" x14ac:dyDescent="0.3">
      <c r="E573" s="217"/>
      <c r="F573" s="217"/>
    </row>
    <row r="574" spans="5:6" x14ac:dyDescent="0.3">
      <c r="E574" s="217"/>
      <c r="F574" s="217"/>
    </row>
    <row r="575" spans="5:6" x14ac:dyDescent="0.3">
      <c r="E575" s="217"/>
      <c r="F575" s="217"/>
    </row>
    <row r="576" spans="5:6" x14ac:dyDescent="0.3">
      <c r="E576" s="217"/>
      <c r="F576" s="217"/>
    </row>
    <row r="577" spans="5:6" x14ac:dyDescent="0.3">
      <c r="E577" s="217"/>
      <c r="F577" s="217"/>
    </row>
    <row r="578" spans="5:6" x14ac:dyDescent="0.3">
      <c r="E578" s="217"/>
      <c r="F578" s="217"/>
    </row>
    <row r="579" spans="5:6" x14ac:dyDescent="0.3">
      <c r="E579" s="217"/>
      <c r="F579" s="217"/>
    </row>
    <row r="580" spans="5:6" x14ac:dyDescent="0.3">
      <c r="E580" s="217"/>
      <c r="F580" s="217"/>
    </row>
    <row r="581" spans="5:6" x14ac:dyDescent="0.3">
      <c r="E581" s="217"/>
      <c r="F581" s="217"/>
    </row>
    <row r="582" spans="5:6" x14ac:dyDescent="0.3">
      <c r="E582" s="217"/>
      <c r="F582" s="217"/>
    </row>
    <row r="583" spans="5:6" x14ac:dyDescent="0.3">
      <c r="E583" s="217"/>
      <c r="F583" s="217"/>
    </row>
    <row r="584" spans="5:6" x14ac:dyDescent="0.3">
      <c r="E584" s="217"/>
      <c r="F584" s="217"/>
    </row>
    <row r="585" spans="5:6" x14ac:dyDescent="0.3">
      <c r="E585" s="217"/>
      <c r="F585" s="217"/>
    </row>
    <row r="586" spans="5:6" x14ac:dyDescent="0.3">
      <c r="E586" s="217"/>
      <c r="F586" s="217"/>
    </row>
    <row r="587" spans="5:6" x14ac:dyDescent="0.3">
      <c r="E587" s="217"/>
      <c r="F587" s="217"/>
    </row>
    <row r="588" spans="5:6" x14ac:dyDescent="0.3">
      <c r="E588" s="217"/>
      <c r="F588" s="217"/>
    </row>
    <row r="589" spans="5:6" x14ac:dyDescent="0.3">
      <c r="E589" s="217"/>
      <c r="F589" s="217"/>
    </row>
    <row r="590" spans="5:6" x14ac:dyDescent="0.3">
      <c r="E590" s="217"/>
      <c r="F590" s="217"/>
    </row>
    <row r="591" spans="5:6" x14ac:dyDescent="0.3">
      <c r="E591" s="217"/>
      <c r="F591" s="217"/>
    </row>
    <row r="592" spans="5:6" x14ac:dyDescent="0.3">
      <c r="E592" s="217"/>
      <c r="F592" s="217"/>
    </row>
    <row r="593" spans="5:6" x14ac:dyDescent="0.3">
      <c r="E593" s="217"/>
      <c r="F593" s="217"/>
    </row>
    <row r="594" spans="5:6" x14ac:dyDescent="0.3">
      <c r="E594" s="217"/>
      <c r="F594" s="217"/>
    </row>
    <row r="595" spans="5:6" x14ac:dyDescent="0.3">
      <c r="E595" s="217"/>
      <c r="F595" s="217"/>
    </row>
    <row r="596" spans="5:6" x14ac:dyDescent="0.3">
      <c r="E596" s="217"/>
      <c r="F596" s="217"/>
    </row>
    <row r="597" spans="5:6" x14ac:dyDescent="0.3">
      <c r="E597" s="217"/>
      <c r="F597" s="217"/>
    </row>
    <row r="598" spans="5:6" x14ac:dyDescent="0.3">
      <c r="E598" s="217"/>
      <c r="F598" s="217"/>
    </row>
    <row r="599" spans="5:6" x14ac:dyDescent="0.3">
      <c r="E599" s="217"/>
      <c r="F599" s="217"/>
    </row>
    <row r="600" spans="5:6" x14ac:dyDescent="0.3">
      <c r="E600" s="217"/>
      <c r="F600" s="217"/>
    </row>
    <row r="601" spans="5:6" x14ac:dyDescent="0.3">
      <c r="E601" s="217"/>
      <c r="F601" s="217"/>
    </row>
    <row r="602" spans="5:6" x14ac:dyDescent="0.3">
      <c r="E602" s="217"/>
      <c r="F602" s="217"/>
    </row>
    <row r="603" spans="5:6" x14ac:dyDescent="0.3">
      <c r="E603" s="217"/>
      <c r="F603" s="217"/>
    </row>
    <row r="604" spans="5:6" x14ac:dyDescent="0.3">
      <c r="E604" s="217"/>
      <c r="F604" s="217"/>
    </row>
    <row r="605" spans="5:6" x14ac:dyDescent="0.3">
      <c r="E605" s="217"/>
      <c r="F605" s="217"/>
    </row>
    <row r="606" spans="5:6" x14ac:dyDescent="0.3">
      <c r="E606" s="217"/>
      <c r="F606" s="217"/>
    </row>
    <row r="607" spans="5:6" x14ac:dyDescent="0.3">
      <c r="E607" s="217"/>
      <c r="F607" s="217"/>
    </row>
    <row r="608" spans="5:6" x14ac:dyDescent="0.3">
      <c r="E608" s="217"/>
      <c r="F608" s="217"/>
    </row>
    <row r="609" spans="5:6" x14ac:dyDescent="0.3">
      <c r="E609" s="217"/>
      <c r="F609" s="217"/>
    </row>
    <row r="610" spans="5:6" x14ac:dyDescent="0.3">
      <c r="E610" s="217"/>
      <c r="F610" s="217"/>
    </row>
    <row r="611" spans="5:6" x14ac:dyDescent="0.3">
      <c r="E611" s="217"/>
      <c r="F611" s="217"/>
    </row>
    <row r="612" spans="5:6" x14ac:dyDescent="0.3">
      <c r="E612" s="217"/>
      <c r="F612" s="217"/>
    </row>
    <row r="613" spans="5:6" x14ac:dyDescent="0.3">
      <c r="E613" s="217"/>
      <c r="F613" s="217"/>
    </row>
    <row r="614" spans="5:6" x14ac:dyDescent="0.3">
      <c r="E614" s="217"/>
      <c r="F614" s="217"/>
    </row>
    <row r="615" spans="5:6" x14ac:dyDescent="0.3">
      <c r="E615" s="217"/>
      <c r="F615" s="217"/>
    </row>
    <row r="616" spans="5:6" x14ac:dyDescent="0.3">
      <c r="E616" s="217"/>
      <c r="F616" s="217"/>
    </row>
    <row r="617" spans="5:6" x14ac:dyDescent="0.3">
      <c r="E617" s="217"/>
      <c r="F617" s="217"/>
    </row>
    <row r="618" spans="5:6" x14ac:dyDescent="0.3">
      <c r="E618" s="217"/>
      <c r="F618" s="217"/>
    </row>
    <row r="619" spans="5:6" x14ac:dyDescent="0.3">
      <c r="E619" s="217"/>
      <c r="F619" s="217"/>
    </row>
    <row r="620" spans="5:6" x14ac:dyDescent="0.3">
      <c r="E620" s="217"/>
      <c r="F620" s="217"/>
    </row>
    <row r="621" spans="5:6" x14ac:dyDescent="0.3">
      <c r="E621" s="217"/>
      <c r="F621" s="217"/>
    </row>
    <row r="622" spans="5:6" x14ac:dyDescent="0.3">
      <c r="E622" s="217"/>
      <c r="F622" s="217"/>
    </row>
    <row r="623" spans="5:6" x14ac:dyDescent="0.3">
      <c r="E623" s="217"/>
      <c r="F623" s="217"/>
    </row>
    <row r="624" spans="5:6" x14ac:dyDescent="0.3">
      <c r="E624" s="217"/>
      <c r="F624" s="217"/>
    </row>
    <row r="625" spans="5:6" x14ac:dyDescent="0.3">
      <c r="E625" s="217"/>
      <c r="F625" s="217"/>
    </row>
    <row r="626" spans="5:6" x14ac:dyDescent="0.3">
      <c r="E626" s="217"/>
      <c r="F626" s="217"/>
    </row>
    <row r="627" spans="5:6" x14ac:dyDescent="0.3">
      <c r="E627" s="217"/>
      <c r="F627" s="217"/>
    </row>
    <row r="628" spans="5:6" x14ac:dyDescent="0.3">
      <c r="E628" s="217"/>
      <c r="F628" s="217"/>
    </row>
    <row r="629" spans="5:6" x14ac:dyDescent="0.3">
      <c r="E629" s="217"/>
      <c r="F629" s="217"/>
    </row>
    <row r="630" spans="5:6" x14ac:dyDescent="0.3">
      <c r="E630" s="217"/>
      <c r="F630" s="217"/>
    </row>
    <row r="631" spans="5:6" x14ac:dyDescent="0.3">
      <c r="E631" s="217"/>
      <c r="F631" s="217"/>
    </row>
    <row r="632" spans="5:6" x14ac:dyDescent="0.3">
      <c r="E632" s="217"/>
      <c r="F632" s="217"/>
    </row>
    <row r="633" spans="5:6" x14ac:dyDescent="0.3">
      <c r="E633" s="217"/>
      <c r="F633" s="217"/>
    </row>
    <row r="634" spans="5:6" x14ac:dyDescent="0.3">
      <c r="E634" s="217"/>
      <c r="F634" s="217"/>
    </row>
    <row r="635" spans="5:6" x14ac:dyDescent="0.3">
      <c r="E635" s="217"/>
      <c r="F635" s="217"/>
    </row>
    <row r="636" spans="5:6" x14ac:dyDescent="0.3">
      <c r="E636" s="217"/>
      <c r="F636" s="217"/>
    </row>
    <row r="637" spans="5:6" x14ac:dyDescent="0.3">
      <c r="E637" s="217"/>
      <c r="F637" s="217"/>
    </row>
    <row r="638" spans="5:6" x14ac:dyDescent="0.3">
      <c r="E638" s="217"/>
      <c r="F638" s="217"/>
    </row>
    <row r="639" spans="5:6" x14ac:dyDescent="0.3">
      <c r="E639" s="217"/>
      <c r="F639" s="217"/>
    </row>
    <row r="640" spans="5:6" x14ac:dyDescent="0.3">
      <c r="E640" s="217"/>
      <c r="F640" s="217"/>
    </row>
    <row r="641" spans="5:6" x14ac:dyDescent="0.3">
      <c r="E641" s="217"/>
      <c r="F641" s="217"/>
    </row>
    <row r="642" spans="5:6" x14ac:dyDescent="0.3">
      <c r="E642" s="217"/>
      <c r="F642" s="217"/>
    </row>
    <row r="643" spans="5:6" x14ac:dyDescent="0.3">
      <c r="E643" s="217"/>
      <c r="F643" s="217"/>
    </row>
    <row r="644" spans="5:6" x14ac:dyDescent="0.3">
      <c r="E644" s="217"/>
      <c r="F644" s="217"/>
    </row>
    <row r="645" spans="5:6" x14ac:dyDescent="0.3">
      <c r="E645" s="217"/>
      <c r="F645" s="217"/>
    </row>
    <row r="646" spans="5:6" x14ac:dyDescent="0.3">
      <c r="E646" s="217"/>
      <c r="F646" s="217"/>
    </row>
    <row r="647" spans="5:6" x14ac:dyDescent="0.3">
      <c r="E647" s="217"/>
      <c r="F647" s="217"/>
    </row>
    <row r="648" spans="5:6" x14ac:dyDescent="0.3">
      <c r="E648" s="217"/>
      <c r="F648" s="217"/>
    </row>
    <row r="649" spans="5:6" x14ac:dyDescent="0.3">
      <c r="E649" s="217"/>
      <c r="F649" s="217"/>
    </row>
    <row r="650" spans="5:6" x14ac:dyDescent="0.3">
      <c r="E650" s="217"/>
      <c r="F650" s="217"/>
    </row>
    <row r="651" spans="5:6" x14ac:dyDescent="0.3">
      <c r="E651" s="217"/>
      <c r="F651" s="217"/>
    </row>
    <row r="652" spans="5:6" x14ac:dyDescent="0.3">
      <c r="E652" s="217"/>
      <c r="F652" s="217"/>
    </row>
    <row r="653" spans="5:6" x14ac:dyDescent="0.3">
      <c r="E653" s="217"/>
      <c r="F653" s="217"/>
    </row>
    <row r="654" spans="5:6" x14ac:dyDescent="0.3">
      <c r="E654" s="217"/>
      <c r="F654" s="217"/>
    </row>
    <row r="655" spans="5:6" x14ac:dyDescent="0.3">
      <c r="E655" s="217"/>
      <c r="F655" s="217"/>
    </row>
    <row r="656" spans="5:6" x14ac:dyDescent="0.3">
      <c r="E656" s="217"/>
      <c r="F656" s="217"/>
    </row>
    <row r="657" spans="5:6" x14ac:dyDescent="0.3">
      <c r="E657" s="217"/>
      <c r="F657" s="217"/>
    </row>
    <row r="658" spans="5:6" x14ac:dyDescent="0.3">
      <c r="E658" s="217"/>
      <c r="F658" s="217"/>
    </row>
    <row r="659" spans="5:6" x14ac:dyDescent="0.3">
      <c r="E659" s="217"/>
      <c r="F659" s="217"/>
    </row>
    <row r="660" spans="5:6" x14ac:dyDescent="0.3">
      <c r="E660" s="217"/>
      <c r="F660" s="217"/>
    </row>
    <row r="661" spans="5:6" x14ac:dyDescent="0.3">
      <c r="E661" s="217"/>
      <c r="F661" s="217"/>
    </row>
    <row r="662" spans="5:6" x14ac:dyDescent="0.3">
      <c r="E662" s="217"/>
      <c r="F662" s="217"/>
    </row>
    <row r="663" spans="5:6" x14ac:dyDescent="0.3">
      <c r="E663" s="217"/>
      <c r="F663" s="217"/>
    </row>
    <row r="664" spans="5:6" x14ac:dyDescent="0.3">
      <c r="E664" s="217"/>
      <c r="F664" s="217"/>
    </row>
    <row r="665" spans="5:6" x14ac:dyDescent="0.3">
      <c r="E665" s="217"/>
      <c r="F665" s="217"/>
    </row>
    <row r="666" spans="5:6" x14ac:dyDescent="0.3">
      <c r="E666" s="217"/>
      <c r="F666" s="217"/>
    </row>
    <row r="667" spans="5:6" x14ac:dyDescent="0.3">
      <c r="E667" s="217"/>
      <c r="F667" s="217"/>
    </row>
    <row r="668" spans="5:6" x14ac:dyDescent="0.3">
      <c r="E668" s="217"/>
      <c r="F668" s="217"/>
    </row>
    <row r="669" spans="5:6" x14ac:dyDescent="0.3">
      <c r="E669" s="217"/>
      <c r="F669" s="217"/>
    </row>
    <row r="670" spans="5:6" x14ac:dyDescent="0.3">
      <c r="E670" s="217"/>
      <c r="F670" s="217"/>
    </row>
    <row r="671" spans="5:6" x14ac:dyDescent="0.3">
      <c r="E671" s="217"/>
      <c r="F671" s="217"/>
    </row>
    <row r="672" spans="5:6" x14ac:dyDescent="0.3">
      <c r="E672" s="217"/>
      <c r="F672" s="217"/>
    </row>
    <row r="673" spans="5:6" x14ac:dyDescent="0.3">
      <c r="E673" s="217"/>
      <c r="F673" s="217"/>
    </row>
    <row r="674" spans="5:6" x14ac:dyDescent="0.3">
      <c r="E674" s="217"/>
      <c r="F674" s="217"/>
    </row>
    <row r="675" spans="5:6" x14ac:dyDescent="0.3">
      <c r="E675" s="217"/>
      <c r="F675" s="217"/>
    </row>
    <row r="676" spans="5:6" x14ac:dyDescent="0.3">
      <c r="E676" s="217"/>
      <c r="F676" s="217"/>
    </row>
    <row r="677" spans="5:6" x14ac:dyDescent="0.3">
      <c r="E677" s="217"/>
      <c r="F677" s="217"/>
    </row>
    <row r="678" spans="5:6" x14ac:dyDescent="0.3">
      <c r="E678" s="217"/>
      <c r="F678" s="217"/>
    </row>
    <row r="679" spans="5:6" x14ac:dyDescent="0.3">
      <c r="E679" s="217"/>
      <c r="F679" s="217"/>
    </row>
    <row r="680" spans="5:6" x14ac:dyDescent="0.3">
      <c r="E680" s="217"/>
      <c r="F680" s="217"/>
    </row>
    <row r="681" spans="5:6" x14ac:dyDescent="0.3">
      <c r="E681" s="217"/>
      <c r="F681" s="217"/>
    </row>
    <row r="682" spans="5:6" x14ac:dyDescent="0.3">
      <c r="E682" s="217"/>
      <c r="F682" s="217"/>
    </row>
    <row r="683" spans="5:6" x14ac:dyDescent="0.3">
      <c r="E683" s="217"/>
      <c r="F683" s="217"/>
    </row>
    <row r="684" spans="5:6" x14ac:dyDescent="0.3">
      <c r="E684" s="217"/>
      <c r="F684" s="217"/>
    </row>
    <row r="685" spans="5:6" x14ac:dyDescent="0.3">
      <c r="E685" s="217"/>
      <c r="F685" s="217"/>
    </row>
    <row r="686" spans="5:6" x14ac:dyDescent="0.3">
      <c r="E686" s="217"/>
      <c r="F686" s="217"/>
    </row>
    <row r="687" spans="5:6" x14ac:dyDescent="0.3">
      <c r="E687" s="217"/>
      <c r="F687" s="217"/>
    </row>
    <row r="688" spans="5:6" x14ac:dyDescent="0.3">
      <c r="E688" s="217"/>
      <c r="F688" s="217"/>
    </row>
    <row r="689" spans="5:6" x14ac:dyDescent="0.3">
      <c r="E689" s="217"/>
      <c r="F689" s="217"/>
    </row>
    <row r="690" spans="5:6" x14ac:dyDescent="0.3">
      <c r="E690" s="217"/>
      <c r="F690" s="217"/>
    </row>
    <row r="691" spans="5:6" x14ac:dyDescent="0.3">
      <c r="E691" s="217"/>
      <c r="F691" s="217"/>
    </row>
    <row r="692" spans="5:6" x14ac:dyDescent="0.3">
      <c r="E692" s="217"/>
      <c r="F692" s="217"/>
    </row>
    <row r="693" spans="5:6" x14ac:dyDescent="0.3">
      <c r="E693" s="217"/>
      <c r="F693" s="217"/>
    </row>
    <row r="694" spans="5:6" x14ac:dyDescent="0.3">
      <c r="E694" s="217"/>
      <c r="F694" s="217"/>
    </row>
    <row r="695" spans="5:6" x14ac:dyDescent="0.3">
      <c r="E695" s="217"/>
      <c r="F695" s="217"/>
    </row>
    <row r="696" spans="5:6" x14ac:dyDescent="0.3">
      <c r="E696" s="217"/>
      <c r="F696" s="217"/>
    </row>
    <row r="697" spans="5:6" x14ac:dyDescent="0.3">
      <c r="E697" s="217"/>
      <c r="F697" s="217"/>
    </row>
    <row r="698" spans="5:6" x14ac:dyDescent="0.3">
      <c r="E698" s="217"/>
      <c r="F698" s="217"/>
    </row>
    <row r="699" spans="5:6" x14ac:dyDescent="0.3">
      <c r="E699" s="217"/>
      <c r="F699" s="217"/>
    </row>
    <row r="700" spans="5:6" x14ac:dyDescent="0.3">
      <c r="E700" s="217"/>
      <c r="F700" s="217"/>
    </row>
    <row r="701" spans="5:6" x14ac:dyDescent="0.3">
      <c r="E701" s="217"/>
      <c r="F701" s="217"/>
    </row>
    <row r="702" spans="5:6" x14ac:dyDescent="0.3">
      <c r="E702" s="217"/>
      <c r="F702" s="217"/>
    </row>
    <row r="703" spans="5:6" x14ac:dyDescent="0.3">
      <c r="E703" s="217"/>
      <c r="F703" s="217"/>
    </row>
    <row r="704" spans="5:6" x14ac:dyDescent="0.3">
      <c r="E704" s="217"/>
      <c r="F704" s="217"/>
    </row>
    <row r="705" spans="5:6" x14ac:dyDescent="0.3">
      <c r="E705" s="217"/>
      <c r="F705" s="217"/>
    </row>
    <row r="706" spans="5:6" x14ac:dyDescent="0.3">
      <c r="E706" s="217"/>
      <c r="F706" s="217"/>
    </row>
    <row r="707" spans="5:6" x14ac:dyDescent="0.3">
      <c r="E707" s="217"/>
      <c r="F707" s="217"/>
    </row>
    <row r="708" spans="5:6" x14ac:dyDescent="0.3">
      <c r="E708" s="217"/>
      <c r="F708" s="217"/>
    </row>
    <row r="709" spans="5:6" x14ac:dyDescent="0.3">
      <c r="E709" s="217"/>
      <c r="F709" s="217"/>
    </row>
    <row r="710" spans="5:6" x14ac:dyDescent="0.3">
      <c r="E710" s="217"/>
      <c r="F710" s="217"/>
    </row>
    <row r="711" spans="5:6" x14ac:dyDescent="0.3">
      <c r="E711" s="217"/>
      <c r="F711" s="217"/>
    </row>
    <row r="712" spans="5:6" x14ac:dyDescent="0.3">
      <c r="E712" s="217"/>
      <c r="F712" s="217"/>
    </row>
    <row r="713" spans="5:6" x14ac:dyDescent="0.3">
      <c r="E713" s="217"/>
      <c r="F713" s="217"/>
    </row>
    <row r="714" spans="5:6" x14ac:dyDescent="0.3">
      <c r="E714" s="217"/>
      <c r="F714" s="217"/>
    </row>
    <row r="715" spans="5:6" x14ac:dyDescent="0.3">
      <c r="E715" s="217"/>
      <c r="F715" s="217"/>
    </row>
    <row r="716" spans="5:6" x14ac:dyDescent="0.3">
      <c r="E716" s="217"/>
      <c r="F716" s="217"/>
    </row>
    <row r="717" spans="5:6" x14ac:dyDescent="0.3">
      <c r="E717" s="217"/>
      <c r="F717" s="217"/>
    </row>
    <row r="718" spans="5:6" x14ac:dyDescent="0.3">
      <c r="E718" s="217"/>
      <c r="F718" s="217"/>
    </row>
    <row r="719" spans="5:6" x14ac:dyDescent="0.3">
      <c r="E719" s="217"/>
      <c r="F719" s="217"/>
    </row>
    <row r="720" spans="5:6" x14ac:dyDescent="0.3">
      <c r="E720" s="217"/>
      <c r="F720" s="217"/>
    </row>
    <row r="721" spans="5:6" x14ac:dyDescent="0.3">
      <c r="E721" s="217"/>
      <c r="F721" s="217"/>
    </row>
    <row r="722" spans="5:6" x14ac:dyDescent="0.3">
      <c r="E722" s="217"/>
      <c r="F722" s="217"/>
    </row>
    <row r="723" spans="5:6" x14ac:dyDescent="0.3">
      <c r="E723" s="217"/>
      <c r="F723" s="217"/>
    </row>
    <row r="724" spans="5:6" x14ac:dyDescent="0.3">
      <c r="E724" s="217"/>
      <c r="F724" s="217"/>
    </row>
    <row r="725" spans="5:6" x14ac:dyDescent="0.3">
      <c r="E725" s="217"/>
      <c r="F725" s="217"/>
    </row>
    <row r="726" spans="5:6" x14ac:dyDescent="0.3">
      <c r="E726" s="217"/>
      <c r="F726" s="217"/>
    </row>
    <row r="727" spans="5:6" x14ac:dyDescent="0.3">
      <c r="E727" s="217"/>
      <c r="F727" s="217"/>
    </row>
    <row r="728" spans="5:6" x14ac:dyDescent="0.3">
      <c r="E728" s="217"/>
      <c r="F728" s="217"/>
    </row>
    <row r="729" spans="5:6" x14ac:dyDescent="0.3">
      <c r="E729" s="217"/>
      <c r="F729" s="217"/>
    </row>
    <row r="730" spans="5:6" x14ac:dyDescent="0.3">
      <c r="E730" s="217"/>
      <c r="F730" s="217"/>
    </row>
    <row r="731" spans="5:6" x14ac:dyDescent="0.3">
      <c r="E731" s="217"/>
      <c r="F731" s="217"/>
    </row>
    <row r="732" spans="5:6" x14ac:dyDescent="0.3">
      <c r="E732" s="217"/>
      <c r="F732" s="217"/>
    </row>
    <row r="733" spans="5:6" x14ac:dyDescent="0.3">
      <c r="E733" s="217"/>
      <c r="F733" s="217"/>
    </row>
    <row r="734" spans="5:6" x14ac:dyDescent="0.3">
      <c r="E734" s="217"/>
      <c r="F734" s="217"/>
    </row>
    <row r="735" spans="5:6" x14ac:dyDescent="0.3">
      <c r="E735" s="217"/>
      <c r="F735" s="217"/>
    </row>
    <row r="736" spans="5:6" x14ac:dyDescent="0.3">
      <c r="E736" s="217"/>
      <c r="F736" s="217"/>
    </row>
    <row r="737" spans="5:6" x14ac:dyDescent="0.3">
      <c r="E737" s="217"/>
      <c r="F737" s="217"/>
    </row>
    <row r="738" spans="5:6" x14ac:dyDescent="0.3">
      <c r="E738" s="217"/>
      <c r="F738" s="217"/>
    </row>
    <row r="739" spans="5:6" x14ac:dyDescent="0.3">
      <c r="E739" s="217"/>
      <c r="F739" s="217"/>
    </row>
    <row r="740" spans="5:6" x14ac:dyDescent="0.3">
      <c r="E740" s="217"/>
      <c r="F740" s="217"/>
    </row>
    <row r="741" spans="5:6" x14ac:dyDescent="0.3">
      <c r="E741" s="217"/>
      <c r="F741" s="217"/>
    </row>
    <row r="742" spans="5:6" x14ac:dyDescent="0.3">
      <c r="E742" s="217"/>
      <c r="F742" s="217"/>
    </row>
    <row r="743" spans="5:6" x14ac:dyDescent="0.3">
      <c r="E743" s="217"/>
      <c r="F743" s="217"/>
    </row>
    <row r="744" spans="5:6" x14ac:dyDescent="0.3">
      <c r="E744" s="217"/>
      <c r="F744" s="217"/>
    </row>
    <row r="745" spans="5:6" x14ac:dyDescent="0.3">
      <c r="E745" s="217"/>
      <c r="F745" s="217"/>
    </row>
    <row r="746" spans="5:6" x14ac:dyDescent="0.3">
      <c r="E746" s="217"/>
      <c r="F746" s="217"/>
    </row>
    <row r="747" spans="5:6" x14ac:dyDescent="0.3">
      <c r="E747" s="217"/>
      <c r="F747" s="217"/>
    </row>
    <row r="748" spans="5:6" x14ac:dyDescent="0.3">
      <c r="E748" s="217"/>
      <c r="F748" s="217"/>
    </row>
    <row r="749" spans="5:6" x14ac:dyDescent="0.3">
      <c r="E749" s="217"/>
      <c r="F749" s="217"/>
    </row>
    <row r="750" spans="5:6" x14ac:dyDescent="0.3">
      <c r="E750" s="217"/>
      <c r="F750" s="217"/>
    </row>
    <row r="751" spans="5:6" x14ac:dyDescent="0.3">
      <c r="E751" s="217"/>
      <c r="F751" s="217"/>
    </row>
    <row r="752" spans="5:6" x14ac:dyDescent="0.3">
      <c r="E752" s="217"/>
      <c r="F752" s="217"/>
    </row>
    <row r="753" spans="5:6" x14ac:dyDescent="0.3">
      <c r="E753" s="217"/>
      <c r="F753" s="217"/>
    </row>
    <row r="754" spans="5:6" x14ac:dyDescent="0.3">
      <c r="E754" s="217"/>
      <c r="F754" s="217"/>
    </row>
    <row r="755" spans="5:6" x14ac:dyDescent="0.3">
      <c r="E755" s="217"/>
      <c r="F755" s="217"/>
    </row>
    <row r="756" spans="5:6" x14ac:dyDescent="0.3">
      <c r="E756" s="217"/>
      <c r="F756" s="217"/>
    </row>
    <row r="757" spans="5:6" x14ac:dyDescent="0.3">
      <c r="E757" s="217"/>
      <c r="F757" s="217"/>
    </row>
    <row r="758" spans="5:6" x14ac:dyDescent="0.3">
      <c r="E758" s="217"/>
      <c r="F758" s="217"/>
    </row>
    <row r="759" spans="5:6" x14ac:dyDescent="0.3">
      <c r="E759" s="217"/>
      <c r="F759" s="217"/>
    </row>
    <row r="760" spans="5:6" x14ac:dyDescent="0.3">
      <c r="E760" s="217"/>
      <c r="F760" s="217"/>
    </row>
    <row r="761" spans="5:6" x14ac:dyDescent="0.3">
      <c r="E761" s="217"/>
      <c r="F761" s="217"/>
    </row>
    <row r="762" spans="5:6" x14ac:dyDescent="0.3">
      <c r="E762" s="217"/>
      <c r="F762" s="217"/>
    </row>
    <row r="763" spans="5:6" x14ac:dyDescent="0.3">
      <c r="E763" s="217"/>
      <c r="F763" s="217"/>
    </row>
    <row r="764" spans="5:6" x14ac:dyDescent="0.3">
      <c r="E764" s="217"/>
      <c r="F764" s="217"/>
    </row>
    <row r="765" spans="5:6" x14ac:dyDescent="0.3">
      <c r="E765" s="217"/>
      <c r="F765" s="217"/>
    </row>
    <row r="766" spans="5:6" x14ac:dyDescent="0.3">
      <c r="E766" s="217"/>
      <c r="F766" s="217"/>
    </row>
    <row r="767" spans="5:6" x14ac:dyDescent="0.3">
      <c r="E767" s="217"/>
      <c r="F767" s="217"/>
    </row>
    <row r="768" spans="5:6" x14ac:dyDescent="0.3">
      <c r="E768" s="217"/>
      <c r="F768" s="217"/>
    </row>
    <row r="769" spans="5:6" x14ac:dyDescent="0.3">
      <c r="E769" s="217"/>
      <c r="F769" s="217"/>
    </row>
    <row r="770" spans="5:6" x14ac:dyDescent="0.3">
      <c r="E770" s="217"/>
      <c r="F770" s="217"/>
    </row>
    <row r="771" spans="5:6" x14ac:dyDescent="0.3">
      <c r="E771" s="217"/>
      <c r="F771" s="217"/>
    </row>
    <row r="772" spans="5:6" x14ac:dyDescent="0.3">
      <c r="E772" s="217"/>
      <c r="F772" s="217"/>
    </row>
    <row r="773" spans="5:6" x14ac:dyDescent="0.3">
      <c r="E773" s="217"/>
      <c r="F773" s="217"/>
    </row>
    <row r="774" spans="5:6" x14ac:dyDescent="0.3">
      <c r="E774" s="217"/>
      <c r="F774" s="217"/>
    </row>
    <row r="775" spans="5:6" x14ac:dyDescent="0.3">
      <c r="E775" s="217"/>
      <c r="F775" s="217"/>
    </row>
    <row r="776" spans="5:6" x14ac:dyDescent="0.3">
      <c r="E776" s="217"/>
      <c r="F776" s="217"/>
    </row>
    <row r="777" spans="5:6" x14ac:dyDescent="0.3">
      <c r="E777" s="217"/>
      <c r="F777" s="217"/>
    </row>
    <row r="778" spans="5:6" x14ac:dyDescent="0.3">
      <c r="E778" s="217"/>
      <c r="F778" s="217"/>
    </row>
    <row r="779" spans="5:6" x14ac:dyDescent="0.3">
      <c r="E779" s="217"/>
      <c r="F779" s="217"/>
    </row>
    <row r="780" spans="5:6" x14ac:dyDescent="0.3">
      <c r="E780" s="217"/>
      <c r="F780" s="217"/>
    </row>
    <row r="781" spans="5:6" x14ac:dyDescent="0.3">
      <c r="E781" s="217"/>
      <c r="F781" s="217"/>
    </row>
    <row r="782" spans="5:6" x14ac:dyDescent="0.3">
      <c r="E782" s="217"/>
      <c r="F782" s="217"/>
    </row>
    <row r="783" spans="5:6" x14ac:dyDescent="0.3">
      <c r="E783" s="217"/>
      <c r="F783" s="217"/>
    </row>
    <row r="784" spans="5:6" x14ac:dyDescent="0.3">
      <c r="E784" s="217"/>
      <c r="F784" s="217"/>
    </row>
    <row r="785" spans="5:6" x14ac:dyDescent="0.3">
      <c r="E785" s="217"/>
      <c r="F785" s="217"/>
    </row>
    <row r="786" spans="5:6" x14ac:dyDescent="0.3">
      <c r="E786" s="217"/>
      <c r="F786" s="217"/>
    </row>
    <row r="787" spans="5:6" x14ac:dyDescent="0.3">
      <c r="E787" s="217"/>
      <c r="F787" s="217"/>
    </row>
    <row r="788" spans="5:6" x14ac:dyDescent="0.3">
      <c r="E788" s="217"/>
      <c r="F788" s="217"/>
    </row>
    <row r="789" spans="5:6" x14ac:dyDescent="0.3">
      <c r="E789" s="217"/>
      <c r="F789" s="217"/>
    </row>
    <row r="790" spans="5:6" x14ac:dyDescent="0.3">
      <c r="E790" s="217"/>
      <c r="F790" s="217"/>
    </row>
    <row r="791" spans="5:6" x14ac:dyDescent="0.3">
      <c r="E791" s="217"/>
      <c r="F791" s="217"/>
    </row>
    <row r="792" spans="5:6" x14ac:dyDescent="0.3">
      <c r="E792" s="217"/>
      <c r="F792" s="217"/>
    </row>
    <row r="793" spans="5:6" x14ac:dyDescent="0.3">
      <c r="E793" s="217"/>
      <c r="F793" s="217"/>
    </row>
    <row r="794" spans="5:6" x14ac:dyDescent="0.3">
      <c r="E794" s="217"/>
      <c r="F794" s="217"/>
    </row>
    <row r="795" spans="5:6" x14ac:dyDescent="0.3">
      <c r="E795" s="217"/>
      <c r="F795" s="217"/>
    </row>
    <row r="796" spans="5:6" x14ac:dyDescent="0.3">
      <c r="E796" s="217"/>
      <c r="F796" s="217"/>
    </row>
    <row r="797" spans="5:6" x14ac:dyDescent="0.3">
      <c r="E797" s="217"/>
      <c r="F797" s="217"/>
    </row>
    <row r="798" spans="5:6" x14ac:dyDescent="0.3">
      <c r="E798" s="217"/>
      <c r="F798" s="217"/>
    </row>
    <row r="799" spans="5:6" x14ac:dyDescent="0.3">
      <c r="E799" s="217"/>
      <c r="F799" s="217"/>
    </row>
    <row r="800" spans="5:6" x14ac:dyDescent="0.3">
      <c r="E800" s="217"/>
      <c r="F800" s="217"/>
    </row>
    <row r="801" spans="5:6" x14ac:dyDescent="0.3">
      <c r="E801" s="217"/>
      <c r="F801" s="217"/>
    </row>
    <row r="802" spans="5:6" x14ac:dyDescent="0.3">
      <c r="E802" s="217"/>
      <c r="F802" s="217"/>
    </row>
    <row r="803" spans="5:6" x14ac:dyDescent="0.3">
      <c r="E803" s="217"/>
      <c r="F803" s="217"/>
    </row>
    <row r="804" spans="5:6" x14ac:dyDescent="0.3">
      <c r="E804" s="217"/>
      <c r="F804" s="217"/>
    </row>
    <row r="805" spans="5:6" x14ac:dyDescent="0.3">
      <c r="E805" s="217"/>
      <c r="F805" s="217"/>
    </row>
    <row r="806" spans="5:6" x14ac:dyDescent="0.3">
      <c r="E806" s="217"/>
      <c r="F806" s="217"/>
    </row>
    <row r="807" spans="5:6" x14ac:dyDescent="0.3">
      <c r="E807" s="217"/>
      <c r="F807" s="217"/>
    </row>
    <row r="808" spans="5:6" x14ac:dyDescent="0.3">
      <c r="E808" s="217"/>
      <c r="F808" s="217"/>
    </row>
    <row r="809" spans="5:6" x14ac:dyDescent="0.3">
      <c r="E809" s="217"/>
      <c r="F809" s="217"/>
    </row>
    <row r="810" spans="5:6" x14ac:dyDescent="0.3">
      <c r="E810" s="217"/>
      <c r="F810" s="217"/>
    </row>
    <row r="811" spans="5:6" x14ac:dyDescent="0.3">
      <c r="E811" s="217"/>
      <c r="F811" s="217"/>
    </row>
    <row r="812" spans="5:6" x14ac:dyDescent="0.3">
      <c r="E812" s="217"/>
      <c r="F812" s="217"/>
    </row>
    <row r="813" spans="5:6" x14ac:dyDescent="0.3">
      <c r="E813" s="217"/>
      <c r="F813" s="217"/>
    </row>
    <row r="814" spans="5:6" x14ac:dyDescent="0.3">
      <c r="E814" s="217"/>
      <c r="F814" s="217"/>
    </row>
    <row r="815" spans="5:6" x14ac:dyDescent="0.3">
      <c r="E815" s="217"/>
      <c r="F815" s="217"/>
    </row>
    <row r="816" spans="5:6" x14ac:dyDescent="0.3">
      <c r="E816" s="217"/>
      <c r="F816" s="217"/>
    </row>
    <row r="817" spans="5:6" x14ac:dyDescent="0.3">
      <c r="E817" s="217"/>
      <c r="F817" s="217"/>
    </row>
    <row r="818" spans="5:6" x14ac:dyDescent="0.3">
      <c r="E818" s="217"/>
      <c r="F818" s="217"/>
    </row>
    <row r="819" spans="5:6" x14ac:dyDescent="0.3">
      <c r="E819" s="217"/>
      <c r="F819" s="217"/>
    </row>
    <row r="820" spans="5:6" x14ac:dyDescent="0.3">
      <c r="E820" s="217"/>
      <c r="F820" s="217"/>
    </row>
    <row r="821" spans="5:6" x14ac:dyDescent="0.3">
      <c r="E821" s="217"/>
      <c r="F821" s="217"/>
    </row>
    <row r="822" spans="5:6" x14ac:dyDescent="0.3">
      <c r="E822" s="217"/>
      <c r="F822" s="217"/>
    </row>
    <row r="823" spans="5:6" x14ac:dyDescent="0.3">
      <c r="E823" s="217"/>
      <c r="F823" s="217"/>
    </row>
    <row r="824" spans="5:6" x14ac:dyDescent="0.3">
      <c r="E824" s="217"/>
      <c r="F824" s="217"/>
    </row>
    <row r="825" spans="5:6" x14ac:dyDescent="0.3">
      <c r="E825" s="217"/>
      <c r="F825" s="217"/>
    </row>
    <row r="826" spans="5:6" x14ac:dyDescent="0.3">
      <c r="E826" s="217"/>
      <c r="F826" s="217"/>
    </row>
    <row r="827" spans="5:6" x14ac:dyDescent="0.3">
      <c r="E827" s="217"/>
      <c r="F827" s="217"/>
    </row>
    <row r="828" spans="5:6" x14ac:dyDescent="0.3">
      <c r="E828" s="217"/>
      <c r="F828" s="217"/>
    </row>
    <row r="829" spans="5:6" x14ac:dyDescent="0.3">
      <c r="E829" s="217"/>
      <c r="F829" s="217"/>
    </row>
    <row r="830" spans="5:6" x14ac:dyDescent="0.3">
      <c r="E830" s="217"/>
      <c r="F830" s="217"/>
    </row>
    <row r="831" spans="5:6" x14ac:dyDescent="0.3">
      <c r="E831" s="217"/>
      <c r="F831" s="217"/>
    </row>
    <row r="832" spans="5:6" x14ac:dyDescent="0.3">
      <c r="E832" s="217"/>
      <c r="F832" s="217"/>
    </row>
    <row r="833" spans="5:6" x14ac:dyDescent="0.3">
      <c r="E833" s="217"/>
      <c r="F833" s="217"/>
    </row>
    <row r="834" spans="5:6" x14ac:dyDescent="0.3">
      <c r="E834" s="217"/>
      <c r="F834" s="217"/>
    </row>
    <row r="835" spans="5:6" x14ac:dyDescent="0.3">
      <c r="E835" s="217"/>
      <c r="F835" s="217"/>
    </row>
    <row r="836" spans="5:6" x14ac:dyDescent="0.3">
      <c r="E836" s="217"/>
      <c r="F836" s="217"/>
    </row>
    <row r="837" spans="5:6" x14ac:dyDescent="0.3">
      <c r="E837" s="217"/>
      <c r="F837" s="217"/>
    </row>
    <row r="838" spans="5:6" x14ac:dyDescent="0.3">
      <c r="E838" s="217"/>
      <c r="F838" s="217"/>
    </row>
    <row r="839" spans="5:6" x14ac:dyDescent="0.3">
      <c r="E839" s="217"/>
      <c r="F839" s="217"/>
    </row>
    <row r="840" spans="5:6" x14ac:dyDescent="0.3">
      <c r="E840" s="217"/>
      <c r="F840" s="217"/>
    </row>
    <row r="841" spans="5:6" x14ac:dyDescent="0.3">
      <c r="E841" s="217"/>
      <c r="F841" s="217"/>
    </row>
    <row r="842" spans="5:6" x14ac:dyDescent="0.3">
      <c r="E842" s="217"/>
      <c r="F842" s="217"/>
    </row>
    <row r="843" spans="5:6" x14ac:dyDescent="0.3">
      <c r="E843" s="217"/>
      <c r="F843" s="217"/>
    </row>
    <row r="844" spans="5:6" x14ac:dyDescent="0.3">
      <c r="E844" s="217"/>
      <c r="F844" s="217"/>
    </row>
    <row r="845" spans="5:6" x14ac:dyDescent="0.3">
      <c r="E845" s="217"/>
      <c r="F845" s="217"/>
    </row>
    <row r="846" spans="5:6" x14ac:dyDescent="0.3">
      <c r="E846" s="217"/>
      <c r="F846" s="217"/>
    </row>
    <row r="847" spans="5:6" x14ac:dyDescent="0.3">
      <c r="E847" s="217"/>
      <c r="F847" s="217"/>
    </row>
    <row r="848" spans="5:6" x14ac:dyDescent="0.3">
      <c r="E848" s="217"/>
      <c r="F848" s="217"/>
    </row>
    <row r="849" spans="5:6" x14ac:dyDescent="0.3">
      <c r="E849" s="217"/>
      <c r="F849" s="217"/>
    </row>
    <row r="850" spans="5:6" x14ac:dyDescent="0.3">
      <c r="E850" s="217"/>
      <c r="F850" s="217"/>
    </row>
    <row r="851" spans="5:6" x14ac:dyDescent="0.3">
      <c r="E851" s="217"/>
      <c r="F851" s="217"/>
    </row>
    <row r="852" spans="5:6" x14ac:dyDescent="0.3">
      <c r="E852" s="217"/>
      <c r="F852" s="217"/>
    </row>
    <row r="853" spans="5:6" x14ac:dyDescent="0.3">
      <c r="E853" s="217"/>
      <c r="F853" s="217"/>
    </row>
    <row r="854" spans="5:6" x14ac:dyDescent="0.3">
      <c r="E854" s="217"/>
      <c r="F854" s="217"/>
    </row>
    <row r="855" spans="5:6" x14ac:dyDescent="0.3">
      <c r="E855" s="217"/>
      <c r="F855" s="217"/>
    </row>
    <row r="856" spans="5:6" x14ac:dyDescent="0.3">
      <c r="E856" s="217"/>
      <c r="F856" s="217"/>
    </row>
    <row r="857" spans="5:6" x14ac:dyDescent="0.3">
      <c r="E857" s="217"/>
      <c r="F857" s="217"/>
    </row>
    <row r="858" spans="5:6" x14ac:dyDescent="0.3">
      <c r="E858" s="217"/>
      <c r="F858" s="217"/>
    </row>
    <row r="859" spans="5:6" x14ac:dyDescent="0.3">
      <c r="E859" s="217"/>
      <c r="F859" s="217"/>
    </row>
    <row r="860" spans="5:6" x14ac:dyDescent="0.3">
      <c r="E860" s="217"/>
      <c r="F860" s="217"/>
    </row>
    <row r="861" spans="5:6" x14ac:dyDescent="0.3">
      <c r="E861" s="217"/>
      <c r="F861" s="217"/>
    </row>
    <row r="862" spans="5:6" x14ac:dyDescent="0.3">
      <c r="E862" s="217"/>
      <c r="F862" s="217"/>
    </row>
    <row r="863" spans="5:6" x14ac:dyDescent="0.3">
      <c r="E863" s="217"/>
      <c r="F863" s="217"/>
    </row>
    <row r="864" spans="5:6" x14ac:dyDescent="0.3">
      <c r="E864" s="217"/>
      <c r="F864" s="217"/>
    </row>
    <row r="865" spans="5:6" x14ac:dyDescent="0.3">
      <c r="E865" s="217"/>
      <c r="F865" s="217"/>
    </row>
    <row r="866" spans="5:6" x14ac:dyDescent="0.3">
      <c r="E866" s="217"/>
      <c r="F866" s="217"/>
    </row>
    <row r="867" spans="5:6" x14ac:dyDescent="0.3">
      <c r="E867" s="217"/>
      <c r="F867" s="217"/>
    </row>
    <row r="868" spans="5:6" x14ac:dyDescent="0.3">
      <c r="E868" s="217"/>
      <c r="F868" s="217"/>
    </row>
    <row r="869" spans="5:6" x14ac:dyDescent="0.3">
      <c r="E869" s="217"/>
      <c r="F869" s="217"/>
    </row>
    <row r="870" spans="5:6" x14ac:dyDescent="0.3">
      <c r="E870" s="217"/>
      <c r="F870" s="217"/>
    </row>
    <row r="871" spans="5:6" x14ac:dyDescent="0.3">
      <c r="E871" s="217"/>
      <c r="F871" s="217"/>
    </row>
    <row r="872" spans="5:6" x14ac:dyDescent="0.3">
      <c r="E872" s="217"/>
      <c r="F872" s="217"/>
    </row>
    <row r="873" spans="5:6" x14ac:dyDescent="0.3">
      <c r="E873" s="217"/>
      <c r="F873" s="217"/>
    </row>
    <row r="874" spans="5:6" x14ac:dyDescent="0.3">
      <c r="E874" s="217"/>
      <c r="F874" s="217"/>
    </row>
    <row r="875" spans="5:6" x14ac:dyDescent="0.3">
      <c r="E875" s="217"/>
      <c r="F875" s="217"/>
    </row>
    <row r="876" spans="5:6" x14ac:dyDescent="0.3">
      <c r="E876" s="217"/>
      <c r="F876" s="217"/>
    </row>
    <row r="877" spans="5:6" x14ac:dyDescent="0.3">
      <c r="E877" s="217"/>
      <c r="F877" s="217"/>
    </row>
    <row r="878" spans="5:6" x14ac:dyDescent="0.3">
      <c r="E878" s="217"/>
      <c r="F878" s="217"/>
    </row>
    <row r="879" spans="5:6" x14ac:dyDescent="0.3">
      <c r="E879" s="217"/>
      <c r="F879" s="217"/>
    </row>
    <row r="880" spans="5:6" x14ac:dyDescent="0.3">
      <c r="E880" s="217"/>
      <c r="F880" s="217"/>
    </row>
    <row r="881" spans="5:6" x14ac:dyDescent="0.3">
      <c r="E881" s="217"/>
      <c r="F881" s="217"/>
    </row>
    <row r="882" spans="5:6" x14ac:dyDescent="0.3">
      <c r="E882" s="217"/>
      <c r="F882" s="217"/>
    </row>
    <row r="883" spans="5:6" x14ac:dyDescent="0.3">
      <c r="E883" s="217"/>
      <c r="F883" s="217"/>
    </row>
    <row r="884" spans="5:6" x14ac:dyDescent="0.3">
      <c r="E884" s="217"/>
      <c r="F884" s="217"/>
    </row>
    <row r="885" spans="5:6" x14ac:dyDescent="0.3">
      <c r="E885" s="217"/>
      <c r="F885" s="217"/>
    </row>
    <row r="886" spans="5:6" x14ac:dyDescent="0.3">
      <c r="E886" s="217"/>
      <c r="F886" s="217"/>
    </row>
    <row r="887" spans="5:6" x14ac:dyDescent="0.3">
      <c r="E887" s="217"/>
      <c r="F887" s="217"/>
    </row>
    <row r="888" spans="5:6" x14ac:dyDescent="0.3">
      <c r="E888" s="217"/>
      <c r="F888" s="217"/>
    </row>
    <row r="889" spans="5:6" x14ac:dyDescent="0.3">
      <c r="E889" s="217"/>
      <c r="F889" s="217"/>
    </row>
    <row r="890" spans="5:6" x14ac:dyDescent="0.3">
      <c r="E890" s="217"/>
      <c r="F890" s="217"/>
    </row>
    <row r="891" spans="5:6" x14ac:dyDescent="0.3">
      <c r="E891" s="217"/>
      <c r="F891" s="217"/>
    </row>
    <row r="892" spans="5:6" x14ac:dyDescent="0.3">
      <c r="E892" s="217"/>
      <c r="F892" s="217"/>
    </row>
    <row r="893" spans="5:6" x14ac:dyDescent="0.3">
      <c r="E893" s="217"/>
      <c r="F893" s="217"/>
    </row>
    <row r="894" spans="5:6" x14ac:dyDescent="0.3">
      <c r="E894" s="217"/>
      <c r="F894" s="217"/>
    </row>
    <row r="895" spans="5:6" x14ac:dyDescent="0.3">
      <c r="E895" s="217"/>
      <c r="F895" s="217"/>
    </row>
    <row r="896" spans="5:6" x14ac:dyDescent="0.3">
      <c r="E896" s="217"/>
      <c r="F896" s="217"/>
    </row>
    <row r="897" spans="5:6" x14ac:dyDescent="0.3">
      <c r="E897" s="217"/>
      <c r="F897" s="217"/>
    </row>
    <row r="898" spans="5:6" x14ac:dyDescent="0.3">
      <c r="E898" s="217"/>
      <c r="F898" s="217"/>
    </row>
    <row r="899" spans="5:6" x14ac:dyDescent="0.3">
      <c r="E899" s="217"/>
      <c r="F899" s="217"/>
    </row>
    <row r="900" spans="5:6" x14ac:dyDescent="0.3">
      <c r="E900" s="217"/>
      <c r="F900" s="217"/>
    </row>
    <row r="901" spans="5:6" x14ac:dyDescent="0.3">
      <c r="E901" s="217"/>
      <c r="F901" s="217"/>
    </row>
    <row r="902" spans="5:6" x14ac:dyDescent="0.3">
      <c r="E902" s="217"/>
      <c r="F902" s="217"/>
    </row>
    <row r="903" spans="5:6" x14ac:dyDescent="0.3">
      <c r="E903" s="217"/>
      <c r="F903" s="217"/>
    </row>
    <row r="904" spans="5:6" x14ac:dyDescent="0.3">
      <c r="E904" s="217"/>
      <c r="F904" s="217"/>
    </row>
    <row r="905" spans="5:6" x14ac:dyDescent="0.3">
      <c r="E905" s="217"/>
      <c r="F905" s="217"/>
    </row>
    <row r="906" spans="5:6" x14ac:dyDescent="0.3">
      <c r="E906" s="217"/>
      <c r="F906" s="217"/>
    </row>
    <row r="907" spans="5:6" x14ac:dyDescent="0.3">
      <c r="E907" s="217"/>
      <c r="F907" s="217"/>
    </row>
    <row r="908" spans="5:6" x14ac:dyDescent="0.3">
      <c r="E908" s="217"/>
      <c r="F908" s="217"/>
    </row>
    <row r="909" spans="5:6" x14ac:dyDescent="0.3">
      <c r="E909" s="217"/>
      <c r="F909" s="217"/>
    </row>
    <row r="910" spans="5:6" x14ac:dyDescent="0.3">
      <c r="E910" s="217"/>
      <c r="F910" s="217"/>
    </row>
    <row r="911" spans="5:6" x14ac:dyDescent="0.3">
      <c r="E911" s="217"/>
      <c r="F911" s="217"/>
    </row>
    <row r="912" spans="5:6" x14ac:dyDescent="0.3">
      <c r="E912" s="217"/>
      <c r="F912" s="217"/>
    </row>
    <row r="913" spans="5:6" x14ac:dyDescent="0.3">
      <c r="E913" s="217"/>
      <c r="F913" s="217"/>
    </row>
    <row r="914" spans="5:6" x14ac:dyDescent="0.3">
      <c r="E914" s="217"/>
      <c r="F914" s="217"/>
    </row>
    <row r="915" spans="5:6" x14ac:dyDescent="0.3">
      <c r="E915" s="217"/>
      <c r="F915" s="217"/>
    </row>
    <row r="916" spans="5:6" x14ac:dyDescent="0.3">
      <c r="E916" s="217"/>
      <c r="F916" s="217"/>
    </row>
    <row r="917" spans="5:6" x14ac:dyDescent="0.3">
      <c r="E917" s="217"/>
      <c r="F917" s="217"/>
    </row>
    <row r="918" spans="5:6" x14ac:dyDescent="0.3">
      <c r="E918" s="217"/>
      <c r="F918" s="217"/>
    </row>
    <row r="919" spans="5:6" x14ac:dyDescent="0.3">
      <c r="E919" s="217"/>
      <c r="F919" s="217"/>
    </row>
    <row r="920" spans="5:6" x14ac:dyDescent="0.3">
      <c r="E920" s="217"/>
      <c r="F920" s="217"/>
    </row>
    <row r="921" spans="5:6" x14ac:dyDescent="0.3">
      <c r="E921" s="217"/>
      <c r="F921" s="217"/>
    </row>
    <row r="922" spans="5:6" x14ac:dyDescent="0.3">
      <c r="E922" s="217"/>
      <c r="F922" s="217"/>
    </row>
    <row r="923" spans="5:6" x14ac:dyDescent="0.3">
      <c r="E923" s="217"/>
      <c r="F923" s="217"/>
    </row>
    <row r="924" spans="5:6" x14ac:dyDescent="0.3">
      <c r="E924" s="217"/>
      <c r="F924" s="217"/>
    </row>
    <row r="925" spans="5:6" x14ac:dyDescent="0.3">
      <c r="E925" s="217"/>
      <c r="F925" s="217"/>
    </row>
    <row r="926" spans="5:6" x14ac:dyDescent="0.3">
      <c r="E926" s="217"/>
      <c r="F926" s="217"/>
    </row>
    <row r="927" spans="5:6" x14ac:dyDescent="0.3">
      <c r="E927" s="217"/>
      <c r="F927" s="217"/>
    </row>
    <row r="928" spans="5:6" x14ac:dyDescent="0.3">
      <c r="E928" s="217"/>
      <c r="F928" s="217"/>
    </row>
    <row r="929" spans="5:6" x14ac:dyDescent="0.3">
      <c r="E929" s="217"/>
      <c r="F929" s="217"/>
    </row>
    <row r="930" spans="5:6" x14ac:dyDescent="0.3">
      <c r="E930" s="217"/>
      <c r="F930" s="217"/>
    </row>
    <row r="931" spans="5:6" x14ac:dyDescent="0.3">
      <c r="E931" s="217"/>
      <c r="F931" s="217"/>
    </row>
    <row r="932" spans="5:6" x14ac:dyDescent="0.3">
      <c r="E932" s="217"/>
      <c r="F932" s="217"/>
    </row>
    <row r="933" spans="5:6" x14ac:dyDescent="0.3">
      <c r="E933" s="217"/>
      <c r="F933" s="217"/>
    </row>
    <row r="934" spans="5:6" x14ac:dyDescent="0.3">
      <c r="E934" s="217"/>
      <c r="F934" s="217"/>
    </row>
    <row r="935" spans="5:6" x14ac:dyDescent="0.3">
      <c r="E935" s="217"/>
      <c r="F935" s="217"/>
    </row>
    <row r="936" spans="5:6" x14ac:dyDescent="0.3">
      <c r="E936" s="217"/>
      <c r="F936" s="217"/>
    </row>
    <row r="937" spans="5:6" x14ac:dyDescent="0.3">
      <c r="E937" s="217"/>
      <c r="F937" s="217"/>
    </row>
    <row r="938" spans="5:6" x14ac:dyDescent="0.3">
      <c r="E938" s="217"/>
      <c r="F938" s="217"/>
    </row>
    <row r="939" spans="5:6" x14ac:dyDescent="0.3">
      <c r="E939" s="217"/>
      <c r="F939" s="217"/>
    </row>
    <row r="940" spans="5:6" x14ac:dyDescent="0.3">
      <c r="E940" s="217"/>
      <c r="F940" s="217"/>
    </row>
    <row r="941" spans="5:6" x14ac:dyDescent="0.3">
      <c r="E941" s="217"/>
      <c r="F941" s="217"/>
    </row>
    <row r="942" spans="5:6" x14ac:dyDescent="0.3">
      <c r="E942" s="217"/>
      <c r="F942" s="217"/>
    </row>
    <row r="943" spans="5:6" x14ac:dyDescent="0.3">
      <c r="E943" s="217"/>
      <c r="F943" s="217"/>
    </row>
    <row r="944" spans="5:6" x14ac:dyDescent="0.3">
      <c r="E944" s="217"/>
      <c r="F944" s="217"/>
    </row>
    <row r="945" spans="5:6" x14ac:dyDescent="0.3">
      <c r="E945" s="217"/>
      <c r="F945" s="217"/>
    </row>
    <row r="946" spans="5:6" x14ac:dyDescent="0.3">
      <c r="E946" s="217"/>
      <c r="F946" s="217"/>
    </row>
    <row r="947" spans="5:6" x14ac:dyDescent="0.3">
      <c r="E947" s="217"/>
      <c r="F947" s="217"/>
    </row>
    <row r="948" spans="5:6" x14ac:dyDescent="0.3">
      <c r="E948" s="217"/>
      <c r="F948" s="217"/>
    </row>
    <row r="949" spans="5:6" x14ac:dyDescent="0.3">
      <c r="E949" s="217"/>
      <c r="F949" s="217"/>
    </row>
    <row r="950" spans="5:6" x14ac:dyDescent="0.3">
      <c r="E950" s="217"/>
      <c r="F950" s="217"/>
    </row>
    <row r="951" spans="5:6" x14ac:dyDescent="0.3">
      <c r="E951" s="217"/>
      <c r="F951" s="217"/>
    </row>
    <row r="952" spans="5:6" x14ac:dyDescent="0.3">
      <c r="E952" s="217"/>
      <c r="F952" s="217"/>
    </row>
    <row r="953" spans="5:6" x14ac:dyDescent="0.3">
      <c r="E953" s="217"/>
      <c r="F953" s="217"/>
    </row>
    <row r="954" spans="5:6" x14ac:dyDescent="0.3">
      <c r="E954" s="217"/>
      <c r="F954" s="217"/>
    </row>
    <row r="955" spans="5:6" x14ac:dyDescent="0.3">
      <c r="E955" s="217"/>
      <c r="F955" s="217"/>
    </row>
    <row r="956" spans="5:6" x14ac:dyDescent="0.3">
      <c r="E956" s="217"/>
      <c r="F956" s="217"/>
    </row>
    <row r="957" spans="5:6" x14ac:dyDescent="0.3">
      <c r="E957" s="217"/>
      <c r="F957" s="217"/>
    </row>
    <row r="958" spans="5:6" x14ac:dyDescent="0.3">
      <c r="E958" s="217"/>
      <c r="F958" s="217"/>
    </row>
    <row r="959" spans="5:6" x14ac:dyDescent="0.3">
      <c r="E959" s="217"/>
      <c r="F959" s="217"/>
    </row>
    <row r="960" spans="5:6" x14ac:dyDescent="0.3">
      <c r="E960" s="217"/>
      <c r="F960" s="217"/>
    </row>
    <row r="961" spans="5:6" x14ac:dyDescent="0.3">
      <c r="E961" s="217"/>
      <c r="F961" s="217"/>
    </row>
    <row r="962" spans="5:6" x14ac:dyDescent="0.3">
      <c r="E962" s="217"/>
      <c r="F962" s="217"/>
    </row>
    <row r="963" spans="5:6" x14ac:dyDescent="0.3">
      <c r="E963" s="217"/>
      <c r="F963" s="217"/>
    </row>
    <row r="964" spans="5:6" x14ac:dyDescent="0.3">
      <c r="E964" s="217"/>
      <c r="F964" s="217"/>
    </row>
    <row r="965" spans="5:6" x14ac:dyDescent="0.3">
      <c r="E965" s="217"/>
      <c r="F965" s="217"/>
    </row>
    <row r="966" spans="5:6" x14ac:dyDescent="0.3">
      <c r="E966" s="217"/>
      <c r="F966" s="217"/>
    </row>
    <row r="967" spans="5:6" x14ac:dyDescent="0.3">
      <c r="E967" s="217"/>
      <c r="F967" s="217"/>
    </row>
    <row r="968" spans="5:6" x14ac:dyDescent="0.3">
      <c r="E968" s="217"/>
      <c r="F968" s="217"/>
    </row>
    <row r="969" spans="5:6" x14ac:dyDescent="0.3">
      <c r="E969" s="217"/>
      <c r="F969" s="217"/>
    </row>
    <row r="970" spans="5:6" x14ac:dyDescent="0.3">
      <c r="E970" s="217"/>
      <c r="F970" s="217"/>
    </row>
    <row r="971" spans="5:6" x14ac:dyDescent="0.3">
      <c r="E971" s="217"/>
      <c r="F971" s="217"/>
    </row>
    <row r="972" spans="5:6" x14ac:dyDescent="0.3">
      <c r="E972" s="217"/>
      <c r="F972" s="217"/>
    </row>
    <row r="973" spans="5:6" x14ac:dyDescent="0.3">
      <c r="E973" s="217"/>
      <c r="F973" s="217"/>
    </row>
    <row r="974" spans="5:6" x14ac:dyDescent="0.3">
      <c r="E974" s="217"/>
      <c r="F974" s="217"/>
    </row>
    <row r="975" spans="5:6" x14ac:dyDescent="0.3">
      <c r="E975" s="217"/>
      <c r="F975" s="217"/>
    </row>
    <row r="976" spans="5:6" x14ac:dyDescent="0.3">
      <c r="E976" s="217"/>
      <c r="F976" s="217"/>
    </row>
    <row r="977" spans="5:6" x14ac:dyDescent="0.3">
      <c r="E977" s="217"/>
      <c r="F977" s="217"/>
    </row>
    <row r="978" spans="5:6" x14ac:dyDescent="0.3">
      <c r="E978" s="217"/>
      <c r="F978" s="217"/>
    </row>
    <row r="979" spans="5:6" x14ac:dyDescent="0.3">
      <c r="E979" s="217"/>
      <c r="F979" s="217"/>
    </row>
    <row r="980" spans="5:6" x14ac:dyDescent="0.3">
      <c r="E980" s="217"/>
      <c r="F980" s="217"/>
    </row>
    <row r="981" spans="5:6" x14ac:dyDescent="0.3">
      <c r="E981" s="217"/>
      <c r="F981" s="217"/>
    </row>
    <row r="982" spans="5:6" x14ac:dyDescent="0.3">
      <c r="E982" s="217"/>
      <c r="F982" s="217"/>
    </row>
    <row r="983" spans="5:6" x14ac:dyDescent="0.3">
      <c r="E983" s="217"/>
      <c r="F983" s="217"/>
    </row>
    <row r="984" spans="5:6" x14ac:dyDescent="0.3">
      <c r="E984" s="217"/>
      <c r="F984" s="217"/>
    </row>
    <row r="985" spans="5:6" x14ac:dyDescent="0.3">
      <c r="E985" s="217"/>
      <c r="F985" s="217"/>
    </row>
    <row r="986" spans="5:6" x14ac:dyDescent="0.3">
      <c r="E986" s="217"/>
      <c r="F986" s="217"/>
    </row>
    <row r="987" spans="5:6" x14ac:dyDescent="0.3">
      <c r="E987" s="217"/>
      <c r="F987" s="217"/>
    </row>
    <row r="988" spans="5:6" x14ac:dyDescent="0.3">
      <c r="E988" s="217"/>
      <c r="F988" s="217"/>
    </row>
    <row r="989" spans="5:6" x14ac:dyDescent="0.3">
      <c r="E989" s="217"/>
      <c r="F989" s="217"/>
    </row>
    <row r="990" spans="5:6" x14ac:dyDescent="0.3">
      <c r="E990" s="217"/>
      <c r="F990" s="217"/>
    </row>
    <row r="991" spans="5:6" x14ac:dyDescent="0.3">
      <c r="E991" s="217"/>
      <c r="F991" s="217"/>
    </row>
    <row r="992" spans="5:6" x14ac:dyDescent="0.3">
      <c r="E992" s="217"/>
      <c r="F992" s="217"/>
    </row>
    <row r="993" spans="5:6" x14ac:dyDescent="0.3">
      <c r="E993" s="217"/>
      <c r="F993" s="217"/>
    </row>
    <row r="994" spans="5:6" x14ac:dyDescent="0.3">
      <c r="E994" s="217"/>
      <c r="F994" s="217"/>
    </row>
    <row r="995" spans="5:6" x14ac:dyDescent="0.3">
      <c r="E995" s="217"/>
      <c r="F995" s="217"/>
    </row>
    <row r="996" spans="5:6" x14ac:dyDescent="0.3">
      <c r="E996" s="217"/>
      <c r="F996" s="217"/>
    </row>
    <row r="997" spans="5:6" x14ac:dyDescent="0.3">
      <c r="E997" s="217"/>
      <c r="F997" s="217"/>
    </row>
    <row r="998" spans="5:6" x14ac:dyDescent="0.3">
      <c r="E998" s="217"/>
      <c r="F998" s="217"/>
    </row>
    <row r="999" spans="5:6" x14ac:dyDescent="0.3">
      <c r="E999" s="217"/>
      <c r="F999" s="217"/>
    </row>
    <row r="1000" spans="5:6" x14ac:dyDescent="0.3">
      <c r="E1000" s="217"/>
      <c r="F1000" s="21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5:F1000"/>
  <sheetViews>
    <sheetView showGridLines="0" workbookViewId="0">
      <selection activeCell="C2" sqref="C2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217"/>
      <c r="B5" s="217"/>
      <c r="C5" s="217"/>
      <c r="D5" s="217"/>
      <c r="E5" s="217"/>
      <c r="F5" s="217"/>
    </row>
    <row r="6" spans="1:6" x14ac:dyDescent="0.3">
      <c r="A6" s="217" t="s">
        <v>740</v>
      </c>
      <c r="B6" s="217" t="s">
        <v>744</v>
      </c>
      <c r="C6" s="217" t="s">
        <v>1183</v>
      </c>
      <c r="D6" s="217" t="s">
        <v>1184</v>
      </c>
      <c r="E6" s="217">
        <v>200</v>
      </c>
      <c r="F6" s="217"/>
    </row>
    <row r="7" spans="1:6" x14ac:dyDescent="0.3">
      <c r="A7" s="217"/>
      <c r="B7" s="217"/>
      <c r="C7" s="217"/>
      <c r="D7" s="217"/>
      <c r="E7" s="217"/>
      <c r="F7" s="217"/>
    </row>
    <row r="8" spans="1:6" x14ac:dyDescent="0.3">
      <c r="A8" s="217"/>
      <c r="B8" s="217"/>
      <c r="C8" s="217"/>
      <c r="D8" s="217"/>
      <c r="E8" s="217"/>
      <c r="F8" s="217"/>
    </row>
    <row r="9" spans="1:6" x14ac:dyDescent="0.3">
      <c r="A9" s="217"/>
      <c r="B9" s="217"/>
      <c r="C9" s="217"/>
      <c r="D9" s="217"/>
      <c r="E9" s="217"/>
      <c r="F9" s="217"/>
    </row>
    <row r="10" spans="1:6" x14ac:dyDescent="0.3">
      <c r="A10" s="217"/>
      <c r="B10" s="217"/>
      <c r="C10" s="217"/>
      <c r="D10" s="217"/>
      <c r="E10" s="217"/>
      <c r="F10" s="217"/>
    </row>
    <row r="11" spans="1:6" x14ac:dyDescent="0.3">
      <c r="A11" s="217"/>
      <c r="B11" s="217"/>
      <c r="C11" s="217"/>
      <c r="D11" s="217"/>
      <c r="E11" s="217"/>
      <c r="F11" s="217"/>
    </row>
    <row r="12" spans="1:6" x14ac:dyDescent="0.3">
      <c r="A12" s="217"/>
      <c r="B12" s="217"/>
      <c r="C12" s="217"/>
      <c r="D12" s="217"/>
      <c r="E12" s="217"/>
      <c r="F12" s="217"/>
    </row>
    <row r="13" spans="1:6" x14ac:dyDescent="0.3">
      <c r="A13" s="217"/>
      <c r="B13" s="217"/>
      <c r="C13" s="217"/>
      <c r="D13" s="217"/>
      <c r="E13" s="217"/>
      <c r="F13" s="217"/>
    </row>
    <row r="14" spans="1:6" x14ac:dyDescent="0.3">
      <c r="A14" s="217"/>
      <c r="B14" s="217"/>
      <c r="C14" s="217"/>
      <c r="D14" s="217"/>
      <c r="E14" s="217"/>
      <c r="F14" s="217"/>
    </row>
    <row r="15" spans="1:6" x14ac:dyDescent="0.3">
      <c r="A15" s="217"/>
      <c r="B15" s="217"/>
      <c r="C15" s="217"/>
      <c r="D15" s="217"/>
      <c r="E15" s="217"/>
      <c r="F15" s="217"/>
    </row>
    <row r="16" spans="1:6" x14ac:dyDescent="0.3">
      <c r="A16" s="217" t="s">
        <v>740</v>
      </c>
      <c r="B16" s="217" t="s">
        <v>1191</v>
      </c>
      <c r="C16" s="217" t="s">
        <v>1183</v>
      </c>
      <c r="D16" s="217" t="s">
        <v>1184</v>
      </c>
      <c r="E16" s="217">
        <v>200</v>
      </c>
      <c r="F16" s="217"/>
    </row>
    <row r="17" spans="1:6" x14ac:dyDescent="0.3">
      <c r="A17" s="217"/>
      <c r="B17" s="217"/>
      <c r="C17" s="217"/>
      <c r="D17" s="217"/>
      <c r="E17" s="217"/>
      <c r="F17" s="217"/>
    </row>
    <row r="18" spans="1:6" x14ac:dyDescent="0.3">
      <c r="A18" s="217" t="s">
        <v>740</v>
      </c>
      <c r="B18" s="217" t="s">
        <v>755</v>
      </c>
      <c r="C18" s="217" t="s">
        <v>1183</v>
      </c>
      <c r="D18" s="217" t="s">
        <v>1184</v>
      </c>
      <c r="E18" s="217">
        <v>200</v>
      </c>
      <c r="F18" s="217"/>
    </row>
    <row r="19" spans="1:6" x14ac:dyDescent="0.3">
      <c r="A19" s="217"/>
      <c r="B19" s="217"/>
      <c r="C19" s="217"/>
      <c r="D19" s="217"/>
      <c r="E19" s="217"/>
      <c r="F19" s="217"/>
    </row>
    <row r="20" spans="1:6" x14ac:dyDescent="0.3">
      <c r="A20" s="217"/>
      <c r="B20" s="217"/>
      <c r="C20" s="217"/>
      <c r="D20" s="217"/>
      <c r="E20" s="217"/>
      <c r="F20" s="217"/>
    </row>
    <row r="21" spans="1:6" x14ac:dyDescent="0.3">
      <c r="A21" s="217"/>
      <c r="B21" s="217"/>
      <c r="C21" s="217"/>
      <c r="D21" s="217"/>
      <c r="E21" s="217"/>
      <c r="F21" s="217"/>
    </row>
    <row r="22" spans="1:6" x14ac:dyDescent="0.3">
      <c r="A22" s="217"/>
      <c r="B22" s="217"/>
      <c r="C22" s="217"/>
      <c r="D22" s="217"/>
      <c r="E22" s="217"/>
      <c r="F22" s="217"/>
    </row>
    <row r="23" spans="1:6" x14ac:dyDescent="0.3">
      <c r="A23" s="217"/>
      <c r="B23" s="217"/>
      <c r="C23" s="217"/>
      <c r="D23" s="217"/>
      <c r="E23" s="217"/>
      <c r="F23" s="217"/>
    </row>
    <row r="24" spans="1:6" x14ac:dyDescent="0.3">
      <c r="A24" s="217"/>
      <c r="B24" s="217"/>
      <c r="C24" s="217"/>
      <c r="D24" s="217"/>
      <c r="E24" s="217"/>
      <c r="F24" s="217"/>
    </row>
    <row r="25" spans="1:6" x14ac:dyDescent="0.3">
      <c r="A25" s="217" t="s">
        <v>743</v>
      </c>
      <c r="B25" s="217" t="s">
        <v>765</v>
      </c>
      <c r="C25" s="217" t="s">
        <v>1183</v>
      </c>
      <c r="D25" s="217" t="s">
        <v>1184</v>
      </c>
      <c r="E25" s="217">
        <v>200</v>
      </c>
      <c r="F25" s="217"/>
    </row>
    <row r="26" spans="1:6" x14ac:dyDescent="0.3">
      <c r="A26" s="217"/>
      <c r="B26" s="217"/>
      <c r="C26" s="217"/>
      <c r="D26" s="217"/>
      <c r="E26" s="217"/>
      <c r="F26" s="217"/>
    </row>
    <row r="27" spans="1:6" x14ac:dyDescent="0.3">
      <c r="A27" s="217" t="s">
        <v>743</v>
      </c>
      <c r="B27" s="217" t="s">
        <v>768</v>
      </c>
      <c r="C27" s="217" t="s">
        <v>1183</v>
      </c>
      <c r="D27" s="217" t="s">
        <v>1184</v>
      </c>
      <c r="E27" s="217">
        <v>200</v>
      </c>
      <c r="F27" s="217"/>
    </row>
    <row r="28" spans="1:6" x14ac:dyDescent="0.3">
      <c r="A28" s="217"/>
      <c r="B28" s="217"/>
      <c r="C28" s="217"/>
      <c r="D28" s="217"/>
      <c r="E28" s="217"/>
      <c r="F28" s="217"/>
    </row>
    <row r="29" spans="1:6" x14ac:dyDescent="0.3">
      <c r="A29" s="217"/>
      <c r="B29" s="217"/>
      <c r="C29" s="217"/>
      <c r="D29" s="217"/>
      <c r="E29" s="217"/>
      <c r="F29" s="217"/>
    </row>
    <row r="30" spans="1:6" x14ac:dyDescent="0.3">
      <c r="A30" s="217"/>
      <c r="B30" s="217"/>
      <c r="C30" s="217"/>
      <c r="D30" s="217"/>
      <c r="E30" s="217"/>
      <c r="F30" s="217"/>
    </row>
    <row r="31" spans="1:6" x14ac:dyDescent="0.3">
      <c r="A31" s="217"/>
      <c r="B31" s="217"/>
      <c r="C31" s="217"/>
      <c r="D31" s="217"/>
      <c r="E31" s="217"/>
      <c r="F31" s="217"/>
    </row>
    <row r="32" spans="1:6" x14ac:dyDescent="0.3">
      <c r="A32" s="217"/>
      <c r="B32" s="217"/>
      <c r="C32" s="217"/>
      <c r="D32" s="217"/>
      <c r="E32" s="217"/>
      <c r="F32" s="217"/>
    </row>
    <row r="33" spans="1:6" x14ac:dyDescent="0.3">
      <c r="A33" s="217"/>
      <c r="B33" s="217"/>
      <c r="C33" s="217"/>
      <c r="D33" s="217"/>
      <c r="E33" s="217"/>
      <c r="F33" s="217"/>
    </row>
    <row r="34" spans="1:6" x14ac:dyDescent="0.3">
      <c r="A34" s="217"/>
      <c r="B34" s="217"/>
      <c r="C34" s="217"/>
      <c r="D34" s="217"/>
      <c r="E34" s="217"/>
      <c r="F34" s="217"/>
    </row>
    <row r="35" spans="1:6" x14ac:dyDescent="0.3">
      <c r="A35" s="217"/>
      <c r="B35" s="217"/>
      <c r="C35" s="217"/>
      <c r="D35" s="217"/>
      <c r="E35" s="217"/>
      <c r="F35" s="217"/>
    </row>
    <row r="36" spans="1:6" x14ac:dyDescent="0.3">
      <c r="A36" s="217" t="s">
        <v>781</v>
      </c>
      <c r="B36" s="217" t="s">
        <v>1198</v>
      </c>
      <c r="C36" s="217" t="s">
        <v>1183</v>
      </c>
      <c r="D36" s="217" t="s">
        <v>1199</v>
      </c>
      <c r="E36" s="217">
        <v>150</v>
      </c>
      <c r="F36" s="217"/>
    </row>
    <row r="37" spans="1:6" x14ac:dyDescent="0.3">
      <c r="A37" s="217"/>
      <c r="B37" s="217"/>
      <c r="C37" s="217"/>
      <c r="D37" s="217"/>
      <c r="E37" s="217"/>
      <c r="F37" s="217"/>
    </row>
    <row r="38" spans="1:6" x14ac:dyDescent="0.3">
      <c r="A38" s="217"/>
      <c r="B38" s="217"/>
      <c r="C38" s="217"/>
      <c r="D38" s="217"/>
      <c r="E38" s="217"/>
      <c r="F38" s="217"/>
    </row>
    <row r="39" spans="1:6" x14ac:dyDescent="0.3">
      <c r="A39" s="217"/>
      <c r="B39" s="217"/>
      <c r="C39" s="217"/>
      <c r="D39" s="217"/>
      <c r="E39" s="217"/>
      <c r="F39" s="217"/>
    </row>
    <row r="40" spans="1:6" x14ac:dyDescent="0.3">
      <c r="A40" s="217"/>
      <c r="B40" s="217"/>
      <c r="C40" s="217"/>
      <c r="D40" s="217"/>
      <c r="E40" s="217"/>
      <c r="F40" s="217"/>
    </row>
    <row r="41" spans="1:6" x14ac:dyDescent="0.3">
      <c r="A41" s="217"/>
      <c r="B41" s="217"/>
      <c r="C41" s="217"/>
      <c r="D41" s="217"/>
      <c r="E41" s="217"/>
      <c r="F41" s="217"/>
    </row>
    <row r="42" spans="1:6" x14ac:dyDescent="0.3">
      <c r="A42" s="217"/>
      <c r="B42" s="217"/>
      <c r="C42" s="217"/>
      <c r="D42" s="217"/>
      <c r="E42" s="217"/>
      <c r="F42" s="217"/>
    </row>
    <row r="43" spans="1:6" x14ac:dyDescent="0.3">
      <c r="A43" s="217"/>
      <c r="B43" s="217"/>
      <c r="C43" s="217"/>
      <c r="D43" s="217"/>
      <c r="E43" s="217"/>
      <c r="F43" s="217"/>
    </row>
    <row r="44" spans="1:6" x14ac:dyDescent="0.3">
      <c r="A44" s="217"/>
      <c r="B44" s="217"/>
      <c r="C44" s="217"/>
      <c r="D44" s="217"/>
      <c r="E44" s="217"/>
      <c r="F44" s="217"/>
    </row>
    <row r="45" spans="1:6" x14ac:dyDescent="0.3">
      <c r="A45" s="217"/>
      <c r="B45" s="217"/>
      <c r="C45" s="217"/>
      <c r="D45" s="217"/>
      <c r="E45" s="217"/>
      <c r="F45" s="217"/>
    </row>
    <row r="46" spans="1:6" x14ac:dyDescent="0.3">
      <c r="A46" s="217" t="s">
        <v>791</v>
      </c>
      <c r="B46" s="217" t="s">
        <v>796</v>
      </c>
      <c r="C46" s="217" t="s">
        <v>1183</v>
      </c>
      <c r="D46" s="217" t="s">
        <v>1203</v>
      </c>
      <c r="E46" s="217" t="s">
        <v>1179</v>
      </c>
      <c r="F46" s="217"/>
    </row>
    <row r="47" spans="1:6" x14ac:dyDescent="0.3">
      <c r="A47" s="217"/>
      <c r="B47" s="217"/>
      <c r="C47" s="217"/>
      <c r="D47" s="217"/>
      <c r="E47" s="217"/>
      <c r="F47" s="217"/>
    </row>
    <row r="48" spans="1:6" x14ac:dyDescent="0.3">
      <c r="A48" s="217"/>
      <c r="B48" s="217"/>
      <c r="C48" s="217"/>
      <c r="D48" s="217"/>
      <c r="E48" s="217"/>
      <c r="F48" s="217"/>
    </row>
    <row r="49" spans="1:6" x14ac:dyDescent="0.3">
      <c r="A49" s="217"/>
      <c r="B49" s="217"/>
      <c r="C49" s="217"/>
      <c r="D49" s="217"/>
      <c r="E49" s="217"/>
      <c r="F49" s="217"/>
    </row>
    <row r="50" spans="1:6" x14ac:dyDescent="0.3">
      <c r="A50" s="217"/>
      <c r="B50" s="217"/>
      <c r="C50" s="217"/>
      <c r="D50" s="217"/>
      <c r="E50" s="217"/>
      <c r="F50" s="217"/>
    </row>
    <row r="51" spans="1:6" x14ac:dyDescent="0.3">
      <c r="A51" s="217"/>
      <c r="B51" s="217"/>
      <c r="C51" s="217"/>
      <c r="D51" s="217"/>
      <c r="E51" s="217"/>
      <c r="F51" s="217"/>
    </row>
    <row r="52" spans="1:6" x14ac:dyDescent="0.3">
      <c r="A52" s="217"/>
      <c r="B52" s="217"/>
      <c r="C52" s="217"/>
      <c r="D52" s="217"/>
      <c r="E52" s="217"/>
      <c r="F52" s="217"/>
    </row>
    <row r="53" spans="1:6" x14ac:dyDescent="0.3">
      <c r="A53" s="217"/>
      <c r="B53" s="217"/>
      <c r="C53" s="217"/>
      <c r="D53" s="217"/>
      <c r="E53" s="217"/>
      <c r="F53" s="217"/>
    </row>
    <row r="54" spans="1:6" x14ac:dyDescent="0.3">
      <c r="A54" s="217"/>
      <c r="B54" s="217"/>
      <c r="C54" s="217"/>
      <c r="D54" s="217"/>
      <c r="E54" s="217"/>
      <c r="F54" s="217"/>
    </row>
    <row r="55" spans="1:6" x14ac:dyDescent="0.3">
      <c r="A55" s="217"/>
      <c r="B55" s="217"/>
      <c r="C55" s="217"/>
      <c r="D55" s="217"/>
      <c r="E55" s="217"/>
      <c r="F55" s="217"/>
    </row>
    <row r="56" spans="1:6" x14ac:dyDescent="0.3">
      <c r="A56" s="217"/>
      <c r="B56" s="217"/>
      <c r="C56" s="217"/>
      <c r="D56" s="217"/>
      <c r="E56" s="217"/>
      <c r="F56" s="217"/>
    </row>
    <row r="57" spans="1:6" x14ac:dyDescent="0.3">
      <c r="A57" s="217"/>
      <c r="B57" s="217"/>
      <c r="C57" s="217"/>
      <c r="D57" s="217"/>
      <c r="E57" s="217"/>
      <c r="F57" s="217"/>
    </row>
    <row r="58" spans="1:6" x14ac:dyDescent="0.3">
      <c r="A58" s="217"/>
      <c r="B58" s="217"/>
      <c r="C58" s="217"/>
      <c r="D58" s="217"/>
      <c r="E58" s="217"/>
      <c r="F58" s="217"/>
    </row>
    <row r="59" spans="1:6" x14ac:dyDescent="0.3">
      <c r="A59" s="217"/>
      <c r="B59" s="217"/>
      <c r="C59" s="217"/>
      <c r="D59" s="217"/>
      <c r="E59" s="217"/>
      <c r="F59" s="217"/>
    </row>
    <row r="60" spans="1:6" x14ac:dyDescent="0.3">
      <c r="A60" s="217"/>
      <c r="B60" s="217"/>
      <c r="C60" s="217"/>
      <c r="D60" s="217"/>
      <c r="E60" s="217"/>
      <c r="F60" s="217"/>
    </row>
    <row r="61" spans="1:6" x14ac:dyDescent="0.3">
      <c r="A61" s="217"/>
      <c r="B61" s="217"/>
      <c r="C61" s="217"/>
      <c r="D61" s="217"/>
      <c r="E61" s="217"/>
      <c r="F61" s="217"/>
    </row>
    <row r="62" spans="1:6" x14ac:dyDescent="0.3">
      <c r="A62" s="217"/>
      <c r="B62" s="217"/>
      <c r="C62" s="217"/>
      <c r="D62" s="217"/>
      <c r="E62" s="217"/>
      <c r="F62" s="217"/>
    </row>
    <row r="63" spans="1:6" x14ac:dyDescent="0.3">
      <c r="A63" s="217"/>
      <c r="B63" s="217"/>
      <c r="C63" s="217"/>
      <c r="D63" s="217"/>
      <c r="E63" s="217"/>
      <c r="F63" s="217"/>
    </row>
    <row r="64" spans="1:6" x14ac:dyDescent="0.3">
      <c r="A64" s="217"/>
      <c r="B64" s="217"/>
      <c r="C64" s="217"/>
      <c r="D64" s="217"/>
      <c r="E64" s="217"/>
      <c r="F64" s="217"/>
    </row>
    <row r="65" spans="1:6" x14ac:dyDescent="0.3">
      <c r="A65" s="217"/>
      <c r="B65" s="217"/>
      <c r="C65" s="217"/>
      <c r="D65" s="217"/>
      <c r="E65" s="217"/>
      <c r="F65" s="217"/>
    </row>
    <row r="66" spans="1:6" x14ac:dyDescent="0.3">
      <c r="A66" s="217"/>
      <c r="B66" s="217"/>
      <c r="C66" s="217"/>
      <c r="D66" s="217"/>
      <c r="E66" s="217"/>
      <c r="F66" s="217"/>
    </row>
    <row r="67" spans="1:6" x14ac:dyDescent="0.3">
      <c r="A67" s="217"/>
      <c r="B67" s="217"/>
      <c r="C67" s="217"/>
      <c r="D67" s="217"/>
      <c r="E67" s="217"/>
      <c r="F67" s="217"/>
    </row>
    <row r="68" spans="1:6" x14ac:dyDescent="0.3">
      <c r="A68" s="217"/>
      <c r="B68" s="217"/>
      <c r="C68" s="217"/>
      <c r="D68" s="217"/>
      <c r="E68" s="217"/>
      <c r="F68" s="217"/>
    </row>
    <row r="69" spans="1:6" x14ac:dyDescent="0.3">
      <c r="A69" s="217"/>
      <c r="B69" s="217"/>
      <c r="C69" s="217"/>
      <c r="D69" s="217"/>
      <c r="E69" s="217"/>
      <c r="F69" s="217"/>
    </row>
    <row r="70" spans="1:6" x14ac:dyDescent="0.3">
      <c r="A70" s="217"/>
      <c r="B70" s="217"/>
      <c r="C70" s="217"/>
      <c r="D70" s="217"/>
      <c r="E70" s="217"/>
      <c r="F70" s="217"/>
    </row>
    <row r="71" spans="1:6" x14ac:dyDescent="0.3">
      <c r="A71" s="217"/>
      <c r="B71" s="217"/>
      <c r="C71" s="217"/>
      <c r="D71" s="217"/>
      <c r="E71" s="217"/>
      <c r="F71" s="217"/>
    </row>
    <row r="72" spans="1:6" x14ac:dyDescent="0.3">
      <c r="A72" s="217"/>
      <c r="B72" s="217"/>
      <c r="C72" s="217"/>
      <c r="D72" s="217"/>
      <c r="E72" s="217"/>
      <c r="F72" s="217"/>
    </row>
    <row r="73" spans="1:6" x14ac:dyDescent="0.3">
      <c r="A73" s="217"/>
      <c r="B73" s="217"/>
      <c r="C73" s="217"/>
      <c r="D73" s="217"/>
      <c r="E73" s="217"/>
      <c r="F73" s="217"/>
    </row>
    <row r="74" spans="1:6" x14ac:dyDescent="0.3">
      <c r="A74" s="217"/>
      <c r="B74" s="217"/>
      <c r="C74" s="217"/>
      <c r="D74" s="217"/>
      <c r="E74" s="217"/>
      <c r="F74" s="217"/>
    </row>
    <row r="75" spans="1:6" x14ac:dyDescent="0.3">
      <c r="A75" s="217"/>
      <c r="B75" s="217"/>
      <c r="C75" s="217"/>
      <c r="D75" s="217"/>
      <c r="E75" s="217"/>
      <c r="F75" s="217"/>
    </row>
    <row r="76" spans="1:6" x14ac:dyDescent="0.3">
      <c r="A76" s="217"/>
      <c r="B76" s="217"/>
      <c r="C76" s="217"/>
      <c r="D76" s="217"/>
      <c r="E76" s="217"/>
      <c r="F76" s="217"/>
    </row>
    <row r="77" spans="1:6" x14ac:dyDescent="0.3">
      <c r="A77" s="217"/>
      <c r="B77" s="217"/>
      <c r="C77" s="217"/>
      <c r="D77" s="217"/>
      <c r="E77" s="217"/>
      <c r="F77" s="217"/>
    </row>
    <row r="78" spans="1:6" x14ac:dyDescent="0.3">
      <c r="A78" s="217"/>
      <c r="B78" s="217"/>
      <c r="C78" s="217"/>
      <c r="D78" s="217"/>
      <c r="E78" s="217"/>
      <c r="F78" s="217"/>
    </row>
    <row r="79" spans="1:6" x14ac:dyDescent="0.3">
      <c r="A79" s="217"/>
      <c r="B79" s="217"/>
      <c r="C79" s="217"/>
      <c r="D79" s="217"/>
      <c r="E79" s="217"/>
      <c r="F79" s="217"/>
    </row>
    <row r="80" spans="1:6" x14ac:dyDescent="0.3">
      <c r="A80" s="217" t="s">
        <v>836</v>
      </c>
      <c r="B80" s="217" t="s">
        <v>765</v>
      </c>
      <c r="C80" s="217" t="s">
        <v>1183</v>
      </c>
      <c r="D80" s="217" t="s">
        <v>1203</v>
      </c>
      <c r="E80" s="217">
        <v>400</v>
      </c>
      <c r="F80" s="217"/>
    </row>
    <row r="81" spans="1:6" x14ac:dyDescent="0.3">
      <c r="A81" s="217" t="s">
        <v>836</v>
      </c>
      <c r="B81" s="217" t="s">
        <v>758</v>
      </c>
      <c r="C81" s="217" t="s">
        <v>1183</v>
      </c>
      <c r="D81" s="217" t="s">
        <v>1203</v>
      </c>
      <c r="E81" s="217">
        <v>400</v>
      </c>
      <c r="F81" s="217"/>
    </row>
    <row r="82" spans="1:6" x14ac:dyDescent="0.3">
      <c r="A82" s="217"/>
      <c r="B82" s="217"/>
      <c r="C82" s="217"/>
      <c r="D82" s="217"/>
      <c r="E82" s="217"/>
      <c r="F82" s="217"/>
    </row>
    <row r="83" spans="1:6" x14ac:dyDescent="0.3">
      <c r="A83" s="217" t="s">
        <v>845</v>
      </c>
      <c r="B83" s="217" t="s">
        <v>847</v>
      </c>
      <c r="C83" s="217" t="s">
        <v>1183</v>
      </c>
      <c r="D83" s="217" t="s">
        <v>1203</v>
      </c>
      <c r="E83" s="217">
        <v>400</v>
      </c>
      <c r="F83" s="217"/>
    </row>
    <row r="84" spans="1:6" x14ac:dyDescent="0.3">
      <c r="A84" s="217"/>
      <c r="B84" s="217"/>
      <c r="C84" s="217"/>
      <c r="D84" s="217"/>
      <c r="E84" s="217"/>
      <c r="F84" s="217"/>
    </row>
    <row r="85" spans="1:6" x14ac:dyDescent="0.3">
      <c r="A85" s="217"/>
      <c r="B85" s="217"/>
      <c r="C85" s="217"/>
      <c r="D85" s="217"/>
      <c r="E85" s="217"/>
      <c r="F85" s="217"/>
    </row>
    <row r="86" spans="1:6" x14ac:dyDescent="0.3">
      <c r="A86" s="217"/>
      <c r="B86" s="217"/>
      <c r="C86" s="217"/>
      <c r="D86" s="217"/>
      <c r="E86" s="217"/>
      <c r="F86" s="217"/>
    </row>
    <row r="87" spans="1:6" x14ac:dyDescent="0.3">
      <c r="A87" s="217"/>
      <c r="B87" s="217"/>
      <c r="C87" s="217"/>
      <c r="D87" s="217"/>
      <c r="E87" s="217"/>
      <c r="F87" s="217"/>
    </row>
    <row r="88" spans="1:6" x14ac:dyDescent="0.3">
      <c r="A88" s="217"/>
      <c r="B88" s="217"/>
      <c r="C88" s="217"/>
      <c r="D88" s="217"/>
      <c r="E88" s="217"/>
      <c r="F88" s="217"/>
    </row>
    <row r="89" spans="1:6" x14ac:dyDescent="0.3">
      <c r="A89" s="217"/>
      <c r="B89" s="217"/>
      <c r="C89" s="217"/>
      <c r="D89" s="217"/>
      <c r="E89" s="217"/>
      <c r="F89" s="217"/>
    </row>
    <row r="90" spans="1:6" x14ac:dyDescent="0.3">
      <c r="A90" s="217"/>
      <c r="B90" s="217"/>
      <c r="C90" s="217"/>
      <c r="D90" s="217"/>
      <c r="E90" s="217"/>
      <c r="F90" s="217"/>
    </row>
    <row r="91" spans="1:6" x14ac:dyDescent="0.3">
      <c r="A91" s="217"/>
      <c r="B91" s="217"/>
      <c r="C91" s="217"/>
      <c r="D91" s="217"/>
      <c r="E91" s="217"/>
      <c r="F91" s="217"/>
    </row>
    <row r="92" spans="1:6" x14ac:dyDescent="0.3">
      <c r="A92" s="217"/>
      <c r="B92" s="217"/>
      <c r="C92" s="217"/>
      <c r="D92" s="217"/>
      <c r="E92" s="217"/>
      <c r="F92" s="217"/>
    </row>
    <row r="93" spans="1:6" x14ac:dyDescent="0.3">
      <c r="A93" s="217" t="s">
        <v>854</v>
      </c>
      <c r="B93" s="217" t="s">
        <v>859</v>
      </c>
      <c r="C93" s="217" t="s">
        <v>1183</v>
      </c>
      <c r="D93" s="217" t="s">
        <v>1203</v>
      </c>
      <c r="E93" s="217">
        <v>400</v>
      </c>
      <c r="F93" s="217"/>
    </row>
    <row r="94" spans="1:6" x14ac:dyDescent="0.3">
      <c r="A94" s="217"/>
      <c r="B94" s="217"/>
      <c r="C94" s="217"/>
      <c r="D94" s="217"/>
      <c r="E94" s="217"/>
      <c r="F94" s="217"/>
    </row>
    <row r="95" spans="1:6" x14ac:dyDescent="0.3">
      <c r="A95" s="217" t="s">
        <v>861</v>
      </c>
      <c r="B95" s="217" t="s">
        <v>812</v>
      </c>
      <c r="C95" s="217" t="s">
        <v>1183</v>
      </c>
      <c r="D95" s="217" t="s">
        <v>1184</v>
      </c>
      <c r="E95" s="217">
        <v>200</v>
      </c>
      <c r="F95" s="217"/>
    </row>
    <row r="96" spans="1:6" x14ac:dyDescent="0.3">
      <c r="A96" s="217"/>
      <c r="B96" s="217"/>
      <c r="C96" s="217"/>
      <c r="D96" s="217"/>
      <c r="E96" s="217"/>
      <c r="F96" s="217"/>
    </row>
    <row r="97" spans="1:6" x14ac:dyDescent="0.3">
      <c r="A97" s="217"/>
      <c r="B97" s="217"/>
      <c r="C97" s="217"/>
      <c r="D97" s="217"/>
      <c r="E97" s="217"/>
      <c r="F97" s="217"/>
    </row>
    <row r="98" spans="1:6" x14ac:dyDescent="0.3">
      <c r="A98" s="217" t="s">
        <v>861</v>
      </c>
      <c r="B98" s="217" t="s">
        <v>863</v>
      </c>
      <c r="C98" s="217" t="s">
        <v>1183</v>
      </c>
      <c r="D98" s="217" t="s">
        <v>1184</v>
      </c>
      <c r="E98" s="217">
        <v>200</v>
      </c>
      <c r="F98" s="217"/>
    </row>
    <row r="99" spans="1:6" x14ac:dyDescent="0.3">
      <c r="A99" s="217"/>
      <c r="B99" s="217"/>
      <c r="C99" s="217"/>
      <c r="D99" s="217"/>
      <c r="E99" s="217"/>
      <c r="F99" s="217"/>
    </row>
    <row r="100" spans="1:6" x14ac:dyDescent="0.3">
      <c r="A100" s="217" t="s">
        <v>861</v>
      </c>
      <c r="B100" s="217" t="s">
        <v>859</v>
      </c>
      <c r="C100" s="217" t="s">
        <v>1183</v>
      </c>
      <c r="D100" s="217" t="s">
        <v>1184</v>
      </c>
      <c r="E100" s="217">
        <v>200</v>
      </c>
      <c r="F100" s="217"/>
    </row>
    <row r="101" spans="1:6" x14ac:dyDescent="0.3">
      <c r="A101" s="217"/>
      <c r="B101" s="217"/>
      <c r="C101" s="217"/>
      <c r="D101" s="217"/>
      <c r="E101" s="217"/>
      <c r="F101" s="217"/>
    </row>
    <row r="102" spans="1:6" x14ac:dyDescent="0.3">
      <c r="A102" s="217"/>
      <c r="B102" s="217"/>
      <c r="C102" s="217"/>
      <c r="D102" s="217"/>
      <c r="E102" s="217"/>
      <c r="F102" s="217"/>
    </row>
    <row r="103" spans="1:6" x14ac:dyDescent="0.3">
      <c r="A103" s="217"/>
      <c r="B103" s="217"/>
      <c r="C103" s="217"/>
      <c r="D103" s="217"/>
      <c r="E103" s="217"/>
      <c r="F103" s="217"/>
    </row>
    <row r="104" spans="1:6" x14ac:dyDescent="0.3">
      <c r="A104" s="217"/>
      <c r="B104" s="217"/>
      <c r="C104" s="217"/>
      <c r="D104" s="217"/>
      <c r="E104" s="217"/>
      <c r="F104" s="217"/>
    </row>
    <row r="105" spans="1:6" x14ac:dyDescent="0.3">
      <c r="A105" s="217"/>
      <c r="B105" s="217"/>
      <c r="C105" s="217"/>
      <c r="D105" s="217"/>
      <c r="E105" s="217"/>
      <c r="F105" s="217"/>
    </row>
    <row r="106" spans="1:6" x14ac:dyDescent="0.3">
      <c r="A106" s="217"/>
      <c r="B106" s="217"/>
      <c r="C106" s="217"/>
      <c r="D106" s="217"/>
      <c r="E106" s="217"/>
      <c r="F106" s="217"/>
    </row>
    <row r="107" spans="1:6" x14ac:dyDescent="0.3">
      <c r="A107" s="217"/>
      <c r="B107" s="217"/>
      <c r="C107" s="217"/>
      <c r="D107" s="217"/>
      <c r="E107" s="217"/>
      <c r="F107" s="217"/>
    </row>
    <row r="108" spans="1:6" x14ac:dyDescent="0.3">
      <c r="A108" s="217"/>
      <c r="B108" s="217"/>
      <c r="C108" s="217"/>
      <c r="D108" s="217"/>
      <c r="E108" s="217"/>
      <c r="F108" s="217"/>
    </row>
    <row r="109" spans="1:6" x14ac:dyDescent="0.3">
      <c r="A109" s="217"/>
      <c r="B109" s="217"/>
      <c r="C109" s="217"/>
      <c r="D109" s="217"/>
      <c r="E109" s="217"/>
      <c r="F109" s="217"/>
    </row>
    <row r="110" spans="1:6" x14ac:dyDescent="0.3">
      <c r="A110" s="217"/>
      <c r="B110" s="217"/>
      <c r="C110" s="217"/>
      <c r="D110" s="217"/>
      <c r="E110" s="217"/>
      <c r="F110" s="217"/>
    </row>
    <row r="111" spans="1:6" x14ac:dyDescent="0.3">
      <c r="A111" s="217"/>
      <c r="B111" s="217"/>
      <c r="C111" s="217"/>
      <c r="D111" s="217"/>
      <c r="E111" s="217"/>
      <c r="F111" s="217"/>
    </row>
    <row r="112" spans="1:6" x14ac:dyDescent="0.3">
      <c r="A112" s="217"/>
      <c r="B112" s="217"/>
      <c r="C112" s="217"/>
      <c r="D112" s="217"/>
      <c r="E112" s="217"/>
      <c r="F112" s="217"/>
    </row>
    <row r="113" spans="1:6" x14ac:dyDescent="0.3">
      <c r="A113" s="217"/>
      <c r="B113" s="217"/>
      <c r="C113" s="217"/>
      <c r="D113" s="217"/>
      <c r="E113" s="217"/>
      <c r="F113" s="217"/>
    </row>
    <row r="114" spans="1:6" x14ac:dyDescent="0.3">
      <c r="A114" s="217"/>
      <c r="B114" s="217"/>
      <c r="C114" s="217"/>
      <c r="D114" s="217"/>
      <c r="E114" s="217"/>
      <c r="F114" s="217"/>
    </row>
    <row r="115" spans="1:6" x14ac:dyDescent="0.3">
      <c r="A115" s="217"/>
      <c r="B115" s="217"/>
      <c r="C115" s="217"/>
      <c r="D115" s="217"/>
      <c r="E115" s="217"/>
      <c r="F115" s="217"/>
    </row>
    <row r="116" spans="1:6" x14ac:dyDescent="0.3">
      <c r="A116" s="217"/>
      <c r="B116" s="217"/>
      <c r="C116" s="217"/>
      <c r="D116" s="217"/>
      <c r="E116" s="217"/>
      <c r="F116" s="217"/>
    </row>
    <row r="117" spans="1:6" x14ac:dyDescent="0.3">
      <c r="A117" s="217"/>
      <c r="B117" s="217"/>
      <c r="C117" s="217"/>
      <c r="D117" s="217"/>
      <c r="E117" s="217"/>
      <c r="F117" s="217"/>
    </row>
    <row r="118" spans="1:6" x14ac:dyDescent="0.3">
      <c r="A118" s="217"/>
      <c r="B118" s="217"/>
      <c r="C118" s="217"/>
      <c r="D118" s="217"/>
      <c r="E118" s="217"/>
      <c r="F118" s="217"/>
    </row>
    <row r="119" spans="1:6" x14ac:dyDescent="0.3">
      <c r="A119" s="217"/>
      <c r="B119" s="217"/>
      <c r="C119" s="217"/>
      <c r="D119" s="217"/>
      <c r="E119" s="217"/>
      <c r="F119" s="217"/>
    </row>
    <row r="120" spans="1:6" x14ac:dyDescent="0.3">
      <c r="A120" s="217"/>
      <c r="B120" s="217"/>
      <c r="C120" s="217"/>
      <c r="D120" s="217"/>
      <c r="E120" s="217"/>
      <c r="F120" s="217"/>
    </row>
    <row r="121" spans="1:6" x14ac:dyDescent="0.3">
      <c r="A121" s="217"/>
      <c r="B121" s="217"/>
      <c r="C121" s="217"/>
      <c r="D121" s="217"/>
      <c r="E121" s="217"/>
      <c r="F121" s="217"/>
    </row>
    <row r="122" spans="1:6" x14ac:dyDescent="0.3">
      <c r="A122" s="217"/>
      <c r="B122" s="217"/>
      <c r="C122" s="217"/>
      <c r="D122" s="217"/>
      <c r="E122" s="217"/>
      <c r="F122" s="217"/>
    </row>
    <row r="123" spans="1:6" x14ac:dyDescent="0.3">
      <c r="A123" s="217"/>
      <c r="B123" s="217"/>
      <c r="C123" s="217"/>
      <c r="D123" s="217"/>
      <c r="E123" s="217"/>
      <c r="F123" s="217"/>
    </row>
    <row r="124" spans="1:6" x14ac:dyDescent="0.3">
      <c r="A124" s="217"/>
      <c r="B124" s="217"/>
      <c r="C124" s="217"/>
      <c r="D124" s="217"/>
      <c r="E124" s="217"/>
      <c r="F124" s="217"/>
    </row>
    <row r="125" spans="1:6" x14ac:dyDescent="0.3">
      <c r="A125" s="217"/>
      <c r="B125" s="217"/>
      <c r="C125" s="217"/>
      <c r="D125" s="217"/>
      <c r="E125" s="217"/>
      <c r="F125" s="217"/>
    </row>
    <row r="126" spans="1:6" x14ac:dyDescent="0.3">
      <c r="A126" s="217"/>
      <c r="B126" s="217"/>
      <c r="C126" s="217"/>
      <c r="D126" s="217"/>
      <c r="E126" s="217"/>
      <c r="F126" s="217"/>
    </row>
    <row r="127" spans="1:6" x14ac:dyDescent="0.3">
      <c r="A127" s="217"/>
      <c r="B127" s="217"/>
      <c r="C127" s="217"/>
      <c r="D127" s="217"/>
      <c r="E127" s="217"/>
      <c r="F127" s="217"/>
    </row>
    <row r="128" spans="1:6" x14ac:dyDescent="0.3">
      <c r="A128" s="217"/>
      <c r="B128" s="217"/>
      <c r="C128" s="217"/>
      <c r="D128" s="217"/>
      <c r="E128" s="217"/>
      <c r="F128" s="217"/>
    </row>
    <row r="129" spans="1:6" x14ac:dyDescent="0.3">
      <c r="A129" s="217" t="s">
        <v>897</v>
      </c>
      <c r="B129" s="217" t="s">
        <v>859</v>
      </c>
      <c r="C129" s="217" t="s">
        <v>1183</v>
      </c>
      <c r="D129" s="217" t="s">
        <v>1199</v>
      </c>
      <c r="E129" s="217" t="s">
        <v>1181</v>
      </c>
      <c r="F129" s="217"/>
    </row>
    <row r="130" spans="1:6" x14ac:dyDescent="0.3">
      <c r="A130" s="217"/>
      <c r="B130" s="217"/>
      <c r="C130" s="217"/>
      <c r="D130" s="217"/>
      <c r="E130" s="217"/>
      <c r="F130" s="217"/>
    </row>
    <row r="131" spans="1:6" x14ac:dyDescent="0.3">
      <c r="A131" s="217"/>
      <c r="B131" s="217"/>
      <c r="C131" s="217"/>
      <c r="D131" s="217"/>
      <c r="E131" s="217"/>
      <c r="F131" s="217"/>
    </row>
    <row r="132" spans="1:6" x14ac:dyDescent="0.3">
      <c r="A132" s="217" t="s">
        <v>902</v>
      </c>
      <c r="B132" s="217" t="s">
        <v>904</v>
      </c>
      <c r="C132" s="217" t="s">
        <v>1183</v>
      </c>
      <c r="D132" s="217" t="s">
        <v>1226</v>
      </c>
      <c r="E132" s="217">
        <v>600</v>
      </c>
      <c r="F132" s="217"/>
    </row>
    <row r="133" spans="1:6" x14ac:dyDescent="0.3">
      <c r="A133" s="217" t="s">
        <v>902</v>
      </c>
      <c r="B133" s="217" t="s">
        <v>905</v>
      </c>
      <c r="C133" s="217" t="s">
        <v>1183</v>
      </c>
      <c r="D133" s="217" t="s">
        <v>1226</v>
      </c>
      <c r="E133" s="217">
        <v>600</v>
      </c>
      <c r="F133" s="217"/>
    </row>
    <row r="134" spans="1:6" x14ac:dyDescent="0.3">
      <c r="A134" s="217" t="s">
        <v>902</v>
      </c>
      <c r="B134" s="217" t="s">
        <v>906</v>
      </c>
      <c r="C134" s="217" t="s">
        <v>1183</v>
      </c>
      <c r="D134" s="217" t="s">
        <v>1184</v>
      </c>
      <c r="E134" s="217">
        <v>200</v>
      </c>
      <c r="F134" s="217"/>
    </row>
    <row r="135" spans="1:6" x14ac:dyDescent="0.3">
      <c r="A135" s="217"/>
      <c r="B135" s="217"/>
      <c r="C135" s="217"/>
      <c r="D135" s="217"/>
      <c r="E135" s="217"/>
      <c r="F135" s="217"/>
    </row>
    <row r="136" spans="1:6" x14ac:dyDescent="0.3">
      <c r="A136" s="217"/>
      <c r="B136" s="217"/>
      <c r="C136" s="217"/>
      <c r="D136" s="217"/>
      <c r="E136" s="217"/>
      <c r="F136" s="217"/>
    </row>
    <row r="137" spans="1:6" x14ac:dyDescent="0.3">
      <c r="A137" s="217"/>
      <c r="B137" s="217"/>
      <c r="C137" s="217"/>
      <c r="D137" s="217"/>
      <c r="E137" s="217"/>
      <c r="F137" s="217"/>
    </row>
    <row r="138" spans="1:6" x14ac:dyDescent="0.3">
      <c r="A138" s="217"/>
      <c r="B138" s="217"/>
      <c r="C138" s="217"/>
      <c r="D138" s="217"/>
      <c r="E138" s="217"/>
      <c r="F138" s="217"/>
    </row>
    <row r="139" spans="1:6" x14ac:dyDescent="0.3">
      <c r="A139" s="217" t="s">
        <v>910</v>
      </c>
      <c r="B139" s="217" t="s">
        <v>911</v>
      </c>
      <c r="C139" s="217" t="s">
        <v>1183</v>
      </c>
      <c r="D139" s="217" t="s">
        <v>1228</v>
      </c>
      <c r="E139" s="217" t="s">
        <v>1180</v>
      </c>
      <c r="F139" s="217"/>
    </row>
    <row r="140" spans="1:6" x14ac:dyDescent="0.3">
      <c r="A140" s="217"/>
      <c r="B140" s="217"/>
      <c r="C140" s="217"/>
      <c r="D140" s="217"/>
      <c r="E140" s="217"/>
      <c r="F140" s="217"/>
    </row>
    <row r="141" spans="1:6" x14ac:dyDescent="0.3">
      <c r="A141" s="217"/>
      <c r="B141" s="217"/>
      <c r="C141" s="217"/>
      <c r="D141" s="217"/>
      <c r="E141" s="217"/>
      <c r="F141" s="217"/>
    </row>
    <row r="142" spans="1:6" x14ac:dyDescent="0.3">
      <c r="A142" s="217"/>
      <c r="B142" s="217"/>
      <c r="C142" s="217"/>
      <c r="D142" s="217"/>
      <c r="E142" s="217"/>
      <c r="F142" s="217"/>
    </row>
    <row r="143" spans="1:6" x14ac:dyDescent="0.3">
      <c r="A143" s="217"/>
      <c r="B143" s="217"/>
      <c r="C143" s="217"/>
      <c r="D143" s="217"/>
      <c r="E143" s="217"/>
      <c r="F143" s="217"/>
    </row>
    <row r="144" spans="1:6" x14ac:dyDescent="0.3">
      <c r="A144" s="217"/>
      <c r="B144" s="217"/>
      <c r="C144" s="217"/>
      <c r="D144" s="217"/>
      <c r="E144" s="217"/>
      <c r="F144" s="217"/>
    </row>
    <row r="145" spans="1:6" x14ac:dyDescent="0.3">
      <c r="A145" s="217"/>
      <c r="B145" s="217"/>
      <c r="C145" s="217"/>
      <c r="D145" s="217"/>
      <c r="E145" s="217"/>
      <c r="F145" s="217"/>
    </row>
    <row r="146" spans="1:6" x14ac:dyDescent="0.3">
      <c r="A146" s="217"/>
      <c r="B146" s="217"/>
      <c r="C146" s="217"/>
      <c r="D146" s="217"/>
      <c r="E146" s="217"/>
      <c r="F146" s="217"/>
    </row>
    <row r="147" spans="1:6" x14ac:dyDescent="0.3">
      <c r="A147" s="217"/>
      <c r="B147" s="217"/>
      <c r="C147" s="217"/>
      <c r="D147" s="217"/>
      <c r="E147" s="217"/>
      <c r="F147" s="217"/>
    </row>
    <row r="148" spans="1:6" x14ac:dyDescent="0.3">
      <c r="A148" s="217"/>
      <c r="B148" s="217"/>
      <c r="C148" s="217"/>
      <c r="D148" s="217"/>
      <c r="E148" s="217"/>
      <c r="F148" s="217"/>
    </row>
    <row r="149" spans="1:6" x14ac:dyDescent="0.3">
      <c r="A149" s="217"/>
      <c r="B149" s="217"/>
      <c r="C149" s="217"/>
      <c r="D149" s="217"/>
      <c r="E149" s="217"/>
      <c r="F149" s="217"/>
    </row>
    <row r="150" spans="1:6" x14ac:dyDescent="0.3">
      <c r="A150" s="217"/>
      <c r="B150" s="217"/>
      <c r="C150" s="217"/>
      <c r="D150" s="217"/>
      <c r="E150" s="217"/>
      <c r="F150" s="217"/>
    </row>
    <row r="151" spans="1:6" x14ac:dyDescent="0.3">
      <c r="A151" s="217"/>
      <c r="B151" s="217"/>
      <c r="C151" s="217"/>
      <c r="D151" s="217"/>
      <c r="E151" s="217"/>
      <c r="F151" s="217"/>
    </row>
    <row r="152" spans="1:6" x14ac:dyDescent="0.3">
      <c r="A152" s="217"/>
      <c r="B152" s="217"/>
      <c r="C152" s="217"/>
      <c r="D152" s="217"/>
      <c r="E152" s="217"/>
      <c r="F152" s="217"/>
    </row>
    <row r="153" spans="1:6" x14ac:dyDescent="0.3">
      <c r="A153" s="217"/>
      <c r="B153" s="217"/>
      <c r="C153" s="217"/>
      <c r="D153" s="217"/>
      <c r="E153" s="217"/>
      <c r="F153" s="217"/>
    </row>
    <row r="154" spans="1:6" x14ac:dyDescent="0.3">
      <c r="A154" s="217"/>
      <c r="B154" s="217"/>
      <c r="C154" s="217"/>
      <c r="D154" s="217"/>
      <c r="E154" s="217"/>
      <c r="F154" s="217"/>
    </row>
    <row r="155" spans="1:6" x14ac:dyDescent="0.3">
      <c r="A155" s="217"/>
      <c r="B155" s="217"/>
      <c r="C155" s="217"/>
      <c r="D155" s="217"/>
      <c r="E155" s="217"/>
      <c r="F155" s="217"/>
    </row>
    <row r="156" spans="1:6" x14ac:dyDescent="0.3">
      <c r="A156" s="217"/>
      <c r="B156" s="217"/>
      <c r="C156" s="217"/>
      <c r="D156" s="217"/>
      <c r="E156" s="217"/>
      <c r="F156" s="217"/>
    </row>
    <row r="157" spans="1:6" x14ac:dyDescent="0.3">
      <c r="A157" s="217"/>
      <c r="B157" s="217"/>
      <c r="C157" s="217"/>
      <c r="D157" s="217"/>
      <c r="E157" s="217"/>
      <c r="F157" s="217"/>
    </row>
    <row r="158" spans="1:6" x14ac:dyDescent="0.3">
      <c r="A158" s="217"/>
      <c r="B158" s="217"/>
      <c r="C158" s="217"/>
      <c r="D158" s="217"/>
      <c r="E158" s="217"/>
      <c r="F158" s="217"/>
    </row>
    <row r="159" spans="1:6" x14ac:dyDescent="0.3">
      <c r="A159" s="217"/>
      <c r="B159" s="217"/>
      <c r="C159" s="217"/>
      <c r="D159" s="217"/>
      <c r="E159" s="217"/>
      <c r="F159" s="217"/>
    </row>
    <row r="160" spans="1:6" x14ac:dyDescent="0.3">
      <c r="A160" s="217"/>
      <c r="B160" s="217"/>
      <c r="C160" s="217"/>
      <c r="D160" s="217"/>
      <c r="E160" s="217"/>
      <c r="F160" s="217"/>
    </row>
    <row r="161" spans="1:6" x14ac:dyDescent="0.3">
      <c r="A161" s="217"/>
      <c r="B161" s="217"/>
      <c r="C161" s="217"/>
      <c r="D161" s="217"/>
      <c r="E161" s="217"/>
      <c r="F161" s="217"/>
    </row>
    <row r="162" spans="1:6" x14ac:dyDescent="0.3">
      <c r="A162" s="217"/>
      <c r="B162" s="217"/>
      <c r="C162" s="217"/>
      <c r="D162" s="217"/>
      <c r="E162" s="217"/>
      <c r="F162" s="217"/>
    </row>
    <row r="163" spans="1:6" x14ac:dyDescent="0.3">
      <c r="A163" s="217" t="s">
        <v>929</v>
      </c>
      <c r="B163" s="217" t="s">
        <v>863</v>
      </c>
      <c r="C163" s="217" t="s">
        <v>1183</v>
      </c>
      <c r="D163" s="217" t="s">
        <v>1203</v>
      </c>
      <c r="E163" s="217">
        <v>400</v>
      </c>
      <c r="F163" s="217"/>
    </row>
    <row r="164" spans="1:6" x14ac:dyDescent="0.3">
      <c r="A164" s="217"/>
      <c r="B164" s="217"/>
      <c r="C164" s="217"/>
      <c r="D164" s="217"/>
      <c r="E164" s="217"/>
      <c r="F164" s="217"/>
    </row>
    <row r="165" spans="1:6" x14ac:dyDescent="0.3">
      <c r="A165" s="217" t="s">
        <v>929</v>
      </c>
      <c r="B165" s="217" t="s">
        <v>864</v>
      </c>
      <c r="C165" s="217" t="s">
        <v>1183</v>
      </c>
      <c r="D165" s="217" t="s">
        <v>1203</v>
      </c>
      <c r="E165" s="217" t="s">
        <v>1179</v>
      </c>
      <c r="F165" s="217"/>
    </row>
    <row r="166" spans="1:6" x14ac:dyDescent="0.3">
      <c r="A166" s="217"/>
      <c r="B166" s="217"/>
      <c r="C166" s="217"/>
      <c r="D166" s="217"/>
      <c r="E166" s="217"/>
      <c r="F166" s="217"/>
    </row>
    <row r="167" spans="1:6" x14ac:dyDescent="0.3">
      <c r="A167" s="217"/>
      <c r="B167" s="217"/>
      <c r="C167" s="217"/>
      <c r="D167" s="217"/>
      <c r="E167" s="217"/>
      <c r="F167" s="217"/>
    </row>
    <row r="168" spans="1:6" x14ac:dyDescent="0.3">
      <c r="A168" s="217"/>
      <c r="B168" s="217"/>
      <c r="C168" s="217"/>
      <c r="D168" s="217"/>
      <c r="E168" s="217"/>
      <c r="F168" s="217"/>
    </row>
    <row r="169" spans="1:6" x14ac:dyDescent="0.3">
      <c r="A169" s="217"/>
      <c r="B169" s="217"/>
      <c r="C169" s="217"/>
      <c r="D169" s="217"/>
      <c r="E169" s="217"/>
      <c r="F169" s="217"/>
    </row>
    <row r="170" spans="1:6" x14ac:dyDescent="0.3">
      <c r="A170" s="217"/>
      <c r="B170" s="217"/>
      <c r="C170" s="217"/>
      <c r="D170" s="217"/>
      <c r="E170" s="217"/>
      <c r="F170" s="217"/>
    </row>
    <row r="171" spans="1:6" x14ac:dyDescent="0.3">
      <c r="A171" s="217"/>
      <c r="B171" s="217"/>
      <c r="C171" s="217"/>
      <c r="D171" s="217"/>
      <c r="E171" s="217"/>
      <c r="F171" s="217"/>
    </row>
    <row r="172" spans="1:6" x14ac:dyDescent="0.3">
      <c r="A172" s="217"/>
      <c r="B172" s="217"/>
      <c r="C172" s="217"/>
      <c r="D172" s="217"/>
      <c r="E172" s="217"/>
      <c r="F172" s="217"/>
    </row>
    <row r="173" spans="1:6" x14ac:dyDescent="0.3">
      <c r="A173" s="217"/>
      <c r="B173" s="217"/>
      <c r="C173" s="217"/>
      <c r="D173" s="217"/>
      <c r="E173" s="217"/>
      <c r="F173" s="217"/>
    </row>
    <row r="174" spans="1:6" x14ac:dyDescent="0.3">
      <c r="A174" s="217"/>
      <c r="B174" s="217"/>
      <c r="C174" s="217"/>
      <c r="D174" s="217"/>
      <c r="E174" s="217"/>
      <c r="F174" s="217"/>
    </row>
    <row r="175" spans="1:6" x14ac:dyDescent="0.3">
      <c r="A175" s="217"/>
      <c r="B175" s="217"/>
      <c r="C175" s="217"/>
      <c r="D175" s="217"/>
      <c r="E175" s="217"/>
      <c r="F175" s="217"/>
    </row>
    <row r="176" spans="1:6" x14ac:dyDescent="0.3">
      <c r="A176" s="217"/>
      <c r="B176" s="217"/>
      <c r="C176" s="217"/>
      <c r="D176" s="217"/>
      <c r="E176" s="217"/>
      <c r="F176" s="217"/>
    </row>
    <row r="177" spans="1:6" x14ac:dyDescent="0.3">
      <c r="A177" s="217"/>
      <c r="B177" s="217"/>
      <c r="C177" s="217"/>
      <c r="D177" s="217"/>
      <c r="E177" s="217"/>
      <c r="F177" s="217"/>
    </row>
    <row r="178" spans="1:6" x14ac:dyDescent="0.3">
      <c r="A178" s="217"/>
      <c r="B178" s="217"/>
      <c r="C178" s="217"/>
      <c r="D178" s="217"/>
      <c r="E178" s="217"/>
      <c r="F178" s="217"/>
    </row>
    <row r="179" spans="1:6" x14ac:dyDescent="0.3">
      <c r="A179" s="217"/>
      <c r="B179" s="217"/>
      <c r="C179" s="217"/>
      <c r="D179" s="217"/>
      <c r="E179" s="217"/>
      <c r="F179" s="217"/>
    </row>
    <row r="180" spans="1:6" x14ac:dyDescent="0.3">
      <c r="A180" s="217"/>
      <c r="B180" s="217"/>
      <c r="C180" s="217"/>
      <c r="D180" s="217"/>
      <c r="E180" s="217"/>
      <c r="F180" s="217"/>
    </row>
    <row r="181" spans="1:6" x14ac:dyDescent="0.3">
      <c r="A181" s="217"/>
      <c r="B181" s="217"/>
      <c r="C181" s="217"/>
      <c r="D181" s="217"/>
      <c r="E181" s="217"/>
      <c r="F181" s="217"/>
    </row>
    <row r="182" spans="1:6" x14ac:dyDescent="0.3">
      <c r="A182" s="217" t="s">
        <v>952</v>
      </c>
      <c r="B182" s="217" t="s">
        <v>772</v>
      </c>
      <c r="C182" s="217" t="s">
        <v>1183</v>
      </c>
      <c r="D182" s="217" t="s">
        <v>1184</v>
      </c>
      <c r="E182" s="217" t="s">
        <v>1182</v>
      </c>
      <c r="F182" s="217"/>
    </row>
    <row r="183" spans="1:6" x14ac:dyDescent="0.3">
      <c r="A183" s="217" t="s">
        <v>952</v>
      </c>
      <c r="B183" s="217" t="s">
        <v>954</v>
      </c>
      <c r="C183" s="217" t="s">
        <v>1183</v>
      </c>
      <c r="D183" s="217" t="s">
        <v>1184</v>
      </c>
      <c r="E183" s="217">
        <v>200</v>
      </c>
      <c r="F183" s="217"/>
    </row>
    <row r="184" spans="1:6" x14ac:dyDescent="0.3">
      <c r="A184" s="217"/>
      <c r="B184" s="217"/>
      <c r="C184" s="217"/>
      <c r="D184" s="217"/>
      <c r="E184" s="217"/>
      <c r="F184" s="217"/>
    </row>
    <row r="185" spans="1:6" x14ac:dyDescent="0.3">
      <c r="A185" s="217"/>
      <c r="B185" s="217"/>
      <c r="C185" s="217"/>
      <c r="D185" s="217"/>
      <c r="E185" s="217"/>
      <c r="F185" s="217"/>
    </row>
    <row r="186" spans="1:6" x14ac:dyDescent="0.3">
      <c r="A186" s="217"/>
      <c r="B186" s="217"/>
      <c r="C186" s="217"/>
      <c r="D186" s="217"/>
      <c r="E186" s="217"/>
      <c r="F186" s="217"/>
    </row>
    <row r="187" spans="1:6" x14ac:dyDescent="0.3">
      <c r="A187" s="217"/>
      <c r="B187" s="217"/>
      <c r="C187" s="217"/>
      <c r="D187" s="217"/>
      <c r="E187" s="217"/>
      <c r="F187" s="217"/>
    </row>
    <row r="188" spans="1:6" x14ac:dyDescent="0.3">
      <c r="A188" s="217"/>
      <c r="B188" s="217"/>
      <c r="C188" s="217"/>
      <c r="D188" s="217"/>
      <c r="E188" s="217"/>
      <c r="F188" s="217"/>
    </row>
    <row r="189" spans="1:6" x14ac:dyDescent="0.3">
      <c r="A189" s="217"/>
      <c r="B189" s="217"/>
      <c r="C189" s="217"/>
      <c r="D189" s="217"/>
      <c r="E189" s="217"/>
      <c r="F189" s="217"/>
    </row>
    <row r="190" spans="1:6" x14ac:dyDescent="0.3">
      <c r="A190" s="217"/>
      <c r="B190" s="217"/>
      <c r="C190" s="217"/>
      <c r="D190" s="217"/>
      <c r="E190" s="217"/>
      <c r="F190" s="217"/>
    </row>
    <row r="191" spans="1:6" x14ac:dyDescent="0.3">
      <c r="A191" s="217"/>
      <c r="B191" s="217"/>
      <c r="C191" s="217"/>
      <c r="D191" s="217"/>
      <c r="E191" s="217"/>
      <c r="F191" s="217"/>
    </row>
    <row r="192" spans="1:6" x14ac:dyDescent="0.3">
      <c r="A192" s="217"/>
      <c r="B192" s="217"/>
      <c r="C192" s="217"/>
      <c r="D192" s="217"/>
      <c r="E192" s="217"/>
      <c r="F192" s="217"/>
    </row>
    <row r="193" spans="1:6" x14ac:dyDescent="0.3">
      <c r="A193" s="217"/>
      <c r="B193" s="217"/>
      <c r="C193" s="217"/>
      <c r="D193" s="217"/>
      <c r="E193" s="217"/>
      <c r="F193" s="217"/>
    </row>
    <row r="194" spans="1:6" x14ac:dyDescent="0.3">
      <c r="A194" s="217"/>
      <c r="B194" s="217"/>
      <c r="C194" s="217"/>
      <c r="D194" s="217"/>
      <c r="E194" s="217"/>
      <c r="F194" s="217"/>
    </row>
    <row r="195" spans="1:6" x14ac:dyDescent="0.3">
      <c r="A195" s="217"/>
      <c r="B195" s="217"/>
      <c r="C195" s="217"/>
      <c r="D195" s="217"/>
      <c r="E195" s="217"/>
      <c r="F195" s="217"/>
    </row>
    <row r="196" spans="1:6" x14ac:dyDescent="0.3">
      <c r="A196" s="217"/>
      <c r="B196" s="217"/>
      <c r="C196" s="217"/>
      <c r="D196" s="217"/>
      <c r="E196" s="217"/>
      <c r="F196" s="217"/>
    </row>
    <row r="197" spans="1:6" x14ac:dyDescent="0.3">
      <c r="A197" s="217"/>
      <c r="B197" s="217"/>
      <c r="C197" s="217"/>
      <c r="D197" s="217"/>
      <c r="E197" s="217"/>
      <c r="F197" s="217"/>
    </row>
    <row r="198" spans="1:6" x14ac:dyDescent="0.3">
      <c r="A198" s="217"/>
      <c r="B198" s="217"/>
      <c r="C198" s="217"/>
      <c r="D198" s="217"/>
      <c r="E198" s="217"/>
      <c r="F198" s="217"/>
    </row>
    <row r="199" spans="1:6" x14ac:dyDescent="0.3">
      <c r="A199" s="217"/>
      <c r="B199" s="217"/>
      <c r="C199" s="217"/>
      <c r="D199" s="217"/>
      <c r="E199" s="217"/>
      <c r="F199" s="217"/>
    </row>
    <row r="200" spans="1:6" x14ac:dyDescent="0.3">
      <c r="A200" s="217"/>
      <c r="B200" s="217"/>
      <c r="C200" s="217"/>
      <c r="D200" s="217"/>
      <c r="E200" s="217"/>
      <c r="F200" s="217"/>
    </row>
    <row r="201" spans="1:6" x14ac:dyDescent="0.3">
      <c r="A201" s="217"/>
      <c r="B201" s="217"/>
      <c r="C201" s="217"/>
      <c r="D201" s="217"/>
      <c r="E201" s="217"/>
      <c r="F201" s="217"/>
    </row>
    <row r="202" spans="1:6" x14ac:dyDescent="0.3">
      <c r="A202" s="217"/>
      <c r="B202" s="217"/>
      <c r="C202" s="217"/>
      <c r="D202" s="217"/>
      <c r="E202" s="217"/>
      <c r="F202" s="217"/>
    </row>
    <row r="203" spans="1:6" x14ac:dyDescent="0.3">
      <c r="A203" s="217"/>
      <c r="B203" s="217"/>
      <c r="C203" s="217"/>
      <c r="D203" s="217"/>
      <c r="E203" s="217"/>
      <c r="F203" s="217"/>
    </row>
    <row r="204" spans="1:6" x14ac:dyDescent="0.3">
      <c r="A204" s="217"/>
      <c r="B204" s="217"/>
      <c r="C204" s="217"/>
      <c r="D204" s="217"/>
      <c r="E204" s="217"/>
      <c r="F204" s="217"/>
    </row>
    <row r="205" spans="1:6" x14ac:dyDescent="0.3">
      <c r="A205" s="217"/>
      <c r="B205" s="217"/>
      <c r="C205" s="217"/>
      <c r="D205" s="217"/>
      <c r="E205" s="217"/>
      <c r="F205" s="217"/>
    </row>
    <row r="206" spans="1:6" x14ac:dyDescent="0.3">
      <c r="A206" s="217"/>
      <c r="B206" s="217"/>
      <c r="C206" s="217"/>
      <c r="D206" s="217"/>
      <c r="E206" s="217"/>
      <c r="F206" s="217"/>
    </row>
    <row r="207" spans="1:6" x14ac:dyDescent="0.3">
      <c r="A207" s="217"/>
      <c r="B207" s="217"/>
      <c r="C207" s="217"/>
      <c r="D207" s="217"/>
      <c r="E207" s="217"/>
      <c r="F207" s="217"/>
    </row>
    <row r="208" spans="1:6" x14ac:dyDescent="0.3">
      <c r="A208" s="217"/>
      <c r="B208" s="217"/>
      <c r="C208" s="217"/>
      <c r="D208" s="217"/>
      <c r="E208" s="217"/>
      <c r="F208" s="217"/>
    </row>
    <row r="209" spans="1:6" x14ac:dyDescent="0.3">
      <c r="A209" s="217"/>
      <c r="B209" s="217"/>
      <c r="C209" s="217"/>
      <c r="D209" s="217"/>
      <c r="E209" s="217"/>
      <c r="F209" s="217"/>
    </row>
    <row r="210" spans="1:6" x14ac:dyDescent="0.3">
      <c r="A210" s="217"/>
      <c r="B210" s="217"/>
      <c r="C210" s="217"/>
      <c r="D210" s="217"/>
      <c r="E210" s="217"/>
      <c r="F210" s="217"/>
    </row>
    <row r="211" spans="1:6" x14ac:dyDescent="0.3">
      <c r="A211" s="217"/>
      <c r="B211" s="217"/>
      <c r="C211" s="217"/>
      <c r="D211" s="217"/>
      <c r="E211" s="217"/>
      <c r="F211" s="217"/>
    </row>
    <row r="212" spans="1:6" x14ac:dyDescent="0.3">
      <c r="A212" s="217"/>
      <c r="B212" s="217"/>
      <c r="C212" s="217"/>
      <c r="D212" s="217"/>
      <c r="E212" s="217"/>
      <c r="F212" s="217"/>
    </row>
    <row r="213" spans="1:6" x14ac:dyDescent="0.3">
      <c r="A213" s="217"/>
      <c r="B213" s="217"/>
      <c r="C213" s="217"/>
      <c r="D213" s="217"/>
      <c r="E213" s="217"/>
      <c r="F213" s="217"/>
    </row>
    <row r="214" spans="1:6" x14ac:dyDescent="0.3">
      <c r="A214" s="217"/>
      <c r="B214" s="217"/>
      <c r="C214" s="217"/>
      <c r="D214" s="217"/>
      <c r="E214" s="217"/>
      <c r="F214" s="217"/>
    </row>
    <row r="215" spans="1:6" x14ac:dyDescent="0.3">
      <c r="A215" s="217"/>
      <c r="B215" s="217"/>
      <c r="C215" s="217"/>
      <c r="D215" s="217"/>
      <c r="E215" s="217"/>
      <c r="F215" s="217"/>
    </row>
    <row r="216" spans="1:6" x14ac:dyDescent="0.3">
      <c r="A216" s="217"/>
      <c r="B216" s="217"/>
      <c r="C216" s="217"/>
      <c r="D216" s="217"/>
      <c r="E216" s="217"/>
      <c r="F216" s="217"/>
    </row>
    <row r="217" spans="1:6" x14ac:dyDescent="0.3">
      <c r="A217" s="217"/>
      <c r="B217" s="217"/>
      <c r="C217" s="217"/>
      <c r="D217" s="217"/>
      <c r="E217" s="217"/>
      <c r="F217" s="217"/>
    </row>
    <row r="218" spans="1:6" x14ac:dyDescent="0.3">
      <c r="A218" s="217"/>
      <c r="B218" s="217"/>
      <c r="C218" s="217"/>
      <c r="D218" s="217"/>
      <c r="E218" s="217"/>
      <c r="F218" s="217"/>
    </row>
    <row r="219" spans="1:6" x14ac:dyDescent="0.3">
      <c r="A219" s="217"/>
      <c r="B219" s="217"/>
      <c r="C219" s="217"/>
      <c r="D219" s="217"/>
      <c r="E219" s="217"/>
      <c r="F219" s="217"/>
    </row>
    <row r="220" spans="1:6" x14ac:dyDescent="0.3">
      <c r="A220" s="217"/>
      <c r="B220" s="217"/>
      <c r="C220" s="217"/>
      <c r="D220" s="217"/>
      <c r="E220" s="217"/>
      <c r="F220" s="217"/>
    </row>
    <row r="221" spans="1:6" x14ac:dyDescent="0.3">
      <c r="A221" s="217"/>
      <c r="B221" s="217"/>
      <c r="C221" s="217"/>
      <c r="D221" s="217"/>
      <c r="E221" s="217"/>
      <c r="F221" s="217"/>
    </row>
    <row r="222" spans="1:6" x14ac:dyDescent="0.3">
      <c r="A222" s="217" t="s">
        <v>1252</v>
      </c>
      <c r="B222" s="217" t="s">
        <v>894</v>
      </c>
      <c r="C222" s="217" t="s">
        <v>1183</v>
      </c>
      <c r="D222" s="217" t="s">
        <v>1199</v>
      </c>
      <c r="E222" s="217">
        <v>150</v>
      </c>
      <c r="F222" s="217"/>
    </row>
    <row r="223" spans="1:6" x14ac:dyDescent="0.3">
      <c r="A223" s="217"/>
      <c r="B223" s="217"/>
      <c r="C223" s="217"/>
      <c r="D223" s="217"/>
      <c r="E223" s="217"/>
      <c r="F223" s="217"/>
    </row>
    <row r="224" spans="1:6" x14ac:dyDescent="0.3">
      <c r="A224" s="217"/>
      <c r="B224" s="217"/>
      <c r="C224" s="217"/>
      <c r="D224" s="217"/>
      <c r="E224" s="217"/>
      <c r="F224" s="217"/>
    </row>
    <row r="225" spans="1:6" x14ac:dyDescent="0.3">
      <c r="A225" s="217"/>
      <c r="B225" s="217"/>
      <c r="C225" s="217"/>
      <c r="D225" s="217"/>
      <c r="E225" s="217"/>
      <c r="F225" s="217"/>
    </row>
    <row r="226" spans="1:6" x14ac:dyDescent="0.3">
      <c r="A226" s="217"/>
      <c r="B226" s="217"/>
      <c r="C226" s="217"/>
      <c r="D226" s="217"/>
      <c r="E226" s="217"/>
      <c r="F226" s="217"/>
    </row>
    <row r="227" spans="1:6" x14ac:dyDescent="0.3">
      <c r="A227" s="217"/>
      <c r="B227" s="217"/>
      <c r="C227" s="217"/>
      <c r="D227" s="217"/>
      <c r="E227" s="217"/>
      <c r="F227" s="217"/>
    </row>
    <row r="228" spans="1:6" x14ac:dyDescent="0.3">
      <c r="A228" s="217"/>
      <c r="B228" s="217"/>
      <c r="C228" s="217"/>
      <c r="D228" s="217"/>
      <c r="E228" s="217"/>
      <c r="F228" s="217"/>
    </row>
    <row r="229" spans="1:6" x14ac:dyDescent="0.3">
      <c r="A229" s="217"/>
      <c r="B229" s="217"/>
      <c r="C229" s="217"/>
      <c r="D229" s="217"/>
      <c r="E229" s="217"/>
      <c r="F229" s="217"/>
    </row>
    <row r="230" spans="1:6" x14ac:dyDescent="0.3">
      <c r="A230" s="217"/>
      <c r="B230" s="217"/>
      <c r="C230" s="217"/>
      <c r="D230" s="217"/>
      <c r="E230" s="217"/>
      <c r="F230" s="217"/>
    </row>
    <row r="231" spans="1:6" x14ac:dyDescent="0.3">
      <c r="A231" s="217"/>
      <c r="B231" s="217"/>
      <c r="C231" s="217"/>
      <c r="D231" s="217"/>
      <c r="E231" s="217"/>
      <c r="F231" s="217"/>
    </row>
    <row r="232" spans="1:6" x14ac:dyDescent="0.3">
      <c r="A232" s="217"/>
      <c r="B232" s="217"/>
      <c r="C232" s="217"/>
      <c r="D232" s="217"/>
      <c r="E232" s="217"/>
      <c r="F232" s="217"/>
    </row>
    <row r="233" spans="1:6" x14ac:dyDescent="0.3">
      <c r="A233" s="217"/>
      <c r="B233" s="217"/>
      <c r="C233" s="217"/>
      <c r="D233" s="217"/>
      <c r="E233" s="217"/>
      <c r="F233" s="217"/>
    </row>
    <row r="234" spans="1:6" x14ac:dyDescent="0.3">
      <c r="A234" s="217"/>
      <c r="B234" s="217"/>
      <c r="C234" s="217"/>
      <c r="D234" s="217"/>
      <c r="E234" s="217"/>
      <c r="F234" s="217"/>
    </row>
    <row r="235" spans="1:6" x14ac:dyDescent="0.3">
      <c r="A235" s="217"/>
      <c r="B235" s="217"/>
      <c r="C235" s="217"/>
      <c r="D235" s="217"/>
      <c r="E235" s="217"/>
      <c r="F235" s="217"/>
    </row>
    <row r="236" spans="1:6" x14ac:dyDescent="0.3">
      <c r="A236" s="217"/>
      <c r="B236" s="217"/>
      <c r="C236" s="217"/>
      <c r="D236" s="217"/>
      <c r="E236" s="217"/>
      <c r="F236" s="217"/>
    </row>
    <row r="237" spans="1:6" x14ac:dyDescent="0.3">
      <c r="A237" s="217"/>
      <c r="B237" s="217"/>
      <c r="C237" s="217"/>
      <c r="D237" s="217"/>
      <c r="E237" s="217"/>
      <c r="F237" s="217"/>
    </row>
    <row r="238" spans="1:6" x14ac:dyDescent="0.3">
      <c r="A238" s="217"/>
      <c r="B238" s="217"/>
      <c r="C238" s="217"/>
      <c r="D238" s="217"/>
      <c r="E238" s="217"/>
      <c r="F238" s="217"/>
    </row>
    <row r="239" spans="1:6" x14ac:dyDescent="0.3">
      <c r="A239" s="217"/>
      <c r="B239" s="217"/>
      <c r="C239" s="217"/>
      <c r="D239" s="217"/>
      <c r="E239" s="217"/>
      <c r="F239" s="217"/>
    </row>
    <row r="240" spans="1:6" x14ac:dyDescent="0.3">
      <c r="A240" s="217"/>
      <c r="B240" s="217"/>
      <c r="C240" s="217"/>
      <c r="D240" s="217"/>
      <c r="E240" s="217"/>
      <c r="F240" s="217"/>
    </row>
    <row r="241" spans="1:6" x14ac:dyDescent="0.3">
      <c r="A241" s="217"/>
      <c r="B241" s="217"/>
      <c r="C241" s="217"/>
      <c r="D241" s="217"/>
      <c r="E241" s="217"/>
      <c r="F241" s="217"/>
    </row>
    <row r="242" spans="1:6" x14ac:dyDescent="0.3">
      <c r="A242" s="217"/>
      <c r="B242" s="217"/>
      <c r="C242" s="217"/>
      <c r="D242" s="217"/>
      <c r="E242" s="217"/>
      <c r="F242" s="217"/>
    </row>
    <row r="243" spans="1:6" x14ac:dyDescent="0.3">
      <c r="A243" s="217"/>
      <c r="B243" s="217"/>
      <c r="C243" s="217"/>
      <c r="D243" s="217"/>
      <c r="E243" s="217"/>
      <c r="F243" s="217"/>
    </row>
    <row r="244" spans="1:6" x14ac:dyDescent="0.3">
      <c r="A244" s="217"/>
      <c r="B244" s="217"/>
      <c r="C244" s="217"/>
      <c r="D244" s="217"/>
      <c r="E244" s="217"/>
      <c r="F244" s="217"/>
    </row>
    <row r="245" spans="1:6" x14ac:dyDescent="0.3">
      <c r="A245" s="217"/>
      <c r="B245" s="217"/>
      <c r="C245" s="217"/>
      <c r="D245" s="217"/>
      <c r="E245" s="217"/>
      <c r="F245" s="217"/>
    </row>
    <row r="246" spans="1:6" x14ac:dyDescent="0.3">
      <c r="A246" s="217"/>
      <c r="B246" s="217"/>
      <c r="C246" s="217"/>
      <c r="D246" s="217"/>
      <c r="E246" s="217"/>
      <c r="F246" s="217"/>
    </row>
    <row r="247" spans="1:6" x14ac:dyDescent="0.3">
      <c r="A247" s="217"/>
      <c r="B247" s="217"/>
      <c r="C247" s="217"/>
      <c r="D247" s="217"/>
      <c r="E247" s="217"/>
      <c r="F247" s="217"/>
    </row>
    <row r="248" spans="1:6" x14ac:dyDescent="0.3">
      <c r="A248" s="217"/>
      <c r="B248" s="217"/>
      <c r="C248" s="217"/>
      <c r="D248" s="217"/>
      <c r="E248" s="217"/>
      <c r="F248" s="217"/>
    </row>
    <row r="249" spans="1:6" x14ac:dyDescent="0.3">
      <c r="A249" s="217"/>
      <c r="B249" s="217"/>
      <c r="C249" s="217"/>
      <c r="D249" s="217"/>
      <c r="E249" s="217"/>
      <c r="F249" s="217"/>
    </row>
    <row r="250" spans="1:6" x14ac:dyDescent="0.3">
      <c r="A250" s="217"/>
      <c r="B250" s="217"/>
      <c r="C250" s="217"/>
      <c r="D250" s="217"/>
      <c r="E250" s="217"/>
      <c r="F250" s="217"/>
    </row>
    <row r="251" spans="1:6" x14ac:dyDescent="0.3">
      <c r="A251" s="217"/>
      <c r="B251" s="217"/>
      <c r="C251" s="217"/>
      <c r="D251" s="217"/>
      <c r="E251" s="217"/>
      <c r="F251" s="217"/>
    </row>
    <row r="252" spans="1:6" x14ac:dyDescent="0.3">
      <c r="A252" s="217"/>
      <c r="B252" s="217"/>
      <c r="C252" s="217"/>
      <c r="D252" s="217"/>
      <c r="E252" s="217"/>
      <c r="F252" s="217"/>
    </row>
    <row r="253" spans="1:6" x14ac:dyDescent="0.3">
      <c r="A253" s="217"/>
      <c r="B253" s="217"/>
      <c r="C253" s="217"/>
      <c r="D253" s="217"/>
      <c r="E253" s="217"/>
      <c r="F253" s="217"/>
    </row>
    <row r="254" spans="1:6" x14ac:dyDescent="0.3">
      <c r="A254" s="217"/>
      <c r="B254" s="217"/>
      <c r="C254" s="217"/>
      <c r="D254" s="217"/>
      <c r="E254" s="217"/>
      <c r="F254" s="217"/>
    </row>
    <row r="255" spans="1:6" x14ac:dyDescent="0.3">
      <c r="A255" s="217"/>
      <c r="B255" s="217"/>
      <c r="C255" s="217"/>
      <c r="D255" s="217"/>
      <c r="E255" s="217"/>
      <c r="F255" s="217"/>
    </row>
    <row r="256" spans="1:6" x14ac:dyDescent="0.3">
      <c r="A256" s="217"/>
      <c r="B256" s="217"/>
      <c r="C256" s="217"/>
      <c r="D256" s="217"/>
      <c r="E256" s="217"/>
      <c r="F256" s="217"/>
    </row>
    <row r="257" spans="1:6" x14ac:dyDescent="0.3">
      <c r="A257" s="217"/>
      <c r="B257" s="217"/>
      <c r="C257" s="217"/>
      <c r="D257" s="217"/>
      <c r="E257" s="217"/>
      <c r="F257" s="217"/>
    </row>
    <row r="258" spans="1:6" x14ac:dyDescent="0.3">
      <c r="A258" s="217"/>
      <c r="B258" s="217"/>
      <c r="C258" s="217"/>
      <c r="D258" s="217"/>
      <c r="E258" s="217"/>
      <c r="F258" s="217"/>
    </row>
    <row r="259" spans="1:6" x14ac:dyDescent="0.3">
      <c r="A259" s="217"/>
      <c r="B259" s="217"/>
      <c r="C259" s="217"/>
      <c r="D259" s="217"/>
      <c r="E259" s="217"/>
      <c r="F259" s="217"/>
    </row>
    <row r="260" spans="1:6" x14ac:dyDescent="0.3">
      <c r="A260" s="217"/>
      <c r="B260" s="217"/>
      <c r="C260" s="217"/>
      <c r="D260" s="217"/>
      <c r="E260" s="217"/>
      <c r="F260" s="217"/>
    </row>
    <row r="261" spans="1:6" x14ac:dyDescent="0.3">
      <c r="A261" s="217"/>
      <c r="B261" s="217"/>
      <c r="C261" s="217"/>
      <c r="D261" s="217"/>
      <c r="E261" s="217"/>
      <c r="F261" s="217"/>
    </row>
    <row r="262" spans="1:6" x14ac:dyDescent="0.3">
      <c r="A262" s="217"/>
      <c r="B262" s="217"/>
      <c r="C262" s="217"/>
      <c r="D262" s="217"/>
      <c r="E262" s="217"/>
      <c r="F262" s="217"/>
    </row>
    <row r="263" spans="1:6" x14ac:dyDescent="0.3">
      <c r="A263" s="217"/>
      <c r="B263" s="217"/>
      <c r="C263" s="217"/>
      <c r="D263" s="217"/>
      <c r="E263" s="217"/>
      <c r="F263" s="217"/>
    </row>
    <row r="264" spans="1:6" x14ac:dyDescent="0.3">
      <c r="A264" s="217"/>
      <c r="B264" s="217"/>
      <c r="C264" s="217"/>
      <c r="D264" s="217"/>
      <c r="E264" s="217"/>
      <c r="F264" s="217"/>
    </row>
    <row r="265" spans="1:6" x14ac:dyDescent="0.3">
      <c r="A265" s="217"/>
      <c r="B265" s="217"/>
      <c r="C265" s="217"/>
      <c r="D265" s="217"/>
      <c r="E265" s="217"/>
      <c r="F265" s="217"/>
    </row>
    <row r="266" spans="1:6" x14ac:dyDescent="0.3">
      <c r="A266" s="217"/>
      <c r="B266" s="217"/>
      <c r="C266" s="217"/>
      <c r="D266" s="217"/>
      <c r="E266" s="217"/>
      <c r="F266" s="217"/>
    </row>
    <row r="267" spans="1:6" x14ac:dyDescent="0.3">
      <c r="A267" s="217"/>
      <c r="B267" s="217"/>
      <c r="C267" s="217"/>
      <c r="D267" s="217"/>
      <c r="E267" s="217"/>
      <c r="F267" s="217"/>
    </row>
    <row r="268" spans="1:6" x14ac:dyDescent="0.3">
      <c r="A268" s="217"/>
      <c r="B268" s="217"/>
      <c r="C268" s="217"/>
      <c r="D268" s="217"/>
      <c r="E268" s="217"/>
      <c r="F268" s="217"/>
    </row>
    <row r="269" spans="1:6" x14ac:dyDescent="0.3">
      <c r="A269" s="217"/>
      <c r="B269" s="217"/>
      <c r="C269" s="217"/>
      <c r="D269" s="217"/>
      <c r="E269" s="217"/>
      <c r="F269" s="217"/>
    </row>
    <row r="270" spans="1:6" x14ac:dyDescent="0.3">
      <c r="A270" s="217"/>
      <c r="B270" s="217"/>
      <c r="C270" s="217"/>
      <c r="D270" s="217"/>
      <c r="E270" s="217"/>
      <c r="F270" s="217"/>
    </row>
    <row r="271" spans="1:6" x14ac:dyDescent="0.3">
      <c r="A271" s="217"/>
      <c r="B271" s="217"/>
      <c r="C271" s="217"/>
      <c r="D271" s="217"/>
      <c r="E271" s="217"/>
      <c r="F271" s="217"/>
    </row>
    <row r="272" spans="1:6" x14ac:dyDescent="0.3">
      <c r="A272" s="217"/>
      <c r="B272" s="217"/>
      <c r="C272" s="217"/>
      <c r="D272" s="217"/>
      <c r="E272" s="217"/>
      <c r="F272" s="217"/>
    </row>
    <row r="273" spans="1:6" x14ac:dyDescent="0.3">
      <c r="A273" s="217"/>
      <c r="B273" s="217"/>
      <c r="C273" s="217"/>
      <c r="D273" s="217"/>
      <c r="E273" s="217"/>
      <c r="F273" s="217"/>
    </row>
    <row r="274" spans="1:6" x14ac:dyDescent="0.3">
      <c r="A274" s="217"/>
      <c r="B274" s="217"/>
      <c r="C274" s="217"/>
      <c r="D274" s="217"/>
      <c r="E274" s="217"/>
      <c r="F274" s="217"/>
    </row>
    <row r="275" spans="1:6" x14ac:dyDescent="0.3">
      <c r="A275" s="217"/>
      <c r="B275" s="217"/>
      <c r="C275" s="217"/>
      <c r="D275" s="217"/>
      <c r="E275" s="217"/>
      <c r="F275" s="217"/>
    </row>
    <row r="276" spans="1:6" x14ac:dyDescent="0.3">
      <c r="A276" s="217"/>
      <c r="B276" s="217"/>
      <c r="C276" s="217"/>
      <c r="D276" s="217"/>
      <c r="E276" s="217"/>
      <c r="F276" s="217"/>
    </row>
    <row r="277" spans="1:6" x14ac:dyDescent="0.3">
      <c r="A277" s="217"/>
      <c r="B277" s="217"/>
      <c r="C277" s="217"/>
      <c r="D277" s="217"/>
      <c r="E277" s="217"/>
      <c r="F277" s="217"/>
    </row>
    <row r="278" spans="1:6" x14ac:dyDescent="0.3">
      <c r="A278" s="217"/>
      <c r="B278" s="217"/>
      <c r="C278" s="217"/>
      <c r="D278" s="217"/>
      <c r="E278" s="217"/>
      <c r="F278" s="217"/>
    </row>
    <row r="279" spans="1:6" x14ac:dyDescent="0.3">
      <c r="A279" s="217"/>
      <c r="B279" s="217"/>
      <c r="C279" s="217"/>
      <c r="D279" s="217"/>
      <c r="E279" s="217"/>
      <c r="F279" s="217"/>
    </row>
    <row r="280" spans="1:6" x14ac:dyDescent="0.3">
      <c r="A280" s="217"/>
      <c r="B280" s="217"/>
      <c r="C280" s="217"/>
      <c r="D280" s="217"/>
      <c r="E280" s="217"/>
      <c r="F280" s="217"/>
    </row>
    <row r="281" spans="1:6" x14ac:dyDescent="0.3">
      <c r="A281" s="217"/>
      <c r="B281" s="217"/>
      <c r="C281" s="217"/>
      <c r="D281" s="217"/>
      <c r="E281" s="217"/>
      <c r="F281" s="217"/>
    </row>
    <row r="282" spans="1:6" x14ac:dyDescent="0.3">
      <c r="A282" s="217"/>
      <c r="B282" s="217"/>
      <c r="C282" s="217"/>
      <c r="D282" s="217"/>
      <c r="E282" s="217"/>
      <c r="F282" s="217"/>
    </row>
    <row r="283" spans="1:6" x14ac:dyDescent="0.3">
      <c r="A283" s="217"/>
      <c r="B283" s="217"/>
      <c r="C283" s="217"/>
      <c r="D283" s="217"/>
      <c r="E283" s="217"/>
      <c r="F283" s="217"/>
    </row>
    <row r="284" spans="1:6" x14ac:dyDescent="0.3">
      <c r="A284" s="217"/>
      <c r="B284" s="217"/>
      <c r="C284" s="217"/>
      <c r="D284" s="217"/>
      <c r="E284" s="217"/>
      <c r="F284" s="217"/>
    </row>
    <row r="285" spans="1:6" x14ac:dyDescent="0.3">
      <c r="A285" s="217"/>
      <c r="B285" s="217"/>
      <c r="C285" s="217"/>
      <c r="D285" s="217"/>
      <c r="E285" s="217"/>
      <c r="F285" s="217"/>
    </row>
    <row r="286" spans="1:6" x14ac:dyDescent="0.3">
      <c r="A286" s="217"/>
      <c r="B286" s="217"/>
      <c r="C286" s="217"/>
      <c r="D286" s="217"/>
      <c r="E286" s="217"/>
      <c r="F286" s="217"/>
    </row>
    <row r="287" spans="1:6" x14ac:dyDescent="0.3">
      <c r="A287" s="217"/>
      <c r="B287" s="217"/>
      <c r="C287" s="217"/>
      <c r="D287" s="217"/>
      <c r="E287" s="217"/>
      <c r="F287" s="217"/>
    </row>
    <row r="288" spans="1:6" x14ac:dyDescent="0.3">
      <c r="A288" s="217"/>
      <c r="B288" s="217"/>
      <c r="C288" s="217"/>
      <c r="D288" s="217"/>
      <c r="E288" s="217"/>
      <c r="F288" s="217"/>
    </row>
    <row r="289" spans="1:6" x14ac:dyDescent="0.3">
      <c r="A289" s="217"/>
      <c r="B289" s="217"/>
      <c r="C289" s="217"/>
      <c r="D289" s="217"/>
      <c r="E289" s="217"/>
      <c r="F289" s="217"/>
    </row>
    <row r="290" spans="1:6" x14ac:dyDescent="0.3">
      <c r="A290" s="217"/>
      <c r="B290" s="217"/>
      <c r="C290" s="217"/>
      <c r="D290" s="217"/>
      <c r="E290" s="217"/>
      <c r="F290" s="217"/>
    </row>
    <row r="291" spans="1:6" x14ac:dyDescent="0.3">
      <c r="A291" s="217"/>
      <c r="B291" s="217"/>
      <c r="C291" s="217"/>
      <c r="D291" s="217"/>
      <c r="E291" s="217"/>
      <c r="F291" s="217"/>
    </row>
    <row r="292" spans="1:6" x14ac:dyDescent="0.3">
      <c r="A292" s="217"/>
      <c r="B292" s="217"/>
      <c r="C292" s="217"/>
      <c r="D292" s="217"/>
      <c r="E292" s="217"/>
      <c r="F292" s="217"/>
    </row>
    <row r="293" spans="1:6" x14ac:dyDescent="0.3">
      <c r="A293" s="217"/>
      <c r="B293" s="217"/>
      <c r="C293" s="217"/>
      <c r="D293" s="217"/>
      <c r="E293" s="217"/>
      <c r="F293" s="217"/>
    </row>
    <row r="294" spans="1:6" x14ac:dyDescent="0.3">
      <c r="A294" s="217"/>
      <c r="B294" s="217"/>
      <c r="C294" s="217"/>
      <c r="D294" s="217"/>
      <c r="E294" s="217"/>
      <c r="F294" s="217"/>
    </row>
    <row r="295" spans="1:6" x14ac:dyDescent="0.3">
      <c r="A295" s="217"/>
      <c r="B295" s="217"/>
      <c r="C295" s="217"/>
      <c r="D295" s="217"/>
      <c r="E295" s="217"/>
      <c r="F295" s="217"/>
    </row>
    <row r="296" spans="1:6" x14ac:dyDescent="0.3">
      <c r="A296" s="217"/>
      <c r="B296" s="217"/>
      <c r="C296" s="217"/>
      <c r="D296" s="217"/>
      <c r="E296" s="217"/>
      <c r="F296" s="217"/>
    </row>
    <row r="297" spans="1:6" x14ac:dyDescent="0.3">
      <c r="A297" s="217"/>
      <c r="B297" s="217"/>
      <c r="C297" s="217"/>
      <c r="D297" s="217"/>
      <c r="E297" s="217"/>
      <c r="F297" s="217"/>
    </row>
    <row r="298" spans="1:6" x14ac:dyDescent="0.3">
      <c r="A298" s="217"/>
      <c r="B298" s="217"/>
      <c r="C298" s="217"/>
      <c r="D298" s="217"/>
      <c r="E298" s="217"/>
      <c r="F298" s="217"/>
    </row>
    <row r="299" spans="1:6" x14ac:dyDescent="0.3">
      <c r="A299" s="217"/>
      <c r="B299" s="217"/>
      <c r="C299" s="217"/>
      <c r="D299" s="217"/>
      <c r="E299" s="217"/>
      <c r="F299" s="217"/>
    </row>
    <row r="300" spans="1:6" x14ac:dyDescent="0.3">
      <c r="A300" s="217"/>
      <c r="B300" s="217"/>
      <c r="C300" s="217"/>
      <c r="D300" s="217"/>
      <c r="E300" s="217"/>
      <c r="F300" s="217"/>
    </row>
    <row r="301" spans="1:6" x14ac:dyDescent="0.3">
      <c r="A301" s="217"/>
      <c r="B301" s="217"/>
      <c r="C301" s="217"/>
      <c r="D301" s="217"/>
      <c r="E301" s="217"/>
      <c r="F301" s="217"/>
    </row>
    <row r="302" spans="1:6" x14ac:dyDescent="0.3">
      <c r="A302" s="217"/>
      <c r="B302" s="217"/>
      <c r="C302" s="217"/>
      <c r="D302" s="217"/>
      <c r="E302" s="217"/>
      <c r="F302" s="217"/>
    </row>
    <row r="303" spans="1:6" x14ac:dyDescent="0.3">
      <c r="A303" s="217"/>
      <c r="B303" s="217"/>
      <c r="C303" s="217"/>
      <c r="D303" s="217"/>
      <c r="E303" s="217"/>
      <c r="F303" s="217"/>
    </row>
    <row r="304" spans="1:6" x14ac:dyDescent="0.3">
      <c r="A304" s="217"/>
      <c r="B304" s="217"/>
      <c r="C304" s="217"/>
      <c r="D304" s="217"/>
      <c r="E304" s="217"/>
      <c r="F304" s="217"/>
    </row>
    <row r="305" spans="1:6" x14ac:dyDescent="0.3">
      <c r="A305" s="217"/>
      <c r="B305" s="217"/>
      <c r="C305" s="217"/>
      <c r="D305" s="217"/>
      <c r="E305" s="217"/>
      <c r="F305" s="217"/>
    </row>
    <row r="306" spans="1:6" x14ac:dyDescent="0.3">
      <c r="A306" s="217"/>
      <c r="B306" s="217"/>
      <c r="C306" s="217"/>
      <c r="D306" s="217"/>
      <c r="E306" s="217"/>
      <c r="F306" s="217"/>
    </row>
    <row r="307" spans="1:6" x14ac:dyDescent="0.3">
      <c r="A307" s="217"/>
      <c r="B307" s="217"/>
      <c r="C307" s="217"/>
      <c r="D307" s="217"/>
      <c r="E307" s="217"/>
      <c r="F307" s="217"/>
    </row>
    <row r="308" spans="1:6" x14ac:dyDescent="0.3">
      <c r="A308" s="217"/>
      <c r="B308" s="217"/>
      <c r="C308" s="217"/>
      <c r="D308" s="217"/>
      <c r="E308" s="217"/>
      <c r="F308" s="217"/>
    </row>
    <row r="309" spans="1:6" x14ac:dyDescent="0.3">
      <c r="A309" s="217"/>
      <c r="B309" s="217"/>
      <c r="C309" s="217"/>
      <c r="D309" s="217"/>
      <c r="E309" s="217"/>
      <c r="F309" s="217"/>
    </row>
    <row r="310" spans="1:6" x14ac:dyDescent="0.3">
      <c r="A310" s="217"/>
      <c r="B310" s="217"/>
      <c r="C310" s="217"/>
      <c r="D310" s="217"/>
      <c r="E310" s="217"/>
      <c r="F310" s="217"/>
    </row>
    <row r="311" spans="1:6" x14ac:dyDescent="0.3">
      <c r="A311" s="217"/>
      <c r="B311" s="217"/>
      <c r="C311" s="217"/>
      <c r="D311" s="217"/>
      <c r="E311" s="217"/>
      <c r="F311" s="217"/>
    </row>
    <row r="312" spans="1:6" x14ac:dyDescent="0.3">
      <c r="A312" s="217"/>
      <c r="B312" s="217"/>
      <c r="C312" s="217"/>
      <c r="D312" s="217"/>
      <c r="E312" s="217"/>
      <c r="F312" s="217"/>
    </row>
    <row r="313" spans="1:6" x14ac:dyDescent="0.3">
      <c r="A313" s="217"/>
      <c r="B313" s="217"/>
      <c r="C313" s="217"/>
      <c r="D313" s="217"/>
      <c r="E313" s="217"/>
      <c r="F313" s="217"/>
    </row>
    <row r="314" spans="1:6" x14ac:dyDescent="0.3">
      <c r="A314" s="217"/>
      <c r="B314" s="217"/>
      <c r="C314" s="217"/>
      <c r="D314" s="217"/>
      <c r="E314" s="217"/>
      <c r="F314" s="217"/>
    </row>
    <row r="315" spans="1:6" x14ac:dyDescent="0.3">
      <c r="A315" s="217"/>
      <c r="B315" s="217"/>
      <c r="C315" s="217"/>
      <c r="D315" s="217"/>
      <c r="E315" s="217"/>
      <c r="F315" s="217"/>
    </row>
    <row r="316" spans="1:6" x14ac:dyDescent="0.3">
      <c r="A316" s="217"/>
      <c r="B316" s="217"/>
      <c r="C316" s="217"/>
      <c r="D316" s="217"/>
      <c r="E316" s="217"/>
      <c r="F316" s="217"/>
    </row>
    <row r="317" spans="1:6" x14ac:dyDescent="0.3">
      <c r="A317" s="217"/>
      <c r="B317" s="217"/>
      <c r="C317" s="217"/>
      <c r="D317" s="217"/>
      <c r="E317" s="217"/>
      <c r="F317" s="217"/>
    </row>
    <row r="318" spans="1:6" x14ac:dyDescent="0.3">
      <c r="A318" s="217"/>
      <c r="B318" s="217"/>
      <c r="C318" s="217"/>
      <c r="D318" s="217"/>
      <c r="E318" s="217"/>
      <c r="F318" s="217"/>
    </row>
    <row r="319" spans="1:6" x14ac:dyDescent="0.3">
      <c r="A319" s="217"/>
      <c r="B319" s="217"/>
      <c r="C319" s="217"/>
      <c r="D319" s="217"/>
      <c r="E319" s="217"/>
      <c r="F319" s="217"/>
    </row>
    <row r="320" spans="1:6" x14ac:dyDescent="0.3">
      <c r="A320" s="217"/>
      <c r="B320" s="217"/>
      <c r="C320" s="217"/>
      <c r="D320" s="217"/>
      <c r="E320" s="217"/>
      <c r="F320" s="217"/>
    </row>
    <row r="321" spans="1:6" x14ac:dyDescent="0.3">
      <c r="A321" s="217"/>
      <c r="B321" s="217"/>
      <c r="C321" s="217"/>
      <c r="D321" s="217"/>
      <c r="E321" s="217"/>
      <c r="F321" s="217"/>
    </row>
    <row r="322" spans="1:6" x14ac:dyDescent="0.3">
      <c r="A322" s="217"/>
      <c r="B322" s="217"/>
      <c r="C322" s="217"/>
      <c r="D322" s="217"/>
      <c r="E322" s="217"/>
      <c r="F322" s="217"/>
    </row>
    <row r="323" spans="1:6" x14ac:dyDescent="0.3">
      <c r="A323" s="217"/>
      <c r="B323" s="217"/>
      <c r="C323" s="217"/>
      <c r="D323" s="217"/>
      <c r="E323" s="217"/>
      <c r="F323" s="217"/>
    </row>
    <row r="324" spans="1:6" x14ac:dyDescent="0.3">
      <c r="A324" s="217"/>
      <c r="B324" s="217"/>
      <c r="C324" s="217"/>
      <c r="D324" s="217"/>
      <c r="E324" s="217"/>
      <c r="F324" s="217"/>
    </row>
    <row r="325" spans="1:6" x14ac:dyDescent="0.3">
      <c r="A325" s="217"/>
      <c r="B325" s="217"/>
      <c r="C325" s="217"/>
      <c r="D325" s="217"/>
      <c r="E325" s="217"/>
      <c r="F325" s="217"/>
    </row>
    <row r="326" spans="1:6" x14ac:dyDescent="0.3">
      <c r="A326" s="217"/>
      <c r="B326" s="217"/>
      <c r="C326" s="217"/>
      <c r="D326" s="217"/>
      <c r="E326" s="217"/>
      <c r="F326" s="217"/>
    </row>
    <row r="327" spans="1:6" x14ac:dyDescent="0.3">
      <c r="A327" s="217"/>
      <c r="B327" s="217"/>
      <c r="C327" s="217"/>
      <c r="D327" s="217"/>
      <c r="E327" s="217"/>
      <c r="F327" s="217"/>
    </row>
    <row r="328" spans="1:6" x14ac:dyDescent="0.3">
      <c r="A328" s="217"/>
      <c r="B328" s="217"/>
      <c r="C328" s="217"/>
      <c r="D328" s="217"/>
      <c r="E328" s="217"/>
      <c r="F328" s="217"/>
    </row>
    <row r="329" spans="1:6" x14ac:dyDescent="0.3">
      <c r="A329" s="217"/>
      <c r="B329" s="217"/>
      <c r="C329" s="217"/>
      <c r="D329" s="217"/>
      <c r="E329" s="217"/>
      <c r="F329" s="217"/>
    </row>
    <row r="330" spans="1:6" x14ac:dyDescent="0.3">
      <c r="A330" s="217"/>
      <c r="B330" s="217"/>
      <c r="C330" s="217"/>
      <c r="D330" s="217"/>
      <c r="E330" s="217"/>
      <c r="F330" s="217"/>
    </row>
    <row r="331" spans="1:6" x14ac:dyDescent="0.3">
      <c r="A331" s="217"/>
      <c r="B331" s="217"/>
      <c r="C331" s="217"/>
      <c r="D331" s="217"/>
      <c r="E331" s="217"/>
      <c r="F331" s="217"/>
    </row>
    <row r="332" spans="1:6" x14ac:dyDescent="0.3">
      <c r="A332" s="217"/>
      <c r="B332" s="217"/>
      <c r="C332" s="217"/>
      <c r="D332" s="217"/>
      <c r="E332" s="217"/>
      <c r="F332" s="217"/>
    </row>
    <row r="333" spans="1:6" x14ac:dyDescent="0.3">
      <c r="A333" s="217"/>
      <c r="B333" s="217"/>
      <c r="C333" s="217"/>
      <c r="D333" s="217"/>
      <c r="E333" s="217"/>
      <c r="F333" s="217"/>
    </row>
    <row r="334" spans="1:6" x14ac:dyDescent="0.3">
      <c r="A334" s="217"/>
      <c r="B334" s="217"/>
      <c r="C334" s="217"/>
      <c r="D334" s="217"/>
      <c r="E334" s="217"/>
      <c r="F334" s="217"/>
    </row>
    <row r="335" spans="1:6" x14ac:dyDescent="0.3">
      <c r="A335" s="217"/>
      <c r="B335" s="217"/>
      <c r="C335" s="217"/>
      <c r="D335" s="217"/>
      <c r="E335" s="217"/>
      <c r="F335" s="217"/>
    </row>
    <row r="336" spans="1:6" x14ac:dyDescent="0.3">
      <c r="A336" s="217"/>
      <c r="B336" s="217"/>
      <c r="C336" s="217"/>
      <c r="D336" s="217"/>
      <c r="E336" s="217"/>
      <c r="F336" s="217"/>
    </row>
    <row r="337" spans="1:6" x14ac:dyDescent="0.3">
      <c r="A337" s="217"/>
      <c r="B337" s="217"/>
      <c r="C337" s="217"/>
      <c r="D337" s="217"/>
      <c r="E337" s="217"/>
      <c r="F337" s="217"/>
    </row>
    <row r="338" spans="1:6" x14ac:dyDescent="0.3">
      <c r="A338" s="217"/>
      <c r="B338" s="217"/>
      <c r="C338" s="217"/>
      <c r="D338" s="217"/>
      <c r="E338" s="217"/>
      <c r="F338" s="217"/>
    </row>
    <row r="339" spans="1:6" x14ac:dyDescent="0.3">
      <c r="A339" s="217"/>
      <c r="B339" s="217"/>
      <c r="C339" s="217"/>
      <c r="D339" s="217"/>
      <c r="E339" s="217"/>
      <c r="F339" s="217"/>
    </row>
    <row r="340" spans="1:6" x14ac:dyDescent="0.3">
      <c r="A340" s="217"/>
      <c r="B340" s="217"/>
      <c r="C340" s="217"/>
      <c r="D340" s="217"/>
      <c r="E340" s="217"/>
      <c r="F340" s="217"/>
    </row>
    <row r="341" spans="1:6" x14ac:dyDescent="0.3">
      <c r="A341" s="217"/>
      <c r="B341" s="217"/>
      <c r="C341" s="217"/>
      <c r="D341" s="217"/>
      <c r="E341" s="217"/>
      <c r="F341" s="217"/>
    </row>
    <row r="342" spans="1:6" x14ac:dyDescent="0.3">
      <c r="A342" s="217"/>
      <c r="B342" s="217"/>
      <c r="C342" s="217"/>
      <c r="D342" s="217"/>
      <c r="E342" s="217"/>
      <c r="F342" s="217"/>
    </row>
    <row r="343" spans="1:6" x14ac:dyDescent="0.3">
      <c r="A343" s="217"/>
      <c r="B343" s="217"/>
      <c r="C343" s="217"/>
      <c r="D343" s="217"/>
      <c r="E343" s="217"/>
      <c r="F343" s="217"/>
    </row>
    <row r="344" spans="1:6" x14ac:dyDescent="0.3">
      <c r="A344" s="217"/>
      <c r="B344" s="217"/>
      <c r="C344" s="217"/>
      <c r="D344" s="217"/>
      <c r="E344" s="217"/>
      <c r="F344" s="217"/>
    </row>
    <row r="345" spans="1:6" x14ac:dyDescent="0.3">
      <c r="A345" s="217"/>
      <c r="B345" s="217"/>
      <c r="C345" s="217"/>
      <c r="D345" s="217"/>
      <c r="E345" s="217"/>
      <c r="F345" s="217"/>
    </row>
    <row r="346" spans="1:6" x14ac:dyDescent="0.3">
      <c r="A346" s="217"/>
      <c r="B346" s="217"/>
      <c r="C346" s="217"/>
      <c r="D346" s="217"/>
      <c r="E346" s="217"/>
      <c r="F346" s="217"/>
    </row>
    <row r="347" spans="1:6" x14ac:dyDescent="0.3">
      <c r="A347" s="217"/>
      <c r="B347" s="217"/>
      <c r="C347" s="217"/>
      <c r="D347" s="217"/>
      <c r="E347" s="217"/>
      <c r="F347" s="217"/>
    </row>
    <row r="348" spans="1:6" x14ac:dyDescent="0.3">
      <c r="A348" s="217"/>
      <c r="B348" s="217"/>
      <c r="C348" s="217"/>
      <c r="D348" s="217"/>
      <c r="E348" s="217"/>
      <c r="F348" s="217"/>
    </row>
    <row r="349" spans="1:6" x14ac:dyDescent="0.3">
      <c r="A349" s="217"/>
      <c r="B349" s="217"/>
      <c r="C349" s="217"/>
      <c r="D349" s="217"/>
      <c r="E349" s="217"/>
      <c r="F349" s="217"/>
    </row>
    <row r="350" spans="1:6" x14ac:dyDescent="0.3">
      <c r="A350" s="217"/>
      <c r="B350" s="217"/>
      <c r="C350" s="217"/>
      <c r="D350" s="217"/>
      <c r="E350" s="217"/>
      <c r="F350" s="217"/>
    </row>
    <row r="351" spans="1:6" x14ac:dyDescent="0.3">
      <c r="A351" s="217"/>
      <c r="B351" s="217"/>
      <c r="C351" s="217"/>
      <c r="D351" s="217"/>
      <c r="E351" s="217"/>
      <c r="F351" s="217"/>
    </row>
    <row r="352" spans="1:6" x14ac:dyDescent="0.3">
      <c r="A352" s="217"/>
      <c r="B352" s="217"/>
      <c r="C352" s="217"/>
      <c r="D352" s="217"/>
      <c r="E352" s="217"/>
      <c r="F352" s="217"/>
    </row>
    <row r="353" spans="1:6" x14ac:dyDescent="0.3">
      <c r="A353" s="217"/>
      <c r="B353" s="217"/>
      <c r="C353" s="217"/>
      <c r="D353" s="217"/>
      <c r="E353" s="217"/>
      <c r="F353" s="217"/>
    </row>
    <row r="354" spans="1:6" x14ac:dyDescent="0.3">
      <c r="A354" s="217"/>
      <c r="B354" s="217"/>
      <c r="C354" s="217"/>
      <c r="D354" s="217"/>
      <c r="E354" s="217"/>
      <c r="F354" s="217"/>
    </row>
    <row r="355" spans="1:6" x14ac:dyDescent="0.3">
      <c r="A355" s="217"/>
      <c r="B355" s="217"/>
      <c r="C355" s="217"/>
      <c r="D355" s="217"/>
      <c r="E355" s="217"/>
      <c r="F355" s="217"/>
    </row>
    <row r="356" spans="1:6" x14ac:dyDescent="0.3">
      <c r="A356" s="217"/>
      <c r="B356" s="217"/>
      <c r="C356" s="217"/>
      <c r="D356" s="217"/>
      <c r="E356" s="217"/>
      <c r="F356" s="217"/>
    </row>
    <row r="357" spans="1:6" x14ac:dyDescent="0.3">
      <c r="A357" s="217"/>
      <c r="B357" s="217"/>
      <c r="C357" s="217"/>
      <c r="D357" s="217"/>
      <c r="E357" s="217"/>
      <c r="F357" s="217"/>
    </row>
    <row r="358" spans="1:6" x14ac:dyDescent="0.3">
      <c r="A358" s="217"/>
      <c r="B358" s="217"/>
      <c r="C358" s="217"/>
      <c r="D358" s="217"/>
      <c r="E358" s="217"/>
      <c r="F358" s="217"/>
    </row>
    <row r="359" spans="1:6" x14ac:dyDescent="0.3">
      <c r="A359" s="217"/>
      <c r="B359" s="217"/>
      <c r="C359" s="217"/>
      <c r="D359" s="217"/>
      <c r="E359" s="217"/>
      <c r="F359" s="217"/>
    </row>
    <row r="360" spans="1:6" x14ac:dyDescent="0.3">
      <c r="A360" s="217"/>
      <c r="B360" s="217"/>
      <c r="C360" s="217"/>
      <c r="D360" s="217"/>
      <c r="E360" s="217"/>
      <c r="F360" s="217"/>
    </row>
    <row r="361" spans="1:6" x14ac:dyDescent="0.3">
      <c r="A361" s="217"/>
      <c r="B361" s="217"/>
      <c r="C361" s="217"/>
      <c r="D361" s="217"/>
      <c r="E361" s="217"/>
      <c r="F361" s="217"/>
    </row>
    <row r="362" spans="1:6" x14ac:dyDescent="0.3">
      <c r="A362" s="217"/>
      <c r="B362" s="217"/>
      <c r="C362" s="217"/>
      <c r="D362" s="217"/>
      <c r="E362" s="217"/>
      <c r="F362" s="217"/>
    </row>
    <row r="363" spans="1:6" x14ac:dyDescent="0.3">
      <c r="A363" s="217"/>
      <c r="B363" s="217"/>
      <c r="C363" s="217"/>
      <c r="D363" s="217"/>
      <c r="E363" s="217"/>
      <c r="F363" s="217"/>
    </row>
    <row r="364" spans="1:6" x14ac:dyDescent="0.3">
      <c r="A364" s="217"/>
      <c r="B364" s="217"/>
      <c r="C364" s="217"/>
      <c r="D364" s="217"/>
      <c r="E364" s="217"/>
      <c r="F364" s="217"/>
    </row>
    <row r="365" spans="1:6" x14ac:dyDescent="0.3">
      <c r="A365" s="217"/>
      <c r="B365" s="217"/>
      <c r="C365" s="217"/>
      <c r="D365" s="217"/>
      <c r="E365" s="217"/>
      <c r="F365" s="217"/>
    </row>
    <row r="366" spans="1:6" x14ac:dyDescent="0.3">
      <c r="A366" s="217"/>
      <c r="B366" s="217"/>
      <c r="C366" s="217"/>
      <c r="D366" s="217"/>
      <c r="E366" s="217"/>
      <c r="F366" s="217"/>
    </row>
    <row r="367" spans="1:6" x14ac:dyDescent="0.3">
      <c r="A367" s="217"/>
      <c r="B367" s="217"/>
      <c r="C367" s="217"/>
      <c r="D367" s="217"/>
      <c r="E367" s="217"/>
      <c r="F367" s="217"/>
    </row>
    <row r="368" spans="1:6" x14ac:dyDescent="0.3">
      <c r="A368" s="217"/>
      <c r="B368" s="217"/>
      <c r="C368" s="217"/>
      <c r="D368" s="217"/>
      <c r="E368" s="217"/>
      <c r="F368" s="217"/>
    </row>
    <row r="369" spans="1:6" x14ac:dyDescent="0.3">
      <c r="A369" s="217"/>
      <c r="B369" s="217"/>
      <c r="C369" s="217"/>
      <c r="D369" s="217"/>
      <c r="E369" s="217"/>
      <c r="F369" s="217"/>
    </row>
    <row r="370" spans="1:6" x14ac:dyDescent="0.3">
      <c r="A370" s="217"/>
      <c r="B370" s="217"/>
      <c r="C370" s="217"/>
      <c r="D370" s="217"/>
      <c r="E370" s="217"/>
      <c r="F370" s="217"/>
    </row>
    <row r="371" spans="1:6" x14ac:dyDescent="0.3">
      <c r="A371" s="217"/>
      <c r="B371" s="217"/>
      <c r="C371" s="217"/>
      <c r="D371" s="217"/>
      <c r="E371" s="217"/>
      <c r="F371" s="217"/>
    </row>
    <row r="372" spans="1:6" x14ac:dyDescent="0.3">
      <c r="A372" s="217"/>
      <c r="B372" s="217"/>
      <c r="C372" s="217"/>
      <c r="D372" s="217"/>
      <c r="E372" s="217"/>
      <c r="F372" s="217"/>
    </row>
    <row r="373" spans="1:6" x14ac:dyDescent="0.3">
      <c r="A373" s="217"/>
      <c r="B373" s="217"/>
      <c r="C373" s="217"/>
      <c r="D373" s="217"/>
      <c r="E373" s="217"/>
      <c r="F373" s="217"/>
    </row>
    <row r="374" spans="1:6" x14ac:dyDescent="0.3">
      <c r="A374" s="217"/>
      <c r="B374" s="217"/>
      <c r="C374" s="217"/>
      <c r="D374" s="217"/>
      <c r="E374" s="217"/>
      <c r="F374" s="217"/>
    </row>
    <row r="375" spans="1:6" x14ac:dyDescent="0.3">
      <c r="A375" s="217"/>
      <c r="B375" s="217"/>
      <c r="C375" s="217"/>
      <c r="D375" s="217"/>
      <c r="E375" s="217"/>
      <c r="F375" s="217"/>
    </row>
    <row r="376" spans="1:6" x14ac:dyDescent="0.3">
      <c r="A376" s="217"/>
      <c r="B376" s="217"/>
      <c r="C376" s="217"/>
      <c r="D376" s="217"/>
      <c r="E376" s="217"/>
      <c r="F376" s="217"/>
    </row>
    <row r="377" spans="1:6" x14ac:dyDescent="0.3">
      <c r="A377" s="217"/>
      <c r="B377" s="217"/>
      <c r="C377" s="217"/>
      <c r="D377" s="217"/>
      <c r="E377" s="217"/>
      <c r="F377" s="217"/>
    </row>
    <row r="378" spans="1:6" x14ac:dyDescent="0.3">
      <c r="A378" s="217"/>
      <c r="B378" s="217"/>
      <c r="C378" s="217"/>
      <c r="D378" s="217"/>
      <c r="E378" s="217"/>
      <c r="F378" s="217"/>
    </row>
    <row r="379" spans="1:6" x14ac:dyDescent="0.3">
      <c r="A379" s="217"/>
      <c r="B379" s="217"/>
      <c r="C379" s="217"/>
      <c r="D379" s="217"/>
      <c r="E379" s="217"/>
      <c r="F379" s="217"/>
    </row>
    <row r="380" spans="1:6" x14ac:dyDescent="0.3">
      <c r="A380" s="217"/>
      <c r="B380" s="217"/>
      <c r="C380" s="217"/>
      <c r="D380" s="217"/>
      <c r="E380" s="217"/>
      <c r="F380" s="217"/>
    </row>
    <row r="381" spans="1:6" x14ac:dyDescent="0.3">
      <c r="A381" s="217"/>
      <c r="B381" s="217"/>
      <c r="C381" s="217"/>
      <c r="D381" s="217"/>
      <c r="E381" s="217"/>
      <c r="F381" s="217"/>
    </row>
    <row r="382" spans="1:6" x14ac:dyDescent="0.3">
      <c r="A382" s="217"/>
      <c r="B382" s="217"/>
      <c r="C382" s="217"/>
      <c r="D382" s="217"/>
      <c r="E382" s="217"/>
      <c r="F382" s="217"/>
    </row>
    <row r="383" spans="1:6" x14ac:dyDescent="0.3">
      <c r="A383" s="217"/>
      <c r="B383" s="217"/>
      <c r="C383" s="217"/>
      <c r="D383" s="217"/>
      <c r="E383" s="217"/>
      <c r="F383" s="217"/>
    </row>
    <row r="384" spans="1:6" x14ac:dyDescent="0.3">
      <c r="A384" s="217"/>
      <c r="B384" s="217"/>
      <c r="C384" s="217"/>
      <c r="D384" s="217"/>
      <c r="E384" s="217"/>
      <c r="F384" s="217"/>
    </row>
    <row r="385" spans="1:6" x14ac:dyDescent="0.3">
      <c r="A385" s="217"/>
      <c r="B385" s="217"/>
      <c r="C385" s="217"/>
      <c r="D385" s="217"/>
      <c r="E385" s="217"/>
      <c r="F385" s="217"/>
    </row>
    <row r="386" spans="1:6" x14ac:dyDescent="0.3">
      <c r="A386" s="217"/>
      <c r="B386" s="217"/>
      <c r="C386" s="217"/>
      <c r="D386" s="217"/>
      <c r="E386" s="217"/>
      <c r="F386" s="217"/>
    </row>
    <row r="387" spans="1:6" x14ac:dyDescent="0.3">
      <c r="A387" s="217"/>
      <c r="B387" s="217"/>
      <c r="C387" s="217"/>
      <c r="D387" s="217"/>
      <c r="E387" s="217"/>
      <c r="F387" s="217"/>
    </row>
    <row r="388" spans="1:6" x14ac:dyDescent="0.3">
      <c r="A388" s="217"/>
      <c r="B388" s="217"/>
      <c r="C388" s="217"/>
      <c r="D388" s="217"/>
      <c r="E388" s="217"/>
      <c r="F388" s="217"/>
    </row>
    <row r="389" spans="1:6" x14ac:dyDescent="0.3">
      <c r="A389" s="217"/>
      <c r="B389" s="217"/>
      <c r="C389" s="217"/>
      <c r="D389" s="217"/>
      <c r="E389" s="217"/>
      <c r="F389" s="217"/>
    </row>
    <row r="390" spans="1:6" x14ac:dyDescent="0.3">
      <c r="A390" s="217"/>
      <c r="B390" s="217"/>
      <c r="C390" s="217"/>
      <c r="D390" s="217"/>
      <c r="E390" s="217"/>
      <c r="F390" s="217"/>
    </row>
    <row r="391" spans="1:6" x14ac:dyDescent="0.3">
      <c r="A391" s="217"/>
      <c r="B391" s="217"/>
      <c r="C391" s="217"/>
      <c r="D391" s="217"/>
      <c r="E391" s="217"/>
      <c r="F391" s="217"/>
    </row>
    <row r="392" spans="1:6" x14ac:dyDescent="0.3">
      <c r="A392" s="217"/>
      <c r="B392" s="217"/>
      <c r="C392" s="217"/>
      <c r="D392" s="217"/>
      <c r="E392" s="217"/>
      <c r="F392" s="217"/>
    </row>
    <row r="393" spans="1:6" x14ac:dyDescent="0.3">
      <c r="A393" s="217"/>
      <c r="B393" s="217"/>
      <c r="C393" s="217"/>
      <c r="D393" s="217"/>
      <c r="E393" s="217"/>
      <c r="F393" s="217"/>
    </row>
    <row r="394" spans="1:6" x14ac:dyDescent="0.3">
      <c r="A394" s="217"/>
      <c r="B394" s="217"/>
      <c r="C394" s="217"/>
      <c r="D394" s="217"/>
      <c r="E394" s="217"/>
      <c r="F394" s="217"/>
    </row>
    <row r="395" spans="1:6" x14ac:dyDescent="0.3">
      <c r="A395" s="217"/>
      <c r="B395" s="217"/>
      <c r="C395" s="217"/>
      <c r="D395" s="217"/>
      <c r="E395" s="217"/>
      <c r="F395" s="217"/>
    </row>
    <row r="396" spans="1:6" x14ac:dyDescent="0.3">
      <c r="A396" s="217"/>
      <c r="B396" s="217"/>
      <c r="C396" s="217"/>
      <c r="D396" s="217"/>
      <c r="E396" s="217"/>
      <c r="F396" s="217"/>
    </row>
    <row r="397" spans="1:6" x14ac:dyDescent="0.3">
      <c r="A397" s="217"/>
      <c r="B397" s="217"/>
      <c r="C397" s="217"/>
      <c r="D397" s="217"/>
      <c r="E397" s="217"/>
      <c r="F397" s="217"/>
    </row>
    <row r="398" spans="1:6" x14ac:dyDescent="0.3">
      <c r="A398" s="217"/>
      <c r="B398" s="217"/>
      <c r="C398" s="217"/>
      <c r="D398" s="217"/>
      <c r="E398" s="217"/>
      <c r="F398" s="217"/>
    </row>
    <row r="399" spans="1:6" x14ac:dyDescent="0.3">
      <c r="A399" s="217"/>
      <c r="B399" s="217"/>
      <c r="C399" s="217"/>
      <c r="D399" s="217"/>
      <c r="E399" s="217"/>
      <c r="F399" s="217"/>
    </row>
    <row r="400" spans="1:6" x14ac:dyDescent="0.3">
      <c r="A400" s="217"/>
      <c r="B400" s="217"/>
      <c r="C400" s="217"/>
      <c r="D400" s="217"/>
      <c r="E400" s="217"/>
      <c r="F400" s="217"/>
    </row>
    <row r="401" spans="1:6" x14ac:dyDescent="0.3">
      <c r="A401" s="217"/>
      <c r="B401" s="217"/>
      <c r="C401" s="217"/>
      <c r="D401" s="217"/>
      <c r="E401" s="217"/>
      <c r="F401" s="217"/>
    </row>
    <row r="402" spans="1:6" x14ac:dyDescent="0.3">
      <c r="A402" s="217"/>
      <c r="B402" s="217"/>
      <c r="C402" s="217"/>
      <c r="D402" s="217"/>
      <c r="E402" s="217"/>
      <c r="F402" s="217"/>
    </row>
    <row r="403" spans="1:6" x14ac:dyDescent="0.3">
      <c r="A403" s="217"/>
      <c r="B403" s="217"/>
      <c r="C403" s="217"/>
      <c r="D403" s="217"/>
      <c r="E403" s="217"/>
      <c r="F403" s="217"/>
    </row>
    <row r="404" spans="1:6" x14ac:dyDescent="0.3">
      <c r="A404" s="217"/>
      <c r="B404" s="217"/>
      <c r="C404" s="217"/>
      <c r="D404" s="217"/>
      <c r="E404" s="217"/>
      <c r="F404" s="217"/>
    </row>
    <row r="405" spans="1:6" x14ac:dyDescent="0.3">
      <c r="A405" s="217"/>
      <c r="B405" s="217"/>
      <c r="C405" s="217"/>
      <c r="D405" s="217"/>
      <c r="E405" s="217"/>
      <c r="F405" s="217"/>
    </row>
    <row r="406" spans="1:6" x14ac:dyDescent="0.3">
      <c r="A406" s="217"/>
      <c r="B406" s="217"/>
      <c r="C406" s="217"/>
      <c r="D406" s="217"/>
      <c r="E406" s="217"/>
      <c r="F406" s="217"/>
    </row>
    <row r="407" spans="1:6" x14ac:dyDescent="0.3">
      <c r="A407" s="217"/>
      <c r="B407" s="217"/>
      <c r="C407" s="217"/>
      <c r="D407" s="217"/>
      <c r="E407" s="217"/>
      <c r="F407" s="217"/>
    </row>
    <row r="408" spans="1:6" x14ac:dyDescent="0.3">
      <c r="A408" s="217"/>
      <c r="B408" s="217"/>
      <c r="C408" s="217"/>
      <c r="D408" s="217"/>
      <c r="E408" s="217"/>
      <c r="F408" s="217"/>
    </row>
    <row r="409" spans="1:6" x14ac:dyDescent="0.3">
      <c r="A409" s="217"/>
      <c r="B409" s="217"/>
      <c r="C409" s="217"/>
      <c r="D409" s="217"/>
      <c r="E409" s="217"/>
      <c r="F409" s="217"/>
    </row>
    <row r="410" spans="1:6" x14ac:dyDescent="0.3">
      <c r="A410" s="217"/>
      <c r="B410" s="217"/>
      <c r="C410" s="217"/>
      <c r="D410" s="217"/>
      <c r="E410" s="217"/>
      <c r="F410" s="217"/>
    </row>
    <row r="411" spans="1:6" x14ac:dyDescent="0.3">
      <c r="A411" s="217"/>
      <c r="B411" s="217"/>
      <c r="C411" s="217"/>
      <c r="D411" s="217"/>
      <c r="E411" s="217"/>
      <c r="F411" s="217"/>
    </row>
    <row r="412" spans="1:6" x14ac:dyDescent="0.3">
      <c r="A412" s="217"/>
      <c r="B412" s="217"/>
      <c r="C412" s="217"/>
      <c r="D412" s="217"/>
      <c r="E412" s="217"/>
      <c r="F412" s="217"/>
    </row>
    <row r="413" spans="1:6" x14ac:dyDescent="0.3">
      <c r="A413" s="217"/>
      <c r="B413" s="217"/>
      <c r="C413" s="217"/>
      <c r="D413" s="217"/>
      <c r="E413" s="217"/>
      <c r="F413" s="217"/>
    </row>
    <row r="414" spans="1:6" x14ac:dyDescent="0.3">
      <c r="A414" s="217"/>
      <c r="B414" s="217"/>
      <c r="C414" s="217"/>
      <c r="D414" s="217"/>
      <c r="E414" s="217"/>
      <c r="F414" s="217"/>
    </row>
    <row r="415" spans="1:6" x14ac:dyDescent="0.3">
      <c r="A415" s="217"/>
      <c r="B415" s="217"/>
      <c r="C415" s="217"/>
      <c r="D415" s="217"/>
      <c r="E415" s="217"/>
      <c r="F415" s="217"/>
    </row>
    <row r="416" spans="1:6" x14ac:dyDescent="0.3">
      <c r="A416" s="217"/>
      <c r="B416" s="217"/>
      <c r="C416" s="217"/>
      <c r="D416" s="217"/>
      <c r="E416" s="217"/>
      <c r="F416" s="217"/>
    </row>
    <row r="417" spans="1:6" x14ac:dyDescent="0.3">
      <c r="A417" s="217"/>
      <c r="B417" s="217"/>
      <c r="C417" s="217"/>
      <c r="D417" s="217"/>
      <c r="E417" s="217"/>
      <c r="F417" s="217"/>
    </row>
    <row r="418" spans="1:6" x14ac:dyDescent="0.3">
      <c r="A418" s="217"/>
      <c r="B418" s="217"/>
      <c r="C418" s="217"/>
      <c r="D418" s="217"/>
      <c r="E418" s="217"/>
      <c r="F418" s="217"/>
    </row>
    <row r="419" spans="1:6" x14ac:dyDescent="0.3">
      <c r="A419" s="217"/>
      <c r="B419" s="217"/>
      <c r="C419" s="217"/>
      <c r="D419" s="217"/>
      <c r="E419" s="217"/>
      <c r="F419" s="217"/>
    </row>
    <row r="420" spans="1:6" x14ac:dyDescent="0.3">
      <c r="A420" s="217"/>
      <c r="B420" s="217"/>
      <c r="C420" s="217"/>
      <c r="D420" s="217"/>
      <c r="E420" s="217"/>
      <c r="F420" s="217"/>
    </row>
    <row r="421" spans="1:6" x14ac:dyDescent="0.3">
      <c r="A421" s="217"/>
      <c r="B421" s="217"/>
      <c r="C421" s="217"/>
      <c r="D421" s="217"/>
      <c r="E421" s="217"/>
      <c r="F421" s="217"/>
    </row>
    <row r="422" spans="1:6" x14ac:dyDescent="0.3">
      <c r="A422" s="217"/>
      <c r="B422" s="217"/>
      <c r="C422" s="217"/>
      <c r="D422" s="217"/>
      <c r="E422" s="217"/>
      <c r="F422" s="217"/>
    </row>
    <row r="423" spans="1:6" x14ac:dyDescent="0.3">
      <c r="A423" s="217"/>
      <c r="B423" s="217"/>
      <c r="C423" s="217"/>
      <c r="D423" s="217"/>
      <c r="E423" s="217"/>
      <c r="F423" s="217"/>
    </row>
    <row r="424" spans="1:6" x14ac:dyDescent="0.3">
      <c r="A424" s="217"/>
      <c r="B424" s="217"/>
      <c r="C424" s="217"/>
      <c r="D424" s="217"/>
      <c r="E424" s="217"/>
      <c r="F424" s="217"/>
    </row>
    <row r="425" spans="1:6" x14ac:dyDescent="0.3">
      <c r="A425" s="217"/>
      <c r="B425" s="217"/>
      <c r="C425" s="217"/>
      <c r="D425" s="217"/>
      <c r="E425" s="217"/>
      <c r="F425" s="217"/>
    </row>
    <row r="426" spans="1:6" x14ac:dyDescent="0.3">
      <c r="A426" s="217"/>
      <c r="B426" s="217"/>
      <c r="C426" s="217"/>
      <c r="D426" s="217"/>
      <c r="E426" s="217"/>
      <c r="F426" s="217"/>
    </row>
    <row r="427" spans="1:6" x14ac:dyDescent="0.3">
      <c r="A427" s="217"/>
      <c r="B427" s="217"/>
      <c r="C427" s="217"/>
      <c r="D427" s="217"/>
      <c r="E427" s="217"/>
      <c r="F427" s="217"/>
    </row>
    <row r="428" spans="1:6" x14ac:dyDescent="0.3">
      <c r="A428" s="217"/>
      <c r="B428" s="217"/>
      <c r="C428" s="217"/>
      <c r="D428" s="217"/>
      <c r="E428" s="217"/>
      <c r="F428" s="217"/>
    </row>
    <row r="429" spans="1:6" x14ac:dyDescent="0.3">
      <c r="A429" s="217"/>
      <c r="B429" s="217"/>
      <c r="C429" s="217"/>
      <c r="D429" s="217"/>
      <c r="E429" s="217"/>
      <c r="F429" s="217"/>
    </row>
    <row r="430" spans="1:6" x14ac:dyDescent="0.3">
      <c r="A430" s="217"/>
      <c r="B430" s="217"/>
      <c r="C430" s="217"/>
      <c r="D430" s="217"/>
      <c r="E430" s="217"/>
      <c r="F430" s="217"/>
    </row>
    <row r="431" spans="1:6" x14ac:dyDescent="0.3">
      <c r="A431" s="217"/>
      <c r="B431" s="217"/>
      <c r="C431" s="217"/>
      <c r="D431" s="217"/>
      <c r="E431" s="217"/>
      <c r="F431" s="217"/>
    </row>
    <row r="432" spans="1:6" x14ac:dyDescent="0.3">
      <c r="A432" s="217"/>
      <c r="B432" s="217"/>
      <c r="C432" s="217"/>
      <c r="D432" s="217"/>
      <c r="E432" s="217"/>
      <c r="F432" s="217"/>
    </row>
    <row r="433" spans="1:6" x14ac:dyDescent="0.3">
      <c r="A433" s="217"/>
      <c r="B433" s="217"/>
      <c r="C433" s="217"/>
      <c r="D433" s="217"/>
      <c r="E433" s="217"/>
      <c r="F433" s="217"/>
    </row>
    <row r="434" spans="1:6" x14ac:dyDescent="0.3">
      <c r="A434" s="217"/>
      <c r="B434" s="217"/>
      <c r="C434" s="217"/>
      <c r="D434" s="217"/>
      <c r="E434" s="217"/>
      <c r="F434" s="217"/>
    </row>
    <row r="435" spans="1:6" x14ac:dyDescent="0.3">
      <c r="A435" s="217"/>
      <c r="B435" s="217"/>
      <c r="C435" s="217"/>
      <c r="D435" s="217"/>
      <c r="E435" s="217"/>
      <c r="F435" s="217"/>
    </row>
    <row r="436" spans="1:6" x14ac:dyDescent="0.3">
      <c r="A436" s="217"/>
      <c r="B436" s="217"/>
      <c r="C436" s="217"/>
      <c r="D436" s="217"/>
      <c r="E436" s="217"/>
      <c r="F436" s="217"/>
    </row>
    <row r="437" spans="1:6" x14ac:dyDescent="0.3">
      <c r="A437" s="217"/>
      <c r="B437" s="217"/>
      <c r="C437" s="217"/>
      <c r="D437" s="217"/>
      <c r="E437" s="217"/>
      <c r="F437" s="217"/>
    </row>
    <row r="438" spans="1:6" x14ac:dyDescent="0.3">
      <c r="A438" s="217"/>
      <c r="B438" s="217"/>
      <c r="C438" s="217"/>
      <c r="D438" s="217"/>
      <c r="E438" s="217"/>
      <c r="F438" s="217"/>
    </row>
    <row r="439" spans="1:6" x14ac:dyDescent="0.3">
      <c r="A439" s="217"/>
      <c r="B439" s="217"/>
      <c r="C439" s="217"/>
      <c r="D439" s="217"/>
      <c r="E439" s="217"/>
      <c r="F439" s="217"/>
    </row>
    <row r="440" spans="1:6" x14ac:dyDescent="0.3">
      <c r="A440" s="217"/>
      <c r="B440" s="217"/>
      <c r="C440" s="217"/>
      <c r="D440" s="217"/>
      <c r="E440" s="217"/>
      <c r="F440" s="217"/>
    </row>
    <row r="441" spans="1:6" x14ac:dyDescent="0.3">
      <c r="A441" s="217"/>
      <c r="B441" s="217"/>
      <c r="C441" s="217"/>
      <c r="D441" s="217"/>
      <c r="E441" s="217"/>
      <c r="F441" s="217"/>
    </row>
    <row r="442" spans="1:6" x14ac:dyDescent="0.3">
      <c r="A442" s="217"/>
      <c r="B442" s="217"/>
      <c r="C442" s="217"/>
      <c r="D442" s="217"/>
      <c r="E442" s="217"/>
      <c r="F442" s="217"/>
    </row>
    <row r="443" spans="1:6" x14ac:dyDescent="0.3">
      <c r="A443" s="217"/>
      <c r="B443" s="217"/>
      <c r="C443" s="217"/>
      <c r="D443" s="217"/>
      <c r="E443" s="217"/>
      <c r="F443" s="217"/>
    </row>
    <row r="444" spans="1:6" x14ac:dyDescent="0.3">
      <c r="A444" s="217"/>
      <c r="B444" s="217"/>
      <c r="C444" s="217"/>
      <c r="D444" s="217"/>
      <c r="E444" s="217"/>
      <c r="F444" s="217"/>
    </row>
    <row r="445" spans="1:6" x14ac:dyDescent="0.3">
      <c r="A445" s="217"/>
      <c r="B445" s="217"/>
      <c r="C445" s="217"/>
      <c r="D445" s="217"/>
      <c r="E445" s="217"/>
      <c r="F445" s="217"/>
    </row>
    <row r="446" spans="1:6" x14ac:dyDescent="0.3">
      <c r="A446" s="217"/>
      <c r="B446" s="217"/>
      <c r="C446" s="217"/>
      <c r="D446" s="217"/>
      <c r="E446" s="217"/>
      <c r="F446" s="217"/>
    </row>
    <row r="447" spans="1:6" x14ac:dyDescent="0.3">
      <c r="A447" s="217"/>
      <c r="B447" s="217"/>
      <c r="C447" s="217"/>
      <c r="D447" s="217"/>
      <c r="E447" s="217"/>
      <c r="F447" s="217"/>
    </row>
    <row r="448" spans="1:6" x14ac:dyDescent="0.3">
      <c r="A448" s="217"/>
      <c r="B448" s="217"/>
      <c r="C448" s="217"/>
      <c r="D448" s="217"/>
      <c r="E448" s="217"/>
      <c r="F448" s="217"/>
    </row>
    <row r="449" spans="1:6" x14ac:dyDescent="0.3">
      <c r="A449" s="217"/>
      <c r="B449" s="217"/>
      <c r="C449" s="217"/>
      <c r="D449" s="217"/>
      <c r="E449" s="217"/>
      <c r="F449" s="217"/>
    </row>
    <row r="450" spans="1:6" x14ac:dyDescent="0.3">
      <c r="A450" s="217"/>
      <c r="B450" s="217"/>
      <c r="C450" s="217"/>
      <c r="D450" s="217"/>
      <c r="E450" s="217"/>
      <c r="F450" s="217"/>
    </row>
    <row r="451" spans="1:6" x14ac:dyDescent="0.3">
      <c r="A451" s="217"/>
      <c r="B451" s="217"/>
      <c r="C451" s="217"/>
      <c r="D451" s="217"/>
      <c r="E451" s="217"/>
      <c r="F451" s="217"/>
    </row>
    <row r="452" spans="1:6" x14ac:dyDescent="0.3">
      <c r="A452" s="217"/>
      <c r="B452" s="217"/>
      <c r="C452" s="217"/>
      <c r="D452" s="217"/>
      <c r="E452" s="217"/>
      <c r="F452" s="217"/>
    </row>
    <row r="453" spans="1:6" x14ac:dyDescent="0.3">
      <c r="A453" s="217"/>
      <c r="B453" s="217"/>
      <c r="C453" s="217"/>
      <c r="D453" s="217"/>
      <c r="E453" s="217"/>
      <c r="F453" s="217"/>
    </row>
    <row r="454" spans="1:6" x14ac:dyDescent="0.3">
      <c r="A454" s="217"/>
      <c r="B454" s="217"/>
      <c r="C454" s="217"/>
      <c r="D454" s="217"/>
      <c r="E454" s="217"/>
      <c r="F454" s="217"/>
    </row>
    <row r="455" spans="1:6" x14ac:dyDescent="0.3">
      <c r="A455" s="217"/>
      <c r="B455" s="217"/>
      <c r="C455" s="217"/>
      <c r="D455" s="217"/>
      <c r="E455" s="217"/>
      <c r="F455" s="217"/>
    </row>
    <row r="456" spans="1:6" x14ac:dyDescent="0.3">
      <c r="A456" s="217"/>
      <c r="B456" s="217"/>
      <c r="C456" s="217"/>
      <c r="D456" s="217"/>
      <c r="E456" s="217"/>
      <c r="F456" s="217"/>
    </row>
    <row r="457" spans="1:6" x14ac:dyDescent="0.3">
      <c r="A457" s="217"/>
      <c r="B457" s="217"/>
      <c r="C457" s="217"/>
      <c r="D457" s="217"/>
      <c r="E457" s="217"/>
      <c r="F457" s="217"/>
    </row>
    <row r="458" spans="1:6" x14ac:dyDescent="0.3">
      <c r="A458" s="217"/>
      <c r="B458" s="217"/>
      <c r="C458" s="217"/>
      <c r="D458" s="217"/>
      <c r="E458" s="217"/>
      <c r="F458" s="217"/>
    </row>
    <row r="459" spans="1:6" x14ac:dyDescent="0.3">
      <c r="A459" s="217"/>
      <c r="B459" s="217"/>
      <c r="C459" s="217"/>
      <c r="D459" s="217"/>
      <c r="E459" s="217"/>
      <c r="F459" s="217"/>
    </row>
    <row r="460" spans="1:6" x14ac:dyDescent="0.3">
      <c r="A460" s="217"/>
      <c r="B460" s="217"/>
      <c r="C460" s="217"/>
      <c r="D460" s="217"/>
      <c r="E460" s="217"/>
      <c r="F460" s="217"/>
    </row>
    <row r="461" spans="1:6" x14ac:dyDescent="0.3">
      <c r="A461" s="217"/>
      <c r="B461" s="217"/>
      <c r="C461" s="217"/>
      <c r="D461" s="217"/>
      <c r="E461" s="217"/>
      <c r="F461" s="217"/>
    </row>
    <row r="462" spans="1:6" x14ac:dyDescent="0.3">
      <c r="A462" s="217"/>
      <c r="B462" s="217"/>
      <c r="C462" s="217"/>
      <c r="D462" s="217"/>
      <c r="E462" s="217"/>
      <c r="F462" s="217"/>
    </row>
    <row r="463" spans="1:6" x14ac:dyDescent="0.3">
      <c r="A463" s="217"/>
      <c r="B463" s="217"/>
      <c r="C463" s="217"/>
      <c r="D463" s="217"/>
      <c r="E463" s="217"/>
      <c r="F463" s="217"/>
    </row>
    <row r="464" spans="1:6" x14ac:dyDescent="0.3">
      <c r="A464" s="217"/>
      <c r="B464" s="217"/>
      <c r="C464" s="217"/>
      <c r="D464" s="217"/>
      <c r="E464" s="217"/>
      <c r="F464" s="217"/>
    </row>
    <row r="465" spans="1:6" x14ac:dyDescent="0.3">
      <c r="A465" s="217"/>
      <c r="B465" s="217"/>
      <c r="C465" s="217"/>
      <c r="D465" s="217"/>
      <c r="E465" s="217"/>
      <c r="F465" s="217"/>
    </row>
    <row r="466" spans="1:6" x14ac:dyDescent="0.3">
      <c r="A466" s="217"/>
      <c r="B466" s="217"/>
      <c r="C466" s="217"/>
      <c r="D466" s="217"/>
      <c r="E466" s="217"/>
      <c r="F466" s="217"/>
    </row>
    <row r="467" spans="1:6" x14ac:dyDescent="0.3">
      <c r="A467" s="217"/>
      <c r="B467" s="217"/>
      <c r="C467" s="217"/>
      <c r="D467" s="217"/>
      <c r="E467" s="217"/>
      <c r="F467" s="217"/>
    </row>
    <row r="468" spans="1:6" x14ac:dyDescent="0.3">
      <c r="A468" s="217"/>
      <c r="B468" s="217"/>
      <c r="C468" s="217"/>
      <c r="D468" s="217"/>
      <c r="E468" s="217"/>
      <c r="F468" s="217"/>
    </row>
    <row r="469" spans="1:6" x14ac:dyDescent="0.3">
      <c r="A469" s="217"/>
      <c r="B469" s="217"/>
      <c r="C469" s="217"/>
      <c r="D469" s="217"/>
      <c r="E469" s="217"/>
      <c r="F469" s="217"/>
    </row>
    <row r="470" spans="1:6" x14ac:dyDescent="0.3">
      <c r="A470" s="217"/>
      <c r="B470" s="217"/>
      <c r="C470" s="217"/>
      <c r="D470" s="217"/>
      <c r="E470" s="217"/>
      <c r="F470" s="217"/>
    </row>
    <row r="471" spans="1:6" x14ac:dyDescent="0.3">
      <c r="A471" s="217"/>
      <c r="B471" s="217"/>
      <c r="C471" s="217"/>
      <c r="D471" s="217"/>
      <c r="E471" s="217"/>
      <c r="F471" s="217"/>
    </row>
    <row r="472" spans="1:6" x14ac:dyDescent="0.3">
      <c r="A472" s="217"/>
      <c r="B472" s="217"/>
      <c r="C472" s="217"/>
      <c r="D472" s="217"/>
      <c r="E472" s="217"/>
      <c r="F472" s="217"/>
    </row>
    <row r="473" spans="1:6" x14ac:dyDescent="0.3">
      <c r="A473" s="217"/>
      <c r="B473" s="217"/>
      <c r="C473" s="217"/>
      <c r="D473" s="217"/>
      <c r="E473" s="217"/>
      <c r="F473" s="217"/>
    </row>
    <row r="474" spans="1:6" x14ac:dyDescent="0.3">
      <c r="A474" s="217"/>
      <c r="B474" s="217"/>
      <c r="C474" s="217"/>
      <c r="D474" s="217"/>
      <c r="E474" s="217"/>
      <c r="F474" s="217"/>
    </row>
    <row r="475" spans="1:6" x14ac:dyDescent="0.3">
      <c r="A475" s="217"/>
      <c r="B475" s="217"/>
      <c r="C475" s="217"/>
      <c r="D475" s="217"/>
      <c r="E475" s="217"/>
      <c r="F475" s="217"/>
    </row>
    <row r="476" spans="1:6" x14ac:dyDescent="0.3">
      <c r="A476" s="217"/>
      <c r="B476" s="217"/>
      <c r="C476" s="217"/>
      <c r="D476" s="217"/>
      <c r="E476" s="217"/>
      <c r="F476" s="217"/>
    </row>
    <row r="477" spans="1:6" x14ac:dyDescent="0.3">
      <c r="A477" s="217"/>
      <c r="B477" s="217"/>
      <c r="C477" s="217"/>
      <c r="D477" s="217"/>
      <c r="E477" s="217"/>
      <c r="F477" s="217"/>
    </row>
    <row r="478" spans="1:6" x14ac:dyDescent="0.3">
      <c r="A478" s="217"/>
      <c r="B478" s="217"/>
      <c r="C478" s="217"/>
      <c r="D478" s="217"/>
      <c r="E478" s="217"/>
      <c r="F478" s="217"/>
    </row>
    <row r="479" spans="1:6" x14ac:dyDescent="0.3">
      <c r="A479" s="217"/>
      <c r="B479" s="217"/>
      <c r="C479" s="217"/>
      <c r="D479" s="217"/>
      <c r="E479" s="217"/>
      <c r="F479" s="217"/>
    </row>
    <row r="480" spans="1:6" x14ac:dyDescent="0.3">
      <c r="A480" s="217"/>
      <c r="B480" s="217"/>
      <c r="C480" s="217"/>
      <c r="D480" s="217"/>
      <c r="E480" s="217"/>
      <c r="F480" s="217"/>
    </row>
    <row r="481" spans="1:6" x14ac:dyDescent="0.3">
      <c r="A481" s="217"/>
      <c r="B481" s="217"/>
      <c r="C481" s="217"/>
      <c r="D481" s="217"/>
      <c r="E481" s="217"/>
      <c r="F481" s="217"/>
    </row>
    <row r="482" spans="1:6" x14ac:dyDescent="0.3">
      <c r="A482" s="217"/>
      <c r="B482" s="217"/>
      <c r="C482" s="217"/>
      <c r="D482" s="217"/>
      <c r="E482" s="217"/>
      <c r="F482" s="217"/>
    </row>
    <row r="483" spans="1:6" x14ac:dyDescent="0.3">
      <c r="A483" s="217"/>
      <c r="B483" s="217"/>
      <c r="C483" s="217"/>
      <c r="D483" s="217"/>
      <c r="E483" s="217"/>
      <c r="F483" s="217"/>
    </row>
    <row r="484" spans="1:6" x14ac:dyDescent="0.3">
      <c r="A484" s="217"/>
      <c r="B484" s="217"/>
      <c r="C484" s="217"/>
      <c r="D484" s="217"/>
      <c r="E484" s="217"/>
      <c r="F484" s="217"/>
    </row>
    <row r="485" spans="1:6" x14ac:dyDescent="0.3">
      <c r="A485" s="217"/>
      <c r="B485" s="217"/>
      <c r="C485" s="217"/>
      <c r="D485" s="217"/>
      <c r="E485" s="217"/>
      <c r="F485" s="217"/>
    </row>
    <row r="486" spans="1:6" x14ac:dyDescent="0.3">
      <c r="A486" s="217"/>
      <c r="B486" s="217"/>
      <c r="C486" s="217"/>
      <c r="D486" s="217"/>
      <c r="E486" s="217"/>
      <c r="F486" s="217"/>
    </row>
    <row r="487" spans="1:6" x14ac:dyDescent="0.3">
      <c r="A487" s="217"/>
      <c r="B487" s="217"/>
      <c r="C487" s="217"/>
      <c r="D487" s="217"/>
      <c r="E487" s="217"/>
      <c r="F487" s="217"/>
    </row>
    <row r="488" spans="1:6" x14ac:dyDescent="0.3">
      <c r="A488" s="217"/>
      <c r="B488" s="217"/>
      <c r="C488" s="217"/>
      <c r="D488" s="217"/>
      <c r="E488" s="217"/>
      <c r="F488" s="217"/>
    </row>
    <row r="489" spans="1:6" x14ac:dyDescent="0.3">
      <c r="A489" s="217"/>
      <c r="B489" s="217"/>
      <c r="C489" s="217"/>
      <c r="D489" s="217"/>
      <c r="E489" s="217"/>
      <c r="F489" s="217"/>
    </row>
    <row r="490" spans="1:6" x14ac:dyDescent="0.3">
      <c r="A490" s="217"/>
      <c r="B490" s="217"/>
      <c r="C490" s="217"/>
      <c r="D490" s="217"/>
      <c r="E490" s="217"/>
      <c r="F490" s="217"/>
    </row>
    <row r="491" spans="1:6" x14ac:dyDescent="0.3">
      <c r="A491" s="217"/>
      <c r="B491" s="217"/>
      <c r="C491" s="217"/>
      <c r="D491" s="217"/>
      <c r="E491" s="217"/>
      <c r="F491" s="217"/>
    </row>
    <row r="492" spans="1:6" x14ac:dyDescent="0.3">
      <c r="A492" s="217"/>
      <c r="B492" s="217"/>
      <c r="C492" s="217"/>
      <c r="D492" s="217"/>
      <c r="E492" s="217"/>
      <c r="F492" s="217"/>
    </row>
    <row r="493" spans="1:6" x14ac:dyDescent="0.3">
      <c r="A493" s="217"/>
      <c r="B493" s="217"/>
      <c r="C493" s="217"/>
      <c r="D493" s="217"/>
      <c r="E493" s="217"/>
      <c r="F493" s="217"/>
    </row>
    <row r="494" spans="1:6" x14ac:dyDescent="0.3">
      <c r="A494" s="217"/>
      <c r="B494" s="217"/>
      <c r="C494" s="217"/>
      <c r="D494" s="217"/>
      <c r="E494" s="217"/>
      <c r="F494" s="217"/>
    </row>
    <row r="495" spans="1:6" x14ac:dyDescent="0.3">
      <c r="A495" s="217"/>
      <c r="B495" s="217"/>
      <c r="C495" s="217"/>
      <c r="D495" s="217"/>
      <c r="E495" s="217"/>
      <c r="F495" s="217"/>
    </row>
    <row r="496" spans="1:6" x14ac:dyDescent="0.3">
      <c r="A496" s="217"/>
      <c r="B496" s="217"/>
      <c r="C496" s="217"/>
      <c r="D496" s="217"/>
      <c r="E496" s="217"/>
      <c r="F496" s="217"/>
    </row>
    <row r="497" spans="1:6" x14ac:dyDescent="0.3">
      <c r="A497" s="217"/>
      <c r="B497" s="217"/>
      <c r="C497" s="217"/>
      <c r="D497" s="217"/>
      <c r="E497" s="217"/>
      <c r="F497" s="217"/>
    </row>
    <row r="498" spans="1:6" x14ac:dyDescent="0.3">
      <c r="A498" s="217"/>
      <c r="B498" s="217"/>
      <c r="C498" s="217"/>
      <c r="D498" s="217"/>
      <c r="E498" s="217"/>
      <c r="F498" s="217"/>
    </row>
    <row r="499" spans="1:6" x14ac:dyDescent="0.3">
      <c r="A499" s="217"/>
      <c r="B499" s="217"/>
      <c r="C499" s="217"/>
      <c r="D499" s="217"/>
      <c r="E499" s="217"/>
      <c r="F499" s="217"/>
    </row>
    <row r="500" spans="1:6" x14ac:dyDescent="0.3">
      <c r="A500" s="217"/>
      <c r="B500" s="217"/>
      <c r="C500" s="217"/>
      <c r="D500" s="217"/>
      <c r="E500" s="217"/>
      <c r="F500" s="217"/>
    </row>
    <row r="501" spans="1:6" x14ac:dyDescent="0.3">
      <c r="A501" s="217"/>
      <c r="B501" s="217"/>
      <c r="C501" s="217"/>
      <c r="D501" s="217"/>
      <c r="E501" s="217"/>
      <c r="F501" s="217"/>
    </row>
    <row r="502" spans="1:6" x14ac:dyDescent="0.3">
      <c r="A502" s="217"/>
      <c r="B502" s="217"/>
      <c r="C502" s="217"/>
      <c r="D502" s="217"/>
      <c r="E502" s="217"/>
      <c r="F502" s="217"/>
    </row>
    <row r="503" spans="1:6" x14ac:dyDescent="0.3">
      <c r="A503" s="217"/>
      <c r="B503" s="217"/>
      <c r="C503" s="217"/>
      <c r="D503" s="217"/>
      <c r="E503" s="217"/>
      <c r="F503" s="217"/>
    </row>
    <row r="504" spans="1:6" x14ac:dyDescent="0.3">
      <c r="A504" s="217"/>
      <c r="B504" s="217"/>
      <c r="C504" s="217"/>
      <c r="D504" s="217"/>
      <c r="E504" s="217"/>
      <c r="F504" s="217"/>
    </row>
    <row r="505" spans="1:6" x14ac:dyDescent="0.3">
      <c r="A505" s="217"/>
      <c r="B505" s="217"/>
      <c r="C505" s="217"/>
      <c r="D505" s="217"/>
      <c r="E505" s="217"/>
      <c r="F505" s="217"/>
    </row>
    <row r="506" spans="1:6" x14ac:dyDescent="0.3">
      <c r="A506" s="217"/>
      <c r="B506" s="217"/>
      <c r="C506" s="217"/>
      <c r="D506" s="217"/>
      <c r="E506" s="217"/>
      <c r="F506" s="217"/>
    </row>
    <row r="507" spans="1:6" x14ac:dyDescent="0.3">
      <c r="A507" s="217"/>
      <c r="B507" s="217"/>
      <c r="C507" s="217"/>
      <c r="D507" s="217"/>
      <c r="E507" s="217"/>
      <c r="F507" s="217"/>
    </row>
    <row r="508" spans="1:6" x14ac:dyDescent="0.3">
      <c r="A508" s="217"/>
      <c r="B508" s="217"/>
      <c r="C508" s="217"/>
      <c r="D508" s="217"/>
      <c r="E508" s="217"/>
      <c r="F508" s="217"/>
    </row>
    <row r="509" spans="1:6" x14ac:dyDescent="0.3">
      <c r="A509" s="217"/>
      <c r="B509" s="217"/>
      <c r="C509" s="217"/>
      <c r="D509" s="217"/>
      <c r="E509" s="217"/>
      <c r="F509" s="217"/>
    </row>
    <row r="510" spans="1:6" x14ac:dyDescent="0.3">
      <c r="A510" s="217"/>
      <c r="B510" s="217"/>
      <c r="C510" s="217"/>
      <c r="D510" s="217"/>
      <c r="E510" s="217"/>
      <c r="F510" s="217"/>
    </row>
    <row r="511" spans="1:6" x14ac:dyDescent="0.3">
      <c r="A511" s="217"/>
      <c r="B511" s="217"/>
      <c r="C511" s="217"/>
      <c r="D511" s="217"/>
      <c r="E511" s="217"/>
      <c r="F511" s="217"/>
    </row>
    <row r="512" spans="1:6" x14ac:dyDescent="0.3">
      <c r="A512" s="217"/>
      <c r="B512" s="217"/>
      <c r="C512" s="217"/>
      <c r="D512" s="217"/>
      <c r="E512" s="217"/>
      <c r="F512" s="217"/>
    </row>
    <row r="513" spans="1:6" x14ac:dyDescent="0.3">
      <c r="A513" s="217"/>
      <c r="B513" s="217"/>
      <c r="C513" s="217"/>
      <c r="D513" s="217"/>
      <c r="E513" s="217"/>
      <c r="F513" s="217"/>
    </row>
    <row r="514" spans="1:6" x14ac:dyDescent="0.3">
      <c r="A514" s="217"/>
      <c r="B514" s="217"/>
      <c r="C514" s="217"/>
      <c r="D514" s="217"/>
      <c r="E514" s="217"/>
      <c r="F514" s="217"/>
    </row>
    <row r="515" spans="1:6" x14ac:dyDescent="0.3">
      <c r="A515" s="217"/>
      <c r="B515" s="217"/>
      <c r="C515" s="217"/>
      <c r="D515" s="217"/>
      <c r="E515" s="217"/>
      <c r="F515" s="217"/>
    </row>
    <row r="516" spans="1:6" x14ac:dyDescent="0.3">
      <c r="A516" s="217"/>
      <c r="B516" s="217"/>
      <c r="C516" s="217"/>
      <c r="D516" s="217"/>
      <c r="E516" s="217"/>
      <c r="F516" s="217"/>
    </row>
    <row r="517" spans="1:6" x14ac:dyDescent="0.3">
      <c r="A517" s="217"/>
      <c r="B517" s="217"/>
      <c r="C517" s="217"/>
      <c r="D517" s="217"/>
      <c r="E517" s="217"/>
      <c r="F517" s="217"/>
    </row>
    <row r="518" spans="1:6" x14ac:dyDescent="0.3">
      <c r="A518" s="217"/>
      <c r="B518" s="217"/>
      <c r="C518" s="217"/>
      <c r="D518" s="217"/>
      <c r="E518" s="217"/>
      <c r="F518" s="217"/>
    </row>
    <row r="519" spans="1:6" x14ac:dyDescent="0.3">
      <c r="A519" s="217"/>
      <c r="B519" s="217"/>
      <c r="C519" s="217"/>
      <c r="D519" s="217"/>
      <c r="E519" s="217"/>
      <c r="F519" s="217"/>
    </row>
    <row r="520" spans="1:6" x14ac:dyDescent="0.3">
      <c r="A520" s="217"/>
      <c r="B520" s="217"/>
      <c r="C520" s="217"/>
      <c r="D520" s="217"/>
      <c r="E520" s="217"/>
      <c r="F520" s="217"/>
    </row>
    <row r="521" spans="1:6" x14ac:dyDescent="0.3">
      <c r="A521" s="217"/>
      <c r="B521" s="217"/>
      <c r="C521" s="217"/>
      <c r="D521" s="217"/>
      <c r="E521" s="217"/>
      <c r="F521" s="217"/>
    </row>
    <row r="522" spans="1:6" x14ac:dyDescent="0.3">
      <c r="A522" s="217"/>
      <c r="B522" s="217"/>
      <c r="C522" s="217"/>
      <c r="D522" s="217"/>
      <c r="E522" s="217"/>
      <c r="F522" s="217"/>
    </row>
    <row r="523" spans="1:6" x14ac:dyDescent="0.3">
      <c r="A523" s="217"/>
      <c r="B523" s="217"/>
      <c r="C523" s="217"/>
      <c r="D523" s="217"/>
      <c r="E523" s="217"/>
      <c r="F523" s="217"/>
    </row>
    <row r="524" spans="1:6" x14ac:dyDescent="0.3">
      <c r="A524" s="217"/>
      <c r="B524" s="217"/>
      <c r="C524" s="217"/>
      <c r="D524" s="217"/>
      <c r="E524" s="217"/>
      <c r="F524" s="217"/>
    </row>
    <row r="525" spans="1:6" x14ac:dyDescent="0.3">
      <c r="A525" s="217"/>
      <c r="B525" s="217"/>
      <c r="C525" s="217"/>
      <c r="D525" s="217"/>
      <c r="E525" s="217"/>
      <c r="F525" s="217"/>
    </row>
    <row r="526" spans="1:6" x14ac:dyDescent="0.3">
      <c r="A526" s="217"/>
      <c r="B526" s="217"/>
      <c r="C526" s="217"/>
      <c r="D526" s="217"/>
      <c r="E526" s="217"/>
      <c r="F526" s="217"/>
    </row>
    <row r="527" spans="1:6" x14ac:dyDescent="0.3">
      <c r="A527" s="217"/>
      <c r="B527" s="217"/>
      <c r="C527" s="217"/>
      <c r="D527" s="217"/>
      <c r="E527" s="217"/>
      <c r="F527" s="217"/>
    </row>
    <row r="528" spans="1:6" x14ac:dyDescent="0.3">
      <c r="A528" s="217"/>
      <c r="B528" s="217"/>
      <c r="C528" s="217"/>
      <c r="D528" s="217"/>
      <c r="E528" s="217"/>
      <c r="F528" s="217"/>
    </row>
    <row r="529" spans="1:6" x14ac:dyDescent="0.3">
      <c r="A529" s="217"/>
      <c r="B529" s="217"/>
      <c r="C529" s="217"/>
      <c r="D529" s="217"/>
      <c r="E529" s="217"/>
      <c r="F529" s="217"/>
    </row>
    <row r="530" spans="1:6" x14ac:dyDescent="0.3">
      <c r="A530" s="217"/>
      <c r="B530" s="217"/>
      <c r="C530" s="217"/>
      <c r="D530" s="217"/>
      <c r="E530" s="217"/>
      <c r="F530" s="217"/>
    </row>
    <row r="531" spans="1:6" x14ac:dyDescent="0.3">
      <c r="A531" s="217"/>
      <c r="B531" s="217"/>
      <c r="C531" s="217"/>
      <c r="D531" s="217"/>
      <c r="E531" s="217"/>
      <c r="F531" s="217"/>
    </row>
    <row r="532" spans="1:6" x14ac:dyDescent="0.3">
      <c r="A532" s="217"/>
      <c r="B532" s="217"/>
      <c r="C532" s="217"/>
      <c r="D532" s="217"/>
      <c r="E532" s="217"/>
      <c r="F532" s="217"/>
    </row>
    <row r="533" spans="1:6" x14ac:dyDescent="0.3">
      <c r="A533" s="217"/>
      <c r="B533" s="217"/>
      <c r="C533" s="217"/>
      <c r="D533" s="217"/>
      <c r="E533" s="217"/>
      <c r="F533" s="217"/>
    </row>
    <row r="534" spans="1:6" x14ac:dyDescent="0.3">
      <c r="A534" s="217"/>
      <c r="B534" s="217"/>
      <c r="C534" s="217"/>
      <c r="D534" s="217"/>
      <c r="E534" s="217"/>
      <c r="F534" s="217"/>
    </row>
    <row r="535" spans="1:6" x14ac:dyDescent="0.3">
      <c r="A535" s="217"/>
      <c r="B535" s="217"/>
      <c r="C535" s="217"/>
      <c r="D535" s="217"/>
      <c r="E535" s="217"/>
      <c r="F535" s="217"/>
    </row>
    <row r="536" spans="1:6" x14ac:dyDescent="0.3">
      <c r="A536" s="217"/>
      <c r="B536" s="217"/>
      <c r="C536" s="217"/>
      <c r="D536" s="217"/>
      <c r="E536" s="217"/>
      <c r="F536" s="217"/>
    </row>
    <row r="537" spans="1:6" x14ac:dyDescent="0.3">
      <c r="A537" s="217"/>
      <c r="B537" s="217"/>
      <c r="C537" s="217"/>
      <c r="D537" s="217"/>
      <c r="E537" s="217"/>
      <c r="F537" s="217"/>
    </row>
    <row r="538" spans="1:6" x14ac:dyDescent="0.3">
      <c r="A538" s="217"/>
      <c r="B538" s="217"/>
      <c r="C538" s="217"/>
      <c r="D538" s="217"/>
      <c r="E538" s="217"/>
      <c r="F538" s="217"/>
    </row>
    <row r="539" spans="1:6" x14ac:dyDescent="0.3">
      <c r="A539" s="217"/>
      <c r="B539" s="217"/>
      <c r="C539" s="217"/>
      <c r="D539" s="217"/>
      <c r="E539" s="217"/>
      <c r="F539" s="217"/>
    </row>
    <row r="540" spans="1:6" x14ac:dyDescent="0.3">
      <c r="A540" s="217"/>
      <c r="B540" s="217"/>
      <c r="C540" s="217"/>
      <c r="D540" s="217"/>
      <c r="E540" s="217"/>
      <c r="F540" s="217"/>
    </row>
    <row r="541" spans="1:6" x14ac:dyDescent="0.3">
      <c r="A541" s="217"/>
      <c r="B541" s="217"/>
      <c r="C541" s="217"/>
      <c r="D541" s="217"/>
      <c r="E541" s="217"/>
      <c r="F541" s="217"/>
    </row>
    <row r="542" spans="1:6" x14ac:dyDescent="0.3">
      <c r="A542" s="217"/>
      <c r="B542" s="217"/>
      <c r="C542" s="217"/>
      <c r="D542" s="217"/>
      <c r="E542" s="217"/>
      <c r="F542" s="217"/>
    </row>
    <row r="543" spans="1:6" x14ac:dyDescent="0.3">
      <c r="A543" s="217"/>
      <c r="B543" s="217"/>
      <c r="C543" s="217"/>
      <c r="D543" s="217"/>
      <c r="E543" s="217"/>
      <c r="F543" s="217"/>
    </row>
    <row r="544" spans="1:6" x14ac:dyDescent="0.3">
      <c r="A544" s="217"/>
      <c r="B544" s="217"/>
      <c r="C544" s="217"/>
      <c r="D544" s="217"/>
      <c r="E544" s="217"/>
      <c r="F544" s="217"/>
    </row>
    <row r="545" spans="1:6" x14ac:dyDescent="0.3">
      <c r="A545" s="217"/>
      <c r="B545" s="217"/>
      <c r="C545" s="217"/>
      <c r="D545" s="217"/>
      <c r="E545" s="217"/>
      <c r="F545" s="217"/>
    </row>
    <row r="546" spans="1:6" x14ac:dyDescent="0.3">
      <c r="A546" s="217"/>
      <c r="B546" s="217"/>
      <c r="C546" s="217"/>
      <c r="D546" s="217"/>
      <c r="E546" s="217"/>
      <c r="F546" s="217"/>
    </row>
    <row r="547" spans="1:6" x14ac:dyDescent="0.3">
      <c r="A547" s="217"/>
      <c r="B547" s="217"/>
      <c r="C547" s="217"/>
      <c r="D547" s="217"/>
      <c r="E547" s="217"/>
      <c r="F547" s="217"/>
    </row>
    <row r="548" spans="1:6" x14ac:dyDescent="0.3">
      <c r="A548" s="217"/>
      <c r="B548" s="217"/>
      <c r="C548" s="217"/>
      <c r="D548" s="217"/>
      <c r="E548" s="217"/>
      <c r="F548" s="217"/>
    </row>
    <row r="549" spans="1:6" x14ac:dyDescent="0.3">
      <c r="A549" s="217"/>
      <c r="B549" s="217"/>
      <c r="C549" s="217"/>
      <c r="D549" s="217"/>
      <c r="E549" s="217"/>
      <c r="F549" s="217"/>
    </row>
    <row r="550" spans="1:6" x14ac:dyDescent="0.3">
      <c r="A550" s="217"/>
      <c r="B550" s="217"/>
      <c r="C550" s="217"/>
      <c r="D550" s="217"/>
      <c r="E550" s="217"/>
      <c r="F550" s="217"/>
    </row>
    <row r="551" spans="1:6" x14ac:dyDescent="0.3">
      <c r="A551" s="217"/>
      <c r="B551" s="217"/>
      <c r="C551" s="217"/>
      <c r="D551" s="217"/>
      <c r="E551" s="217"/>
      <c r="F551" s="217"/>
    </row>
    <row r="552" spans="1:6" x14ac:dyDescent="0.3">
      <c r="A552" s="217"/>
      <c r="B552" s="217"/>
      <c r="C552" s="217"/>
      <c r="D552" s="217"/>
      <c r="E552" s="217"/>
      <c r="F552" s="217"/>
    </row>
    <row r="553" spans="1:6" x14ac:dyDescent="0.3">
      <c r="A553" s="217"/>
      <c r="B553" s="217"/>
      <c r="C553" s="217"/>
      <c r="D553" s="217"/>
      <c r="E553" s="217"/>
      <c r="F553" s="217"/>
    </row>
    <row r="554" spans="1:6" x14ac:dyDescent="0.3">
      <c r="A554" s="217"/>
      <c r="B554" s="217"/>
      <c r="C554" s="217"/>
      <c r="D554" s="217"/>
      <c r="E554" s="217"/>
      <c r="F554" s="217"/>
    </row>
    <row r="555" spans="1:6" x14ac:dyDescent="0.3">
      <c r="A555" s="217"/>
      <c r="B555" s="217"/>
      <c r="C555" s="217"/>
      <c r="D555" s="217"/>
      <c r="E555" s="217"/>
      <c r="F555" s="217"/>
    </row>
    <row r="556" spans="1:6" x14ac:dyDescent="0.3">
      <c r="A556" s="217"/>
      <c r="B556" s="217"/>
      <c r="C556" s="217"/>
      <c r="D556" s="217"/>
      <c r="E556" s="217"/>
      <c r="F556" s="217"/>
    </row>
    <row r="557" spans="1:6" x14ac:dyDescent="0.3">
      <c r="A557" s="217"/>
      <c r="B557" s="217"/>
      <c r="C557" s="217"/>
      <c r="D557" s="217"/>
      <c r="E557" s="217"/>
      <c r="F557" s="217"/>
    </row>
    <row r="558" spans="1:6" x14ac:dyDescent="0.3">
      <c r="A558" s="217"/>
      <c r="B558" s="217"/>
      <c r="C558" s="217"/>
      <c r="D558" s="217"/>
      <c r="E558" s="217"/>
      <c r="F558" s="217"/>
    </row>
    <row r="559" spans="1:6" x14ac:dyDescent="0.3">
      <c r="A559" s="217"/>
      <c r="B559" s="217"/>
      <c r="C559" s="217"/>
      <c r="D559" s="217"/>
      <c r="E559" s="217"/>
      <c r="F559" s="217"/>
    </row>
    <row r="560" spans="1:6" x14ac:dyDescent="0.3">
      <c r="A560" s="217"/>
      <c r="B560" s="217"/>
      <c r="C560" s="217"/>
      <c r="D560" s="217"/>
      <c r="E560" s="217"/>
      <c r="F560" s="217"/>
    </row>
    <row r="561" spans="1:6" x14ac:dyDescent="0.3">
      <c r="A561" s="217"/>
      <c r="B561" s="217"/>
      <c r="C561" s="217"/>
      <c r="D561" s="217"/>
      <c r="E561" s="217"/>
      <c r="F561" s="217"/>
    </row>
    <row r="562" spans="1:6" x14ac:dyDescent="0.3">
      <c r="A562" s="217"/>
      <c r="B562" s="217"/>
      <c r="C562" s="217"/>
      <c r="D562" s="217"/>
      <c r="E562" s="217"/>
      <c r="F562" s="217"/>
    </row>
    <row r="563" spans="1:6" x14ac:dyDescent="0.3">
      <c r="A563" s="217"/>
      <c r="B563" s="217"/>
      <c r="C563" s="217"/>
      <c r="D563" s="217"/>
      <c r="E563" s="217"/>
      <c r="F563" s="217"/>
    </row>
    <row r="564" spans="1:6" x14ac:dyDescent="0.3">
      <c r="A564" s="217"/>
      <c r="B564" s="217"/>
      <c r="C564" s="217"/>
      <c r="D564" s="217"/>
      <c r="E564" s="217"/>
      <c r="F564" s="217"/>
    </row>
    <row r="565" spans="1:6" x14ac:dyDescent="0.3">
      <c r="A565" s="217"/>
      <c r="B565" s="217"/>
      <c r="C565" s="217"/>
      <c r="D565" s="217"/>
      <c r="E565" s="217"/>
      <c r="F565" s="217"/>
    </row>
    <row r="566" spans="1:6" x14ac:dyDescent="0.3">
      <c r="A566" s="217"/>
      <c r="B566" s="217"/>
      <c r="C566" s="217"/>
      <c r="D566" s="217"/>
      <c r="E566" s="217"/>
      <c r="F566" s="217"/>
    </row>
    <row r="567" spans="1:6" x14ac:dyDescent="0.3">
      <c r="A567" s="217"/>
      <c r="B567" s="217"/>
      <c r="C567" s="217"/>
      <c r="D567" s="217"/>
      <c r="E567" s="217"/>
      <c r="F567" s="217"/>
    </row>
    <row r="568" spans="1:6" x14ac:dyDescent="0.3">
      <c r="A568" s="217"/>
      <c r="B568" s="217"/>
      <c r="C568" s="217"/>
      <c r="D568" s="217"/>
      <c r="E568" s="217"/>
      <c r="F568" s="217"/>
    </row>
    <row r="569" spans="1:6" x14ac:dyDescent="0.3">
      <c r="A569" s="217"/>
      <c r="B569" s="217"/>
      <c r="C569" s="217"/>
      <c r="D569" s="217"/>
      <c r="E569" s="217"/>
      <c r="F569" s="217"/>
    </row>
    <row r="570" spans="1:6" x14ac:dyDescent="0.3">
      <c r="A570" s="217"/>
      <c r="B570" s="217"/>
      <c r="C570" s="217"/>
      <c r="D570" s="217"/>
      <c r="E570" s="217"/>
      <c r="F570" s="217"/>
    </row>
    <row r="571" spans="1:6" x14ac:dyDescent="0.3">
      <c r="A571" s="217"/>
      <c r="B571" s="217"/>
      <c r="C571" s="217"/>
      <c r="D571" s="217"/>
      <c r="E571" s="217"/>
      <c r="F571" s="217"/>
    </row>
    <row r="572" spans="1:6" x14ac:dyDescent="0.3">
      <c r="A572" s="217"/>
      <c r="B572" s="217"/>
      <c r="C572" s="217"/>
      <c r="D572" s="217"/>
      <c r="E572" s="217"/>
      <c r="F572" s="217"/>
    </row>
    <row r="573" spans="1:6" x14ac:dyDescent="0.3">
      <c r="A573" s="217"/>
      <c r="B573" s="217"/>
      <c r="C573" s="217"/>
      <c r="D573" s="217"/>
      <c r="E573" s="217"/>
      <c r="F573" s="217"/>
    </row>
    <row r="574" spans="1:6" x14ac:dyDescent="0.3">
      <c r="A574" s="217"/>
      <c r="B574" s="217"/>
      <c r="C574" s="217"/>
      <c r="D574" s="217"/>
      <c r="E574" s="217"/>
      <c r="F574" s="217"/>
    </row>
    <row r="575" spans="1:6" x14ac:dyDescent="0.3">
      <c r="A575" s="217"/>
      <c r="B575" s="217"/>
      <c r="C575" s="217"/>
      <c r="D575" s="217"/>
      <c r="E575" s="217"/>
      <c r="F575" s="217"/>
    </row>
    <row r="576" spans="1:6" x14ac:dyDescent="0.3">
      <c r="A576" s="217"/>
      <c r="B576" s="217"/>
      <c r="C576" s="217"/>
      <c r="D576" s="217"/>
      <c r="E576" s="217"/>
      <c r="F576" s="217"/>
    </row>
    <row r="577" spans="1:6" x14ac:dyDescent="0.3">
      <c r="A577" s="217"/>
      <c r="B577" s="217"/>
      <c r="C577" s="217"/>
      <c r="D577" s="217"/>
      <c r="E577" s="217"/>
      <c r="F577" s="217"/>
    </row>
    <row r="578" spans="1:6" x14ac:dyDescent="0.3">
      <c r="A578" s="217"/>
      <c r="B578" s="217"/>
      <c r="C578" s="217"/>
      <c r="D578" s="217"/>
      <c r="E578" s="217"/>
      <c r="F578" s="217"/>
    </row>
    <row r="579" spans="1:6" x14ac:dyDescent="0.3">
      <c r="A579" s="217"/>
      <c r="B579" s="217"/>
      <c r="C579" s="217"/>
      <c r="D579" s="217"/>
      <c r="E579" s="217"/>
      <c r="F579" s="217"/>
    </row>
    <row r="580" spans="1:6" x14ac:dyDescent="0.3">
      <c r="A580" s="217"/>
      <c r="B580" s="217"/>
      <c r="C580" s="217"/>
      <c r="D580" s="217"/>
      <c r="E580" s="217"/>
      <c r="F580" s="217"/>
    </row>
    <row r="581" spans="1:6" x14ac:dyDescent="0.3">
      <c r="A581" s="217"/>
      <c r="B581" s="217"/>
      <c r="C581" s="217"/>
      <c r="D581" s="217"/>
      <c r="E581" s="217"/>
      <c r="F581" s="217"/>
    </row>
    <row r="582" spans="1:6" x14ac:dyDescent="0.3">
      <c r="A582" s="217"/>
      <c r="B582" s="217"/>
      <c r="C582" s="217"/>
      <c r="D582" s="217"/>
      <c r="E582" s="217"/>
      <c r="F582" s="217"/>
    </row>
    <row r="583" spans="1:6" x14ac:dyDescent="0.3">
      <c r="A583" s="217"/>
      <c r="B583" s="217"/>
      <c r="C583" s="217"/>
      <c r="D583" s="217"/>
      <c r="E583" s="217"/>
      <c r="F583" s="217"/>
    </row>
    <row r="584" spans="1:6" x14ac:dyDescent="0.3">
      <c r="A584" s="217"/>
      <c r="B584" s="217"/>
      <c r="C584" s="217"/>
      <c r="D584" s="217"/>
      <c r="E584" s="217"/>
      <c r="F584" s="217"/>
    </row>
    <row r="585" spans="1:6" x14ac:dyDescent="0.3">
      <c r="A585" s="217"/>
      <c r="B585" s="217"/>
      <c r="C585" s="217"/>
      <c r="D585" s="217"/>
      <c r="E585" s="217"/>
      <c r="F585" s="217"/>
    </row>
    <row r="586" spans="1:6" x14ac:dyDescent="0.3">
      <c r="A586" s="217"/>
      <c r="B586" s="217"/>
      <c r="C586" s="217"/>
      <c r="D586" s="217"/>
      <c r="E586" s="217"/>
      <c r="F586" s="217"/>
    </row>
    <row r="587" spans="1:6" x14ac:dyDescent="0.3">
      <c r="A587" s="217"/>
      <c r="B587" s="217"/>
      <c r="C587" s="217"/>
      <c r="D587" s="217"/>
      <c r="E587" s="217"/>
      <c r="F587" s="217"/>
    </row>
    <row r="588" spans="1:6" x14ac:dyDescent="0.3">
      <c r="A588" s="217"/>
      <c r="B588" s="217"/>
      <c r="C588" s="217"/>
      <c r="D588" s="217"/>
      <c r="E588" s="217"/>
      <c r="F588" s="217"/>
    </row>
    <row r="589" spans="1:6" x14ac:dyDescent="0.3">
      <c r="A589" s="217"/>
      <c r="B589" s="217"/>
      <c r="C589" s="217"/>
      <c r="D589" s="217"/>
      <c r="E589" s="217"/>
      <c r="F589" s="217"/>
    </row>
    <row r="590" spans="1:6" x14ac:dyDescent="0.3">
      <c r="A590" s="217"/>
      <c r="B590" s="217"/>
      <c r="C590" s="217"/>
      <c r="D590" s="217"/>
      <c r="E590" s="217"/>
      <c r="F590" s="217"/>
    </row>
    <row r="591" spans="1:6" x14ac:dyDescent="0.3">
      <c r="A591" s="217"/>
      <c r="B591" s="217"/>
      <c r="C591" s="217"/>
      <c r="D591" s="217"/>
      <c r="E591" s="217"/>
      <c r="F591" s="217"/>
    </row>
    <row r="592" spans="1:6" x14ac:dyDescent="0.3">
      <c r="A592" s="217"/>
      <c r="B592" s="217"/>
      <c r="C592" s="217"/>
      <c r="D592" s="217"/>
      <c r="E592" s="217"/>
      <c r="F592" s="217"/>
    </row>
    <row r="593" spans="1:6" x14ac:dyDescent="0.3">
      <c r="A593" s="217"/>
      <c r="B593" s="217"/>
      <c r="C593" s="217"/>
      <c r="D593" s="217"/>
      <c r="E593" s="217"/>
      <c r="F593" s="217"/>
    </row>
    <row r="594" spans="1:6" x14ac:dyDescent="0.3">
      <c r="A594" s="217"/>
      <c r="B594" s="217"/>
      <c r="C594" s="217"/>
      <c r="D594" s="217"/>
      <c r="E594" s="217"/>
      <c r="F594" s="217"/>
    </row>
    <row r="595" spans="1:6" x14ac:dyDescent="0.3">
      <c r="A595" s="217"/>
      <c r="B595" s="217"/>
      <c r="C595" s="217"/>
      <c r="D595" s="217"/>
      <c r="E595" s="217"/>
      <c r="F595" s="217"/>
    </row>
    <row r="596" spans="1:6" x14ac:dyDescent="0.3">
      <c r="A596" s="217"/>
      <c r="B596" s="217"/>
      <c r="C596" s="217"/>
      <c r="D596" s="217"/>
      <c r="E596" s="217"/>
      <c r="F596" s="217"/>
    </row>
    <row r="597" spans="1:6" x14ac:dyDescent="0.3">
      <c r="A597" s="217"/>
      <c r="B597" s="217"/>
      <c r="C597" s="217"/>
      <c r="D597" s="217"/>
      <c r="E597" s="217"/>
      <c r="F597" s="217"/>
    </row>
    <row r="598" spans="1:6" x14ac:dyDescent="0.3">
      <c r="A598" s="217"/>
      <c r="B598" s="217"/>
      <c r="C598" s="217"/>
      <c r="D598" s="217"/>
      <c r="E598" s="217"/>
      <c r="F598" s="217"/>
    </row>
    <row r="599" spans="1:6" x14ac:dyDescent="0.3">
      <c r="A599" s="217"/>
      <c r="B599" s="217"/>
      <c r="C599" s="217"/>
      <c r="D599" s="217"/>
      <c r="E599" s="217"/>
      <c r="F599" s="217"/>
    </row>
    <row r="600" spans="1:6" x14ac:dyDescent="0.3">
      <c r="A600" s="217"/>
      <c r="B600" s="217"/>
      <c r="C600" s="217"/>
      <c r="D600" s="217"/>
      <c r="E600" s="217"/>
      <c r="F600" s="217"/>
    </row>
    <row r="601" spans="1:6" x14ac:dyDescent="0.3">
      <c r="A601" s="217"/>
      <c r="B601" s="217"/>
      <c r="C601" s="217"/>
      <c r="D601" s="217"/>
      <c r="E601" s="217"/>
      <c r="F601" s="217"/>
    </row>
    <row r="602" spans="1:6" x14ac:dyDescent="0.3">
      <c r="A602" s="217"/>
      <c r="B602" s="217"/>
      <c r="C602" s="217"/>
      <c r="D602" s="217"/>
      <c r="E602" s="217"/>
      <c r="F602" s="217"/>
    </row>
    <row r="603" spans="1:6" x14ac:dyDescent="0.3">
      <c r="A603" s="217"/>
      <c r="B603" s="217"/>
      <c r="C603" s="217"/>
      <c r="D603" s="217"/>
      <c r="E603" s="217"/>
      <c r="F603" s="217"/>
    </row>
    <row r="604" spans="1:6" x14ac:dyDescent="0.3">
      <c r="A604" s="217"/>
      <c r="B604" s="217"/>
      <c r="C604" s="217"/>
      <c r="D604" s="217"/>
      <c r="E604" s="217"/>
      <c r="F604" s="217"/>
    </row>
    <row r="605" spans="1:6" x14ac:dyDescent="0.3">
      <c r="A605" s="217"/>
      <c r="B605" s="217"/>
      <c r="C605" s="217"/>
      <c r="D605" s="217"/>
      <c r="E605" s="217"/>
      <c r="F605" s="217"/>
    </row>
    <row r="606" spans="1:6" x14ac:dyDescent="0.3">
      <c r="A606" s="217"/>
      <c r="B606" s="217"/>
      <c r="C606" s="217"/>
      <c r="D606" s="217"/>
      <c r="E606" s="217"/>
      <c r="F606" s="217"/>
    </row>
    <row r="607" spans="1:6" x14ac:dyDescent="0.3">
      <c r="A607" s="217"/>
      <c r="B607" s="217"/>
      <c r="C607" s="217"/>
      <c r="D607" s="217"/>
      <c r="E607" s="217"/>
      <c r="F607" s="217"/>
    </row>
    <row r="608" spans="1:6" x14ac:dyDescent="0.3">
      <c r="A608" s="217"/>
      <c r="B608" s="217"/>
      <c r="C608" s="217"/>
      <c r="D608" s="217"/>
      <c r="E608" s="217"/>
      <c r="F608" s="217"/>
    </row>
    <row r="609" spans="1:6" x14ac:dyDescent="0.3">
      <c r="A609" s="217"/>
      <c r="B609" s="217"/>
      <c r="C609" s="217"/>
      <c r="D609" s="217"/>
      <c r="E609" s="217"/>
      <c r="F609" s="217"/>
    </row>
    <row r="610" spans="1:6" x14ac:dyDescent="0.3">
      <c r="A610" s="217"/>
      <c r="B610" s="217"/>
      <c r="C610" s="217"/>
      <c r="D610" s="217"/>
      <c r="E610" s="217"/>
      <c r="F610" s="217"/>
    </row>
    <row r="611" spans="1:6" x14ac:dyDescent="0.3">
      <c r="A611" s="217"/>
      <c r="B611" s="217"/>
      <c r="C611" s="217"/>
      <c r="D611" s="217"/>
      <c r="E611" s="217"/>
      <c r="F611" s="217"/>
    </row>
    <row r="612" spans="1:6" x14ac:dyDescent="0.3">
      <c r="A612" s="217"/>
      <c r="B612" s="217"/>
      <c r="C612" s="217"/>
      <c r="D612" s="217"/>
      <c r="E612" s="217"/>
      <c r="F612" s="217"/>
    </row>
    <row r="613" spans="1:6" x14ac:dyDescent="0.3">
      <c r="A613" s="217"/>
      <c r="B613" s="217"/>
      <c r="C613" s="217"/>
      <c r="D613" s="217"/>
      <c r="E613" s="217"/>
      <c r="F613" s="217"/>
    </row>
    <row r="614" spans="1:6" x14ac:dyDescent="0.3">
      <c r="A614" s="217"/>
      <c r="B614" s="217"/>
      <c r="C614" s="217"/>
      <c r="D614" s="217"/>
      <c r="E614" s="217"/>
      <c r="F614" s="217"/>
    </row>
    <row r="615" spans="1:6" x14ac:dyDescent="0.3">
      <c r="A615" s="217"/>
      <c r="B615" s="217"/>
      <c r="C615" s="217"/>
      <c r="D615" s="217"/>
      <c r="E615" s="217"/>
      <c r="F615" s="217"/>
    </row>
    <row r="616" spans="1:6" x14ac:dyDescent="0.3">
      <c r="A616" s="217"/>
      <c r="B616" s="217"/>
      <c r="C616" s="217"/>
      <c r="D616" s="217"/>
      <c r="E616" s="217"/>
      <c r="F616" s="217"/>
    </row>
    <row r="617" spans="1:6" x14ac:dyDescent="0.3">
      <c r="A617" s="217"/>
      <c r="B617" s="217"/>
      <c r="C617" s="217"/>
      <c r="D617" s="217"/>
      <c r="E617" s="217"/>
      <c r="F617" s="217"/>
    </row>
    <row r="618" spans="1:6" x14ac:dyDescent="0.3">
      <c r="A618" s="217"/>
      <c r="B618" s="217"/>
      <c r="C618" s="217"/>
      <c r="D618" s="217"/>
      <c r="E618" s="217"/>
      <c r="F618" s="217"/>
    </row>
    <row r="619" spans="1:6" x14ac:dyDescent="0.3">
      <c r="A619" s="217"/>
      <c r="B619" s="217"/>
      <c r="C619" s="217"/>
      <c r="D619" s="217"/>
      <c r="E619" s="217"/>
      <c r="F619" s="217"/>
    </row>
    <row r="620" spans="1:6" x14ac:dyDescent="0.3">
      <c r="A620" s="217"/>
      <c r="B620" s="217"/>
      <c r="C620" s="217"/>
      <c r="D620" s="217"/>
      <c r="E620" s="217"/>
      <c r="F620" s="217"/>
    </row>
    <row r="621" spans="1:6" x14ac:dyDescent="0.3">
      <c r="A621" s="217"/>
      <c r="B621" s="217"/>
      <c r="C621" s="217"/>
      <c r="D621" s="217"/>
      <c r="E621" s="217"/>
      <c r="F621" s="217"/>
    </row>
    <row r="622" spans="1:6" x14ac:dyDescent="0.3">
      <c r="A622" s="217"/>
      <c r="B622" s="217"/>
      <c r="C622" s="217"/>
      <c r="D622" s="217"/>
      <c r="E622" s="217"/>
      <c r="F622" s="217"/>
    </row>
    <row r="623" spans="1:6" x14ac:dyDescent="0.3">
      <c r="A623" s="217"/>
      <c r="B623" s="217"/>
      <c r="C623" s="217"/>
      <c r="D623" s="217"/>
      <c r="E623" s="217"/>
      <c r="F623" s="217"/>
    </row>
    <row r="624" spans="1:6" x14ac:dyDescent="0.3">
      <c r="A624" s="217"/>
      <c r="B624" s="217"/>
      <c r="C624" s="217"/>
      <c r="D624" s="217"/>
      <c r="E624" s="217"/>
      <c r="F624" s="217"/>
    </row>
    <row r="625" spans="1:6" x14ac:dyDescent="0.3">
      <c r="A625" s="217"/>
      <c r="B625" s="217"/>
      <c r="C625" s="217"/>
      <c r="D625" s="217"/>
      <c r="E625" s="217"/>
      <c r="F625" s="217"/>
    </row>
    <row r="626" spans="1:6" x14ac:dyDescent="0.3">
      <c r="A626" s="217"/>
      <c r="B626" s="217"/>
      <c r="C626" s="217"/>
      <c r="D626" s="217"/>
      <c r="E626" s="217"/>
      <c r="F626" s="217"/>
    </row>
    <row r="627" spans="1:6" x14ac:dyDescent="0.3">
      <c r="A627" s="217"/>
      <c r="B627" s="217"/>
      <c r="C627" s="217"/>
      <c r="D627" s="217"/>
      <c r="E627" s="217"/>
      <c r="F627" s="217"/>
    </row>
    <row r="628" spans="1:6" x14ac:dyDescent="0.3">
      <c r="A628" s="217"/>
      <c r="B628" s="217"/>
      <c r="C628" s="217"/>
      <c r="D628" s="217"/>
      <c r="E628" s="217"/>
      <c r="F628" s="217"/>
    </row>
    <row r="629" spans="1:6" x14ac:dyDescent="0.3">
      <c r="A629" s="217"/>
      <c r="B629" s="217"/>
      <c r="C629" s="217"/>
      <c r="D629" s="217"/>
      <c r="E629" s="217"/>
      <c r="F629" s="217"/>
    </row>
    <row r="630" spans="1:6" x14ac:dyDescent="0.3">
      <c r="A630" s="217"/>
      <c r="B630" s="217"/>
      <c r="C630" s="217"/>
      <c r="D630" s="217"/>
      <c r="E630" s="217"/>
      <c r="F630" s="217"/>
    </row>
    <row r="631" spans="1:6" x14ac:dyDescent="0.3">
      <c r="A631" s="217"/>
      <c r="B631" s="217"/>
      <c r="C631" s="217"/>
      <c r="D631" s="217"/>
      <c r="E631" s="217"/>
      <c r="F631" s="217"/>
    </row>
    <row r="632" spans="1:6" x14ac:dyDescent="0.3">
      <c r="A632" s="217"/>
      <c r="B632" s="217"/>
      <c r="C632" s="217"/>
      <c r="D632" s="217"/>
      <c r="E632" s="217"/>
      <c r="F632" s="217"/>
    </row>
    <row r="633" spans="1:6" x14ac:dyDescent="0.3">
      <c r="A633" s="217"/>
      <c r="B633" s="217"/>
      <c r="C633" s="217"/>
      <c r="D633" s="217"/>
      <c r="E633" s="217"/>
      <c r="F633" s="217"/>
    </row>
    <row r="634" spans="1:6" x14ac:dyDescent="0.3">
      <c r="A634" s="217"/>
      <c r="B634" s="217"/>
      <c r="C634" s="217"/>
      <c r="D634" s="217"/>
      <c r="E634" s="217"/>
      <c r="F634" s="217"/>
    </row>
    <row r="635" spans="1:6" x14ac:dyDescent="0.3">
      <c r="A635" s="217"/>
      <c r="B635" s="217"/>
      <c r="C635" s="217"/>
      <c r="D635" s="217"/>
      <c r="E635" s="217"/>
      <c r="F635" s="217"/>
    </row>
    <row r="636" spans="1:6" x14ac:dyDescent="0.3">
      <c r="A636" s="217"/>
      <c r="B636" s="217"/>
      <c r="C636" s="217"/>
      <c r="D636" s="217"/>
      <c r="E636" s="217"/>
      <c r="F636" s="217"/>
    </row>
    <row r="637" spans="1:6" x14ac:dyDescent="0.3">
      <c r="A637" s="217"/>
      <c r="B637" s="217"/>
      <c r="C637" s="217"/>
      <c r="D637" s="217"/>
      <c r="E637" s="217"/>
      <c r="F637" s="217"/>
    </row>
    <row r="638" spans="1:6" x14ac:dyDescent="0.3">
      <c r="A638" s="217"/>
      <c r="B638" s="217"/>
      <c r="C638" s="217"/>
      <c r="D638" s="217"/>
      <c r="E638" s="217"/>
      <c r="F638" s="217"/>
    </row>
    <row r="639" spans="1:6" x14ac:dyDescent="0.3">
      <c r="A639" s="217"/>
      <c r="B639" s="217"/>
      <c r="C639" s="217"/>
      <c r="D639" s="217"/>
      <c r="E639" s="217"/>
      <c r="F639" s="217"/>
    </row>
    <row r="640" spans="1:6" x14ac:dyDescent="0.3">
      <c r="A640" s="217"/>
      <c r="B640" s="217"/>
      <c r="C640" s="217"/>
      <c r="D640" s="217"/>
      <c r="E640" s="217"/>
      <c r="F640" s="217"/>
    </row>
    <row r="641" spans="1:6" x14ac:dyDescent="0.3">
      <c r="A641" s="217"/>
      <c r="B641" s="217"/>
      <c r="C641" s="217"/>
      <c r="D641" s="217"/>
      <c r="E641" s="217"/>
      <c r="F641" s="217"/>
    </row>
    <row r="642" spans="1:6" x14ac:dyDescent="0.3">
      <c r="A642" s="217"/>
      <c r="B642" s="217"/>
      <c r="C642" s="217"/>
      <c r="D642" s="217"/>
      <c r="E642" s="217"/>
      <c r="F642" s="217"/>
    </row>
    <row r="643" spans="1:6" x14ac:dyDescent="0.3">
      <c r="A643" s="217"/>
      <c r="B643" s="217"/>
      <c r="C643" s="217"/>
      <c r="D643" s="217"/>
      <c r="E643" s="217"/>
      <c r="F643" s="217"/>
    </row>
    <row r="644" spans="1:6" x14ac:dyDescent="0.3">
      <c r="A644" s="217"/>
      <c r="B644" s="217"/>
      <c r="C644" s="217"/>
      <c r="D644" s="217"/>
      <c r="E644" s="217"/>
      <c r="F644" s="217"/>
    </row>
    <row r="645" spans="1:6" x14ac:dyDescent="0.3">
      <c r="A645" s="217"/>
      <c r="B645" s="217"/>
      <c r="C645" s="217"/>
      <c r="D645" s="217"/>
      <c r="E645" s="217"/>
      <c r="F645" s="217"/>
    </row>
    <row r="646" spans="1:6" x14ac:dyDescent="0.3">
      <c r="A646" s="217"/>
      <c r="B646" s="217"/>
      <c r="C646" s="217"/>
      <c r="D646" s="217"/>
      <c r="E646" s="217"/>
      <c r="F646" s="217"/>
    </row>
    <row r="647" spans="1:6" x14ac:dyDescent="0.3">
      <c r="A647" s="217"/>
      <c r="B647" s="217"/>
      <c r="C647" s="217"/>
      <c r="D647" s="217"/>
      <c r="E647" s="217"/>
      <c r="F647" s="217"/>
    </row>
    <row r="648" spans="1:6" x14ac:dyDescent="0.3">
      <c r="A648" s="217"/>
      <c r="B648" s="217"/>
      <c r="C648" s="217"/>
      <c r="D648" s="217"/>
      <c r="E648" s="217"/>
      <c r="F648" s="217"/>
    </row>
    <row r="649" spans="1:6" x14ac:dyDescent="0.3">
      <c r="A649" s="217"/>
      <c r="B649" s="217"/>
      <c r="C649" s="217"/>
      <c r="D649" s="217"/>
      <c r="E649" s="217"/>
      <c r="F649" s="217"/>
    </row>
    <row r="650" spans="1:6" x14ac:dyDescent="0.3">
      <c r="A650" s="217"/>
      <c r="B650" s="217"/>
      <c r="C650" s="217"/>
      <c r="D650" s="217"/>
      <c r="E650" s="217"/>
      <c r="F650" s="217"/>
    </row>
    <row r="651" spans="1:6" x14ac:dyDescent="0.3">
      <c r="A651" s="217"/>
      <c r="B651" s="217"/>
      <c r="C651" s="217"/>
      <c r="D651" s="217"/>
      <c r="E651" s="217"/>
      <c r="F651" s="217"/>
    </row>
    <row r="652" spans="1:6" x14ac:dyDescent="0.3">
      <c r="A652" s="217"/>
      <c r="B652" s="217"/>
      <c r="C652" s="217"/>
      <c r="D652" s="217"/>
      <c r="E652" s="217"/>
      <c r="F652" s="217"/>
    </row>
    <row r="653" spans="1:6" x14ac:dyDescent="0.3">
      <c r="A653" s="217"/>
      <c r="B653" s="217"/>
      <c r="C653" s="217"/>
      <c r="D653" s="217"/>
      <c r="E653" s="217"/>
      <c r="F653" s="217"/>
    </row>
    <row r="654" spans="1:6" x14ac:dyDescent="0.3">
      <c r="A654" s="217"/>
      <c r="B654" s="217"/>
      <c r="C654" s="217"/>
      <c r="D654" s="217"/>
      <c r="E654" s="217"/>
      <c r="F654" s="217"/>
    </row>
    <row r="655" spans="1:6" x14ac:dyDescent="0.3">
      <c r="A655" s="217"/>
      <c r="B655" s="217"/>
      <c r="C655" s="217"/>
      <c r="D655" s="217"/>
      <c r="E655" s="217"/>
      <c r="F655" s="217"/>
    </row>
    <row r="656" spans="1:6" x14ac:dyDescent="0.3">
      <c r="A656" s="217"/>
      <c r="B656" s="217"/>
      <c r="C656" s="217"/>
      <c r="D656" s="217"/>
      <c r="E656" s="217"/>
      <c r="F656" s="217"/>
    </row>
    <row r="657" spans="1:6" x14ac:dyDescent="0.3">
      <c r="A657" s="217"/>
      <c r="B657" s="217"/>
      <c r="C657" s="217"/>
      <c r="D657" s="217"/>
      <c r="E657" s="217"/>
      <c r="F657" s="217"/>
    </row>
    <row r="658" spans="1:6" x14ac:dyDescent="0.3">
      <c r="A658" s="217"/>
      <c r="B658" s="217"/>
      <c r="C658" s="217"/>
      <c r="D658" s="217"/>
      <c r="E658" s="217"/>
      <c r="F658" s="217"/>
    </row>
    <row r="659" spans="1:6" x14ac:dyDescent="0.3">
      <c r="A659" s="217"/>
      <c r="B659" s="217"/>
      <c r="C659" s="217"/>
      <c r="D659" s="217"/>
      <c r="E659" s="217"/>
      <c r="F659" s="217"/>
    </row>
    <row r="660" spans="1:6" x14ac:dyDescent="0.3">
      <c r="A660" s="217"/>
      <c r="B660" s="217"/>
      <c r="C660" s="217"/>
      <c r="D660" s="217"/>
      <c r="E660" s="217"/>
      <c r="F660" s="217"/>
    </row>
    <row r="661" spans="1:6" x14ac:dyDescent="0.3">
      <c r="A661" s="217"/>
      <c r="B661" s="217"/>
      <c r="C661" s="217"/>
      <c r="D661" s="217"/>
      <c r="E661" s="217"/>
      <c r="F661" s="217"/>
    </row>
    <row r="662" spans="1:6" x14ac:dyDescent="0.3">
      <c r="A662" s="217"/>
      <c r="B662" s="217"/>
      <c r="C662" s="217"/>
      <c r="D662" s="217"/>
      <c r="E662" s="217"/>
      <c r="F662" s="217"/>
    </row>
    <row r="663" spans="1:6" x14ac:dyDescent="0.3">
      <c r="A663" s="217"/>
      <c r="B663" s="217"/>
      <c r="C663" s="217"/>
      <c r="D663" s="217"/>
      <c r="E663" s="217"/>
      <c r="F663" s="217"/>
    </row>
    <row r="664" spans="1:6" x14ac:dyDescent="0.3">
      <c r="A664" s="217"/>
      <c r="B664" s="217"/>
      <c r="C664" s="217"/>
      <c r="D664" s="217"/>
      <c r="E664" s="217"/>
      <c r="F664" s="217"/>
    </row>
    <row r="665" spans="1:6" x14ac:dyDescent="0.3">
      <c r="A665" s="217"/>
      <c r="B665" s="217"/>
      <c r="C665" s="217"/>
      <c r="D665" s="217"/>
      <c r="E665" s="217"/>
      <c r="F665" s="217"/>
    </row>
    <row r="666" spans="1:6" x14ac:dyDescent="0.3">
      <c r="A666" s="217"/>
      <c r="B666" s="217"/>
      <c r="C666" s="217"/>
      <c r="D666" s="217"/>
      <c r="E666" s="217"/>
      <c r="F666" s="217"/>
    </row>
    <row r="667" spans="1:6" x14ac:dyDescent="0.3">
      <c r="A667" s="217"/>
      <c r="B667" s="217"/>
      <c r="C667" s="217"/>
      <c r="D667" s="217"/>
      <c r="E667" s="217"/>
      <c r="F667" s="217"/>
    </row>
    <row r="668" spans="1:6" x14ac:dyDescent="0.3">
      <c r="A668" s="217"/>
      <c r="B668" s="217"/>
      <c r="C668" s="217"/>
      <c r="D668" s="217"/>
      <c r="E668" s="217"/>
      <c r="F668" s="217"/>
    </row>
    <row r="669" spans="1:6" x14ac:dyDescent="0.3">
      <c r="A669" s="217"/>
      <c r="B669" s="217"/>
      <c r="C669" s="217"/>
      <c r="D669" s="217"/>
      <c r="E669" s="217"/>
      <c r="F669" s="217"/>
    </row>
    <row r="670" spans="1:6" x14ac:dyDescent="0.3">
      <c r="A670" s="217"/>
      <c r="B670" s="217"/>
      <c r="C670" s="217"/>
      <c r="D670" s="217"/>
      <c r="E670" s="217"/>
      <c r="F670" s="217"/>
    </row>
    <row r="671" spans="1:6" x14ac:dyDescent="0.3">
      <c r="A671" s="217"/>
      <c r="B671" s="217"/>
      <c r="C671" s="217"/>
      <c r="D671" s="217"/>
      <c r="E671" s="217"/>
      <c r="F671" s="217"/>
    </row>
    <row r="672" spans="1:6" x14ac:dyDescent="0.3">
      <c r="A672" s="217"/>
      <c r="B672" s="217"/>
      <c r="C672" s="217"/>
      <c r="D672" s="217"/>
      <c r="E672" s="217"/>
      <c r="F672" s="217"/>
    </row>
    <row r="673" spans="1:6" x14ac:dyDescent="0.3">
      <c r="A673" s="217"/>
      <c r="B673" s="217"/>
      <c r="C673" s="217"/>
      <c r="D673" s="217"/>
      <c r="E673" s="217"/>
      <c r="F673" s="217"/>
    </row>
    <row r="674" spans="1:6" x14ac:dyDescent="0.3">
      <c r="A674" s="217"/>
      <c r="B674" s="217"/>
      <c r="C674" s="217"/>
      <c r="D674" s="217"/>
      <c r="E674" s="217"/>
      <c r="F674" s="217"/>
    </row>
    <row r="675" spans="1:6" x14ac:dyDescent="0.3">
      <c r="A675" s="217"/>
      <c r="B675" s="217"/>
      <c r="C675" s="217"/>
      <c r="D675" s="217"/>
      <c r="E675" s="217"/>
      <c r="F675" s="217"/>
    </row>
    <row r="676" spans="1:6" x14ac:dyDescent="0.3">
      <c r="A676" s="217"/>
      <c r="B676" s="217"/>
      <c r="C676" s="217"/>
      <c r="D676" s="217"/>
      <c r="E676" s="217"/>
      <c r="F676" s="217"/>
    </row>
    <row r="677" spans="1:6" x14ac:dyDescent="0.3">
      <c r="A677" s="217"/>
      <c r="B677" s="217"/>
      <c r="C677" s="217"/>
      <c r="D677" s="217"/>
      <c r="E677" s="217"/>
      <c r="F677" s="217"/>
    </row>
    <row r="678" spans="1:6" x14ac:dyDescent="0.3">
      <c r="A678" s="217"/>
      <c r="B678" s="217"/>
      <c r="C678" s="217"/>
      <c r="D678" s="217"/>
      <c r="E678" s="217"/>
      <c r="F678" s="217"/>
    </row>
    <row r="679" spans="1:6" x14ac:dyDescent="0.3">
      <c r="A679" s="217"/>
      <c r="B679" s="217"/>
      <c r="C679" s="217"/>
      <c r="D679" s="217"/>
      <c r="E679" s="217"/>
      <c r="F679" s="217"/>
    </row>
    <row r="680" spans="1:6" x14ac:dyDescent="0.3">
      <c r="A680" s="217"/>
      <c r="B680" s="217"/>
      <c r="C680" s="217"/>
      <c r="D680" s="217"/>
      <c r="E680" s="217"/>
      <c r="F680" s="217"/>
    </row>
    <row r="681" spans="1:6" x14ac:dyDescent="0.3">
      <c r="A681" s="217"/>
      <c r="B681" s="217"/>
      <c r="C681" s="217"/>
      <c r="D681" s="217"/>
      <c r="E681" s="217"/>
      <c r="F681" s="217"/>
    </row>
    <row r="682" spans="1:6" x14ac:dyDescent="0.3">
      <c r="A682" s="217"/>
      <c r="B682" s="217"/>
      <c r="C682" s="217"/>
      <c r="D682" s="217"/>
      <c r="E682" s="217"/>
      <c r="F682" s="217"/>
    </row>
    <row r="683" spans="1:6" x14ac:dyDescent="0.3">
      <c r="A683" s="217"/>
      <c r="B683" s="217"/>
      <c r="C683" s="217"/>
      <c r="D683" s="217"/>
      <c r="E683" s="217"/>
      <c r="F683" s="217"/>
    </row>
    <row r="684" spans="1:6" x14ac:dyDescent="0.3">
      <c r="A684" s="217"/>
      <c r="B684" s="217"/>
      <c r="C684" s="217"/>
      <c r="D684" s="217"/>
      <c r="E684" s="217"/>
      <c r="F684" s="217"/>
    </row>
    <row r="685" spans="1:6" x14ac:dyDescent="0.3">
      <c r="A685" s="217"/>
      <c r="B685" s="217"/>
      <c r="C685" s="217"/>
      <c r="D685" s="217"/>
      <c r="E685" s="217"/>
      <c r="F685" s="217"/>
    </row>
    <row r="686" spans="1:6" x14ac:dyDescent="0.3">
      <c r="A686" s="217"/>
      <c r="B686" s="217"/>
      <c r="C686" s="217"/>
      <c r="D686" s="217"/>
      <c r="E686" s="217"/>
      <c r="F686" s="217"/>
    </row>
    <row r="687" spans="1:6" x14ac:dyDescent="0.3">
      <c r="A687" s="217"/>
      <c r="B687" s="217"/>
      <c r="C687" s="217"/>
      <c r="D687" s="217"/>
      <c r="E687" s="217"/>
      <c r="F687" s="217"/>
    </row>
    <row r="688" spans="1:6" x14ac:dyDescent="0.3">
      <c r="A688" s="217"/>
      <c r="B688" s="217"/>
      <c r="C688" s="217"/>
      <c r="D688" s="217"/>
      <c r="E688" s="217"/>
      <c r="F688" s="217"/>
    </row>
    <row r="689" spans="1:6" x14ac:dyDescent="0.3">
      <c r="A689" s="217"/>
      <c r="B689" s="217"/>
      <c r="C689" s="217"/>
      <c r="D689" s="217"/>
      <c r="E689" s="217"/>
      <c r="F689" s="217"/>
    </row>
    <row r="690" spans="1:6" x14ac:dyDescent="0.3">
      <c r="A690" s="217"/>
      <c r="B690" s="217"/>
      <c r="C690" s="217"/>
      <c r="D690" s="217"/>
      <c r="E690" s="217"/>
      <c r="F690" s="217"/>
    </row>
    <row r="691" spans="1:6" x14ac:dyDescent="0.3">
      <c r="A691" s="217"/>
      <c r="B691" s="217"/>
      <c r="C691" s="217"/>
      <c r="D691" s="217"/>
      <c r="E691" s="217"/>
      <c r="F691" s="217"/>
    </row>
    <row r="692" spans="1:6" x14ac:dyDescent="0.3">
      <c r="A692" s="217"/>
      <c r="B692" s="217"/>
      <c r="C692" s="217"/>
      <c r="D692" s="217"/>
      <c r="E692" s="217"/>
      <c r="F692" s="217"/>
    </row>
    <row r="693" spans="1:6" x14ac:dyDescent="0.3">
      <c r="A693" s="217"/>
      <c r="B693" s="217"/>
      <c r="C693" s="217"/>
      <c r="D693" s="217"/>
      <c r="E693" s="217"/>
      <c r="F693" s="217"/>
    </row>
    <row r="694" spans="1:6" x14ac:dyDescent="0.3">
      <c r="A694" s="217"/>
      <c r="B694" s="217"/>
      <c r="C694" s="217"/>
      <c r="D694" s="217"/>
      <c r="E694" s="217"/>
      <c r="F694" s="217"/>
    </row>
    <row r="695" spans="1:6" x14ac:dyDescent="0.3">
      <c r="A695" s="217"/>
      <c r="B695" s="217"/>
      <c r="C695" s="217"/>
      <c r="D695" s="217"/>
      <c r="E695" s="217"/>
      <c r="F695" s="217"/>
    </row>
    <row r="696" spans="1:6" x14ac:dyDescent="0.3">
      <c r="A696" s="217"/>
      <c r="B696" s="217"/>
      <c r="C696" s="217"/>
      <c r="D696" s="217"/>
      <c r="E696" s="217"/>
      <c r="F696" s="217"/>
    </row>
    <row r="697" spans="1:6" x14ac:dyDescent="0.3">
      <c r="A697" s="217"/>
      <c r="B697" s="217"/>
      <c r="C697" s="217"/>
      <c r="D697" s="217"/>
      <c r="E697" s="217"/>
      <c r="F697" s="217"/>
    </row>
    <row r="698" spans="1:6" x14ac:dyDescent="0.3">
      <c r="A698" s="217"/>
      <c r="B698" s="217"/>
      <c r="C698" s="217"/>
      <c r="D698" s="217"/>
      <c r="E698" s="217"/>
      <c r="F698" s="217"/>
    </row>
    <row r="699" spans="1:6" x14ac:dyDescent="0.3">
      <c r="A699" s="217"/>
      <c r="B699" s="217"/>
      <c r="C699" s="217"/>
      <c r="D699" s="217"/>
      <c r="E699" s="217"/>
      <c r="F699" s="217"/>
    </row>
    <row r="700" spans="1:6" x14ac:dyDescent="0.3">
      <c r="A700" s="217"/>
      <c r="B700" s="217"/>
      <c r="C700" s="217"/>
      <c r="D700" s="217"/>
      <c r="E700" s="217"/>
      <c r="F700" s="217"/>
    </row>
    <row r="701" spans="1:6" x14ac:dyDescent="0.3">
      <c r="A701" s="217"/>
      <c r="B701" s="217"/>
      <c r="C701" s="217"/>
      <c r="D701" s="217"/>
      <c r="E701" s="217"/>
      <c r="F701" s="217"/>
    </row>
    <row r="702" spans="1:6" x14ac:dyDescent="0.3">
      <c r="A702" s="217"/>
      <c r="B702" s="217"/>
      <c r="C702" s="217"/>
      <c r="D702" s="217"/>
      <c r="E702" s="217"/>
      <c r="F702" s="217"/>
    </row>
    <row r="703" spans="1:6" x14ac:dyDescent="0.3">
      <c r="A703" s="217"/>
      <c r="B703" s="217"/>
      <c r="C703" s="217"/>
      <c r="D703" s="217"/>
      <c r="E703" s="217"/>
      <c r="F703" s="217"/>
    </row>
    <row r="704" spans="1:6" x14ac:dyDescent="0.3">
      <c r="A704" s="217"/>
      <c r="B704" s="217"/>
      <c r="C704" s="217"/>
      <c r="D704" s="217"/>
      <c r="E704" s="217"/>
      <c r="F704" s="217"/>
    </row>
    <row r="705" spans="1:6" x14ac:dyDescent="0.3">
      <c r="A705" s="217"/>
      <c r="B705" s="217"/>
      <c r="C705" s="217"/>
      <c r="D705" s="217"/>
      <c r="E705" s="217"/>
      <c r="F705" s="217"/>
    </row>
    <row r="706" spans="1:6" x14ac:dyDescent="0.3">
      <c r="A706" s="217"/>
      <c r="B706" s="217"/>
      <c r="C706" s="217"/>
      <c r="D706" s="217"/>
      <c r="E706" s="217"/>
      <c r="F706" s="217"/>
    </row>
    <row r="707" spans="1:6" x14ac:dyDescent="0.3">
      <c r="A707" s="217"/>
      <c r="B707" s="217"/>
      <c r="C707" s="217"/>
      <c r="D707" s="217"/>
      <c r="E707" s="217"/>
      <c r="F707" s="217"/>
    </row>
    <row r="708" spans="1:6" x14ac:dyDescent="0.3">
      <c r="A708" s="217"/>
      <c r="B708" s="217"/>
      <c r="C708" s="217"/>
      <c r="D708" s="217"/>
      <c r="E708" s="217"/>
      <c r="F708" s="217"/>
    </row>
    <row r="709" spans="1:6" x14ac:dyDescent="0.3">
      <c r="A709" s="217"/>
      <c r="B709" s="217"/>
      <c r="C709" s="217"/>
      <c r="D709" s="217"/>
      <c r="E709" s="217"/>
      <c r="F709" s="217"/>
    </row>
    <row r="710" spans="1:6" x14ac:dyDescent="0.3">
      <c r="A710" s="217"/>
      <c r="B710" s="217"/>
      <c r="C710" s="217"/>
      <c r="D710" s="217"/>
      <c r="E710" s="217"/>
      <c r="F710" s="217"/>
    </row>
    <row r="711" spans="1:6" x14ac:dyDescent="0.3">
      <c r="A711" s="217"/>
      <c r="B711" s="217"/>
      <c r="C711" s="217"/>
      <c r="D711" s="217"/>
      <c r="E711" s="217"/>
      <c r="F711" s="217"/>
    </row>
    <row r="712" spans="1:6" x14ac:dyDescent="0.3">
      <c r="A712" s="217"/>
      <c r="B712" s="217"/>
      <c r="C712" s="217"/>
      <c r="D712" s="217"/>
      <c r="E712" s="217"/>
      <c r="F712" s="217"/>
    </row>
    <row r="713" spans="1:6" x14ac:dyDescent="0.3">
      <c r="A713" s="217"/>
      <c r="B713" s="217"/>
      <c r="C713" s="217"/>
      <c r="D713" s="217"/>
      <c r="E713" s="217"/>
      <c r="F713" s="217"/>
    </row>
    <row r="714" spans="1:6" x14ac:dyDescent="0.3">
      <c r="A714" s="217"/>
      <c r="B714" s="217"/>
      <c r="C714" s="217"/>
      <c r="D714" s="217"/>
      <c r="E714" s="217"/>
      <c r="F714" s="217"/>
    </row>
    <row r="715" spans="1:6" x14ac:dyDescent="0.3">
      <c r="A715" s="217"/>
      <c r="B715" s="217"/>
      <c r="C715" s="217"/>
      <c r="D715" s="217"/>
      <c r="E715" s="217"/>
      <c r="F715" s="217"/>
    </row>
    <row r="716" spans="1:6" x14ac:dyDescent="0.3">
      <c r="A716" s="217"/>
      <c r="B716" s="217"/>
      <c r="C716" s="217"/>
      <c r="D716" s="217"/>
      <c r="E716" s="217"/>
      <c r="F716" s="217"/>
    </row>
    <row r="717" spans="1:6" x14ac:dyDescent="0.3">
      <c r="A717" s="217"/>
      <c r="B717" s="217"/>
      <c r="C717" s="217"/>
      <c r="D717" s="217"/>
      <c r="E717" s="217"/>
      <c r="F717" s="217"/>
    </row>
    <row r="718" spans="1:6" x14ac:dyDescent="0.3">
      <c r="A718" s="217"/>
      <c r="B718" s="217"/>
      <c r="C718" s="217"/>
      <c r="D718" s="217"/>
      <c r="E718" s="217"/>
      <c r="F718" s="217"/>
    </row>
    <row r="719" spans="1:6" x14ac:dyDescent="0.3">
      <c r="A719" s="217"/>
      <c r="B719" s="217"/>
      <c r="C719" s="217"/>
      <c r="D719" s="217"/>
      <c r="E719" s="217"/>
      <c r="F719" s="217"/>
    </row>
    <row r="720" spans="1:6" x14ac:dyDescent="0.3">
      <c r="A720" s="217"/>
      <c r="B720" s="217"/>
      <c r="C720" s="217"/>
      <c r="D720" s="217"/>
      <c r="E720" s="217"/>
      <c r="F720" s="217"/>
    </row>
    <row r="721" spans="1:6" x14ac:dyDescent="0.3">
      <c r="A721" s="217"/>
      <c r="B721" s="217"/>
      <c r="C721" s="217"/>
      <c r="D721" s="217"/>
      <c r="E721" s="217"/>
      <c r="F721" s="217"/>
    </row>
    <row r="722" spans="1:6" x14ac:dyDescent="0.3">
      <c r="A722" s="217"/>
      <c r="B722" s="217"/>
      <c r="C722" s="217"/>
      <c r="D722" s="217"/>
      <c r="E722" s="217"/>
      <c r="F722" s="217"/>
    </row>
    <row r="723" spans="1:6" x14ac:dyDescent="0.3">
      <c r="A723" s="217"/>
      <c r="B723" s="217"/>
      <c r="C723" s="217"/>
      <c r="D723" s="217"/>
      <c r="E723" s="217"/>
      <c r="F723" s="217"/>
    </row>
    <row r="724" spans="1:6" x14ac:dyDescent="0.3">
      <c r="A724" s="217"/>
      <c r="B724" s="217"/>
      <c r="C724" s="217"/>
      <c r="D724" s="217"/>
      <c r="E724" s="217"/>
      <c r="F724" s="217"/>
    </row>
    <row r="725" spans="1:6" x14ac:dyDescent="0.3">
      <c r="A725" s="217"/>
      <c r="B725" s="217"/>
      <c r="C725" s="217"/>
      <c r="D725" s="217"/>
      <c r="E725" s="217"/>
      <c r="F725" s="217"/>
    </row>
    <row r="726" spans="1:6" x14ac:dyDescent="0.3">
      <c r="A726" s="217"/>
      <c r="B726" s="217"/>
      <c r="C726" s="217"/>
      <c r="D726" s="217"/>
      <c r="E726" s="217"/>
      <c r="F726" s="217"/>
    </row>
    <row r="727" spans="1:6" x14ac:dyDescent="0.3">
      <c r="A727" s="217"/>
      <c r="B727" s="217"/>
      <c r="C727" s="217"/>
      <c r="D727" s="217"/>
      <c r="E727" s="217"/>
      <c r="F727" s="217"/>
    </row>
    <row r="728" spans="1:6" x14ac:dyDescent="0.3">
      <c r="A728" s="217"/>
      <c r="B728" s="217"/>
      <c r="C728" s="217"/>
      <c r="D728" s="217"/>
      <c r="E728" s="217"/>
      <c r="F728" s="217"/>
    </row>
    <row r="729" spans="1:6" x14ac:dyDescent="0.3">
      <c r="A729" s="217"/>
      <c r="B729" s="217"/>
      <c r="C729" s="217"/>
      <c r="D729" s="217"/>
      <c r="E729" s="217"/>
      <c r="F729" s="217"/>
    </row>
    <row r="730" spans="1:6" x14ac:dyDescent="0.3">
      <c r="A730" s="217"/>
      <c r="B730" s="217"/>
      <c r="C730" s="217"/>
      <c r="D730" s="217"/>
      <c r="E730" s="217"/>
      <c r="F730" s="217"/>
    </row>
    <row r="731" spans="1:6" x14ac:dyDescent="0.3">
      <c r="A731" s="217"/>
      <c r="B731" s="217"/>
      <c r="C731" s="217"/>
      <c r="D731" s="217"/>
      <c r="E731" s="217"/>
      <c r="F731" s="217"/>
    </row>
    <row r="732" spans="1:6" x14ac:dyDescent="0.3">
      <c r="A732" s="217"/>
      <c r="B732" s="217"/>
      <c r="C732" s="217"/>
      <c r="D732" s="217"/>
      <c r="E732" s="217"/>
      <c r="F732" s="217"/>
    </row>
    <row r="733" spans="1:6" x14ac:dyDescent="0.3">
      <c r="A733" s="217"/>
      <c r="B733" s="217"/>
      <c r="C733" s="217"/>
      <c r="D733" s="217"/>
      <c r="E733" s="217"/>
      <c r="F733" s="217"/>
    </row>
    <row r="734" spans="1:6" x14ac:dyDescent="0.3">
      <c r="A734" s="217"/>
      <c r="B734" s="217"/>
      <c r="C734" s="217"/>
      <c r="D734" s="217"/>
      <c r="E734" s="217"/>
      <c r="F734" s="217"/>
    </row>
    <row r="735" spans="1:6" x14ac:dyDescent="0.3">
      <c r="A735" s="217"/>
      <c r="B735" s="217"/>
      <c r="C735" s="217"/>
      <c r="D735" s="217"/>
      <c r="E735" s="217"/>
      <c r="F735" s="217"/>
    </row>
    <row r="736" spans="1:6" x14ac:dyDescent="0.3">
      <c r="A736" s="217"/>
      <c r="B736" s="217"/>
      <c r="C736" s="217"/>
      <c r="D736" s="217"/>
      <c r="E736" s="217"/>
      <c r="F736" s="217"/>
    </row>
    <row r="737" spans="1:6" x14ac:dyDescent="0.3">
      <c r="A737" s="217"/>
      <c r="B737" s="217"/>
      <c r="C737" s="217"/>
      <c r="D737" s="217"/>
      <c r="E737" s="217"/>
      <c r="F737" s="217"/>
    </row>
    <row r="738" spans="1:6" x14ac:dyDescent="0.3">
      <c r="A738" s="217"/>
      <c r="B738" s="217"/>
      <c r="C738" s="217"/>
      <c r="D738" s="217"/>
      <c r="E738" s="217"/>
      <c r="F738" s="217"/>
    </row>
    <row r="739" spans="1:6" x14ac:dyDescent="0.3">
      <c r="A739" s="217"/>
      <c r="B739" s="217"/>
      <c r="C739" s="217"/>
      <c r="D739" s="217"/>
      <c r="E739" s="217"/>
      <c r="F739" s="217"/>
    </row>
    <row r="740" spans="1:6" x14ac:dyDescent="0.3">
      <c r="A740" s="217"/>
      <c r="B740" s="217"/>
      <c r="C740" s="217"/>
      <c r="D740" s="217"/>
      <c r="E740" s="217"/>
      <c r="F740" s="217"/>
    </row>
    <row r="741" spans="1:6" x14ac:dyDescent="0.3">
      <c r="A741" s="217"/>
      <c r="B741" s="217"/>
      <c r="C741" s="217"/>
      <c r="D741" s="217"/>
      <c r="E741" s="217"/>
      <c r="F741" s="217"/>
    </row>
    <row r="742" spans="1:6" x14ac:dyDescent="0.3">
      <c r="A742" s="217"/>
      <c r="B742" s="217"/>
      <c r="C742" s="217"/>
      <c r="D742" s="217"/>
      <c r="E742" s="217"/>
      <c r="F742" s="217"/>
    </row>
    <row r="743" spans="1:6" x14ac:dyDescent="0.3">
      <c r="A743" s="217"/>
      <c r="B743" s="217"/>
      <c r="C743" s="217"/>
      <c r="D743" s="217"/>
      <c r="E743" s="217"/>
      <c r="F743" s="217"/>
    </row>
    <row r="744" spans="1:6" x14ac:dyDescent="0.3">
      <c r="A744" s="217"/>
      <c r="B744" s="217"/>
      <c r="C744" s="217"/>
      <c r="D744" s="217"/>
      <c r="E744" s="217"/>
      <c r="F744" s="217"/>
    </row>
    <row r="745" spans="1:6" x14ac:dyDescent="0.3">
      <c r="A745" s="217"/>
      <c r="B745" s="217"/>
      <c r="C745" s="217"/>
      <c r="D745" s="217"/>
      <c r="E745" s="217"/>
      <c r="F745" s="217"/>
    </row>
    <row r="746" spans="1:6" x14ac:dyDescent="0.3">
      <c r="A746" s="217"/>
      <c r="B746" s="217"/>
      <c r="C746" s="217"/>
      <c r="D746" s="217"/>
      <c r="E746" s="217"/>
      <c r="F746" s="217"/>
    </row>
    <row r="747" spans="1:6" x14ac:dyDescent="0.3">
      <c r="A747" s="217"/>
      <c r="B747" s="217"/>
      <c r="C747" s="217"/>
      <c r="D747" s="217"/>
      <c r="E747" s="217"/>
      <c r="F747" s="217"/>
    </row>
    <row r="748" spans="1:6" x14ac:dyDescent="0.3">
      <c r="A748" s="217"/>
      <c r="B748" s="217"/>
      <c r="C748" s="217"/>
      <c r="D748" s="217"/>
      <c r="E748" s="217"/>
      <c r="F748" s="217"/>
    </row>
    <row r="749" spans="1:6" x14ac:dyDescent="0.3">
      <c r="A749" s="217"/>
      <c r="B749" s="217"/>
      <c r="C749" s="217"/>
      <c r="D749" s="217"/>
      <c r="E749" s="217"/>
      <c r="F749" s="217"/>
    </row>
    <row r="750" spans="1:6" x14ac:dyDescent="0.3">
      <c r="A750" s="217"/>
      <c r="B750" s="217"/>
      <c r="C750" s="217"/>
      <c r="D750" s="217"/>
      <c r="E750" s="217"/>
      <c r="F750" s="217"/>
    </row>
    <row r="751" spans="1:6" x14ac:dyDescent="0.3">
      <c r="A751" s="217"/>
      <c r="B751" s="217"/>
      <c r="C751" s="217"/>
      <c r="D751" s="217"/>
      <c r="E751" s="217"/>
      <c r="F751" s="217"/>
    </row>
    <row r="752" spans="1:6" x14ac:dyDescent="0.3">
      <c r="A752" s="217"/>
      <c r="B752" s="217"/>
      <c r="C752" s="217"/>
      <c r="D752" s="217"/>
      <c r="E752" s="217"/>
      <c r="F752" s="217"/>
    </row>
    <row r="753" spans="1:6" x14ac:dyDescent="0.3">
      <c r="A753" s="217"/>
      <c r="B753" s="217"/>
      <c r="C753" s="217"/>
      <c r="D753" s="217"/>
      <c r="E753" s="217"/>
      <c r="F753" s="217"/>
    </row>
    <row r="754" spans="1:6" x14ac:dyDescent="0.3">
      <c r="A754" s="217"/>
      <c r="B754" s="217"/>
      <c r="C754" s="217"/>
      <c r="D754" s="217"/>
      <c r="E754" s="217"/>
      <c r="F754" s="217"/>
    </row>
    <row r="755" spans="1:6" x14ac:dyDescent="0.3">
      <c r="A755" s="217"/>
      <c r="B755" s="217"/>
      <c r="C755" s="217"/>
      <c r="D755" s="217"/>
      <c r="E755" s="217"/>
      <c r="F755" s="217"/>
    </row>
    <row r="756" spans="1:6" x14ac:dyDescent="0.3">
      <c r="A756" s="217"/>
      <c r="B756" s="217"/>
      <c r="C756" s="217"/>
      <c r="D756" s="217"/>
      <c r="E756" s="217"/>
      <c r="F756" s="217"/>
    </row>
    <row r="757" spans="1:6" x14ac:dyDescent="0.3">
      <c r="A757" s="217"/>
      <c r="B757" s="217"/>
      <c r="C757" s="217"/>
      <c r="D757" s="217"/>
      <c r="E757" s="217"/>
      <c r="F757" s="217"/>
    </row>
    <row r="758" spans="1:6" x14ac:dyDescent="0.3">
      <c r="A758" s="217"/>
      <c r="B758" s="217"/>
      <c r="C758" s="217"/>
      <c r="D758" s="217"/>
      <c r="E758" s="217"/>
      <c r="F758" s="217"/>
    </row>
    <row r="759" spans="1:6" x14ac:dyDescent="0.3">
      <c r="A759" s="217"/>
      <c r="B759" s="217"/>
      <c r="C759" s="217"/>
      <c r="D759" s="217"/>
      <c r="E759" s="217"/>
      <c r="F759" s="217"/>
    </row>
    <row r="760" spans="1:6" x14ac:dyDescent="0.3">
      <c r="A760" s="217"/>
      <c r="B760" s="217"/>
      <c r="C760" s="217"/>
      <c r="D760" s="217"/>
      <c r="E760" s="217"/>
      <c r="F760" s="217"/>
    </row>
    <row r="761" spans="1:6" x14ac:dyDescent="0.3">
      <c r="A761" s="217"/>
      <c r="B761" s="217"/>
      <c r="C761" s="217"/>
      <c r="D761" s="217"/>
      <c r="E761" s="217"/>
      <c r="F761" s="217"/>
    </row>
    <row r="762" spans="1:6" x14ac:dyDescent="0.3">
      <c r="A762" s="217"/>
      <c r="B762" s="217"/>
      <c r="C762" s="217"/>
      <c r="D762" s="217"/>
      <c r="E762" s="217"/>
      <c r="F762" s="217"/>
    </row>
    <row r="763" spans="1:6" x14ac:dyDescent="0.3">
      <c r="A763" s="217"/>
      <c r="B763" s="217"/>
      <c r="C763" s="217"/>
      <c r="D763" s="217"/>
      <c r="E763" s="217"/>
      <c r="F763" s="217"/>
    </row>
    <row r="764" spans="1:6" x14ac:dyDescent="0.3">
      <c r="A764" s="217"/>
      <c r="B764" s="217"/>
      <c r="C764" s="217"/>
      <c r="D764" s="217"/>
      <c r="E764" s="217"/>
      <c r="F764" s="217"/>
    </row>
    <row r="765" spans="1:6" x14ac:dyDescent="0.3">
      <c r="A765" s="217"/>
      <c r="B765" s="217"/>
      <c r="C765" s="217"/>
      <c r="D765" s="217"/>
      <c r="E765" s="217"/>
      <c r="F765" s="217"/>
    </row>
    <row r="766" spans="1:6" x14ac:dyDescent="0.3">
      <c r="A766" s="217"/>
      <c r="B766" s="217"/>
      <c r="C766" s="217"/>
      <c r="D766" s="217"/>
      <c r="E766" s="217"/>
      <c r="F766" s="217"/>
    </row>
    <row r="767" spans="1:6" x14ac:dyDescent="0.3">
      <c r="A767" s="217"/>
      <c r="B767" s="217"/>
      <c r="C767" s="217"/>
      <c r="D767" s="217"/>
      <c r="E767" s="217"/>
      <c r="F767" s="217"/>
    </row>
    <row r="768" spans="1:6" x14ac:dyDescent="0.3">
      <c r="A768" s="217"/>
      <c r="B768" s="217"/>
      <c r="C768" s="217"/>
      <c r="D768" s="217"/>
      <c r="E768" s="217"/>
      <c r="F768" s="217"/>
    </row>
    <row r="769" spans="1:6" x14ac:dyDescent="0.3">
      <c r="A769" s="217"/>
      <c r="B769" s="217"/>
      <c r="C769" s="217"/>
      <c r="D769" s="217"/>
      <c r="E769" s="217"/>
      <c r="F769" s="217"/>
    </row>
    <row r="770" spans="1:6" x14ac:dyDescent="0.3">
      <c r="A770" s="217"/>
      <c r="B770" s="217"/>
      <c r="C770" s="217"/>
      <c r="D770" s="217"/>
      <c r="E770" s="217"/>
      <c r="F770" s="217"/>
    </row>
    <row r="771" spans="1:6" x14ac:dyDescent="0.3">
      <c r="A771" s="217"/>
      <c r="B771" s="217"/>
      <c r="C771" s="217"/>
      <c r="D771" s="217"/>
      <c r="E771" s="217"/>
      <c r="F771" s="217"/>
    </row>
    <row r="772" spans="1:6" x14ac:dyDescent="0.3">
      <c r="A772" s="217"/>
      <c r="B772" s="217"/>
      <c r="C772" s="217"/>
      <c r="D772" s="217"/>
      <c r="E772" s="217"/>
      <c r="F772" s="217"/>
    </row>
    <row r="773" spans="1:6" x14ac:dyDescent="0.3">
      <c r="A773" s="217"/>
      <c r="B773" s="217"/>
      <c r="C773" s="217"/>
      <c r="D773" s="217"/>
      <c r="E773" s="217"/>
      <c r="F773" s="217"/>
    </row>
    <row r="774" spans="1:6" x14ac:dyDescent="0.3">
      <c r="A774" s="217"/>
      <c r="B774" s="217"/>
      <c r="C774" s="217"/>
      <c r="D774" s="217"/>
      <c r="E774" s="217"/>
      <c r="F774" s="217"/>
    </row>
    <row r="775" spans="1:6" x14ac:dyDescent="0.3">
      <c r="A775" s="217"/>
      <c r="B775" s="217"/>
      <c r="C775" s="217"/>
      <c r="D775" s="217"/>
      <c r="E775" s="217"/>
      <c r="F775" s="217"/>
    </row>
    <row r="776" spans="1:6" x14ac:dyDescent="0.3">
      <c r="A776" s="217"/>
      <c r="B776" s="217"/>
      <c r="C776" s="217"/>
      <c r="D776" s="217"/>
      <c r="E776" s="217"/>
      <c r="F776" s="217"/>
    </row>
    <row r="777" spans="1:6" x14ac:dyDescent="0.3">
      <c r="A777" s="217"/>
      <c r="B777" s="217"/>
      <c r="C777" s="217"/>
      <c r="D777" s="217"/>
      <c r="E777" s="217"/>
      <c r="F777" s="217"/>
    </row>
    <row r="778" spans="1:6" x14ac:dyDescent="0.3">
      <c r="A778" s="217"/>
      <c r="B778" s="217"/>
      <c r="C778" s="217"/>
      <c r="D778" s="217"/>
      <c r="E778" s="217"/>
      <c r="F778" s="217"/>
    </row>
    <row r="779" spans="1:6" x14ac:dyDescent="0.3">
      <c r="A779" s="217"/>
      <c r="B779" s="217"/>
      <c r="C779" s="217"/>
      <c r="D779" s="217"/>
      <c r="E779" s="217"/>
      <c r="F779" s="217"/>
    </row>
    <row r="780" spans="1:6" x14ac:dyDescent="0.3">
      <c r="A780" s="217"/>
      <c r="B780" s="217"/>
      <c r="C780" s="217"/>
      <c r="D780" s="217"/>
      <c r="E780" s="217"/>
      <c r="F780" s="217"/>
    </row>
    <row r="781" spans="1:6" x14ac:dyDescent="0.3">
      <c r="A781" s="217"/>
      <c r="B781" s="217"/>
      <c r="C781" s="217"/>
      <c r="D781" s="217"/>
      <c r="E781" s="217"/>
      <c r="F781" s="217"/>
    </row>
    <row r="782" spans="1:6" x14ac:dyDescent="0.3">
      <c r="A782" s="217"/>
      <c r="B782" s="217"/>
      <c r="C782" s="217"/>
      <c r="D782" s="217"/>
      <c r="E782" s="217"/>
      <c r="F782" s="217"/>
    </row>
    <row r="783" spans="1:6" x14ac:dyDescent="0.3">
      <c r="A783" s="217"/>
      <c r="B783" s="217"/>
      <c r="C783" s="217"/>
      <c r="D783" s="217"/>
      <c r="E783" s="217"/>
      <c r="F783" s="217"/>
    </row>
    <row r="784" spans="1:6" x14ac:dyDescent="0.3">
      <c r="A784" s="217"/>
      <c r="B784" s="217"/>
      <c r="C784" s="217"/>
      <c r="D784" s="217"/>
      <c r="E784" s="217"/>
      <c r="F784" s="217"/>
    </row>
    <row r="785" spans="1:6" x14ac:dyDescent="0.3">
      <c r="A785" s="217"/>
      <c r="B785" s="217"/>
      <c r="C785" s="217"/>
      <c r="D785" s="217"/>
      <c r="E785" s="217"/>
      <c r="F785" s="217"/>
    </row>
    <row r="786" spans="1:6" x14ac:dyDescent="0.3">
      <c r="A786" s="217"/>
      <c r="B786" s="217"/>
      <c r="C786" s="217"/>
      <c r="D786" s="217"/>
      <c r="E786" s="217"/>
      <c r="F786" s="217"/>
    </row>
    <row r="787" spans="1:6" x14ac:dyDescent="0.3">
      <c r="A787" s="217"/>
      <c r="B787" s="217"/>
      <c r="C787" s="217"/>
      <c r="D787" s="217"/>
      <c r="E787" s="217"/>
      <c r="F787" s="217"/>
    </row>
    <row r="788" spans="1:6" x14ac:dyDescent="0.3">
      <c r="A788" s="217"/>
      <c r="B788" s="217"/>
      <c r="C788" s="217"/>
      <c r="D788" s="217"/>
      <c r="E788" s="217"/>
      <c r="F788" s="217"/>
    </row>
    <row r="789" spans="1:6" x14ac:dyDescent="0.3">
      <c r="A789" s="217"/>
      <c r="B789" s="217"/>
      <c r="C789" s="217"/>
      <c r="D789" s="217"/>
      <c r="E789" s="217"/>
      <c r="F789" s="217"/>
    </row>
    <row r="790" spans="1:6" x14ac:dyDescent="0.3">
      <c r="A790" s="217"/>
      <c r="B790" s="217"/>
      <c r="C790" s="217"/>
      <c r="D790" s="217"/>
      <c r="E790" s="217"/>
      <c r="F790" s="217"/>
    </row>
    <row r="791" spans="1:6" x14ac:dyDescent="0.3">
      <c r="A791" s="217"/>
      <c r="B791" s="217"/>
      <c r="C791" s="217"/>
      <c r="D791" s="217"/>
      <c r="E791" s="217"/>
      <c r="F791" s="217"/>
    </row>
    <row r="792" spans="1:6" x14ac:dyDescent="0.3">
      <c r="A792" s="217"/>
      <c r="B792" s="217"/>
      <c r="C792" s="217"/>
      <c r="D792" s="217"/>
      <c r="E792" s="217"/>
      <c r="F792" s="217"/>
    </row>
    <row r="793" spans="1:6" x14ac:dyDescent="0.3">
      <c r="A793" s="217"/>
      <c r="B793" s="217"/>
      <c r="C793" s="217"/>
      <c r="D793" s="217"/>
      <c r="E793" s="217"/>
      <c r="F793" s="217"/>
    </row>
    <row r="794" spans="1:6" x14ac:dyDescent="0.3">
      <c r="A794" s="217"/>
      <c r="B794" s="217"/>
      <c r="C794" s="217"/>
      <c r="D794" s="217"/>
      <c r="E794" s="217"/>
      <c r="F794" s="217"/>
    </row>
    <row r="795" spans="1:6" x14ac:dyDescent="0.3">
      <c r="A795" s="217"/>
      <c r="B795" s="217"/>
      <c r="C795" s="217"/>
      <c r="D795" s="217"/>
      <c r="E795" s="217"/>
      <c r="F795" s="217"/>
    </row>
    <row r="796" spans="1:6" x14ac:dyDescent="0.3">
      <c r="A796" s="217"/>
      <c r="B796" s="217"/>
      <c r="C796" s="217"/>
      <c r="D796" s="217"/>
      <c r="E796" s="217"/>
      <c r="F796" s="217"/>
    </row>
    <row r="797" spans="1:6" x14ac:dyDescent="0.3">
      <c r="A797" s="217"/>
      <c r="B797" s="217"/>
      <c r="C797" s="217"/>
      <c r="D797" s="217"/>
      <c r="E797" s="217"/>
      <c r="F797" s="217"/>
    </row>
    <row r="798" spans="1:6" x14ac:dyDescent="0.3">
      <c r="A798" s="217"/>
      <c r="B798" s="217"/>
      <c r="C798" s="217"/>
      <c r="D798" s="217"/>
      <c r="E798" s="217"/>
      <c r="F798" s="217"/>
    </row>
    <row r="799" spans="1:6" x14ac:dyDescent="0.3">
      <c r="A799" s="217"/>
      <c r="B799" s="217"/>
      <c r="C799" s="217"/>
      <c r="D799" s="217"/>
      <c r="E799" s="217"/>
      <c r="F799" s="217"/>
    </row>
    <row r="800" spans="1:6" x14ac:dyDescent="0.3">
      <c r="A800" s="217"/>
      <c r="B800" s="217"/>
      <c r="C800" s="217"/>
      <c r="D800" s="217"/>
      <c r="E800" s="217"/>
      <c r="F800" s="217"/>
    </row>
    <row r="801" spans="1:6" x14ac:dyDescent="0.3">
      <c r="A801" s="217"/>
      <c r="B801" s="217"/>
      <c r="C801" s="217"/>
      <c r="D801" s="217"/>
      <c r="E801" s="217"/>
      <c r="F801" s="217"/>
    </row>
    <row r="802" spans="1:6" x14ac:dyDescent="0.3">
      <c r="A802" s="217"/>
      <c r="B802" s="217"/>
      <c r="C802" s="217"/>
      <c r="D802" s="217"/>
      <c r="E802" s="217"/>
      <c r="F802" s="217"/>
    </row>
    <row r="803" spans="1:6" x14ac:dyDescent="0.3">
      <c r="A803" s="217"/>
      <c r="B803" s="217"/>
      <c r="C803" s="217"/>
      <c r="D803" s="217"/>
      <c r="E803" s="217"/>
      <c r="F803" s="217"/>
    </row>
    <row r="804" spans="1:6" x14ac:dyDescent="0.3">
      <c r="A804" s="217"/>
      <c r="B804" s="217"/>
      <c r="C804" s="217"/>
      <c r="D804" s="217"/>
      <c r="E804" s="217"/>
      <c r="F804" s="217"/>
    </row>
    <row r="805" spans="1:6" x14ac:dyDescent="0.3">
      <c r="A805" s="217"/>
      <c r="B805" s="217"/>
      <c r="C805" s="217"/>
      <c r="D805" s="217"/>
      <c r="E805" s="217"/>
      <c r="F805" s="217"/>
    </row>
    <row r="806" spans="1:6" x14ac:dyDescent="0.3">
      <c r="A806" s="217"/>
      <c r="B806" s="217"/>
      <c r="C806" s="217"/>
      <c r="D806" s="217"/>
      <c r="E806" s="217"/>
      <c r="F806" s="217"/>
    </row>
    <row r="807" spans="1:6" x14ac:dyDescent="0.3">
      <c r="A807" s="217"/>
      <c r="B807" s="217"/>
      <c r="C807" s="217"/>
      <c r="D807" s="217"/>
      <c r="E807" s="217"/>
      <c r="F807" s="217"/>
    </row>
    <row r="808" spans="1:6" x14ac:dyDescent="0.3">
      <c r="A808" s="217"/>
      <c r="B808" s="217"/>
      <c r="C808" s="217"/>
      <c r="D808" s="217"/>
      <c r="E808" s="217"/>
      <c r="F808" s="217"/>
    </row>
    <row r="809" spans="1:6" x14ac:dyDescent="0.3">
      <c r="A809" s="217"/>
      <c r="B809" s="217"/>
      <c r="C809" s="217"/>
      <c r="D809" s="217"/>
      <c r="E809" s="217"/>
      <c r="F809" s="217"/>
    </row>
    <row r="810" spans="1:6" x14ac:dyDescent="0.3">
      <c r="A810" s="217"/>
      <c r="B810" s="217"/>
      <c r="C810" s="217"/>
      <c r="D810" s="217"/>
      <c r="E810" s="217"/>
      <c r="F810" s="217"/>
    </row>
    <row r="811" spans="1:6" x14ac:dyDescent="0.3">
      <c r="A811" s="217"/>
      <c r="B811" s="217"/>
      <c r="C811" s="217"/>
      <c r="D811" s="217"/>
      <c r="E811" s="217"/>
      <c r="F811" s="217"/>
    </row>
    <row r="812" spans="1:6" x14ac:dyDescent="0.3">
      <c r="A812" s="217"/>
      <c r="B812" s="217"/>
      <c r="C812" s="217"/>
      <c r="D812" s="217"/>
      <c r="E812" s="217"/>
      <c r="F812" s="217"/>
    </row>
    <row r="813" spans="1:6" x14ac:dyDescent="0.3">
      <c r="A813" s="217"/>
      <c r="B813" s="217"/>
      <c r="C813" s="217"/>
      <c r="D813" s="217"/>
      <c r="E813" s="217"/>
      <c r="F813" s="217"/>
    </row>
    <row r="814" spans="1:6" x14ac:dyDescent="0.3">
      <c r="A814" s="217"/>
      <c r="B814" s="217"/>
      <c r="C814" s="217"/>
      <c r="D814" s="217"/>
      <c r="E814" s="217"/>
      <c r="F814" s="217"/>
    </row>
    <row r="815" spans="1:6" x14ac:dyDescent="0.3">
      <c r="A815" s="217"/>
      <c r="B815" s="217"/>
      <c r="C815" s="217"/>
      <c r="D815" s="217"/>
      <c r="E815" s="217"/>
      <c r="F815" s="217"/>
    </row>
    <row r="816" spans="1:6" x14ac:dyDescent="0.3">
      <c r="A816" s="217"/>
      <c r="B816" s="217"/>
      <c r="C816" s="217"/>
      <c r="D816" s="217"/>
      <c r="E816" s="217"/>
      <c r="F816" s="217"/>
    </row>
    <row r="817" spans="1:6" x14ac:dyDescent="0.3">
      <c r="A817" s="217"/>
      <c r="B817" s="217"/>
      <c r="C817" s="217"/>
      <c r="D817" s="217"/>
      <c r="E817" s="217"/>
      <c r="F817" s="217"/>
    </row>
    <row r="818" spans="1:6" x14ac:dyDescent="0.3">
      <c r="A818" s="217"/>
      <c r="B818" s="217"/>
      <c r="C818" s="217"/>
      <c r="D818" s="217"/>
      <c r="E818" s="217"/>
      <c r="F818" s="217"/>
    </row>
    <row r="819" spans="1:6" x14ac:dyDescent="0.3">
      <c r="A819" s="217"/>
      <c r="B819" s="217"/>
      <c r="C819" s="217"/>
      <c r="D819" s="217"/>
      <c r="E819" s="217"/>
      <c r="F819" s="217"/>
    </row>
    <row r="820" spans="1:6" x14ac:dyDescent="0.3">
      <c r="A820" s="217"/>
      <c r="B820" s="217"/>
      <c r="C820" s="217"/>
      <c r="D820" s="217"/>
      <c r="E820" s="217"/>
      <c r="F820" s="217"/>
    </row>
    <row r="821" spans="1:6" x14ac:dyDescent="0.3">
      <c r="A821" s="217"/>
      <c r="B821" s="217"/>
      <c r="C821" s="217"/>
      <c r="D821" s="217"/>
      <c r="E821" s="217"/>
      <c r="F821" s="217"/>
    </row>
    <row r="822" spans="1:6" x14ac:dyDescent="0.3">
      <c r="A822" s="217"/>
      <c r="B822" s="217"/>
      <c r="C822" s="217"/>
      <c r="D822" s="217"/>
      <c r="E822" s="217"/>
      <c r="F822" s="217"/>
    </row>
    <row r="823" spans="1:6" x14ac:dyDescent="0.3">
      <c r="A823" s="217"/>
      <c r="B823" s="217"/>
      <c r="C823" s="217"/>
      <c r="D823" s="217"/>
      <c r="E823" s="217"/>
      <c r="F823" s="217"/>
    </row>
    <row r="824" spans="1:6" x14ac:dyDescent="0.3">
      <c r="A824" s="217"/>
      <c r="B824" s="217"/>
      <c r="C824" s="217"/>
      <c r="D824" s="217"/>
      <c r="E824" s="217"/>
      <c r="F824" s="217"/>
    </row>
    <row r="825" spans="1:6" x14ac:dyDescent="0.3">
      <c r="A825" s="217"/>
      <c r="B825" s="217"/>
      <c r="C825" s="217"/>
      <c r="D825" s="217"/>
      <c r="E825" s="217"/>
      <c r="F825" s="217"/>
    </row>
    <row r="826" spans="1:6" x14ac:dyDescent="0.3">
      <c r="A826" s="217"/>
      <c r="B826" s="217"/>
      <c r="C826" s="217"/>
      <c r="D826" s="217"/>
      <c r="E826" s="217"/>
      <c r="F826" s="217"/>
    </row>
    <row r="827" spans="1:6" x14ac:dyDescent="0.3">
      <c r="A827" s="217"/>
      <c r="B827" s="217"/>
      <c r="C827" s="217"/>
      <c r="D827" s="217"/>
      <c r="E827" s="217"/>
      <c r="F827" s="217"/>
    </row>
    <row r="828" spans="1:6" x14ac:dyDescent="0.3">
      <c r="A828" s="217"/>
      <c r="B828" s="217"/>
      <c r="C828" s="217"/>
      <c r="D828" s="217"/>
      <c r="E828" s="217"/>
      <c r="F828" s="217"/>
    </row>
    <row r="829" spans="1:6" x14ac:dyDescent="0.3">
      <c r="A829" s="217"/>
      <c r="B829" s="217"/>
      <c r="C829" s="217"/>
      <c r="D829" s="217"/>
      <c r="E829" s="217"/>
      <c r="F829" s="217"/>
    </row>
    <row r="830" spans="1:6" x14ac:dyDescent="0.3">
      <c r="A830" s="217"/>
      <c r="B830" s="217"/>
      <c r="C830" s="217"/>
      <c r="D830" s="217"/>
      <c r="E830" s="217"/>
      <c r="F830" s="217"/>
    </row>
    <row r="831" spans="1:6" x14ac:dyDescent="0.3">
      <c r="A831" s="217"/>
      <c r="B831" s="217"/>
      <c r="C831" s="217"/>
      <c r="D831" s="217"/>
      <c r="E831" s="217"/>
      <c r="F831" s="217"/>
    </row>
    <row r="832" spans="1:6" x14ac:dyDescent="0.3">
      <c r="A832" s="217"/>
      <c r="B832" s="217"/>
      <c r="C832" s="217"/>
      <c r="D832" s="217"/>
      <c r="E832" s="217"/>
      <c r="F832" s="217"/>
    </row>
    <row r="833" spans="1:6" x14ac:dyDescent="0.3">
      <c r="A833" s="217"/>
      <c r="B833" s="217"/>
      <c r="C833" s="217"/>
      <c r="D833" s="217"/>
      <c r="E833" s="217"/>
      <c r="F833" s="217"/>
    </row>
    <row r="834" spans="1:6" x14ac:dyDescent="0.3">
      <c r="A834" s="217"/>
      <c r="B834" s="217"/>
      <c r="C834" s="217"/>
      <c r="D834" s="217"/>
      <c r="E834" s="217"/>
      <c r="F834" s="217"/>
    </row>
    <row r="835" spans="1:6" x14ac:dyDescent="0.3">
      <c r="A835" s="217"/>
      <c r="B835" s="217"/>
      <c r="C835" s="217"/>
      <c r="D835" s="217"/>
      <c r="E835" s="217"/>
      <c r="F835" s="217"/>
    </row>
    <row r="836" spans="1:6" x14ac:dyDescent="0.3">
      <c r="A836" s="217"/>
      <c r="B836" s="217"/>
      <c r="C836" s="217"/>
      <c r="D836" s="217"/>
      <c r="E836" s="217"/>
      <c r="F836" s="217"/>
    </row>
    <row r="837" spans="1:6" x14ac:dyDescent="0.3">
      <c r="A837" s="217"/>
      <c r="B837" s="217"/>
      <c r="C837" s="217"/>
      <c r="D837" s="217"/>
      <c r="E837" s="217"/>
      <c r="F837" s="217"/>
    </row>
    <row r="838" spans="1:6" x14ac:dyDescent="0.3">
      <c r="A838" s="217"/>
      <c r="B838" s="217"/>
      <c r="C838" s="217"/>
      <c r="D838" s="217"/>
      <c r="E838" s="217"/>
      <c r="F838" s="217"/>
    </row>
    <row r="839" spans="1:6" x14ac:dyDescent="0.3">
      <c r="A839" s="217"/>
      <c r="B839" s="217"/>
      <c r="C839" s="217"/>
      <c r="D839" s="217"/>
      <c r="E839" s="217"/>
      <c r="F839" s="217"/>
    </row>
    <row r="840" spans="1:6" x14ac:dyDescent="0.3">
      <c r="A840" s="217"/>
      <c r="B840" s="217"/>
      <c r="C840" s="217"/>
      <c r="D840" s="217"/>
      <c r="E840" s="217"/>
      <c r="F840" s="217"/>
    </row>
    <row r="841" spans="1:6" x14ac:dyDescent="0.3">
      <c r="A841" s="217"/>
      <c r="B841" s="217"/>
      <c r="C841" s="217"/>
      <c r="D841" s="217"/>
      <c r="E841" s="217"/>
      <c r="F841" s="217"/>
    </row>
    <row r="842" spans="1:6" x14ac:dyDescent="0.3">
      <c r="A842" s="217"/>
      <c r="B842" s="217"/>
      <c r="C842" s="217"/>
      <c r="D842" s="217"/>
      <c r="E842" s="217"/>
      <c r="F842" s="217"/>
    </row>
    <row r="843" spans="1:6" x14ac:dyDescent="0.3">
      <c r="A843" s="217"/>
      <c r="B843" s="217"/>
      <c r="C843" s="217"/>
      <c r="D843" s="217"/>
      <c r="E843" s="217"/>
      <c r="F843" s="217"/>
    </row>
    <row r="844" spans="1:6" x14ac:dyDescent="0.3">
      <c r="A844" s="217"/>
      <c r="B844" s="217"/>
      <c r="C844" s="217"/>
      <c r="D844" s="217"/>
      <c r="E844" s="217"/>
      <c r="F844" s="217"/>
    </row>
    <row r="845" spans="1:6" x14ac:dyDescent="0.3">
      <c r="A845" s="217"/>
      <c r="B845" s="217"/>
      <c r="C845" s="217"/>
      <c r="D845" s="217"/>
      <c r="E845" s="217"/>
      <c r="F845" s="217"/>
    </row>
    <row r="846" spans="1:6" x14ac:dyDescent="0.3">
      <c r="A846" s="217"/>
      <c r="B846" s="217"/>
      <c r="C846" s="217"/>
      <c r="D846" s="217"/>
      <c r="E846" s="217"/>
      <c r="F846" s="217"/>
    </row>
    <row r="847" spans="1:6" x14ac:dyDescent="0.3">
      <c r="A847" s="217"/>
      <c r="B847" s="217"/>
      <c r="C847" s="217"/>
      <c r="D847" s="217"/>
      <c r="E847" s="217"/>
      <c r="F847" s="217"/>
    </row>
    <row r="848" spans="1:6" x14ac:dyDescent="0.3">
      <c r="A848" s="217"/>
      <c r="B848" s="217"/>
      <c r="C848" s="217"/>
      <c r="D848" s="217"/>
      <c r="E848" s="217"/>
      <c r="F848" s="217"/>
    </row>
    <row r="849" spans="1:6" x14ac:dyDescent="0.3">
      <c r="A849" s="217"/>
      <c r="B849" s="217"/>
      <c r="C849" s="217"/>
      <c r="D849" s="217"/>
      <c r="E849" s="217"/>
      <c r="F849" s="217"/>
    </row>
    <row r="850" spans="1:6" x14ac:dyDescent="0.3">
      <c r="A850" s="217"/>
      <c r="B850" s="217"/>
      <c r="C850" s="217"/>
      <c r="D850" s="217"/>
      <c r="E850" s="217"/>
      <c r="F850" s="217"/>
    </row>
    <row r="851" spans="1:6" x14ac:dyDescent="0.3">
      <c r="A851" s="217"/>
      <c r="B851" s="217"/>
      <c r="C851" s="217"/>
      <c r="D851" s="217"/>
      <c r="E851" s="217"/>
      <c r="F851" s="217"/>
    </row>
    <row r="852" spans="1:6" x14ac:dyDescent="0.3">
      <c r="A852" s="217"/>
      <c r="B852" s="217"/>
      <c r="C852" s="217"/>
      <c r="D852" s="217"/>
      <c r="E852" s="217"/>
      <c r="F852" s="217"/>
    </row>
    <row r="853" spans="1:6" x14ac:dyDescent="0.3">
      <c r="A853" s="217"/>
      <c r="B853" s="217"/>
      <c r="C853" s="217"/>
      <c r="D853" s="217"/>
      <c r="E853" s="217"/>
      <c r="F853" s="217"/>
    </row>
    <row r="854" spans="1:6" x14ac:dyDescent="0.3">
      <c r="A854" s="217"/>
      <c r="B854" s="217"/>
      <c r="C854" s="217"/>
      <c r="D854" s="217"/>
      <c r="E854" s="217"/>
      <c r="F854" s="217"/>
    </row>
    <row r="855" spans="1:6" x14ac:dyDescent="0.3">
      <c r="A855" s="217"/>
      <c r="B855" s="217"/>
      <c r="C855" s="217"/>
      <c r="D855" s="217"/>
      <c r="E855" s="217"/>
      <c r="F855" s="217"/>
    </row>
    <row r="856" spans="1:6" x14ac:dyDescent="0.3">
      <c r="A856" s="217"/>
      <c r="B856" s="217"/>
      <c r="C856" s="217"/>
      <c r="D856" s="217"/>
      <c r="E856" s="217"/>
      <c r="F856" s="217"/>
    </row>
    <row r="857" spans="1:6" x14ac:dyDescent="0.3">
      <c r="A857" s="217"/>
      <c r="B857" s="217"/>
      <c r="C857" s="217"/>
      <c r="D857" s="217"/>
      <c r="E857" s="217"/>
      <c r="F857" s="217"/>
    </row>
    <row r="858" spans="1:6" x14ac:dyDescent="0.3">
      <c r="A858" s="217"/>
      <c r="B858" s="217"/>
      <c r="C858" s="217"/>
      <c r="D858" s="217"/>
      <c r="E858" s="217"/>
      <c r="F858" s="217"/>
    </row>
    <row r="859" spans="1:6" x14ac:dyDescent="0.3">
      <c r="A859" s="217"/>
      <c r="B859" s="217"/>
      <c r="C859" s="217"/>
      <c r="D859" s="217"/>
      <c r="E859" s="217"/>
      <c r="F859" s="217"/>
    </row>
    <row r="860" spans="1:6" x14ac:dyDescent="0.3">
      <c r="A860" s="217"/>
      <c r="B860" s="217"/>
      <c r="C860" s="217"/>
      <c r="D860" s="217"/>
      <c r="E860" s="217"/>
      <c r="F860" s="217"/>
    </row>
    <row r="861" spans="1:6" x14ac:dyDescent="0.3">
      <c r="A861" s="217"/>
      <c r="B861" s="217"/>
      <c r="C861" s="217"/>
      <c r="D861" s="217"/>
      <c r="E861" s="217"/>
      <c r="F861" s="217"/>
    </row>
    <row r="862" spans="1:6" x14ac:dyDescent="0.3">
      <c r="A862" s="217"/>
      <c r="B862" s="217"/>
      <c r="C862" s="217"/>
      <c r="D862" s="217"/>
      <c r="E862" s="217"/>
      <c r="F862" s="217"/>
    </row>
    <row r="863" spans="1:6" x14ac:dyDescent="0.3">
      <c r="A863" s="217"/>
      <c r="B863" s="217"/>
      <c r="C863" s="217"/>
      <c r="D863" s="217"/>
      <c r="E863" s="217"/>
      <c r="F863" s="217"/>
    </row>
    <row r="864" spans="1:6" x14ac:dyDescent="0.3">
      <c r="A864" s="217"/>
      <c r="B864" s="217"/>
      <c r="C864" s="217"/>
      <c r="D864" s="217"/>
      <c r="E864" s="217"/>
      <c r="F864" s="217"/>
    </row>
    <row r="865" spans="1:6" x14ac:dyDescent="0.3">
      <c r="A865" s="217"/>
      <c r="B865" s="217"/>
      <c r="C865" s="217"/>
      <c r="D865" s="217"/>
      <c r="E865" s="217"/>
      <c r="F865" s="217"/>
    </row>
    <row r="866" spans="1:6" x14ac:dyDescent="0.3">
      <c r="A866" s="217"/>
      <c r="B866" s="217"/>
      <c r="C866" s="217"/>
      <c r="D866" s="217"/>
      <c r="E866" s="217"/>
      <c r="F866" s="217"/>
    </row>
    <row r="867" spans="1:6" x14ac:dyDescent="0.3">
      <c r="A867" s="217"/>
      <c r="B867" s="217"/>
      <c r="C867" s="217"/>
      <c r="D867" s="217"/>
      <c r="E867" s="217"/>
      <c r="F867" s="217"/>
    </row>
    <row r="868" spans="1:6" x14ac:dyDescent="0.3">
      <c r="A868" s="217"/>
      <c r="B868" s="217"/>
      <c r="C868" s="217"/>
      <c r="D868" s="217"/>
      <c r="E868" s="217"/>
      <c r="F868" s="217"/>
    </row>
    <row r="869" spans="1:6" x14ac:dyDescent="0.3">
      <c r="A869" s="217"/>
      <c r="B869" s="217"/>
      <c r="C869" s="217"/>
      <c r="D869" s="217"/>
      <c r="E869" s="217"/>
      <c r="F869" s="217"/>
    </row>
    <row r="870" spans="1:6" x14ac:dyDescent="0.3">
      <c r="A870" s="217"/>
      <c r="B870" s="217"/>
      <c r="C870" s="217"/>
      <c r="D870" s="217"/>
      <c r="E870" s="217"/>
      <c r="F870" s="217"/>
    </row>
    <row r="871" spans="1:6" x14ac:dyDescent="0.3">
      <c r="A871" s="217"/>
      <c r="B871" s="217"/>
      <c r="C871" s="217"/>
      <c r="D871" s="217"/>
      <c r="E871" s="217"/>
      <c r="F871" s="217"/>
    </row>
    <row r="872" spans="1:6" x14ac:dyDescent="0.3">
      <c r="A872" s="217"/>
      <c r="B872" s="217"/>
      <c r="C872" s="217"/>
      <c r="D872" s="217"/>
      <c r="E872" s="217"/>
      <c r="F872" s="217"/>
    </row>
    <row r="873" spans="1:6" x14ac:dyDescent="0.3">
      <c r="A873" s="217"/>
      <c r="B873" s="217"/>
      <c r="C873" s="217"/>
      <c r="D873" s="217"/>
      <c r="E873" s="217"/>
      <c r="F873" s="217"/>
    </row>
    <row r="874" spans="1:6" x14ac:dyDescent="0.3">
      <c r="A874" s="217"/>
      <c r="B874" s="217"/>
      <c r="C874" s="217"/>
      <c r="D874" s="217"/>
      <c r="E874" s="217"/>
      <c r="F874" s="217"/>
    </row>
    <row r="875" spans="1:6" x14ac:dyDescent="0.3">
      <c r="A875" s="217"/>
      <c r="B875" s="217"/>
      <c r="C875" s="217"/>
      <c r="D875" s="217"/>
      <c r="E875" s="217"/>
      <c r="F875" s="217"/>
    </row>
    <row r="876" spans="1:6" x14ac:dyDescent="0.3">
      <c r="A876" s="217"/>
      <c r="B876" s="217"/>
      <c r="C876" s="217"/>
      <c r="D876" s="217"/>
      <c r="E876" s="217"/>
      <c r="F876" s="217"/>
    </row>
    <row r="877" spans="1:6" x14ac:dyDescent="0.3">
      <c r="A877" s="217"/>
      <c r="B877" s="217"/>
      <c r="C877" s="217"/>
      <c r="D877" s="217"/>
      <c r="E877" s="217"/>
      <c r="F877" s="217"/>
    </row>
    <row r="878" spans="1:6" x14ac:dyDescent="0.3">
      <c r="A878" s="217"/>
      <c r="B878" s="217"/>
      <c r="C878" s="217"/>
      <c r="D878" s="217"/>
      <c r="E878" s="217"/>
      <c r="F878" s="217"/>
    </row>
    <row r="879" spans="1:6" x14ac:dyDescent="0.3">
      <c r="A879" s="217"/>
      <c r="B879" s="217"/>
      <c r="C879" s="217"/>
      <c r="D879" s="217"/>
      <c r="E879" s="217"/>
      <c r="F879" s="217"/>
    </row>
    <row r="880" spans="1:6" x14ac:dyDescent="0.3">
      <c r="A880" s="217"/>
      <c r="B880" s="217"/>
      <c r="C880" s="217"/>
      <c r="D880" s="217"/>
      <c r="E880" s="217"/>
      <c r="F880" s="217"/>
    </row>
    <row r="881" spans="1:6" x14ac:dyDescent="0.3">
      <c r="A881" s="217"/>
      <c r="B881" s="217"/>
      <c r="C881" s="217"/>
      <c r="D881" s="217"/>
      <c r="E881" s="217"/>
      <c r="F881" s="217"/>
    </row>
    <row r="882" spans="1:6" x14ac:dyDescent="0.3">
      <c r="A882" s="217"/>
      <c r="B882" s="217"/>
      <c r="C882" s="217"/>
      <c r="D882" s="217"/>
      <c r="E882" s="217"/>
      <c r="F882" s="217"/>
    </row>
    <row r="883" spans="1:6" x14ac:dyDescent="0.3">
      <c r="A883" s="217"/>
      <c r="B883" s="217"/>
      <c r="C883" s="217"/>
      <c r="D883" s="217"/>
      <c r="E883" s="217"/>
      <c r="F883" s="217"/>
    </row>
    <row r="884" spans="1:6" x14ac:dyDescent="0.3">
      <c r="A884" s="217"/>
      <c r="B884" s="217"/>
      <c r="C884" s="217"/>
      <c r="D884" s="217"/>
      <c r="E884" s="217"/>
      <c r="F884" s="217"/>
    </row>
    <row r="885" spans="1:6" x14ac:dyDescent="0.3">
      <c r="A885" s="217"/>
      <c r="B885" s="217"/>
      <c r="C885" s="217"/>
      <c r="D885" s="217"/>
      <c r="E885" s="217"/>
      <c r="F885" s="217"/>
    </row>
    <row r="886" spans="1:6" x14ac:dyDescent="0.3">
      <c r="A886" s="217"/>
      <c r="B886" s="217"/>
      <c r="C886" s="217"/>
      <c r="D886" s="217"/>
      <c r="E886" s="217"/>
      <c r="F886" s="217"/>
    </row>
    <row r="887" spans="1:6" x14ac:dyDescent="0.3">
      <c r="A887" s="217"/>
      <c r="B887" s="217"/>
      <c r="C887" s="217"/>
      <c r="D887" s="217"/>
      <c r="E887" s="217"/>
      <c r="F887" s="217"/>
    </row>
    <row r="888" spans="1:6" x14ac:dyDescent="0.3">
      <c r="A888" s="217"/>
      <c r="B888" s="217"/>
      <c r="C888" s="217"/>
      <c r="D888" s="217"/>
      <c r="E888" s="217"/>
      <c r="F888" s="217"/>
    </row>
    <row r="889" spans="1:6" x14ac:dyDescent="0.3">
      <c r="A889" s="217"/>
      <c r="B889" s="217"/>
      <c r="C889" s="217"/>
      <c r="D889" s="217"/>
      <c r="E889" s="217"/>
      <c r="F889" s="217"/>
    </row>
    <row r="890" spans="1:6" x14ac:dyDescent="0.3">
      <c r="A890" s="217"/>
      <c r="B890" s="217"/>
      <c r="C890" s="217"/>
      <c r="D890" s="217"/>
      <c r="E890" s="217"/>
      <c r="F890" s="217"/>
    </row>
    <row r="891" spans="1:6" x14ac:dyDescent="0.3">
      <c r="A891" s="217"/>
      <c r="B891" s="217"/>
      <c r="C891" s="217"/>
      <c r="D891" s="217"/>
      <c r="E891" s="217"/>
      <c r="F891" s="217"/>
    </row>
    <row r="892" spans="1:6" x14ac:dyDescent="0.3">
      <c r="A892" s="217"/>
      <c r="B892" s="217"/>
      <c r="C892" s="217"/>
      <c r="D892" s="217"/>
      <c r="E892" s="217"/>
      <c r="F892" s="217"/>
    </row>
    <row r="893" spans="1:6" x14ac:dyDescent="0.3">
      <c r="A893" s="217"/>
      <c r="B893" s="217"/>
      <c r="C893" s="217"/>
      <c r="D893" s="217"/>
      <c r="E893" s="217"/>
      <c r="F893" s="217"/>
    </row>
    <row r="894" spans="1:6" x14ac:dyDescent="0.3">
      <c r="A894" s="217"/>
      <c r="B894" s="217"/>
      <c r="C894" s="217"/>
      <c r="D894" s="217"/>
      <c r="E894" s="217"/>
      <c r="F894" s="217"/>
    </row>
    <row r="895" spans="1:6" x14ac:dyDescent="0.3">
      <c r="A895" s="217"/>
      <c r="B895" s="217"/>
      <c r="C895" s="217"/>
      <c r="D895" s="217"/>
      <c r="E895" s="217"/>
      <c r="F895" s="217"/>
    </row>
    <row r="896" spans="1:6" x14ac:dyDescent="0.3">
      <c r="A896" s="217"/>
      <c r="B896" s="217"/>
      <c r="C896" s="217"/>
      <c r="D896" s="217"/>
      <c r="E896" s="217"/>
      <c r="F896" s="217"/>
    </row>
    <row r="897" spans="1:6" x14ac:dyDescent="0.3">
      <c r="A897" s="217"/>
      <c r="B897" s="217"/>
      <c r="C897" s="217"/>
      <c r="D897" s="217"/>
      <c r="E897" s="217"/>
      <c r="F897" s="217"/>
    </row>
    <row r="898" spans="1:6" x14ac:dyDescent="0.3">
      <c r="A898" s="217"/>
      <c r="B898" s="217"/>
      <c r="C898" s="217"/>
      <c r="D898" s="217"/>
      <c r="E898" s="217"/>
      <c r="F898" s="217"/>
    </row>
    <row r="899" spans="1:6" x14ac:dyDescent="0.3">
      <c r="A899" s="217"/>
      <c r="B899" s="217"/>
      <c r="C899" s="217"/>
      <c r="D899" s="217"/>
      <c r="E899" s="217"/>
      <c r="F899" s="217"/>
    </row>
    <row r="900" spans="1:6" x14ac:dyDescent="0.3">
      <c r="A900" s="217"/>
      <c r="B900" s="217"/>
      <c r="C900" s="217"/>
      <c r="D900" s="217"/>
      <c r="E900" s="217"/>
      <c r="F900" s="217"/>
    </row>
    <row r="901" spans="1:6" x14ac:dyDescent="0.3">
      <c r="A901" s="217"/>
      <c r="B901" s="217"/>
      <c r="C901" s="217"/>
      <c r="D901" s="217"/>
      <c r="E901" s="217"/>
      <c r="F901" s="217"/>
    </row>
    <row r="902" spans="1:6" x14ac:dyDescent="0.3">
      <c r="A902" s="217"/>
      <c r="B902" s="217"/>
      <c r="C902" s="217"/>
      <c r="D902" s="217"/>
      <c r="E902" s="217"/>
      <c r="F902" s="217"/>
    </row>
    <row r="903" spans="1:6" x14ac:dyDescent="0.3">
      <c r="A903" s="217"/>
      <c r="B903" s="217"/>
      <c r="C903" s="217"/>
      <c r="D903" s="217"/>
      <c r="E903" s="217"/>
      <c r="F903" s="217"/>
    </row>
    <row r="904" spans="1:6" x14ac:dyDescent="0.3">
      <c r="A904" s="217"/>
      <c r="B904" s="217"/>
      <c r="C904" s="217"/>
      <c r="D904" s="217"/>
      <c r="E904" s="217"/>
      <c r="F904" s="217"/>
    </row>
    <row r="905" spans="1:6" x14ac:dyDescent="0.3">
      <c r="A905" s="217"/>
      <c r="B905" s="217"/>
      <c r="C905" s="217"/>
      <c r="D905" s="217"/>
      <c r="E905" s="217"/>
      <c r="F905" s="217"/>
    </row>
    <row r="906" spans="1:6" x14ac:dyDescent="0.3">
      <c r="A906" s="217"/>
      <c r="B906" s="217"/>
      <c r="C906" s="217"/>
      <c r="D906" s="217"/>
      <c r="E906" s="217"/>
      <c r="F906" s="217"/>
    </row>
    <row r="907" spans="1:6" x14ac:dyDescent="0.3">
      <c r="A907" s="217"/>
      <c r="B907" s="217"/>
      <c r="C907" s="217"/>
      <c r="D907" s="217"/>
      <c r="E907" s="217"/>
      <c r="F907" s="217"/>
    </row>
    <row r="908" spans="1:6" x14ac:dyDescent="0.3">
      <c r="A908" s="217"/>
      <c r="B908" s="217"/>
      <c r="C908" s="217"/>
      <c r="D908" s="217"/>
      <c r="E908" s="217"/>
      <c r="F908" s="217"/>
    </row>
    <row r="909" spans="1:6" x14ac:dyDescent="0.3">
      <c r="A909" s="217"/>
      <c r="B909" s="217"/>
      <c r="C909" s="217"/>
      <c r="D909" s="217"/>
      <c r="E909" s="217"/>
      <c r="F909" s="217"/>
    </row>
    <row r="910" spans="1:6" x14ac:dyDescent="0.3">
      <c r="A910" s="217"/>
      <c r="B910" s="217"/>
      <c r="C910" s="217"/>
      <c r="D910" s="217"/>
      <c r="E910" s="217"/>
      <c r="F910" s="217"/>
    </row>
    <row r="911" spans="1:6" x14ac:dyDescent="0.3">
      <c r="A911" s="217"/>
      <c r="B911" s="217"/>
      <c r="C911" s="217"/>
      <c r="D911" s="217"/>
      <c r="E911" s="217"/>
      <c r="F911" s="217"/>
    </row>
    <row r="912" spans="1:6" x14ac:dyDescent="0.3">
      <c r="A912" s="217"/>
      <c r="B912" s="217"/>
      <c r="C912" s="217"/>
      <c r="D912" s="217"/>
      <c r="E912" s="217"/>
      <c r="F912" s="217"/>
    </row>
    <row r="913" spans="1:6" x14ac:dyDescent="0.3">
      <c r="A913" s="217"/>
      <c r="B913" s="217"/>
      <c r="C913" s="217"/>
      <c r="D913" s="217"/>
      <c r="E913" s="217"/>
      <c r="F913" s="217"/>
    </row>
    <row r="914" spans="1:6" x14ac:dyDescent="0.3">
      <c r="A914" s="217"/>
      <c r="B914" s="217"/>
      <c r="C914" s="217"/>
      <c r="D914" s="217"/>
      <c r="E914" s="217"/>
      <c r="F914" s="217"/>
    </row>
    <row r="915" spans="1:6" x14ac:dyDescent="0.3">
      <c r="A915" s="217"/>
      <c r="B915" s="217"/>
      <c r="C915" s="217"/>
      <c r="D915" s="217"/>
      <c r="E915" s="217"/>
      <c r="F915" s="217"/>
    </row>
    <row r="916" spans="1:6" x14ac:dyDescent="0.3">
      <c r="A916" s="217"/>
      <c r="B916" s="217"/>
      <c r="C916" s="217"/>
      <c r="D916" s="217"/>
      <c r="E916" s="217"/>
      <c r="F916" s="217"/>
    </row>
    <row r="917" spans="1:6" x14ac:dyDescent="0.3">
      <c r="A917" s="217"/>
      <c r="B917" s="217"/>
      <c r="C917" s="217"/>
      <c r="D917" s="217"/>
      <c r="E917" s="217"/>
      <c r="F917" s="217"/>
    </row>
    <row r="918" spans="1:6" x14ac:dyDescent="0.3">
      <c r="A918" s="217"/>
      <c r="B918" s="217"/>
      <c r="C918" s="217"/>
      <c r="D918" s="217"/>
      <c r="E918" s="217"/>
      <c r="F918" s="217"/>
    </row>
    <row r="919" spans="1:6" x14ac:dyDescent="0.3">
      <c r="A919" s="217"/>
      <c r="B919" s="217"/>
      <c r="C919" s="217"/>
      <c r="D919" s="217"/>
      <c r="E919" s="217"/>
      <c r="F919" s="217"/>
    </row>
    <row r="920" spans="1:6" x14ac:dyDescent="0.3">
      <c r="A920" s="217"/>
      <c r="B920" s="217"/>
      <c r="C920" s="217"/>
      <c r="D920" s="217"/>
      <c r="E920" s="217"/>
      <c r="F920" s="217"/>
    </row>
    <row r="921" spans="1:6" x14ac:dyDescent="0.3">
      <c r="A921" s="217"/>
      <c r="B921" s="217"/>
      <c r="C921" s="217"/>
      <c r="D921" s="217"/>
      <c r="E921" s="217"/>
      <c r="F921" s="217"/>
    </row>
    <row r="922" spans="1:6" x14ac:dyDescent="0.3">
      <c r="A922" s="217"/>
      <c r="B922" s="217"/>
      <c r="C922" s="217"/>
      <c r="D922" s="217"/>
      <c r="E922" s="217"/>
      <c r="F922" s="217"/>
    </row>
    <row r="923" spans="1:6" x14ac:dyDescent="0.3">
      <c r="A923" s="217"/>
      <c r="B923" s="217"/>
      <c r="C923" s="217"/>
      <c r="D923" s="217"/>
      <c r="E923" s="217"/>
      <c r="F923" s="217"/>
    </row>
    <row r="924" spans="1:6" x14ac:dyDescent="0.3">
      <c r="A924" s="217"/>
      <c r="B924" s="217"/>
      <c r="C924" s="217"/>
      <c r="D924" s="217"/>
      <c r="E924" s="217"/>
      <c r="F924" s="217"/>
    </row>
    <row r="925" spans="1:6" x14ac:dyDescent="0.3">
      <c r="A925" s="217"/>
      <c r="B925" s="217"/>
      <c r="C925" s="217"/>
      <c r="D925" s="217"/>
      <c r="E925" s="217"/>
      <c r="F925" s="217"/>
    </row>
    <row r="926" spans="1:6" x14ac:dyDescent="0.3">
      <c r="A926" s="217"/>
      <c r="B926" s="217"/>
      <c r="C926" s="217"/>
      <c r="D926" s="217"/>
      <c r="E926" s="217"/>
      <c r="F926" s="217"/>
    </row>
    <row r="927" spans="1:6" x14ac:dyDescent="0.3">
      <c r="A927" s="217"/>
      <c r="B927" s="217"/>
      <c r="C927" s="217"/>
      <c r="D927" s="217"/>
      <c r="E927" s="217"/>
      <c r="F927" s="217"/>
    </row>
    <row r="928" spans="1:6" x14ac:dyDescent="0.3">
      <c r="A928" s="217"/>
      <c r="B928" s="217"/>
      <c r="C928" s="217"/>
      <c r="D928" s="217"/>
      <c r="E928" s="217"/>
      <c r="F928" s="217"/>
    </row>
    <row r="929" spans="1:6" x14ac:dyDescent="0.3">
      <c r="A929" s="217"/>
      <c r="B929" s="217"/>
      <c r="C929" s="217"/>
      <c r="D929" s="217"/>
      <c r="E929" s="217"/>
      <c r="F929" s="217"/>
    </row>
    <row r="930" spans="1:6" x14ac:dyDescent="0.3">
      <c r="A930" s="217"/>
      <c r="B930" s="217"/>
      <c r="C930" s="217"/>
      <c r="D930" s="217"/>
      <c r="E930" s="217"/>
      <c r="F930" s="217"/>
    </row>
    <row r="931" spans="1:6" x14ac:dyDescent="0.3">
      <c r="A931" s="217"/>
      <c r="B931" s="217"/>
      <c r="C931" s="217"/>
      <c r="D931" s="217"/>
      <c r="E931" s="217"/>
      <c r="F931" s="217"/>
    </row>
    <row r="932" spans="1:6" x14ac:dyDescent="0.3">
      <c r="A932" s="217"/>
      <c r="B932" s="217"/>
      <c r="C932" s="217"/>
      <c r="D932" s="217"/>
      <c r="E932" s="217"/>
      <c r="F932" s="217"/>
    </row>
    <row r="933" spans="1:6" x14ac:dyDescent="0.3">
      <c r="A933" s="217"/>
      <c r="B933" s="217"/>
      <c r="C933" s="217"/>
      <c r="D933" s="217"/>
      <c r="E933" s="217"/>
      <c r="F933" s="217"/>
    </row>
    <row r="934" spans="1:6" x14ac:dyDescent="0.3">
      <c r="A934" s="217"/>
      <c r="B934" s="217"/>
      <c r="C934" s="217"/>
      <c r="D934" s="217"/>
      <c r="E934" s="217"/>
      <c r="F934" s="217"/>
    </row>
    <row r="935" spans="1:6" x14ac:dyDescent="0.3">
      <c r="A935" s="217"/>
      <c r="B935" s="217"/>
      <c r="C935" s="217"/>
      <c r="D935" s="217"/>
      <c r="E935" s="217"/>
      <c r="F935" s="217"/>
    </row>
    <row r="936" spans="1:6" x14ac:dyDescent="0.3">
      <c r="A936" s="217"/>
      <c r="B936" s="217"/>
      <c r="C936" s="217"/>
      <c r="D936" s="217"/>
      <c r="E936" s="217"/>
      <c r="F936" s="217"/>
    </row>
    <row r="937" spans="1:6" x14ac:dyDescent="0.3">
      <c r="A937" s="217"/>
      <c r="B937" s="217"/>
      <c r="C937" s="217"/>
      <c r="D937" s="217"/>
      <c r="E937" s="217"/>
      <c r="F937" s="217"/>
    </row>
    <row r="938" spans="1:6" x14ac:dyDescent="0.3">
      <c r="A938" s="217"/>
      <c r="B938" s="217"/>
      <c r="C938" s="217"/>
      <c r="D938" s="217"/>
      <c r="E938" s="217"/>
      <c r="F938" s="217"/>
    </row>
    <row r="939" spans="1:6" x14ac:dyDescent="0.3">
      <c r="A939" s="217"/>
      <c r="B939" s="217"/>
      <c r="C939" s="217"/>
      <c r="D939" s="217"/>
      <c r="E939" s="217"/>
      <c r="F939" s="217"/>
    </row>
    <row r="940" spans="1:6" x14ac:dyDescent="0.3">
      <c r="A940" s="217"/>
      <c r="B940" s="217"/>
      <c r="C940" s="217"/>
      <c r="D940" s="217"/>
      <c r="E940" s="217"/>
      <c r="F940" s="217"/>
    </row>
    <row r="941" spans="1:6" x14ac:dyDescent="0.3">
      <c r="A941" s="217"/>
      <c r="B941" s="217"/>
      <c r="C941" s="217"/>
      <c r="D941" s="217"/>
      <c r="E941" s="217"/>
      <c r="F941" s="217"/>
    </row>
    <row r="942" spans="1:6" x14ac:dyDescent="0.3">
      <c r="A942" s="217"/>
      <c r="B942" s="217"/>
      <c r="C942" s="217"/>
      <c r="D942" s="217"/>
      <c r="E942" s="217"/>
      <c r="F942" s="217"/>
    </row>
    <row r="943" spans="1:6" x14ac:dyDescent="0.3">
      <c r="A943" s="217"/>
      <c r="B943" s="217"/>
      <c r="C943" s="217"/>
      <c r="D943" s="217"/>
      <c r="E943" s="217"/>
      <c r="F943" s="217"/>
    </row>
    <row r="944" spans="1:6" x14ac:dyDescent="0.3">
      <c r="A944" s="217"/>
      <c r="B944" s="217"/>
      <c r="C944" s="217"/>
      <c r="D944" s="217"/>
      <c r="E944" s="217"/>
      <c r="F944" s="217"/>
    </row>
    <row r="945" spans="1:6" x14ac:dyDescent="0.3">
      <c r="A945" s="217"/>
      <c r="B945" s="217"/>
      <c r="C945" s="217"/>
      <c r="D945" s="217"/>
      <c r="E945" s="217"/>
      <c r="F945" s="217"/>
    </row>
    <row r="946" spans="1:6" x14ac:dyDescent="0.3">
      <c r="A946" s="217"/>
      <c r="B946" s="217"/>
      <c r="C946" s="217"/>
      <c r="D946" s="217"/>
      <c r="E946" s="217"/>
      <c r="F946" s="217"/>
    </row>
    <row r="947" spans="1:6" x14ac:dyDescent="0.3">
      <c r="A947" s="217"/>
      <c r="B947" s="217"/>
      <c r="C947" s="217"/>
      <c r="D947" s="217"/>
      <c r="E947" s="217"/>
      <c r="F947" s="217"/>
    </row>
    <row r="948" spans="1:6" x14ac:dyDescent="0.3">
      <c r="A948" s="217"/>
      <c r="B948" s="217"/>
      <c r="C948" s="217"/>
      <c r="D948" s="217"/>
      <c r="E948" s="217"/>
      <c r="F948" s="217"/>
    </row>
    <row r="949" spans="1:6" x14ac:dyDescent="0.3">
      <c r="A949" s="217"/>
      <c r="B949" s="217"/>
      <c r="C949" s="217"/>
      <c r="D949" s="217"/>
      <c r="E949" s="217"/>
      <c r="F949" s="217"/>
    </row>
    <row r="950" spans="1:6" x14ac:dyDescent="0.3">
      <c r="A950" s="217"/>
      <c r="B950" s="217"/>
      <c r="C950" s="217"/>
      <c r="D950" s="217"/>
      <c r="E950" s="217"/>
      <c r="F950" s="217"/>
    </row>
    <row r="951" spans="1:6" x14ac:dyDescent="0.3">
      <c r="A951" s="217"/>
      <c r="B951" s="217"/>
      <c r="C951" s="217"/>
      <c r="D951" s="217"/>
      <c r="E951" s="217"/>
      <c r="F951" s="217"/>
    </row>
    <row r="952" spans="1:6" x14ac:dyDescent="0.3">
      <c r="A952" s="217"/>
      <c r="B952" s="217"/>
      <c r="C952" s="217"/>
      <c r="D952" s="217"/>
      <c r="E952" s="217"/>
      <c r="F952" s="217"/>
    </row>
    <row r="953" spans="1:6" x14ac:dyDescent="0.3">
      <c r="A953" s="217"/>
      <c r="B953" s="217"/>
      <c r="C953" s="217"/>
      <c r="D953" s="217"/>
      <c r="E953" s="217"/>
      <c r="F953" s="217"/>
    </row>
    <row r="954" spans="1:6" x14ac:dyDescent="0.3">
      <c r="A954" s="217"/>
      <c r="B954" s="217"/>
      <c r="C954" s="217"/>
      <c r="D954" s="217"/>
      <c r="E954" s="217"/>
      <c r="F954" s="217"/>
    </row>
    <row r="955" spans="1:6" x14ac:dyDescent="0.3">
      <c r="A955" s="217"/>
      <c r="B955" s="217"/>
      <c r="C955" s="217"/>
      <c r="D955" s="217"/>
      <c r="E955" s="217"/>
      <c r="F955" s="217"/>
    </row>
    <row r="956" spans="1:6" x14ac:dyDescent="0.3">
      <c r="A956" s="217"/>
      <c r="B956" s="217"/>
      <c r="C956" s="217"/>
      <c r="D956" s="217"/>
      <c r="E956" s="217"/>
      <c r="F956" s="217"/>
    </row>
    <row r="957" spans="1:6" x14ac:dyDescent="0.3">
      <c r="A957" s="217"/>
      <c r="B957" s="217"/>
      <c r="C957" s="217"/>
      <c r="D957" s="217"/>
      <c r="E957" s="217"/>
      <c r="F957" s="217"/>
    </row>
    <row r="958" spans="1:6" x14ac:dyDescent="0.3">
      <c r="A958" s="217"/>
      <c r="B958" s="217"/>
      <c r="C958" s="217"/>
      <c r="D958" s="217"/>
      <c r="E958" s="217"/>
      <c r="F958" s="217"/>
    </row>
    <row r="959" spans="1:6" x14ac:dyDescent="0.3">
      <c r="A959" s="217"/>
      <c r="B959" s="217"/>
      <c r="C959" s="217"/>
      <c r="D959" s="217"/>
      <c r="E959" s="217"/>
      <c r="F959" s="217"/>
    </row>
    <row r="960" spans="1:6" x14ac:dyDescent="0.3">
      <c r="A960" s="217"/>
      <c r="B960" s="217"/>
      <c r="C960" s="217"/>
      <c r="D960" s="217"/>
      <c r="E960" s="217"/>
      <c r="F960" s="217"/>
    </row>
    <row r="961" spans="1:6" x14ac:dyDescent="0.3">
      <c r="A961" s="217"/>
      <c r="B961" s="217"/>
      <c r="C961" s="217"/>
      <c r="D961" s="217"/>
      <c r="E961" s="217"/>
      <c r="F961" s="217"/>
    </row>
    <row r="962" spans="1:6" x14ac:dyDescent="0.3">
      <c r="A962" s="217"/>
      <c r="B962" s="217"/>
      <c r="C962" s="217"/>
      <c r="D962" s="217"/>
      <c r="E962" s="217"/>
      <c r="F962" s="217"/>
    </row>
    <row r="963" spans="1:6" x14ac:dyDescent="0.3">
      <c r="A963" s="217"/>
      <c r="B963" s="217"/>
      <c r="C963" s="217"/>
      <c r="D963" s="217"/>
      <c r="E963" s="217"/>
      <c r="F963" s="217"/>
    </row>
    <row r="964" spans="1:6" x14ac:dyDescent="0.3">
      <c r="A964" s="217"/>
      <c r="B964" s="217"/>
      <c r="C964" s="217"/>
      <c r="D964" s="217"/>
      <c r="E964" s="217"/>
      <c r="F964" s="217"/>
    </row>
    <row r="965" spans="1:6" x14ac:dyDescent="0.3">
      <c r="A965" s="217"/>
      <c r="B965" s="217"/>
      <c r="C965" s="217"/>
      <c r="D965" s="217"/>
      <c r="E965" s="217"/>
      <c r="F965" s="217"/>
    </row>
    <row r="966" spans="1:6" x14ac:dyDescent="0.3">
      <c r="A966" s="217"/>
      <c r="B966" s="217"/>
      <c r="C966" s="217"/>
      <c r="D966" s="217"/>
      <c r="E966" s="217"/>
      <c r="F966" s="217"/>
    </row>
    <row r="967" spans="1:6" x14ac:dyDescent="0.3">
      <c r="A967" s="217"/>
      <c r="B967" s="217"/>
      <c r="C967" s="217"/>
      <c r="D967" s="217"/>
      <c r="E967" s="217"/>
      <c r="F967" s="217"/>
    </row>
    <row r="968" spans="1:6" x14ac:dyDescent="0.3">
      <c r="A968" s="217"/>
      <c r="B968" s="217"/>
      <c r="C968" s="217"/>
      <c r="D968" s="217"/>
      <c r="E968" s="217"/>
      <c r="F968" s="217"/>
    </row>
    <row r="969" spans="1:6" x14ac:dyDescent="0.3">
      <c r="A969" s="217"/>
      <c r="B969" s="217"/>
      <c r="C969" s="217"/>
      <c r="D969" s="217"/>
      <c r="E969" s="217"/>
      <c r="F969" s="217"/>
    </row>
    <row r="970" spans="1:6" x14ac:dyDescent="0.3">
      <c r="A970" s="217"/>
      <c r="B970" s="217"/>
      <c r="C970" s="217"/>
      <c r="D970" s="217"/>
      <c r="E970" s="217"/>
      <c r="F970" s="217"/>
    </row>
    <row r="971" spans="1:6" x14ac:dyDescent="0.3">
      <c r="A971" s="217"/>
      <c r="B971" s="217"/>
      <c r="C971" s="217"/>
      <c r="D971" s="217"/>
      <c r="E971" s="217"/>
      <c r="F971" s="217"/>
    </row>
    <row r="972" spans="1:6" x14ac:dyDescent="0.3">
      <c r="A972" s="217"/>
      <c r="B972" s="217"/>
      <c r="C972" s="217"/>
      <c r="D972" s="217"/>
      <c r="E972" s="217"/>
      <c r="F972" s="217"/>
    </row>
    <row r="973" spans="1:6" x14ac:dyDescent="0.3">
      <c r="A973" s="217"/>
      <c r="B973" s="217"/>
      <c r="C973" s="217"/>
      <c r="D973" s="217"/>
      <c r="E973" s="217"/>
      <c r="F973" s="217"/>
    </row>
    <row r="974" spans="1:6" x14ac:dyDescent="0.3">
      <c r="A974" s="217"/>
      <c r="B974" s="217"/>
      <c r="C974" s="217"/>
      <c r="D974" s="217"/>
      <c r="E974" s="217"/>
      <c r="F974" s="217"/>
    </row>
    <row r="975" spans="1:6" x14ac:dyDescent="0.3">
      <c r="A975" s="217"/>
      <c r="B975" s="217"/>
      <c r="C975" s="217"/>
      <c r="D975" s="217"/>
      <c r="E975" s="217"/>
      <c r="F975" s="217"/>
    </row>
    <row r="976" spans="1:6" x14ac:dyDescent="0.3">
      <c r="A976" s="217"/>
      <c r="B976" s="217"/>
      <c r="C976" s="217"/>
      <c r="D976" s="217"/>
      <c r="E976" s="217"/>
      <c r="F976" s="217"/>
    </row>
    <row r="977" spans="1:6" x14ac:dyDescent="0.3">
      <c r="A977" s="217"/>
      <c r="B977" s="217"/>
      <c r="C977" s="217"/>
      <c r="D977" s="217"/>
      <c r="E977" s="217"/>
      <c r="F977" s="217"/>
    </row>
    <row r="978" spans="1:6" x14ac:dyDescent="0.3">
      <c r="A978" s="217"/>
      <c r="B978" s="217"/>
      <c r="C978" s="217"/>
      <c r="D978" s="217"/>
      <c r="E978" s="217"/>
      <c r="F978" s="217"/>
    </row>
    <row r="979" spans="1:6" x14ac:dyDescent="0.3">
      <c r="A979" s="217"/>
      <c r="B979" s="217"/>
      <c r="C979" s="217"/>
      <c r="D979" s="217"/>
      <c r="E979" s="217"/>
      <c r="F979" s="217"/>
    </row>
    <row r="980" spans="1:6" x14ac:dyDescent="0.3">
      <c r="A980" s="217"/>
      <c r="B980" s="217"/>
      <c r="C980" s="217"/>
      <c r="D980" s="217"/>
      <c r="E980" s="217"/>
      <c r="F980" s="217"/>
    </row>
    <row r="981" spans="1:6" x14ac:dyDescent="0.3">
      <c r="A981" s="217"/>
      <c r="B981" s="217"/>
      <c r="C981" s="217"/>
      <c r="D981" s="217"/>
      <c r="E981" s="217"/>
      <c r="F981" s="217"/>
    </row>
    <row r="982" spans="1:6" x14ac:dyDescent="0.3">
      <c r="A982" s="217"/>
      <c r="B982" s="217"/>
      <c r="C982" s="217"/>
      <c r="D982" s="217"/>
      <c r="E982" s="217"/>
      <c r="F982" s="217"/>
    </row>
    <row r="983" spans="1:6" x14ac:dyDescent="0.3">
      <c r="A983" s="217"/>
      <c r="B983" s="217"/>
      <c r="C983" s="217"/>
      <c r="D983" s="217"/>
      <c r="E983" s="217"/>
      <c r="F983" s="217"/>
    </row>
    <row r="984" spans="1:6" x14ac:dyDescent="0.3">
      <c r="A984" s="217"/>
      <c r="B984" s="217"/>
      <c r="C984" s="217"/>
      <c r="D984" s="217"/>
      <c r="E984" s="217"/>
      <c r="F984" s="217"/>
    </row>
    <row r="985" spans="1:6" x14ac:dyDescent="0.3">
      <c r="A985" s="217"/>
      <c r="B985" s="217"/>
      <c r="C985" s="217"/>
      <c r="D985" s="217"/>
      <c r="E985" s="217"/>
      <c r="F985" s="217"/>
    </row>
    <row r="986" spans="1:6" x14ac:dyDescent="0.3">
      <c r="A986" s="217"/>
      <c r="B986" s="217"/>
      <c r="C986" s="217"/>
      <c r="D986" s="217"/>
      <c r="E986" s="217"/>
      <c r="F986" s="217"/>
    </row>
    <row r="987" spans="1:6" x14ac:dyDescent="0.3">
      <c r="A987" s="217"/>
      <c r="B987" s="217"/>
      <c r="C987" s="217"/>
      <c r="D987" s="217"/>
      <c r="E987" s="217"/>
      <c r="F987" s="217"/>
    </row>
    <row r="988" spans="1:6" x14ac:dyDescent="0.3">
      <c r="A988" s="217"/>
      <c r="B988" s="217"/>
      <c r="C988" s="217"/>
      <c r="D988" s="217"/>
      <c r="E988" s="217"/>
      <c r="F988" s="217"/>
    </row>
    <row r="989" spans="1:6" x14ac:dyDescent="0.3">
      <c r="A989" s="217"/>
      <c r="B989" s="217"/>
      <c r="C989" s="217"/>
      <c r="D989" s="217"/>
      <c r="E989" s="217"/>
      <c r="F989" s="217"/>
    </row>
    <row r="990" spans="1:6" x14ac:dyDescent="0.3">
      <c r="A990" s="217"/>
      <c r="B990" s="217"/>
      <c r="C990" s="217"/>
      <c r="D990" s="217"/>
      <c r="E990" s="217"/>
      <c r="F990" s="217"/>
    </row>
    <row r="991" spans="1:6" x14ac:dyDescent="0.3">
      <c r="A991" s="217"/>
      <c r="B991" s="217"/>
      <c r="C991" s="217"/>
      <c r="D991" s="217"/>
      <c r="E991" s="217"/>
      <c r="F991" s="217"/>
    </row>
    <row r="992" spans="1:6" x14ac:dyDescent="0.3">
      <c r="A992" s="217"/>
      <c r="B992" s="217"/>
      <c r="C992" s="217"/>
      <c r="D992" s="217"/>
      <c r="E992" s="217"/>
      <c r="F992" s="217"/>
    </row>
    <row r="993" spans="1:6" x14ac:dyDescent="0.3">
      <c r="A993" s="217"/>
      <c r="B993" s="217"/>
      <c r="C993" s="217"/>
      <c r="D993" s="217"/>
      <c r="E993" s="217"/>
      <c r="F993" s="217"/>
    </row>
    <row r="994" spans="1:6" x14ac:dyDescent="0.3">
      <c r="A994" s="217"/>
      <c r="B994" s="217"/>
      <c r="C994" s="217"/>
      <c r="D994" s="217"/>
      <c r="E994" s="217"/>
      <c r="F994" s="217"/>
    </row>
    <row r="995" spans="1:6" x14ac:dyDescent="0.3">
      <c r="A995" s="217"/>
      <c r="B995" s="217"/>
      <c r="C995" s="217"/>
      <c r="D995" s="217"/>
      <c r="E995" s="217"/>
      <c r="F995" s="217"/>
    </row>
    <row r="996" spans="1:6" x14ac:dyDescent="0.3">
      <c r="A996" s="217"/>
      <c r="B996" s="217"/>
      <c r="C996" s="217"/>
      <c r="D996" s="217"/>
      <c r="E996" s="217"/>
      <c r="F996" s="217"/>
    </row>
    <row r="997" spans="1:6" x14ac:dyDescent="0.3">
      <c r="A997" s="217"/>
      <c r="B997" s="217"/>
      <c r="C997" s="217"/>
      <c r="D997" s="217"/>
      <c r="E997" s="217"/>
      <c r="F997" s="217"/>
    </row>
    <row r="998" spans="1:6" x14ac:dyDescent="0.3">
      <c r="A998" s="217"/>
      <c r="B998" s="217"/>
      <c r="C998" s="217"/>
      <c r="D998" s="217"/>
      <c r="E998" s="217"/>
      <c r="F998" s="217"/>
    </row>
    <row r="999" spans="1:6" x14ac:dyDescent="0.3">
      <c r="A999" s="217"/>
      <c r="B999" s="217"/>
      <c r="C999" s="217"/>
      <c r="D999" s="217"/>
      <c r="E999" s="217"/>
      <c r="F999" s="217"/>
    </row>
    <row r="1000" spans="1:6" x14ac:dyDescent="0.3">
      <c r="A1000" s="217"/>
      <c r="B1000" s="217"/>
      <c r="C1000" s="217"/>
      <c r="D1000" s="217"/>
      <c r="E1000" s="217"/>
      <c r="F1000" s="217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80"/>
  <sheetViews>
    <sheetView showGridLines="0"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75</v>
      </c>
      <c r="D5" s="168">
        <f>F5</f>
        <v>69854.709999999992</v>
      </c>
      <c r="E5" s="169">
        <v>698.54709999999989</v>
      </c>
      <c r="F5" s="42">
        <f>E5*100</f>
        <v>69854.709999999992</v>
      </c>
    </row>
    <row r="6" spans="1:6" x14ac:dyDescent="0.3">
      <c r="A6" s="165">
        <v>62</v>
      </c>
      <c r="B6" s="166">
        <v>316</v>
      </c>
      <c r="C6" s="167">
        <v>75</v>
      </c>
      <c r="D6" s="168">
        <f t="shared" ref="D6:D69" si="0">F6</f>
        <v>57352.13</v>
      </c>
      <c r="E6" s="169">
        <v>573.5213</v>
      </c>
      <c r="F6" s="42">
        <f t="shared" ref="F6:F69" si="1">E6*100</f>
        <v>57352.13</v>
      </c>
    </row>
    <row r="7" spans="1:6" x14ac:dyDescent="0.3">
      <c r="A7" s="165">
        <v>62</v>
      </c>
      <c r="B7" s="166">
        <v>266</v>
      </c>
      <c r="C7" s="167">
        <v>75</v>
      </c>
      <c r="D7" s="168">
        <f t="shared" si="0"/>
        <v>200000</v>
      </c>
      <c r="E7" s="169" t="s">
        <v>706</v>
      </c>
      <c r="F7" s="42">
        <f t="shared" si="1"/>
        <v>200000</v>
      </c>
    </row>
    <row r="8" spans="1:6" x14ac:dyDescent="0.3">
      <c r="A8" s="165">
        <v>62</v>
      </c>
      <c r="B8" s="166">
        <v>314</v>
      </c>
      <c r="C8" s="167">
        <v>75</v>
      </c>
      <c r="D8" s="168">
        <f t="shared" si="0"/>
        <v>55563.795000000006</v>
      </c>
      <c r="E8" s="169">
        <v>555.63795000000005</v>
      </c>
      <c r="F8" s="42">
        <f t="shared" si="1"/>
        <v>55563.795000000006</v>
      </c>
    </row>
    <row r="9" spans="1:6" x14ac:dyDescent="0.3">
      <c r="A9" s="165">
        <v>62</v>
      </c>
      <c r="B9" s="166">
        <v>320</v>
      </c>
      <c r="C9" s="167">
        <v>75</v>
      </c>
      <c r="D9" s="168">
        <f t="shared" si="0"/>
        <v>55919.825000000004</v>
      </c>
      <c r="E9" s="169">
        <v>559.19825000000003</v>
      </c>
      <c r="F9" s="42">
        <f t="shared" si="1"/>
        <v>55919.825000000004</v>
      </c>
    </row>
    <row r="10" spans="1:6" x14ac:dyDescent="0.3">
      <c r="A10" s="165">
        <v>62</v>
      </c>
      <c r="B10" s="166">
        <v>289</v>
      </c>
      <c r="C10" s="167">
        <v>75</v>
      </c>
      <c r="D10" s="168">
        <f t="shared" si="0"/>
        <v>63531.275000000009</v>
      </c>
      <c r="E10" s="169">
        <v>635.31275000000005</v>
      </c>
      <c r="F10" s="42">
        <f t="shared" si="1"/>
        <v>63531.275000000009</v>
      </c>
    </row>
    <row r="11" spans="1:6" x14ac:dyDescent="0.3">
      <c r="A11" s="165">
        <v>93</v>
      </c>
      <c r="B11" s="166">
        <v>98</v>
      </c>
      <c r="C11" s="167">
        <v>75</v>
      </c>
      <c r="D11" s="168">
        <f t="shared" si="0"/>
        <v>35582.92</v>
      </c>
      <c r="E11" s="169">
        <v>355.82920000000001</v>
      </c>
      <c r="F11" s="42">
        <f t="shared" si="1"/>
        <v>35582.92</v>
      </c>
    </row>
    <row r="12" spans="1:6" x14ac:dyDescent="0.3">
      <c r="A12" s="165">
        <v>93</v>
      </c>
      <c r="B12" s="166">
        <v>90</v>
      </c>
      <c r="C12" s="167">
        <v>75</v>
      </c>
      <c r="D12" s="168">
        <f t="shared" si="0"/>
        <v>200000</v>
      </c>
      <c r="E12" s="169" t="s">
        <v>706</v>
      </c>
      <c r="F12" s="42">
        <f t="shared" si="1"/>
        <v>200000</v>
      </c>
    </row>
    <row r="13" spans="1:6" x14ac:dyDescent="0.3">
      <c r="A13" s="165">
        <v>93</v>
      </c>
      <c r="B13" s="166">
        <v>95</v>
      </c>
      <c r="C13" s="167">
        <v>75</v>
      </c>
      <c r="D13" s="168">
        <f t="shared" si="0"/>
        <v>35699.805</v>
      </c>
      <c r="E13" s="169">
        <v>356.99805000000003</v>
      </c>
      <c r="F13" s="42">
        <f t="shared" si="1"/>
        <v>35699.805</v>
      </c>
    </row>
    <row r="14" spans="1:6" x14ac:dyDescent="0.3">
      <c r="A14" s="165">
        <v>93</v>
      </c>
      <c r="B14" s="166">
        <v>36</v>
      </c>
      <c r="C14" s="167">
        <v>75</v>
      </c>
      <c r="D14" s="168">
        <f t="shared" si="0"/>
        <v>35704.995000000003</v>
      </c>
      <c r="E14" s="169">
        <v>357.04995000000002</v>
      </c>
      <c r="F14" s="42">
        <f t="shared" si="1"/>
        <v>35704.995000000003</v>
      </c>
    </row>
    <row r="15" spans="1:6" x14ac:dyDescent="0.3">
      <c r="A15" s="165">
        <v>93</v>
      </c>
      <c r="B15" s="166">
        <v>91</v>
      </c>
      <c r="C15" s="167">
        <v>75</v>
      </c>
      <c r="D15" s="168">
        <f t="shared" si="0"/>
        <v>35805.919999999998</v>
      </c>
      <c r="E15" s="169">
        <v>358.05919999999998</v>
      </c>
      <c r="F15" s="42">
        <f t="shared" si="1"/>
        <v>35805.919999999998</v>
      </c>
    </row>
    <row r="16" spans="1:6" x14ac:dyDescent="0.3">
      <c r="A16" s="165">
        <v>93</v>
      </c>
      <c r="B16" s="166">
        <v>100</v>
      </c>
      <c r="C16" s="167">
        <v>75</v>
      </c>
      <c r="D16" s="168">
        <f t="shared" si="0"/>
        <v>35873.445</v>
      </c>
      <c r="E16" s="169">
        <v>358.73444999999998</v>
      </c>
      <c r="F16" s="42">
        <f t="shared" si="1"/>
        <v>35873.445</v>
      </c>
    </row>
    <row r="17" spans="1:6" x14ac:dyDescent="0.3">
      <c r="A17" s="165">
        <v>94</v>
      </c>
      <c r="B17" s="166">
        <v>3</v>
      </c>
      <c r="C17" s="167">
        <v>75</v>
      </c>
      <c r="D17" s="168">
        <f t="shared" si="0"/>
        <v>27803.970000000005</v>
      </c>
      <c r="E17" s="169">
        <v>278.03970000000004</v>
      </c>
      <c r="F17" s="42">
        <f t="shared" si="1"/>
        <v>27803.970000000005</v>
      </c>
    </row>
    <row r="18" spans="1:6" x14ac:dyDescent="0.3">
      <c r="A18" s="165">
        <v>95</v>
      </c>
      <c r="B18" s="166">
        <v>56</v>
      </c>
      <c r="C18" s="167">
        <v>75</v>
      </c>
      <c r="D18" s="168">
        <f t="shared" si="0"/>
        <v>40070.695</v>
      </c>
      <c r="E18" s="169">
        <v>400.70695000000001</v>
      </c>
      <c r="F18" s="42">
        <f t="shared" si="1"/>
        <v>40070.695</v>
      </c>
    </row>
    <row r="19" spans="1:6" x14ac:dyDescent="0.3">
      <c r="A19" s="165">
        <v>95</v>
      </c>
      <c r="B19" s="166">
        <v>84</v>
      </c>
      <c r="C19" s="167">
        <v>75</v>
      </c>
      <c r="D19" s="168">
        <f t="shared" si="0"/>
        <v>200000</v>
      </c>
      <c r="E19" s="169" t="s">
        <v>706</v>
      </c>
      <c r="F19" s="42">
        <f t="shared" si="1"/>
        <v>200000</v>
      </c>
    </row>
    <row r="20" spans="1:6" x14ac:dyDescent="0.3">
      <c r="A20" s="165">
        <v>103</v>
      </c>
      <c r="B20" s="166">
        <v>185</v>
      </c>
      <c r="C20" s="167">
        <v>75</v>
      </c>
      <c r="D20" s="168">
        <f t="shared" si="0"/>
        <v>32878.409999999996</v>
      </c>
      <c r="E20" s="169">
        <v>328.78409999999997</v>
      </c>
      <c r="F20" s="42">
        <f t="shared" si="1"/>
        <v>32878.409999999996</v>
      </c>
    </row>
    <row r="21" spans="1:6" x14ac:dyDescent="0.3">
      <c r="A21" s="165">
        <v>103</v>
      </c>
      <c r="B21" s="166">
        <v>187</v>
      </c>
      <c r="C21" s="167">
        <v>75</v>
      </c>
      <c r="D21" s="168">
        <f t="shared" si="0"/>
        <v>32729.805</v>
      </c>
      <c r="E21" s="169">
        <v>327.29804999999999</v>
      </c>
      <c r="F21" s="42">
        <f t="shared" si="1"/>
        <v>32729.805</v>
      </c>
    </row>
    <row r="22" spans="1:6" x14ac:dyDescent="0.3">
      <c r="A22" s="165">
        <v>103</v>
      </c>
      <c r="B22" s="166">
        <v>193</v>
      </c>
      <c r="C22" s="167">
        <v>75</v>
      </c>
      <c r="D22" s="168">
        <f t="shared" si="0"/>
        <v>33770.315000000002</v>
      </c>
      <c r="E22" s="169">
        <v>337.70315000000005</v>
      </c>
      <c r="F22" s="42">
        <f t="shared" si="1"/>
        <v>33770.315000000002</v>
      </c>
    </row>
    <row r="23" spans="1:6" x14ac:dyDescent="0.3">
      <c r="A23" s="165">
        <v>103</v>
      </c>
      <c r="B23" s="166">
        <v>194</v>
      </c>
      <c r="C23" s="167">
        <v>75</v>
      </c>
      <c r="D23" s="168">
        <f t="shared" si="0"/>
        <v>34448.06</v>
      </c>
      <c r="E23" s="169">
        <v>344.48059999999998</v>
      </c>
      <c r="F23" s="42">
        <f t="shared" si="1"/>
        <v>34448.06</v>
      </c>
    </row>
    <row r="24" spans="1:6" x14ac:dyDescent="0.3">
      <c r="A24" s="165">
        <v>103</v>
      </c>
      <c r="B24" s="166">
        <v>199</v>
      </c>
      <c r="C24" s="167">
        <v>75</v>
      </c>
      <c r="D24" s="168">
        <f t="shared" si="0"/>
        <v>200000</v>
      </c>
      <c r="E24" t="s">
        <v>706</v>
      </c>
      <c r="F24" s="42">
        <f t="shared" si="1"/>
        <v>200000</v>
      </c>
    </row>
    <row r="25" spans="1:6" x14ac:dyDescent="0.3">
      <c r="A25" s="165">
        <v>103</v>
      </c>
      <c r="B25" s="166">
        <v>202</v>
      </c>
      <c r="C25" s="167">
        <v>75</v>
      </c>
      <c r="D25" s="168">
        <f t="shared" si="0"/>
        <v>33041.644999999997</v>
      </c>
      <c r="E25">
        <v>330.41645</v>
      </c>
      <c r="F25" s="42">
        <f t="shared" si="1"/>
        <v>33041.644999999997</v>
      </c>
    </row>
    <row r="26" spans="1:6" x14ac:dyDescent="0.3">
      <c r="A26" s="165">
        <v>104</v>
      </c>
      <c r="B26" s="166">
        <v>33</v>
      </c>
      <c r="C26" s="167">
        <v>75</v>
      </c>
      <c r="D26" s="168">
        <f t="shared" si="0"/>
        <v>51333.5</v>
      </c>
      <c r="E26">
        <v>513.33500000000004</v>
      </c>
      <c r="F26" s="42">
        <f t="shared" si="1"/>
        <v>51333.5</v>
      </c>
    </row>
    <row r="27" spans="1:6" x14ac:dyDescent="0.3">
      <c r="A27" s="165">
        <v>104</v>
      </c>
      <c r="B27" s="166">
        <v>41</v>
      </c>
      <c r="C27" s="167">
        <v>75</v>
      </c>
      <c r="D27" s="168">
        <f t="shared" si="0"/>
        <v>51333.5</v>
      </c>
      <c r="E27">
        <v>513.33500000000004</v>
      </c>
      <c r="F27" s="42">
        <f t="shared" si="1"/>
        <v>51333.5</v>
      </c>
    </row>
    <row r="28" spans="1:6" x14ac:dyDescent="0.3">
      <c r="A28" s="165">
        <v>105</v>
      </c>
      <c r="B28" s="166">
        <v>84</v>
      </c>
      <c r="C28" s="167">
        <v>75</v>
      </c>
      <c r="D28" s="168">
        <f t="shared" si="0"/>
        <v>52097.894999999997</v>
      </c>
      <c r="E28">
        <v>520.97894999999994</v>
      </c>
      <c r="F28" s="42">
        <f t="shared" si="1"/>
        <v>52097.894999999997</v>
      </c>
    </row>
    <row r="29" spans="1:6" x14ac:dyDescent="0.3">
      <c r="A29" s="165">
        <v>105</v>
      </c>
      <c r="B29" s="166">
        <v>95</v>
      </c>
      <c r="C29" s="167">
        <v>75</v>
      </c>
      <c r="D29" s="168">
        <f t="shared" si="0"/>
        <v>49751.535000000003</v>
      </c>
      <c r="E29">
        <v>497.51535000000007</v>
      </c>
      <c r="F29" s="42">
        <f t="shared" si="1"/>
        <v>49751.535000000003</v>
      </c>
    </row>
    <row r="30" spans="1:6" x14ac:dyDescent="0.3">
      <c r="A30" s="165">
        <v>123</v>
      </c>
      <c r="B30" s="166">
        <v>69</v>
      </c>
      <c r="C30" s="167">
        <v>75</v>
      </c>
      <c r="D30" s="168">
        <f t="shared" si="0"/>
        <v>28836.63</v>
      </c>
      <c r="E30">
        <v>288.36630000000002</v>
      </c>
      <c r="F30" s="42">
        <f t="shared" si="1"/>
        <v>28836.63</v>
      </c>
    </row>
    <row r="31" spans="1:6" x14ac:dyDescent="0.3">
      <c r="A31" s="165">
        <v>123</v>
      </c>
      <c r="B31" s="166">
        <v>75</v>
      </c>
      <c r="C31" s="167">
        <v>75</v>
      </c>
      <c r="D31" s="168">
        <f t="shared" si="0"/>
        <v>36754.425000000003</v>
      </c>
      <c r="E31">
        <v>367.54425000000003</v>
      </c>
      <c r="F31" s="42">
        <f t="shared" si="1"/>
        <v>36754.425000000003</v>
      </c>
    </row>
    <row r="32" spans="1:6" x14ac:dyDescent="0.3">
      <c r="A32" s="165">
        <v>123</v>
      </c>
      <c r="B32" s="166">
        <v>68</v>
      </c>
      <c r="C32" s="167">
        <v>75</v>
      </c>
      <c r="D32" s="168">
        <f t="shared" si="0"/>
        <v>200000</v>
      </c>
      <c r="E32" t="s">
        <v>706</v>
      </c>
      <c r="F32" s="42">
        <f t="shared" si="1"/>
        <v>200000</v>
      </c>
    </row>
    <row r="33" spans="1:6" x14ac:dyDescent="0.3">
      <c r="A33" s="165">
        <v>123</v>
      </c>
      <c r="B33" s="166">
        <v>36</v>
      </c>
      <c r="C33" s="167">
        <v>75</v>
      </c>
      <c r="D33" s="168">
        <f t="shared" si="0"/>
        <v>24666.505000000001</v>
      </c>
      <c r="E33">
        <v>246.66505000000001</v>
      </c>
      <c r="F33" s="42">
        <f t="shared" si="1"/>
        <v>24666.505000000001</v>
      </c>
    </row>
    <row r="34" spans="1:6" x14ac:dyDescent="0.3">
      <c r="A34" s="165">
        <v>123</v>
      </c>
      <c r="B34" s="166">
        <v>70</v>
      </c>
      <c r="C34" s="167">
        <v>75</v>
      </c>
      <c r="D34" s="168">
        <f t="shared" si="0"/>
        <v>26912.77</v>
      </c>
      <c r="E34">
        <v>269.1277</v>
      </c>
      <c r="F34" s="42">
        <f t="shared" si="1"/>
        <v>26912.77</v>
      </c>
    </row>
    <row r="35" spans="1:6" x14ac:dyDescent="0.3">
      <c r="A35" s="165">
        <v>124</v>
      </c>
      <c r="B35" s="166">
        <v>32</v>
      </c>
      <c r="C35" s="167">
        <v>75</v>
      </c>
      <c r="D35" s="168">
        <f t="shared" si="0"/>
        <v>200000</v>
      </c>
      <c r="E35" t="s">
        <v>706</v>
      </c>
      <c r="F35" s="42">
        <f t="shared" si="1"/>
        <v>200000</v>
      </c>
    </row>
    <row r="36" spans="1:6" x14ac:dyDescent="0.3">
      <c r="A36" s="165">
        <v>124</v>
      </c>
      <c r="B36" s="166">
        <v>2</v>
      </c>
      <c r="C36" s="167">
        <v>75</v>
      </c>
      <c r="D36" s="168">
        <f t="shared" si="0"/>
        <v>40537.58</v>
      </c>
      <c r="E36">
        <v>405.37580000000003</v>
      </c>
      <c r="F36" s="42">
        <f t="shared" si="1"/>
        <v>40537.58</v>
      </c>
    </row>
    <row r="37" spans="1:6" x14ac:dyDescent="0.3">
      <c r="A37" s="165">
        <v>124</v>
      </c>
      <c r="B37" s="166">
        <v>49</v>
      </c>
      <c r="C37" s="167">
        <v>75</v>
      </c>
      <c r="D37" s="168">
        <f t="shared" si="0"/>
        <v>28952.535</v>
      </c>
      <c r="E37">
        <v>289.52535</v>
      </c>
      <c r="F37" s="42">
        <f t="shared" si="1"/>
        <v>28952.535</v>
      </c>
    </row>
    <row r="38" spans="1:6" x14ac:dyDescent="0.3">
      <c r="A38" s="165">
        <v>124</v>
      </c>
      <c r="B38" s="166">
        <v>39</v>
      </c>
      <c r="C38" s="167">
        <v>75</v>
      </c>
      <c r="D38" s="168">
        <f t="shared" si="0"/>
        <v>32925.955000000002</v>
      </c>
      <c r="E38">
        <v>329.25955000000005</v>
      </c>
      <c r="F38" s="42">
        <f t="shared" si="1"/>
        <v>32925.955000000002</v>
      </c>
    </row>
    <row r="39" spans="1:6" x14ac:dyDescent="0.3">
      <c r="A39" s="165">
        <v>125</v>
      </c>
      <c r="B39" s="166">
        <v>25</v>
      </c>
      <c r="C39" s="167">
        <v>75</v>
      </c>
      <c r="D39" s="168">
        <f t="shared" si="0"/>
        <v>200000</v>
      </c>
      <c r="E39" t="s">
        <v>706</v>
      </c>
      <c r="F39" s="42">
        <f t="shared" si="1"/>
        <v>200000</v>
      </c>
    </row>
    <row r="40" spans="1:6" x14ac:dyDescent="0.3">
      <c r="A40" s="165">
        <v>125</v>
      </c>
      <c r="B40" s="166">
        <v>58</v>
      </c>
      <c r="C40" s="167">
        <v>75</v>
      </c>
      <c r="D40" s="168">
        <f t="shared" si="0"/>
        <v>27577.125</v>
      </c>
      <c r="E40">
        <v>275.77125000000001</v>
      </c>
      <c r="F40" s="42">
        <f t="shared" si="1"/>
        <v>27577.125</v>
      </c>
    </row>
    <row r="41" spans="1:6" x14ac:dyDescent="0.3">
      <c r="A41" s="165">
        <v>125</v>
      </c>
      <c r="B41" s="166">
        <v>28</v>
      </c>
      <c r="C41" s="167">
        <v>75</v>
      </c>
      <c r="D41" s="168">
        <f t="shared" si="0"/>
        <v>26849.464999999997</v>
      </c>
      <c r="E41">
        <v>268.49464999999998</v>
      </c>
      <c r="F41" s="42">
        <f t="shared" si="1"/>
        <v>26849.464999999997</v>
      </c>
    </row>
    <row r="42" spans="1:6" x14ac:dyDescent="0.3">
      <c r="A42" s="165">
        <v>125</v>
      </c>
      <c r="B42" s="166">
        <v>55</v>
      </c>
      <c r="C42" s="167">
        <v>75</v>
      </c>
      <c r="D42" s="168">
        <f t="shared" si="0"/>
        <v>30943.515000000003</v>
      </c>
      <c r="E42">
        <v>309.43515000000002</v>
      </c>
      <c r="F42" s="42">
        <f t="shared" si="1"/>
        <v>30943.515000000003</v>
      </c>
    </row>
    <row r="43" spans="1:6" x14ac:dyDescent="0.3">
      <c r="A43" s="165">
        <v>126</v>
      </c>
      <c r="B43" s="166">
        <v>41</v>
      </c>
      <c r="C43" s="167">
        <v>75</v>
      </c>
      <c r="D43" s="168">
        <f t="shared" si="0"/>
        <v>45660.47</v>
      </c>
      <c r="E43">
        <v>456.60470000000004</v>
      </c>
      <c r="F43" s="42">
        <f t="shared" si="1"/>
        <v>45660.47</v>
      </c>
    </row>
    <row r="44" spans="1:6" x14ac:dyDescent="0.3">
      <c r="A44" s="165">
        <v>126</v>
      </c>
      <c r="B44" s="166">
        <v>1</v>
      </c>
      <c r="C44" s="167">
        <v>75</v>
      </c>
      <c r="D44" s="168">
        <f t="shared" si="0"/>
        <v>200000</v>
      </c>
      <c r="E44" t="s">
        <v>706</v>
      </c>
      <c r="F44" s="42">
        <f t="shared" si="1"/>
        <v>200000</v>
      </c>
    </row>
    <row r="45" spans="1:6" x14ac:dyDescent="0.3">
      <c r="A45" s="165">
        <v>127</v>
      </c>
      <c r="B45" s="166">
        <v>70</v>
      </c>
      <c r="C45" s="167">
        <v>75</v>
      </c>
      <c r="D45" s="168">
        <f t="shared" si="0"/>
        <v>200000</v>
      </c>
      <c r="E45" t="s">
        <v>706</v>
      </c>
      <c r="F45" s="42">
        <f t="shared" si="1"/>
        <v>200000</v>
      </c>
    </row>
    <row r="46" spans="1:6" x14ac:dyDescent="0.3">
      <c r="A46" s="165">
        <v>127</v>
      </c>
      <c r="B46" s="166">
        <v>80</v>
      </c>
      <c r="C46" s="167">
        <v>75</v>
      </c>
      <c r="D46" s="168">
        <f t="shared" si="0"/>
        <v>34816.51</v>
      </c>
      <c r="E46">
        <v>348.16510000000005</v>
      </c>
      <c r="F46" s="42">
        <f t="shared" si="1"/>
        <v>34816.51</v>
      </c>
    </row>
    <row r="47" spans="1:6" x14ac:dyDescent="0.3">
      <c r="A47" s="165">
        <v>139</v>
      </c>
      <c r="B47" s="166">
        <v>28</v>
      </c>
      <c r="C47" s="167">
        <v>75</v>
      </c>
      <c r="D47" s="168">
        <f t="shared" si="0"/>
        <v>51954.17</v>
      </c>
      <c r="E47">
        <v>519.54169999999999</v>
      </c>
      <c r="F47" s="42">
        <f t="shared" si="1"/>
        <v>51954.17</v>
      </c>
    </row>
    <row r="48" spans="1:6" x14ac:dyDescent="0.3">
      <c r="A48" s="165">
        <v>144</v>
      </c>
      <c r="B48" s="166">
        <v>81</v>
      </c>
      <c r="C48" s="167">
        <v>75</v>
      </c>
      <c r="D48" s="168">
        <f t="shared" si="0"/>
        <v>33372.089999999997</v>
      </c>
      <c r="E48">
        <v>333.72089999999997</v>
      </c>
      <c r="F48" s="42">
        <f t="shared" si="1"/>
        <v>33372.089999999997</v>
      </c>
    </row>
    <row r="49" spans="1:6" x14ac:dyDescent="0.3">
      <c r="A49" s="165">
        <v>154</v>
      </c>
      <c r="B49" s="166">
        <v>45</v>
      </c>
      <c r="C49" s="167">
        <v>75</v>
      </c>
      <c r="D49" s="168">
        <f t="shared" si="0"/>
        <v>37461.01</v>
      </c>
      <c r="E49">
        <v>374.61010000000005</v>
      </c>
      <c r="F49" s="42">
        <f t="shared" si="1"/>
        <v>37461.01</v>
      </c>
    </row>
    <row r="50" spans="1:6" x14ac:dyDescent="0.3">
      <c r="A50" s="165">
        <v>154</v>
      </c>
      <c r="B50" s="166">
        <v>28</v>
      </c>
      <c r="C50" s="167">
        <v>75</v>
      </c>
      <c r="D50" s="168">
        <f t="shared" si="0"/>
        <v>38161.425000000003</v>
      </c>
      <c r="E50">
        <v>381.61425000000003</v>
      </c>
      <c r="F50" s="42">
        <f t="shared" si="1"/>
        <v>38161.425000000003</v>
      </c>
    </row>
    <row r="51" spans="1:6" x14ac:dyDescent="0.3">
      <c r="A51" s="165">
        <v>154</v>
      </c>
      <c r="B51" s="166">
        <v>42</v>
      </c>
      <c r="C51" s="167">
        <v>75</v>
      </c>
      <c r="D51" s="168">
        <f t="shared" si="0"/>
        <v>39218.485000000001</v>
      </c>
      <c r="E51">
        <v>392.18485000000004</v>
      </c>
      <c r="F51" s="42">
        <f t="shared" si="1"/>
        <v>39218.485000000001</v>
      </c>
    </row>
    <row r="52" spans="1:6" x14ac:dyDescent="0.3">
      <c r="A52" s="165">
        <v>156</v>
      </c>
      <c r="B52" s="166">
        <v>76</v>
      </c>
      <c r="C52" s="167">
        <v>75</v>
      </c>
      <c r="D52" s="168">
        <f t="shared" si="0"/>
        <v>39057.759999999995</v>
      </c>
      <c r="E52">
        <v>390.57759999999996</v>
      </c>
      <c r="F52" s="42">
        <f t="shared" si="1"/>
        <v>39057.759999999995</v>
      </c>
    </row>
    <row r="53" spans="1:6" x14ac:dyDescent="0.3">
      <c r="A53" s="165">
        <v>156</v>
      </c>
      <c r="B53" s="166">
        <v>67</v>
      </c>
      <c r="C53" s="167">
        <v>75</v>
      </c>
      <c r="D53" s="168">
        <f t="shared" si="0"/>
        <v>40184.92</v>
      </c>
      <c r="E53">
        <v>401.8492</v>
      </c>
      <c r="F53" s="42">
        <f t="shared" si="1"/>
        <v>40184.92</v>
      </c>
    </row>
    <row r="54" spans="1:6" x14ac:dyDescent="0.3">
      <c r="A54" s="165">
        <v>156</v>
      </c>
      <c r="B54" s="166">
        <v>79</v>
      </c>
      <c r="C54" s="167">
        <v>75</v>
      </c>
      <c r="D54" s="168">
        <f t="shared" si="0"/>
        <v>39319.829999999994</v>
      </c>
      <c r="E54">
        <v>393.19829999999996</v>
      </c>
      <c r="F54" s="42">
        <f t="shared" si="1"/>
        <v>39319.829999999994</v>
      </c>
    </row>
    <row r="55" spans="1:6" x14ac:dyDescent="0.3">
      <c r="A55" s="165">
        <v>156</v>
      </c>
      <c r="B55" s="166">
        <v>75</v>
      </c>
      <c r="C55" s="167">
        <v>75</v>
      </c>
      <c r="D55" s="168">
        <f t="shared" si="0"/>
        <v>200000</v>
      </c>
      <c r="E55" t="s">
        <v>706</v>
      </c>
      <c r="F55" s="42">
        <f t="shared" si="1"/>
        <v>200000</v>
      </c>
    </row>
    <row r="56" spans="1:6" x14ac:dyDescent="0.3">
      <c r="A56" s="165">
        <v>157</v>
      </c>
      <c r="B56" s="166">
        <v>14</v>
      </c>
      <c r="C56" s="167">
        <v>75</v>
      </c>
      <c r="D56" s="168">
        <f t="shared" si="0"/>
        <v>38136.525000000001</v>
      </c>
      <c r="E56">
        <v>381.36525</v>
      </c>
      <c r="F56" s="42">
        <f t="shared" si="1"/>
        <v>38136.525000000001</v>
      </c>
    </row>
    <row r="57" spans="1:6" x14ac:dyDescent="0.3">
      <c r="A57" s="165">
        <v>157</v>
      </c>
      <c r="B57" s="166">
        <v>33</v>
      </c>
      <c r="C57" s="167">
        <v>75</v>
      </c>
      <c r="D57" s="168">
        <f t="shared" si="0"/>
        <v>200000</v>
      </c>
      <c r="E57" t="s">
        <v>706</v>
      </c>
      <c r="F57" s="42">
        <f t="shared" si="1"/>
        <v>200000</v>
      </c>
    </row>
    <row r="58" spans="1:6" x14ac:dyDescent="0.3">
      <c r="A58" s="165">
        <v>157</v>
      </c>
      <c r="B58" s="166">
        <v>43</v>
      </c>
      <c r="C58" s="167">
        <v>75</v>
      </c>
      <c r="D58" s="168">
        <f t="shared" si="0"/>
        <v>26702.605</v>
      </c>
      <c r="E58">
        <v>267.02605</v>
      </c>
      <c r="F58" s="42">
        <f t="shared" si="1"/>
        <v>26702.605</v>
      </c>
    </row>
    <row r="59" spans="1:6" x14ac:dyDescent="0.3">
      <c r="A59" s="165">
        <v>157</v>
      </c>
      <c r="B59" s="166">
        <v>45</v>
      </c>
      <c r="C59" s="167">
        <v>75</v>
      </c>
      <c r="D59" s="168">
        <f t="shared" si="0"/>
        <v>28240.050000000003</v>
      </c>
      <c r="E59">
        <v>282.40050000000002</v>
      </c>
      <c r="F59" s="42">
        <f t="shared" si="1"/>
        <v>28240.050000000003</v>
      </c>
    </row>
    <row r="60" spans="1:6" x14ac:dyDescent="0.3">
      <c r="A60" s="165">
        <v>161</v>
      </c>
      <c r="B60" s="166">
        <v>51</v>
      </c>
      <c r="C60" s="167">
        <v>75</v>
      </c>
      <c r="D60" s="168">
        <f t="shared" si="0"/>
        <v>38322.514999999999</v>
      </c>
      <c r="E60">
        <v>383.22514999999999</v>
      </c>
      <c r="F60" s="42">
        <f t="shared" si="1"/>
        <v>38322.514999999999</v>
      </c>
    </row>
    <row r="61" spans="1:6" x14ac:dyDescent="0.3">
      <c r="A61" s="165">
        <v>161</v>
      </c>
      <c r="B61" s="166">
        <v>49</v>
      </c>
      <c r="C61" s="167">
        <v>75</v>
      </c>
      <c r="D61" s="168">
        <f t="shared" si="0"/>
        <v>37265.985000000001</v>
      </c>
      <c r="E61">
        <v>372.65985000000001</v>
      </c>
      <c r="F61" s="42">
        <f t="shared" si="1"/>
        <v>37265.985000000001</v>
      </c>
    </row>
    <row r="62" spans="1:6" x14ac:dyDescent="0.3">
      <c r="A62" s="165">
        <v>169</v>
      </c>
      <c r="B62" s="166">
        <v>16</v>
      </c>
      <c r="C62" s="167">
        <v>75</v>
      </c>
      <c r="D62" s="168">
        <f t="shared" si="0"/>
        <v>200000</v>
      </c>
      <c r="E62" t="s">
        <v>706</v>
      </c>
      <c r="F62" s="42">
        <f t="shared" si="1"/>
        <v>200000</v>
      </c>
    </row>
    <row r="63" spans="1:6" x14ac:dyDescent="0.3">
      <c r="A63" s="165">
        <v>169</v>
      </c>
      <c r="B63" s="166">
        <v>7</v>
      </c>
      <c r="C63" s="167">
        <v>75</v>
      </c>
      <c r="D63" s="168">
        <f t="shared" si="0"/>
        <v>34271.095000000001</v>
      </c>
      <c r="E63">
        <v>342.71095000000003</v>
      </c>
      <c r="F63" s="42">
        <f t="shared" si="1"/>
        <v>34271.095000000001</v>
      </c>
    </row>
    <row r="64" spans="1:6" x14ac:dyDescent="0.3">
      <c r="A64" s="165">
        <v>169</v>
      </c>
      <c r="B64" s="166">
        <v>37</v>
      </c>
      <c r="C64" s="167">
        <v>75</v>
      </c>
      <c r="D64" s="168">
        <f t="shared" si="0"/>
        <v>35421.019999999997</v>
      </c>
      <c r="E64">
        <v>354.21019999999999</v>
      </c>
      <c r="F64" s="42">
        <f t="shared" si="1"/>
        <v>35421.019999999997</v>
      </c>
    </row>
    <row r="65" spans="1:6" x14ac:dyDescent="0.3">
      <c r="A65" s="165">
        <v>169</v>
      </c>
      <c r="B65" s="166">
        <v>1</v>
      </c>
      <c r="C65" s="167">
        <v>75</v>
      </c>
      <c r="D65" s="168">
        <f t="shared" si="0"/>
        <v>39137.910000000003</v>
      </c>
      <c r="E65">
        <v>391.37910000000005</v>
      </c>
      <c r="F65" s="42">
        <f t="shared" si="1"/>
        <v>39137.910000000003</v>
      </c>
    </row>
    <row r="66" spans="1:6" x14ac:dyDescent="0.3">
      <c r="A66" s="165">
        <v>173</v>
      </c>
      <c r="B66" s="166">
        <v>26</v>
      </c>
      <c r="C66" s="167">
        <v>75</v>
      </c>
      <c r="D66" s="168">
        <f t="shared" si="0"/>
        <v>32945.504999999997</v>
      </c>
      <c r="E66">
        <v>329.45504999999997</v>
      </c>
      <c r="F66" s="42">
        <f t="shared" si="1"/>
        <v>32945.504999999997</v>
      </c>
    </row>
    <row r="67" spans="1:6" x14ac:dyDescent="0.3">
      <c r="A67" s="165">
        <v>175</v>
      </c>
      <c r="B67" s="166">
        <v>11</v>
      </c>
      <c r="C67" s="167">
        <v>75</v>
      </c>
      <c r="D67" s="168">
        <f t="shared" si="0"/>
        <v>47514.310000000005</v>
      </c>
      <c r="E67">
        <v>475.14310000000006</v>
      </c>
      <c r="F67" s="42">
        <f t="shared" si="1"/>
        <v>47514.310000000005</v>
      </c>
    </row>
    <row r="68" spans="1:6" x14ac:dyDescent="0.3">
      <c r="A68" s="165">
        <v>179</v>
      </c>
      <c r="B68" s="166">
        <v>2</v>
      </c>
      <c r="C68" s="167">
        <v>75</v>
      </c>
      <c r="D68" s="168">
        <f t="shared" si="0"/>
        <v>42482.77</v>
      </c>
      <c r="E68">
        <v>424.82769999999999</v>
      </c>
      <c r="F68" s="42">
        <f t="shared" si="1"/>
        <v>42482.77</v>
      </c>
    </row>
    <row r="69" spans="1:6" x14ac:dyDescent="0.3">
      <c r="A69" s="165">
        <v>179</v>
      </c>
      <c r="B69" s="166">
        <v>3</v>
      </c>
      <c r="C69" s="167">
        <v>75</v>
      </c>
      <c r="D69" s="168">
        <f t="shared" si="0"/>
        <v>52010.964999999997</v>
      </c>
      <c r="E69">
        <v>520.10964999999999</v>
      </c>
      <c r="F69" s="42">
        <f t="shared" si="1"/>
        <v>52010.964999999997</v>
      </c>
    </row>
    <row r="70" spans="1:6" x14ac:dyDescent="0.3">
      <c r="A70" s="165">
        <v>179</v>
      </c>
      <c r="B70" s="166">
        <v>16</v>
      </c>
      <c r="C70" s="167">
        <v>75</v>
      </c>
      <c r="D70" s="168">
        <f t="shared" ref="D70:D80" si="2">F70</f>
        <v>43967.684999999998</v>
      </c>
      <c r="E70">
        <v>439.67685</v>
      </c>
      <c r="F70" s="42">
        <f t="shared" ref="F70:F80" si="3">E70*100</f>
        <v>43967.684999999998</v>
      </c>
    </row>
    <row r="71" spans="1:6" x14ac:dyDescent="0.3">
      <c r="A71" s="165">
        <v>179</v>
      </c>
      <c r="B71" s="166">
        <v>18</v>
      </c>
      <c r="C71" s="167">
        <v>75</v>
      </c>
      <c r="D71" s="168">
        <f t="shared" si="2"/>
        <v>41841.214999999997</v>
      </c>
      <c r="E71">
        <v>418.41215</v>
      </c>
      <c r="F71" s="42">
        <f t="shared" si="3"/>
        <v>41841.214999999997</v>
      </c>
    </row>
    <row r="72" spans="1:6" x14ac:dyDescent="0.3">
      <c r="A72" s="165">
        <v>181</v>
      </c>
      <c r="B72" s="166">
        <v>2</v>
      </c>
      <c r="C72" s="167">
        <v>75</v>
      </c>
      <c r="D72" s="168">
        <f t="shared" si="2"/>
        <v>65135.894999999997</v>
      </c>
      <c r="E72">
        <v>651.35894999999994</v>
      </c>
      <c r="F72" s="42">
        <f t="shared" si="3"/>
        <v>65135.894999999997</v>
      </c>
    </row>
    <row r="73" spans="1:6" x14ac:dyDescent="0.3">
      <c r="A73" s="165">
        <v>181</v>
      </c>
      <c r="B73" s="166">
        <v>16</v>
      </c>
      <c r="C73" s="167">
        <v>75</v>
      </c>
      <c r="D73" s="168">
        <f t="shared" si="2"/>
        <v>64591.57</v>
      </c>
      <c r="E73">
        <v>645.91570000000002</v>
      </c>
      <c r="F73" s="42">
        <f t="shared" si="3"/>
        <v>64591.57</v>
      </c>
    </row>
    <row r="74" spans="1:6" x14ac:dyDescent="0.3">
      <c r="A74" s="165">
        <v>181</v>
      </c>
      <c r="B74" s="166">
        <v>1</v>
      </c>
      <c r="C74" s="167">
        <v>75</v>
      </c>
      <c r="D74" s="168">
        <f t="shared" si="2"/>
        <v>71955.34</v>
      </c>
      <c r="E74">
        <v>719.55340000000001</v>
      </c>
      <c r="F74" s="42">
        <f t="shared" si="3"/>
        <v>71955.34</v>
      </c>
    </row>
    <row r="75" spans="1:6" x14ac:dyDescent="0.3">
      <c r="A75" s="165">
        <v>181</v>
      </c>
      <c r="B75" s="166">
        <v>13</v>
      </c>
      <c r="C75" s="167">
        <v>75</v>
      </c>
      <c r="D75" s="168">
        <f t="shared" si="2"/>
        <v>61720.385000000002</v>
      </c>
      <c r="E75">
        <v>617.20384999999999</v>
      </c>
      <c r="F75" s="42">
        <f t="shared" si="3"/>
        <v>61720.385000000002</v>
      </c>
    </row>
    <row r="76" spans="1:6" x14ac:dyDescent="0.3">
      <c r="A76" s="165">
        <v>183</v>
      </c>
      <c r="B76" s="166">
        <v>15</v>
      </c>
      <c r="C76" s="167">
        <v>75</v>
      </c>
      <c r="D76" s="168">
        <f t="shared" si="2"/>
        <v>41203.184999999998</v>
      </c>
      <c r="E76">
        <v>412.03184999999996</v>
      </c>
      <c r="F76" s="42">
        <f t="shared" si="3"/>
        <v>41203.184999999998</v>
      </c>
    </row>
    <row r="77" spans="1:6" x14ac:dyDescent="0.3">
      <c r="A77" s="165">
        <v>200</v>
      </c>
      <c r="B77" s="166">
        <v>129</v>
      </c>
      <c r="C77" s="167">
        <v>75</v>
      </c>
      <c r="D77" s="168">
        <f t="shared" si="2"/>
        <v>24002.83</v>
      </c>
      <c r="E77">
        <v>240.02830000000003</v>
      </c>
      <c r="F77" s="42">
        <f t="shared" si="3"/>
        <v>24002.83</v>
      </c>
    </row>
    <row r="78" spans="1:6" x14ac:dyDescent="0.3">
      <c r="A78" s="165">
        <v>200</v>
      </c>
      <c r="B78" s="166">
        <v>132</v>
      </c>
      <c r="C78" s="167">
        <v>75</v>
      </c>
      <c r="D78" s="168">
        <f t="shared" si="2"/>
        <v>26856.274999999998</v>
      </c>
      <c r="E78">
        <v>268.56274999999999</v>
      </c>
      <c r="F78" s="42">
        <f t="shared" si="3"/>
        <v>26856.274999999998</v>
      </c>
    </row>
    <row r="79" spans="1:6" x14ac:dyDescent="0.3">
      <c r="A79" s="165">
        <v>200</v>
      </c>
      <c r="B79" s="166">
        <v>74</v>
      </c>
      <c r="C79" s="167">
        <v>75</v>
      </c>
      <c r="D79" s="168">
        <f t="shared" si="2"/>
        <v>29311.585000000003</v>
      </c>
      <c r="E79">
        <v>293.11585000000002</v>
      </c>
      <c r="F79" s="42">
        <f t="shared" si="3"/>
        <v>29311.585000000003</v>
      </c>
    </row>
    <row r="80" spans="1:6" x14ac:dyDescent="0.3">
      <c r="A80" s="165">
        <v>200</v>
      </c>
      <c r="B80" s="166">
        <v>128</v>
      </c>
      <c r="C80" s="167">
        <v>75</v>
      </c>
      <c r="D80" s="168">
        <f t="shared" si="2"/>
        <v>200000</v>
      </c>
      <c r="E80" t="s">
        <v>706</v>
      </c>
      <c r="F80" s="42">
        <f t="shared" si="3"/>
        <v>200000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80"/>
  <sheetViews>
    <sheetView showGridLines="0" topLeftCell="A24" workbookViewId="0">
      <selection activeCell="A24"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233</v>
      </c>
      <c r="D5" s="168">
        <f>F5</f>
        <v>40000</v>
      </c>
      <c r="E5" s="169">
        <v>400</v>
      </c>
      <c r="F5" s="42">
        <f>E5*100</f>
        <v>40000</v>
      </c>
    </row>
    <row r="6" spans="1:6" x14ac:dyDescent="0.3">
      <c r="A6" s="165">
        <v>62</v>
      </c>
      <c r="B6" s="166">
        <v>289</v>
      </c>
      <c r="C6" s="167">
        <v>233</v>
      </c>
      <c r="D6" s="168">
        <f t="shared" ref="D6:D52" si="0">F6</f>
        <v>40000</v>
      </c>
      <c r="E6" s="169">
        <v>400</v>
      </c>
      <c r="F6" s="42">
        <f t="shared" ref="F6:F52" si="1">E6*100</f>
        <v>40000</v>
      </c>
    </row>
    <row r="7" spans="1:6" x14ac:dyDescent="0.3">
      <c r="A7" s="165">
        <v>93</v>
      </c>
      <c r="B7" s="166">
        <v>36</v>
      </c>
      <c r="C7" s="167">
        <v>233</v>
      </c>
      <c r="D7" s="168">
        <f t="shared" si="0"/>
        <v>40000</v>
      </c>
      <c r="E7" s="169">
        <v>400</v>
      </c>
      <c r="F7" s="42">
        <f t="shared" si="1"/>
        <v>40000</v>
      </c>
    </row>
    <row r="8" spans="1:6" x14ac:dyDescent="0.3">
      <c r="A8" s="165">
        <v>93</v>
      </c>
      <c r="B8" s="166">
        <v>91</v>
      </c>
      <c r="C8" s="167">
        <v>233</v>
      </c>
      <c r="D8" s="168">
        <f t="shared" si="0"/>
        <v>40000</v>
      </c>
      <c r="E8" s="169">
        <v>400</v>
      </c>
      <c r="F8" s="42">
        <f t="shared" si="1"/>
        <v>40000</v>
      </c>
    </row>
    <row r="9" spans="1:6" x14ac:dyDescent="0.3">
      <c r="A9" s="165">
        <v>94</v>
      </c>
      <c r="B9" s="166">
        <v>3</v>
      </c>
      <c r="C9" s="167">
        <v>233</v>
      </c>
      <c r="D9" s="168">
        <f t="shared" si="0"/>
        <v>20000</v>
      </c>
      <c r="E9" s="169">
        <v>200</v>
      </c>
      <c r="F9" s="42">
        <f t="shared" si="1"/>
        <v>20000</v>
      </c>
    </row>
    <row r="10" spans="1:6" x14ac:dyDescent="0.3">
      <c r="A10" s="165">
        <v>94</v>
      </c>
      <c r="B10" s="166">
        <v>6</v>
      </c>
      <c r="C10" s="167">
        <v>233</v>
      </c>
      <c r="D10" s="168">
        <f t="shared" si="0"/>
        <v>15000</v>
      </c>
      <c r="E10" s="169">
        <v>150</v>
      </c>
      <c r="F10" s="42">
        <f t="shared" si="1"/>
        <v>15000</v>
      </c>
    </row>
    <row r="11" spans="1:6" x14ac:dyDescent="0.3">
      <c r="A11" s="165">
        <v>95</v>
      </c>
      <c r="B11" s="166">
        <v>56</v>
      </c>
      <c r="C11" s="167">
        <v>233</v>
      </c>
      <c r="D11" s="168">
        <f t="shared" si="0"/>
        <v>30000</v>
      </c>
      <c r="E11" s="169">
        <v>300</v>
      </c>
      <c r="F11" s="42">
        <f t="shared" si="1"/>
        <v>30000</v>
      </c>
    </row>
    <row r="12" spans="1:6" x14ac:dyDescent="0.3">
      <c r="A12" s="165">
        <v>103</v>
      </c>
      <c r="B12" s="166">
        <v>193</v>
      </c>
      <c r="C12" s="167">
        <v>233</v>
      </c>
      <c r="D12" s="168">
        <f t="shared" si="0"/>
        <v>40000</v>
      </c>
      <c r="E12" s="169">
        <v>400</v>
      </c>
      <c r="F12" s="42">
        <f t="shared" si="1"/>
        <v>40000</v>
      </c>
    </row>
    <row r="13" spans="1:6" x14ac:dyDescent="0.3">
      <c r="A13" s="165">
        <v>104</v>
      </c>
      <c r="B13" s="166">
        <v>33</v>
      </c>
      <c r="C13" s="167">
        <v>233</v>
      </c>
      <c r="D13" s="168">
        <f t="shared" si="0"/>
        <v>30000</v>
      </c>
      <c r="E13" s="169">
        <v>300</v>
      </c>
      <c r="F13" s="42">
        <f t="shared" si="1"/>
        <v>30000</v>
      </c>
    </row>
    <row r="14" spans="1:6" x14ac:dyDescent="0.3">
      <c r="A14" s="165">
        <v>105</v>
      </c>
      <c r="B14" s="166">
        <v>93</v>
      </c>
      <c r="C14" s="167">
        <v>233</v>
      </c>
      <c r="D14" s="168">
        <f t="shared" si="0"/>
        <v>30000</v>
      </c>
      <c r="E14" s="169">
        <v>300</v>
      </c>
      <c r="F14" s="42">
        <f t="shared" si="1"/>
        <v>30000</v>
      </c>
    </row>
    <row r="15" spans="1:6" x14ac:dyDescent="0.3">
      <c r="A15" s="165">
        <v>105</v>
      </c>
      <c r="B15" s="166">
        <v>84</v>
      </c>
      <c r="C15" s="167">
        <v>233</v>
      </c>
      <c r="D15" s="168">
        <f t="shared" si="0"/>
        <v>30000</v>
      </c>
      <c r="E15" s="169">
        <v>300</v>
      </c>
      <c r="F15" s="42">
        <f t="shared" si="1"/>
        <v>30000</v>
      </c>
    </row>
    <row r="16" spans="1:6" x14ac:dyDescent="0.3">
      <c r="A16" s="165">
        <v>116</v>
      </c>
      <c r="B16" s="166">
        <v>148</v>
      </c>
      <c r="C16" s="167">
        <v>233</v>
      </c>
      <c r="D16" s="168">
        <f t="shared" si="0"/>
        <v>40000</v>
      </c>
      <c r="E16" s="169">
        <v>400</v>
      </c>
      <c r="F16" s="42">
        <f t="shared" si="1"/>
        <v>40000</v>
      </c>
    </row>
    <row r="17" spans="1:6" x14ac:dyDescent="0.3">
      <c r="A17" s="165">
        <v>116</v>
      </c>
      <c r="B17" s="166">
        <v>146</v>
      </c>
      <c r="C17" s="167">
        <v>233</v>
      </c>
      <c r="D17" s="168">
        <f t="shared" si="0"/>
        <v>30000</v>
      </c>
      <c r="E17" s="169">
        <v>300</v>
      </c>
      <c r="F17" s="42">
        <f t="shared" si="1"/>
        <v>30000</v>
      </c>
    </row>
    <row r="18" spans="1:6" x14ac:dyDescent="0.3">
      <c r="A18" s="165">
        <v>116</v>
      </c>
      <c r="B18" s="166">
        <v>169</v>
      </c>
      <c r="C18" s="167">
        <v>233</v>
      </c>
      <c r="D18" s="168">
        <f t="shared" si="0"/>
        <v>40000</v>
      </c>
      <c r="E18" s="169">
        <v>400</v>
      </c>
      <c r="F18" s="42">
        <f t="shared" si="1"/>
        <v>40000</v>
      </c>
    </row>
    <row r="19" spans="1:6" x14ac:dyDescent="0.3">
      <c r="A19" s="165">
        <v>123</v>
      </c>
      <c r="B19" s="166">
        <v>36</v>
      </c>
      <c r="C19" s="167">
        <v>233</v>
      </c>
      <c r="D19" s="168">
        <f t="shared" si="0"/>
        <v>30000</v>
      </c>
      <c r="E19" s="169">
        <v>300</v>
      </c>
      <c r="F19" s="42">
        <f t="shared" si="1"/>
        <v>30000</v>
      </c>
    </row>
    <row r="20" spans="1:6" x14ac:dyDescent="0.3">
      <c r="A20" s="165">
        <v>123</v>
      </c>
      <c r="B20" s="166">
        <v>70</v>
      </c>
      <c r="C20" s="167">
        <v>233</v>
      </c>
      <c r="D20" s="168">
        <f t="shared" si="0"/>
        <v>30000</v>
      </c>
      <c r="E20" s="169">
        <v>300</v>
      </c>
      <c r="F20" s="42">
        <f t="shared" si="1"/>
        <v>30000</v>
      </c>
    </row>
    <row r="21" spans="1:6" x14ac:dyDescent="0.3">
      <c r="A21" s="165">
        <v>124</v>
      </c>
      <c r="B21" s="166">
        <v>2</v>
      </c>
      <c r="C21" s="167">
        <v>233</v>
      </c>
      <c r="D21" s="168">
        <f t="shared" si="0"/>
        <v>40000</v>
      </c>
      <c r="E21" s="169">
        <v>400</v>
      </c>
      <c r="F21" s="42">
        <f t="shared" si="1"/>
        <v>40000</v>
      </c>
    </row>
    <row r="22" spans="1:6" x14ac:dyDescent="0.3">
      <c r="A22" s="165">
        <v>124</v>
      </c>
      <c r="B22" s="166">
        <v>19</v>
      </c>
      <c r="C22" s="167">
        <v>233</v>
      </c>
      <c r="D22" s="168">
        <f t="shared" si="0"/>
        <v>10000</v>
      </c>
      <c r="E22" s="169">
        <v>100</v>
      </c>
      <c r="F22" s="42">
        <f t="shared" si="1"/>
        <v>10000</v>
      </c>
    </row>
    <row r="23" spans="1:6" x14ac:dyDescent="0.3">
      <c r="A23" s="165">
        <v>125</v>
      </c>
      <c r="B23" s="166">
        <v>28</v>
      </c>
      <c r="C23" s="167">
        <v>233</v>
      </c>
      <c r="D23" s="168">
        <f t="shared" si="0"/>
        <v>30000</v>
      </c>
      <c r="E23" s="169">
        <v>300</v>
      </c>
      <c r="F23" s="42">
        <f t="shared" si="1"/>
        <v>30000</v>
      </c>
    </row>
    <row r="24" spans="1:6" x14ac:dyDescent="0.3">
      <c r="A24" s="165">
        <v>126</v>
      </c>
      <c r="B24" s="166">
        <v>41</v>
      </c>
      <c r="C24" s="167">
        <v>233</v>
      </c>
      <c r="D24" s="168">
        <f t="shared" si="0"/>
        <v>30000</v>
      </c>
      <c r="E24">
        <v>300</v>
      </c>
      <c r="F24" s="42">
        <f t="shared" si="1"/>
        <v>30000</v>
      </c>
    </row>
    <row r="25" spans="1:6" x14ac:dyDescent="0.3">
      <c r="A25" s="165">
        <v>126</v>
      </c>
      <c r="B25" s="166">
        <v>37</v>
      </c>
      <c r="C25" s="167">
        <v>233</v>
      </c>
      <c r="D25" s="168">
        <f t="shared" si="0"/>
        <v>30000</v>
      </c>
      <c r="E25">
        <v>300</v>
      </c>
      <c r="F25" s="42">
        <f t="shared" si="1"/>
        <v>30000</v>
      </c>
    </row>
    <row r="26" spans="1:6" x14ac:dyDescent="0.3">
      <c r="A26" s="165">
        <v>126</v>
      </c>
      <c r="B26" s="166">
        <v>28</v>
      </c>
      <c r="C26" s="167">
        <v>233</v>
      </c>
      <c r="D26" s="168">
        <f t="shared" si="0"/>
        <v>30000</v>
      </c>
      <c r="E26">
        <v>300</v>
      </c>
      <c r="F26" s="42">
        <f t="shared" si="1"/>
        <v>30000</v>
      </c>
    </row>
    <row r="27" spans="1:6" x14ac:dyDescent="0.3">
      <c r="A27" s="165">
        <v>127</v>
      </c>
      <c r="B27" s="166">
        <v>75</v>
      </c>
      <c r="C27" s="167">
        <v>233</v>
      </c>
      <c r="D27" s="168">
        <f t="shared" si="0"/>
        <v>30000</v>
      </c>
      <c r="E27">
        <v>300</v>
      </c>
      <c r="F27" s="42">
        <f t="shared" si="1"/>
        <v>30000</v>
      </c>
    </row>
    <row r="28" spans="1:6" x14ac:dyDescent="0.3">
      <c r="A28" s="165">
        <v>139</v>
      </c>
      <c r="B28" s="166">
        <v>24</v>
      </c>
      <c r="C28" s="167">
        <v>233</v>
      </c>
      <c r="D28" s="168">
        <f t="shared" si="0"/>
        <v>40000</v>
      </c>
      <c r="E28">
        <v>400</v>
      </c>
      <c r="F28" s="42">
        <f t="shared" si="1"/>
        <v>40000</v>
      </c>
    </row>
    <row r="29" spans="1:6" x14ac:dyDescent="0.3">
      <c r="A29" s="165">
        <v>139</v>
      </c>
      <c r="B29" s="166">
        <v>41</v>
      </c>
      <c r="C29" s="167">
        <v>233</v>
      </c>
      <c r="D29" s="168">
        <f t="shared" si="0"/>
        <v>40000</v>
      </c>
      <c r="E29">
        <v>400</v>
      </c>
      <c r="F29" s="42">
        <f t="shared" si="1"/>
        <v>40000</v>
      </c>
    </row>
    <row r="30" spans="1:6" x14ac:dyDescent="0.3">
      <c r="A30" s="165">
        <v>139</v>
      </c>
      <c r="B30" s="166">
        <v>28</v>
      </c>
      <c r="C30" s="167">
        <v>233</v>
      </c>
      <c r="D30" s="168">
        <f t="shared" si="0"/>
        <v>15000</v>
      </c>
      <c r="E30">
        <v>150</v>
      </c>
      <c r="F30" s="42">
        <f t="shared" si="1"/>
        <v>15000</v>
      </c>
    </row>
    <row r="31" spans="1:6" x14ac:dyDescent="0.3">
      <c r="A31" s="165">
        <v>144</v>
      </c>
      <c r="B31" s="166">
        <v>81</v>
      </c>
      <c r="C31" s="167">
        <v>233</v>
      </c>
      <c r="D31" s="168">
        <f t="shared" si="0"/>
        <v>30000</v>
      </c>
      <c r="E31">
        <v>300</v>
      </c>
      <c r="F31" s="42">
        <f t="shared" si="1"/>
        <v>30000</v>
      </c>
    </row>
    <row r="32" spans="1:6" x14ac:dyDescent="0.3">
      <c r="A32" s="165">
        <v>144</v>
      </c>
      <c r="B32" s="166">
        <v>71</v>
      </c>
      <c r="C32" s="167">
        <v>233</v>
      </c>
      <c r="D32" s="168">
        <f t="shared" si="0"/>
        <v>30000</v>
      </c>
      <c r="E32">
        <v>300</v>
      </c>
      <c r="F32" s="42">
        <f t="shared" si="1"/>
        <v>30000</v>
      </c>
    </row>
    <row r="33" spans="1:6" x14ac:dyDescent="0.3">
      <c r="A33" s="165">
        <v>154</v>
      </c>
      <c r="B33" s="166">
        <v>28</v>
      </c>
      <c r="C33" s="167">
        <v>233</v>
      </c>
      <c r="D33" s="168">
        <f t="shared" si="0"/>
        <v>30000</v>
      </c>
      <c r="E33">
        <v>300</v>
      </c>
      <c r="F33" s="42">
        <f t="shared" si="1"/>
        <v>30000</v>
      </c>
    </row>
    <row r="34" spans="1:6" x14ac:dyDescent="0.3">
      <c r="A34" s="165">
        <v>156</v>
      </c>
      <c r="B34" s="166">
        <v>72</v>
      </c>
      <c r="C34" s="167">
        <v>233</v>
      </c>
      <c r="D34" s="168">
        <f t="shared" si="0"/>
        <v>30000</v>
      </c>
      <c r="E34">
        <v>300</v>
      </c>
      <c r="F34" s="42">
        <f t="shared" si="1"/>
        <v>30000</v>
      </c>
    </row>
    <row r="35" spans="1:6" x14ac:dyDescent="0.3">
      <c r="A35" s="165">
        <v>156</v>
      </c>
      <c r="B35" s="166">
        <v>78</v>
      </c>
      <c r="C35" s="167">
        <v>233</v>
      </c>
      <c r="D35" s="168">
        <f t="shared" si="0"/>
        <v>30000</v>
      </c>
      <c r="E35">
        <v>300</v>
      </c>
      <c r="F35" s="42">
        <f t="shared" si="1"/>
        <v>30000</v>
      </c>
    </row>
    <row r="36" spans="1:6" x14ac:dyDescent="0.3">
      <c r="A36" s="165">
        <v>156</v>
      </c>
      <c r="B36" s="166">
        <v>67</v>
      </c>
      <c r="C36" s="167">
        <v>233</v>
      </c>
      <c r="D36" s="168">
        <f t="shared" si="0"/>
        <v>30000</v>
      </c>
      <c r="E36">
        <v>300</v>
      </c>
      <c r="F36" s="42">
        <f t="shared" si="1"/>
        <v>30000</v>
      </c>
    </row>
    <row r="37" spans="1:6" x14ac:dyDescent="0.3">
      <c r="A37" s="165">
        <v>157</v>
      </c>
      <c r="B37" s="166">
        <v>14</v>
      </c>
      <c r="C37" s="167">
        <v>233</v>
      </c>
      <c r="D37" s="168">
        <f t="shared" si="0"/>
        <v>30000</v>
      </c>
      <c r="E37">
        <v>300</v>
      </c>
      <c r="F37" s="42">
        <f t="shared" si="1"/>
        <v>30000</v>
      </c>
    </row>
    <row r="38" spans="1:6" x14ac:dyDescent="0.3">
      <c r="A38" s="165">
        <v>161</v>
      </c>
      <c r="B38" s="166">
        <v>51</v>
      </c>
      <c r="C38" s="167">
        <v>233</v>
      </c>
      <c r="D38" s="168">
        <f t="shared" si="0"/>
        <v>30000</v>
      </c>
      <c r="E38">
        <v>300</v>
      </c>
      <c r="F38" s="42">
        <f t="shared" si="1"/>
        <v>30000</v>
      </c>
    </row>
    <row r="39" spans="1:6" x14ac:dyDescent="0.3">
      <c r="A39" s="165">
        <v>166</v>
      </c>
      <c r="B39" s="166">
        <v>8</v>
      </c>
      <c r="C39" s="167">
        <v>233</v>
      </c>
      <c r="D39" s="168">
        <f t="shared" si="0"/>
        <v>30000</v>
      </c>
      <c r="E39">
        <v>300</v>
      </c>
      <c r="F39" s="42">
        <f t="shared" si="1"/>
        <v>30000</v>
      </c>
    </row>
    <row r="40" spans="1:6" x14ac:dyDescent="0.3">
      <c r="A40" s="165">
        <v>169</v>
      </c>
      <c r="B40" s="166">
        <v>37</v>
      </c>
      <c r="C40" s="167">
        <v>233</v>
      </c>
      <c r="D40" s="168">
        <f t="shared" si="0"/>
        <v>40000</v>
      </c>
      <c r="E40">
        <v>400</v>
      </c>
      <c r="F40" s="42">
        <f t="shared" si="1"/>
        <v>40000</v>
      </c>
    </row>
    <row r="41" spans="1:6" x14ac:dyDescent="0.3">
      <c r="A41" s="165">
        <v>169</v>
      </c>
      <c r="B41" s="166">
        <v>1</v>
      </c>
      <c r="C41" s="167">
        <v>233</v>
      </c>
      <c r="D41" s="168">
        <f t="shared" si="0"/>
        <v>40000</v>
      </c>
      <c r="E41">
        <v>400</v>
      </c>
      <c r="F41" s="42">
        <f t="shared" si="1"/>
        <v>40000</v>
      </c>
    </row>
    <row r="42" spans="1:6" x14ac:dyDescent="0.3">
      <c r="A42" s="165">
        <v>173</v>
      </c>
      <c r="B42" s="166">
        <v>26</v>
      </c>
      <c r="C42" s="167">
        <v>233</v>
      </c>
      <c r="D42" s="168">
        <f t="shared" si="0"/>
        <v>40000</v>
      </c>
      <c r="E42">
        <v>400</v>
      </c>
      <c r="F42" s="42">
        <f t="shared" si="1"/>
        <v>40000</v>
      </c>
    </row>
    <row r="43" spans="1:6" x14ac:dyDescent="0.3">
      <c r="A43" s="165">
        <v>175</v>
      </c>
      <c r="B43" s="166">
        <v>13</v>
      </c>
      <c r="C43" s="167">
        <v>233</v>
      </c>
      <c r="D43" s="168">
        <f t="shared" si="0"/>
        <v>40000</v>
      </c>
      <c r="E43">
        <v>400</v>
      </c>
      <c r="F43" s="42">
        <f t="shared" si="1"/>
        <v>40000</v>
      </c>
    </row>
    <row r="44" spans="1:6" x14ac:dyDescent="0.3">
      <c r="A44" s="165">
        <v>175</v>
      </c>
      <c r="B44" s="166">
        <v>11</v>
      </c>
      <c r="C44" s="167">
        <v>233</v>
      </c>
      <c r="D44" s="168">
        <f t="shared" si="0"/>
        <v>40000</v>
      </c>
      <c r="E44">
        <v>400</v>
      </c>
      <c r="F44" s="42">
        <f t="shared" si="1"/>
        <v>40000</v>
      </c>
    </row>
    <row r="45" spans="1:6" x14ac:dyDescent="0.3">
      <c r="A45" s="165">
        <v>179</v>
      </c>
      <c r="B45" s="166">
        <v>3</v>
      </c>
      <c r="C45" s="167">
        <v>233</v>
      </c>
      <c r="D45" s="168">
        <f t="shared" si="0"/>
        <v>40000</v>
      </c>
      <c r="E45">
        <v>400</v>
      </c>
      <c r="F45" s="42">
        <f t="shared" si="1"/>
        <v>40000</v>
      </c>
    </row>
    <row r="46" spans="1:6" x14ac:dyDescent="0.3">
      <c r="A46" s="165">
        <v>179</v>
      </c>
      <c r="B46" s="166">
        <v>4</v>
      </c>
      <c r="C46" s="167">
        <v>233</v>
      </c>
      <c r="D46" s="168">
        <f t="shared" si="0"/>
        <v>40000</v>
      </c>
      <c r="E46">
        <v>400</v>
      </c>
      <c r="F46" s="42">
        <f t="shared" si="1"/>
        <v>40000</v>
      </c>
    </row>
    <row r="47" spans="1:6" x14ac:dyDescent="0.3">
      <c r="A47" s="165">
        <v>181</v>
      </c>
      <c r="B47" s="166">
        <v>2</v>
      </c>
      <c r="C47" s="167">
        <v>233</v>
      </c>
      <c r="D47" s="168">
        <f t="shared" si="0"/>
        <v>40000</v>
      </c>
      <c r="E47">
        <v>400</v>
      </c>
      <c r="F47" s="42">
        <f t="shared" si="1"/>
        <v>40000</v>
      </c>
    </row>
    <row r="48" spans="1:6" x14ac:dyDescent="0.3">
      <c r="A48" s="165">
        <v>181</v>
      </c>
      <c r="B48" s="166">
        <v>13</v>
      </c>
      <c r="C48" s="167">
        <v>233</v>
      </c>
      <c r="D48" s="168">
        <f t="shared" si="0"/>
        <v>40000</v>
      </c>
      <c r="E48">
        <v>400</v>
      </c>
      <c r="F48" s="42">
        <f t="shared" si="1"/>
        <v>40000</v>
      </c>
    </row>
    <row r="49" spans="1:6" x14ac:dyDescent="0.3">
      <c r="A49" s="165">
        <v>183</v>
      </c>
      <c r="B49" s="166">
        <v>1</v>
      </c>
      <c r="C49" s="167">
        <v>233</v>
      </c>
      <c r="D49" s="168">
        <f t="shared" si="0"/>
        <v>40000</v>
      </c>
      <c r="E49">
        <v>400</v>
      </c>
      <c r="F49" s="42">
        <f t="shared" si="1"/>
        <v>40000</v>
      </c>
    </row>
    <row r="50" spans="1:6" x14ac:dyDescent="0.3">
      <c r="A50" s="165">
        <v>183</v>
      </c>
      <c r="B50" s="166">
        <v>5</v>
      </c>
      <c r="C50" s="167">
        <v>233</v>
      </c>
      <c r="D50" s="168">
        <f t="shared" si="0"/>
        <v>40000</v>
      </c>
      <c r="E50">
        <v>400</v>
      </c>
      <c r="F50" s="42">
        <f t="shared" si="1"/>
        <v>40000</v>
      </c>
    </row>
    <row r="51" spans="1:6" x14ac:dyDescent="0.3">
      <c r="A51" s="165">
        <v>185</v>
      </c>
      <c r="B51" s="166">
        <v>8</v>
      </c>
      <c r="C51" s="167">
        <v>233</v>
      </c>
      <c r="D51" s="168">
        <f t="shared" si="0"/>
        <v>40000</v>
      </c>
      <c r="E51">
        <v>400</v>
      </c>
      <c r="F51" s="42">
        <f t="shared" si="1"/>
        <v>40000</v>
      </c>
    </row>
    <row r="52" spans="1:6" x14ac:dyDescent="0.3">
      <c r="A52" s="165">
        <v>200</v>
      </c>
      <c r="B52" s="166">
        <v>74</v>
      </c>
      <c r="C52" s="167">
        <v>233</v>
      </c>
      <c r="D52" s="168">
        <f t="shared" si="0"/>
        <v>30000</v>
      </c>
      <c r="E52">
        <v>300</v>
      </c>
      <c r="F52" s="42">
        <f t="shared" si="1"/>
        <v>30000</v>
      </c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224"/>
  <sheetViews>
    <sheetView showGridLines="0"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86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70"/>
    </row>
    <row r="5" spans="1:6" x14ac:dyDescent="0.3">
      <c r="A5" s="165">
        <v>62</v>
      </c>
      <c r="B5" s="166">
        <v>286</v>
      </c>
      <c r="C5" s="167">
        <v>144</v>
      </c>
      <c r="D5" s="168">
        <f>F5</f>
        <v>29338.978199999998</v>
      </c>
      <c r="E5" s="171">
        <v>293.38978199999997</v>
      </c>
      <c r="F5" s="42">
        <f>E5*100</f>
        <v>29338.978199999998</v>
      </c>
    </row>
    <row r="6" spans="1:6" x14ac:dyDescent="0.3">
      <c r="A6" s="165">
        <v>62</v>
      </c>
      <c r="B6" s="166">
        <v>325</v>
      </c>
      <c r="C6" s="167">
        <v>144</v>
      </c>
      <c r="D6" s="168">
        <f t="shared" ref="D6:D69" si="0">F6</f>
        <v>9454.02</v>
      </c>
      <c r="E6" s="171">
        <v>94.540199999999999</v>
      </c>
      <c r="F6" s="42">
        <f t="shared" ref="F6:F69" si="1">E6*100</f>
        <v>9454.02</v>
      </c>
    </row>
    <row r="7" spans="1:6" x14ac:dyDescent="0.3">
      <c r="A7" s="165">
        <v>62</v>
      </c>
      <c r="B7" s="166">
        <v>106</v>
      </c>
      <c r="C7" s="167">
        <v>144</v>
      </c>
      <c r="D7" s="168">
        <f t="shared" si="0"/>
        <v>0</v>
      </c>
      <c r="E7" s="171">
        <v>0</v>
      </c>
      <c r="F7" s="42">
        <f t="shared" si="1"/>
        <v>0</v>
      </c>
    </row>
    <row r="8" spans="1:6" x14ac:dyDescent="0.3">
      <c r="A8" s="165">
        <v>62</v>
      </c>
      <c r="B8" s="166">
        <v>322</v>
      </c>
      <c r="C8" s="167">
        <v>144</v>
      </c>
      <c r="D8" s="168">
        <f t="shared" si="0"/>
        <v>15857.580899999997</v>
      </c>
      <c r="E8" s="171">
        <v>158.57580899999996</v>
      </c>
      <c r="F8" s="42">
        <f t="shared" si="1"/>
        <v>15857.580899999997</v>
      </c>
    </row>
    <row r="9" spans="1:6" x14ac:dyDescent="0.3">
      <c r="A9" s="165">
        <v>62</v>
      </c>
      <c r="B9" s="166">
        <v>282</v>
      </c>
      <c r="C9" s="167">
        <v>144</v>
      </c>
      <c r="D9" s="168">
        <f t="shared" si="0"/>
        <v>10314</v>
      </c>
      <c r="E9" s="171">
        <v>103.14</v>
      </c>
      <c r="F9" s="42">
        <f t="shared" si="1"/>
        <v>10314</v>
      </c>
    </row>
    <row r="10" spans="1:6" x14ac:dyDescent="0.3">
      <c r="A10" s="165">
        <v>62</v>
      </c>
      <c r="B10" s="166">
        <v>316</v>
      </c>
      <c r="C10" s="167">
        <v>144</v>
      </c>
      <c r="D10" s="168">
        <f t="shared" si="0"/>
        <v>24087.894599999992</v>
      </c>
      <c r="E10" s="171">
        <v>240.87894599999993</v>
      </c>
      <c r="F10" s="42">
        <f t="shared" si="1"/>
        <v>24087.894599999992</v>
      </c>
    </row>
    <row r="11" spans="1:6" x14ac:dyDescent="0.3">
      <c r="A11" s="165">
        <v>62</v>
      </c>
      <c r="B11" s="166">
        <v>266</v>
      </c>
      <c r="C11" s="167">
        <v>144</v>
      </c>
      <c r="D11" s="168">
        <f t="shared" si="0"/>
        <v>0</v>
      </c>
      <c r="E11" s="171">
        <v>0</v>
      </c>
      <c r="F11" s="42">
        <f t="shared" si="1"/>
        <v>0</v>
      </c>
    </row>
    <row r="12" spans="1:6" x14ac:dyDescent="0.3">
      <c r="A12" s="165">
        <v>62</v>
      </c>
      <c r="B12" s="166">
        <v>323</v>
      </c>
      <c r="C12" s="167">
        <v>144</v>
      </c>
      <c r="D12" s="168">
        <f t="shared" si="0"/>
        <v>9454.02</v>
      </c>
      <c r="E12" s="171">
        <v>94.540199999999999</v>
      </c>
      <c r="F12" s="42">
        <f t="shared" si="1"/>
        <v>9454.02</v>
      </c>
    </row>
    <row r="13" spans="1:6" x14ac:dyDescent="0.3">
      <c r="A13" s="165">
        <v>62</v>
      </c>
      <c r="B13" s="166">
        <v>326</v>
      </c>
      <c r="C13" s="167">
        <v>144</v>
      </c>
      <c r="D13" s="168">
        <f t="shared" si="0"/>
        <v>9454.02</v>
      </c>
      <c r="E13" s="171">
        <v>94.540199999999999</v>
      </c>
      <c r="F13" s="42">
        <f t="shared" si="1"/>
        <v>9454.02</v>
      </c>
    </row>
    <row r="14" spans="1:6" x14ac:dyDescent="0.3">
      <c r="A14" s="165">
        <v>62</v>
      </c>
      <c r="B14" s="166">
        <v>314</v>
      </c>
      <c r="C14" s="167">
        <v>144</v>
      </c>
      <c r="D14" s="168">
        <f t="shared" si="0"/>
        <v>0</v>
      </c>
      <c r="E14" s="171">
        <v>0</v>
      </c>
      <c r="F14" s="42">
        <f t="shared" si="1"/>
        <v>0</v>
      </c>
    </row>
    <row r="15" spans="1:6" x14ac:dyDescent="0.3">
      <c r="A15" s="165">
        <v>62</v>
      </c>
      <c r="B15" s="166">
        <v>303</v>
      </c>
      <c r="C15" s="167">
        <v>144</v>
      </c>
      <c r="D15" s="168">
        <f t="shared" si="0"/>
        <v>8254.02</v>
      </c>
      <c r="E15" s="171">
        <v>82.540199999999999</v>
      </c>
      <c r="F15" s="42">
        <f t="shared" si="1"/>
        <v>8254.02</v>
      </c>
    </row>
    <row r="16" spans="1:6" x14ac:dyDescent="0.3">
      <c r="A16" s="165">
        <v>62</v>
      </c>
      <c r="B16" s="166">
        <v>320</v>
      </c>
      <c r="C16" s="167">
        <v>144</v>
      </c>
      <c r="D16" s="168">
        <f t="shared" si="0"/>
        <v>23486.326499999999</v>
      </c>
      <c r="E16" s="171">
        <v>234.86326499999998</v>
      </c>
      <c r="F16" s="42">
        <f t="shared" si="1"/>
        <v>23486.326499999999</v>
      </c>
    </row>
    <row r="17" spans="1:6" x14ac:dyDescent="0.3">
      <c r="A17" s="165">
        <v>62</v>
      </c>
      <c r="B17" s="166">
        <v>289</v>
      </c>
      <c r="C17" s="167">
        <v>144</v>
      </c>
      <c r="D17" s="168">
        <f t="shared" si="0"/>
        <v>26683.135499999997</v>
      </c>
      <c r="E17" s="171">
        <v>266.83135499999997</v>
      </c>
      <c r="F17" s="42">
        <f t="shared" si="1"/>
        <v>26683.135499999997</v>
      </c>
    </row>
    <row r="18" spans="1:6" x14ac:dyDescent="0.3">
      <c r="A18" s="165">
        <v>93</v>
      </c>
      <c r="B18" s="166">
        <v>98</v>
      </c>
      <c r="C18" s="167">
        <v>144</v>
      </c>
      <c r="D18" s="168">
        <f t="shared" si="0"/>
        <v>14944.826399999996</v>
      </c>
      <c r="E18" s="171">
        <v>149.44826399999997</v>
      </c>
      <c r="F18" s="42">
        <f t="shared" si="1"/>
        <v>14944.826399999996</v>
      </c>
    </row>
    <row r="19" spans="1:6" x14ac:dyDescent="0.3">
      <c r="A19" s="165">
        <v>93</v>
      </c>
      <c r="B19" s="166">
        <v>70</v>
      </c>
      <c r="C19" s="167">
        <v>144</v>
      </c>
      <c r="D19" s="168">
        <f t="shared" si="0"/>
        <v>12043.884299999998</v>
      </c>
      <c r="E19" s="171">
        <v>120.43884299999998</v>
      </c>
      <c r="F19" s="42">
        <f t="shared" si="1"/>
        <v>12043.884299999998</v>
      </c>
    </row>
    <row r="20" spans="1:6" x14ac:dyDescent="0.3">
      <c r="A20" s="165">
        <v>93</v>
      </c>
      <c r="B20" s="166">
        <v>90</v>
      </c>
      <c r="C20" s="167">
        <v>144</v>
      </c>
      <c r="D20" s="168">
        <f t="shared" si="0"/>
        <v>36108.434250000006</v>
      </c>
      <c r="E20" s="171">
        <v>361.08434250000005</v>
      </c>
      <c r="F20" s="42">
        <f t="shared" si="1"/>
        <v>36108.434250000006</v>
      </c>
    </row>
    <row r="21" spans="1:6" x14ac:dyDescent="0.3">
      <c r="A21" s="165">
        <v>93</v>
      </c>
      <c r="B21" s="166">
        <v>92</v>
      </c>
      <c r="C21" s="167">
        <v>144</v>
      </c>
      <c r="D21" s="168">
        <f t="shared" si="0"/>
        <v>7800</v>
      </c>
      <c r="E21" s="171">
        <v>78</v>
      </c>
      <c r="F21" s="42">
        <f t="shared" si="1"/>
        <v>7800</v>
      </c>
    </row>
    <row r="22" spans="1:6" x14ac:dyDescent="0.3">
      <c r="A22" s="165">
        <v>93</v>
      </c>
      <c r="B22" s="166">
        <v>103</v>
      </c>
      <c r="C22" s="167">
        <v>144</v>
      </c>
      <c r="D22" s="168">
        <f t="shared" si="0"/>
        <v>2340</v>
      </c>
      <c r="E22" s="171">
        <v>23.4</v>
      </c>
      <c r="F22" s="42">
        <f t="shared" si="1"/>
        <v>2340</v>
      </c>
    </row>
    <row r="23" spans="1:6" x14ac:dyDescent="0.3">
      <c r="A23" s="165">
        <v>93</v>
      </c>
      <c r="B23" s="166">
        <v>95</v>
      </c>
      <c r="C23" s="167">
        <v>144</v>
      </c>
      <c r="D23" s="168">
        <f t="shared" si="0"/>
        <v>0</v>
      </c>
      <c r="E23" s="171">
        <v>0</v>
      </c>
      <c r="F23" s="42">
        <f t="shared" si="1"/>
        <v>0</v>
      </c>
    </row>
    <row r="24" spans="1:6" x14ac:dyDescent="0.3">
      <c r="A24" s="165">
        <v>93</v>
      </c>
      <c r="B24" s="166">
        <v>36</v>
      </c>
      <c r="C24" s="167">
        <v>144</v>
      </c>
      <c r="D24" s="168">
        <f t="shared" si="0"/>
        <v>14996.097900000001</v>
      </c>
      <c r="E24" s="86">
        <v>149.96097900000001</v>
      </c>
      <c r="F24" s="42">
        <f t="shared" si="1"/>
        <v>14996.097900000001</v>
      </c>
    </row>
    <row r="25" spans="1:6" x14ac:dyDescent="0.3">
      <c r="A25" s="165">
        <v>93</v>
      </c>
      <c r="B25" s="166">
        <v>79</v>
      </c>
      <c r="C25" s="167">
        <v>144</v>
      </c>
      <c r="D25" s="168">
        <f t="shared" si="0"/>
        <v>13933.8822</v>
      </c>
      <c r="E25" s="86">
        <v>139.33882199999999</v>
      </c>
      <c r="F25" s="42">
        <f t="shared" si="1"/>
        <v>13933.8822</v>
      </c>
    </row>
    <row r="26" spans="1:6" x14ac:dyDescent="0.3">
      <c r="A26" s="165">
        <v>93</v>
      </c>
      <c r="B26" s="166">
        <v>91</v>
      </c>
      <c r="C26" s="167">
        <v>144</v>
      </c>
      <c r="D26" s="168">
        <f t="shared" si="0"/>
        <v>15038.486399999996</v>
      </c>
      <c r="E26" s="86">
        <v>150.38486399999996</v>
      </c>
      <c r="F26" s="42">
        <f t="shared" si="1"/>
        <v>15038.486399999996</v>
      </c>
    </row>
    <row r="27" spans="1:6" x14ac:dyDescent="0.3">
      <c r="A27" s="165">
        <v>93</v>
      </c>
      <c r="B27" s="166">
        <v>102</v>
      </c>
      <c r="C27" s="167">
        <v>144</v>
      </c>
      <c r="D27" s="168">
        <f t="shared" si="0"/>
        <v>7800</v>
      </c>
      <c r="E27" s="86">
        <v>78</v>
      </c>
      <c r="F27" s="42">
        <f t="shared" si="1"/>
        <v>7800</v>
      </c>
    </row>
    <row r="28" spans="1:6" x14ac:dyDescent="0.3">
      <c r="A28" s="165">
        <v>93</v>
      </c>
      <c r="B28" s="166">
        <v>100</v>
      </c>
      <c r="C28" s="167">
        <v>144</v>
      </c>
      <c r="D28" s="168">
        <f t="shared" si="0"/>
        <v>15066.846899999997</v>
      </c>
      <c r="E28" s="86">
        <v>150.66846899999996</v>
      </c>
      <c r="F28" s="42">
        <f t="shared" si="1"/>
        <v>15066.846899999997</v>
      </c>
    </row>
    <row r="29" spans="1:6" x14ac:dyDescent="0.3">
      <c r="A29" s="165">
        <v>94</v>
      </c>
      <c r="B29" s="166">
        <v>3</v>
      </c>
      <c r="C29" s="167">
        <v>144</v>
      </c>
      <c r="D29" s="168">
        <f t="shared" si="0"/>
        <v>18767.679749999999</v>
      </c>
      <c r="E29" s="86">
        <v>187.67679749999999</v>
      </c>
      <c r="F29" s="42">
        <f t="shared" si="1"/>
        <v>18767.679749999999</v>
      </c>
    </row>
    <row r="30" spans="1:6" x14ac:dyDescent="0.3">
      <c r="A30" s="165">
        <v>94</v>
      </c>
      <c r="B30" s="166">
        <v>6</v>
      </c>
      <c r="C30" s="167">
        <v>144</v>
      </c>
      <c r="D30" s="168">
        <f t="shared" si="0"/>
        <v>8010.06</v>
      </c>
      <c r="E30" s="86">
        <v>80.1006</v>
      </c>
      <c r="F30" s="42">
        <f t="shared" si="1"/>
        <v>8010.06</v>
      </c>
    </row>
    <row r="31" spans="1:6" x14ac:dyDescent="0.3">
      <c r="A31" s="165">
        <v>94</v>
      </c>
      <c r="B31" s="166">
        <v>34</v>
      </c>
      <c r="C31" s="167">
        <v>144</v>
      </c>
      <c r="D31" s="168">
        <f t="shared" si="0"/>
        <v>16200</v>
      </c>
      <c r="E31" s="86">
        <v>162</v>
      </c>
      <c r="F31" s="42">
        <f t="shared" si="1"/>
        <v>16200</v>
      </c>
    </row>
    <row r="32" spans="1:6" x14ac:dyDescent="0.3">
      <c r="A32" s="165">
        <v>94</v>
      </c>
      <c r="B32" s="166">
        <v>55</v>
      </c>
      <c r="C32" s="167">
        <v>144</v>
      </c>
      <c r="D32" s="168">
        <f t="shared" si="0"/>
        <v>8220</v>
      </c>
      <c r="E32" s="86">
        <v>82.2</v>
      </c>
      <c r="F32" s="42">
        <f t="shared" si="1"/>
        <v>8220</v>
      </c>
    </row>
    <row r="33" spans="1:6" x14ac:dyDescent="0.3">
      <c r="A33" s="165">
        <v>94</v>
      </c>
      <c r="B33" s="166">
        <v>66</v>
      </c>
      <c r="C33" s="167">
        <v>144</v>
      </c>
      <c r="D33" s="168">
        <f t="shared" si="0"/>
        <v>8220</v>
      </c>
      <c r="E33" s="86">
        <v>82.2</v>
      </c>
      <c r="F33" s="42">
        <f t="shared" si="1"/>
        <v>8220</v>
      </c>
    </row>
    <row r="34" spans="1:6" x14ac:dyDescent="0.3">
      <c r="A34" s="165">
        <v>94</v>
      </c>
      <c r="B34" s="166">
        <v>68</v>
      </c>
      <c r="C34" s="167">
        <v>144</v>
      </c>
      <c r="D34" s="168">
        <f t="shared" si="0"/>
        <v>5205.9999999999991</v>
      </c>
      <c r="E34" s="86">
        <v>52.059999999999995</v>
      </c>
      <c r="F34" s="42">
        <f t="shared" si="1"/>
        <v>5205.9999999999991</v>
      </c>
    </row>
    <row r="35" spans="1:6" x14ac:dyDescent="0.3">
      <c r="A35" s="165">
        <v>95</v>
      </c>
      <c r="B35" s="166">
        <v>56</v>
      </c>
      <c r="C35" s="167">
        <v>144</v>
      </c>
      <c r="D35" s="168">
        <f t="shared" si="0"/>
        <v>19233.9336</v>
      </c>
      <c r="E35" s="86">
        <v>192.339336</v>
      </c>
      <c r="F35" s="42">
        <f t="shared" si="1"/>
        <v>19233.9336</v>
      </c>
    </row>
    <row r="36" spans="1:6" x14ac:dyDescent="0.3">
      <c r="A36" s="165">
        <v>95</v>
      </c>
      <c r="B36" s="166">
        <v>59</v>
      </c>
      <c r="C36" s="167">
        <v>144</v>
      </c>
      <c r="D36" s="168">
        <f t="shared" si="0"/>
        <v>15912.364799999999</v>
      </c>
      <c r="E36" s="86">
        <v>159.123648</v>
      </c>
      <c r="F36" s="42">
        <f t="shared" si="1"/>
        <v>15912.364799999999</v>
      </c>
    </row>
    <row r="37" spans="1:6" x14ac:dyDescent="0.3">
      <c r="A37" s="165">
        <v>95</v>
      </c>
      <c r="B37" s="166">
        <v>80</v>
      </c>
      <c r="C37" s="167">
        <v>144</v>
      </c>
      <c r="D37" s="168">
        <f t="shared" si="0"/>
        <v>9025.32</v>
      </c>
      <c r="E37" s="86">
        <v>90.253199999999993</v>
      </c>
      <c r="F37" s="42">
        <f t="shared" si="1"/>
        <v>9025.32</v>
      </c>
    </row>
    <row r="38" spans="1:6" x14ac:dyDescent="0.3">
      <c r="A38" s="165">
        <v>95</v>
      </c>
      <c r="B38" s="166">
        <v>83</v>
      </c>
      <c r="C38" s="167">
        <v>144</v>
      </c>
      <c r="D38" s="168">
        <f t="shared" si="0"/>
        <v>9025.32</v>
      </c>
      <c r="E38" s="86">
        <v>90.253199999999993</v>
      </c>
      <c r="F38" s="42">
        <f t="shared" si="1"/>
        <v>9025.32</v>
      </c>
    </row>
    <row r="39" spans="1:6" x14ac:dyDescent="0.3">
      <c r="A39" s="165">
        <v>95</v>
      </c>
      <c r="B39" s="166">
        <v>84</v>
      </c>
      <c r="C39" s="167">
        <v>144</v>
      </c>
      <c r="D39" s="168">
        <f t="shared" si="0"/>
        <v>0</v>
      </c>
      <c r="E39" s="86">
        <v>0</v>
      </c>
      <c r="F39" s="42">
        <f t="shared" si="1"/>
        <v>0</v>
      </c>
    </row>
    <row r="40" spans="1:6" x14ac:dyDescent="0.3">
      <c r="A40" s="165">
        <v>95</v>
      </c>
      <c r="B40" s="166">
        <v>85</v>
      </c>
      <c r="C40" s="167">
        <v>144</v>
      </c>
      <c r="D40" s="168">
        <f t="shared" si="0"/>
        <v>12082.624799999998</v>
      </c>
      <c r="E40" s="86">
        <v>120.82624799999998</v>
      </c>
      <c r="F40" s="42">
        <f t="shared" si="1"/>
        <v>12082.624799999998</v>
      </c>
    </row>
    <row r="41" spans="1:6" x14ac:dyDescent="0.3">
      <c r="A41" s="165">
        <v>95</v>
      </c>
      <c r="B41" s="166">
        <v>88</v>
      </c>
      <c r="C41" s="167">
        <v>144</v>
      </c>
      <c r="D41" s="168">
        <f t="shared" si="0"/>
        <v>0</v>
      </c>
      <c r="E41" s="86">
        <v>0</v>
      </c>
      <c r="F41" s="42">
        <f t="shared" si="1"/>
        <v>0</v>
      </c>
    </row>
    <row r="42" spans="1:6" x14ac:dyDescent="0.3">
      <c r="A42" s="165">
        <v>103</v>
      </c>
      <c r="B42" s="166">
        <v>184</v>
      </c>
      <c r="C42" s="167">
        <v>144</v>
      </c>
      <c r="D42" s="168">
        <f t="shared" si="0"/>
        <v>9025.32</v>
      </c>
      <c r="E42" s="86">
        <v>90.253199999999993</v>
      </c>
      <c r="F42" s="42">
        <f t="shared" si="1"/>
        <v>9025.32</v>
      </c>
    </row>
    <row r="43" spans="1:6" x14ac:dyDescent="0.3">
      <c r="A43" s="165">
        <v>103</v>
      </c>
      <c r="B43" s="166">
        <v>185</v>
      </c>
      <c r="C43" s="167">
        <v>144</v>
      </c>
      <c r="D43" s="168">
        <f t="shared" si="0"/>
        <v>15781.636799999998</v>
      </c>
      <c r="E43" s="86">
        <v>157.81636799999998</v>
      </c>
      <c r="F43" s="42">
        <f t="shared" si="1"/>
        <v>15781.636799999998</v>
      </c>
    </row>
    <row r="44" spans="1:6" x14ac:dyDescent="0.3">
      <c r="A44" s="165">
        <v>103</v>
      </c>
      <c r="B44" s="166">
        <v>187</v>
      </c>
      <c r="C44" s="167">
        <v>144</v>
      </c>
      <c r="D44" s="168">
        <f t="shared" si="0"/>
        <v>15710.306399999999</v>
      </c>
      <c r="E44" s="86">
        <v>157.10306399999999</v>
      </c>
      <c r="F44" s="42">
        <f t="shared" si="1"/>
        <v>15710.306399999999</v>
      </c>
    </row>
    <row r="45" spans="1:6" x14ac:dyDescent="0.3">
      <c r="A45" s="165">
        <v>103</v>
      </c>
      <c r="B45" s="166">
        <v>193</v>
      </c>
      <c r="C45" s="167">
        <v>144</v>
      </c>
      <c r="D45" s="168">
        <f t="shared" si="0"/>
        <v>0</v>
      </c>
      <c r="E45" s="86">
        <v>0</v>
      </c>
      <c r="F45" s="42">
        <f t="shared" si="1"/>
        <v>0</v>
      </c>
    </row>
    <row r="46" spans="1:6" x14ac:dyDescent="0.3">
      <c r="A46" s="165">
        <v>103</v>
      </c>
      <c r="B46" s="166">
        <v>194</v>
      </c>
      <c r="C46" s="167">
        <v>144</v>
      </c>
      <c r="D46" s="168">
        <f t="shared" si="0"/>
        <v>16535.068800000001</v>
      </c>
      <c r="E46" s="86">
        <v>165.35068799999999</v>
      </c>
      <c r="F46" s="42">
        <f t="shared" si="1"/>
        <v>16535.068800000001</v>
      </c>
    </row>
    <row r="47" spans="1:6" x14ac:dyDescent="0.3">
      <c r="A47" s="165">
        <v>103</v>
      </c>
      <c r="B47" s="166">
        <v>199</v>
      </c>
      <c r="C47" s="167">
        <v>144</v>
      </c>
      <c r="D47" s="168">
        <f t="shared" si="0"/>
        <v>27895.140900000002</v>
      </c>
      <c r="E47" s="86">
        <v>278.95140900000001</v>
      </c>
      <c r="F47" s="42">
        <f t="shared" si="1"/>
        <v>27895.140900000002</v>
      </c>
    </row>
    <row r="48" spans="1:6" x14ac:dyDescent="0.3">
      <c r="A48" s="165">
        <v>103</v>
      </c>
      <c r="B48" s="166">
        <v>200</v>
      </c>
      <c r="C48" s="167">
        <v>144</v>
      </c>
      <c r="D48" s="168">
        <f t="shared" si="0"/>
        <v>0</v>
      </c>
      <c r="E48" s="86">
        <v>0</v>
      </c>
      <c r="F48" s="42">
        <f t="shared" si="1"/>
        <v>0</v>
      </c>
    </row>
    <row r="49" spans="1:6" x14ac:dyDescent="0.3">
      <c r="A49" s="165">
        <v>103</v>
      </c>
      <c r="B49" s="166">
        <v>202</v>
      </c>
      <c r="C49" s="167">
        <v>144</v>
      </c>
      <c r="D49" s="168">
        <f t="shared" si="0"/>
        <v>15859.989599999997</v>
      </c>
      <c r="E49" s="86">
        <v>158.59989599999997</v>
      </c>
      <c r="F49" s="42">
        <f t="shared" si="1"/>
        <v>15859.989599999997</v>
      </c>
    </row>
    <row r="50" spans="1:6" x14ac:dyDescent="0.3">
      <c r="A50" s="165">
        <v>104</v>
      </c>
      <c r="B50" s="166">
        <v>52</v>
      </c>
      <c r="C50" s="167">
        <v>144</v>
      </c>
      <c r="D50" s="168">
        <f t="shared" si="0"/>
        <v>6600</v>
      </c>
      <c r="E50" s="86">
        <v>66</v>
      </c>
      <c r="F50" s="42">
        <f t="shared" si="1"/>
        <v>6600</v>
      </c>
    </row>
    <row r="51" spans="1:6" x14ac:dyDescent="0.3">
      <c r="A51" s="165">
        <v>104</v>
      </c>
      <c r="B51" s="166">
        <v>49</v>
      </c>
      <c r="C51" s="167">
        <v>144</v>
      </c>
      <c r="D51" s="168">
        <f t="shared" si="0"/>
        <v>0</v>
      </c>
      <c r="E51" s="86">
        <v>0</v>
      </c>
      <c r="F51" s="42">
        <f t="shared" si="1"/>
        <v>0</v>
      </c>
    </row>
    <row r="52" spans="1:6" x14ac:dyDescent="0.3">
      <c r="A52" s="165">
        <v>104</v>
      </c>
      <c r="B52" s="166">
        <v>33</v>
      </c>
      <c r="C52" s="167">
        <v>144</v>
      </c>
      <c r="D52" s="168">
        <f t="shared" si="0"/>
        <v>0</v>
      </c>
      <c r="E52" s="86">
        <v>0</v>
      </c>
      <c r="F52" s="42">
        <f t="shared" si="1"/>
        <v>0</v>
      </c>
    </row>
    <row r="53" spans="1:6" x14ac:dyDescent="0.3">
      <c r="A53" s="165">
        <v>104</v>
      </c>
      <c r="B53" s="166">
        <v>45</v>
      </c>
      <c r="C53" s="167">
        <v>144</v>
      </c>
      <c r="D53" s="168">
        <f t="shared" si="0"/>
        <v>0</v>
      </c>
      <c r="E53" s="86">
        <v>0</v>
      </c>
      <c r="F53" s="42">
        <f t="shared" si="1"/>
        <v>0</v>
      </c>
    </row>
    <row r="54" spans="1:6" x14ac:dyDescent="0.3">
      <c r="A54" s="165">
        <v>104</v>
      </c>
      <c r="B54" s="166">
        <v>53</v>
      </c>
      <c r="C54" s="167">
        <v>144</v>
      </c>
      <c r="D54" s="168">
        <f t="shared" si="0"/>
        <v>9433.619999999999</v>
      </c>
      <c r="E54" s="86">
        <v>94.336199999999991</v>
      </c>
      <c r="F54" s="42">
        <f t="shared" si="1"/>
        <v>9433.619999999999</v>
      </c>
    </row>
    <row r="55" spans="1:6" x14ac:dyDescent="0.3">
      <c r="A55" s="165">
        <v>104</v>
      </c>
      <c r="B55" s="166">
        <v>41</v>
      </c>
      <c r="C55" s="167">
        <v>144</v>
      </c>
      <c r="D55" s="168">
        <f t="shared" si="0"/>
        <v>0</v>
      </c>
      <c r="E55" s="86">
        <v>0</v>
      </c>
      <c r="F55" s="42">
        <f t="shared" si="1"/>
        <v>0</v>
      </c>
    </row>
    <row r="56" spans="1:6" x14ac:dyDescent="0.3">
      <c r="A56" s="165">
        <v>105</v>
      </c>
      <c r="B56" s="166">
        <v>93</v>
      </c>
      <c r="C56" s="167">
        <v>144</v>
      </c>
      <c r="D56" s="168">
        <f t="shared" si="0"/>
        <v>13835.331299999998</v>
      </c>
      <c r="E56" s="86">
        <v>138.35331299999999</v>
      </c>
      <c r="F56" s="42">
        <f t="shared" si="1"/>
        <v>13835.331299999998</v>
      </c>
    </row>
    <row r="57" spans="1:6" x14ac:dyDescent="0.3">
      <c r="A57" s="165">
        <v>105</v>
      </c>
      <c r="B57" s="166">
        <v>68</v>
      </c>
      <c r="C57" s="167">
        <v>144</v>
      </c>
      <c r="D57" s="168">
        <f t="shared" si="0"/>
        <v>8634</v>
      </c>
      <c r="E57" s="86">
        <v>86.34</v>
      </c>
      <c r="F57" s="42">
        <f t="shared" si="1"/>
        <v>8634</v>
      </c>
    </row>
    <row r="58" spans="1:6" x14ac:dyDescent="0.3">
      <c r="A58" s="165">
        <v>105</v>
      </c>
      <c r="B58" s="166">
        <v>100</v>
      </c>
      <c r="C58" s="167">
        <v>144</v>
      </c>
      <c r="D58" s="168">
        <f t="shared" si="0"/>
        <v>7722.9</v>
      </c>
      <c r="E58" s="86">
        <v>77.228999999999999</v>
      </c>
      <c r="F58" s="42">
        <f t="shared" si="1"/>
        <v>7722.9</v>
      </c>
    </row>
    <row r="59" spans="1:6" x14ac:dyDescent="0.3">
      <c r="A59" s="165">
        <v>105</v>
      </c>
      <c r="B59" s="166">
        <v>61</v>
      </c>
      <c r="C59" s="167">
        <v>144</v>
      </c>
      <c r="D59" s="168">
        <f t="shared" si="0"/>
        <v>0</v>
      </c>
      <c r="E59" s="86">
        <v>0</v>
      </c>
      <c r="F59" s="42">
        <f t="shared" si="1"/>
        <v>0</v>
      </c>
    </row>
    <row r="60" spans="1:6" x14ac:dyDescent="0.3">
      <c r="A60" s="165">
        <v>105</v>
      </c>
      <c r="B60" s="166">
        <v>84</v>
      </c>
      <c r="C60" s="167">
        <v>144</v>
      </c>
      <c r="D60" s="168">
        <f t="shared" si="0"/>
        <v>21881.115899999997</v>
      </c>
      <c r="E60" s="86">
        <v>218.81115899999998</v>
      </c>
      <c r="F60" s="42">
        <f t="shared" si="1"/>
        <v>21881.115899999997</v>
      </c>
    </row>
    <row r="61" spans="1:6" x14ac:dyDescent="0.3">
      <c r="A61" s="165">
        <v>105</v>
      </c>
      <c r="B61" s="166">
        <v>85</v>
      </c>
      <c r="C61" s="167">
        <v>144</v>
      </c>
      <c r="D61" s="168">
        <f t="shared" si="0"/>
        <v>8634</v>
      </c>
      <c r="E61" s="86">
        <v>86.34</v>
      </c>
      <c r="F61" s="42">
        <f t="shared" si="1"/>
        <v>8634</v>
      </c>
    </row>
    <row r="62" spans="1:6" x14ac:dyDescent="0.3">
      <c r="A62" s="165">
        <v>105</v>
      </c>
      <c r="B62" s="166">
        <v>29</v>
      </c>
      <c r="C62" s="167">
        <v>144</v>
      </c>
      <c r="D62" s="168">
        <f t="shared" si="0"/>
        <v>8232.24</v>
      </c>
      <c r="E62" s="86">
        <v>82.322400000000002</v>
      </c>
      <c r="F62" s="42">
        <f t="shared" si="1"/>
        <v>8232.24</v>
      </c>
    </row>
    <row r="63" spans="1:6" x14ac:dyDescent="0.3">
      <c r="A63" s="165">
        <v>105</v>
      </c>
      <c r="B63" s="166">
        <v>95</v>
      </c>
      <c r="C63" s="167">
        <v>144</v>
      </c>
      <c r="D63" s="168">
        <f t="shared" si="0"/>
        <v>20895.644700000001</v>
      </c>
      <c r="E63" s="86">
        <v>208.956447</v>
      </c>
      <c r="F63" s="42">
        <f t="shared" si="1"/>
        <v>20895.644700000001</v>
      </c>
    </row>
    <row r="64" spans="1:6" x14ac:dyDescent="0.3">
      <c r="A64" s="165">
        <v>105</v>
      </c>
      <c r="B64" s="166">
        <v>103</v>
      </c>
      <c r="C64" s="167">
        <v>144</v>
      </c>
      <c r="D64" s="168">
        <f t="shared" si="0"/>
        <v>8634</v>
      </c>
      <c r="E64" s="86">
        <v>86.34</v>
      </c>
      <c r="F64" s="42">
        <f t="shared" si="1"/>
        <v>8634</v>
      </c>
    </row>
    <row r="65" spans="1:6" x14ac:dyDescent="0.3">
      <c r="A65" s="165">
        <v>116</v>
      </c>
      <c r="B65" s="166">
        <v>143</v>
      </c>
      <c r="C65" s="167">
        <v>144</v>
      </c>
      <c r="D65" s="168">
        <f t="shared" si="0"/>
        <v>0</v>
      </c>
      <c r="E65" s="86">
        <v>0</v>
      </c>
      <c r="F65" s="42">
        <f t="shared" si="1"/>
        <v>0</v>
      </c>
    </row>
    <row r="66" spans="1:6" x14ac:dyDescent="0.3">
      <c r="A66" s="165">
        <v>116</v>
      </c>
      <c r="B66" s="166">
        <v>164</v>
      </c>
      <c r="C66" s="167">
        <v>144</v>
      </c>
      <c r="D66" s="168">
        <f t="shared" si="0"/>
        <v>11469.18</v>
      </c>
      <c r="E66" s="86">
        <v>114.6918</v>
      </c>
      <c r="F66" s="42">
        <f t="shared" si="1"/>
        <v>11469.18</v>
      </c>
    </row>
    <row r="67" spans="1:6" x14ac:dyDescent="0.3">
      <c r="A67" s="165">
        <v>116</v>
      </c>
      <c r="B67" s="166">
        <v>148</v>
      </c>
      <c r="C67" s="167">
        <v>144</v>
      </c>
      <c r="D67" s="168">
        <f t="shared" si="0"/>
        <v>13489.2696</v>
      </c>
      <c r="E67" s="86">
        <v>134.892696</v>
      </c>
      <c r="F67" s="42">
        <f t="shared" si="1"/>
        <v>13489.2696</v>
      </c>
    </row>
    <row r="68" spans="1:6" x14ac:dyDescent="0.3">
      <c r="A68" s="165">
        <v>116</v>
      </c>
      <c r="B68" s="166">
        <v>146</v>
      </c>
      <c r="C68" s="167">
        <v>144</v>
      </c>
      <c r="D68" s="168">
        <f t="shared" si="0"/>
        <v>9025.32</v>
      </c>
      <c r="E68" s="86">
        <v>90.253199999999993</v>
      </c>
      <c r="F68" s="42">
        <f t="shared" si="1"/>
        <v>9025.32</v>
      </c>
    </row>
    <row r="69" spans="1:6" x14ac:dyDescent="0.3">
      <c r="A69" s="165">
        <v>116</v>
      </c>
      <c r="B69" s="166">
        <v>175</v>
      </c>
      <c r="C69" s="167">
        <v>144</v>
      </c>
      <c r="D69" s="168">
        <f t="shared" si="0"/>
        <v>0</v>
      </c>
      <c r="E69" s="86">
        <v>0</v>
      </c>
      <c r="F69" s="42">
        <f t="shared" si="1"/>
        <v>0</v>
      </c>
    </row>
    <row r="70" spans="1:6" x14ac:dyDescent="0.3">
      <c r="A70" s="165">
        <v>116</v>
      </c>
      <c r="B70" s="166">
        <v>170</v>
      </c>
      <c r="C70" s="167">
        <v>144</v>
      </c>
      <c r="D70" s="168">
        <f t="shared" ref="D70:D133" si="2">F70</f>
        <v>13095.146400000001</v>
      </c>
      <c r="E70" s="86">
        <v>130.95146400000002</v>
      </c>
      <c r="F70" s="42">
        <f t="shared" ref="F70:F133" si="3">E70*100</f>
        <v>13095.146400000001</v>
      </c>
    </row>
    <row r="71" spans="1:6" x14ac:dyDescent="0.3">
      <c r="A71" s="165">
        <v>116</v>
      </c>
      <c r="B71" s="166">
        <v>144</v>
      </c>
      <c r="C71" s="167">
        <v>144</v>
      </c>
      <c r="D71" s="168">
        <f t="shared" si="2"/>
        <v>0</v>
      </c>
      <c r="E71" s="86">
        <v>0</v>
      </c>
      <c r="F71" s="42">
        <f t="shared" si="3"/>
        <v>0</v>
      </c>
    </row>
    <row r="72" spans="1:6" x14ac:dyDescent="0.3">
      <c r="A72" s="165">
        <v>116</v>
      </c>
      <c r="B72" s="166">
        <v>169</v>
      </c>
      <c r="C72" s="167">
        <v>144</v>
      </c>
      <c r="D72" s="168">
        <f t="shared" si="2"/>
        <v>0</v>
      </c>
      <c r="E72" s="86">
        <v>0</v>
      </c>
      <c r="F72" s="42">
        <f t="shared" si="3"/>
        <v>0</v>
      </c>
    </row>
    <row r="73" spans="1:6" x14ac:dyDescent="0.3">
      <c r="A73" s="165">
        <v>123</v>
      </c>
      <c r="B73" s="166">
        <v>58</v>
      </c>
      <c r="C73" s="167">
        <v>144</v>
      </c>
      <c r="D73" s="168">
        <f t="shared" si="2"/>
        <v>11066.364750000001</v>
      </c>
      <c r="E73" s="86">
        <v>110.66364750000001</v>
      </c>
      <c r="F73" s="42">
        <f t="shared" si="3"/>
        <v>11066.364750000001</v>
      </c>
    </row>
    <row r="74" spans="1:6" x14ac:dyDescent="0.3">
      <c r="A74" s="165">
        <v>123</v>
      </c>
      <c r="B74" s="166">
        <v>69</v>
      </c>
      <c r="C74" s="167">
        <v>144</v>
      </c>
      <c r="D74" s="168">
        <f t="shared" si="2"/>
        <v>17734.527449999998</v>
      </c>
      <c r="E74" s="86">
        <v>177.34527449999999</v>
      </c>
      <c r="F74" s="42">
        <f t="shared" si="3"/>
        <v>17734.527449999998</v>
      </c>
    </row>
    <row r="75" spans="1:6" x14ac:dyDescent="0.3">
      <c r="A75" s="165">
        <v>123</v>
      </c>
      <c r="B75" s="166">
        <v>81</v>
      </c>
      <c r="C75" s="167">
        <v>144</v>
      </c>
      <c r="D75" s="168">
        <f t="shared" si="2"/>
        <v>7134</v>
      </c>
      <c r="E75" s="86">
        <v>71.34</v>
      </c>
      <c r="F75" s="42">
        <f t="shared" si="3"/>
        <v>7134</v>
      </c>
    </row>
    <row r="76" spans="1:6" x14ac:dyDescent="0.3">
      <c r="A76" s="165">
        <v>123</v>
      </c>
      <c r="B76" s="166">
        <v>75</v>
      </c>
      <c r="C76" s="167">
        <v>144</v>
      </c>
      <c r="D76" s="168">
        <f t="shared" si="2"/>
        <v>24257.920500000004</v>
      </c>
      <c r="E76" s="86">
        <v>242.57920500000003</v>
      </c>
      <c r="F76" s="42">
        <f t="shared" si="3"/>
        <v>24257.920500000004</v>
      </c>
    </row>
    <row r="77" spans="1:6" x14ac:dyDescent="0.3">
      <c r="A77" s="165">
        <v>123</v>
      </c>
      <c r="B77" s="166">
        <v>76</v>
      </c>
      <c r="C77" s="167">
        <v>144</v>
      </c>
      <c r="D77" s="168">
        <f t="shared" si="2"/>
        <v>7134</v>
      </c>
      <c r="E77" s="86">
        <v>71.34</v>
      </c>
      <c r="F77" s="42">
        <f t="shared" si="3"/>
        <v>7134</v>
      </c>
    </row>
    <row r="78" spans="1:6" x14ac:dyDescent="0.3">
      <c r="A78" s="165">
        <v>123</v>
      </c>
      <c r="B78" s="166">
        <v>68</v>
      </c>
      <c r="C78" s="167">
        <v>144</v>
      </c>
      <c r="D78" s="168">
        <f t="shared" si="2"/>
        <v>35303.245500000005</v>
      </c>
      <c r="E78" s="86">
        <v>353.03245500000003</v>
      </c>
      <c r="F78" s="42">
        <f t="shared" si="3"/>
        <v>35303.245500000005</v>
      </c>
    </row>
    <row r="79" spans="1:6" x14ac:dyDescent="0.3">
      <c r="A79" s="165">
        <v>123</v>
      </c>
      <c r="B79" s="166">
        <v>36</v>
      </c>
      <c r="C79" s="167">
        <v>144</v>
      </c>
      <c r="D79" s="168">
        <f t="shared" si="2"/>
        <v>14059.90785</v>
      </c>
      <c r="E79" s="86">
        <v>140.59907849999999</v>
      </c>
      <c r="F79" s="42">
        <f t="shared" si="3"/>
        <v>14059.90785</v>
      </c>
    </row>
    <row r="80" spans="1:6" x14ac:dyDescent="0.3">
      <c r="A80" s="165">
        <v>123</v>
      </c>
      <c r="B80" s="166">
        <v>70</v>
      </c>
      <c r="C80" s="167">
        <v>144</v>
      </c>
      <c r="D80" s="168">
        <f t="shared" si="2"/>
        <v>15340.278899999998</v>
      </c>
      <c r="E80" s="86">
        <v>153.40278899999998</v>
      </c>
      <c r="F80" s="42">
        <f t="shared" si="3"/>
        <v>15340.278899999998</v>
      </c>
    </row>
    <row r="81" spans="1:6" x14ac:dyDescent="0.3">
      <c r="A81" s="165">
        <v>124</v>
      </c>
      <c r="B81" s="166">
        <v>32</v>
      </c>
      <c r="C81" s="167">
        <v>144</v>
      </c>
      <c r="D81" s="168">
        <f t="shared" si="2"/>
        <v>0</v>
      </c>
      <c r="E81" s="86">
        <v>0</v>
      </c>
      <c r="F81" s="42">
        <f t="shared" si="3"/>
        <v>0</v>
      </c>
    </row>
    <row r="82" spans="1:6" x14ac:dyDescent="0.3">
      <c r="A82" s="165">
        <v>124</v>
      </c>
      <c r="B82" s="166">
        <v>2</v>
      </c>
      <c r="C82" s="167">
        <v>144</v>
      </c>
      <c r="D82" s="168">
        <f t="shared" si="2"/>
        <v>0</v>
      </c>
      <c r="E82" s="86">
        <v>0</v>
      </c>
      <c r="F82" s="42">
        <f t="shared" si="3"/>
        <v>0</v>
      </c>
    </row>
    <row r="83" spans="1:6" x14ac:dyDescent="0.3">
      <c r="A83" s="165">
        <v>124</v>
      </c>
      <c r="B83" s="166">
        <v>19</v>
      </c>
      <c r="C83" s="167">
        <v>144</v>
      </c>
      <c r="D83" s="168">
        <f t="shared" si="2"/>
        <v>0</v>
      </c>
      <c r="E83" s="86">
        <v>0</v>
      </c>
      <c r="F83" s="42">
        <f t="shared" si="3"/>
        <v>0</v>
      </c>
    </row>
    <row r="84" spans="1:6" x14ac:dyDescent="0.3">
      <c r="A84" s="165">
        <v>124</v>
      </c>
      <c r="B84" s="166">
        <v>49</v>
      </c>
      <c r="C84" s="167">
        <v>144</v>
      </c>
      <c r="D84" s="168">
        <f t="shared" si="2"/>
        <v>0</v>
      </c>
      <c r="E84" s="86">
        <v>0</v>
      </c>
      <c r="F84" s="42">
        <f t="shared" si="3"/>
        <v>0</v>
      </c>
    </row>
    <row r="85" spans="1:6" x14ac:dyDescent="0.3">
      <c r="A85" s="165">
        <v>124</v>
      </c>
      <c r="B85" s="166">
        <v>40</v>
      </c>
      <c r="C85" s="167">
        <v>144</v>
      </c>
      <c r="D85" s="168">
        <f t="shared" si="2"/>
        <v>0</v>
      </c>
      <c r="E85" s="86">
        <v>0</v>
      </c>
      <c r="F85" s="42">
        <f t="shared" si="3"/>
        <v>0</v>
      </c>
    </row>
    <row r="86" spans="1:6" x14ac:dyDescent="0.3">
      <c r="A86" s="165">
        <v>124</v>
      </c>
      <c r="B86" s="166">
        <v>39</v>
      </c>
      <c r="C86" s="167">
        <v>144</v>
      </c>
      <c r="D86" s="168">
        <f t="shared" si="2"/>
        <v>0</v>
      </c>
      <c r="E86" s="86">
        <v>0</v>
      </c>
      <c r="F86" s="42">
        <f t="shared" si="3"/>
        <v>0</v>
      </c>
    </row>
    <row r="87" spans="1:6" x14ac:dyDescent="0.3">
      <c r="A87" s="165">
        <v>125</v>
      </c>
      <c r="B87" s="166">
        <v>38</v>
      </c>
      <c r="C87" s="167">
        <v>144</v>
      </c>
      <c r="D87" s="168">
        <f t="shared" si="2"/>
        <v>0</v>
      </c>
      <c r="E87" s="86">
        <v>0</v>
      </c>
      <c r="F87" s="42">
        <f t="shared" si="3"/>
        <v>0</v>
      </c>
    </row>
    <row r="88" spans="1:6" x14ac:dyDescent="0.3">
      <c r="A88" s="165">
        <v>125</v>
      </c>
      <c r="B88" s="166">
        <v>25</v>
      </c>
      <c r="C88" s="167">
        <v>144</v>
      </c>
      <c r="D88" s="168">
        <f t="shared" si="2"/>
        <v>0</v>
      </c>
      <c r="E88" s="86">
        <v>0</v>
      </c>
      <c r="F88" s="42">
        <f t="shared" si="3"/>
        <v>0</v>
      </c>
    </row>
    <row r="89" spans="1:6" x14ac:dyDescent="0.3">
      <c r="A89" s="165">
        <v>125</v>
      </c>
      <c r="B89" s="166">
        <v>54</v>
      </c>
      <c r="C89" s="167">
        <v>144</v>
      </c>
      <c r="D89" s="168">
        <f t="shared" si="2"/>
        <v>9542.5616999999984</v>
      </c>
      <c r="E89" s="86">
        <v>95.425616999999988</v>
      </c>
      <c r="F89" s="42">
        <f t="shared" si="3"/>
        <v>9542.5616999999984</v>
      </c>
    </row>
    <row r="90" spans="1:6" x14ac:dyDescent="0.3">
      <c r="A90" s="165">
        <v>125</v>
      </c>
      <c r="B90" s="166">
        <v>48</v>
      </c>
      <c r="C90" s="167">
        <v>144</v>
      </c>
      <c r="D90" s="168">
        <f t="shared" si="2"/>
        <v>0</v>
      </c>
      <c r="E90" s="86">
        <v>0</v>
      </c>
      <c r="F90" s="42">
        <f t="shared" si="3"/>
        <v>0</v>
      </c>
    </row>
    <row r="91" spans="1:6" x14ac:dyDescent="0.3">
      <c r="A91" s="165">
        <v>125</v>
      </c>
      <c r="B91" s="166">
        <v>58</v>
      </c>
      <c r="C91" s="167">
        <v>144</v>
      </c>
      <c r="D91" s="168">
        <f t="shared" si="2"/>
        <v>0</v>
      </c>
      <c r="E91" s="86">
        <v>0</v>
      </c>
      <c r="F91" s="42">
        <f t="shared" si="3"/>
        <v>0</v>
      </c>
    </row>
    <row r="92" spans="1:6" x14ac:dyDescent="0.3">
      <c r="A92" s="165">
        <v>125</v>
      </c>
      <c r="B92" s="166">
        <v>28</v>
      </c>
      <c r="C92" s="167">
        <v>144</v>
      </c>
      <c r="D92" s="168">
        <f t="shared" si="2"/>
        <v>0</v>
      </c>
      <c r="E92" s="86">
        <v>0</v>
      </c>
      <c r="F92" s="42">
        <f t="shared" si="3"/>
        <v>0</v>
      </c>
    </row>
    <row r="93" spans="1:6" x14ac:dyDescent="0.3">
      <c r="A93" s="165">
        <v>125</v>
      </c>
      <c r="B93" s="166">
        <v>55</v>
      </c>
      <c r="C93" s="167">
        <v>144</v>
      </c>
      <c r="D93" s="168">
        <f t="shared" si="2"/>
        <v>0</v>
      </c>
      <c r="E93" s="86">
        <v>0</v>
      </c>
      <c r="F93" s="42">
        <f t="shared" si="3"/>
        <v>0</v>
      </c>
    </row>
    <row r="94" spans="1:6" x14ac:dyDescent="0.3">
      <c r="A94" s="165">
        <v>126</v>
      </c>
      <c r="B94" s="166">
        <v>41</v>
      </c>
      <c r="C94" s="167">
        <v>144</v>
      </c>
      <c r="D94" s="168">
        <f t="shared" si="2"/>
        <v>3972.2399999999993</v>
      </c>
      <c r="E94" s="86">
        <v>39.722399999999993</v>
      </c>
      <c r="F94" s="42">
        <f t="shared" si="3"/>
        <v>3972.2399999999993</v>
      </c>
    </row>
    <row r="95" spans="1:6" x14ac:dyDescent="0.3">
      <c r="A95" s="165">
        <v>126</v>
      </c>
      <c r="B95" s="166">
        <v>56</v>
      </c>
      <c r="C95" s="167">
        <v>144</v>
      </c>
      <c r="D95" s="168">
        <f t="shared" si="2"/>
        <v>7698</v>
      </c>
      <c r="E95" s="86">
        <v>76.98</v>
      </c>
      <c r="F95" s="42">
        <f t="shared" si="3"/>
        <v>7698</v>
      </c>
    </row>
    <row r="96" spans="1:6" x14ac:dyDescent="0.3">
      <c r="A96" s="165">
        <v>126</v>
      </c>
      <c r="B96" s="166">
        <v>45</v>
      </c>
      <c r="C96" s="167">
        <v>144</v>
      </c>
      <c r="D96" s="168">
        <f t="shared" si="2"/>
        <v>3972.2399999999993</v>
      </c>
      <c r="E96" s="86">
        <v>39.722399999999993</v>
      </c>
      <c r="F96" s="42">
        <f t="shared" si="3"/>
        <v>3972.2399999999993</v>
      </c>
    </row>
    <row r="97" spans="1:6" x14ac:dyDescent="0.3">
      <c r="A97" s="165">
        <v>126</v>
      </c>
      <c r="B97" s="166">
        <v>37</v>
      </c>
      <c r="C97" s="167">
        <v>144</v>
      </c>
      <c r="D97" s="168">
        <f t="shared" si="2"/>
        <v>3972.2399999999993</v>
      </c>
      <c r="E97" s="86">
        <v>39.722399999999993</v>
      </c>
      <c r="F97" s="42">
        <f t="shared" si="3"/>
        <v>3972.2399999999993</v>
      </c>
    </row>
    <row r="98" spans="1:6" x14ac:dyDescent="0.3">
      <c r="A98" s="165">
        <v>126</v>
      </c>
      <c r="B98" s="166">
        <v>1</v>
      </c>
      <c r="C98" s="167">
        <v>144</v>
      </c>
      <c r="D98" s="168">
        <f t="shared" si="2"/>
        <v>3972.2399999999993</v>
      </c>
      <c r="E98" s="86">
        <v>39.722399999999993</v>
      </c>
      <c r="F98" s="42">
        <f t="shared" si="3"/>
        <v>3972.2399999999993</v>
      </c>
    </row>
    <row r="99" spans="1:6" x14ac:dyDescent="0.3">
      <c r="A99" s="165">
        <v>126</v>
      </c>
      <c r="B99" s="166">
        <v>28</v>
      </c>
      <c r="C99" s="167">
        <v>144</v>
      </c>
      <c r="D99" s="168">
        <f t="shared" si="2"/>
        <v>3972.2399999999993</v>
      </c>
      <c r="E99" s="86">
        <v>39.722399999999993</v>
      </c>
      <c r="F99" s="42">
        <f t="shared" si="3"/>
        <v>3972.2399999999993</v>
      </c>
    </row>
    <row r="100" spans="1:6" x14ac:dyDescent="0.3">
      <c r="A100" s="165">
        <v>126</v>
      </c>
      <c r="B100" s="166">
        <v>55</v>
      </c>
      <c r="C100" s="167">
        <v>144</v>
      </c>
      <c r="D100" s="168">
        <f t="shared" si="2"/>
        <v>3972.2399999999993</v>
      </c>
      <c r="E100" s="86">
        <v>39.722399999999993</v>
      </c>
      <c r="F100" s="42">
        <f t="shared" si="3"/>
        <v>3972.2399999999993</v>
      </c>
    </row>
    <row r="101" spans="1:6" x14ac:dyDescent="0.3">
      <c r="A101" s="165">
        <v>126</v>
      </c>
      <c r="B101" s="166">
        <v>46</v>
      </c>
      <c r="C101" s="167">
        <v>144</v>
      </c>
      <c r="D101" s="168">
        <f t="shared" si="2"/>
        <v>3972.2399999999993</v>
      </c>
      <c r="E101" s="86">
        <v>39.722399999999993</v>
      </c>
      <c r="F101" s="42">
        <f t="shared" si="3"/>
        <v>3972.2399999999993</v>
      </c>
    </row>
    <row r="102" spans="1:6" x14ac:dyDescent="0.3">
      <c r="A102" s="165">
        <v>127</v>
      </c>
      <c r="B102" s="166">
        <v>70</v>
      </c>
      <c r="C102" s="167">
        <v>144</v>
      </c>
      <c r="D102" s="168">
        <f t="shared" si="2"/>
        <v>23500</v>
      </c>
      <c r="E102" s="86">
        <v>235</v>
      </c>
      <c r="F102" s="42">
        <f t="shared" si="3"/>
        <v>23500</v>
      </c>
    </row>
    <row r="103" spans="1:6" x14ac:dyDescent="0.3">
      <c r="A103" s="165">
        <v>127</v>
      </c>
      <c r="B103" s="166">
        <v>79</v>
      </c>
      <c r="C103" s="167">
        <v>144</v>
      </c>
      <c r="D103" s="168">
        <f t="shared" si="2"/>
        <v>10920</v>
      </c>
      <c r="E103" s="86">
        <v>109.2</v>
      </c>
      <c r="F103" s="42">
        <f t="shared" si="3"/>
        <v>10920</v>
      </c>
    </row>
    <row r="104" spans="1:6" x14ac:dyDescent="0.3">
      <c r="A104" s="165">
        <v>127</v>
      </c>
      <c r="B104" s="166">
        <v>75</v>
      </c>
      <c r="C104" s="167">
        <v>144</v>
      </c>
      <c r="D104" s="168">
        <f t="shared" si="2"/>
        <v>9104.0399999999991</v>
      </c>
      <c r="E104" s="86">
        <v>91.040399999999991</v>
      </c>
      <c r="F104" s="42">
        <f t="shared" si="3"/>
        <v>9104.0399999999991</v>
      </c>
    </row>
    <row r="105" spans="1:6" x14ac:dyDescent="0.3">
      <c r="A105" s="165">
        <v>127</v>
      </c>
      <c r="B105" s="166">
        <v>80</v>
      </c>
      <c r="C105" s="167">
        <v>144</v>
      </c>
      <c r="D105" s="168">
        <f t="shared" si="2"/>
        <v>16711.924800000001</v>
      </c>
      <c r="E105" s="86">
        <v>167.119248</v>
      </c>
      <c r="F105" s="42">
        <f t="shared" si="3"/>
        <v>16711.924800000001</v>
      </c>
    </row>
    <row r="106" spans="1:6" x14ac:dyDescent="0.3">
      <c r="A106" s="165">
        <v>127</v>
      </c>
      <c r="B106" s="166">
        <v>82</v>
      </c>
      <c r="C106" s="167">
        <v>144</v>
      </c>
      <c r="D106" s="168">
        <f t="shared" si="2"/>
        <v>0</v>
      </c>
      <c r="E106" s="86">
        <v>0</v>
      </c>
      <c r="F106" s="42">
        <f t="shared" si="3"/>
        <v>0</v>
      </c>
    </row>
    <row r="107" spans="1:6" x14ac:dyDescent="0.3">
      <c r="A107" s="165">
        <v>139</v>
      </c>
      <c r="B107" s="166">
        <v>55</v>
      </c>
      <c r="C107" s="167">
        <v>144</v>
      </c>
      <c r="D107" s="168">
        <f t="shared" si="2"/>
        <v>0</v>
      </c>
      <c r="E107" s="86">
        <v>0</v>
      </c>
      <c r="F107" s="42">
        <f t="shared" si="3"/>
        <v>0</v>
      </c>
    </row>
    <row r="108" spans="1:6" x14ac:dyDescent="0.3">
      <c r="A108" s="165">
        <v>139</v>
      </c>
      <c r="B108" s="166">
        <v>43</v>
      </c>
      <c r="C108" s="167">
        <v>144</v>
      </c>
      <c r="D108" s="168">
        <f t="shared" si="2"/>
        <v>8490</v>
      </c>
      <c r="E108" s="86">
        <v>84.899999999999991</v>
      </c>
      <c r="F108" s="42">
        <f t="shared" si="3"/>
        <v>8490</v>
      </c>
    </row>
    <row r="109" spans="1:6" x14ac:dyDescent="0.3">
      <c r="A109" s="165">
        <v>139</v>
      </c>
      <c r="B109" s="166">
        <v>24</v>
      </c>
      <c r="C109" s="167">
        <v>144</v>
      </c>
      <c r="D109" s="168">
        <f t="shared" si="2"/>
        <v>9960</v>
      </c>
      <c r="E109" s="86">
        <v>99.6</v>
      </c>
      <c r="F109" s="42">
        <f t="shared" si="3"/>
        <v>9960</v>
      </c>
    </row>
    <row r="110" spans="1:6" x14ac:dyDescent="0.3">
      <c r="A110" s="165">
        <v>139</v>
      </c>
      <c r="B110" s="166">
        <v>54</v>
      </c>
      <c r="C110" s="167">
        <v>144</v>
      </c>
      <c r="D110" s="168">
        <f t="shared" si="2"/>
        <v>9551.4845999999998</v>
      </c>
      <c r="E110" s="86">
        <v>95.514845999999991</v>
      </c>
      <c r="F110" s="42">
        <f t="shared" si="3"/>
        <v>9551.4845999999998</v>
      </c>
    </row>
    <row r="111" spans="1:6" x14ac:dyDescent="0.3">
      <c r="A111" s="165">
        <v>139</v>
      </c>
      <c r="B111" s="166">
        <v>41</v>
      </c>
      <c r="C111" s="167">
        <v>144</v>
      </c>
      <c r="D111" s="168">
        <f t="shared" si="2"/>
        <v>9960</v>
      </c>
      <c r="E111" s="86">
        <v>99.6</v>
      </c>
      <c r="F111" s="42">
        <f t="shared" si="3"/>
        <v>9960</v>
      </c>
    </row>
    <row r="112" spans="1:6" x14ac:dyDescent="0.3">
      <c r="A112" s="165">
        <v>139</v>
      </c>
      <c r="B112" s="166">
        <v>50</v>
      </c>
      <c r="C112" s="167">
        <v>144</v>
      </c>
      <c r="D112" s="168">
        <f t="shared" si="2"/>
        <v>9960</v>
      </c>
      <c r="E112" s="86">
        <v>99.6</v>
      </c>
      <c r="F112" s="42">
        <f t="shared" si="3"/>
        <v>9960</v>
      </c>
    </row>
    <row r="113" spans="1:6" x14ac:dyDescent="0.3">
      <c r="A113" s="165">
        <v>139</v>
      </c>
      <c r="B113" s="166">
        <v>52</v>
      </c>
      <c r="C113" s="167">
        <v>144</v>
      </c>
      <c r="D113" s="168">
        <f t="shared" si="2"/>
        <v>0</v>
      </c>
      <c r="E113" s="86">
        <v>0</v>
      </c>
      <c r="F113" s="42">
        <f t="shared" si="3"/>
        <v>0</v>
      </c>
    </row>
    <row r="114" spans="1:6" x14ac:dyDescent="0.3">
      <c r="A114" s="165">
        <v>139</v>
      </c>
      <c r="B114" s="166">
        <v>51</v>
      </c>
      <c r="C114" s="167">
        <v>144</v>
      </c>
      <c r="D114" s="168">
        <f t="shared" si="2"/>
        <v>0</v>
      </c>
      <c r="E114" s="86">
        <v>0</v>
      </c>
      <c r="F114" s="42">
        <f t="shared" si="3"/>
        <v>0</v>
      </c>
    </row>
    <row r="115" spans="1:6" x14ac:dyDescent="0.3">
      <c r="A115" s="165">
        <v>139</v>
      </c>
      <c r="B115" s="166">
        <v>28</v>
      </c>
      <c r="C115" s="167">
        <v>144</v>
      </c>
      <c r="D115" s="168">
        <f t="shared" si="2"/>
        <v>0</v>
      </c>
      <c r="E115" s="86">
        <v>0</v>
      </c>
      <c r="F115" s="42">
        <f t="shared" si="3"/>
        <v>0</v>
      </c>
    </row>
    <row r="116" spans="1:6" x14ac:dyDescent="0.3">
      <c r="A116" s="165">
        <v>139</v>
      </c>
      <c r="B116" s="166">
        <v>49</v>
      </c>
      <c r="C116" s="167">
        <v>144</v>
      </c>
      <c r="D116" s="168">
        <f t="shared" si="2"/>
        <v>0</v>
      </c>
      <c r="E116" s="86">
        <v>0</v>
      </c>
      <c r="F116" s="42">
        <f t="shared" si="3"/>
        <v>0</v>
      </c>
    </row>
    <row r="117" spans="1:6" x14ac:dyDescent="0.3">
      <c r="A117" s="165">
        <v>139</v>
      </c>
      <c r="B117" s="166">
        <v>47</v>
      </c>
      <c r="C117" s="167">
        <v>144</v>
      </c>
      <c r="D117" s="168">
        <f t="shared" si="2"/>
        <v>9960</v>
      </c>
      <c r="E117" s="86">
        <v>99.6</v>
      </c>
      <c r="F117" s="42">
        <f t="shared" si="3"/>
        <v>9960</v>
      </c>
    </row>
    <row r="118" spans="1:6" x14ac:dyDescent="0.3">
      <c r="A118" s="165">
        <v>139</v>
      </c>
      <c r="B118" s="166">
        <v>53</v>
      </c>
      <c r="C118" s="167">
        <v>144</v>
      </c>
      <c r="D118" s="168">
        <f t="shared" si="2"/>
        <v>0</v>
      </c>
      <c r="E118" s="86">
        <v>0</v>
      </c>
      <c r="F118" s="42">
        <f t="shared" si="3"/>
        <v>0</v>
      </c>
    </row>
    <row r="119" spans="1:6" x14ac:dyDescent="0.3">
      <c r="A119" s="165">
        <v>144</v>
      </c>
      <c r="B119" s="166">
        <v>81</v>
      </c>
      <c r="C119" s="167">
        <v>144</v>
      </c>
      <c r="D119" s="168">
        <f t="shared" si="2"/>
        <v>0</v>
      </c>
      <c r="E119" s="86">
        <v>0</v>
      </c>
      <c r="F119" s="42">
        <f t="shared" si="3"/>
        <v>0</v>
      </c>
    </row>
    <row r="120" spans="1:6" x14ac:dyDescent="0.3">
      <c r="A120" s="165">
        <v>144</v>
      </c>
      <c r="B120" s="166">
        <v>71</v>
      </c>
      <c r="C120" s="167">
        <v>144</v>
      </c>
      <c r="D120" s="168">
        <f t="shared" si="2"/>
        <v>0</v>
      </c>
      <c r="E120" s="86">
        <v>0</v>
      </c>
      <c r="F120" s="42">
        <f t="shared" si="3"/>
        <v>0</v>
      </c>
    </row>
    <row r="121" spans="1:6" x14ac:dyDescent="0.3">
      <c r="A121" s="165">
        <v>144</v>
      </c>
      <c r="B121" s="166">
        <v>85</v>
      </c>
      <c r="C121" s="167">
        <v>144</v>
      </c>
      <c r="D121" s="168">
        <f t="shared" si="2"/>
        <v>0</v>
      </c>
      <c r="E121" s="86">
        <v>0</v>
      </c>
      <c r="F121" s="42">
        <f t="shared" si="3"/>
        <v>0</v>
      </c>
    </row>
    <row r="122" spans="1:6" x14ac:dyDescent="0.3">
      <c r="A122" s="165">
        <v>144</v>
      </c>
      <c r="B122" s="166">
        <v>35</v>
      </c>
      <c r="C122" s="167">
        <v>144</v>
      </c>
      <c r="D122" s="168">
        <f t="shared" si="2"/>
        <v>0</v>
      </c>
      <c r="E122" s="86">
        <v>0</v>
      </c>
      <c r="F122" s="42">
        <f t="shared" si="3"/>
        <v>0</v>
      </c>
    </row>
    <row r="123" spans="1:6" x14ac:dyDescent="0.3">
      <c r="A123" s="165">
        <v>144</v>
      </c>
      <c r="B123" s="166">
        <v>74</v>
      </c>
      <c r="C123" s="167">
        <v>144</v>
      </c>
      <c r="D123" s="168">
        <f t="shared" si="2"/>
        <v>11226.772800000001</v>
      </c>
      <c r="E123" s="86">
        <v>112.26772800000001</v>
      </c>
      <c r="F123" s="42">
        <f t="shared" si="3"/>
        <v>11226.772800000001</v>
      </c>
    </row>
    <row r="124" spans="1:6" x14ac:dyDescent="0.3">
      <c r="A124" s="165">
        <v>144</v>
      </c>
      <c r="B124" s="166">
        <v>88</v>
      </c>
      <c r="C124" s="167">
        <v>144</v>
      </c>
      <c r="D124" s="168">
        <f t="shared" si="2"/>
        <v>10158</v>
      </c>
      <c r="E124" s="86">
        <v>101.58</v>
      </c>
      <c r="F124" s="42">
        <f t="shared" si="3"/>
        <v>10158</v>
      </c>
    </row>
    <row r="125" spans="1:6" x14ac:dyDescent="0.3">
      <c r="A125" s="165">
        <v>154</v>
      </c>
      <c r="B125" s="166">
        <v>38</v>
      </c>
      <c r="C125" s="167">
        <v>144</v>
      </c>
      <c r="D125" s="168">
        <f t="shared" si="2"/>
        <v>0</v>
      </c>
      <c r="E125" s="86">
        <v>0</v>
      </c>
      <c r="F125" s="42">
        <f t="shared" si="3"/>
        <v>0</v>
      </c>
    </row>
    <row r="126" spans="1:6" x14ac:dyDescent="0.3">
      <c r="A126" s="165">
        <v>154</v>
      </c>
      <c r="B126" s="166">
        <v>43</v>
      </c>
      <c r="C126" s="167">
        <v>144</v>
      </c>
      <c r="D126" s="168">
        <f t="shared" si="2"/>
        <v>6831</v>
      </c>
      <c r="E126" s="86">
        <v>68.31</v>
      </c>
      <c r="F126" s="42">
        <f t="shared" si="3"/>
        <v>6831</v>
      </c>
    </row>
    <row r="127" spans="1:6" x14ac:dyDescent="0.3">
      <c r="A127" s="165">
        <v>154</v>
      </c>
      <c r="B127" s="166">
        <v>45</v>
      </c>
      <c r="C127" s="167">
        <v>144</v>
      </c>
      <c r="D127" s="168">
        <f t="shared" si="2"/>
        <v>17981.284799999998</v>
      </c>
      <c r="E127" s="86">
        <v>179.81284799999997</v>
      </c>
      <c r="F127" s="42">
        <f t="shared" si="3"/>
        <v>17981.284799999998</v>
      </c>
    </row>
    <row r="128" spans="1:6" x14ac:dyDescent="0.3">
      <c r="A128" s="165">
        <v>154</v>
      </c>
      <c r="B128" s="166">
        <v>28</v>
      </c>
      <c r="C128" s="167">
        <v>144</v>
      </c>
      <c r="D128" s="168">
        <f t="shared" si="2"/>
        <v>18317.484</v>
      </c>
      <c r="E128" s="86">
        <v>183.17484000000002</v>
      </c>
      <c r="F128" s="42">
        <f t="shared" si="3"/>
        <v>18317.484</v>
      </c>
    </row>
    <row r="129" spans="1:6" x14ac:dyDescent="0.3">
      <c r="A129" s="165">
        <v>154</v>
      </c>
      <c r="B129" s="166">
        <v>42</v>
      </c>
      <c r="C129" s="167">
        <v>144</v>
      </c>
      <c r="D129" s="168">
        <f t="shared" si="2"/>
        <v>0</v>
      </c>
      <c r="E129" s="86">
        <v>0</v>
      </c>
      <c r="F129" s="42">
        <f t="shared" si="3"/>
        <v>0</v>
      </c>
    </row>
    <row r="130" spans="1:6" x14ac:dyDescent="0.3">
      <c r="A130" s="165">
        <v>156</v>
      </c>
      <c r="B130" s="166">
        <v>76</v>
      </c>
      <c r="C130" s="167">
        <v>144</v>
      </c>
      <c r="D130" s="168">
        <f t="shared" si="2"/>
        <v>18747.724799999996</v>
      </c>
      <c r="E130" s="86">
        <v>187.47724799999997</v>
      </c>
      <c r="F130" s="42">
        <f t="shared" si="3"/>
        <v>18747.724799999996</v>
      </c>
    </row>
    <row r="131" spans="1:6" x14ac:dyDescent="0.3">
      <c r="A131" s="165">
        <v>156</v>
      </c>
      <c r="B131" s="166">
        <v>72</v>
      </c>
      <c r="C131" s="167">
        <v>144</v>
      </c>
      <c r="D131" s="168">
        <f t="shared" si="2"/>
        <v>16676.268</v>
      </c>
      <c r="E131" s="86">
        <v>166.76267999999999</v>
      </c>
      <c r="F131" s="42">
        <f t="shared" si="3"/>
        <v>16676.268</v>
      </c>
    </row>
    <row r="132" spans="1:6" x14ac:dyDescent="0.3">
      <c r="A132" s="165">
        <v>156</v>
      </c>
      <c r="B132" s="166">
        <v>78</v>
      </c>
      <c r="C132" s="167">
        <v>144</v>
      </c>
      <c r="D132" s="168">
        <f t="shared" si="2"/>
        <v>0</v>
      </c>
      <c r="E132" s="86">
        <v>0</v>
      </c>
      <c r="F132" s="42">
        <f t="shared" si="3"/>
        <v>0</v>
      </c>
    </row>
    <row r="133" spans="1:6" x14ac:dyDescent="0.3">
      <c r="A133" s="165">
        <v>156</v>
      </c>
      <c r="B133" s="166">
        <v>67</v>
      </c>
      <c r="C133" s="167">
        <v>144</v>
      </c>
      <c r="D133" s="168">
        <f t="shared" si="2"/>
        <v>0</v>
      </c>
      <c r="E133" s="86">
        <v>0</v>
      </c>
      <c r="F133" s="42">
        <f t="shared" si="3"/>
        <v>0</v>
      </c>
    </row>
    <row r="134" spans="1:6" x14ac:dyDescent="0.3">
      <c r="A134" s="165">
        <v>156</v>
      </c>
      <c r="B134" s="166">
        <v>81</v>
      </c>
      <c r="C134" s="167">
        <v>144</v>
      </c>
      <c r="D134" s="168">
        <f t="shared" ref="D134:D197" si="4">F134</f>
        <v>12381.633599999999</v>
      </c>
      <c r="E134" s="86">
        <v>123.81633599999999</v>
      </c>
      <c r="F134" s="42">
        <f t="shared" ref="F134:F197" si="5">E134*100</f>
        <v>12381.633599999999</v>
      </c>
    </row>
    <row r="135" spans="1:6" x14ac:dyDescent="0.3">
      <c r="A135" s="165">
        <v>156</v>
      </c>
      <c r="B135" s="166">
        <v>79</v>
      </c>
      <c r="C135" s="167">
        <v>144</v>
      </c>
      <c r="D135" s="168">
        <f t="shared" si="4"/>
        <v>18873.518399999997</v>
      </c>
      <c r="E135" s="86">
        <v>188.73518399999998</v>
      </c>
      <c r="F135" s="42">
        <f t="shared" si="5"/>
        <v>18873.518399999997</v>
      </c>
    </row>
    <row r="136" spans="1:6" x14ac:dyDescent="0.3">
      <c r="A136" s="165">
        <v>156</v>
      </c>
      <c r="B136" s="166">
        <v>75</v>
      </c>
      <c r="C136" s="167">
        <v>144</v>
      </c>
      <c r="D136" s="168">
        <f t="shared" si="4"/>
        <v>0</v>
      </c>
      <c r="E136" s="86">
        <v>0</v>
      </c>
      <c r="F136" s="42">
        <f t="shared" si="5"/>
        <v>0</v>
      </c>
    </row>
    <row r="137" spans="1:6" x14ac:dyDescent="0.3">
      <c r="A137" s="165">
        <v>156</v>
      </c>
      <c r="B137" s="166">
        <v>84</v>
      </c>
      <c r="C137" s="167">
        <v>144</v>
      </c>
      <c r="D137" s="168">
        <f t="shared" si="4"/>
        <v>7013.9519999999993</v>
      </c>
      <c r="E137" s="86">
        <v>70.13951999999999</v>
      </c>
      <c r="F137" s="42">
        <f t="shared" si="5"/>
        <v>7013.9519999999993</v>
      </c>
    </row>
    <row r="138" spans="1:6" x14ac:dyDescent="0.3">
      <c r="A138" s="165">
        <v>157</v>
      </c>
      <c r="B138" s="166">
        <v>14</v>
      </c>
      <c r="C138" s="167">
        <v>144</v>
      </c>
      <c r="D138" s="168">
        <f t="shared" si="4"/>
        <v>18305.531999999999</v>
      </c>
      <c r="E138" s="86">
        <v>183.05531999999999</v>
      </c>
      <c r="F138" s="42">
        <f t="shared" si="5"/>
        <v>18305.531999999999</v>
      </c>
    </row>
    <row r="139" spans="1:6" x14ac:dyDescent="0.3">
      <c r="A139" s="165">
        <v>157</v>
      </c>
      <c r="B139" s="166">
        <v>33</v>
      </c>
      <c r="C139" s="167">
        <v>144</v>
      </c>
      <c r="D139" s="168">
        <f t="shared" si="4"/>
        <v>0</v>
      </c>
      <c r="E139" s="86">
        <v>0</v>
      </c>
      <c r="F139" s="42">
        <f t="shared" si="5"/>
        <v>0</v>
      </c>
    </row>
    <row r="140" spans="1:6" x14ac:dyDescent="0.3">
      <c r="A140" s="165">
        <v>157</v>
      </c>
      <c r="B140" s="166">
        <v>34</v>
      </c>
      <c r="C140" s="167">
        <v>144</v>
      </c>
      <c r="D140" s="168">
        <f t="shared" si="4"/>
        <v>8447.9999999999982</v>
      </c>
      <c r="E140" s="86">
        <v>84.47999999999999</v>
      </c>
      <c r="F140" s="42">
        <f t="shared" si="5"/>
        <v>8447.9999999999982</v>
      </c>
    </row>
    <row r="141" spans="1:6" x14ac:dyDescent="0.3">
      <c r="A141" s="165">
        <v>157</v>
      </c>
      <c r="B141" s="166">
        <v>43</v>
      </c>
      <c r="C141" s="167">
        <v>144</v>
      </c>
      <c r="D141" s="168">
        <f t="shared" si="4"/>
        <v>12817.250400000001</v>
      </c>
      <c r="E141" s="86">
        <v>128.172504</v>
      </c>
      <c r="F141" s="42">
        <f t="shared" si="5"/>
        <v>12817.250400000001</v>
      </c>
    </row>
    <row r="142" spans="1:6" x14ac:dyDescent="0.3">
      <c r="A142" s="165">
        <v>157</v>
      </c>
      <c r="B142" s="166">
        <v>44</v>
      </c>
      <c r="C142" s="167">
        <v>144</v>
      </c>
      <c r="D142" s="168">
        <f t="shared" si="4"/>
        <v>8447.9999999999982</v>
      </c>
      <c r="E142" s="86">
        <v>84.47999999999999</v>
      </c>
      <c r="F142" s="42">
        <f t="shared" si="5"/>
        <v>8447.9999999999982</v>
      </c>
    </row>
    <row r="143" spans="1:6" x14ac:dyDescent="0.3">
      <c r="A143" s="165">
        <v>157</v>
      </c>
      <c r="B143" s="166">
        <v>45</v>
      </c>
      <c r="C143" s="167">
        <v>144</v>
      </c>
      <c r="D143" s="168">
        <f t="shared" si="4"/>
        <v>13555.224000000002</v>
      </c>
      <c r="E143" s="86">
        <v>135.55224000000001</v>
      </c>
      <c r="F143" s="42">
        <f t="shared" si="5"/>
        <v>13555.224000000002</v>
      </c>
    </row>
    <row r="144" spans="1:6" x14ac:dyDescent="0.3">
      <c r="A144" s="165">
        <v>157</v>
      </c>
      <c r="B144" s="166">
        <v>46</v>
      </c>
      <c r="C144" s="167">
        <v>144</v>
      </c>
      <c r="D144" s="168">
        <f t="shared" si="4"/>
        <v>8868</v>
      </c>
      <c r="E144" s="86">
        <v>88.679999999999993</v>
      </c>
      <c r="F144" s="42">
        <f t="shared" si="5"/>
        <v>8868</v>
      </c>
    </row>
    <row r="145" spans="1:6" x14ac:dyDescent="0.3">
      <c r="A145" s="165">
        <v>161</v>
      </c>
      <c r="B145" s="166">
        <v>51</v>
      </c>
      <c r="C145" s="167">
        <v>144</v>
      </c>
      <c r="D145" s="168">
        <f t="shared" si="4"/>
        <v>18394.807200000003</v>
      </c>
      <c r="E145" s="86">
        <v>183.94807200000002</v>
      </c>
      <c r="F145" s="42">
        <f t="shared" si="5"/>
        <v>18394.807200000003</v>
      </c>
    </row>
    <row r="146" spans="1:6" x14ac:dyDescent="0.3">
      <c r="A146" s="165">
        <v>161</v>
      </c>
      <c r="B146" s="166">
        <v>49</v>
      </c>
      <c r="C146" s="167">
        <v>144</v>
      </c>
      <c r="D146" s="168">
        <f t="shared" si="4"/>
        <v>17887.6728</v>
      </c>
      <c r="E146" s="86">
        <v>178.87672799999999</v>
      </c>
      <c r="F146" s="42">
        <f t="shared" si="5"/>
        <v>17887.6728</v>
      </c>
    </row>
    <row r="147" spans="1:6" x14ac:dyDescent="0.3">
      <c r="A147" s="165">
        <v>161</v>
      </c>
      <c r="B147" s="166">
        <v>45</v>
      </c>
      <c r="C147" s="167">
        <v>144</v>
      </c>
      <c r="D147" s="168">
        <f t="shared" si="4"/>
        <v>7709.9999999999991</v>
      </c>
      <c r="E147" s="86">
        <v>77.099999999999994</v>
      </c>
      <c r="F147" s="42">
        <f t="shared" si="5"/>
        <v>7709.9999999999991</v>
      </c>
    </row>
    <row r="148" spans="1:6" x14ac:dyDescent="0.3">
      <c r="A148" s="165">
        <v>161</v>
      </c>
      <c r="B148" s="166">
        <v>32</v>
      </c>
      <c r="C148" s="167">
        <v>144</v>
      </c>
      <c r="D148" s="168">
        <f t="shared" si="4"/>
        <v>24000.000000000004</v>
      </c>
      <c r="E148" s="86">
        <v>240.00000000000003</v>
      </c>
      <c r="F148" s="42">
        <f t="shared" si="5"/>
        <v>24000.000000000004</v>
      </c>
    </row>
    <row r="149" spans="1:6" x14ac:dyDescent="0.3">
      <c r="A149" s="165">
        <v>161</v>
      </c>
      <c r="B149" s="166">
        <v>52</v>
      </c>
      <c r="C149" s="167">
        <v>144</v>
      </c>
      <c r="D149" s="168">
        <f t="shared" si="4"/>
        <v>6533.7019999999993</v>
      </c>
      <c r="E149" s="86">
        <v>65.337019999999995</v>
      </c>
      <c r="F149" s="42">
        <f t="shared" si="5"/>
        <v>6533.7019999999993</v>
      </c>
    </row>
    <row r="150" spans="1:6" x14ac:dyDescent="0.3">
      <c r="A150" s="165">
        <v>161</v>
      </c>
      <c r="B150" s="166">
        <v>34</v>
      </c>
      <c r="C150" s="167">
        <v>144</v>
      </c>
      <c r="D150" s="168">
        <f t="shared" si="4"/>
        <v>0</v>
      </c>
      <c r="E150" s="86">
        <v>0</v>
      </c>
      <c r="F150" s="42">
        <f t="shared" si="5"/>
        <v>0</v>
      </c>
    </row>
    <row r="151" spans="1:6" x14ac:dyDescent="0.3">
      <c r="A151" s="165">
        <v>166</v>
      </c>
      <c r="B151" s="166">
        <v>34</v>
      </c>
      <c r="C151" s="167">
        <v>144</v>
      </c>
      <c r="D151" s="168">
        <f t="shared" si="4"/>
        <v>13921.2816</v>
      </c>
      <c r="E151" s="86">
        <v>139.212816</v>
      </c>
      <c r="F151" s="42">
        <f t="shared" si="5"/>
        <v>13921.2816</v>
      </c>
    </row>
    <row r="152" spans="1:6" x14ac:dyDescent="0.3">
      <c r="A152" s="165">
        <v>166</v>
      </c>
      <c r="B152" s="166">
        <v>1</v>
      </c>
      <c r="C152" s="167">
        <v>144</v>
      </c>
      <c r="D152" s="168">
        <f t="shared" si="4"/>
        <v>0</v>
      </c>
      <c r="E152" s="86">
        <v>0</v>
      </c>
      <c r="F152" s="42">
        <f t="shared" si="5"/>
        <v>0</v>
      </c>
    </row>
    <row r="153" spans="1:6" x14ac:dyDescent="0.3">
      <c r="A153" s="165">
        <v>166</v>
      </c>
      <c r="B153" s="166">
        <v>22</v>
      </c>
      <c r="C153" s="167">
        <v>144</v>
      </c>
      <c r="D153" s="168">
        <f t="shared" si="4"/>
        <v>0</v>
      </c>
      <c r="E153" s="86">
        <v>0</v>
      </c>
      <c r="F153" s="42">
        <f t="shared" si="5"/>
        <v>0</v>
      </c>
    </row>
    <row r="154" spans="1:6" x14ac:dyDescent="0.3">
      <c r="A154" s="165">
        <v>166</v>
      </c>
      <c r="B154" s="166">
        <v>39</v>
      </c>
      <c r="C154" s="167">
        <v>144</v>
      </c>
      <c r="D154" s="168">
        <f t="shared" si="4"/>
        <v>0</v>
      </c>
      <c r="E154" s="86">
        <v>0</v>
      </c>
      <c r="F154" s="42">
        <f t="shared" si="5"/>
        <v>0</v>
      </c>
    </row>
    <row r="155" spans="1:6" x14ac:dyDescent="0.3">
      <c r="A155" s="165">
        <v>166</v>
      </c>
      <c r="B155" s="166">
        <v>8</v>
      </c>
      <c r="C155" s="167">
        <v>144</v>
      </c>
      <c r="D155" s="168">
        <f t="shared" si="4"/>
        <v>0</v>
      </c>
      <c r="E155" s="86">
        <v>0</v>
      </c>
      <c r="F155" s="42">
        <f t="shared" si="5"/>
        <v>0</v>
      </c>
    </row>
    <row r="156" spans="1:6" x14ac:dyDescent="0.3">
      <c r="A156" s="165">
        <v>169</v>
      </c>
      <c r="B156" s="166">
        <v>35</v>
      </c>
      <c r="C156" s="167">
        <v>144</v>
      </c>
      <c r="D156" s="168">
        <f t="shared" si="4"/>
        <v>7884</v>
      </c>
      <c r="E156" s="86">
        <v>78.84</v>
      </c>
      <c r="F156" s="42">
        <f t="shared" si="5"/>
        <v>7884</v>
      </c>
    </row>
    <row r="157" spans="1:6" x14ac:dyDescent="0.3">
      <c r="A157" s="165">
        <v>169</v>
      </c>
      <c r="B157" s="166">
        <v>39</v>
      </c>
      <c r="C157" s="167">
        <v>144</v>
      </c>
      <c r="D157" s="168">
        <f t="shared" si="4"/>
        <v>0</v>
      </c>
      <c r="E157" s="86">
        <v>0</v>
      </c>
      <c r="F157" s="42">
        <f t="shared" si="5"/>
        <v>0</v>
      </c>
    </row>
    <row r="158" spans="1:6" x14ac:dyDescent="0.3">
      <c r="A158" s="165">
        <v>169</v>
      </c>
      <c r="B158" s="166">
        <v>16</v>
      </c>
      <c r="C158" s="167">
        <v>144</v>
      </c>
      <c r="D158" s="168">
        <f t="shared" si="4"/>
        <v>0</v>
      </c>
      <c r="E158" s="86">
        <v>0</v>
      </c>
      <c r="F158" s="42">
        <f t="shared" si="5"/>
        <v>0</v>
      </c>
    </row>
    <row r="159" spans="1:6" x14ac:dyDescent="0.3">
      <c r="A159" s="165">
        <v>169</v>
      </c>
      <c r="B159" s="166">
        <v>31</v>
      </c>
      <c r="C159" s="167">
        <v>144</v>
      </c>
      <c r="D159" s="168">
        <f t="shared" si="4"/>
        <v>0</v>
      </c>
      <c r="E159" s="86">
        <v>0</v>
      </c>
      <c r="F159" s="42">
        <f t="shared" si="5"/>
        <v>0</v>
      </c>
    </row>
    <row r="160" spans="1:6" x14ac:dyDescent="0.3">
      <c r="A160" s="165">
        <v>169</v>
      </c>
      <c r="B160" s="166">
        <v>7</v>
      </c>
      <c r="C160" s="167">
        <v>144</v>
      </c>
      <c r="D160" s="168">
        <f t="shared" si="4"/>
        <v>0</v>
      </c>
      <c r="E160" s="86">
        <v>0</v>
      </c>
      <c r="F160" s="42">
        <f t="shared" si="5"/>
        <v>0</v>
      </c>
    </row>
    <row r="161" spans="1:6" x14ac:dyDescent="0.3">
      <c r="A161" s="165">
        <v>169</v>
      </c>
      <c r="B161" s="166">
        <v>41</v>
      </c>
      <c r="C161" s="167">
        <v>144</v>
      </c>
      <c r="D161" s="168">
        <f t="shared" si="4"/>
        <v>0</v>
      </c>
      <c r="E161" s="86">
        <v>0</v>
      </c>
      <c r="F161" s="42">
        <f t="shared" si="5"/>
        <v>0</v>
      </c>
    </row>
    <row r="162" spans="1:6" x14ac:dyDescent="0.3">
      <c r="A162" s="165">
        <v>169</v>
      </c>
      <c r="B162" s="166">
        <v>37</v>
      </c>
      <c r="C162" s="167">
        <v>144</v>
      </c>
      <c r="D162" s="168">
        <f t="shared" si="4"/>
        <v>0</v>
      </c>
      <c r="E162" s="86">
        <v>0</v>
      </c>
      <c r="F162" s="42">
        <f t="shared" si="5"/>
        <v>0</v>
      </c>
    </row>
    <row r="163" spans="1:6" x14ac:dyDescent="0.3">
      <c r="A163" s="165">
        <v>169</v>
      </c>
      <c r="B163" s="166">
        <v>38</v>
      </c>
      <c r="C163" s="167">
        <v>144</v>
      </c>
      <c r="D163" s="168">
        <f t="shared" si="4"/>
        <v>0</v>
      </c>
      <c r="E163" s="86">
        <v>0</v>
      </c>
      <c r="F163" s="42">
        <f t="shared" si="5"/>
        <v>0</v>
      </c>
    </row>
    <row r="164" spans="1:6" x14ac:dyDescent="0.3">
      <c r="A164" s="165">
        <v>169</v>
      </c>
      <c r="B164" s="166">
        <v>1</v>
      </c>
      <c r="C164" s="167">
        <v>144</v>
      </c>
      <c r="D164" s="168">
        <f t="shared" si="4"/>
        <v>0</v>
      </c>
      <c r="E164" s="86">
        <v>0</v>
      </c>
      <c r="F164" s="42">
        <f t="shared" si="5"/>
        <v>0</v>
      </c>
    </row>
    <row r="165" spans="1:6" x14ac:dyDescent="0.3">
      <c r="A165" s="165">
        <v>173</v>
      </c>
      <c r="B165" s="166">
        <v>5</v>
      </c>
      <c r="C165" s="167">
        <v>144</v>
      </c>
      <c r="D165" s="168">
        <f t="shared" si="4"/>
        <v>0</v>
      </c>
      <c r="E165" s="86">
        <v>0</v>
      </c>
      <c r="F165" s="42">
        <f t="shared" si="5"/>
        <v>0</v>
      </c>
    </row>
    <row r="166" spans="1:6" x14ac:dyDescent="0.3">
      <c r="A166" s="165">
        <v>173</v>
      </c>
      <c r="B166" s="166">
        <v>26</v>
      </c>
      <c r="C166" s="167">
        <v>144</v>
      </c>
      <c r="D166" s="168">
        <f t="shared" si="4"/>
        <v>18284.755275</v>
      </c>
      <c r="E166" s="86">
        <v>182.84755275000001</v>
      </c>
      <c r="F166" s="42">
        <f t="shared" si="5"/>
        <v>18284.755275</v>
      </c>
    </row>
    <row r="167" spans="1:6" x14ac:dyDescent="0.3">
      <c r="A167" s="165">
        <v>173</v>
      </c>
      <c r="B167" s="166">
        <v>30</v>
      </c>
      <c r="C167" s="167">
        <v>144</v>
      </c>
      <c r="D167" s="168">
        <f t="shared" si="4"/>
        <v>8682</v>
      </c>
      <c r="E167" s="86">
        <v>86.82</v>
      </c>
      <c r="F167" s="42">
        <f t="shared" si="5"/>
        <v>8682</v>
      </c>
    </row>
    <row r="168" spans="1:6" x14ac:dyDescent="0.3">
      <c r="A168" s="165">
        <v>173</v>
      </c>
      <c r="B168" s="166">
        <v>34</v>
      </c>
      <c r="C168" s="167">
        <v>144</v>
      </c>
      <c r="D168" s="168">
        <f t="shared" si="4"/>
        <v>10612.284</v>
      </c>
      <c r="E168" s="86">
        <v>106.12284</v>
      </c>
      <c r="F168" s="42">
        <f t="shared" si="5"/>
        <v>10612.284</v>
      </c>
    </row>
    <row r="169" spans="1:6" x14ac:dyDescent="0.3">
      <c r="A169" s="165">
        <v>173</v>
      </c>
      <c r="B169" s="166">
        <v>35</v>
      </c>
      <c r="C169" s="167">
        <v>144</v>
      </c>
      <c r="D169" s="168">
        <f t="shared" si="4"/>
        <v>0</v>
      </c>
      <c r="E169" s="86">
        <v>0</v>
      </c>
      <c r="F169" s="42">
        <f t="shared" si="5"/>
        <v>0</v>
      </c>
    </row>
    <row r="170" spans="1:6" x14ac:dyDescent="0.3">
      <c r="A170" s="165">
        <v>173</v>
      </c>
      <c r="B170" s="166">
        <v>38</v>
      </c>
      <c r="C170" s="167">
        <v>144</v>
      </c>
      <c r="D170" s="168">
        <f t="shared" si="4"/>
        <v>14153.443200000002</v>
      </c>
      <c r="E170" s="86">
        <v>141.53443200000001</v>
      </c>
      <c r="F170" s="42">
        <f t="shared" si="5"/>
        <v>14153.443200000002</v>
      </c>
    </row>
    <row r="171" spans="1:6" x14ac:dyDescent="0.3">
      <c r="A171" s="165">
        <v>173</v>
      </c>
      <c r="B171" s="166">
        <v>41</v>
      </c>
      <c r="C171" s="167">
        <v>144</v>
      </c>
      <c r="D171" s="168">
        <f t="shared" si="4"/>
        <v>6852</v>
      </c>
      <c r="E171" s="86">
        <v>68.52</v>
      </c>
      <c r="F171" s="42">
        <f t="shared" si="5"/>
        <v>6852</v>
      </c>
    </row>
    <row r="172" spans="1:6" x14ac:dyDescent="0.3">
      <c r="A172" s="165">
        <v>175</v>
      </c>
      <c r="B172" s="166">
        <v>17</v>
      </c>
      <c r="C172" s="167">
        <v>144</v>
      </c>
      <c r="D172" s="168">
        <f t="shared" si="4"/>
        <v>6362.2199999999993</v>
      </c>
      <c r="E172" s="86">
        <v>63.622199999999992</v>
      </c>
      <c r="F172" s="42">
        <f t="shared" si="5"/>
        <v>6362.2199999999993</v>
      </c>
    </row>
    <row r="173" spans="1:6" x14ac:dyDescent="0.3">
      <c r="A173" s="165">
        <v>175</v>
      </c>
      <c r="B173" s="166">
        <v>13</v>
      </c>
      <c r="C173" s="167">
        <v>144</v>
      </c>
      <c r="D173" s="168">
        <f t="shared" si="4"/>
        <v>13529.999999999998</v>
      </c>
      <c r="E173" s="86">
        <v>135.29999999999998</v>
      </c>
      <c r="F173" s="42">
        <f t="shared" si="5"/>
        <v>13529.999999999998</v>
      </c>
    </row>
    <row r="174" spans="1:6" x14ac:dyDescent="0.3">
      <c r="A174" s="165">
        <v>175</v>
      </c>
      <c r="B174" s="166">
        <v>11</v>
      </c>
      <c r="C174" s="167">
        <v>144</v>
      </c>
      <c r="D174" s="168">
        <f t="shared" si="4"/>
        <v>23519.583450000006</v>
      </c>
      <c r="E174" s="86">
        <v>235.19583450000005</v>
      </c>
      <c r="F174" s="42">
        <f t="shared" si="5"/>
        <v>23519.583450000006</v>
      </c>
    </row>
    <row r="175" spans="1:6" x14ac:dyDescent="0.3">
      <c r="A175" s="165">
        <v>175</v>
      </c>
      <c r="B175" s="166">
        <v>8</v>
      </c>
      <c r="C175" s="167">
        <v>144</v>
      </c>
      <c r="D175" s="168">
        <f t="shared" si="4"/>
        <v>6362.2199999999993</v>
      </c>
      <c r="E175" s="86">
        <v>63.622199999999992</v>
      </c>
      <c r="F175" s="42">
        <f t="shared" si="5"/>
        <v>6362.2199999999993</v>
      </c>
    </row>
    <row r="176" spans="1:6" x14ac:dyDescent="0.3">
      <c r="A176" s="165">
        <v>175</v>
      </c>
      <c r="B176" s="166">
        <v>3</v>
      </c>
      <c r="C176" s="167">
        <v>144</v>
      </c>
      <c r="D176" s="168">
        <f t="shared" si="4"/>
        <v>14865.650099999997</v>
      </c>
      <c r="E176" s="86">
        <v>148.65650099999996</v>
      </c>
      <c r="F176" s="42">
        <f t="shared" si="5"/>
        <v>14865.650099999997</v>
      </c>
    </row>
    <row r="177" spans="1:6" x14ac:dyDescent="0.3">
      <c r="A177" s="165">
        <v>175</v>
      </c>
      <c r="B177" s="166">
        <v>9</v>
      </c>
      <c r="C177" s="167">
        <v>144</v>
      </c>
      <c r="D177" s="168">
        <f t="shared" si="4"/>
        <v>0</v>
      </c>
      <c r="E177" s="86">
        <v>0</v>
      </c>
      <c r="F177" s="42">
        <f t="shared" si="5"/>
        <v>0</v>
      </c>
    </row>
    <row r="178" spans="1:6" x14ac:dyDescent="0.3">
      <c r="A178" s="165">
        <v>175</v>
      </c>
      <c r="B178" s="166">
        <v>1</v>
      </c>
      <c r="C178" s="167">
        <v>144</v>
      </c>
      <c r="D178" s="168">
        <f t="shared" si="4"/>
        <v>9922</v>
      </c>
      <c r="E178" s="86">
        <v>99.22</v>
      </c>
      <c r="F178" s="42">
        <f t="shared" si="5"/>
        <v>9922</v>
      </c>
    </row>
    <row r="179" spans="1:6" x14ac:dyDescent="0.3">
      <c r="A179" s="165">
        <v>179</v>
      </c>
      <c r="B179" s="166">
        <v>1</v>
      </c>
      <c r="C179" s="167">
        <v>144</v>
      </c>
      <c r="D179" s="168">
        <f t="shared" si="4"/>
        <v>9104.0399999999991</v>
      </c>
      <c r="E179" s="86">
        <v>91.040399999999991</v>
      </c>
      <c r="F179" s="42">
        <f t="shared" si="5"/>
        <v>9104.0399999999991</v>
      </c>
    </row>
    <row r="180" spans="1:6" x14ac:dyDescent="0.3">
      <c r="A180" s="165">
        <v>179</v>
      </c>
      <c r="B180" s="166">
        <v>2</v>
      </c>
      <c r="C180" s="167">
        <v>144</v>
      </c>
      <c r="D180" s="168">
        <f t="shared" si="4"/>
        <v>0</v>
      </c>
      <c r="E180" s="86">
        <v>0</v>
      </c>
      <c r="F180" s="42">
        <f t="shared" si="5"/>
        <v>0</v>
      </c>
    </row>
    <row r="181" spans="1:6" x14ac:dyDescent="0.3">
      <c r="A181" s="165">
        <v>179</v>
      </c>
      <c r="B181" s="166">
        <v>3</v>
      </c>
      <c r="C181" s="167">
        <v>144</v>
      </c>
      <c r="D181" s="168">
        <f t="shared" si="4"/>
        <v>0</v>
      </c>
      <c r="E181" s="86">
        <v>0</v>
      </c>
      <c r="F181" s="42">
        <f t="shared" si="5"/>
        <v>0</v>
      </c>
    </row>
    <row r="182" spans="1:6" x14ac:dyDescent="0.3">
      <c r="A182" s="165">
        <v>179</v>
      </c>
      <c r="B182" s="166">
        <v>4</v>
      </c>
      <c r="C182" s="167">
        <v>144</v>
      </c>
      <c r="D182" s="168">
        <f t="shared" si="4"/>
        <v>9720</v>
      </c>
      <c r="E182" s="86">
        <v>97.2</v>
      </c>
      <c r="F182" s="42">
        <f t="shared" si="5"/>
        <v>9720</v>
      </c>
    </row>
    <row r="183" spans="1:6" x14ac:dyDescent="0.3">
      <c r="A183" s="165">
        <v>179</v>
      </c>
      <c r="B183" s="166">
        <v>16</v>
      </c>
      <c r="C183" s="167">
        <v>144</v>
      </c>
      <c r="D183" s="168">
        <f t="shared" si="4"/>
        <v>21764.004075000001</v>
      </c>
      <c r="E183" s="86">
        <v>217.64004075</v>
      </c>
      <c r="F183" s="42">
        <f t="shared" si="5"/>
        <v>21764.004075000001</v>
      </c>
    </row>
    <row r="184" spans="1:6" x14ac:dyDescent="0.3">
      <c r="A184" s="165">
        <v>179</v>
      </c>
      <c r="B184" s="166">
        <v>12</v>
      </c>
      <c r="C184" s="167">
        <v>144</v>
      </c>
      <c r="D184" s="168">
        <f t="shared" si="4"/>
        <v>9104.0399999999991</v>
      </c>
      <c r="E184" s="86">
        <v>91.040399999999991</v>
      </c>
      <c r="F184" s="42">
        <f t="shared" si="5"/>
        <v>9104.0399999999991</v>
      </c>
    </row>
    <row r="185" spans="1:6" x14ac:dyDescent="0.3">
      <c r="A185" s="165">
        <v>179</v>
      </c>
      <c r="B185" s="166">
        <v>18</v>
      </c>
      <c r="C185" s="167">
        <v>144</v>
      </c>
      <c r="D185" s="168">
        <f t="shared" si="4"/>
        <v>20711.401424999996</v>
      </c>
      <c r="E185" s="86">
        <v>207.11401424999997</v>
      </c>
      <c r="F185" s="42">
        <f t="shared" si="5"/>
        <v>20711.401424999996</v>
      </c>
    </row>
    <row r="186" spans="1:6" x14ac:dyDescent="0.3">
      <c r="A186" s="165">
        <v>181</v>
      </c>
      <c r="B186" s="166">
        <v>2</v>
      </c>
      <c r="C186" s="167">
        <v>144</v>
      </c>
      <c r="D186" s="168">
        <f t="shared" si="4"/>
        <v>24720</v>
      </c>
      <c r="E186" s="86">
        <v>247.2</v>
      </c>
      <c r="F186" s="42">
        <f t="shared" si="5"/>
        <v>24720</v>
      </c>
    </row>
    <row r="187" spans="1:6" x14ac:dyDescent="0.3">
      <c r="A187" s="165">
        <v>181</v>
      </c>
      <c r="B187" s="166">
        <v>33</v>
      </c>
      <c r="C187" s="167">
        <v>144</v>
      </c>
      <c r="D187" s="168">
        <f t="shared" si="4"/>
        <v>14980.000000000002</v>
      </c>
      <c r="E187" s="86">
        <v>149.80000000000001</v>
      </c>
      <c r="F187" s="42">
        <f t="shared" si="5"/>
        <v>14980.000000000002</v>
      </c>
    </row>
    <row r="188" spans="1:6" x14ac:dyDescent="0.3">
      <c r="A188" s="165">
        <v>181</v>
      </c>
      <c r="B188" s="166">
        <v>31</v>
      </c>
      <c r="C188" s="167">
        <v>144</v>
      </c>
      <c r="D188" s="168">
        <f t="shared" si="4"/>
        <v>6720</v>
      </c>
      <c r="E188" s="86">
        <v>67.2</v>
      </c>
      <c r="F188" s="42">
        <f t="shared" si="5"/>
        <v>6720</v>
      </c>
    </row>
    <row r="189" spans="1:6" x14ac:dyDescent="0.3">
      <c r="A189" s="165">
        <v>181</v>
      </c>
      <c r="B189" s="166">
        <v>12</v>
      </c>
      <c r="C189" s="167">
        <v>144</v>
      </c>
      <c r="D189" s="168">
        <f t="shared" si="4"/>
        <v>0</v>
      </c>
      <c r="E189" s="86">
        <v>0</v>
      </c>
      <c r="F189" s="42">
        <f t="shared" si="5"/>
        <v>0</v>
      </c>
    </row>
    <row r="190" spans="1:6" x14ac:dyDescent="0.3">
      <c r="A190" s="165">
        <v>181</v>
      </c>
      <c r="B190" s="166">
        <v>16</v>
      </c>
      <c r="C190" s="167">
        <v>144</v>
      </c>
      <c r="D190" s="168">
        <f t="shared" si="4"/>
        <v>27128.459399999996</v>
      </c>
      <c r="E190" s="86">
        <v>271.28459399999997</v>
      </c>
      <c r="F190" s="42">
        <f t="shared" si="5"/>
        <v>27128.459399999996</v>
      </c>
    </row>
    <row r="191" spans="1:6" x14ac:dyDescent="0.3">
      <c r="A191" s="165">
        <v>181</v>
      </c>
      <c r="B191" s="166">
        <v>18</v>
      </c>
      <c r="C191" s="167">
        <v>144</v>
      </c>
      <c r="D191" s="168">
        <f t="shared" si="4"/>
        <v>17014.212599999995</v>
      </c>
      <c r="E191" s="86">
        <v>170.14212599999996</v>
      </c>
      <c r="F191" s="42">
        <f t="shared" si="5"/>
        <v>17014.212599999995</v>
      </c>
    </row>
    <row r="192" spans="1:6" x14ac:dyDescent="0.3">
      <c r="A192" s="165">
        <v>181</v>
      </c>
      <c r="B192" s="166">
        <v>32</v>
      </c>
      <c r="C192" s="167">
        <v>144</v>
      </c>
      <c r="D192" s="168">
        <f t="shared" si="4"/>
        <v>6720</v>
      </c>
      <c r="E192" s="86">
        <v>67.2</v>
      </c>
      <c r="F192" s="42">
        <f t="shared" si="5"/>
        <v>6720</v>
      </c>
    </row>
    <row r="193" spans="1:6" x14ac:dyDescent="0.3">
      <c r="A193" s="165">
        <v>181</v>
      </c>
      <c r="B193" s="166">
        <v>1</v>
      </c>
      <c r="C193" s="167">
        <v>144</v>
      </c>
      <c r="D193" s="168">
        <f t="shared" si="4"/>
        <v>23690</v>
      </c>
      <c r="E193" s="86">
        <v>236.9</v>
      </c>
      <c r="F193" s="42">
        <f t="shared" si="5"/>
        <v>23690</v>
      </c>
    </row>
    <row r="194" spans="1:6" x14ac:dyDescent="0.3">
      <c r="A194" s="165">
        <v>181</v>
      </c>
      <c r="B194" s="166">
        <v>19</v>
      </c>
      <c r="C194" s="167">
        <v>144</v>
      </c>
      <c r="D194" s="168">
        <f t="shared" si="4"/>
        <v>0</v>
      </c>
      <c r="E194" s="86">
        <v>0</v>
      </c>
      <c r="F194" s="42">
        <f t="shared" si="5"/>
        <v>0</v>
      </c>
    </row>
    <row r="195" spans="1:6" x14ac:dyDescent="0.3">
      <c r="A195" s="165">
        <v>181</v>
      </c>
      <c r="B195" s="166">
        <v>13</v>
      </c>
      <c r="C195" s="167">
        <v>144</v>
      </c>
      <c r="D195" s="168">
        <f t="shared" si="4"/>
        <v>25922.561699999998</v>
      </c>
      <c r="E195" s="86">
        <v>259.225617</v>
      </c>
      <c r="F195" s="42">
        <f t="shared" si="5"/>
        <v>25922.561699999998</v>
      </c>
    </row>
    <row r="196" spans="1:6" x14ac:dyDescent="0.3">
      <c r="A196" s="165">
        <v>183</v>
      </c>
      <c r="B196" s="166">
        <v>14</v>
      </c>
      <c r="C196" s="167">
        <v>144</v>
      </c>
      <c r="D196" s="168">
        <f t="shared" si="4"/>
        <v>11147.667299999997</v>
      </c>
      <c r="E196" s="86">
        <v>111.47667299999998</v>
      </c>
      <c r="F196" s="42">
        <f t="shared" si="5"/>
        <v>11147.667299999997</v>
      </c>
    </row>
    <row r="197" spans="1:6" x14ac:dyDescent="0.3">
      <c r="A197" s="165">
        <v>183</v>
      </c>
      <c r="B197" s="166">
        <v>16</v>
      </c>
      <c r="C197" s="167">
        <v>144</v>
      </c>
      <c r="D197" s="168">
        <f t="shared" si="4"/>
        <v>0</v>
      </c>
      <c r="E197" s="86">
        <v>0</v>
      </c>
      <c r="F197" s="42">
        <f t="shared" si="5"/>
        <v>0</v>
      </c>
    </row>
    <row r="198" spans="1:6" x14ac:dyDescent="0.3">
      <c r="A198" s="165">
        <v>183</v>
      </c>
      <c r="B198" s="166">
        <v>8</v>
      </c>
      <c r="C198" s="167">
        <v>144</v>
      </c>
      <c r="D198" s="168">
        <f t="shared" ref="D198:D224" si="6">F198</f>
        <v>10716</v>
      </c>
      <c r="E198" s="86">
        <v>107.16</v>
      </c>
      <c r="F198" s="42">
        <f t="shared" ref="F198:F224" si="7">E198*100</f>
        <v>10716</v>
      </c>
    </row>
    <row r="199" spans="1:6" x14ac:dyDescent="0.3">
      <c r="A199" s="165">
        <v>183</v>
      </c>
      <c r="B199" s="166">
        <v>13</v>
      </c>
      <c r="C199" s="167">
        <v>144</v>
      </c>
      <c r="D199" s="168">
        <f t="shared" si="6"/>
        <v>0</v>
      </c>
      <c r="E199" s="86">
        <v>0</v>
      </c>
      <c r="F199" s="42">
        <f t="shared" si="7"/>
        <v>0</v>
      </c>
    </row>
    <row r="200" spans="1:6" x14ac:dyDescent="0.3">
      <c r="A200" s="165">
        <v>183</v>
      </c>
      <c r="B200" s="166">
        <v>1</v>
      </c>
      <c r="C200" s="167">
        <v>144</v>
      </c>
      <c r="D200" s="168">
        <f t="shared" si="6"/>
        <v>10716</v>
      </c>
      <c r="E200" s="86">
        <v>107.16</v>
      </c>
      <c r="F200" s="42">
        <f t="shared" si="7"/>
        <v>10716</v>
      </c>
    </row>
    <row r="201" spans="1:6" x14ac:dyDescent="0.3">
      <c r="A201" s="165">
        <v>183</v>
      </c>
      <c r="B201" s="166">
        <v>5</v>
      </c>
      <c r="C201" s="167">
        <v>144</v>
      </c>
      <c r="D201" s="168">
        <f t="shared" si="6"/>
        <v>11269.093499999999</v>
      </c>
      <c r="E201" s="86">
        <v>112.69093499999998</v>
      </c>
      <c r="F201" s="42">
        <f t="shared" si="7"/>
        <v>11269.093499999999</v>
      </c>
    </row>
    <row r="202" spans="1:6" x14ac:dyDescent="0.3">
      <c r="A202" s="165">
        <v>183</v>
      </c>
      <c r="B202" s="166">
        <v>15</v>
      </c>
      <c r="C202" s="167">
        <v>144</v>
      </c>
      <c r="D202" s="168">
        <f t="shared" si="6"/>
        <v>0</v>
      </c>
      <c r="E202" s="86">
        <v>0</v>
      </c>
      <c r="F202" s="42">
        <f t="shared" si="7"/>
        <v>0</v>
      </c>
    </row>
    <row r="203" spans="1:6" x14ac:dyDescent="0.3">
      <c r="A203" s="165">
        <v>183</v>
      </c>
      <c r="B203" s="166">
        <v>2</v>
      </c>
      <c r="C203" s="167">
        <v>144</v>
      </c>
      <c r="D203" s="168">
        <f t="shared" si="6"/>
        <v>9116.64</v>
      </c>
      <c r="E203" s="86">
        <v>91.166399999999996</v>
      </c>
      <c r="F203" s="42">
        <f t="shared" si="7"/>
        <v>9116.64</v>
      </c>
    </row>
    <row r="204" spans="1:6" x14ac:dyDescent="0.3">
      <c r="A204" s="165">
        <v>185</v>
      </c>
      <c r="B204" s="166">
        <v>6</v>
      </c>
      <c r="C204" s="167">
        <v>144</v>
      </c>
      <c r="D204" s="168">
        <f t="shared" si="6"/>
        <v>9182.0735999999997</v>
      </c>
      <c r="E204" s="86">
        <v>91.820735999999997</v>
      </c>
      <c r="F204" s="42">
        <f t="shared" si="7"/>
        <v>9182.0735999999997</v>
      </c>
    </row>
    <row r="205" spans="1:6" x14ac:dyDescent="0.3">
      <c r="A205" s="165">
        <v>185</v>
      </c>
      <c r="B205" s="166">
        <v>1</v>
      </c>
      <c r="C205" s="167">
        <v>144</v>
      </c>
      <c r="D205" s="168">
        <f t="shared" si="6"/>
        <v>0</v>
      </c>
      <c r="E205" s="86">
        <v>0</v>
      </c>
      <c r="F205" s="42">
        <f t="shared" si="7"/>
        <v>0</v>
      </c>
    </row>
    <row r="206" spans="1:6" x14ac:dyDescent="0.3">
      <c r="A206" s="165">
        <v>185</v>
      </c>
      <c r="B206" s="166">
        <v>3</v>
      </c>
      <c r="C206" s="167">
        <v>144</v>
      </c>
      <c r="D206" s="168">
        <f t="shared" si="6"/>
        <v>6330</v>
      </c>
      <c r="E206" s="86">
        <v>63.3</v>
      </c>
      <c r="F206" s="42">
        <f t="shared" si="7"/>
        <v>6330</v>
      </c>
    </row>
    <row r="207" spans="1:6" x14ac:dyDescent="0.3">
      <c r="A207" s="165">
        <v>185</v>
      </c>
      <c r="B207" s="166">
        <v>7</v>
      </c>
      <c r="C207" s="167">
        <v>144</v>
      </c>
      <c r="D207" s="168">
        <f t="shared" si="6"/>
        <v>0</v>
      </c>
      <c r="E207" s="86">
        <v>0</v>
      </c>
      <c r="F207" s="42">
        <f t="shared" si="7"/>
        <v>0</v>
      </c>
    </row>
    <row r="208" spans="1:6" x14ac:dyDescent="0.3">
      <c r="A208" s="165">
        <v>185</v>
      </c>
      <c r="B208" s="166">
        <v>2</v>
      </c>
      <c r="C208" s="167">
        <v>144</v>
      </c>
      <c r="D208" s="168">
        <f t="shared" si="6"/>
        <v>10930.869599999996</v>
      </c>
      <c r="E208" s="86">
        <v>109.30869599999997</v>
      </c>
      <c r="F208" s="42">
        <f t="shared" si="7"/>
        <v>10930.869599999996</v>
      </c>
    </row>
    <row r="209" spans="1:6" x14ac:dyDescent="0.3">
      <c r="A209" s="165">
        <v>185</v>
      </c>
      <c r="B209" s="166">
        <v>9</v>
      </c>
      <c r="C209" s="167">
        <v>144</v>
      </c>
      <c r="D209" s="168">
        <f t="shared" si="6"/>
        <v>6330</v>
      </c>
      <c r="E209" s="86">
        <v>63.3</v>
      </c>
      <c r="F209" s="42">
        <f t="shared" si="7"/>
        <v>6330</v>
      </c>
    </row>
    <row r="210" spans="1:6" x14ac:dyDescent="0.3">
      <c r="A210" s="165">
        <v>185</v>
      </c>
      <c r="B210" s="166">
        <v>10</v>
      </c>
      <c r="C210" s="167">
        <v>144</v>
      </c>
      <c r="D210" s="168">
        <f t="shared" si="6"/>
        <v>8688.4496999999992</v>
      </c>
      <c r="E210" s="86">
        <v>86.884496999999996</v>
      </c>
      <c r="F210" s="42">
        <f t="shared" si="7"/>
        <v>8688.4496999999992</v>
      </c>
    </row>
    <row r="211" spans="1:6" x14ac:dyDescent="0.3">
      <c r="A211" s="165">
        <v>185</v>
      </c>
      <c r="B211" s="166">
        <v>11</v>
      </c>
      <c r="C211" s="167">
        <v>144</v>
      </c>
      <c r="D211" s="168">
        <f t="shared" si="6"/>
        <v>8112.9530999999988</v>
      </c>
      <c r="E211" s="86">
        <v>81.129530999999986</v>
      </c>
      <c r="F211" s="42">
        <f t="shared" si="7"/>
        <v>8112.9530999999988</v>
      </c>
    </row>
    <row r="212" spans="1:6" x14ac:dyDescent="0.3">
      <c r="A212" s="165">
        <v>185</v>
      </c>
      <c r="B212" s="166">
        <v>4</v>
      </c>
      <c r="C212" s="167">
        <v>144</v>
      </c>
      <c r="D212" s="168">
        <f t="shared" si="6"/>
        <v>6330</v>
      </c>
      <c r="E212" s="86">
        <v>63.3</v>
      </c>
      <c r="F212" s="42">
        <f t="shared" si="7"/>
        <v>6330</v>
      </c>
    </row>
    <row r="213" spans="1:6" x14ac:dyDescent="0.3">
      <c r="A213" s="165">
        <v>185</v>
      </c>
      <c r="B213" s="166">
        <v>8</v>
      </c>
      <c r="C213" s="167">
        <v>144</v>
      </c>
      <c r="D213" s="168">
        <f t="shared" si="6"/>
        <v>12384.747899999998</v>
      </c>
      <c r="E213" s="86">
        <v>123.84747899999998</v>
      </c>
      <c r="F213" s="42">
        <f t="shared" si="7"/>
        <v>12384.747899999998</v>
      </c>
    </row>
    <row r="214" spans="1:6" x14ac:dyDescent="0.3">
      <c r="A214" s="165">
        <v>185</v>
      </c>
      <c r="B214" s="166">
        <v>5</v>
      </c>
      <c r="C214" s="167">
        <v>144</v>
      </c>
      <c r="D214" s="168">
        <f t="shared" si="6"/>
        <v>0</v>
      </c>
      <c r="E214" s="86">
        <v>0</v>
      </c>
      <c r="F214" s="42">
        <f t="shared" si="7"/>
        <v>0</v>
      </c>
    </row>
    <row r="215" spans="1:6" x14ac:dyDescent="0.3">
      <c r="A215" s="165">
        <v>200</v>
      </c>
      <c r="B215" s="166">
        <v>129</v>
      </c>
      <c r="C215" s="167">
        <v>144</v>
      </c>
      <c r="D215" s="168">
        <f t="shared" si="6"/>
        <v>10081.188599999999</v>
      </c>
      <c r="E215" s="86">
        <v>100.811886</v>
      </c>
      <c r="F215" s="42">
        <f t="shared" si="7"/>
        <v>10081.188599999999</v>
      </c>
    </row>
    <row r="216" spans="1:6" x14ac:dyDescent="0.3">
      <c r="A216" s="165">
        <v>200</v>
      </c>
      <c r="B216" s="166">
        <v>82</v>
      </c>
      <c r="C216" s="167">
        <v>144</v>
      </c>
      <c r="D216" s="168">
        <f t="shared" si="6"/>
        <v>7849.4366999999984</v>
      </c>
      <c r="E216" s="86">
        <v>78.494366999999983</v>
      </c>
      <c r="F216" s="42">
        <f t="shared" si="7"/>
        <v>7849.4366999999984</v>
      </c>
    </row>
    <row r="217" spans="1:6" x14ac:dyDescent="0.3">
      <c r="A217" s="165">
        <v>200</v>
      </c>
      <c r="B217" s="166">
        <v>132</v>
      </c>
      <c r="C217" s="167">
        <v>144</v>
      </c>
      <c r="D217" s="168">
        <f t="shared" si="6"/>
        <v>11279.635499999999</v>
      </c>
      <c r="E217" s="86">
        <v>112.79635499999999</v>
      </c>
      <c r="F217" s="42">
        <f t="shared" si="7"/>
        <v>11279.635499999999</v>
      </c>
    </row>
    <row r="218" spans="1:6" x14ac:dyDescent="0.3">
      <c r="A218" s="165">
        <v>200</v>
      </c>
      <c r="B218" s="166">
        <v>130</v>
      </c>
      <c r="C218" s="167">
        <v>144</v>
      </c>
      <c r="D218" s="168">
        <f t="shared" si="6"/>
        <v>6720</v>
      </c>
      <c r="E218" s="86">
        <v>67.2</v>
      </c>
      <c r="F218" s="42">
        <f t="shared" si="7"/>
        <v>6720</v>
      </c>
    </row>
    <row r="219" spans="1:6" x14ac:dyDescent="0.3">
      <c r="A219" s="165">
        <v>200</v>
      </c>
      <c r="B219" s="166">
        <v>133</v>
      </c>
      <c r="C219" s="167">
        <v>144</v>
      </c>
      <c r="D219" s="168">
        <f t="shared" si="6"/>
        <v>0</v>
      </c>
      <c r="E219" s="86">
        <v>0</v>
      </c>
      <c r="F219" s="42">
        <f t="shared" si="7"/>
        <v>0</v>
      </c>
    </row>
    <row r="220" spans="1:6" x14ac:dyDescent="0.3">
      <c r="A220" s="165">
        <v>200</v>
      </c>
      <c r="B220" s="166">
        <v>120</v>
      </c>
      <c r="C220" s="167">
        <v>144</v>
      </c>
      <c r="D220" s="168">
        <f t="shared" si="6"/>
        <v>7050</v>
      </c>
      <c r="E220" s="86">
        <v>70.5</v>
      </c>
      <c r="F220" s="42">
        <f t="shared" si="7"/>
        <v>7050</v>
      </c>
    </row>
    <row r="221" spans="1:6" x14ac:dyDescent="0.3">
      <c r="A221" s="165">
        <v>200</v>
      </c>
      <c r="B221" s="166">
        <v>74</v>
      </c>
      <c r="C221" s="167">
        <v>144</v>
      </c>
      <c r="D221" s="168">
        <f t="shared" si="6"/>
        <v>12310.865699999997</v>
      </c>
      <c r="E221" s="86">
        <v>123.10865699999997</v>
      </c>
      <c r="F221" s="42">
        <f t="shared" si="7"/>
        <v>12310.865699999997</v>
      </c>
    </row>
    <row r="222" spans="1:6" x14ac:dyDescent="0.3">
      <c r="A222" s="165">
        <v>200</v>
      </c>
      <c r="B222" s="166">
        <v>136</v>
      </c>
      <c r="C222" s="167">
        <v>144</v>
      </c>
      <c r="D222" s="168">
        <f t="shared" si="6"/>
        <v>5152</v>
      </c>
      <c r="E222" s="86">
        <v>51.52</v>
      </c>
      <c r="F222" s="42">
        <f t="shared" si="7"/>
        <v>5152</v>
      </c>
    </row>
    <row r="223" spans="1:6" x14ac:dyDescent="0.3">
      <c r="A223" s="165">
        <v>200</v>
      </c>
      <c r="B223" s="166">
        <v>128</v>
      </c>
      <c r="C223" s="167">
        <v>144</v>
      </c>
      <c r="D223" s="168">
        <f t="shared" si="6"/>
        <v>0</v>
      </c>
      <c r="E223" s="86">
        <v>0</v>
      </c>
      <c r="F223" s="42">
        <f t="shared" si="7"/>
        <v>0</v>
      </c>
    </row>
    <row r="224" spans="1:6" x14ac:dyDescent="0.3">
      <c r="A224" s="165">
        <v>200</v>
      </c>
      <c r="B224" s="166">
        <v>135</v>
      </c>
      <c r="C224" s="167">
        <v>144</v>
      </c>
      <c r="D224" s="168">
        <f t="shared" si="6"/>
        <v>5874.9999999999991</v>
      </c>
      <c r="E224" s="86">
        <v>58.749999999999993</v>
      </c>
      <c r="F224" s="42">
        <f t="shared" si="7"/>
        <v>5874.9999999999991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84"/>
  <sheetViews>
    <sheetView showGridLines="0"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104</v>
      </c>
      <c r="B5" s="166">
        <v>33</v>
      </c>
      <c r="C5" s="167">
        <v>256</v>
      </c>
      <c r="D5" s="168">
        <f>F5</f>
        <v>3033</v>
      </c>
      <c r="E5" s="169">
        <v>30.33</v>
      </c>
      <c r="F5" s="42">
        <f>E5*100</f>
        <v>3033</v>
      </c>
    </row>
    <row r="6" spans="1:6" x14ac:dyDescent="0.3">
      <c r="A6" s="165">
        <v>104</v>
      </c>
      <c r="B6" s="166">
        <v>53</v>
      </c>
      <c r="C6" s="167">
        <v>256</v>
      </c>
      <c r="D6" s="168">
        <f t="shared" ref="D6:D69" si="0">F6</f>
        <v>3033</v>
      </c>
      <c r="E6" s="169">
        <v>30.33</v>
      </c>
      <c r="F6" s="42">
        <f t="shared" ref="F6:F69" si="1">E6*100</f>
        <v>3033</v>
      </c>
    </row>
    <row r="7" spans="1:6" x14ac:dyDescent="0.3">
      <c r="A7" s="165">
        <v>104</v>
      </c>
      <c r="B7" s="166">
        <v>41</v>
      </c>
      <c r="C7" s="167">
        <v>256</v>
      </c>
      <c r="D7" s="168">
        <f t="shared" si="0"/>
        <v>3033</v>
      </c>
      <c r="E7" s="169">
        <v>30.33</v>
      </c>
      <c r="F7" s="42">
        <f t="shared" si="1"/>
        <v>3033</v>
      </c>
    </row>
    <row r="8" spans="1:6" x14ac:dyDescent="0.3">
      <c r="A8" s="165">
        <v>123</v>
      </c>
      <c r="B8" s="166">
        <v>58</v>
      </c>
      <c r="C8" s="167">
        <v>256</v>
      </c>
      <c r="D8" s="168">
        <f t="shared" si="0"/>
        <v>6000</v>
      </c>
      <c r="E8" s="169">
        <v>60</v>
      </c>
      <c r="F8" s="42">
        <f t="shared" si="1"/>
        <v>6000</v>
      </c>
    </row>
    <row r="9" spans="1:6" x14ac:dyDescent="0.3">
      <c r="A9" s="165">
        <v>123</v>
      </c>
      <c r="B9" s="166">
        <v>69</v>
      </c>
      <c r="C9" s="167">
        <v>256</v>
      </c>
      <c r="D9" s="168">
        <f t="shared" si="0"/>
        <v>6000</v>
      </c>
      <c r="E9" s="169">
        <v>60</v>
      </c>
      <c r="F9" s="42">
        <f t="shared" si="1"/>
        <v>6000</v>
      </c>
    </row>
    <row r="10" spans="1:6" x14ac:dyDescent="0.3">
      <c r="A10" s="165">
        <v>123</v>
      </c>
      <c r="B10" s="166">
        <v>75</v>
      </c>
      <c r="C10" s="167">
        <v>256</v>
      </c>
      <c r="D10" s="168">
        <f t="shared" si="0"/>
        <v>6000</v>
      </c>
      <c r="E10" s="169">
        <v>60</v>
      </c>
      <c r="F10" s="42">
        <f t="shared" si="1"/>
        <v>6000</v>
      </c>
    </row>
    <row r="11" spans="1:6" x14ac:dyDescent="0.3">
      <c r="A11" s="165">
        <v>123</v>
      </c>
      <c r="B11" s="166">
        <v>76</v>
      </c>
      <c r="C11" s="167">
        <v>256</v>
      </c>
      <c r="D11" s="168">
        <f t="shared" si="0"/>
        <v>6000</v>
      </c>
      <c r="E11" s="169">
        <v>60</v>
      </c>
      <c r="F11" s="42">
        <f t="shared" si="1"/>
        <v>6000</v>
      </c>
    </row>
    <row r="12" spans="1:6" x14ac:dyDescent="0.3">
      <c r="A12" s="165">
        <v>123</v>
      </c>
      <c r="B12" s="166">
        <v>68</v>
      </c>
      <c r="C12" s="167">
        <v>256</v>
      </c>
      <c r="D12" s="168">
        <f t="shared" si="0"/>
        <v>6000</v>
      </c>
      <c r="E12" s="169">
        <v>60</v>
      </c>
      <c r="F12" s="42">
        <f t="shared" si="1"/>
        <v>6000</v>
      </c>
    </row>
    <row r="13" spans="1:6" x14ac:dyDescent="0.3">
      <c r="A13" s="165">
        <v>123</v>
      </c>
      <c r="B13" s="166">
        <v>36</v>
      </c>
      <c r="C13" s="167">
        <v>256</v>
      </c>
      <c r="D13" s="168">
        <f t="shared" si="0"/>
        <v>6000</v>
      </c>
      <c r="E13" s="169">
        <v>60</v>
      </c>
      <c r="F13" s="42">
        <f t="shared" si="1"/>
        <v>6000</v>
      </c>
    </row>
    <row r="14" spans="1:6" x14ac:dyDescent="0.3">
      <c r="A14" s="165">
        <v>123</v>
      </c>
      <c r="B14" s="166">
        <v>70</v>
      </c>
      <c r="C14" s="167">
        <v>256</v>
      </c>
      <c r="D14" s="168">
        <f t="shared" si="0"/>
        <v>6000</v>
      </c>
      <c r="E14" s="169">
        <v>60</v>
      </c>
      <c r="F14" s="42">
        <f t="shared" si="1"/>
        <v>6000</v>
      </c>
    </row>
    <row r="15" spans="1:6" x14ac:dyDescent="0.3">
      <c r="A15" s="165">
        <v>124</v>
      </c>
      <c r="B15" s="166">
        <v>32</v>
      </c>
      <c r="C15" s="167">
        <v>256</v>
      </c>
      <c r="D15" s="168">
        <f t="shared" si="0"/>
        <v>7314</v>
      </c>
      <c r="E15" s="169">
        <v>73.14</v>
      </c>
      <c r="F15" s="42">
        <f t="shared" si="1"/>
        <v>7314</v>
      </c>
    </row>
    <row r="16" spans="1:6" x14ac:dyDescent="0.3">
      <c r="A16" s="165">
        <v>124</v>
      </c>
      <c r="B16" s="166">
        <v>2</v>
      </c>
      <c r="C16" s="167">
        <v>256</v>
      </c>
      <c r="D16" s="168">
        <f t="shared" si="0"/>
        <v>7314</v>
      </c>
      <c r="E16" s="169">
        <v>73.14</v>
      </c>
      <c r="F16" s="42">
        <f t="shared" si="1"/>
        <v>7314</v>
      </c>
    </row>
    <row r="17" spans="1:6" x14ac:dyDescent="0.3">
      <c r="A17" s="165">
        <v>124</v>
      </c>
      <c r="B17" s="166">
        <v>19</v>
      </c>
      <c r="C17" s="167">
        <v>256</v>
      </c>
      <c r="D17" s="168">
        <f t="shared" si="0"/>
        <v>7314</v>
      </c>
      <c r="E17" s="169">
        <v>73.14</v>
      </c>
      <c r="F17" s="42">
        <f t="shared" si="1"/>
        <v>7314</v>
      </c>
    </row>
    <row r="18" spans="1:6" x14ac:dyDescent="0.3">
      <c r="A18" s="165">
        <v>124</v>
      </c>
      <c r="B18" s="166">
        <v>49</v>
      </c>
      <c r="C18" s="167">
        <v>256</v>
      </c>
      <c r="D18" s="168">
        <f t="shared" si="0"/>
        <v>7314</v>
      </c>
      <c r="E18" s="169">
        <v>73.14</v>
      </c>
      <c r="F18" s="42">
        <f t="shared" si="1"/>
        <v>7314</v>
      </c>
    </row>
    <row r="19" spans="1:6" x14ac:dyDescent="0.3">
      <c r="A19" s="165">
        <v>124</v>
      </c>
      <c r="B19" s="166">
        <v>40</v>
      </c>
      <c r="C19" s="167">
        <v>256</v>
      </c>
      <c r="D19" s="168">
        <f t="shared" si="0"/>
        <v>7314</v>
      </c>
      <c r="E19" s="169">
        <v>73.14</v>
      </c>
      <c r="F19" s="42">
        <f t="shared" si="1"/>
        <v>7314</v>
      </c>
    </row>
    <row r="20" spans="1:6" x14ac:dyDescent="0.3">
      <c r="A20" s="165">
        <v>124</v>
      </c>
      <c r="B20" s="166">
        <v>39</v>
      </c>
      <c r="C20" s="167">
        <v>256</v>
      </c>
      <c r="D20" s="168">
        <f t="shared" si="0"/>
        <v>7314</v>
      </c>
      <c r="E20" s="169">
        <v>73.14</v>
      </c>
      <c r="F20" s="42">
        <f t="shared" si="1"/>
        <v>7314</v>
      </c>
    </row>
    <row r="21" spans="1:6" x14ac:dyDescent="0.3">
      <c r="A21" s="165">
        <v>127</v>
      </c>
      <c r="B21" s="166">
        <v>70</v>
      </c>
      <c r="C21" s="167">
        <v>256</v>
      </c>
      <c r="D21" s="168">
        <f t="shared" si="0"/>
        <v>3900</v>
      </c>
      <c r="E21" s="169">
        <v>39</v>
      </c>
      <c r="F21" s="42">
        <f t="shared" si="1"/>
        <v>3900</v>
      </c>
    </row>
    <row r="22" spans="1:6" x14ac:dyDescent="0.3">
      <c r="A22" s="165">
        <v>127</v>
      </c>
      <c r="B22" s="166">
        <v>75</v>
      </c>
      <c r="C22" s="167">
        <v>256</v>
      </c>
      <c r="D22" s="168">
        <f t="shared" si="0"/>
        <v>3900</v>
      </c>
      <c r="E22" s="169">
        <v>39</v>
      </c>
      <c r="F22" s="42">
        <f t="shared" si="1"/>
        <v>3900</v>
      </c>
    </row>
    <row r="23" spans="1:6" x14ac:dyDescent="0.3">
      <c r="A23" s="165">
        <v>127</v>
      </c>
      <c r="B23" s="166">
        <v>80</v>
      </c>
      <c r="C23" s="167">
        <v>256</v>
      </c>
      <c r="D23" s="168">
        <f t="shared" si="0"/>
        <v>3900</v>
      </c>
      <c r="E23" s="169">
        <v>39</v>
      </c>
      <c r="F23" s="42">
        <f t="shared" si="1"/>
        <v>3900</v>
      </c>
    </row>
    <row r="24" spans="1:6" x14ac:dyDescent="0.3">
      <c r="A24" s="165">
        <v>161</v>
      </c>
      <c r="B24" s="166">
        <v>51</v>
      </c>
      <c r="C24" s="167">
        <v>256</v>
      </c>
      <c r="D24" s="168">
        <f t="shared" si="0"/>
        <v>4277</v>
      </c>
      <c r="E24" s="169">
        <v>42.77</v>
      </c>
      <c r="F24" s="42">
        <f t="shared" si="1"/>
        <v>4277</v>
      </c>
    </row>
    <row r="25" spans="1:6" x14ac:dyDescent="0.3">
      <c r="A25" s="165">
        <v>161</v>
      </c>
      <c r="B25" s="166">
        <v>49</v>
      </c>
      <c r="C25" s="167">
        <v>256</v>
      </c>
      <c r="D25" s="168">
        <f t="shared" si="0"/>
        <v>4277</v>
      </c>
      <c r="E25" s="169">
        <v>42.77</v>
      </c>
      <c r="F25" s="42">
        <f t="shared" si="1"/>
        <v>4277</v>
      </c>
    </row>
    <row r="26" spans="1:6" x14ac:dyDescent="0.3">
      <c r="A26" s="165">
        <v>161</v>
      </c>
      <c r="B26" s="166">
        <v>32</v>
      </c>
      <c r="C26" s="167">
        <v>256</v>
      </c>
      <c r="D26" s="168">
        <f t="shared" si="0"/>
        <v>4277</v>
      </c>
      <c r="E26" s="169">
        <v>42.77</v>
      </c>
      <c r="F26" s="42">
        <f t="shared" si="1"/>
        <v>4277</v>
      </c>
    </row>
    <row r="27" spans="1:6" x14ac:dyDescent="0.3">
      <c r="A27" s="165">
        <v>166</v>
      </c>
      <c r="B27" s="166">
        <v>34</v>
      </c>
      <c r="C27" s="167">
        <v>256</v>
      </c>
      <c r="D27" s="168">
        <f t="shared" si="0"/>
        <v>9100</v>
      </c>
      <c r="E27" s="169">
        <v>91</v>
      </c>
      <c r="F27" s="42">
        <f t="shared" si="1"/>
        <v>9100</v>
      </c>
    </row>
    <row r="28" spans="1:6" x14ac:dyDescent="0.3">
      <c r="A28" s="165">
        <v>166</v>
      </c>
      <c r="B28" s="166">
        <v>1</v>
      </c>
      <c r="C28" s="167">
        <v>256</v>
      </c>
      <c r="D28" s="168">
        <f t="shared" si="0"/>
        <v>28000</v>
      </c>
      <c r="E28" s="169">
        <v>280</v>
      </c>
      <c r="F28" s="42">
        <f t="shared" si="1"/>
        <v>28000</v>
      </c>
    </row>
    <row r="29" spans="1:6" x14ac:dyDescent="0.3">
      <c r="A29" s="165">
        <v>166</v>
      </c>
      <c r="B29" s="166">
        <v>8</v>
      </c>
      <c r="C29" s="167">
        <v>256</v>
      </c>
      <c r="D29" s="168">
        <f t="shared" si="0"/>
        <v>9100</v>
      </c>
      <c r="E29" s="169">
        <v>91</v>
      </c>
      <c r="F29" s="42">
        <f t="shared" si="1"/>
        <v>9100</v>
      </c>
    </row>
    <row r="30" spans="1:6" x14ac:dyDescent="0.3">
      <c r="A30" s="165">
        <v>169</v>
      </c>
      <c r="B30" s="166">
        <v>35</v>
      </c>
      <c r="C30" s="167">
        <v>256</v>
      </c>
      <c r="D30" s="168">
        <f t="shared" si="0"/>
        <v>6300</v>
      </c>
      <c r="E30" s="169">
        <v>63</v>
      </c>
      <c r="F30" s="42">
        <f t="shared" si="1"/>
        <v>6300</v>
      </c>
    </row>
    <row r="31" spans="1:6" x14ac:dyDescent="0.3">
      <c r="A31" s="165">
        <v>169</v>
      </c>
      <c r="B31" s="166">
        <v>39</v>
      </c>
      <c r="C31" s="167">
        <v>256</v>
      </c>
      <c r="D31" s="168">
        <f t="shared" si="0"/>
        <v>6300</v>
      </c>
      <c r="E31" s="169">
        <v>63</v>
      </c>
      <c r="F31" s="42">
        <f t="shared" si="1"/>
        <v>6300</v>
      </c>
    </row>
    <row r="32" spans="1:6" x14ac:dyDescent="0.3">
      <c r="A32" s="165">
        <v>169</v>
      </c>
      <c r="B32" s="166">
        <v>31</v>
      </c>
      <c r="C32" s="167">
        <v>256</v>
      </c>
      <c r="D32" s="168">
        <f t="shared" si="0"/>
        <v>6300</v>
      </c>
      <c r="E32" s="169">
        <v>63</v>
      </c>
      <c r="F32" s="42">
        <f t="shared" si="1"/>
        <v>6300</v>
      </c>
    </row>
    <row r="33" spans="1:6" x14ac:dyDescent="0.3">
      <c r="A33" s="165">
        <v>169</v>
      </c>
      <c r="B33" s="166">
        <v>7</v>
      </c>
      <c r="C33" s="167">
        <v>256</v>
      </c>
      <c r="D33" s="168">
        <f t="shared" si="0"/>
        <v>6300</v>
      </c>
      <c r="E33" s="169">
        <v>63</v>
      </c>
      <c r="F33" s="42">
        <f t="shared" si="1"/>
        <v>6300</v>
      </c>
    </row>
    <row r="34" spans="1:6" x14ac:dyDescent="0.3">
      <c r="A34" s="165">
        <v>169</v>
      </c>
      <c r="B34" s="166">
        <v>41</v>
      </c>
      <c r="C34" s="167">
        <v>256</v>
      </c>
      <c r="D34" s="168">
        <f t="shared" si="0"/>
        <v>6300</v>
      </c>
      <c r="E34" s="169">
        <v>63</v>
      </c>
      <c r="F34" s="42">
        <f t="shared" si="1"/>
        <v>6300</v>
      </c>
    </row>
    <row r="35" spans="1:6" x14ac:dyDescent="0.3">
      <c r="A35" s="165">
        <v>169</v>
      </c>
      <c r="B35" s="166">
        <v>37</v>
      </c>
      <c r="C35" s="167">
        <v>256</v>
      </c>
      <c r="D35" s="168">
        <f t="shared" si="0"/>
        <v>6300</v>
      </c>
      <c r="E35" s="169">
        <v>63</v>
      </c>
      <c r="F35" s="42">
        <f t="shared" si="1"/>
        <v>6300</v>
      </c>
    </row>
    <row r="36" spans="1:6" x14ac:dyDescent="0.3">
      <c r="A36" s="165">
        <v>169</v>
      </c>
      <c r="B36" s="166">
        <v>38</v>
      </c>
      <c r="C36" s="167">
        <v>256</v>
      </c>
      <c r="D36" s="168">
        <f t="shared" si="0"/>
        <v>6300</v>
      </c>
      <c r="E36" s="169">
        <v>63</v>
      </c>
      <c r="F36" s="42">
        <f t="shared" si="1"/>
        <v>6300</v>
      </c>
    </row>
    <row r="37" spans="1:6" x14ac:dyDescent="0.3">
      <c r="A37" s="165">
        <v>169</v>
      </c>
      <c r="B37" s="166">
        <v>1</v>
      </c>
      <c r="C37" s="167">
        <v>256</v>
      </c>
      <c r="D37" s="168">
        <f t="shared" si="0"/>
        <v>6300</v>
      </c>
      <c r="E37" s="169">
        <v>63</v>
      </c>
      <c r="F37" s="42">
        <f t="shared" si="1"/>
        <v>6300</v>
      </c>
    </row>
    <row r="38" spans="1:6" x14ac:dyDescent="0.3">
      <c r="A38" s="165">
        <v>179</v>
      </c>
      <c r="B38" s="166">
        <v>1</v>
      </c>
      <c r="C38" s="167">
        <v>256</v>
      </c>
      <c r="D38" s="168">
        <f t="shared" si="0"/>
        <v>3900</v>
      </c>
      <c r="E38" s="169">
        <v>39</v>
      </c>
      <c r="F38" s="42">
        <f t="shared" si="1"/>
        <v>3900</v>
      </c>
    </row>
    <row r="39" spans="1:6" x14ac:dyDescent="0.3">
      <c r="A39" s="165">
        <v>179</v>
      </c>
      <c r="B39" s="166">
        <v>2</v>
      </c>
      <c r="C39" s="167">
        <v>256</v>
      </c>
      <c r="D39" s="168">
        <f t="shared" si="0"/>
        <v>3900</v>
      </c>
      <c r="E39" s="169">
        <v>39</v>
      </c>
      <c r="F39" s="42">
        <f t="shared" si="1"/>
        <v>3900</v>
      </c>
    </row>
    <row r="40" spans="1:6" x14ac:dyDescent="0.3">
      <c r="A40" s="165">
        <v>179</v>
      </c>
      <c r="B40" s="166">
        <v>3</v>
      </c>
      <c r="C40" s="167">
        <v>256</v>
      </c>
      <c r="D40" s="168">
        <f t="shared" si="0"/>
        <v>3900</v>
      </c>
      <c r="E40" s="169">
        <v>39</v>
      </c>
      <c r="F40" s="42">
        <f t="shared" si="1"/>
        <v>3900</v>
      </c>
    </row>
    <row r="41" spans="1:6" x14ac:dyDescent="0.3">
      <c r="A41" s="165">
        <v>179</v>
      </c>
      <c r="B41" s="166">
        <v>4</v>
      </c>
      <c r="C41" s="167">
        <v>256</v>
      </c>
      <c r="D41" s="168">
        <f t="shared" si="0"/>
        <v>3900</v>
      </c>
      <c r="E41" s="169">
        <v>39</v>
      </c>
      <c r="F41" s="42">
        <f t="shared" si="1"/>
        <v>3900</v>
      </c>
    </row>
    <row r="42" spans="1:6" x14ac:dyDescent="0.3">
      <c r="A42" s="165">
        <v>179</v>
      </c>
      <c r="B42" s="166">
        <v>16</v>
      </c>
      <c r="C42" s="167">
        <v>256</v>
      </c>
      <c r="D42" s="168">
        <f t="shared" si="0"/>
        <v>3900</v>
      </c>
      <c r="E42" s="169">
        <v>39</v>
      </c>
      <c r="F42" s="42">
        <f t="shared" si="1"/>
        <v>3900</v>
      </c>
    </row>
    <row r="43" spans="1:6" x14ac:dyDescent="0.3">
      <c r="A43" s="165">
        <v>179</v>
      </c>
      <c r="B43" s="166">
        <v>12</v>
      </c>
      <c r="C43" s="167">
        <v>256</v>
      </c>
      <c r="D43" s="168">
        <f t="shared" si="0"/>
        <v>3900</v>
      </c>
      <c r="E43" s="169">
        <v>39</v>
      </c>
      <c r="F43" s="42">
        <f t="shared" si="1"/>
        <v>3900</v>
      </c>
    </row>
    <row r="44" spans="1:6" x14ac:dyDescent="0.3">
      <c r="A44" s="165">
        <v>179</v>
      </c>
      <c r="B44" s="166">
        <v>18</v>
      </c>
      <c r="C44" s="167">
        <v>256</v>
      </c>
      <c r="D44" s="168">
        <f t="shared" si="0"/>
        <v>3900</v>
      </c>
      <c r="E44" s="169">
        <v>39</v>
      </c>
      <c r="F44" s="42">
        <f t="shared" si="1"/>
        <v>3900</v>
      </c>
    </row>
    <row r="45" spans="1:6" x14ac:dyDescent="0.3">
      <c r="A45" s="165">
        <v>104</v>
      </c>
      <c r="B45" s="166">
        <v>33</v>
      </c>
      <c r="C45" s="167">
        <v>232</v>
      </c>
      <c r="D45" s="168">
        <f t="shared" si="0"/>
        <v>3033</v>
      </c>
      <c r="E45" s="169">
        <v>30.33</v>
      </c>
      <c r="F45" s="42">
        <f t="shared" si="1"/>
        <v>3033</v>
      </c>
    </row>
    <row r="46" spans="1:6" x14ac:dyDescent="0.3">
      <c r="A46" s="165">
        <v>104</v>
      </c>
      <c r="B46" s="166">
        <v>53</v>
      </c>
      <c r="C46" s="167">
        <v>232</v>
      </c>
      <c r="D46" s="168">
        <f t="shared" si="0"/>
        <v>3033</v>
      </c>
      <c r="E46" s="169">
        <v>30.33</v>
      </c>
      <c r="F46" s="42">
        <f t="shared" si="1"/>
        <v>3033</v>
      </c>
    </row>
    <row r="47" spans="1:6" x14ac:dyDescent="0.3">
      <c r="A47" s="165">
        <v>104</v>
      </c>
      <c r="B47" s="166">
        <v>41</v>
      </c>
      <c r="C47" s="167">
        <v>232</v>
      </c>
      <c r="D47" s="168">
        <f t="shared" si="0"/>
        <v>3033</v>
      </c>
      <c r="E47" s="169">
        <v>30.33</v>
      </c>
      <c r="F47" s="42">
        <f t="shared" si="1"/>
        <v>3033</v>
      </c>
    </row>
    <row r="48" spans="1:6" x14ac:dyDescent="0.3">
      <c r="A48" s="165">
        <v>123</v>
      </c>
      <c r="B48" s="166">
        <v>58</v>
      </c>
      <c r="C48" s="167">
        <v>232</v>
      </c>
      <c r="D48" s="168">
        <f t="shared" si="0"/>
        <v>6000</v>
      </c>
      <c r="E48" s="169">
        <v>60</v>
      </c>
      <c r="F48" s="42">
        <f t="shared" si="1"/>
        <v>6000</v>
      </c>
    </row>
    <row r="49" spans="1:6" x14ac:dyDescent="0.3">
      <c r="A49" s="165">
        <v>123</v>
      </c>
      <c r="B49" s="166">
        <v>69</v>
      </c>
      <c r="C49" s="167">
        <v>232</v>
      </c>
      <c r="D49" s="168">
        <f t="shared" si="0"/>
        <v>6000</v>
      </c>
      <c r="E49" s="169">
        <v>60</v>
      </c>
      <c r="F49" s="42">
        <f t="shared" si="1"/>
        <v>6000</v>
      </c>
    </row>
    <row r="50" spans="1:6" x14ac:dyDescent="0.3">
      <c r="A50" s="165">
        <v>123</v>
      </c>
      <c r="B50" s="166">
        <v>75</v>
      </c>
      <c r="C50" s="167">
        <v>232</v>
      </c>
      <c r="D50" s="168">
        <f t="shared" si="0"/>
        <v>6000</v>
      </c>
      <c r="E50" s="169">
        <v>60</v>
      </c>
      <c r="F50" s="42">
        <f t="shared" si="1"/>
        <v>6000</v>
      </c>
    </row>
    <row r="51" spans="1:6" x14ac:dyDescent="0.3">
      <c r="A51" s="165">
        <v>123</v>
      </c>
      <c r="B51" s="166">
        <v>76</v>
      </c>
      <c r="C51" s="167">
        <v>232</v>
      </c>
      <c r="D51" s="168">
        <f t="shared" si="0"/>
        <v>6000</v>
      </c>
      <c r="E51" s="169">
        <v>60</v>
      </c>
      <c r="F51" s="42">
        <f t="shared" si="1"/>
        <v>6000</v>
      </c>
    </row>
    <row r="52" spans="1:6" x14ac:dyDescent="0.3">
      <c r="A52" s="165">
        <v>123</v>
      </c>
      <c r="B52" s="166">
        <v>68</v>
      </c>
      <c r="C52" s="167">
        <v>232</v>
      </c>
      <c r="D52" s="168">
        <f t="shared" si="0"/>
        <v>6000</v>
      </c>
      <c r="E52" s="169">
        <v>60</v>
      </c>
      <c r="F52" s="42">
        <f t="shared" si="1"/>
        <v>6000</v>
      </c>
    </row>
    <row r="53" spans="1:6" x14ac:dyDescent="0.3">
      <c r="A53" s="165">
        <v>123</v>
      </c>
      <c r="B53" s="166">
        <v>36</v>
      </c>
      <c r="C53" s="167">
        <v>232</v>
      </c>
      <c r="D53" s="168">
        <f t="shared" si="0"/>
        <v>6000</v>
      </c>
      <c r="E53" s="169">
        <v>60</v>
      </c>
      <c r="F53" s="42">
        <f t="shared" si="1"/>
        <v>6000</v>
      </c>
    </row>
    <row r="54" spans="1:6" x14ac:dyDescent="0.3">
      <c r="A54" s="165">
        <v>123</v>
      </c>
      <c r="B54" s="166">
        <v>70</v>
      </c>
      <c r="C54" s="167">
        <v>232</v>
      </c>
      <c r="D54" s="168">
        <f t="shared" si="0"/>
        <v>6000</v>
      </c>
      <c r="E54" s="169">
        <v>60</v>
      </c>
      <c r="F54" s="42">
        <f t="shared" si="1"/>
        <v>6000</v>
      </c>
    </row>
    <row r="55" spans="1:6" x14ac:dyDescent="0.3">
      <c r="A55" s="165">
        <v>124</v>
      </c>
      <c r="B55" s="166">
        <v>32</v>
      </c>
      <c r="C55" s="167">
        <v>232</v>
      </c>
      <c r="D55" s="168">
        <f t="shared" si="0"/>
        <v>7314</v>
      </c>
      <c r="E55" s="169">
        <v>73.14</v>
      </c>
      <c r="F55" s="42">
        <f t="shared" si="1"/>
        <v>7314</v>
      </c>
    </row>
    <row r="56" spans="1:6" x14ac:dyDescent="0.3">
      <c r="A56" s="165">
        <v>124</v>
      </c>
      <c r="B56" s="166">
        <v>2</v>
      </c>
      <c r="C56" s="167">
        <v>232</v>
      </c>
      <c r="D56" s="168">
        <f t="shared" si="0"/>
        <v>7314</v>
      </c>
      <c r="E56" s="169">
        <v>73.14</v>
      </c>
      <c r="F56" s="42">
        <f t="shared" si="1"/>
        <v>7314</v>
      </c>
    </row>
    <row r="57" spans="1:6" x14ac:dyDescent="0.3">
      <c r="A57" s="165">
        <v>124</v>
      </c>
      <c r="B57" s="166">
        <v>19</v>
      </c>
      <c r="C57" s="167">
        <v>232</v>
      </c>
      <c r="D57" s="168">
        <f t="shared" si="0"/>
        <v>7314</v>
      </c>
      <c r="E57" s="169">
        <v>73.14</v>
      </c>
      <c r="F57" s="42">
        <f t="shared" si="1"/>
        <v>7314</v>
      </c>
    </row>
    <row r="58" spans="1:6" x14ac:dyDescent="0.3">
      <c r="A58" s="165">
        <v>124</v>
      </c>
      <c r="B58" s="166">
        <v>49</v>
      </c>
      <c r="C58" s="167">
        <v>232</v>
      </c>
      <c r="D58" s="168">
        <f t="shared" si="0"/>
        <v>7314</v>
      </c>
      <c r="E58" s="169">
        <v>73.14</v>
      </c>
      <c r="F58" s="42">
        <f t="shared" si="1"/>
        <v>7314</v>
      </c>
    </row>
    <row r="59" spans="1:6" x14ac:dyDescent="0.3">
      <c r="A59" s="165">
        <v>124</v>
      </c>
      <c r="B59" s="166">
        <v>40</v>
      </c>
      <c r="C59" s="167">
        <v>232</v>
      </c>
      <c r="D59" s="168">
        <f t="shared" si="0"/>
        <v>7314</v>
      </c>
      <c r="E59" s="169">
        <v>73.14</v>
      </c>
      <c r="F59" s="42">
        <f t="shared" si="1"/>
        <v>7314</v>
      </c>
    </row>
    <row r="60" spans="1:6" x14ac:dyDescent="0.3">
      <c r="A60" s="165">
        <v>124</v>
      </c>
      <c r="B60" s="166">
        <v>39</v>
      </c>
      <c r="C60" s="167">
        <v>232</v>
      </c>
      <c r="D60" s="168">
        <f t="shared" si="0"/>
        <v>7314</v>
      </c>
      <c r="E60" s="169">
        <v>73.14</v>
      </c>
      <c r="F60" s="42">
        <f t="shared" si="1"/>
        <v>7314</v>
      </c>
    </row>
    <row r="61" spans="1:6" x14ac:dyDescent="0.3">
      <c r="A61" s="165">
        <v>127</v>
      </c>
      <c r="B61" s="166">
        <v>70</v>
      </c>
      <c r="C61" s="167">
        <v>232</v>
      </c>
      <c r="D61" s="168">
        <f t="shared" si="0"/>
        <v>3900</v>
      </c>
      <c r="E61" s="169">
        <v>39</v>
      </c>
      <c r="F61" s="42">
        <f t="shared" si="1"/>
        <v>3900</v>
      </c>
    </row>
    <row r="62" spans="1:6" x14ac:dyDescent="0.3">
      <c r="A62" s="165">
        <v>127</v>
      </c>
      <c r="B62" s="166">
        <v>75</v>
      </c>
      <c r="C62" s="167">
        <v>232</v>
      </c>
      <c r="D62" s="168">
        <f t="shared" si="0"/>
        <v>3900</v>
      </c>
      <c r="E62" s="169">
        <v>39</v>
      </c>
      <c r="F62" s="42">
        <f t="shared" si="1"/>
        <v>3900</v>
      </c>
    </row>
    <row r="63" spans="1:6" x14ac:dyDescent="0.3">
      <c r="A63" s="165">
        <v>127</v>
      </c>
      <c r="B63" s="166">
        <v>80</v>
      </c>
      <c r="C63" s="167">
        <v>232</v>
      </c>
      <c r="D63" s="168">
        <f t="shared" si="0"/>
        <v>3900</v>
      </c>
      <c r="E63" s="169">
        <v>39</v>
      </c>
      <c r="F63" s="42">
        <f t="shared" si="1"/>
        <v>3900</v>
      </c>
    </row>
    <row r="64" spans="1:6" x14ac:dyDescent="0.3">
      <c r="A64" s="165">
        <v>161</v>
      </c>
      <c r="B64" s="166">
        <v>51</v>
      </c>
      <c r="C64" s="167">
        <v>232</v>
      </c>
      <c r="D64" s="168">
        <f t="shared" si="0"/>
        <v>4277</v>
      </c>
      <c r="E64" s="169">
        <v>42.77</v>
      </c>
      <c r="F64" s="42">
        <f t="shared" si="1"/>
        <v>4277</v>
      </c>
    </row>
    <row r="65" spans="1:6" x14ac:dyDescent="0.3">
      <c r="A65" s="165">
        <v>161</v>
      </c>
      <c r="B65" s="166">
        <v>49</v>
      </c>
      <c r="C65" s="167">
        <v>232</v>
      </c>
      <c r="D65" s="168">
        <f t="shared" si="0"/>
        <v>4277</v>
      </c>
      <c r="E65" s="169">
        <v>42.77</v>
      </c>
      <c r="F65" s="42">
        <f t="shared" si="1"/>
        <v>4277</v>
      </c>
    </row>
    <row r="66" spans="1:6" x14ac:dyDescent="0.3">
      <c r="A66" s="165">
        <v>161</v>
      </c>
      <c r="B66" s="166">
        <v>32</v>
      </c>
      <c r="C66" s="167">
        <v>232</v>
      </c>
      <c r="D66" s="168">
        <f t="shared" si="0"/>
        <v>4277</v>
      </c>
      <c r="E66" s="169">
        <v>42.77</v>
      </c>
      <c r="F66" s="42">
        <f t="shared" si="1"/>
        <v>4277</v>
      </c>
    </row>
    <row r="67" spans="1:6" x14ac:dyDescent="0.3">
      <c r="A67" s="165">
        <v>166</v>
      </c>
      <c r="B67" s="166">
        <v>34</v>
      </c>
      <c r="C67" s="167">
        <v>232</v>
      </c>
      <c r="D67" s="168">
        <f t="shared" si="0"/>
        <v>9100</v>
      </c>
      <c r="E67" s="169">
        <v>91</v>
      </c>
      <c r="F67" s="42">
        <f t="shared" si="1"/>
        <v>9100</v>
      </c>
    </row>
    <row r="68" spans="1:6" x14ac:dyDescent="0.3">
      <c r="A68" s="165">
        <v>166</v>
      </c>
      <c r="B68" s="166">
        <v>1</v>
      </c>
      <c r="C68" s="167">
        <v>232</v>
      </c>
      <c r="D68" s="168">
        <f t="shared" si="0"/>
        <v>28000</v>
      </c>
      <c r="E68" s="169">
        <v>280</v>
      </c>
      <c r="F68" s="42">
        <f t="shared" si="1"/>
        <v>28000</v>
      </c>
    </row>
    <row r="69" spans="1:6" x14ac:dyDescent="0.3">
      <c r="A69" s="165">
        <v>166</v>
      </c>
      <c r="B69" s="166">
        <v>8</v>
      </c>
      <c r="C69" s="167">
        <v>232</v>
      </c>
      <c r="D69" s="168">
        <f t="shared" si="0"/>
        <v>9100</v>
      </c>
      <c r="E69" s="169">
        <v>91</v>
      </c>
      <c r="F69" s="42">
        <f t="shared" si="1"/>
        <v>9100</v>
      </c>
    </row>
    <row r="70" spans="1:6" x14ac:dyDescent="0.3">
      <c r="A70" s="165">
        <v>169</v>
      </c>
      <c r="B70" s="166">
        <v>35</v>
      </c>
      <c r="C70" s="167">
        <v>232</v>
      </c>
      <c r="D70" s="168">
        <f t="shared" ref="D70:D84" si="2">F70</f>
        <v>6300</v>
      </c>
      <c r="E70" s="169">
        <v>63</v>
      </c>
      <c r="F70" s="42">
        <f t="shared" ref="F70:F84" si="3">E70*100</f>
        <v>6300</v>
      </c>
    </row>
    <row r="71" spans="1:6" x14ac:dyDescent="0.3">
      <c r="A71" s="165">
        <v>169</v>
      </c>
      <c r="B71" s="166">
        <v>39</v>
      </c>
      <c r="C71" s="167">
        <v>232</v>
      </c>
      <c r="D71" s="168">
        <f t="shared" si="2"/>
        <v>6300</v>
      </c>
      <c r="E71" s="169">
        <v>63</v>
      </c>
      <c r="F71" s="42">
        <f t="shared" si="3"/>
        <v>6300</v>
      </c>
    </row>
    <row r="72" spans="1:6" x14ac:dyDescent="0.3">
      <c r="A72" s="165">
        <v>169</v>
      </c>
      <c r="B72" s="166">
        <v>31</v>
      </c>
      <c r="C72" s="167">
        <v>232</v>
      </c>
      <c r="D72" s="168">
        <f t="shared" si="2"/>
        <v>6300</v>
      </c>
      <c r="E72" s="169">
        <v>63</v>
      </c>
      <c r="F72" s="42">
        <f t="shared" si="3"/>
        <v>6300</v>
      </c>
    </row>
    <row r="73" spans="1:6" x14ac:dyDescent="0.3">
      <c r="A73" s="165">
        <v>169</v>
      </c>
      <c r="B73" s="166">
        <v>7</v>
      </c>
      <c r="C73" s="167">
        <v>232</v>
      </c>
      <c r="D73" s="168">
        <f t="shared" si="2"/>
        <v>6300</v>
      </c>
      <c r="E73" s="169">
        <v>63</v>
      </c>
      <c r="F73" s="42">
        <f t="shared" si="3"/>
        <v>6300</v>
      </c>
    </row>
    <row r="74" spans="1:6" x14ac:dyDescent="0.3">
      <c r="A74" s="165">
        <v>169</v>
      </c>
      <c r="B74" s="166">
        <v>41</v>
      </c>
      <c r="C74" s="167">
        <v>232</v>
      </c>
      <c r="D74" s="168">
        <f t="shared" si="2"/>
        <v>6300</v>
      </c>
      <c r="E74" s="169">
        <v>63</v>
      </c>
      <c r="F74" s="42">
        <f t="shared" si="3"/>
        <v>6300</v>
      </c>
    </row>
    <row r="75" spans="1:6" x14ac:dyDescent="0.3">
      <c r="A75" s="165">
        <v>169</v>
      </c>
      <c r="B75" s="166">
        <v>37</v>
      </c>
      <c r="C75" s="167">
        <v>232</v>
      </c>
      <c r="D75" s="168">
        <f t="shared" si="2"/>
        <v>6300</v>
      </c>
      <c r="E75" s="169">
        <v>63</v>
      </c>
      <c r="F75" s="42">
        <f t="shared" si="3"/>
        <v>6300</v>
      </c>
    </row>
    <row r="76" spans="1:6" x14ac:dyDescent="0.3">
      <c r="A76" s="165">
        <v>169</v>
      </c>
      <c r="B76" s="166">
        <v>38</v>
      </c>
      <c r="C76" s="167">
        <v>232</v>
      </c>
      <c r="D76" s="168">
        <f t="shared" si="2"/>
        <v>6300</v>
      </c>
      <c r="E76" s="169">
        <v>63</v>
      </c>
      <c r="F76" s="42">
        <f t="shared" si="3"/>
        <v>6300</v>
      </c>
    </row>
    <row r="77" spans="1:6" x14ac:dyDescent="0.3">
      <c r="A77" s="165">
        <v>169</v>
      </c>
      <c r="B77" s="166">
        <v>1</v>
      </c>
      <c r="C77" s="167">
        <v>232</v>
      </c>
      <c r="D77" s="168">
        <f t="shared" si="2"/>
        <v>6300</v>
      </c>
      <c r="E77" s="169">
        <v>63</v>
      </c>
      <c r="F77" s="42">
        <f t="shared" si="3"/>
        <v>6300</v>
      </c>
    </row>
    <row r="78" spans="1:6" x14ac:dyDescent="0.3">
      <c r="A78" s="165">
        <v>179</v>
      </c>
      <c r="B78" s="166">
        <v>1</v>
      </c>
      <c r="C78" s="167">
        <v>232</v>
      </c>
      <c r="D78" s="168">
        <f t="shared" si="2"/>
        <v>3900</v>
      </c>
      <c r="E78" s="169">
        <v>39</v>
      </c>
      <c r="F78" s="42">
        <f t="shared" si="3"/>
        <v>3900</v>
      </c>
    </row>
    <row r="79" spans="1:6" x14ac:dyDescent="0.3">
      <c r="A79" s="165">
        <v>179</v>
      </c>
      <c r="B79" s="166">
        <v>2</v>
      </c>
      <c r="C79" s="167">
        <v>232</v>
      </c>
      <c r="D79" s="168">
        <f t="shared" si="2"/>
        <v>3900</v>
      </c>
      <c r="E79" s="169">
        <v>39</v>
      </c>
      <c r="F79" s="42">
        <f t="shared" si="3"/>
        <v>3900</v>
      </c>
    </row>
    <row r="80" spans="1:6" x14ac:dyDescent="0.3">
      <c r="A80" s="165">
        <v>179</v>
      </c>
      <c r="B80" s="166">
        <v>3</v>
      </c>
      <c r="C80" s="167">
        <v>232</v>
      </c>
      <c r="D80" s="168">
        <f t="shared" si="2"/>
        <v>3900</v>
      </c>
      <c r="E80" s="169">
        <v>39</v>
      </c>
      <c r="F80" s="42">
        <f t="shared" si="3"/>
        <v>3900</v>
      </c>
    </row>
    <row r="81" spans="1:6" x14ac:dyDescent="0.3">
      <c r="A81" s="165">
        <v>179</v>
      </c>
      <c r="B81" s="166">
        <v>4</v>
      </c>
      <c r="C81" s="167">
        <v>232</v>
      </c>
      <c r="D81" s="168">
        <f t="shared" si="2"/>
        <v>3900</v>
      </c>
      <c r="E81" s="169">
        <v>39</v>
      </c>
      <c r="F81" s="42">
        <f t="shared" si="3"/>
        <v>3900</v>
      </c>
    </row>
    <row r="82" spans="1:6" x14ac:dyDescent="0.3">
      <c r="A82" s="165">
        <v>179</v>
      </c>
      <c r="B82" s="166">
        <v>16</v>
      </c>
      <c r="C82" s="167">
        <v>232</v>
      </c>
      <c r="D82" s="168">
        <f t="shared" si="2"/>
        <v>3900</v>
      </c>
      <c r="E82" s="169">
        <v>39</v>
      </c>
      <c r="F82" s="42">
        <f t="shared" si="3"/>
        <v>3900</v>
      </c>
    </row>
    <row r="83" spans="1:6" x14ac:dyDescent="0.3">
      <c r="A83" s="165">
        <v>179</v>
      </c>
      <c r="B83" s="166">
        <v>12</v>
      </c>
      <c r="C83" s="167">
        <v>232</v>
      </c>
      <c r="D83" s="168">
        <f t="shared" si="2"/>
        <v>3900</v>
      </c>
      <c r="E83" s="169">
        <v>39</v>
      </c>
      <c r="F83" s="42">
        <f t="shared" si="3"/>
        <v>3900</v>
      </c>
    </row>
    <row r="84" spans="1:6" x14ac:dyDescent="0.3">
      <c r="A84" s="165">
        <v>179</v>
      </c>
      <c r="B84" s="166">
        <v>18</v>
      </c>
      <c r="C84" s="167">
        <v>232</v>
      </c>
      <c r="D84" s="168">
        <f t="shared" si="2"/>
        <v>3900</v>
      </c>
      <c r="E84" s="169">
        <v>39</v>
      </c>
      <c r="F84" s="42">
        <f t="shared" si="3"/>
        <v>3900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236"/>
  <sheetViews>
    <sheetView showGridLines="0"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133</v>
      </c>
      <c r="D5" s="168">
        <f>F5</f>
        <v>4100</v>
      </c>
      <c r="E5" s="169">
        <v>41</v>
      </c>
      <c r="F5" s="42">
        <f>E5*100</f>
        <v>4100</v>
      </c>
    </row>
    <row r="6" spans="1:6" x14ac:dyDescent="0.3">
      <c r="A6" s="165">
        <v>62</v>
      </c>
      <c r="B6" s="166">
        <v>325</v>
      </c>
      <c r="C6" s="167">
        <v>133</v>
      </c>
      <c r="D6" s="168">
        <f t="shared" ref="D6:D69" si="0">F6</f>
        <v>4100</v>
      </c>
      <c r="E6" s="169">
        <v>41</v>
      </c>
      <c r="F6" s="42">
        <f t="shared" ref="F6:F69" si="1">E6*100</f>
        <v>4100</v>
      </c>
    </row>
    <row r="7" spans="1:6" x14ac:dyDescent="0.3">
      <c r="A7" s="165">
        <v>62</v>
      </c>
      <c r="B7" s="166">
        <v>322</v>
      </c>
      <c r="C7" s="167">
        <v>133</v>
      </c>
      <c r="D7" s="168">
        <f t="shared" si="0"/>
        <v>4100</v>
      </c>
      <c r="E7" s="169">
        <v>41</v>
      </c>
      <c r="F7" s="42">
        <f t="shared" si="1"/>
        <v>4100</v>
      </c>
    </row>
    <row r="8" spans="1:6" x14ac:dyDescent="0.3">
      <c r="A8" s="165">
        <v>62</v>
      </c>
      <c r="B8" s="166">
        <v>316</v>
      </c>
      <c r="C8" s="167">
        <v>133</v>
      </c>
      <c r="D8" s="168">
        <f t="shared" si="0"/>
        <v>4100</v>
      </c>
      <c r="E8" s="169">
        <v>41</v>
      </c>
      <c r="F8" s="42">
        <f t="shared" si="1"/>
        <v>4100</v>
      </c>
    </row>
    <row r="9" spans="1:6" x14ac:dyDescent="0.3">
      <c r="A9" s="165">
        <v>62</v>
      </c>
      <c r="B9" s="166">
        <v>266</v>
      </c>
      <c r="C9" s="167">
        <v>133</v>
      </c>
      <c r="D9" s="168">
        <f t="shared" si="0"/>
        <v>4100</v>
      </c>
      <c r="E9" s="169">
        <v>41</v>
      </c>
      <c r="F9" s="42">
        <f t="shared" si="1"/>
        <v>4100</v>
      </c>
    </row>
    <row r="10" spans="1:6" x14ac:dyDescent="0.3">
      <c r="A10" s="165">
        <v>62</v>
      </c>
      <c r="B10" s="166">
        <v>326</v>
      </c>
      <c r="C10" s="167">
        <v>133</v>
      </c>
      <c r="D10" s="168">
        <f t="shared" si="0"/>
        <v>4100</v>
      </c>
      <c r="E10" s="169">
        <v>41</v>
      </c>
      <c r="F10" s="42">
        <f t="shared" si="1"/>
        <v>4100</v>
      </c>
    </row>
    <row r="11" spans="1:6" x14ac:dyDescent="0.3">
      <c r="A11" s="165">
        <v>62</v>
      </c>
      <c r="B11" s="166">
        <v>314</v>
      </c>
      <c r="C11" s="167">
        <v>133</v>
      </c>
      <c r="D11" s="168">
        <f t="shared" si="0"/>
        <v>4100</v>
      </c>
      <c r="E11" s="169">
        <v>41</v>
      </c>
      <c r="F11" s="42">
        <f t="shared" si="1"/>
        <v>4100</v>
      </c>
    </row>
    <row r="12" spans="1:6" x14ac:dyDescent="0.3">
      <c r="A12" s="165">
        <v>62</v>
      </c>
      <c r="B12" s="166">
        <v>303</v>
      </c>
      <c r="C12" s="167">
        <v>133</v>
      </c>
      <c r="D12" s="168">
        <f t="shared" si="0"/>
        <v>4100</v>
      </c>
      <c r="E12" s="169">
        <v>41</v>
      </c>
      <c r="F12" s="42">
        <f t="shared" si="1"/>
        <v>4100</v>
      </c>
    </row>
    <row r="13" spans="1:6" x14ac:dyDescent="0.3">
      <c r="A13" s="165">
        <v>62</v>
      </c>
      <c r="B13" s="166">
        <v>320</v>
      </c>
      <c r="C13" s="167">
        <v>133</v>
      </c>
      <c r="D13" s="168">
        <f t="shared" si="0"/>
        <v>4100</v>
      </c>
      <c r="E13" s="169">
        <v>41</v>
      </c>
      <c r="F13" s="42">
        <f t="shared" si="1"/>
        <v>4100</v>
      </c>
    </row>
    <row r="14" spans="1:6" x14ac:dyDescent="0.3">
      <c r="A14" s="165">
        <v>62</v>
      </c>
      <c r="B14" s="166">
        <v>289</v>
      </c>
      <c r="C14" s="167">
        <v>133</v>
      </c>
      <c r="D14" s="168">
        <f t="shared" si="0"/>
        <v>4100</v>
      </c>
      <c r="E14" s="169">
        <v>41</v>
      </c>
      <c r="F14" s="42">
        <f t="shared" si="1"/>
        <v>4100</v>
      </c>
    </row>
    <row r="15" spans="1:6" x14ac:dyDescent="0.3">
      <c r="A15" s="165">
        <v>93</v>
      </c>
      <c r="B15" s="166">
        <v>98</v>
      </c>
      <c r="C15" s="167">
        <v>133</v>
      </c>
      <c r="D15" s="168">
        <f t="shared" si="0"/>
        <v>1700</v>
      </c>
      <c r="E15" s="169">
        <v>17</v>
      </c>
      <c r="F15" s="42">
        <f t="shared" si="1"/>
        <v>1700</v>
      </c>
    </row>
    <row r="16" spans="1:6" x14ac:dyDescent="0.3">
      <c r="A16" s="165">
        <v>93</v>
      </c>
      <c r="B16" s="166">
        <v>70</v>
      </c>
      <c r="C16" s="167">
        <v>133</v>
      </c>
      <c r="D16" s="168">
        <f t="shared" si="0"/>
        <v>1700</v>
      </c>
      <c r="E16" s="169">
        <v>17</v>
      </c>
      <c r="F16" s="42">
        <f t="shared" si="1"/>
        <v>1700</v>
      </c>
    </row>
    <row r="17" spans="1:6" x14ac:dyDescent="0.3">
      <c r="A17" s="165">
        <v>93</v>
      </c>
      <c r="B17" s="166">
        <v>90</v>
      </c>
      <c r="C17" s="167">
        <v>133</v>
      </c>
      <c r="D17" s="168">
        <f t="shared" si="0"/>
        <v>1700</v>
      </c>
      <c r="E17" s="169">
        <v>17</v>
      </c>
      <c r="F17" s="42">
        <f t="shared" si="1"/>
        <v>1700</v>
      </c>
    </row>
    <row r="18" spans="1:6" x14ac:dyDescent="0.3">
      <c r="A18" s="165">
        <v>93</v>
      </c>
      <c r="B18" s="166">
        <v>92</v>
      </c>
      <c r="C18" s="167">
        <v>133</v>
      </c>
      <c r="D18" s="168">
        <f t="shared" si="0"/>
        <v>1700</v>
      </c>
      <c r="E18" s="169">
        <v>17</v>
      </c>
      <c r="F18" s="42">
        <f t="shared" si="1"/>
        <v>1700</v>
      </c>
    </row>
    <row r="19" spans="1:6" x14ac:dyDescent="0.3">
      <c r="A19" s="165">
        <v>93</v>
      </c>
      <c r="B19" s="166">
        <v>103</v>
      </c>
      <c r="C19" s="167">
        <v>133</v>
      </c>
      <c r="D19" s="168">
        <f t="shared" si="0"/>
        <v>3400</v>
      </c>
      <c r="E19" s="169">
        <v>34</v>
      </c>
      <c r="F19" s="42">
        <f t="shared" si="1"/>
        <v>3400</v>
      </c>
    </row>
    <row r="20" spans="1:6" x14ac:dyDescent="0.3">
      <c r="A20" s="165">
        <v>93</v>
      </c>
      <c r="B20" s="166">
        <v>95</v>
      </c>
      <c r="C20" s="167">
        <v>133</v>
      </c>
      <c r="D20" s="168">
        <f t="shared" si="0"/>
        <v>1700</v>
      </c>
      <c r="E20" s="169">
        <v>17</v>
      </c>
      <c r="F20" s="42">
        <f t="shared" si="1"/>
        <v>1700</v>
      </c>
    </row>
    <row r="21" spans="1:6" x14ac:dyDescent="0.3">
      <c r="A21" s="165">
        <v>93</v>
      </c>
      <c r="B21" s="166">
        <v>36</v>
      </c>
      <c r="C21" s="167">
        <v>133</v>
      </c>
      <c r="D21" s="168">
        <f t="shared" si="0"/>
        <v>1700</v>
      </c>
      <c r="E21" s="169">
        <v>17</v>
      </c>
      <c r="F21" s="42">
        <f t="shared" si="1"/>
        <v>1700</v>
      </c>
    </row>
    <row r="22" spans="1:6" x14ac:dyDescent="0.3">
      <c r="A22" s="165">
        <v>93</v>
      </c>
      <c r="B22" s="166">
        <v>79</v>
      </c>
      <c r="C22" s="167">
        <v>133</v>
      </c>
      <c r="D22" s="168">
        <f t="shared" si="0"/>
        <v>1700</v>
      </c>
      <c r="E22" s="169">
        <v>17</v>
      </c>
      <c r="F22" s="42">
        <f t="shared" si="1"/>
        <v>1700</v>
      </c>
    </row>
    <row r="23" spans="1:6" x14ac:dyDescent="0.3">
      <c r="A23" s="165">
        <v>93</v>
      </c>
      <c r="B23" s="166">
        <v>91</v>
      </c>
      <c r="C23" s="167">
        <v>133</v>
      </c>
      <c r="D23" s="168">
        <f t="shared" si="0"/>
        <v>1700</v>
      </c>
      <c r="E23" s="169">
        <v>17</v>
      </c>
      <c r="F23" s="42">
        <f t="shared" si="1"/>
        <v>1700</v>
      </c>
    </row>
    <row r="24" spans="1:6" x14ac:dyDescent="0.3">
      <c r="A24" s="165">
        <v>93</v>
      </c>
      <c r="B24" s="166">
        <v>102</v>
      </c>
      <c r="C24" s="167">
        <v>133</v>
      </c>
      <c r="D24" s="168">
        <f t="shared" si="0"/>
        <v>1700</v>
      </c>
      <c r="E24" s="169">
        <v>17</v>
      </c>
      <c r="F24" s="42">
        <f t="shared" si="1"/>
        <v>1700</v>
      </c>
    </row>
    <row r="25" spans="1:6" x14ac:dyDescent="0.3">
      <c r="A25" s="165">
        <v>93</v>
      </c>
      <c r="B25" s="166">
        <v>100</v>
      </c>
      <c r="C25" s="167">
        <v>133</v>
      </c>
      <c r="D25" s="168">
        <f t="shared" si="0"/>
        <v>1700</v>
      </c>
      <c r="E25" s="169">
        <v>17</v>
      </c>
      <c r="F25" s="42">
        <f t="shared" si="1"/>
        <v>1700</v>
      </c>
    </row>
    <row r="26" spans="1:6" x14ac:dyDescent="0.3">
      <c r="A26" s="165">
        <v>94</v>
      </c>
      <c r="B26" s="166">
        <v>3</v>
      </c>
      <c r="C26" s="167">
        <v>133</v>
      </c>
      <c r="D26" s="168">
        <f t="shared" si="0"/>
        <v>2200</v>
      </c>
      <c r="E26" s="169">
        <v>22</v>
      </c>
      <c r="F26" s="42">
        <f t="shared" si="1"/>
        <v>2200</v>
      </c>
    </row>
    <row r="27" spans="1:6" x14ac:dyDescent="0.3">
      <c r="A27" s="165">
        <v>94</v>
      </c>
      <c r="B27" s="166">
        <v>6</v>
      </c>
      <c r="C27" s="167">
        <v>133</v>
      </c>
      <c r="D27" s="168">
        <f t="shared" si="0"/>
        <v>2200</v>
      </c>
      <c r="E27" s="169">
        <v>22</v>
      </c>
      <c r="F27" s="42">
        <f t="shared" si="1"/>
        <v>2200</v>
      </c>
    </row>
    <row r="28" spans="1:6" x14ac:dyDescent="0.3">
      <c r="A28" s="165">
        <v>94</v>
      </c>
      <c r="B28" s="166">
        <v>55</v>
      </c>
      <c r="C28" s="167">
        <v>133</v>
      </c>
      <c r="D28" s="168">
        <f t="shared" si="0"/>
        <v>2200</v>
      </c>
      <c r="E28" s="169">
        <v>22</v>
      </c>
      <c r="F28" s="42">
        <f t="shared" si="1"/>
        <v>2200</v>
      </c>
    </row>
    <row r="29" spans="1:6" x14ac:dyDescent="0.3">
      <c r="A29" s="165">
        <v>94</v>
      </c>
      <c r="B29" s="166">
        <v>66</v>
      </c>
      <c r="C29" s="167">
        <v>133</v>
      </c>
      <c r="D29" s="168">
        <f t="shared" si="0"/>
        <v>2200</v>
      </c>
      <c r="E29" s="169">
        <v>22</v>
      </c>
      <c r="F29" s="42">
        <f t="shared" si="1"/>
        <v>2200</v>
      </c>
    </row>
    <row r="30" spans="1:6" x14ac:dyDescent="0.3">
      <c r="A30" s="165">
        <v>94</v>
      </c>
      <c r="B30" s="166">
        <v>68</v>
      </c>
      <c r="C30" s="167">
        <v>133</v>
      </c>
      <c r="D30" s="168">
        <f t="shared" si="0"/>
        <v>4700</v>
      </c>
      <c r="E30" s="169">
        <v>47</v>
      </c>
      <c r="F30" s="42">
        <f t="shared" si="1"/>
        <v>4700</v>
      </c>
    </row>
    <row r="31" spans="1:6" x14ac:dyDescent="0.3">
      <c r="A31" s="165">
        <v>95</v>
      </c>
      <c r="B31" s="166">
        <v>56</v>
      </c>
      <c r="C31" s="167">
        <v>133</v>
      </c>
      <c r="D31" s="168">
        <f t="shared" si="0"/>
        <v>4000</v>
      </c>
      <c r="E31" s="169">
        <v>40</v>
      </c>
      <c r="F31" s="42">
        <f t="shared" si="1"/>
        <v>4000</v>
      </c>
    </row>
    <row r="32" spans="1:6" x14ac:dyDescent="0.3">
      <c r="A32" s="165">
        <v>95</v>
      </c>
      <c r="B32" s="166">
        <v>59</v>
      </c>
      <c r="C32" s="167">
        <v>133</v>
      </c>
      <c r="D32" s="168">
        <f t="shared" si="0"/>
        <v>4000</v>
      </c>
      <c r="E32" s="169">
        <v>40</v>
      </c>
      <c r="F32" s="42">
        <f t="shared" si="1"/>
        <v>4000</v>
      </c>
    </row>
    <row r="33" spans="1:6" x14ac:dyDescent="0.3">
      <c r="A33" s="165">
        <v>95</v>
      </c>
      <c r="B33" s="166">
        <v>83</v>
      </c>
      <c r="C33" s="167">
        <v>133</v>
      </c>
      <c r="D33" s="168">
        <f t="shared" si="0"/>
        <v>4000</v>
      </c>
      <c r="E33" s="169">
        <v>40</v>
      </c>
      <c r="F33" s="42">
        <f t="shared" si="1"/>
        <v>4000</v>
      </c>
    </row>
    <row r="34" spans="1:6" x14ac:dyDescent="0.3">
      <c r="A34" s="165">
        <v>95</v>
      </c>
      <c r="B34" s="166">
        <v>84</v>
      </c>
      <c r="C34" s="167">
        <v>133</v>
      </c>
      <c r="D34" s="168">
        <f t="shared" si="0"/>
        <v>4000</v>
      </c>
      <c r="E34" s="169">
        <v>40</v>
      </c>
      <c r="F34" s="42">
        <f t="shared" si="1"/>
        <v>4000</v>
      </c>
    </row>
    <row r="35" spans="1:6" x14ac:dyDescent="0.3">
      <c r="A35" s="165">
        <v>95</v>
      </c>
      <c r="B35" s="166">
        <v>88</v>
      </c>
      <c r="C35" s="167">
        <v>133</v>
      </c>
      <c r="D35" s="168">
        <f t="shared" si="0"/>
        <v>4000</v>
      </c>
      <c r="E35" s="169">
        <v>40</v>
      </c>
      <c r="F35" s="42">
        <f t="shared" si="1"/>
        <v>4000</v>
      </c>
    </row>
    <row r="36" spans="1:6" x14ac:dyDescent="0.3">
      <c r="A36" s="165">
        <v>103</v>
      </c>
      <c r="B36" s="166">
        <v>184</v>
      </c>
      <c r="C36" s="167">
        <v>133</v>
      </c>
      <c r="D36" s="168">
        <f t="shared" si="0"/>
        <v>4000</v>
      </c>
      <c r="E36" s="169">
        <v>40</v>
      </c>
      <c r="F36" s="42">
        <f t="shared" si="1"/>
        <v>4000</v>
      </c>
    </row>
    <row r="37" spans="1:6" x14ac:dyDescent="0.3">
      <c r="A37" s="165">
        <v>103</v>
      </c>
      <c r="B37" s="166">
        <v>185</v>
      </c>
      <c r="C37" s="167">
        <v>133</v>
      </c>
      <c r="D37" s="168">
        <f t="shared" si="0"/>
        <v>4000</v>
      </c>
      <c r="E37" s="169">
        <v>40</v>
      </c>
      <c r="F37" s="42">
        <f t="shared" si="1"/>
        <v>4000</v>
      </c>
    </row>
    <row r="38" spans="1:6" x14ac:dyDescent="0.3">
      <c r="A38" s="165">
        <v>103</v>
      </c>
      <c r="B38" s="166">
        <v>187</v>
      </c>
      <c r="C38" s="167">
        <v>133</v>
      </c>
      <c r="D38" s="168">
        <f t="shared" si="0"/>
        <v>4000</v>
      </c>
      <c r="E38" s="169">
        <v>40</v>
      </c>
      <c r="F38" s="42">
        <f t="shared" si="1"/>
        <v>4000</v>
      </c>
    </row>
    <row r="39" spans="1:6" x14ac:dyDescent="0.3">
      <c r="A39" s="165">
        <v>103</v>
      </c>
      <c r="B39" s="166">
        <v>194</v>
      </c>
      <c r="C39" s="167">
        <v>133</v>
      </c>
      <c r="D39" s="168">
        <f t="shared" si="0"/>
        <v>4000</v>
      </c>
      <c r="E39" s="169">
        <v>40</v>
      </c>
      <c r="F39" s="42">
        <f t="shared" si="1"/>
        <v>4000</v>
      </c>
    </row>
    <row r="40" spans="1:6" x14ac:dyDescent="0.3">
      <c r="A40" s="165">
        <v>103</v>
      </c>
      <c r="B40" s="166">
        <v>199</v>
      </c>
      <c r="C40" s="167">
        <v>133</v>
      </c>
      <c r="D40" s="168">
        <f t="shared" si="0"/>
        <v>4000</v>
      </c>
      <c r="E40" s="169">
        <v>40</v>
      </c>
      <c r="F40" s="42">
        <f t="shared" si="1"/>
        <v>4000</v>
      </c>
    </row>
    <row r="41" spans="1:6" x14ac:dyDescent="0.3">
      <c r="A41" s="165">
        <v>103</v>
      </c>
      <c r="B41" s="166">
        <v>200</v>
      </c>
      <c r="C41" s="167">
        <v>133</v>
      </c>
      <c r="D41" s="168">
        <f t="shared" si="0"/>
        <v>4000</v>
      </c>
      <c r="E41" s="169">
        <v>40</v>
      </c>
      <c r="F41" s="42">
        <f t="shared" si="1"/>
        <v>4000</v>
      </c>
    </row>
    <row r="42" spans="1:6" x14ac:dyDescent="0.3">
      <c r="A42" s="165">
        <v>103</v>
      </c>
      <c r="B42" s="166">
        <v>202</v>
      </c>
      <c r="C42" s="167">
        <v>133</v>
      </c>
      <c r="D42" s="168">
        <f t="shared" si="0"/>
        <v>4000</v>
      </c>
      <c r="E42" s="169">
        <v>40</v>
      </c>
      <c r="F42" s="42">
        <f t="shared" si="1"/>
        <v>4000</v>
      </c>
    </row>
    <row r="43" spans="1:6" x14ac:dyDescent="0.3">
      <c r="A43" s="165">
        <v>105</v>
      </c>
      <c r="B43" s="166">
        <v>93</v>
      </c>
      <c r="C43" s="167">
        <v>133</v>
      </c>
      <c r="D43" s="168">
        <f t="shared" si="0"/>
        <v>3009</v>
      </c>
      <c r="E43" s="169">
        <v>30.09</v>
      </c>
      <c r="F43" s="42">
        <f t="shared" si="1"/>
        <v>3009</v>
      </c>
    </row>
    <row r="44" spans="1:6" x14ac:dyDescent="0.3">
      <c r="A44" s="165">
        <v>105</v>
      </c>
      <c r="B44" s="166">
        <v>100</v>
      </c>
      <c r="C44" s="167">
        <v>133</v>
      </c>
      <c r="D44" s="168">
        <f t="shared" si="0"/>
        <v>3009</v>
      </c>
      <c r="E44" s="169">
        <v>30.09</v>
      </c>
      <c r="F44" s="42">
        <f t="shared" si="1"/>
        <v>3009</v>
      </c>
    </row>
    <row r="45" spans="1:6" x14ac:dyDescent="0.3">
      <c r="A45" s="165">
        <v>105</v>
      </c>
      <c r="B45" s="166">
        <v>61</v>
      </c>
      <c r="C45" s="167">
        <v>133</v>
      </c>
      <c r="D45" s="168">
        <f t="shared" si="0"/>
        <v>3009</v>
      </c>
      <c r="E45" s="169">
        <v>30.09</v>
      </c>
      <c r="F45" s="42">
        <f t="shared" si="1"/>
        <v>3009</v>
      </c>
    </row>
    <row r="46" spans="1:6" x14ac:dyDescent="0.3">
      <c r="A46" s="165">
        <v>105</v>
      </c>
      <c r="B46" s="166">
        <v>84</v>
      </c>
      <c r="C46" s="167">
        <v>133</v>
      </c>
      <c r="D46" s="168">
        <f t="shared" si="0"/>
        <v>3009</v>
      </c>
      <c r="E46" s="169">
        <v>30.09</v>
      </c>
      <c r="F46" s="42">
        <f t="shared" si="1"/>
        <v>3009</v>
      </c>
    </row>
    <row r="47" spans="1:6" x14ac:dyDescent="0.3">
      <c r="A47" s="165">
        <v>105</v>
      </c>
      <c r="B47" s="166">
        <v>29</v>
      </c>
      <c r="C47" s="167">
        <v>133</v>
      </c>
      <c r="D47" s="168">
        <f t="shared" si="0"/>
        <v>3009</v>
      </c>
      <c r="E47" s="169">
        <v>30.09</v>
      </c>
      <c r="F47" s="42">
        <f t="shared" si="1"/>
        <v>3009</v>
      </c>
    </row>
    <row r="48" spans="1:6" x14ac:dyDescent="0.3">
      <c r="A48" s="165">
        <v>105</v>
      </c>
      <c r="B48" s="166">
        <v>95</v>
      </c>
      <c r="C48" s="167">
        <v>133</v>
      </c>
      <c r="D48" s="168">
        <f t="shared" si="0"/>
        <v>3009</v>
      </c>
      <c r="E48" s="169">
        <v>30.09</v>
      </c>
      <c r="F48" s="42">
        <f t="shared" si="1"/>
        <v>3009</v>
      </c>
    </row>
    <row r="49" spans="1:6" x14ac:dyDescent="0.3">
      <c r="A49" s="165">
        <v>105</v>
      </c>
      <c r="B49" s="166">
        <v>103</v>
      </c>
      <c r="C49" s="167">
        <v>133</v>
      </c>
      <c r="D49" s="168">
        <f t="shared" si="0"/>
        <v>3009</v>
      </c>
      <c r="E49" s="169">
        <v>30.09</v>
      </c>
      <c r="F49" s="42">
        <f t="shared" si="1"/>
        <v>3009</v>
      </c>
    </row>
    <row r="50" spans="1:6" x14ac:dyDescent="0.3">
      <c r="A50" s="165">
        <v>123</v>
      </c>
      <c r="B50" s="166">
        <v>58</v>
      </c>
      <c r="C50" s="167">
        <v>133</v>
      </c>
      <c r="D50" s="168">
        <f t="shared" si="0"/>
        <v>1500</v>
      </c>
      <c r="E50" s="169">
        <v>15</v>
      </c>
      <c r="F50" s="42">
        <f t="shared" si="1"/>
        <v>1500</v>
      </c>
    </row>
    <row r="51" spans="1:6" x14ac:dyDescent="0.3">
      <c r="A51" s="165">
        <v>123</v>
      </c>
      <c r="B51" s="166">
        <v>69</v>
      </c>
      <c r="C51" s="167">
        <v>133</v>
      </c>
      <c r="D51" s="168">
        <f t="shared" si="0"/>
        <v>1500</v>
      </c>
      <c r="E51" s="169">
        <v>15</v>
      </c>
      <c r="F51" s="42">
        <f t="shared" si="1"/>
        <v>1500</v>
      </c>
    </row>
    <row r="52" spans="1:6" x14ac:dyDescent="0.3">
      <c r="A52" s="165">
        <v>123</v>
      </c>
      <c r="B52" s="166">
        <v>81</v>
      </c>
      <c r="C52" s="167">
        <v>133</v>
      </c>
      <c r="D52" s="168">
        <f t="shared" si="0"/>
        <v>6859.9999999999991</v>
      </c>
      <c r="E52" s="169">
        <v>68.599999999999994</v>
      </c>
      <c r="F52" s="42">
        <f t="shared" si="1"/>
        <v>6859.9999999999991</v>
      </c>
    </row>
    <row r="53" spans="1:6" x14ac:dyDescent="0.3">
      <c r="A53" s="165">
        <v>123</v>
      </c>
      <c r="B53" s="166">
        <v>75</v>
      </c>
      <c r="C53" s="167">
        <v>133</v>
      </c>
      <c r="D53" s="168">
        <f t="shared" si="0"/>
        <v>1500</v>
      </c>
      <c r="E53" s="169">
        <v>15</v>
      </c>
      <c r="F53" s="42">
        <f t="shared" si="1"/>
        <v>1500</v>
      </c>
    </row>
    <row r="54" spans="1:6" x14ac:dyDescent="0.3">
      <c r="A54" s="165">
        <v>123</v>
      </c>
      <c r="B54" s="166">
        <v>76</v>
      </c>
      <c r="C54" s="167">
        <v>133</v>
      </c>
      <c r="D54" s="168">
        <f t="shared" si="0"/>
        <v>1500</v>
      </c>
      <c r="E54" s="169">
        <v>15</v>
      </c>
      <c r="F54" s="42">
        <f t="shared" si="1"/>
        <v>1500</v>
      </c>
    </row>
    <row r="55" spans="1:6" x14ac:dyDescent="0.3">
      <c r="A55" s="165">
        <v>123</v>
      </c>
      <c r="B55" s="166">
        <v>68</v>
      </c>
      <c r="C55" s="167">
        <v>133</v>
      </c>
      <c r="D55" s="168">
        <f t="shared" si="0"/>
        <v>1500</v>
      </c>
      <c r="E55" s="169">
        <v>15</v>
      </c>
      <c r="F55" s="42">
        <f t="shared" si="1"/>
        <v>1500</v>
      </c>
    </row>
    <row r="56" spans="1:6" x14ac:dyDescent="0.3">
      <c r="A56" s="165">
        <v>123</v>
      </c>
      <c r="B56" s="166">
        <v>36</v>
      </c>
      <c r="C56" s="167">
        <v>133</v>
      </c>
      <c r="D56" s="168">
        <f t="shared" si="0"/>
        <v>1500</v>
      </c>
      <c r="E56" s="169">
        <v>15</v>
      </c>
      <c r="F56" s="42">
        <f t="shared" si="1"/>
        <v>1500</v>
      </c>
    </row>
    <row r="57" spans="1:6" x14ac:dyDescent="0.3">
      <c r="A57" s="165">
        <v>123</v>
      </c>
      <c r="B57" s="166">
        <v>70</v>
      </c>
      <c r="C57" s="167">
        <v>133</v>
      </c>
      <c r="D57" s="168">
        <f t="shared" si="0"/>
        <v>1500</v>
      </c>
      <c r="E57" s="169">
        <v>15</v>
      </c>
      <c r="F57" s="42">
        <f t="shared" si="1"/>
        <v>1500</v>
      </c>
    </row>
    <row r="58" spans="1:6" x14ac:dyDescent="0.3">
      <c r="A58" s="165">
        <v>126</v>
      </c>
      <c r="B58" s="166">
        <v>41</v>
      </c>
      <c r="C58" s="167">
        <v>133</v>
      </c>
      <c r="D58" s="168">
        <f t="shared" si="0"/>
        <v>4100</v>
      </c>
      <c r="E58" s="169">
        <v>41</v>
      </c>
      <c r="F58" s="42">
        <f t="shared" si="1"/>
        <v>4100</v>
      </c>
    </row>
    <row r="59" spans="1:6" x14ac:dyDescent="0.3">
      <c r="A59" s="165">
        <v>126</v>
      </c>
      <c r="B59" s="166">
        <v>56</v>
      </c>
      <c r="C59" s="167">
        <v>133</v>
      </c>
      <c r="D59" s="168">
        <f t="shared" si="0"/>
        <v>2100</v>
      </c>
      <c r="E59" s="169">
        <v>21</v>
      </c>
      <c r="F59" s="42">
        <f t="shared" si="1"/>
        <v>2100</v>
      </c>
    </row>
    <row r="60" spans="1:6" x14ac:dyDescent="0.3">
      <c r="A60" s="165">
        <v>126</v>
      </c>
      <c r="B60" s="166">
        <v>45</v>
      </c>
      <c r="C60" s="167">
        <v>133</v>
      </c>
      <c r="D60" s="168">
        <f t="shared" si="0"/>
        <v>4100</v>
      </c>
      <c r="E60" s="169">
        <v>41</v>
      </c>
      <c r="F60" s="42">
        <f t="shared" si="1"/>
        <v>4100</v>
      </c>
    </row>
    <row r="61" spans="1:6" x14ac:dyDescent="0.3">
      <c r="A61" s="165">
        <v>126</v>
      </c>
      <c r="B61" s="166">
        <v>1</v>
      </c>
      <c r="C61" s="167">
        <v>133</v>
      </c>
      <c r="D61" s="168">
        <f t="shared" si="0"/>
        <v>4100</v>
      </c>
      <c r="E61" s="169">
        <v>41</v>
      </c>
      <c r="F61" s="42">
        <f t="shared" si="1"/>
        <v>4100</v>
      </c>
    </row>
    <row r="62" spans="1:6" x14ac:dyDescent="0.3">
      <c r="A62" s="165">
        <v>126</v>
      </c>
      <c r="B62" s="166">
        <v>28</v>
      </c>
      <c r="C62" s="167">
        <v>133</v>
      </c>
      <c r="D62" s="168">
        <f t="shared" si="0"/>
        <v>4100</v>
      </c>
      <c r="E62" s="169">
        <v>41</v>
      </c>
      <c r="F62" s="42">
        <f t="shared" si="1"/>
        <v>4100</v>
      </c>
    </row>
    <row r="63" spans="1:6" x14ac:dyDescent="0.3">
      <c r="A63" s="165">
        <v>126</v>
      </c>
      <c r="B63" s="166">
        <v>55</v>
      </c>
      <c r="C63" s="167">
        <v>133</v>
      </c>
      <c r="D63" s="168">
        <f t="shared" si="0"/>
        <v>4100</v>
      </c>
      <c r="E63" s="169">
        <v>41</v>
      </c>
      <c r="F63" s="42">
        <f t="shared" si="1"/>
        <v>4100</v>
      </c>
    </row>
    <row r="64" spans="1:6" x14ac:dyDescent="0.3">
      <c r="A64" s="165">
        <v>126</v>
      </c>
      <c r="B64" s="166">
        <v>46</v>
      </c>
      <c r="C64" s="167">
        <v>133</v>
      </c>
      <c r="D64" s="168">
        <f t="shared" si="0"/>
        <v>4100</v>
      </c>
      <c r="E64" s="169">
        <v>41</v>
      </c>
      <c r="F64" s="42">
        <f t="shared" si="1"/>
        <v>4100</v>
      </c>
    </row>
    <row r="65" spans="1:6" x14ac:dyDescent="0.3">
      <c r="A65" s="165">
        <v>127</v>
      </c>
      <c r="B65" s="166">
        <v>70</v>
      </c>
      <c r="C65" s="167">
        <v>133</v>
      </c>
      <c r="D65" s="168">
        <f t="shared" si="0"/>
        <v>2500</v>
      </c>
      <c r="E65" s="169">
        <v>25</v>
      </c>
      <c r="F65" s="42">
        <f t="shared" si="1"/>
        <v>2500</v>
      </c>
    </row>
    <row r="66" spans="1:6" x14ac:dyDescent="0.3">
      <c r="A66" s="165">
        <v>127</v>
      </c>
      <c r="B66" s="166">
        <v>75</v>
      </c>
      <c r="C66" s="167">
        <v>133</v>
      </c>
      <c r="D66" s="168">
        <f t="shared" si="0"/>
        <v>2500</v>
      </c>
      <c r="E66" s="169">
        <v>25</v>
      </c>
      <c r="F66" s="42">
        <f t="shared" si="1"/>
        <v>2500</v>
      </c>
    </row>
    <row r="67" spans="1:6" x14ac:dyDescent="0.3">
      <c r="A67" s="165">
        <v>127</v>
      </c>
      <c r="B67" s="166">
        <v>80</v>
      </c>
      <c r="C67" s="167">
        <v>133</v>
      </c>
      <c r="D67" s="168">
        <f t="shared" si="0"/>
        <v>2500</v>
      </c>
      <c r="E67" s="169">
        <v>25</v>
      </c>
      <c r="F67" s="42">
        <f t="shared" si="1"/>
        <v>2500</v>
      </c>
    </row>
    <row r="68" spans="1:6" x14ac:dyDescent="0.3">
      <c r="A68" s="165">
        <v>127</v>
      </c>
      <c r="B68" s="166">
        <v>82</v>
      </c>
      <c r="C68" s="167">
        <v>133</v>
      </c>
      <c r="D68" s="168">
        <f t="shared" si="0"/>
        <v>2600</v>
      </c>
      <c r="E68" s="169">
        <v>26</v>
      </c>
      <c r="F68" s="42">
        <f t="shared" si="1"/>
        <v>2600</v>
      </c>
    </row>
    <row r="69" spans="1:6" x14ac:dyDescent="0.3">
      <c r="A69" s="165">
        <v>139</v>
      </c>
      <c r="B69" s="166">
        <v>43</v>
      </c>
      <c r="C69" s="167">
        <v>133</v>
      </c>
      <c r="D69" s="168">
        <f t="shared" si="0"/>
        <v>3720.0000000000005</v>
      </c>
      <c r="E69" s="169">
        <v>37.200000000000003</v>
      </c>
      <c r="F69" s="42">
        <f t="shared" si="1"/>
        <v>3720.0000000000005</v>
      </c>
    </row>
    <row r="70" spans="1:6" x14ac:dyDescent="0.3">
      <c r="A70" s="165">
        <v>139</v>
      </c>
      <c r="B70" s="166">
        <v>24</v>
      </c>
      <c r="C70" s="167">
        <v>133</v>
      </c>
      <c r="D70" s="168">
        <f t="shared" ref="D70:D133" si="2">F70</f>
        <v>3720.0000000000005</v>
      </c>
      <c r="E70" s="169">
        <v>37.200000000000003</v>
      </c>
      <c r="F70" s="42">
        <f t="shared" ref="F70:F133" si="3">E70*100</f>
        <v>3720.0000000000005</v>
      </c>
    </row>
    <row r="71" spans="1:6" x14ac:dyDescent="0.3">
      <c r="A71" s="165">
        <v>139</v>
      </c>
      <c r="B71" s="166">
        <v>41</v>
      </c>
      <c r="C71" s="167">
        <v>133</v>
      </c>
      <c r="D71" s="168">
        <f t="shared" si="2"/>
        <v>3720.0000000000005</v>
      </c>
      <c r="E71" s="169">
        <v>37.200000000000003</v>
      </c>
      <c r="F71" s="42">
        <f t="shared" si="3"/>
        <v>3720.0000000000005</v>
      </c>
    </row>
    <row r="72" spans="1:6" x14ac:dyDescent="0.3">
      <c r="A72" s="165">
        <v>139</v>
      </c>
      <c r="B72" s="166">
        <v>52</v>
      </c>
      <c r="C72" s="167">
        <v>133</v>
      </c>
      <c r="D72" s="168">
        <f t="shared" si="2"/>
        <v>3720.0000000000005</v>
      </c>
      <c r="E72" s="169">
        <v>37.200000000000003</v>
      </c>
      <c r="F72" s="42">
        <f t="shared" si="3"/>
        <v>3720.0000000000005</v>
      </c>
    </row>
    <row r="73" spans="1:6" x14ac:dyDescent="0.3">
      <c r="A73" s="165">
        <v>139</v>
      </c>
      <c r="B73" s="166">
        <v>51</v>
      </c>
      <c r="C73" s="167">
        <v>133</v>
      </c>
      <c r="D73" s="168">
        <f t="shared" si="2"/>
        <v>3720.0000000000005</v>
      </c>
      <c r="E73" s="169">
        <v>37.200000000000003</v>
      </c>
      <c r="F73" s="42">
        <f t="shared" si="3"/>
        <v>3720.0000000000005</v>
      </c>
    </row>
    <row r="74" spans="1:6" x14ac:dyDescent="0.3">
      <c r="A74" s="165">
        <v>139</v>
      </c>
      <c r="B74" s="166">
        <v>28</v>
      </c>
      <c r="C74" s="167">
        <v>133</v>
      </c>
      <c r="D74" s="168">
        <f t="shared" si="2"/>
        <v>3720.0000000000005</v>
      </c>
      <c r="E74" s="169">
        <v>37.200000000000003</v>
      </c>
      <c r="F74" s="42">
        <f t="shared" si="3"/>
        <v>3720.0000000000005</v>
      </c>
    </row>
    <row r="75" spans="1:6" x14ac:dyDescent="0.3">
      <c r="A75" s="165">
        <v>139</v>
      </c>
      <c r="B75" s="166">
        <v>49</v>
      </c>
      <c r="C75" s="167">
        <v>133</v>
      </c>
      <c r="D75" s="168">
        <f t="shared" si="2"/>
        <v>3720.0000000000005</v>
      </c>
      <c r="E75" s="169">
        <v>37.200000000000003</v>
      </c>
      <c r="F75" s="42">
        <f t="shared" si="3"/>
        <v>3720.0000000000005</v>
      </c>
    </row>
    <row r="76" spans="1:6" x14ac:dyDescent="0.3">
      <c r="A76" s="165">
        <v>139</v>
      </c>
      <c r="B76" s="166">
        <v>47</v>
      </c>
      <c r="C76" s="167">
        <v>133</v>
      </c>
      <c r="D76" s="168">
        <f t="shared" si="2"/>
        <v>3720.0000000000005</v>
      </c>
      <c r="E76" s="169">
        <v>37.200000000000003</v>
      </c>
      <c r="F76" s="42">
        <f t="shared" si="3"/>
        <v>3720.0000000000005</v>
      </c>
    </row>
    <row r="77" spans="1:6" x14ac:dyDescent="0.3">
      <c r="A77" s="165">
        <v>144</v>
      </c>
      <c r="B77" s="166">
        <v>81</v>
      </c>
      <c r="C77" s="167">
        <v>133</v>
      </c>
      <c r="D77" s="168">
        <f t="shared" si="2"/>
        <v>2350</v>
      </c>
      <c r="E77" s="169">
        <v>23.5</v>
      </c>
      <c r="F77" s="42">
        <f t="shared" si="3"/>
        <v>2350</v>
      </c>
    </row>
    <row r="78" spans="1:6" x14ac:dyDescent="0.3">
      <c r="A78" s="165">
        <v>144</v>
      </c>
      <c r="B78" s="166">
        <v>71</v>
      </c>
      <c r="C78" s="167">
        <v>133</v>
      </c>
      <c r="D78" s="168">
        <f t="shared" si="2"/>
        <v>2350</v>
      </c>
      <c r="E78" s="169">
        <v>23.5</v>
      </c>
      <c r="F78" s="42">
        <f t="shared" si="3"/>
        <v>2350</v>
      </c>
    </row>
    <row r="79" spans="1:6" x14ac:dyDescent="0.3">
      <c r="A79" s="165">
        <v>144</v>
      </c>
      <c r="B79" s="166">
        <v>85</v>
      </c>
      <c r="C79" s="167">
        <v>133</v>
      </c>
      <c r="D79" s="168">
        <f t="shared" si="2"/>
        <v>2350</v>
      </c>
      <c r="E79" s="169">
        <v>23.5</v>
      </c>
      <c r="F79" s="42">
        <f t="shared" si="3"/>
        <v>2350</v>
      </c>
    </row>
    <row r="80" spans="1:6" x14ac:dyDescent="0.3">
      <c r="A80" s="165">
        <v>144</v>
      </c>
      <c r="B80" s="166">
        <v>35</v>
      </c>
      <c r="C80" s="167">
        <v>133</v>
      </c>
      <c r="D80" s="168">
        <f t="shared" si="2"/>
        <v>2350</v>
      </c>
      <c r="E80" s="169">
        <v>23.5</v>
      </c>
      <c r="F80" s="42">
        <f t="shared" si="3"/>
        <v>2350</v>
      </c>
    </row>
    <row r="81" spans="1:6" x14ac:dyDescent="0.3">
      <c r="A81" s="165">
        <v>144</v>
      </c>
      <c r="B81" s="166">
        <v>88</v>
      </c>
      <c r="C81" s="167">
        <v>133</v>
      </c>
      <c r="D81" s="168">
        <f t="shared" si="2"/>
        <v>2350</v>
      </c>
      <c r="E81" s="169">
        <v>23.5</v>
      </c>
      <c r="F81" s="42">
        <f t="shared" si="3"/>
        <v>2350</v>
      </c>
    </row>
    <row r="82" spans="1:6" x14ac:dyDescent="0.3">
      <c r="A82" s="165">
        <v>156</v>
      </c>
      <c r="B82" s="166">
        <v>76</v>
      </c>
      <c r="C82" s="167">
        <v>133</v>
      </c>
      <c r="D82" s="168">
        <f t="shared" si="2"/>
        <v>4000</v>
      </c>
      <c r="E82" s="169">
        <v>40</v>
      </c>
      <c r="F82" s="42">
        <f t="shared" si="3"/>
        <v>4000</v>
      </c>
    </row>
    <row r="83" spans="1:6" x14ac:dyDescent="0.3">
      <c r="A83" s="165">
        <v>156</v>
      </c>
      <c r="B83" s="166">
        <v>72</v>
      </c>
      <c r="C83" s="167">
        <v>133</v>
      </c>
      <c r="D83" s="168">
        <f t="shared" si="2"/>
        <v>4000</v>
      </c>
      <c r="E83" s="169">
        <v>40</v>
      </c>
      <c r="F83" s="42">
        <f t="shared" si="3"/>
        <v>4000</v>
      </c>
    </row>
    <row r="84" spans="1:6" x14ac:dyDescent="0.3">
      <c r="A84" s="165">
        <v>156</v>
      </c>
      <c r="B84" s="166">
        <v>78</v>
      </c>
      <c r="C84" s="167">
        <v>133</v>
      </c>
      <c r="D84" s="168">
        <f t="shared" si="2"/>
        <v>4000</v>
      </c>
      <c r="E84" s="169">
        <v>40</v>
      </c>
      <c r="F84" s="42">
        <f t="shared" si="3"/>
        <v>4000</v>
      </c>
    </row>
    <row r="85" spans="1:6" x14ac:dyDescent="0.3">
      <c r="A85" s="165">
        <v>156</v>
      </c>
      <c r="B85" s="166">
        <v>67</v>
      </c>
      <c r="C85" s="167">
        <v>133</v>
      </c>
      <c r="D85" s="168">
        <f t="shared" si="2"/>
        <v>4000</v>
      </c>
      <c r="E85" s="169">
        <v>40</v>
      </c>
      <c r="F85" s="42">
        <f t="shared" si="3"/>
        <v>4000</v>
      </c>
    </row>
    <row r="86" spans="1:6" x14ac:dyDescent="0.3">
      <c r="A86" s="165">
        <v>156</v>
      </c>
      <c r="B86" s="166">
        <v>81</v>
      </c>
      <c r="C86" s="167">
        <v>133</v>
      </c>
      <c r="D86" s="168">
        <f t="shared" si="2"/>
        <v>4000</v>
      </c>
      <c r="E86" s="169">
        <v>40</v>
      </c>
      <c r="F86" s="42">
        <f t="shared" si="3"/>
        <v>4000</v>
      </c>
    </row>
    <row r="87" spans="1:6" x14ac:dyDescent="0.3">
      <c r="A87" s="165">
        <v>156</v>
      </c>
      <c r="B87" s="166">
        <v>79</v>
      </c>
      <c r="C87" s="167">
        <v>133</v>
      </c>
      <c r="D87" s="168">
        <f t="shared" si="2"/>
        <v>4000</v>
      </c>
      <c r="E87" s="169">
        <v>40</v>
      </c>
      <c r="F87" s="42">
        <f t="shared" si="3"/>
        <v>4000</v>
      </c>
    </row>
    <row r="88" spans="1:6" x14ac:dyDescent="0.3">
      <c r="A88" s="165">
        <v>156</v>
      </c>
      <c r="B88" s="166">
        <v>75</v>
      </c>
      <c r="C88" s="167">
        <v>133</v>
      </c>
      <c r="D88" s="168">
        <f t="shared" si="2"/>
        <v>4000</v>
      </c>
      <c r="E88" s="169">
        <v>40</v>
      </c>
      <c r="F88" s="42">
        <f t="shared" si="3"/>
        <v>4000</v>
      </c>
    </row>
    <row r="89" spans="1:6" x14ac:dyDescent="0.3">
      <c r="A89" s="165">
        <v>156</v>
      </c>
      <c r="B89" s="166">
        <v>84</v>
      </c>
      <c r="C89" s="167">
        <v>133</v>
      </c>
      <c r="D89" s="168">
        <f t="shared" si="2"/>
        <v>3400</v>
      </c>
      <c r="E89" s="169">
        <v>34</v>
      </c>
      <c r="F89" s="42">
        <f t="shared" si="3"/>
        <v>3400</v>
      </c>
    </row>
    <row r="90" spans="1:6" x14ac:dyDescent="0.3">
      <c r="A90" s="165">
        <v>161</v>
      </c>
      <c r="B90" s="166">
        <v>51</v>
      </c>
      <c r="C90" s="167">
        <v>133</v>
      </c>
      <c r="D90" s="168">
        <f t="shared" si="2"/>
        <v>3009</v>
      </c>
      <c r="E90" s="169">
        <v>30.09</v>
      </c>
      <c r="F90" s="42">
        <f t="shared" si="3"/>
        <v>3009</v>
      </c>
    </row>
    <row r="91" spans="1:6" x14ac:dyDescent="0.3">
      <c r="A91" s="165">
        <v>161</v>
      </c>
      <c r="B91" s="166">
        <v>49</v>
      </c>
      <c r="C91" s="167">
        <v>133</v>
      </c>
      <c r="D91" s="168">
        <f t="shared" si="2"/>
        <v>3009</v>
      </c>
      <c r="E91" s="169">
        <v>30.09</v>
      </c>
      <c r="F91" s="42">
        <f t="shared" si="3"/>
        <v>3009</v>
      </c>
    </row>
    <row r="92" spans="1:6" x14ac:dyDescent="0.3">
      <c r="A92" s="165">
        <v>161</v>
      </c>
      <c r="B92" s="166">
        <v>32</v>
      </c>
      <c r="C92" s="167">
        <v>133</v>
      </c>
      <c r="D92" s="168">
        <f t="shared" si="2"/>
        <v>3009</v>
      </c>
      <c r="E92" s="169">
        <v>30.09</v>
      </c>
      <c r="F92" s="42">
        <f t="shared" si="3"/>
        <v>3009</v>
      </c>
    </row>
    <row r="93" spans="1:6" x14ac:dyDescent="0.3">
      <c r="A93" s="165">
        <v>161</v>
      </c>
      <c r="B93" s="166">
        <v>52</v>
      </c>
      <c r="C93" s="167">
        <v>133</v>
      </c>
      <c r="D93" s="168">
        <f t="shared" si="2"/>
        <v>2778</v>
      </c>
      <c r="E93" s="169">
        <v>27.78</v>
      </c>
      <c r="F93" s="42">
        <f t="shared" si="3"/>
        <v>2778</v>
      </c>
    </row>
    <row r="94" spans="1:6" x14ac:dyDescent="0.3">
      <c r="A94" s="165">
        <v>173</v>
      </c>
      <c r="B94" s="166">
        <v>30</v>
      </c>
      <c r="C94" s="167">
        <v>133</v>
      </c>
      <c r="D94" s="168">
        <f t="shared" si="2"/>
        <v>4000</v>
      </c>
      <c r="E94" s="169">
        <v>40</v>
      </c>
      <c r="F94" s="42">
        <f t="shared" si="3"/>
        <v>4000</v>
      </c>
    </row>
    <row r="95" spans="1:6" x14ac:dyDescent="0.3">
      <c r="A95" s="165">
        <v>173</v>
      </c>
      <c r="B95" s="166">
        <v>34</v>
      </c>
      <c r="C95" s="167">
        <v>133</v>
      </c>
      <c r="D95" s="168">
        <f t="shared" si="2"/>
        <v>4000</v>
      </c>
      <c r="E95" s="169">
        <v>40</v>
      </c>
      <c r="F95" s="42">
        <f t="shared" si="3"/>
        <v>4000</v>
      </c>
    </row>
    <row r="96" spans="1:6" x14ac:dyDescent="0.3">
      <c r="A96" s="165">
        <v>173</v>
      </c>
      <c r="B96" s="166">
        <v>35</v>
      </c>
      <c r="C96" s="167">
        <v>133</v>
      </c>
      <c r="D96" s="168">
        <f t="shared" si="2"/>
        <v>4000</v>
      </c>
      <c r="E96" s="169">
        <v>40</v>
      </c>
      <c r="F96" s="42">
        <f t="shared" si="3"/>
        <v>4000</v>
      </c>
    </row>
    <row r="97" spans="1:6" x14ac:dyDescent="0.3">
      <c r="A97" s="165">
        <v>173</v>
      </c>
      <c r="B97" s="166">
        <v>38</v>
      </c>
      <c r="C97" s="167">
        <v>133</v>
      </c>
      <c r="D97" s="168">
        <f t="shared" si="2"/>
        <v>4000</v>
      </c>
      <c r="E97" s="169">
        <v>40</v>
      </c>
      <c r="F97" s="42">
        <f t="shared" si="3"/>
        <v>4000</v>
      </c>
    </row>
    <row r="98" spans="1:6" x14ac:dyDescent="0.3">
      <c r="A98" s="165">
        <v>173</v>
      </c>
      <c r="B98" s="166">
        <v>41</v>
      </c>
      <c r="C98" s="167">
        <v>133</v>
      </c>
      <c r="D98" s="168">
        <f t="shared" si="2"/>
        <v>3400</v>
      </c>
      <c r="E98" s="169">
        <v>34</v>
      </c>
      <c r="F98" s="42">
        <f t="shared" si="3"/>
        <v>3400</v>
      </c>
    </row>
    <row r="99" spans="1:6" x14ac:dyDescent="0.3">
      <c r="A99" s="165">
        <v>175</v>
      </c>
      <c r="B99" s="166">
        <v>17</v>
      </c>
      <c r="C99" s="167">
        <v>133</v>
      </c>
      <c r="D99" s="168">
        <f t="shared" si="2"/>
        <v>42500</v>
      </c>
      <c r="E99" s="169">
        <v>425</v>
      </c>
      <c r="F99" s="42">
        <f t="shared" si="3"/>
        <v>42500</v>
      </c>
    </row>
    <row r="100" spans="1:6" x14ac:dyDescent="0.3">
      <c r="A100" s="165">
        <v>175</v>
      </c>
      <c r="B100" s="166">
        <v>13</v>
      </c>
      <c r="C100" s="167">
        <v>133</v>
      </c>
      <c r="D100" s="168">
        <f t="shared" si="2"/>
        <v>43600</v>
      </c>
      <c r="E100" s="169">
        <v>436</v>
      </c>
      <c r="F100" s="42">
        <f t="shared" si="3"/>
        <v>43600</v>
      </c>
    </row>
    <row r="101" spans="1:6" x14ac:dyDescent="0.3">
      <c r="A101" s="165">
        <v>175</v>
      </c>
      <c r="B101" s="166">
        <v>11</v>
      </c>
      <c r="C101" s="167">
        <v>133</v>
      </c>
      <c r="D101" s="168">
        <f t="shared" si="2"/>
        <v>41900</v>
      </c>
      <c r="E101" s="169">
        <v>419</v>
      </c>
      <c r="F101" s="42">
        <f t="shared" si="3"/>
        <v>41900</v>
      </c>
    </row>
    <row r="102" spans="1:6" x14ac:dyDescent="0.3">
      <c r="A102" s="165">
        <v>175</v>
      </c>
      <c r="B102" s="166">
        <v>8</v>
      </c>
      <c r="C102" s="167">
        <v>133</v>
      </c>
      <c r="D102" s="168">
        <f t="shared" si="2"/>
        <v>41900</v>
      </c>
      <c r="E102" s="169">
        <v>419</v>
      </c>
      <c r="F102" s="42">
        <f t="shared" si="3"/>
        <v>41900</v>
      </c>
    </row>
    <row r="103" spans="1:6" x14ac:dyDescent="0.3">
      <c r="A103" s="165">
        <v>175</v>
      </c>
      <c r="B103" s="166">
        <v>3</v>
      </c>
      <c r="C103" s="167">
        <v>133</v>
      </c>
      <c r="D103" s="168">
        <f t="shared" si="2"/>
        <v>41900</v>
      </c>
      <c r="E103" s="169">
        <v>419</v>
      </c>
      <c r="F103" s="42">
        <f t="shared" si="3"/>
        <v>41900</v>
      </c>
    </row>
    <row r="104" spans="1:6" x14ac:dyDescent="0.3">
      <c r="A104" s="165">
        <v>175</v>
      </c>
      <c r="B104" s="166">
        <v>9</v>
      </c>
      <c r="C104" s="167">
        <v>133</v>
      </c>
      <c r="D104" s="168">
        <f t="shared" si="2"/>
        <v>43600</v>
      </c>
      <c r="E104" s="169">
        <v>436</v>
      </c>
      <c r="F104" s="42">
        <f t="shared" si="3"/>
        <v>43600</v>
      </c>
    </row>
    <row r="105" spans="1:6" x14ac:dyDescent="0.3">
      <c r="A105" s="165">
        <v>175</v>
      </c>
      <c r="B105" s="166">
        <v>1</v>
      </c>
      <c r="C105" s="167">
        <v>133</v>
      </c>
      <c r="D105" s="168">
        <f t="shared" si="2"/>
        <v>41900</v>
      </c>
      <c r="E105" s="169">
        <v>419</v>
      </c>
      <c r="F105" s="42">
        <f t="shared" si="3"/>
        <v>41900</v>
      </c>
    </row>
    <row r="106" spans="1:6" x14ac:dyDescent="0.3">
      <c r="A106" s="165">
        <v>179</v>
      </c>
      <c r="B106" s="166">
        <v>1</v>
      </c>
      <c r="C106" s="167">
        <v>133</v>
      </c>
      <c r="D106" s="168">
        <f t="shared" si="2"/>
        <v>2500</v>
      </c>
      <c r="E106" s="169">
        <v>25</v>
      </c>
      <c r="F106" s="42">
        <f t="shared" si="3"/>
        <v>2500</v>
      </c>
    </row>
    <row r="107" spans="1:6" x14ac:dyDescent="0.3">
      <c r="A107" s="165">
        <v>179</v>
      </c>
      <c r="B107" s="166">
        <v>2</v>
      </c>
      <c r="C107" s="167">
        <v>133</v>
      </c>
      <c r="D107" s="168">
        <f t="shared" si="2"/>
        <v>2500</v>
      </c>
      <c r="E107" s="169">
        <v>25</v>
      </c>
      <c r="F107" s="42">
        <f t="shared" si="3"/>
        <v>2500</v>
      </c>
    </row>
    <row r="108" spans="1:6" x14ac:dyDescent="0.3">
      <c r="A108" s="165">
        <v>179</v>
      </c>
      <c r="B108" s="166">
        <v>3</v>
      </c>
      <c r="C108" s="167">
        <v>133</v>
      </c>
      <c r="D108" s="168">
        <f t="shared" si="2"/>
        <v>2500</v>
      </c>
      <c r="E108" s="169">
        <v>25</v>
      </c>
      <c r="F108" s="42">
        <f t="shared" si="3"/>
        <v>2500</v>
      </c>
    </row>
    <row r="109" spans="1:6" x14ac:dyDescent="0.3">
      <c r="A109" s="165">
        <v>179</v>
      </c>
      <c r="B109" s="166">
        <v>4</v>
      </c>
      <c r="C109" s="167">
        <v>133</v>
      </c>
      <c r="D109" s="168">
        <f t="shared" si="2"/>
        <v>2500</v>
      </c>
      <c r="E109" s="169">
        <v>25</v>
      </c>
      <c r="F109" s="42">
        <f t="shared" si="3"/>
        <v>2500</v>
      </c>
    </row>
    <row r="110" spans="1:6" x14ac:dyDescent="0.3">
      <c r="A110" s="165">
        <v>179</v>
      </c>
      <c r="B110" s="166">
        <v>16</v>
      </c>
      <c r="C110" s="167">
        <v>133</v>
      </c>
      <c r="D110" s="168">
        <f t="shared" si="2"/>
        <v>2500</v>
      </c>
      <c r="E110" s="169">
        <v>25</v>
      </c>
      <c r="F110" s="42">
        <f t="shared" si="3"/>
        <v>2500</v>
      </c>
    </row>
    <row r="111" spans="1:6" x14ac:dyDescent="0.3">
      <c r="A111" s="165">
        <v>179</v>
      </c>
      <c r="B111" s="166">
        <v>12</v>
      </c>
      <c r="C111" s="167">
        <v>133</v>
      </c>
      <c r="D111" s="168">
        <f t="shared" si="2"/>
        <v>2500</v>
      </c>
      <c r="E111" s="169">
        <v>25</v>
      </c>
      <c r="F111" s="42">
        <f t="shared" si="3"/>
        <v>2500</v>
      </c>
    </row>
    <row r="112" spans="1:6" x14ac:dyDescent="0.3">
      <c r="A112" s="165">
        <v>179</v>
      </c>
      <c r="B112" s="166">
        <v>18</v>
      </c>
      <c r="C112" s="167">
        <v>133</v>
      </c>
      <c r="D112" s="168">
        <f t="shared" si="2"/>
        <v>2500</v>
      </c>
      <c r="E112" s="169">
        <v>25</v>
      </c>
      <c r="F112" s="42">
        <f t="shared" si="3"/>
        <v>2500</v>
      </c>
    </row>
    <row r="113" spans="1:6" x14ac:dyDescent="0.3">
      <c r="A113" s="165">
        <v>181</v>
      </c>
      <c r="B113" s="166">
        <v>33</v>
      </c>
      <c r="C113" s="167">
        <v>133</v>
      </c>
      <c r="D113" s="168">
        <f t="shared" si="2"/>
        <v>16050</v>
      </c>
      <c r="E113" s="169">
        <v>160.5</v>
      </c>
      <c r="F113" s="42">
        <f t="shared" si="3"/>
        <v>16050</v>
      </c>
    </row>
    <row r="114" spans="1:6" x14ac:dyDescent="0.3">
      <c r="A114" s="165">
        <v>183</v>
      </c>
      <c r="B114" s="166">
        <v>14</v>
      </c>
      <c r="C114" s="167">
        <v>133</v>
      </c>
      <c r="D114" s="168">
        <f t="shared" si="2"/>
        <v>2800</v>
      </c>
      <c r="E114" s="169">
        <v>28</v>
      </c>
      <c r="F114" s="42">
        <f t="shared" si="3"/>
        <v>2800</v>
      </c>
    </row>
    <row r="115" spans="1:6" x14ac:dyDescent="0.3">
      <c r="A115" s="165">
        <v>183</v>
      </c>
      <c r="B115" s="166">
        <v>8</v>
      </c>
      <c r="C115" s="167">
        <v>133</v>
      </c>
      <c r="D115" s="168">
        <f t="shared" si="2"/>
        <v>2800</v>
      </c>
      <c r="E115" s="169">
        <v>28</v>
      </c>
      <c r="F115" s="42">
        <f t="shared" si="3"/>
        <v>2800</v>
      </c>
    </row>
    <row r="116" spans="1:6" x14ac:dyDescent="0.3">
      <c r="A116" s="165">
        <v>183</v>
      </c>
      <c r="B116" s="166">
        <v>13</v>
      </c>
      <c r="C116" s="167">
        <v>133</v>
      </c>
      <c r="D116" s="168">
        <f t="shared" si="2"/>
        <v>2800</v>
      </c>
      <c r="E116" s="169">
        <v>28</v>
      </c>
      <c r="F116" s="42">
        <f t="shared" si="3"/>
        <v>2800</v>
      </c>
    </row>
    <row r="117" spans="1:6" x14ac:dyDescent="0.3">
      <c r="A117" s="165">
        <v>183</v>
      </c>
      <c r="B117" s="166">
        <v>1</v>
      </c>
      <c r="C117" s="167">
        <v>133</v>
      </c>
      <c r="D117" s="168">
        <f t="shared" si="2"/>
        <v>2800</v>
      </c>
      <c r="E117" s="169">
        <v>28</v>
      </c>
      <c r="F117" s="42">
        <f t="shared" si="3"/>
        <v>2800</v>
      </c>
    </row>
    <row r="118" spans="1:6" x14ac:dyDescent="0.3">
      <c r="A118" s="165">
        <v>183</v>
      </c>
      <c r="B118" s="166">
        <v>15</v>
      </c>
      <c r="C118" s="167">
        <v>133</v>
      </c>
      <c r="D118" s="168">
        <f t="shared" si="2"/>
        <v>2800</v>
      </c>
      <c r="E118" s="169">
        <v>28</v>
      </c>
      <c r="F118" s="42">
        <f t="shared" si="3"/>
        <v>2800</v>
      </c>
    </row>
    <row r="119" spans="1:6" x14ac:dyDescent="0.3">
      <c r="A119" s="165">
        <v>200</v>
      </c>
      <c r="B119" s="166">
        <v>136</v>
      </c>
      <c r="C119" s="167">
        <v>133</v>
      </c>
      <c r="D119" s="168">
        <f t="shared" si="2"/>
        <v>10304</v>
      </c>
      <c r="E119" s="169">
        <v>103.04</v>
      </c>
      <c r="F119" s="42">
        <f t="shared" si="3"/>
        <v>10304</v>
      </c>
    </row>
    <row r="120" spans="1:6" x14ac:dyDescent="0.3">
      <c r="A120" s="165">
        <v>200</v>
      </c>
      <c r="B120" s="166">
        <v>135</v>
      </c>
      <c r="C120" s="167">
        <v>133</v>
      </c>
      <c r="D120" s="168">
        <f t="shared" si="2"/>
        <v>29624</v>
      </c>
      <c r="E120" s="169">
        <v>296.24</v>
      </c>
      <c r="F120" s="42">
        <f t="shared" si="3"/>
        <v>29624</v>
      </c>
    </row>
    <row r="121" spans="1:6" x14ac:dyDescent="0.3">
      <c r="A121" s="165">
        <v>62</v>
      </c>
      <c r="B121" s="166">
        <v>286</v>
      </c>
      <c r="C121" s="167">
        <v>315</v>
      </c>
      <c r="D121" s="168">
        <f t="shared" si="2"/>
        <v>4100</v>
      </c>
      <c r="E121" s="169">
        <v>41</v>
      </c>
      <c r="F121" s="42">
        <f t="shared" si="3"/>
        <v>4100</v>
      </c>
    </row>
    <row r="122" spans="1:6" x14ac:dyDescent="0.3">
      <c r="A122" s="165">
        <v>62</v>
      </c>
      <c r="B122" s="166">
        <v>325</v>
      </c>
      <c r="C122" s="167">
        <v>315</v>
      </c>
      <c r="D122" s="168">
        <f t="shared" si="2"/>
        <v>4100</v>
      </c>
      <c r="E122" s="169">
        <v>41</v>
      </c>
      <c r="F122" s="42">
        <f t="shared" si="3"/>
        <v>4100</v>
      </c>
    </row>
    <row r="123" spans="1:6" x14ac:dyDescent="0.3">
      <c r="A123" s="165">
        <v>62</v>
      </c>
      <c r="B123" s="166">
        <v>322</v>
      </c>
      <c r="C123" s="167">
        <v>315</v>
      </c>
      <c r="D123" s="168">
        <f t="shared" si="2"/>
        <v>4100</v>
      </c>
      <c r="E123" s="169">
        <v>41</v>
      </c>
      <c r="F123" s="42">
        <f t="shared" si="3"/>
        <v>4100</v>
      </c>
    </row>
    <row r="124" spans="1:6" x14ac:dyDescent="0.3">
      <c r="A124" s="165">
        <v>62</v>
      </c>
      <c r="B124" s="166">
        <v>316</v>
      </c>
      <c r="C124" s="167">
        <v>315</v>
      </c>
      <c r="D124" s="168">
        <f t="shared" si="2"/>
        <v>4100</v>
      </c>
      <c r="E124" s="169">
        <v>41</v>
      </c>
      <c r="F124" s="42">
        <f t="shared" si="3"/>
        <v>4100</v>
      </c>
    </row>
    <row r="125" spans="1:6" x14ac:dyDescent="0.3">
      <c r="A125" s="165">
        <v>62</v>
      </c>
      <c r="B125" s="166">
        <v>266</v>
      </c>
      <c r="C125" s="167">
        <v>315</v>
      </c>
      <c r="D125" s="168">
        <f t="shared" si="2"/>
        <v>4100</v>
      </c>
      <c r="E125" s="169">
        <v>41</v>
      </c>
      <c r="F125" s="42">
        <f t="shared" si="3"/>
        <v>4100</v>
      </c>
    </row>
    <row r="126" spans="1:6" x14ac:dyDescent="0.3">
      <c r="A126" s="165">
        <v>62</v>
      </c>
      <c r="B126" s="166">
        <v>326</v>
      </c>
      <c r="C126" s="167">
        <v>315</v>
      </c>
      <c r="D126" s="168">
        <f t="shared" si="2"/>
        <v>4100</v>
      </c>
      <c r="E126" s="169">
        <v>41</v>
      </c>
      <c r="F126" s="42">
        <f t="shared" si="3"/>
        <v>4100</v>
      </c>
    </row>
    <row r="127" spans="1:6" x14ac:dyDescent="0.3">
      <c r="A127" s="165">
        <v>62</v>
      </c>
      <c r="B127" s="166">
        <v>314</v>
      </c>
      <c r="C127" s="167">
        <v>315</v>
      </c>
      <c r="D127" s="168">
        <f t="shared" si="2"/>
        <v>4100</v>
      </c>
      <c r="E127" s="169">
        <v>41</v>
      </c>
      <c r="F127" s="42">
        <f t="shared" si="3"/>
        <v>4100</v>
      </c>
    </row>
    <row r="128" spans="1:6" x14ac:dyDescent="0.3">
      <c r="A128" s="165">
        <v>62</v>
      </c>
      <c r="B128" s="166">
        <v>303</v>
      </c>
      <c r="C128" s="167">
        <v>315</v>
      </c>
      <c r="D128" s="168">
        <f t="shared" si="2"/>
        <v>4100</v>
      </c>
      <c r="E128" s="169">
        <v>41</v>
      </c>
      <c r="F128" s="42">
        <f t="shared" si="3"/>
        <v>4100</v>
      </c>
    </row>
    <row r="129" spans="1:6" x14ac:dyDescent="0.3">
      <c r="A129" s="165">
        <v>62</v>
      </c>
      <c r="B129" s="166">
        <v>320</v>
      </c>
      <c r="C129" s="167">
        <v>315</v>
      </c>
      <c r="D129" s="168">
        <f t="shared" si="2"/>
        <v>4100</v>
      </c>
      <c r="E129" s="169">
        <v>41</v>
      </c>
      <c r="F129" s="42">
        <f t="shared" si="3"/>
        <v>4100</v>
      </c>
    </row>
    <row r="130" spans="1:6" x14ac:dyDescent="0.3">
      <c r="A130" s="165">
        <v>62</v>
      </c>
      <c r="B130" s="166">
        <v>289</v>
      </c>
      <c r="C130" s="167">
        <v>315</v>
      </c>
      <c r="D130" s="168">
        <f t="shared" si="2"/>
        <v>4100</v>
      </c>
      <c r="E130" s="169">
        <v>41</v>
      </c>
      <c r="F130" s="42">
        <f t="shared" si="3"/>
        <v>4100</v>
      </c>
    </row>
    <row r="131" spans="1:6" x14ac:dyDescent="0.3">
      <c r="A131" s="165">
        <v>93</v>
      </c>
      <c r="B131" s="166">
        <v>98</v>
      </c>
      <c r="C131" s="167">
        <v>315</v>
      </c>
      <c r="D131" s="168">
        <f t="shared" si="2"/>
        <v>1700</v>
      </c>
      <c r="E131" s="169">
        <v>17</v>
      </c>
      <c r="F131" s="42">
        <f t="shared" si="3"/>
        <v>1700</v>
      </c>
    </row>
    <row r="132" spans="1:6" x14ac:dyDescent="0.3">
      <c r="A132" s="165">
        <v>93</v>
      </c>
      <c r="B132" s="166">
        <v>70</v>
      </c>
      <c r="C132" s="167">
        <v>315</v>
      </c>
      <c r="D132" s="168">
        <f t="shared" si="2"/>
        <v>1700</v>
      </c>
      <c r="E132" s="169">
        <v>17</v>
      </c>
      <c r="F132" s="42">
        <f t="shared" si="3"/>
        <v>1700</v>
      </c>
    </row>
    <row r="133" spans="1:6" x14ac:dyDescent="0.3">
      <c r="A133" s="165">
        <v>93</v>
      </c>
      <c r="B133" s="166">
        <v>90</v>
      </c>
      <c r="C133" s="167">
        <v>315</v>
      </c>
      <c r="D133" s="168">
        <f t="shared" si="2"/>
        <v>1700</v>
      </c>
      <c r="E133" s="169">
        <v>17</v>
      </c>
      <c r="F133" s="42">
        <f t="shared" si="3"/>
        <v>1700</v>
      </c>
    </row>
    <row r="134" spans="1:6" x14ac:dyDescent="0.3">
      <c r="A134" s="165">
        <v>93</v>
      </c>
      <c r="B134" s="166">
        <v>92</v>
      </c>
      <c r="C134" s="167">
        <v>315</v>
      </c>
      <c r="D134" s="168">
        <f t="shared" ref="D134:D197" si="4">F134</f>
        <v>1700</v>
      </c>
      <c r="E134" s="169">
        <v>17</v>
      </c>
      <c r="F134" s="42">
        <f t="shared" ref="F134:F197" si="5">E134*100</f>
        <v>1700</v>
      </c>
    </row>
    <row r="135" spans="1:6" x14ac:dyDescent="0.3">
      <c r="A135" s="165">
        <v>93</v>
      </c>
      <c r="B135" s="166">
        <v>103</v>
      </c>
      <c r="C135" s="167">
        <v>315</v>
      </c>
      <c r="D135" s="168">
        <f t="shared" si="4"/>
        <v>3400</v>
      </c>
      <c r="E135" s="169">
        <v>34</v>
      </c>
      <c r="F135" s="42">
        <f t="shared" si="5"/>
        <v>3400</v>
      </c>
    </row>
    <row r="136" spans="1:6" x14ac:dyDescent="0.3">
      <c r="A136" s="165">
        <v>93</v>
      </c>
      <c r="B136" s="166">
        <v>95</v>
      </c>
      <c r="C136" s="167">
        <v>315</v>
      </c>
      <c r="D136" s="168">
        <f t="shared" si="4"/>
        <v>1700</v>
      </c>
      <c r="E136" s="169">
        <v>17</v>
      </c>
      <c r="F136" s="42">
        <f t="shared" si="5"/>
        <v>1700</v>
      </c>
    </row>
    <row r="137" spans="1:6" x14ac:dyDescent="0.3">
      <c r="A137" s="165">
        <v>93</v>
      </c>
      <c r="B137" s="166">
        <v>36</v>
      </c>
      <c r="C137" s="167">
        <v>315</v>
      </c>
      <c r="D137" s="168">
        <f t="shared" si="4"/>
        <v>1700</v>
      </c>
      <c r="E137" s="169">
        <v>17</v>
      </c>
      <c r="F137" s="42">
        <f t="shared" si="5"/>
        <v>1700</v>
      </c>
    </row>
    <row r="138" spans="1:6" x14ac:dyDescent="0.3">
      <c r="A138" s="165">
        <v>93</v>
      </c>
      <c r="B138" s="166">
        <v>79</v>
      </c>
      <c r="C138" s="167">
        <v>315</v>
      </c>
      <c r="D138" s="168">
        <f t="shared" si="4"/>
        <v>1700</v>
      </c>
      <c r="E138" s="169">
        <v>17</v>
      </c>
      <c r="F138" s="42">
        <f t="shared" si="5"/>
        <v>1700</v>
      </c>
    </row>
    <row r="139" spans="1:6" x14ac:dyDescent="0.3">
      <c r="A139" s="165">
        <v>93</v>
      </c>
      <c r="B139" s="166">
        <v>91</v>
      </c>
      <c r="C139" s="167">
        <v>315</v>
      </c>
      <c r="D139" s="168">
        <f t="shared" si="4"/>
        <v>1700</v>
      </c>
      <c r="E139" s="169">
        <v>17</v>
      </c>
      <c r="F139" s="42">
        <f t="shared" si="5"/>
        <v>1700</v>
      </c>
    </row>
    <row r="140" spans="1:6" x14ac:dyDescent="0.3">
      <c r="A140" s="165">
        <v>93</v>
      </c>
      <c r="B140" s="166">
        <v>102</v>
      </c>
      <c r="C140" s="167">
        <v>315</v>
      </c>
      <c r="D140" s="168">
        <f t="shared" si="4"/>
        <v>1700</v>
      </c>
      <c r="E140" s="169">
        <v>17</v>
      </c>
      <c r="F140" s="42">
        <f t="shared" si="5"/>
        <v>1700</v>
      </c>
    </row>
    <row r="141" spans="1:6" x14ac:dyDescent="0.3">
      <c r="A141" s="165">
        <v>93</v>
      </c>
      <c r="B141" s="166">
        <v>100</v>
      </c>
      <c r="C141" s="167">
        <v>315</v>
      </c>
      <c r="D141" s="168">
        <f t="shared" si="4"/>
        <v>1700</v>
      </c>
      <c r="E141" s="169">
        <v>17</v>
      </c>
      <c r="F141" s="42">
        <f t="shared" si="5"/>
        <v>1700</v>
      </c>
    </row>
    <row r="142" spans="1:6" x14ac:dyDescent="0.3">
      <c r="A142" s="165">
        <v>94</v>
      </c>
      <c r="B142" s="166">
        <v>3</v>
      </c>
      <c r="C142" s="167">
        <v>315</v>
      </c>
      <c r="D142" s="168">
        <f t="shared" si="4"/>
        <v>2200</v>
      </c>
      <c r="E142" s="169">
        <v>22</v>
      </c>
      <c r="F142" s="42">
        <f t="shared" si="5"/>
        <v>2200</v>
      </c>
    </row>
    <row r="143" spans="1:6" x14ac:dyDescent="0.3">
      <c r="A143" s="165">
        <v>94</v>
      </c>
      <c r="B143" s="166">
        <v>6</v>
      </c>
      <c r="C143" s="167">
        <v>315</v>
      </c>
      <c r="D143" s="168">
        <f t="shared" si="4"/>
        <v>2200</v>
      </c>
      <c r="E143" s="169">
        <v>22</v>
      </c>
      <c r="F143" s="42">
        <f t="shared" si="5"/>
        <v>2200</v>
      </c>
    </row>
    <row r="144" spans="1:6" x14ac:dyDescent="0.3">
      <c r="A144" s="165">
        <v>94</v>
      </c>
      <c r="B144" s="166">
        <v>55</v>
      </c>
      <c r="C144" s="167">
        <v>315</v>
      </c>
      <c r="D144" s="168">
        <f t="shared" si="4"/>
        <v>2200</v>
      </c>
      <c r="E144" s="169">
        <v>22</v>
      </c>
      <c r="F144" s="42">
        <f t="shared" si="5"/>
        <v>2200</v>
      </c>
    </row>
    <row r="145" spans="1:6" x14ac:dyDescent="0.3">
      <c r="A145" s="165">
        <v>94</v>
      </c>
      <c r="B145" s="166">
        <v>66</v>
      </c>
      <c r="C145" s="167">
        <v>315</v>
      </c>
      <c r="D145" s="168">
        <f t="shared" si="4"/>
        <v>2200</v>
      </c>
      <c r="E145" s="169">
        <v>22</v>
      </c>
      <c r="F145" s="42">
        <f t="shared" si="5"/>
        <v>2200</v>
      </c>
    </row>
    <row r="146" spans="1:6" x14ac:dyDescent="0.3">
      <c r="A146" s="165">
        <v>94</v>
      </c>
      <c r="B146" s="166">
        <v>68</v>
      </c>
      <c r="C146" s="167">
        <v>315</v>
      </c>
      <c r="D146" s="168">
        <f t="shared" si="4"/>
        <v>4700</v>
      </c>
      <c r="E146" s="169">
        <v>47</v>
      </c>
      <c r="F146" s="42">
        <f t="shared" si="5"/>
        <v>4700</v>
      </c>
    </row>
    <row r="147" spans="1:6" x14ac:dyDescent="0.3">
      <c r="A147" s="165">
        <v>95</v>
      </c>
      <c r="B147" s="166">
        <v>56</v>
      </c>
      <c r="C147" s="167">
        <v>315</v>
      </c>
      <c r="D147" s="168">
        <f t="shared" si="4"/>
        <v>4000</v>
      </c>
      <c r="E147" s="169">
        <v>40</v>
      </c>
      <c r="F147" s="42">
        <f t="shared" si="5"/>
        <v>4000</v>
      </c>
    </row>
    <row r="148" spans="1:6" x14ac:dyDescent="0.3">
      <c r="A148" s="165">
        <v>95</v>
      </c>
      <c r="B148" s="166">
        <v>59</v>
      </c>
      <c r="C148" s="167">
        <v>315</v>
      </c>
      <c r="D148" s="168">
        <f t="shared" si="4"/>
        <v>4000</v>
      </c>
      <c r="E148" s="169">
        <v>40</v>
      </c>
      <c r="F148" s="42">
        <f t="shared" si="5"/>
        <v>4000</v>
      </c>
    </row>
    <row r="149" spans="1:6" x14ac:dyDescent="0.3">
      <c r="A149" s="165">
        <v>95</v>
      </c>
      <c r="B149" s="166">
        <v>83</v>
      </c>
      <c r="C149" s="167">
        <v>315</v>
      </c>
      <c r="D149" s="168">
        <f t="shared" si="4"/>
        <v>4000</v>
      </c>
      <c r="E149" s="169">
        <v>40</v>
      </c>
      <c r="F149" s="42">
        <f t="shared" si="5"/>
        <v>4000</v>
      </c>
    </row>
    <row r="150" spans="1:6" x14ac:dyDescent="0.3">
      <c r="A150" s="165">
        <v>95</v>
      </c>
      <c r="B150" s="166">
        <v>84</v>
      </c>
      <c r="C150" s="167">
        <v>315</v>
      </c>
      <c r="D150" s="168">
        <f t="shared" si="4"/>
        <v>4000</v>
      </c>
      <c r="E150" s="169">
        <v>40</v>
      </c>
      <c r="F150" s="42">
        <f t="shared" si="5"/>
        <v>4000</v>
      </c>
    </row>
    <row r="151" spans="1:6" x14ac:dyDescent="0.3">
      <c r="A151" s="165">
        <v>95</v>
      </c>
      <c r="B151" s="166">
        <v>88</v>
      </c>
      <c r="C151" s="167">
        <v>315</v>
      </c>
      <c r="D151" s="168">
        <f t="shared" si="4"/>
        <v>4000</v>
      </c>
      <c r="E151" s="169">
        <v>40</v>
      </c>
      <c r="F151" s="42">
        <f t="shared" si="5"/>
        <v>4000</v>
      </c>
    </row>
    <row r="152" spans="1:6" x14ac:dyDescent="0.3">
      <c r="A152" s="165">
        <v>103</v>
      </c>
      <c r="B152" s="166">
        <v>184</v>
      </c>
      <c r="C152" s="167">
        <v>315</v>
      </c>
      <c r="D152" s="168">
        <f t="shared" si="4"/>
        <v>4000</v>
      </c>
      <c r="E152" s="169">
        <v>40</v>
      </c>
      <c r="F152" s="42">
        <f t="shared" si="5"/>
        <v>4000</v>
      </c>
    </row>
    <row r="153" spans="1:6" x14ac:dyDescent="0.3">
      <c r="A153" s="165">
        <v>103</v>
      </c>
      <c r="B153" s="166">
        <v>185</v>
      </c>
      <c r="C153" s="167">
        <v>315</v>
      </c>
      <c r="D153" s="168">
        <f t="shared" si="4"/>
        <v>4000</v>
      </c>
      <c r="E153" s="169">
        <v>40</v>
      </c>
      <c r="F153" s="42">
        <f t="shared" si="5"/>
        <v>4000</v>
      </c>
    </row>
    <row r="154" spans="1:6" x14ac:dyDescent="0.3">
      <c r="A154" s="165">
        <v>103</v>
      </c>
      <c r="B154" s="166">
        <v>187</v>
      </c>
      <c r="C154" s="167">
        <v>315</v>
      </c>
      <c r="D154" s="168">
        <f t="shared" si="4"/>
        <v>4000</v>
      </c>
      <c r="E154" s="169">
        <v>40</v>
      </c>
      <c r="F154" s="42">
        <f t="shared" si="5"/>
        <v>4000</v>
      </c>
    </row>
    <row r="155" spans="1:6" x14ac:dyDescent="0.3">
      <c r="A155" s="165">
        <v>103</v>
      </c>
      <c r="B155" s="166">
        <v>194</v>
      </c>
      <c r="C155" s="167">
        <v>315</v>
      </c>
      <c r="D155" s="168">
        <f t="shared" si="4"/>
        <v>4000</v>
      </c>
      <c r="E155" s="169">
        <v>40</v>
      </c>
      <c r="F155" s="42">
        <f t="shared" si="5"/>
        <v>4000</v>
      </c>
    </row>
    <row r="156" spans="1:6" x14ac:dyDescent="0.3">
      <c r="A156" s="165">
        <v>103</v>
      </c>
      <c r="B156" s="166">
        <v>199</v>
      </c>
      <c r="C156" s="167">
        <v>315</v>
      </c>
      <c r="D156" s="168">
        <f t="shared" si="4"/>
        <v>4000</v>
      </c>
      <c r="E156" s="169">
        <v>40</v>
      </c>
      <c r="F156" s="42">
        <f t="shared" si="5"/>
        <v>4000</v>
      </c>
    </row>
    <row r="157" spans="1:6" x14ac:dyDescent="0.3">
      <c r="A157" s="165">
        <v>103</v>
      </c>
      <c r="B157" s="166">
        <v>200</v>
      </c>
      <c r="C157" s="167">
        <v>315</v>
      </c>
      <c r="D157" s="168">
        <f t="shared" si="4"/>
        <v>4000</v>
      </c>
      <c r="E157" s="169">
        <v>40</v>
      </c>
      <c r="F157" s="42">
        <f t="shared" si="5"/>
        <v>4000</v>
      </c>
    </row>
    <row r="158" spans="1:6" x14ac:dyDescent="0.3">
      <c r="A158" s="165">
        <v>103</v>
      </c>
      <c r="B158" s="166">
        <v>202</v>
      </c>
      <c r="C158" s="167">
        <v>315</v>
      </c>
      <c r="D158" s="168">
        <f t="shared" si="4"/>
        <v>4000</v>
      </c>
      <c r="E158" s="169">
        <v>40</v>
      </c>
      <c r="F158" s="42">
        <f t="shared" si="5"/>
        <v>4000</v>
      </c>
    </row>
    <row r="159" spans="1:6" x14ac:dyDescent="0.3">
      <c r="A159" s="165">
        <v>105</v>
      </c>
      <c r="B159" s="166">
        <v>93</v>
      </c>
      <c r="C159" s="167">
        <v>315</v>
      </c>
      <c r="D159" s="168">
        <f t="shared" si="4"/>
        <v>3009</v>
      </c>
      <c r="E159" s="169">
        <v>30.09</v>
      </c>
      <c r="F159" s="42">
        <f t="shared" si="5"/>
        <v>3009</v>
      </c>
    </row>
    <row r="160" spans="1:6" x14ac:dyDescent="0.3">
      <c r="A160" s="165">
        <v>105</v>
      </c>
      <c r="B160" s="166">
        <v>100</v>
      </c>
      <c r="C160" s="167">
        <v>315</v>
      </c>
      <c r="D160" s="168">
        <f t="shared" si="4"/>
        <v>3009</v>
      </c>
      <c r="E160" s="169">
        <v>30.09</v>
      </c>
      <c r="F160" s="42">
        <f t="shared" si="5"/>
        <v>3009</v>
      </c>
    </row>
    <row r="161" spans="1:6" x14ac:dyDescent="0.3">
      <c r="A161" s="165">
        <v>105</v>
      </c>
      <c r="B161" s="166">
        <v>61</v>
      </c>
      <c r="C161" s="167">
        <v>315</v>
      </c>
      <c r="D161" s="168">
        <f t="shared" si="4"/>
        <v>3009</v>
      </c>
      <c r="E161" s="169">
        <v>30.09</v>
      </c>
      <c r="F161" s="42">
        <f t="shared" si="5"/>
        <v>3009</v>
      </c>
    </row>
    <row r="162" spans="1:6" x14ac:dyDescent="0.3">
      <c r="A162" s="165">
        <v>105</v>
      </c>
      <c r="B162" s="166">
        <v>84</v>
      </c>
      <c r="C162" s="167">
        <v>315</v>
      </c>
      <c r="D162" s="168">
        <f t="shared" si="4"/>
        <v>3009</v>
      </c>
      <c r="E162" s="169">
        <v>30.09</v>
      </c>
      <c r="F162" s="42">
        <f t="shared" si="5"/>
        <v>3009</v>
      </c>
    </row>
    <row r="163" spans="1:6" x14ac:dyDescent="0.3">
      <c r="A163" s="165">
        <v>105</v>
      </c>
      <c r="B163" s="166">
        <v>29</v>
      </c>
      <c r="C163" s="167">
        <v>315</v>
      </c>
      <c r="D163" s="168">
        <f t="shared" si="4"/>
        <v>3009</v>
      </c>
      <c r="E163" s="169">
        <v>30.09</v>
      </c>
      <c r="F163" s="42">
        <f t="shared" si="5"/>
        <v>3009</v>
      </c>
    </row>
    <row r="164" spans="1:6" x14ac:dyDescent="0.3">
      <c r="A164" s="165">
        <v>105</v>
      </c>
      <c r="B164" s="166">
        <v>95</v>
      </c>
      <c r="C164" s="167">
        <v>315</v>
      </c>
      <c r="D164" s="168">
        <f t="shared" si="4"/>
        <v>3009</v>
      </c>
      <c r="E164" s="169">
        <v>30.09</v>
      </c>
      <c r="F164" s="42">
        <f t="shared" si="5"/>
        <v>3009</v>
      </c>
    </row>
    <row r="165" spans="1:6" x14ac:dyDescent="0.3">
      <c r="A165" s="165">
        <v>105</v>
      </c>
      <c r="B165" s="166">
        <v>103</v>
      </c>
      <c r="C165" s="167">
        <v>315</v>
      </c>
      <c r="D165" s="168">
        <f t="shared" si="4"/>
        <v>3009</v>
      </c>
      <c r="E165" s="169">
        <v>30.09</v>
      </c>
      <c r="F165" s="42">
        <f t="shared" si="5"/>
        <v>3009</v>
      </c>
    </row>
    <row r="166" spans="1:6" x14ac:dyDescent="0.3">
      <c r="A166" s="165">
        <v>123</v>
      </c>
      <c r="B166" s="166">
        <v>58</v>
      </c>
      <c r="C166" s="167">
        <v>315</v>
      </c>
      <c r="D166" s="168">
        <f t="shared" si="4"/>
        <v>1500</v>
      </c>
      <c r="E166" s="169">
        <v>15</v>
      </c>
      <c r="F166" s="42">
        <f t="shared" si="5"/>
        <v>1500</v>
      </c>
    </row>
    <row r="167" spans="1:6" x14ac:dyDescent="0.3">
      <c r="A167" s="165">
        <v>123</v>
      </c>
      <c r="B167" s="166">
        <v>69</v>
      </c>
      <c r="C167" s="167">
        <v>315</v>
      </c>
      <c r="D167" s="168">
        <f t="shared" si="4"/>
        <v>1500</v>
      </c>
      <c r="E167" s="169">
        <v>15</v>
      </c>
      <c r="F167" s="42">
        <f t="shared" si="5"/>
        <v>1500</v>
      </c>
    </row>
    <row r="168" spans="1:6" x14ac:dyDescent="0.3">
      <c r="A168" s="165">
        <v>123</v>
      </c>
      <c r="B168" s="166">
        <v>81</v>
      </c>
      <c r="C168" s="167">
        <v>315</v>
      </c>
      <c r="D168" s="168">
        <f t="shared" si="4"/>
        <v>6859.9999999999991</v>
      </c>
      <c r="E168" s="169">
        <v>68.599999999999994</v>
      </c>
      <c r="F168" s="42">
        <f t="shared" si="5"/>
        <v>6859.9999999999991</v>
      </c>
    </row>
    <row r="169" spans="1:6" x14ac:dyDescent="0.3">
      <c r="A169" s="165">
        <v>123</v>
      </c>
      <c r="B169" s="166">
        <v>75</v>
      </c>
      <c r="C169" s="167">
        <v>315</v>
      </c>
      <c r="D169" s="168">
        <f t="shared" si="4"/>
        <v>1500</v>
      </c>
      <c r="E169" s="169">
        <v>15</v>
      </c>
      <c r="F169" s="42">
        <f t="shared" si="5"/>
        <v>1500</v>
      </c>
    </row>
    <row r="170" spans="1:6" x14ac:dyDescent="0.3">
      <c r="A170" s="165">
        <v>123</v>
      </c>
      <c r="B170" s="166">
        <v>76</v>
      </c>
      <c r="C170" s="167">
        <v>315</v>
      </c>
      <c r="D170" s="168">
        <f t="shared" si="4"/>
        <v>1500</v>
      </c>
      <c r="E170" s="169">
        <v>15</v>
      </c>
      <c r="F170" s="42">
        <f t="shared" si="5"/>
        <v>1500</v>
      </c>
    </row>
    <row r="171" spans="1:6" x14ac:dyDescent="0.3">
      <c r="A171" s="165">
        <v>123</v>
      </c>
      <c r="B171" s="166">
        <v>68</v>
      </c>
      <c r="C171" s="167">
        <v>315</v>
      </c>
      <c r="D171" s="168">
        <f t="shared" si="4"/>
        <v>1500</v>
      </c>
      <c r="E171" s="169">
        <v>15</v>
      </c>
      <c r="F171" s="42">
        <f t="shared" si="5"/>
        <v>1500</v>
      </c>
    </row>
    <row r="172" spans="1:6" x14ac:dyDescent="0.3">
      <c r="A172" s="165">
        <v>123</v>
      </c>
      <c r="B172" s="166">
        <v>36</v>
      </c>
      <c r="C172" s="167">
        <v>315</v>
      </c>
      <c r="D172" s="168">
        <f t="shared" si="4"/>
        <v>1500</v>
      </c>
      <c r="E172" s="169">
        <v>15</v>
      </c>
      <c r="F172" s="42">
        <f t="shared" si="5"/>
        <v>1500</v>
      </c>
    </row>
    <row r="173" spans="1:6" x14ac:dyDescent="0.3">
      <c r="A173" s="165">
        <v>123</v>
      </c>
      <c r="B173" s="166">
        <v>70</v>
      </c>
      <c r="C173" s="167">
        <v>315</v>
      </c>
      <c r="D173" s="168">
        <f t="shared" si="4"/>
        <v>1500</v>
      </c>
      <c r="E173" s="169">
        <v>15</v>
      </c>
      <c r="F173" s="42">
        <f t="shared" si="5"/>
        <v>1500</v>
      </c>
    </row>
    <row r="174" spans="1:6" x14ac:dyDescent="0.3">
      <c r="A174" s="165">
        <v>126</v>
      </c>
      <c r="B174" s="166">
        <v>41</v>
      </c>
      <c r="C174" s="167">
        <v>315</v>
      </c>
      <c r="D174" s="168">
        <f t="shared" si="4"/>
        <v>4100</v>
      </c>
      <c r="E174" s="169">
        <v>41</v>
      </c>
      <c r="F174" s="42">
        <f t="shared" si="5"/>
        <v>4100</v>
      </c>
    </row>
    <row r="175" spans="1:6" x14ac:dyDescent="0.3">
      <c r="A175" s="165">
        <v>126</v>
      </c>
      <c r="B175" s="166">
        <v>56</v>
      </c>
      <c r="C175" s="167">
        <v>315</v>
      </c>
      <c r="D175" s="168">
        <f t="shared" si="4"/>
        <v>2100</v>
      </c>
      <c r="E175" s="169">
        <v>21</v>
      </c>
      <c r="F175" s="42">
        <f t="shared" si="5"/>
        <v>2100</v>
      </c>
    </row>
    <row r="176" spans="1:6" x14ac:dyDescent="0.3">
      <c r="A176" s="165">
        <v>126</v>
      </c>
      <c r="B176" s="166">
        <v>45</v>
      </c>
      <c r="C176" s="167">
        <v>315</v>
      </c>
      <c r="D176" s="168">
        <f t="shared" si="4"/>
        <v>4100</v>
      </c>
      <c r="E176" s="169">
        <v>41</v>
      </c>
      <c r="F176" s="42">
        <f t="shared" si="5"/>
        <v>4100</v>
      </c>
    </row>
    <row r="177" spans="1:6" x14ac:dyDescent="0.3">
      <c r="A177" s="165">
        <v>126</v>
      </c>
      <c r="B177" s="166">
        <v>1</v>
      </c>
      <c r="C177" s="167">
        <v>315</v>
      </c>
      <c r="D177" s="168">
        <f t="shared" si="4"/>
        <v>4100</v>
      </c>
      <c r="E177" s="169">
        <v>41</v>
      </c>
      <c r="F177" s="42">
        <f t="shared" si="5"/>
        <v>4100</v>
      </c>
    </row>
    <row r="178" spans="1:6" x14ac:dyDescent="0.3">
      <c r="A178" s="165">
        <v>126</v>
      </c>
      <c r="B178" s="166">
        <v>28</v>
      </c>
      <c r="C178" s="167">
        <v>315</v>
      </c>
      <c r="D178" s="168">
        <f t="shared" si="4"/>
        <v>4100</v>
      </c>
      <c r="E178" s="169">
        <v>41</v>
      </c>
      <c r="F178" s="42">
        <f t="shared" si="5"/>
        <v>4100</v>
      </c>
    </row>
    <row r="179" spans="1:6" x14ac:dyDescent="0.3">
      <c r="A179" s="165">
        <v>126</v>
      </c>
      <c r="B179" s="166">
        <v>55</v>
      </c>
      <c r="C179" s="167">
        <v>315</v>
      </c>
      <c r="D179" s="168">
        <f t="shared" si="4"/>
        <v>4100</v>
      </c>
      <c r="E179" s="169">
        <v>41</v>
      </c>
      <c r="F179" s="42">
        <f t="shared" si="5"/>
        <v>4100</v>
      </c>
    </row>
    <row r="180" spans="1:6" x14ac:dyDescent="0.3">
      <c r="A180" s="165">
        <v>126</v>
      </c>
      <c r="B180" s="166">
        <v>46</v>
      </c>
      <c r="C180" s="167">
        <v>315</v>
      </c>
      <c r="D180" s="168">
        <f t="shared" si="4"/>
        <v>4100</v>
      </c>
      <c r="E180" s="169">
        <v>41</v>
      </c>
      <c r="F180" s="42">
        <f t="shared" si="5"/>
        <v>4100</v>
      </c>
    </row>
    <row r="181" spans="1:6" x14ac:dyDescent="0.3">
      <c r="A181" s="165">
        <v>127</v>
      </c>
      <c r="B181" s="166">
        <v>70</v>
      </c>
      <c r="C181" s="167">
        <v>315</v>
      </c>
      <c r="D181" s="168">
        <f t="shared" si="4"/>
        <v>2500</v>
      </c>
      <c r="E181" s="169">
        <v>25</v>
      </c>
      <c r="F181" s="42">
        <f t="shared" si="5"/>
        <v>2500</v>
      </c>
    </row>
    <row r="182" spans="1:6" x14ac:dyDescent="0.3">
      <c r="A182" s="165">
        <v>127</v>
      </c>
      <c r="B182" s="166">
        <v>75</v>
      </c>
      <c r="C182" s="167">
        <v>315</v>
      </c>
      <c r="D182" s="168">
        <f t="shared" si="4"/>
        <v>2500</v>
      </c>
      <c r="E182" s="169">
        <v>25</v>
      </c>
      <c r="F182" s="42">
        <f t="shared" si="5"/>
        <v>2500</v>
      </c>
    </row>
    <row r="183" spans="1:6" x14ac:dyDescent="0.3">
      <c r="A183" s="165">
        <v>127</v>
      </c>
      <c r="B183" s="166">
        <v>80</v>
      </c>
      <c r="C183" s="167">
        <v>315</v>
      </c>
      <c r="D183" s="168">
        <f t="shared" si="4"/>
        <v>2500</v>
      </c>
      <c r="E183" s="169">
        <v>25</v>
      </c>
      <c r="F183" s="42">
        <f t="shared" si="5"/>
        <v>2500</v>
      </c>
    </row>
    <row r="184" spans="1:6" x14ac:dyDescent="0.3">
      <c r="A184" s="165">
        <v>127</v>
      </c>
      <c r="B184" s="166">
        <v>82</v>
      </c>
      <c r="C184" s="167">
        <v>315</v>
      </c>
      <c r="D184" s="168">
        <f t="shared" si="4"/>
        <v>2600</v>
      </c>
      <c r="E184" s="169">
        <v>26</v>
      </c>
      <c r="F184" s="42">
        <f t="shared" si="5"/>
        <v>2600</v>
      </c>
    </row>
    <row r="185" spans="1:6" x14ac:dyDescent="0.3">
      <c r="A185" s="165">
        <v>139</v>
      </c>
      <c r="B185" s="166">
        <v>43</v>
      </c>
      <c r="C185" s="167">
        <v>315</v>
      </c>
      <c r="D185" s="168">
        <f t="shared" si="4"/>
        <v>3720.0000000000005</v>
      </c>
      <c r="E185" s="169">
        <v>37.200000000000003</v>
      </c>
      <c r="F185" s="42">
        <f t="shared" si="5"/>
        <v>3720.0000000000005</v>
      </c>
    </row>
    <row r="186" spans="1:6" x14ac:dyDescent="0.3">
      <c r="A186" s="165">
        <v>139</v>
      </c>
      <c r="B186" s="166">
        <v>24</v>
      </c>
      <c r="C186" s="167">
        <v>315</v>
      </c>
      <c r="D186" s="168">
        <f t="shared" si="4"/>
        <v>3720.0000000000005</v>
      </c>
      <c r="E186" s="169">
        <v>37.200000000000003</v>
      </c>
      <c r="F186" s="42">
        <f t="shared" si="5"/>
        <v>3720.0000000000005</v>
      </c>
    </row>
    <row r="187" spans="1:6" x14ac:dyDescent="0.3">
      <c r="A187" s="165">
        <v>139</v>
      </c>
      <c r="B187" s="166">
        <v>41</v>
      </c>
      <c r="C187" s="167">
        <v>315</v>
      </c>
      <c r="D187" s="168">
        <f t="shared" si="4"/>
        <v>3720.0000000000005</v>
      </c>
      <c r="E187" s="169">
        <v>37.200000000000003</v>
      </c>
      <c r="F187" s="42">
        <f t="shared" si="5"/>
        <v>3720.0000000000005</v>
      </c>
    </row>
    <row r="188" spans="1:6" x14ac:dyDescent="0.3">
      <c r="A188" s="165">
        <v>139</v>
      </c>
      <c r="B188" s="166">
        <v>52</v>
      </c>
      <c r="C188" s="167">
        <v>315</v>
      </c>
      <c r="D188" s="168">
        <f t="shared" si="4"/>
        <v>3720.0000000000005</v>
      </c>
      <c r="E188" s="169">
        <v>37.200000000000003</v>
      </c>
      <c r="F188" s="42">
        <f t="shared" si="5"/>
        <v>3720.0000000000005</v>
      </c>
    </row>
    <row r="189" spans="1:6" x14ac:dyDescent="0.3">
      <c r="A189" s="165">
        <v>139</v>
      </c>
      <c r="B189" s="166">
        <v>51</v>
      </c>
      <c r="C189" s="167">
        <v>315</v>
      </c>
      <c r="D189" s="168">
        <f t="shared" si="4"/>
        <v>3720.0000000000005</v>
      </c>
      <c r="E189" s="169">
        <v>37.200000000000003</v>
      </c>
      <c r="F189" s="42">
        <f t="shared" si="5"/>
        <v>3720.0000000000005</v>
      </c>
    </row>
    <row r="190" spans="1:6" x14ac:dyDescent="0.3">
      <c r="A190" s="165">
        <v>139</v>
      </c>
      <c r="B190" s="166">
        <v>28</v>
      </c>
      <c r="C190" s="167">
        <v>315</v>
      </c>
      <c r="D190" s="168">
        <f t="shared" si="4"/>
        <v>3720.0000000000005</v>
      </c>
      <c r="E190" s="169">
        <v>37.200000000000003</v>
      </c>
      <c r="F190" s="42">
        <f t="shared" si="5"/>
        <v>3720.0000000000005</v>
      </c>
    </row>
    <row r="191" spans="1:6" x14ac:dyDescent="0.3">
      <c r="A191" s="165">
        <v>139</v>
      </c>
      <c r="B191" s="166">
        <v>49</v>
      </c>
      <c r="C191" s="167">
        <v>315</v>
      </c>
      <c r="D191" s="168">
        <f t="shared" si="4"/>
        <v>3720.0000000000005</v>
      </c>
      <c r="E191" s="169">
        <v>37.200000000000003</v>
      </c>
      <c r="F191" s="42">
        <f t="shared" si="5"/>
        <v>3720.0000000000005</v>
      </c>
    </row>
    <row r="192" spans="1:6" x14ac:dyDescent="0.3">
      <c r="A192" s="165">
        <v>139</v>
      </c>
      <c r="B192" s="166">
        <v>47</v>
      </c>
      <c r="C192" s="167">
        <v>315</v>
      </c>
      <c r="D192" s="168">
        <f t="shared" si="4"/>
        <v>3720.0000000000005</v>
      </c>
      <c r="E192" s="169">
        <v>37.200000000000003</v>
      </c>
      <c r="F192" s="42">
        <f t="shared" si="5"/>
        <v>3720.0000000000005</v>
      </c>
    </row>
    <row r="193" spans="1:6" x14ac:dyDescent="0.3">
      <c r="A193" s="165">
        <v>144</v>
      </c>
      <c r="B193" s="166">
        <v>81</v>
      </c>
      <c r="C193" s="167">
        <v>315</v>
      </c>
      <c r="D193" s="168">
        <f t="shared" si="4"/>
        <v>2350</v>
      </c>
      <c r="E193" s="169">
        <v>23.5</v>
      </c>
      <c r="F193" s="42">
        <f t="shared" si="5"/>
        <v>2350</v>
      </c>
    </row>
    <row r="194" spans="1:6" x14ac:dyDescent="0.3">
      <c r="A194" s="165">
        <v>144</v>
      </c>
      <c r="B194" s="166">
        <v>71</v>
      </c>
      <c r="C194" s="167">
        <v>315</v>
      </c>
      <c r="D194" s="168">
        <f t="shared" si="4"/>
        <v>2350</v>
      </c>
      <c r="E194" s="169">
        <v>23.5</v>
      </c>
      <c r="F194" s="42">
        <f t="shared" si="5"/>
        <v>2350</v>
      </c>
    </row>
    <row r="195" spans="1:6" x14ac:dyDescent="0.3">
      <c r="A195" s="165">
        <v>144</v>
      </c>
      <c r="B195" s="166">
        <v>85</v>
      </c>
      <c r="C195" s="167">
        <v>315</v>
      </c>
      <c r="D195" s="168">
        <f t="shared" si="4"/>
        <v>2350</v>
      </c>
      <c r="E195" s="169">
        <v>23.5</v>
      </c>
      <c r="F195" s="42">
        <f t="shared" si="5"/>
        <v>2350</v>
      </c>
    </row>
    <row r="196" spans="1:6" x14ac:dyDescent="0.3">
      <c r="A196" s="165">
        <v>144</v>
      </c>
      <c r="B196" s="166">
        <v>35</v>
      </c>
      <c r="C196" s="167">
        <v>315</v>
      </c>
      <c r="D196" s="168">
        <f t="shared" si="4"/>
        <v>2350</v>
      </c>
      <c r="E196" s="169">
        <v>23.5</v>
      </c>
      <c r="F196" s="42">
        <f t="shared" si="5"/>
        <v>2350</v>
      </c>
    </row>
    <row r="197" spans="1:6" x14ac:dyDescent="0.3">
      <c r="A197" s="165">
        <v>144</v>
      </c>
      <c r="B197" s="166">
        <v>88</v>
      </c>
      <c r="C197" s="167">
        <v>315</v>
      </c>
      <c r="D197" s="168">
        <f t="shared" si="4"/>
        <v>2350</v>
      </c>
      <c r="E197" s="169">
        <v>23.5</v>
      </c>
      <c r="F197" s="42">
        <f t="shared" si="5"/>
        <v>2350</v>
      </c>
    </row>
    <row r="198" spans="1:6" x14ac:dyDescent="0.3">
      <c r="A198" s="165">
        <v>156</v>
      </c>
      <c r="B198" s="166">
        <v>76</v>
      </c>
      <c r="C198" s="167">
        <v>315</v>
      </c>
      <c r="D198" s="168">
        <f t="shared" ref="D198:D236" si="6">F198</f>
        <v>4000</v>
      </c>
      <c r="E198" s="169">
        <v>40</v>
      </c>
      <c r="F198" s="42">
        <f t="shared" ref="F198:F236" si="7">E198*100</f>
        <v>4000</v>
      </c>
    </row>
    <row r="199" spans="1:6" x14ac:dyDescent="0.3">
      <c r="A199" s="165">
        <v>156</v>
      </c>
      <c r="B199" s="166">
        <v>72</v>
      </c>
      <c r="C199" s="167">
        <v>315</v>
      </c>
      <c r="D199" s="168">
        <f t="shared" si="6"/>
        <v>4000</v>
      </c>
      <c r="E199" s="169">
        <v>40</v>
      </c>
      <c r="F199" s="42">
        <f t="shared" si="7"/>
        <v>4000</v>
      </c>
    </row>
    <row r="200" spans="1:6" x14ac:dyDescent="0.3">
      <c r="A200" s="165">
        <v>156</v>
      </c>
      <c r="B200" s="166">
        <v>78</v>
      </c>
      <c r="C200" s="167">
        <v>315</v>
      </c>
      <c r="D200" s="168">
        <f t="shared" si="6"/>
        <v>4000</v>
      </c>
      <c r="E200" s="169">
        <v>40</v>
      </c>
      <c r="F200" s="42">
        <f t="shared" si="7"/>
        <v>4000</v>
      </c>
    </row>
    <row r="201" spans="1:6" x14ac:dyDescent="0.3">
      <c r="A201" s="165">
        <v>156</v>
      </c>
      <c r="B201" s="166">
        <v>67</v>
      </c>
      <c r="C201" s="167">
        <v>315</v>
      </c>
      <c r="D201" s="168">
        <f t="shared" si="6"/>
        <v>4000</v>
      </c>
      <c r="E201" s="169">
        <v>40</v>
      </c>
      <c r="F201" s="42">
        <f t="shared" si="7"/>
        <v>4000</v>
      </c>
    </row>
    <row r="202" spans="1:6" x14ac:dyDescent="0.3">
      <c r="A202" s="165">
        <v>156</v>
      </c>
      <c r="B202" s="166">
        <v>81</v>
      </c>
      <c r="C202" s="167">
        <v>315</v>
      </c>
      <c r="D202" s="168">
        <f t="shared" si="6"/>
        <v>4000</v>
      </c>
      <c r="E202" s="169">
        <v>40</v>
      </c>
      <c r="F202" s="42">
        <f t="shared" si="7"/>
        <v>4000</v>
      </c>
    </row>
    <row r="203" spans="1:6" x14ac:dyDescent="0.3">
      <c r="A203" s="165">
        <v>156</v>
      </c>
      <c r="B203" s="166">
        <v>79</v>
      </c>
      <c r="C203" s="167">
        <v>315</v>
      </c>
      <c r="D203" s="168">
        <f t="shared" si="6"/>
        <v>4000</v>
      </c>
      <c r="E203" s="169">
        <v>40</v>
      </c>
      <c r="F203" s="42">
        <f t="shared" si="7"/>
        <v>4000</v>
      </c>
    </row>
    <row r="204" spans="1:6" x14ac:dyDescent="0.3">
      <c r="A204" s="165">
        <v>156</v>
      </c>
      <c r="B204" s="166">
        <v>75</v>
      </c>
      <c r="C204" s="167">
        <v>315</v>
      </c>
      <c r="D204" s="168">
        <f t="shared" si="6"/>
        <v>4000</v>
      </c>
      <c r="E204" s="169">
        <v>40</v>
      </c>
      <c r="F204" s="42">
        <f t="shared" si="7"/>
        <v>4000</v>
      </c>
    </row>
    <row r="205" spans="1:6" x14ac:dyDescent="0.3">
      <c r="A205" s="165">
        <v>156</v>
      </c>
      <c r="B205" s="166">
        <v>84</v>
      </c>
      <c r="C205" s="167">
        <v>315</v>
      </c>
      <c r="D205" s="168">
        <f t="shared" si="6"/>
        <v>3400</v>
      </c>
      <c r="E205" s="169">
        <v>34</v>
      </c>
      <c r="F205" s="42">
        <f t="shared" si="7"/>
        <v>3400</v>
      </c>
    </row>
    <row r="206" spans="1:6" x14ac:dyDescent="0.3">
      <c r="A206" s="165">
        <v>161</v>
      </c>
      <c r="B206" s="166">
        <v>51</v>
      </c>
      <c r="C206" s="167">
        <v>315</v>
      </c>
      <c r="D206" s="168">
        <f t="shared" si="6"/>
        <v>3009</v>
      </c>
      <c r="E206" s="169">
        <v>30.09</v>
      </c>
      <c r="F206" s="42">
        <f t="shared" si="7"/>
        <v>3009</v>
      </c>
    </row>
    <row r="207" spans="1:6" x14ac:dyDescent="0.3">
      <c r="A207" s="165">
        <v>161</v>
      </c>
      <c r="B207" s="166">
        <v>49</v>
      </c>
      <c r="C207" s="167">
        <v>315</v>
      </c>
      <c r="D207" s="168">
        <f t="shared" si="6"/>
        <v>3009</v>
      </c>
      <c r="E207" s="169">
        <v>30.09</v>
      </c>
      <c r="F207" s="42">
        <f t="shared" si="7"/>
        <v>3009</v>
      </c>
    </row>
    <row r="208" spans="1:6" x14ac:dyDescent="0.3">
      <c r="A208" s="165">
        <v>161</v>
      </c>
      <c r="B208" s="166">
        <v>32</v>
      </c>
      <c r="C208" s="167">
        <v>315</v>
      </c>
      <c r="D208" s="168">
        <f t="shared" si="6"/>
        <v>3009</v>
      </c>
      <c r="E208" s="169">
        <v>30.09</v>
      </c>
      <c r="F208" s="42">
        <f t="shared" si="7"/>
        <v>3009</v>
      </c>
    </row>
    <row r="209" spans="1:6" x14ac:dyDescent="0.3">
      <c r="A209" s="165">
        <v>161</v>
      </c>
      <c r="B209" s="166">
        <v>52</v>
      </c>
      <c r="C209" s="167">
        <v>315</v>
      </c>
      <c r="D209" s="168">
        <f t="shared" si="6"/>
        <v>2778</v>
      </c>
      <c r="E209" s="169">
        <v>27.78</v>
      </c>
      <c r="F209" s="42">
        <f t="shared" si="7"/>
        <v>2778</v>
      </c>
    </row>
    <row r="210" spans="1:6" x14ac:dyDescent="0.3">
      <c r="A210" s="165">
        <v>173</v>
      </c>
      <c r="B210" s="166">
        <v>30</v>
      </c>
      <c r="C210" s="167">
        <v>315</v>
      </c>
      <c r="D210" s="168">
        <f t="shared" si="6"/>
        <v>4000</v>
      </c>
      <c r="E210" s="169">
        <v>40</v>
      </c>
      <c r="F210" s="42">
        <f t="shared" si="7"/>
        <v>4000</v>
      </c>
    </row>
    <row r="211" spans="1:6" x14ac:dyDescent="0.3">
      <c r="A211" s="165">
        <v>173</v>
      </c>
      <c r="B211" s="166">
        <v>34</v>
      </c>
      <c r="C211" s="167">
        <v>315</v>
      </c>
      <c r="D211" s="168">
        <f t="shared" si="6"/>
        <v>4000</v>
      </c>
      <c r="E211" s="169">
        <v>40</v>
      </c>
      <c r="F211" s="42">
        <f t="shared" si="7"/>
        <v>4000</v>
      </c>
    </row>
    <row r="212" spans="1:6" x14ac:dyDescent="0.3">
      <c r="A212" s="165">
        <v>173</v>
      </c>
      <c r="B212" s="166">
        <v>35</v>
      </c>
      <c r="C212" s="167">
        <v>315</v>
      </c>
      <c r="D212" s="168">
        <f t="shared" si="6"/>
        <v>4000</v>
      </c>
      <c r="E212" s="169">
        <v>40</v>
      </c>
      <c r="F212" s="42">
        <f t="shared" si="7"/>
        <v>4000</v>
      </c>
    </row>
    <row r="213" spans="1:6" x14ac:dyDescent="0.3">
      <c r="A213" s="165">
        <v>173</v>
      </c>
      <c r="B213" s="166">
        <v>38</v>
      </c>
      <c r="C213" s="167">
        <v>315</v>
      </c>
      <c r="D213" s="168">
        <f t="shared" si="6"/>
        <v>4000</v>
      </c>
      <c r="E213" s="169">
        <v>40</v>
      </c>
      <c r="F213" s="42">
        <f t="shared" si="7"/>
        <v>4000</v>
      </c>
    </row>
    <row r="214" spans="1:6" x14ac:dyDescent="0.3">
      <c r="A214" s="165">
        <v>173</v>
      </c>
      <c r="B214" s="166">
        <v>41</v>
      </c>
      <c r="C214" s="167">
        <v>315</v>
      </c>
      <c r="D214" s="168">
        <f t="shared" si="6"/>
        <v>3400</v>
      </c>
      <c r="E214" s="169">
        <v>34</v>
      </c>
      <c r="F214" s="42">
        <f t="shared" si="7"/>
        <v>3400</v>
      </c>
    </row>
    <row r="215" spans="1:6" x14ac:dyDescent="0.3">
      <c r="A215" s="165">
        <v>175</v>
      </c>
      <c r="B215" s="166">
        <v>17</v>
      </c>
      <c r="C215" s="167">
        <v>315</v>
      </c>
      <c r="D215" s="168">
        <f t="shared" si="6"/>
        <v>42500</v>
      </c>
      <c r="E215" s="169">
        <v>425</v>
      </c>
      <c r="F215" s="42">
        <f t="shared" si="7"/>
        <v>42500</v>
      </c>
    </row>
    <row r="216" spans="1:6" x14ac:dyDescent="0.3">
      <c r="A216" s="165">
        <v>175</v>
      </c>
      <c r="B216" s="166">
        <v>13</v>
      </c>
      <c r="C216" s="167">
        <v>315</v>
      </c>
      <c r="D216" s="168">
        <f t="shared" si="6"/>
        <v>43600</v>
      </c>
      <c r="E216" s="169">
        <v>436</v>
      </c>
      <c r="F216" s="42">
        <f t="shared" si="7"/>
        <v>43600</v>
      </c>
    </row>
    <row r="217" spans="1:6" x14ac:dyDescent="0.3">
      <c r="A217" s="165">
        <v>175</v>
      </c>
      <c r="B217" s="166">
        <v>11</v>
      </c>
      <c r="C217" s="167">
        <v>315</v>
      </c>
      <c r="D217" s="168">
        <f t="shared" si="6"/>
        <v>41900</v>
      </c>
      <c r="E217" s="169">
        <v>419</v>
      </c>
      <c r="F217" s="42">
        <f t="shared" si="7"/>
        <v>41900</v>
      </c>
    </row>
    <row r="218" spans="1:6" x14ac:dyDescent="0.3">
      <c r="A218" s="165">
        <v>175</v>
      </c>
      <c r="B218" s="166">
        <v>8</v>
      </c>
      <c r="C218" s="167">
        <v>315</v>
      </c>
      <c r="D218" s="168">
        <f t="shared" si="6"/>
        <v>41900</v>
      </c>
      <c r="E218" s="169">
        <v>419</v>
      </c>
      <c r="F218" s="42">
        <f t="shared" si="7"/>
        <v>41900</v>
      </c>
    </row>
    <row r="219" spans="1:6" x14ac:dyDescent="0.3">
      <c r="A219" s="165">
        <v>175</v>
      </c>
      <c r="B219" s="166">
        <v>3</v>
      </c>
      <c r="C219" s="167">
        <v>315</v>
      </c>
      <c r="D219" s="168">
        <f t="shared" si="6"/>
        <v>41900</v>
      </c>
      <c r="E219" s="169">
        <v>419</v>
      </c>
      <c r="F219" s="42">
        <f t="shared" si="7"/>
        <v>41900</v>
      </c>
    </row>
    <row r="220" spans="1:6" x14ac:dyDescent="0.3">
      <c r="A220" s="165">
        <v>175</v>
      </c>
      <c r="B220" s="166">
        <v>9</v>
      </c>
      <c r="C220" s="167">
        <v>315</v>
      </c>
      <c r="D220" s="168">
        <f t="shared" si="6"/>
        <v>43600</v>
      </c>
      <c r="E220" s="169">
        <v>436</v>
      </c>
      <c r="F220" s="42">
        <f t="shared" si="7"/>
        <v>43600</v>
      </c>
    </row>
    <row r="221" spans="1:6" x14ac:dyDescent="0.3">
      <c r="A221" s="165">
        <v>175</v>
      </c>
      <c r="B221" s="166">
        <v>1</v>
      </c>
      <c r="C221" s="167">
        <v>315</v>
      </c>
      <c r="D221" s="168">
        <f t="shared" si="6"/>
        <v>41900</v>
      </c>
      <c r="E221" s="169">
        <v>419</v>
      </c>
      <c r="F221" s="42">
        <f t="shared" si="7"/>
        <v>41900</v>
      </c>
    </row>
    <row r="222" spans="1:6" x14ac:dyDescent="0.3">
      <c r="A222" s="165">
        <v>179</v>
      </c>
      <c r="B222" s="166">
        <v>1</v>
      </c>
      <c r="C222" s="167">
        <v>315</v>
      </c>
      <c r="D222" s="168">
        <f t="shared" si="6"/>
        <v>2500</v>
      </c>
      <c r="E222" s="169">
        <v>25</v>
      </c>
      <c r="F222" s="42">
        <f t="shared" si="7"/>
        <v>2500</v>
      </c>
    </row>
    <row r="223" spans="1:6" x14ac:dyDescent="0.3">
      <c r="A223" s="165">
        <v>179</v>
      </c>
      <c r="B223" s="166">
        <v>2</v>
      </c>
      <c r="C223" s="167">
        <v>315</v>
      </c>
      <c r="D223" s="168">
        <f t="shared" si="6"/>
        <v>2500</v>
      </c>
      <c r="E223" s="169">
        <v>25</v>
      </c>
      <c r="F223" s="42">
        <f t="shared" si="7"/>
        <v>2500</v>
      </c>
    </row>
    <row r="224" spans="1:6" x14ac:dyDescent="0.3">
      <c r="A224" s="165">
        <v>179</v>
      </c>
      <c r="B224" s="166">
        <v>3</v>
      </c>
      <c r="C224" s="167">
        <v>315</v>
      </c>
      <c r="D224" s="168">
        <f t="shared" si="6"/>
        <v>2500</v>
      </c>
      <c r="E224" s="169">
        <v>25</v>
      </c>
      <c r="F224" s="42">
        <f t="shared" si="7"/>
        <v>2500</v>
      </c>
    </row>
    <row r="225" spans="1:6" x14ac:dyDescent="0.3">
      <c r="A225" s="165">
        <v>179</v>
      </c>
      <c r="B225" s="166">
        <v>4</v>
      </c>
      <c r="C225" s="167">
        <v>315</v>
      </c>
      <c r="D225" s="168">
        <f t="shared" si="6"/>
        <v>2500</v>
      </c>
      <c r="E225" s="169">
        <v>25</v>
      </c>
      <c r="F225" s="42">
        <f t="shared" si="7"/>
        <v>2500</v>
      </c>
    </row>
    <row r="226" spans="1:6" x14ac:dyDescent="0.3">
      <c r="A226" s="165">
        <v>179</v>
      </c>
      <c r="B226" s="166">
        <v>16</v>
      </c>
      <c r="C226" s="167">
        <v>315</v>
      </c>
      <c r="D226" s="168">
        <f t="shared" si="6"/>
        <v>2500</v>
      </c>
      <c r="E226" s="169">
        <v>25</v>
      </c>
      <c r="F226" s="42">
        <f t="shared" si="7"/>
        <v>2500</v>
      </c>
    </row>
    <row r="227" spans="1:6" x14ac:dyDescent="0.3">
      <c r="A227" s="165">
        <v>179</v>
      </c>
      <c r="B227" s="166">
        <v>12</v>
      </c>
      <c r="C227" s="167">
        <v>315</v>
      </c>
      <c r="D227" s="168">
        <f t="shared" si="6"/>
        <v>2500</v>
      </c>
      <c r="E227" s="169">
        <v>25</v>
      </c>
      <c r="F227" s="42">
        <f t="shared" si="7"/>
        <v>2500</v>
      </c>
    </row>
    <row r="228" spans="1:6" x14ac:dyDescent="0.3">
      <c r="A228" s="165">
        <v>179</v>
      </c>
      <c r="B228" s="166">
        <v>18</v>
      </c>
      <c r="C228" s="167">
        <v>315</v>
      </c>
      <c r="D228" s="168">
        <f t="shared" si="6"/>
        <v>2500</v>
      </c>
      <c r="E228" s="169">
        <v>25</v>
      </c>
      <c r="F228" s="42">
        <f t="shared" si="7"/>
        <v>2500</v>
      </c>
    </row>
    <row r="229" spans="1:6" x14ac:dyDescent="0.3">
      <c r="A229" s="165">
        <v>181</v>
      </c>
      <c r="B229" s="166">
        <v>33</v>
      </c>
      <c r="C229" s="167">
        <v>315</v>
      </c>
      <c r="D229" s="168">
        <f t="shared" si="6"/>
        <v>16050</v>
      </c>
      <c r="E229" s="169">
        <v>160.5</v>
      </c>
      <c r="F229" s="42">
        <f t="shared" si="7"/>
        <v>16050</v>
      </c>
    </row>
    <row r="230" spans="1:6" x14ac:dyDescent="0.3">
      <c r="A230" s="165">
        <v>183</v>
      </c>
      <c r="B230" s="166">
        <v>14</v>
      </c>
      <c r="C230" s="167">
        <v>315</v>
      </c>
      <c r="D230" s="168">
        <f t="shared" si="6"/>
        <v>2800</v>
      </c>
      <c r="E230" s="169">
        <v>28</v>
      </c>
      <c r="F230" s="42">
        <f t="shared" si="7"/>
        <v>2800</v>
      </c>
    </row>
    <row r="231" spans="1:6" x14ac:dyDescent="0.3">
      <c r="A231" s="165">
        <v>183</v>
      </c>
      <c r="B231" s="166">
        <v>8</v>
      </c>
      <c r="C231" s="167">
        <v>315</v>
      </c>
      <c r="D231" s="168">
        <f t="shared" si="6"/>
        <v>2800</v>
      </c>
      <c r="E231" s="169">
        <v>28</v>
      </c>
      <c r="F231" s="42">
        <f t="shared" si="7"/>
        <v>2800</v>
      </c>
    </row>
    <row r="232" spans="1:6" x14ac:dyDescent="0.3">
      <c r="A232" s="165">
        <v>183</v>
      </c>
      <c r="B232" s="166">
        <v>13</v>
      </c>
      <c r="C232" s="167">
        <v>315</v>
      </c>
      <c r="D232" s="168">
        <f t="shared" si="6"/>
        <v>2800</v>
      </c>
      <c r="E232" s="169">
        <v>28</v>
      </c>
      <c r="F232" s="42">
        <f t="shared" si="7"/>
        <v>2800</v>
      </c>
    </row>
    <row r="233" spans="1:6" x14ac:dyDescent="0.3">
      <c r="A233" s="165">
        <v>183</v>
      </c>
      <c r="B233" s="166">
        <v>1</v>
      </c>
      <c r="C233" s="167">
        <v>315</v>
      </c>
      <c r="D233" s="168">
        <f t="shared" si="6"/>
        <v>2800</v>
      </c>
      <c r="E233" s="169">
        <v>28</v>
      </c>
      <c r="F233" s="42">
        <f t="shared" si="7"/>
        <v>2800</v>
      </c>
    </row>
    <row r="234" spans="1:6" x14ac:dyDescent="0.3">
      <c r="A234" s="165">
        <v>183</v>
      </c>
      <c r="B234" s="166">
        <v>15</v>
      </c>
      <c r="C234" s="167">
        <v>315</v>
      </c>
      <c r="D234" s="168">
        <f t="shared" si="6"/>
        <v>2800</v>
      </c>
      <c r="E234" s="169">
        <v>28</v>
      </c>
      <c r="F234" s="42">
        <f t="shared" si="7"/>
        <v>2800</v>
      </c>
    </row>
    <row r="235" spans="1:6" x14ac:dyDescent="0.3">
      <c r="A235" s="165">
        <v>200</v>
      </c>
      <c r="B235" s="166">
        <v>136</v>
      </c>
      <c r="C235" s="167">
        <v>315</v>
      </c>
      <c r="D235" s="168">
        <f t="shared" si="6"/>
        <v>10304</v>
      </c>
      <c r="E235" s="169">
        <v>103.04</v>
      </c>
      <c r="F235" s="42">
        <f t="shared" si="7"/>
        <v>10304</v>
      </c>
    </row>
    <row r="236" spans="1:6" x14ac:dyDescent="0.3">
      <c r="A236" s="165">
        <v>200</v>
      </c>
      <c r="B236" s="166">
        <v>135</v>
      </c>
      <c r="C236" s="167">
        <v>315</v>
      </c>
      <c r="D236" s="168">
        <f t="shared" si="6"/>
        <v>29624</v>
      </c>
      <c r="E236" s="169">
        <v>296.24</v>
      </c>
      <c r="F236" s="42">
        <f t="shared" si="7"/>
        <v>29624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118"/>
  <sheetViews>
    <sheetView showGridLines="0" workbookViewId="0">
      <selection activeCell="A30" sqref="A30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171</v>
      </c>
      <c r="D5" s="168">
        <f>F5</f>
        <v>48500</v>
      </c>
      <c r="E5" s="169">
        <v>485</v>
      </c>
      <c r="F5" s="42">
        <f>E5*100</f>
        <v>48500</v>
      </c>
    </row>
    <row r="6" spans="1:6" x14ac:dyDescent="0.3">
      <c r="A6" s="165">
        <v>62</v>
      </c>
      <c r="B6" s="166">
        <v>322</v>
      </c>
      <c r="C6" s="167">
        <v>171</v>
      </c>
      <c r="D6" s="168">
        <f t="shared" ref="D6:D69" si="0">F6</f>
        <v>48000</v>
      </c>
      <c r="E6" s="169">
        <v>480</v>
      </c>
      <c r="F6" s="42">
        <f t="shared" ref="F6:F69" si="1">E6*100</f>
        <v>48000</v>
      </c>
    </row>
    <row r="7" spans="1:6" x14ac:dyDescent="0.3">
      <c r="A7" s="165">
        <v>62</v>
      </c>
      <c r="B7" s="166">
        <v>282</v>
      </c>
      <c r="C7" s="167">
        <v>171</v>
      </c>
      <c r="D7" s="168">
        <f t="shared" si="0"/>
        <v>58000</v>
      </c>
      <c r="E7" s="169">
        <v>580</v>
      </c>
      <c r="F7" s="42">
        <f t="shared" si="1"/>
        <v>58000</v>
      </c>
    </row>
    <row r="8" spans="1:6" x14ac:dyDescent="0.3">
      <c r="A8" s="165">
        <v>62</v>
      </c>
      <c r="B8" s="166">
        <v>316</v>
      </c>
      <c r="C8" s="167">
        <v>171</v>
      </c>
      <c r="D8" s="168">
        <f t="shared" si="0"/>
        <v>48500</v>
      </c>
      <c r="E8" s="169">
        <v>485</v>
      </c>
      <c r="F8" s="42">
        <f t="shared" si="1"/>
        <v>48500</v>
      </c>
    </row>
    <row r="9" spans="1:6" x14ac:dyDescent="0.3">
      <c r="A9" s="165">
        <v>62</v>
      </c>
      <c r="B9" s="166">
        <v>323</v>
      </c>
      <c r="C9" s="167">
        <v>171</v>
      </c>
      <c r="D9" s="168">
        <f t="shared" si="0"/>
        <v>20000</v>
      </c>
      <c r="E9" s="169">
        <v>200</v>
      </c>
      <c r="F9" s="42">
        <f t="shared" si="1"/>
        <v>20000</v>
      </c>
    </row>
    <row r="10" spans="1:6" x14ac:dyDescent="0.3">
      <c r="A10" s="165">
        <v>62</v>
      </c>
      <c r="B10" s="166">
        <v>326</v>
      </c>
      <c r="C10" s="167">
        <v>171</v>
      </c>
      <c r="D10" s="168">
        <f t="shared" si="0"/>
        <v>20000</v>
      </c>
      <c r="E10" s="169">
        <v>200</v>
      </c>
      <c r="F10" s="42">
        <f t="shared" si="1"/>
        <v>20000</v>
      </c>
    </row>
    <row r="11" spans="1:6" x14ac:dyDescent="0.3">
      <c r="A11" s="165">
        <v>62</v>
      </c>
      <c r="B11" s="166">
        <v>303</v>
      </c>
      <c r="C11" s="167">
        <v>171</v>
      </c>
      <c r="D11" s="168">
        <f t="shared" si="0"/>
        <v>49000</v>
      </c>
      <c r="E11" s="169">
        <v>490</v>
      </c>
      <c r="F11" s="42">
        <f t="shared" si="1"/>
        <v>49000</v>
      </c>
    </row>
    <row r="12" spans="1:6" x14ac:dyDescent="0.3">
      <c r="A12" s="165">
        <v>62</v>
      </c>
      <c r="B12" s="166">
        <v>320</v>
      </c>
      <c r="C12" s="167">
        <v>171</v>
      </c>
      <c r="D12" s="168">
        <f t="shared" si="0"/>
        <v>48500</v>
      </c>
      <c r="E12" s="169">
        <v>485</v>
      </c>
      <c r="F12" s="42">
        <f t="shared" si="1"/>
        <v>48500</v>
      </c>
    </row>
    <row r="13" spans="1:6" x14ac:dyDescent="0.3">
      <c r="A13" s="165">
        <v>62</v>
      </c>
      <c r="B13" s="166">
        <v>289</v>
      </c>
      <c r="C13" s="167">
        <v>171</v>
      </c>
      <c r="D13" s="168">
        <f t="shared" si="0"/>
        <v>43500</v>
      </c>
      <c r="E13" s="169">
        <v>435</v>
      </c>
      <c r="F13" s="42">
        <f t="shared" si="1"/>
        <v>43500</v>
      </c>
    </row>
    <row r="14" spans="1:6" x14ac:dyDescent="0.3">
      <c r="A14" s="165">
        <v>105</v>
      </c>
      <c r="B14" s="166">
        <v>93</v>
      </c>
      <c r="C14" s="167">
        <v>171</v>
      </c>
      <c r="D14" s="168">
        <f t="shared" si="0"/>
        <v>63700</v>
      </c>
      <c r="E14" s="169">
        <v>637</v>
      </c>
      <c r="F14" s="42">
        <f t="shared" si="1"/>
        <v>63700</v>
      </c>
    </row>
    <row r="15" spans="1:6" x14ac:dyDescent="0.3">
      <c r="A15" s="165">
        <v>105</v>
      </c>
      <c r="B15" s="166">
        <v>68</v>
      </c>
      <c r="C15" s="167">
        <v>171</v>
      </c>
      <c r="D15" s="168">
        <f t="shared" si="0"/>
        <v>54340</v>
      </c>
      <c r="E15" s="169">
        <v>543.4</v>
      </c>
      <c r="F15" s="42">
        <f t="shared" si="1"/>
        <v>54340</v>
      </c>
    </row>
    <row r="16" spans="1:6" x14ac:dyDescent="0.3">
      <c r="A16" s="165">
        <v>105</v>
      </c>
      <c r="B16" s="166">
        <v>100</v>
      </c>
      <c r="C16" s="167">
        <v>171</v>
      </c>
      <c r="D16" s="168">
        <f t="shared" si="0"/>
        <v>20020</v>
      </c>
      <c r="E16" s="169">
        <v>200.2</v>
      </c>
      <c r="F16" s="42">
        <f t="shared" si="1"/>
        <v>20020</v>
      </c>
    </row>
    <row r="17" spans="1:6" x14ac:dyDescent="0.3">
      <c r="A17" s="165">
        <v>105</v>
      </c>
      <c r="B17" s="166">
        <v>84</v>
      </c>
      <c r="C17" s="167">
        <v>171</v>
      </c>
      <c r="D17" s="168">
        <f t="shared" si="0"/>
        <v>31000</v>
      </c>
      <c r="E17" s="169">
        <v>310</v>
      </c>
      <c r="F17" s="42">
        <f t="shared" si="1"/>
        <v>31000</v>
      </c>
    </row>
    <row r="18" spans="1:6" x14ac:dyDescent="0.3">
      <c r="A18" s="165">
        <v>105</v>
      </c>
      <c r="B18" s="166">
        <v>85</v>
      </c>
      <c r="C18" s="167">
        <v>171</v>
      </c>
      <c r="D18" s="168">
        <f t="shared" si="0"/>
        <v>19250</v>
      </c>
      <c r="E18" s="169">
        <v>192.5</v>
      </c>
      <c r="F18" s="42">
        <f t="shared" si="1"/>
        <v>19250</v>
      </c>
    </row>
    <row r="19" spans="1:6" x14ac:dyDescent="0.3">
      <c r="A19" s="165">
        <v>105</v>
      </c>
      <c r="B19" s="166">
        <v>29</v>
      </c>
      <c r="C19" s="167">
        <v>171</v>
      </c>
      <c r="D19" s="168">
        <f t="shared" si="0"/>
        <v>40040</v>
      </c>
      <c r="E19" s="169">
        <v>400.4</v>
      </c>
      <c r="F19" s="42">
        <f t="shared" si="1"/>
        <v>40040</v>
      </c>
    </row>
    <row r="20" spans="1:6" x14ac:dyDescent="0.3">
      <c r="A20" s="165">
        <v>105</v>
      </c>
      <c r="B20" s="166">
        <v>95</v>
      </c>
      <c r="C20" s="167">
        <v>171</v>
      </c>
      <c r="D20" s="168">
        <f t="shared" si="0"/>
        <v>44200</v>
      </c>
      <c r="E20" s="169">
        <v>442</v>
      </c>
      <c r="F20" s="42">
        <f t="shared" si="1"/>
        <v>44200</v>
      </c>
    </row>
    <row r="21" spans="1:6" x14ac:dyDescent="0.3">
      <c r="A21" s="165">
        <v>105</v>
      </c>
      <c r="B21" s="166">
        <v>103</v>
      </c>
      <c r="C21" s="167">
        <v>171</v>
      </c>
      <c r="D21" s="168">
        <f t="shared" si="0"/>
        <v>40250</v>
      </c>
      <c r="E21" s="169">
        <v>402.5</v>
      </c>
      <c r="F21" s="42">
        <f t="shared" si="1"/>
        <v>40250</v>
      </c>
    </row>
    <row r="22" spans="1:6" x14ac:dyDescent="0.3">
      <c r="A22" s="165">
        <v>123</v>
      </c>
      <c r="B22" s="166">
        <v>58</v>
      </c>
      <c r="C22" s="167">
        <v>171</v>
      </c>
      <c r="D22" s="168">
        <f t="shared" si="0"/>
        <v>49680</v>
      </c>
      <c r="E22" s="169">
        <v>496.8</v>
      </c>
      <c r="F22" s="42">
        <f t="shared" si="1"/>
        <v>49680</v>
      </c>
    </row>
    <row r="23" spans="1:6" x14ac:dyDescent="0.3">
      <c r="A23" s="165">
        <v>123</v>
      </c>
      <c r="B23" s="166">
        <v>69</v>
      </c>
      <c r="C23" s="167">
        <v>171</v>
      </c>
      <c r="D23" s="168">
        <f t="shared" si="0"/>
        <v>49680</v>
      </c>
      <c r="E23" s="169">
        <v>496.8</v>
      </c>
      <c r="F23" s="42">
        <f t="shared" si="1"/>
        <v>49680</v>
      </c>
    </row>
    <row r="24" spans="1:6" x14ac:dyDescent="0.3">
      <c r="A24" s="165">
        <v>123</v>
      </c>
      <c r="B24" s="166">
        <v>81</v>
      </c>
      <c r="C24" s="167">
        <v>171</v>
      </c>
      <c r="D24" s="168">
        <f t="shared" si="0"/>
        <v>36960</v>
      </c>
      <c r="E24" s="169">
        <v>369.6</v>
      </c>
      <c r="F24" s="42">
        <f t="shared" si="1"/>
        <v>36960</v>
      </c>
    </row>
    <row r="25" spans="1:6" x14ac:dyDescent="0.3">
      <c r="A25" s="165">
        <v>123</v>
      </c>
      <c r="B25" s="166">
        <v>75</v>
      </c>
      <c r="C25" s="167">
        <v>171</v>
      </c>
      <c r="D25" s="168">
        <f t="shared" si="0"/>
        <v>41280</v>
      </c>
      <c r="E25" s="169">
        <v>412.8</v>
      </c>
      <c r="F25" s="42">
        <f t="shared" si="1"/>
        <v>41280</v>
      </c>
    </row>
    <row r="26" spans="1:6" x14ac:dyDescent="0.3">
      <c r="A26" s="165">
        <v>123</v>
      </c>
      <c r="B26" s="166">
        <v>76</v>
      </c>
      <c r="C26" s="167">
        <v>171</v>
      </c>
      <c r="D26" s="168">
        <f t="shared" si="0"/>
        <v>19780</v>
      </c>
      <c r="E26" s="169">
        <v>197.8</v>
      </c>
      <c r="F26" s="42">
        <f t="shared" si="1"/>
        <v>19780</v>
      </c>
    </row>
    <row r="27" spans="1:6" x14ac:dyDescent="0.3">
      <c r="A27" s="165">
        <v>123</v>
      </c>
      <c r="B27" s="166">
        <v>68</v>
      </c>
      <c r="C27" s="167">
        <v>171</v>
      </c>
      <c r="D27" s="168">
        <f t="shared" si="0"/>
        <v>56160</v>
      </c>
      <c r="E27" s="169">
        <v>561.6</v>
      </c>
      <c r="F27" s="42">
        <f t="shared" si="1"/>
        <v>56160</v>
      </c>
    </row>
    <row r="28" spans="1:6" x14ac:dyDescent="0.3">
      <c r="A28" s="165">
        <v>123</v>
      </c>
      <c r="B28" s="166">
        <v>36</v>
      </c>
      <c r="C28" s="167">
        <v>171</v>
      </c>
      <c r="D28" s="168">
        <f t="shared" si="0"/>
        <v>51840</v>
      </c>
      <c r="E28" s="169">
        <v>518.4</v>
      </c>
      <c r="F28" s="42">
        <f t="shared" si="1"/>
        <v>51840</v>
      </c>
    </row>
    <row r="29" spans="1:6" x14ac:dyDescent="0.3">
      <c r="A29" s="165">
        <v>123</v>
      </c>
      <c r="B29" s="166">
        <v>70</v>
      </c>
      <c r="C29" s="167">
        <v>171</v>
      </c>
      <c r="D29" s="168">
        <f t="shared" si="0"/>
        <v>20640</v>
      </c>
      <c r="E29" s="169">
        <v>206.4</v>
      </c>
      <c r="F29" s="42">
        <f t="shared" si="1"/>
        <v>20640</v>
      </c>
    </row>
    <row r="30" spans="1:6" x14ac:dyDescent="0.3">
      <c r="A30" s="165">
        <v>139</v>
      </c>
      <c r="B30" s="166">
        <v>54</v>
      </c>
      <c r="C30" s="167">
        <v>171</v>
      </c>
      <c r="D30" s="168">
        <f t="shared" si="0"/>
        <v>26600</v>
      </c>
      <c r="E30" s="169">
        <v>266</v>
      </c>
      <c r="F30" s="42">
        <f t="shared" si="1"/>
        <v>26600</v>
      </c>
    </row>
    <row r="31" spans="1:6" x14ac:dyDescent="0.3">
      <c r="A31" s="165">
        <v>144</v>
      </c>
      <c r="B31" s="166">
        <v>74</v>
      </c>
      <c r="C31" s="167">
        <v>171</v>
      </c>
      <c r="D31" s="168">
        <f t="shared" si="0"/>
        <v>21840</v>
      </c>
      <c r="E31" s="169">
        <v>218.4</v>
      </c>
      <c r="F31" s="42">
        <f t="shared" si="1"/>
        <v>21840</v>
      </c>
    </row>
    <row r="32" spans="1:6" x14ac:dyDescent="0.3">
      <c r="A32" s="165">
        <v>144</v>
      </c>
      <c r="B32" s="166">
        <v>88</v>
      </c>
      <c r="C32" s="167">
        <v>171</v>
      </c>
      <c r="D32" s="168">
        <f t="shared" si="0"/>
        <v>22770</v>
      </c>
      <c r="E32" s="169">
        <v>227.7</v>
      </c>
      <c r="F32" s="42">
        <f t="shared" si="1"/>
        <v>22770</v>
      </c>
    </row>
    <row r="33" spans="1:6" x14ac:dyDescent="0.3">
      <c r="A33" s="165">
        <v>156</v>
      </c>
      <c r="B33" s="166">
        <v>84</v>
      </c>
      <c r="C33" s="167">
        <v>171</v>
      </c>
      <c r="D33" s="168">
        <f t="shared" si="0"/>
        <v>49128</v>
      </c>
      <c r="E33" s="169">
        <v>491.28</v>
      </c>
      <c r="F33" s="42">
        <f t="shared" si="1"/>
        <v>49128</v>
      </c>
    </row>
    <row r="34" spans="1:6" x14ac:dyDescent="0.3">
      <c r="A34" s="165">
        <v>157</v>
      </c>
      <c r="B34" s="166">
        <v>14</v>
      </c>
      <c r="C34" s="167">
        <v>171</v>
      </c>
      <c r="D34" s="168">
        <f t="shared" si="0"/>
        <v>21600</v>
      </c>
      <c r="E34" s="169">
        <v>216</v>
      </c>
      <c r="F34" s="42">
        <f t="shared" si="1"/>
        <v>21600</v>
      </c>
    </row>
    <row r="35" spans="1:6" x14ac:dyDescent="0.3">
      <c r="A35" s="165">
        <v>157</v>
      </c>
      <c r="B35" s="166">
        <v>34</v>
      </c>
      <c r="C35" s="167">
        <v>171</v>
      </c>
      <c r="D35" s="168">
        <f t="shared" si="0"/>
        <v>22500</v>
      </c>
      <c r="E35" s="169">
        <v>225</v>
      </c>
      <c r="F35" s="42">
        <f t="shared" si="1"/>
        <v>22500</v>
      </c>
    </row>
    <row r="36" spans="1:6" x14ac:dyDescent="0.3">
      <c r="A36" s="165">
        <v>157</v>
      </c>
      <c r="B36" s="166">
        <v>43</v>
      </c>
      <c r="C36" s="167">
        <v>171</v>
      </c>
      <c r="D36" s="168">
        <f t="shared" si="0"/>
        <v>21600</v>
      </c>
      <c r="E36" s="169">
        <v>216</v>
      </c>
      <c r="F36" s="42">
        <f t="shared" si="1"/>
        <v>21600</v>
      </c>
    </row>
    <row r="37" spans="1:6" x14ac:dyDescent="0.3">
      <c r="A37" s="165">
        <v>157</v>
      </c>
      <c r="B37" s="166">
        <v>44</v>
      </c>
      <c r="C37" s="167">
        <v>171</v>
      </c>
      <c r="D37" s="168">
        <f t="shared" si="0"/>
        <v>20700</v>
      </c>
      <c r="E37" s="169">
        <v>207</v>
      </c>
      <c r="F37" s="42">
        <f t="shared" si="1"/>
        <v>20700</v>
      </c>
    </row>
    <row r="38" spans="1:6" x14ac:dyDescent="0.3">
      <c r="A38" s="165">
        <v>157</v>
      </c>
      <c r="B38" s="166">
        <v>45</v>
      </c>
      <c r="C38" s="167">
        <v>171</v>
      </c>
      <c r="D38" s="168">
        <f t="shared" si="0"/>
        <v>20700</v>
      </c>
      <c r="E38" s="169">
        <v>207</v>
      </c>
      <c r="F38" s="42">
        <f t="shared" si="1"/>
        <v>20700</v>
      </c>
    </row>
    <row r="39" spans="1:6" x14ac:dyDescent="0.3">
      <c r="A39" s="165">
        <v>157</v>
      </c>
      <c r="B39" s="166">
        <v>46</v>
      </c>
      <c r="C39" s="167">
        <v>171</v>
      </c>
      <c r="D39" s="168">
        <f t="shared" si="0"/>
        <v>20700</v>
      </c>
      <c r="E39" s="169">
        <v>207</v>
      </c>
      <c r="F39" s="42">
        <f t="shared" si="1"/>
        <v>20700</v>
      </c>
    </row>
    <row r="40" spans="1:6" x14ac:dyDescent="0.3">
      <c r="A40" s="165">
        <v>161</v>
      </c>
      <c r="B40" s="166">
        <v>51</v>
      </c>
      <c r="C40" s="167">
        <v>171</v>
      </c>
      <c r="D40" s="168">
        <f t="shared" si="0"/>
        <v>50600</v>
      </c>
      <c r="E40" s="169">
        <v>506</v>
      </c>
      <c r="F40" s="42">
        <f t="shared" si="1"/>
        <v>50600</v>
      </c>
    </row>
    <row r="41" spans="1:6" x14ac:dyDescent="0.3">
      <c r="A41" s="165">
        <v>161</v>
      </c>
      <c r="B41" s="166">
        <v>49</v>
      </c>
      <c r="C41" s="167">
        <v>171</v>
      </c>
      <c r="D41" s="168">
        <f t="shared" si="0"/>
        <v>40250</v>
      </c>
      <c r="E41" s="169">
        <v>402.5</v>
      </c>
      <c r="F41" s="42">
        <f t="shared" si="1"/>
        <v>40250</v>
      </c>
    </row>
    <row r="42" spans="1:6" x14ac:dyDescent="0.3">
      <c r="A42" s="165">
        <v>161</v>
      </c>
      <c r="B42" s="166">
        <v>45</v>
      </c>
      <c r="C42" s="167">
        <v>171</v>
      </c>
      <c r="D42" s="168">
        <f t="shared" si="0"/>
        <v>22750</v>
      </c>
      <c r="E42" s="169">
        <v>227.5</v>
      </c>
      <c r="F42" s="42">
        <f t="shared" si="1"/>
        <v>22750</v>
      </c>
    </row>
    <row r="43" spans="1:6" x14ac:dyDescent="0.3">
      <c r="A43" s="165">
        <v>161</v>
      </c>
      <c r="B43" s="166">
        <v>32</v>
      </c>
      <c r="C43" s="167">
        <v>171</v>
      </c>
      <c r="D43" s="168">
        <f t="shared" si="0"/>
        <v>41860</v>
      </c>
      <c r="E43" s="169">
        <v>418.6</v>
      </c>
      <c r="F43" s="42">
        <f t="shared" si="1"/>
        <v>41860</v>
      </c>
    </row>
    <row r="44" spans="1:6" x14ac:dyDescent="0.3">
      <c r="A44" s="165">
        <v>161</v>
      </c>
      <c r="B44" s="166">
        <v>52</v>
      </c>
      <c r="C44" s="167">
        <v>171</v>
      </c>
      <c r="D44" s="168">
        <f t="shared" si="0"/>
        <v>22319</v>
      </c>
      <c r="E44" s="169">
        <v>223.19</v>
      </c>
      <c r="F44" s="42">
        <f t="shared" si="1"/>
        <v>22319</v>
      </c>
    </row>
    <row r="45" spans="1:6" x14ac:dyDescent="0.3">
      <c r="A45" s="165">
        <v>173</v>
      </c>
      <c r="B45" s="166">
        <v>41</v>
      </c>
      <c r="C45" s="167">
        <v>171</v>
      </c>
      <c r="D45" s="168">
        <f t="shared" si="0"/>
        <v>42370</v>
      </c>
      <c r="E45" s="169">
        <v>423.7</v>
      </c>
      <c r="F45" s="42">
        <f t="shared" si="1"/>
        <v>42370</v>
      </c>
    </row>
    <row r="46" spans="1:6" x14ac:dyDescent="0.3">
      <c r="A46" s="165">
        <v>181</v>
      </c>
      <c r="B46" s="166">
        <v>2</v>
      </c>
      <c r="C46" s="167">
        <v>171</v>
      </c>
      <c r="D46" s="168">
        <f t="shared" si="0"/>
        <v>24720</v>
      </c>
      <c r="E46" s="169">
        <v>247.2</v>
      </c>
      <c r="F46" s="42">
        <f t="shared" si="1"/>
        <v>24720</v>
      </c>
    </row>
    <row r="47" spans="1:6" x14ac:dyDescent="0.3">
      <c r="A47" s="165">
        <v>181</v>
      </c>
      <c r="B47" s="166">
        <v>33</v>
      </c>
      <c r="C47" s="167">
        <v>171</v>
      </c>
      <c r="D47" s="168">
        <f t="shared" si="0"/>
        <v>14980.000000000002</v>
      </c>
      <c r="E47" s="169">
        <v>149.80000000000001</v>
      </c>
      <c r="F47" s="42">
        <f t="shared" si="1"/>
        <v>14980.000000000002</v>
      </c>
    </row>
    <row r="48" spans="1:6" x14ac:dyDescent="0.3">
      <c r="A48" s="165">
        <v>181</v>
      </c>
      <c r="B48" s="166">
        <v>31</v>
      </c>
      <c r="C48" s="167">
        <v>171</v>
      </c>
      <c r="D48" s="168">
        <f t="shared" si="0"/>
        <v>21600</v>
      </c>
      <c r="E48" s="169">
        <v>216</v>
      </c>
      <c r="F48" s="42">
        <f t="shared" si="1"/>
        <v>21600</v>
      </c>
    </row>
    <row r="49" spans="1:6" x14ac:dyDescent="0.3">
      <c r="A49" s="165">
        <v>181</v>
      </c>
      <c r="B49" s="166">
        <v>16</v>
      </c>
      <c r="C49" s="167">
        <v>171</v>
      </c>
      <c r="D49" s="168">
        <f t="shared" si="0"/>
        <v>29250</v>
      </c>
      <c r="E49" s="169">
        <v>292.5</v>
      </c>
      <c r="F49" s="42">
        <f t="shared" si="1"/>
        <v>29250</v>
      </c>
    </row>
    <row r="50" spans="1:6" x14ac:dyDescent="0.3">
      <c r="A50" s="165">
        <v>181</v>
      </c>
      <c r="B50" s="166">
        <v>18</v>
      </c>
      <c r="C50" s="167">
        <v>171</v>
      </c>
      <c r="D50" s="168">
        <f t="shared" si="0"/>
        <v>21600</v>
      </c>
      <c r="E50" s="169">
        <v>216</v>
      </c>
      <c r="F50" s="42">
        <f t="shared" si="1"/>
        <v>21600</v>
      </c>
    </row>
    <row r="51" spans="1:6" x14ac:dyDescent="0.3">
      <c r="A51" s="165">
        <v>181</v>
      </c>
      <c r="B51" s="166">
        <v>32</v>
      </c>
      <c r="C51" s="167">
        <v>171</v>
      </c>
      <c r="D51" s="168">
        <f t="shared" si="0"/>
        <v>29250</v>
      </c>
      <c r="E51" s="169">
        <v>292.5</v>
      </c>
      <c r="F51" s="42">
        <f t="shared" si="1"/>
        <v>29250</v>
      </c>
    </row>
    <row r="52" spans="1:6" x14ac:dyDescent="0.3">
      <c r="A52" s="165">
        <v>181</v>
      </c>
      <c r="B52" s="166">
        <v>1</v>
      </c>
      <c r="C52" s="167">
        <v>171</v>
      </c>
      <c r="D52" s="168">
        <f t="shared" si="0"/>
        <v>23690</v>
      </c>
      <c r="E52" s="169">
        <v>236.9</v>
      </c>
      <c r="F52" s="42">
        <f t="shared" si="1"/>
        <v>23690</v>
      </c>
    </row>
    <row r="53" spans="1:6" x14ac:dyDescent="0.3">
      <c r="A53" s="165">
        <v>181</v>
      </c>
      <c r="B53" s="166">
        <v>13</v>
      </c>
      <c r="C53" s="167">
        <v>171</v>
      </c>
      <c r="D53" s="168">
        <f t="shared" si="0"/>
        <v>38180</v>
      </c>
      <c r="E53" s="169">
        <v>381.8</v>
      </c>
      <c r="F53" s="42">
        <f t="shared" si="1"/>
        <v>38180</v>
      </c>
    </row>
    <row r="54" spans="1:6" x14ac:dyDescent="0.3">
      <c r="A54" s="165">
        <v>200</v>
      </c>
      <c r="B54" s="166">
        <v>129</v>
      </c>
      <c r="C54" s="167">
        <v>171</v>
      </c>
      <c r="D54" s="168">
        <f t="shared" si="0"/>
        <v>46800</v>
      </c>
      <c r="E54" s="169">
        <v>468</v>
      </c>
      <c r="F54" s="42">
        <f t="shared" si="1"/>
        <v>46800</v>
      </c>
    </row>
    <row r="55" spans="1:6" x14ac:dyDescent="0.3">
      <c r="A55" s="165">
        <v>200</v>
      </c>
      <c r="B55" s="166">
        <v>82</v>
      </c>
      <c r="C55" s="167">
        <v>171</v>
      </c>
      <c r="D55" s="168">
        <f t="shared" si="0"/>
        <v>60840</v>
      </c>
      <c r="E55" s="169">
        <v>608.4</v>
      </c>
      <c r="F55" s="42">
        <f t="shared" si="1"/>
        <v>60840</v>
      </c>
    </row>
    <row r="56" spans="1:6" x14ac:dyDescent="0.3">
      <c r="A56" s="165">
        <v>200</v>
      </c>
      <c r="B56" s="166">
        <v>132</v>
      </c>
      <c r="C56" s="167">
        <v>171</v>
      </c>
      <c r="D56" s="168">
        <f t="shared" si="0"/>
        <v>46800</v>
      </c>
      <c r="E56" s="169">
        <v>468</v>
      </c>
      <c r="F56" s="42">
        <f t="shared" si="1"/>
        <v>46800</v>
      </c>
    </row>
    <row r="57" spans="1:6" x14ac:dyDescent="0.3">
      <c r="A57" s="165">
        <v>200</v>
      </c>
      <c r="B57" s="166">
        <v>130</v>
      </c>
      <c r="C57" s="167">
        <v>171</v>
      </c>
      <c r="D57" s="168">
        <f t="shared" si="0"/>
        <v>46800</v>
      </c>
      <c r="E57" s="169">
        <v>468</v>
      </c>
      <c r="F57" s="42">
        <f t="shared" si="1"/>
        <v>46800</v>
      </c>
    </row>
    <row r="58" spans="1:6" x14ac:dyDescent="0.3">
      <c r="A58" s="165">
        <v>200</v>
      </c>
      <c r="B58" s="166">
        <v>120</v>
      </c>
      <c r="C58" s="167">
        <v>171</v>
      </c>
      <c r="D58" s="168">
        <f t="shared" si="0"/>
        <v>23400</v>
      </c>
      <c r="E58" s="169">
        <v>234</v>
      </c>
      <c r="F58" s="42">
        <f t="shared" si="1"/>
        <v>23400</v>
      </c>
    </row>
    <row r="59" spans="1:6" x14ac:dyDescent="0.3">
      <c r="A59" s="165">
        <v>200</v>
      </c>
      <c r="B59" s="166">
        <v>74</v>
      </c>
      <c r="C59" s="167">
        <v>171</v>
      </c>
      <c r="D59" s="168">
        <f t="shared" si="0"/>
        <v>29250</v>
      </c>
      <c r="E59" s="169">
        <v>292.5</v>
      </c>
      <c r="F59" s="42">
        <f t="shared" si="1"/>
        <v>29250</v>
      </c>
    </row>
    <row r="60" spans="1:6" x14ac:dyDescent="0.3">
      <c r="A60" s="165">
        <v>200</v>
      </c>
      <c r="B60" s="166">
        <v>136</v>
      </c>
      <c r="C60" s="167">
        <v>171</v>
      </c>
      <c r="D60" s="168">
        <f t="shared" si="0"/>
        <v>20370</v>
      </c>
      <c r="E60" s="169">
        <v>203.7</v>
      </c>
      <c r="F60" s="42">
        <f t="shared" si="1"/>
        <v>20370</v>
      </c>
    </row>
    <row r="61" spans="1:6" x14ac:dyDescent="0.3">
      <c r="A61" s="165">
        <v>200</v>
      </c>
      <c r="B61" s="166">
        <v>135</v>
      </c>
      <c r="C61" s="167">
        <v>171</v>
      </c>
      <c r="D61" s="168">
        <f t="shared" si="0"/>
        <v>53625</v>
      </c>
      <c r="E61" s="169">
        <v>536.25</v>
      </c>
      <c r="F61" s="42">
        <f t="shared" si="1"/>
        <v>53625</v>
      </c>
    </row>
    <row r="62" spans="1:6" x14ac:dyDescent="0.3">
      <c r="A62" s="165">
        <v>62</v>
      </c>
      <c r="B62" s="166">
        <v>286</v>
      </c>
      <c r="C62" s="167">
        <v>314</v>
      </c>
      <c r="D62" s="168">
        <f t="shared" si="0"/>
        <v>48500</v>
      </c>
      <c r="E62" s="169">
        <v>485</v>
      </c>
      <c r="F62" s="42">
        <f t="shared" si="1"/>
        <v>48500</v>
      </c>
    </row>
    <row r="63" spans="1:6" x14ac:dyDescent="0.3">
      <c r="A63" s="165">
        <v>62</v>
      </c>
      <c r="B63" s="166">
        <v>322</v>
      </c>
      <c r="C63" s="167">
        <v>314</v>
      </c>
      <c r="D63" s="168">
        <f t="shared" si="0"/>
        <v>48000</v>
      </c>
      <c r="E63" s="169">
        <v>480</v>
      </c>
      <c r="F63" s="42">
        <f t="shared" si="1"/>
        <v>48000</v>
      </c>
    </row>
    <row r="64" spans="1:6" x14ac:dyDescent="0.3">
      <c r="A64" s="165">
        <v>62</v>
      </c>
      <c r="B64" s="166">
        <v>282</v>
      </c>
      <c r="C64" s="167">
        <v>314</v>
      </c>
      <c r="D64" s="168">
        <f t="shared" si="0"/>
        <v>58000</v>
      </c>
      <c r="E64" s="169">
        <v>580</v>
      </c>
      <c r="F64" s="42">
        <f t="shared" si="1"/>
        <v>58000</v>
      </c>
    </row>
    <row r="65" spans="1:6" x14ac:dyDescent="0.3">
      <c r="A65" s="165">
        <v>62</v>
      </c>
      <c r="B65" s="166">
        <v>316</v>
      </c>
      <c r="C65" s="167">
        <v>314</v>
      </c>
      <c r="D65" s="168">
        <f t="shared" si="0"/>
        <v>48500</v>
      </c>
      <c r="E65" s="169">
        <v>485</v>
      </c>
      <c r="F65" s="42">
        <f t="shared" si="1"/>
        <v>48500</v>
      </c>
    </row>
    <row r="66" spans="1:6" x14ac:dyDescent="0.3">
      <c r="A66" s="165">
        <v>62</v>
      </c>
      <c r="B66" s="166">
        <v>323</v>
      </c>
      <c r="C66" s="167">
        <v>314</v>
      </c>
      <c r="D66" s="168">
        <f t="shared" si="0"/>
        <v>20000</v>
      </c>
      <c r="E66" s="169">
        <v>200</v>
      </c>
      <c r="F66" s="42">
        <f t="shared" si="1"/>
        <v>20000</v>
      </c>
    </row>
    <row r="67" spans="1:6" x14ac:dyDescent="0.3">
      <c r="A67" s="165">
        <v>62</v>
      </c>
      <c r="B67" s="166">
        <v>326</v>
      </c>
      <c r="C67" s="167">
        <v>314</v>
      </c>
      <c r="D67" s="168">
        <f t="shared" si="0"/>
        <v>20000</v>
      </c>
      <c r="E67" s="169">
        <v>200</v>
      </c>
      <c r="F67" s="42">
        <f t="shared" si="1"/>
        <v>20000</v>
      </c>
    </row>
    <row r="68" spans="1:6" x14ac:dyDescent="0.3">
      <c r="A68" s="165">
        <v>62</v>
      </c>
      <c r="B68" s="166">
        <v>303</v>
      </c>
      <c r="C68" s="167">
        <v>314</v>
      </c>
      <c r="D68" s="168">
        <f t="shared" si="0"/>
        <v>49000</v>
      </c>
      <c r="E68" s="169">
        <v>490</v>
      </c>
      <c r="F68" s="42">
        <f t="shared" si="1"/>
        <v>49000</v>
      </c>
    </row>
    <row r="69" spans="1:6" x14ac:dyDescent="0.3">
      <c r="A69" s="165">
        <v>62</v>
      </c>
      <c r="B69" s="166">
        <v>320</v>
      </c>
      <c r="C69" s="167">
        <v>314</v>
      </c>
      <c r="D69" s="168">
        <f t="shared" si="0"/>
        <v>48500</v>
      </c>
      <c r="E69" s="169">
        <v>485</v>
      </c>
      <c r="F69" s="42">
        <f t="shared" si="1"/>
        <v>48500</v>
      </c>
    </row>
    <row r="70" spans="1:6" x14ac:dyDescent="0.3">
      <c r="A70" s="165">
        <v>62</v>
      </c>
      <c r="B70" s="166">
        <v>289</v>
      </c>
      <c r="C70" s="167">
        <v>314</v>
      </c>
      <c r="D70" s="168">
        <f t="shared" ref="D70:D118" si="2">F70</f>
        <v>43500</v>
      </c>
      <c r="E70" s="169">
        <v>435</v>
      </c>
      <c r="F70" s="42">
        <f t="shared" ref="F70:F118" si="3">E70*100</f>
        <v>43500</v>
      </c>
    </row>
    <row r="71" spans="1:6" x14ac:dyDescent="0.3">
      <c r="A71" s="165">
        <v>105</v>
      </c>
      <c r="B71" s="166">
        <v>93</v>
      </c>
      <c r="C71" s="167">
        <v>314</v>
      </c>
      <c r="D71" s="168">
        <f t="shared" si="2"/>
        <v>63700</v>
      </c>
      <c r="E71" s="169">
        <v>637</v>
      </c>
      <c r="F71" s="42">
        <f t="shared" si="3"/>
        <v>63700</v>
      </c>
    </row>
    <row r="72" spans="1:6" x14ac:dyDescent="0.3">
      <c r="A72" s="165">
        <v>105</v>
      </c>
      <c r="B72" s="166">
        <v>68</v>
      </c>
      <c r="C72" s="167">
        <v>314</v>
      </c>
      <c r="D72" s="168">
        <f t="shared" si="2"/>
        <v>54340</v>
      </c>
      <c r="E72" s="169">
        <v>543.4</v>
      </c>
      <c r="F72" s="42">
        <f t="shared" si="3"/>
        <v>54340</v>
      </c>
    </row>
    <row r="73" spans="1:6" x14ac:dyDescent="0.3">
      <c r="A73" s="165">
        <v>105</v>
      </c>
      <c r="B73" s="166">
        <v>100</v>
      </c>
      <c r="C73" s="167">
        <v>314</v>
      </c>
      <c r="D73" s="168">
        <f t="shared" si="2"/>
        <v>20020</v>
      </c>
      <c r="E73" s="169">
        <v>200.2</v>
      </c>
      <c r="F73" s="42">
        <f t="shared" si="3"/>
        <v>20020</v>
      </c>
    </row>
    <row r="74" spans="1:6" x14ac:dyDescent="0.3">
      <c r="A74" s="165">
        <v>105</v>
      </c>
      <c r="B74" s="166">
        <v>84</v>
      </c>
      <c r="C74" s="167">
        <v>314</v>
      </c>
      <c r="D74" s="168">
        <f t="shared" si="2"/>
        <v>31000</v>
      </c>
      <c r="E74" s="169">
        <v>310</v>
      </c>
      <c r="F74" s="42">
        <f t="shared" si="3"/>
        <v>31000</v>
      </c>
    </row>
    <row r="75" spans="1:6" x14ac:dyDescent="0.3">
      <c r="A75" s="165">
        <v>105</v>
      </c>
      <c r="B75" s="166">
        <v>85</v>
      </c>
      <c r="C75" s="167">
        <v>314</v>
      </c>
      <c r="D75" s="168">
        <f t="shared" si="2"/>
        <v>19250</v>
      </c>
      <c r="E75" s="169">
        <v>192.5</v>
      </c>
      <c r="F75" s="42">
        <f t="shared" si="3"/>
        <v>19250</v>
      </c>
    </row>
    <row r="76" spans="1:6" x14ac:dyDescent="0.3">
      <c r="A76" s="165">
        <v>105</v>
      </c>
      <c r="B76" s="166">
        <v>29</v>
      </c>
      <c r="C76" s="167">
        <v>314</v>
      </c>
      <c r="D76" s="168">
        <f t="shared" si="2"/>
        <v>40040</v>
      </c>
      <c r="E76" s="169">
        <v>400.4</v>
      </c>
      <c r="F76" s="42">
        <f t="shared" si="3"/>
        <v>40040</v>
      </c>
    </row>
    <row r="77" spans="1:6" x14ac:dyDescent="0.3">
      <c r="A77" s="165">
        <v>105</v>
      </c>
      <c r="B77" s="166">
        <v>95</v>
      </c>
      <c r="C77" s="167">
        <v>314</v>
      </c>
      <c r="D77" s="168">
        <f t="shared" si="2"/>
        <v>44200</v>
      </c>
      <c r="E77" s="169">
        <v>442</v>
      </c>
      <c r="F77" s="42">
        <f t="shared" si="3"/>
        <v>44200</v>
      </c>
    </row>
    <row r="78" spans="1:6" x14ac:dyDescent="0.3">
      <c r="A78" s="165">
        <v>105</v>
      </c>
      <c r="B78" s="166">
        <v>103</v>
      </c>
      <c r="C78" s="167">
        <v>314</v>
      </c>
      <c r="D78" s="168">
        <f t="shared" si="2"/>
        <v>40250</v>
      </c>
      <c r="E78" s="169">
        <v>402.5</v>
      </c>
      <c r="F78" s="42">
        <f t="shared" si="3"/>
        <v>40250</v>
      </c>
    </row>
    <row r="79" spans="1:6" x14ac:dyDescent="0.3">
      <c r="A79" s="165">
        <v>123</v>
      </c>
      <c r="B79" s="166">
        <v>58</v>
      </c>
      <c r="C79" s="167">
        <v>314</v>
      </c>
      <c r="D79" s="168">
        <f t="shared" si="2"/>
        <v>49680</v>
      </c>
      <c r="E79" s="169">
        <v>496.8</v>
      </c>
      <c r="F79" s="42">
        <f t="shared" si="3"/>
        <v>49680</v>
      </c>
    </row>
    <row r="80" spans="1:6" x14ac:dyDescent="0.3">
      <c r="A80" s="165">
        <v>123</v>
      </c>
      <c r="B80" s="166">
        <v>69</v>
      </c>
      <c r="C80" s="167">
        <v>314</v>
      </c>
      <c r="D80" s="168">
        <f t="shared" si="2"/>
        <v>49680</v>
      </c>
      <c r="E80" s="169">
        <v>496.8</v>
      </c>
      <c r="F80" s="42">
        <f t="shared" si="3"/>
        <v>49680</v>
      </c>
    </row>
    <row r="81" spans="1:6" x14ac:dyDescent="0.3">
      <c r="A81" s="165">
        <v>123</v>
      </c>
      <c r="B81" s="166">
        <v>81</v>
      </c>
      <c r="C81" s="167">
        <v>314</v>
      </c>
      <c r="D81" s="168">
        <f t="shared" si="2"/>
        <v>36960</v>
      </c>
      <c r="E81" s="169">
        <v>369.6</v>
      </c>
      <c r="F81" s="42">
        <f t="shared" si="3"/>
        <v>36960</v>
      </c>
    </row>
    <row r="82" spans="1:6" x14ac:dyDescent="0.3">
      <c r="A82" s="165">
        <v>123</v>
      </c>
      <c r="B82" s="166">
        <v>75</v>
      </c>
      <c r="C82" s="167">
        <v>314</v>
      </c>
      <c r="D82" s="168">
        <f t="shared" si="2"/>
        <v>41280</v>
      </c>
      <c r="E82" s="169">
        <v>412.8</v>
      </c>
      <c r="F82" s="42">
        <f t="shared" si="3"/>
        <v>41280</v>
      </c>
    </row>
    <row r="83" spans="1:6" x14ac:dyDescent="0.3">
      <c r="A83" s="165">
        <v>123</v>
      </c>
      <c r="B83" s="166">
        <v>76</v>
      </c>
      <c r="C83" s="167">
        <v>314</v>
      </c>
      <c r="D83" s="168">
        <f t="shared" si="2"/>
        <v>19780</v>
      </c>
      <c r="E83" s="169">
        <v>197.8</v>
      </c>
      <c r="F83" s="42">
        <f t="shared" si="3"/>
        <v>19780</v>
      </c>
    </row>
    <row r="84" spans="1:6" x14ac:dyDescent="0.3">
      <c r="A84" s="165">
        <v>123</v>
      </c>
      <c r="B84" s="166">
        <v>68</v>
      </c>
      <c r="C84" s="167">
        <v>314</v>
      </c>
      <c r="D84" s="168">
        <f t="shared" si="2"/>
        <v>56160</v>
      </c>
      <c r="E84" s="169">
        <v>561.6</v>
      </c>
      <c r="F84" s="42">
        <f t="shared" si="3"/>
        <v>56160</v>
      </c>
    </row>
    <row r="85" spans="1:6" x14ac:dyDescent="0.3">
      <c r="A85" s="165">
        <v>123</v>
      </c>
      <c r="B85" s="166">
        <v>36</v>
      </c>
      <c r="C85" s="167">
        <v>314</v>
      </c>
      <c r="D85" s="168">
        <f t="shared" si="2"/>
        <v>51840</v>
      </c>
      <c r="E85" s="169">
        <v>518.4</v>
      </c>
      <c r="F85" s="42">
        <f t="shared" si="3"/>
        <v>51840</v>
      </c>
    </row>
    <row r="86" spans="1:6" x14ac:dyDescent="0.3">
      <c r="A86" s="165">
        <v>123</v>
      </c>
      <c r="B86" s="166">
        <v>70</v>
      </c>
      <c r="C86" s="167">
        <v>314</v>
      </c>
      <c r="D86" s="168">
        <f t="shared" si="2"/>
        <v>20640</v>
      </c>
      <c r="E86" s="169">
        <v>206.4</v>
      </c>
      <c r="F86" s="42">
        <f t="shared" si="3"/>
        <v>20640</v>
      </c>
    </row>
    <row r="87" spans="1:6" x14ac:dyDescent="0.3">
      <c r="A87" s="165">
        <v>139</v>
      </c>
      <c r="B87" s="166">
        <v>54</v>
      </c>
      <c r="C87" s="167">
        <v>314</v>
      </c>
      <c r="D87" s="168">
        <f t="shared" si="2"/>
        <v>26600</v>
      </c>
      <c r="E87" s="169">
        <v>266</v>
      </c>
      <c r="F87" s="42">
        <f t="shared" si="3"/>
        <v>26600</v>
      </c>
    </row>
    <row r="88" spans="1:6" x14ac:dyDescent="0.3">
      <c r="A88" s="165">
        <v>144</v>
      </c>
      <c r="B88" s="166">
        <v>74</v>
      </c>
      <c r="C88" s="167">
        <v>314</v>
      </c>
      <c r="D88" s="168">
        <f t="shared" si="2"/>
        <v>21840</v>
      </c>
      <c r="E88" s="169">
        <v>218.4</v>
      </c>
      <c r="F88" s="42">
        <f t="shared" si="3"/>
        <v>21840</v>
      </c>
    </row>
    <row r="89" spans="1:6" x14ac:dyDescent="0.3">
      <c r="A89" s="165">
        <v>144</v>
      </c>
      <c r="B89" s="166">
        <v>88</v>
      </c>
      <c r="C89" s="167">
        <v>314</v>
      </c>
      <c r="D89" s="168">
        <f t="shared" si="2"/>
        <v>22770</v>
      </c>
      <c r="E89" s="169">
        <v>227.7</v>
      </c>
      <c r="F89" s="42">
        <f t="shared" si="3"/>
        <v>22770</v>
      </c>
    </row>
    <row r="90" spans="1:6" x14ac:dyDescent="0.3">
      <c r="A90" s="165">
        <v>156</v>
      </c>
      <c r="B90" s="166">
        <v>84</v>
      </c>
      <c r="C90" s="167">
        <v>314</v>
      </c>
      <c r="D90" s="168">
        <f t="shared" si="2"/>
        <v>49128</v>
      </c>
      <c r="E90" s="169">
        <v>491.28</v>
      </c>
      <c r="F90" s="42">
        <f t="shared" si="3"/>
        <v>49128</v>
      </c>
    </row>
    <row r="91" spans="1:6" x14ac:dyDescent="0.3">
      <c r="A91" s="165">
        <v>157</v>
      </c>
      <c r="B91" s="166">
        <v>14</v>
      </c>
      <c r="C91" s="167">
        <v>314</v>
      </c>
      <c r="D91" s="168">
        <f t="shared" si="2"/>
        <v>21600</v>
      </c>
      <c r="E91" s="169">
        <v>216</v>
      </c>
      <c r="F91" s="42">
        <f t="shared" si="3"/>
        <v>21600</v>
      </c>
    </row>
    <row r="92" spans="1:6" x14ac:dyDescent="0.3">
      <c r="A92" s="165">
        <v>157</v>
      </c>
      <c r="B92" s="166">
        <v>34</v>
      </c>
      <c r="C92" s="167">
        <v>314</v>
      </c>
      <c r="D92" s="168">
        <f t="shared" si="2"/>
        <v>22500</v>
      </c>
      <c r="E92" s="169">
        <v>225</v>
      </c>
      <c r="F92" s="42">
        <f t="shared" si="3"/>
        <v>22500</v>
      </c>
    </row>
    <row r="93" spans="1:6" x14ac:dyDescent="0.3">
      <c r="A93" s="165">
        <v>157</v>
      </c>
      <c r="B93" s="166">
        <v>43</v>
      </c>
      <c r="C93" s="167">
        <v>314</v>
      </c>
      <c r="D93" s="168">
        <f t="shared" si="2"/>
        <v>21600</v>
      </c>
      <c r="E93" s="169">
        <v>216</v>
      </c>
      <c r="F93" s="42">
        <f t="shared" si="3"/>
        <v>21600</v>
      </c>
    </row>
    <row r="94" spans="1:6" x14ac:dyDescent="0.3">
      <c r="A94" s="165">
        <v>157</v>
      </c>
      <c r="B94" s="166">
        <v>44</v>
      </c>
      <c r="C94" s="167">
        <v>314</v>
      </c>
      <c r="D94" s="168">
        <f t="shared" si="2"/>
        <v>20700</v>
      </c>
      <c r="E94" s="169">
        <v>207</v>
      </c>
      <c r="F94" s="42">
        <f t="shared" si="3"/>
        <v>20700</v>
      </c>
    </row>
    <row r="95" spans="1:6" x14ac:dyDescent="0.3">
      <c r="A95" s="165">
        <v>157</v>
      </c>
      <c r="B95" s="166">
        <v>45</v>
      </c>
      <c r="C95" s="167">
        <v>314</v>
      </c>
      <c r="D95" s="168">
        <f t="shared" si="2"/>
        <v>20700</v>
      </c>
      <c r="E95" s="169">
        <v>207</v>
      </c>
      <c r="F95" s="42">
        <f t="shared" si="3"/>
        <v>20700</v>
      </c>
    </row>
    <row r="96" spans="1:6" x14ac:dyDescent="0.3">
      <c r="A96" s="165">
        <v>157</v>
      </c>
      <c r="B96" s="166">
        <v>46</v>
      </c>
      <c r="C96" s="167">
        <v>314</v>
      </c>
      <c r="D96" s="168">
        <f t="shared" si="2"/>
        <v>20700</v>
      </c>
      <c r="E96" s="169">
        <v>207</v>
      </c>
      <c r="F96" s="42">
        <f t="shared" si="3"/>
        <v>20700</v>
      </c>
    </row>
    <row r="97" spans="1:6" x14ac:dyDescent="0.3">
      <c r="A97" s="165">
        <v>161</v>
      </c>
      <c r="B97" s="166">
        <v>51</v>
      </c>
      <c r="C97" s="167">
        <v>314</v>
      </c>
      <c r="D97" s="168">
        <f t="shared" si="2"/>
        <v>50600</v>
      </c>
      <c r="E97" s="169">
        <v>506</v>
      </c>
      <c r="F97" s="42">
        <f t="shared" si="3"/>
        <v>50600</v>
      </c>
    </row>
    <row r="98" spans="1:6" x14ac:dyDescent="0.3">
      <c r="A98" s="165">
        <v>161</v>
      </c>
      <c r="B98" s="166">
        <v>49</v>
      </c>
      <c r="C98" s="167">
        <v>314</v>
      </c>
      <c r="D98" s="168">
        <f t="shared" si="2"/>
        <v>40250</v>
      </c>
      <c r="E98" s="169">
        <v>402.5</v>
      </c>
      <c r="F98" s="42">
        <f t="shared" si="3"/>
        <v>40250</v>
      </c>
    </row>
    <row r="99" spans="1:6" x14ac:dyDescent="0.3">
      <c r="A99" s="165">
        <v>161</v>
      </c>
      <c r="B99" s="166">
        <v>45</v>
      </c>
      <c r="C99" s="167">
        <v>314</v>
      </c>
      <c r="D99" s="168">
        <f t="shared" si="2"/>
        <v>22750</v>
      </c>
      <c r="E99" s="169">
        <v>227.5</v>
      </c>
      <c r="F99" s="42">
        <f t="shared" si="3"/>
        <v>22750</v>
      </c>
    </row>
    <row r="100" spans="1:6" x14ac:dyDescent="0.3">
      <c r="A100" s="165">
        <v>161</v>
      </c>
      <c r="B100" s="166">
        <v>32</v>
      </c>
      <c r="C100" s="167">
        <v>314</v>
      </c>
      <c r="D100" s="168">
        <f t="shared" si="2"/>
        <v>41860</v>
      </c>
      <c r="E100" s="169">
        <v>418.6</v>
      </c>
      <c r="F100" s="42">
        <f t="shared" si="3"/>
        <v>41860</v>
      </c>
    </row>
    <row r="101" spans="1:6" x14ac:dyDescent="0.3">
      <c r="A101" s="165">
        <v>161</v>
      </c>
      <c r="B101" s="166">
        <v>52</v>
      </c>
      <c r="C101" s="167">
        <v>314</v>
      </c>
      <c r="D101" s="168">
        <f t="shared" si="2"/>
        <v>22319</v>
      </c>
      <c r="E101" s="169">
        <v>223.19</v>
      </c>
      <c r="F101" s="42">
        <f t="shared" si="3"/>
        <v>22319</v>
      </c>
    </row>
    <row r="102" spans="1:6" x14ac:dyDescent="0.3">
      <c r="A102" s="165">
        <v>173</v>
      </c>
      <c r="B102" s="166">
        <v>41</v>
      </c>
      <c r="C102" s="167">
        <v>314</v>
      </c>
      <c r="D102" s="168">
        <f t="shared" si="2"/>
        <v>42370</v>
      </c>
      <c r="E102" s="169">
        <v>423.7</v>
      </c>
      <c r="F102" s="42">
        <f t="shared" si="3"/>
        <v>42370</v>
      </c>
    </row>
    <row r="103" spans="1:6" x14ac:dyDescent="0.3">
      <c r="A103" s="165">
        <v>181</v>
      </c>
      <c r="B103" s="166">
        <v>2</v>
      </c>
      <c r="C103" s="167">
        <v>314</v>
      </c>
      <c r="D103" s="168">
        <f t="shared" si="2"/>
        <v>24720</v>
      </c>
      <c r="E103" s="169">
        <v>247.2</v>
      </c>
      <c r="F103" s="42">
        <f t="shared" si="3"/>
        <v>24720</v>
      </c>
    </row>
    <row r="104" spans="1:6" x14ac:dyDescent="0.3">
      <c r="A104" s="165">
        <v>181</v>
      </c>
      <c r="B104" s="166">
        <v>33</v>
      </c>
      <c r="C104" s="167">
        <v>314</v>
      </c>
      <c r="D104" s="168">
        <f t="shared" si="2"/>
        <v>14980.000000000002</v>
      </c>
      <c r="E104" s="169">
        <v>149.80000000000001</v>
      </c>
      <c r="F104" s="42">
        <f t="shared" si="3"/>
        <v>14980.000000000002</v>
      </c>
    </row>
    <row r="105" spans="1:6" x14ac:dyDescent="0.3">
      <c r="A105" s="165">
        <v>181</v>
      </c>
      <c r="B105" s="166">
        <v>31</v>
      </c>
      <c r="C105" s="167">
        <v>314</v>
      </c>
      <c r="D105" s="168">
        <f t="shared" si="2"/>
        <v>21600</v>
      </c>
      <c r="E105" s="169">
        <v>216</v>
      </c>
      <c r="F105" s="42">
        <f t="shared" si="3"/>
        <v>21600</v>
      </c>
    </row>
    <row r="106" spans="1:6" x14ac:dyDescent="0.3">
      <c r="A106" s="165">
        <v>181</v>
      </c>
      <c r="B106" s="166">
        <v>16</v>
      </c>
      <c r="C106" s="167">
        <v>314</v>
      </c>
      <c r="D106" s="168">
        <f t="shared" si="2"/>
        <v>29250</v>
      </c>
      <c r="E106" s="169">
        <v>292.5</v>
      </c>
      <c r="F106" s="42">
        <f t="shared" si="3"/>
        <v>29250</v>
      </c>
    </row>
    <row r="107" spans="1:6" x14ac:dyDescent="0.3">
      <c r="A107" s="165">
        <v>181</v>
      </c>
      <c r="B107" s="166">
        <v>18</v>
      </c>
      <c r="C107" s="167">
        <v>314</v>
      </c>
      <c r="D107" s="168">
        <f t="shared" si="2"/>
        <v>21600</v>
      </c>
      <c r="E107" s="169">
        <v>216</v>
      </c>
      <c r="F107" s="42">
        <f t="shared" si="3"/>
        <v>21600</v>
      </c>
    </row>
    <row r="108" spans="1:6" x14ac:dyDescent="0.3">
      <c r="A108" s="165">
        <v>181</v>
      </c>
      <c r="B108" s="166">
        <v>32</v>
      </c>
      <c r="C108" s="167">
        <v>314</v>
      </c>
      <c r="D108" s="168">
        <f t="shared" si="2"/>
        <v>29250</v>
      </c>
      <c r="E108" s="169">
        <v>292.5</v>
      </c>
      <c r="F108" s="42">
        <f t="shared" si="3"/>
        <v>29250</v>
      </c>
    </row>
    <row r="109" spans="1:6" x14ac:dyDescent="0.3">
      <c r="A109" s="165">
        <v>181</v>
      </c>
      <c r="B109" s="166">
        <v>1</v>
      </c>
      <c r="C109" s="167">
        <v>314</v>
      </c>
      <c r="D109" s="168">
        <f t="shared" si="2"/>
        <v>23690</v>
      </c>
      <c r="E109" s="169">
        <v>236.9</v>
      </c>
      <c r="F109" s="42">
        <f t="shared" si="3"/>
        <v>23690</v>
      </c>
    </row>
    <row r="110" spans="1:6" x14ac:dyDescent="0.3">
      <c r="A110" s="165">
        <v>181</v>
      </c>
      <c r="B110" s="166">
        <v>13</v>
      </c>
      <c r="C110" s="167">
        <v>314</v>
      </c>
      <c r="D110" s="168">
        <f t="shared" si="2"/>
        <v>38180</v>
      </c>
      <c r="E110" s="169">
        <v>381.8</v>
      </c>
      <c r="F110" s="42">
        <f t="shared" si="3"/>
        <v>38180</v>
      </c>
    </row>
    <row r="111" spans="1:6" x14ac:dyDescent="0.3">
      <c r="A111" s="165">
        <v>200</v>
      </c>
      <c r="B111" s="166">
        <v>129</v>
      </c>
      <c r="C111" s="167">
        <v>314</v>
      </c>
      <c r="D111" s="168">
        <f t="shared" si="2"/>
        <v>46800</v>
      </c>
      <c r="E111" s="169">
        <v>468</v>
      </c>
      <c r="F111" s="42">
        <f t="shared" si="3"/>
        <v>46800</v>
      </c>
    </row>
    <row r="112" spans="1:6" x14ac:dyDescent="0.3">
      <c r="A112" s="165">
        <v>200</v>
      </c>
      <c r="B112" s="166">
        <v>82</v>
      </c>
      <c r="C112" s="167">
        <v>314</v>
      </c>
      <c r="D112" s="168">
        <f t="shared" si="2"/>
        <v>60840</v>
      </c>
      <c r="E112" s="169">
        <v>608.4</v>
      </c>
      <c r="F112" s="42">
        <f t="shared" si="3"/>
        <v>60840</v>
      </c>
    </row>
    <row r="113" spans="1:6" x14ac:dyDescent="0.3">
      <c r="A113" s="165">
        <v>200</v>
      </c>
      <c r="B113" s="166">
        <v>132</v>
      </c>
      <c r="C113" s="167">
        <v>314</v>
      </c>
      <c r="D113" s="168">
        <f t="shared" si="2"/>
        <v>46800</v>
      </c>
      <c r="E113" s="169">
        <v>468</v>
      </c>
      <c r="F113" s="42">
        <f t="shared" si="3"/>
        <v>46800</v>
      </c>
    </row>
    <row r="114" spans="1:6" x14ac:dyDescent="0.3">
      <c r="A114" s="165">
        <v>200</v>
      </c>
      <c r="B114" s="166">
        <v>130</v>
      </c>
      <c r="C114" s="167">
        <v>314</v>
      </c>
      <c r="D114" s="168">
        <f t="shared" si="2"/>
        <v>46800</v>
      </c>
      <c r="E114" s="169">
        <v>468</v>
      </c>
      <c r="F114" s="42">
        <f t="shared" si="3"/>
        <v>46800</v>
      </c>
    </row>
    <row r="115" spans="1:6" x14ac:dyDescent="0.3">
      <c r="A115" s="165">
        <v>200</v>
      </c>
      <c r="B115" s="166">
        <v>120</v>
      </c>
      <c r="C115" s="167">
        <v>314</v>
      </c>
      <c r="D115" s="168">
        <f t="shared" si="2"/>
        <v>23400</v>
      </c>
      <c r="E115" s="169">
        <v>234</v>
      </c>
      <c r="F115" s="42">
        <f t="shared" si="3"/>
        <v>23400</v>
      </c>
    </row>
    <row r="116" spans="1:6" x14ac:dyDescent="0.3">
      <c r="A116" s="165">
        <v>200</v>
      </c>
      <c r="B116" s="166">
        <v>74</v>
      </c>
      <c r="C116" s="167">
        <v>314</v>
      </c>
      <c r="D116" s="168">
        <f t="shared" si="2"/>
        <v>29250</v>
      </c>
      <c r="E116" s="169">
        <v>292.5</v>
      </c>
      <c r="F116" s="42">
        <f t="shared" si="3"/>
        <v>29250</v>
      </c>
    </row>
    <row r="117" spans="1:6" x14ac:dyDescent="0.3">
      <c r="A117" s="165">
        <v>200</v>
      </c>
      <c r="B117" s="166">
        <v>136</v>
      </c>
      <c r="C117" s="167">
        <v>314</v>
      </c>
      <c r="D117" s="168">
        <f t="shared" si="2"/>
        <v>20370</v>
      </c>
      <c r="E117">
        <v>203.7</v>
      </c>
      <c r="F117" s="42">
        <f t="shared" si="3"/>
        <v>20370</v>
      </c>
    </row>
    <row r="118" spans="1:6" x14ac:dyDescent="0.3">
      <c r="A118" s="165">
        <v>200</v>
      </c>
      <c r="B118" s="166">
        <v>135</v>
      </c>
      <c r="C118" s="167">
        <v>314</v>
      </c>
      <c r="D118" s="168">
        <f t="shared" si="2"/>
        <v>53625</v>
      </c>
      <c r="E118">
        <v>536.25</v>
      </c>
      <c r="F118" s="42">
        <f t="shared" si="3"/>
        <v>53625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6DE6-1E91-4C2E-8EB4-8FF41E26652B}">
  <sheetPr codeName="Sheet17"/>
  <dimension ref="A1:A64"/>
  <sheetViews>
    <sheetView zoomScale="102" zoomScaleNormal="102" workbookViewId="0">
      <selection activeCell="A17" sqref="A17"/>
    </sheetView>
  </sheetViews>
  <sheetFormatPr defaultRowHeight="14.4" x14ac:dyDescent="0.3"/>
  <cols>
    <col min="1" max="1" width="123.88671875" bestFit="1" customWidth="1"/>
  </cols>
  <sheetData>
    <row r="1" spans="1:1" x14ac:dyDescent="0.3">
      <c r="A1" s="204" t="s">
        <v>738</v>
      </c>
    </row>
    <row r="3" spans="1:1" x14ac:dyDescent="0.3">
      <c r="A3" t="s">
        <v>1185</v>
      </c>
    </row>
    <row r="4" spans="1:1" x14ac:dyDescent="0.3">
      <c r="A4" t="s">
        <v>1186</v>
      </c>
    </row>
    <row r="5" spans="1:1" x14ac:dyDescent="0.3">
      <c r="A5" t="s">
        <v>1187</v>
      </c>
    </row>
    <row r="6" spans="1:1" x14ac:dyDescent="0.3">
      <c r="A6" t="s">
        <v>1188</v>
      </c>
    </row>
    <row r="7" spans="1:1" x14ac:dyDescent="0.3">
      <c r="A7" t="s">
        <v>1189</v>
      </c>
    </row>
    <row r="8" spans="1:1" x14ac:dyDescent="0.3">
      <c r="A8" t="s">
        <v>1190</v>
      </c>
    </row>
    <row r="9" spans="1:1" x14ac:dyDescent="0.3">
      <c r="A9" t="s">
        <v>1192</v>
      </c>
    </row>
    <row r="10" spans="1:1" x14ac:dyDescent="0.3">
      <c r="A10" t="s">
        <v>1193</v>
      </c>
    </row>
    <row r="11" spans="1:1" x14ac:dyDescent="0.3">
      <c r="A11" t="s">
        <v>1194</v>
      </c>
    </row>
    <row r="12" spans="1:1" x14ac:dyDescent="0.3">
      <c r="A12" t="s">
        <v>1195</v>
      </c>
    </row>
    <row r="13" spans="1:1" x14ac:dyDescent="0.3">
      <c r="A13" t="s">
        <v>1196</v>
      </c>
    </row>
    <row r="14" spans="1:1" x14ac:dyDescent="0.3">
      <c r="A14" t="s">
        <v>1197</v>
      </c>
    </row>
    <row r="15" spans="1:1" x14ac:dyDescent="0.3">
      <c r="A15" t="s">
        <v>1200</v>
      </c>
    </row>
    <row r="16" spans="1:1" x14ac:dyDescent="0.3">
      <c r="A16" t="s">
        <v>1201</v>
      </c>
    </row>
    <row r="17" spans="1:1" x14ac:dyDescent="0.3">
      <c r="A17" t="s">
        <v>1202</v>
      </c>
    </row>
    <row r="18" spans="1:1" x14ac:dyDescent="0.3">
      <c r="A18" t="s">
        <v>1204</v>
      </c>
    </row>
    <row r="19" spans="1:1" x14ac:dyDescent="0.3">
      <c r="A19" t="s">
        <v>1205</v>
      </c>
    </row>
    <row r="20" spans="1:1" x14ac:dyDescent="0.3">
      <c r="A20" t="s">
        <v>1206</v>
      </c>
    </row>
    <row r="21" spans="1:1" x14ac:dyDescent="0.3">
      <c r="A21" t="s">
        <v>1207</v>
      </c>
    </row>
    <row r="22" spans="1:1" x14ac:dyDescent="0.3">
      <c r="A22" t="s">
        <v>1208</v>
      </c>
    </row>
    <row r="23" spans="1:1" x14ac:dyDescent="0.3">
      <c r="A23" t="s">
        <v>1209</v>
      </c>
    </row>
    <row r="24" spans="1:1" x14ac:dyDescent="0.3">
      <c r="A24" t="s">
        <v>1210</v>
      </c>
    </row>
    <row r="25" spans="1:1" x14ac:dyDescent="0.3">
      <c r="A25" t="s">
        <v>1211</v>
      </c>
    </row>
    <row r="26" spans="1:1" x14ac:dyDescent="0.3">
      <c r="A26" t="s">
        <v>1212</v>
      </c>
    </row>
    <row r="27" spans="1:1" x14ac:dyDescent="0.3">
      <c r="A27" t="s">
        <v>1213</v>
      </c>
    </row>
    <row r="28" spans="1:1" x14ac:dyDescent="0.3">
      <c r="A28" t="s">
        <v>1214</v>
      </c>
    </row>
    <row r="29" spans="1:1" x14ac:dyDescent="0.3">
      <c r="A29" t="s">
        <v>1215</v>
      </c>
    </row>
    <row r="30" spans="1:1" x14ac:dyDescent="0.3">
      <c r="A30" t="s">
        <v>1216</v>
      </c>
    </row>
    <row r="31" spans="1:1" x14ac:dyDescent="0.3">
      <c r="A31" t="s">
        <v>1217</v>
      </c>
    </row>
    <row r="32" spans="1:1" x14ac:dyDescent="0.3">
      <c r="A32" t="s">
        <v>1218</v>
      </c>
    </row>
    <row r="33" spans="1:1" x14ac:dyDescent="0.3">
      <c r="A33" t="s">
        <v>1219</v>
      </c>
    </row>
    <row r="34" spans="1:1" x14ac:dyDescent="0.3">
      <c r="A34" t="s">
        <v>1220</v>
      </c>
    </row>
    <row r="35" spans="1:1" x14ac:dyDescent="0.3">
      <c r="A35" t="s">
        <v>1221</v>
      </c>
    </row>
    <row r="36" spans="1:1" x14ac:dyDescent="0.3">
      <c r="A36" t="s">
        <v>1222</v>
      </c>
    </row>
    <row r="37" spans="1:1" x14ac:dyDescent="0.3">
      <c r="A37" t="s">
        <v>1223</v>
      </c>
    </row>
    <row r="38" spans="1:1" x14ac:dyDescent="0.3">
      <c r="A38" t="s">
        <v>1224</v>
      </c>
    </row>
    <row r="39" spans="1:1" x14ac:dyDescent="0.3">
      <c r="A39" t="s">
        <v>1225</v>
      </c>
    </row>
    <row r="40" spans="1:1" x14ac:dyDescent="0.3">
      <c r="A40" t="s">
        <v>1227</v>
      </c>
    </row>
    <row r="41" spans="1:1" x14ac:dyDescent="0.3">
      <c r="A41" t="s">
        <v>1229</v>
      </c>
    </row>
    <row r="42" spans="1:1" x14ac:dyDescent="0.3">
      <c r="A42" t="s">
        <v>1230</v>
      </c>
    </row>
    <row r="43" spans="1:1" x14ac:dyDescent="0.3">
      <c r="A43" t="s">
        <v>1231</v>
      </c>
    </row>
    <row r="44" spans="1:1" x14ac:dyDescent="0.3">
      <c r="A44" t="s">
        <v>1232</v>
      </c>
    </row>
    <row r="45" spans="1:1" x14ac:dyDescent="0.3">
      <c r="A45" t="s">
        <v>1233</v>
      </c>
    </row>
    <row r="46" spans="1:1" x14ac:dyDescent="0.3">
      <c r="A46" t="s">
        <v>1234</v>
      </c>
    </row>
    <row r="47" spans="1:1" x14ac:dyDescent="0.3">
      <c r="A47" t="s">
        <v>1235</v>
      </c>
    </row>
    <row r="48" spans="1:1" x14ac:dyDescent="0.3">
      <c r="A48" t="s">
        <v>1236</v>
      </c>
    </row>
    <row r="49" spans="1:1" x14ac:dyDescent="0.3">
      <c r="A49" t="s">
        <v>1237</v>
      </c>
    </row>
    <row r="50" spans="1:1" x14ac:dyDescent="0.3">
      <c r="A50" t="s">
        <v>1238</v>
      </c>
    </row>
    <row r="51" spans="1:1" x14ac:dyDescent="0.3">
      <c r="A51" t="s">
        <v>1239</v>
      </c>
    </row>
    <row r="52" spans="1:1" x14ac:dyDescent="0.3">
      <c r="A52" t="s">
        <v>1240</v>
      </c>
    </row>
    <row r="53" spans="1:1" x14ac:dyDescent="0.3">
      <c r="A53" t="s">
        <v>1241</v>
      </c>
    </row>
    <row r="54" spans="1:1" x14ac:dyDescent="0.3">
      <c r="A54" t="s">
        <v>1242</v>
      </c>
    </row>
    <row r="55" spans="1:1" x14ac:dyDescent="0.3">
      <c r="A55" t="s">
        <v>1243</v>
      </c>
    </row>
    <row r="56" spans="1:1" x14ac:dyDescent="0.3">
      <c r="A56" t="s">
        <v>1244</v>
      </c>
    </row>
    <row r="57" spans="1:1" x14ac:dyDescent="0.3">
      <c r="A57" t="s">
        <v>1245</v>
      </c>
    </row>
    <row r="58" spans="1:1" x14ac:dyDescent="0.3">
      <c r="A58" t="s">
        <v>1246</v>
      </c>
    </row>
    <row r="59" spans="1:1" x14ac:dyDescent="0.3">
      <c r="A59" t="s">
        <v>1247</v>
      </c>
    </row>
    <row r="60" spans="1:1" x14ac:dyDescent="0.3">
      <c r="A60" t="s">
        <v>1248</v>
      </c>
    </row>
    <row r="61" spans="1:1" x14ac:dyDescent="0.3">
      <c r="A61" t="s">
        <v>1249</v>
      </c>
    </row>
    <row r="62" spans="1:1" x14ac:dyDescent="0.3">
      <c r="A62" t="s">
        <v>1250</v>
      </c>
    </row>
    <row r="63" spans="1:1" x14ac:dyDescent="0.3">
      <c r="A63" t="s">
        <v>1251</v>
      </c>
    </row>
    <row r="64" spans="1:1" x14ac:dyDescent="0.3">
      <c r="A64" t="s">
        <v>1253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Base 06-2021</vt:lpstr>
      <vt:lpstr>Vendedores</vt:lpstr>
      <vt:lpstr>Gerentes</vt:lpstr>
      <vt:lpstr>Prêmio William</vt:lpstr>
      <vt:lpstr>Prêmio_Clayton</vt:lpstr>
      <vt:lpstr>Abono_085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Erros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Carvalho de Avila</dc:creator>
  <cp:lastModifiedBy>Usuário do Windows</cp:lastModifiedBy>
  <cp:lastPrinted>2021-07-03T16:03:50Z</cp:lastPrinted>
  <dcterms:created xsi:type="dcterms:W3CDTF">2019-10-28T20:46:34Z</dcterms:created>
  <dcterms:modified xsi:type="dcterms:W3CDTF">2021-07-30T19:35:15Z</dcterms:modified>
</cp:coreProperties>
</file>