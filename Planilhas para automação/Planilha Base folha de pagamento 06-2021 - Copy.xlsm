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33C8FC4B-4AB4-49ED-B9A1-A0529EF70727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Base 06-2021" sheetId="1" r:id="rId1"/>
    <sheet name="Vendedores" sheetId="2" r:id="rId2"/>
    <sheet name="Gerentes" sheetId="3" r:id="rId3"/>
    <sheet name="Prêmio William" sheetId="4" r:id="rId4"/>
    <sheet name="Prêmio Clayton" sheetId="5" r:id="rId5"/>
    <sheet name="Abono_085" sheetId="14" r:id="rId6"/>
    <sheet name="Evento 085" sheetId="15" r:id="rId7"/>
    <sheet name="Evento 005" sheetId="6" r:id="rId8"/>
    <sheet name="Evento 078" sheetId="7" r:id="rId9"/>
    <sheet name="Evento 075" sheetId="8" r:id="rId10"/>
    <sheet name="Evento 233" sheetId="9" r:id="rId11"/>
    <sheet name="Evento 144" sheetId="10" r:id="rId12"/>
    <sheet name="Evento 256 232" sheetId="11" r:id="rId13"/>
    <sheet name="Evento 133 315" sheetId="12" r:id="rId14"/>
    <sheet name="Evento 171 314" sheetId="13" r:id="rId15"/>
  </sheets>
  <externalReferences>
    <externalReference r:id="rId16"/>
    <externalReference r:id="rId17"/>
    <externalReference r:id="rId18"/>
  </externalReferences>
  <definedNames>
    <definedName name="_xlnm._FilterDatabase" localSheetId="0" hidden="1">'Base 06-2021'!$A$2:$AH$222</definedName>
    <definedName name="_xlnm._FilterDatabase" localSheetId="3" hidden="1">'Prêmio William'!$A$4:$M$48</definedName>
  </definedNames>
  <calcPr calcId="181029"/>
</workbook>
</file>

<file path=xl/calcChain.xml><?xml version="1.0" encoding="utf-8"?>
<calcChain xmlns="http://schemas.openxmlformats.org/spreadsheetml/2006/main">
  <c r="P81" i="1" l="1"/>
  <c r="P56" i="1"/>
  <c r="P60" i="1"/>
  <c r="P51" i="1"/>
  <c r="P48" i="1"/>
  <c r="P25" i="1"/>
  <c r="P20" i="1"/>
  <c r="P19" i="1"/>
  <c r="P124" i="1"/>
  <c r="F23" i="15"/>
  <c r="D23" i="15"/>
  <c r="F22" i="15"/>
  <c r="D22" i="15" s="1"/>
  <c r="F21" i="15"/>
  <c r="D21" i="15"/>
  <c r="F20" i="15"/>
  <c r="D20" i="15"/>
  <c r="F19" i="15"/>
  <c r="D19" i="15"/>
  <c r="F18" i="15"/>
  <c r="D18" i="15" s="1"/>
  <c r="F17" i="15"/>
  <c r="D17" i="15"/>
  <c r="F16" i="15"/>
  <c r="D16" i="15" s="1"/>
  <c r="F15" i="15"/>
  <c r="D15" i="15" s="1"/>
  <c r="F14" i="15"/>
  <c r="D14" i="15"/>
  <c r="F13" i="15"/>
  <c r="D13" i="15"/>
  <c r="F12" i="15"/>
  <c r="D12" i="15" s="1"/>
  <c r="F11" i="15"/>
  <c r="D11" i="15"/>
  <c r="F10" i="15"/>
  <c r="D10" i="15" s="1"/>
  <c r="F9" i="15"/>
  <c r="D9" i="15"/>
  <c r="F8" i="15"/>
  <c r="D8" i="15"/>
  <c r="F7" i="15"/>
  <c r="D7" i="15"/>
  <c r="F6" i="15"/>
  <c r="D6" i="15" s="1"/>
  <c r="F5" i="15"/>
  <c r="D5" i="15"/>
  <c r="F117" i="13"/>
  <c r="F118" i="13"/>
  <c r="D117" i="13"/>
  <c r="D118" i="13"/>
  <c r="F116" i="13"/>
  <c r="D116" i="13"/>
  <c r="F115" i="13"/>
  <c r="D115" i="13" s="1"/>
  <c r="F114" i="13"/>
  <c r="D114" i="13" s="1"/>
  <c r="F113" i="13"/>
  <c r="D113" i="13"/>
  <c r="F112" i="13"/>
  <c r="D112" i="13" s="1"/>
  <c r="F111" i="13"/>
  <c r="D111" i="13"/>
  <c r="F110" i="13"/>
  <c r="D110" i="13"/>
  <c r="F109" i="13"/>
  <c r="D109" i="13" s="1"/>
  <c r="F108" i="13"/>
  <c r="D108" i="13" s="1"/>
  <c r="F107" i="13"/>
  <c r="D107" i="13"/>
  <c r="F106" i="13"/>
  <c r="D106" i="13" s="1"/>
  <c r="F105" i="13"/>
  <c r="D105" i="13" s="1"/>
  <c r="F104" i="13"/>
  <c r="D104" i="13"/>
  <c r="F103" i="13"/>
  <c r="D103" i="13" s="1"/>
  <c r="F102" i="13"/>
  <c r="D102" i="13" s="1"/>
  <c r="F101" i="13"/>
  <c r="D101" i="13"/>
  <c r="F100" i="13"/>
  <c r="D100" i="13" s="1"/>
  <c r="F99" i="13"/>
  <c r="D99" i="13" s="1"/>
  <c r="F98" i="13"/>
  <c r="D98" i="13"/>
  <c r="F97" i="13"/>
  <c r="D97" i="13"/>
  <c r="F96" i="13"/>
  <c r="D96" i="13" s="1"/>
  <c r="F95" i="13"/>
  <c r="D95" i="13"/>
  <c r="F94" i="13"/>
  <c r="D94" i="13" s="1"/>
  <c r="F93" i="13"/>
  <c r="D93" i="13" s="1"/>
  <c r="F92" i="13"/>
  <c r="D92" i="13"/>
  <c r="F91" i="13"/>
  <c r="D91" i="13" s="1"/>
  <c r="F90" i="13"/>
  <c r="D90" i="13" s="1"/>
  <c r="F89" i="13"/>
  <c r="D89" i="13"/>
  <c r="F88" i="13"/>
  <c r="D88" i="13" s="1"/>
  <c r="F87" i="13"/>
  <c r="D87" i="13" s="1"/>
  <c r="F86" i="13"/>
  <c r="D86" i="13"/>
  <c r="F85" i="13"/>
  <c r="D85" i="13" s="1"/>
  <c r="F84" i="13"/>
  <c r="D84" i="13" s="1"/>
  <c r="F83" i="13"/>
  <c r="D83" i="13"/>
  <c r="F82" i="13"/>
  <c r="D82" i="13" s="1"/>
  <c r="F81" i="13"/>
  <c r="D81" i="13" s="1"/>
  <c r="F80" i="13"/>
  <c r="D80" i="13"/>
  <c r="F79" i="13"/>
  <c r="D79" i="13" s="1"/>
  <c r="F78" i="13"/>
  <c r="D78" i="13" s="1"/>
  <c r="F77" i="13"/>
  <c r="D77" i="13"/>
  <c r="F76" i="13"/>
  <c r="D76" i="13" s="1"/>
  <c r="F75" i="13"/>
  <c r="D75" i="13"/>
  <c r="F74" i="13"/>
  <c r="D74" i="13"/>
  <c r="F73" i="13"/>
  <c r="D73" i="13" s="1"/>
  <c r="F72" i="13"/>
  <c r="D72" i="13" s="1"/>
  <c r="F71" i="13"/>
  <c r="D71" i="13"/>
  <c r="F70" i="13"/>
  <c r="D70" i="13" s="1"/>
  <c r="F69" i="13"/>
  <c r="D69" i="13" s="1"/>
  <c r="F68" i="13"/>
  <c r="D68" i="13"/>
  <c r="F67" i="13"/>
  <c r="D67" i="13" s="1"/>
  <c r="F66" i="13"/>
  <c r="D66" i="13" s="1"/>
  <c r="F65" i="13"/>
  <c r="D65" i="13"/>
  <c r="F64" i="13"/>
  <c r="D64" i="13" s="1"/>
  <c r="F63" i="13"/>
  <c r="D63" i="13" s="1"/>
  <c r="F62" i="13"/>
  <c r="D62" i="13"/>
  <c r="F61" i="13"/>
  <c r="D61" i="13"/>
  <c r="F60" i="13"/>
  <c r="D60" i="13" s="1"/>
  <c r="F59" i="13"/>
  <c r="D59" i="13"/>
  <c r="F58" i="13"/>
  <c r="D58" i="13" s="1"/>
  <c r="F57" i="13"/>
  <c r="D57" i="13" s="1"/>
  <c r="F56" i="13"/>
  <c r="D56" i="13"/>
  <c r="F55" i="13"/>
  <c r="D55" i="13" s="1"/>
  <c r="F54" i="13"/>
  <c r="D54" i="13" s="1"/>
  <c r="F53" i="13"/>
  <c r="D53" i="13"/>
  <c r="F52" i="13"/>
  <c r="D52" i="13" s="1"/>
  <c r="F51" i="13"/>
  <c r="D51" i="13" s="1"/>
  <c r="F50" i="13"/>
  <c r="D50" i="13"/>
  <c r="F49" i="13"/>
  <c r="D49" i="13" s="1"/>
  <c r="F48" i="13"/>
  <c r="D48" i="13" s="1"/>
  <c r="F47" i="13"/>
  <c r="D47" i="13"/>
  <c r="F46" i="13"/>
  <c r="D46" i="13" s="1"/>
  <c r="F45" i="13"/>
  <c r="D45" i="13" s="1"/>
  <c r="F44" i="13"/>
  <c r="D44" i="13"/>
  <c r="F43" i="13"/>
  <c r="D43" i="13" s="1"/>
  <c r="F42" i="13"/>
  <c r="D42" i="13" s="1"/>
  <c r="F41" i="13"/>
  <c r="D41" i="13"/>
  <c r="F40" i="13"/>
  <c r="D40" i="13" s="1"/>
  <c r="F39" i="13"/>
  <c r="D39" i="13"/>
  <c r="F38" i="13"/>
  <c r="D38" i="13"/>
  <c r="F37" i="13"/>
  <c r="D37" i="13" s="1"/>
  <c r="F36" i="13"/>
  <c r="D36" i="13" s="1"/>
  <c r="F35" i="13"/>
  <c r="D35" i="13"/>
  <c r="F34" i="13"/>
  <c r="D34" i="13" s="1"/>
  <c r="F33" i="13"/>
  <c r="D33" i="13" s="1"/>
  <c r="F32" i="13"/>
  <c r="D32" i="13"/>
  <c r="F31" i="13"/>
  <c r="D31" i="13" s="1"/>
  <c r="F30" i="13"/>
  <c r="D30" i="13" s="1"/>
  <c r="F29" i="13"/>
  <c r="D29" i="13"/>
  <c r="F28" i="13"/>
  <c r="D28" i="13" s="1"/>
  <c r="F27" i="13"/>
  <c r="D27" i="13" s="1"/>
  <c r="F26" i="13"/>
  <c r="D26" i="13"/>
  <c r="F25" i="13"/>
  <c r="D25" i="13"/>
  <c r="F24" i="13"/>
  <c r="D24" i="13" s="1"/>
  <c r="F23" i="13"/>
  <c r="D23" i="13"/>
  <c r="F22" i="13"/>
  <c r="D22" i="13" s="1"/>
  <c r="F21" i="13"/>
  <c r="D21" i="13" s="1"/>
  <c r="F20" i="13"/>
  <c r="D20" i="13"/>
  <c r="F19" i="13"/>
  <c r="D19" i="13" s="1"/>
  <c r="F18" i="13"/>
  <c r="D18" i="13" s="1"/>
  <c r="F17" i="13"/>
  <c r="D17" i="13"/>
  <c r="F16" i="13"/>
  <c r="D16" i="13" s="1"/>
  <c r="F15" i="13"/>
  <c r="D15" i="13" s="1"/>
  <c r="F14" i="13"/>
  <c r="D14" i="13"/>
  <c r="F13" i="13"/>
  <c r="D13" i="13" s="1"/>
  <c r="F12" i="13"/>
  <c r="D12" i="13" s="1"/>
  <c r="F11" i="13"/>
  <c r="D11" i="13"/>
  <c r="F10" i="13"/>
  <c r="D10" i="13" s="1"/>
  <c r="F9" i="13"/>
  <c r="D9" i="13" s="1"/>
  <c r="F8" i="13"/>
  <c r="D8" i="13"/>
  <c r="F7" i="13"/>
  <c r="D7" i="13" s="1"/>
  <c r="F6" i="13"/>
  <c r="D6" i="13" s="1"/>
  <c r="F5" i="13"/>
  <c r="D5" i="13"/>
  <c r="F236" i="12"/>
  <c r="D236" i="12" s="1"/>
  <c r="F235" i="12"/>
  <c r="D235" i="12"/>
  <c r="F234" i="12"/>
  <c r="D234" i="12"/>
  <c r="F233" i="12"/>
  <c r="D233" i="12" s="1"/>
  <c r="F232" i="12"/>
  <c r="D232" i="12" s="1"/>
  <c r="F231" i="12"/>
  <c r="D231" i="12"/>
  <c r="F230" i="12"/>
  <c r="D230" i="12" s="1"/>
  <c r="F229" i="12"/>
  <c r="D229" i="12" s="1"/>
  <c r="F228" i="12"/>
  <c r="D228" i="12"/>
  <c r="F227" i="12"/>
  <c r="D227" i="12" s="1"/>
  <c r="F226" i="12"/>
  <c r="D226" i="12" s="1"/>
  <c r="F225" i="12"/>
  <c r="D225" i="12"/>
  <c r="F224" i="12"/>
  <c r="D224" i="12" s="1"/>
  <c r="F223" i="12"/>
  <c r="D223" i="12" s="1"/>
  <c r="F222" i="12"/>
  <c r="D222" i="12"/>
  <c r="F221" i="12"/>
  <c r="D221" i="12"/>
  <c r="F220" i="12"/>
  <c r="D220" i="12" s="1"/>
  <c r="F219" i="12"/>
  <c r="D219" i="12"/>
  <c r="F218" i="12"/>
  <c r="D218" i="12" s="1"/>
  <c r="F217" i="12"/>
  <c r="D217" i="12" s="1"/>
  <c r="F216" i="12"/>
  <c r="D216" i="12"/>
  <c r="F215" i="12"/>
  <c r="D215" i="12" s="1"/>
  <c r="F214" i="12"/>
  <c r="D214" i="12" s="1"/>
  <c r="F213" i="12"/>
  <c r="D213" i="12"/>
  <c r="F212" i="12"/>
  <c r="D212" i="12" s="1"/>
  <c r="F211" i="12"/>
  <c r="D211" i="12" s="1"/>
  <c r="F210" i="12"/>
  <c r="D210" i="12"/>
  <c r="F209" i="12"/>
  <c r="D209" i="12" s="1"/>
  <c r="F208" i="12"/>
  <c r="D208" i="12" s="1"/>
  <c r="F207" i="12"/>
  <c r="D207" i="12"/>
  <c r="F206" i="12"/>
  <c r="D206" i="12" s="1"/>
  <c r="F205" i="12"/>
  <c r="D205" i="12" s="1"/>
  <c r="F204" i="12"/>
  <c r="D204" i="12"/>
  <c r="F203" i="12"/>
  <c r="D203" i="12" s="1"/>
  <c r="F202" i="12"/>
  <c r="D202" i="12" s="1"/>
  <c r="F201" i="12"/>
  <c r="D201" i="12"/>
  <c r="F200" i="12"/>
  <c r="D200" i="12" s="1"/>
  <c r="F199" i="12"/>
  <c r="D199" i="12"/>
  <c r="F198" i="12"/>
  <c r="D198" i="12"/>
  <c r="F197" i="12"/>
  <c r="D197" i="12" s="1"/>
  <c r="F196" i="12"/>
  <c r="D196" i="12" s="1"/>
  <c r="F195" i="12"/>
  <c r="D195" i="12"/>
  <c r="F194" i="12"/>
  <c r="D194" i="12" s="1"/>
  <c r="F193" i="12"/>
  <c r="D193" i="12" s="1"/>
  <c r="F192" i="12"/>
  <c r="D192" i="12"/>
  <c r="F191" i="12"/>
  <c r="D191" i="12" s="1"/>
  <c r="F190" i="12"/>
  <c r="D190" i="12" s="1"/>
  <c r="F189" i="12"/>
  <c r="D189" i="12"/>
  <c r="F188" i="12"/>
  <c r="D188" i="12" s="1"/>
  <c r="F187" i="12"/>
  <c r="D187" i="12" s="1"/>
  <c r="F186" i="12"/>
  <c r="D186" i="12"/>
  <c r="F185" i="12"/>
  <c r="D185" i="12"/>
  <c r="F184" i="12"/>
  <c r="D184" i="12" s="1"/>
  <c r="F183" i="12"/>
  <c r="D183" i="12"/>
  <c r="F182" i="12"/>
  <c r="D182" i="12" s="1"/>
  <c r="F181" i="12"/>
  <c r="D181" i="12" s="1"/>
  <c r="F180" i="12"/>
  <c r="D180" i="12"/>
  <c r="F179" i="12"/>
  <c r="D179" i="12" s="1"/>
  <c r="F178" i="12"/>
  <c r="D178" i="12" s="1"/>
  <c r="F177" i="12"/>
  <c r="D177" i="12"/>
  <c r="F176" i="12"/>
  <c r="D176" i="12" s="1"/>
  <c r="F175" i="12"/>
  <c r="D175" i="12" s="1"/>
  <c r="F174" i="12"/>
  <c r="D174" i="12"/>
  <c r="F173" i="12"/>
  <c r="D173" i="12" s="1"/>
  <c r="F172" i="12"/>
  <c r="D172" i="12" s="1"/>
  <c r="F171" i="12"/>
  <c r="D171" i="12"/>
  <c r="F170" i="12"/>
  <c r="D170" i="12" s="1"/>
  <c r="F169" i="12"/>
  <c r="D169" i="12" s="1"/>
  <c r="F168" i="12"/>
  <c r="D168" i="12"/>
  <c r="F167" i="12"/>
  <c r="D167" i="12" s="1"/>
  <c r="F166" i="12"/>
  <c r="D166" i="12" s="1"/>
  <c r="F165" i="12"/>
  <c r="D165" i="12"/>
  <c r="F164" i="12"/>
  <c r="D164" i="12" s="1"/>
  <c r="F163" i="12"/>
  <c r="D163" i="12"/>
  <c r="F162" i="12"/>
  <c r="D162" i="12"/>
  <c r="F161" i="12"/>
  <c r="D161" i="12" s="1"/>
  <c r="F160" i="12"/>
  <c r="D160" i="12" s="1"/>
  <c r="F159" i="12"/>
  <c r="D159" i="12"/>
  <c r="F158" i="12"/>
  <c r="D158" i="12" s="1"/>
  <c r="F157" i="12"/>
  <c r="D157" i="12" s="1"/>
  <c r="F156" i="12"/>
  <c r="D156" i="12"/>
  <c r="F155" i="12"/>
  <c r="D155" i="12" s="1"/>
  <c r="F154" i="12"/>
  <c r="D154" i="12" s="1"/>
  <c r="F153" i="12"/>
  <c r="D153" i="12"/>
  <c r="F152" i="12"/>
  <c r="D152" i="12" s="1"/>
  <c r="F151" i="12"/>
  <c r="D151" i="12" s="1"/>
  <c r="F150" i="12"/>
  <c r="D150" i="12"/>
  <c r="F149" i="12"/>
  <c r="D149" i="12"/>
  <c r="F148" i="12"/>
  <c r="D148" i="12" s="1"/>
  <c r="F147" i="12"/>
  <c r="D147" i="12"/>
  <c r="F146" i="12"/>
  <c r="D146" i="12" s="1"/>
  <c r="F145" i="12"/>
  <c r="D145" i="12" s="1"/>
  <c r="F144" i="12"/>
  <c r="D144" i="12"/>
  <c r="F143" i="12"/>
  <c r="D143" i="12" s="1"/>
  <c r="F142" i="12"/>
  <c r="D142" i="12" s="1"/>
  <c r="F141" i="12"/>
  <c r="D141" i="12"/>
  <c r="F140" i="12"/>
  <c r="D140" i="12" s="1"/>
  <c r="F139" i="12"/>
  <c r="D139" i="12" s="1"/>
  <c r="F138" i="12"/>
  <c r="D138" i="12"/>
  <c r="F137" i="12"/>
  <c r="D137" i="12" s="1"/>
  <c r="F136" i="12"/>
  <c r="D136" i="12" s="1"/>
  <c r="F135" i="12"/>
  <c r="D135" i="12"/>
  <c r="F134" i="12"/>
  <c r="D134" i="12" s="1"/>
  <c r="F133" i="12"/>
  <c r="D133" i="12" s="1"/>
  <c r="F132" i="12"/>
  <c r="D132" i="12"/>
  <c r="F131" i="12"/>
  <c r="D131" i="12" s="1"/>
  <c r="F130" i="12"/>
  <c r="D130" i="12" s="1"/>
  <c r="F129" i="12"/>
  <c r="D129" i="12"/>
  <c r="F128" i="12"/>
  <c r="D128" i="12" s="1"/>
  <c r="F127" i="12"/>
  <c r="D127" i="12"/>
  <c r="F126" i="12"/>
  <c r="D126" i="12"/>
  <c r="F125" i="12"/>
  <c r="D125" i="12" s="1"/>
  <c r="F124" i="12"/>
  <c r="D124" i="12" s="1"/>
  <c r="F123" i="12"/>
  <c r="D123" i="12"/>
  <c r="F122" i="12"/>
  <c r="D122" i="12" s="1"/>
  <c r="F121" i="12"/>
  <c r="D121" i="12" s="1"/>
  <c r="F120" i="12"/>
  <c r="D120" i="12"/>
  <c r="F119" i="12"/>
  <c r="D119" i="12" s="1"/>
  <c r="F118" i="12"/>
  <c r="D118" i="12" s="1"/>
  <c r="F117" i="12"/>
  <c r="D117" i="12"/>
  <c r="F116" i="12"/>
  <c r="D116" i="12" s="1"/>
  <c r="F115" i="12"/>
  <c r="D115" i="12" s="1"/>
  <c r="F114" i="12"/>
  <c r="D114" i="12"/>
  <c r="F113" i="12"/>
  <c r="D113" i="12"/>
  <c r="F112" i="12"/>
  <c r="D112" i="12" s="1"/>
  <c r="F111" i="12"/>
  <c r="D111" i="12"/>
  <c r="F110" i="12"/>
  <c r="D110" i="12" s="1"/>
  <c r="F109" i="12"/>
  <c r="D109" i="12" s="1"/>
  <c r="F108" i="12"/>
  <c r="D108" i="12"/>
  <c r="F107" i="12"/>
  <c r="D107" i="12" s="1"/>
  <c r="F106" i="12"/>
  <c r="D106" i="12" s="1"/>
  <c r="F105" i="12"/>
  <c r="D105" i="12"/>
  <c r="F104" i="12"/>
  <c r="D104" i="12" s="1"/>
  <c r="F103" i="12"/>
  <c r="D103" i="12" s="1"/>
  <c r="F102" i="12"/>
  <c r="D102" i="12"/>
  <c r="F101" i="12"/>
  <c r="D101" i="12" s="1"/>
  <c r="F100" i="12"/>
  <c r="D100" i="12" s="1"/>
  <c r="F99" i="12"/>
  <c r="D99" i="12"/>
  <c r="F98" i="12"/>
  <c r="D98" i="12" s="1"/>
  <c r="F97" i="12"/>
  <c r="D97" i="12" s="1"/>
  <c r="F96" i="12"/>
  <c r="D96" i="12"/>
  <c r="F95" i="12"/>
  <c r="D95" i="12" s="1"/>
  <c r="F94" i="12"/>
  <c r="D94" i="12" s="1"/>
  <c r="F93" i="12"/>
  <c r="D93" i="12"/>
  <c r="F92" i="12"/>
  <c r="D92" i="12" s="1"/>
  <c r="F91" i="12"/>
  <c r="D91" i="12"/>
  <c r="F90" i="12"/>
  <c r="D90" i="12"/>
  <c r="F89" i="12"/>
  <c r="D89" i="12" s="1"/>
  <c r="F88" i="12"/>
  <c r="D88" i="12" s="1"/>
  <c r="F87" i="12"/>
  <c r="D87" i="12"/>
  <c r="F86" i="12"/>
  <c r="D86" i="12" s="1"/>
  <c r="F85" i="12"/>
  <c r="D85" i="12" s="1"/>
  <c r="F84" i="12"/>
  <c r="D84" i="12"/>
  <c r="F83" i="12"/>
  <c r="D83" i="12" s="1"/>
  <c r="F82" i="12"/>
  <c r="D82" i="12" s="1"/>
  <c r="F81" i="12"/>
  <c r="D81" i="12"/>
  <c r="F80" i="12"/>
  <c r="D80" i="12" s="1"/>
  <c r="F79" i="12"/>
  <c r="D79" i="12" s="1"/>
  <c r="F78" i="12"/>
  <c r="D78" i="12"/>
  <c r="F77" i="12"/>
  <c r="D77" i="12"/>
  <c r="F76" i="12"/>
  <c r="D76" i="12" s="1"/>
  <c r="F75" i="12"/>
  <c r="D75" i="12"/>
  <c r="F74" i="12"/>
  <c r="D74" i="12" s="1"/>
  <c r="F73" i="12"/>
  <c r="D73" i="12" s="1"/>
  <c r="F72" i="12"/>
  <c r="D72" i="12"/>
  <c r="F71" i="12"/>
  <c r="D71" i="12" s="1"/>
  <c r="F70" i="12"/>
  <c r="D70" i="12" s="1"/>
  <c r="F69" i="12"/>
  <c r="D69" i="12"/>
  <c r="F68" i="12"/>
  <c r="D68" i="12" s="1"/>
  <c r="F67" i="12"/>
  <c r="D67" i="12" s="1"/>
  <c r="F66" i="12"/>
  <c r="D66" i="12"/>
  <c r="F65" i="12"/>
  <c r="D65" i="12" s="1"/>
  <c r="F64" i="12"/>
  <c r="D64" i="12" s="1"/>
  <c r="F63" i="12"/>
  <c r="D63" i="12"/>
  <c r="F62" i="12"/>
  <c r="D62" i="12" s="1"/>
  <c r="F61" i="12"/>
  <c r="D61" i="12" s="1"/>
  <c r="F60" i="12"/>
  <c r="D60" i="12"/>
  <c r="F59" i="12"/>
  <c r="D59" i="12" s="1"/>
  <c r="F58" i="12"/>
  <c r="D58" i="12" s="1"/>
  <c r="F57" i="12"/>
  <c r="D57" i="12"/>
  <c r="F56" i="12"/>
  <c r="D56" i="12" s="1"/>
  <c r="F55" i="12"/>
  <c r="D55" i="12"/>
  <c r="F54" i="12"/>
  <c r="D54" i="12"/>
  <c r="F53" i="12"/>
  <c r="D53" i="12" s="1"/>
  <c r="F52" i="12"/>
  <c r="D52" i="12" s="1"/>
  <c r="F51" i="12"/>
  <c r="D51" i="12"/>
  <c r="F50" i="12"/>
  <c r="D50" i="12" s="1"/>
  <c r="F49" i="12"/>
  <c r="D49" i="12" s="1"/>
  <c r="F48" i="12"/>
  <c r="D48" i="12"/>
  <c r="F47" i="12"/>
  <c r="D47" i="12" s="1"/>
  <c r="F46" i="12"/>
  <c r="D46" i="12" s="1"/>
  <c r="F45" i="12"/>
  <c r="D45" i="12"/>
  <c r="F44" i="12"/>
  <c r="D44" i="12" s="1"/>
  <c r="F43" i="12"/>
  <c r="D43" i="12" s="1"/>
  <c r="F42" i="12"/>
  <c r="D42" i="12"/>
  <c r="F41" i="12"/>
  <c r="D41" i="12"/>
  <c r="F40" i="12"/>
  <c r="D40" i="12" s="1"/>
  <c r="F39" i="12"/>
  <c r="D39" i="12"/>
  <c r="F38" i="12"/>
  <c r="D38" i="12" s="1"/>
  <c r="F37" i="12"/>
  <c r="D37" i="12" s="1"/>
  <c r="F36" i="12"/>
  <c r="D36" i="12"/>
  <c r="F35" i="12"/>
  <c r="D35" i="12" s="1"/>
  <c r="F34" i="12"/>
  <c r="D34" i="12" s="1"/>
  <c r="F33" i="12"/>
  <c r="D33" i="12"/>
  <c r="F32" i="12"/>
  <c r="D32" i="12" s="1"/>
  <c r="F31" i="12"/>
  <c r="D31" i="12" s="1"/>
  <c r="F30" i="12"/>
  <c r="D30" i="12"/>
  <c r="F29" i="12"/>
  <c r="D29" i="12" s="1"/>
  <c r="F28" i="12"/>
  <c r="D28" i="12" s="1"/>
  <c r="F27" i="12"/>
  <c r="D27" i="12"/>
  <c r="F26" i="12"/>
  <c r="D26" i="12" s="1"/>
  <c r="F25" i="12"/>
  <c r="D25" i="12" s="1"/>
  <c r="F24" i="12"/>
  <c r="D24" i="12"/>
  <c r="F23" i="12"/>
  <c r="D23" i="12" s="1"/>
  <c r="F22" i="12"/>
  <c r="D22" i="12" s="1"/>
  <c r="F21" i="12"/>
  <c r="D21" i="12"/>
  <c r="F20" i="12"/>
  <c r="D20" i="12" s="1"/>
  <c r="F19" i="12"/>
  <c r="D19" i="12"/>
  <c r="F18" i="12"/>
  <c r="D18" i="12"/>
  <c r="F17" i="12"/>
  <c r="D17" i="12" s="1"/>
  <c r="F16" i="12"/>
  <c r="D16" i="12" s="1"/>
  <c r="F15" i="12"/>
  <c r="D15" i="12"/>
  <c r="F14" i="12"/>
  <c r="D14" i="12" s="1"/>
  <c r="F13" i="12"/>
  <c r="D13" i="12" s="1"/>
  <c r="F12" i="12"/>
  <c r="D12" i="12"/>
  <c r="F11" i="12"/>
  <c r="D11" i="12" s="1"/>
  <c r="F10" i="12"/>
  <c r="D10" i="12" s="1"/>
  <c r="F9" i="12"/>
  <c r="D9" i="12"/>
  <c r="F8" i="12"/>
  <c r="D8" i="12" s="1"/>
  <c r="F7" i="12"/>
  <c r="D7" i="12" s="1"/>
  <c r="F6" i="12"/>
  <c r="D6" i="12"/>
  <c r="F5" i="12"/>
  <c r="D5" i="12"/>
  <c r="F84" i="11"/>
  <c r="D84" i="11" s="1"/>
  <c r="F83" i="11"/>
  <c r="D83" i="11"/>
  <c r="F82" i="11"/>
  <c r="D82" i="11" s="1"/>
  <c r="F81" i="11"/>
  <c r="D81" i="11" s="1"/>
  <c r="F80" i="11"/>
  <c r="D80" i="11"/>
  <c r="F79" i="11"/>
  <c r="D79" i="11" s="1"/>
  <c r="F78" i="11"/>
  <c r="D78" i="11" s="1"/>
  <c r="F77" i="11"/>
  <c r="D77" i="11"/>
  <c r="F76" i="11"/>
  <c r="D76" i="11" s="1"/>
  <c r="F75" i="11"/>
  <c r="D75" i="11"/>
  <c r="F74" i="11"/>
  <c r="D74" i="11"/>
  <c r="F73" i="11"/>
  <c r="D73" i="11" s="1"/>
  <c r="F72" i="11"/>
  <c r="D72" i="11" s="1"/>
  <c r="F71" i="11"/>
  <c r="D71" i="11"/>
  <c r="F70" i="11"/>
  <c r="D70" i="11" s="1"/>
  <c r="F69" i="11"/>
  <c r="D69" i="11" s="1"/>
  <c r="F68" i="11"/>
  <c r="D68" i="11"/>
  <c r="F67" i="11"/>
  <c r="D67" i="11" s="1"/>
  <c r="F66" i="11"/>
  <c r="D66" i="11" s="1"/>
  <c r="F65" i="11"/>
  <c r="D65" i="11"/>
  <c r="F64" i="11"/>
  <c r="D64" i="11" s="1"/>
  <c r="F63" i="11"/>
  <c r="D63" i="11"/>
  <c r="F62" i="11"/>
  <c r="D62" i="11"/>
  <c r="F61" i="11"/>
  <c r="D61" i="11" s="1"/>
  <c r="F60" i="11"/>
  <c r="D60" i="11" s="1"/>
  <c r="F59" i="11"/>
  <c r="D59" i="11"/>
  <c r="F58" i="11"/>
  <c r="D58" i="11" s="1"/>
  <c r="F57" i="11"/>
  <c r="D57" i="11" s="1"/>
  <c r="F56" i="11"/>
  <c r="D56" i="11"/>
  <c r="F55" i="11"/>
  <c r="D55" i="11" s="1"/>
  <c r="F54" i="11"/>
  <c r="D54" i="11" s="1"/>
  <c r="F53" i="11"/>
  <c r="D53" i="11"/>
  <c r="F52" i="11"/>
  <c r="D52" i="11" s="1"/>
  <c r="F51" i="11"/>
  <c r="D51" i="11" s="1"/>
  <c r="F50" i="11"/>
  <c r="D50" i="11"/>
  <c r="F49" i="11"/>
  <c r="D49" i="11"/>
  <c r="F48" i="11"/>
  <c r="D48" i="11" s="1"/>
  <c r="F47" i="11"/>
  <c r="D47" i="11"/>
  <c r="F46" i="11"/>
  <c r="D46" i="11" s="1"/>
  <c r="F45" i="11"/>
  <c r="D45" i="11" s="1"/>
  <c r="F44" i="11"/>
  <c r="D44" i="11"/>
  <c r="F43" i="11"/>
  <c r="D43" i="11" s="1"/>
  <c r="F42" i="11"/>
  <c r="D42" i="11" s="1"/>
  <c r="F41" i="11"/>
  <c r="D41" i="11"/>
  <c r="F40" i="11"/>
  <c r="D40" i="11" s="1"/>
  <c r="F39" i="11"/>
  <c r="D39" i="11" s="1"/>
  <c r="F38" i="11"/>
  <c r="D38" i="11"/>
  <c r="F37" i="11"/>
  <c r="D37" i="11" s="1"/>
  <c r="F36" i="11"/>
  <c r="D36" i="11" s="1"/>
  <c r="F35" i="11"/>
  <c r="D35" i="11"/>
  <c r="F34" i="11"/>
  <c r="D34" i="11" s="1"/>
  <c r="F33" i="11"/>
  <c r="D33" i="11" s="1"/>
  <c r="F32" i="11"/>
  <c r="D32" i="11"/>
  <c r="F31" i="11"/>
  <c r="D31" i="11" s="1"/>
  <c r="F30" i="11"/>
  <c r="D30" i="11" s="1"/>
  <c r="F29" i="11"/>
  <c r="D29" i="11"/>
  <c r="F28" i="11"/>
  <c r="D28" i="11" s="1"/>
  <c r="F27" i="11"/>
  <c r="D27" i="11"/>
  <c r="F26" i="11"/>
  <c r="D26" i="11"/>
  <c r="F25" i="11"/>
  <c r="D25" i="11" s="1"/>
  <c r="F24" i="11"/>
  <c r="D24" i="11" s="1"/>
  <c r="F23" i="11"/>
  <c r="D23" i="11"/>
  <c r="F22" i="11"/>
  <c r="D22" i="11" s="1"/>
  <c r="F21" i="11"/>
  <c r="D21" i="11" s="1"/>
  <c r="F20" i="11"/>
  <c r="D20" i="11"/>
  <c r="F19" i="11"/>
  <c r="D19" i="11" s="1"/>
  <c r="F18" i="11"/>
  <c r="D18" i="11" s="1"/>
  <c r="F17" i="11"/>
  <c r="D17" i="11"/>
  <c r="F16" i="11"/>
  <c r="D16" i="11" s="1"/>
  <c r="F15" i="11"/>
  <c r="D15" i="11" s="1"/>
  <c r="F14" i="11"/>
  <c r="D14" i="11"/>
  <c r="F13" i="11"/>
  <c r="D13" i="11"/>
  <c r="F12" i="11"/>
  <c r="D12" i="11" s="1"/>
  <c r="F11" i="11"/>
  <c r="D11" i="11"/>
  <c r="F10" i="11"/>
  <c r="D10" i="11" s="1"/>
  <c r="F9" i="11"/>
  <c r="D9" i="11" s="1"/>
  <c r="F8" i="11"/>
  <c r="D8" i="11"/>
  <c r="F7" i="11"/>
  <c r="D7" i="11" s="1"/>
  <c r="F6" i="11"/>
  <c r="D6" i="11" s="1"/>
  <c r="F5" i="11"/>
  <c r="D5" i="11"/>
  <c r="F221" i="10"/>
  <c r="D221" i="10" s="1"/>
  <c r="F222" i="10"/>
  <c r="F223" i="10"/>
  <c r="D223" i="10" s="1"/>
  <c r="F224" i="10"/>
  <c r="D224" i="10" s="1"/>
  <c r="D222" i="10"/>
  <c r="F220" i="10"/>
  <c r="D220" i="10" s="1"/>
  <c r="F219" i="10"/>
  <c r="D219" i="10"/>
  <c r="F218" i="10"/>
  <c r="D218" i="10" s="1"/>
  <c r="F217" i="10"/>
  <c r="D217" i="10" s="1"/>
  <c r="F216" i="10"/>
  <c r="D216" i="10"/>
  <c r="F215" i="10"/>
  <c r="D215" i="10" s="1"/>
  <c r="F214" i="10"/>
  <c r="D214" i="10" s="1"/>
  <c r="F213" i="10"/>
  <c r="D213" i="10"/>
  <c r="F212" i="10"/>
  <c r="D212" i="10" s="1"/>
  <c r="F211" i="10"/>
  <c r="D211" i="10"/>
  <c r="F210" i="10"/>
  <c r="D210" i="10"/>
  <c r="F209" i="10"/>
  <c r="D209" i="10" s="1"/>
  <c r="F208" i="10"/>
  <c r="D208" i="10" s="1"/>
  <c r="F207" i="10"/>
  <c r="D207" i="10"/>
  <c r="F206" i="10"/>
  <c r="D206" i="10" s="1"/>
  <c r="F205" i="10"/>
  <c r="D205" i="10" s="1"/>
  <c r="F204" i="10"/>
  <c r="D204" i="10"/>
  <c r="F203" i="10"/>
  <c r="D203" i="10" s="1"/>
  <c r="F202" i="10"/>
  <c r="D202" i="10" s="1"/>
  <c r="F201" i="10"/>
  <c r="D201" i="10"/>
  <c r="F200" i="10"/>
  <c r="D200" i="10" s="1"/>
  <c r="F199" i="10"/>
  <c r="D199" i="10" s="1"/>
  <c r="F198" i="10"/>
  <c r="D198" i="10"/>
  <c r="F197" i="10"/>
  <c r="D197" i="10"/>
  <c r="F196" i="10"/>
  <c r="D196" i="10" s="1"/>
  <c r="F195" i="10"/>
  <c r="D195" i="10"/>
  <c r="F194" i="10"/>
  <c r="D194" i="10" s="1"/>
  <c r="F193" i="10"/>
  <c r="D193" i="10" s="1"/>
  <c r="F192" i="10"/>
  <c r="D192" i="10"/>
  <c r="F191" i="10"/>
  <c r="D191" i="10" s="1"/>
  <c r="F190" i="10"/>
  <c r="D190" i="10" s="1"/>
  <c r="F189" i="10"/>
  <c r="D189" i="10"/>
  <c r="F188" i="10"/>
  <c r="D188" i="10" s="1"/>
  <c r="F187" i="10"/>
  <c r="D187" i="10" s="1"/>
  <c r="F186" i="10"/>
  <c r="D186" i="10"/>
  <c r="F185" i="10"/>
  <c r="D185" i="10" s="1"/>
  <c r="F184" i="10"/>
  <c r="D184" i="10" s="1"/>
  <c r="F183" i="10"/>
  <c r="D183" i="10"/>
  <c r="F182" i="10"/>
  <c r="D182" i="10" s="1"/>
  <c r="F181" i="10"/>
  <c r="D181" i="10" s="1"/>
  <c r="F180" i="10"/>
  <c r="D180" i="10"/>
  <c r="F179" i="10"/>
  <c r="D179" i="10" s="1"/>
  <c r="F178" i="10"/>
  <c r="D178" i="10" s="1"/>
  <c r="F177" i="10"/>
  <c r="D177" i="10"/>
  <c r="F176" i="10"/>
  <c r="D176" i="10" s="1"/>
  <c r="F175" i="10"/>
  <c r="D175" i="10"/>
  <c r="F174" i="10"/>
  <c r="D174" i="10"/>
  <c r="F173" i="10"/>
  <c r="D173" i="10" s="1"/>
  <c r="F172" i="10"/>
  <c r="D172" i="10" s="1"/>
  <c r="F171" i="10"/>
  <c r="D171" i="10"/>
  <c r="F170" i="10"/>
  <c r="D170" i="10" s="1"/>
  <c r="F169" i="10"/>
  <c r="D169" i="10" s="1"/>
  <c r="F168" i="10"/>
  <c r="D168" i="10"/>
  <c r="F167" i="10"/>
  <c r="D167" i="10" s="1"/>
  <c r="F166" i="10"/>
  <c r="D166" i="10" s="1"/>
  <c r="F165" i="10"/>
  <c r="D165" i="10"/>
  <c r="F164" i="10"/>
  <c r="D164" i="10" s="1"/>
  <c r="F163" i="10"/>
  <c r="D163" i="10" s="1"/>
  <c r="F162" i="10"/>
  <c r="D162" i="10"/>
  <c r="F161" i="10"/>
  <c r="D161" i="10"/>
  <c r="F160" i="10"/>
  <c r="D160" i="10" s="1"/>
  <c r="F159" i="10"/>
  <c r="D159" i="10"/>
  <c r="F158" i="10"/>
  <c r="D158" i="10" s="1"/>
  <c r="F157" i="10"/>
  <c r="D157" i="10" s="1"/>
  <c r="F156" i="10"/>
  <c r="D156" i="10"/>
  <c r="F155" i="10"/>
  <c r="D155" i="10" s="1"/>
  <c r="F154" i="10"/>
  <c r="D154" i="10"/>
  <c r="F153" i="10"/>
  <c r="D153" i="10" s="1"/>
  <c r="F152" i="10"/>
  <c r="D152" i="10"/>
  <c r="F151" i="10"/>
  <c r="D151" i="10" s="1"/>
  <c r="F150" i="10"/>
  <c r="D150" i="10" s="1"/>
  <c r="F149" i="10"/>
  <c r="D149" i="10" s="1"/>
  <c r="F148" i="10"/>
  <c r="D148" i="10"/>
  <c r="F147" i="10"/>
  <c r="D147" i="10" s="1"/>
  <c r="F146" i="10"/>
  <c r="D146" i="10"/>
  <c r="F145" i="10"/>
  <c r="D145" i="10" s="1"/>
  <c r="F144" i="10"/>
  <c r="D144" i="10" s="1"/>
  <c r="F143" i="10"/>
  <c r="D143" i="10" s="1"/>
  <c r="F142" i="10"/>
  <c r="D142" i="10"/>
  <c r="F141" i="10"/>
  <c r="D141" i="10" s="1"/>
  <c r="F140" i="10"/>
  <c r="D140" i="10"/>
  <c r="F139" i="10"/>
  <c r="D139" i="10" s="1"/>
  <c r="F138" i="10"/>
  <c r="D138" i="10" s="1"/>
  <c r="F137" i="10"/>
  <c r="D137" i="10" s="1"/>
  <c r="F136" i="10"/>
  <c r="D136" i="10"/>
  <c r="F135" i="10"/>
  <c r="D135" i="10" s="1"/>
  <c r="F134" i="10"/>
  <c r="D134" i="10"/>
  <c r="F133" i="10"/>
  <c r="D133" i="10" s="1"/>
  <c r="F132" i="10"/>
  <c r="D132" i="10" s="1"/>
  <c r="F131" i="10"/>
  <c r="D131" i="10" s="1"/>
  <c r="F130" i="10"/>
  <c r="D130" i="10"/>
  <c r="F129" i="10"/>
  <c r="D129" i="10" s="1"/>
  <c r="F128" i="10"/>
  <c r="D128" i="10"/>
  <c r="F127" i="10"/>
  <c r="D127" i="10" s="1"/>
  <c r="F126" i="10"/>
  <c r="D126" i="10" s="1"/>
  <c r="F125" i="10"/>
  <c r="D125" i="10" s="1"/>
  <c r="F124" i="10"/>
  <c r="D124" i="10"/>
  <c r="F123" i="10"/>
  <c r="D123" i="10" s="1"/>
  <c r="F122" i="10"/>
  <c r="D122" i="10"/>
  <c r="F121" i="10"/>
  <c r="D121" i="10" s="1"/>
  <c r="F120" i="10"/>
  <c r="D120" i="10" s="1"/>
  <c r="F119" i="10"/>
  <c r="D119" i="10" s="1"/>
  <c r="F118" i="10"/>
  <c r="D118" i="10"/>
  <c r="F117" i="10"/>
  <c r="D117" i="10" s="1"/>
  <c r="F116" i="10"/>
  <c r="D116" i="10"/>
  <c r="F115" i="10"/>
  <c r="D115" i="10" s="1"/>
  <c r="F114" i="10"/>
  <c r="D114" i="10" s="1"/>
  <c r="F113" i="10"/>
  <c r="D113" i="10" s="1"/>
  <c r="F112" i="10"/>
  <c r="D112" i="10"/>
  <c r="F111" i="10"/>
  <c r="D111" i="10" s="1"/>
  <c r="F110" i="10"/>
  <c r="D110" i="10"/>
  <c r="F109" i="10"/>
  <c r="D109" i="10" s="1"/>
  <c r="F108" i="10"/>
  <c r="D108" i="10" s="1"/>
  <c r="F107" i="10"/>
  <c r="D107" i="10" s="1"/>
  <c r="F106" i="10"/>
  <c r="D106" i="10"/>
  <c r="F105" i="10"/>
  <c r="D105" i="10" s="1"/>
  <c r="F104" i="10"/>
  <c r="D104" i="10"/>
  <c r="F103" i="10"/>
  <c r="D103" i="10" s="1"/>
  <c r="F102" i="10"/>
  <c r="D102" i="10" s="1"/>
  <c r="F101" i="10"/>
  <c r="D101" i="10" s="1"/>
  <c r="F100" i="10"/>
  <c r="D100" i="10"/>
  <c r="F99" i="10"/>
  <c r="D99" i="10" s="1"/>
  <c r="F98" i="10"/>
  <c r="D98" i="10"/>
  <c r="F97" i="10"/>
  <c r="D97" i="10" s="1"/>
  <c r="F96" i="10"/>
  <c r="D96" i="10" s="1"/>
  <c r="F95" i="10"/>
  <c r="D95" i="10" s="1"/>
  <c r="F94" i="10"/>
  <c r="D94" i="10"/>
  <c r="F93" i="10"/>
  <c r="D93" i="10" s="1"/>
  <c r="F92" i="10"/>
  <c r="D92" i="10"/>
  <c r="F91" i="10"/>
  <c r="D91" i="10" s="1"/>
  <c r="F90" i="10"/>
  <c r="D90" i="10" s="1"/>
  <c r="F89" i="10"/>
  <c r="D89" i="10" s="1"/>
  <c r="F88" i="10"/>
  <c r="D88" i="10"/>
  <c r="F87" i="10"/>
  <c r="D87" i="10" s="1"/>
  <c r="F86" i="10"/>
  <c r="D86" i="10"/>
  <c r="F85" i="10"/>
  <c r="D85" i="10" s="1"/>
  <c r="F84" i="10"/>
  <c r="D84" i="10" s="1"/>
  <c r="F83" i="10"/>
  <c r="D83" i="10" s="1"/>
  <c r="F82" i="10"/>
  <c r="D82" i="10"/>
  <c r="F81" i="10"/>
  <c r="D81" i="10" s="1"/>
  <c r="F80" i="10"/>
  <c r="D80" i="10"/>
  <c r="F79" i="10"/>
  <c r="D79" i="10" s="1"/>
  <c r="F78" i="10"/>
  <c r="D78" i="10" s="1"/>
  <c r="F77" i="10"/>
  <c r="D77" i="10" s="1"/>
  <c r="F76" i="10"/>
  <c r="D76" i="10"/>
  <c r="F75" i="10"/>
  <c r="D75" i="10" s="1"/>
  <c r="F74" i="10"/>
  <c r="D74" i="10"/>
  <c r="F73" i="10"/>
  <c r="D73" i="10" s="1"/>
  <c r="F72" i="10"/>
  <c r="D72" i="10" s="1"/>
  <c r="F71" i="10"/>
  <c r="D71" i="10" s="1"/>
  <c r="F70" i="10"/>
  <c r="D70" i="10"/>
  <c r="F69" i="10"/>
  <c r="D69" i="10" s="1"/>
  <c r="F68" i="10"/>
  <c r="D68" i="10"/>
  <c r="F67" i="10"/>
  <c r="D67" i="10" s="1"/>
  <c r="F66" i="10"/>
  <c r="D66" i="10" s="1"/>
  <c r="F65" i="10"/>
  <c r="D65" i="10" s="1"/>
  <c r="F64" i="10"/>
  <c r="D64" i="10"/>
  <c r="F63" i="10"/>
  <c r="D63" i="10" s="1"/>
  <c r="F62" i="10"/>
  <c r="D62" i="10"/>
  <c r="F61" i="10"/>
  <c r="D61" i="10" s="1"/>
  <c r="F60" i="10"/>
  <c r="D60" i="10" s="1"/>
  <c r="F59" i="10"/>
  <c r="D59" i="10" s="1"/>
  <c r="F58" i="10"/>
  <c r="D58" i="10"/>
  <c r="F57" i="10"/>
  <c r="D57" i="10" s="1"/>
  <c r="F56" i="10"/>
  <c r="D56" i="10"/>
  <c r="F55" i="10"/>
  <c r="D55" i="10" s="1"/>
  <c r="F54" i="10"/>
  <c r="D54" i="10" s="1"/>
  <c r="F53" i="10"/>
  <c r="D53" i="10" s="1"/>
  <c r="F52" i="10"/>
  <c r="D52" i="10"/>
  <c r="F51" i="10"/>
  <c r="D51" i="10" s="1"/>
  <c r="F50" i="10"/>
  <c r="D50" i="10"/>
  <c r="F49" i="10"/>
  <c r="D49" i="10" s="1"/>
  <c r="F48" i="10"/>
  <c r="D48" i="10" s="1"/>
  <c r="F47" i="10"/>
  <c r="D47" i="10" s="1"/>
  <c r="F46" i="10"/>
  <c r="D46" i="10"/>
  <c r="F45" i="10"/>
  <c r="D45" i="10" s="1"/>
  <c r="F44" i="10"/>
  <c r="D44" i="10"/>
  <c r="F43" i="10"/>
  <c r="D43" i="10" s="1"/>
  <c r="F42" i="10"/>
  <c r="D42" i="10" s="1"/>
  <c r="F41" i="10"/>
  <c r="D41" i="10" s="1"/>
  <c r="F40" i="10"/>
  <c r="D40" i="10"/>
  <c r="F39" i="10"/>
  <c r="D39" i="10" s="1"/>
  <c r="F38" i="10"/>
  <c r="D38" i="10"/>
  <c r="F37" i="10"/>
  <c r="D37" i="10" s="1"/>
  <c r="F36" i="10"/>
  <c r="D36" i="10" s="1"/>
  <c r="F35" i="10"/>
  <c r="D35" i="10" s="1"/>
  <c r="F34" i="10"/>
  <c r="D34" i="10"/>
  <c r="F33" i="10"/>
  <c r="D33" i="10" s="1"/>
  <c r="F32" i="10"/>
  <c r="D32" i="10"/>
  <c r="F31" i="10"/>
  <c r="D31" i="10" s="1"/>
  <c r="F30" i="10"/>
  <c r="D30" i="10" s="1"/>
  <c r="F29" i="10"/>
  <c r="D29" i="10" s="1"/>
  <c r="F28" i="10"/>
  <c r="D28" i="10"/>
  <c r="F27" i="10"/>
  <c r="D27" i="10" s="1"/>
  <c r="F26" i="10"/>
  <c r="D26" i="10"/>
  <c r="F25" i="10"/>
  <c r="D25" i="10" s="1"/>
  <c r="F24" i="10"/>
  <c r="D24" i="10" s="1"/>
  <c r="F23" i="10"/>
  <c r="D23" i="10" s="1"/>
  <c r="F22" i="10"/>
  <c r="D22" i="10"/>
  <c r="F21" i="10"/>
  <c r="D21" i="10" s="1"/>
  <c r="F20" i="10"/>
  <c r="D20" i="10"/>
  <c r="F19" i="10"/>
  <c r="D19" i="10" s="1"/>
  <c r="F18" i="10"/>
  <c r="D18" i="10" s="1"/>
  <c r="F17" i="10"/>
  <c r="D17" i="10" s="1"/>
  <c r="F16" i="10"/>
  <c r="D16" i="10"/>
  <c r="F15" i="10"/>
  <c r="D15" i="10" s="1"/>
  <c r="F14" i="10"/>
  <c r="D14" i="10"/>
  <c r="F13" i="10"/>
  <c r="D13" i="10" s="1"/>
  <c r="F12" i="10"/>
  <c r="D12" i="10" s="1"/>
  <c r="F11" i="10"/>
  <c r="D11" i="10" s="1"/>
  <c r="F10" i="10"/>
  <c r="D10" i="10"/>
  <c r="F9" i="10"/>
  <c r="D9" i="10" s="1"/>
  <c r="F8" i="10"/>
  <c r="D8" i="10"/>
  <c r="F7" i="10"/>
  <c r="D7" i="10" s="1"/>
  <c r="F6" i="10"/>
  <c r="D6" i="10" s="1"/>
  <c r="F5" i="10"/>
  <c r="D5" i="10" s="1"/>
  <c r="F52" i="9"/>
  <c r="D52" i="9"/>
  <c r="F51" i="9"/>
  <c r="D51" i="9" s="1"/>
  <c r="F50" i="9"/>
  <c r="D50" i="9"/>
  <c r="F49" i="9"/>
  <c r="D49" i="9" s="1"/>
  <c r="F48" i="9"/>
  <c r="D48" i="9" s="1"/>
  <c r="F47" i="9"/>
  <c r="D47" i="9" s="1"/>
  <c r="F46" i="9"/>
  <c r="D46" i="9"/>
  <c r="F45" i="9"/>
  <c r="D45" i="9" s="1"/>
  <c r="F44" i="9"/>
  <c r="D44" i="9"/>
  <c r="F43" i="9"/>
  <c r="D43" i="9" s="1"/>
  <c r="F42" i="9"/>
  <c r="D42" i="9" s="1"/>
  <c r="F41" i="9"/>
  <c r="D41" i="9" s="1"/>
  <c r="F40" i="9"/>
  <c r="D40" i="9"/>
  <c r="F39" i="9"/>
  <c r="D39" i="9" s="1"/>
  <c r="F38" i="9"/>
  <c r="D38" i="9"/>
  <c r="F37" i="9"/>
  <c r="D37" i="9" s="1"/>
  <c r="F36" i="9"/>
  <c r="D36" i="9" s="1"/>
  <c r="F35" i="9"/>
  <c r="D35" i="9" s="1"/>
  <c r="F34" i="9"/>
  <c r="D34" i="9"/>
  <c r="F33" i="9"/>
  <c r="D33" i="9" s="1"/>
  <c r="F32" i="9"/>
  <c r="D32" i="9"/>
  <c r="F31" i="9"/>
  <c r="D31" i="9" s="1"/>
  <c r="F30" i="9"/>
  <c r="D30" i="9" s="1"/>
  <c r="F29" i="9"/>
  <c r="D29" i="9" s="1"/>
  <c r="F28" i="9"/>
  <c r="D28" i="9"/>
  <c r="F27" i="9"/>
  <c r="D27" i="9" s="1"/>
  <c r="F26" i="9"/>
  <c r="D26" i="9"/>
  <c r="F25" i="9"/>
  <c r="D25" i="9" s="1"/>
  <c r="F24" i="9"/>
  <c r="D24" i="9" s="1"/>
  <c r="F23" i="9"/>
  <c r="D23" i="9" s="1"/>
  <c r="F22" i="9"/>
  <c r="D22" i="9"/>
  <c r="F21" i="9"/>
  <c r="D21" i="9" s="1"/>
  <c r="F20" i="9"/>
  <c r="D20" i="9"/>
  <c r="F19" i="9"/>
  <c r="D19" i="9" s="1"/>
  <c r="F18" i="9"/>
  <c r="D18" i="9" s="1"/>
  <c r="F17" i="9"/>
  <c r="D17" i="9" s="1"/>
  <c r="F16" i="9"/>
  <c r="D16" i="9"/>
  <c r="F15" i="9"/>
  <c r="D15" i="9" s="1"/>
  <c r="F14" i="9"/>
  <c r="D14" i="9"/>
  <c r="F13" i="9"/>
  <c r="D13" i="9" s="1"/>
  <c r="F12" i="9"/>
  <c r="D12" i="9" s="1"/>
  <c r="F11" i="9"/>
  <c r="D11" i="9" s="1"/>
  <c r="F10" i="9"/>
  <c r="D10" i="9"/>
  <c r="F9" i="9"/>
  <c r="D9" i="9" s="1"/>
  <c r="F8" i="9"/>
  <c r="D8" i="9"/>
  <c r="F7" i="9"/>
  <c r="D7" i="9" s="1"/>
  <c r="F6" i="9"/>
  <c r="D6" i="9" s="1"/>
  <c r="F5" i="9"/>
  <c r="D5" i="9" s="1"/>
  <c r="F80" i="8"/>
  <c r="D80" i="8"/>
  <c r="F79" i="8"/>
  <c r="D79" i="8" s="1"/>
  <c r="F78" i="8"/>
  <c r="D78" i="8"/>
  <c r="F77" i="8"/>
  <c r="D77" i="8" s="1"/>
  <c r="F76" i="8"/>
  <c r="D76" i="8" s="1"/>
  <c r="F75" i="8"/>
  <c r="D75" i="8" s="1"/>
  <c r="F74" i="8"/>
  <c r="D74" i="8"/>
  <c r="F73" i="8"/>
  <c r="D73" i="8" s="1"/>
  <c r="F72" i="8"/>
  <c r="D72" i="8"/>
  <c r="F71" i="8"/>
  <c r="D71" i="8" s="1"/>
  <c r="F70" i="8"/>
  <c r="D70" i="8" s="1"/>
  <c r="F69" i="8"/>
  <c r="D69" i="8" s="1"/>
  <c r="F68" i="8"/>
  <c r="D68" i="8"/>
  <c r="F67" i="8"/>
  <c r="D67" i="8" s="1"/>
  <c r="F66" i="8"/>
  <c r="D66" i="8"/>
  <c r="F65" i="8"/>
  <c r="D65" i="8" s="1"/>
  <c r="F64" i="8"/>
  <c r="D64" i="8" s="1"/>
  <c r="F63" i="8"/>
  <c r="D63" i="8" s="1"/>
  <c r="F62" i="8"/>
  <c r="D62" i="8"/>
  <c r="F61" i="8"/>
  <c r="D61" i="8" s="1"/>
  <c r="F60" i="8"/>
  <c r="D60" i="8"/>
  <c r="F59" i="8"/>
  <c r="D59" i="8" s="1"/>
  <c r="F58" i="8"/>
  <c r="D58" i="8" s="1"/>
  <c r="F57" i="8"/>
  <c r="D57" i="8" s="1"/>
  <c r="F56" i="8"/>
  <c r="D56" i="8"/>
  <c r="F55" i="8"/>
  <c r="D55" i="8" s="1"/>
  <c r="F54" i="8"/>
  <c r="D54" i="8"/>
  <c r="F53" i="8"/>
  <c r="D53" i="8" s="1"/>
  <c r="F52" i="8"/>
  <c r="D52" i="8" s="1"/>
  <c r="F51" i="8"/>
  <c r="D51" i="8" s="1"/>
  <c r="F50" i="8"/>
  <c r="D50" i="8"/>
  <c r="F49" i="8"/>
  <c r="D49" i="8" s="1"/>
  <c r="F48" i="8"/>
  <c r="D48" i="8"/>
  <c r="F47" i="8"/>
  <c r="D47" i="8" s="1"/>
  <c r="F46" i="8"/>
  <c r="D46" i="8" s="1"/>
  <c r="F45" i="8"/>
  <c r="D45" i="8" s="1"/>
  <c r="F44" i="8"/>
  <c r="D44" i="8" s="1"/>
  <c r="F43" i="8"/>
  <c r="D43" i="8" s="1"/>
  <c r="F42" i="8"/>
  <c r="D42" i="8"/>
  <c r="F41" i="8"/>
  <c r="D41" i="8" s="1"/>
  <c r="F40" i="8"/>
  <c r="D40" i="8" s="1"/>
  <c r="F39" i="8"/>
  <c r="D39" i="8" s="1"/>
  <c r="F38" i="8"/>
  <c r="D38" i="8" s="1"/>
  <c r="F37" i="8"/>
  <c r="D37" i="8" s="1"/>
  <c r="F36" i="8"/>
  <c r="D36" i="8"/>
  <c r="F35" i="8"/>
  <c r="D35" i="8" s="1"/>
  <c r="F34" i="8"/>
  <c r="D34" i="8" s="1"/>
  <c r="F33" i="8"/>
  <c r="D33" i="8" s="1"/>
  <c r="F32" i="8"/>
  <c r="D32" i="8"/>
  <c r="F31" i="8"/>
  <c r="D31" i="8" s="1"/>
  <c r="F30" i="8"/>
  <c r="D30" i="8"/>
  <c r="F29" i="8"/>
  <c r="D29" i="8" s="1"/>
  <c r="F28" i="8"/>
  <c r="D28" i="8" s="1"/>
  <c r="F27" i="8"/>
  <c r="D27" i="8" s="1"/>
  <c r="F26" i="8"/>
  <c r="D26" i="8" s="1"/>
  <c r="F25" i="8"/>
  <c r="D25" i="8" s="1"/>
  <c r="F24" i="8"/>
  <c r="D24" i="8"/>
  <c r="F23" i="8"/>
  <c r="D23" i="8" s="1"/>
  <c r="F22" i="8"/>
  <c r="D22" i="8" s="1"/>
  <c r="F21" i="8"/>
  <c r="D21" i="8" s="1"/>
  <c r="F20" i="8"/>
  <c r="D20" i="8" s="1"/>
  <c r="F19" i="8"/>
  <c r="D19" i="8" s="1"/>
  <c r="F18" i="8"/>
  <c r="D18" i="8"/>
  <c r="F17" i="8"/>
  <c r="D17" i="8" s="1"/>
  <c r="F16" i="8"/>
  <c r="D16" i="8" s="1"/>
  <c r="F15" i="8"/>
  <c r="D15" i="8" s="1"/>
  <c r="F14" i="8"/>
  <c r="D14" i="8"/>
  <c r="F13" i="8"/>
  <c r="D13" i="8" s="1"/>
  <c r="F12" i="8"/>
  <c r="D12" i="8"/>
  <c r="F11" i="8"/>
  <c r="D11" i="8" s="1"/>
  <c r="F10" i="8"/>
  <c r="D10" i="8" s="1"/>
  <c r="F9" i="8"/>
  <c r="D9" i="8" s="1"/>
  <c r="F8" i="8"/>
  <c r="D8" i="8" s="1"/>
  <c r="F7" i="8"/>
  <c r="D7" i="8" s="1"/>
  <c r="F6" i="8"/>
  <c r="D6" i="8"/>
  <c r="F5" i="8"/>
  <c r="D5" i="8" s="1"/>
  <c r="D28" i="7"/>
  <c r="D27" i="7"/>
  <c r="D26" i="7"/>
  <c r="D25" i="7"/>
  <c r="F24" i="7"/>
  <c r="D24" i="7" s="1"/>
  <c r="F23" i="7"/>
  <c r="D23" i="7" s="1"/>
  <c r="F22" i="7"/>
  <c r="D22" i="7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 s="1"/>
  <c r="F7" i="7"/>
  <c r="D7" i="7" s="1"/>
  <c r="F6" i="7"/>
  <c r="D6" i="7" s="1"/>
  <c r="F5" i="7"/>
  <c r="D5" i="7" s="1"/>
  <c r="F171" i="6"/>
  <c r="D171" i="6"/>
  <c r="F170" i="6"/>
  <c r="D170" i="6" s="1"/>
  <c r="F169" i="6"/>
  <c r="D169" i="6" s="1"/>
  <c r="F168" i="6"/>
  <c r="D168" i="6" s="1"/>
  <c r="F167" i="6"/>
  <c r="D167" i="6" s="1"/>
  <c r="F166" i="6"/>
  <c r="D166" i="6" s="1"/>
  <c r="F165" i="6"/>
  <c r="D165" i="6" s="1"/>
  <c r="F164" i="6"/>
  <c r="D164" i="6" s="1"/>
  <c r="F163" i="6"/>
  <c r="D163" i="6" s="1"/>
  <c r="F162" i="6"/>
  <c r="D162" i="6" s="1"/>
  <c r="F161" i="6"/>
  <c r="D161" i="6" s="1"/>
  <c r="F160" i="6"/>
  <c r="D160" i="6" s="1"/>
  <c r="F159" i="6"/>
  <c r="D159" i="6" s="1"/>
  <c r="F158" i="6"/>
  <c r="D158" i="6" s="1"/>
  <c r="F157" i="6"/>
  <c r="D157" i="6" s="1"/>
  <c r="F156" i="6"/>
  <c r="D156" i="6" s="1"/>
  <c r="F155" i="6"/>
  <c r="D155" i="6" s="1"/>
  <c r="F154" i="6"/>
  <c r="D154" i="6" s="1"/>
  <c r="F153" i="6"/>
  <c r="D153" i="6"/>
  <c r="F152" i="6"/>
  <c r="D152" i="6" s="1"/>
  <c r="F151" i="6"/>
  <c r="D151" i="6" s="1"/>
  <c r="F150" i="6"/>
  <c r="D150" i="6" s="1"/>
  <c r="F149" i="6"/>
  <c r="D149" i="6" s="1"/>
  <c r="F148" i="6"/>
  <c r="D148" i="6" s="1"/>
  <c r="F147" i="6"/>
  <c r="D147" i="6" s="1"/>
  <c r="F146" i="6"/>
  <c r="D146" i="6" s="1"/>
  <c r="F145" i="6"/>
  <c r="D145" i="6" s="1"/>
  <c r="F144" i="6"/>
  <c r="D144" i="6" s="1"/>
  <c r="F143" i="6"/>
  <c r="D143" i="6" s="1"/>
  <c r="F142" i="6"/>
  <c r="D142" i="6" s="1"/>
  <c r="F141" i="6"/>
  <c r="D141" i="6" s="1"/>
  <c r="F140" i="6"/>
  <c r="D140" i="6" s="1"/>
  <c r="F139" i="6"/>
  <c r="D139" i="6" s="1"/>
  <c r="F138" i="6"/>
  <c r="D138" i="6" s="1"/>
  <c r="F137" i="6"/>
  <c r="D137" i="6" s="1"/>
  <c r="F136" i="6"/>
  <c r="D136" i="6" s="1"/>
  <c r="F135" i="6"/>
  <c r="D135" i="6"/>
  <c r="F134" i="6"/>
  <c r="D134" i="6" s="1"/>
  <c r="F133" i="6"/>
  <c r="D133" i="6" s="1"/>
  <c r="F132" i="6"/>
  <c r="D132" i="6" s="1"/>
  <c r="F131" i="6"/>
  <c r="D131" i="6" s="1"/>
  <c r="F130" i="6"/>
  <c r="D130" i="6" s="1"/>
  <c r="F129" i="6"/>
  <c r="D129" i="6" s="1"/>
  <c r="F128" i="6"/>
  <c r="D128" i="6"/>
  <c r="F127" i="6"/>
  <c r="D127" i="6"/>
  <c r="F126" i="6"/>
  <c r="D126" i="6"/>
  <c r="F125" i="6"/>
  <c r="D125" i="6" s="1"/>
  <c r="F124" i="6"/>
  <c r="D124" i="6"/>
  <c r="F123" i="6"/>
  <c r="D123" i="6" s="1"/>
  <c r="F122" i="6"/>
  <c r="D122" i="6"/>
  <c r="F121" i="6"/>
  <c r="D121" i="6"/>
  <c r="F120" i="6"/>
  <c r="D120" i="6"/>
  <c r="F119" i="6"/>
  <c r="D119" i="6" s="1"/>
  <c r="F118" i="6"/>
  <c r="D118" i="6"/>
  <c r="F117" i="6"/>
  <c r="D117" i="6" s="1"/>
  <c r="F116" i="6"/>
  <c r="D116" i="6"/>
  <c r="F115" i="6"/>
  <c r="D115" i="6"/>
  <c r="F114" i="6"/>
  <c r="D114" i="6"/>
  <c r="F113" i="6"/>
  <c r="D113" i="6" s="1"/>
  <c r="F112" i="6"/>
  <c r="D112" i="6"/>
  <c r="F111" i="6"/>
  <c r="D111" i="6" s="1"/>
  <c r="F110" i="6"/>
  <c r="D110" i="6"/>
  <c r="F109" i="6"/>
  <c r="D109" i="6"/>
  <c r="F108" i="6"/>
  <c r="D108" i="6"/>
  <c r="F107" i="6"/>
  <c r="D107" i="6" s="1"/>
  <c r="F106" i="6"/>
  <c r="D106" i="6"/>
  <c r="F105" i="6"/>
  <c r="D105" i="6" s="1"/>
  <c r="F104" i="6"/>
  <c r="D104" i="6"/>
  <c r="F103" i="6"/>
  <c r="D103" i="6"/>
  <c r="F102" i="6"/>
  <c r="D102" i="6"/>
  <c r="F101" i="6"/>
  <c r="D101" i="6" s="1"/>
  <c r="F100" i="6"/>
  <c r="D100" i="6"/>
  <c r="F99" i="6"/>
  <c r="D99" i="6" s="1"/>
  <c r="F98" i="6"/>
  <c r="D98" i="6"/>
  <c r="F97" i="6"/>
  <c r="D97" i="6"/>
  <c r="F96" i="6"/>
  <c r="D96" i="6"/>
  <c r="F95" i="6"/>
  <c r="D95" i="6" s="1"/>
  <c r="F94" i="6"/>
  <c r="D94" i="6"/>
  <c r="F93" i="6"/>
  <c r="D93" i="6" s="1"/>
  <c r="F92" i="6"/>
  <c r="D92" i="6"/>
  <c r="F91" i="6"/>
  <c r="D91" i="6"/>
  <c r="F90" i="6"/>
  <c r="D90" i="6"/>
  <c r="F89" i="6"/>
  <c r="D89" i="6" s="1"/>
  <c r="F88" i="6"/>
  <c r="D88" i="6"/>
  <c r="F87" i="6"/>
  <c r="D87" i="6" s="1"/>
  <c r="F86" i="6"/>
  <c r="D86" i="6"/>
  <c r="F85" i="6"/>
  <c r="D85" i="6"/>
  <c r="F84" i="6"/>
  <c r="D84" i="6"/>
  <c r="F83" i="6"/>
  <c r="D83" i="6" s="1"/>
  <c r="F82" i="6"/>
  <c r="D82" i="6"/>
  <c r="F81" i="6"/>
  <c r="D81" i="6" s="1"/>
  <c r="F80" i="6"/>
  <c r="D80" i="6"/>
  <c r="F79" i="6"/>
  <c r="D79" i="6"/>
  <c r="F78" i="6"/>
  <c r="D78" i="6"/>
  <c r="F77" i="6"/>
  <c r="D77" i="6" s="1"/>
  <c r="F76" i="6"/>
  <c r="D76" i="6"/>
  <c r="F75" i="6"/>
  <c r="D75" i="6" s="1"/>
  <c r="F74" i="6"/>
  <c r="D74" i="6"/>
  <c r="F73" i="6"/>
  <c r="D73" i="6"/>
  <c r="F72" i="6"/>
  <c r="D72" i="6"/>
  <c r="F71" i="6"/>
  <c r="D71" i="6" s="1"/>
  <c r="F70" i="6"/>
  <c r="D70" i="6"/>
  <c r="F69" i="6"/>
  <c r="D69" i="6" s="1"/>
  <c r="F68" i="6"/>
  <c r="D68" i="6"/>
  <c r="F67" i="6"/>
  <c r="D67" i="6"/>
  <c r="F66" i="6"/>
  <c r="D66" i="6"/>
  <c r="F65" i="6"/>
  <c r="D65" i="6" s="1"/>
  <c r="F64" i="6"/>
  <c r="D64" i="6"/>
  <c r="F63" i="6"/>
  <c r="D63" i="6" s="1"/>
  <c r="F62" i="6"/>
  <c r="D62" i="6"/>
  <c r="F61" i="6"/>
  <c r="D61" i="6"/>
  <c r="F60" i="6"/>
  <c r="D60" i="6"/>
  <c r="F59" i="6"/>
  <c r="D59" i="6" s="1"/>
  <c r="F58" i="6"/>
  <c r="D58" i="6"/>
  <c r="F57" i="6"/>
  <c r="D57" i="6" s="1"/>
  <c r="F56" i="6"/>
  <c r="D56" i="6"/>
  <c r="F55" i="6"/>
  <c r="D55" i="6"/>
  <c r="F54" i="6"/>
  <c r="D54" i="6"/>
  <c r="F53" i="6"/>
  <c r="D53" i="6" s="1"/>
  <c r="F52" i="6"/>
  <c r="D52" i="6"/>
  <c r="F51" i="6"/>
  <c r="D51" i="6" s="1"/>
  <c r="F50" i="6"/>
  <c r="D50" i="6"/>
  <c r="F49" i="6"/>
  <c r="D49" i="6"/>
  <c r="F48" i="6"/>
  <c r="D48" i="6"/>
  <c r="F47" i="6"/>
  <c r="D47" i="6" s="1"/>
  <c r="F46" i="6"/>
  <c r="D46" i="6"/>
  <c r="F45" i="6"/>
  <c r="D45" i="6" s="1"/>
  <c r="F44" i="6"/>
  <c r="D44" i="6"/>
  <c r="F43" i="6"/>
  <c r="D43" i="6"/>
  <c r="F42" i="6"/>
  <c r="D42" i="6"/>
  <c r="F41" i="6"/>
  <c r="D41" i="6" s="1"/>
  <c r="F40" i="6"/>
  <c r="D40" i="6"/>
  <c r="F39" i="6"/>
  <c r="D39" i="6" s="1"/>
  <c r="F38" i="6"/>
  <c r="D38" i="6"/>
  <c r="F37" i="6"/>
  <c r="D37" i="6"/>
  <c r="F36" i="6"/>
  <c r="D36" i="6"/>
  <c r="F35" i="6"/>
  <c r="D35" i="6" s="1"/>
  <c r="F34" i="6"/>
  <c r="D34" i="6"/>
  <c r="F33" i="6"/>
  <c r="D33" i="6" s="1"/>
  <c r="F32" i="6"/>
  <c r="D32" i="6"/>
  <c r="F31" i="6"/>
  <c r="D31" i="6"/>
  <c r="F30" i="6"/>
  <c r="D30" i="6"/>
  <c r="F29" i="6"/>
  <c r="D29" i="6" s="1"/>
  <c r="F28" i="6"/>
  <c r="D28" i="6"/>
  <c r="F27" i="6"/>
  <c r="D27" i="6" s="1"/>
  <c r="F26" i="6"/>
  <c r="D26" i="6"/>
  <c r="F25" i="6"/>
  <c r="D25" i="6"/>
  <c r="F24" i="6"/>
  <c r="D24" i="6"/>
  <c r="F23" i="6"/>
  <c r="D23" i="6" s="1"/>
  <c r="F22" i="6"/>
  <c r="D22" i="6"/>
  <c r="F21" i="6"/>
  <c r="D21" i="6" s="1"/>
  <c r="F20" i="6"/>
  <c r="D20" i="6"/>
  <c r="F19" i="6"/>
  <c r="D19" i="6"/>
  <c r="F18" i="6"/>
  <c r="D18" i="6"/>
  <c r="F17" i="6"/>
  <c r="D17" i="6" s="1"/>
  <c r="F16" i="6"/>
  <c r="D16" i="6"/>
  <c r="F15" i="6"/>
  <c r="D15" i="6" s="1"/>
  <c r="F14" i="6"/>
  <c r="D14" i="6"/>
  <c r="F13" i="6"/>
  <c r="D13" i="6"/>
  <c r="F12" i="6"/>
  <c r="D12" i="6"/>
  <c r="F11" i="6"/>
  <c r="D11" i="6" s="1"/>
  <c r="F10" i="6"/>
  <c r="D10" i="6"/>
  <c r="F9" i="6"/>
  <c r="D9" i="6" s="1"/>
  <c r="F8" i="6"/>
  <c r="D8" i="6"/>
  <c r="F7" i="6"/>
  <c r="D7" i="6"/>
  <c r="F6" i="6"/>
  <c r="D6" i="6"/>
  <c r="F5" i="6"/>
  <c r="D5" i="6" s="1"/>
  <c r="V99" i="1"/>
  <c r="V98" i="1"/>
  <c r="V97" i="1"/>
  <c r="V96" i="1"/>
  <c r="V95" i="1"/>
  <c r="V94" i="1"/>
  <c r="V92" i="1"/>
  <c r="V66" i="1"/>
  <c r="U130" i="1"/>
  <c r="W130" i="1" s="1"/>
  <c r="Y20" i="1"/>
  <c r="Y32" i="1"/>
  <c r="Y105" i="1"/>
  <c r="Y108" i="1"/>
  <c r="Y116" i="1"/>
  <c r="Y135" i="1"/>
  <c r="Y147" i="1"/>
  <c r="Y169" i="1"/>
  <c r="Y185" i="1"/>
  <c r="Y195" i="1"/>
  <c r="Y220" i="1"/>
  <c r="Y222" i="1"/>
  <c r="U6" i="1"/>
  <c r="U7" i="1"/>
  <c r="U8" i="1"/>
  <c r="U10" i="1"/>
  <c r="U11" i="1"/>
  <c r="U13" i="1"/>
  <c r="U14" i="1"/>
  <c r="U15" i="1"/>
  <c r="U16" i="1"/>
  <c r="U17" i="1"/>
  <c r="U18" i="1"/>
  <c r="U19" i="1"/>
  <c r="U20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8" i="1"/>
  <c r="U40" i="1"/>
  <c r="U41" i="1"/>
  <c r="U42" i="1"/>
  <c r="U44" i="1"/>
  <c r="U45" i="1"/>
  <c r="U46" i="1"/>
  <c r="W46" i="1" s="1"/>
  <c r="U47" i="1"/>
  <c r="U48" i="1"/>
  <c r="U52" i="1"/>
  <c r="U54" i="1"/>
  <c r="U55" i="1"/>
  <c r="U56" i="1"/>
  <c r="U58" i="1"/>
  <c r="U59" i="1"/>
  <c r="U60" i="1"/>
  <c r="U61" i="1"/>
  <c r="U62" i="1"/>
  <c r="U66" i="1"/>
  <c r="U65" i="1"/>
  <c r="U64" i="1"/>
  <c r="U68" i="1"/>
  <c r="U77" i="1"/>
  <c r="U71" i="1"/>
  <c r="U76" i="1"/>
  <c r="U72" i="1"/>
  <c r="U78" i="1"/>
  <c r="U74" i="1"/>
  <c r="U75" i="1"/>
  <c r="U73" i="1"/>
  <c r="U87" i="1"/>
  <c r="U92" i="1"/>
  <c r="U93" i="1"/>
  <c r="U94" i="1"/>
  <c r="U95" i="1"/>
  <c r="U96" i="1"/>
  <c r="U97" i="1"/>
  <c r="U98" i="1"/>
  <c r="U99" i="1"/>
  <c r="U100" i="1"/>
  <c r="U101" i="1"/>
  <c r="U102" i="1"/>
  <c r="U103" i="1"/>
  <c r="U108" i="1"/>
  <c r="U115" i="1"/>
  <c r="U121" i="1"/>
  <c r="U122" i="1"/>
  <c r="U124" i="1"/>
  <c r="U125" i="1"/>
  <c r="U126" i="1"/>
  <c r="U128" i="1"/>
  <c r="U129" i="1"/>
  <c r="U132" i="1"/>
  <c r="U133" i="1"/>
  <c r="U135" i="1"/>
  <c r="U136" i="1"/>
  <c r="U138" i="1"/>
  <c r="U139" i="1"/>
  <c r="U140" i="1"/>
  <c r="U141" i="1"/>
  <c r="U142" i="1"/>
  <c r="U146" i="1"/>
  <c r="U145" i="1"/>
  <c r="U144" i="1"/>
  <c r="U143" i="1"/>
  <c r="U147" i="1"/>
  <c r="U149" i="1"/>
  <c r="U164" i="1"/>
  <c r="U165" i="1"/>
  <c r="U166" i="1"/>
  <c r="U168" i="1"/>
  <c r="U169" i="1"/>
  <c r="U177" i="1"/>
  <c r="U180" i="1"/>
  <c r="U182" i="1"/>
  <c r="U181" i="1"/>
  <c r="U183" i="1"/>
  <c r="U184" i="1"/>
  <c r="U185" i="1"/>
  <c r="U186" i="1"/>
  <c r="U188" i="1"/>
  <c r="U189" i="1"/>
  <c r="U190" i="1"/>
  <c r="U191" i="1"/>
  <c r="U193" i="1"/>
  <c r="U194" i="1"/>
  <c r="U198" i="1"/>
  <c r="U199" i="1"/>
  <c r="U201" i="1"/>
  <c r="U202" i="1"/>
  <c r="U204" i="1"/>
  <c r="U206" i="1"/>
  <c r="U207" i="1"/>
  <c r="U208" i="1"/>
  <c r="U209" i="1"/>
  <c r="U210" i="1"/>
  <c r="U211" i="1"/>
  <c r="U213" i="1"/>
  <c r="U214" i="1"/>
  <c r="U215" i="1"/>
  <c r="U216" i="1"/>
  <c r="U218" i="1"/>
  <c r="U219" i="1"/>
  <c r="U220" i="1"/>
  <c r="U222" i="1"/>
  <c r="U3" i="1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L30" i="3"/>
  <c r="J30" i="3"/>
  <c r="I30" i="3"/>
  <c r="H30" i="3"/>
  <c r="G30" i="3"/>
  <c r="F30" i="3"/>
  <c r="E30" i="3"/>
  <c r="K29" i="3"/>
  <c r="O29" i="3" s="1"/>
  <c r="P29" i="3" s="1"/>
  <c r="K28" i="3"/>
  <c r="O28" i="3"/>
  <c r="P28" i="3" s="1"/>
  <c r="K27" i="3"/>
  <c r="M27" i="3" s="1"/>
  <c r="Q27" i="3" s="1"/>
  <c r="O26" i="3"/>
  <c r="P26" i="3" s="1"/>
  <c r="M26" i="3"/>
  <c r="Q26" i="3" s="1"/>
  <c r="K26" i="3"/>
  <c r="K25" i="3"/>
  <c r="O25" i="3" s="1"/>
  <c r="P25" i="3" s="1"/>
  <c r="K24" i="3"/>
  <c r="O24" i="3"/>
  <c r="P24" i="3"/>
  <c r="K23" i="3"/>
  <c r="M23" i="3"/>
  <c r="Q23" i="3" s="1"/>
  <c r="O22" i="3"/>
  <c r="P22" i="3" s="1"/>
  <c r="K22" i="3"/>
  <c r="M22" i="3" s="1"/>
  <c r="Q22" i="3" s="1"/>
  <c r="K21" i="3"/>
  <c r="O21" i="3" s="1"/>
  <c r="P21" i="3" s="1"/>
  <c r="M21" i="3"/>
  <c r="Q21" i="3" s="1"/>
  <c r="K20" i="3"/>
  <c r="O20" i="3" s="1"/>
  <c r="P20" i="3" s="1"/>
  <c r="K19" i="3"/>
  <c r="M19" i="3" s="1"/>
  <c r="Q19" i="3" s="1"/>
  <c r="K18" i="3"/>
  <c r="O18" i="3" s="1"/>
  <c r="P18" i="3" s="1"/>
  <c r="K17" i="3"/>
  <c r="O17" i="3" s="1"/>
  <c r="P17" i="3" s="1"/>
  <c r="K16" i="3"/>
  <c r="O16" i="3"/>
  <c r="P16" i="3" s="1"/>
  <c r="K15" i="3"/>
  <c r="M15" i="3" s="1"/>
  <c r="Q15" i="3" s="1"/>
  <c r="O14" i="3"/>
  <c r="P14" i="3" s="1"/>
  <c r="M14" i="3"/>
  <c r="Q14" i="3" s="1"/>
  <c r="K14" i="3"/>
  <c r="K13" i="3"/>
  <c r="O13" i="3" s="1"/>
  <c r="P13" i="3" s="1"/>
  <c r="K12" i="3"/>
  <c r="O12" i="3"/>
  <c r="P12" i="3"/>
  <c r="K11" i="3"/>
  <c r="M11" i="3"/>
  <c r="Q11" i="3" s="1"/>
  <c r="O10" i="3"/>
  <c r="P10" i="3" s="1"/>
  <c r="K10" i="3"/>
  <c r="M10" i="3" s="1"/>
  <c r="Q10" i="3" s="1"/>
  <c r="K9" i="3"/>
  <c r="O9" i="3" s="1"/>
  <c r="P9" i="3" s="1"/>
  <c r="M9" i="3"/>
  <c r="Q9" i="3" s="1"/>
  <c r="K8" i="3"/>
  <c r="O8" i="3" s="1"/>
  <c r="P8" i="3" s="1"/>
  <c r="K7" i="3"/>
  <c r="M7" i="3" s="1"/>
  <c r="Q7" i="3" s="1"/>
  <c r="K6" i="3"/>
  <c r="O6" i="3" s="1"/>
  <c r="P6" i="3" s="1"/>
  <c r="K5" i="3"/>
  <c r="O5" i="3" s="1"/>
  <c r="P5" i="3" s="1"/>
  <c r="K4" i="3"/>
  <c r="O4" i="3"/>
  <c r="P4" i="3" s="1"/>
  <c r="K3" i="3"/>
  <c r="M3" i="3" s="1"/>
  <c r="Q3" i="3" s="1"/>
  <c r="O2" i="3"/>
  <c r="P2" i="3" s="1"/>
  <c r="M2" i="3"/>
  <c r="Q2" i="3" s="1"/>
  <c r="K2" i="3"/>
  <c r="K30" i="3" s="1"/>
  <c r="M30" i="3" s="1"/>
  <c r="M478" i="2"/>
  <c r="K477" i="2"/>
  <c r="N477" i="2" s="1"/>
  <c r="C477" i="2"/>
  <c r="K476" i="2"/>
  <c r="N476" i="2" s="1"/>
  <c r="C476" i="2"/>
  <c r="K475" i="2"/>
  <c r="N475" i="2" s="1"/>
  <c r="C475" i="2"/>
  <c r="N474" i="2"/>
  <c r="K474" i="2"/>
  <c r="C474" i="2"/>
  <c r="K473" i="2"/>
  <c r="R473" i="2"/>
  <c r="S473" i="2" s="1"/>
  <c r="C473" i="2"/>
  <c r="K472" i="2"/>
  <c r="N472" i="2" s="1"/>
  <c r="T472" i="2" s="1"/>
  <c r="C472" i="2"/>
  <c r="K471" i="2"/>
  <c r="R471" i="2" s="1"/>
  <c r="S471" i="2" s="1"/>
  <c r="C471" i="2"/>
  <c r="S470" i="2"/>
  <c r="K470" i="2"/>
  <c r="N470" i="2" s="1"/>
  <c r="T470" i="2" s="1"/>
  <c r="C470" i="2"/>
  <c r="K469" i="2"/>
  <c r="R469" i="2" s="1"/>
  <c r="S469" i="2" s="1"/>
  <c r="C469" i="2"/>
  <c r="K468" i="2"/>
  <c r="C468" i="2"/>
  <c r="R467" i="2"/>
  <c r="K467" i="2"/>
  <c r="N467" i="2" s="1"/>
  <c r="T467" i="2" s="1"/>
  <c r="C467" i="2"/>
  <c r="C466" i="2"/>
  <c r="C465" i="2"/>
  <c r="C464" i="2"/>
  <c r="C463" i="2"/>
  <c r="M462" i="2"/>
  <c r="C462" i="2"/>
  <c r="K461" i="2"/>
  <c r="N461" i="2" s="1"/>
  <c r="C461" i="2"/>
  <c r="K460" i="2"/>
  <c r="N460" i="2" s="1"/>
  <c r="C460" i="2"/>
  <c r="K459" i="2"/>
  <c r="N459" i="2" s="1"/>
  <c r="C459" i="2"/>
  <c r="N458" i="2"/>
  <c r="K458" i="2"/>
  <c r="C458" i="2"/>
  <c r="K457" i="2"/>
  <c r="N457" i="2" s="1"/>
  <c r="C457" i="2"/>
  <c r="K456" i="2"/>
  <c r="N456" i="2" s="1"/>
  <c r="T456" i="2" s="1"/>
  <c r="R456" i="2"/>
  <c r="S456" i="2"/>
  <c r="C456" i="2"/>
  <c r="K455" i="2"/>
  <c r="R455" i="2" s="1"/>
  <c r="S455" i="2" s="1"/>
  <c r="C455" i="2"/>
  <c r="K454" i="2"/>
  <c r="R454" i="2" s="1"/>
  <c r="S454" i="2" s="1"/>
  <c r="C454" i="2"/>
  <c r="S453" i="2"/>
  <c r="K453" i="2"/>
  <c r="R453" i="2"/>
  <c r="C453" i="2"/>
  <c r="N452" i="2"/>
  <c r="T452" i="2"/>
  <c r="K452" i="2"/>
  <c r="R452" i="2" s="1"/>
  <c r="S452" i="2" s="1"/>
  <c r="C452" i="2"/>
  <c r="K451" i="2"/>
  <c r="N451" i="2" s="1"/>
  <c r="T451" i="2" s="1"/>
  <c r="C451" i="2"/>
  <c r="N450" i="2"/>
  <c r="T450" i="2"/>
  <c r="K450" i="2"/>
  <c r="R450" i="2" s="1"/>
  <c r="C450" i="2"/>
  <c r="S449" i="2"/>
  <c r="K449" i="2"/>
  <c r="C449" i="2"/>
  <c r="C448" i="2"/>
  <c r="C447" i="2"/>
  <c r="C446" i="2"/>
  <c r="C445" i="2"/>
  <c r="M444" i="2"/>
  <c r="C444" i="2"/>
  <c r="K443" i="2"/>
  <c r="N443" i="2"/>
  <c r="C443" i="2"/>
  <c r="K442" i="2"/>
  <c r="N442" i="2" s="1"/>
  <c r="C442" i="2"/>
  <c r="K441" i="2"/>
  <c r="N441" i="2"/>
  <c r="C441" i="2"/>
  <c r="K440" i="2"/>
  <c r="N440" i="2" s="1"/>
  <c r="C440" i="2"/>
  <c r="K439" i="2"/>
  <c r="N439" i="2"/>
  <c r="C439" i="2"/>
  <c r="K438" i="2"/>
  <c r="N438" i="2"/>
  <c r="C438" i="2"/>
  <c r="S437" i="2"/>
  <c r="K437" i="2"/>
  <c r="N437" i="2" s="1"/>
  <c r="T437" i="2" s="1"/>
  <c r="C437" i="2"/>
  <c r="N436" i="2"/>
  <c r="T436" i="2" s="1"/>
  <c r="K436" i="2"/>
  <c r="R436" i="2"/>
  <c r="S436" i="2" s="1"/>
  <c r="C436" i="2"/>
  <c r="K435" i="2"/>
  <c r="N435" i="2" s="1"/>
  <c r="T435" i="2" s="1"/>
  <c r="C435" i="2"/>
  <c r="N434" i="2"/>
  <c r="T434" i="2" s="1"/>
  <c r="K434" i="2"/>
  <c r="R434" i="2"/>
  <c r="S434" i="2" s="1"/>
  <c r="C434" i="2"/>
  <c r="K433" i="2"/>
  <c r="N433" i="2" s="1"/>
  <c r="T433" i="2" s="1"/>
  <c r="C433" i="2"/>
  <c r="N432" i="2"/>
  <c r="T432" i="2" s="1"/>
  <c r="K432" i="2"/>
  <c r="R432" i="2"/>
  <c r="S432" i="2" s="1"/>
  <c r="C432" i="2"/>
  <c r="N431" i="2"/>
  <c r="T431" i="2" s="1"/>
  <c r="K431" i="2"/>
  <c r="C431" i="2"/>
  <c r="C430" i="2"/>
  <c r="C429" i="2"/>
  <c r="C428" i="2"/>
  <c r="C427" i="2"/>
  <c r="M426" i="2"/>
  <c r="C426" i="2"/>
  <c r="K425" i="2"/>
  <c r="N425" i="2" s="1"/>
  <c r="C425" i="2"/>
  <c r="K424" i="2"/>
  <c r="N424" i="2" s="1"/>
  <c r="C424" i="2"/>
  <c r="N423" i="2"/>
  <c r="K423" i="2"/>
  <c r="C423" i="2"/>
  <c r="K422" i="2"/>
  <c r="N422" i="2" s="1"/>
  <c r="C422" i="2"/>
  <c r="R421" i="2"/>
  <c r="S421" i="2" s="1"/>
  <c r="K421" i="2"/>
  <c r="N421" i="2" s="1"/>
  <c r="T421" i="2" s="1"/>
  <c r="C421" i="2"/>
  <c r="S420" i="2"/>
  <c r="K420" i="2"/>
  <c r="N420" i="2" s="1"/>
  <c r="T420" i="2" s="1"/>
  <c r="C420" i="2"/>
  <c r="K419" i="2"/>
  <c r="R419" i="2" s="1"/>
  <c r="S419" i="2" s="1"/>
  <c r="C419" i="2"/>
  <c r="K418" i="2"/>
  <c r="C418" i="2"/>
  <c r="R417" i="2"/>
  <c r="S417" i="2" s="1"/>
  <c r="N417" i="2"/>
  <c r="T417" i="2"/>
  <c r="K417" i="2"/>
  <c r="C417" i="2"/>
  <c r="K416" i="2"/>
  <c r="C416" i="2"/>
  <c r="S415" i="2"/>
  <c r="K415" i="2"/>
  <c r="N415" i="2" s="1"/>
  <c r="T415" i="2" s="1"/>
  <c r="C415" i="2"/>
  <c r="N414" i="2"/>
  <c r="T414" i="2" s="1"/>
  <c r="K414" i="2"/>
  <c r="R414" i="2" s="1"/>
  <c r="S414" i="2" s="1"/>
  <c r="C414" i="2"/>
  <c r="K413" i="2"/>
  <c r="N413" i="2" s="1"/>
  <c r="T413" i="2" s="1"/>
  <c r="C413" i="2"/>
  <c r="C412" i="2"/>
  <c r="C411" i="2"/>
  <c r="C410" i="2"/>
  <c r="C409" i="2"/>
  <c r="C408" i="2"/>
  <c r="M407" i="2"/>
  <c r="C407" i="2"/>
  <c r="K406" i="2"/>
  <c r="N406" i="2" s="1"/>
  <c r="C406" i="2"/>
  <c r="N405" i="2"/>
  <c r="K405" i="2"/>
  <c r="C405" i="2"/>
  <c r="N404" i="2"/>
  <c r="K404" i="2"/>
  <c r="C404" i="2"/>
  <c r="N403" i="2"/>
  <c r="K403" i="2"/>
  <c r="C403" i="2"/>
  <c r="N402" i="2"/>
  <c r="K402" i="2"/>
  <c r="C402" i="2"/>
  <c r="S401" i="2"/>
  <c r="K401" i="2"/>
  <c r="N401" i="2"/>
  <c r="T401" i="2" s="1"/>
  <c r="C401" i="2"/>
  <c r="S400" i="2"/>
  <c r="K400" i="2"/>
  <c r="R400" i="2" s="1"/>
  <c r="C400" i="2"/>
  <c r="K399" i="2"/>
  <c r="C399" i="2"/>
  <c r="R398" i="2"/>
  <c r="S398" i="2"/>
  <c r="N398" i="2"/>
  <c r="T398" i="2" s="1"/>
  <c r="K398" i="2"/>
  <c r="C398" i="2"/>
  <c r="K397" i="2"/>
  <c r="C397" i="2"/>
  <c r="R396" i="2"/>
  <c r="K396" i="2"/>
  <c r="N396" i="2" s="1"/>
  <c r="T396" i="2" s="1"/>
  <c r="C396" i="2"/>
  <c r="C395" i="2"/>
  <c r="C394" i="2"/>
  <c r="C393" i="2"/>
  <c r="C392" i="2"/>
  <c r="M391" i="2"/>
  <c r="C391" i="2"/>
  <c r="K390" i="2"/>
  <c r="N390" i="2"/>
  <c r="C390" i="2"/>
  <c r="K389" i="2"/>
  <c r="N389" i="2" s="1"/>
  <c r="C389" i="2"/>
  <c r="N388" i="2"/>
  <c r="K388" i="2"/>
  <c r="C388" i="2"/>
  <c r="K387" i="2"/>
  <c r="N387" i="2" s="1"/>
  <c r="C387" i="2"/>
  <c r="K386" i="2"/>
  <c r="N386" i="2"/>
  <c r="C386" i="2"/>
  <c r="S385" i="2"/>
  <c r="K385" i="2"/>
  <c r="N385" i="2" s="1"/>
  <c r="T385" i="2"/>
  <c r="C385" i="2"/>
  <c r="N384" i="2"/>
  <c r="T384" i="2" s="1"/>
  <c r="K384" i="2"/>
  <c r="R384" i="2" s="1"/>
  <c r="S384" i="2" s="1"/>
  <c r="C384" i="2"/>
  <c r="K383" i="2"/>
  <c r="C383" i="2"/>
  <c r="S382" i="2"/>
  <c r="K382" i="2"/>
  <c r="N382" i="2" s="1"/>
  <c r="T382" i="2" s="1"/>
  <c r="C382" i="2"/>
  <c r="R381" i="2"/>
  <c r="S381" i="2" s="1"/>
  <c r="K381" i="2"/>
  <c r="N381" i="2"/>
  <c r="T381" i="2"/>
  <c r="C381" i="2"/>
  <c r="N380" i="2"/>
  <c r="T380" i="2" s="1"/>
  <c r="K380" i="2"/>
  <c r="C380" i="2"/>
  <c r="C379" i="2"/>
  <c r="C378" i="2"/>
  <c r="C377" i="2"/>
  <c r="C376" i="2"/>
  <c r="C375" i="2"/>
  <c r="C374" i="2"/>
  <c r="M373" i="2"/>
  <c r="C373" i="2"/>
  <c r="N372" i="2"/>
  <c r="K372" i="2"/>
  <c r="C372" i="2"/>
  <c r="K371" i="2"/>
  <c r="N371" i="2" s="1"/>
  <c r="C371" i="2"/>
  <c r="K370" i="2"/>
  <c r="N370" i="2"/>
  <c r="C370" i="2"/>
  <c r="K369" i="2"/>
  <c r="N369" i="2" s="1"/>
  <c r="C369" i="2"/>
  <c r="K368" i="2"/>
  <c r="N368" i="2" s="1"/>
  <c r="C368" i="2"/>
  <c r="R367" i="2"/>
  <c r="S367" i="2" s="1"/>
  <c r="K367" i="2"/>
  <c r="N367" i="2" s="1"/>
  <c r="T367" i="2" s="1"/>
  <c r="C367" i="2"/>
  <c r="K366" i="2"/>
  <c r="C366" i="2"/>
  <c r="S365" i="2"/>
  <c r="N365" i="2"/>
  <c r="T365" i="2" s="1"/>
  <c r="K365" i="2"/>
  <c r="C365" i="2"/>
  <c r="S364" i="2"/>
  <c r="R364" i="2"/>
  <c r="K364" i="2"/>
  <c r="N364" i="2"/>
  <c r="T364" i="2" s="1"/>
  <c r="C364" i="2"/>
  <c r="N363" i="2"/>
  <c r="T363" i="2" s="1"/>
  <c r="K363" i="2"/>
  <c r="R363" i="2" s="1"/>
  <c r="C363" i="2"/>
  <c r="S362" i="2"/>
  <c r="N362" i="2"/>
  <c r="K362" i="2"/>
  <c r="C362" i="2"/>
  <c r="C361" i="2"/>
  <c r="C360" i="2"/>
  <c r="C359" i="2"/>
  <c r="C358" i="2"/>
  <c r="C357" i="2"/>
  <c r="C356" i="2"/>
  <c r="M355" i="2"/>
  <c r="C355" i="2"/>
  <c r="N354" i="2"/>
  <c r="K354" i="2"/>
  <c r="C354" i="2"/>
  <c r="K353" i="2"/>
  <c r="N353" i="2" s="1"/>
  <c r="C353" i="2"/>
  <c r="N352" i="2"/>
  <c r="K352" i="2"/>
  <c r="C352" i="2"/>
  <c r="K351" i="2"/>
  <c r="N351" i="2" s="1"/>
  <c r="C351" i="2"/>
  <c r="S350" i="2"/>
  <c r="K350" i="2"/>
  <c r="N350" i="2" s="1"/>
  <c r="T350" i="2" s="1"/>
  <c r="C350" i="2"/>
  <c r="K349" i="2"/>
  <c r="C349" i="2"/>
  <c r="K348" i="2"/>
  <c r="C348" i="2"/>
  <c r="K347" i="2"/>
  <c r="C347" i="2"/>
  <c r="R346" i="2"/>
  <c r="S346" i="2" s="1"/>
  <c r="N346" i="2"/>
  <c r="T346" i="2"/>
  <c r="K346" i="2"/>
  <c r="C346" i="2"/>
  <c r="K345" i="2"/>
  <c r="C345" i="2"/>
  <c r="R344" i="2"/>
  <c r="N344" i="2"/>
  <c r="T344" i="2" s="1"/>
  <c r="K344" i="2"/>
  <c r="C344" i="2"/>
  <c r="C343" i="2"/>
  <c r="C342" i="2"/>
  <c r="C341" i="2"/>
  <c r="C340" i="2"/>
  <c r="C339" i="2"/>
  <c r="C338" i="2"/>
  <c r="C337" i="2"/>
  <c r="M336" i="2"/>
  <c r="C336" i="2"/>
  <c r="K335" i="2"/>
  <c r="N335" i="2"/>
  <c r="C335" i="2"/>
  <c r="K334" i="2"/>
  <c r="N334" i="2" s="1"/>
  <c r="C334" i="2"/>
  <c r="N333" i="2"/>
  <c r="K333" i="2"/>
  <c r="C333" i="2"/>
  <c r="K332" i="2"/>
  <c r="N332" i="2" s="1"/>
  <c r="C332" i="2"/>
  <c r="T331" i="2"/>
  <c r="N331" i="2"/>
  <c r="K331" i="2"/>
  <c r="C331" i="2"/>
  <c r="N330" i="2"/>
  <c r="K330" i="2"/>
  <c r="C330" i="2"/>
  <c r="N329" i="2"/>
  <c r="K329" i="2"/>
  <c r="R329" i="2" s="1"/>
  <c r="S329" i="2" s="1"/>
  <c r="C329" i="2"/>
  <c r="R328" i="2"/>
  <c r="S328" i="2" s="1"/>
  <c r="K328" i="2"/>
  <c r="N328" i="2"/>
  <c r="C328" i="2"/>
  <c r="K327" i="2"/>
  <c r="C327" i="2"/>
  <c r="K326" i="2"/>
  <c r="N326" i="2" s="1"/>
  <c r="R326" i="2"/>
  <c r="S326" i="2" s="1"/>
  <c r="C326" i="2"/>
  <c r="S325" i="2"/>
  <c r="N325" i="2"/>
  <c r="K325" i="2"/>
  <c r="C325" i="2"/>
  <c r="C324" i="2"/>
  <c r="C323" i="2"/>
  <c r="C322" i="2"/>
  <c r="C321" i="2"/>
  <c r="C320" i="2"/>
  <c r="C319" i="2"/>
  <c r="M318" i="2"/>
  <c r="C318" i="2"/>
  <c r="K317" i="2"/>
  <c r="N317" i="2" s="1"/>
  <c r="C317" i="2"/>
  <c r="K316" i="2"/>
  <c r="N316" i="2"/>
  <c r="C316" i="2"/>
  <c r="K315" i="2"/>
  <c r="N315" i="2" s="1"/>
  <c r="C315" i="2"/>
  <c r="N314" i="2"/>
  <c r="K314" i="2"/>
  <c r="C314" i="2"/>
  <c r="K313" i="2"/>
  <c r="N313" i="2" s="1"/>
  <c r="C313" i="2"/>
  <c r="K312" i="2"/>
  <c r="N312" i="2"/>
  <c r="C312" i="2"/>
  <c r="N311" i="2"/>
  <c r="T311" i="2" s="1"/>
  <c r="K311" i="2"/>
  <c r="R311" i="2"/>
  <c r="S311" i="2" s="1"/>
  <c r="C311" i="2"/>
  <c r="R310" i="2"/>
  <c r="S310" i="2" s="1"/>
  <c r="K310" i="2"/>
  <c r="C310" i="2"/>
  <c r="N309" i="2"/>
  <c r="T309" i="2" s="1"/>
  <c r="K309" i="2"/>
  <c r="R309" i="2"/>
  <c r="C309" i="2"/>
  <c r="S308" i="2"/>
  <c r="K308" i="2"/>
  <c r="N308" i="2" s="1"/>
  <c r="T308" i="2" s="1"/>
  <c r="C308" i="2"/>
  <c r="T307" i="2"/>
  <c r="S307" i="2"/>
  <c r="N307" i="2"/>
  <c r="K307" i="2"/>
  <c r="C307" i="2"/>
  <c r="C306" i="2"/>
  <c r="C305" i="2"/>
  <c r="C304" i="2"/>
  <c r="C303" i="2"/>
  <c r="C302" i="2"/>
  <c r="M301" i="2"/>
  <c r="C301" i="2"/>
  <c r="K300" i="2"/>
  <c r="N300" i="2" s="1"/>
  <c r="C300" i="2"/>
  <c r="K299" i="2"/>
  <c r="N299" i="2" s="1"/>
  <c r="C299" i="2"/>
  <c r="K298" i="2"/>
  <c r="N298" i="2" s="1"/>
  <c r="C298" i="2"/>
  <c r="K297" i="2"/>
  <c r="N297" i="2" s="1"/>
  <c r="C297" i="2"/>
  <c r="K296" i="2"/>
  <c r="N296" i="2" s="1"/>
  <c r="C296" i="2"/>
  <c r="K295" i="2"/>
  <c r="N295" i="2"/>
  <c r="C295" i="2"/>
  <c r="N294" i="2"/>
  <c r="T294" i="2" s="1"/>
  <c r="K294" i="2"/>
  <c r="R294" i="2" s="1"/>
  <c r="S294" i="2" s="1"/>
  <c r="C294" i="2"/>
  <c r="K293" i="2"/>
  <c r="C293" i="2"/>
  <c r="N292" i="2"/>
  <c r="T292" i="2" s="1"/>
  <c r="K292" i="2"/>
  <c r="R292" i="2" s="1"/>
  <c r="S292" i="2" s="1"/>
  <c r="C292" i="2"/>
  <c r="S291" i="2"/>
  <c r="K291" i="2"/>
  <c r="N291" i="2" s="1"/>
  <c r="T291" i="2" s="1"/>
  <c r="C291" i="2"/>
  <c r="K290" i="2"/>
  <c r="R290" i="2" s="1"/>
  <c r="S290" i="2" s="1"/>
  <c r="C290" i="2"/>
  <c r="C289" i="2"/>
  <c r="C288" i="2"/>
  <c r="C287" i="2"/>
  <c r="C286" i="2"/>
  <c r="C285" i="2"/>
  <c r="M284" i="2"/>
  <c r="C284" i="2"/>
  <c r="K283" i="2"/>
  <c r="N283" i="2" s="1"/>
  <c r="C283" i="2"/>
  <c r="K282" i="2"/>
  <c r="N282" i="2"/>
  <c r="C282" i="2"/>
  <c r="K281" i="2"/>
  <c r="N281" i="2" s="1"/>
  <c r="C281" i="2"/>
  <c r="N280" i="2"/>
  <c r="K280" i="2"/>
  <c r="C280" i="2"/>
  <c r="K279" i="2"/>
  <c r="C279" i="2"/>
  <c r="R278" i="2"/>
  <c r="S278" i="2" s="1"/>
  <c r="K278" i="2"/>
  <c r="N278" i="2" s="1"/>
  <c r="T278" i="2" s="1"/>
  <c r="C278" i="2"/>
  <c r="K277" i="2"/>
  <c r="C277" i="2"/>
  <c r="K276" i="2"/>
  <c r="C276" i="2"/>
  <c r="S275" i="2"/>
  <c r="N275" i="2"/>
  <c r="T275" i="2" s="1"/>
  <c r="K275" i="2"/>
  <c r="C275" i="2"/>
  <c r="K274" i="2"/>
  <c r="N274" i="2" s="1"/>
  <c r="T274" i="2" s="1"/>
  <c r="C274" i="2"/>
  <c r="R273" i="2"/>
  <c r="S273" i="2" s="1"/>
  <c r="T273" i="2"/>
  <c r="K273" i="2"/>
  <c r="N273" i="2" s="1"/>
  <c r="C273" i="2"/>
  <c r="C272" i="2"/>
  <c r="C271" i="2"/>
  <c r="C270" i="2"/>
  <c r="C269" i="2"/>
  <c r="C268" i="2"/>
  <c r="M267" i="2"/>
  <c r="C267" i="2"/>
  <c r="K266" i="2"/>
  <c r="N266" i="2" s="1"/>
  <c r="C266" i="2"/>
  <c r="K265" i="2"/>
  <c r="N265" i="2" s="1"/>
  <c r="C265" i="2"/>
  <c r="K264" i="2"/>
  <c r="N264" i="2" s="1"/>
  <c r="C264" i="2"/>
  <c r="N263" i="2"/>
  <c r="K263" i="2"/>
  <c r="C263" i="2"/>
  <c r="K262" i="2"/>
  <c r="N262" i="2" s="1"/>
  <c r="C262" i="2"/>
  <c r="K261" i="2"/>
  <c r="N261" i="2"/>
  <c r="C261" i="2"/>
  <c r="R260" i="2"/>
  <c r="S260" i="2" s="1"/>
  <c r="N260" i="2"/>
  <c r="T260" i="2"/>
  <c r="K260" i="2"/>
  <c r="C260" i="2"/>
  <c r="K259" i="2"/>
  <c r="C259" i="2"/>
  <c r="N258" i="2"/>
  <c r="T258" i="2" s="1"/>
  <c r="K258" i="2"/>
  <c r="R258" i="2" s="1"/>
  <c r="S258" i="2" s="1"/>
  <c r="C258" i="2"/>
  <c r="S257" i="2"/>
  <c r="K257" i="2"/>
  <c r="N257" i="2" s="1"/>
  <c r="T257" i="2" s="1"/>
  <c r="C257" i="2"/>
  <c r="T256" i="2"/>
  <c r="K256" i="2"/>
  <c r="N256" i="2" s="1"/>
  <c r="C256" i="2"/>
  <c r="C255" i="2"/>
  <c r="C254" i="2"/>
  <c r="C253" i="2"/>
  <c r="C252" i="2"/>
  <c r="C251" i="2"/>
  <c r="M250" i="2"/>
  <c r="C250" i="2"/>
  <c r="K249" i="2"/>
  <c r="N249" i="2"/>
  <c r="C249" i="2"/>
  <c r="K248" i="2"/>
  <c r="N248" i="2" s="1"/>
  <c r="C248" i="2"/>
  <c r="N247" i="2"/>
  <c r="K247" i="2"/>
  <c r="C247" i="2"/>
  <c r="N246" i="2"/>
  <c r="K246" i="2"/>
  <c r="C246" i="2"/>
  <c r="K245" i="2"/>
  <c r="N245" i="2" s="1"/>
  <c r="C245" i="2"/>
  <c r="N244" i="2"/>
  <c r="K244" i="2"/>
  <c r="C244" i="2"/>
  <c r="K243" i="2"/>
  <c r="C243" i="2"/>
  <c r="R242" i="2"/>
  <c r="S242" i="2" s="1"/>
  <c r="K242" i="2"/>
  <c r="N242" i="2" s="1"/>
  <c r="T242" i="2" s="1"/>
  <c r="C242" i="2"/>
  <c r="K241" i="2"/>
  <c r="C241" i="2"/>
  <c r="K240" i="2"/>
  <c r="C240" i="2"/>
  <c r="S239" i="2"/>
  <c r="N239" i="2"/>
  <c r="T239" i="2" s="1"/>
  <c r="K239" i="2"/>
  <c r="C239" i="2"/>
  <c r="C238" i="2"/>
  <c r="C237" i="2"/>
  <c r="C236" i="2"/>
  <c r="C235" i="2"/>
  <c r="C234" i="2"/>
  <c r="M233" i="2"/>
  <c r="C233" i="2"/>
  <c r="S232" i="2"/>
  <c r="N232" i="2"/>
  <c r="T232" i="2" s="1"/>
  <c r="K232" i="2"/>
  <c r="C232" i="2"/>
  <c r="N231" i="2"/>
  <c r="T231" i="2" s="1"/>
  <c r="K231" i="2"/>
  <c r="R231" i="2" s="1"/>
  <c r="S231" i="2" s="1"/>
  <c r="C231" i="2"/>
  <c r="K230" i="2"/>
  <c r="N230" i="2" s="1"/>
  <c r="T230" i="2" s="1"/>
  <c r="C230" i="2"/>
  <c r="T229" i="2"/>
  <c r="S229" i="2"/>
  <c r="K229" i="2"/>
  <c r="N229" i="2" s="1"/>
  <c r="C229" i="2"/>
  <c r="R228" i="2"/>
  <c r="S228" i="2" s="1"/>
  <c r="K228" i="2"/>
  <c r="N228" i="2" s="1"/>
  <c r="T228" i="2" s="1"/>
  <c r="C228" i="2"/>
  <c r="K227" i="2"/>
  <c r="C227" i="2"/>
  <c r="K226" i="2"/>
  <c r="C226" i="2"/>
  <c r="S225" i="2"/>
  <c r="N225" i="2"/>
  <c r="T225" i="2" s="1"/>
  <c r="K225" i="2"/>
  <c r="C225" i="2"/>
  <c r="T224" i="2"/>
  <c r="K224" i="2"/>
  <c r="N224" i="2" s="1"/>
  <c r="C224" i="2"/>
  <c r="T223" i="2"/>
  <c r="K223" i="2"/>
  <c r="N223" i="2" s="1"/>
  <c r="C223" i="2"/>
  <c r="S222" i="2"/>
  <c r="K222" i="2"/>
  <c r="C222" i="2"/>
  <c r="C221" i="2"/>
  <c r="C220" i="2"/>
  <c r="C219" i="2"/>
  <c r="C218" i="2"/>
  <c r="C217" i="2"/>
  <c r="M216" i="2"/>
  <c r="C216" i="2"/>
  <c r="K215" i="2"/>
  <c r="N215" i="2" s="1"/>
  <c r="C215" i="2"/>
  <c r="N214" i="2"/>
  <c r="K214" i="2"/>
  <c r="C214" i="2"/>
  <c r="N213" i="2"/>
  <c r="K213" i="2"/>
  <c r="C213" i="2"/>
  <c r="K212" i="2"/>
  <c r="N212" i="2"/>
  <c r="C212" i="2"/>
  <c r="K211" i="2"/>
  <c r="N211" i="2" s="1"/>
  <c r="C211" i="2"/>
  <c r="N210" i="2"/>
  <c r="K210" i="2"/>
  <c r="C210" i="2"/>
  <c r="K209" i="2"/>
  <c r="C209" i="2"/>
  <c r="T208" i="2"/>
  <c r="S208" i="2"/>
  <c r="K208" i="2"/>
  <c r="N208" i="2"/>
  <c r="C208" i="2"/>
  <c r="R207" i="2"/>
  <c r="S207" i="2"/>
  <c r="N207" i="2"/>
  <c r="T207" i="2" s="1"/>
  <c r="K207" i="2"/>
  <c r="C207" i="2"/>
  <c r="K206" i="2"/>
  <c r="C206" i="2"/>
  <c r="S205" i="2"/>
  <c r="N205" i="2"/>
  <c r="T205" i="2"/>
  <c r="K205" i="2"/>
  <c r="C205" i="2"/>
  <c r="C204" i="2"/>
  <c r="C203" i="2"/>
  <c r="C202" i="2"/>
  <c r="C201" i="2"/>
  <c r="C200" i="2"/>
  <c r="M199" i="2"/>
  <c r="C199" i="2"/>
  <c r="K198" i="2"/>
  <c r="N198" i="2" s="1"/>
  <c r="C198" i="2"/>
  <c r="K197" i="2"/>
  <c r="N197" i="2" s="1"/>
  <c r="C197" i="2"/>
  <c r="K196" i="2"/>
  <c r="N196" i="2" s="1"/>
  <c r="C196" i="2"/>
  <c r="S195" i="2"/>
  <c r="K195" i="2"/>
  <c r="N195" i="2" s="1"/>
  <c r="T195" i="2" s="1"/>
  <c r="C195" i="2"/>
  <c r="K194" i="2"/>
  <c r="C194" i="2"/>
  <c r="R193" i="2"/>
  <c r="S193" i="2"/>
  <c r="N193" i="2"/>
  <c r="T193" i="2" s="1"/>
  <c r="K193" i="2"/>
  <c r="C193" i="2"/>
  <c r="K192" i="2"/>
  <c r="C192" i="2"/>
  <c r="R191" i="2"/>
  <c r="S191" i="2" s="1"/>
  <c r="N191" i="2"/>
  <c r="T191" i="2" s="1"/>
  <c r="K191" i="2"/>
  <c r="C191" i="2"/>
  <c r="K190" i="2"/>
  <c r="C190" i="2"/>
  <c r="N189" i="2"/>
  <c r="T189" i="2" s="1"/>
  <c r="K189" i="2"/>
  <c r="R189" i="2" s="1"/>
  <c r="C189" i="2"/>
  <c r="S188" i="2"/>
  <c r="K188" i="2"/>
  <c r="N188" i="2" s="1"/>
  <c r="T188" i="2" s="1"/>
  <c r="C188" i="2"/>
  <c r="C187" i="2"/>
  <c r="C186" i="2"/>
  <c r="C185" i="2"/>
  <c r="C184" i="2"/>
  <c r="C183" i="2"/>
  <c r="M182" i="2"/>
  <c r="C182" i="2"/>
  <c r="K181" i="2"/>
  <c r="N181" i="2" s="1"/>
  <c r="C181" i="2"/>
  <c r="K180" i="2"/>
  <c r="N180" i="2" s="1"/>
  <c r="C180" i="2"/>
  <c r="K179" i="2"/>
  <c r="N179" i="2" s="1"/>
  <c r="C179" i="2"/>
  <c r="K178" i="2"/>
  <c r="N178" i="2" s="1"/>
  <c r="C178" i="2"/>
  <c r="K177" i="2"/>
  <c r="N177" i="2" s="1"/>
  <c r="C177" i="2"/>
  <c r="K176" i="2"/>
  <c r="N176" i="2"/>
  <c r="C176" i="2"/>
  <c r="N175" i="2"/>
  <c r="T175" i="2" s="1"/>
  <c r="K175" i="2"/>
  <c r="R175" i="2" s="1"/>
  <c r="S175" i="2" s="1"/>
  <c r="C175" i="2"/>
  <c r="K174" i="2"/>
  <c r="C174" i="2"/>
  <c r="R173" i="2"/>
  <c r="S173" i="2" s="1"/>
  <c r="N173" i="2"/>
  <c r="T173" i="2" s="1"/>
  <c r="K173" i="2"/>
  <c r="C173" i="2"/>
  <c r="K172" i="2"/>
  <c r="C172" i="2"/>
  <c r="S171" i="2"/>
  <c r="N171" i="2"/>
  <c r="T171" i="2" s="1"/>
  <c r="K171" i="2"/>
  <c r="C171" i="2"/>
  <c r="C170" i="2"/>
  <c r="C169" i="2"/>
  <c r="C168" i="2"/>
  <c r="C167" i="2"/>
  <c r="C166" i="2"/>
  <c r="M165" i="2"/>
  <c r="C165" i="2"/>
  <c r="K164" i="2"/>
  <c r="N164" i="2" s="1"/>
  <c r="C164" i="2"/>
  <c r="K163" i="2"/>
  <c r="N163" i="2" s="1"/>
  <c r="C163" i="2"/>
  <c r="N162" i="2"/>
  <c r="K162" i="2"/>
  <c r="C162" i="2"/>
  <c r="K161" i="2"/>
  <c r="N161" i="2"/>
  <c r="C161" i="2"/>
  <c r="K160" i="2"/>
  <c r="N160" i="2" s="1"/>
  <c r="C160" i="2"/>
  <c r="N159" i="2"/>
  <c r="K159" i="2"/>
  <c r="C159" i="2"/>
  <c r="K158" i="2"/>
  <c r="C158" i="2"/>
  <c r="K157" i="2"/>
  <c r="R157" i="2" s="1"/>
  <c r="S157" i="2" s="1"/>
  <c r="C157" i="2"/>
  <c r="K156" i="2"/>
  <c r="C156" i="2"/>
  <c r="R155" i="2"/>
  <c r="S155" i="2"/>
  <c r="N155" i="2"/>
  <c r="T155" i="2" s="1"/>
  <c r="K155" i="2"/>
  <c r="C155" i="2"/>
  <c r="S154" i="2"/>
  <c r="K154" i="2"/>
  <c r="N154" i="2"/>
  <c r="T154" i="2" s="1"/>
  <c r="C154" i="2"/>
  <c r="C153" i="2"/>
  <c r="C152" i="2"/>
  <c r="C151" i="2"/>
  <c r="C150" i="2"/>
  <c r="C149" i="2"/>
  <c r="M148" i="2"/>
  <c r="C148" i="2"/>
  <c r="N147" i="2"/>
  <c r="K147" i="2"/>
  <c r="C147" i="2"/>
  <c r="N146" i="2"/>
  <c r="K146" i="2"/>
  <c r="C146" i="2"/>
  <c r="K145" i="2"/>
  <c r="N145" i="2"/>
  <c r="C145" i="2"/>
  <c r="K144" i="2"/>
  <c r="N144" i="2" s="1"/>
  <c r="C144" i="2"/>
  <c r="N143" i="2"/>
  <c r="K143" i="2"/>
  <c r="C143" i="2"/>
  <c r="K142" i="2"/>
  <c r="R142" i="2" s="1"/>
  <c r="S142" i="2" s="1"/>
  <c r="C142" i="2"/>
  <c r="K141" i="2"/>
  <c r="N141" i="2" s="1"/>
  <c r="T141" i="2" s="1"/>
  <c r="R141" i="2"/>
  <c r="S141" i="2" s="1"/>
  <c r="C141" i="2"/>
  <c r="K140" i="2"/>
  <c r="R140" i="2" s="1"/>
  <c r="S140" i="2" s="1"/>
  <c r="C140" i="2"/>
  <c r="K139" i="2"/>
  <c r="N139" i="2" s="1"/>
  <c r="T139" i="2" s="1"/>
  <c r="R139" i="2"/>
  <c r="S139" i="2" s="1"/>
  <c r="C139" i="2"/>
  <c r="K138" i="2"/>
  <c r="R138" i="2" s="1"/>
  <c r="R143" i="2" s="1"/>
  <c r="N138" i="2"/>
  <c r="T138" i="2"/>
  <c r="C138" i="2"/>
  <c r="S137" i="2"/>
  <c r="K137" i="2"/>
  <c r="K148" i="2"/>
  <c r="C137" i="2"/>
  <c r="C136" i="2"/>
  <c r="C135" i="2"/>
  <c r="C134" i="2"/>
  <c r="C133" i="2"/>
  <c r="C132" i="2"/>
  <c r="M131" i="2"/>
  <c r="C131" i="2"/>
  <c r="K130" i="2"/>
  <c r="N130" i="2" s="1"/>
  <c r="C130" i="2"/>
  <c r="K129" i="2"/>
  <c r="N129" i="2" s="1"/>
  <c r="C129" i="2"/>
  <c r="K128" i="2"/>
  <c r="N128" i="2" s="1"/>
  <c r="C128" i="2"/>
  <c r="K127" i="2"/>
  <c r="N127" i="2" s="1"/>
  <c r="C127" i="2"/>
  <c r="K126" i="2"/>
  <c r="C126" i="2"/>
  <c r="R125" i="2"/>
  <c r="S125" i="2" s="1"/>
  <c r="K125" i="2"/>
  <c r="N125" i="2" s="1"/>
  <c r="T125" i="2" s="1"/>
  <c r="C125" i="2"/>
  <c r="K124" i="2"/>
  <c r="C124" i="2"/>
  <c r="K123" i="2"/>
  <c r="N123" i="2" s="1"/>
  <c r="T123" i="2" s="1"/>
  <c r="C123" i="2"/>
  <c r="K122" i="2"/>
  <c r="C122" i="2"/>
  <c r="R121" i="2"/>
  <c r="S121" i="2" s="1"/>
  <c r="K121" i="2"/>
  <c r="N121" i="2" s="1"/>
  <c r="T121" i="2" s="1"/>
  <c r="C121" i="2"/>
  <c r="K120" i="2"/>
  <c r="C120" i="2"/>
  <c r="C119" i="2"/>
  <c r="C118" i="2"/>
  <c r="C117" i="2"/>
  <c r="C116" i="2"/>
  <c r="C115" i="2"/>
  <c r="M114" i="2"/>
  <c r="C114" i="2"/>
  <c r="K113" i="2"/>
  <c r="N113" i="2"/>
  <c r="C113" i="2"/>
  <c r="K112" i="2"/>
  <c r="N112" i="2" s="1"/>
  <c r="C112" i="2"/>
  <c r="K111" i="2"/>
  <c r="N111" i="2"/>
  <c r="C111" i="2"/>
  <c r="K110" i="2"/>
  <c r="N110" i="2"/>
  <c r="C110" i="2"/>
  <c r="K109" i="2"/>
  <c r="C109" i="2"/>
  <c r="K108" i="2"/>
  <c r="R108" i="2"/>
  <c r="S108" i="2" s="1"/>
  <c r="C108" i="2"/>
  <c r="R107" i="2"/>
  <c r="S107" i="2" s="1"/>
  <c r="K107" i="2"/>
  <c r="N107" i="2"/>
  <c r="T107" i="2"/>
  <c r="C107" i="2"/>
  <c r="K106" i="2"/>
  <c r="R106" i="2"/>
  <c r="S106" i="2" s="1"/>
  <c r="C106" i="2"/>
  <c r="K105" i="2"/>
  <c r="R105" i="2" s="1"/>
  <c r="S105" i="2" s="1"/>
  <c r="N105" i="2"/>
  <c r="T105" i="2" s="1"/>
  <c r="C105" i="2"/>
  <c r="K104" i="2"/>
  <c r="R104" i="2" s="1"/>
  <c r="C104" i="2"/>
  <c r="S103" i="2"/>
  <c r="K103" i="2"/>
  <c r="N103" i="2" s="1"/>
  <c r="T103" i="2" s="1"/>
  <c r="C103" i="2"/>
  <c r="C102" i="2"/>
  <c r="C101" i="2"/>
  <c r="C100" i="2"/>
  <c r="C99" i="2"/>
  <c r="C98" i="2"/>
  <c r="M97" i="2"/>
  <c r="C97" i="2"/>
  <c r="K96" i="2"/>
  <c r="N96" i="2"/>
  <c r="C96" i="2"/>
  <c r="K95" i="2"/>
  <c r="N95" i="2" s="1"/>
  <c r="C95" i="2"/>
  <c r="K94" i="2"/>
  <c r="N94" i="2"/>
  <c r="C94" i="2"/>
  <c r="K93" i="2"/>
  <c r="N93" i="2" s="1"/>
  <c r="C93" i="2"/>
  <c r="K92" i="2"/>
  <c r="N92" i="2"/>
  <c r="C92" i="2"/>
  <c r="K91" i="2"/>
  <c r="N91" i="2" s="1"/>
  <c r="C91" i="2"/>
  <c r="K90" i="2"/>
  <c r="N90" i="2" s="1"/>
  <c r="C90" i="2"/>
  <c r="N89" i="2"/>
  <c r="T89" i="2" s="1"/>
  <c r="K89" i="2"/>
  <c r="R89" i="2" s="1"/>
  <c r="S89" i="2" s="1"/>
  <c r="C89" i="2"/>
  <c r="S88" i="2"/>
  <c r="K88" i="2"/>
  <c r="N88" i="2"/>
  <c r="T88" i="2" s="1"/>
  <c r="C88" i="2"/>
  <c r="K87" i="2"/>
  <c r="R87" i="2" s="1"/>
  <c r="N87" i="2"/>
  <c r="T87" i="2" s="1"/>
  <c r="C87" i="2"/>
  <c r="K86" i="2"/>
  <c r="C86" i="2"/>
  <c r="C85" i="2"/>
  <c r="C84" i="2"/>
  <c r="C83" i="2"/>
  <c r="C82" i="2"/>
  <c r="C81" i="2"/>
  <c r="M80" i="2"/>
  <c r="C80" i="2"/>
  <c r="K79" i="2"/>
  <c r="N79" i="2" s="1"/>
  <c r="C79" i="2"/>
  <c r="K78" i="2"/>
  <c r="N78" i="2"/>
  <c r="C78" i="2"/>
  <c r="K77" i="2"/>
  <c r="N77" i="2" s="1"/>
  <c r="C77" i="2"/>
  <c r="K76" i="2"/>
  <c r="N76" i="2"/>
  <c r="C76" i="2"/>
  <c r="K75" i="2"/>
  <c r="N75" i="2"/>
  <c r="C75" i="2"/>
  <c r="K74" i="2"/>
  <c r="R74" i="2"/>
  <c r="S74" i="2" s="1"/>
  <c r="C74" i="2"/>
  <c r="S73" i="2"/>
  <c r="K73" i="2"/>
  <c r="N73" i="2" s="1"/>
  <c r="T73" i="2" s="1"/>
  <c r="C73" i="2"/>
  <c r="R72" i="2"/>
  <c r="S72" i="2" s="1"/>
  <c r="K72" i="2"/>
  <c r="N72" i="2" s="1"/>
  <c r="T72" i="2" s="1"/>
  <c r="C72" i="2"/>
  <c r="K71" i="2"/>
  <c r="C71" i="2"/>
  <c r="K70" i="2"/>
  <c r="R70" i="2" s="1"/>
  <c r="S70" i="2" s="1"/>
  <c r="C70" i="2"/>
  <c r="K69" i="2"/>
  <c r="C69" i="2"/>
  <c r="C68" i="2"/>
  <c r="C67" i="2"/>
  <c r="C66" i="2"/>
  <c r="C65" i="2"/>
  <c r="M64" i="2"/>
  <c r="C64" i="2"/>
  <c r="K63" i="2"/>
  <c r="N63" i="2" s="1"/>
  <c r="C63" i="2"/>
  <c r="K62" i="2"/>
  <c r="N62" i="2" s="1"/>
  <c r="C62" i="2"/>
  <c r="K61" i="2"/>
  <c r="N61" i="2" s="1"/>
  <c r="C61" i="2"/>
  <c r="K60" i="2"/>
  <c r="N60" i="2"/>
  <c r="C60" i="2"/>
  <c r="K59" i="2"/>
  <c r="N59" i="2" s="1"/>
  <c r="C59" i="2"/>
  <c r="N58" i="2"/>
  <c r="K58" i="2"/>
  <c r="C58" i="2"/>
  <c r="R57" i="2"/>
  <c r="S57" i="2" s="1"/>
  <c r="K57" i="2"/>
  <c r="N57" i="2" s="1"/>
  <c r="T57" i="2" s="1"/>
  <c r="C57" i="2"/>
  <c r="K56" i="2"/>
  <c r="N56" i="2" s="1"/>
  <c r="T56" i="2" s="1"/>
  <c r="R56" i="2"/>
  <c r="S56" i="2" s="1"/>
  <c r="C56" i="2"/>
  <c r="R55" i="2"/>
  <c r="S55" i="2" s="1"/>
  <c r="K55" i="2"/>
  <c r="N55" i="2" s="1"/>
  <c r="T55" i="2" s="1"/>
  <c r="C55" i="2"/>
  <c r="S54" i="2"/>
  <c r="K54" i="2"/>
  <c r="N54" i="2" s="1"/>
  <c r="T54" i="2" s="1"/>
  <c r="C54" i="2"/>
  <c r="K53" i="2"/>
  <c r="R53" i="2" s="1"/>
  <c r="N53" i="2"/>
  <c r="T53" i="2" s="1"/>
  <c r="C53" i="2"/>
  <c r="C52" i="2"/>
  <c r="C51" i="2"/>
  <c r="C50" i="2"/>
  <c r="C49" i="2"/>
  <c r="C48" i="2"/>
  <c r="M47" i="2"/>
  <c r="C47" i="2"/>
  <c r="K46" i="2"/>
  <c r="N46" i="2" s="1"/>
  <c r="C46" i="2"/>
  <c r="K45" i="2"/>
  <c r="N45" i="2"/>
  <c r="C45" i="2"/>
  <c r="N44" i="2"/>
  <c r="K44" i="2"/>
  <c r="C44" i="2"/>
  <c r="K43" i="2"/>
  <c r="N43" i="2"/>
  <c r="C43" i="2"/>
  <c r="K42" i="2"/>
  <c r="K47" i="2" s="1"/>
  <c r="C42" i="2"/>
  <c r="K41" i="2"/>
  <c r="N41" i="2" s="1"/>
  <c r="C41" i="2"/>
  <c r="K40" i="2"/>
  <c r="N40" i="2" s="1"/>
  <c r="T40" i="2" s="1"/>
  <c r="C40" i="2"/>
  <c r="R39" i="2"/>
  <c r="S39" i="2" s="1"/>
  <c r="N39" i="2"/>
  <c r="T39" i="2" s="1"/>
  <c r="K39" i="2"/>
  <c r="C39" i="2"/>
  <c r="K38" i="2"/>
  <c r="N38" i="2" s="1"/>
  <c r="T38" i="2" s="1"/>
  <c r="C38" i="2"/>
  <c r="R37" i="2"/>
  <c r="S37" i="2" s="1"/>
  <c r="N37" i="2"/>
  <c r="T37" i="2" s="1"/>
  <c r="K37" i="2"/>
  <c r="C37" i="2"/>
  <c r="S36" i="2"/>
  <c r="K36" i="2"/>
  <c r="C36" i="2"/>
  <c r="C35" i="2"/>
  <c r="C34" i="2"/>
  <c r="C33" i="2"/>
  <c r="C32" i="2"/>
  <c r="C31" i="2"/>
  <c r="M30" i="2"/>
  <c r="C30" i="2"/>
  <c r="N29" i="2"/>
  <c r="K29" i="2"/>
  <c r="C29" i="2"/>
  <c r="K28" i="2"/>
  <c r="N28" i="2" s="1"/>
  <c r="C28" i="2"/>
  <c r="K27" i="2"/>
  <c r="N27" i="2" s="1"/>
  <c r="C27" i="2"/>
  <c r="R26" i="2"/>
  <c r="S26" i="2" s="1"/>
  <c r="K26" i="2"/>
  <c r="N26" i="2"/>
  <c r="T26" i="2" s="1"/>
  <c r="C26" i="2"/>
  <c r="K25" i="2"/>
  <c r="R25" i="2" s="1"/>
  <c r="S25" i="2" s="1"/>
  <c r="C25" i="2"/>
  <c r="K24" i="2"/>
  <c r="N24" i="2" s="1"/>
  <c r="T24" i="2" s="1"/>
  <c r="C24" i="2"/>
  <c r="K23" i="2"/>
  <c r="R23" i="2" s="1"/>
  <c r="S23" i="2" s="1"/>
  <c r="C23" i="2"/>
  <c r="S22" i="2"/>
  <c r="K22" i="2"/>
  <c r="N22" i="2" s="1"/>
  <c r="T22" i="2" s="1"/>
  <c r="C22" i="2"/>
  <c r="R21" i="2"/>
  <c r="S21" i="2" s="1"/>
  <c r="N21" i="2"/>
  <c r="T21" i="2" s="1"/>
  <c r="K21" i="2"/>
  <c r="C21" i="2"/>
  <c r="K20" i="2"/>
  <c r="N20" i="2" s="1"/>
  <c r="T20" i="2" s="1"/>
  <c r="C20" i="2"/>
  <c r="K19" i="2"/>
  <c r="R19" i="2" s="1"/>
  <c r="C19" i="2"/>
  <c r="C18" i="2"/>
  <c r="C17" i="2"/>
  <c r="C16" i="2"/>
  <c r="C15" i="2"/>
  <c r="M14" i="2"/>
  <c r="C14" i="2"/>
  <c r="N13" i="2"/>
  <c r="K13" i="2"/>
  <c r="C13" i="2"/>
  <c r="K12" i="2"/>
  <c r="N12" i="2" s="1"/>
  <c r="C12" i="2"/>
  <c r="K11" i="2"/>
  <c r="N11" i="2" s="1"/>
  <c r="C11" i="2"/>
  <c r="K10" i="2"/>
  <c r="R10" i="2" s="1"/>
  <c r="S10" i="2" s="1"/>
  <c r="C10" i="2"/>
  <c r="K9" i="2"/>
  <c r="R9" i="2" s="1"/>
  <c r="S9" i="2" s="1"/>
  <c r="C9" i="2"/>
  <c r="K8" i="2"/>
  <c r="R8" i="2"/>
  <c r="S8" i="2" s="1"/>
  <c r="C8" i="2"/>
  <c r="R7" i="2"/>
  <c r="S7" i="2"/>
  <c r="K7" i="2"/>
  <c r="N7" i="2"/>
  <c r="T7" i="2"/>
  <c r="C7" i="2"/>
  <c r="K6" i="2"/>
  <c r="R6" i="2"/>
  <c r="S6" i="2" s="1"/>
  <c r="C6" i="2"/>
  <c r="K5" i="2"/>
  <c r="R5" i="2" s="1"/>
  <c r="N5" i="2"/>
  <c r="T5" i="2" s="1"/>
  <c r="C5" i="2"/>
  <c r="K4" i="2"/>
  <c r="C4" i="2"/>
  <c r="S3" i="2"/>
  <c r="K3" i="2"/>
  <c r="K14" i="2" s="1"/>
  <c r="C3" i="2"/>
  <c r="AD221" i="1"/>
  <c r="AD203" i="1"/>
  <c r="AD197" i="1"/>
  <c r="AD187" i="1"/>
  <c r="AD175" i="1"/>
  <c r="AD167" i="1"/>
  <c r="AD156" i="1"/>
  <c r="AD150" i="1"/>
  <c r="AD146" i="1"/>
  <c r="AD137" i="1"/>
  <c r="AD134" i="1"/>
  <c r="AD120" i="1"/>
  <c r="AD111" i="1"/>
  <c r="AD100" i="1"/>
  <c r="AD96" i="1"/>
  <c r="AD86" i="1"/>
  <c r="AD79" i="1"/>
  <c r="AD76" i="1"/>
  <c r="AD63" i="1"/>
  <c r="AD57" i="1"/>
  <c r="AD49" i="1"/>
  <c r="AD45" i="1"/>
  <c r="AD37" i="1"/>
  <c r="AD29" i="1"/>
  <c r="AD18" i="1"/>
  <c r="AD9" i="1"/>
  <c r="AA221" i="1"/>
  <c r="AA203" i="1"/>
  <c r="AA197" i="1"/>
  <c r="AA187" i="1"/>
  <c r="AA175" i="1"/>
  <c r="AA167" i="1"/>
  <c r="AA156" i="1"/>
  <c r="AA150" i="1"/>
  <c r="AA146" i="1"/>
  <c r="AA137" i="1"/>
  <c r="AA134" i="1"/>
  <c r="AA120" i="1"/>
  <c r="AA111" i="1"/>
  <c r="AA100" i="1"/>
  <c r="AA96" i="1"/>
  <c r="AA86" i="1"/>
  <c r="AA79" i="1"/>
  <c r="AA76" i="1"/>
  <c r="AA63" i="1"/>
  <c r="AA57" i="1"/>
  <c r="AA49" i="1"/>
  <c r="AA45" i="1"/>
  <c r="AA37" i="1"/>
  <c r="AA29" i="1"/>
  <c r="AA18" i="1"/>
  <c r="AA9" i="1"/>
  <c r="O3" i="3"/>
  <c r="P3" i="3"/>
  <c r="M4" i="3"/>
  <c r="Q4" i="3" s="1"/>
  <c r="O7" i="3"/>
  <c r="P7" i="3"/>
  <c r="M8" i="3"/>
  <c r="Q8" i="3" s="1"/>
  <c r="O11" i="3"/>
  <c r="P11" i="3" s="1"/>
  <c r="M12" i="3"/>
  <c r="Q12" i="3" s="1"/>
  <c r="O15" i="3"/>
  <c r="P15" i="3"/>
  <c r="M16" i="3"/>
  <c r="Q16" i="3" s="1"/>
  <c r="O19" i="3"/>
  <c r="P19" i="3"/>
  <c r="M20" i="3"/>
  <c r="Q20" i="3" s="1"/>
  <c r="O23" i="3"/>
  <c r="P23" i="3" s="1"/>
  <c r="M24" i="3"/>
  <c r="Q24" i="3" s="1"/>
  <c r="O27" i="3"/>
  <c r="P27" i="3"/>
  <c r="M28" i="3"/>
  <c r="Q28" i="3" s="1"/>
  <c r="S104" i="2"/>
  <c r="K30" i="2"/>
  <c r="K64" i="2"/>
  <c r="K80" i="2"/>
  <c r="R190" i="2"/>
  <c r="S190" i="2"/>
  <c r="N190" i="2"/>
  <c r="T190" i="2" s="1"/>
  <c r="T196" i="2" s="1"/>
  <c r="R192" i="2"/>
  <c r="R196" i="2" s="1"/>
  <c r="N192" i="2"/>
  <c r="T192" i="2" s="1"/>
  <c r="R194" i="2"/>
  <c r="S194" i="2" s="1"/>
  <c r="N194" i="2"/>
  <c r="T194" i="2" s="1"/>
  <c r="K233" i="2"/>
  <c r="N222" i="2"/>
  <c r="T222" i="2" s="1"/>
  <c r="S396" i="2"/>
  <c r="N4" i="2"/>
  <c r="T4" i="2" s="1"/>
  <c r="N6" i="2"/>
  <c r="T6" i="2" s="1"/>
  <c r="N8" i="2"/>
  <c r="T8" i="2" s="1"/>
  <c r="N10" i="2"/>
  <c r="T10" i="2" s="1"/>
  <c r="N23" i="2"/>
  <c r="T23" i="2" s="1"/>
  <c r="N25" i="2"/>
  <c r="T25" i="2"/>
  <c r="N36" i="2"/>
  <c r="T36" i="2" s="1"/>
  <c r="T41" i="2" s="1"/>
  <c r="N74" i="2"/>
  <c r="T74" i="2" s="1"/>
  <c r="N86" i="2"/>
  <c r="T86" i="2" s="1"/>
  <c r="T90" i="2" s="1"/>
  <c r="N104" i="2"/>
  <c r="T104" i="2" s="1"/>
  <c r="N106" i="2"/>
  <c r="T106" i="2"/>
  <c r="N108" i="2"/>
  <c r="T108" i="2"/>
  <c r="N137" i="2"/>
  <c r="T137" i="2" s="1"/>
  <c r="K199" i="2"/>
  <c r="R206" i="2"/>
  <c r="N206" i="2"/>
  <c r="T206" i="2"/>
  <c r="R241" i="2"/>
  <c r="S241" i="2" s="1"/>
  <c r="N241" i="2"/>
  <c r="T241" i="2" s="1"/>
  <c r="R243" i="2"/>
  <c r="S243" i="2"/>
  <c r="N243" i="2"/>
  <c r="T243" i="2" s="1"/>
  <c r="S363" i="2"/>
  <c r="R418" i="2"/>
  <c r="S418" i="2" s="1"/>
  <c r="N418" i="2"/>
  <c r="T418" i="2" s="1"/>
  <c r="S450" i="2"/>
  <c r="R4" i="2"/>
  <c r="S4" i="2" s="1"/>
  <c r="R86" i="2"/>
  <c r="R156" i="2"/>
  <c r="S156" i="2"/>
  <c r="N156" i="2"/>
  <c r="T156" i="2"/>
  <c r="R158" i="2"/>
  <c r="S158" i="2" s="1"/>
  <c r="S159" i="2" s="1"/>
  <c r="N158" i="2"/>
  <c r="T158" i="2"/>
  <c r="K165" i="2"/>
  <c r="K182" i="2"/>
  <c r="R172" i="2"/>
  <c r="N172" i="2"/>
  <c r="T172" i="2"/>
  <c r="T176" i="2" s="1"/>
  <c r="R174" i="2"/>
  <c r="S174" i="2" s="1"/>
  <c r="N174" i="2"/>
  <c r="T174" i="2"/>
  <c r="S189" i="2"/>
  <c r="R227" i="2"/>
  <c r="S227" i="2" s="1"/>
  <c r="N227" i="2"/>
  <c r="T227" i="2" s="1"/>
  <c r="K267" i="2"/>
  <c r="R256" i="2"/>
  <c r="R277" i="2"/>
  <c r="S277" i="2"/>
  <c r="N277" i="2"/>
  <c r="T277" i="2"/>
  <c r="R279" i="2"/>
  <c r="S279" i="2" s="1"/>
  <c r="N279" i="2"/>
  <c r="T279" i="2"/>
  <c r="R345" i="2"/>
  <c r="S345" i="2" s="1"/>
  <c r="N345" i="2"/>
  <c r="T345" i="2"/>
  <c r="S467" i="2"/>
  <c r="R259" i="2"/>
  <c r="S259" i="2" s="1"/>
  <c r="N259" i="2"/>
  <c r="T259" i="2" s="1"/>
  <c r="T261" i="2" s="1"/>
  <c r="R312" i="2"/>
  <c r="S309" i="2"/>
  <c r="S312" i="2"/>
  <c r="K444" i="2"/>
  <c r="K301" i="2"/>
  <c r="R293" i="2"/>
  <c r="R295" i="2" s="1"/>
  <c r="N293" i="2"/>
  <c r="T293" i="2" s="1"/>
  <c r="R327" i="2"/>
  <c r="N327" i="2"/>
  <c r="K336" i="2"/>
  <c r="S344" i="2"/>
  <c r="R349" i="2"/>
  <c r="S349" i="2" s="1"/>
  <c r="N349" i="2"/>
  <c r="T349" i="2" s="1"/>
  <c r="R383" i="2"/>
  <c r="S383" i="2"/>
  <c r="S386" i="2" s="1"/>
  <c r="N383" i="2"/>
  <c r="T383" i="2" s="1"/>
  <c r="R399" i="2"/>
  <c r="S399" i="2" s="1"/>
  <c r="N399" i="2"/>
  <c r="T399" i="2"/>
  <c r="K426" i="2"/>
  <c r="R416" i="2"/>
  <c r="S416" i="2" s="1"/>
  <c r="N416" i="2"/>
  <c r="T416" i="2"/>
  <c r="K478" i="2"/>
  <c r="R468" i="2"/>
  <c r="S468" i="2"/>
  <c r="N468" i="2"/>
  <c r="T468" i="2" s="1"/>
  <c r="R347" i="2"/>
  <c r="N347" i="2"/>
  <c r="T347" i="2" s="1"/>
  <c r="R366" i="2"/>
  <c r="S366" i="2"/>
  <c r="S368" i="2" s="1"/>
  <c r="N366" i="2"/>
  <c r="T366" i="2" s="1"/>
  <c r="T368" i="2" s="1"/>
  <c r="K391" i="2"/>
  <c r="K407" i="2"/>
  <c r="R397" i="2"/>
  <c r="S397" i="2"/>
  <c r="N397" i="2"/>
  <c r="T397" i="2" s="1"/>
  <c r="R380" i="2"/>
  <c r="R413" i="2"/>
  <c r="S413" i="2" s="1"/>
  <c r="N453" i="2"/>
  <c r="T453" i="2" s="1"/>
  <c r="N455" i="2"/>
  <c r="T455" i="2"/>
  <c r="N471" i="2"/>
  <c r="T471" i="2" s="1"/>
  <c r="N473" i="2"/>
  <c r="T473" i="2" s="1"/>
  <c r="R431" i="2"/>
  <c r="N449" i="2"/>
  <c r="T449" i="2" s="1"/>
  <c r="S327" i="2"/>
  <c r="S331" i="2" s="1"/>
  <c r="R331" i="2"/>
  <c r="R176" i="2"/>
  <c r="S172" i="2"/>
  <c r="S256" i="2"/>
  <c r="R159" i="2"/>
  <c r="S431" i="2"/>
  <c r="R368" i="2"/>
  <c r="S206" i="2"/>
  <c r="S86" i="2"/>
  <c r="R386" i="2"/>
  <c r="S380" i="2"/>
  <c r="J206" i="1"/>
  <c r="J204" i="1"/>
  <c r="J210" i="1"/>
  <c r="J212" i="1"/>
  <c r="J202" i="1"/>
  <c r="J205" i="1"/>
  <c r="J211" i="1"/>
  <c r="J207" i="1"/>
  <c r="J208" i="1"/>
  <c r="J209" i="1"/>
  <c r="J219" i="1"/>
  <c r="J214" i="1"/>
  <c r="J218" i="1"/>
  <c r="J221" i="1"/>
  <c r="J213" i="1"/>
  <c r="J216" i="1"/>
  <c r="J215" i="1"/>
  <c r="J217" i="1"/>
  <c r="J203" i="1"/>
  <c r="J201" i="1"/>
  <c r="J199" i="1"/>
  <c r="J196" i="1"/>
  <c r="J197" i="1"/>
  <c r="J194" i="1"/>
  <c r="J200" i="1"/>
  <c r="J198" i="1"/>
  <c r="J174" i="1"/>
  <c r="J173" i="1"/>
  <c r="J175" i="1"/>
  <c r="J172" i="1"/>
  <c r="J171" i="1"/>
  <c r="J170" i="1"/>
  <c r="J177" i="1"/>
  <c r="J178" i="1"/>
  <c r="J179" i="1"/>
  <c r="J180" i="1"/>
  <c r="J182" i="1"/>
  <c r="J181" i="1"/>
  <c r="J183" i="1"/>
  <c r="J191" i="1"/>
  <c r="J184" i="1"/>
  <c r="J187" i="1"/>
  <c r="J193" i="1"/>
  <c r="J188" i="1"/>
  <c r="J189" i="1"/>
  <c r="J192" i="1"/>
  <c r="J186" i="1"/>
  <c r="J190" i="1"/>
  <c r="L190" i="1" s="1"/>
  <c r="J176" i="1"/>
  <c r="J153" i="1"/>
  <c r="J151" i="1"/>
  <c r="J149" i="1"/>
  <c r="J152" i="1"/>
  <c r="J162" i="1"/>
  <c r="J158" i="1"/>
  <c r="J156" i="1"/>
  <c r="J157" i="1"/>
  <c r="J154" i="1"/>
  <c r="J160" i="1"/>
  <c r="J161" i="1"/>
  <c r="L161" i="1" s="1"/>
  <c r="J155" i="1"/>
  <c r="J159" i="1"/>
  <c r="J163" i="1"/>
  <c r="J164" i="1"/>
  <c r="J165" i="1"/>
  <c r="J166" i="1"/>
  <c r="J167" i="1"/>
  <c r="J168" i="1"/>
  <c r="J150" i="1"/>
  <c r="J137" i="1"/>
  <c r="J138" i="1"/>
  <c r="J139" i="1"/>
  <c r="J140" i="1"/>
  <c r="J141" i="1"/>
  <c r="J142" i="1"/>
  <c r="J146" i="1"/>
  <c r="J148" i="1"/>
  <c r="J145" i="1"/>
  <c r="J144" i="1"/>
  <c r="J143" i="1"/>
  <c r="J136" i="1"/>
  <c r="J118" i="1"/>
  <c r="J121" i="1"/>
  <c r="J117" i="1"/>
  <c r="L117" i="1" s="1"/>
  <c r="J119" i="1"/>
  <c r="J122" i="1"/>
  <c r="J126" i="1"/>
  <c r="J123" i="1"/>
  <c r="J127" i="1"/>
  <c r="J124" i="1"/>
  <c r="J125" i="1"/>
  <c r="J131" i="1"/>
  <c r="J129" i="1"/>
  <c r="J134" i="1"/>
  <c r="J128" i="1"/>
  <c r="J130" i="1"/>
  <c r="L130" i="1" s="1"/>
  <c r="J133" i="1"/>
  <c r="J132" i="1"/>
  <c r="J120" i="1"/>
  <c r="J111" i="1"/>
  <c r="J112" i="1"/>
  <c r="J110" i="1"/>
  <c r="J114" i="1"/>
  <c r="J115" i="1"/>
  <c r="J106" i="1"/>
  <c r="J109" i="1"/>
  <c r="J113" i="1"/>
  <c r="J34" i="1"/>
  <c r="L34" i="1" s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50" i="1"/>
  <c r="J53" i="1"/>
  <c r="J51" i="1"/>
  <c r="J49" i="1"/>
  <c r="J48" i="1"/>
  <c r="J52" i="1"/>
  <c r="J60" i="1"/>
  <c r="J57" i="1"/>
  <c r="J55" i="1"/>
  <c r="J58" i="1"/>
  <c r="J59" i="1"/>
  <c r="L59" i="1" s="1"/>
  <c r="J54" i="1"/>
  <c r="J61" i="1"/>
  <c r="J56" i="1"/>
  <c r="J62" i="1"/>
  <c r="J63" i="1"/>
  <c r="J69" i="1"/>
  <c r="J66" i="1"/>
  <c r="J65" i="1"/>
  <c r="J64" i="1"/>
  <c r="J70" i="1"/>
  <c r="J68" i="1"/>
  <c r="J67" i="1"/>
  <c r="L67" i="1" s="1"/>
  <c r="J77" i="1"/>
  <c r="J71" i="1"/>
  <c r="J76" i="1"/>
  <c r="J72" i="1"/>
  <c r="J78" i="1"/>
  <c r="J74" i="1"/>
  <c r="J75" i="1"/>
  <c r="J73" i="1"/>
  <c r="J80" i="1"/>
  <c r="J81" i="1"/>
  <c r="J79" i="1"/>
  <c r="J84" i="1"/>
  <c r="L84" i="1" s="1"/>
  <c r="J83" i="1"/>
  <c r="J82" i="1"/>
  <c r="J86" i="1"/>
  <c r="J90" i="1"/>
  <c r="J85" i="1"/>
  <c r="J88" i="1"/>
  <c r="J87" i="1"/>
  <c r="J91" i="1"/>
  <c r="J89" i="1"/>
  <c r="J96" i="1"/>
  <c r="J97" i="1"/>
  <c r="J95" i="1"/>
  <c r="L95" i="1" s="1"/>
  <c r="J92" i="1"/>
  <c r="J94" i="1"/>
  <c r="J99" i="1"/>
  <c r="J98" i="1"/>
  <c r="J93" i="1"/>
  <c r="J100" i="1"/>
  <c r="J102" i="1"/>
  <c r="J101" i="1"/>
  <c r="J103" i="1"/>
  <c r="J104" i="1"/>
  <c r="J107" i="1"/>
  <c r="J33" i="1"/>
  <c r="L33" i="1" s="1"/>
  <c r="L20" i="1"/>
  <c r="L32" i="1"/>
  <c r="L116" i="1"/>
  <c r="L108" i="1"/>
  <c r="L105" i="1"/>
  <c r="L135" i="1"/>
  <c r="L147" i="1"/>
  <c r="L169" i="1"/>
  <c r="L185" i="1"/>
  <c r="L195" i="1"/>
  <c r="L222" i="1"/>
  <c r="L220" i="1"/>
  <c r="J31" i="1"/>
  <c r="J30" i="1"/>
  <c r="J29" i="1"/>
  <c r="J28" i="1"/>
  <c r="J27" i="1"/>
  <c r="J9" i="1"/>
  <c r="J7" i="1"/>
  <c r="J3" i="1"/>
  <c r="J15" i="1"/>
  <c r="J13" i="1"/>
  <c r="J12" i="1"/>
  <c r="J8" i="1"/>
  <c r="L8" i="1" s="1"/>
  <c r="J14" i="1"/>
  <c r="J6" i="1"/>
  <c r="J10" i="1"/>
  <c r="J4" i="1"/>
  <c r="J11" i="1"/>
  <c r="Y11" i="1" s="1"/>
  <c r="J22" i="1"/>
  <c r="J17" i="1"/>
  <c r="J23" i="1"/>
  <c r="J18" i="1"/>
  <c r="J24" i="1"/>
  <c r="J21" i="1"/>
  <c r="J16" i="1"/>
  <c r="Y16" i="1" s="1"/>
  <c r="J26" i="1"/>
  <c r="J25" i="1"/>
  <c r="J5" i="1"/>
  <c r="C9" i="1"/>
  <c r="S9" i="1" s="1"/>
  <c r="U9" i="1" s="1"/>
  <c r="W9" i="1" s="1"/>
  <c r="C7" i="1"/>
  <c r="AD7" i="1" s="1"/>
  <c r="C3" i="1"/>
  <c r="C15" i="1"/>
  <c r="AD15" i="1" s="1"/>
  <c r="C13" i="1"/>
  <c r="C12" i="1"/>
  <c r="S12" i="1" s="1"/>
  <c r="U12" i="1" s="1"/>
  <c r="W12" i="1" s="1"/>
  <c r="C8" i="1"/>
  <c r="C14" i="1"/>
  <c r="AD14" i="1" s="1"/>
  <c r="C6" i="1"/>
  <c r="AD6" i="1" s="1"/>
  <c r="C10" i="1"/>
  <c r="C4" i="1"/>
  <c r="S4" i="1" s="1"/>
  <c r="U4" i="1" s="1"/>
  <c r="C11" i="1"/>
  <c r="C22" i="1"/>
  <c r="AD22" i="1" s="1"/>
  <c r="C17" i="1"/>
  <c r="AD17" i="1" s="1"/>
  <c r="C23" i="1"/>
  <c r="C18" i="1"/>
  <c r="C24" i="1"/>
  <c r="C19" i="1"/>
  <c r="C21" i="1"/>
  <c r="S21" i="1" s="1"/>
  <c r="U21" i="1" s="1"/>
  <c r="W21" i="1" s="1"/>
  <c r="C16" i="1"/>
  <c r="AD16" i="1"/>
  <c r="C26" i="1"/>
  <c r="AD26" i="1" s="1"/>
  <c r="C25" i="1"/>
  <c r="C20" i="1"/>
  <c r="C27" i="1"/>
  <c r="C28" i="1"/>
  <c r="C29" i="1"/>
  <c r="C30" i="1"/>
  <c r="C31" i="1"/>
  <c r="C32" i="1"/>
  <c r="C33" i="1"/>
  <c r="C34" i="1"/>
  <c r="C35" i="1"/>
  <c r="C36" i="1"/>
  <c r="C37" i="1"/>
  <c r="S37" i="1" s="1"/>
  <c r="U37" i="1" s="1"/>
  <c r="W37" i="1" s="1"/>
  <c r="C38" i="1"/>
  <c r="C39" i="1"/>
  <c r="S39" i="1" s="1"/>
  <c r="U39" i="1" s="1"/>
  <c r="W39" i="1" s="1"/>
  <c r="C40" i="1"/>
  <c r="AD40" i="1" s="1"/>
  <c r="C41" i="1"/>
  <c r="C42" i="1"/>
  <c r="C43" i="1"/>
  <c r="S43" i="1" s="1"/>
  <c r="U43" i="1" s="1"/>
  <c r="W43" i="1" s="1"/>
  <c r="C44" i="1"/>
  <c r="C45" i="1"/>
  <c r="C46" i="1"/>
  <c r="C47" i="1"/>
  <c r="C50" i="1"/>
  <c r="S50" i="1"/>
  <c r="U50" i="1" s="1"/>
  <c r="W50" i="1" s="1"/>
  <c r="C53" i="1"/>
  <c r="S53" i="1" s="1"/>
  <c r="U53" i="1" s="1"/>
  <c r="W53" i="1" s="1"/>
  <c r="C51" i="1"/>
  <c r="S51" i="1"/>
  <c r="U51" i="1" s="1"/>
  <c r="W51" i="1" s="1"/>
  <c r="C49" i="1"/>
  <c r="S49" i="1"/>
  <c r="U49" i="1" s="1"/>
  <c r="W49" i="1" s="1"/>
  <c r="C48" i="1"/>
  <c r="C52" i="1"/>
  <c r="C60" i="1"/>
  <c r="C57" i="1"/>
  <c r="S57" i="1"/>
  <c r="U57" i="1" s="1"/>
  <c r="W57" i="1" s="1"/>
  <c r="C55" i="1"/>
  <c r="AD55" i="1" s="1"/>
  <c r="C58" i="1"/>
  <c r="C59" i="1"/>
  <c r="C54" i="1"/>
  <c r="C61" i="1"/>
  <c r="C56" i="1"/>
  <c r="C62" i="1"/>
  <c r="C63" i="1"/>
  <c r="S63" i="1" s="1"/>
  <c r="U63" i="1" s="1"/>
  <c r="W63" i="1" s="1"/>
  <c r="C69" i="1"/>
  <c r="S69" i="1" s="1"/>
  <c r="U69" i="1" s="1"/>
  <c r="W69" i="1" s="1"/>
  <c r="C66" i="1"/>
  <c r="C65" i="1"/>
  <c r="C64" i="1"/>
  <c r="C70" i="1"/>
  <c r="S70" i="1" s="1"/>
  <c r="U70" i="1" s="1"/>
  <c r="W70" i="1" s="1"/>
  <c r="C68" i="1"/>
  <c r="C67" i="1"/>
  <c r="S67" i="1" s="1"/>
  <c r="U67" i="1" s="1"/>
  <c r="W67" i="1" s="1"/>
  <c r="C77" i="1"/>
  <c r="C71" i="1"/>
  <c r="C76" i="1"/>
  <c r="C72" i="1"/>
  <c r="C78" i="1"/>
  <c r="C74" i="1"/>
  <c r="C75" i="1"/>
  <c r="C73" i="1"/>
  <c r="C80" i="1"/>
  <c r="S80" i="1" s="1"/>
  <c r="U80" i="1" s="1"/>
  <c r="W80" i="1" s="1"/>
  <c r="C81" i="1"/>
  <c r="S81" i="1" s="1"/>
  <c r="U81" i="1" s="1"/>
  <c r="W81" i="1" s="1"/>
  <c r="C79" i="1"/>
  <c r="S79" i="1" s="1"/>
  <c r="U79" i="1" s="1"/>
  <c r="W79" i="1" s="1"/>
  <c r="C84" i="1"/>
  <c r="S84" i="1" s="1"/>
  <c r="U84" i="1" s="1"/>
  <c r="W84" i="1" s="1"/>
  <c r="C83" i="1"/>
  <c r="S83" i="1" s="1"/>
  <c r="U83" i="1" s="1"/>
  <c r="W83" i="1" s="1"/>
  <c r="C82" i="1"/>
  <c r="S82" i="1" s="1"/>
  <c r="U82" i="1" s="1"/>
  <c r="W82" i="1" s="1"/>
  <c r="C86" i="1"/>
  <c r="S86" i="1" s="1"/>
  <c r="U86" i="1" s="1"/>
  <c r="W86" i="1" s="1"/>
  <c r="C90" i="1"/>
  <c r="S90" i="1" s="1"/>
  <c r="U90" i="1" s="1"/>
  <c r="W90" i="1" s="1"/>
  <c r="C85" i="1"/>
  <c r="S85" i="1" s="1"/>
  <c r="U85" i="1" s="1"/>
  <c r="W85" i="1" s="1"/>
  <c r="C88" i="1"/>
  <c r="S88" i="1" s="1"/>
  <c r="U88" i="1" s="1"/>
  <c r="W88" i="1" s="1"/>
  <c r="C87" i="1"/>
  <c r="C91" i="1"/>
  <c r="S91" i="1"/>
  <c r="U91" i="1" s="1"/>
  <c r="W91" i="1" s="1"/>
  <c r="C89" i="1"/>
  <c r="S89" i="1"/>
  <c r="U89" i="1" s="1"/>
  <c r="W89" i="1" s="1"/>
  <c r="C96" i="1"/>
  <c r="C97" i="1"/>
  <c r="C95" i="1"/>
  <c r="C92" i="1"/>
  <c r="C94" i="1"/>
  <c r="C99" i="1"/>
  <c r="C98" i="1"/>
  <c r="C93" i="1"/>
  <c r="C100" i="1"/>
  <c r="C102" i="1"/>
  <c r="C101" i="1"/>
  <c r="C103" i="1"/>
  <c r="C104" i="1"/>
  <c r="S104" i="1" s="1"/>
  <c r="U104" i="1" s="1"/>
  <c r="W104" i="1" s="1"/>
  <c r="C107" i="1"/>
  <c r="S107" i="1"/>
  <c r="U107" i="1" s="1"/>
  <c r="C113" i="1"/>
  <c r="S113" i="1" s="1"/>
  <c r="U113" i="1" s="1"/>
  <c r="W113" i="1" s="1"/>
  <c r="C109" i="1"/>
  <c r="S109" i="1" s="1"/>
  <c r="U109" i="1" s="1"/>
  <c r="C106" i="1"/>
  <c r="S106" i="1" s="1"/>
  <c r="U106" i="1" s="1"/>
  <c r="C115" i="1"/>
  <c r="C114" i="1"/>
  <c r="S114" i="1" s="1"/>
  <c r="U114" i="1" s="1"/>
  <c r="W114" i="1" s="1"/>
  <c r="C110" i="1"/>
  <c r="S110" i="1" s="1"/>
  <c r="U110" i="1" s="1"/>
  <c r="C112" i="1"/>
  <c r="S112" i="1"/>
  <c r="U112" i="1" s="1"/>
  <c r="W112" i="1" s="1"/>
  <c r="C111" i="1"/>
  <c r="S111" i="1" s="1"/>
  <c r="U111" i="1" s="1"/>
  <c r="W111" i="1" s="1"/>
  <c r="C116" i="1"/>
  <c r="S116" i="1" s="1"/>
  <c r="U116" i="1" s="1"/>
  <c r="W116" i="1" s="1"/>
  <c r="C108" i="1"/>
  <c r="C105" i="1"/>
  <c r="S105" i="1" s="1"/>
  <c r="U105" i="1" s="1"/>
  <c r="W105" i="1" s="1"/>
  <c r="C120" i="1"/>
  <c r="S120" i="1" s="1"/>
  <c r="U120" i="1" s="1"/>
  <c r="W120" i="1" s="1"/>
  <c r="C118" i="1"/>
  <c r="S118" i="1" s="1"/>
  <c r="U118" i="1" s="1"/>
  <c r="W118" i="1" s="1"/>
  <c r="C121" i="1"/>
  <c r="AD121" i="1" s="1"/>
  <c r="C117" i="1"/>
  <c r="S117" i="1" s="1"/>
  <c r="U117" i="1" s="1"/>
  <c r="W117" i="1" s="1"/>
  <c r="C119" i="1"/>
  <c r="S119" i="1" s="1"/>
  <c r="U119" i="1" s="1"/>
  <c r="W119" i="1" s="1"/>
  <c r="C122" i="1"/>
  <c r="C126" i="1"/>
  <c r="C123" i="1"/>
  <c r="S123" i="1" s="1"/>
  <c r="U123" i="1" s="1"/>
  <c r="W123" i="1" s="1"/>
  <c r="C127" i="1"/>
  <c r="S127" i="1" s="1"/>
  <c r="U127" i="1" s="1"/>
  <c r="W127" i="1" s="1"/>
  <c r="C124" i="1"/>
  <c r="C125" i="1"/>
  <c r="C131" i="1"/>
  <c r="S131" i="1" s="1"/>
  <c r="U131" i="1" s="1"/>
  <c r="W131" i="1" s="1"/>
  <c r="C129" i="1"/>
  <c r="C134" i="1"/>
  <c r="S134" i="1" s="1"/>
  <c r="U134" i="1" s="1"/>
  <c r="W134" i="1" s="1"/>
  <c r="C128" i="1"/>
  <c r="AA128" i="1" s="1"/>
  <c r="C130" i="1"/>
  <c r="AA130" i="1" s="1"/>
  <c r="AB130" i="1" s="1"/>
  <c r="C133" i="1"/>
  <c r="C132" i="1"/>
  <c r="C135" i="1"/>
  <c r="C136" i="1"/>
  <c r="C137" i="1"/>
  <c r="S137" i="1" s="1"/>
  <c r="U137" i="1" s="1"/>
  <c r="W137" i="1" s="1"/>
  <c r="C138" i="1"/>
  <c r="C139" i="1"/>
  <c r="C140" i="1"/>
  <c r="C141" i="1"/>
  <c r="C142" i="1"/>
  <c r="C146" i="1"/>
  <c r="C148" i="1"/>
  <c r="S148" i="1" s="1"/>
  <c r="U148" i="1" s="1"/>
  <c r="W148" i="1" s="1"/>
  <c r="C145" i="1"/>
  <c r="C144" i="1"/>
  <c r="C143" i="1"/>
  <c r="C147" i="1"/>
  <c r="AA147" i="1" s="1"/>
  <c r="C150" i="1"/>
  <c r="S150" i="1" s="1"/>
  <c r="U150" i="1" s="1"/>
  <c r="W150" i="1" s="1"/>
  <c r="C153" i="1"/>
  <c r="S153" i="1" s="1"/>
  <c r="U153" i="1" s="1"/>
  <c r="W153" i="1" s="1"/>
  <c r="C151" i="1"/>
  <c r="S151" i="1" s="1"/>
  <c r="U151" i="1" s="1"/>
  <c r="W151" i="1" s="1"/>
  <c r="C149" i="1"/>
  <c r="AA149" i="1" s="1"/>
  <c r="C152" i="1"/>
  <c r="S152" i="1" s="1"/>
  <c r="U152" i="1" s="1"/>
  <c r="W152" i="1" s="1"/>
  <c r="C162" i="1"/>
  <c r="S162" i="1"/>
  <c r="U162" i="1" s="1"/>
  <c r="W162" i="1" s="1"/>
  <c r="C158" i="1"/>
  <c r="S158" i="1" s="1"/>
  <c r="U158" i="1" s="1"/>
  <c r="W158" i="1" s="1"/>
  <c r="C156" i="1"/>
  <c r="S156" i="1" s="1"/>
  <c r="U156" i="1" s="1"/>
  <c r="W156" i="1" s="1"/>
  <c r="C157" i="1"/>
  <c r="S157" i="1"/>
  <c r="U157" i="1" s="1"/>
  <c r="W157" i="1" s="1"/>
  <c r="C154" i="1"/>
  <c r="S154" i="1" s="1"/>
  <c r="U154" i="1" s="1"/>
  <c r="C160" i="1"/>
  <c r="S160" i="1" s="1"/>
  <c r="U160" i="1" s="1"/>
  <c r="W160" i="1" s="1"/>
  <c r="C161" i="1"/>
  <c r="S161" i="1"/>
  <c r="U161" i="1" s="1"/>
  <c r="W161" i="1" s="1"/>
  <c r="C155" i="1"/>
  <c r="S155" i="1"/>
  <c r="U155" i="1" s="1"/>
  <c r="W155" i="1" s="1"/>
  <c r="C159" i="1"/>
  <c r="S159" i="1" s="1"/>
  <c r="U159" i="1" s="1"/>
  <c r="W159" i="1" s="1"/>
  <c r="C163" i="1"/>
  <c r="S163" i="1"/>
  <c r="U163" i="1" s="1"/>
  <c r="W163" i="1" s="1"/>
  <c r="C164" i="1"/>
  <c r="AD164" i="1" s="1"/>
  <c r="C165" i="1"/>
  <c r="C166" i="1"/>
  <c r="C167" i="1"/>
  <c r="S167" i="1" s="1"/>
  <c r="U167" i="1" s="1"/>
  <c r="W167" i="1" s="1"/>
  <c r="C168" i="1"/>
  <c r="AA168" i="1" s="1"/>
  <c r="AB168" i="1" s="1"/>
  <c r="C169" i="1"/>
  <c r="C176" i="1"/>
  <c r="S176" i="1" s="1"/>
  <c r="U176" i="1" s="1"/>
  <c r="C174" i="1"/>
  <c r="S174" i="1" s="1"/>
  <c r="U174" i="1" s="1"/>
  <c r="C173" i="1"/>
  <c r="S173" i="1" s="1"/>
  <c r="U173" i="1" s="1"/>
  <c r="C175" i="1"/>
  <c r="S175" i="1" s="1"/>
  <c r="U175" i="1" s="1"/>
  <c r="W175" i="1" s="1"/>
  <c r="C172" i="1"/>
  <c r="S172" i="1" s="1"/>
  <c r="U172" i="1" s="1"/>
  <c r="C171" i="1"/>
  <c r="S171" i="1" s="1"/>
  <c r="U171" i="1" s="1"/>
  <c r="C170" i="1"/>
  <c r="S170" i="1"/>
  <c r="U170" i="1" s="1"/>
  <c r="C177" i="1"/>
  <c r="C178" i="1"/>
  <c r="S178" i="1"/>
  <c r="U178" i="1" s="1"/>
  <c r="W178" i="1" s="1"/>
  <c r="C179" i="1"/>
  <c r="S179" i="1" s="1"/>
  <c r="U179" i="1" s="1"/>
  <c r="W179" i="1" s="1"/>
  <c r="C180" i="1"/>
  <c r="C182" i="1"/>
  <c r="C181" i="1"/>
  <c r="C183" i="1"/>
  <c r="C191" i="1"/>
  <c r="C184" i="1"/>
  <c r="C187" i="1"/>
  <c r="S187" i="1" s="1"/>
  <c r="U187" i="1" s="1"/>
  <c r="W187" i="1" s="1"/>
  <c r="C193" i="1"/>
  <c r="C188" i="1"/>
  <c r="C189" i="1"/>
  <c r="C192" i="1"/>
  <c r="S192" i="1" s="1"/>
  <c r="U192" i="1" s="1"/>
  <c r="W192" i="1" s="1"/>
  <c r="C186" i="1"/>
  <c r="C190" i="1"/>
  <c r="AD190" i="1" s="1"/>
  <c r="C185" i="1"/>
  <c r="C198" i="1"/>
  <c r="C201" i="1"/>
  <c r="AD201" i="1" s="1"/>
  <c r="C199" i="1"/>
  <c r="C196" i="1"/>
  <c r="S196" i="1" s="1"/>
  <c r="U196" i="1" s="1"/>
  <c r="C197" i="1"/>
  <c r="S197" i="1" s="1"/>
  <c r="U197" i="1" s="1"/>
  <c r="W197" i="1" s="1"/>
  <c r="C194" i="1"/>
  <c r="C200" i="1"/>
  <c r="S200" i="1" s="1"/>
  <c r="U200" i="1" s="1"/>
  <c r="W200" i="1" s="1"/>
  <c r="C195" i="1"/>
  <c r="S195" i="1" s="1"/>
  <c r="U195" i="1" s="1"/>
  <c r="W195" i="1" s="1"/>
  <c r="C203" i="1"/>
  <c r="S203" i="1" s="1"/>
  <c r="U203" i="1" s="1"/>
  <c r="W203" i="1" s="1"/>
  <c r="C206" i="1"/>
  <c r="C204" i="1"/>
  <c r="AD204" i="1" s="1"/>
  <c r="AE204" i="1" s="1"/>
  <c r="AF204" i="1" s="1"/>
  <c r="V204" i="1" s="1"/>
  <c r="W204" i="1" s="1"/>
  <c r="C210" i="1"/>
  <c r="C212" i="1"/>
  <c r="AD212" i="1" s="1"/>
  <c r="C202" i="1"/>
  <c r="C205" i="1"/>
  <c r="S205" i="1" s="1"/>
  <c r="U205" i="1" s="1"/>
  <c r="W205" i="1" s="1"/>
  <c r="C211" i="1"/>
  <c r="C207" i="1"/>
  <c r="C208" i="1"/>
  <c r="AD208" i="1" s="1"/>
  <c r="C209" i="1"/>
  <c r="C219" i="1"/>
  <c r="C214" i="1"/>
  <c r="C218" i="1"/>
  <c r="C221" i="1"/>
  <c r="S221" i="1" s="1"/>
  <c r="U221" i="1" s="1"/>
  <c r="W221" i="1" s="1"/>
  <c r="C213" i="1"/>
  <c r="AD213" i="1" s="1"/>
  <c r="C216" i="1"/>
  <c r="C215" i="1"/>
  <c r="C217" i="1"/>
  <c r="S217" i="1" s="1"/>
  <c r="U217" i="1" s="1"/>
  <c r="W217" i="1" s="1"/>
  <c r="C222" i="1"/>
  <c r="AD222" i="1" s="1"/>
  <c r="C220" i="1"/>
  <c r="C5" i="1"/>
  <c r="S5" i="1" s="1"/>
  <c r="U5" i="1" s="1"/>
  <c r="W5" i="1" s="1"/>
  <c r="L5" i="1"/>
  <c r="Y5" i="1"/>
  <c r="L23" i="1"/>
  <c r="Y23" i="1"/>
  <c r="Y8" i="1"/>
  <c r="L28" i="1"/>
  <c r="Y28" i="1"/>
  <c r="Y33" i="1"/>
  <c r="L98" i="1"/>
  <c r="Y98" i="1"/>
  <c r="L91" i="1"/>
  <c r="Y91" i="1"/>
  <c r="Y84" i="1"/>
  <c r="L72" i="1"/>
  <c r="Y72" i="1"/>
  <c r="L65" i="1"/>
  <c r="Y65" i="1"/>
  <c r="Y59" i="1"/>
  <c r="L51" i="1"/>
  <c r="Y51" i="1"/>
  <c r="L42" i="1"/>
  <c r="Y42" i="1"/>
  <c r="Y34" i="1"/>
  <c r="L111" i="1"/>
  <c r="Y111" i="1"/>
  <c r="L131" i="1"/>
  <c r="Y131" i="1"/>
  <c r="Y117" i="1"/>
  <c r="L146" i="1"/>
  <c r="Y146" i="1"/>
  <c r="L168" i="1"/>
  <c r="Y168" i="1"/>
  <c r="Y161" i="1"/>
  <c r="Y190" i="1"/>
  <c r="L191" i="1"/>
  <c r="Y191" i="1"/>
  <c r="L170" i="1"/>
  <c r="Y170" i="1"/>
  <c r="L194" i="1"/>
  <c r="Y194" i="1"/>
  <c r="L216" i="1"/>
  <c r="Y216" i="1"/>
  <c r="L207" i="1"/>
  <c r="Y207" i="1"/>
  <c r="L19" i="1"/>
  <c r="Y19" i="1"/>
  <c r="L10" i="1"/>
  <c r="Y10" i="1"/>
  <c r="L7" i="1"/>
  <c r="Y7" i="1"/>
  <c r="L29" i="1"/>
  <c r="Y29" i="1"/>
  <c r="L102" i="1"/>
  <c r="Y102" i="1"/>
  <c r="L97" i="1"/>
  <c r="Y97" i="1"/>
  <c r="L86" i="1"/>
  <c r="Y86" i="1"/>
  <c r="L75" i="1"/>
  <c r="Y75" i="1"/>
  <c r="L68" i="1"/>
  <c r="Y68" i="1"/>
  <c r="L56" i="1"/>
  <c r="Y56" i="1"/>
  <c r="L52" i="1"/>
  <c r="Y52" i="1"/>
  <c r="L45" i="1"/>
  <c r="Y45" i="1"/>
  <c r="L37" i="1"/>
  <c r="Y37" i="1"/>
  <c r="L114" i="1"/>
  <c r="Y114" i="1"/>
  <c r="L128" i="1"/>
  <c r="Y128" i="1"/>
  <c r="L126" i="1"/>
  <c r="Y126" i="1"/>
  <c r="L144" i="1"/>
  <c r="Y144" i="1"/>
  <c r="L138" i="1"/>
  <c r="Y138" i="1"/>
  <c r="L167" i="1"/>
  <c r="Y167" i="1"/>
  <c r="L158" i="1"/>
  <c r="Y158" i="1"/>
  <c r="L151" i="1"/>
  <c r="Y151" i="1"/>
  <c r="L193" i="1"/>
  <c r="Y193" i="1"/>
  <c r="L179" i="1"/>
  <c r="Y179" i="1"/>
  <c r="L174" i="1"/>
  <c r="Y174" i="1"/>
  <c r="L203" i="1"/>
  <c r="Y203" i="1"/>
  <c r="L219" i="1"/>
  <c r="Y219" i="1"/>
  <c r="L211" i="1"/>
  <c r="Y211" i="1"/>
  <c r="L26" i="1"/>
  <c r="Y26" i="1"/>
  <c r="L24" i="1"/>
  <c r="Y24" i="1"/>
  <c r="L22" i="1"/>
  <c r="Y22" i="1"/>
  <c r="L6" i="1"/>
  <c r="Y6" i="1"/>
  <c r="L13" i="1"/>
  <c r="Y13" i="1"/>
  <c r="L9" i="1"/>
  <c r="Y9" i="1"/>
  <c r="L30" i="1"/>
  <c r="Y30" i="1"/>
  <c r="L104" i="1"/>
  <c r="Y104" i="1"/>
  <c r="L100" i="1"/>
  <c r="Y100" i="1"/>
  <c r="L94" i="1"/>
  <c r="Y94" i="1"/>
  <c r="L96" i="1"/>
  <c r="Y96" i="1"/>
  <c r="L88" i="1"/>
  <c r="Y88" i="1"/>
  <c r="L82" i="1"/>
  <c r="Y82" i="1"/>
  <c r="L81" i="1"/>
  <c r="Y81" i="1"/>
  <c r="L74" i="1"/>
  <c r="Y74" i="1"/>
  <c r="L71" i="1"/>
  <c r="Y71" i="1"/>
  <c r="L70" i="1"/>
  <c r="Y70" i="1"/>
  <c r="L69" i="1"/>
  <c r="Y69" i="1"/>
  <c r="L61" i="1"/>
  <c r="Y61" i="1"/>
  <c r="L55" i="1"/>
  <c r="Y55" i="1"/>
  <c r="L48" i="1"/>
  <c r="Y48" i="1"/>
  <c r="L50" i="1"/>
  <c r="Y50" i="1"/>
  <c r="L44" i="1"/>
  <c r="Y44" i="1"/>
  <c r="L40" i="1"/>
  <c r="Y40" i="1"/>
  <c r="L36" i="1"/>
  <c r="Y36" i="1"/>
  <c r="L109" i="1"/>
  <c r="Y109" i="1"/>
  <c r="L110" i="1"/>
  <c r="Y110" i="1"/>
  <c r="L132" i="1"/>
  <c r="Y132" i="1"/>
  <c r="L134" i="1"/>
  <c r="Y134" i="1"/>
  <c r="L124" i="1"/>
  <c r="Y124" i="1"/>
  <c r="L122" i="1"/>
  <c r="Y122" i="1"/>
  <c r="L118" i="1"/>
  <c r="Y118" i="1"/>
  <c r="L145" i="1"/>
  <c r="Y145" i="1"/>
  <c r="L141" i="1"/>
  <c r="Y141" i="1"/>
  <c r="L137" i="1"/>
  <c r="Y137" i="1"/>
  <c r="L166" i="1"/>
  <c r="Y166" i="1"/>
  <c r="L159" i="1"/>
  <c r="Y159" i="1"/>
  <c r="L154" i="1"/>
  <c r="Y154" i="1"/>
  <c r="L162" i="1"/>
  <c r="Y162" i="1"/>
  <c r="L153" i="1"/>
  <c r="Y153" i="1"/>
  <c r="L192" i="1"/>
  <c r="Y192" i="1"/>
  <c r="L187" i="1"/>
  <c r="Y187" i="1"/>
  <c r="L181" i="1"/>
  <c r="Y181" i="1"/>
  <c r="L178" i="1"/>
  <c r="Y178" i="1"/>
  <c r="L172" i="1"/>
  <c r="Y172" i="1"/>
  <c r="L198" i="1"/>
  <c r="Y198" i="1"/>
  <c r="L196" i="1"/>
  <c r="Y196" i="1"/>
  <c r="L217" i="1"/>
  <c r="Y217" i="1"/>
  <c r="L221" i="1"/>
  <c r="Y221" i="1"/>
  <c r="L209" i="1"/>
  <c r="Y209" i="1"/>
  <c r="L205" i="1"/>
  <c r="Y205" i="1"/>
  <c r="L204" i="1"/>
  <c r="Y204" i="1"/>
  <c r="L21" i="1"/>
  <c r="Y21" i="1"/>
  <c r="L4" i="1"/>
  <c r="Y4" i="1"/>
  <c r="L3" i="1"/>
  <c r="Y3" i="1"/>
  <c r="L101" i="1"/>
  <c r="Y101" i="1"/>
  <c r="Y95" i="1"/>
  <c r="L90" i="1"/>
  <c r="Y90" i="1"/>
  <c r="L73" i="1"/>
  <c r="Y73" i="1"/>
  <c r="Y67" i="1"/>
  <c r="L62" i="1"/>
  <c r="Y62" i="1"/>
  <c r="L60" i="1"/>
  <c r="Y60" i="1"/>
  <c r="L46" i="1"/>
  <c r="Y46" i="1"/>
  <c r="L38" i="1"/>
  <c r="Y38" i="1"/>
  <c r="L115" i="1"/>
  <c r="Y115" i="1"/>
  <c r="Y130" i="1"/>
  <c r="L123" i="1"/>
  <c r="Y123" i="1"/>
  <c r="L143" i="1"/>
  <c r="Y143" i="1"/>
  <c r="L139" i="1"/>
  <c r="Y139" i="1"/>
  <c r="L164" i="1"/>
  <c r="Y164" i="1"/>
  <c r="L156" i="1"/>
  <c r="Y156" i="1"/>
  <c r="L149" i="1"/>
  <c r="Y149" i="1"/>
  <c r="L188" i="1"/>
  <c r="Y188" i="1"/>
  <c r="L180" i="1"/>
  <c r="Y180" i="1"/>
  <c r="L173" i="1"/>
  <c r="Y173" i="1"/>
  <c r="L201" i="1"/>
  <c r="Y201" i="1"/>
  <c r="L214" i="1"/>
  <c r="Y214" i="1"/>
  <c r="L212" i="1"/>
  <c r="Y212" i="1"/>
  <c r="L25" i="1"/>
  <c r="Y25" i="1"/>
  <c r="L17" i="1"/>
  <c r="Y17" i="1"/>
  <c r="L12" i="1"/>
  <c r="Y12" i="1"/>
  <c r="L107" i="1"/>
  <c r="Y107" i="1"/>
  <c r="L99" i="1"/>
  <c r="Y99" i="1"/>
  <c r="L87" i="1"/>
  <c r="Y87" i="1"/>
  <c r="L79" i="1"/>
  <c r="Y79" i="1"/>
  <c r="L76" i="1"/>
  <c r="Y76" i="1"/>
  <c r="L66" i="1"/>
  <c r="Y66" i="1"/>
  <c r="L58" i="1"/>
  <c r="Y58" i="1"/>
  <c r="L53" i="1"/>
  <c r="Y53" i="1"/>
  <c r="L41" i="1"/>
  <c r="Y41" i="1"/>
  <c r="L113" i="1"/>
  <c r="Y113" i="1"/>
  <c r="L120" i="1"/>
  <c r="Y120" i="1"/>
  <c r="L125" i="1"/>
  <c r="Y125" i="1"/>
  <c r="L121" i="1"/>
  <c r="Y121" i="1"/>
  <c r="L142" i="1"/>
  <c r="Y142" i="1"/>
  <c r="L163" i="1"/>
  <c r="Y163" i="1"/>
  <c r="L160" i="1"/>
  <c r="Y160" i="1"/>
  <c r="L186" i="1"/>
  <c r="Y186" i="1"/>
  <c r="L183" i="1"/>
  <c r="Y183" i="1"/>
  <c r="L171" i="1"/>
  <c r="Y171" i="1"/>
  <c r="L197" i="1"/>
  <c r="Y197" i="1"/>
  <c r="L213" i="1"/>
  <c r="Y213" i="1"/>
  <c r="L210" i="1"/>
  <c r="Y210" i="1"/>
  <c r="L18" i="1"/>
  <c r="Y18" i="1"/>
  <c r="L11" i="1"/>
  <c r="L14" i="1"/>
  <c r="Y14" i="1"/>
  <c r="L15" i="1"/>
  <c r="Y15" i="1"/>
  <c r="L27" i="1"/>
  <c r="Y27" i="1"/>
  <c r="L31" i="1"/>
  <c r="Y31" i="1"/>
  <c r="L103" i="1"/>
  <c r="Y103" i="1"/>
  <c r="L93" i="1"/>
  <c r="Y93" i="1"/>
  <c r="L92" i="1"/>
  <c r="Y92" i="1"/>
  <c r="L89" i="1"/>
  <c r="Y89" i="1"/>
  <c r="L85" i="1"/>
  <c r="Y85" i="1"/>
  <c r="L83" i="1"/>
  <c r="Y83" i="1"/>
  <c r="L80" i="1"/>
  <c r="Y80" i="1"/>
  <c r="L78" i="1"/>
  <c r="Y78" i="1"/>
  <c r="L77" i="1"/>
  <c r="Y77" i="1"/>
  <c r="L64" i="1"/>
  <c r="Y64" i="1"/>
  <c r="L63" i="1"/>
  <c r="Y63" i="1"/>
  <c r="L54" i="1"/>
  <c r="Y54" i="1"/>
  <c r="L57" i="1"/>
  <c r="Y57" i="1"/>
  <c r="L49" i="1"/>
  <c r="Y49" i="1"/>
  <c r="L47" i="1"/>
  <c r="Y47" i="1"/>
  <c r="L43" i="1"/>
  <c r="Y43" i="1"/>
  <c r="L39" i="1"/>
  <c r="Y39" i="1"/>
  <c r="L35" i="1"/>
  <c r="Y35" i="1"/>
  <c r="L106" i="1"/>
  <c r="Y106" i="1"/>
  <c r="L112" i="1"/>
  <c r="Y112" i="1"/>
  <c r="L133" i="1"/>
  <c r="Y133" i="1"/>
  <c r="L129" i="1"/>
  <c r="Y129" i="1"/>
  <c r="L127" i="1"/>
  <c r="Y127" i="1"/>
  <c r="L119" i="1"/>
  <c r="Y119" i="1"/>
  <c r="L136" i="1"/>
  <c r="Y136" i="1"/>
  <c r="L148" i="1"/>
  <c r="Y148" i="1"/>
  <c r="L140" i="1"/>
  <c r="Y140" i="1"/>
  <c r="L150" i="1"/>
  <c r="Y150" i="1"/>
  <c r="L165" i="1"/>
  <c r="Y165" i="1"/>
  <c r="L155" i="1"/>
  <c r="Y155" i="1"/>
  <c r="L157" i="1"/>
  <c r="Y157" i="1"/>
  <c r="L152" i="1"/>
  <c r="Y152" i="1"/>
  <c r="L176" i="1"/>
  <c r="Y176" i="1"/>
  <c r="L189" i="1"/>
  <c r="Y189" i="1"/>
  <c r="L184" i="1"/>
  <c r="Y184" i="1"/>
  <c r="L182" i="1"/>
  <c r="Y182" i="1"/>
  <c r="L177" i="1"/>
  <c r="Y177" i="1"/>
  <c r="L175" i="1"/>
  <c r="Y175" i="1"/>
  <c r="L200" i="1"/>
  <c r="Y200" i="1"/>
  <c r="L199" i="1"/>
  <c r="Y199" i="1"/>
  <c r="L215" i="1"/>
  <c r="Y215" i="1"/>
  <c r="L218" i="1"/>
  <c r="Y218" i="1"/>
  <c r="L208" i="1"/>
  <c r="Y208" i="1"/>
  <c r="L202" i="1"/>
  <c r="Y202" i="1"/>
  <c r="L206" i="1"/>
  <c r="Y206" i="1"/>
  <c r="AD199" i="1"/>
  <c r="AD188" i="1"/>
  <c r="AA191" i="1"/>
  <c r="AA180" i="1"/>
  <c r="AB180" i="1" s="1"/>
  <c r="AD170" i="1"/>
  <c r="AA161" i="1"/>
  <c r="AB161" i="1" s="1"/>
  <c r="AD148" i="1"/>
  <c r="AD140" i="1"/>
  <c r="AD136" i="1"/>
  <c r="AD131" i="1"/>
  <c r="AD123" i="1"/>
  <c r="AD117" i="1"/>
  <c r="AD105" i="1"/>
  <c r="AD112" i="1"/>
  <c r="AD94" i="1"/>
  <c r="AD88" i="1"/>
  <c r="AD82" i="1"/>
  <c r="AD74" i="1"/>
  <c r="AD71" i="1"/>
  <c r="AD69" i="1"/>
  <c r="AD61" i="1"/>
  <c r="AD50" i="1"/>
  <c r="AD44" i="1"/>
  <c r="AD32" i="1"/>
  <c r="AD28" i="1"/>
  <c r="AD13" i="1"/>
  <c r="AD209" i="1"/>
  <c r="AD215" i="1"/>
  <c r="AD206" i="1"/>
  <c r="AA193" i="1"/>
  <c r="AD179" i="1"/>
  <c r="AD174" i="1"/>
  <c r="AD163" i="1"/>
  <c r="AD158" i="1"/>
  <c r="AA143" i="1"/>
  <c r="AD139" i="1"/>
  <c r="AD125" i="1"/>
  <c r="AD126" i="1"/>
  <c r="AD108" i="1"/>
  <c r="AD110" i="1"/>
  <c r="AD109" i="1"/>
  <c r="AD103" i="1"/>
  <c r="AA93" i="1"/>
  <c r="AD92" i="1"/>
  <c r="AD89" i="1"/>
  <c r="AD85" i="1"/>
  <c r="AD83" i="1"/>
  <c r="AD78" i="1"/>
  <c r="AD77" i="1"/>
  <c r="AD64" i="1"/>
  <c r="AA54" i="1"/>
  <c r="AB54" i="1" s="1"/>
  <c r="AE54" i="1" s="1"/>
  <c r="AF54" i="1" s="1"/>
  <c r="AA43" i="1"/>
  <c r="AB43" i="1" s="1"/>
  <c r="AD39" i="1"/>
  <c r="AD35" i="1"/>
  <c r="AA31" i="1"/>
  <c r="AA27" i="1"/>
  <c r="AA11" i="1"/>
  <c r="AD218" i="1"/>
  <c r="AD202" i="1"/>
  <c r="AD194" i="1"/>
  <c r="AD186" i="1"/>
  <c r="AD183" i="1"/>
  <c r="AD171" i="1"/>
  <c r="AA160" i="1"/>
  <c r="AB160" i="1" s="1"/>
  <c r="AD151" i="1"/>
  <c r="AD135" i="1"/>
  <c r="AD220" i="1"/>
  <c r="AD216" i="1"/>
  <c r="AD214" i="1"/>
  <c r="AD207" i="1"/>
  <c r="AD198" i="1"/>
  <c r="AA118" i="1"/>
  <c r="AB118" i="1" s="1"/>
  <c r="AA114" i="1"/>
  <c r="AB114" i="1" s="1"/>
  <c r="AA101" i="1"/>
  <c r="AA90" i="1"/>
  <c r="AB90" i="1" s="1"/>
  <c r="AA60" i="1"/>
  <c r="AA46" i="1"/>
  <c r="AB46" i="1" s="1"/>
  <c r="AA38" i="1"/>
  <c r="AA4" i="1"/>
  <c r="AD219" i="1"/>
  <c r="AD211" i="1"/>
  <c r="AD210" i="1"/>
  <c r="AD195" i="1"/>
  <c r="AD196" i="1"/>
  <c r="AD185" i="1"/>
  <c r="AA189" i="1"/>
  <c r="AD184" i="1"/>
  <c r="AD182" i="1"/>
  <c r="AD177" i="1"/>
  <c r="AA169" i="1"/>
  <c r="AD165" i="1"/>
  <c r="AD155" i="1"/>
  <c r="AD157" i="1"/>
  <c r="AD152" i="1"/>
  <c r="AD145" i="1"/>
  <c r="AA141" i="1"/>
  <c r="AD133" i="1"/>
  <c r="AD129" i="1"/>
  <c r="AD127" i="1"/>
  <c r="AD119" i="1"/>
  <c r="AD115" i="1"/>
  <c r="AD107" i="1"/>
  <c r="AD102" i="1"/>
  <c r="AD99" i="1"/>
  <c r="AD97" i="1"/>
  <c r="AD87" i="1"/>
  <c r="AD75" i="1"/>
  <c r="AD68" i="1"/>
  <c r="AD66" i="1"/>
  <c r="AD56" i="1"/>
  <c r="AD52" i="1"/>
  <c r="AD53" i="1"/>
  <c r="AE53" i="1" s="1"/>
  <c r="AF53" i="1" s="1"/>
  <c r="AD33" i="1"/>
  <c r="AD19" i="1"/>
  <c r="AD10" i="1"/>
  <c r="AA68" i="1"/>
  <c r="AA7" i="1"/>
  <c r="AA102" i="1"/>
  <c r="AD128" i="1"/>
  <c r="AA174" i="1"/>
  <c r="AB49" i="1"/>
  <c r="AD54" i="1"/>
  <c r="AA133" i="1"/>
  <c r="AB29" i="1"/>
  <c r="AA158" i="1"/>
  <c r="AB158" i="1" s="1"/>
  <c r="AA126" i="1"/>
  <c r="AA89" i="1"/>
  <c r="AB89" i="1" s="1"/>
  <c r="AA66" i="1"/>
  <c r="AB66" i="1" s="1"/>
  <c r="AA53" i="1"/>
  <c r="AB53" i="1" s="1"/>
  <c r="AA16" i="1"/>
  <c r="AD193" i="1"/>
  <c r="AD118" i="1"/>
  <c r="AD43" i="1"/>
  <c r="AB150" i="1"/>
  <c r="AB120" i="1"/>
  <c r="AE120" i="1" s="1"/>
  <c r="AF120" i="1" s="1"/>
  <c r="AB86" i="1"/>
  <c r="AA56" i="1"/>
  <c r="AB37" i="1"/>
  <c r="AA19" i="1"/>
  <c r="AD160" i="1"/>
  <c r="AD93" i="1"/>
  <c r="AD38" i="1"/>
  <c r="AA139" i="1"/>
  <c r="AA109" i="1"/>
  <c r="AA75" i="1"/>
  <c r="AB75" i="1" s="1"/>
  <c r="AA33" i="1"/>
  <c r="AB33" i="1" s="1"/>
  <c r="AE33" i="1" s="1"/>
  <c r="AF33" i="1" s="1"/>
  <c r="V33" i="1" s="1"/>
  <c r="W33" i="1" s="1"/>
  <c r="AA10" i="1"/>
  <c r="AB57" i="1"/>
  <c r="AD36" i="1"/>
  <c r="AA36" i="1"/>
  <c r="AD58" i="1"/>
  <c r="AA58" i="1"/>
  <c r="AD41" i="1"/>
  <c r="AA41" i="1"/>
  <c r="AD25" i="1"/>
  <c r="AA25" i="1"/>
  <c r="AD12" i="1"/>
  <c r="AA12" i="1"/>
  <c r="AA222" i="1"/>
  <c r="AA219" i="1"/>
  <c r="AB219" i="1" s="1"/>
  <c r="AA211" i="1"/>
  <c r="AB211" i="1" s="1"/>
  <c r="AA210" i="1"/>
  <c r="AB210" i="1" s="1"/>
  <c r="AE210" i="1" s="1"/>
  <c r="AF210" i="1" s="1"/>
  <c r="AA195" i="1"/>
  <c r="AB195" i="1" s="1"/>
  <c r="AA196" i="1"/>
  <c r="AA185" i="1"/>
  <c r="AA188" i="1"/>
  <c r="AA183" i="1"/>
  <c r="AE183" i="1" s="1"/>
  <c r="AF183" i="1" s="1"/>
  <c r="AA177" i="1"/>
  <c r="AB177" i="1" s="1"/>
  <c r="AA173" i="1"/>
  <c r="AA155" i="1"/>
  <c r="AB155" i="1" s="1"/>
  <c r="AE155" i="1" s="1"/>
  <c r="AF155" i="1" s="1"/>
  <c r="AA151" i="1"/>
  <c r="AA145" i="1"/>
  <c r="AB145" i="1" s="1"/>
  <c r="AA140" i="1"/>
  <c r="AA135" i="1"/>
  <c r="AA129" i="1"/>
  <c r="AA123" i="1"/>
  <c r="AB123" i="1" s="1"/>
  <c r="AA121" i="1"/>
  <c r="AA106" i="1"/>
  <c r="AA103" i="1"/>
  <c r="AA99" i="1"/>
  <c r="AB99" i="1" s="1"/>
  <c r="AA85" i="1"/>
  <c r="AA78" i="1"/>
  <c r="AB78" i="1" s="1"/>
  <c r="AA64" i="1"/>
  <c r="AA61" i="1"/>
  <c r="AA52" i="1"/>
  <c r="AB52" i="1" s="1"/>
  <c r="AA39" i="1"/>
  <c r="AB39" i="1" s="1"/>
  <c r="AE39" i="1" s="1"/>
  <c r="AF39" i="1" s="1"/>
  <c r="AA32" i="1"/>
  <c r="AA26" i="1"/>
  <c r="AA17" i="1"/>
  <c r="AA14" i="1"/>
  <c r="AD205" i="1"/>
  <c r="AD189" i="1"/>
  <c r="AD180" i="1"/>
  <c r="AD169" i="1"/>
  <c r="AD161" i="1"/>
  <c r="AD149" i="1"/>
  <c r="AD141" i="1"/>
  <c r="AD130" i="1"/>
  <c r="AD101" i="1"/>
  <c r="AD90" i="1"/>
  <c r="AD46" i="1"/>
  <c r="AD27" i="1"/>
  <c r="AD70" i="1"/>
  <c r="AA70" i="1"/>
  <c r="AB70" i="1" s="1"/>
  <c r="AD48" i="1"/>
  <c r="AA48" i="1"/>
  <c r="AB48" i="1" s="1"/>
  <c r="AE48" i="1" s="1"/>
  <c r="AF48" i="1" s="1"/>
  <c r="V48" i="1" s="1"/>
  <c r="W48" i="1" s="1"/>
  <c r="AD24" i="1"/>
  <c r="AA24" i="1"/>
  <c r="AA217" i="1"/>
  <c r="AB217" i="1" s="1"/>
  <c r="AA209" i="1"/>
  <c r="AB209" i="1" s="1"/>
  <c r="AE209" i="1" s="1"/>
  <c r="AF209" i="1" s="1"/>
  <c r="AA204" i="1"/>
  <c r="AB204" i="1" s="1"/>
  <c r="AA200" i="1"/>
  <c r="AB200" i="1" s="1"/>
  <c r="AA199" i="1"/>
  <c r="AA190" i="1"/>
  <c r="AA182" i="1"/>
  <c r="AB182" i="1" s="1"/>
  <c r="AE182" i="1" s="1"/>
  <c r="AF182" i="1" s="1"/>
  <c r="AA170" i="1"/>
  <c r="AA165" i="1"/>
  <c r="AA148" i="1"/>
  <c r="AB148" i="1" s="1"/>
  <c r="AA131" i="1"/>
  <c r="AB131" i="1" s="1"/>
  <c r="AA112" i="1"/>
  <c r="AA94" i="1"/>
  <c r="AA81" i="1"/>
  <c r="AB81" i="1" s="1"/>
  <c r="AA71" i="1"/>
  <c r="AA44" i="1"/>
  <c r="AA22" i="1"/>
  <c r="AA13" i="1"/>
  <c r="AD168" i="1"/>
  <c r="AD147" i="1"/>
  <c r="AD47" i="1"/>
  <c r="AA47" i="1"/>
  <c r="AB47" i="1" s="1"/>
  <c r="AA5" i="1"/>
  <c r="AA215" i="1"/>
  <c r="AB215" i="1" s="1"/>
  <c r="AA218" i="1"/>
  <c r="AB218" i="1" s="1"/>
  <c r="AA208" i="1"/>
  <c r="AA202" i="1"/>
  <c r="AA206" i="1"/>
  <c r="AB206" i="1" s="1"/>
  <c r="AA194" i="1"/>
  <c r="AB194" i="1" s="1"/>
  <c r="AA201" i="1"/>
  <c r="AB201" i="1" s="1"/>
  <c r="AA186" i="1"/>
  <c r="AA184" i="1"/>
  <c r="AA171" i="1"/>
  <c r="AA164" i="1"/>
  <c r="AB164" i="1" s="1"/>
  <c r="AA152" i="1"/>
  <c r="AA125" i="1"/>
  <c r="AB125" i="1" s="1"/>
  <c r="AA119" i="1"/>
  <c r="AB119" i="1" s="1"/>
  <c r="AE119" i="1" s="1"/>
  <c r="AF119" i="1" s="1"/>
  <c r="AA105" i="1"/>
  <c r="AB105" i="1" s="1"/>
  <c r="AA110" i="1"/>
  <c r="AB110" i="1" s="1"/>
  <c r="AE110" i="1" s="1"/>
  <c r="AF110" i="1" s="1"/>
  <c r="V110" i="1" s="1"/>
  <c r="W110" i="1" s="1"/>
  <c r="AA107" i="1"/>
  <c r="AA92" i="1"/>
  <c r="AA87" i="1"/>
  <c r="AA82" i="1"/>
  <c r="AE82" i="1" s="1"/>
  <c r="AF82" i="1" s="1"/>
  <c r="AA77" i="1"/>
  <c r="AA69" i="1"/>
  <c r="AA55" i="1"/>
  <c r="AB55" i="1" s="1"/>
  <c r="AA35" i="1"/>
  <c r="AA28" i="1"/>
  <c r="AA15" i="1"/>
  <c r="AD191" i="1"/>
  <c r="AD143" i="1"/>
  <c r="AD11" i="1"/>
  <c r="AD192" i="1"/>
  <c r="AA192" i="1"/>
  <c r="AD181" i="1"/>
  <c r="AA181" i="1"/>
  <c r="AD178" i="1"/>
  <c r="AA178" i="1"/>
  <c r="AB178" i="1" s="1"/>
  <c r="AD172" i="1"/>
  <c r="AA172" i="1"/>
  <c r="AD176" i="1"/>
  <c r="AA176" i="1"/>
  <c r="AD166" i="1"/>
  <c r="AA166" i="1"/>
  <c r="AD159" i="1"/>
  <c r="AA159" i="1"/>
  <c r="AD154" i="1"/>
  <c r="AA154" i="1"/>
  <c r="AD162" i="1"/>
  <c r="AA162" i="1"/>
  <c r="AD153" i="1"/>
  <c r="AA153" i="1"/>
  <c r="AD144" i="1"/>
  <c r="AA144" i="1"/>
  <c r="AD142" i="1"/>
  <c r="AA142" i="1"/>
  <c r="AD138" i="1"/>
  <c r="AA138" i="1"/>
  <c r="AB138" i="1" s="1"/>
  <c r="AD132" i="1"/>
  <c r="AA132" i="1"/>
  <c r="AD124" i="1"/>
  <c r="AA124" i="1"/>
  <c r="AD122" i="1"/>
  <c r="AA122" i="1"/>
  <c r="AD116" i="1"/>
  <c r="AD113" i="1"/>
  <c r="AA113" i="1"/>
  <c r="AB113" i="1" s="1"/>
  <c r="AD98" i="1"/>
  <c r="AE98" i="1" s="1"/>
  <c r="AA98" i="1"/>
  <c r="AA95" i="1"/>
  <c r="AB95" i="1" s="1"/>
  <c r="AD95" i="1"/>
  <c r="AD91" i="1"/>
  <c r="AA91" i="1"/>
  <c r="AD84" i="1"/>
  <c r="AA84" i="1"/>
  <c r="AB84" i="1" s="1"/>
  <c r="AA73" i="1"/>
  <c r="AD73" i="1"/>
  <c r="AD72" i="1"/>
  <c r="AA72" i="1"/>
  <c r="AD65" i="1"/>
  <c r="AA65" i="1"/>
  <c r="AA62" i="1"/>
  <c r="AD62" i="1"/>
  <c r="AD59" i="1"/>
  <c r="AA59" i="1"/>
  <c r="AD51" i="1"/>
  <c r="AA51" i="1"/>
  <c r="AD42" i="1"/>
  <c r="AA42" i="1"/>
  <c r="AD34" i="1"/>
  <c r="AA34" i="1"/>
  <c r="AB34" i="1" s="1"/>
  <c r="AE34" i="1" s="1"/>
  <c r="AF34" i="1" s="1"/>
  <c r="AA30" i="1"/>
  <c r="AD30" i="1"/>
  <c r="AD20" i="1"/>
  <c r="AA20" i="1"/>
  <c r="AA21" i="1"/>
  <c r="AB21" i="1" s="1"/>
  <c r="AD21" i="1"/>
  <c r="AD23" i="1"/>
  <c r="AE23" i="1" s="1"/>
  <c r="AF23" i="1" s="1"/>
  <c r="V23" i="1" s="1"/>
  <c r="W23" i="1" s="1"/>
  <c r="AA23" i="1"/>
  <c r="AB23" i="1" s="1"/>
  <c r="AD8" i="1"/>
  <c r="AA8" i="1"/>
  <c r="AA3" i="1"/>
  <c r="AD3" i="1"/>
  <c r="AA220" i="1"/>
  <c r="AB220" i="1" s="1"/>
  <c r="AA216" i="1"/>
  <c r="AA214" i="1"/>
  <c r="AA207" i="1"/>
  <c r="AA212" i="1"/>
  <c r="AA198" i="1"/>
  <c r="AB198" i="1" s="1"/>
  <c r="AA179" i="1"/>
  <c r="AB179" i="1" s="1"/>
  <c r="AE179" i="1" s="1"/>
  <c r="AF179" i="1" s="1"/>
  <c r="AA163" i="1"/>
  <c r="AA157" i="1"/>
  <c r="AA136" i="1"/>
  <c r="AA127" i="1"/>
  <c r="AB127" i="1" s="1"/>
  <c r="AA117" i="1"/>
  <c r="AB117" i="1" s="1"/>
  <c r="AE117" i="1" s="1"/>
  <c r="AF117" i="1" s="1"/>
  <c r="AA108" i="1"/>
  <c r="AB108" i="1" s="1"/>
  <c r="AA115" i="1"/>
  <c r="AB115" i="1" s="1"/>
  <c r="AA104" i="1"/>
  <c r="AA97" i="1"/>
  <c r="AA88" i="1"/>
  <c r="AB88" i="1" s="1"/>
  <c r="AA83" i="1"/>
  <c r="AA74" i="1"/>
  <c r="AA50" i="1"/>
  <c r="AA40" i="1"/>
  <c r="AA6" i="1"/>
  <c r="AB6" i="1" s="1"/>
  <c r="AE6" i="1" s="1"/>
  <c r="AF6" i="1" s="1"/>
  <c r="V6" i="1" s="1"/>
  <c r="W6" i="1" s="1"/>
  <c r="AD114" i="1"/>
  <c r="AE114" i="1" s="1"/>
  <c r="AF114" i="1" s="1"/>
  <c r="AD67" i="1"/>
  <c r="AD60" i="1"/>
  <c r="AE60" i="1" s="1"/>
  <c r="AF60" i="1" s="1"/>
  <c r="V60" i="1" s="1"/>
  <c r="W60" i="1" s="1"/>
  <c r="AD31" i="1"/>
  <c r="AD4" i="1"/>
  <c r="AB109" i="1"/>
  <c r="AE109" i="1" s="1"/>
  <c r="AF109" i="1" s="1"/>
  <c r="V109" i="1" s="1"/>
  <c r="W109" i="1" s="1"/>
  <c r="AB174" i="1"/>
  <c r="AE174" i="1"/>
  <c r="AF174" i="1" s="1"/>
  <c r="AB4" i="1"/>
  <c r="AE75" i="1"/>
  <c r="AF75" i="1" s="1"/>
  <c r="AB56" i="1"/>
  <c r="AE56" i="1" s="1"/>
  <c r="AF56" i="1" s="1"/>
  <c r="AB7" i="1"/>
  <c r="AE7" i="1" s="1"/>
  <c r="AF7" i="1" s="1"/>
  <c r="AB38" i="1"/>
  <c r="AE38" i="1"/>
  <c r="AF38" i="1"/>
  <c r="AE29" i="1"/>
  <c r="AF29" i="1" s="1"/>
  <c r="AB68" i="1"/>
  <c r="AE68" i="1" s="1"/>
  <c r="AF68" i="1" s="1"/>
  <c r="AB141" i="1"/>
  <c r="AE141" i="1" s="1"/>
  <c r="AF141" i="1" s="1"/>
  <c r="AB101" i="1"/>
  <c r="AE101" i="1" s="1"/>
  <c r="AF101" i="1" s="1"/>
  <c r="AB11" i="1"/>
  <c r="AE11" i="1" s="1"/>
  <c r="AF11" i="1" s="1"/>
  <c r="V11" i="1" s="1"/>
  <c r="W11" i="1" s="1"/>
  <c r="AB10" i="1"/>
  <c r="AB139" i="1"/>
  <c r="AE139" i="1" s="1"/>
  <c r="AF139" i="1" s="1"/>
  <c r="AB133" i="1"/>
  <c r="AB60" i="1"/>
  <c r="AB27" i="1"/>
  <c r="AB143" i="1"/>
  <c r="AE143" i="1" s="1"/>
  <c r="AF143" i="1" s="1"/>
  <c r="AB16" i="1"/>
  <c r="AE16" i="1"/>
  <c r="AF16" i="1"/>
  <c r="V16" i="1"/>
  <c r="W16" i="1" s="1"/>
  <c r="AB126" i="1"/>
  <c r="AE126" i="1" s="1"/>
  <c r="AF126" i="1" s="1"/>
  <c r="V126" i="1" s="1"/>
  <c r="W126" i="1" s="1"/>
  <c r="AB102" i="1"/>
  <c r="AB169" i="1"/>
  <c r="AE169" i="1" s="1"/>
  <c r="AF169" i="1" s="1"/>
  <c r="AB189" i="1"/>
  <c r="AE189" i="1" s="1"/>
  <c r="AF189" i="1" s="1"/>
  <c r="AB31" i="1"/>
  <c r="AB193" i="1"/>
  <c r="AE193" i="1" s="1"/>
  <c r="AF193" i="1" s="1"/>
  <c r="V193" i="1" s="1"/>
  <c r="W193" i="1" s="1"/>
  <c r="AB191" i="1"/>
  <c r="AB93" i="1"/>
  <c r="AB128" i="1"/>
  <c r="AB149" i="1"/>
  <c r="AE149" i="1" s="1"/>
  <c r="AF149" i="1" s="1"/>
  <c r="AE49" i="1"/>
  <c r="AF49" i="1" s="1"/>
  <c r="AE158" i="1"/>
  <c r="AF158" i="1"/>
  <c r="AE86" i="1"/>
  <c r="AF86" i="1"/>
  <c r="AE118" i="1"/>
  <c r="AF118" i="1"/>
  <c r="AE150" i="1"/>
  <c r="AF150" i="1" s="1"/>
  <c r="AE37" i="1"/>
  <c r="AF37" i="1"/>
  <c r="AE43" i="1"/>
  <c r="AF43" i="1" s="1"/>
  <c r="AE89" i="1"/>
  <c r="AF89" i="1" s="1"/>
  <c r="AE57" i="1"/>
  <c r="AF57" i="1" s="1"/>
  <c r="AE161" i="1"/>
  <c r="AF161" i="1"/>
  <c r="AE130" i="1"/>
  <c r="AF130" i="1" s="1"/>
  <c r="AB25" i="1"/>
  <c r="AE25" i="1" s="1"/>
  <c r="AF25" i="1" s="1"/>
  <c r="AB58" i="1"/>
  <c r="AB36" i="1"/>
  <c r="AE36" i="1"/>
  <c r="AF36" i="1" s="1"/>
  <c r="AB207" i="1"/>
  <c r="AB142" i="1"/>
  <c r="AE142" i="1" s="1"/>
  <c r="AF142" i="1" s="1"/>
  <c r="AB153" i="1"/>
  <c r="AE153" i="1" s="1"/>
  <c r="AF153" i="1" s="1"/>
  <c r="AB100" i="1"/>
  <c r="AB152" i="1"/>
  <c r="AE152" i="1"/>
  <c r="AF152" i="1" s="1"/>
  <c r="AB5" i="1"/>
  <c r="AB22" i="1"/>
  <c r="V22" i="1" s="1"/>
  <c r="W22" i="1" s="1"/>
  <c r="AE22" i="1"/>
  <c r="AF22" i="1" s="1"/>
  <c r="AB199" i="1"/>
  <c r="AE199" i="1"/>
  <c r="AF199" i="1" s="1"/>
  <c r="AB221" i="1"/>
  <c r="AE221" i="1"/>
  <c r="AF221" i="1" s="1"/>
  <c r="AB64" i="1"/>
  <c r="AE64" i="1" s="1"/>
  <c r="AF64" i="1" s="1"/>
  <c r="AB96" i="1"/>
  <c r="AE96" i="1" s="1"/>
  <c r="AF96" i="1" s="1"/>
  <c r="AB111" i="1"/>
  <c r="AE111" i="1" s="1"/>
  <c r="AF111" i="1" s="1"/>
  <c r="AB156" i="1"/>
  <c r="AE156" i="1" s="1"/>
  <c r="AF156" i="1" s="1"/>
  <c r="AB196" i="1"/>
  <c r="AB40" i="1"/>
  <c r="AB163" i="1"/>
  <c r="AE163" i="1" s="1"/>
  <c r="AF163" i="1" s="1"/>
  <c r="AB197" i="1"/>
  <c r="AE197" i="1" s="1"/>
  <c r="AF197" i="1" s="1"/>
  <c r="AB3" i="1"/>
  <c r="AB82" i="1"/>
  <c r="AB208" i="1"/>
  <c r="AE208" i="1"/>
  <c r="AF208" i="1" s="1"/>
  <c r="AB63" i="1"/>
  <c r="AE63" i="1" s="1"/>
  <c r="AF63" i="1" s="1"/>
  <c r="AB17" i="1"/>
  <c r="AE17" i="1" s="1"/>
  <c r="AF17" i="1" s="1"/>
  <c r="V17" i="1" s="1"/>
  <c r="W17" i="1" s="1"/>
  <c r="AB45" i="1"/>
  <c r="AB121" i="1"/>
  <c r="AB183" i="1"/>
  <c r="AB50" i="1"/>
  <c r="AE50" i="1"/>
  <c r="AF50" i="1"/>
  <c r="AE127" i="1"/>
  <c r="AF127" i="1" s="1"/>
  <c r="AB175" i="1"/>
  <c r="AE175" i="1" s="1"/>
  <c r="AF175" i="1" s="1"/>
  <c r="AB203" i="1"/>
  <c r="AE203" i="1" s="1"/>
  <c r="AF203" i="1" s="1"/>
  <c r="AB216" i="1"/>
  <c r="AE216" i="1" s="1"/>
  <c r="AF216" i="1" s="1"/>
  <c r="AB42" i="1"/>
  <c r="AB51" i="1"/>
  <c r="AE51" i="1" s="1"/>
  <c r="AF51" i="1" s="1"/>
  <c r="AB65" i="1"/>
  <c r="AE65" i="1" s="1"/>
  <c r="AF65" i="1" s="1"/>
  <c r="AB98" i="1"/>
  <c r="AF98" i="1"/>
  <c r="AB116" i="1"/>
  <c r="AE116" i="1" s="1"/>
  <c r="AF116" i="1" s="1"/>
  <c r="AB134" i="1"/>
  <c r="AE134" i="1" s="1"/>
  <c r="AF134" i="1" s="1"/>
  <c r="AB144" i="1"/>
  <c r="AB176" i="1"/>
  <c r="AB187" i="1"/>
  <c r="AE187" i="1"/>
  <c r="AF187" i="1"/>
  <c r="AB15" i="1"/>
  <c r="AE15" i="1"/>
  <c r="AF15" i="1" s="1"/>
  <c r="V15" i="1" s="1"/>
  <c r="W15" i="1" s="1"/>
  <c r="AB28" i="1"/>
  <c r="AE28" i="1" s="1"/>
  <c r="AF28" i="1" s="1"/>
  <c r="V28" i="1" s="1"/>
  <c r="W28" i="1" s="1"/>
  <c r="AB137" i="1"/>
  <c r="AE137" i="1" s="1"/>
  <c r="AF137" i="1" s="1"/>
  <c r="AB9" i="1"/>
  <c r="AE9" i="1" s="1"/>
  <c r="AF9" i="1" s="1"/>
  <c r="AB79" i="1"/>
  <c r="AE79" i="1"/>
  <c r="AF79" i="1" s="1"/>
  <c r="AB167" i="1"/>
  <c r="AE167" i="1"/>
  <c r="AF167" i="1" s="1"/>
  <c r="AB188" i="1"/>
  <c r="AE188" i="1" s="1"/>
  <c r="AF188" i="1" s="1"/>
  <c r="AB18" i="1"/>
  <c r="AE18" i="1" s="1"/>
  <c r="AF18" i="1" s="1"/>
  <c r="AE115" i="1"/>
  <c r="AF115" i="1"/>
  <c r="V115" i="1" s="1"/>
  <c r="W115" i="1" s="1"/>
  <c r="AB136" i="1"/>
  <c r="AB35" i="1"/>
  <c r="AE35" i="1" s="1"/>
  <c r="AF35" i="1" s="1"/>
  <c r="V35" i="1" s="1"/>
  <c r="W35" i="1" s="1"/>
  <c r="AB92" i="1"/>
  <c r="AE92" i="1" s="1"/>
  <c r="AF92" i="1" s="1"/>
  <c r="AE105" i="1"/>
  <c r="AF105" i="1" s="1"/>
  <c r="AB146" i="1"/>
  <c r="AB112" i="1"/>
  <c r="AE112" i="1"/>
  <c r="AF112" i="1" s="1"/>
  <c r="AB190" i="1"/>
  <c r="AB61" i="1"/>
  <c r="AB85" i="1"/>
  <c r="AE85" i="1"/>
  <c r="AF85" i="1" s="1"/>
  <c r="AB106" i="1"/>
  <c r="AB129" i="1"/>
  <c r="AE129" i="1" s="1"/>
  <c r="AF129" i="1" s="1"/>
  <c r="V129" i="1" s="1"/>
  <c r="W129" i="1" s="1"/>
  <c r="AB151" i="1"/>
  <c r="AE151" i="1" s="1"/>
  <c r="AF151" i="1" s="1"/>
  <c r="AB173" i="1"/>
  <c r="AB185" i="1"/>
  <c r="AE185" i="1"/>
  <c r="AF185" i="1" s="1"/>
  <c r="AB12" i="1"/>
  <c r="AE12" i="1" s="1"/>
  <c r="AF12" i="1" s="1"/>
  <c r="AB41" i="1"/>
  <c r="AE41" i="1" s="1"/>
  <c r="AF41" i="1" s="1"/>
  <c r="AB76" i="1"/>
  <c r="V38" i="1"/>
  <c r="W38" i="1" s="1"/>
  <c r="W97" i="1"/>
  <c r="V36" i="1"/>
  <c r="W36" i="1" s="1"/>
  <c r="W98" i="1"/>
  <c r="W66" i="1"/>
  <c r="W99" i="1"/>
  <c r="W94" i="1"/>
  <c r="W92" i="1"/>
  <c r="V216" i="1"/>
  <c r="W216" i="1"/>
  <c r="W95" i="1"/>
  <c r="AE133" i="1"/>
  <c r="AF133" i="1" s="1"/>
  <c r="W96" i="1"/>
  <c r="V18" i="1"/>
  <c r="W18" i="1" s="1"/>
  <c r="AE146" i="1"/>
  <c r="AF146" i="1" s="1"/>
  <c r="V146" i="1"/>
  <c r="W146" i="1" s="1"/>
  <c r="V144" i="1" l="1"/>
  <c r="W144" i="1" s="1"/>
  <c r="AB222" i="1"/>
  <c r="AE222" i="1"/>
  <c r="AF222" i="1" s="1"/>
  <c r="V222" i="1" s="1"/>
  <c r="W222" i="1" s="1"/>
  <c r="V29" i="1"/>
  <c r="W29" i="1" s="1"/>
  <c r="V54" i="1"/>
  <c r="W54" i="1" s="1"/>
  <c r="AE195" i="1"/>
  <c r="AF195" i="1" s="1"/>
  <c r="V101" i="1"/>
  <c r="W101" i="1" s="1"/>
  <c r="AE206" i="1"/>
  <c r="AF206" i="1" s="1"/>
  <c r="AE207" i="1"/>
  <c r="AF207" i="1" s="1"/>
  <c r="V141" i="1"/>
  <c r="W141" i="1" s="1"/>
  <c r="AB107" i="1"/>
  <c r="AE107" i="1" s="1"/>
  <c r="AF107" i="1" s="1"/>
  <c r="V107" i="1" s="1"/>
  <c r="W107" i="1" s="1"/>
  <c r="V128" i="1"/>
  <c r="W128" i="1" s="1"/>
  <c r="AE78" i="1"/>
  <c r="AF78" i="1" s="1"/>
  <c r="AE30" i="1"/>
  <c r="AF30" i="1" s="1"/>
  <c r="AB30" i="1"/>
  <c r="V142" i="1"/>
  <c r="W142" i="1" s="1"/>
  <c r="AB72" i="1"/>
  <c r="AB202" i="1"/>
  <c r="AE202" i="1" s="1"/>
  <c r="AF202" i="1" s="1"/>
  <c r="AB71" i="1"/>
  <c r="AE71" i="1" s="1"/>
  <c r="AF71" i="1" s="1"/>
  <c r="AB32" i="1"/>
  <c r="AE32" i="1" s="1"/>
  <c r="AF32" i="1" s="1"/>
  <c r="V32" i="1" s="1"/>
  <c r="W32" i="1" s="1"/>
  <c r="AE26" i="1"/>
  <c r="AF26" i="1" s="1"/>
  <c r="AB166" i="1"/>
  <c r="AE166" i="1" s="1"/>
  <c r="AF166" i="1" s="1"/>
  <c r="V166" i="1" s="1"/>
  <c r="W166" i="1" s="1"/>
  <c r="AE3" i="1"/>
  <c r="AF3" i="1" s="1"/>
  <c r="V3" i="1" s="1"/>
  <c r="W3" i="1" s="1"/>
  <c r="AE144" i="1"/>
  <c r="AF144" i="1" s="1"/>
  <c r="AB135" i="1"/>
  <c r="AE135" i="1" s="1"/>
  <c r="AF135" i="1" s="1"/>
  <c r="V135" i="1" s="1"/>
  <c r="W135" i="1" s="1"/>
  <c r="AB19" i="1"/>
  <c r="AE19" i="1" s="1"/>
  <c r="AF19" i="1" s="1"/>
  <c r="V149" i="1"/>
  <c r="W149" i="1" s="1"/>
  <c r="V64" i="1"/>
  <c r="W64" i="1" s="1"/>
  <c r="AE44" i="1"/>
  <c r="AF44" i="1" s="1"/>
  <c r="V44" i="1" s="1"/>
  <c r="W44" i="1" s="1"/>
  <c r="AB44" i="1"/>
  <c r="AB26" i="1"/>
  <c r="V26" i="1" s="1"/>
  <c r="W26" i="1" s="1"/>
  <c r="AB8" i="1"/>
  <c r="AB140" i="1"/>
  <c r="V140" i="1" s="1"/>
  <c r="W140" i="1" s="1"/>
  <c r="AE140" i="1"/>
  <c r="AF140" i="1" s="1"/>
  <c r="AE128" i="1"/>
  <c r="AF128" i="1" s="1"/>
  <c r="AE220" i="1"/>
  <c r="AF220" i="1" s="1"/>
  <c r="V220" i="1" s="1"/>
  <c r="W220" i="1" s="1"/>
  <c r="AE113" i="1"/>
  <c r="AF113" i="1" s="1"/>
  <c r="AE157" i="1"/>
  <c r="AF157" i="1" s="1"/>
  <c r="AB157" i="1"/>
  <c r="AB73" i="1"/>
  <c r="AE73" i="1" s="1"/>
  <c r="AF73" i="1" s="1"/>
  <c r="V73" i="1" s="1"/>
  <c r="W73" i="1" s="1"/>
  <c r="AE172" i="1"/>
  <c r="AF172" i="1" s="1"/>
  <c r="AB172" i="1"/>
  <c r="AD200" i="1"/>
  <c r="AE200" i="1" s="1"/>
  <c r="AF200" i="1" s="1"/>
  <c r="S212" i="1"/>
  <c r="U212" i="1" s="1"/>
  <c r="W212" i="1" s="1"/>
  <c r="AA213" i="1"/>
  <c r="AE121" i="1"/>
  <c r="AF121" i="1" s="1"/>
  <c r="V121" i="1" s="1"/>
  <c r="W121" i="1" s="1"/>
  <c r="AD80" i="1"/>
  <c r="AD5" i="1"/>
  <c r="AE5" i="1" s="1"/>
  <c r="AF5" i="1" s="1"/>
  <c r="AA205" i="1"/>
  <c r="AB205" i="1" s="1"/>
  <c r="AA80" i="1"/>
  <c r="AB80" i="1" s="1"/>
  <c r="AD104" i="1"/>
  <c r="AE46" i="1"/>
  <c r="AF46" i="1" s="1"/>
  <c r="AE66" i="1"/>
  <c r="AF66" i="1" s="1"/>
  <c r="AE178" i="1"/>
  <c r="AF178" i="1" s="1"/>
  <c r="AE191" i="1"/>
  <c r="AF191" i="1" s="1"/>
  <c r="V191" i="1" s="1"/>
  <c r="W191" i="1" s="1"/>
  <c r="AE177" i="1"/>
  <c r="AF177" i="1" s="1"/>
  <c r="V177" i="1" s="1"/>
  <c r="W177" i="1" s="1"/>
  <c r="AE168" i="1"/>
  <c r="AF168" i="1" s="1"/>
  <c r="AE123" i="1"/>
  <c r="AF123" i="1" s="1"/>
  <c r="AE4" i="1"/>
  <c r="AF4" i="1" s="1"/>
  <c r="AE95" i="1"/>
  <c r="AF95" i="1" s="1"/>
  <c r="AE190" i="1"/>
  <c r="AF190" i="1" s="1"/>
  <c r="V190" i="1" s="1"/>
  <c r="W190" i="1" s="1"/>
  <c r="AE27" i="1"/>
  <c r="AF27" i="1" s="1"/>
  <c r="V27" i="1" s="1"/>
  <c r="W27" i="1" s="1"/>
  <c r="AA67" i="1"/>
  <c r="AE90" i="1"/>
  <c r="AF90" i="1" s="1"/>
  <c r="AE160" i="1"/>
  <c r="AF160" i="1" s="1"/>
  <c r="V143" i="1"/>
  <c r="W143" i="1" s="1"/>
  <c r="AB91" i="1"/>
  <c r="AE91" i="1" s="1"/>
  <c r="AF91" i="1" s="1"/>
  <c r="AB212" i="1"/>
  <c r="AE212" i="1" s="1"/>
  <c r="AF212" i="1" s="1"/>
  <c r="AE76" i="1"/>
  <c r="AF76" i="1" s="1"/>
  <c r="V76" i="1" s="1"/>
  <c r="W76" i="1" s="1"/>
  <c r="V198" i="1"/>
  <c r="W198" i="1" s="1"/>
  <c r="V7" i="1"/>
  <c r="W7" i="1" s="1"/>
  <c r="AE47" i="1"/>
  <c r="AF47" i="1" s="1"/>
  <c r="V47" i="1" s="1"/>
  <c r="W47" i="1" s="1"/>
  <c r="AB77" i="1"/>
  <c r="AE77" i="1" s="1"/>
  <c r="AF77" i="1" s="1"/>
  <c r="V77" i="1" s="1"/>
  <c r="W77" i="1" s="1"/>
  <c r="AE218" i="1"/>
  <c r="AF218" i="1" s="1"/>
  <c r="V218" i="1" s="1"/>
  <c r="W218" i="1" s="1"/>
  <c r="V100" i="1"/>
  <c r="W100" i="1" s="1"/>
  <c r="AE198" i="1"/>
  <c r="AF198" i="1" s="1"/>
  <c r="AE58" i="1"/>
  <c r="AF58" i="1" s="1"/>
  <c r="V58" i="1"/>
  <c r="W58" i="1" s="1"/>
  <c r="V208" i="1"/>
  <c r="W208" i="1" s="1"/>
  <c r="AE211" i="1"/>
  <c r="AF211" i="1" s="1"/>
  <c r="V211" i="1" s="1"/>
  <c r="W211" i="1" s="1"/>
  <c r="V172" i="1"/>
  <c r="W172" i="1" s="1"/>
  <c r="V56" i="1"/>
  <c r="W56" i="1" s="1"/>
  <c r="AE136" i="1"/>
  <c r="AF136" i="1" s="1"/>
  <c r="V136" i="1" s="1"/>
  <c r="W136" i="1" s="1"/>
  <c r="AE99" i="1"/>
  <c r="AF99" i="1" s="1"/>
  <c r="AE21" i="1"/>
  <c r="AF21" i="1" s="1"/>
  <c r="AE219" i="1"/>
  <c r="AF219" i="1" s="1"/>
  <c r="V219" i="1" s="1"/>
  <c r="W219" i="1" s="1"/>
  <c r="V68" i="1"/>
  <c r="W68" i="1" s="1"/>
  <c r="AE125" i="1"/>
  <c r="AF125" i="1" s="1"/>
  <c r="V125" i="1" s="1"/>
  <c r="W125" i="1" s="1"/>
  <c r="V174" i="1"/>
  <c r="W174" i="1" s="1"/>
  <c r="AE102" i="1"/>
  <c r="AF102" i="1" s="1"/>
  <c r="V102" i="1"/>
  <c r="W102" i="1" s="1"/>
  <c r="AB69" i="1"/>
  <c r="AE69" i="1" s="1"/>
  <c r="AF69" i="1" s="1"/>
  <c r="V188" i="1"/>
  <c r="W188" i="1" s="1"/>
  <c r="AE138" i="1"/>
  <c r="AF138" i="1" s="1"/>
  <c r="V138" i="1" s="1"/>
  <c r="W138" i="1" s="1"/>
  <c r="AB170" i="1"/>
  <c r="AE170" i="1" s="1"/>
  <c r="AF170" i="1" s="1"/>
  <c r="V75" i="1"/>
  <c r="W75" i="1" s="1"/>
  <c r="AB184" i="1"/>
  <c r="AE184" i="1" s="1"/>
  <c r="AF184" i="1" s="1"/>
  <c r="AE100" i="1"/>
  <c r="AF100" i="1" s="1"/>
  <c r="V210" i="1"/>
  <c r="W210" i="1" s="1"/>
  <c r="V139" i="1"/>
  <c r="W139" i="1" s="1"/>
  <c r="V185" i="1"/>
  <c r="W185" i="1" s="1"/>
  <c r="AE196" i="1"/>
  <c r="AF196" i="1" s="1"/>
  <c r="V196" i="1" s="1"/>
  <c r="W196" i="1" s="1"/>
  <c r="AB83" i="1"/>
  <c r="AE83" i="1" s="1"/>
  <c r="AF83" i="1" s="1"/>
  <c r="AB154" i="1"/>
  <c r="AE154" i="1" s="1"/>
  <c r="AF154" i="1" s="1"/>
  <c r="AB59" i="1"/>
  <c r="AE59" i="1" s="1"/>
  <c r="AF59" i="1" s="1"/>
  <c r="V59" i="1" s="1"/>
  <c r="W59" i="1" s="1"/>
  <c r="AE88" i="1"/>
  <c r="AF88" i="1" s="1"/>
  <c r="V209" i="1"/>
  <c r="W209" i="1" s="1"/>
  <c r="V34" i="1"/>
  <c r="W34" i="1" s="1"/>
  <c r="V65" i="1"/>
  <c r="W65" i="1" s="1"/>
  <c r="AE45" i="1"/>
  <c r="AF45" i="1" s="1"/>
  <c r="V45" i="1"/>
  <c r="W45" i="1" s="1"/>
  <c r="AE10" i="1"/>
  <c r="AF10" i="1" s="1"/>
  <c r="V10" i="1" s="1"/>
  <c r="W10" i="1" s="1"/>
  <c r="AB97" i="1"/>
  <c r="AE97" i="1" s="1"/>
  <c r="AF97" i="1" s="1"/>
  <c r="V207" i="1"/>
  <c r="W207" i="1" s="1"/>
  <c r="AB20" i="1"/>
  <c r="AE20" i="1"/>
  <c r="AF20" i="1" s="1"/>
  <c r="V20" i="1" s="1"/>
  <c r="W20" i="1" s="1"/>
  <c r="AB186" i="1"/>
  <c r="AE186" i="1"/>
  <c r="AF186" i="1" s="1"/>
  <c r="V182" i="1"/>
  <c r="W182" i="1" s="1"/>
  <c r="AB103" i="1"/>
  <c r="AE103" i="1"/>
  <c r="AF103" i="1" s="1"/>
  <c r="V183" i="1"/>
  <c r="W183" i="1" s="1"/>
  <c r="V25" i="1"/>
  <c r="W25" i="1" s="1"/>
  <c r="AB13" i="1"/>
  <c r="AE13" i="1"/>
  <c r="AF13" i="1" s="1"/>
  <c r="AB14" i="1"/>
  <c r="AE180" i="1"/>
  <c r="AF180" i="1" s="1"/>
  <c r="V180" i="1"/>
  <c r="W180" i="1" s="1"/>
  <c r="AE31" i="1"/>
  <c r="AF31" i="1" s="1"/>
  <c r="V31" i="1" s="1"/>
  <c r="W31" i="1" s="1"/>
  <c r="AE70" i="1"/>
  <c r="AF70" i="1" s="1"/>
  <c r="AB132" i="1"/>
  <c r="AB104" i="1"/>
  <c r="AE104" i="1" s="1"/>
  <c r="AF104" i="1" s="1"/>
  <c r="AB159" i="1"/>
  <c r="AE159" i="1" s="1"/>
  <c r="AF159" i="1" s="1"/>
  <c r="AB192" i="1"/>
  <c r="AE192" i="1" s="1"/>
  <c r="AF192" i="1" s="1"/>
  <c r="AB87" i="1"/>
  <c r="AE87" i="1" s="1"/>
  <c r="AF87" i="1" s="1"/>
  <c r="V199" i="1"/>
  <c r="W199" i="1" s="1"/>
  <c r="AB171" i="1"/>
  <c r="AE171" i="1" s="1"/>
  <c r="AF171" i="1" s="1"/>
  <c r="V171" i="1" s="1"/>
  <c r="W171" i="1" s="1"/>
  <c r="V189" i="1"/>
  <c r="W189" i="1" s="1"/>
  <c r="AB181" i="1"/>
  <c r="AE181" i="1"/>
  <c r="AF181" i="1" s="1"/>
  <c r="AB214" i="1"/>
  <c r="AE108" i="1"/>
  <c r="AF108" i="1" s="1"/>
  <c r="V108" i="1" s="1"/>
  <c r="W108" i="1" s="1"/>
  <c r="AE201" i="1"/>
  <c r="AF201" i="1" s="1"/>
  <c r="V201" i="1" s="1"/>
  <c r="W201" i="1" s="1"/>
  <c r="AB62" i="1"/>
  <c r="AE84" i="1"/>
  <c r="AF84" i="1" s="1"/>
  <c r="V176" i="1"/>
  <c r="W176" i="1" s="1"/>
  <c r="V93" i="1"/>
  <c r="W93" i="1" s="1"/>
  <c r="V41" i="1"/>
  <c r="W41" i="1" s="1"/>
  <c r="AE131" i="1"/>
  <c r="AF131" i="1" s="1"/>
  <c r="AE42" i="1"/>
  <c r="AF42" i="1" s="1"/>
  <c r="V42" i="1" s="1"/>
  <c r="W42" i="1" s="1"/>
  <c r="V133" i="1"/>
  <c r="W133" i="1" s="1"/>
  <c r="V4" i="1"/>
  <c r="W4" i="1" s="1"/>
  <c r="AB94" i="1"/>
  <c r="AE94" i="1" s="1"/>
  <c r="AF94" i="1" s="1"/>
  <c r="T386" i="2"/>
  <c r="AB165" i="1"/>
  <c r="AE40" i="1"/>
  <c r="AF40" i="1" s="1"/>
  <c r="V40" i="1" s="1"/>
  <c r="W40" i="1" s="1"/>
  <c r="AB122" i="1"/>
  <c r="AE122" i="1"/>
  <c r="AF122" i="1" s="1"/>
  <c r="AE215" i="1"/>
  <c r="AF215" i="1" s="1"/>
  <c r="V215" i="1" s="1"/>
  <c r="W215" i="1" s="1"/>
  <c r="AB24" i="1"/>
  <c r="AE61" i="1"/>
  <c r="AF61" i="1" s="1"/>
  <c r="V61" i="1"/>
  <c r="W61" i="1" s="1"/>
  <c r="R27" i="2"/>
  <c r="S19" i="2"/>
  <c r="S27" i="2" s="1"/>
  <c r="T58" i="2"/>
  <c r="S53" i="2"/>
  <c r="S58" i="2" s="1"/>
  <c r="R58" i="2"/>
  <c r="S87" i="2"/>
  <c r="S90" i="2" s="1"/>
  <c r="R90" i="2"/>
  <c r="AE93" i="1"/>
  <c r="AF93" i="1" s="1"/>
  <c r="V168" i="1"/>
  <c r="W168" i="1" s="1"/>
  <c r="AB74" i="1"/>
  <c r="AE74" i="1" s="1"/>
  <c r="AF74" i="1" s="1"/>
  <c r="AB124" i="1"/>
  <c r="AE124" i="1"/>
  <c r="AF124" i="1" s="1"/>
  <c r="AB162" i="1"/>
  <c r="AE162" i="1"/>
  <c r="AF162" i="1" s="1"/>
  <c r="AE55" i="1"/>
  <c r="AF55" i="1" s="1"/>
  <c r="V55" i="1" s="1"/>
  <c r="W55" i="1" s="1"/>
  <c r="AE164" i="1"/>
  <c r="AF164" i="1" s="1"/>
  <c r="V164" i="1" s="1"/>
  <c r="W164" i="1" s="1"/>
  <c r="AE148" i="1"/>
  <c r="AF148" i="1" s="1"/>
  <c r="V78" i="1"/>
  <c r="W78" i="1" s="1"/>
  <c r="S261" i="2"/>
  <c r="S422" i="2"/>
  <c r="S176" i="2"/>
  <c r="S11" i="2"/>
  <c r="T280" i="2"/>
  <c r="AB147" i="1"/>
  <c r="AE147" i="1"/>
  <c r="AF147" i="1" s="1"/>
  <c r="R11" i="2"/>
  <c r="S5" i="2"/>
  <c r="V206" i="1"/>
  <c r="W206" i="1" s="1"/>
  <c r="AE176" i="1"/>
  <c r="AF176" i="1" s="1"/>
  <c r="V169" i="1"/>
  <c r="W169" i="1" s="1"/>
  <c r="T457" i="2"/>
  <c r="S402" i="2"/>
  <c r="AE145" i="1"/>
  <c r="AF145" i="1" s="1"/>
  <c r="V145" i="1" s="1"/>
  <c r="W145" i="1" s="1"/>
  <c r="AE52" i="1"/>
  <c r="AF52" i="1" s="1"/>
  <c r="V52" i="1" s="1"/>
  <c r="W52" i="1" s="1"/>
  <c r="AE194" i="1"/>
  <c r="AF194" i="1" s="1"/>
  <c r="V194" i="1" s="1"/>
  <c r="W194" i="1" s="1"/>
  <c r="R261" i="2"/>
  <c r="R122" i="2"/>
  <c r="S122" i="2" s="1"/>
  <c r="N122" i="2"/>
  <c r="T122" i="2" s="1"/>
  <c r="R126" i="2"/>
  <c r="S126" i="2" s="1"/>
  <c r="N126" i="2"/>
  <c r="T126" i="2" s="1"/>
  <c r="S138" i="2"/>
  <c r="S143" i="2" s="1"/>
  <c r="N157" i="2"/>
  <c r="T157" i="2" s="1"/>
  <c r="T159" i="2" s="1"/>
  <c r="AD217" i="1"/>
  <c r="AE217" i="1" s="1"/>
  <c r="AF217" i="1" s="1"/>
  <c r="S192" i="2"/>
  <c r="S196" i="2" s="1"/>
  <c r="R20" i="2"/>
  <c r="S20" i="2" s="1"/>
  <c r="R24" i="2"/>
  <c r="S24" i="2" s="1"/>
  <c r="N42" i="2"/>
  <c r="S347" i="2"/>
  <c r="S351" i="2" s="1"/>
  <c r="S293" i="2"/>
  <c r="S295" i="2" s="1"/>
  <c r="R69" i="2"/>
  <c r="N69" i="2"/>
  <c r="T69" i="2" s="1"/>
  <c r="R123" i="2"/>
  <c r="S123" i="2" s="1"/>
  <c r="R226" i="2"/>
  <c r="S226" i="2" s="1"/>
  <c r="N226" i="2"/>
  <c r="T226" i="2" s="1"/>
  <c r="T233" i="2" s="1"/>
  <c r="AD173" i="1"/>
  <c r="AE173" i="1" s="1"/>
  <c r="AF173" i="1" s="1"/>
  <c r="V173" i="1" s="1"/>
  <c r="W173" i="1" s="1"/>
  <c r="R402" i="2"/>
  <c r="N3" i="2"/>
  <c r="T3" i="2" s="1"/>
  <c r="R38" i="2"/>
  <c r="R40" i="2"/>
  <c r="S40" i="2" s="1"/>
  <c r="T438" i="2"/>
  <c r="AD81" i="1"/>
  <c r="AE81" i="1" s="1"/>
  <c r="AF81" i="1" s="1"/>
  <c r="R422" i="2"/>
  <c r="R120" i="2"/>
  <c r="N120" i="2"/>
  <c r="T120" i="2" s="1"/>
  <c r="R124" i="2"/>
  <c r="S124" i="2" s="1"/>
  <c r="N124" i="2"/>
  <c r="T124" i="2" s="1"/>
  <c r="K216" i="2"/>
  <c r="N70" i="2"/>
  <c r="T70" i="2" s="1"/>
  <c r="K250" i="2"/>
  <c r="K284" i="2"/>
  <c r="R276" i="2"/>
  <c r="S276" i="2" s="1"/>
  <c r="N276" i="2"/>
  <c r="T276" i="2" s="1"/>
  <c r="N9" i="2"/>
  <c r="T9" i="2" s="1"/>
  <c r="N310" i="2"/>
  <c r="T310" i="2" s="1"/>
  <c r="T312" i="2" s="1"/>
  <c r="K318" i="2"/>
  <c r="K355" i="2"/>
  <c r="L16" i="1"/>
  <c r="N19" i="2"/>
  <c r="T19" i="2" s="1"/>
  <c r="T27" i="2" s="1"/>
  <c r="K97" i="2"/>
  <c r="N109" i="2"/>
  <c r="T109" i="2" s="1"/>
  <c r="T110" i="2" s="1"/>
  <c r="R109" i="2"/>
  <c r="K131" i="2"/>
  <c r="R348" i="2"/>
  <c r="S348" i="2" s="1"/>
  <c r="N348" i="2"/>
  <c r="T348" i="2" s="1"/>
  <c r="T351" i="2" s="1"/>
  <c r="AD106" i="1"/>
  <c r="AE106" i="1" s="1"/>
  <c r="AF106" i="1" s="1"/>
  <c r="V106" i="1" s="1"/>
  <c r="W106" i="1" s="1"/>
  <c r="R71" i="2"/>
  <c r="S71" i="2" s="1"/>
  <c r="N71" i="2"/>
  <c r="T71" i="2" s="1"/>
  <c r="R209" i="2"/>
  <c r="N209" i="2"/>
  <c r="T209" i="2" s="1"/>
  <c r="T210" i="2" s="1"/>
  <c r="R240" i="2"/>
  <c r="N240" i="2"/>
  <c r="T240" i="2" s="1"/>
  <c r="T244" i="2" s="1"/>
  <c r="K373" i="2"/>
  <c r="K482" i="2" s="1"/>
  <c r="K484" i="2" s="1"/>
  <c r="R223" i="2"/>
  <c r="R472" i="2"/>
  <c r="M6" i="3"/>
  <c r="Q6" i="3" s="1"/>
  <c r="M18" i="3"/>
  <c r="Q18" i="3" s="1"/>
  <c r="R230" i="2"/>
  <c r="S230" i="2" s="1"/>
  <c r="N454" i="2"/>
  <c r="T454" i="2" s="1"/>
  <c r="M13" i="3"/>
  <c r="Q13" i="3" s="1"/>
  <c r="M25" i="3"/>
  <c r="Q25" i="3" s="1"/>
  <c r="K114" i="2"/>
  <c r="N290" i="2"/>
  <c r="T290" i="2" s="1"/>
  <c r="T295" i="2" s="1"/>
  <c r="R433" i="2"/>
  <c r="R435" i="2"/>
  <c r="S435" i="2" s="1"/>
  <c r="N140" i="2"/>
  <c r="T140" i="2" s="1"/>
  <c r="T143" i="2" s="1"/>
  <c r="N142" i="2"/>
  <c r="T142" i="2" s="1"/>
  <c r="R224" i="2"/>
  <c r="S224" i="2" s="1"/>
  <c r="R274" i="2"/>
  <c r="N419" i="2"/>
  <c r="T419" i="2" s="1"/>
  <c r="T422" i="2" s="1"/>
  <c r="R451" i="2"/>
  <c r="N469" i="2"/>
  <c r="T469" i="2" s="1"/>
  <c r="T474" i="2" s="1"/>
  <c r="M5" i="3"/>
  <c r="Q5" i="3" s="1"/>
  <c r="M17" i="3"/>
  <c r="Q17" i="3" s="1"/>
  <c r="M29" i="3"/>
  <c r="Q29" i="3" s="1"/>
  <c r="K462" i="2"/>
  <c r="N400" i="2"/>
  <c r="T400" i="2" s="1"/>
  <c r="T402" i="2" s="1"/>
  <c r="V72" i="1" l="1"/>
  <c r="W72" i="1" s="1"/>
  <c r="V214" i="1"/>
  <c r="W214" i="1" s="1"/>
  <c r="AE8" i="1"/>
  <c r="AF8" i="1" s="1"/>
  <c r="V8" i="1" s="1"/>
  <c r="W8" i="1" s="1"/>
  <c r="AE72" i="1"/>
  <c r="AF72" i="1" s="1"/>
  <c r="AB67" i="1"/>
  <c r="AE67" i="1"/>
  <c r="AF67" i="1" s="1"/>
  <c r="AE14" i="1"/>
  <c r="AF14" i="1" s="1"/>
  <c r="V14" i="1" s="1"/>
  <c r="W14" i="1" s="1"/>
  <c r="AE80" i="1"/>
  <c r="AF80" i="1" s="1"/>
  <c r="V30" i="1"/>
  <c r="W30" i="1" s="1"/>
  <c r="AE214" i="1"/>
  <c r="AF214" i="1" s="1"/>
  <c r="V13" i="1"/>
  <c r="W13" i="1" s="1"/>
  <c r="V71" i="1"/>
  <c r="W71" i="1" s="1"/>
  <c r="AE62" i="1"/>
  <c r="AF62" i="1" s="1"/>
  <c r="V62" i="1" s="1"/>
  <c r="W62" i="1" s="1"/>
  <c r="AE165" i="1"/>
  <c r="AF165" i="1" s="1"/>
  <c r="V165" i="1" s="1"/>
  <c r="W165" i="1" s="1"/>
  <c r="AB213" i="1"/>
  <c r="V19" i="1"/>
  <c r="W19" i="1" s="1"/>
  <c r="V202" i="1"/>
  <c r="W202" i="1" s="1"/>
  <c r="AE205" i="1"/>
  <c r="AF205" i="1" s="1"/>
  <c r="V103" i="1"/>
  <c r="W103" i="1" s="1"/>
  <c r="V147" i="1"/>
  <c r="W147" i="1" s="1"/>
  <c r="S240" i="2"/>
  <c r="S244" i="2" s="1"/>
  <c r="R244" i="2"/>
  <c r="V184" i="1"/>
  <c r="W184" i="1" s="1"/>
  <c r="S481" i="2"/>
  <c r="T127" i="2"/>
  <c r="AE132" i="1"/>
  <c r="AF132" i="1" s="1"/>
  <c r="V132" i="1" s="1"/>
  <c r="W132" i="1" s="1"/>
  <c r="S451" i="2"/>
  <c r="S457" i="2" s="1"/>
  <c r="R457" i="2"/>
  <c r="S69" i="2"/>
  <c r="S75" i="2" s="1"/>
  <c r="R75" i="2"/>
  <c r="V74" i="1"/>
  <c r="W74" i="1" s="1"/>
  <c r="S274" i="2"/>
  <c r="S280" i="2" s="1"/>
  <c r="R280" i="2"/>
  <c r="S472" i="2"/>
  <c r="S474" i="2" s="1"/>
  <c r="R474" i="2"/>
  <c r="S38" i="2"/>
  <c r="S41" i="2" s="1"/>
  <c r="R41" i="2"/>
  <c r="V181" i="1"/>
  <c r="W181" i="1" s="1"/>
  <c r="V154" i="1"/>
  <c r="W154" i="1" s="1"/>
  <c r="V170" i="1"/>
  <c r="W170" i="1" s="1"/>
  <c r="S223" i="2"/>
  <c r="S233" i="2" s="1"/>
  <c r="R233" i="2"/>
  <c r="S109" i="2"/>
  <c r="S110" i="2" s="1"/>
  <c r="R110" i="2"/>
  <c r="R481" i="2" s="1"/>
  <c r="T11" i="2"/>
  <c r="AE24" i="1"/>
  <c r="AF24" i="1" s="1"/>
  <c r="V24" i="1" s="1"/>
  <c r="W24" i="1" s="1"/>
  <c r="V186" i="1"/>
  <c r="W186" i="1" s="1"/>
  <c r="V87" i="1"/>
  <c r="W87" i="1" s="1"/>
  <c r="S433" i="2"/>
  <c r="S438" i="2" s="1"/>
  <c r="R438" i="2"/>
  <c r="V122" i="1"/>
  <c r="W122" i="1" s="1"/>
  <c r="S209" i="2"/>
  <c r="S210" i="2" s="1"/>
  <c r="R210" i="2"/>
  <c r="V124" i="1"/>
  <c r="W124" i="1" s="1"/>
  <c r="R351" i="2"/>
  <c r="R127" i="2"/>
  <c r="S120" i="2"/>
  <c r="S127" i="2" s="1"/>
  <c r="T75" i="2"/>
  <c r="AE213" i="1" l="1"/>
  <c r="AF213" i="1" s="1"/>
  <c r="V213" i="1" s="1"/>
  <c r="W213" i="1" s="1"/>
  <c r="T48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F27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07/06 - 899,99 nf 4539</t>
        </r>
      </text>
    </comment>
  </commentList>
</comments>
</file>

<file path=xl/sharedStrings.xml><?xml version="1.0" encoding="utf-8"?>
<sst xmlns="http://schemas.openxmlformats.org/spreadsheetml/2006/main" count="2063" uniqueCount="740">
  <si>
    <t>Nome</t>
  </si>
  <si>
    <t>Função</t>
  </si>
  <si>
    <t>Código</t>
  </si>
  <si>
    <t>CPF</t>
  </si>
  <si>
    <t>CLEBER MARTINS DOS SANTOS</t>
  </si>
  <si>
    <t>304.785.988-40</t>
  </si>
  <si>
    <t>Sob Custódia do Inss</t>
  </si>
  <si>
    <t>Vendedor de comércio</t>
  </si>
  <si>
    <t>MARCOS ANTONIO NOGUEIRA</t>
  </si>
  <si>
    <t>059.159.978-30</t>
  </si>
  <si>
    <t>Ativo</t>
  </si>
  <si>
    <t xml:space="preserve">GERENTE DE LOJA     </t>
  </si>
  <si>
    <t>HIGOR ANDRE MORETTO</t>
  </si>
  <si>
    <t>416.952.008-45</t>
  </si>
  <si>
    <t xml:space="preserve">VENDEDOR(a)         </t>
  </si>
  <si>
    <t>ALEF JUNIOR SOARES</t>
  </si>
  <si>
    <t>471.603.208-67</t>
  </si>
  <si>
    <t>ZELITA MOREIRA SANTANA</t>
  </si>
  <si>
    <t>026.802.955-52</t>
  </si>
  <si>
    <t>TACIANA APARECIDA MARQUES PERCEGUINI</t>
  </si>
  <si>
    <t>417.506.478-85</t>
  </si>
  <si>
    <t xml:space="preserve">ASSISTENTE DE LOJA  </t>
  </si>
  <si>
    <t>SAVIO KAYK SANTOS DE OLIVEIRA</t>
  </si>
  <si>
    <t>460.439.178-58</t>
  </si>
  <si>
    <t>JULIA MENDES ARAUJO</t>
  </si>
  <si>
    <t>472.709.038-40</t>
  </si>
  <si>
    <t>TIAGO OLIVEIRA DE SOUSA</t>
  </si>
  <si>
    <t>615.804.283-80</t>
  </si>
  <si>
    <t>CRISTIAN YUSUKE SHIMOTO</t>
  </si>
  <si>
    <t>238.466.108-60</t>
  </si>
  <si>
    <t>MAYSSA LAYLA CARDOSO DE OLIVEIRA</t>
  </si>
  <si>
    <t>529.046.548-01</t>
  </si>
  <si>
    <t>BRUNO NASCIMENTO DE SOUSA</t>
  </si>
  <si>
    <t>446.651.718-58</t>
  </si>
  <si>
    <t>RAFAELLA FREITAS DANTAS DOS SANTOS</t>
  </si>
  <si>
    <t>466.341.258-05</t>
  </si>
  <si>
    <t>LUIZ FERNANDO DE OLIVEIRA</t>
  </si>
  <si>
    <t>060.160.187-40</t>
  </si>
  <si>
    <t>GABRIEL DUARTE DA SILVA</t>
  </si>
  <si>
    <t>173.098.857-16</t>
  </si>
  <si>
    <t>MATHEUS DOS SANTOS CHRISTO</t>
  </si>
  <si>
    <t>166.990.977-84</t>
  </si>
  <si>
    <t>GUSTAVO DOS SANTOS DANTAS</t>
  </si>
  <si>
    <t>128.002.947-10</t>
  </si>
  <si>
    <t>NATHALIA MATOS REIS DE FREITAS</t>
  </si>
  <si>
    <t>150.984.167-95</t>
  </si>
  <si>
    <t>INGRID DOS SANTOS BRAGA</t>
  </si>
  <si>
    <t>179.961.057-82</t>
  </si>
  <si>
    <t>LUIZ EDUARDO MARCELINO DOS SANTOS</t>
  </si>
  <si>
    <t>154.191.327-29</t>
  </si>
  <si>
    <t>BERNARDO MARTINS MIRANDA</t>
  </si>
  <si>
    <t>116.287.717-04</t>
  </si>
  <si>
    <t>VITOR HUGO MACEDO</t>
  </si>
  <si>
    <t>108.743.787-37</t>
  </si>
  <si>
    <t>RAFAEL SANTOS DE SOUSA</t>
  </si>
  <si>
    <t>171.325.347-00</t>
  </si>
  <si>
    <t>LAIS SANTOS DE OLIVEIRA</t>
  </si>
  <si>
    <t>177.746.077-81</t>
  </si>
  <si>
    <t>ALLAN DA SILVA PONTES</t>
  </si>
  <si>
    <t>141.562.647-26</t>
  </si>
  <si>
    <t>MARIA JAINE DA SILVA</t>
  </si>
  <si>
    <t>109.515.944-51</t>
  </si>
  <si>
    <t>RAPHAEL BORGES DE FARIAS</t>
  </si>
  <si>
    <t>059.845.167-64</t>
  </si>
  <si>
    <t>PATRICK TEIXEIRA CAMISAO</t>
  </si>
  <si>
    <t>160.448.307-56</t>
  </si>
  <si>
    <t>ELIZA OLIVEIRA NUNES</t>
  </si>
  <si>
    <t>178.908.587-01</t>
  </si>
  <si>
    <t>Contrato Suspenso - MP 936</t>
  </si>
  <si>
    <t>LUCAS SANTOS DE CARVALHO</t>
  </si>
  <si>
    <t>172.838.007-35</t>
  </si>
  <si>
    <t>CAIO VIEIRA BARBOSA</t>
  </si>
  <si>
    <t>442.376.138-60</t>
  </si>
  <si>
    <t>MARGARETH LEAL</t>
  </si>
  <si>
    <t>407.781.668-80</t>
  </si>
  <si>
    <t>GRAZIELLY SANTOS SILVA</t>
  </si>
  <si>
    <t>467.257.158-00</t>
  </si>
  <si>
    <t>CARLOS EDUARDO MARTINS DE LIMA</t>
  </si>
  <si>
    <t>312.469.698-07</t>
  </si>
  <si>
    <t>GABRIEL ALFREDO JESUS DE PINHO</t>
  </si>
  <si>
    <t>491.663.158-75</t>
  </si>
  <si>
    <t>TIAGO WAGNER FRANCO</t>
  </si>
  <si>
    <t>383.025.258-71</t>
  </si>
  <si>
    <t>BRUNO SILVA CAPELLI</t>
  </si>
  <si>
    <t>366.421.178-24</t>
  </si>
  <si>
    <t>VADILSON TEAGO DE SANTANA</t>
  </si>
  <si>
    <t>135.820.698-85</t>
  </si>
  <si>
    <t>ANDRE FERNANDO OZUNA</t>
  </si>
  <si>
    <t>285.803.778-70</t>
  </si>
  <si>
    <t>MARCELO FERNANDES DE SOUZA</t>
  </si>
  <si>
    <t>389.253.428-47</t>
  </si>
  <si>
    <t>BRUNA DIAS RAMOS</t>
  </si>
  <si>
    <t>158.926.428-28</t>
  </si>
  <si>
    <t>NICOLE MARIA FAZIO</t>
  </si>
  <si>
    <t>487.676.818-83</t>
  </si>
  <si>
    <t>MARLON MIRANDA DE OLIVEIRA</t>
  </si>
  <si>
    <t>000.291.020-90</t>
  </si>
  <si>
    <t>JENNYFER QUEIROZ DE ALMEIDA NASCIMENTO</t>
  </si>
  <si>
    <t>407.642.998-24</t>
  </si>
  <si>
    <t>RONALDO PINHEIRO DE OLIVEIRA</t>
  </si>
  <si>
    <t>183.016.258-64</t>
  </si>
  <si>
    <t>JEFFERSON GONCALVES DA SILVA</t>
  </si>
  <si>
    <t>007.164.092-40</t>
  </si>
  <si>
    <t xml:space="preserve">VENDEDOR (a)        </t>
  </si>
  <si>
    <t>ROMEU PITER VERAS DOS SANTOS</t>
  </si>
  <si>
    <t>945.231.772-87</t>
  </si>
  <si>
    <t>PATRICIA BRANDAO ANASTACIO</t>
  </si>
  <si>
    <t>013.989.272-95</t>
  </si>
  <si>
    <t>FRANCIANE DOS SANTOS MEDEIROS</t>
  </si>
  <si>
    <t>939.548.082-34</t>
  </si>
  <si>
    <t>ADRIANA MONTEIRO MACEDO</t>
  </si>
  <si>
    <t>702.895.822-10</t>
  </si>
  <si>
    <t>PATRINY LORRANNA DOS SANTOS MOTA</t>
  </si>
  <si>
    <t>021.046.162-47</t>
  </si>
  <si>
    <t>SUSAN SCHULTZ MOURA</t>
  </si>
  <si>
    <t>026.257.550-75</t>
  </si>
  <si>
    <t>LUCIANO DA MOTA GONÇALVES</t>
  </si>
  <si>
    <t>001.104.960-00</t>
  </si>
  <si>
    <t>CLAUCIO PITTHAN BERGHAHN</t>
  </si>
  <si>
    <t>013.307.420-01</t>
  </si>
  <si>
    <t>MARCIEL FISCHBORN FERNANDES</t>
  </si>
  <si>
    <t>017.323.330-92</t>
  </si>
  <si>
    <t>ROGER PASSAIA</t>
  </si>
  <si>
    <t>047.712.040-71</t>
  </si>
  <si>
    <t>AMANDA LORENA VEIGA RODRIGUES DA SILVA</t>
  </si>
  <si>
    <t>036.781.370-08</t>
  </si>
  <si>
    <t>VICTOR GABRIEL ESTEFEN DE SOUZA</t>
  </si>
  <si>
    <t>037.604.160-98</t>
  </si>
  <si>
    <t>FELIPE GONCALVES</t>
  </si>
  <si>
    <t>050.440.050-96</t>
  </si>
  <si>
    <t>VITORIA APARECIDA DA SILVA</t>
  </si>
  <si>
    <t>045.921.830-10</t>
  </si>
  <si>
    <t>ALUISIO SANCHES MORAES</t>
  </si>
  <si>
    <t>327.400.998-94</t>
  </si>
  <si>
    <t>RAFAEL NOGUEIRA DE MORAES</t>
  </si>
  <si>
    <t>301.816.038-02</t>
  </si>
  <si>
    <t>LEONARDO MAFRA RODRIGUES</t>
  </si>
  <si>
    <t>527.984.638-40</t>
  </si>
  <si>
    <t>HUGO KENJI MIYAZAKI DIAS</t>
  </si>
  <si>
    <t>384.188.068-18</t>
  </si>
  <si>
    <t>DANIELLE DA SILVA CONCEICAO</t>
  </si>
  <si>
    <t>954.817.372-72</t>
  </si>
  <si>
    <t>RENAN FERREIRA PIMENTEL</t>
  </si>
  <si>
    <t>404.103.638-04</t>
  </si>
  <si>
    <t>MARIANA SOUZA RODRIGUES</t>
  </si>
  <si>
    <t>460.133.308-32</t>
  </si>
  <si>
    <t>LUCAS ALVES</t>
  </si>
  <si>
    <t>228.904.388-56</t>
  </si>
  <si>
    <t>UELDERMAN ALVES MIGUEZ COSTA</t>
  </si>
  <si>
    <t>029.972.815-39</t>
  </si>
  <si>
    <t>GABRIELA DUARTE DOS SANTOS</t>
  </si>
  <si>
    <t>061.462.155-03</t>
  </si>
  <si>
    <t>MARCELO ALVES DE SOUZA SANTOS</t>
  </si>
  <si>
    <t>041.739.405-56</t>
  </si>
  <si>
    <t>ISRAEL GUSTAVO DOS SANTOS GARCIA</t>
  </si>
  <si>
    <t>108.739.084-22</t>
  </si>
  <si>
    <t>WEBERTON SOUZA DA SILVA</t>
  </si>
  <si>
    <t>066.595.235-02</t>
  </si>
  <si>
    <t>JOÃO PEDRO CINTRA BAHIA</t>
  </si>
  <si>
    <t>861.221.485-80</t>
  </si>
  <si>
    <t>LUCAS ARAUJO DE LIMA</t>
  </si>
  <si>
    <t>863.378.735-05</t>
  </si>
  <si>
    <t>IVANA BONFIM REQUIAO</t>
  </si>
  <si>
    <t>034.529.405-00</t>
  </si>
  <si>
    <t>FLAVIANA DA SILVA</t>
  </si>
  <si>
    <t>017.660.263-11</t>
  </si>
  <si>
    <t>RANDAL BATISTA MAIA</t>
  </si>
  <si>
    <t>057.107.003-55</t>
  </si>
  <si>
    <t>DOUGLAS ALBUQUERQUE BRASIL JUNIOR</t>
  </si>
  <si>
    <t>949.017.162-04</t>
  </si>
  <si>
    <t>THIAGO DOS SANTOS BATISTA</t>
  </si>
  <si>
    <t>065.842.673-77</t>
  </si>
  <si>
    <t>THEOGENES CALLOU LIMA</t>
  </si>
  <si>
    <t>061.232.043-00</t>
  </si>
  <si>
    <t>RAPHAEL SILVA VIEIRA DA LUZ</t>
  </si>
  <si>
    <t>059.452.933-69</t>
  </si>
  <si>
    <t>HILTON DE SOUZA FERNANDES</t>
  </si>
  <si>
    <t>016.339.213-79</t>
  </si>
  <si>
    <t>PAULO HERMINO RIBEIRO DE SOUZA</t>
  </si>
  <si>
    <t>603.472.423-67</t>
  </si>
  <si>
    <t>AMANDA CAROLINE MARIANO DA SILVA</t>
  </si>
  <si>
    <t>022.617.843-92</t>
  </si>
  <si>
    <t>Em Auxilio Maternidade</t>
  </si>
  <si>
    <t>LUIS CARLOS GARCIA SILVA</t>
  </si>
  <si>
    <t>013.431.263-55</t>
  </si>
  <si>
    <t>LUCAS PAZ PONTES</t>
  </si>
  <si>
    <t>622.829.353-22</t>
  </si>
  <si>
    <t>TIAGO ELOI FERNANDO</t>
  </si>
  <si>
    <t>603.375.873-02</t>
  </si>
  <si>
    <t>MAURICIO IBIAPINA SOARES NETO</t>
  </si>
  <si>
    <t>046.023.193-60</t>
  </si>
  <si>
    <t>LUIZ CARLOS BATISTA INACIO</t>
  </si>
  <si>
    <t>993.224.391-49</t>
  </si>
  <si>
    <t>PAULO RICARDO FERNANDES NOVAIS</t>
  </si>
  <si>
    <t>031.885.001-06</t>
  </si>
  <si>
    <t>LUCAS DIAS SOUTO</t>
  </si>
  <si>
    <t>753.825.631-87</t>
  </si>
  <si>
    <t>ANTONIO FELIPE DE SOUZA SANTOS</t>
  </si>
  <si>
    <t>045.312.115-29</t>
  </si>
  <si>
    <t>KAIO LIMA FRUTUOSO</t>
  </si>
  <si>
    <t>708.205.191-38</t>
  </si>
  <si>
    <t>VINICIUS DOS SANTOS OLIVEIRA</t>
  </si>
  <si>
    <t>066.778.583-32</t>
  </si>
  <si>
    <t>RAQUEL TEIXEIRA DA SILVA</t>
  </si>
  <si>
    <t>025.438.791-88</t>
  </si>
  <si>
    <t>JOAO LUCAS LACERDA FLAVIO</t>
  </si>
  <si>
    <t>706.394.571-85</t>
  </si>
  <si>
    <t>EDUARDA ZACARIAS DA SILVA</t>
  </si>
  <si>
    <t>468.989.148-63</t>
  </si>
  <si>
    <t>GABRIELA KETLEN RODRIGUES DE SOUZA</t>
  </si>
  <si>
    <t>501.722.828-45</t>
  </si>
  <si>
    <t>GABRIEL VINICIUS VIANA TAVARES</t>
  </si>
  <si>
    <t>497.346.378-78</t>
  </si>
  <si>
    <t>LUCAS SIQUEIRA FRANCO</t>
  </si>
  <si>
    <t>439.691.338-90</t>
  </si>
  <si>
    <t>PAULO HENRIQUE BARBIERI</t>
  </si>
  <si>
    <t>426.662.588-07</t>
  </si>
  <si>
    <t>DAVID MARANDOLA</t>
  </si>
  <si>
    <t>307.523.568-79</t>
  </si>
  <si>
    <t>OSVALDO CARLOS CESAR</t>
  </si>
  <si>
    <t>396.069.228-55</t>
  </si>
  <si>
    <t>JULIANA CRISTINA CUNHA</t>
  </si>
  <si>
    <t>307.648.608-01</t>
  </si>
  <si>
    <t>BRUNA RODRIGUES</t>
  </si>
  <si>
    <t>384.404.768-92</t>
  </si>
  <si>
    <t>RENATO CORREA DA FONSECA</t>
  </si>
  <si>
    <t>303.281.088-47</t>
  </si>
  <si>
    <t>RAVEL KAIQUE TIANO DA SILVA</t>
  </si>
  <si>
    <t>465.919.398-57</t>
  </si>
  <si>
    <t>LUANA FERREIRA DA SILVA SOARES</t>
  </si>
  <si>
    <t>053.220.423-93</t>
  </si>
  <si>
    <t>MIRIA ALVES</t>
  </si>
  <si>
    <t>446.951.558-26</t>
  </si>
  <si>
    <t>MARCELO PEREIRA DE OLIVEIRA</t>
  </si>
  <si>
    <t>153.754.388-10</t>
  </si>
  <si>
    <t>TIAGO INACIO DOMINGUES</t>
  </si>
  <si>
    <t>373.647.468-70</t>
  </si>
  <si>
    <t>JONATAS BALBINO DOS  SANTOS</t>
  </si>
  <si>
    <t>415.102.878-17</t>
  </si>
  <si>
    <t>ANA JULIA LOMBARDI</t>
  </si>
  <si>
    <t>482.873.038-93</t>
  </si>
  <si>
    <t>FERNANDO ROBERTO DE SOUZA</t>
  </si>
  <si>
    <t>310.780.058-93</t>
  </si>
  <si>
    <t>CASSIA HELENA DE SOUZA CORREIA DA SILVA</t>
  </si>
  <si>
    <t>351.952.818-58</t>
  </si>
  <si>
    <t>JOSE HENRIQUE GONCALVES</t>
  </si>
  <si>
    <t>133.489.586-44</t>
  </si>
  <si>
    <t>CARLA DAIANE DA SILVA</t>
  </si>
  <si>
    <t>061.950.663-62</t>
  </si>
  <si>
    <t>ELIZABETH SOUZA GOMES MELO SILVA BERALDO</t>
  </si>
  <si>
    <t>351.952.868-17</t>
  </si>
  <si>
    <t>VALQUIRIA MELO DE SOUZA</t>
  </si>
  <si>
    <t>302.136.518-31</t>
  </si>
  <si>
    <t>THAIS CARLA DA SILVA</t>
  </si>
  <si>
    <t>089.337.614-03</t>
  </si>
  <si>
    <t>GILVAN DE LIMA FERREIRA</t>
  </si>
  <si>
    <t>047.334.784-96</t>
  </si>
  <si>
    <t>VALDEK GONCALVES JUNIOR</t>
  </si>
  <si>
    <t>012.818.324-13</t>
  </si>
  <si>
    <t>MICHELINE QUIRINO DA SILVA</t>
  </si>
  <si>
    <t>047.832.294-14</t>
  </si>
  <si>
    <t>RAFAEL BRUNO DA SILVA PEREIRA</t>
  </si>
  <si>
    <t>052.187.014-32</t>
  </si>
  <si>
    <t>JAQUELINE GOMES FERNANDES</t>
  </si>
  <si>
    <t>465.800.178-05</t>
  </si>
  <si>
    <t>DANILO TEIXEIRA</t>
  </si>
  <si>
    <t>393.300.068-84</t>
  </si>
  <si>
    <t>RAFAEL DOS SANTOS GENARE DENIS</t>
  </si>
  <si>
    <t>357.754.148-29</t>
  </si>
  <si>
    <t>DAIANE ELIAS FONTE</t>
  </si>
  <si>
    <t>366.633.188-29</t>
  </si>
  <si>
    <t>GUSTAVO DA SILVA DIAS</t>
  </si>
  <si>
    <t>462.565.098-46</t>
  </si>
  <si>
    <t>LUCAS DIAS NASCIMENTO</t>
  </si>
  <si>
    <t>462.462.528-50</t>
  </si>
  <si>
    <t>LUCAS COSTA NERIS</t>
  </si>
  <si>
    <t>406.321.078-20</t>
  </si>
  <si>
    <t>TAIS PEREIRA DE PAULA</t>
  </si>
  <si>
    <t>401.549.458-03</t>
  </si>
  <si>
    <t>JOELMA APARECIDA ZANCHINSKI DE MATTOS</t>
  </si>
  <si>
    <t>072.489.409-84</t>
  </si>
  <si>
    <t>PEDRO MAGNO DOS SANTOS PEREIRA</t>
  </si>
  <si>
    <t>023.850.479-42</t>
  </si>
  <si>
    <t>ALEX ADRES BARBARA</t>
  </si>
  <si>
    <t>095.268.949-95</t>
  </si>
  <si>
    <t>JULIO CESAR RODRIGUES ROSA</t>
  </si>
  <si>
    <t>109.044.107-06</t>
  </si>
  <si>
    <t>GABRIELE VILICZINSKI ZADOROSNY</t>
  </si>
  <si>
    <t>097.198.899-42</t>
  </si>
  <si>
    <t>LUIZA PACHEGO GROLLI</t>
  </si>
  <si>
    <t>074.611.149-56</t>
  </si>
  <si>
    <t>ALEXANDRO LIMA PASSOS</t>
  </si>
  <si>
    <t>073.153.439-54</t>
  </si>
  <si>
    <t>DEBORA RODRIGUES SILVA</t>
  </si>
  <si>
    <t>861.880.700-15</t>
  </si>
  <si>
    <t>MARLLON ARAUJO DA SILVA</t>
  </si>
  <si>
    <t>850.836.150-53</t>
  </si>
  <si>
    <t>DANIELA DA SILVA CASTILHOS</t>
  </si>
  <si>
    <t>868.605.930-91</t>
  </si>
  <si>
    <t>CAUE LUCAS GIL</t>
  </si>
  <si>
    <t>017.010.930-57</t>
  </si>
  <si>
    <t>CALEBE WODARSKI</t>
  </si>
  <si>
    <t>036.159.210-89</t>
  </si>
  <si>
    <t>DOUGLAS ILHA MARTINS</t>
  </si>
  <si>
    <t>029.126.590-19</t>
  </si>
  <si>
    <t>BRUNO HENRIQUE FIGUEIRA NOTARANGELI</t>
  </si>
  <si>
    <t>050.767.341-74</t>
  </si>
  <si>
    <t>MARIANA DE SOUZA ARAL</t>
  </si>
  <si>
    <t>059.153.461-46</t>
  </si>
  <si>
    <t>CEILA DE OLIVEIRA RODRIGUES</t>
  </si>
  <si>
    <t>984.766.101-49</t>
  </si>
  <si>
    <t>BRAULIO RIBEIRO MARQUEZ</t>
  </si>
  <si>
    <t>127.679.907-16</t>
  </si>
  <si>
    <t>JHONNY LUCAS COCIAN CARVALHO</t>
  </si>
  <si>
    <t>064.991.751-02</t>
  </si>
  <si>
    <t>TATIANE MENDES NASCIMENTO</t>
  </si>
  <si>
    <t>076.301.986-04</t>
  </si>
  <si>
    <t>LEONARDO CASTRO DA PAIXAO</t>
  </si>
  <si>
    <t>057.482.195-30</t>
  </si>
  <si>
    <t>JOSE FELIX SAMUEL RAGGIO ADORNO</t>
  </si>
  <si>
    <t>704.874.091-40</t>
  </si>
  <si>
    <t>JOSE VITOR SILVA TROIAN</t>
  </si>
  <si>
    <t>083.524.149-17</t>
  </si>
  <si>
    <t>BERLIS CAROLAYNE DAMASCENA  BOROWSKI</t>
  </si>
  <si>
    <t>107.202.289-30</t>
  </si>
  <si>
    <t>MATHEUS MARTINS VIEIRA</t>
  </si>
  <si>
    <t>015.074.470-60</t>
  </si>
  <si>
    <t>RAFAEL GOVONI</t>
  </si>
  <si>
    <t>032.988.810-23</t>
  </si>
  <si>
    <t>JADI REIS</t>
  </si>
  <si>
    <t>138.361.579-93</t>
  </si>
  <si>
    <t>LUIZ ANTONIO SILVEIRA</t>
  </si>
  <si>
    <t>004.208.339-78</t>
  </si>
  <si>
    <t>FLAVIA TEIXEIRA GONDIM</t>
  </si>
  <si>
    <t>451.312.228-50</t>
  </si>
  <si>
    <t>ANDRESSA RIBEIRO DOS SANTOS</t>
  </si>
  <si>
    <t>340.943.468-21</t>
  </si>
  <si>
    <t>CAIO BRUNO DA SILVA FERREIRA</t>
  </si>
  <si>
    <t>424.306.458-07</t>
  </si>
  <si>
    <t>LUCAS DOS SANTOS AMARO SILVA</t>
  </si>
  <si>
    <t>466.569.038-35</t>
  </si>
  <si>
    <t>THIAGO HENRIQUE FRANÇA DA SILVA</t>
  </si>
  <si>
    <t>410.930.048-78</t>
  </si>
  <si>
    <t>DAVISON DE JESUS SANTOS</t>
  </si>
  <si>
    <t>043.282.025-61</t>
  </si>
  <si>
    <t>WALLESKY KLEBER TEIXEIRA DE ARAUJO</t>
  </si>
  <si>
    <t>427.139.818-75</t>
  </si>
  <si>
    <t>WALLACY BELTRAO DA COSTA</t>
  </si>
  <si>
    <t>080.241.671-31</t>
  </si>
  <si>
    <t>LARISSA FONTENELE BARROS</t>
  </si>
  <si>
    <t>033.104.201-08</t>
  </si>
  <si>
    <t>JANAINA INOCENCIO DA SILVA</t>
  </si>
  <si>
    <t>056.879.891-02</t>
  </si>
  <si>
    <t>MARCOS HENRIQUE FARIAS</t>
  </si>
  <si>
    <t>047.846.921-77</t>
  </si>
  <si>
    <t>IGOR MANOEL AMARO DA SILVA</t>
  </si>
  <si>
    <t>116.065.724-66</t>
  </si>
  <si>
    <t>BRUNO DOS SANTOS MARIANO BARBOSA</t>
  </si>
  <si>
    <t>069.196.861-63</t>
  </si>
  <si>
    <t>ALISON MURILO ALENCAR DIAS</t>
  </si>
  <si>
    <t>061.080.931-88</t>
  </si>
  <si>
    <t>ANA CAROLINA LOURENCO</t>
  </si>
  <si>
    <t>481.068.428-86</t>
  </si>
  <si>
    <t>ANA PAULA CONCEICAO GONCALVES</t>
  </si>
  <si>
    <t>426.370.468-13</t>
  </si>
  <si>
    <t>DIEGO GONCALVES LOPES</t>
  </si>
  <si>
    <t>358.962.898-71</t>
  </si>
  <si>
    <t>ENRIQUE VAZQUEZ GARCIA</t>
  </si>
  <si>
    <t>241.671.628-06</t>
  </si>
  <si>
    <t>UILLIAM PEREIRA SANTOS</t>
  </si>
  <si>
    <t>407.804.618-51</t>
  </si>
  <si>
    <t>JONATHAN GOMES</t>
  </si>
  <si>
    <t>369.156.498-40</t>
  </si>
  <si>
    <t>WANDERLEY SILVEIRA JUNIOR</t>
  </si>
  <si>
    <t>400.104.248-73</t>
  </si>
  <si>
    <t>RODRIGO PARANHOS DIAS</t>
  </si>
  <si>
    <t>859.064.096-53</t>
  </si>
  <si>
    <t>ALEF FERNANDES ARAUJO MARTINS</t>
  </si>
  <si>
    <t>126.597.756-99</t>
  </si>
  <si>
    <t>ELOIZA ROCHAEL DIAS DE ASSIS</t>
  </si>
  <si>
    <t>074.016.926-27</t>
  </si>
  <si>
    <t>TULIO CESAR DE ALMEIDA</t>
  </si>
  <si>
    <t>118.274.336-63</t>
  </si>
  <si>
    <t>GERMANO ROSENTHAL CAETANO BELFORT</t>
  </si>
  <si>
    <t>129.517.856-74</t>
  </si>
  <si>
    <t>GILSON SANTOS MOTA JUNIOR</t>
  </si>
  <si>
    <t>110.793.406-02</t>
  </si>
  <si>
    <t>SILMARA ROCHA</t>
  </si>
  <si>
    <t>071.912.826-90</t>
  </si>
  <si>
    <t>DAVI ALVES SILVEIRA</t>
  </si>
  <si>
    <t>157.426.586-56</t>
  </si>
  <si>
    <t>LARISSA ELIZABETH CENDON ROSA</t>
  </si>
  <si>
    <t>021.296.486-06</t>
  </si>
  <si>
    <t>ALEX GASPAR DE MACEDO</t>
  </si>
  <si>
    <t>114.661.066-11</t>
  </si>
  <si>
    <t>KAROLINE SIQUEIRA DE AGUIAR MONTEIRO</t>
  </si>
  <si>
    <t>431.040.318-27</t>
  </si>
  <si>
    <t>VITOR RODRIGO JACINTO</t>
  </si>
  <si>
    <t>450.376.228-16</t>
  </si>
  <si>
    <t>RAPHAEL HENRIQUE SILVA DOS SANTOS FERREIRA</t>
  </si>
  <si>
    <t>228.342.208-67</t>
  </si>
  <si>
    <t>HIAGO RODRIGUES DE MIRANDA</t>
  </si>
  <si>
    <t>499.167.838-29</t>
  </si>
  <si>
    <t>JULIO SALDANHA LIMA</t>
  </si>
  <si>
    <t>372.275.048-24</t>
  </si>
  <si>
    <t>ARLANICSON FONSECA JUNIOR</t>
  </si>
  <si>
    <t>430.570.188-07</t>
  </si>
  <si>
    <t>VINICIUS MOREIRA COSSI</t>
  </si>
  <si>
    <t>432.629.078-12</t>
  </si>
  <si>
    <t>EMERSON TADASHI CAXIAS TAJI</t>
  </si>
  <si>
    <t>027.637.442-81</t>
  </si>
  <si>
    <t>CARMECITA HELENA DA SILVA</t>
  </si>
  <si>
    <t>038.834.524-16</t>
  </si>
  <si>
    <t>HELOISA VITORIA CINTRA DE ARAUJO</t>
  </si>
  <si>
    <t>128.929.414-31</t>
  </si>
  <si>
    <t>EDRISIO DE LUCENA ALVES</t>
  </si>
  <si>
    <t>078.476.544-82</t>
  </si>
  <si>
    <t xml:space="preserve">ASSISTENTE DE OJA   </t>
  </si>
  <si>
    <t>NAIANA MONTE DOS SANTOS</t>
  </si>
  <si>
    <t>127.224.754-64</t>
  </si>
  <si>
    <t>WAGNER LEANDRO PINHEIRO DE FARIAS</t>
  </si>
  <si>
    <t>055.148.534-54</t>
  </si>
  <si>
    <t>ABRAAO PEREIRA DA SILVA</t>
  </si>
  <si>
    <t>088.131.514-11</t>
  </si>
  <si>
    <t>FELIPE PAULINO DA SILVA</t>
  </si>
  <si>
    <t>090.889.214-40</t>
  </si>
  <si>
    <t>URSULA NATACHA SOBRAL</t>
  </si>
  <si>
    <t>056.596.594-89</t>
  </si>
  <si>
    <t>JAMILE INGRID SOUSA DA SILVA</t>
  </si>
  <si>
    <t>611.063.163-98</t>
  </si>
  <si>
    <t>JEFFERSON FRANCISCO ANDRADE PRAZERES</t>
  </si>
  <si>
    <t>059.205.604-01</t>
  </si>
  <si>
    <t>MONALISA FREITAS DO NASCIMENTO</t>
  </si>
  <si>
    <t>077.859.204-94</t>
  </si>
  <si>
    <t>LORRANA GABRIELA ROCHA DE MIRANDA</t>
  </si>
  <si>
    <t>127.154.116-50</t>
  </si>
  <si>
    <t>DEBORAH EVELYN GONÇALVES DOS SANTOS</t>
  </si>
  <si>
    <t>103.234.896-80</t>
  </si>
  <si>
    <t>HUCHARLY REIS DO NASCIMENTO</t>
  </si>
  <si>
    <t>701.207.096-00</t>
  </si>
  <si>
    <t>RAFAEL IDEVALDO DE ALMEIDA</t>
  </si>
  <si>
    <t>054.079.756-10</t>
  </si>
  <si>
    <t>CLEITON MOISES DOS SANTOS</t>
  </si>
  <si>
    <t>079.471.906-66</t>
  </si>
  <si>
    <t>GABRIEL MARTINS DE  FREITAS  SANTOS</t>
  </si>
  <si>
    <t>147.617.746-57</t>
  </si>
  <si>
    <t>ERICK ANGEL NAVES MARTINS</t>
  </si>
  <si>
    <t>099.217.546-10</t>
  </si>
  <si>
    <t>HANNA APARECIDA BARBOSA DIAS</t>
  </si>
  <si>
    <t>135.471.056-84</t>
  </si>
  <si>
    <t>RENATA MAYRA DE LIMA E SILVA</t>
  </si>
  <si>
    <t>109.620.456-83</t>
  </si>
  <si>
    <t>PAULO ROBERTO MEDINA PINHEIRO</t>
  </si>
  <si>
    <t>072.345.606-29</t>
  </si>
  <si>
    <t>Loja</t>
  </si>
  <si>
    <t>Admissão</t>
  </si>
  <si>
    <t>Junho</t>
  </si>
  <si>
    <t>DIAS ATIVOS NA FOLHA</t>
  </si>
  <si>
    <t>Férias</t>
  </si>
  <si>
    <t>Total</t>
  </si>
  <si>
    <t>Salário Fixo</t>
  </si>
  <si>
    <t>Piso</t>
  </si>
  <si>
    <t>Quebra de Caixa</t>
  </si>
  <si>
    <t>VT PAGO CARTÃO</t>
  </si>
  <si>
    <t>Total VT</t>
  </si>
  <si>
    <t>Total s/ variáveis</t>
  </si>
  <si>
    <t>DSR</t>
  </si>
  <si>
    <t>PRÊMIO COTA    078</t>
  </si>
  <si>
    <t>PRÊMIO COTA    075</t>
  </si>
  <si>
    <t>Total variáveis</t>
  </si>
  <si>
    <t>Complemento do Piso</t>
  </si>
  <si>
    <t>Prêmio Gincana</t>
  </si>
  <si>
    <t>24</t>
  </si>
  <si>
    <t>8</t>
  </si>
  <si>
    <t>Cod</t>
  </si>
  <si>
    <t>Vendedor</t>
  </si>
  <si>
    <t>PDV</t>
  </si>
  <si>
    <t>Não Presencial</t>
  </si>
  <si>
    <t>Social Selling</t>
  </si>
  <si>
    <t>Cupom</t>
  </si>
  <si>
    <t>Pick Up</t>
  </si>
  <si>
    <t>Shipping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</si>
  <si>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</si>
  <si>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</si>
  <si>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</si>
  <si>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</si>
  <si>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</si>
  <si>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</si>
  <si>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</si>
  <si>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</si>
  <si>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00316 - JULIA MENDES ARAUJO</t>
  </si>
  <si>
    <t>TIAGO OLIVEIRA DE SOUZA</t>
  </si>
  <si>
    <t>00322 - CRISTIAN YUSUKE SHIMOTO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</si>
  <si>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</si>
  <si>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</si>
  <si>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</si>
  <si>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</si>
  <si>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</si>
  <si>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</si>
  <si>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</si>
  <si>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</si>
  <si>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</si>
  <si>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</si>
  <si>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</si>
  <si>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</si>
  <si>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</si>
  <si>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</si>
  <si>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</si>
  <si>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</si>
  <si>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</si>
  <si>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</si>
  <si>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</si>
  <si>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</si>
  <si>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</si>
  <si>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</si>
  <si>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</si>
  <si>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MARIO SILVANO LEITE ALVES</t>
  </si>
  <si>
    <t>Desligado</t>
  </si>
  <si>
    <t>ANA BEATRIZ FERREIRA DO CARMO</t>
  </si>
  <si>
    <t xml:space="preserve">FELIPPE MONTEIRO PEREIRA </t>
  </si>
  <si>
    <t>Assistente de Loja</t>
  </si>
  <si>
    <t>00071 - CASSIA HELENA DE SOUZA CORREIA DA SILVA</t>
  </si>
  <si>
    <t>00088 - VALQUIRIA MELO DA SILVA</t>
  </si>
  <si>
    <t>TAHIS CARLA DA SILVA</t>
  </si>
  <si>
    <t>MARCIO HENRIQUE CORREA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</si>
  <si>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</si>
  <si>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</si>
  <si>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</si>
  <si>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</si>
  <si>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</si>
  <si>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RAFAEL CARVALHO DA LUZ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</si>
  <si>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</si>
  <si>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</si>
  <si>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</si>
  <si>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</si>
  <si>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</si>
  <si>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</si>
  <si>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>THAIS DE OLIVEIRA FELIX DAVID</t>
  </si>
  <si>
    <t>Desligada</t>
  </si>
  <si>
    <t xml:space="preserve">LUCAS DOS SANTOS AMARO SILVA </t>
  </si>
  <si>
    <t>THIAGO HENRIQUE FRANCA DA SILVA</t>
  </si>
  <si>
    <t>00038 - DAVISON DE JESUS SANTOS</t>
  </si>
  <si>
    <t>LARISSA FONTENELLE BARROS</t>
  </si>
  <si>
    <t>MATHEUS RUIZ ABRANTES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</si>
  <si>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</si>
  <si>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</si>
  <si>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</si>
  <si>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</si>
  <si>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</si>
  <si>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</si>
  <si>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</si>
  <si>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</si>
  <si>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</si>
  <si>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</si>
  <si>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LUCAS CARVALHO GOMES</t>
  </si>
  <si>
    <t>00001 - KAROLINE SIQUEIRA DE AGUIAR MONTEIRO</t>
  </si>
  <si>
    <t>00005 -  RAPHAEL HENRIQUE SILVA</t>
  </si>
  <si>
    <t>DEBOHAH EVELYN GONCALVES DOS SANTOS</t>
  </si>
  <si>
    <t>00120 - HUCHARLY REIS DO NASCIMENTO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</si>
  <si>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</si>
  <si>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</si>
  <si>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</si>
  <si>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</si>
  <si>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</si>
  <si>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</si>
  <si>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</si>
  <si>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</si>
  <si>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</si>
  <si>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</si>
  <si>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</si>
  <si>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</si>
  <si>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</si>
  <si>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</si>
  <si>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</si>
  <si>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</si>
  <si>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</si>
  <si>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</si>
  <si>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</si>
  <si>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</si>
  <si>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</si>
  <si>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</si>
  <si>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</si>
  <si>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</si>
  <si>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</si>
  <si>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</si>
  <si>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</si>
  <si>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</si>
  <si>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</si>
  <si>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</si>
  <si>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</si>
  <si>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</si>
  <si>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</si>
  <si>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</si>
  <si>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</si>
  <si>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</si>
  <si>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</si>
  <si>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</si>
  <si>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</si>
  <si>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</si>
  <si>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</si>
  <si>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</si>
  <si>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</si>
  <si>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</si>
  <si>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</si>
  <si>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</si>
  <si>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</si>
  <si>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</si>
  <si>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</si>
  <si>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</si>
  <si>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</si>
  <si>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</si>
  <si>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</si>
  <si>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</si>
  <si>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</si>
  <si>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</si>
  <si>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</si>
  <si>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</si>
  <si>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</si>
  <si>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</si>
  <si>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</si>
  <si>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</si>
  <si>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ABERTURA PROPORCIONAL AOS DIAS EM LOJA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</si>
  <si>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</si>
  <si>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</si>
  <si>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</si>
  <si>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</si>
  <si>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</si>
  <si>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</si>
  <si>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</si>
  <si>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</si>
  <si>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RAPHAEL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</si>
  <si>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</si>
  <si>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</si>
  <si>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</si>
  <si>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</si>
  <si>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</si>
  <si>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</si>
  <si>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</si>
  <si>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</si>
  <si>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REF A COBERTURA CATARINA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</si>
  <si>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</si>
  <si>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</si>
  <si>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</si>
  <si>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</si>
  <si>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</si>
  <si>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</si>
  <si>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DOUGLAS</t>
  </si>
  <si>
    <t>RANDAL</t>
  </si>
  <si>
    <t>OUTLET FORTALEZA</t>
  </si>
  <si>
    <t>HILTON</t>
  </si>
  <si>
    <t>HERMINIO</t>
  </si>
  <si>
    <t>CATARINA</t>
  </si>
  <si>
    <t>JULIANA CUNHA</t>
  </si>
  <si>
    <t>OSVALDO</t>
  </si>
  <si>
    <t>REF A COBERTURA VR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</si>
  <si>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</si>
  <si>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</si>
  <si>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</si>
  <si>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</si>
  <si>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</si>
  <si>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</si>
  <si>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</si>
  <si>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</si>
  <si>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</si>
  <si>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</si>
  <si>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 xml:space="preserve">THAIS DE OLIVEIRA 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</si>
  <si>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</si>
  <si>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</si>
  <si>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</si>
  <si>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</si>
  <si>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</si>
  <si>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</si>
  <si>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</si>
  <si>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</si>
  <si>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</si>
  <si>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</si>
  <si>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</si>
  <si>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</si>
  <si>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</si>
  <si>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</si>
  <si>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</si>
  <si>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</si>
  <si>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</si>
  <si>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</si>
  <si>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ANTONIO FELIPE DE SOUZA SANTOS - COBERTURA PARCIAL GERENTE R$ 300,00</t>
  </si>
  <si>
    <t>GUARULHOS MAIA</t>
  </si>
  <si>
    <t>GABRIELA KETLEN</t>
  </si>
  <si>
    <t>RIO MAR RECIFE</t>
  </si>
  <si>
    <t xml:space="preserve">THAIS CARLA DA SILVA COBERTURA PARCIAL GERENTE </t>
  </si>
  <si>
    <t>BARIGUI</t>
  </si>
  <si>
    <t>JOELMA APARECIDA ZANCHINSKI DE MATTOS COBERTURA FÉRIAS GERENTE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</si>
  <si>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</si>
  <si>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</si>
  <si>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</si>
  <si>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</si>
  <si>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</si>
  <si>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</si>
  <si>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</si>
  <si>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</si>
  <si>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</si>
  <si>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</si>
  <si>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</si>
  <si>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RAPHAEL HENRIQUE</t>
  </si>
  <si>
    <t>KAROLINE SIQUEIRA - COBERTURA GERENTE R$ 1000,00</t>
  </si>
  <si>
    <t>RECIFE</t>
  </si>
  <si>
    <t>URSULA SOBRAL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</si>
  <si>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</si>
  <si>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</si>
  <si>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2000</t>
  </si>
  <si>
    <t>95-56</t>
  </si>
  <si>
    <t>95-59</t>
  </si>
  <si>
    <t>95-80</t>
  </si>
  <si>
    <t>95-84</t>
  </si>
  <si>
    <t>103-184</t>
  </si>
  <si>
    <t>103-185</t>
  </si>
  <si>
    <t>103-187</t>
  </si>
  <si>
    <t>103-199</t>
  </si>
  <si>
    <t>116-143</t>
  </si>
  <si>
    <t>116-164</t>
  </si>
  <si>
    <t>116-148</t>
  </si>
  <si>
    <t>116-146</t>
  </si>
  <si>
    <t>116-144</t>
  </si>
  <si>
    <t>116-169</t>
  </si>
  <si>
    <t>156-76</t>
  </si>
  <si>
    <t>156-72</t>
  </si>
  <si>
    <t>156-78</t>
  </si>
  <si>
    <t>156-67</t>
  </si>
  <si>
    <t>156-75</t>
  </si>
  <si>
    <t>Maio</t>
  </si>
  <si>
    <t>Abono</t>
  </si>
  <si>
    <t>ABERTURA DE LOJA- 233</t>
  </si>
  <si>
    <t>PREMIO 100% - 078</t>
  </si>
  <si>
    <t>PREMIO 110% 078</t>
  </si>
  <si>
    <t>fCO</t>
  </si>
  <si>
    <t>Ajuda de Custo feriado - 256/232</t>
  </si>
  <si>
    <t>VT PAGO DINHEIRO 171/315</t>
  </si>
  <si>
    <t>VR Dinheiro 133/314</t>
  </si>
  <si>
    <t>Desconto VT FOLHA - 144</t>
  </si>
  <si>
    <t>COMISSÃO - 005</t>
  </si>
  <si>
    <t>Abertura de Loja  233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</si>
</sst>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0.0%"/>
    <numFmt numFmtId="166" formatCode="0000"/>
    <numFmt numFmtId="167" formatCode="00000"/>
    <numFmt numFmtId="168" formatCode="000"/>
    <numFmt numFmtId="169" formatCode="000000000000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b/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"/>
      <family val="2"/>
      <scheme val="minor"/>
    </font>
    <font>
      <sz val="9"/>
      <name val="Calibri Light"/>
      <family val="2"/>
      <scheme val="major"/>
    </font>
    <font>
      <sz val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1">
    <xf numFmtId="0" fontId="0" fillId="0" borderId="0"/>
    <xf numFmtId="0" fontId="7" fillId="0" borderId="0"/>
    <xf numFmtId="0" fontId="1" fillId="0" borderId="0"/>
    <xf numFmtId="0" fontId="9" fillId="0" borderId="0"/>
    <xf numFmtId="0" fontId="10" fillId="0" borderId="0"/>
    <xf numFmtId="44" fontId="12" fillId="0" borderId="0" applyFont="0" applyFill="0" applyBorder="0" applyAlignment="0" applyProtection="0"/>
    <xf numFmtId="0" fontId="12" fillId="0" borderId="0"/>
    <xf numFmtId="0" fontId="24" fillId="0" borderId="0"/>
    <xf numFmtId="0" fontId="1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228">
    <xf numFmtId="0" fontId="0" fillId="0" borderId="0" xfId="0"/>
    <xf numFmtId="0" fontId="22" fillId="0" borderId="0" xfId="0" applyFont="1" applyAlignment="1">
      <alignment horizontal="center" wrapText="1"/>
    </xf>
    <xf numFmtId="0" fontId="22" fillId="0" borderId="2" xfId="0" applyFont="1" applyBorder="1" applyAlignment="1">
      <alignment horizontal="center" wrapText="1"/>
    </xf>
    <xf numFmtId="0" fontId="15" fillId="3" borderId="1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44" fontId="15" fillId="5" borderId="1" xfId="0" applyNumberFormat="1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44" fontId="15" fillId="3" borderId="1" xfId="0" applyNumberFormat="1" applyFont="1" applyFill="1" applyBorder="1" applyAlignment="1">
      <alignment horizontal="center" vertical="center" wrapText="1"/>
    </xf>
    <xf numFmtId="43" fontId="15" fillId="7" borderId="1" xfId="10" applyFont="1" applyFill="1" applyBorder="1" applyAlignment="1">
      <alignment horizontal="center" vertical="center" wrapText="1"/>
    </xf>
    <xf numFmtId="9" fontId="15" fillId="3" borderId="1" xfId="10" applyNumberFormat="1" applyFont="1" applyFill="1" applyBorder="1" applyAlignment="1">
      <alignment horizontal="center" vertical="center" wrapText="1"/>
    </xf>
    <xf numFmtId="43" fontId="15" fillId="8" borderId="1" xfId="10" applyFont="1" applyFill="1" applyBorder="1" applyAlignment="1">
      <alignment horizontal="center" vertical="center" wrapText="1"/>
    </xf>
    <xf numFmtId="0" fontId="16" fillId="0" borderId="0" xfId="0" applyFont="1"/>
    <xf numFmtId="0" fontId="15" fillId="8" borderId="1" xfId="0" applyFont="1" applyFill="1" applyBorder="1" applyAlignment="1">
      <alignment horizontal="center" vertical="center" wrapText="1"/>
    </xf>
    <xf numFmtId="49" fontId="16" fillId="0" borderId="1" xfId="0" applyNumberFormat="1" applyFont="1" applyBorder="1" applyAlignment="1">
      <alignment horizontal="center"/>
    </xf>
    <xf numFmtId="49" fontId="16" fillId="0" borderId="1" xfId="0" applyNumberFormat="1" applyFont="1" applyBorder="1"/>
    <xf numFmtId="14" fontId="16" fillId="0" borderId="1" xfId="0" applyNumberFormat="1" applyFont="1" applyBorder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4" fontId="16" fillId="0" borderId="1" xfId="0" applyNumberFormat="1" applyFont="1" applyBorder="1"/>
    <xf numFmtId="0" fontId="16" fillId="0" borderId="1" xfId="0" applyFont="1" applyBorder="1"/>
    <xf numFmtId="0" fontId="16" fillId="0" borderId="0" xfId="0" applyFont="1" applyAlignment="1">
      <alignment horizontal="center"/>
    </xf>
    <xf numFmtId="44" fontId="16" fillId="0" borderId="0" xfId="0" applyNumberFormat="1" applyFont="1"/>
    <xf numFmtId="49" fontId="16" fillId="8" borderId="1" xfId="0" applyNumberFormat="1" applyFont="1" applyFill="1" applyBorder="1" applyAlignment="1">
      <alignment horizontal="center"/>
    </xf>
    <xf numFmtId="49" fontId="16" fillId="8" borderId="1" xfId="0" applyNumberFormat="1" applyFont="1" applyFill="1" applyBorder="1"/>
    <xf numFmtId="14" fontId="16" fillId="8" borderId="1" xfId="0" applyNumberFormat="1" applyFont="1" applyFill="1" applyBorder="1" applyAlignment="1">
      <alignment horizontal="center"/>
    </xf>
    <xf numFmtId="49" fontId="16" fillId="8" borderId="0" xfId="0" applyNumberFormat="1" applyFont="1" applyFill="1" applyBorder="1" applyAlignment="1">
      <alignment horizontal="center"/>
    </xf>
    <xf numFmtId="44" fontId="16" fillId="8" borderId="1" xfId="0" applyNumberFormat="1" applyFont="1" applyFill="1" applyBorder="1"/>
    <xf numFmtId="0" fontId="16" fillId="8" borderId="1" xfId="0" applyFont="1" applyFill="1" applyBorder="1"/>
    <xf numFmtId="0" fontId="16" fillId="8" borderId="0" xfId="0" applyFont="1" applyFill="1"/>
    <xf numFmtId="0" fontId="16" fillId="0" borderId="1" xfId="0" applyNumberFormat="1" applyFont="1" applyBorder="1" applyAlignment="1">
      <alignment horizontal="center"/>
    </xf>
    <xf numFmtId="0" fontId="16" fillId="8" borderId="1" xfId="0" applyNumberFormat="1" applyFont="1" applyFill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2" fontId="16" fillId="8" borderId="1" xfId="0" applyNumberFormat="1" applyFont="1" applyFill="1" applyBorder="1" applyAlignment="1">
      <alignment horizontal="center"/>
    </xf>
    <xf numFmtId="0" fontId="16" fillId="4" borderId="1" xfId="0" applyNumberFormat="1" applyFont="1" applyFill="1" applyBorder="1" applyAlignment="1">
      <alignment horizontal="center"/>
    </xf>
    <xf numFmtId="2" fontId="16" fillId="4" borderId="1" xfId="0" applyNumberFormat="1" applyFont="1" applyFill="1" applyBorder="1" applyAlignment="1">
      <alignment horizontal="center"/>
    </xf>
    <xf numFmtId="49" fontId="16" fillId="4" borderId="1" xfId="0" applyNumberFormat="1" applyFont="1" applyFill="1" applyBorder="1"/>
    <xf numFmtId="49" fontId="16" fillId="4" borderId="1" xfId="0" applyNumberFormat="1" applyFont="1" applyFill="1" applyBorder="1" applyAlignment="1">
      <alignment horizontal="center"/>
    </xf>
    <xf numFmtId="14" fontId="16" fillId="4" borderId="1" xfId="0" applyNumberFormat="1" applyFont="1" applyFill="1" applyBorder="1" applyAlignment="1">
      <alignment horizontal="center"/>
    </xf>
    <xf numFmtId="49" fontId="16" fillId="4" borderId="0" xfId="0" applyNumberFormat="1" applyFont="1" applyFill="1" applyBorder="1" applyAlignment="1">
      <alignment horizontal="center"/>
    </xf>
    <xf numFmtId="44" fontId="16" fillId="4" borderId="1" xfId="0" applyNumberFormat="1" applyFont="1" applyFill="1" applyBorder="1"/>
    <xf numFmtId="0" fontId="16" fillId="4" borderId="1" xfId="0" applyFont="1" applyFill="1" applyBorder="1"/>
    <xf numFmtId="0" fontId="16" fillId="4" borderId="0" xfId="0" applyFont="1" applyFill="1"/>
    <xf numFmtId="1" fontId="16" fillId="0" borderId="1" xfId="0" applyNumberFormat="1" applyFont="1" applyBorder="1" applyAlignment="1">
      <alignment horizontal="center"/>
    </xf>
    <xf numFmtId="43" fontId="16" fillId="0" borderId="1" xfId="10" applyFont="1" applyBorder="1"/>
    <xf numFmtId="43" fontId="16" fillId="0" borderId="1" xfId="0" applyNumberFormat="1" applyFont="1" applyBorder="1"/>
    <xf numFmtId="43" fontId="16" fillId="0" borderId="0" xfId="0" applyNumberFormat="1" applyFont="1"/>
    <xf numFmtId="0" fontId="17" fillId="0" borderId="1" xfId="0" applyNumberFormat="1" applyFont="1" applyBorder="1" applyAlignment="1">
      <alignment horizontal="center"/>
    </xf>
    <xf numFmtId="2" fontId="17" fillId="0" borderId="1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0" fontId="17" fillId="0" borderId="0" xfId="0" applyFont="1"/>
    <xf numFmtId="43" fontId="17" fillId="0" borderId="1" xfId="10" applyFont="1" applyBorder="1"/>
    <xf numFmtId="43" fontId="17" fillId="0" borderId="1" xfId="0" applyNumberFormat="1" applyFont="1" applyBorder="1"/>
    <xf numFmtId="0" fontId="17" fillId="0" borderId="1" xfId="0" applyFont="1" applyBorder="1"/>
    <xf numFmtId="0" fontId="1" fillId="0" borderId="0" xfId="0" applyFont="1"/>
    <xf numFmtId="0" fontId="1" fillId="0" borderId="0" xfId="0" applyFont="1" applyAlignment="1">
      <alignment horizontal="center"/>
    </xf>
    <xf numFmtId="0" fontId="18" fillId="9" borderId="9" xfId="0" applyFont="1" applyFill="1" applyBorder="1"/>
    <xf numFmtId="0" fontId="18" fillId="9" borderId="9" xfId="0" applyFont="1" applyFill="1" applyBorder="1" applyAlignment="1">
      <alignment horizontal="center"/>
    </xf>
    <xf numFmtId="0" fontId="1" fillId="0" borderId="9" xfId="0" applyFont="1" applyBorder="1"/>
    <xf numFmtId="0" fontId="19" fillId="10" borderId="9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1" fillId="0" borderId="0" xfId="0" quotePrefix="1" applyFont="1"/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left" vertical="center" wrapText="1"/>
    </xf>
    <xf numFmtId="4" fontId="1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center"/>
    </xf>
    <xf numFmtId="43" fontId="1" fillId="0" borderId="1" xfId="10" applyFont="1" applyBorder="1"/>
    <xf numFmtId="43" fontId="1" fillId="0" borderId="1" xfId="0" applyNumberFormat="1" applyFont="1" applyBorder="1"/>
    <xf numFmtId="43" fontId="1" fillId="0" borderId="0" xfId="0" applyNumberFormat="1" applyFont="1"/>
    <xf numFmtId="0" fontId="1" fillId="11" borderId="0" xfId="0" applyFont="1" applyFill="1"/>
    <xf numFmtId="0" fontId="1" fillId="11" borderId="0" xfId="0" applyFont="1" applyFill="1" applyAlignment="1">
      <alignment horizontal="center"/>
    </xf>
    <xf numFmtId="4" fontId="1" fillId="11" borderId="0" xfId="0" applyNumberFormat="1" applyFont="1" applyFill="1" applyAlignment="1">
      <alignment horizontal="center"/>
    </xf>
    <xf numFmtId="0" fontId="12" fillId="0" borderId="0" xfId="2" quotePrefix="1" applyFont="1" applyAlignment="1">
      <alignment horizontal="center" vertical="center" wrapText="1"/>
    </xf>
    <xf numFmtId="0" fontId="20" fillId="0" borderId="0" xfId="0" quotePrefix="1" applyFont="1"/>
    <xf numFmtId="0" fontId="20" fillId="0" borderId="0" xfId="2" applyFont="1" applyAlignment="1">
      <alignment horizontal="center" vertical="center" wrapText="1"/>
    </xf>
    <xf numFmtId="0" fontId="20" fillId="0" borderId="0" xfId="2" applyFont="1" applyAlignment="1">
      <alignment horizontal="left" vertical="center" wrapText="1"/>
    </xf>
    <xf numFmtId="4" fontId="20" fillId="0" borderId="0" xfId="0" applyNumberFormat="1" applyFont="1" applyAlignment="1">
      <alignment horizontal="center"/>
    </xf>
    <xf numFmtId="0" fontId="20" fillId="0" borderId="0" xfId="0" applyFont="1"/>
    <xf numFmtId="10" fontId="20" fillId="0" borderId="0" xfId="0" applyNumberFormat="1" applyFont="1" applyAlignment="1">
      <alignment horizontal="center"/>
    </xf>
    <xf numFmtId="43" fontId="20" fillId="0" borderId="1" xfId="10" applyFont="1" applyBorder="1"/>
    <xf numFmtId="43" fontId="20" fillId="0" borderId="1" xfId="0" applyNumberFormat="1" applyFont="1" applyBorder="1"/>
    <xf numFmtId="0" fontId="1" fillId="0" borderId="0" xfId="2" quotePrefix="1" applyAlignment="1">
      <alignment horizontal="center" vertical="center" wrapText="1"/>
    </xf>
    <xf numFmtId="43" fontId="1" fillId="0" borderId="0" xfId="10" applyFont="1"/>
    <xf numFmtId="0" fontId="1" fillId="0" borderId="1" xfId="0" applyFont="1" applyBorder="1"/>
    <xf numFmtId="0" fontId="20" fillId="0" borderId="0" xfId="2" quotePrefix="1" applyFont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1" fillId="13" borderId="0" xfId="0" applyFont="1" applyFill="1"/>
    <xf numFmtId="0" fontId="21" fillId="13" borderId="0" xfId="0" applyFont="1" applyFill="1" applyAlignment="1">
      <alignment horizontal="center"/>
    </xf>
    <xf numFmtId="4" fontId="21" fillId="13" borderId="0" xfId="0" applyNumberFormat="1" applyFont="1" applyFill="1" applyAlignment="1">
      <alignment horizontal="center"/>
    </xf>
    <xf numFmtId="0" fontId="12" fillId="14" borderId="1" xfId="6" applyFill="1" applyBorder="1"/>
    <xf numFmtId="0" fontId="12" fillId="14" borderId="1" xfId="6" applyFill="1" applyBorder="1" applyAlignment="1">
      <alignment horizontal="center"/>
    </xf>
    <xf numFmtId="0" fontId="12" fillId="0" borderId="0" xfId="6"/>
    <xf numFmtId="0" fontId="14" fillId="8" borderId="1" xfId="6" applyFont="1" applyFill="1" applyBorder="1" applyAlignment="1">
      <alignment horizontal="center"/>
    </xf>
    <xf numFmtId="4" fontId="12" fillId="0" borderId="0" xfId="6" applyNumberFormat="1"/>
    <xf numFmtId="4" fontId="12" fillId="0" borderId="0" xfId="6" applyNumberFormat="1" applyAlignment="1">
      <alignment horizontal="center"/>
    </xf>
    <xf numFmtId="4" fontId="14" fillId="0" borderId="0" xfId="6" applyNumberFormat="1" applyFont="1" applyAlignment="1">
      <alignment horizontal="center"/>
    </xf>
    <xf numFmtId="10" fontId="12" fillId="0" borderId="0" xfId="9" applyNumberFormat="1" applyFont="1" applyAlignment="1">
      <alignment horizontal="center"/>
    </xf>
    <xf numFmtId="43" fontId="12" fillId="0" borderId="0" xfId="10" applyFont="1"/>
    <xf numFmtId="0" fontId="12" fillId="0" borderId="0" xfId="6" quotePrefix="1"/>
    <xf numFmtId="0" fontId="14" fillId="15" borderId="0" xfId="6" applyFont="1" applyFill="1"/>
    <xf numFmtId="0" fontId="12" fillId="15" borderId="0" xfId="6" applyFill="1"/>
    <xf numFmtId="4" fontId="12" fillId="15" borderId="0" xfId="6" applyNumberFormat="1" applyFill="1"/>
    <xf numFmtId="4" fontId="14" fillId="15" borderId="0" xfId="6" applyNumberFormat="1" applyFont="1" applyFill="1" applyAlignment="1">
      <alignment horizontal="center"/>
    </xf>
    <xf numFmtId="10" fontId="14" fillId="15" borderId="0" xfId="9" applyNumberFormat="1" applyFont="1" applyFill="1" applyAlignment="1">
      <alignment horizontal="center"/>
    </xf>
    <xf numFmtId="14" fontId="12" fillId="0" borderId="0" xfId="6" applyNumberFormat="1"/>
    <xf numFmtId="0" fontId="0" fillId="0" borderId="0" xfId="0" applyAlignment="1">
      <alignment horizontal="center"/>
    </xf>
    <xf numFmtId="164" fontId="0" fillId="0" borderId="0" xfId="0" applyNumberFormat="1"/>
    <xf numFmtId="44" fontId="12" fillId="0" borderId="0" xfId="5" applyFont="1"/>
    <xf numFmtId="0" fontId="14" fillId="8" borderId="1" xfId="0" applyFont="1" applyFill="1" applyBorder="1" applyAlignment="1">
      <alignment horizontal="center"/>
    </xf>
    <xf numFmtId="164" fontId="14" fillId="8" borderId="1" xfId="0" applyNumberFormat="1" applyFont="1" applyFill="1" applyBorder="1" applyAlignment="1">
      <alignment horizontal="center"/>
    </xf>
    <xf numFmtId="44" fontId="14" fillId="8" borderId="1" xfId="5" applyFont="1" applyFill="1" applyBorder="1" applyAlignment="1">
      <alignment horizontal="center"/>
    </xf>
    <xf numFmtId="0" fontId="14" fillId="8" borderId="1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/>
    </xf>
    <xf numFmtId="0" fontId="23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164" fontId="23" fillId="4" borderId="1" xfId="0" applyNumberFormat="1" applyFont="1" applyFill="1" applyBorder="1" applyAlignment="1">
      <alignment horizontal="center" vertical="center" wrapText="1"/>
    </xf>
    <xf numFmtId="44" fontId="23" fillId="4" borderId="1" xfId="5" applyFont="1" applyFill="1" applyBorder="1" applyAlignment="1">
      <alignment horizontal="center" vertical="center" wrapText="1"/>
    </xf>
    <xf numFmtId="0" fontId="23" fillId="4" borderId="1" xfId="0" applyFont="1" applyFill="1" applyBorder="1"/>
    <xf numFmtId="0" fontId="0" fillId="0" borderId="0" xfId="0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/>
    </xf>
    <xf numFmtId="0" fontId="6" fillId="17" borderId="1" xfId="6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165" fontId="5" fillId="4" borderId="1" xfId="0" applyNumberFormat="1" applyFont="1" applyFill="1" applyBorder="1" applyAlignment="1">
      <alignment horizontal="center"/>
    </xf>
    <xf numFmtId="165" fontId="23" fillId="4" borderId="1" xfId="0" applyNumberFormat="1" applyFont="1" applyFill="1" applyBorder="1" applyAlignment="1">
      <alignment horizontal="center" vertical="center"/>
    </xf>
    <xf numFmtId="164" fontId="23" fillId="4" borderId="1" xfId="0" applyNumberFormat="1" applyFont="1" applyFill="1" applyBorder="1" applyAlignment="1">
      <alignment horizontal="center" vertical="center"/>
    </xf>
    <xf numFmtId="44" fontId="23" fillId="4" borderId="1" xfId="5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5" fillId="4" borderId="1" xfId="0" quotePrefix="1" applyFont="1" applyFill="1" applyBorder="1" applyAlignment="1">
      <alignment horizontal="center"/>
    </xf>
    <xf numFmtId="0" fontId="8" fillId="4" borderId="1" xfId="1" applyFont="1" applyFill="1" applyBorder="1" applyAlignment="1">
      <alignment horizontal="center" vertical="center"/>
    </xf>
    <xf numFmtId="3" fontId="8" fillId="4" borderId="1" xfId="3" applyNumberFormat="1" applyFont="1" applyFill="1" applyBorder="1" applyAlignment="1">
      <alignment horizontal="center" vertical="top"/>
    </xf>
    <xf numFmtId="0" fontId="8" fillId="4" borderId="1" xfId="2" applyFont="1" applyFill="1" applyBorder="1" applyAlignment="1">
      <alignment horizontal="center" vertical="center"/>
    </xf>
    <xf numFmtId="3" fontId="8" fillId="4" borderId="1" xfId="4" applyNumberFormat="1" applyFont="1" applyFill="1" applyBorder="1" applyAlignment="1">
      <alignment horizontal="center" vertical="top"/>
    </xf>
    <xf numFmtId="10" fontId="5" fillId="4" borderId="1" xfId="0" applyNumberFormat="1" applyFont="1" applyFill="1" applyBorder="1" applyAlignment="1">
      <alignment horizontal="center" vertical="center"/>
    </xf>
    <xf numFmtId="49" fontId="8" fillId="4" borderId="1" xfId="3" applyNumberFormat="1" applyFont="1" applyFill="1" applyBorder="1" applyAlignment="1">
      <alignment horizontal="center" vertical="top"/>
    </xf>
    <xf numFmtId="49" fontId="8" fillId="4" borderId="1" xfId="1" applyNumberFormat="1" applyFont="1" applyFill="1" applyBorder="1" applyAlignment="1">
      <alignment horizontal="center" vertical="center"/>
    </xf>
    <xf numFmtId="0" fontId="6" fillId="18" borderId="1" xfId="7" applyFont="1" applyFill="1" applyBorder="1" applyAlignment="1">
      <alignment horizontal="center" vertical="center"/>
    </xf>
    <xf numFmtId="3" fontId="8" fillId="4" borderId="1" xfId="4" applyNumberFormat="1" applyFont="1" applyFill="1" applyBorder="1" applyAlignment="1" applyProtection="1">
      <alignment horizontal="center"/>
      <protection locked="0"/>
    </xf>
    <xf numFmtId="164" fontId="23" fillId="4" borderId="1" xfId="5" applyNumberFormat="1" applyFont="1" applyFill="1" applyBorder="1" applyAlignment="1">
      <alignment horizontal="center" vertical="center"/>
    </xf>
    <xf numFmtId="0" fontId="6" fillId="16" borderId="1" xfId="6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14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4" fontId="14" fillId="4" borderId="1" xfId="0" applyNumberFormat="1" applyFont="1" applyFill="1" applyBorder="1" applyAlignment="1">
      <alignment horizontal="center" wrapText="1"/>
    </xf>
    <xf numFmtId="0" fontId="14" fillId="4" borderId="1" xfId="0" applyFont="1" applyFill="1" applyBorder="1" applyAlignment="1">
      <alignment horizontal="center" wrapText="1"/>
    </xf>
    <xf numFmtId="0" fontId="26" fillId="19" borderId="1" xfId="6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/>
    </xf>
    <xf numFmtId="165" fontId="16" fillId="4" borderId="1" xfId="0" applyNumberFormat="1" applyFont="1" applyFill="1" applyBorder="1" applyAlignment="1">
      <alignment horizontal="center"/>
    </xf>
    <xf numFmtId="165" fontId="16" fillId="0" borderId="1" xfId="0" applyNumberFormat="1" applyFont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16" fillId="4" borderId="1" xfId="0" applyNumberFormat="1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3" fontId="27" fillId="4" borderId="4" xfId="4" applyNumberFormat="1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>
      <alignment horizontal="center"/>
    </xf>
    <xf numFmtId="3" fontId="27" fillId="4" borderId="1" xfId="8" applyNumberFormat="1" applyFont="1" applyFill="1" applyBorder="1" applyAlignment="1" applyProtection="1">
      <alignment horizontal="center"/>
      <protection locked="0"/>
    </xf>
    <xf numFmtId="3" fontId="27" fillId="4" borderId="6" xfId="3" applyNumberFormat="1" applyFont="1" applyFill="1" applyBorder="1" applyAlignment="1" applyProtection="1">
      <alignment horizontal="center"/>
      <protection locked="0"/>
    </xf>
    <xf numFmtId="0" fontId="16" fillId="0" borderId="0" xfId="2" applyFont="1" applyAlignment="1">
      <alignment horizontal="center" wrapText="1"/>
    </xf>
    <xf numFmtId="0" fontId="16" fillId="4" borderId="1" xfId="2" applyFont="1" applyFill="1" applyBorder="1" applyAlignment="1">
      <alignment horizontal="center" wrapText="1"/>
    </xf>
    <xf numFmtId="164" fontId="14" fillId="4" borderId="1" xfId="0" applyNumberFormat="1" applyFont="1" applyFill="1" applyBorder="1" applyAlignment="1">
      <alignment horizontal="center"/>
    </xf>
    <xf numFmtId="3" fontId="27" fillId="4" borderId="7" xfId="3" applyNumberFormat="1" applyFont="1" applyFill="1" applyBorder="1" applyAlignment="1" applyProtection="1">
      <alignment horizontal="center"/>
      <protection locked="0"/>
    </xf>
    <xf numFmtId="3" fontId="27" fillId="4" borderId="1" xfId="3" applyNumberFormat="1" applyFont="1" applyFill="1" applyBorder="1" applyAlignment="1" applyProtection="1">
      <alignment horizontal="center"/>
      <protection locked="0"/>
    </xf>
    <xf numFmtId="3" fontId="27" fillId="4" borderId="1" xfId="4" applyNumberFormat="1" applyFont="1" applyFill="1" applyBorder="1" applyAlignment="1" applyProtection="1">
      <alignment horizontal="center"/>
      <protection locked="0"/>
    </xf>
    <xf numFmtId="0" fontId="28" fillId="0" borderId="1" xfId="2" applyFont="1" applyBorder="1" applyAlignment="1">
      <alignment horizontal="center" wrapText="1"/>
    </xf>
    <xf numFmtId="165" fontId="16" fillId="4" borderId="5" xfId="0" applyNumberFormat="1" applyFont="1" applyFill="1" applyBorder="1" applyAlignment="1">
      <alignment horizontal="center"/>
    </xf>
    <xf numFmtId="165" fontId="16" fillId="0" borderId="5" xfId="0" applyNumberFormat="1" applyFont="1" applyBorder="1" applyAlignment="1">
      <alignment horizontal="center"/>
    </xf>
    <xf numFmtId="0" fontId="26" fillId="19" borderId="10" xfId="7" applyFont="1" applyFill="1" applyBorder="1" applyAlignment="1">
      <alignment horizontal="center"/>
    </xf>
    <xf numFmtId="3" fontId="27" fillId="4" borderId="4" xfId="3" applyNumberFormat="1" applyFont="1" applyFill="1" applyBorder="1" applyAlignment="1" applyProtection="1">
      <alignment horizontal="center"/>
      <protection locked="0"/>
    </xf>
    <xf numFmtId="0" fontId="26" fillId="19" borderId="8" xfId="7" applyFont="1" applyFill="1" applyBorder="1" applyAlignment="1">
      <alignment horizontal="center"/>
    </xf>
    <xf numFmtId="2" fontId="2" fillId="0" borderId="0" xfId="0" applyNumberFormat="1" applyFont="1"/>
    <xf numFmtId="0" fontId="0" fillId="0" borderId="0" xfId="0" applyAlignment="1">
      <alignment horizontal="right"/>
    </xf>
    <xf numFmtId="166" fontId="0" fillId="2" borderId="0" xfId="0" applyNumberFormat="1" applyFill="1"/>
    <xf numFmtId="167" fontId="0" fillId="2" borderId="0" xfId="0" applyNumberFormat="1" applyFill="1" applyAlignment="1">
      <alignment horizontal="right"/>
    </xf>
    <xf numFmtId="168" fontId="0" fillId="2" borderId="0" xfId="0" applyNumberFormat="1" applyFill="1" applyAlignment="1">
      <alignment horizontal="center"/>
    </xf>
    <xf numFmtId="2" fontId="0" fillId="2" borderId="0" xfId="0" applyNumberFormat="1" applyFill="1"/>
    <xf numFmtId="44" fontId="12" fillId="0" borderId="0" xfId="5" applyFont="1" applyProtection="1"/>
    <xf numFmtId="166" fontId="2" fillId="0" borderId="0" xfId="0" applyNumberFormat="1" applyFont="1"/>
    <xf numFmtId="167" fontId="2" fillId="0" borderId="0" xfId="0" applyNumberFormat="1" applyFont="1" applyAlignment="1">
      <alignment horizontal="right"/>
    </xf>
    <xf numFmtId="168" fontId="1" fillId="0" borderId="0" xfId="0" applyNumberFormat="1" applyFont="1" applyAlignment="1">
      <alignment horizontal="center"/>
    </xf>
    <xf numFmtId="169" fontId="0" fillId="0" borderId="0" xfId="0" applyNumberFormat="1"/>
    <xf numFmtId="44" fontId="2" fillId="0" borderId="0" xfId="5" applyFont="1" applyProtection="1"/>
    <xf numFmtId="43" fontId="12" fillId="0" borderId="0" xfId="10" applyFont="1" applyProtection="1"/>
    <xf numFmtId="43" fontId="2" fillId="0" borderId="0" xfId="10" applyFont="1" applyProtection="1"/>
    <xf numFmtId="2" fontId="29" fillId="0" borderId="1" xfId="0" applyNumberFormat="1" applyFont="1" applyBorder="1" applyAlignment="1">
      <alignment horizontal="center"/>
    </xf>
    <xf numFmtId="0" fontId="23" fillId="3" borderId="1" xfId="0" applyFont="1" applyFill="1" applyBorder="1" applyAlignment="1">
      <alignment horizontal="center" vertical="center"/>
    </xf>
    <xf numFmtId="43" fontId="23" fillId="3" borderId="1" xfId="10" applyFont="1" applyFill="1" applyBorder="1" applyAlignment="1">
      <alignment horizontal="center" vertical="center"/>
    </xf>
    <xf numFmtId="0" fontId="29" fillId="0" borderId="0" xfId="0" applyFont="1"/>
    <xf numFmtId="0" fontId="29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left"/>
    </xf>
    <xf numFmtId="49" fontId="29" fillId="0" borderId="1" xfId="0" applyNumberFormat="1" applyFont="1" applyBorder="1"/>
    <xf numFmtId="49" fontId="29" fillId="0" borderId="1" xfId="0" applyNumberFormat="1" applyFont="1" applyBorder="1" applyAlignment="1">
      <alignment horizontal="center"/>
    </xf>
    <xf numFmtId="14" fontId="29" fillId="0" borderId="1" xfId="0" applyNumberFormat="1" applyFont="1" applyBorder="1" applyAlignment="1">
      <alignment horizontal="center"/>
    </xf>
    <xf numFmtId="43" fontId="29" fillId="0" borderId="1" xfId="10" applyFont="1" applyBorder="1"/>
    <xf numFmtId="0" fontId="27" fillId="0" borderId="1" xfId="0" applyNumberFormat="1" applyFont="1" applyBorder="1" applyAlignment="1">
      <alignment horizontal="center"/>
    </xf>
    <xf numFmtId="2" fontId="27" fillId="0" borderId="1" xfId="0" applyNumberFormat="1" applyFont="1" applyBorder="1" applyAlignment="1">
      <alignment horizontal="center"/>
    </xf>
    <xf numFmtId="49" fontId="27" fillId="0" borderId="1" xfId="0" applyNumberFormat="1" applyFont="1" applyBorder="1"/>
    <xf numFmtId="49" fontId="27" fillId="0" borderId="1" xfId="0" applyNumberFormat="1" applyFont="1" applyBorder="1" applyAlignment="1">
      <alignment horizontal="center"/>
    </xf>
    <xf numFmtId="14" fontId="27" fillId="0" borderId="1" xfId="0" applyNumberFormat="1" applyFont="1" applyBorder="1" applyAlignment="1">
      <alignment horizontal="center"/>
    </xf>
    <xf numFmtId="49" fontId="27" fillId="0" borderId="0" xfId="0" applyNumberFormat="1" applyFont="1" applyBorder="1" applyAlignment="1">
      <alignment horizontal="center"/>
    </xf>
    <xf numFmtId="1" fontId="27" fillId="0" borderId="1" xfId="0" applyNumberFormat="1" applyFont="1" applyBorder="1" applyAlignment="1">
      <alignment horizontal="center"/>
    </xf>
    <xf numFmtId="44" fontId="27" fillId="0" borderId="1" xfId="0" applyNumberFormat="1" applyFont="1" applyBorder="1"/>
    <xf numFmtId="43" fontId="27" fillId="0" borderId="1" xfId="0" applyNumberFormat="1" applyFont="1" applyBorder="1"/>
    <xf numFmtId="43" fontId="27" fillId="0" borderId="1" xfId="10" applyFont="1" applyBorder="1"/>
    <xf numFmtId="0" fontId="27" fillId="0" borderId="0" xfId="0" applyFont="1"/>
    <xf numFmtId="0" fontId="27" fillId="0" borderId="1" xfId="0" applyFont="1" applyBorder="1"/>
    <xf numFmtId="0" fontId="13" fillId="0" borderId="0" xfId="2" applyFont="1" applyAlignment="1">
      <alignment horizontal="center" vertical="center" wrapText="1"/>
    </xf>
    <xf numFmtId="0" fontId="13" fillId="0" borderId="0" xfId="2" applyFont="1" applyAlignment="1">
      <alignment horizontal="left" vertical="center" wrapText="1"/>
    </xf>
    <xf numFmtId="1" fontId="17" fillId="0" borderId="1" xfId="0" applyNumberFormat="1" applyFont="1" applyBorder="1" applyAlignment="1">
      <alignment horizontal="center"/>
    </xf>
    <xf numFmtId="44" fontId="17" fillId="0" borderId="1" xfId="0" applyNumberFormat="1" applyFont="1" applyBorder="1"/>
    <xf numFmtId="0" fontId="17" fillId="4" borderId="1" xfId="0" applyNumberFormat="1" applyFont="1" applyFill="1" applyBorder="1" applyAlignment="1">
      <alignment horizontal="center"/>
    </xf>
    <xf numFmtId="2" fontId="17" fillId="4" borderId="1" xfId="0" applyNumberFormat="1" applyFont="1" applyFill="1" applyBorder="1" applyAlignment="1">
      <alignment horizontal="center"/>
    </xf>
    <xf numFmtId="49" fontId="17" fillId="4" borderId="1" xfId="0" applyNumberFormat="1" applyFont="1" applyFill="1" applyBorder="1"/>
    <xf numFmtId="49" fontId="17" fillId="4" borderId="1" xfId="0" applyNumberFormat="1" applyFont="1" applyFill="1" applyBorder="1" applyAlignment="1">
      <alignment horizontal="center"/>
    </xf>
    <xf numFmtId="14" fontId="17" fillId="4" borderId="1" xfId="0" applyNumberFormat="1" applyFont="1" applyFill="1" applyBorder="1" applyAlignment="1">
      <alignment horizontal="center"/>
    </xf>
    <xf numFmtId="49" fontId="17" fillId="4" borderId="0" xfId="0" applyNumberFormat="1" applyFont="1" applyFill="1" applyBorder="1" applyAlignment="1">
      <alignment horizontal="center"/>
    </xf>
    <xf numFmtId="1" fontId="17" fillId="4" borderId="1" xfId="0" applyNumberFormat="1" applyFont="1" applyFill="1" applyBorder="1" applyAlignment="1">
      <alignment horizontal="center"/>
    </xf>
    <xf numFmtId="44" fontId="17" fillId="4" borderId="1" xfId="0" applyNumberFormat="1" applyFont="1" applyFill="1" applyBorder="1"/>
    <xf numFmtId="43" fontId="17" fillId="4" borderId="1" xfId="0" applyNumberFormat="1" applyFont="1" applyFill="1" applyBorder="1"/>
    <xf numFmtId="43" fontId="17" fillId="4" borderId="1" xfId="10" applyFont="1" applyFill="1" applyBorder="1"/>
    <xf numFmtId="0" fontId="17" fillId="4" borderId="0" xfId="0" applyFont="1" applyFill="1"/>
    <xf numFmtId="0" fontId="17" fillId="4" borderId="1" xfId="0" applyFont="1" applyFill="1" applyBorder="1"/>
    <xf numFmtId="44" fontId="17" fillId="20" borderId="1" xfId="0" applyNumberFormat="1" applyFont="1" applyFill="1" applyBorder="1"/>
    <xf numFmtId="44" fontId="15" fillId="8" borderId="1" xfId="0" applyNumberFormat="1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/>
    </xf>
    <xf numFmtId="0" fontId="14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6" fillId="21" borderId="0" xfId="0" applyFont="1" applyFill="1" applyAlignment="1">
      <alignment horizontal="center"/>
    </xf>
  </cellXfs>
  <cellStyles count="11">
    <cellStyle name="Comma" xfId="10" builtinId="3"/>
    <cellStyle name="Currency" xfId="5" builtinId="4"/>
    <cellStyle name="Excel Built-in Normal" xfId="3" xr:uid="{00000000-0005-0000-0000-000002000000}"/>
    <cellStyle name="Excel Built-in Normal 2" xfId="4" xr:uid="{00000000-0005-0000-0000-000003000000}"/>
    <cellStyle name="Normal" xfId="0" builtinId="0"/>
    <cellStyle name="Normal 2" xfId="6" xr:uid="{00000000-0005-0000-0000-000005000000}"/>
    <cellStyle name="Normal 3" xfId="7" xr:uid="{00000000-0005-0000-0000-000006000000}"/>
    <cellStyle name="Normal 9" xfId="8" xr:uid="{00000000-0005-0000-0000-000007000000}"/>
    <cellStyle name="Porcentagem 2" xfId="9" xr:uid="{00000000-0005-0000-0000-000008000000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1352550</xdr:colOff>
      <xdr:row>0</xdr:row>
      <xdr:rowOff>76200</xdr:rowOff>
    </xdr:from>
    <xdr:to>
      <xdr:col>11</xdr:col>
      <xdr:colOff>0</xdr:colOff>
      <xdr:row>0</xdr:row>
      <xdr:rowOff>981075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2BA125-5FEB-4F8B-8A1F-3F7DBE16DA47}"/>
            </a:ext>
          </a:extLst>
        </xdr:cNvPr>
        <xdr:cNvSpPr/>
      </xdr:nvSpPr>
      <xdr:spPr>
        <a:xfrm>
          <a:off x="6419850" y="76200"/>
          <a:ext cx="5314950" cy="904875"/>
        </a:xfrm>
        <a:prstGeom prst="roundRect">
          <a:avLst/>
        </a:prstGeom>
        <a:solidFill>
          <a:schemeClr val="accent1">
            <a:alpha val="42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Tá fazendo quase</a:t>
          </a:r>
          <a:r>
            <a:rPr lang="en-US" sz="1800" b="1" baseline="0"/>
            <a:t> tudo, vai clica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137160</xdr:colOff>
      <xdr:row>33</xdr:row>
      <xdr:rowOff>76200</xdr:rowOff>
    </xdr:from>
    <xdr:to>
      <xdr:col>30</xdr:col>
      <xdr:colOff>342900</xdr:colOff>
      <xdr:row>39</xdr:row>
      <xdr:rowOff>68580</xdr:rowOff>
    </xdr:to>
    <xdr:pic>
      <xdr:nvPicPr>
        <xdr:cNvPr id="2350" name="Imagem 1">
          <a:extLst>
            <a:ext uri="{FF2B5EF4-FFF2-40B4-BE49-F238E27FC236}">
              <a16:creationId xmlns:a16="http://schemas.microsoft.com/office/drawing/2014/main" id="{00000000-0008-0000-0100-00002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03180" y="536448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60960</xdr:colOff>
      <xdr:row>134</xdr:row>
      <xdr:rowOff>152400</xdr:rowOff>
    </xdr:from>
    <xdr:to>
      <xdr:col>30</xdr:col>
      <xdr:colOff>266700</xdr:colOff>
      <xdr:row>140</xdr:row>
      <xdr:rowOff>144780</xdr:rowOff>
    </xdr:to>
    <xdr:pic>
      <xdr:nvPicPr>
        <xdr:cNvPr id="2351" name="Imagem 2">
          <a:extLst>
            <a:ext uri="{FF2B5EF4-FFF2-40B4-BE49-F238E27FC236}">
              <a16:creationId xmlns:a16="http://schemas.microsoft.com/office/drawing/2014/main" id="{00000000-0008-0000-0100-00002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6980" y="2160270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68580</xdr:colOff>
      <xdr:row>360</xdr:row>
      <xdr:rowOff>30480</xdr:rowOff>
    </xdr:from>
    <xdr:to>
      <xdr:col>31</xdr:col>
      <xdr:colOff>274320</xdr:colOff>
      <xdr:row>366</xdr:row>
      <xdr:rowOff>15240</xdr:rowOff>
    </xdr:to>
    <xdr:pic>
      <xdr:nvPicPr>
        <xdr:cNvPr id="2352" name="Imagem 4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59440" y="57645300"/>
          <a:ext cx="645414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144780</xdr:colOff>
      <xdr:row>377</xdr:row>
      <xdr:rowOff>152400</xdr:rowOff>
    </xdr:from>
    <xdr:to>
      <xdr:col>31</xdr:col>
      <xdr:colOff>350520</xdr:colOff>
      <xdr:row>383</xdr:row>
      <xdr:rowOff>144780</xdr:rowOff>
    </xdr:to>
    <xdr:pic>
      <xdr:nvPicPr>
        <xdr:cNvPr id="2353" name="Imagem 5">
          <a:extLst>
            <a:ext uri="{FF2B5EF4-FFF2-40B4-BE49-F238E27FC236}">
              <a16:creationId xmlns:a16="http://schemas.microsoft.com/office/drawing/2014/main" id="{00000000-0008-0000-0100-00003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35640" y="6048756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114300</xdr:colOff>
      <xdr:row>393</xdr:row>
      <xdr:rowOff>152400</xdr:rowOff>
    </xdr:from>
    <xdr:to>
      <xdr:col>30</xdr:col>
      <xdr:colOff>320040</xdr:colOff>
      <xdr:row>399</xdr:row>
      <xdr:rowOff>144780</xdr:rowOff>
    </xdr:to>
    <xdr:pic>
      <xdr:nvPicPr>
        <xdr:cNvPr id="2354" name="Imagem 6">
          <a:extLst>
            <a:ext uri="{FF2B5EF4-FFF2-40B4-BE49-F238E27FC236}">
              <a16:creationId xmlns:a16="http://schemas.microsoft.com/office/drawing/2014/main" id="{00000000-0008-0000-0100-00003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0320" y="6304788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enda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RH/DEPARTAMENTO%20PESSOAL/2021/05.%20MAIO/NB/Folha%20de%20Pagamento/Movimentos/Planilha%20Base%20Folha%20de%20Pagamento%20-%2005-202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Vendas%2006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dedor"/>
      <sheetName val="Gerentes"/>
    </sheetNames>
    <sheetDataSet>
      <sheetData sheetId="0">
        <row r="2">
          <cell r="D2" t="str">
            <v>Vendedor</v>
          </cell>
          <cell r="E2" t="str">
            <v>PDV</v>
          </cell>
          <cell r="F2" t="str">
            <v>Não Presencial</v>
          </cell>
          <cell r="G2" t="str">
            <v>Social Selling</v>
          </cell>
          <cell r="H2" t="str">
            <v>Cupom</v>
          </cell>
          <cell r="I2" t="str">
            <v>Pick Up</v>
          </cell>
          <cell r="J2" t="str">
            <v>Shipping</v>
          </cell>
          <cell r="K2" t="str">
            <v>Total Vendas</v>
          </cell>
          <cell r="M2" t="str">
            <v>Meta Vend</v>
          </cell>
          <cell r="N2" t="str">
            <v>% Ating</v>
          </cell>
          <cell r="P2" t="str">
            <v>Meta Loja</v>
          </cell>
          <cell r="R2" t="str">
            <v>Comissão</v>
          </cell>
          <cell r="S2" t="str">
            <v>DSR</v>
          </cell>
          <cell r="T2" t="str">
            <v>Prêmio</v>
          </cell>
        </row>
        <row r="3">
          <cell r="C3" t="str">
            <v>62-266</v>
          </cell>
          <cell r="D3" t="str">
            <v>MARCOS ANTONIO NOGUEIRA</v>
          </cell>
          <cell r="E3">
            <v>2621.79</v>
          </cell>
          <cell r="G3">
            <v>0</v>
          </cell>
          <cell r="H3">
            <v>0</v>
          </cell>
          <cell r="I3">
            <v>0</v>
          </cell>
          <cell r="K3">
            <v>2621.79</v>
          </cell>
          <cell r="N3">
            <v>0</v>
          </cell>
          <cell r="P3">
            <v>700000</v>
          </cell>
          <cell r="R3">
            <v>0</v>
          </cell>
          <cell r="S3">
            <v>0</v>
          </cell>
          <cell r="T3">
            <v>0</v>
          </cell>
        </row>
        <row r="4">
          <cell r="C4" t="str">
            <v>62-282</v>
          </cell>
          <cell r="D4" t="str">
            <v>HIGOR ANDRE MORETTO</v>
          </cell>
          <cell r="E4">
            <v>33983.49</v>
          </cell>
          <cell r="G4">
            <v>0</v>
          </cell>
          <cell r="H4">
            <v>349.99</v>
          </cell>
          <cell r="I4">
            <v>0</v>
          </cell>
          <cell r="K4">
            <v>34333.479999999996</v>
          </cell>
          <cell r="M4">
            <v>110000</v>
          </cell>
          <cell r="N4">
            <v>0.31212254545454543</v>
          </cell>
          <cell r="R4">
            <v>961.33743999999979</v>
          </cell>
          <cell r="S4">
            <v>240.33435999999995</v>
          </cell>
          <cell r="T4">
            <v>0</v>
          </cell>
        </row>
        <row r="5">
          <cell r="C5" t="str">
            <v>62-286</v>
          </cell>
          <cell r="D5" t="str">
            <v>ALEF JUNIOR SOARES</v>
          </cell>
          <cell r="E5">
            <v>138809.43</v>
          </cell>
          <cell r="G5">
            <v>0</v>
          </cell>
          <cell r="H5">
            <v>899.99</v>
          </cell>
          <cell r="I5">
            <v>0</v>
          </cell>
          <cell r="K5">
            <v>139709.41999999998</v>
          </cell>
          <cell r="M5">
            <v>110000</v>
          </cell>
          <cell r="N5">
            <v>1.2700856363636361</v>
          </cell>
          <cell r="R5">
            <v>3911.8637599999993</v>
          </cell>
          <cell r="S5">
            <v>977.96593999999982</v>
          </cell>
          <cell r="T5">
            <v>698.54709999999989</v>
          </cell>
        </row>
        <row r="6">
          <cell r="C6" t="str">
            <v>62-289</v>
          </cell>
          <cell r="D6" t="str">
            <v xml:space="preserve">ZELITA MOREIRA </v>
          </cell>
          <cell r="E6">
            <v>127062.55</v>
          </cell>
          <cell r="G6">
            <v>0</v>
          </cell>
          <cell r="H6">
            <v>0</v>
          </cell>
          <cell r="I6">
            <v>0</v>
          </cell>
          <cell r="K6">
            <v>127062.55</v>
          </cell>
          <cell r="M6">
            <v>110000</v>
          </cell>
          <cell r="N6">
            <v>1.1551140909090909</v>
          </cell>
          <cell r="R6">
            <v>3557.7513999999996</v>
          </cell>
          <cell r="S6">
            <v>889.43784999999991</v>
          </cell>
          <cell r="T6">
            <v>635.31275000000005</v>
          </cell>
        </row>
        <row r="7">
          <cell r="C7" t="str">
            <v>62-314</v>
          </cell>
          <cell r="D7" t="str">
            <v>00314 - SAVIO KAYK SANTOS DE OLIVEIRA</v>
          </cell>
          <cell r="E7">
            <v>111127.59</v>
          </cell>
          <cell r="G7">
            <v>0</v>
          </cell>
          <cell r="H7">
            <v>0</v>
          </cell>
          <cell r="I7">
            <v>0</v>
          </cell>
          <cell r="K7">
            <v>111127.59</v>
          </cell>
          <cell r="M7">
            <v>110000</v>
          </cell>
          <cell r="N7">
            <v>1.0102508181818182</v>
          </cell>
          <cell r="R7">
            <v>3111.5725199999997</v>
          </cell>
          <cell r="S7">
            <v>777.89312999999993</v>
          </cell>
          <cell r="T7">
            <v>555.63795000000005</v>
          </cell>
        </row>
        <row r="8">
          <cell r="C8" t="str">
            <v>62-316</v>
          </cell>
          <cell r="D8" t="str">
            <v>00316 - JULIA MENDES ARAUJO</v>
          </cell>
          <cell r="E8">
            <v>114704.26</v>
          </cell>
          <cell r="G8">
            <v>0</v>
          </cell>
          <cell r="H8">
            <v>0</v>
          </cell>
          <cell r="I8">
            <v>0</v>
          </cell>
          <cell r="K8">
            <v>114704.26</v>
          </cell>
          <cell r="M8">
            <v>110000</v>
          </cell>
          <cell r="N8">
            <v>1.0427659999999999</v>
          </cell>
          <cell r="R8">
            <v>3211.7192799999993</v>
          </cell>
          <cell r="S8">
            <v>802.92981999999984</v>
          </cell>
          <cell r="T8">
            <v>573.5213</v>
          </cell>
        </row>
        <row r="9">
          <cell r="C9" t="str">
            <v>62-320</v>
          </cell>
          <cell r="D9" t="str">
            <v>TIAGO OLIVEIRA DE SOUZA</v>
          </cell>
          <cell r="E9">
            <v>111639.66</v>
          </cell>
          <cell r="G9">
            <v>0</v>
          </cell>
          <cell r="H9">
            <v>199.99</v>
          </cell>
          <cell r="I9">
            <v>0</v>
          </cell>
          <cell r="K9">
            <v>111839.65000000001</v>
          </cell>
          <cell r="M9">
            <v>110000</v>
          </cell>
          <cell r="N9">
            <v>1.0167240909090909</v>
          </cell>
          <cell r="R9">
            <v>3131.5101999999997</v>
          </cell>
          <cell r="S9">
            <v>782.87754999999993</v>
          </cell>
          <cell r="T9">
            <v>559.19825000000003</v>
          </cell>
        </row>
        <row r="10">
          <cell r="C10" t="str">
            <v>62-322</v>
          </cell>
          <cell r="D10" t="str">
            <v>00322 - CRISTIAN YUSUKE SHIMOTO</v>
          </cell>
          <cell r="E10">
            <v>75512.289999999994</v>
          </cell>
          <cell r="G10">
            <v>0</v>
          </cell>
          <cell r="H10">
            <v>0</v>
          </cell>
          <cell r="I10">
            <v>0</v>
          </cell>
          <cell r="K10">
            <v>75512.289999999994</v>
          </cell>
          <cell r="M10">
            <v>110000</v>
          </cell>
          <cell r="N10">
            <v>0.68647536363636363</v>
          </cell>
          <cell r="R10">
            <v>2114.3441199999997</v>
          </cell>
          <cell r="S10">
            <v>528.58602999999994</v>
          </cell>
          <cell r="T10">
            <v>0</v>
          </cell>
        </row>
        <row r="11">
          <cell r="C11" t="str">
            <v>62-</v>
          </cell>
          <cell r="E11">
            <v>0</v>
          </cell>
          <cell r="G11">
            <v>0</v>
          </cell>
          <cell r="H11">
            <v>0</v>
          </cell>
          <cell r="I11">
            <v>0</v>
          </cell>
          <cell r="K11">
            <v>0</v>
          </cell>
          <cell r="N11">
            <v>0</v>
          </cell>
          <cell r="R11">
            <v>20000.098719999995</v>
          </cell>
          <cell r="S11">
            <v>5000.0246799999986</v>
          </cell>
          <cell r="T11">
            <v>3022.2173499999999</v>
          </cell>
        </row>
        <row r="12">
          <cell r="C12" t="str">
            <v>62-</v>
          </cell>
          <cell r="E12">
            <v>0</v>
          </cell>
          <cell r="G12">
            <v>0</v>
          </cell>
          <cell r="H12">
            <v>0</v>
          </cell>
          <cell r="I12">
            <v>0</v>
          </cell>
          <cell r="K12">
            <v>0</v>
          </cell>
          <cell r="N12">
            <v>0</v>
          </cell>
        </row>
        <row r="13">
          <cell r="C13" t="str">
            <v>62-</v>
          </cell>
          <cell r="E13">
            <v>0</v>
          </cell>
          <cell r="G13">
            <v>0</v>
          </cell>
          <cell r="H13">
            <v>0</v>
          </cell>
          <cell r="I13">
            <v>0</v>
          </cell>
          <cell r="K13">
            <v>0</v>
          </cell>
          <cell r="N13">
            <v>0</v>
          </cell>
        </row>
        <row r="14">
          <cell r="C14" t="str">
            <v>Total-</v>
          </cell>
          <cell r="E14">
            <v>715461.06</v>
          </cell>
          <cell r="F14">
            <v>0</v>
          </cell>
          <cell r="G14">
            <v>0</v>
          </cell>
          <cell r="H14">
            <v>1449.97</v>
          </cell>
          <cell r="I14">
            <v>0</v>
          </cell>
          <cell r="J14">
            <v>0</v>
          </cell>
          <cell r="K14">
            <v>716911.03</v>
          </cell>
          <cell r="M14">
            <v>770000</v>
          </cell>
        </row>
        <row r="15">
          <cell r="C15" t="str">
            <v>-</v>
          </cell>
        </row>
        <row r="16">
          <cell r="C16" t="str">
            <v>-</v>
          </cell>
        </row>
        <row r="17">
          <cell r="C17" t="str">
            <v>-</v>
          </cell>
        </row>
        <row r="18">
          <cell r="C18" t="str">
            <v>Loja-Cod</v>
          </cell>
          <cell r="D18" t="str">
            <v>Vendedor</v>
          </cell>
          <cell r="E18" t="str">
            <v>PDV</v>
          </cell>
          <cell r="F18" t="str">
            <v>Não Presencial</v>
          </cell>
          <cell r="G18" t="str">
            <v>Social Selling</v>
          </cell>
          <cell r="H18" t="str">
            <v>Cupom</v>
          </cell>
          <cell r="I18" t="str">
            <v>Pick Up</v>
          </cell>
          <cell r="J18" t="str">
            <v>Shipping</v>
          </cell>
          <cell r="K18" t="str">
            <v>Total Vendas</v>
          </cell>
          <cell r="M18" t="str">
            <v>Meta Vend</v>
          </cell>
          <cell r="N18" t="str">
            <v>% Ating</v>
          </cell>
          <cell r="P18" t="str">
            <v>Meta Loja</v>
          </cell>
          <cell r="R18" t="str">
            <v>Comissão</v>
          </cell>
          <cell r="S18" t="str">
            <v>DSR</v>
          </cell>
          <cell r="T18" t="str">
            <v>Prêmio</v>
          </cell>
        </row>
        <row r="19">
          <cell r="C19" t="str">
            <v>93-36</v>
          </cell>
          <cell r="D19" t="str">
            <v>LUIZ FERNANDO DE OLIVEIRA</v>
          </cell>
          <cell r="E19">
            <v>71409.990000000005</v>
          </cell>
          <cell r="G19">
            <v>0</v>
          </cell>
          <cell r="H19">
            <v>0</v>
          </cell>
          <cell r="I19">
            <v>0</v>
          </cell>
          <cell r="K19">
            <v>71409.990000000005</v>
          </cell>
          <cell r="M19">
            <v>70800</v>
          </cell>
          <cell r="N19">
            <v>1.0086156779661017</v>
          </cell>
          <cell r="P19">
            <v>450000</v>
          </cell>
          <cell r="R19">
            <v>1999.47972</v>
          </cell>
          <cell r="S19">
            <v>499.86993000000001</v>
          </cell>
          <cell r="T19">
            <v>357.04995000000002</v>
          </cell>
        </row>
        <row r="20">
          <cell r="C20" t="str">
            <v>93-70</v>
          </cell>
          <cell r="D20" t="str">
            <v>GABRIEL DUARTE DA SILVA</v>
          </cell>
          <cell r="E20">
            <v>57151.839999999997</v>
          </cell>
          <cell r="G20">
            <v>0</v>
          </cell>
          <cell r="H20">
            <v>199.99</v>
          </cell>
          <cell r="I20">
            <v>0</v>
          </cell>
          <cell r="K20">
            <v>57351.829999999994</v>
          </cell>
          <cell r="M20">
            <v>70800</v>
          </cell>
          <cell r="N20">
            <v>0.81005409604519762</v>
          </cell>
          <cell r="R20">
            <v>1605.8512399999997</v>
          </cell>
          <cell r="S20">
            <v>401.46280999999993</v>
          </cell>
          <cell r="T20">
            <v>0</v>
          </cell>
        </row>
        <row r="21">
          <cell r="C21" t="str">
            <v>93-79</v>
          </cell>
          <cell r="D21" t="str">
            <v>MATHEUS DOS SANTOS CHRISTO</v>
          </cell>
          <cell r="E21">
            <v>66351.820000000007</v>
          </cell>
          <cell r="G21">
            <v>0</v>
          </cell>
          <cell r="H21">
            <v>0</v>
          </cell>
          <cell r="I21">
            <v>0</v>
          </cell>
          <cell r="K21">
            <v>66351.820000000007</v>
          </cell>
          <cell r="M21">
            <v>70800</v>
          </cell>
          <cell r="N21">
            <v>0.93717259887005655</v>
          </cell>
          <cell r="R21">
            <v>1857.85096</v>
          </cell>
          <cell r="S21">
            <v>464.46274</v>
          </cell>
          <cell r="T21">
            <v>0</v>
          </cell>
        </row>
        <row r="22">
          <cell r="C22" t="str">
            <v>93-90</v>
          </cell>
          <cell r="D22" t="str">
            <v>GUSTAVO DOS SANTOS DANTAS</v>
          </cell>
          <cell r="E22">
            <v>407.97</v>
          </cell>
          <cell r="G22">
            <v>0</v>
          </cell>
          <cell r="H22">
            <v>0</v>
          </cell>
          <cell r="I22">
            <v>0</v>
          </cell>
          <cell r="K22">
            <v>407.97</v>
          </cell>
          <cell r="N22">
            <v>0</v>
          </cell>
          <cell r="R22">
            <v>0</v>
          </cell>
          <cell r="S22">
            <v>0</v>
          </cell>
          <cell r="T22">
            <v>0</v>
          </cell>
        </row>
        <row r="23">
          <cell r="C23" t="str">
            <v>93-91</v>
          </cell>
          <cell r="D23" t="str">
            <v>NATHALIA MATOS REIS DE FREITAS</v>
          </cell>
          <cell r="E23">
            <v>71611.839999999997</v>
          </cell>
          <cell r="G23">
            <v>0</v>
          </cell>
          <cell r="H23">
            <v>0</v>
          </cell>
          <cell r="I23">
            <v>0</v>
          </cell>
          <cell r="K23">
            <v>71611.839999999997</v>
          </cell>
          <cell r="M23">
            <v>70800</v>
          </cell>
          <cell r="N23">
            <v>1.0114666666666665</v>
          </cell>
          <cell r="R23">
            <v>2005.1315199999997</v>
          </cell>
          <cell r="S23">
            <v>501.28287999999992</v>
          </cell>
          <cell r="T23">
            <v>358.05919999999998</v>
          </cell>
        </row>
        <row r="24">
          <cell r="C24" t="str">
            <v>93-95</v>
          </cell>
          <cell r="D24" t="str">
            <v>LUIZ EDUARDO MARCELINO DOS SANTOS</v>
          </cell>
          <cell r="E24">
            <v>71399.61</v>
          </cell>
          <cell r="G24">
            <v>0</v>
          </cell>
          <cell r="H24">
            <v>0</v>
          </cell>
          <cell r="I24">
            <v>0</v>
          </cell>
          <cell r="K24">
            <v>71399.61</v>
          </cell>
          <cell r="M24">
            <v>70800</v>
          </cell>
          <cell r="N24">
            <v>1.0084690677966102</v>
          </cell>
          <cell r="R24">
            <v>1999.1890799999999</v>
          </cell>
          <cell r="S24">
            <v>499.79726999999997</v>
          </cell>
          <cell r="T24">
            <v>356.99805000000003</v>
          </cell>
        </row>
        <row r="25">
          <cell r="C25" t="str">
            <v>93-98</v>
          </cell>
          <cell r="D25" t="str">
            <v>BERNARDO MARTINS MIRANDA</v>
          </cell>
          <cell r="E25">
            <v>71165.84</v>
          </cell>
          <cell r="G25">
            <v>0</v>
          </cell>
          <cell r="H25">
            <v>0</v>
          </cell>
          <cell r="I25">
            <v>0</v>
          </cell>
          <cell r="K25">
            <v>71165.84</v>
          </cell>
          <cell r="M25">
            <v>70800</v>
          </cell>
          <cell r="N25">
            <v>1.0051672316384179</v>
          </cell>
          <cell r="R25">
            <v>1992.6435199999996</v>
          </cell>
          <cell r="S25">
            <v>498.16087999999991</v>
          </cell>
          <cell r="T25">
            <v>355.82920000000001</v>
          </cell>
        </row>
        <row r="26">
          <cell r="C26" t="str">
            <v>93-100</v>
          </cell>
          <cell r="D26" t="str">
            <v xml:space="preserve">00100 - VITOR HUGO MACEDO           </v>
          </cell>
          <cell r="E26">
            <v>71746.89</v>
          </cell>
          <cell r="G26">
            <v>0</v>
          </cell>
          <cell r="H26">
            <v>0</v>
          </cell>
          <cell r="I26">
            <v>0</v>
          </cell>
          <cell r="K26">
            <v>71746.89</v>
          </cell>
          <cell r="M26">
            <v>70800</v>
          </cell>
          <cell r="N26">
            <v>1.013374152542373</v>
          </cell>
          <cell r="R26">
            <v>2008.9129199999998</v>
          </cell>
          <cell r="S26">
            <v>502.22822999999994</v>
          </cell>
          <cell r="T26">
            <v>358.73444999999998</v>
          </cell>
        </row>
        <row r="27">
          <cell r="C27" t="str">
            <v>93-</v>
          </cell>
          <cell r="E27">
            <v>0</v>
          </cell>
          <cell r="G27">
            <v>0</v>
          </cell>
          <cell r="H27">
            <v>0</v>
          </cell>
          <cell r="I27">
            <v>0</v>
          </cell>
          <cell r="K27">
            <v>0</v>
          </cell>
          <cell r="N27">
            <v>0</v>
          </cell>
          <cell r="R27">
            <v>13469.058959999998</v>
          </cell>
          <cell r="S27">
            <v>3367.2647399999996</v>
          </cell>
          <cell r="T27">
            <v>1786.67085</v>
          </cell>
        </row>
        <row r="28">
          <cell r="C28" t="str">
            <v>93-</v>
          </cell>
          <cell r="E28">
            <v>0</v>
          </cell>
          <cell r="G28">
            <v>0</v>
          </cell>
          <cell r="H28">
            <v>0</v>
          </cell>
          <cell r="I28">
            <v>0</v>
          </cell>
          <cell r="K28">
            <v>0</v>
          </cell>
          <cell r="N28">
            <v>0</v>
          </cell>
        </row>
        <row r="29">
          <cell r="C29" t="str">
            <v>93-</v>
          </cell>
          <cell r="E29">
            <v>0</v>
          </cell>
          <cell r="G29">
            <v>0</v>
          </cell>
          <cell r="H29">
            <v>0</v>
          </cell>
          <cell r="I29">
            <v>0</v>
          </cell>
          <cell r="K29">
            <v>0</v>
          </cell>
          <cell r="N29">
            <v>0</v>
          </cell>
        </row>
        <row r="30">
          <cell r="C30" t="str">
            <v>Total-</v>
          </cell>
          <cell r="E30">
            <v>481245.80000000005</v>
          </cell>
          <cell r="F30">
            <v>0</v>
          </cell>
          <cell r="G30">
            <v>0</v>
          </cell>
          <cell r="H30">
            <v>199.99</v>
          </cell>
          <cell r="I30">
            <v>0</v>
          </cell>
          <cell r="J30">
            <v>0</v>
          </cell>
          <cell r="K30">
            <v>481445.79000000004</v>
          </cell>
          <cell r="M30">
            <v>495600</v>
          </cell>
        </row>
        <row r="31">
          <cell r="C31" t="str">
            <v>-</v>
          </cell>
        </row>
        <row r="32">
          <cell r="C32" t="str">
            <v>-</v>
          </cell>
        </row>
        <row r="33">
          <cell r="C33" t="str">
            <v>-</v>
          </cell>
        </row>
        <row r="34">
          <cell r="C34" t="str">
            <v>-</v>
          </cell>
        </row>
        <row r="35">
          <cell r="C35" t="str">
            <v>Loja-Cod</v>
          </cell>
          <cell r="D35" t="str">
            <v>Vendedor</v>
          </cell>
          <cell r="E35" t="str">
            <v>PDV</v>
          </cell>
          <cell r="F35" t="str">
            <v>Não Presencial</v>
          </cell>
          <cell r="G35" t="str">
            <v>Social Selling</v>
          </cell>
          <cell r="H35" t="str">
            <v>Cupom</v>
          </cell>
          <cell r="I35" t="str">
            <v>Pick Up</v>
          </cell>
          <cell r="J35" t="str">
            <v>Shipping</v>
          </cell>
          <cell r="K35" t="str">
            <v>Total Vendas</v>
          </cell>
          <cell r="M35" t="str">
            <v>Meta Vend</v>
          </cell>
          <cell r="N35" t="str">
            <v>% Ating</v>
          </cell>
          <cell r="P35" t="str">
            <v>Meta Loja</v>
          </cell>
          <cell r="R35" t="str">
            <v>Comissão</v>
          </cell>
          <cell r="S35" t="str">
            <v>DSR</v>
          </cell>
          <cell r="T35" t="str">
            <v>Prêmio</v>
          </cell>
        </row>
        <row r="36">
          <cell r="C36" t="str">
            <v>94-34</v>
          </cell>
          <cell r="D36" t="str">
            <v>RAPHAEL BORGES DE FARIAS</v>
          </cell>
          <cell r="E36">
            <v>1033.8699999999999</v>
          </cell>
          <cell r="G36">
            <v>0</v>
          </cell>
          <cell r="H36">
            <v>0</v>
          </cell>
          <cell r="I36">
            <v>0</v>
          </cell>
          <cell r="K36">
            <v>1033.8699999999999</v>
          </cell>
          <cell r="N36">
            <v>0</v>
          </cell>
          <cell r="P36">
            <v>155000</v>
          </cell>
          <cell r="R36">
            <v>0</v>
          </cell>
          <cell r="S36">
            <v>0</v>
          </cell>
          <cell r="T36">
            <v>0</v>
          </cell>
        </row>
        <row r="37">
          <cell r="C37" t="str">
            <v>94-55</v>
          </cell>
          <cell r="D37" t="str">
            <v>PATRICK TEIXEIRA CAMISAO</v>
          </cell>
          <cell r="E37">
            <v>31923.96</v>
          </cell>
          <cell r="G37">
            <v>0</v>
          </cell>
          <cell r="H37">
            <v>999.99</v>
          </cell>
          <cell r="I37">
            <v>0</v>
          </cell>
          <cell r="K37">
            <v>32923.949999999997</v>
          </cell>
          <cell r="M37">
            <v>45600</v>
          </cell>
          <cell r="N37">
            <v>0.72201644736842097</v>
          </cell>
          <cell r="R37">
            <v>1053.5663999999999</v>
          </cell>
          <cell r="S37">
            <v>263.39159999999998</v>
          </cell>
          <cell r="T37">
            <v>0</v>
          </cell>
        </row>
        <row r="38">
          <cell r="C38" t="str">
            <v>94-3</v>
          </cell>
          <cell r="D38" t="str">
            <v>00003 - ALLAN DA SILVA PONTES</v>
          </cell>
          <cell r="E38">
            <v>54707.97</v>
          </cell>
          <cell r="G38">
            <v>0</v>
          </cell>
          <cell r="H38">
            <v>499.98</v>
          </cell>
          <cell r="I38">
            <v>399.99</v>
          </cell>
          <cell r="K38">
            <v>55607.94</v>
          </cell>
          <cell r="M38">
            <v>45600</v>
          </cell>
          <cell r="N38">
            <v>1.2194723684210527</v>
          </cell>
          <cell r="R38">
            <v>2502.3573000000001</v>
          </cell>
          <cell r="S38">
            <v>625.58932500000003</v>
          </cell>
          <cell r="T38">
            <v>278.03970000000004</v>
          </cell>
        </row>
        <row r="39">
          <cell r="C39" t="str">
            <v>94-66</v>
          </cell>
          <cell r="D39" t="str">
            <v>ELIZA OLIVEIRA NUNES</v>
          </cell>
          <cell r="E39">
            <v>32006.04</v>
          </cell>
          <cell r="G39">
            <v>0</v>
          </cell>
          <cell r="H39">
            <v>0</v>
          </cell>
          <cell r="I39">
            <v>0</v>
          </cell>
          <cell r="K39">
            <v>32006.04</v>
          </cell>
          <cell r="M39">
            <v>45600</v>
          </cell>
          <cell r="N39">
            <v>0.7018868421052632</v>
          </cell>
          <cell r="R39">
            <v>1024.19328</v>
          </cell>
          <cell r="S39">
            <v>256.04831999999999</v>
          </cell>
          <cell r="T39">
            <v>0</v>
          </cell>
        </row>
        <row r="40">
          <cell r="C40" t="str">
            <v>94-68</v>
          </cell>
          <cell r="D40" t="str">
            <v>LUCAS SANTOS DE CARVALHO</v>
          </cell>
          <cell r="E40">
            <v>13381.18</v>
          </cell>
          <cell r="G40">
            <v>0</v>
          </cell>
          <cell r="H40">
            <v>0</v>
          </cell>
          <cell r="I40">
            <v>0</v>
          </cell>
          <cell r="K40">
            <v>13381.18</v>
          </cell>
          <cell r="M40">
            <v>34200</v>
          </cell>
          <cell r="N40">
            <v>0.3912625730994152</v>
          </cell>
          <cell r="R40">
            <v>428.19776000000002</v>
          </cell>
          <cell r="S40">
            <v>107.04944</v>
          </cell>
          <cell r="T40">
            <v>0</v>
          </cell>
        </row>
        <row r="41">
          <cell r="C41" t="str">
            <v>94-</v>
          </cell>
          <cell r="E41">
            <v>0</v>
          </cell>
          <cell r="G41">
            <v>0</v>
          </cell>
          <cell r="H41">
            <v>0</v>
          </cell>
          <cell r="I41">
            <v>0</v>
          </cell>
          <cell r="K41">
            <v>0</v>
          </cell>
          <cell r="N41">
            <v>0</v>
          </cell>
          <cell r="R41">
            <v>5008.3147400000007</v>
          </cell>
          <cell r="S41">
            <v>1252.0786850000002</v>
          </cell>
          <cell r="T41">
            <v>278.03970000000004</v>
          </cell>
        </row>
        <row r="42">
          <cell r="C42" t="str">
            <v>94-</v>
          </cell>
          <cell r="E42">
            <v>0</v>
          </cell>
          <cell r="G42">
            <v>0</v>
          </cell>
          <cell r="H42">
            <v>0</v>
          </cell>
          <cell r="I42">
            <v>0</v>
          </cell>
          <cell r="K42">
            <v>0</v>
          </cell>
          <cell r="N42">
            <v>0</v>
          </cell>
        </row>
        <row r="43">
          <cell r="C43" t="str">
            <v>94-</v>
          </cell>
          <cell r="E43">
            <v>0</v>
          </cell>
          <cell r="G43">
            <v>0</v>
          </cell>
          <cell r="H43">
            <v>0</v>
          </cell>
          <cell r="I43">
            <v>0</v>
          </cell>
          <cell r="K43">
            <v>0</v>
          </cell>
          <cell r="N43">
            <v>0</v>
          </cell>
        </row>
        <row r="44">
          <cell r="C44" t="str">
            <v>94-</v>
          </cell>
          <cell r="E44">
            <v>0</v>
          </cell>
          <cell r="G44">
            <v>0</v>
          </cell>
          <cell r="H44">
            <v>0</v>
          </cell>
          <cell r="I44">
            <v>0</v>
          </cell>
          <cell r="K44">
            <v>0</v>
          </cell>
          <cell r="N44">
            <v>0</v>
          </cell>
        </row>
        <row r="45">
          <cell r="C45" t="str">
            <v>94-</v>
          </cell>
          <cell r="E45">
            <v>0</v>
          </cell>
          <cell r="G45">
            <v>0</v>
          </cell>
          <cell r="H45">
            <v>0</v>
          </cell>
          <cell r="I45">
            <v>0</v>
          </cell>
          <cell r="K45">
            <v>0</v>
          </cell>
          <cell r="N45">
            <v>0</v>
          </cell>
        </row>
        <row r="46">
          <cell r="C46" t="str">
            <v>94-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  <cell r="K46">
            <v>0</v>
          </cell>
          <cell r="N46">
            <v>0</v>
          </cell>
        </row>
        <row r="47">
          <cell r="C47" t="str">
            <v>Total-</v>
          </cell>
          <cell r="E47">
            <v>133053.01999999999</v>
          </cell>
          <cell r="F47">
            <v>0</v>
          </cell>
          <cell r="G47">
            <v>0</v>
          </cell>
          <cell r="H47">
            <v>1499.97</v>
          </cell>
          <cell r="I47">
            <v>399.99</v>
          </cell>
          <cell r="J47">
            <v>0</v>
          </cell>
          <cell r="K47">
            <v>134952.98000000001</v>
          </cell>
          <cell r="M47">
            <v>171000</v>
          </cell>
        </row>
        <row r="48">
          <cell r="C48" t="str">
            <v>-</v>
          </cell>
        </row>
        <row r="49">
          <cell r="C49" t="str">
            <v>-</v>
          </cell>
        </row>
        <row r="50">
          <cell r="C50" t="str">
            <v>-</v>
          </cell>
        </row>
        <row r="51">
          <cell r="C51" t="str">
            <v>-</v>
          </cell>
        </row>
        <row r="52">
          <cell r="C52" t="str">
            <v>Loja-Cod</v>
          </cell>
          <cell r="D52" t="str">
            <v>Vendedor</v>
          </cell>
          <cell r="E52" t="str">
            <v>PDV</v>
          </cell>
          <cell r="F52" t="str">
            <v>Não Presencial</v>
          </cell>
          <cell r="G52" t="str">
            <v>Social Selling</v>
          </cell>
          <cell r="H52" t="str">
            <v>Cupom</v>
          </cell>
          <cell r="I52" t="str">
            <v>Pick Up</v>
          </cell>
          <cell r="J52" t="str">
            <v>Shipping</v>
          </cell>
          <cell r="K52" t="str">
            <v>Total Vendas</v>
          </cell>
          <cell r="M52" t="str">
            <v>Meta Vend</v>
          </cell>
          <cell r="N52" t="str">
            <v>% Ating</v>
          </cell>
          <cell r="P52" t="str">
            <v>Meta Loja</v>
          </cell>
          <cell r="R52" t="str">
            <v>Comissão</v>
          </cell>
          <cell r="S52" t="str">
            <v>DSR</v>
          </cell>
          <cell r="T52" t="str">
            <v>Prêmio</v>
          </cell>
        </row>
        <row r="53">
          <cell r="C53" t="str">
            <v>95-59</v>
          </cell>
          <cell r="D53" t="str">
            <v xml:space="preserve">MARGARETH LEAL </v>
          </cell>
          <cell r="E53">
            <v>65751.53</v>
          </cell>
          <cell r="G53">
            <v>0</v>
          </cell>
          <cell r="H53">
            <v>549.99</v>
          </cell>
          <cell r="I53">
            <v>0</v>
          </cell>
          <cell r="K53">
            <v>66301.52</v>
          </cell>
          <cell r="M53">
            <v>68750</v>
          </cell>
          <cell r="N53">
            <v>0.96438574545454547</v>
          </cell>
          <cell r="P53">
            <v>250000</v>
          </cell>
          <cell r="R53">
            <v>2121.6486400000003</v>
          </cell>
          <cell r="S53">
            <v>530.41216000000009</v>
          </cell>
          <cell r="T53">
            <v>0</v>
          </cell>
        </row>
        <row r="54">
          <cell r="C54" t="str">
            <v>95-84</v>
          </cell>
          <cell r="D54" t="str">
            <v xml:space="preserve">GABRIEL A.FREDO JESUS DE PINHO </v>
          </cell>
          <cell r="E54">
            <v>326.98</v>
          </cell>
          <cell r="G54">
            <v>0</v>
          </cell>
          <cell r="H54">
            <v>0</v>
          </cell>
          <cell r="I54">
            <v>0</v>
          </cell>
          <cell r="K54">
            <v>326.98</v>
          </cell>
          <cell r="N54">
            <v>0</v>
          </cell>
          <cell r="R54">
            <v>0</v>
          </cell>
          <cell r="S54">
            <v>0</v>
          </cell>
          <cell r="T54">
            <v>0</v>
          </cell>
        </row>
        <row r="55">
          <cell r="C55" t="str">
            <v>95-85</v>
          </cell>
          <cell r="D55" t="str">
            <v>TIAGO WAGNER FRANCO</v>
          </cell>
          <cell r="E55">
            <v>50344.27</v>
          </cell>
          <cell r="G55">
            <v>0</v>
          </cell>
          <cell r="H55">
            <v>0</v>
          </cell>
          <cell r="I55">
            <v>0</v>
          </cell>
          <cell r="K55">
            <v>50344.27</v>
          </cell>
          <cell r="M55">
            <v>68750</v>
          </cell>
          <cell r="N55">
            <v>0.73228029090909086</v>
          </cell>
          <cell r="R55">
            <v>1611.0166399999998</v>
          </cell>
          <cell r="S55">
            <v>402.75415999999996</v>
          </cell>
          <cell r="T55">
            <v>0</v>
          </cell>
        </row>
        <row r="56">
          <cell r="C56" t="str">
            <v>95-88</v>
          </cell>
          <cell r="D56" t="str">
            <v>BRUNO SILVA CAPELLI</v>
          </cell>
          <cell r="E56">
            <v>53224.79</v>
          </cell>
          <cell r="G56">
            <v>0</v>
          </cell>
          <cell r="H56">
            <v>0</v>
          </cell>
          <cell r="I56">
            <v>0</v>
          </cell>
          <cell r="K56">
            <v>53224.79</v>
          </cell>
          <cell r="M56">
            <v>68750</v>
          </cell>
          <cell r="N56">
            <v>0.77417876363636362</v>
          </cell>
          <cell r="R56">
            <v>1703.19328</v>
          </cell>
          <cell r="S56">
            <v>425.79831999999999</v>
          </cell>
          <cell r="T56">
            <v>0</v>
          </cell>
        </row>
        <row r="57">
          <cell r="C57" t="str">
            <v>95-56</v>
          </cell>
          <cell r="D57" t="str">
            <v>00056 - CAIO VIEIRA BARBOSA</v>
          </cell>
          <cell r="E57">
            <v>78591.429999999993</v>
          </cell>
          <cell r="G57">
            <v>0</v>
          </cell>
          <cell r="H57">
            <v>649.99</v>
          </cell>
          <cell r="I57">
            <v>899.97</v>
          </cell>
          <cell r="K57">
            <v>80141.39</v>
          </cell>
          <cell r="M57">
            <v>68750</v>
          </cell>
          <cell r="N57">
            <v>1.1656929454545455</v>
          </cell>
          <cell r="R57">
            <v>2564.52448</v>
          </cell>
          <cell r="S57">
            <v>641.13112000000001</v>
          </cell>
          <cell r="T57">
            <v>400.70695000000001</v>
          </cell>
        </row>
        <row r="58">
          <cell r="C58" t="str">
            <v>95-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  <cell r="K58">
            <v>0</v>
          </cell>
          <cell r="N58">
            <v>0</v>
          </cell>
          <cell r="R58">
            <v>8000.3830400000006</v>
          </cell>
          <cell r="S58">
            <v>2000.0957600000002</v>
          </cell>
          <cell r="T58">
            <v>400.70695000000001</v>
          </cell>
        </row>
        <row r="59">
          <cell r="C59" t="str">
            <v>95-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  <cell r="K59">
            <v>0</v>
          </cell>
          <cell r="N59">
            <v>0</v>
          </cell>
        </row>
        <row r="60">
          <cell r="C60" t="str">
            <v>95-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  <cell r="K60">
            <v>0</v>
          </cell>
          <cell r="N60">
            <v>0</v>
          </cell>
        </row>
        <row r="61">
          <cell r="C61" t="str">
            <v>95-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  <cell r="K61">
            <v>0</v>
          </cell>
          <cell r="N61">
            <v>0</v>
          </cell>
        </row>
        <row r="62">
          <cell r="C62" t="str">
            <v>95-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  <cell r="K62">
            <v>0</v>
          </cell>
          <cell r="N62">
            <v>0</v>
          </cell>
        </row>
        <row r="63">
          <cell r="C63" t="str">
            <v>95-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  <cell r="K63">
            <v>0</v>
          </cell>
          <cell r="N63">
            <v>0</v>
          </cell>
        </row>
        <row r="64">
          <cell r="C64" t="str">
            <v>Total-</v>
          </cell>
          <cell r="E64">
            <v>248239</v>
          </cell>
          <cell r="F64">
            <v>0</v>
          </cell>
          <cell r="G64">
            <v>0</v>
          </cell>
          <cell r="H64">
            <v>1199.98</v>
          </cell>
          <cell r="I64">
            <v>899.97</v>
          </cell>
          <cell r="J64">
            <v>0</v>
          </cell>
          <cell r="K64">
            <v>250338.95</v>
          </cell>
          <cell r="M64">
            <v>275000</v>
          </cell>
        </row>
        <row r="65">
          <cell r="C65" t="str">
            <v>-</v>
          </cell>
        </row>
        <row r="66">
          <cell r="C66" t="str">
            <v>-</v>
          </cell>
        </row>
        <row r="67">
          <cell r="C67" t="str">
            <v>-</v>
          </cell>
        </row>
        <row r="68">
          <cell r="C68" t="str">
            <v>Loja-Cod</v>
          </cell>
          <cell r="D68" t="str">
            <v>Vendedor</v>
          </cell>
          <cell r="E68" t="str">
            <v>PDV</v>
          </cell>
          <cell r="F68" t="str">
            <v>Não Presencial</v>
          </cell>
          <cell r="G68" t="str">
            <v>Social Selling</v>
          </cell>
          <cell r="H68" t="str">
            <v>Cupom</v>
          </cell>
          <cell r="I68" t="str">
            <v>Pick Up</v>
          </cell>
          <cell r="J68" t="str">
            <v>Shipping</v>
          </cell>
          <cell r="K68" t="str">
            <v>Total Vendas</v>
          </cell>
          <cell r="M68" t="str">
            <v>Meta Vend</v>
          </cell>
          <cell r="N68" t="str">
            <v>% Ating</v>
          </cell>
          <cell r="P68" t="str">
            <v>Meta Loja</v>
          </cell>
          <cell r="R68" t="str">
            <v>Comissão</v>
          </cell>
          <cell r="S68" t="str">
            <v>DSR</v>
          </cell>
          <cell r="T68" t="str">
            <v>Prêmio</v>
          </cell>
        </row>
        <row r="69">
          <cell r="C69" t="str">
            <v>103-185</v>
          </cell>
          <cell r="D69" t="str">
            <v>ANDRE FERNANDO OZUNA</v>
          </cell>
          <cell r="E69">
            <v>63276.85</v>
          </cell>
          <cell r="G69">
            <v>0</v>
          </cell>
          <cell r="H69">
            <v>2479.9700000000003</v>
          </cell>
          <cell r="I69">
            <v>0</v>
          </cell>
          <cell r="K69">
            <v>65756.819999999992</v>
          </cell>
          <cell r="M69">
            <v>64900</v>
          </cell>
          <cell r="N69">
            <v>1.0132021571648688</v>
          </cell>
          <cell r="P69">
            <v>295000</v>
          </cell>
          <cell r="R69">
            <v>2104.2182399999997</v>
          </cell>
          <cell r="S69">
            <v>526.05455999999992</v>
          </cell>
          <cell r="T69">
            <v>328.78409999999997</v>
          </cell>
        </row>
        <row r="70">
          <cell r="C70" t="str">
            <v>103-187</v>
          </cell>
          <cell r="D70" t="str">
            <v xml:space="preserve">MARCELO FERNANDES DE SOUZA </v>
          </cell>
          <cell r="E70">
            <v>65459.61</v>
          </cell>
          <cell r="G70">
            <v>0</v>
          </cell>
          <cell r="H70">
            <v>0</v>
          </cell>
          <cell r="I70">
            <v>0</v>
          </cell>
          <cell r="K70">
            <v>65459.61</v>
          </cell>
          <cell r="M70">
            <v>64900</v>
          </cell>
          <cell r="N70">
            <v>1.0086226502311249</v>
          </cell>
          <cell r="R70">
            <v>2094.7075199999999</v>
          </cell>
          <cell r="S70">
            <v>523.67687999999998</v>
          </cell>
          <cell r="T70">
            <v>327.29804999999999</v>
          </cell>
        </row>
        <row r="71">
          <cell r="C71" t="str">
            <v>103-193</v>
          </cell>
          <cell r="D71" t="str">
            <v>00193 - BRUNA DIAS RAMOS</v>
          </cell>
          <cell r="E71">
            <v>63400.71</v>
          </cell>
          <cell r="G71">
            <v>0</v>
          </cell>
          <cell r="H71">
            <v>999.99</v>
          </cell>
          <cell r="I71">
            <v>3139.9300000000003</v>
          </cell>
          <cell r="K71">
            <v>67540.63</v>
          </cell>
          <cell r="M71">
            <v>64900</v>
          </cell>
          <cell r="N71">
            <v>1.0406876733436057</v>
          </cell>
          <cell r="R71">
            <v>2161.3001600000002</v>
          </cell>
          <cell r="S71">
            <v>540.32504000000006</v>
          </cell>
          <cell r="T71">
            <v>337.70315000000005</v>
          </cell>
        </row>
        <row r="72">
          <cell r="C72" t="str">
            <v>103-194</v>
          </cell>
          <cell r="D72" t="str">
            <v>00194 - NICOLE MARIA FAZIO</v>
          </cell>
          <cell r="E72">
            <v>67736.149999999994</v>
          </cell>
          <cell r="G72">
            <v>0</v>
          </cell>
          <cell r="H72">
            <v>1159.97</v>
          </cell>
          <cell r="I72">
            <v>0</v>
          </cell>
          <cell r="K72">
            <v>68896.12</v>
          </cell>
          <cell r="M72">
            <v>64900</v>
          </cell>
          <cell r="N72">
            <v>1.0615734976887519</v>
          </cell>
          <cell r="R72">
            <v>2204.6758399999999</v>
          </cell>
          <cell r="S72">
            <v>551.16895999999997</v>
          </cell>
          <cell r="T72">
            <v>344.48059999999998</v>
          </cell>
        </row>
        <row r="73">
          <cell r="C73" t="str">
            <v>103-199</v>
          </cell>
          <cell r="D73" t="str">
            <v xml:space="preserve">00199 - MARLON MIRANDA DE OLIVEIRA </v>
          </cell>
          <cell r="E73">
            <v>4386.45</v>
          </cell>
          <cell r="G73">
            <v>0</v>
          </cell>
          <cell r="H73">
            <v>0</v>
          </cell>
          <cell r="I73">
            <v>0</v>
          </cell>
          <cell r="K73">
            <v>4386.45</v>
          </cell>
          <cell r="N73">
            <v>0</v>
          </cell>
          <cell r="R73">
            <v>0</v>
          </cell>
          <cell r="S73">
            <v>0</v>
          </cell>
          <cell r="T73">
            <v>0</v>
          </cell>
        </row>
        <row r="74">
          <cell r="C74" t="str">
            <v>103-202</v>
          </cell>
          <cell r="D74" t="str">
            <v>RONALDO PINHEIRO DE OLIVEIRA</v>
          </cell>
          <cell r="E74">
            <v>66083.289999999994</v>
          </cell>
          <cell r="G74">
            <v>0</v>
          </cell>
          <cell r="H74">
            <v>0</v>
          </cell>
          <cell r="I74">
            <v>0</v>
          </cell>
          <cell r="K74">
            <v>66083.289999999994</v>
          </cell>
          <cell r="M74">
            <v>64900</v>
          </cell>
          <cell r="N74">
            <v>1.0182325115562403</v>
          </cell>
          <cell r="R74">
            <v>2114.6652799999997</v>
          </cell>
          <cell r="S74">
            <v>528.66631999999993</v>
          </cell>
          <cell r="T74">
            <v>330.41645</v>
          </cell>
        </row>
        <row r="75">
          <cell r="C75" t="str">
            <v>103-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  <cell r="K75">
            <v>0</v>
          </cell>
          <cell r="N75">
            <v>0</v>
          </cell>
          <cell r="R75">
            <v>10679.56704</v>
          </cell>
          <cell r="S75">
            <v>2669.89176</v>
          </cell>
          <cell r="T75">
            <v>1668.6823499999998</v>
          </cell>
        </row>
        <row r="76">
          <cell r="C76" t="str">
            <v>103-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  <cell r="K76">
            <v>0</v>
          </cell>
          <cell r="N76">
            <v>0</v>
          </cell>
        </row>
        <row r="77">
          <cell r="C77" t="str">
            <v>103-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  <cell r="K77">
            <v>0</v>
          </cell>
          <cell r="N77">
            <v>0</v>
          </cell>
        </row>
        <row r="78">
          <cell r="C78" t="str">
            <v>103-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  <cell r="K78">
            <v>0</v>
          </cell>
          <cell r="N78">
            <v>0</v>
          </cell>
        </row>
        <row r="79">
          <cell r="C79" t="str">
            <v>103-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  <cell r="K79">
            <v>0</v>
          </cell>
          <cell r="N79">
            <v>0</v>
          </cell>
        </row>
        <row r="80">
          <cell r="C80" t="str">
            <v>Total-</v>
          </cell>
          <cell r="E80">
            <v>330343.05999999994</v>
          </cell>
          <cell r="F80">
            <v>0</v>
          </cell>
          <cell r="G80">
            <v>0</v>
          </cell>
          <cell r="H80">
            <v>4639.93</v>
          </cell>
          <cell r="I80">
            <v>3139.9300000000003</v>
          </cell>
          <cell r="J80">
            <v>0</v>
          </cell>
          <cell r="K80">
            <v>338122.92</v>
          </cell>
          <cell r="M80">
            <v>324500</v>
          </cell>
        </row>
        <row r="81">
          <cell r="C81" t="str">
            <v>-</v>
          </cell>
        </row>
        <row r="82">
          <cell r="C82" t="str">
            <v>-</v>
          </cell>
        </row>
        <row r="83">
          <cell r="C83" t="str">
            <v>-</v>
          </cell>
        </row>
        <row r="84">
          <cell r="C84" t="str">
            <v>-</v>
          </cell>
        </row>
        <row r="85">
          <cell r="C85" t="str">
            <v>Loja-Cod</v>
          </cell>
          <cell r="D85" t="str">
            <v>Vendedor</v>
          </cell>
          <cell r="E85" t="str">
            <v>PDV</v>
          </cell>
          <cell r="F85" t="str">
            <v>Não Presencial</v>
          </cell>
          <cell r="G85" t="str">
            <v>Social Selling</v>
          </cell>
          <cell r="H85" t="str">
            <v>Cupom</v>
          </cell>
          <cell r="I85" t="str">
            <v>Pick Up</v>
          </cell>
          <cell r="J85" t="str">
            <v>Shipping</v>
          </cell>
          <cell r="K85" t="str">
            <v>Total Vendas</v>
          </cell>
          <cell r="M85" t="str">
            <v>Meta Vend</v>
          </cell>
          <cell r="N85" t="str">
            <v>% Ating</v>
          </cell>
          <cell r="P85" t="str">
            <v>Meta Loja</v>
          </cell>
          <cell r="R85" t="str">
            <v>Comissão</v>
          </cell>
          <cell r="S85" t="str">
            <v>DSR</v>
          </cell>
          <cell r="T85" t="str">
            <v>Prêmio</v>
          </cell>
        </row>
        <row r="86">
          <cell r="C86" t="str">
            <v>104-33</v>
          </cell>
          <cell r="D86" t="str">
            <v>JEFFERSON GONCALVES DA SILVA</v>
          </cell>
          <cell r="E86">
            <v>102893.42</v>
          </cell>
          <cell r="G86">
            <v>0</v>
          </cell>
          <cell r="H86">
            <v>0</v>
          </cell>
          <cell r="I86">
            <v>0</v>
          </cell>
          <cell r="K86">
            <v>102893.42</v>
          </cell>
          <cell r="M86">
            <v>102667</v>
          </cell>
          <cell r="N86">
            <v>1.002205382450057</v>
          </cell>
          <cell r="P86">
            <v>280000</v>
          </cell>
          <cell r="R86">
            <v>2057.8683999999998</v>
          </cell>
          <cell r="S86">
            <v>514.46709999999996</v>
          </cell>
          <cell r="T86">
            <v>513.33500000000004</v>
          </cell>
        </row>
        <row r="87">
          <cell r="C87" t="str">
            <v>104-41</v>
          </cell>
          <cell r="D87" t="str">
            <v>ROMEU PITER VERAS DOS SANTOS</v>
          </cell>
          <cell r="E87">
            <v>102772.57</v>
          </cell>
          <cell r="G87">
            <v>0</v>
          </cell>
          <cell r="H87">
            <v>0</v>
          </cell>
          <cell r="I87">
            <v>0</v>
          </cell>
          <cell r="K87">
            <v>102772.57</v>
          </cell>
          <cell r="M87">
            <v>102667</v>
          </cell>
          <cell r="N87">
            <v>1.0010282758822213</v>
          </cell>
          <cell r="R87">
            <v>2055.4514000000004</v>
          </cell>
          <cell r="S87">
            <v>513.86285000000009</v>
          </cell>
          <cell r="T87">
            <v>513.33500000000004</v>
          </cell>
        </row>
        <row r="88">
          <cell r="C88" t="str">
            <v>104-49</v>
          </cell>
          <cell r="D88" t="str">
            <v>FRANCIANE DOS SANTOS MEDEIROS</v>
          </cell>
          <cell r="E88">
            <v>172.78</v>
          </cell>
          <cell r="G88">
            <v>0</v>
          </cell>
          <cell r="H88">
            <v>0</v>
          </cell>
          <cell r="I88">
            <v>0</v>
          </cell>
          <cell r="K88">
            <v>172.78</v>
          </cell>
          <cell r="N88">
            <v>0</v>
          </cell>
          <cell r="R88">
            <v>0</v>
          </cell>
          <cell r="S88">
            <v>0</v>
          </cell>
          <cell r="T88">
            <v>0</v>
          </cell>
        </row>
        <row r="89">
          <cell r="C89" t="str">
            <v>104-53</v>
          </cell>
          <cell r="D89" t="str">
            <v>PATRINY LORRANNA DOS SANTOS MOTA</v>
          </cell>
          <cell r="E89">
            <v>62540.81</v>
          </cell>
          <cell r="G89">
            <v>0</v>
          </cell>
          <cell r="H89">
            <v>0</v>
          </cell>
          <cell r="I89">
            <v>349.99</v>
          </cell>
          <cell r="K89">
            <v>62890.799999999996</v>
          </cell>
          <cell r="M89">
            <v>102667</v>
          </cell>
          <cell r="N89">
            <v>0.6125707384066934</v>
          </cell>
          <cell r="R89">
            <v>1257.816</v>
          </cell>
          <cell r="S89">
            <v>314.45400000000001</v>
          </cell>
          <cell r="T89">
            <v>0</v>
          </cell>
        </row>
        <row r="90">
          <cell r="C90" t="str">
            <v>104-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  <cell r="K90">
            <v>0</v>
          </cell>
          <cell r="N90">
            <v>0</v>
          </cell>
          <cell r="R90">
            <v>5371.1358</v>
          </cell>
          <cell r="S90">
            <v>1342.78395</v>
          </cell>
          <cell r="T90">
            <v>1026.67</v>
          </cell>
        </row>
        <row r="91">
          <cell r="C91" t="str">
            <v>104-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  <cell r="K91">
            <v>0</v>
          </cell>
          <cell r="N91">
            <v>0</v>
          </cell>
        </row>
        <row r="92">
          <cell r="C92" t="str">
            <v>104-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  <cell r="K92">
            <v>0</v>
          </cell>
          <cell r="N92">
            <v>0</v>
          </cell>
        </row>
        <row r="93">
          <cell r="C93" t="str">
            <v>104-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  <cell r="K93">
            <v>0</v>
          </cell>
          <cell r="N93">
            <v>0</v>
          </cell>
        </row>
        <row r="94">
          <cell r="C94" t="str">
            <v>104-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  <cell r="K94">
            <v>0</v>
          </cell>
          <cell r="N94">
            <v>0</v>
          </cell>
        </row>
        <row r="95">
          <cell r="C95" t="str">
            <v>104-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  <cell r="K95">
            <v>0</v>
          </cell>
          <cell r="N95">
            <v>0</v>
          </cell>
        </row>
        <row r="96">
          <cell r="C96" t="str">
            <v>104-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  <cell r="K96">
            <v>0</v>
          </cell>
          <cell r="N96">
            <v>0</v>
          </cell>
        </row>
        <row r="97">
          <cell r="C97" t="str">
            <v>Total-</v>
          </cell>
          <cell r="E97">
            <v>268379.57999999996</v>
          </cell>
          <cell r="F97">
            <v>0</v>
          </cell>
          <cell r="G97">
            <v>0</v>
          </cell>
          <cell r="H97">
            <v>0</v>
          </cell>
          <cell r="I97">
            <v>349.99</v>
          </cell>
          <cell r="J97">
            <v>0</v>
          </cell>
          <cell r="K97">
            <v>268729.57</v>
          </cell>
          <cell r="M97">
            <v>308001</v>
          </cell>
        </row>
        <row r="98">
          <cell r="C98" t="str">
            <v>-</v>
          </cell>
        </row>
        <row r="99">
          <cell r="C99" t="str">
            <v>-</v>
          </cell>
        </row>
        <row r="100">
          <cell r="C100" t="str">
            <v>-</v>
          </cell>
        </row>
        <row r="101">
          <cell r="C101" t="str">
            <v>-</v>
          </cell>
        </row>
        <row r="102">
          <cell r="C102" t="str">
            <v>Loja-Cod</v>
          </cell>
          <cell r="D102" t="str">
            <v>Vendedor</v>
          </cell>
          <cell r="E102" t="str">
            <v>PDV</v>
          </cell>
          <cell r="F102" t="str">
            <v>Não Presencial</v>
          </cell>
          <cell r="G102" t="str">
            <v>Social Selling</v>
          </cell>
          <cell r="H102" t="str">
            <v>Cupom</v>
          </cell>
          <cell r="I102" t="str">
            <v>Pick Up</v>
          </cell>
          <cell r="J102" t="str">
            <v>Shipping</v>
          </cell>
          <cell r="K102" t="str">
            <v>Total Vendas</v>
          </cell>
          <cell r="M102" t="str">
            <v>Meta Vend</v>
          </cell>
          <cell r="N102" t="str">
            <v>% Ating</v>
          </cell>
          <cell r="P102" t="str">
            <v>Meta Loja</v>
          </cell>
          <cell r="R102" t="str">
            <v>Comissão</v>
          </cell>
          <cell r="S102" t="str">
            <v>DSR</v>
          </cell>
          <cell r="T102" t="str">
            <v>Prêmio</v>
          </cell>
        </row>
        <row r="103">
          <cell r="C103" t="str">
            <v>105-61</v>
          </cell>
          <cell r="D103" t="str">
            <v>LUCIANO DA MOTA GONCALVES</v>
          </cell>
          <cell r="E103">
            <v>2183.92</v>
          </cell>
          <cell r="G103">
            <v>0</v>
          </cell>
          <cell r="H103">
            <v>0</v>
          </cell>
          <cell r="I103">
            <v>0</v>
          </cell>
          <cell r="K103">
            <v>2183.92</v>
          </cell>
          <cell r="N103">
            <v>0</v>
          </cell>
          <cell r="P103">
            <v>400000</v>
          </cell>
          <cell r="R103">
            <v>0</v>
          </cell>
          <cell r="S103">
            <v>0</v>
          </cell>
          <cell r="T103">
            <v>0</v>
          </cell>
        </row>
        <row r="104">
          <cell r="C104" t="str">
            <v>105-68</v>
          </cell>
          <cell r="D104" t="str">
            <v>CLAUCIO PITTHAN BERGHAHN</v>
          </cell>
          <cell r="E104">
            <v>2399.88</v>
          </cell>
          <cell r="G104">
            <v>0</v>
          </cell>
          <cell r="H104">
            <v>0</v>
          </cell>
          <cell r="I104">
            <v>0</v>
          </cell>
          <cell r="K104">
            <v>2399.88</v>
          </cell>
          <cell r="N104">
            <v>0</v>
          </cell>
          <cell r="R104">
            <v>67.196640000000002</v>
          </cell>
          <cell r="S104">
            <v>16.799160000000001</v>
          </cell>
          <cell r="T104">
            <v>0</v>
          </cell>
        </row>
        <row r="105">
          <cell r="C105" t="str">
            <v>105-84</v>
          </cell>
          <cell r="D105" t="str">
            <v>MARCIEL FISCHBORN FERNANDES</v>
          </cell>
          <cell r="E105">
            <v>104195.79</v>
          </cell>
          <cell r="G105">
            <v>0</v>
          </cell>
          <cell r="H105">
            <v>0</v>
          </cell>
          <cell r="I105">
            <v>0</v>
          </cell>
          <cell r="K105">
            <v>104195.79</v>
          </cell>
          <cell r="M105">
            <v>88000</v>
          </cell>
          <cell r="N105">
            <v>1.1840430681818181</v>
          </cell>
          <cell r="R105">
            <v>2917.4821199999997</v>
          </cell>
          <cell r="S105">
            <v>729.37052999999992</v>
          </cell>
          <cell r="T105">
            <v>520.97894999999994</v>
          </cell>
        </row>
        <row r="106">
          <cell r="C106" t="str">
            <v>105-85</v>
          </cell>
          <cell r="D106" t="str">
            <v>00085 - ROGER PASSAIA</v>
          </cell>
          <cell r="E106">
            <v>36788.379999999997</v>
          </cell>
          <cell r="G106">
            <v>0</v>
          </cell>
          <cell r="H106">
            <v>0</v>
          </cell>
          <cell r="I106">
            <v>0</v>
          </cell>
          <cell r="K106">
            <v>36788.379999999997</v>
          </cell>
          <cell r="M106">
            <v>88000</v>
          </cell>
          <cell r="N106">
            <v>0.41804977272727267</v>
          </cell>
          <cell r="R106">
            <v>1030.0746399999998</v>
          </cell>
          <cell r="S106">
            <v>257.51865999999995</v>
          </cell>
          <cell r="T106">
            <v>0</v>
          </cell>
        </row>
        <row r="107">
          <cell r="C107" t="str">
            <v>105-93</v>
          </cell>
          <cell r="D107" t="str">
            <v>AMANDA LORENA VEIGA RODRIGUES DA SILVA</v>
          </cell>
          <cell r="E107">
            <v>65882.53</v>
          </cell>
          <cell r="G107">
            <v>0</v>
          </cell>
          <cell r="H107">
            <v>0</v>
          </cell>
          <cell r="I107">
            <v>0</v>
          </cell>
          <cell r="K107">
            <v>65882.53</v>
          </cell>
          <cell r="M107">
            <v>88000</v>
          </cell>
          <cell r="N107">
            <v>0.74866511363636368</v>
          </cell>
          <cell r="R107">
            <v>1844.7108399999997</v>
          </cell>
          <cell r="S107">
            <v>461.17770999999993</v>
          </cell>
          <cell r="T107">
            <v>0</v>
          </cell>
        </row>
        <row r="108">
          <cell r="C108" t="str">
            <v>105-95</v>
          </cell>
          <cell r="D108" t="str">
            <v>VICTOR GABRIEL ESTEFEN DE SOUZA</v>
          </cell>
          <cell r="E108">
            <v>99503.07</v>
          </cell>
          <cell r="G108">
            <v>0</v>
          </cell>
          <cell r="H108">
            <v>0</v>
          </cell>
          <cell r="I108">
            <v>0</v>
          </cell>
          <cell r="K108">
            <v>99503.07</v>
          </cell>
          <cell r="M108">
            <v>88000</v>
          </cell>
          <cell r="N108">
            <v>1.1307167045454547</v>
          </cell>
          <cell r="R108">
            <v>2786.0859599999999</v>
          </cell>
          <cell r="S108">
            <v>696.52148999999997</v>
          </cell>
          <cell r="T108">
            <v>497.51535000000007</v>
          </cell>
        </row>
        <row r="109">
          <cell r="C109" t="str">
            <v>105-103</v>
          </cell>
          <cell r="D109" t="str">
            <v>VITORIA APARECIDA DA SILVA</v>
          </cell>
          <cell r="E109">
            <v>29693.71</v>
          </cell>
          <cell r="G109">
            <v>0</v>
          </cell>
          <cell r="H109">
            <v>0</v>
          </cell>
          <cell r="I109">
            <v>0</v>
          </cell>
          <cell r="K109">
            <v>29693.71</v>
          </cell>
          <cell r="M109">
            <v>88000</v>
          </cell>
          <cell r="N109">
            <v>0.3374285227272727</v>
          </cell>
          <cell r="R109">
            <v>831.42387999999994</v>
          </cell>
          <cell r="S109">
            <v>207.85596999999999</v>
          </cell>
          <cell r="T109">
            <v>0</v>
          </cell>
        </row>
        <row r="110">
          <cell r="C110" t="str">
            <v>105-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  <cell r="K110">
            <v>0</v>
          </cell>
          <cell r="N110">
            <v>0</v>
          </cell>
          <cell r="R110">
            <v>9476.97408</v>
          </cell>
          <cell r="S110">
            <v>2369.24352</v>
          </cell>
          <cell r="T110">
            <v>1018.4943000000001</v>
          </cell>
        </row>
        <row r="111">
          <cell r="C111" t="str">
            <v>105-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  <cell r="K111">
            <v>0</v>
          </cell>
          <cell r="N111">
            <v>0</v>
          </cell>
        </row>
        <row r="112">
          <cell r="C112" t="str">
            <v>105-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  <cell r="K112">
            <v>0</v>
          </cell>
          <cell r="N112">
            <v>0</v>
          </cell>
        </row>
        <row r="113">
          <cell r="C113" t="str">
            <v>105-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  <cell r="K113">
            <v>0</v>
          </cell>
          <cell r="N113">
            <v>0</v>
          </cell>
        </row>
        <row r="114">
          <cell r="C114" t="str">
            <v>Total-</v>
          </cell>
          <cell r="E114">
            <v>340647.28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340647.28</v>
          </cell>
          <cell r="M114">
            <v>440000</v>
          </cell>
        </row>
        <row r="115">
          <cell r="C115" t="str">
            <v>-</v>
          </cell>
        </row>
        <row r="116">
          <cell r="C116" t="str">
            <v>-</v>
          </cell>
        </row>
        <row r="117">
          <cell r="C117" t="str">
            <v>-</v>
          </cell>
        </row>
        <row r="118">
          <cell r="C118" t="str">
            <v>-</v>
          </cell>
        </row>
        <row r="119">
          <cell r="C119" t="str">
            <v>Loja-Cod</v>
          </cell>
          <cell r="D119" t="str">
            <v>Vendedor</v>
          </cell>
          <cell r="E119" t="str">
            <v>PDV</v>
          </cell>
          <cell r="F119" t="str">
            <v>Não Presencial</v>
          </cell>
          <cell r="G119" t="str">
            <v>Social Selling</v>
          </cell>
          <cell r="H119" t="str">
            <v>Cupom</v>
          </cell>
          <cell r="I119" t="str">
            <v>Pick Up</v>
          </cell>
          <cell r="J119" t="str">
            <v>Shipping</v>
          </cell>
          <cell r="K119" t="str">
            <v>Total Vendas</v>
          </cell>
          <cell r="M119" t="str">
            <v>Meta Vend</v>
          </cell>
          <cell r="N119" t="str">
            <v>% Ating</v>
          </cell>
          <cell r="P119" t="str">
            <v>Meta Loja</v>
          </cell>
          <cell r="R119" t="str">
            <v>Comissão</v>
          </cell>
          <cell r="S119" t="str">
            <v>DSR</v>
          </cell>
          <cell r="T119" t="str">
            <v>Prêmio</v>
          </cell>
        </row>
        <row r="120">
          <cell r="C120" t="str">
            <v>116-143</v>
          </cell>
          <cell r="D120" t="str">
            <v>ALUISIO SANCHES MORAES</v>
          </cell>
          <cell r="E120">
            <v>0</v>
          </cell>
          <cell r="G120">
            <v>0</v>
          </cell>
          <cell r="H120">
            <v>0</v>
          </cell>
          <cell r="I120">
            <v>0</v>
          </cell>
          <cell r="K120">
            <v>0</v>
          </cell>
          <cell r="N120">
            <v>0</v>
          </cell>
          <cell r="P120">
            <v>450000</v>
          </cell>
          <cell r="R120">
            <v>0</v>
          </cell>
          <cell r="S120">
            <v>0</v>
          </cell>
          <cell r="T120">
            <v>0</v>
          </cell>
        </row>
        <row r="121">
          <cell r="C121" t="str">
            <v>116-144</v>
          </cell>
          <cell r="D121" t="str">
            <v>RAFAEL NOGUEIRA DE MORAES</v>
          </cell>
          <cell r="E121">
            <v>71332.320000000007</v>
          </cell>
          <cell r="G121">
            <v>0</v>
          </cell>
          <cell r="H121">
            <v>1179.97</v>
          </cell>
          <cell r="I121">
            <v>0</v>
          </cell>
          <cell r="K121">
            <v>72512.290000000008</v>
          </cell>
          <cell r="M121">
            <v>82500</v>
          </cell>
          <cell r="N121">
            <v>0.87893684848484854</v>
          </cell>
          <cell r="R121">
            <v>2320.3932800000002</v>
          </cell>
          <cell r="S121">
            <v>580.09832000000006</v>
          </cell>
          <cell r="T121">
            <v>0</v>
          </cell>
        </row>
        <row r="122">
          <cell r="C122" t="str">
            <v>116-148</v>
          </cell>
          <cell r="D122" t="str">
            <v>HUGO KENJI MIYAZAKI DIAS</v>
          </cell>
          <cell r="E122">
            <v>55055.32</v>
          </cell>
          <cell r="G122">
            <v>0</v>
          </cell>
          <cell r="H122">
            <v>1149.97</v>
          </cell>
          <cell r="I122">
            <v>0</v>
          </cell>
          <cell r="K122">
            <v>56205.29</v>
          </cell>
          <cell r="M122">
            <v>82500</v>
          </cell>
          <cell r="N122">
            <v>0.68127624242424245</v>
          </cell>
          <cell r="R122">
            <v>1798.5692800000002</v>
          </cell>
          <cell r="S122">
            <v>449.64232000000004</v>
          </cell>
          <cell r="T122">
            <v>0</v>
          </cell>
        </row>
        <row r="123">
          <cell r="C123" t="str">
            <v>116-164</v>
          </cell>
          <cell r="D123" t="str">
            <v>DANIELLE DA SILVA CONCEICAO</v>
          </cell>
          <cell r="E123">
            <v>46458.27</v>
          </cell>
          <cell r="G123">
            <v>0</v>
          </cell>
          <cell r="H123">
            <v>1329.98</v>
          </cell>
          <cell r="I123">
            <v>0</v>
          </cell>
          <cell r="K123">
            <v>47788.25</v>
          </cell>
          <cell r="M123">
            <v>82500</v>
          </cell>
          <cell r="N123">
            <v>0.57925151515151518</v>
          </cell>
          <cell r="R123">
            <v>1529.2239999999999</v>
          </cell>
          <cell r="S123">
            <v>382.30599999999998</v>
          </cell>
          <cell r="T123">
            <v>0</v>
          </cell>
        </row>
        <row r="124">
          <cell r="C124" t="str">
            <v>116-169</v>
          </cell>
          <cell r="D124" t="str">
            <v>RENAN FERREIRA PIMENTEL</v>
          </cell>
          <cell r="E124">
            <v>58183.42</v>
          </cell>
          <cell r="G124">
            <v>0</v>
          </cell>
          <cell r="H124">
            <v>0</v>
          </cell>
          <cell r="I124">
            <v>599.99</v>
          </cell>
          <cell r="K124">
            <v>58783.409999999996</v>
          </cell>
          <cell r="M124">
            <v>82500</v>
          </cell>
          <cell r="N124">
            <v>0.71252618181818173</v>
          </cell>
          <cell r="R124">
            <v>1881.0691199999999</v>
          </cell>
          <cell r="S124">
            <v>470.26727999999997</v>
          </cell>
          <cell r="T124">
            <v>0</v>
          </cell>
        </row>
        <row r="125">
          <cell r="C125" t="str">
            <v>116-170</v>
          </cell>
          <cell r="D125" t="str">
            <v>00170 - MARIANA SOUZA RODRIGUES</v>
          </cell>
          <cell r="E125">
            <v>53063.13</v>
          </cell>
          <cell r="G125">
            <v>0</v>
          </cell>
          <cell r="H125">
            <v>1499.98</v>
          </cell>
          <cell r="I125">
            <v>0</v>
          </cell>
          <cell r="K125">
            <v>54563.11</v>
          </cell>
          <cell r="M125">
            <v>82500</v>
          </cell>
          <cell r="N125">
            <v>0.66137103030303035</v>
          </cell>
          <cell r="R125">
            <v>1746.0195200000001</v>
          </cell>
          <cell r="S125">
            <v>436.50488000000001</v>
          </cell>
          <cell r="T125">
            <v>0</v>
          </cell>
        </row>
        <row r="126">
          <cell r="C126" t="str">
            <v>116-175</v>
          </cell>
          <cell r="D126" t="str">
            <v xml:space="preserve">00175 - LUCAS ALVES </v>
          </cell>
          <cell r="E126">
            <v>70651.94</v>
          </cell>
          <cell r="G126">
            <v>0</v>
          </cell>
          <cell r="H126">
            <v>1799.97</v>
          </cell>
          <cell r="I126">
            <v>0</v>
          </cell>
          <cell r="K126">
            <v>72451.91</v>
          </cell>
          <cell r="M126">
            <v>82500</v>
          </cell>
          <cell r="N126">
            <v>0.87820496969696971</v>
          </cell>
          <cell r="R126">
            <v>2318.4611199999999</v>
          </cell>
          <cell r="S126">
            <v>579.61527999999998</v>
          </cell>
          <cell r="T126">
            <v>0</v>
          </cell>
        </row>
        <row r="127">
          <cell r="C127" t="str">
            <v>116-</v>
          </cell>
          <cell r="E127">
            <v>0</v>
          </cell>
          <cell r="G127">
            <v>0</v>
          </cell>
          <cell r="H127">
            <v>0</v>
          </cell>
          <cell r="I127">
            <v>0</v>
          </cell>
          <cell r="K127">
            <v>0</v>
          </cell>
          <cell r="N127">
            <v>0</v>
          </cell>
          <cell r="R127">
            <v>11593.73632</v>
          </cell>
          <cell r="S127">
            <v>2898.43408</v>
          </cell>
          <cell r="T127">
            <v>0</v>
          </cell>
        </row>
        <row r="128">
          <cell r="C128" t="str">
            <v>116-</v>
          </cell>
          <cell r="E128">
            <v>0</v>
          </cell>
          <cell r="G128">
            <v>0</v>
          </cell>
          <cell r="H128">
            <v>0</v>
          </cell>
          <cell r="I128">
            <v>0</v>
          </cell>
          <cell r="K128">
            <v>0</v>
          </cell>
          <cell r="N128">
            <v>0</v>
          </cell>
        </row>
        <row r="129">
          <cell r="C129" t="str">
            <v>116-</v>
          </cell>
          <cell r="E129">
            <v>0</v>
          </cell>
          <cell r="G129">
            <v>0</v>
          </cell>
          <cell r="H129">
            <v>0</v>
          </cell>
          <cell r="I129">
            <v>0</v>
          </cell>
          <cell r="K129">
            <v>0</v>
          </cell>
          <cell r="N129">
            <v>0</v>
          </cell>
        </row>
        <row r="130">
          <cell r="C130" t="str">
            <v>116-</v>
          </cell>
          <cell r="E130">
            <v>0</v>
          </cell>
          <cell r="G130">
            <v>0</v>
          </cell>
          <cell r="H130">
            <v>0</v>
          </cell>
          <cell r="I130">
            <v>0</v>
          </cell>
          <cell r="K130">
            <v>0</v>
          </cell>
          <cell r="N130">
            <v>0</v>
          </cell>
        </row>
        <row r="131">
          <cell r="C131" t="str">
            <v>Total-</v>
          </cell>
          <cell r="E131">
            <v>354744.4</v>
          </cell>
          <cell r="F131">
            <v>0</v>
          </cell>
          <cell r="G131">
            <v>0</v>
          </cell>
          <cell r="H131">
            <v>6959.87</v>
          </cell>
          <cell r="I131">
            <v>599.99</v>
          </cell>
          <cell r="J131">
            <v>0</v>
          </cell>
          <cell r="K131">
            <v>362304.26</v>
          </cell>
          <cell r="M131">
            <v>495000</v>
          </cell>
        </row>
        <row r="132">
          <cell r="C132" t="str">
            <v>-</v>
          </cell>
        </row>
        <row r="133">
          <cell r="C133" t="str">
            <v>-</v>
          </cell>
        </row>
        <row r="134">
          <cell r="C134" t="str">
            <v>-</v>
          </cell>
        </row>
        <row r="135">
          <cell r="C135" t="str">
            <v>-</v>
          </cell>
        </row>
        <row r="136">
          <cell r="C136" t="str">
            <v>Loja-Cod</v>
          </cell>
          <cell r="D136" t="str">
            <v>Vendedor</v>
          </cell>
          <cell r="E136" t="str">
            <v>PDV</v>
          </cell>
          <cell r="F136" t="str">
            <v>Não Presencial</v>
          </cell>
          <cell r="G136" t="str">
            <v>Social Selling</v>
          </cell>
          <cell r="H136" t="str">
            <v>Cupom</v>
          </cell>
          <cell r="I136" t="str">
            <v>Pick Up</v>
          </cell>
          <cell r="J136" t="str">
            <v>Shipping</v>
          </cell>
          <cell r="K136" t="str">
            <v>Total Vendas</v>
          </cell>
          <cell r="M136" t="str">
            <v>Meta Vend</v>
          </cell>
          <cell r="N136" t="str">
            <v>% Ating</v>
          </cell>
          <cell r="P136" t="str">
            <v>Meta Loja</v>
          </cell>
          <cell r="R136" t="str">
            <v>Comissão</v>
          </cell>
          <cell r="S136" t="str">
            <v>DSR</v>
          </cell>
          <cell r="T136" t="str">
            <v>Prêmio</v>
          </cell>
        </row>
        <row r="137">
          <cell r="C137" t="str">
            <v>123-20</v>
          </cell>
          <cell r="D137" t="str">
            <v xml:space="preserve">GERENTE </v>
          </cell>
          <cell r="E137">
            <v>389.96</v>
          </cell>
          <cell r="G137">
            <v>0</v>
          </cell>
          <cell r="H137">
            <v>0</v>
          </cell>
          <cell r="I137">
            <v>0</v>
          </cell>
          <cell r="K137">
            <v>389.96</v>
          </cell>
          <cell r="N137">
            <v>0</v>
          </cell>
          <cell r="P137">
            <v>220000</v>
          </cell>
          <cell r="R137">
            <v>0</v>
          </cell>
          <cell r="S137">
            <v>0</v>
          </cell>
          <cell r="T137">
            <v>0</v>
          </cell>
        </row>
        <row r="138">
          <cell r="C138" t="str">
            <v>123-36</v>
          </cell>
          <cell r="D138" t="str">
            <v>UELDERMAN ALVES MIGUEZ COSTA</v>
          </cell>
          <cell r="E138">
            <v>49333.01</v>
          </cell>
          <cell r="G138">
            <v>0</v>
          </cell>
          <cell r="H138">
            <v>0</v>
          </cell>
          <cell r="I138">
            <v>0</v>
          </cell>
          <cell r="K138">
            <v>49333.01</v>
          </cell>
          <cell r="M138">
            <v>49000</v>
          </cell>
          <cell r="N138">
            <v>1.0067961224489796</v>
          </cell>
          <cell r="R138">
            <v>1874.6543799999999</v>
          </cell>
          <cell r="S138">
            <v>468.66359499999999</v>
          </cell>
          <cell r="T138">
            <v>246.66505000000001</v>
          </cell>
        </row>
        <row r="139">
          <cell r="C139" t="str">
            <v>123-58</v>
          </cell>
          <cell r="D139" t="str">
            <v>GABRIELA DUARTE DOS SANTOS</v>
          </cell>
          <cell r="E139">
            <v>42157.58</v>
          </cell>
          <cell r="G139">
            <v>0</v>
          </cell>
          <cell r="H139">
            <v>0</v>
          </cell>
          <cell r="I139">
            <v>0</v>
          </cell>
          <cell r="K139">
            <v>42157.58</v>
          </cell>
          <cell r="M139">
            <v>49000</v>
          </cell>
          <cell r="N139">
            <v>0.86035877551020412</v>
          </cell>
          <cell r="R139">
            <v>1475.5153000000003</v>
          </cell>
          <cell r="S139">
            <v>368.87882500000006</v>
          </cell>
          <cell r="T139">
            <v>0</v>
          </cell>
        </row>
        <row r="140">
          <cell r="C140" t="str">
            <v>123-69</v>
          </cell>
          <cell r="D140" t="str">
            <v>ISRAEL GUSTAVO DOS SANTOS GARCIA</v>
          </cell>
          <cell r="E140">
            <v>57673.26</v>
          </cell>
          <cell r="G140">
            <v>0</v>
          </cell>
          <cell r="H140">
            <v>0</v>
          </cell>
          <cell r="I140">
            <v>0</v>
          </cell>
          <cell r="K140">
            <v>57673.26</v>
          </cell>
          <cell r="M140">
            <v>49000</v>
          </cell>
          <cell r="N140">
            <v>1.177005306122449</v>
          </cell>
          <cell r="R140">
            <v>2364.6036599999998</v>
          </cell>
          <cell r="S140">
            <v>591.15091499999994</v>
          </cell>
          <cell r="T140">
            <v>288.36630000000002</v>
          </cell>
        </row>
        <row r="141">
          <cell r="C141" t="str">
            <v>123-70</v>
          </cell>
          <cell r="D141" t="str">
            <v>WEBERTON SOUZA DA SILVA</v>
          </cell>
          <cell r="E141">
            <v>53825.54</v>
          </cell>
          <cell r="G141">
            <v>0</v>
          </cell>
          <cell r="H141">
            <v>0</v>
          </cell>
          <cell r="I141">
            <v>0</v>
          </cell>
          <cell r="K141">
            <v>53825.54</v>
          </cell>
          <cell r="M141">
            <v>49000</v>
          </cell>
          <cell r="N141">
            <v>1.0984804081632653</v>
          </cell>
          <cell r="R141">
            <v>2045.3705199999999</v>
          </cell>
          <cell r="S141">
            <v>511.34262999999999</v>
          </cell>
          <cell r="T141">
            <v>269.1277</v>
          </cell>
        </row>
        <row r="142">
          <cell r="C142" t="str">
            <v>123-75</v>
          </cell>
          <cell r="D142" t="str">
            <v>JOAO PEDRO CINTRA BAHIA</v>
          </cell>
          <cell r="E142">
            <v>73508.850000000006</v>
          </cell>
          <cell r="G142">
            <v>0</v>
          </cell>
          <cell r="H142">
            <v>0</v>
          </cell>
          <cell r="I142">
            <v>0</v>
          </cell>
          <cell r="K142">
            <v>73508.850000000006</v>
          </cell>
          <cell r="M142">
            <v>49000</v>
          </cell>
          <cell r="N142">
            <v>1.5001806122448982</v>
          </cell>
          <cell r="R142">
            <v>3234.3894000000005</v>
          </cell>
          <cell r="S142">
            <v>808.59735000000012</v>
          </cell>
          <cell r="T142">
            <v>367.54425000000003</v>
          </cell>
        </row>
        <row r="143">
          <cell r="C143" t="str">
            <v>123-</v>
          </cell>
          <cell r="E143">
            <v>0</v>
          </cell>
          <cell r="G143">
            <v>0</v>
          </cell>
          <cell r="H143">
            <v>0</v>
          </cell>
          <cell r="I143">
            <v>0</v>
          </cell>
          <cell r="K143">
            <v>0</v>
          </cell>
          <cell r="N143">
            <v>0</v>
          </cell>
          <cell r="R143">
            <v>10994.53326</v>
          </cell>
          <cell r="S143">
            <v>2748.633315</v>
          </cell>
          <cell r="T143">
            <v>1171.7033000000001</v>
          </cell>
        </row>
        <row r="144">
          <cell r="C144" t="str">
            <v>123-</v>
          </cell>
          <cell r="E144">
            <v>0</v>
          </cell>
          <cell r="G144">
            <v>0</v>
          </cell>
          <cell r="H144">
            <v>0</v>
          </cell>
          <cell r="I144">
            <v>0</v>
          </cell>
          <cell r="K144">
            <v>0</v>
          </cell>
          <cell r="N144">
            <v>0</v>
          </cell>
        </row>
        <row r="145">
          <cell r="C145" t="str">
            <v>123-</v>
          </cell>
          <cell r="E145">
            <v>0</v>
          </cell>
          <cell r="G145">
            <v>0</v>
          </cell>
          <cell r="H145">
            <v>0</v>
          </cell>
          <cell r="I145">
            <v>0</v>
          </cell>
          <cell r="K145">
            <v>0</v>
          </cell>
          <cell r="N145">
            <v>0</v>
          </cell>
        </row>
        <row r="146">
          <cell r="C146" t="str">
            <v>123-</v>
          </cell>
          <cell r="E146">
            <v>0</v>
          </cell>
          <cell r="G146">
            <v>0</v>
          </cell>
          <cell r="H146">
            <v>0</v>
          </cell>
          <cell r="I146">
            <v>0</v>
          </cell>
          <cell r="K146">
            <v>0</v>
          </cell>
          <cell r="N146">
            <v>0</v>
          </cell>
        </row>
        <row r="147">
          <cell r="C147" t="str">
            <v>123-</v>
          </cell>
          <cell r="E147">
            <v>0</v>
          </cell>
          <cell r="G147">
            <v>0</v>
          </cell>
          <cell r="H147">
            <v>0</v>
          </cell>
          <cell r="I147">
            <v>0</v>
          </cell>
          <cell r="K147">
            <v>0</v>
          </cell>
          <cell r="N147">
            <v>0</v>
          </cell>
        </row>
        <row r="148">
          <cell r="C148" t="str">
            <v>Total-</v>
          </cell>
          <cell r="E148">
            <v>276888.2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276888.2</v>
          </cell>
          <cell r="M148">
            <v>245000</v>
          </cell>
        </row>
        <row r="149">
          <cell r="C149" t="str">
            <v>-</v>
          </cell>
        </row>
        <row r="150">
          <cell r="C150" t="str">
            <v>-</v>
          </cell>
        </row>
        <row r="151">
          <cell r="C151" t="str">
            <v>-</v>
          </cell>
        </row>
        <row r="152">
          <cell r="C152" t="str">
            <v>-</v>
          </cell>
        </row>
        <row r="153">
          <cell r="C153" t="str">
            <v>Loja-Cod</v>
          </cell>
          <cell r="D153" t="str">
            <v>Vendedor</v>
          </cell>
          <cell r="E153" t="str">
            <v>PDV</v>
          </cell>
          <cell r="F153" t="str">
            <v>Não Presencial</v>
          </cell>
          <cell r="G153" t="str">
            <v>Social Selling</v>
          </cell>
          <cell r="H153" t="str">
            <v>Cupom</v>
          </cell>
          <cell r="I153" t="str">
            <v>Pick Up</v>
          </cell>
          <cell r="J153" t="str">
            <v>Shipping</v>
          </cell>
          <cell r="K153" t="str">
            <v>Total Vendas</v>
          </cell>
          <cell r="M153" t="str">
            <v>Meta Vend</v>
          </cell>
          <cell r="N153" t="str">
            <v>% Ating</v>
          </cell>
          <cell r="P153" t="str">
            <v>Meta Loja</v>
          </cell>
          <cell r="R153" t="str">
            <v>Comissão</v>
          </cell>
          <cell r="S153" t="str">
            <v>DSR</v>
          </cell>
          <cell r="T153" t="str">
            <v>Prêmio</v>
          </cell>
        </row>
        <row r="154">
          <cell r="C154" t="str">
            <v>124-1</v>
          </cell>
          <cell r="D154" t="str">
            <v>LOJA</v>
          </cell>
          <cell r="E154">
            <v>4.5474735088649996E-13</v>
          </cell>
          <cell r="G154">
            <v>0</v>
          </cell>
          <cell r="H154">
            <v>0</v>
          </cell>
          <cell r="I154">
            <v>0</v>
          </cell>
          <cell r="K154">
            <v>4.5474735088649996E-13</v>
          </cell>
          <cell r="N154">
            <v>0</v>
          </cell>
          <cell r="P154">
            <v>190000</v>
          </cell>
          <cell r="R154">
            <v>0</v>
          </cell>
          <cell r="S154">
            <v>0</v>
          </cell>
          <cell r="T154">
            <v>0</v>
          </cell>
        </row>
        <row r="155">
          <cell r="C155" t="str">
            <v>124-2</v>
          </cell>
          <cell r="D155" t="str">
            <v>FLAVIANA DA SILVA</v>
          </cell>
          <cell r="E155">
            <v>81075.16</v>
          </cell>
          <cell r="G155">
            <v>0</v>
          </cell>
          <cell r="H155">
            <v>0</v>
          </cell>
          <cell r="I155">
            <v>0</v>
          </cell>
          <cell r="K155">
            <v>81075.16</v>
          </cell>
          <cell r="M155">
            <v>52500</v>
          </cell>
          <cell r="N155">
            <v>1.5442887619047621</v>
          </cell>
          <cell r="R155">
            <v>2594.4051200000004</v>
          </cell>
          <cell r="S155">
            <v>648.60128000000009</v>
          </cell>
          <cell r="T155">
            <v>405.37580000000003</v>
          </cell>
        </row>
        <row r="156">
          <cell r="C156" t="str">
            <v>124-39</v>
          </cell>
          <cell r="D156" t="str">
            <v>THIAGO DOS SANTOS BATISTA</v>
          </cell>
          <cell r="E156">
            <v>65851.91</v>
          </cell>
          <cell r="G156">
            <v>0</v>
          </cell>
          <cell r="H156">
            <v>0</v>
          </cell>
          <cell r="I156">
            <v>0</v>
          </cell>
          <cell r="K156">
            <v>65851.91</v>
          </cell>
          <cell r="M156">
            <v>52500</v>
          </cell>
          <cell r="N156">
            <v>1.2543220952380953</v>
          </cell>
          <cell r="R156">
            <v>2107.2611200000001</v>
          </cell>
          <cell r="S156">
            <v>526.81528000000003</v>
          </cell>
          <cell r="T156">
            <v>329.25955000000005</v>
          </cell>
        </row>
        <row r="157">
          <cell r="C157" t="str">
            <v>124-40</v>
          </cell>
          <cell r="D157" t="str">
            <v>THEOGENES CALLOU LIMA</v>
          </cell>
          <cell r="E157">
            <v>16173.42</v>
          </cell>
          <cell r="G157">
            <v>0</v>
          </cell>
          <cell r="H157">
            <v>0</v>
          </cell>
          <cell r="I157">
            <v>0</v>
          </cell>
          <cell r="K157">
            <v>16173.42</v>
          </cell>
          <cell r="M157">
            <v>52500</v>
          </cell>
          <cell r="N157">
            <v>0.30806514285714287</v>
          </cell>
          <cell r="R157">
            <v>517.54944</v>
          </cell>
          <cell r="S157">
            <v>129.38736</v>
          </cell>
          <cell r="T157">
            <v>0</v>
          </cell>
        </row>
        <row r="158">
          <cell r="C158" t="str">
            <v>124-49</v>
          </cell>
          <cell r="D158" t="str">
            <v>RAPHAEL SILVA VIEIRA DA LUZ</v>
          </cell>
          <cell r="E158">
            <v>57905.07</v>
          </cell>
          <cell r="G158">
            <v>0</v>
          </cell>
          <cell r="H158">
            <v>0</v>
          </cell>
          <cell r="I158">
            <v>0</v>
          </cell>
          <cell r="K158">
            <v>57905.07</v>
          </cell>
          <cell r="M158">
            <v>52500</v>
          </cell>
          <cell r="N158">
            <v>1.1029537142857142</v>
          </cell>
          <cell r="R158">
            <v>1852.9622400000001</v>
          </cell>
          <cell r="S158">
            <v>463.24056000000002</v>
          </cell>
          <cell r="T158">
            <v>289.52535</v>
          </cell>
        </row>
        <row r="159">
          <cell r="C159" t="str">
            <v>124-</v>
          </cell>
          <cell r="E159">
            <v>0</v>
          </cell>
          <cell r="G159">
            <v>0</v>
          </cell>
          <cell r="H159">
            <v>0</v>
          </cell>
          <cell r="I159">
            <v>0</v>
          </cell>
          <cell r="K159">
            <v>0</v>
          </cell>
          <cell r="N159">
            <v>0</v>
          </cell>
          <cell r="R159">
            <v>7072.1779200000001</v>
          </cell>
          <cell r="S159">
            <v>1768.04448</v>
          </cell>
          <cell r="T159">
            <v>1024.1606999999999</v>
          </cell>
        </row>
        <row r="160">
          <cell r="C160" t="str">
            <v>124-</v>
          </cell>
          <cell r="E160">
            <v>0</v>
          </cell>
          <cell r="G160">
            <v>0</v>
          </cell>
          <cell r="H160">
            <v>0</v>
          </cell>
          <cell r="I160">
            <v>0</v>
          </cell>
          <cell r="K160">
            <v>0</v>
          </cell>
          <cell r="N160">
            <v>0</v>
          </cell>
        </row>
        <row r="161">
          <cell r="C161" t="str">
            <v>124-</v>
          </cell>
          <cell r="E161">
            <v>0</v>
          </cell>
          <cell r="G161">
            <v>0</v>
          </cell>
          <cell r="H161">
            <v>0</v>
          </cell>
          <cell r="I161">
            <v>0</v>
          </cell>
          <cell r="K161">
            <v>0</v>
          </cell>
          <cell r="N161">
            <v>0</v>
          </cell>
        </row>
        <row r="162">
          <cell r="C162" t="str">
            <v>124-</v>
          </cell>
          <cell r="E162">
            <v>0</v>
          </cell>
          <cell r="G162">
            <v>0</v>
          </cell>
          <cell r="H162">
            <v>0</v>
          </cell>
          <cell r="I162">
            <v>0</v>
          </cell>
          <cell r="K162">
            <v>0</v>
          </cell>
          <cell r="N162">
            <v>0</v>
          </cell>
        </row>
        <row r="163">
          <cell r="C163" t="str">
            <v>124-</v>
          </cell>
          <cell r="E163">
            <v>0</v>
          </cell>
          <cell r="G163">
            <v>0</v>
          </cell>
          <cell r="H163">
            <v>0</v>
          </cell>
          <cell r="I163">
            <v>0</v>
          </cell>
          <cell r="K163">
            <v>0</v>
          </cell>
          <cell r="N163">
            <v>0</v>
          </cell>
        </row>
        <row r="164">
          <cell r="C164" t="str">
            <v>124-</v>
          </cell>
          <cell r="E164">
            <v>0</v>
          </cell>
          <cell r="G164">
            <v>0</v>
          </cell>
          <cell r="H164">
            <v>0</v>
          </cell>
          <cell r="I164">
            <v>0</v>
          </cell>
          <cell r="K164">
            <v>0</v>
          </cell>
          <cell r="N164">
            <v>0</v>
          </cell>
        </row>
        <row r="165">
          <cell r="C165" t="str">
            <v>Total-</v>
          </cell>
          <cell r="E165">
            <v>221005.56000000003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221005.56000000003</v>
          </cell>
          <cell r="M165">
            <v>210000</v>
          </cell>
        </row>
        <row r="166">
          <cell r="C166" t="str">
            <v>-</v>
          </cell>
        </row>
        <row r="167">
          <cell r="C167" t="str">
            <v>-</v>
          </cell>
        </row>
        <row r="168">
          <cell r="C168" t="str">
            <v>-</v>
          </cell>
        </row>
        <row r="169">
          <cell r="C169" t="str">
            <v>-</v>
          </cell>
        </row>
        <row r="170">
          <cell r="C170" t="str">
            <v>Loja-Cod</v>
          </cell>
          <cell r="D170" t="str">
            <v>Vendedor</v>
          </cell>
          <cell r="E170" t="str">
            <v>PDV</v>
          </cell>
          <cell r="F170" t="str">
            <v>Não Presencial</v>
          </cell>
          <cell r="G170" t="str">
            <v>Social Selling</v>
          </cell>
          <cell r="H170" t="str">
            <v>Cupom</v>
          </cell>
          <cell r="I170" t="str">
            <v>Pick Up</v>
          </cell>
          <cell r="J170" t="str">
            <v>Shipping</v>
          </cell>
          <cell r="K170" t="str">
            <v>Total Vendas</v>
          </cell>
          <cell r="M170" t="str">
            <v>Meta Vend</v>
          </cell>
          <cell r="N170" t="str">
            <v>% Ating</v>
          </cell>
          <cell r="P170" t="str">
            <v>Meta Loja</v>
          </cell>
          <cell r="R170" t="str">
            <v>Comissão</v>
          </cell>
          <cell r="S170" t="str">
            <v>DSR</v>
          </cell>
          <cell r="T170" t="str">
            <v>Prêmio</v>
          </cell>
        </row>
        <row r="171">
          <cell r="C171" t="str">
            <v>125-1</v>
          </cell>
          <cell r="D171" t="str">
            <v xml:space="preserve">LOJA </v>
          </cell>
          <cell r="E171">
            <v>995.96</v>
          </cell>
          <cell r="G171">
            <v>0</v>
          </cell>
          <cell r="H171">
            <v>0</v>
          </cell>
          <cell r="I171">
            <v>0</v>
          </cell>
          <cell r="K171">
            <v>995.96</v>
          </cell>
          <cell r="N171">
            <v>0</v>
          </cell>
          <cell r="P171">
            <v>190000</v>
          </cell>
          <cell r="R171">
            <v>0</v>
          </cell>
          <cell r="S171">
            <v>0</v>
          </cell>
          <cell r="T171">
            <v>0</v>
          </cell>
        </row>
        <row r="172">
          <cell r="C172" t="str">
            <v>125-28</v>
          </cell>
          <cell r="D172" t="str">
            <v>PAULO HERMINO RIBEIRO DE SOUZA</v>
          </cell>
          <cell r="E172">
            <v>53698.93</v>
          </cell>
          <cell r="G172">
            <v>0</v>
          </cell>
          <cell r="H172">
            <v>0</v>
          </cell>
          <cell r="I172">
            <v>0</v>
          </cell>
          <cell r="K172">
            <v>53698.93</v>
          </cell>
          <cell r="M172">
            <v>52500</v>
          </cell>
          <cell r="N172">
            <v>1.0228367619047618</v>
          </cell>
          <cell r="R172">
            <v>1503.5700399999998</v>
          </cell>
          <cell r="S172">
            <v>375.89250999999996</v>
          </cell>
          <cell r="T172">
            <v>268.49464999999998</v>
          </cell>
        </row>
        <row r="173">
          <cell r="C173" t="str">
            <v>125-54</v>
          </cell>
          <cell r="D173" t="str">
            <v>00054 - LUCAS PAZ PONTES</v>
          </cell>
          <cell r="E173">
            <v>45440.77</v>
          </cell>
          <cell r="G173">
            <v>0</v>
          </cell>
          <cell r="H173">
            <v>0</v>
          </cell>
          <cell r="I173">
            <v>0</v>
          </cell>
          <cell r="K173">
            <v>45440.77</v>
          </cell>
          <cell r="M173">
            <v>52500</v>
          </cell>
          <cell r="N173">
            <v>0.86553847619047608</v>
          </cell>
          <cell r="R173">
            <v>1272.3415599999998</v>
          </cell>
          <cell r="S173">
            <v>318.08538999999996</v>
          </cell>
          <cell r="T173">
            <v>0</v>
          </cell>
        </row>
        <row r="174">
          <cell r="C174" t="str">
            <v>125-55</v>
          </cell>
          <cell r="D174" t="str">
            <v>00055 - TIAGO ELOI FERNANDO</v>
          </cell>
          <cell r="E174">
            <v>61887.03</v>
          </cell>
          <cell r="G174">
            <v>0</v>
          </cell>
          <cell r="H174">
            <v>0</v>
          </cell>
          <cell r="I174">
            <v>0</v>
          </cell>
          <cell r="K174">
            <v>61887.03</v>
          </cell>
          <cell r="M174">
            <v>52500</v>
          </cell>
          <cell r="N174">
            <v>1.1788005714285714</v>
          </cell>
          <cell r="R174">
            <v>1732.8368399999997</v>
          </cell>
          <cell r="S174">
            <v>433.20920999999993</v>
          </cell>
          <cell r="T174">
            <v>309.43515000000002</v>
          </cell>
        </row>
        <row r="175">
          <cell r="C175" t="str">
            <v>125-58</v>
          </cell>
          <cell r="D175" t="str">
            <v>MAURICIO IBIAPINA SOARES NETO</v>
          </cell>
          <cell r="E175">
            <v>55154.25</v>
          </cell>
          <cell r="G175">
            <v>0</v>
          </cell>
          <cell r="H175">
            <v>0</v>
          </cell>
          <cell r="I175">
            <v>0</v>
          </cell>
          <cell r="K175">
            <v>55154.25</v>
          </cell>
          <cell r="M175">
            <v>52500</v>
          </cell>
          <cell r="N175">
            <v>1.050557142857143</v>
          </cell>
          <cell r="R175">
            <v>1544.3189999999997</v>
          </cell>
          <cell r="S175">
            <v>386.07974999999993</v>
          </cell>
          <cell r="T175">
            <v>275.77125000000001</v>
          </cell>
        </row>
        <row r="176">
          <cell r="C176" t="str">
            <v>125-</v>
          </cell>
          <cell r="E176">
            <v>0</v>
          </cell>
          <cell r="G176">
            <v>0</v>
          </cell>
          <cell r="H176">
            <v>0</v>
          </cell>
          <cell r="I176">
            <v>0</v>
          </cell>
          <cell r="K176">
            <v>0</v>
          </cell>
          <cell r="N176">
            <v>0</v>
          </cell>
          <cell r="R176">
            <v>6053.0674399999989</v>
          </cell>
          <cell r="S176">
            <v>1513.2668599999997</v>
          </cell>
          <cell r="T176">
            <v>853.70105000000001</v>
          </cell>
        </row>
        <row r="177">
          <cell r="C177" t="str">
            <v>125-</v>
          </cell>
          <cell r="E177">
            <v>0</v>
          </cell>
          <cell r="G177">
            <v>0</v>
          </cell>
          <cell r="H177">
            <v>0</v>
          </cell>
          <cell r="I177">
            <v>0</v>
          </cell>
          <cell r="K177">
            <v>0</v>
          </cell>
          <cell r="N177">
            <v>0</v>
          </cell>
        </row>
        <row r="178">
          <cell r="C178" t="str">
            <v>125-</v>
          </cell>
          <cell r="E178">
            <v>0</v>
          </cell>
          <cell r="G178">
            <v>0</v>
          </cell>
          <cell r="H178">
            <v>0</v>
          </cell>
          <cell r="I178">
            <v>0</v>
          </cell>
          <cell r="K178">
            <v>0</v>
          </cell>
          <cell r="N178">
            <v>0</v>
          </cell>
        </row>
        <row r="179">
          <cell r="C179" t="str">
            <v>125-</v>
          </cell>
          <cell r="E179">
            <v>0</v>
          </cell>
          <cell r="G179">
            <v>0</v>
          </cell>
          <cell r="H179">
            <v>0</v>
          </cell>
          <cell r="I179">
            <v>0</v>
          </cell>
          <cell r="K179">
            <v>0</v>
          </cell>
          <cell r="N179">
            <v>0</v>
          </cell>
        </row>
        <row r="180">
          <cell r="C180" t="str">
            <v>125-</v>
          </cell>
          <cell r="E180">
            <v>0</v>
          </cell>
          <cell r="G180">
            <v>0</v>
          </cell>
          <cell r="H180">
            <v>0</v>
          </cell>
          <cell r="I180">
            <v>0</v>
          </cell>
          <cell r="K180">
            <v>0</v>
          </cell>
          <cell r="N180">
            <v>0</v>
          </cell>
        </row>
        <row r="181">
          <cell r="C181" t="str">
            <v>125-</v>
          </cell>
          <cell r="E181">
            <v>0</v>
          </cell>
          <cell r="G181">
            <v>0</v>
          </cell>
          <cell r="H181">
            <v>0</v>
          </cell>
          <cell r="I181">
            <v>0</v>
          </cell>
          <cell r="K181">
            <v>0</v>
          </cell>
          <cell r="N181">
            <v>0</v>
          </cell>
        </row>
        <row r="182">
          <cell r="C182" t="str">
            <v>Total-</v>
          </cell>
          <cell r="E182">
            <v>217176.94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217176.94</v>
          </cell>
          <cell r="M182">
            <v>210000</v>
          </cell>
        </row>
        <row r="183">
          <cell r="C183" t="str">
            <v>-</v>
          </cell>
        </row>
        <row r="184">
          <cell r="C184" t="str">
            <v>-</v>
          </cell>
        </row>
        <row r="185">
          <cell r="C185" t="str">
            <v>-</v>
          </cell>
        </row>
        <row r="186">
          <cell r="C186" t="str">
            <v>-</v>
          </cell>
        </row>
        <row r="187">
          <cell r="C187" t="str">
            <v>Loja-Cod</v>
          </cell>
          <cell r="D187" t="str">
            <v>Vendedor</v>
          </cell>
          <cell r="E187" t="str">
            <v>PDV</v>
          </cell>
          <cell r="F187" t="str">
            <v>Não Presencial</v>
          </cell>
          <cell r="G187" t="str">
            <v>Social Selling</v>
          </cell>
          <cell r="H187" t="str">
            <v>Cupom</v>
          </cell>
          <cell r="I187" t="str">
            <v>Pick Up</v>
          </cell>
          <cell r="J187" t="str">
            <v>Shipping</v>
          </cell>
          <cell r="K187" t="str">
            <v>Total Vendas</v>
          </cell>
          <cell r="M187" t="str">
            <v>Meta Vend</v>
          </cell>
          <cell r="N187" t="str">
            <v>% Ating</v>
          </cell>
          <cell r="P187" t="str">
            <v>Meta Loja</v>
          </cell>
          <cell r="R187" t="str">
            <v>Comissão</v>
          </cell>
          <cell r="S187" t="str">
            <v>DSR</v>
          </cell>
          <cell r="T187" t="str">
            <v>Prêmio</v>
          </cell>
        </row>
        <row r="188">
          <cell r="C188" t="str">
            <v>126-1</v>
          </cell>
          <cell r="D188" t="str">
            <v>LUIZ CARLOS BATISTA INACIO</v>
          </cell>
          <cell r="E188">
            <v>3461.78</v>
          </cell>
          <cell r="G188">
            <v>0</v>
          </cell>
          <cell r="H188">
            <v>0</v>
          </cell>
          <cell r="I188">
            <v>0</v>
          </cell>
          <cell r="K188">
            <v>3461.78</v>
          </cell>
          <cell r="N188">
            <v>0</v>
          </cell>
          <cell r="P188">
            <v>350000</v>
          </cell>
          <cell r="R188">
            <v>0</v>
          </cell>
          <cell r="S188">
            <v>0</v>
          </cell>
          <cell r="T188">
            <v>0</v>
          </cell>
        </row>
        <row r="189">
          <cell r="C189" t="str">
            <v>126-28</v>
          </cell>
          <cell r="D189" t="str">
            <v xml:space="preserve">PAULO RICARDO FERNANDES MOVAIS </v>
          </cell>
          <cell r="E189">
            <v>56856.03</v>
          </cell>
          <cell r="G189">
            <v>0</v>
          </cell>
          <cell r="H189">
            <v>0</v>
          </cell>
          <cell r="I189">
            <v>0</v>
          </cell>
          <cell r="K189">
            <v>56856.03</v>
          </cell>
          <cell r="M189">
            <v>64167</v>
          </cell>
          <cell r="N189">
            <v>0.88606339707326198</v>
          </cell>
          <cell r="R189">
            <v>1819.3929599999999</v>
          </cell>
          <cell r="S189">
            <v>454.84823999999998</v>
          </cell>
          <cell r="T189">
            <v>0</v>
          </cell>
        </row>
        <row r="190">
          <cell r="C190" t="str">
            <v>126-37</v>
          </cell>
          <cell r="D190" t="str">
            <v>LUCAS DIAS SOLTO</v>
          </cell>
          <cell r="E190">
            <v>47278.98</v>
          </cell>
          <cell r="G190">
            <v>0</v>
          </cell>
          <cell r="H190">
            <v>0</v>
          </cell>
          <cell r="I190">
            <v>0</v>
          </cell>
          <cell r="K190">
            <v>47278.98</v>
          </cell>
          <cell r="M190">
            <v>64167</v>
          </cell>
          <cell r="N190">
            <v>0.73681144513535002</v>
          </cell>
          <cell r="R190">
            <v>1512.9273600000001</v>
          </cell>
          <cell r="S190">
            <v>378.23184000000003</v>
          </cell>
          <cell r="T190">
            <v>0</v>
          </cell>
        </row>
        <row r="191">
          <cell r="C191" t="str">
            <v>126-41</v>
          </cell>
          <cell r="D191" t="str">
            <v>ANTONIO FELIPE DE SOUZA SANTOS</v>
          </cell>
          <cell r="E191">
            <v>90420.95</v>
          </cell>
          <cell r="G191">
            <v>0</v>
          </cell>
          <cell r="H191">
            <v>899.99</v>
          </cell>
          <cell r="I191">
            <v>0</v>
          </cell>
          <cell r="K191">
            <v>91320.94</v>
          </cell>
          <cell r="M191">
            <v>64167</v>
          </cell>
          <cell r="N191">
            <v>1.4231760873969486</v>
          </cell>
          <cell r="R191">
            <v>2922.2700800000002</v>
          </cell>
          <cell r="S191">
            <v>730.56752000000006</v>
          </cell>
          <cell r="T191">
            <v>456.60470000000004</v>
          </cell>
        </row>
        <row r="192">
          <cell r="C192" t="str">
            <v>126-45</v>
          </cell>
          <cell r="D192" t="str">
            <v>00045 - KAIO LIMA FRUTUOSO</v>
          </cell>
          <cell r="E192">
            <v>50399.73</v>
          </cell>
          <cell r="G192">
            <v>0</v>
          </cell>
          <cell r="H192">
            <v>0</v>
          </cell>
          <cell r="I192">
            <v>0</v>
          </cell>
          <cell r="K192">
            <v>50399.73</v>
          </cell>
          <cell r="M192">
            <v>64167</v>
          </cell>
          <cell r="N192">
            <v>0.78544625742203944</v>
          </cell>
          <cell r="R192">
            <v>1612.7913600000002</v>
          </cell>
          <cell r="S192">
            <v>403.19784000000004</v>
          </cell>
          <cell r="T192">
            <v>0</v>
          </cell>
        </row>
        <row r="193">
          <cell r="C193" t="str">
            <v>126-46</v>
          </cell>
          <cell r="D193" t="str">
            <v>VINICIUS DOS SANTOS OLIVEIRA</v>
          </cell>
          <cell r="E193">
            <v>59357.08</v>
          </cell>
          <cell r="G193">
            <v>0</v>
          </cell>
          <cell r="H193">
            <v>0</v>
          </cell>
          <cell r="I193">
            <v>0</v>
          </cell>
          <cell r="K193">
            <v>59357.08</v>
          </cell>
          <cell r="M193">
            <v>64167</v>
          </cell>
          <cell r="N193">
            <v>0.92504059719170295</v>
          </cell>
          <cell r="R193">
            <v>1899.4265600000001</v>
          </cell>
          <cell r="S193">
            <v>474.85664000000003</v>
          </cell>
          <cell r="T193">
            <v>0</v>
          </cell>
        </row>
        <row r="194">
          <cell r="C194" t="str">
            <v>126-55</v>
          </cell>
          <cell r="D194" t="str">
            <v>00055 - RAQUEL TEIXEIRA</v>
          </cell>
          <cell r="E194">
            <v>42573.06</v>
          </cell>
          <cell r="G194">
            <v>0</v>
          </cell>
          <cell r="H194">
            <v>0</v>
          </cell>
          <cell r="I194">
            <v>0</v>
          </cell>
          <cell r="K194">
            <v>42573.06</v>
          </cell>
          <cell r="M194">
            <v>64167</v>
          </cell>
          <cell r="N194">
            <v>0.66347281312824347</v>
          </cell>
          <cell r="R194">
            <v>1362.3379199999999</v>
          </cell>
          <cell r="S194">
            <v>340.58447999999999</v>
          </cell>
          <cell r="T194">
            <v>0</v>
          </cell>
        </row>
        <row r="195">
          <cell r="C195" t="str">
            <v>126-13</v>
          </cell>
          <cell r="E195">
            <v>28231.59</v>
          </cell>
          <cell r="G195">
            <v>0</v>
          </cell>
          <cell r="H195">
            <v>0</v>
          </cell>
          <cell r="I195">
            <v>0</v>
          </cell>
          <cell r="K195">
            <v>28231.59</v>
          </cell>
          <cell r="N195">
            <v>0</v>
          </cell>
          <cell r="R195">
            <v>903.41088000000002</v>
          </cell>
          <cell r="S195">
            <v>225.85272000000001</v>
          </cell>
          <cell r="T195">
            <v>0</v>
          </cell>
        </row>
        <row r="196">
          <cell r="C196" t="str">
            <v>126-</v>
          </cell>
          <cell r="E196">
            <v>0</v>
          </cell>
          <cell r="G196">
            <v>0</v>
          </cell>
          <cell r="H196">
            <v>0</v>
          </cell>
          <cell r="I196">
            <v>0</v>
          </cell>
          <cell r="K196">
            <v>0</v>
          </cell>
          <cell r="N196">
            <v>0</v>
          </cell>
          <cell r="R196">
            <v>12032.557119999999</v>
          </cell>
          <cell r="S196">
            <v>3008.1392799999999</v>
          </cell>
          <cell r="T196">
            <v>456.60470000000004</v>
          </cell>
        </row>
        <row r="197">
          <cell r="C197" t="str">
            <v>126-</v>
          </cell>
          <cell r="E197">
            <v>0</v>
          </cell>
          <cell r="G197">
            <v>0</v>
          </cell>
          <cell r="H197">
            <v>0</v>
          </cell>
          <cell r="I197">
            <v>0</v>
          </cell>
          <cell r="K197">
            <v>0</v>
          </cell>
          <cell r="N197">
            <v>0</v>
          </cell>
        </row>
        <row r="198">
          <cell r="C198" t="str">
            <v>126-</v>
          </cell>
          <cell r="E198">
            <v>0</v>
          </cell>
          <cell r="G198">
            <v>0</v>
          </cell>
          <cell r="H198">
            <v>0</v>
          </cell>
          <cell r="I198">
            <v>0</v>
          </cell>
          <cell r="K198">
            <v>0</v>
          </cell>
          <cell r="N198">
            <v>0</v>
          </cell>
        </row>
        <row r="199">
          <cell r="C199" t="str">
            <v>Total-</v>
          </cell>
          <cell r="E199">
            <v>378579.20000000001</v>
          </cell>
          <cell r="F199">
            <v>0</v>
          </cell>
          <cell r="G199">
            <v>0</v>
          </cell>
          <cell r="H199">
            <v>899.99</v>
          </cell>
          <cell r="I199">
            <v>0</v>
          </cell>
          <cell r="J199">
            <v>0</v>
          </cell>
          <cell r="K199">
            <v>379479.19000000006</v>
          </cell>
          <cell r="M199">
            <v>385002</v>
          </cell>
        </row>
        <row r="200">
          <cell r="C200" t="str">
            <v>-</v>
          </cell>
        </row>
        <row r="201">
          <cell r="C201" t="str">
            <v>-</v>
          </cell>
        </row>
        <row r="202">
          <cell r="C202" t="str">
            <v>-</v>
          </cell>
        </row>
        <row r="203">
          <cell r="C203" t="str">
            <v>-</v>
          </cell>
        </row>
        <row r="204">
          <cell r="C204" t="str">
            <v>Loja-Cod</v>
          </cell>
          <cell r="D204" t="str">
            <v>Vendedor</v>
          </cell>
          <cell r="E204" t="str">
            <v>PDV</v>
          </cell>
          <cell r="F204" t="str">
            <v>Não Presencial</v>
          </cell>
          <cell r="G204" t="str">
            <v>Social Selling</v>
          </cell>
          <cell r="H204" t="str">
            <v>Cupom</v>
          </cell>
          <cell r="I204" t="str">
            <v>Pick Up</v>
          </cell>
          <cell r="J204" t="str">
            <v>Shipping</v>
          </cell>
          <cell r="K204" t="str">
            <v>Total Vendas</v>
          </cell>
          <cell r="M204" t="str">
            <v>Meta Vend</v>
          </cell>
          <cell r="N204" t="str">
            <v>% Ating</v>
          </cell>
          <cell r="P204" t="str">
            <v>Meta Loja</v>
          </cell>
          <cell r="R204" t="str">
            <v>Comissão</v>
          </cell>
          <cell r="S204" t="str">
            <v>DSR</v>
          </cell>
          <cell r="T204" t="str">
            <v>Prêmio</v>
          </cell>
        </row>
        <row r="205">
          <cell r="C205" t="str">
            <v>127-70</v>
          </cell>
          <cell r="D205" t="str">
            <v>EDUARDA ZACARIAS DA SILVA</v>
          </cell>
          <cell r="E205">
            <v>1999.53</v>
          </cell>
          <cell r="G205">
            <v>0</v>
          </cell>
          <cell r="H205">
            <v>0</v>
          </cell>
          <cell r="I205">
            <v>0</v>
          </cell>
          <cell r="K205">
            <v>1999.53</v>
          </cell>
          <cell r="N205">
            <v>0</v>
          </cell>
          <cell r="P205">
            <v>135000</v>
          </cell>
          <cell r="R205">
            <v>0</v>
          </cell>
          <cell r="S205">
            <v>0</v>
          </cell>
          <cell r="T205">
            <v>0</v>
          </cell>
        </row>
        <row r="206">
          <cell r="C206" t="str">
            <v>127-79</v>
          </cell>
          <cell r="D206" t="str">
            <v>GABRIEL VINICIUS VIANA TAVARES</v>
          </cell>
          <cell r="E206">
            <v>44123.37</v>
          </cell>
          <cell r="G206">
            <v>0</v>
          </cell>
          <cell r="H206">
            <v>0</v>
          </cell>
          <cell r="I206">
            <v>0</v>
          </cell>
          <cell r="K206">
            <v>44123.37</v>
          </cell>
          <cell r="M206">
            <v>49500</v>
          </cell>
          <cell r="N206">
            <v>0.89138121212121213</v>
          </cell>
          <cell r="R206">
            <v>1411.94784</v>
          </cell>
          <cell r="S206">
            <v>352.98696000000001</v>
          </cell>
          <cell r="T206">
            <v>0</v>
          </cell>
        </row>
        <row r="207">
          <cell r="C207" t="str">
            <v>127-80</v>
          </cell>
          <cell r="D207" t="str">
            <v>LUCAS SIQUEIRA FRANCO</v>
          </cell>
          <cell r="E207">
            <v>69633.02</v>
          </cell>
          <cell r="G207">
            <v>0</v>
          </cell>
          <cell r="H207">
            <v>0</v>
          </cell>
          <cell r="I207">
            <v>0</v>
          </cell>
          <cell r="K207">
            <v>69633.02</v>
          </cell>
          <cell r="M207">
            <v>49500</v>
          </cell>
          <cell r="N207">
            <v>1.4067276767676768</v>
          </cell>
          <cell r="R207">
            <v>2228.2566400000001</v>
          </cell>
          <cell r="S207">
            <v>557.06416000000002</v>
          </cell>
          <cell r="T207">
            <v>348.16510000000005</v>
          </cell>
        </row>
        <row r="208">
          <cell r="C208" t="str">
            <v>127-81</v>
          </cell>
          <cell r="D208" t="str">
            <v>MARIO SILVANO LEITE ALVES</v>
          </cell>
          <cell r="E208">
            <v>19656.46</v>
          </cell>
          <cell r="G208">
            <v>0</v>
          </cell>
          <cell r="H208">
            <v>0</v>
          </cell>
          <cell r="I208">
            <v>0</v>
          </cell>
          <cell r="K208">
            <v>19656.46</v>
          </cell>
          <cell r="M208">
            <v>49500</v>
          </cell>
          <cell r="N208">
            <v>0.39710020202020202</v>
          </cell>
          <cell r="R208">
            <v>629.00671999999997</v>
          </cell>
          <cell r="S208">
            <v>157.25167999999999</v>
          </cell>
          <cell r="T208">
            <v>0</v>
          </cell>
        </row>
        <row r="209">
          <cell r="C209" t="str">
            <v>127-82</v>
          </cell>
          <cell r="D209" t="str">
            <v>PAULO HENRIQUE BARBIERI</v>
          </cell>
          <cell r="E209">
            <v>4459.78</v>
          </cell>
          <cell r="G209">
            <v>0</v>
          </cell>
          <cell r="H209">
            <v>0</v>
          </cell>
          <cell r="I209">
            <v>0</v>
          </cell>
          <cell r="K209">
            <v>4459.78</v>
          </cell>
          <cell r="M209">
            <v>9000</v>
          </cell>
          <cell r="N209">
            <v>0.49553111111111109</v>
          </cell>
          <cell r="R209">
            <v>142.71295999999998</v>
          </cell>
          <cell r="S209">
            <v>35.678239999999995</v>
          </cell>
          <cell r="T209">
            <v>0</v>
          </cell>
        </row>
        <row r="210">
          <cell r="C210" t="str">
            <v>127-</v>
          </cell>
          <cell r="E210">
            <v>0</v>
          </cell>
          <cell r="G210">
            <v>0</v>
          </cell>
          <cell r="H210">
            <v>0</v>
          </cell>
          <cell r="I210">
            <v>0</v>
          </cell>
          <cell r="K210">
            <v>0</v>
          </cell>
          <cell r="N210">
            <v>0</v>
          </cell>
          <cell r="R210">
            <v>4411.9241600000005</v>
          </cell>
          <cell r="S210">
            <v>1102.9810400000001</v>
          </cell>
          <cell r="T210">
            <v>348.16510000000005</v>
          </cell>
        </row>
        <row r="211">
          <cell r="C211" t="str">
            <v>127-</v>
          </cell>
          <cell r="E211">
            <v>0</v>
          </cell>
          <cell r="G211">
            <v>0</v>
          </cell>
          <cell r="H211">
            <v>0</v>
          </cell>
          <cell r="I211">
            <v>0</v>
          </cell>
          <cell r="K211">
            <v>0</v>
          </cell>
          <cell r="N211">
            <v>0</v>
          </cell>
        </row>
        <row r="212">
          <cell r="C212" t="str">
            <v>127-</v>
          </cell>
          <cell r="E212">
            <v>0</v>
          </cell>
          <cell r="G212">
            <v>0</v>
          </cell>
          <cell r="H212">
            <v>0</v>
          </cell>
          <cell r="I212">
            <v>0</v>
          </cell>
          <cell r="K212">
            <v>0</v>
          </cell>
          <cell r="N212">
            <v>0</v>
          </cell>
        </row>
        <row r="213">
          <cell r="C213" t="str">
            <v>127-</v>
          </cell>
          <cell r="E213">
            <v>0</v>
          </cell>
          <cell r="G213">
            <v>0</v>
          </cell>
          <cell r="H213">
            <v>0</v>
          </cell>
          <cell r="I213">
            <v>0</v>
          </cell>
          <cell r="K213">
            <v>0</v>
          </cell>
          <cell r="N213">
            <v>0</v>
          </cell>
        </row>
        <row r="214">
          <cell r="C214" t="str">
            <v>127-</v>
          </cell>
          <cell r="E214">
            <v>0</v>
          </cell>
          <cell r="G214">
            <v>0</v>
          </cell>
          <cell r="H214">
            <v>0</v>
          </cell>
          <cell r="I214">
            <v>0</v>
          </cell>
          <cell r="K214">
            <v>0</v>
          </cell>
          <cell r="N214">
            <v>0</v>
          </cell>
        </row>
        <row r="215">
          <cell r="C215" t="str">
            <v>127-</v>
          </cell>
          <cell r="E215">
            <v>0</v>
          </cell>
          <cell r="G215">
            <v>0</v>
          </cell>
          <cell r="H215">
            <v>0</v>
          </cell>
          <cell r="I215">
            <v>0</v>
          </cell>
          <cell r="K215">
            <v>0</v>
          </cell>
          <cell r="N215">
            <v>0</v>
          </cell>
        </row>
        <row r="216">
          <cell r="C216" t="str">
            <v>Total-</v>
          </cell>
          <cell r="E216">
            <v>139872.16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139872.16</v>
          </cell>
          <cell r="M216">
            <v>157500</v>
          </cell>
        </row>
        <row r="217">
          <cell r="C217" t="str">
            <v>-</v>
          </cell>
        </row>
        <row r="218">
          <cell r="C218" t="str">
            <v>-</v>
          </cell>
        </row>
        <row r="219">
          <cell r="C219" t="str">
            <v>-</v>
          </cell>
        </row>
        <row r="220">
          <cell r="C220" t="str">
            <v>-</v>
          </cell>
        </row>
        <row r="221">
          <cell r="C221" t="str">
            <v>Loja-Cod</v>
          </cell>
          <cell r="D221" t="str">
            <v>Vendedor</v>
          </cell>
          <cell r="E221" t="str">
            <v>PDV</v>
          </cell>
          <cell r="F221" t="str">
            <v>Não Presencial</v>
          </cell>
          <cell r="G221" t="str">
            <v>Social Selling</v>
          </cell>
          <cell r="H221" t="str">
            <v>Cupom</v>
          </cell>
          <cell r="I221" t="str">
            <v>Pick Up</v>
          </cell>
          <cell r="J221" t="str">
            <v>Shipping</v>
          </cell>
          <cell r="K221" t="str">
            <v>Total Vendas</v>
          </cell>
          <cell r="M221" t="str">
            <v>Meta Vend</v>
          </cell>
          <cell r="N221" t="str">
            <v>% Ating</v>
          </cell>
          <cell r="P221" t="str">
            <v>Meta Loja</v>
          </cell>
          <cell r="R221" t="str">
            <v>Comissão</v>
          </cell>
          <cell r="S221" t="str">
            <v>DSR</v>
          </cell>
          <cell r="T221" t="str">
            <v>Prêmio</v>
          </cell>
        </row>
        <row r="222">
          <cell r="C222" t="str">
            <v>139-23</v>
          </cell>
          <cell r="D222" t="str">
            <v>ANA BEATRIZ FERREIRA DO CARMO</v>
          </cell>
          <cell r="E222">
            <v>199.99</v>
          </cell>
          <cell r="G222">
            <v>0</v>
          </cell>
          <cell r="H222">
            <v>0</v>
          </cell>
          <cell r="I222">
            <v>0</v>
          </cell>
          <cell r="K222">
            <v>199.99</v>
          </cell>
          <cell r="N222">
            <v>0</v>
          </cell>
          <cell r="P222">
            <v>540000</v>
          </cell>
          <cell r="R222">
            <v>0</v>
          </cell>
          <cell r="S222">
            <v>0</v>
          </cell>
          <cell r="T222">
            <v>0</v>
          </cell>
        </row>
        <row r="223">
          <cell r="C223" t="str">
            <v>139-24</v>
          </cell>
          <cell r="D223" t="str">
            <v>DAVID MARANDOLA</v>
          </cell>
          <cell r="E223">
            <v>42373.27</v>
          </cell>
          <cell r="G223">
            <v>0</v>
          </cell>
          <cell r="H223">
            <v>0</v>
          </cell>
          <cell r="I223">
            <v>0</v>
          </cell>
          <cell r="K223">
            <v>42373.27</v>
          </cell>
          <cell r="M223">
            <v>99000</v>
          </cell>
          <cell r="N223">
            <v>0.42801282828282827</v>
          </cell>
          <cell r="R223">
            <v>1186.4515599999997</v>
          </cell>
          <cell r="S223">
            <v>296.61288999999994</v>
          </cell>
          <cell r="T223">
            <v>0</v>
          </cell>
        </row>
        <row r="224">
          <cell r="C224" t="str">
            <v>139-28</v>
          </cell>
          <cell r="D224" t="str">
            <v>OSVALDO CARLOS CESAR</v>
          </cell>
          <cell r="E224">
            <v>103908.34</v>
          </cell>
          <cell r="G224">
            <v>0</v>
          </cell>
          <cell r="H224">
            <v>0</v>
          </cell>
          <cell r="I224">
            <v>0</v>
          </cell>
          <cell r="K224">
            <v>103908.34</v>
          </cell>
          <cell r="M224">
            <v>99000</v>
          </cell>
          <cell r="N224">
            <v>1.0495791919191919</v>
          </cell>
          <cell r="R224">
            <v>2909.4335199999996</v>
          </cell>
          <cell r="S224">
            <v>727.3583799999999</v>
          </cell>
          <cell r="T224">
            <v>519.54169999999999</v>
          </cell>
        </row>
        <row r="225">
          <cell r="C225" t="str">
            <v>139-38</v>
          </cell>
          <cell r="D225" t="str">
            <v xml:space="preserve">FELIPPE MONTEIRO PEREIRA </v>
          </cell>
          <cell r="E225">
            <v>9734.6</v>
          </cell>
          <cell r="G225">
            <v>0</v>
          </cell>
          <cell r="H225">
            <v>0</v>
          </cell>
          <cell r="I225">
            <v>0</v>
          </cell>
          <cell r="K225">
            <v>9734.6</v>
          </cell>
          <cell r="N225">
            <v>0</v>
          </cell>
          <cell r="R225">
            <v>272.56880000000001</v>
          </cell>
          <cell r="S225">
            <v>68.142200000000003</v>
          </cell>
          <cell r="T225">
            <v>0</v>
          </cell>
        </row>
        <row r="226">
          <cell r="C226" t="str">
            <v>139-41</v>
          </cell>
          <cell r="D226" t="str">
            <v>JULIANA CRISTINA CUNHA</v>
          </cell>
          <cell r="E226">
            <v>42618.47</v>
          </cell>
          <cell r="G226">
            <v>0</v>
          </cell>
          <cell r="H226">
            <v>0</v>
          </cell>
          <cell r="I226">
            <v>0</v>
          </cell>
          <cell r="K226">
            <v>42618.47</v>
          </cell>
          <cell r="M226">
            <v>99000</v>
          </cell>
          <cell r="N226">
            <v>0.43048959595959596</v>
          </cell>
          <cell r="R226">
            <v>1193.3171599999998</v>
          </cell>
          <cell r="S226">
            <v>298.32928999999996</v>
          </cell>
          <cell r="T226">
            <v>0</v>
          </cell>
        </row>
        <row r="227">
          <cell r="C227" t="str">
            <v>139-47</v>
          </cell>
          <cell r="D227" t="str">
            <v>RENATO CORREA DA FONSECA</v>
          </cell>
          <cell r="E227">
            <v>43893.53</v>
          </cell>
          <cell r="G227">
            <v>0</v>
          </cell>
          <cell r="H227">
            <v>0</v>
          </cell>
          <cell r="I227">
            <v>0</v>
          </cell>
          <cell r="K227">
            <v>43893.53</v>
          </cell>
          <cell r="M227">
            <v>99000</v>
          </cell>
          <cell r="N227">
            <v>0.44336898989898987</v>
          </cell>
          <cell r="R227">
            <v>1229.0188399999997</v>
          </cell>
          <cell r="S227">
            <v>307.25470999999993</v>
          </cell>
          <cell r="T227">
            <v>0</v>
          </cell>
        </row>
        <row r="228">
          <cell r="C228" t="str">
            <v>139-51</v>
          </cell>
          <cell r="D228" t="str">
            <v>MIRIA ALVES</v>
          </cell>
          <cell r="E228">
            <v>67627.42</v>
          </cell>
          <cell r="G228">
            <v>0</v>
          </cell>
          <cell r="H228">
            <v>0</v>
          </cell>
          <cell r="I228">
            <v>0</v>
          </cell>
          <cell r="K228">
            <v>67627.42</v>
          </cell>
          <cell r="M228">
            <v>99000</v>
          </cell>
          <cell r="N228">
            <v>0.68310525252525256</v>
          </cell>
          <cell r="R228">
            <v>1893.5677599999997</v>
          </cell>
          <cell r="S228">
            <v>473.39193999999992</v>
          </cell>
          <cell r="T228">
            <v>0</v>
          </cell>
        </row>
        <row r="229">
          <cell r="C229" t="str">
            <v>139-53</v>
          </cell>
          <cell r="D229" t="str">
            <v>TIAGO INACIO DOMINGUES</v>
          </cell>
          <cell r="E229">
            <v>16490.93</v>
          </cell>
          <cell r="G229">
            <v>0</v>
          </cell>
          <cell r="H229">
            <v>0</v>
          </cell>
          <cell r="I229">
            <v>0</v>
          </cell>
          <cell r="K229">
            <v>16490.93</v>
          </cell>
          <cell r="N229">
            <v>0</v>
          </cell>
          <cell r="R229">
            <v>461.74603999999994</v>
          </cell>
          <cell r="S229">
            <v>115.43650999999998</v>
          </cell>
          <cell r="T229">
            <v>0</v>
          </cell>
        </row>
        <row r="230">
          <cell r="C230" t="str">
            <v>139-54</v>
          </cell>
          <cell r="E230">
            <v>45483.26</v>
          </cell>
          <cell r="G230">
            <v>0</v>
          </cell>
          <cell r="H230">
            <v>0</v>
          </cell>
          <cell r="I230">
            <v>0</v>
          </cell>
          <cell r="K230">
            <v>45483.26</v>
          </cell>
          <cell r="M230">
            <v>99000</v>
          </cell>
          <cell r="N230">
            <v>0.45942686868686872</v>
          </cell>
          <cell r="R230">
            <v>1273.5312799999999</v>
          </cell>
          <cell r="S230">
            <v>318.38281999999998</v>
          </cell>
          <cell r="T230">
            <v>0</v>
          </cell>
        </row>
        <row r="231">
          <cell r="C231" t="str">
            <v>139-55</v>
          </cell>
          <cell r="D231" t="str">
            <v>ANA JULIA LOMBARDI</v>
          </cell>
          <cell r="E231">
            <v>34914.61</v>
          </cell>
          <cell r="G231">
            <v>0</v>
          </cell>
          <cell r="H231">
            <v>0</v>
          </cell>
          <cell r="I231">
            <v>0</v>
          </cell>
          <cell r="K231">
            <v>34914.61</v>
          </cell>
          <cell r="M231">
            <v>99000</v>
          </cell>
          <cell r="N231">
            <v>0.35267282828282831</v>
          </cell>
          <cell r="R231">
            <v>977.60907999999995</v>
          </cell>
          <cell r="S231">
            <v>244.40226999999999</v>
          </cell>
          <cell r="T231">
            <v>0</v>
          </cell>
        </row>
        <row r="232">
          <cell r="C232" t="str">
            <v>139-799</v>
          </cell>
          <cell r="D232" t="str">
            <v>LOJA</v>
          </cell>
          <cell r="E232">
            <v>5404.73</v>
          </cell>
          <cell r="G232">
            <v>0</v>
          </cell>
          <cell r="H232">
            <v>0</v>
          </cell>
          <cell r="I232">
            <v>0</v>
          </cell>
          <cell r="K232">
            <v>5404.73</v>
          </cell>
          <cell r="N232">
            <v>0</v>
          </cell>
          <cell r="R232">
            <v>0</v>
          </cell>
          <cell r="S232">
            <v>0</v>
          </cell>
          <cell r="T232">
            <v>0</v>
          </cell>
        </row>
        <row r="233">
          <cell r="C233" t="str">
            <v>Total-</v>
          </cell>
          <cell r="E233">
            <v>412649.14999999997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412649.14999999997</v>
          </cell>
          <cell r="M233">
            <v>693000</v>
          </cell>
          <cell r="R233">
            <v>11397.244039999998</v>
          </cell>
          <cell r="S233">
            <v>2849.3110099999994</v>
          </cell>
          <cell r="T233">
            <v>519.54169999999999</v>
          </cell>
        </row>
        <row r="234">
          <cell r="C234" t="str">
            <v>-</v>
          </cell>
        </row>
        <row r="235">
          <cell r="C235" t="str">
            <v>-</v>
          </cell>
        </row>
        <row r="236">
          <cell r="C236" t="str">
            <v>-</v>
          </cell>
        </row>
        <row r="237">
          <cell r="C237" t="str">
            <v>-</v>
          </cell>
        </row>
        <row r="238">
          <cell r="C238" t="str">
            <v>Loja-Cod</v>
          </cell>
          <cell r="D238" t="str">
            <v>Vendedor</v>
          </cell>
          <cell r="E238" t="str">
            <v>PDV</v>
          </cell>
          <cell r="F238" t="str">
            <v>Não Presencial</v>
          </cell>
          <cell r="G238" t="str">
            <v>Social Selling</v>
          </cell>
          <cell r="H238" t="str">
            <v>Cupom</v>
          </cell>
          <cell r="I238" t="str">
            <v>Pick Up</v>
          </cell>
          <cell r="J238" t="str">
            <v>Shipping</v>
          </cell>
          <cell r="K238" t="str">
            <v>Total Vendas</v>
          </cell>
          <cell r="M238" t="str">
            <v>Meta Vend</v>
          </cell>
          <cell r="N238" t="str">
            <v>% Ating</v>
          </cell>
          <cell r="P238" t="str">
            <v>Meta Loja</v>
          </cell>
          <cell r="R238" t="str">
            <v>Comissão</v>
          </cell>
          <cell r="S238" t="str">
            <v>DSR</v>
          </cell>
          <cell r="T238" t="str">
            <v>Prêmio</v>
          </cell>
        </row>
        <row r="239">
          <cell r="C239" t="str">
            <v>144-35</v>
          </cell>
          <cell r="D239" t="str">
            <v>FERNANDO ROBERTO DE SOUZA</v>
          </cell>
          <cell r="E239">
            <v>2214.9</v>
          </cell>
          <cell r="G239">
            <v>0</v>
          </cell>
          <cell r="H239">
            <v>0</v>
          </cell>
          <cell r="I239">
            <v>0</v>
          </cell>
          <cell r="K239">
            <v>2214.9</v>
          </cell>
          <cell r="N239">
            <v>0</v>
          </cell>
          <cell r="P239">
            <v>240000</v>
          </cell>
          <cell r="R239">
            <v>0</v>
          </cell>
          <cell r="S239">
            <v>0</v>
          </cell>
          <cell r="T239">
            <v>0</v>
          </cell>
        </row>
        <row r="240">
          <cell r="C240" t="str">
            <v>144-71</v>
          </cell>
          <cell r="D240" t="str">
            <v>00071 - CASSIA HELENA DE SOUZA CORREIA DA SILVA</v>
          </cell>
          <cell r="E240">
            <v>45023.48</v>
          </cell>
          <cell r="G240">
            <v>0</v>
          </cell>
          <cell r="H240">
            <v>0</v>
          </cell>
          <cell r="I240">
            <v>0</v>
          </cell>
          <cell r="K240">
            <v>45023.48</v>
          </cell>
          <cell r="M240">
            <v>66000</v>
          </cell>
          <cell r="N240">
            <v>0.68217393939393944</v>
          </cell>
          <cell r="R240">
            <v>1440.7513600000002</v>
          </cell>
          <cell r="S240">
            <v>360.18784000000005</v>
          </cell>
          <cell r="T240">
            <v>0</v>
          </cell>
        </row>
        <row r="241">
          <cell r="C241" t="str">
            <v>144-74</v>
          </cell>
          <cell r="D241" t="str">
            <v>JOSE HENRIQUE GONCALVES</v>
          </cell>
          <cell r="E241">
            <v>46778.22</v>
          </cell>
          <cell r="G241">
            <v>0</v>
          </cell>
          <cell r="H241">
            <v>0</v>
          </cell>
          <cell r="I241">
            <v>0</v>
          </cell>
          <cell r="K241">
            <v>46778.22</v>
          </cell>
          <cell r="M241">
            <v>66000</v>
          </cell>
          <cell r="N241">
            <v>0.70876090909090916</v>
          </cell>
          <cell r="R241">
            <v>1496.9030400000001</v>
          </cell>
          <cell r="S241">
            <v>374.22576000000004</v>
          </cell>
          <cell r="T241">
            <v>0</v>
          </cell>
        </row>
        <row r="242">
          <cell r="C242" t="str">
            <v>144-81</v>
          </cell>
          <cell r="D242" t="str">
            <v>CARLA DAIANE DA SILVA</v>
          </cell>
          <cell r="E242">
            <v>66744.179999999993</v>
          </cell>
          <cell r="G242">
            <v>0</v>
          </cell>
          <cell r="H242">
            <v>0</v>
          </cell>
          <cell r="I242">
            <v>0</v>
          </cell>
          <cell r="K242">
            <v>66744.179999999993</v>
          </cell>
          <cell r="M242">
            <v>66000</v>
          </cell>
          <cell r="N242">
            <v>1.0112754545454545</v>
          </cell>
          <cell r="R242">
            <v>2135.81376</v>
          </cell>
          <cell r="S242">
            <v>533.95344</v>
          </cell>
          <cell r="T242">
            <v>333.72089999999997</v>
          </cell>
        </row>
        <row r="243">
          <cell r="C243" t="str">
            <v>144-88</v>
          </cell>
          <cell r="D243" t="str">
            <v>00088 - VALQUIRIA MELO DA SILVA</v>
          </cell>
          <cell r="E243">
            <v>35966.080000000002</v>
          </cell>
          <cell r="G243">
            <v>0</v>
          </cell>
          <cell r="H243">
            <v>0</v>
          </cell>
          <cell r="I243">
            <v>0</v>
          </cell>
          <cell r="K243">
            <v>35966.080000000002</v>
          </cell>
          <cell r="M243">
            <v>66000</v>
          </cell>
          <cell r="N243">
            <v>0.54494060606060613</v>
          </cell>
          <cell r="R243">
            <v>1150.9145600000002</v>
          </cell>
          <cell r="S243">
            <v>287.72864000000004</v>
          </cell>
          <cell r="T243">
            <v>0</v>
          </cell>
        </row>
        <row r="244">
          <cell r="C244" t="str">
            <v>144-</v>
          </cell>
          <cell r="E244">
            <v>0</v>
          </cell>
          <cell r="G244">
            <v>0</v>
          </cell>
          <cell r="H244">
            <v>0</v>
          </cell>
          <cell r="I244">
            <v>0</v>
          </cell>
          <cell r="K244">
            <v>0</v>
          </cell>
          <cell r="N244">
            <v>0</v>
          </cell>
          <cell r="R244">
            <v>6224.3827200000005</v>
          </cell>
          <cell r="S244">
            <v>1556.0956800000001</v>
          </cell>
          <cell r="T244">
            <v>333.72089999999997</v>
          </cell>
        </row>
        <row r="245">
          <cell r="C245" t="str">
            <v>144-</v>
          </cell>
          <cell r="E245">
            <v>0</v>
          </cell>
          <cell r="G245">
            <v>0</v>
          </cell>
          <cell r="H245">
            <v>0</v>
          </cell>
          <cell r="I245">
            <v>0</v>
          </cell>
          <cell r="K245">
            <v>0</v>
          </cell>
          <cell r="N245">
            <v>0</v>
          </cell>
        </row>
        <row r="246">
          <cell r="C246" t="str">
            <v>144-</v>
          </cell>
          <cell r="E246">
            <v>0</v>
          </cell>
          <cell r="G246">
            <v>0</v>
          </cell>
          <cell r="H246">
            <v>0</v>
          </cell>
          <cell r="I246">
            <v>0</v>
          </cell>
          <cell r="K246">
            <v>0</v>
          </cell>
          <cell r="N246">
            <v>0</v>
          </cell>
        </row>
        <row r="247">
          <cell r="C247" t="str">
            <v>144-</v>
          </cell>
          <cell r="E247">
            <v>0</v>
          </cell>
          <cell r="G247">
            <v>0</v>
          </cell>
          <cell r="H247">
            <v>0</v>
          </cell>
          <cell r="I247">
            <v>0</v>
          </cell>
          <cell r="K247">
            <v>0</v>
          </cell>
          <cell r="N247">
            <v>0</v>
          </cell>
        </row>
        <row r="248">
          <cell r="C248" t="str">
            <v>144-</v>
          </cell>
          <cell r="E248">
            <v>0</v>
          </cell>
          <cell r="G248">
            <v>0</v>
          </cell>
          <cell r="H248">
            <v>0</v>
          </cell>
          <cell r="I248">
            <v>0</v>
          </cell>
          <cell r="K248">
            <v>0</v>
          </cell>
          <cell r="N248">
            <v>0</v>
          </cell>
        </row>
        <row r="249">
          <cell r="C249" t="str">
            <v>144-</v>
          </cell>
          <cell r="E249">
            <v>0</v>
          </cell>
          <cell r="G249">
            <v>0</v>
          </cell>
          <cell r="H249">
            <v>0</v>
          </cell>
          <cell r="I249">
            <v>0</v>
          </cell>
          <cell r="K249">
            <v>0</v>
          </cell>
          <cell r="N249">
            <v>0</v>
          </cell>
        </row>
        <row r="250">
          <cell r="C250" t="str">
            <v>Total-</v>
          </cell>
          <cell r="E250">
            <v>196726.86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196726.86</v>
          </cell>
          <cell r="M250">
            <v>264000</v>
          </cell>
        </row>
        <row r="251">
          <cell r="C251" t="str">
            <v>-</v>
          </cell>
        </row>
        <row r="252">
          <cell r="C252" t="str">
            <v>-</v>
          </cell>
        </row>
        <row r="253">
          <cell r="C253" t="str">
            <v>-</v>
          </cell>
        </row>
        <row r="254">
          <cell r="C254" t="str">
            <v>-</v>
          </cell>
        </row>
        <row r="255">
          <cell r="C255" t="str">
            <v>Loja-Cod</v>
          </cell>
          <cell r="D255" t="str">
            <v>Vendedor</v>
          </cell>
          <cell r="E255" t="str">
            <v>PDV</v>
          </cell>
          <cell r="F255" t="str">
            <v>Não Presencial</v>
          </cell>
          <cell r="G255" t="str">
            <v>Social Selling</v>
          </cell>
          <cell r="H255" t="str">
            <v>Cupom</v>
          </cell>
          <cell r="I255" t="str">
            <v>Pick Up</v>
          </cell>
          <cell r="J255" t="str">
            <v>Shipping</v>
          </cell>
          <cell r="K255" t="str">
            <v>Total Vendas</v>
          </cell>
          <cell r="M255" t="str">
            <v>Meta Vend</v>
          </cell>
          <cell r="N255" t="str">
            <v>% Ating</v>
          </cell>
          <cell r="P255" t="str">
            <v>Meta Loja</v>
          </cell>
          <cell r="R255" t="str">
            <v>Comissão</v>
          </cell>
          <cell r="S255" t="str">
            <v>DSR</v>
          </cell>
          <cell r="T255" t="str">
            <v>Prêmio</v>
          </cell>
        </row>
        <row r="256">
          <cell r="C256" t="str">
            <v>154-28</v>
          </cell>
          <cell r="D256" t="str">
            <v>TAHIS CARLA DA SILVA</v>
          </cell>
          <cell r="E256">
            <v>75822.86</v>
          </cell>
          <cell r="G256">
            <v>0</v>
          </cell>
          <cell r="H256">
            <v>0</v>
          </cell>
          <cell r="I256">
            <v>499.99</v>
          </cell>
          <cell r="K256">
            <v>76322.850000000006</v>
          </cell>
          <cell r="M256">
            <v>74678</v>
          </cell>
          <cell r="N256">
            <v>1.02202589785479</v>
          </cell>
          <cell r="P256">
            <v>204000</v>
          </cell>
          <cell r="R256">
            <v>2442.3312000000001</v>
          </cell>
          <cell r="S256">
            <v>610.58280000000002</v>
          </cell>
          <cell r="T256">
            <v>381.61425000000003</v>
          </cell>
        </row>
        <row r="257">
          <cell r="C257" t="str">
            <v>154-37</v>
          </cell>
          <cell r="D257" t="str">
            <v>MARCIO HENRIQUE CORREA</v>
          </cell>
          <cell r="E257">
            <v>1085.97</v>
          </cell>
          <cell r="G257">
            <v>0</v>
          </cell>
          <cell r="H257">
            <v>0</v>
          </cell>
          <cell r="I257">
            <v>0</v>
          </cell>
          <cell r="K257">
            <v>1085.97</v>
          </cell>
          <cell r="N257">
            <v>0</v>
          </cell>
          <cell r="R257">
            <v>0</v>
          </cell>
          <cell r="S257">
            <v>0</v>
          </cell>
          <cell r="T257">
            <v>0</v>
          </cell>
        </row>
        <row r="258">
          <cell r="C258" t="str">
            <v>154-38</v>
          </cell>
          <cell r="D258" t="str">
            <v>GILVAN DE LIMA FERREIRA</v>
          </cell>
          <cell r="E258">
            <v>5975.87</v>
          </cell>
          <cell r="G258">
            <v>0</v>
          </cell>
          <cell r="H258">
            <v>0</v>
          </cell>
          <cell r="I258">
            <v>0</v>
          </cell>
          <cell r="K258">
            <v>5975.87</v>
          </cell>
          <cell r="N258">
            <v>0</v>
          </cell>
          <cell r="R258">
            <v>191.22784000000001</v>
          </cell>
          <cell r="S258">
            <v>47.806960000000004</v>
          </cell>
          <cell r="T258">
            <v>0</v>
          </cell>
        </row>
        <row r="259">
          <cell r="C259" t="str">
            <v>154-42</v>
          </cell>
          <cell r="D259" t="str">
            <v>VALDEK GONCALVES JUNIOR</v>
          </cell>
          <cell r="E259">
            <v>78436.97</v>
          </cell>
          <cell r="G259">
            <v>0</v>
          </cell>
          <cell r="H259">
            <v>0</v>
          </cell>
          <cell r="I259">
            <v>0</v>
          </cell>
          <cell r="K259">
            <v>78436.97</v>
          </cell>
          <cell r="M259">
            <v>74678</v>
          </cell>
          <cell r="N259">
            <v>1.050335707972897</v>
          </cell>
          <cell r="R259">
            <v>2509.9830400000001</v>
          </cell>
          <cell r="S259">
            <v>627.49576000000002</v>
          </cell>
          <cell r="T259">
            <v>392.18485000000004</v>
          </cell>
        </row>
        <row r="260">
          <cell r="C260" t="str">
            <v>154-45</v>
          </cell>
          <cell r="D260" t="str">
            <v>00045 - RAFAEL BRUNO DA SILVA PEREIRA</v>
          </cell>
          <cell r="E260">
            <v>74922.02</v>
          </cell>
          <cell r="G260">
            <v>0</v>
          </cell>
          <cell r="H260">
            <v>0</v>
          </cell>
          <cell r="I260">
            <v>0</v>
          </cell>
          <cell r="K260">
            <v>74922.02</v>
          </cell>
          <cell r="M260">
            <v>74678</v>
          </cell>
          <cell r="N260">
            <v>1.0032676290205951</v>
          </cell>
          <cell r="R260">
            <v>2397.5046400000001</v>
          </cell>
          <cell r="S260">
            <v>599.37616000000003</v>
          </cell>
          <cell r="T260">
            <v>374.61010000000005</v>
          </cell>
        </row>
        <row r="261">
          <cell r="C261" t="str">
            <v>154-</v>
          </cell>
          <cell r="E261">
            <v>0</v>
          </cell>
          <cell r="G261">
            <v>0</v>
          </cell>
          <cell r="H261">
            <v>0</v>
          </cell>
          <cell r="I261">
            <v>0</v>
          </cell>
          <cell r="K261">
            <v>0</v>
          </cell>
          <cell r="N261">
            <v>0</v>
          </cell>
          <cell r="R261">
            <v>7541.0467200000003</v>
          </cell>
          <cell r="S261">
            <v>1885.2616800000001</v>
          </cell>
          <cell r="T261">
            <v>1148.4092000000001</v>
          </cell>
        </row>
        <row r="262">
          <cell r="C262" t="str">
            <v>154-</v>
          </cell>
          <cell r="E262">
            <v>0</v>
          </cell>
          <cell r="G262">
            <v>0</v>
          </cell>
          <cell r="H262">
            <v>0</v>
          </cell>
          <cell r="I262">
            <v>0</v>
          </cell>
          <cell r="K262">
            <v>0</v>
          </cell>
          <cell r="N262">
            <v>0</v>
          </cell>
        </row>
        <row r="263">
          <cell r="C263" t="str">
            <v>154-</v>
          </cell>
          <cell r="E263">
            <v>0</v>
          </cell>
          <cell r="G263">
            <v>0</v>
          </cell>
          <cell r="H263">
            <v>0</v>
          </cell>
          <cell r="I263">
            <v>0</v>
          </cell>
          <cell r="K263">
            <v>0</v>
          </cell>
          <cell r="N263">
            <v>0</v>
          </cell>
        </row>
        <row r="264">
          <cell r="C264" t="str">
            <v>154-</v>
          </cell>
          <cell r="E264">
            <v>0</v>
          </cell>
          <cell r="G264">
            <v>0</v>
          </cell>
          <cell r="H264">
            <v>0</v>
          </cell>
          <cell r="I264">
            <v>0</v>
          </cell>
          <cell r="K264">
            <v>0</v>
          </cell>
          <cell r="N264">
            <v>0</v>
          </cell>
        </row>
        <row r="265">
          <cell r="C265" t="str">
            <v>154-</v>
          </cell>
          <cell r="E265">
            <v>0</v>
          </cell>
          <cell r="G265">
            <v>0</v>
          </cell>
          <cell r="H265">
            <v>0</v>
          </cell>
          <cell r="I265">
            <v>0</v>
          </cell>
          <cell r="K265">
            <v>0</v>
          </cell>
          <cell r="N265">
            <v>0</v>
          </cell>
        </row>
        <row r="266">
          <cell r="C266" t="str">
            <v>154-</v>
          </cell>
          <cell r="E266">
            <v>0</v>
          </cell>
          <cell r="G266">
            <v>0</v>
          </cell>
          <cell r="H266">
            <v>0</v>
          </cell>
          <cell r="I266">
            <v>0</v>
          </cell>
          <cell r="K266">
            <v>0</v>
          </cell>
          <cell r="N266">
            <v>0</v>
          </cell>
        </row>
        <row r="267">
          <cell r="C267" t="str">
            <v>Total-</v>
          </cell>
          <cell r="E267">
            <v>236243.69</v>
          </cell>
          <cell r="F267">
            <v>0</v>
          </cell>
          <cell r="G267">
            <v>0</v>
          </cell>
          <cell r="H267">
            <v>0</v>
          </cell>
          <cell r="I267">
            <v>499.99</v>
          </cell>
          <cell r="J267">
            <v>0</v>
          </cell>
          <cell r="K267">
            <v>236743.67999999999</v>
          </cell>
          <cell r="M267">
            <v>224034</v>
          </cell>
        </row>
        <row r="268">
          <cell r="C268" t="str">
            <v>-</v>
          </cell>
        </row>
        <row r="269">
          <cell r="C269" t="str">
            <v>-</v>
          </cell>
        </row>
        <row r="270">
          <cell r="C270" t="str">
            <v>-</v>
          </cell>
        </row>
        <row r="271">
          <cell r="C271" t="str">
            <v>-</v>
          </cell>
        </row>
        <row r="272">
          <cell r="C272" t="str">
            <v>Loja-Cod</v>
          </cell>
          <cell r="D272" t="str">
            <v>Vendedor</v>
          </cell>
          <cell r="E272" t="str">
            <v>PDV</v>
          </cell>
          <cell r="F272" t="str">
            <v>Não Presencial</v>
          </cell>
          <cell r="G272" t="str">
            <v>Social Selling</v>
          </cell>
          <cell r="H272" t="str">
            <v>Cupom</v>
          </cell>
          <cell r="I272" t="str">
            <v>Pick Up</v>
          </cell>
          <cell r="J272" t="str">
            <v>Shipping</v>
          </cell>
          <cell r="K272" t="str">
            <v>Total Vendas</v>
          </cell>
          <cell r="M272" t="str">
            <v>Meta Vend</v>
          </cell>
          <cell r="N272" t="str">
            <v>% Ating</v>
          </cell>
          <cell r="P272" t="str">
            <v>Meta Loja</v>
          </cell>
          <cell r="R272" t="str">
            <v>Comissão</v>
          </cell>
          <cell r="S272" t="str">
            <v>DSR</v>
          </cell>
          <cell r="T272" t="str">
            <v>Prêmio</v>
          </cell>
        </row>
        <row r="273">
          <cell r="C273" t="str">
            <v>156-67</v>
          </cell>
          <cell r="D273" t="str">
            <v>JAQUELINE GOMES FERNANDES</v>
          </cell>
          <cell r="E273">
            <v>78859.88</v>
          </cell>
          <cell r="G273">
            <v>0</v>
          </cell>
          <cell r="H273">
            <v>1169.98</v>
          </cell>
          <cell r="I273">
            <v>339.98</v>
          </cell>
          <cell r="K273">
            <v>80369.84</v>
          </cell>
          <cell r="M273">
            <v>69700</v>
          </cell>
          <cell r="N273">
            <v>1.1530823529411764</v>
          </cell>
          <cell r="P273">
            <v>380000</v>
          </cell>
          <cell r="R273">
            <v>2571.8348799999999</v>
          </cell>
          <cell r="S273">
            <v>642.95871999999997</v>
          </cell>
          <cell r="T273">
            <v>401.8492</v>
          </cell>
        </row>
        <row r="274">
          <cell r="C274" t="str">
            <v>156-72</v>
          </cell>
          <cell r="D274" t="str">
            <v>DANILO TEIXEIRA</v>
          </cell>
          <cell r="E274">
            <v>66854.5</v>
          </cell>
          <cell r="F274">
            <v>899.99</v>
          </cell>
          <cell r="G274">
            <v>0</v>
          </cell>
          <cell r="H274">
            <v>1079.98</v>
          </cell>
          <cell r="I274">
            <v>649.98</v>
          </cell>
          <cell r="K274">
            <v>69484.45</v>
          </cell>
          <cell r="M274">
            <v>69700</v>
          </cell>
          <cell r="N274">
            <v>0.99690746054519364</v>
          </cell>
          <cell r="R274">
            <v>2223.5023999999999</v>
          </cell>
          <cell r="S274">
            <v>555.87559999999996</v>
          </cell>
          <cell r="T274">
            <v>0</v>
          </cell>
        </row>
        <row r="275">
          <cell r="C275" t="str">
            <v>156-75</v>
          </cell>
          <cell r="D275" t="str">
            <v>RAFAEL DOS SANTOS GENARE DENIS</v>
          </cell>
          <cell r="E275">
            <v>1907.91</v>
          </cell>
          <cell r="G275">
            <v>0</v>
          </cell>
          <cell r="H275">
            <v>399.99</v>
          </cell>
          <cell r="I275">
            <v>0</v>
          </cell>
          <cell r="K275">
            <v>2307.9</v>
          </cell>
          <cell r="M275">
            <v>69700</v>
          </cell>
          <cell r="N275">
            <v>3.3111908177905311E-2</v>
          </cell>
          <cell r="R275">
            <v>0</v>
          </cell>
          <cell r="S275">
            <v>0</v>
          </cell>
          <cell r="T275">
            <v>0</v>
          </cell>
        </row>
        <row r="276">
          <cell r="C276" t="str">
            <v>156-76</v>
          </cell>
          <cell r="D276" t="str">
            <v>DAIANE ELIAS FONTE</v>
          </cell>
          <cell r="E276">
            <v>77245.539999999994</v>
          </cell>
          <cell r="G276">
            <v>0</v>
          </cell>
          <cell r="H276">
            <v>0</v>
          </cell>
          <cell r="I276">
            <v>869.98</v>
          </cell>
          <cell r="K276">
            <v>78115.51999999999</v>
          </cell>
          <cell r="M276">
            <v>69700</v>
          </cell>
          <cell r="N276">
            <v>1.1207391678622667</v>
          </cell>
          <cell r="R276">
            <v>2499.6966399999997</v>
          </cell>
          <cell r="S276">
            <v>624.92415999999992</v>
          </cell>
          <cell r="T276">
            <v>390.57759999999996</v>
          </cell>
        </row>
        <row r="277">
          <cell r="C277" t="str">
            <v>156-78</v>
          </cell>
          <cell r="D277" t="str">
            <v>GUSTAVO DA SILVA DIAS</v>
          </cell>
          <cell r="E277">
            <v>36947.019999999997</v>
          </cell>
          <cell r="G277">
            <v>0</v>
          </cell>
          <cell r="H277">
            <v>1299.98</v>
          </cell>
          <cell r="I277">
            <v>1390.99</v>
          </cell>
          <cell r="K277">
            <v>39637.99</v>
          </cell>
          <cell r="M277">
            <v>69700</v>
          </cell>
          <cell r="N277">
            <v>0.56869426111908172</v>
          </cell>
          <cell r="R277">
            <v>1268.4156800000001</v>
          </cell>
          <cell r="S277">
            <v>317.10392000000002</v>
          </cell>
          <cell r="T277">
            <v>0</v>
          </cell>
        </row>
        <row r="278">
          <cell r="C278" t="str">
            <v>156-79</v>
          </cell>
          <cell r="D278" t="str">
            <v>00079- LUCAS DIAS NASCIMENTO</v>
          </cell>
          <cell r="E278">
            <v>75559.73</v>
          </cell>
          <cell r="G278">
            <v>0</v>
          </cell>
          <cell r="H278">
            <v>2129.9499999999998</v>
          </cell>
          <cell r="I278">
            <v>949.98</v>
          </cell>
          <cell r="K278">
            <v>78639.659999999989</v>
          </cell>
          <cell r="M278">
            <v>69700</v>
          </cell>
          <cell r="N278">
            <v>1.1282591104734576</v>
          </cell>
          <cell r="R278">
            <v>2516.4691199999997</v>
          </cell>
          <cell r="S278">
            <v>629.11727999999994</v>
          </cell>
          <cell r="T278">
            <v>393.19829999999996</v>
          </cell>
        </row>
        <row r="279">
          <cell r="C279" t="str">
            <v>156-81</v>
          </cell>
          <cell r="D279" t="str">
            <v>LUCAS COSTA NERIS</v>
          </cell>
          <cell r="E279">
            <v>51190.15</v>
          </cell>
          <cell r="G279">
            <v>0</v>
          </cell>
          <cell r="H279">
            <v>0</v>
          </cell>
          <cell r="I279">
            <v>399.99</v>
          </cell>
          <cell r="K279">
            <v>51590.14</v>
          </cell>
          <cell r="M279">
            <v>69700</v>
          </cell>
          <cell r="N279">
            <v>0.74017417503586802</v>
          </cell>
          <cell r="R279">
            <v>1650.8844799999999</v>
          </cell>
          <cell r="S279">
            <v>412.72111999999998</v>
          </cell>
          <cell r="T279">
            <v>0</v>
          </cell>
        </row>
        <row r="280">
          <cell r="C280" t="str">
            <v>156-</v>
          </cell>
          <cell r="E280">
            <v>0</v>
          </cell>
          <cell r="G280">
            <v>0</v>
          </cell>
          <cell r="H280">
            <v>0</v>
          </cell>
          <cell r="I280">
            <v>0</v>
          </cell>
          <cell r="K280">
            <v>0</v>
          </cell>
          <cell r="N280">
            <v>0</v>
          </cell>
          <cell r="R280">
            <v>12730.8032</v>
          </cell>
          <cell r="S280">
            <v>3182.7008000000001</v>
          </cell>
          <cell r="T280">
            <v>1185.6251</v>
          </cell>
        </row>
        <row r="281">
          <cell r="C281" t="str">
            <v>156-</v>
          </cell>
          <cell r="E281">
            <v>0</v>
          </cell>
          <cell r="G281">
            <v>0</v>
          </cell>
          <cell r="H281">
            <v>0</v>
          </cell>
          <cell r="I281">
            <v>0</v>
          </cell>
          <cell r="K281">
            <v>0</v>
          </cell>
          <cell r="N281">
            <v>0</v>
          </cell>
        </row>
        <row r="282">
          <cell r="C282" t="str">
            <v>156-</v>
          </cell>
          <cell r="E282">
            <v>0</v>
          </cell>
          <cell r="G282">
            <v>0</v>
          </cell>
          <cell r="H282">
            <v>0</v>
          </cell>
          <cell r="I282">
            <v>0</v>
          </cell>
          <cell r="K282">
            <v>0</v>
          </cell>
          <cell r="N282">
            <v>0</v>
          </cell>
        </row>
        <row r="283">
          <cell r="C283" t="str">
            <v>156-</v>
          </cell>
          <cell r="E283">
            <v>0</v>
          </cell>
          <cell r="G283">
            <v>0</v>
          </cell>
          <cell r="H283">
            <v>0</v>
          </cell>
          <cell r="I283">
            <v>0</v>
          </cell>
          <cell r="K283">
            <v>0</v>
          </cell>
          <cell r="N283">
            <v>0</v>
          </cell>
        </row>
        <row r="284">
          <cell r="C284" t="str">
            <v>Total-</v>
          </cell>
          <cell r="E284">
            <v>388564.73000000004</v>
          </cell>
          <cell r="F284">
            <v>899.99</v>
          </cell>
          <cell r="G284">
            <v>0</v>
          </cell>
          <cell r="H284">
            <v>6079.8799999999992</v>
          </cell>
          <cell r="I284">
            <v>4600.8999999999996</v>
          </cell>
          <cell r="J284">
            <v>0</v>
          </cell>
          <cell r="K284">
            <v>400145.49999999994</v>
          </cell>
          <cell r="M284">
            <v>487900</v>
          </cell>
        </row>
        <row r="285">
          <cell r="C285" t="str">
            <v>-</v>
          </cell>
        </row>
        <row r="286">
          <cell r="C286" t="str">
            <v>-</v>
          </cell>
        </row>
        <row r="287">
          <cell r="C287" t="str">
            <v>-</v>
          </cell>
        </row>
        <row r="288">
          <cell r="C288" t="str">
            <v>-</v>
          </cell>
        </row>
        <row r="289">
          <cell r="C289" t="str">
            <v>Loja-Cod</v>
          </cell>
          <cell r="D289" t="str">
            <v>Vendedor</v>
          </cell>
          <cell r="E289" t="str">
            <v>PDV</v>
          </cell>
          <cell r="F289" t="str">
            <v>Não Presencial</v>
          </cell>
          <cell r="G289" t="str">
            <v>Social Selling</v>
          </cell>
          <cell r="H289" t="str">
            <v>Cupom</v>
          </cell>
          <cell r="I289" t="str">
            <v>Pick Up</v>
          </cell>
          <cell r="J289" t="str">
            <v>Shipping</v>
          </cell>
          <cell r="K289" t="str">
            <v>Total Vendas</v>
          </cell>
          <cell r="M289" t="str">
            <v>Meta Vend</v>
          </cell>
          <cell r="N289" t="str">
            <v>% Ating</v>
          </cell>
          <cell r="P289" t="str">
            <v>Meta Loja</v>
          </cell>
          <cell r="R289" t="str">
            <v>Comissão</v>
          </cell>
          <cell r="S289" t="str">
            <v>DSR</v>
          </cell>
          <cell r="T289" t="str">
            <v>Prêmio</v>
          </cell>
        </row>
        <row r="290">
          <cell r="C290" t="str">
            <v>157-14</v>
          </cell>
          <cell r="D290" t="str">
            <v>JOELMA APARECIDA ZANCHINSKI DE MATTOS</v>
          </cell>
          <cell r="E290">
            <v>75253.09</v>
          </cell>
          <cell r="G290">
            <v>0</v>
          </cell>
          <cell r="H290">
            <v>619.97</v>
          </cell>
          <cell r="I290">
            <v>399.99</v>
          </cell>
          <cell r="K290">
            <v>76273.05</v>
          </cell>
          <cell r="M290">
            <v>45375</v>
          </cell>
          <cell r="N290">
            <v>1.6809487603305786</v>
          </cell>
          <cell r="P290">
            <v>165000</v>
          </cell>
          <cell r="R290">
            <v>2440.7375999999999</v>
          </cell>
          <cell r="S290">
            <v>610.18439999999998</v>
          </cell>
          <cell r="T290">
            <v>381.36525</v>
          </cell>
        </row>
        <row r="291">
          <cell r="C291" t="str">
            <v>157-33</v>
          </cell>
          <cell r="D291" t="str">
            <v>PEDRO MAGNO DOS SANTOS PEREIRA</v>
          </cell>
          <cell r="E291">
            <v>2789.92</v>
          </cell>
          <cell r="G291">
            <v>0</v>
          </cell>
          <cell r="H291">
            <v>0</v>
          </cell>
          <cell r="I291">
            <v>0</v>
          </cell>
          <cell r="K291">
            <v>2789.92</v>
          </cell>
          <cell r="N291">
            <v>0</v>
          </cell>
          <cell r="R291">
            <v>0</v>
          </cell>
          <cell r="S291">
            <v>0</v>
          </cell>
          <cell r="T291">
            <v>0</v>
          </cell>
        </row>
        <row r="292">
          <cell r="C292" t="str">
            <v>157-43</v>
          </cell>
          <cell r="D292" t="str">
            <v>00043 - JULIO CESAR RODRIGUES ROSA</v>
          </cell>
          <cell r="E292">
            <v>53005.22</v>
          </cell>
          <cell r="G292">
            <v>0</v>
          </cell>
          <cell r="H292">
            <v>399.99</v>
          </cell>
          <cell r="I292">
            <v>0</v>
          </cell>
          <cell r="K292">
            <v>53405.21</v>
          </cell>
          <cell r="M292">
            <v>45375</v>
          </cell>
          <cell r="N292">
            <v>1.1769743250688705</v>
          </cell>
          <cell r="R292">
            <v>1708.9667199999999</v>
          </cell>
          <cell r="S292">
            <v>427.24167999999997</v>
          </cell>
          <cell r="T292">
            <v>267.02605</v>
          </cell>
        </row>
        <row r="293">
          <cell r="C293" t="str">
            <v>157-45</v>
          </cell>
          <cell r="D293" t="str">
            <v>00045 - LUIZA PACHEGO GROLLI</v>
          </cell>
          <cell r="E293">
            <v>55980.11</v>
          </cell>
          <cell r="G293">
            <v>0</v>
          </cell>
          <cell r="H293">
            <v>499.99</v>
          </cell>
          <cell r="I293">
            <v>0</v>
          </cell>
          <cell r="K293">
            <v>56480.1</v>
          </cell>
          <cell r="M293">
            <v>45375</v>
          </cell>
          <cell r="N293">
            <v>1.2447404958677686</v>
          </cell>
          <cell r="R293">
            <v>1807.3632</v>
          </cell>
          <cell r="S293">
            <v>451.8408</v>
          </cell>
          <cell r="T293">
            <v>282.40050000000002</v>
          </cell>
        </row>
        <row r="294">
          <cell r="C294" t="str">
            <v>157-46</v>
          </cell>
          <cell r="D294" t="str">
            <v>00046 - ALEXANDRO LIMA PASSOS</v>
          </cell>
          <cell r="E294">
            <v>22127.99</v>
          </cell>
          <cell r="G294">
            <v>0</v>
          </cell>
          <cell r="H294">
            <v>649.98</v>
          </cell>
          <cell r="I294">
            <v>0</v>
          </cell>
          <cell r="K294">
            <v>22777.97</v>
          </cell>
          <cell r="M294">
            <v>45375</v>
          </cell>
          <cell r="N294">
            <v>0.50199382920110192</v>
          </cell>
          <cell r="R294">
            <v>728.89504000000011</v>
          </cell>
          <cell r="S294">
            <v>182.22376000000003</v>
          </cell>
          <cell r="T294">
            <v>0</v>
          </cell>
        </row>
        <row r="295">
          <cell r="C295" t="str">
            <v>157-</v>
          </cell>
          <cell r="E295">
            <v>0</v>
          </cell>
          <cell r="G295">
            <v>0</v>
          </cell>
          <cell r="H295">
            <v>0</v>
          </cell>
          <cell r="I295">
            <v>0</v>
          </cell>
          <cell r="K295">
            <v>0</v>
          </cell>
          <cell r="N295">
            <v>0</v>
          </cell>
          <cell r="R295">
            <v>6685.9625599999999</v>
          </cell>
          <cell r="S295">
            <v>1671.49064</v>
          </cell>
          <cell r="T295">
            <v>930.79179999999997</v>
          </cell>
        </row>
        <row r="296">
          <cell r="C296" t="str">
            <v>157-</v>
          </cell>
          <cell r="E296">
            <v>0</v>
          </cell>
          <cell r="G296">
            <v>0</v>
          </cell>
          <cell r="H296">
            <v>0</v>
          </cell>
          <cell r="I296">
            <v>0</v>
          </cell>
          <cell r="K296">
            <v>0</v>
          </cell>
          <cell r="N296">
            <v>0</v>
          </cell>
        </row>
        <row r="297">
          <cell r="C297" t="str">
            <v>157-</v>
          </cell>
          <cell r="E297">
            <v>0</v>
          </cell>
          <cell r="G297">
            <v>0</v>
          </cell>
          <cell r="H297">
            <v>0</v>
          </cell>
          <cell r="I297">
            <v>0</v>
          </cell>
          <cell r="K297">
            <v>0</v>
          </cell>
          <cell r="N297">
            <v>0</v>
          </cell>
        </row>
        <row r="298">
          <cell r="C298" t="str">
            <v>157-</v>
          </cell>
          <cell r="E298">
            <v>0</v>
          </cell>
          <cell r="G298">
            <v>0</v>
          </cell>
          <cell r="H298">
            <v>0</v>
          </cell>
          <cell r="I298">
            <v>0</v>
          </cell>
          <cell r="K298">
            <v>0</v>
          </cell>
          <cell r="N298">
            <v>0</v>
          </cell>
        </row>
        <row r="299">
          <cell r="C299" t="str">
            <v>157-</v>
          </cell>
          <cell r="E299">
            <v>0</v>
          </cell>
          <cell r="G299">
            <v>0</v>
          </cell>
          <cell r="H299">
            <v>0</v>
          </cell>
          <cell r="I299">
            <v>0</v>
          </cell>
          <cell r="K299">
            <v>0</v>
          </cell>
          <cell r="N299">
            <v>0</v>
          </cell>
        </row>
        <row r="300">
          <cell r="C300" t="str">
            <v>157-</v>
          </cell>
          <cell r="E300">
            <v>0</v>
          </cell>
          <cell r="G300">
            <v>0</v>
          </cell>
          <cell r="H300">
            <v>0</v>
          </cell>
          <cell r="I300">
            <v>0</v>
          </cell>
          <cell r="K300">
            <v>0</v>
          </cell>
          <cell r="N300">
            <v>0</v>
          </cell>
        </row>
        <row r="301">
          <cell r="C301" t="str">
            <v>Total-</v>
          </cell>
          <cell r="E301">
            <v>209156.33</v>
          </cell>
          <cell r="F301">
            <v>0</v>
          </cell>
          <cell r="G301">
            <v>0</v>
          </cell>
          <cell r="H301">
            <v>2169.9300000000003</v>
          </cell>
          <cell r="I301">
            <v>399.99</v>
          </cell>
          <cell r="J301">
            <v>0</v>
          </cell>
          <cell r="K301">
            <v>211726.25</v>
          </cell>
          <cell r="M301">
            <v>181500</v>
          </cell>
        </row>
        <row r="302">
          <cell r="C302" t="str">
            <v>-</v>
          </cell>
        </row>
        <row r="303">
          <cell r="C303" t="str">
            <v>-</v>
          </cell>
        </row>
        <row r="304">
          <cell r="C304" t="str">
            <v>-</v>
          </cell>
        </row>
        <row r="305">
          <cell r="C305" t="str">
            <v>-</v>
          </cell>
        </row>
        <row r="306">
          <cell r="C306" t="str">
            <v>Loja-Cod</v>
          </cell>
          <cell r="D306" t="str">
            <v>Vendedor</v>
          </cell>
          <cell r="E306" t="str">
            <v>PDV</v>
          </cell>
          <cell r="F306" t="str">
            <v>Não Presencial</v>
          </cell>
          <cell r="G306" t="str">
            <v>Social Selling</v>
          </cell>
          <cell r="H306" t="str">
            <v>Cupom</v>
          </cell>
          <cell r="I306" t="str">
            <v>Pick Up</v>
          </cell>
          <cell r="J306" t="str">
            <v>Shipping</v>
          </cell>
          <cell r="K306" t="str">
            <v>Total Vendas</v>
          </cell>
          <cell r="M306" t="str">
            <v>Meta Vend</v>
          </cell>
          <cell r="N306" t="str">
            <v>% Ating</v>
          </cell>
          <cell r="P306" t="str">
            <v>Meta Loja</v>
          </cell>
          <cell r="R306" t="str">
            <v>Comissão</v>
          </cell>
          <cell r="S306" t="str">
            <v>DSR</v>
          </cell>
          <cell r="T306" t="str">
            <v>Prêmio</v>
          </cell>
        </row>
        <row r="307">
          <cell r="C307" t="str">
            <v>161-32</v>
          </cell>
          <cell r="D307" t="str">
            <v>DEBORA RODRIGUES SILVA</v>
          </cell>
          <cell r="E307">
            <v>515.99</v>
          </cell>
          <cell r="G307">
            <v>0</v>
          </cell>
          <cell r="H307">
            <v>0</v>
          </cell>
          <cell r="I307">
            <v>0</v>
          </cell>
          <cell r="K307">
            <v>515.99</v>
          </cell>
          <cell r="N307">
            <v>0</v>
          </cell>
          <cell r="P307">
            <v>230000</v>
          </cell>
          <cell r="R307">
            <v>0</v>
          </cell>
          <cell r="S307">
            <v>0</v>
          </cell>
          <cell r="T307">
            <v>0</v>
          </cell>
        </row>
        <row r="308">
          <cell r="C308" t="str">
            <v>161-44</v>
          </cell>
          <cell r="D308" t="str">
            <v>RAFAEL CARVALHO DA LUZ</v>
          </cell>
          <cell r="E308">
            <v>11652.63</v>
          </cell>
          <cell r="G308">
            <v>0</v>
          </cell>
          <cell r="H308">
            <v>0</v>
          </cell>
          <cell r="I308">
            <v>0</v>
          </cell>
          <cell r="K308">
            <v>11652.63</v>
          </cell>
          <cell r="M308">
            <v>42000</v>
          </cell>
          <cell r="N308">
            <v>0.2774435714285714</v>
          </cell>
          <cell r="R308">
            <v>372.88416000000001</v>
          </cell>
          <cell r="S308">
            <v>93.221040000000002</v>
          </cell>
          <cell r="T308">
            <v>0</v>
          </cell>
        </row>
        <row r="309">
          <cell r="C309" t="str">
            <v>161-49</v>
          </cell>
          <cell r="D309" t="str">
            <v>CAUE LCUAS GIL</v>
          </cell>
          <cell r="E309">
            <v>74531.97</v>
          </cell>
          <cell r="G309">
            <v>0</v>
          </cell>
          <cell r="H309">
            <v>0</v>
          </cell>
          <cell r="I309">
            <v>0</v>
          </cell>
          <cell r="K309">
            <v>74531.97</v>
          </cell>
          <cell r="M309">
            <v>70400</v>
          </cell>
          <cell r="N309">
            <v>1.0586927556818182</v>
          </cell>
          <cell r="R309">
            <v>2385.02304</v>
          </cell>
          <cell r="S309">
            <v>596.25576000000001</v>
          </cell>
          <cell r="T309">
            <v>372.65985000000001</v>
          </cell>
        </row>
        <row r="310">
          <cell r="C310" t="str">
            <v>161-51</v>
          </cell>
          <cell r="D310" t="str">
            <v>CALEBE WODARSKI</v>
          </cell>
          <cell r="E310">
            <v>76645.03</v>
          </cell>
          <cell r="G310">
            <v>0</v>
          </cell>
          <cell r="H310">
            <v>0</v>
          </cell>
          <cell r="I310">
            <v>0</v>
          </cell>
          <cell r="K310">
            <v>76645.03</v>
          </cell>
          <cell r="M310">
            <v>70400</v>
          </cell>
          <cell r="N310">
            <v>1.0887078125</v>
          </cell>
          <cell r="R310">
            <v>2452.6409600000002</v>
          </cell>
          <cell r="S310">
            <v>613.16024000000004</v>
          </cell>
          <cell r="T310">
            <v>383.22514999999999</v>
          </cell>
        </row>
        <row r="311">
          <cell r="C311" t="str">
            <v>161-52</v>
          </cell>
          <cell r="D311" t="str">
            <v>DOUGLAS ILHA MARTINS</v>
          </cell>
          <cell r="E311">
            <v>27029.94</v>
          </cell>
          <cell r="G311">
            <v>0</v>
          </cell>
          <cell r="H311">
            <v>0</v>
          </cell>
          <cell r="I311">
            <v>0</v>
          </cell>
          <cell r="K311">
            <v>27029.94</v>
          </cell>
          <cell r="M311">
            <v>70400</v>
          </cell>
          <cell r="N311">
            <v>0.38394801136363632</v>
          </cell>
          <cell r="R311">
            <v>864.95808</v>
          </cell>
          <cell r="S311">
            <v>216.23952</v>
          </cell>
          <cell r="T311">
            <v>0</v>
          </cell>
        </row>
        <row r="312">
          <cell r="C312" t="str">
            <v>161-</v>
          </cell>
          <cell r="E312">
            <v>0</v>
          </cell>
          <cell r="G312">
            <v>0</v>
          </cell>
          <cell r="H312">
            <v>0</v>
          </cell>
          <cell r="I312">
            <v>0</v>
          </cell>
          <cell r="K312">
            <v>0</v>
          </cell>
          <cell r="N312">
            <v>0</v>
          </cell>
          <cell r="R312">
            <v>6075.5062400000006</v>
          </cell>
          <cell r="S312">
            <v>1518.8765600000002</v>
          </cell>
          <cell r="T312">
            <v>755.88499999999999</v>
          </cell>
        </row>
        <row r="313">
          <cell r="C313" t="str">
            <v>161-</v>
          </cell>
          <cell r="E313">
            <v>0</v>
          </cell>
          <cell r="G313">
            <v>0</v>
          </cell>
          <cell r="H313">
            <v>0</v>
          </cell>
          <cell r="I313">
            <v>0</v>
          </cell>
          <cell r="K313">
            <v>0</v>
          </cell>
          <cell r="N313">
            <v>0</v>
          </cell>
        </row>
        <row r="314">
          <cell r="C314" t="str">
            <v>161-</v>
          </cell>
          <cell r="E314">
            <v>0</v>
          </cell>
          <cell r="G314">
            <v>0</v>
          </cell>
          <cell r="H314">
            <v>0</v>
          </cell>
          <cell r="I314">
            <v>0</v>
          </cell>
          <cell r="K314">
            <v>0</v>
          </cell>
          <cell r="N314">
            <v>0</v>
          </cell>
        </row>
        <row r="315">
          <cell r="C315" t="str">
            <v>161-</v>
          </cell>
          <cell r="E315">
            <v>0</v>
          </cell>
          <cell r="G315">
            <v>0</v>
          </cell>
          <cell r="H315">
            <v>0</v>
          </cell>
          <cell r="I315">
            <v>0</v>
          </cell>
          <cell r="K315">
            <v>0</v>
          </cell>
          <cell r="N315">
            <v>0</v>
          </cell>
        </row>
        <row r="316">
          <cell r="C316" t="str">
            <v>161-</v>
          </cell>
          <cell r="E316">
            <v>0</v>
          </cell>
          <cell r="G316">
            <v>0</v>
          </cell>
          <cell r="H316">
            <v>0</v>
          </cell>
          <cell r="I316">
            <v>0</v>
          </cell>
          <cell r="K316">
            <v>0</v>
          </cell>
          <cell r="N316">
            <v>0</v>
          </cell>
        </row>
        <row r="317">
          <cell r="C317" t="str">
            <v>161-</v>
          </cell>
          <cell r="E317">
            <v>0</v>
          </cell>
          <cell r="G317">
            <v>0</v>
          </cell>
          <cell r="H317">
            <v>0</v>
          </cell>
          <cell r="I317">
            <v>0</v>
          </cell>
          <cell r="K317">
            <v>0</v>
          </cell>
          <cell r="N317">
            <v>0</v>
          </cell>
        </row>
        <row r="318">
          <cell r="C318" t="str">
            <v>Total-</v>
          </cell>
          <cell r="E318">
            <v>190375.56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190375.56</v>
          </cell>
          <cell r="M318">
            <v>253200</v>
          </cell>
        </row>
        <row r="319">
          <cell r="C319" t="str">
            <v>-</v>
          </cell>
        </row>
        <row r="320">
          <cell r="C320" t="str">
            <v>-</v>
          </cell>
        </row>
        <row r="321">
          <cell r="C321" t="str">
            <v>-</v>
          </cell>
        </row>
        <row r="322">
          <cell r="C322" t="str">
            <v>-</v>
          </cell>
        </row>
        <row r="323">
          <cell r="C323" t="str">
            <v>-</v>
          </cell>
        </row>
        <row r="324">
          <cell r="C324" t="str">
            <v>Loja-Cod</v>
          </cell>
          <cell r="D324" t="str">
            <v>Vendedor</v>
          </cell>
          <cell r="E324" t="str">
            <v>PDV</v>
          </cell>
          <cell r="F324" t="str">
            <v>Não Presencial</v>
          </cell>
          <cell r="G324" t="str">
            <v>Social Selling</v>
          </cell>
          <cell r="H324" t="str">
            <v>Cupom</v>
          </cell>
          <cell r="I324" t="str">
            <v>Pick Up</v>
          </cell>
          <cell r="J324" t="str">
            <v>Shipping</v>
          </cell>
          <cell r="K324" t="str">
            <v>Total Vendas</v>
          </cell>
          <cell r="M324" t="str">
            <v>Meta Vend</v>
          </cell>
          <cell r="N324" t="str">
            <v>% Ating</v>
          </cell>
          <cell r="P324" t="str">
            <v>Meta Loja</v>
          </cell>
          <cell r="R324" t="str">
            <v>Comissão</v>
          </cell>
          <cell r="S324" t="str">
            <v>DSR</v>
          </cell>
          <cell r="T324" t="str">
            <v>Prêmio</v>
          </cell>
        </row>
        <row r="325">
          <cell r="C325" t="str">
            <v>166-1</v>
          </cell>
          <cell r="D325" t="str">
            <v>BRUNO HENRIQUE FIGUEIRA NOTARANGELI</v>
          </cell>
          <cell r="E325">
            <v>2015.94</v>
          </cell>
          <cell r="G325">
            <v>0</v>
          </cell>
          <cell r="H325">
            <v>0</v>
          </cell>
          <cell r="I325">
            <v>0</v>
          </cell>
          <cell r="K325">
            <v>2015.94</v>
          </cell>
          <cell r="N325">
            <v>0</v>
          </cell>
          <cell r="P325">
            <v>250000</v>
          </cell>
          <cell r="R325">
            <v>0</v>
          </cell>
          <cell r="S325">
            <v>0</v>
          </cell>
        </row>
        <row r="326">
          <cell r="C326" t="str">
            <v>166-8</v>
          </cell>
          <cell r="D326" t="str">
            <v>MARIANA DE SOUZA ARAL</v>
          </cell>
          <cell r="E326">
            <v>60859.88</v>
          </cell>
          <cell r="G326">
            <v>0</v>
          </cell>
          <cell r="H326">
            <v>0</v>
          </cell>
          <cell r="I326">
            <v>0</v>
          </cell>
          <cell r="K326">
            <v>60859.88</v>
          </cell>
          <cell r="M326">
            <v>68750</v>
          </cell>
          <cell r="N326">
            <v>0.88523461818181814</v>
          </cell>
          <cell r="R326">
            <v>1947.5161599999999</v>
          </cell>
          <cell r="S326">
            <v>486.87903999999997</v>
          </cell>
        </row>
        <row r="327">
          <cell r="C327" t="str">
            <v>166-22</v>
          </cell>
          <cell r="D327" t="str">
            <v>CEILA DE OLIVEIRA RODRIGUES</v>
          </cell>
          <cell r="E327">
            <v>61698.34</v>
          </cell>
          <cell r="G327">
            <v>0</v>
          </cell>
          <cell r="H327">
            <v>0</v>
          </cell>
          <cell r="I327">
            <v>0</v>
          </cell>
          <cell r="K327">
            <v>61698.34</v>
          </cell>
          <cell r="M327">
            <v>68750</v>
          </cell>
          <cell r="N327">
            <v>0.89743039999999996</v>
          </cell>
          <cell r="R327">
            <v>1974.3468799999998</v>
          </cell>
          <cell r="S327">
            <v>493.58671999999996</v>
          </cell>
        </row>
        <row r="328">
          <cell r="C328" t="str">
            <v>166-34</v>
          </cell>
          <cell r="D328" t="str">
            <v>BRAULIO RIBEIRO MARQUEZ</v>
          </cell>
          <cell r="E328">
            <v>58005.34</v>
          </cell>
          <cell r="G328">
            <v>0</v>
          </cell>
          <cell r="H328">
            <v>0</v>
          </cell>
          <cell r="I328">
            <v>0</v>
          </cell>
          <cell r="K328">
            <v>58005.34</v>
          </cell>
          <cell r="M328">
            <v>68750</v>
          </cell>
          <cell r="N328">
            <v>0.84371403636363629</v>
          </cell>
          <cell r="R328">
            <v>1856.1708799999999</v>
          </cell>
          <cell r="S328">
            <v>464.04271999999997</v>
          </cell>
        </row>
        <row r="329">
          <cell r="C329" t="str">
            <v>166-39</v>
          </cell>
          <cell r="D329" t="str">
            <v>00039 - JHONNY LUCAS COCIAN CARVALHO</v>
          </cell>
          <cell r="E329">
            <v>36364.94</v>
          </cell>
          <cell r="G329">
            <v>0</v>
          </cell>
          <cell r="H329">
            <v>0</v>
          </cell>
          <cell r="I329">
            <v>0</v>
          </cell>
          <cell r="K329">
            <v>36364.94</v>
          </cell>
          <cell r="M329">
            <v>68750</v>
          </cell>
          <cell r="N329">
            <v>0.52894458181818182</v>
          </cell>
          <cell r="R329">
            <v>1163.6780800000001</v>
          </cell>
          <cell r="S329">
            <v>290.91952000000003</v>
          </cell>
        </row>
        <row r="330">
          <cell r="C330" t="str">
            <v>166-</v>
          </cell>
          <cell r="E330">
            <v>0</v>
          </cell>
          <cell r="G330">
            <v>0</v>
          </cell>
          <cell r="H330">
            <v>0</v>
          </cell>
          <cell r="I330">
            <v>0</v>
          </cell>
          <cell r="K330">
            <v>0</v>
          </cell>
          <cell r="N330">
            <v>0</v>
          </cell>
        </row>
        <row r="331">
          <cell r="C331" t="str">
            <v>166-</v>
          </cell>
          <cell r="E331">
            <v>0</v>
          </cell>
          <cell r="G331">
            <v>0</v>
          </cell>
          <cell r="H331">
            <v>0</v>
          </cell>
          <cell r="I331">
            <v>0</v>
          </cell>
          <cell r="K331">
            <v>0</v>
          </cell>
          <cell r="N331">
            <v>0</v>
          </cell>
          <cell r="R331">
            <v>6941.7119999999995</v>
          </cell>
          <cell r="S331">
            <v>1735.4279999999999</v>
          </cell>
          <cell r="T331">
            <v>0</v>
          </cell>
        </row>
        <row r="332">
          <cell r="C332" t="str">
            <v>166-</v>
          </cell>
          <cell r="E332">
            <v>0</v>
          </cell>
          <cell r="G332">
            <v>0</v>
          </cell>
          <cell r="H332">
            <v>0</v>
          </cell>
          <cell r="I332">
            <v>0</v>
          </cell>
          <cell r="K332">
            <v>0</v>
          </cell>
          <cell r="N332">
            <v>0</v>
          </cell>
        </row>
        <row r="333">
          <cell r="C333" t="str">
            <v>166-</v>
          </cell>
          <cell r="E333">
            <v>0</v>
          </cell>
          <cell r="G333">
            <v>0</v>
          </cell>
          <cell r="H333">
            <v>0</v>
          </cell>
          <cell r="I333">
            <v>0</v>
          </cell>
          <cell r="K333">
            <v>0</v>
          </cell>
          <cell r="N333">
            <v>0</v>
          </cell>
        </row>
        <row r="334">
          <cell r="C334" t="str">
            <v>166-</v>
          </cell>
          <cell r="E334">
            <v>0</v>
          </cell>
          <cell r="G334">
            <v>0</v>
          </cell>
          <cell r="H334">
            <v>0</v>
          </cell>
          <cell r="I334">
            <v>0</v>
          </cell>
          <cell r="K334">
            <v>0</v>
          </cell>
          <cell r="N334">
            <v>0</v>
          </cell>
        </row>
        <row r="335">
          <cell r="C335" t="str">
            <v>166-</v>
          </cell>
          <cell r="E335">
            <v>0</v>
          </cell>
          <cell r="G335">
            <v>0</v>
          </cell>
          <cell r="H335">
            <v>0</v>
          </cell>
          <cell r="I335">
            <v>0</v>
          </cell>
          <cell r="K335">
            <v>0</v>
          </cell>
          <cell r="N335">
            <v>0</v>
          </cell>
        </row>
        <row r="336">
          <cell r="C336" t="str">
            <v>Total-</v>
          </cell>
          <cell r="E336">
            <v>218944.44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218944.44</v>
          </cell>
          <cell r="M336">
            <v>275000</v>
          </cell>
        </row>
        <row r="337">
          <cell r="C337" t="str">
            <v>-</v>
          </cell>
        </row>
        <row r="338">
          <cell r="C338" t="str">
            <v>-</v>
          </cell>
        </row>
        <row r="339">
          <cell r="C339" t="str">
            <v>-</v>
          </cell>
        </row>
        <row r="340">
          <cell r="C340" t="str">
            <v>-</v>
          </cell>
        </row>
        <row r="341">
          <cell r="C341" t="str">
            <v>-</v>
          </cell>
        </row>
        <row r="342">
          <cell r="C342" t="str">
            <v>-</v>
          </cell>
        </row>
        <row r="343">
          <cell r="C343" t="str">
            <v>Loja-Cod</v>
          </cell>
          <cell r="D343" t="str">
            <v>Vendedor</v>
          </cell>
          <cell r="E343" t="str">
            <v>PDV</v>
          </cell>
          <cell r="F343" t="str">
            <v>Não Presencial</v>
          </cell>
          <cell r="G343" t="str">
            <v>Social Selling</v>
          </cell>
          <cell r="H343" t="str">
            <v>Cupom</v>
          </cell>
          <cell r="I343" t="str">
            <v>Pick Up</v>
          </cell>
          <cell r="J343" t="str">
            <v>Shipping</v>
          </cell>
          <cell r="K343" t="str">
            <v>Total Vendas</v>
          </cell>
          <cell r="M343" t="str">
            <v>Meta Vend</v>
          </cell>
          <cell r="N343" t="str">
            <v>% Ating</v>
          </cell>
          <cell r="P343" t="str">
            <v>Meta Loja</v>
          </cell>
          <cell r="R343" t="str">
            <v>Comissão</v>
          </cell>
          <cell r="S343" t="str">
            <v>DSR</v>
          </cell>
          <cell r="T343" t="str">
            <v>Prêmio</v>
          </cell>
        </row>
        <row r="344">
          <cell r="C344" t="str">
            <v>169-1</v>
          </cell>
          <cell r="D344" t="str">
            <v>TATIANE MENDES NASCIMENTO</v>
          </cell>
          <cell r="E344">
            <v>78275.820000000007</v>
          </cell>
          <cell r="G344">
            <v>0</v>
          </cell>
          <cell r="H344">
            <v>0</v>
          </cell>
          <cell r="I344">
            <v>0</v>
          </cell>
          <cell r="K344">
            <v>78275.820000000007</v>
          </cell>
          <cell r="M344">
            <v>62334</v>
          </cell>
          <cell r="N344">
            <v>1.2557483877177786</v>
          </cell>
          <cell r="P344">
            <v>340000</v>
          </cell>
          <cell r="R344">
            <v>2504.8262400000003</v>
          </cell>
          <cell r="S344">
            <v>626.20656000000008</v>
          </cell>
          <cell r="T344">
            <v>391.37910000000005</v>
          </cell>
        </row>
        <row r="345">
          <cell r="C345" t="str">
            <v>169-7</v>
          </cell>
          <cell r="D345" t="str">
            <v>LEONARDO CASTRO DA PAIXAO</v>
          </cell>
          <cell r="E345">
            <v>67242.2</v>
          </cell>
          <cell r="G345">
            <v>0</v>
          </cell>
          <cell r="H345">
            <v>1299.99</v>
          </cell>
          <cell r="I345">
            <v>0</v>
          </cell>
          <cell r="K345">
            <v>68542.19</v>
          </cell>
          <cell r="M345">
            <v>62334</v>
          </cell>
          <cell r="N345">
            <v>1.0995955658228254</v>
          </cell>
          <cell r="R345">
            <v>2193.3500800000002</v>
          </cell>
          <cell r="S345">
            <v>548.33752000000004</v>
          </cell>
          <cell r="T345">
            <v>342.71095000000003</v>
          </cell>
        </row>
        <row r="346">
          <cell r="C346" t="str">
            <v>169-31</v>
          </cell>
          <cell r="D346" t="str">
            <v>00031 - JOSE VITOR SILVA TROIAN</v>
          </cell>
          <cell r="E346">
            <v>47042.84</v>
          </cell>
          <cell r="G346">
            <v>0</v>
          </cell>
          <cell r="H346">
            <v>0</v>
          </cell>
          <cell r="I346">
            <v>0</v>
          </cell>
          <cell r="K346">
            <v>47042.84</v>
          </cell>
          <cell r="M346">
            <v>62334</v>
          </cell>
          <cell r="N346">
            <v>0.75468989636474471</v>
          </cell>
          <cell r="R346">
            <v>1505.3708799999999</v>
          </cell>
          <cell r="S346">
            <v>376.34271999999999</v>
          </cell>
          <cell r="T346">
            <v>0</v>
          </cell>
        </row>
        <row r="347">
          <cell r="C347" t="str">
            <v>169-37</v>
          </cell>
          <cell r="D347" t="str">
            <v>00037 - MATHEUS MARTINS VIEIRA</v>
          </cell>
          <cell r="E347">
            <v>70842.039999999994</v>
          </cell>
          <cell r="G347">
            <v>0</v>
          </cell>
          <cell r="H347">
            <v>0</v>
          </cell>
          <cell r="I347">
            <v>0</v>
          </cell>
          <cell r="K347">
            <v>70842.039999999994</v>
          </cell>
          <cell r="M347">
            <v>62334</v>
          </cell>
          <cell r="N347">
            <v>1.1364911605223473</v>
          </cell>
          <cell r="R347">
            <v>2266.9452799999999</v>
          </cell>
          <cell r="S347">
            <v>566.73631999999998</v>
          </cell>
          <cell r="T347">
            <v>354.21019999999999</v>
          </cell>
        </row>
        <row r="348">
          <cell r="C348" t="str">
            <v>169-38</v>
          </cell>
          <cell r="D348" t="str">
            <v>00038 - RAFAEL GOVONI</v>
          </cell>
          <cell r="E348">
            <v>56503.69</v>
          </cell>
          <cell r="G348">
            <v>0</v>
          </cell>
          <cell r="H348">
            <v>0</v>
          </cell>
          <cell r="I348">
            <v>0</v>
          </cell>
          <cell r="K348">
            <v>56503.69</v>
          </cell>
          <cell r="M348">
            <v>62334</v>
          </cell>
          <cell r="N348">
            <v>0.90646661533031736</v>
          </cell>
          <cell r="R348">
            <v>1808.1180800000002</v>
          </cell>
          <cell r="S348">
            <v>452.02952000000005</v>
          </cell>
          <cell r="T348">
            <v>0</v>
          </cell>
        </row>
        <row r="349">
          <cell r="C349" t="str">
            <v>169-41</v>
          </cell>
          <cell r="D349" t="str">
            <v>LUIZ ANTONIO SILVEIRA</v>
          </cell>
          <cell r="E349">
            <v>53357.79</v>
          </cell>
          <cell r="G349">
            <v>0</v>
          </cell>
          <cell r="H349">
            <v>0</v>
          </cell>
          <cell r="I349">
            <v>0</v>
          </cell>
          <cell r="K349">
            <v>53357.79</v>
          </cell>
          <cell r="M349">
            <v>62334</v>
          </cell>
          <cell r="N349">
            <v>0.85599817114255461</v>
          </cell>
          <cell r="R349">
            <v>1707.44928</v>
          </cell>
          <cell r="S349">
            <v>426.86232000000001</v>
          </cell>
          <cell r="T349">
            <v>0</v>
          </cell>
        </row>
        <row r="350">
          <cell r="C350" t="str">
            <v>169-99</v>
          </cell>
          <cell r="D350" t="str">
            <v xml:space="preserve">JOSE FELIX </v>
          </cell>
          <cell r="E350">
            <v>1234.93</v>
          </cell>
          <cell r="G350">
            <v>0</v>
          </cell>
          <cell r="H350">
            <v>0</v>
          </cell>
          <cell r="I350">
            <v>0</v>
          </cell>
          <cell r="K350">
            <v>1234.93</v>
          </cell>
          <cell r="N350">
            <v>0</v>
          </cell>
          <cell r="R350">
            <v>0</v>
          </cell>
          <cell r="S350">
            <v>0</v>
          </cell>
          <cell r="T350">
            <v>0</v>
          </cell>
        </row>
        <row r="351">
          <cell r="C351" t="str">
            <v>169-</v>
          </cell>
          <cell r="E351">
            <v>0</v>
          </cell>
          <cell r="G351">
            <v>0</v>
          </cell>
          <cell r="H351">
            <v>0</v>
          </cell>
          <cell r="I351">
            <v>0</v>
          </cell>
          <cell r="K351">
            <v>0</v>
          </cell>
          <cell r="N351">
            <v>0</v>
          </cell>
          <cell r="R351">
            <v>11986.059840000002</v>
          </cell>
          <cell r="S351">
            <v>2996.5149600000004</v>
          </cell>
          <cell r="T351">
            <v>1088.30025</v>
          </cell>
        </row>
        <row r="352">
          <cell r="C352" t="str">
            <v>169-</v>
          </cell>
          <cell r="E352">
            <v>0</v>
          </cell>
          <cell r="G352">
            <v>0</v>
          </cell>
          <cell r="H352">
            <v>0</v>
          </cell>
          <cell r="I352">
            <v>0</v>
          </cell>
          <cell r="K352">
            <v>0</v>
          </cell>
          <cell r="N352">
            <v>0</v>
          </cell>
        </row>
        <row r="353">
          <cell r="C353" t="str">
            <v>169-</v>
          </cell>
          <cell r="E353">
            <v>0</v>
          </cell>
          <cell r="G353">
            <v>0</v>
          </cell>
          <cell r="H353">
            <v>0</v>
          </cell>
          <cell r="I353">
            <v>0</v>
          </cell>
          <cell r="K353">
            <v>0</v>
          </cell>
          <cell r="N353">
            <v>0</v>
          </cell>
        </row>
        <row r="354">
          <cell r="C354" t="str">
            <v>169-</v>
          </cell>
          <cell r="E354">
            <v>0</v>
          </cell>
          <cell r="G354">
            <v>0</v>
          </cell>
          <cell r="H354">
            <v>0</v>
          </cell>
          <cell r="I354">
            <v>0</v>
          </cell>
          <cell r="K354">
            <v>0</v>
          </cell>
          <cell r="N354">
            <v>0</v>
          </cell>
        </row>
        <row r="355">
          <cell r="C355" t="str">
            <v>Total-</v>
          </cell>
          <cell r="E355">
            <v>374499.31</v>
          </cell>
          <cell r="F355">
            <v>0</v>
          </cell>
          <cell r="G355">
            <v>0</v>
          </cell>
          <cell r="H355">
            <v>1299.99</v>
          </cell>
          <cell r="I355">
            <v>0</v>
          </cell>
          <cell r="J355">
            <v>0</v>
          </cell>
          <cell r="K355">
            <v>375799.3</v>
          </cell>
          <cell r="M355">
            <v>374004</v>
          </cell>
        </row>
        <row r="356">
          <cell r="C356" t="str">
            <v>-</v>
          </cell>
        </row>
        <row r="357">
          <cell r="C357" t="str">
            <v>-</v>
          </cell>
        </row>
        <row r="358">
          <cell r="C358" t="str">
            <v>-</v>
          </cell>
        </row>
        <row r="359">
          <cell r="C359" t="str">
            <v>-</v>
          </cell>
        </row>
        <row r="360">
          <cell r="C360" t="str">
            <v>-</v>
          </cell>
        </row>
        <row r="361">
          <cell r="C361" t="str">
            <v>Loja-Cod</v>
          </cell>
          <cell r="D361" t="str">
            <v>Vendedor</v>
          </cell>
          <cell r="E361" t="str">
            <v>PDV</v>
          </cell>
          <cell r="F361" t="str">
            <v>Não Presencial</v>
          </cell>
          <cell r="G361" t="str">
            <v>Social Selling</v>
          </cell>
          <cell r="H361" t="str">
            <v>Cupom</v>
          </cell>
          <cell r="I361" t="str">
            <v>Pick Up</v>
          </cell>
          <cell r="J361" t="str">
            <v>Shipping</v>
          </cell>
          <cell r="K361" t="str">
            <v>Total Vendas</v>
          </cell>
          <cell r="M361" t="str">
            <v>Meta Vend</v>
          </cell>
          <cell r="N361" t="str">
            <v>% Ating</v>
          </cell>
          <cell r="P361" t="str">
            <v>Meta Loja</v>
          </cell>
          <cell r="R361" t="str">
            <v>Comissão</v>
          </cell>
          <cell r="S361" t="str">
            <v>DSR</v>
          </cell>
          <cell r="T361" t="str">
            <v>Prêmio</v>
          </cell>
        </row>
        <row r="362">
          <cell r="C362" t="str">
            <v>173-23</v>
          </cell>
          <cell r="D362" t="str">
            <v>THAIS DE OLIVEIRA FELIX DAVID</v>
          </cell>
          <cell r="E362">
            <v>62369.5</v>
          </cell>
          <cell r="G362">
            <v>0</v>
          </cell>
          <cell r="H362">
            <v>0</v>
          </cell>
          <cell r="I362">
            <v>0</v>
          </cell>
          <cell r="K362">
            <v>62369.5</v>
          </cell>
          <cell r="M362">
            <v>61600</v>
          </cell>
          <cell r="N362">
            <v>1.0124918831168832</v>
          </cell>
          <cell r="P362">
            <v>280000</v>
          </cell>
          <cell r="R362">
            <v>2307.6715000000004</v>
          </cell>
          <cell r="S362">
            <v>576.91787500000009</v>
          </cell>
          <cell r="T362">
            <v>311.84750000000003</v>
          </cell>
        </row>
        <row r="363">
          <cell r="C363" t="str">
            <v>173-26</v>
          </cell>
          <cell r="D363" t="str">
            <v>ANDRESSA RIBEIRO DOS SANTOS</v>
          </cell>
          <cell r="E363">
            <v>65341.02</v>
          </cell>
          <cell r="G363">
            <v>0</v>
          </cell>
          <cell r="H363">
            <v>0</v>
          </cell>
          <cell r="I363">
            <v>549.99</v>
          </cell>
          <cell r="K363">
            <v>65891.009999999995</v>
          </cell>
          <cell r="M363">
            <v>61600</v>
          </cell>
          <cell r="N363">
            <v>1.0696592532467533</v>
          </cell>
          <cell r="R363">
            <v>2437.9673700000003</v>
          </cell>
          <cell r="S363">
            <v>609.49184250000008</v>
          </cell>
          <cell r="T363">
            <v>329.45504999999997</v>
          </cell>
        </row>
        <row r="364">
          <cell r="C364" t="str">
            <v>173-34</v>
          </cell>
          <cell r="D364" t="str">
            <v xml:space="preserve">LUCAS DOS SANTOS AMARO SILVA </v>
          </cell>
          <cell r="E364">
            <v>43917.86</v>
          </cell>
          <cell r="G364">
            <v>0</v>
          </cell>
          <cell r="H364">
            <v>0</v>
          </cell>
          <cell r="I364">
            <v>299.99</v>
          </cell>
          <cell r="K364">
            <v>44217.85</v>
          </cell>
          <cell r="M364">
            <v>61600</v>
          </cell>
          <cell r="N364">
            <v>0.71782224025974029</v>
          </cell>
          <cell r="R364">
            <v>1414.9712</v>
          </cell>
          <cell r="S364">
            <v>353.74279999999999</v>
          </cell>
          <cell r="T364">
            <v>0</v>
          </cell>
        </row>
        <row r="365">
          <cell r="C365" t="str">
            <v>173-35</v>
          </cell>
          <cell r="D365" t="str">
            <v>THIAGO HENRIQUE FRANCA DA SILVA</v>
          </cell>
          <cell r="E365">
            <v>2494.38</v>
          </cell>
          <cell r="G365">
            <v>0</v>
          </cell>
          <cell r="H365">
            <v>0</v>
          </cell>
          <cell r="I365">
            <v>0</v>
          </cell>
          <cell r="K365">
            <v>2494.38</v>
          </cell>
          <cell r="N365">
            <v>0</v>
          </cell>
          <cell r="R365">
            <v>0</v>
          </cell>
          <cell r="S365">
            <v>0</v>
          </cell>
          <cell r="T365">
            <v>0</v>
          </cell>
        </row>
        <row r="366">
          <cell r="C366" t="str">
            <v>173-38</v>
          </cell>
          <cell r="D366" t="str">
            <v>00038 - DAVISON DE JESUS SANTOS</v>
          </cell>
          <cell r="E366">
            <v>57072.7</v>
          </cell>
          <cell r="G366">
            <v>0</v>
          </cell>
          <cell r="H366">
            <v>0</v>
          </cell>
          <cell r="I366">
            <v>1899.98</v>
          </cell>
          <cell r="K366">
            <v>58972.68</v>
          </cell>
          <cell r="M366">
            <v>61600</v>
          </cell>
          <cell r="N366">
            <v>0.95734870129870131</v>
          </cell>
          <cell r="R366">
            <v>1887.1257600000001</v>
          </cell>
          <cell r="S366">
            <v>471.78144000000003</v>
          </cell>
          <cell r="T366">
            <v>0</v>
          </cell>
        </row>
        <row r="367">
          <cell r="C367" t="str">
            <v>173-41</v>
          </cell>
          <cell r="D367" t="str">
            <v>WALLESKY KLEBER TEIXEIRA DE ARAUJO</v>
          </cell>
          <cell r="E367">
            <v>27186.46</v>
          </cell>
          <cell r="G367">
            <v>0</v>
          </cell>
          <cell r="H367">
            <v>0</v>
          </cell>
          <cell r="I367">
            <v>0</v>
          </cell>
          <cell r="K367">
            <v>27186.46</v>
          </cell>
          <cell r="M367">
            <v>61600</v>
          </cell>
          <cell r="N367">
            <v>0.44133863636363635</v>
          </cell>
          <cell r="R367">
            <v>869.96672000000001</v>
          </cell>
          <cell r="S367">
            <v>217.49168</v>
          </cell>
          <cell r="T367">
            <v>0</v>
          </cell>
        </row>
        <row r="368">
          <cell r="C368" t="str">
            <v>173-</v>
          </cell>
          <cell r="E368">
            <v>0</v>
          </cell>
          <cell r="G368">
            <v>0</v>
          </cell>
          <cell r="H368">
            <v>0</v>
          </cell>
          <cell r="I368">
            <v>0</v>
          </cell>
          <cell r="K368">
            <v>0</v>
          </cell>
          <cell r="N368">
            <v>0</v>
          </cell>
          <cell r="R368">
            <v>8917.70255</v>
          </cell>
          <cell r="S368">
            <v>2229.4256375</v>
          </cell>
          <cell r="T368">
            <v>641.30255</v>
          </cell>
        </row>
        <row r="369">
          <cell r="C369" t="str">
            <v>173-</v>
          </cell>
          <cell r="E369">
            <v>0</v>
          </cell>
          <cell r="G369">
            <v>0</v>
          </cell>
          <cell r="H369">
            <v>0</v>
          </cell>
          <cell r="I369">
            <v>0</v>
          </cell>
          <cell r="K369">
            <v>0</v>
          </cell>
          <cell r="N369">
            <v>0</v>
          </cell>
        </row>
        <row r="370">
          <cell r="C370" t="str">
            <v>173-</v>
          </cell>
          <cell r="E370">
            <v>0</v>
          </cell>
          <cell r="G370">
            <v>0</v>
          </cell>
          <cell r="H370">
            <v>0</v>
          </cell>
          <cell r="I370">
            <v>0</v>
          </cell>
          <cell r="K370">
            <v>0</v>
          </cell>
          <cell r="N370">
            <v>0</v>
          </cell>
        </row>
        <row r="371">
          <cell r="C371" t="str">
            <v>173-</v>
          </cell>
          <cell r="E371">
            <v>0</v>
          </cell>
          <cell r="G371">
            <v>0</v>
          </cell>
          <cell r="H371">
            <v>0</v>
          </cell>
          <cell r="I371">
            <v>0</v>
          </cell>
          <cell r="K371">
            <v>0</v>
          </cell>
          <cell r="N371">
            <v>0</v>
          </cell>
        </row>
        <row r="372">
          <cell r="C372" t="str">
            <v>173-</v>
          </cell>
          <cell r="E372">
            <v>0</v>
          </cell>
          <cell r="G372">
            <v>0</v>
          </cell>
          <cell r="H372">
            <v>0</v>
          </cell>
          <cell r="I372">
            <v>0</v>
          </cell>
          <cell r="K372">
            <v>0</v>
          </cell>
          <cell r="N372">
            <v>0</v>
          </cell>
        </row>
        <row r="373">
          <cell r="C373" t="str">
            <v>Total-</v>
          </cell>
          <cell r="E373">
            <v>258381.92</v>
          </cell>
          <cell r="F373">
            <v>0</v>
          </cell>
          <cell r="G373">
            <v>0</v>
          </cell>
          <cell r="H373">
            <v>0</v>
          </cell>
          <cell r="I373">
            <v>2749.96</v>
          </cell>
          <cell r="J373">
            <v>0</v>
          </cell>
          <cell r="K373">
            <v>261131.87999999998</v>
          </cell>
          <cell r="M373">
            <v>308000</v>
          </cell>
        </row>
        <row r="374">
          <cell r="C374" t="str">
            <v>-</v>
          </cell>
        </row>
        <row r="375">
          <cell r="C375" t="str">
            <v>-</v>
          </cell>
        </row>
        <row r="376">
          <cell r="C376" t="str">
            <v>-</v>
          </cell>
        </row>
        <row r="377">
          <cell r="C377" t="str">
            <v>-</v>
          </cell>
        </row>
        <row r="378">
          <cell r="C378" t="str">
            <v>-</v>
          </cell>
        </row>
        <row r="379">
          <cell r="C379" t="str">
            <v>Loja-Cod</v>
          </cell>
          <cell r="D379" t="str">
            <v>Vendedor</v>
          </cell>
          <cell r="E379" t="str">
            <v>PDV</v>
          </cell>
          <cell r="F379" t="str">
            <v>Não Presencial</v>
          </cell>
          <cell r="G379" t="str">
            <v>Social Selling</v>
          </cell>
          <cell r="H379" t="str">
            <v>Cupom</v>
          </cell>
          <cell r="I379" t="str">
            <v>Pick Up</v>
          </cell>
          <cell r="J379" t="str">
            <v>Shipping</v>
          </cell>
          <cell r="K379" t="str">
            <v>Total Vendas</v>
          </cell>
          <cell r="M379" t="str">
            <v>Meta Vend</v>
          </cell>
          <cell r="N379" t="str">
            <v>% Ating</v>
          </cell>
          <cell r="P379" t="str">
            <v>Meta Loja</v>
          </cell>
          <cell r="R379" t="str">
            <v>Comissão</v>
          </cell>
          <cell r="S379" t="str">
            <v>DSR</v>
          </cell>
          <cell r="T379" t="str">
            <v>Prêmio</v>
          </cell>
        </row>
        <row r="380">
          <cell r="C380" t="str">
            <v>175-1</v>
          </cell>
          <cell r="D380" t="str">
            <v>WALLACY BELTRAO DA COSTA</v>
          </cell>
          <cell r="E380">
            <v>15654.29</v>
          </cell>
          <cell r="G380">
            <v>0</v>
          </cell>
          <cell r="H380">
            <v>0</v>
          </cell>
          <cell r="I380">
            <v>0</v>
          </cell>
          <cell r="K380">
            <v>15654.29</v>
          </cell>
          <cell r="M380">
            <v>20000</v>
          </cell>
          <cell r="N380">
            <v>0.78271450000000009</v>
          </cell>
          <cell r="P380">
            <v>350000</v>
          </cell>
          <cell r="R380">
            <v>438.32011999999997</v>
          </cell>
          <cell r="S380">
            <v>109.58002999999999</v>
          </cell>
          <cell r="T380">
            <v>0</v>
          </cell>
        </row>
        <row r="381">
          <cell r="C381" t="str">
            <v>175-3</v>
          </cell>
          <cell r="D381" t="str">
            <v>LARISSA FONTENELLE BARROS</v>
          </cell>
          <cell r="E381">
            <v>70788.81</v>
          </cell>
          <cell r="G381">
            <v>0</v>
          </cell>
          <cell r="H381">
            <v>0</v>
          </cell>
          <cell r="I381">
            <v>0</v>
          </cell>
          <cell r="K381">
            <v>70788.81</v>
          </cell>
          <cell r="M381">
            <v>91250</v>
          </cell>
          <cell r="N381">
            <v>0.77576778082191777</v>
          </cell>
          <cell r="R381">
            <v>1982.0866799999997</v>
          </cell>
          <cell r="S381">
            <v>495.52166999999992</v>
          </cell>
          <cell r="T381">
            <v>0</v>
          </cell>
        </row>
        <row r="382">
          <cell r="C382" t="str">
            <v>175-6</v>
          </cell>
          <cell r="D382" t="str">
            <v>MATHEUS RUIZ ABRANTES</v>
          </cell>
          <cell r="E382">
            <v>70354.58</v>
          </cell>
          <cell r="G382">
            <v>0</v>
          </cell>
          <cell r="H382">
            <v>599.98</v>
          </cell>
          <cell r="I382">
            <v>0</v>
          </cell>
          <cell r="K382">
            <v>70954.559999999998</v>
          </cell>
          <cell r="M382">
            <v>91250</v>
          </cell>
          <cell r="N382">
            <v>0.77758421917808218</v>
          </cell>
          <cell r="R382">
            <v>1986.7276799999997</v>
          </cell>
          <cell r="S382">
            <v>496.68191999999993</v>
          </cell>
          <cell r="T382">
            <v>0</v>
          </cell>
        </row>
        <row r="383">
          <cell r="C383" t="str">
            <v>175-11</v>
          </cell>
          <cell r="D383" t="str">
            <v>IGOR MANOEL AMARO DA SILVA</v>
          </cell>
          <cell r="E383">
            <v>92683.71</v>
          </cell>
          <cell r="G383">
            <v>0</v>
          </cell>
          <cell r="H383">
            <v>2344.91</v>
          </cell>
          <cell r="I383">
            <v>0</v>
          </cell>
          <cell r="K383">
            <v>95028.62000000001</v>
          </cell>
          <cell r="M383">
            <v>91250</v>
          </cell>
          <cell r="N383">
            <v>1.0414095342465755</v>
          </cell>
          <cell r="R383">
            <v>3135.9444600000006</v>
          </cell>
          <cell r="S383">
            <v>783.98611500000015</v>
          </cell>
          <cell r="T383">
            <v>475.14310000000006</v>
          </cell>
        </row>
        <row r="384">
          <cell r="C384" t="str">
            <v>175-13</v>
          </cell>
          <cell r="D384" t="str">
            <v>BRUNO DOS SANTOS MARIANO BARBOSA</v>
          </cell>
          <cell r="E384">
            <v>51101.97</v>
          </cell>
          <cell r="G384">
            <v>0</v>
          </cell>
          <cell r="H384">
            <v>0</v>
          </cell>
          <cell r="I384">
            <v>0</v>
          </cell>
          <cell r="K384">
            <v>51101.97</v>
          </cell>
          <cell r="M384">
            <v>91250</v>
          </cell>
          <cell r="N384">
            <v>0.56002158904109589</v>
          </cell>
          <cell r="R384">
            <v>1430.8551599999998</v>
          </cell>
          <cell r="S384">
            <v>357.71378999999996</v>
          </cell>
          <cell r="T384">
            <v>0</v>
          </cell>
        </row>
        <row r="385">
          <cell r="C385" t="str">
            <v>175-777</v>
          </cell>
          <cell r="E385">
            <v>917.93</v>
          </cell>
          <cell r="G385">
            <v>0</v>
          </cell>
          <cell r="H385">
            <v>0</v>
          </cell>
          <cell r="I385">
            <v>0</v>
          </cell>
          <cell r="K385">
            <v>917.93</v>
          </cell>
          <cell r="N385">
            <v>0</v>
          </cell>
          <cell r="R385">
            <v>0</v>
          </cell>
          <cell r="S385">
            <v>0</v>
          </cell>
          <cell r="T385">
            <v>0</v>
          </cell>
        </row>
        <row r="386">
          <cell r="C386" t="str">
            <v>175-</v>
          </cell>
          <cell r="E386">
            <v>0</v>
          </cell>
          <cell r="G386">
            <v>0</v>
          </cell>
          <cell r="H386">
            <v>0</v>
          </cell>
          <cell r="I386">
            <v>0</v>
          </cell>
          <cell r="K386">
            <v>0</v>
          </cell>
          <cell r="N386">
            <v>0</v>
          </cell>
          <cell r="R386">
            <v>8973.9341000000004</v>
          </cell>
          <cell r="S386">
            <v>2243.4835250000001</v>
          </cell>
          <cell r="T386">
            <v>475.14310000000006</v>
          </cell>
        </row>
        <row r="387">
          <cell r="C387" t="str">
            <v>175-</v>
          </cell>
          <cell r="E387">
            <v>0</v>
          </cell>
          <cell r="G387">
            <v>0</v>
          </cell>
          <cell r="H387">
            <v>0</v>
          </cell>
          <cell r="I387">
            <v>0</v>
          </cell>
          <cell r="K387">
            <v>0</v>
          </cell>
          <cell r="N387">
            <v>0</v>
          </cell>
        </row>
        <row r="388">
          <cell r="C388" t="str">
            <v>175-</v>
          </cell>
          <cell r="E388">
            <v>0</v>
          </cell>
          <cell r="G388">
            <v>0</v>
          </cell>
          <cell r="H388">
            <v>0</v>
          </cell>
          <cell r="I388">
            <v>0</v>
          </cell>
          <cell r="K388">
            <v>0</v>
          </cell>
          <cell r="N388">
            <v>0</v>
          </cell>
        </row>
        <row r="389">
          <cell r="C389" t="str">
            <v>175-</v>
          </cell>
          <cell r="E389">
            <v>0</v>
          </cell>
          <cell r="G389">
            <v>0</v>
          </cell>
          <cell r="H389">
            <v>0</v>
          </cell>
          <cell r="I389">
            <v>0</v>
          </cell>
          <cell r="K389">
            <v>0</v>
          </cell>
          <cell r="N389">
            <v>0</v>
          </cell>
        </row>
        <row r="390">
          <cell r="C390" t="str">
            <v>175-</v>
          </cell>
          <cell r="E390">
            <v>0</v>
          </cell>
          <cell r="G390">
            <v>0</v>
          </cell>
          <cell r="H390">
            <v>0</v>
          </cell>
          <cell r="I390">
            <v>0</v>
          </cell>
          <cell r="K390">
            <v>0</v>
          </cell>
          <cell r="N390">
            <v>0</v>
          </cell>
        </row>
        <row r="391">
          <cell r="C391" t="str">
            <v>Total-</v>
          </cell>
          <cell r="E391">
            <v>301501.28999999998</v>
          </cell>
          <cell r="F391">
            <v>0</v>
          </cell>
          <cell r="G391">
            <v>0</v>
          </cell>
          <cell r="H391">
            <v>2944.89</v>
          </cell>
          <cell r="I391">
            <v>0</v>
          </cell>
          <cell r="J391">
            <v>0</v>
          </cell>
          <cell r="K391">
            <v>304446.18</v>
          </cell>
          <cell r="M391">
            <v>385000</v>
          </cell>
        </row>
        <row r="392">
          <cell r="C392" t="str">
            <v>-</v>
          </cell>
        </row>
        <row r="393">
          <cell r="C393" t="str">
            <v>-</v>
          </cell>
        </row>
        <row r="394">
          <cell r="C394" t="str">
            <v>-</v>
          </cell>
        </row>
        <row r="395">
          <cell r="C395" t="str">
            <v>Loja-Cod</v>
          </cell>
          <cell r="D395" t="str">
            <v>Vendedor</v>
          </cell>
          <cell r="E395" t="str">
            <v>PDV</v>
          </cell>
          <cell r="F395" t="str">
            <v>Não Presencial</v>
          </cell>
          <cell r="G395" t="str">
            <v>Social Selling</v>
          </cell>
          <cell r="H395" t="str">
            <v>Cupom</v>
          </cell>
          <cell r="I395" t="str">
            <v>Pick Up</v>
          </cell>
          <cell r="J395" t="str">
            <v>Shipping</v>
          </cell>
          <cell r="K395" t="str">
            <v>Total Vendas</v>
          </cell>
          <cell r="M395" t="str">
            <v>Meta Vend</v>
          </cell>
          <cell r="N395" t="str">
            <v>% Ating</v>
          </cell>
          <cell r="P395" t="str">
            <v>Meta Loja</v>
          </cell>
          <cell r="R395" t="str">
            <v>Comissão</v>
          </cell>
          <cell r="S395" t="str">
            <v>DSR</v>
          </cell>
          <cell r="T395" t="str">
            <v>Prêmio</v>
          </cell>
        </row>
        <row r="396">
          <cell r="C396" t="str">
            <v>179-2</v>
          </cell>
          <cell r="D396" t="str">
            <v>00002 - ANA PAULA CONCEICAO GONCALVES</v>
          </cell>
          <cell r="E396">
            <v>84965.54</v>
          </cell>
          <cell r="G396">
            <v>0</v>
          </cell>
          <cell r="H396">
            <v>0</v>
          </cell>
          <cell r="I396">
            <v>0</v>
          </cell>
          <cell r="K396">
            <v>84965.54</v>
          </cell>
          <cell r="M396">
            <v>79200</v>
          </cell>
          <cell r="N396">
            <v>1.0727972222222222</v>
          </cell>
          <cell r="P396">
            <v>360000</v>
          </cell>
          <cell r="R396">
            <v>2803.8628199999998</v>
          </cell>
          <cell r="S396">
            <v>700.96570499999996</v>
          </cell>
          <cell r="T396">
            <v>424.82769999999999</v>
          </cell>
        </row>
        <row r="397">
          <cell r="C397" t="str">
            <v>179-3</v>
          </cell>
          <cell r="D397" t="str">
            <v>00003 - DIEGO GONCALVES LOPES</v>
          </cell>
          <cell r="E397">
            <v>104021.93</v>
          </cell>
          <cell r="G397">
            <v>0</v>
          </cell>
          <cell r="H397">
            <v>0</v>
          </cell>
          <cell r="I397">
            <v>0</v>
          </cell>
          <cell r="K397">
            <v>104021.93</v>
          </cell>
          <cell r="M397">
            <v>79200</v>
          </cell>
          <cell r="N397">
            <v>1.3134082070707069</v>
          </cell>
          <cell r="R397">
            <v>3536.7456200000001</v>
          </cell>
          <cell r="S397">
            <v>884.18640500000004</v>
          </cell>
          <cell r="T397">
            <v>520.10964999999999</v>
          </cell>
        </row>
        <row r="398">
          <cell r="C398" t="str">
            <v>179-4</v>
          </cell>
          <cell r="D398" t="str">
            <v>00004 - ENRIQUE VAZQUEZ GARCIA</v>
          </cell>
          <cell r="E398">
            <v>31514.41</v>
          </cell>
          <cell r="G398">
            <v>0</v>
          </cell>
          <cell r="H398">
            <v>0</v>
          </cell>
          <cell r="I398">
            <v>0</v>
          </cell>
          <cell r="K398">
            <v>31514.41</v>
          </cell>
          <cell r="M398">
            <v>79200</v>
          </cell>
          <cell r="N398">
            <v>0.39790921717171718</v>
          </cell>
          <cell r="R398">
            <v>724.83142999999995</v>
          </cell>
          <cell r="S398">
            <v>181.20785749999999</v>
          </cell>
          <cell r="T398">
            <v>0</v>
          </cell>
        </row>
        <row r="399">
          <cell r="C399" t="str">
            <v>179-16</v>
          </cell>
          <cell r="D399" t="str">
            <v>00016 - JONATHAN GOMES</v>
          </cell>
          <cell r="E399">
            <v>87935.37</v>
          </cell>
          <cell r="G399">
            <v>0</v>
          </cell>
          <cell r="H399">
            <v>0</v>
          </cell>
          <cell r="I399">
            <v>0</v>
          </cell>
          <cell r="K399">
            <v>87935.37</v>
          </cell>
          <cell r="M399">
            <v>79200</v>
          </cell>
          <cell r="N399">
            <v>1.1102950757575758</v>
          </cell>
          <cell r="R399">
            <v>2901.8672099999999</v>
          </cell>
          <cell r="S399">
            <v>725.46680249999997</v>
          </cell>
          <cell r="T399">
            <v>439.67685</v>
          </cell>
        </row>
        <row r="400">
          <cell r="C400" t="str">
            <v>179-18</v>
          </cell>
          <cell r="D400" t="str">
            <v>WANDERLEY SILVEIRA JUNIOR</v>
          </cell>
          <cell r="E400">
            <v>83682.429999999993</v>
          </cell>
          <cell r="G400">
            <v>0</v>
          </cell>
          <cell r="H400">
            <v>0</v>
          </cell>
          <cell r="I400">
            <v>0</v>
          </cell>
          <cell r="K400">
            <v>83682.429999999993</v>
          </cell>
          <cell r="M400">
            <v>79200</v>
          </cell>
          <cell r="N400">
            <v>1.0565963383838384</v>
          </cell>
          <cell r="R400">
            <v>2761.5201899999997</v>
          </cell>
          <cell r="S400">
            <v>690.38004749999993</v>
          </cell>
          <cell r="T400">
            <v>418.41215</v>
          </cell>
        </row>
        <row r="401">
          <cell r="C401" t="str">
            <v>179-57</v>
          </cell>
          <cell r="E401">
            <v>385.97</v>
          </cell>
          <cell r="G401">
            <v>0</v>
          </cell>
          <cell r="H401">
            <v>0</v>
          </cell>
          <cell r="I401">
            <v>0</v>
          </cell>
          <cell r="K401">
            <v>385.97</v>
          </cell>
          <cell r="N401">
            <v>0</v>
          </cell>
          <cell r="R401">
            <v>0</v>
          </cell>
          <cell r="S401">
            <v>0</v>
          </cell>
          <cell r="T401">
            <v>0</v>
          </cell>
        </row>
        <row r="402">
          <cell r="C402" t="str">
            <v>179-</v>
          </cell>
          <cell r="E402">
            <v>0</v>
          </cell>
          <cell r="G402">
            <v>0</v>
          </cell>
          <cell r="H402">
            <v>0</v>
          </cell>
          <cell r="I402">
            <v>0</v>
          </cell>
          <cell r="K402">
            <v>0</v>
          </cell>
          <cell r="N402">
            <v>0</v>
          </cell>
          <cell r="R402">
            <v>12728.82727</v>
          </cell>
          <cell r="S402">
            <v>3182.2068174999999</v>
          </cell>
          <cell r="T402">
            <v>1803.0263500000001</v>
          </cell>
        </row>
        <row r="403">
          <cell r="C403" t="str">
            <v>179-</v>
          </cell>
          <cell r="E403">
            <v>0</v>
          </cell>
          <cell r="G403">
            <v>0</v>
          </cell>
          <cell r="H403">
            <v>0</v>
          </cell>
          <cell r="I403">
            <v>0</v>
          </cell>
          <cell r="K403">
            <v>0</v>
          </cell>
          <cell r="N403">
            <v>0</v>
          </cell>
        </row>
        <row r="404">
          <cell r="C404" t="str">
            <v>179-</v>
          </cell>
          <cell r="E404">
            <v>0</v>
          </cell>
          <cell r="G404">
            <v>0</v>
          </cell>
          <cell r="H404">
            <v>0</v>
          </cell>
          <cell r="I404">
            <v>0</v>
          </cell>
          <cell r="K404">
            <v>0</v>
          </cell>
          <cell r="N404">
            <v>0</v>
          </cell>
        </row>
        <row r="405">
          <cell r="C405" t="str">
            <v>179-</v>
          </cell>
          <cell r="E405">
            <v>0</v>
          </cell>
          <cell r="G405">
            <v>0</v>
          </cell>
          <cell r="H405">
            <v>0</v>
          </cell>
          <cell r="I405">
            <v>0</v>
          </cell>
          <cell r="K405">
            <v>0</v>
          </cell>
          <cell r="N405">
            <v>0</v>
          </cell>
        </row>
        <row r="406">
          <cell r="C406" t="str">
            <v>179-</v>
          </cell>
          <cell r="E406">
            <v>0</v>
          </cell>
          <cell r="G406">
            <v>0</v>
          </cell>
          <cell r="H406">
            <v>0</v>
          </cell>
          <cell r="I406">
            <v>0</v>
          </cell>
          <cell r="K406">
            <v>0</v>
          </cell>
          <cell r="N406">
            <v>0</v>
          </cell>
        </row>
        <row r="407">
          <cell r="C407" t="str">
            <v>Total-</v>
          </cell>
          <cell r="E407">
            <v>392505.64999999997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392505.64999999997</v>
          </cell>
          <cell r="M407">
            <v>396000</v>
          </cell>
        </row>
        <row r="408">
          <cell r="C408" t="str">
            <v>-</v>
          </cell>
        </row>
        <row r="409">
          <cell r="C409" t="str">
            <v>-</v>
          </cell>
        </row>
        <row r="410">
          <cell r="C410" t="str">
            <v>-</v>
          </cell>
        </row>
        <row r="411">
          <cell r="C411" t="str">
            <v>-</v>
          </cell>
        </row>
        <row r="412">
          <cell r="C412" t="str">
            <v>Loja-Cod</v>
          </cell>
          <cell r="D412" t="str">
            <v>Vendedor</v>
          </cell>
          <cell r="E412" t="str">
            <v>PDV</v>
          </cell>
          <cell r="F412" t="str">
            <v>Não Presencial</v>
          </cell>
          <cell r="G412" t="str">
            <v>Social Selling</v>
          </cell>
          <cell r="H412" t="str">
            <v>Cupom</v>
          </cell>
          <cell r="I412" t="str">
            <v>Pick Up</v>
          </cell>
          <cell r="J412" t="str">
            <v>Shipping</v>
          </cell>
          <cell r="K412" t="str">
            <v>Total Vendas</v>
          </cell>
          <cell r="M412" t="str">
            <v>Meta Vend</v>
          </cell>
          <cell r="N412" t="str">
            <v>% Ating</v>
          </cell>
          <cell r="P412" t="str">
            <v>Meta Loja</v>
          </cell>
          <cell r="R412" t="str">
            <v>Comissão</v>
          </cell>
          <cell r="S412" t="str">
            <v>DSR</v>
          </cell>
          <cell r="T412" t="str">
            <v>Prêmio</v>
          </cell>
        </row>
        <row r="413">
          <cell r="C413" t="str">
            <v>181-1</v>
          </cell>
          <cell r="D413" t="str">
            <v>00001 - RODRIGO PARANHOS DIAS</v>
          </cell>
          <cell r="E413">
            <v>143910.68</v>
          </cell>
          <cell r="G413">
            <v>0</v>
          </cell>
          <cell r="H413">
            <v>0</v>
          </cell>
          <cell r="I413">
            <v>0</v>
          </cell>
          <cell r="K413">
            <v>143910.68</v>
          </cell>
          <cell r="M413">
            <v>122500</v>
          </cell>
          <cell r="N413">
            <v>1.1747810612244898</v>
          </cell>
          <cell r="P413">
            <v>890000</v>
          </cell>
          <cell r="R413">
            <v>4029.4990399999992</v>
          </cell>
          <cell r="S413">
            <v>1007.3747599999998</v>
          </cell>
          <cell r="T413">
            <v>719.55340000000001</v>
          </cell>
        </row>
        <row r="414">
          <cell r="C414" t="str">
            <v>181-2</v>
          </cell>
          <cell r="D414" t="str">
            <v>00002 - ALEF FERNANDES ARAUJO MARTINS</v>
          </cell>
          <cell r="E414">
            <v>130271.79</v>
          </cell>
          <cell r="G414">
            <v>0</v>
          </cell>
          <cell r="H414">
            <v>0</v>
          </cell>
          <cell r="I414">
            <v>0</v>
          </cell>
          <cell r="K414">
            <v>130271.79</v>
          </cell>
          <cell r="M414">
            <v>122500</v>
          </cell>
          <cell r="N414">
            <v>1.0634431836734692</v>
          </cell>
          <cell r="R414">
            <v>3647.6101199999994</v>
          </cell>
          <cell r="S414">
            <v>911.90252999999984</v>
          </cell>
          <cell r="T414">
            <v>651.35894999999994</v>
          </cell>
        </row>
        <row r="415">
          <cell r="C415" t="str">
            <v>181-12</v>
          </cell>
          <cell r="E415">
            <v>3945.54</v>
          </cell>
          <cell r="G415">
            <v>0</v>
          </cell>
          <cell r="H415">
            <v>0</v>
          </cell>
          <cell r="I415">
            <v>0</v>
          </cell>
          <cell r="K415">
            <v>3945.54</v>
          </cell>
          <cell r="N415">
            <v>0</v>
          </cell>
          <cell r="R415">
            <v>0</v>
          </cell>
          <cell r="S415">
            <v>0</v>
          </cell>
          <cell r="T415">
            <v>0</v>
          </cell>
        </row>
        <row r="416">
          <cell r="C416" t="str">
            <v>181-13</v>
          </cell>
          <cell r="D416" t="str">
            <v xml:space="preserve">00013 - TULIO CESAR DE ALMEIDA       </v>
          </cell>
          <cell r="E416">
            <v>123440.77</v>
          </cell>
          <cell r="G416">
            <v>0</v>
          </cell>
          <cell r="H416">
            <v>0</v>
          </cell>
          <cell r="I416">
            <v>0</v>
          </cell>
          <cell r="K416">
            <v>123440.77</v>
          </cell>
          <cell r="M416">
            <v>122500</v>
          </cell>
          <cell r="N416">
            <v>1.0076797551020409</v>
          </cell>
          <cell r="R416">
            <v>3456.3415599999998</v>
          </cell>
          <cell r="S416">
            <v>864.08538999999996</v>
          </cell>
          <cell r="T416">
            <v>617.20384999999999</v>
          </cell>
        </row>
        <row r="417">
          <cell r="C417" t="str">
            <v>181-16</v>
          </cell>
          <cell r="D417" t="str">
            <v>00016 - GERMANO ROSENTHAL CAETANO BELFORT</v>
          </cell>
          <cell r="E417">
            <v>129183.14</v>
          </cell>
          <cell r="G417">
            <v>0</v>
          </cell>
          <cell r="H417">
            <v>0</v>
          </cell>
          <cell r="I417">
            <v>0</v>
          </cell>
          <cell r="K417">
            <v>129183.14</v>
          </cell>
          <cell r="M417">
            <v>122500</v>
          </cell>
          <cell r="N417">
            <v>1.0545562448979591</v>
          </cell>
          <cell r="R417">
            <v>3617.1279199999994</v>
          </cell>
          <cell r="S417">
            <v>904.28197999999986</v>
          </cell>
          <cell r="T417">
            <v>645.91570000000002</v>
          </cell>
        </row>
        <row r="418">
          <cell r="C418" t="str">
            <v>181-18</v>
          </cell>
          <cell r="D418" t="str">
            <v>00018 - GILSON SANTOS MOTA JUNIOR</v>
          </cell>
          <cell r="E418">
            <v>81020.06</v>
          </cell>
          <cell r="G418">
            <v>0</v>
          </cell>
          <cell r="H418">
            <v>0</v>
          </cell>
          <cell r="I418">
            <v>0</v>
          </cell>
          <cell r="K418">
            <v>81020.06</v>
          </cell>
          <cell r="M418">
            <v>122500</v>
          </cell>
          <cell r="N418">
            <v>0.66138824489795911</v>
          </cell>
          <cell r="R418">
            <v>2268.5616799999998</v>
          </cell>
          <cell r="S418">
            <v>567.14041999999995</v>
          </cell>
          <cell r="T418">
            <v>0</v>
          </cell>
        </row>
        <row r="419">
          <cell r="C419" t="str">
            <v>181-19</v>
          </cell>
          <cell r="D419" t="str">
            <v>00019 - SILMARA ROCHA</v>
          </cell>
          <cell r="E419">
            <v>73637.490000000005</v>
          </cell>
          <cell r="G419">
            <v>0</v>
          </cell>
          <cell r="H419">
            <v>0</v>
          </cell>
          <cell r="I419">
            <v>0</v>
          </cell>
          <cell r="K419">
            <v>73637.490000000005</v>
          </cell>
          <cell r="M419">
            <v>122500</v>
          </cell>
          <cell r="N419">
            <v>0.6011223673469388</v>
          </cell>
          <cell r="R419">
            <v>2061.8497200000002</v>
          </cell>
          <cell r="S419">
            <v>515.46243000000004</v>
          </cell>
          <cell r="T419">
            <v>0</v>
          </cell>
        </row>
        <row r="420">
          <cell r="C420" t="str">
            <v>181-30</v>
          </cell>
          <cell r="D420" t="str">
            <v>LUCAS CARVALHO GOMES</v>
          </cell>
          <cell r="E420">
            <v>57776.82</v>
          </cell>
          <cell r="G420">
            <v>0</v>
          </cell>
          <cell r="H420">
            <v>0</v>
          </cell>
          <cell r="I420">
            <v>0</v>
          </cell>
          <cell r="K420">
            <v>57776.82</v>
          </cell>
          <cell r="M420">
            <v>122500</v>
          </cell>
          <cell r="N420">
            <v>0.47164751020408163</v>
          </cell>
          <cell r="R420">
            <v>1617.7509599999998</v>
          </cell>
          <cell r="S420">
            <v>404.43773999999996</v>
          </cell>
          <cell r="T420">
            <v>0</v>
          </cell>
        </row>
        <row r="421">
          <cell r="C421" t="str">
            <v>181-33</v>
          </cell>
          <cell r="D421" t="str">
            <v>ALEX GASPAR DE MACEDO</v>
          </cell>
          <cell r="E421">
            <v>79020.320000000007</v>
          </cell>
          <cell r="G421">
            <v>0</v>
          </cell>
          <cell r="H421">
            <v>0</v>
          </cell>
          <cell r="I421">
            <v>0</v>
          </cell>
          <cell r="K421">
            <v>79020.320000000007</v>
          </cell>
          <cell r="M421">
            <v>122500</v>
          </cell>
          <cell r="N421">
            <v>0.64506383673469392</v>
          </cell>
          <cell r="R421">
            <v>2212.5689600000001</v>
          </cell>
          <cell r="S421">
            <v>553.14224000000002</v>
          </cell>
          <cell r="T421">
            <v>0</v>
          </cell>
        </row>
        <row r="422">
          <cell r="C422" t="str">
            <v>181-</v>
          </cell>
          <cell r="E422">
            <v>0</v>
          </cell>
          <cell r="G422">
            <v>0</v>
          </cell>
          <cell r="H422">
            <v>0</v>
          </cell>
          <cell r="I422">
            <v>0</v>
          </cell>
          <cell r="K422">
            <v>0</v>
          </cell>
          <cell r="N422">
            <v>0</v>
          </cell>
          <cell r="R422">
            <v>22911.309959999999</v>
          </cell>
          <cell r="S422">
            <v>5727.8274899999997</v>
          </cell>
          <cell r="T422">
            <v>2634.0319</v>
          </cell>
        </row>
        <row r="423">
          <cell r="C423" t="str">
            <v>181-</v>
          </cell>
          <cell r="E423">
            <v>0</v>
          </cell>
          <cell r="G423">
            <v>0</v>
          </cell>
          <cell r="H423">
            <v>0</v>
          </cell>
          <cell r="I423">
            <v>0</v>
          </cell>
          <cell r="K423">
            <v>0</v>
          </cell>
          <cell r="N423">
            <v>0</v>
          </cell>
        </row>
        <row r="424">
          <cell r="C424" t="str">
            <v>181-</v>
          </cell>
          <cell r="E424">
            <v>0</v>
          </cell>
          <cell r="G424">
            <v>0</v>
          </cell>
          <cell r="H424">
            <v>0</v>
          </cell>
          <cell r="I424">
            <v>0</v>
          </cell>
          <cell r="K424">
            <v>0</v>
          </cell>
          <cell r="N424">
            <v>0</v>
          </cell>
        </row>
        <row r="425">
          <cell r="C425" t="str">
            <v>181-</v>
          </cell>
          <cell r="E425">
            <v>0</v>
          </cell>
          <cell r="G425">
            <v>0</v>
          </cell>
          <cell r="H425">
            <v>0</v>
          </cell>
          <cell r="I425">
            <v>0</v>
          </cell>
          <cell r="K425">
            <v>0</v>
          </cell>
          <cell r="N425">
            <v>0</v>
          </cell>
        </row>
        <row r="426">
          <cell r="C426" t="str">
            <v>Total-</v>
          </cell>
          <cell r="E426">
            <v>822206.60999999987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822206.60999999987</v>
          </cell>
          <cell r="M426">
            <v>980000</v>
          </cell>
        </row>
        <row r="427">
          <cell r="C427" t="str">
            <v>-</v>
          </cell>
        </row>
        <row r="428">
          <cell r="C428" t="str">
            <v>-</v>
          </cell>
        </row>
        <row r="429">
          <cell r="C429" t="str">
            <v>-</v>
          </cell>
        </row>
        <row r="430">
          <cell r="C430" t="str">
            <v>Loja-Cod</v>
          </cell>
          <cell r="D430" t="str">
            <v>Vendedor</v>
          </cell>
          <cell r="E430" t="str">
            <v>PDV</v>
          </cell>
          <cell r="F430" t="str">
            <v>Não Presencial</v>
          </cell>
          <cell r="G430" t="str">
            <v>Social Selling</v>
          </cell>
          <cell r="H430" t="str">
            <v>Cupom</v>
          </cell>
          <cell r="I430" t="str">
            <v>Pick Up</v>
          </cell>
          <cell r="J430" t="str">
            <v>Shipping</v>
          </cell>
          <cell r="K430" t="str">
            <v>Total Vendas</v>
          </cell>
          <cell r="M430" t="str">
            <v>Meta Vend</v>
          </cell>
          <cell r="N430" t="str">
            <v>% Ating</v>
          </cell>
          <cell r="P430" t="str">
            <v>Meta Loja</v>
          </cell>
          <cell r="R430" t="str">
            <v>Comissão</v>
          </cell>
          <cell r="S430" t="str">
            <v>DSR</v>
          </cell>
          <cell r="T430" t="str">
            <v>Prêmio</v>
          </cell>
        </row>
        <row r="431">
          <cell r="C431" t="str">
            <v>183-1</v>
          </cell>
          <cell r="D431" t="str">
            <v>00001 - KAROLINE SIQUEIRA DE AGUIAR MONTEIRO</v>
          </cell>
          <cell r="E431">
            <v>39589.29</v>
          </cell>
          <cell r="G431">
            <v>0</v>
          </cell>
          <cell r="H431">
            <v>649.99</v>
          </cell>
          <cell r="I431">
            <v>0</v>
          </cell>
          <cell r="K431">
            <v>40239.279999999999</v>
          </cell>
          <cell r="M431">
            <v>70500</v>
          </cell>
          <cell r="N431">
            <v>0.57076992907801416</v>
          </cell>
          <cell r="P431">
            <v>360000</v>
          </cell>
          <cell r="R431">
            <v>1126.6998399999998</v>
          </cell>
          <cell r="S431">
            <v>281.67495999999994</v>
          </cell>
          <cell r="T431">
            <v>0</v>
          </cell>
        </row>
        <row r="432">
          <cell r="C432" t="str">
            <v>183-5</v>
          </cell>
          <cell r="D432" t="str">
            <v>00005 -  RAPHAEL HENRIQUE SILVA</v>
          </cell>
          <cell r="E432">
            <v>53662.35</v>
          </cell>
          <cell r="G432">
            <v>0</v>
          </cell>
          <cell r="H432">
            <v>0</v>
          </cell>
          <cell r="I432">
            <v>0</v>
          </cell>
          <cell r="K432">
            <v>53662.35</v>
          </cell>
          <cell r="M432">
            <v>70500</v>
          </cell>
          <cell r="N432">
            <v>0.76116808510638301</v>
          </cell>
          <cell r="R432">
            <v>1502.5457999999999</v>
          </cell>
          <cell r="S432">
            <v>375.63644999999997</v>
          </cell>
          <cell r="T432">
            <v>0</v>
          </cell>
        </row>
        <row r="433">
          <cell r="C433" t="str">
            <v>183-8</v>
          </cell>
          <cell r="E433">
            <v>40711.199999999997</v>
          </cell>
          <cell r="G433">
            <v>0</v>
          </cell>
          <cell r="H433">
            <v>0</v>
          </cell>
          <cell r="I433">
            <v>0</v>
          </cell>
          <cell r="K433">
            <v>40711.199999999997</v>
          </cell>
          <cell r="M433">
            <v>70500</v>
          </cell>
          <cell r="N433">
            <v>0.57746382978723398</v>
          </cell>
          <cell r="R433">
            <v>1139.9135999999999</v>
          </cell>
          <cell r="S433">
            <v>284.97839999999997</v>
          </cell>
          <cell r="T433">
            <v>0</v>
          </cell>
        </row>
        <row r="434">
          <cell r="C434" t="str">
            <v>183-14</v>
          </cell>
          <cell r="D434" t="str">
            <v>ARLANICSON FONSECA JUNIOR</v>
          </cell>
          <cell r="E434">
            <v>53084.13</v>
          </cell>
          <cell r="G434">
            <v>0</v>
          </cell>
          <cell r="H434">
            <v>0</v>
          </cell>
          <cell r="I434">
            <v>0</v>
          </cell>
          <cell r="K434">
            <v>53084.13</v>
          </cell>
          <cell r="M434">
            <v>70500</v>
          </cell>
          <cell r="N434">
            <v>0.75296638297872331</v>
          </cell>
          <cell r="R434">
            <v>1486.3556399999998</v>
          </cell>
          <cell r="S434">
            <v>371.58890999999994</v>
          </cell>
          <cell r="T434">
            <v>0</v>
          </cell>
        </row>
        <row r="435">
          <cell r="C435" t="str">
            <v>183-15</v>
          </cell>
          <cell r="D435" t="str">
            <v>VINICIUS MOREIRA COSSI</v>
          </cell>
          <cell r="E435">
            <v>82406.37</v>
          </cell>
          <cell r="G435">
            <v>0</v>
          </cell>
          <cell r="H435">
            <v>0</v>
          </cell>
          <cell r="I435">
            <v>0</v>
          </cell>
          <cell r="K435">
            <v>82406.37</v>
          </cell>
          <cell r="M435">
            <v>70500</v>
          </cell>
          <cell r="N435">
            <v>1.1688846808510638</v>
          </cell>
          <cell r="R435">
            <v>2307.3783599999997</v>
          </cell>
          <cell r="S435">
            <v>576.84458999999993</v>
          </cell>
          <cell r="T435">
            <v>412.03184999999996</v>
          </cell>
        </row>
        <row r="436">
          <cell r="C436" t="str">
            <v>183-16</v>
          </cell>
          <cell r="E436">
            <v>28405.87</v>
          </cell>
          <cell r="G436">
            <v>0</v>
          </cell>
          <cell r="H436">
            <v>0</v>
          </cell>
          <cell r="I436">
            <v>0</v>
          </cell>
          <cell r="K436">
            <v>28405.87</v>
          </cell>
          <cell r="M436">
            <v>43560</v>
          </cell>
          <cell r="N436">
            <v>0.65210904499540856</v>
          </cell>
          <cell r="R436">
            <v>795.36435999999992</v>
          </cell>
          <cell r="S436">
            <v>198.84108999999998</v>
          </cell>
          <cell r="T436">
            <v>0</v>
          </cell>
        </row>
        <row r="437">
          <cell r="C437" t="str">
            <v>183-777</v>
          </cell>
          <cell r="E437">
            <v>1552.89</v>
          </cell>
          <cell r="G437">
            <v>0</v>
          </cell>
          <cell r="H437">
            <v>0</v>
          </cell>
          <cell r="I437">
            <v>0</v>
          </cell>
          <cell r="K437">
            <v>1552.89</v>
          </cell>
          <cell r="N437">
            <v>0</v>
          </cell>
          <cell r="R437">
            <v>0</v>
          </cell>
          <cell r="S437">
            <v>0</v>
          </cell>
          <cell r="T437">
            <v>0</v>
          </cell>
        </row>
        <row r="438">
          <cell r="C438" t="str">
            <v>183-</v>
          </cell>
          <cell r="E438">
            <v>0</v>
          </cell>
          <cell r="G438">
            <v>0</v>
          </cell>
          <cell r="H438">
            <v>0</v>
          </cell>
          <cell r="I438">
            <v>0</v>
          </cell>
          <cell r="K438">
            <v>0</v>
          </cell>
          <cell r="N438">
            <v>0</v>
          </cell>
          <cell r="R438">
            <v>8358.257599999999</v>
          </cell>
          <cell r="S438">
            <v>2089.5643999999998</v>
          </cell>
          <cell r="T438">
            <v>412.03184999999996</v>
          </cell>
        </row>
        <row r="439">
          <cell r="C439" t="str">
            <v>183-</v>
          </cell>
          <cell r="E439">
            <v>0</v>
          </cell>
          <cell r="G439">
            <v>0</v>
          </cell>
          <cell r="H439">
            <v>0</v>
          </cell>
          <cell r="I439">
            <v>0</v>
          </cell>
          <cell r="K439">
            <v>0</v>
          </cell>
          <cell r="N439">
            <v>0</v>
          </cell>
        </row>
        <row r="440">
          <cell r="C440" t="str">
            <v>183-</v>
          </cell>
          <cell r="E440">
            <v>0</v>
          </cell>
          <cell r="G440">
            <v>0</v>
          </cell>
          <cell r="H440">
            <v>0</v>
          </cell>
          <cell r="I440">
            <v>0</v>
          </cell>
          <cell r="K440">
            <v>0</v>
          </cell>
          <cell r="N440">
            <v>0</v>
          </cell>
        </row>
        <row r="441">
          <cell r="C441" t="str">
            <v>183-</v>
          </cell>
          <cell r="E441">
            <v>0</v>
          </cell>
          <cell r="G441">
            <v>0</v>
          </cell>
          <cell r="H441">
            <v>0</v>
          </cell>
          <cell r="I441">
            <v>0</v>
          </cell>
          <cell r="K441">
            <v>0</v>
          </cell>
          <cell r="N441">
            <v>0</v>
          </cell>
        </row>
        <row r="442">
          <cell r="C442" t="str">
            <v>183-</v>
          </cell>
          <cell r="E442">
            <v>0</v>
          </cell>
          <cell r="G442">
            <v>0</v>
          </cell>
          <cell r="H442">
            <v>0</v>
          </cell>
          <cell r="I442">
            <v>0</v>
          </cell>
          <cell r="K442">
            <v>0</v>
          </cell>
          <cell r="N442">
            <v>0</v>
          </cell>
        </row>
        <row r="443">
          <cell r="C443" t="str">
            <v>183-</v>
          </cell>
          <cell r="E443">
            <v>0</v>
          </cell>
          <cell r="G443">
            <v>0</v>
          </cell>
          <cell r="H443">
            <v>0</v>
          </cell>
          <cell r="I443">
            <v>0</v>
          </cell>
          <cell r="K443">
            <v>0</v>
          </cell>
          <cell r="N443">
            <v>0</v>
          </cell>
        </row>
        <row r="444">
          <cell r="C444" t="str">
            <v>Total-</v>
          </cell>
          <cell r="E444">
            <v>299412.09999999998</v>
          </cell>
          <cell r="F444">
            <v>0</v>
          </cell>
          <cell r="G444">
            <v>0</v>
          </cell>
          <cell r="H444">
            <v>649.99</v>
          </cell>
          <cell r="I444">
            <v>0</v>
          </cell>
          <cell r="J444">
            <v>0</v>
          </cell>
          <cell r="K444">
            <v>300062.09000000003</v>
          </cell>
          <cell r="M444">
            <v>396060</v>
          </cell>
        </row>
        <row r="445">
          <cell r="C445" t="str">
            <v>-</v>
          </cell>
        </row>
        <row r="446">
          <cell r="C446" t="str">
            <v>-</v>
          </cell>
        </row>
        <row r="447">
          <cell r="C447" t="str">
            <v>-</v>
          </cell>
        </row>
        <row r="448">
          <cell r="C448" t="str">
            <v>Loja-Cod</v>
          </cell>
          <cell r="D448" t="str">
            <v>Vendedor</v>
          </cell>
          <cell r="E448" t="str">
            <v>PDV</v>
          </cell>
          <cell r="F448" t="str">
            <v>Não Presencial</v>
          </cell>
          <cell r="G448" t="str">
            <v>Social Selling</v>
          </cell>
          <cell r="H448" t="str">
            <v>Cupom</v>
          </cell>
          <cell r="I448" t="str">
            <v>Pick Up</v>
          </cell>
          <cell r="J448" t="str">
            <v>Shipping</v>
          </cell>
          <cell r="K448" t="str">
            <v>Total Vendas</v>
          </cell>
          <cell r="M448" t="str">
            <v>Meta Vend</v>
          </cell>
          <cell r="N448" t="str">
            <v>% Ating</v>
          </cell>
          <cell r="P448" t="str">
            <v>Meta Loja</v>
          </cell>
          <cell r="R448" t="str">
            <v>Comissão</v>
          </cell>
          <cell r="S448" t="str">
            <v>DSR</v>
          </cell>
          <cell r="T448" t="str">
            <v>Prêmio</v>
          </cell>
        </row>
        <row r="449">
          <cell r="C449" t="str">
            <v>185-1</v>
          </cell>
          <cell r="D449" t="str">
            <v>CARMECITA HELENA DA SILVA</v>
          </cell>
          <cell r="E449">
            <v>1929.91</v>
          </cell>
          <cell r="G449">
            <v>0</v>
          </cell>
          <cell r="H449">
            <v>0</v>
          </cell>
          <cell r="I449">
            <v>0</v>
          </cell>
          <cell r="K449">
            <v>1929.91</v>
          </cell>
          <cell r="N449">
            <v>0</v>
          </cell>
          <cell r="P449">
            <v>433000</v>
          </cell>
          <cell r="R449">
            <v>0</v>
          </cell>
          <cell r="S449">
            <v>0</v>
          </cell>
          <cell r="T449">
            <v>0</v>
          </cell>
        </row>
        <row r="450">
          <cell r="C450" t="str">
            <v>185-2</v>
          </cell>
          <cell r="D450" t="str">
            <v>HELOISA VITORIA CINTRA DE ARAUJO</v>
          </cell>
          <cell r="E450">
            <v>51971.77</v>
          </cell>
          <cell r="G450">
            <v>0</v>
          </cell>
          <cell r="H450">
            <v>79.989999999999995</v>
          </cell>
          <cell r="I450">
            <v>0</v>
          </cell>
          <cell r="K450">
            <v>52051.759999999995</v>
          </cell>
          <cell r="M450">
            <v>68043</v>
          </cell>
          <cell r="N450">
            <v>0.76498331937157382</v>
          </cell>
          <cell r="R450">
            <v>1457.4492799999996</v>
          </cell>
          <cell r="S450">
            <v>364.3623199999999</v>
          </cell>
          <cell r="T450">
            <v>0</v>
          </cell>
        </row>
        <row r="451">
          <cell r="C451" t="str">
            <v>185-5</v>
          </cell>
          <cell r="D451" t="str">
            <v>WAGNER LEANDRO PINHEIRO DE FARIAS</v>
          </cell>
          <cell r="E451">
            <v>59908.68</v>
          </cell>
          <cell r="G451">
            <v>0</v>
          </cell>
          <cell r="H451">
            <v>0</v>
          </cell>
          <cell r="I451">
            <v>0</v>
          </cell>
          <cell r="K451">
            <v>59908.68</v>
          </cell>
          <cell r="M451">
            <v>68043</v>
          </cell>
          <cell r="N451">
            <v>0.8804532428023456</v>
          </cell>
          <cell r="R451">
            <v>1677.4430399999999</v>
          </cell>
          <cell r="S451">
            <v>419.36075999999997</v>
          </cell>
          <cell r="T451">
            <v>0</v>
          </cell>
        </row>
        <row r="452">
          <cell r="C452" t="str">
            <v>185-6</v>
          </cell>
          <cell r="D452" t="str">
            <v>ABRAAO PEREIRA DA SILVA</v>
          </cell>
          <cell r="E452">
            <v>43724.160000000003</v>
          </cell>
          <cell r="G452">
            <v>0</v>
          </cell>
          <cell r="H452">
            <v>0</v>
          </cell>
          <cell r="I452">
            <v>0</v>
          </cell>
          <cell r="K452">
            <v>43724.160000000003</v>
          </cell>
          <cell r="M452">
            <v>68043</v>
          </cell>
          <cell r="N452">
            <v>0.64259600546713114</v>
          </cell>
          <cell r="R452">
            <v>1224.27648</v>
          </cell>
          <cell r="S452">
            <v>306.06912</v>
          </cell>
          <cell r="T452">
            <v>0</v>
          </cell>
        </row>
        <row r="453">
          <cell r="C453" t="str">
            <v>185-7</v>
          </cell>
          <cell r="D453" t="str">
            <v>FELIPE PAULINO DA SILVA</v>
          </cell>
          <cell r="E453">
            <v>30782.06</v>
          </cell>
          <cell r="G453">
            <v>0</v>
          </cell>
          <cell r="H453">
            <v>0</v>
          </cell>
          <cell r="I453">
            <v>0</v>
          </cell>
          <cell r="K453">
            <v>30782.06</v>
          </cell>
          <cell r="M453">
            <v>68043</v>
          </cell>
          <cell r="N453">
            <v>0.45239128198345169</v>
          </cell>
          <cell r="R453">
            <v>861.89767999999992</v>
          </cell>
          <cell r="S453">
            <v>215.47441999999998</v>
          </cell>
          <cell r="T453">
            <v>0</v>
          </cell>
        </row>
        <row r="454">
          <cell r="C454" t="str">
            <v>185-8</v>
          </cell>
          <cell r="D454" t="str">
            <v>URSULA NATACHA SOBRAL</v>
          </cell>
          <cell r="E454">
            <v>58974.99</v>
          </cell>
          <cell r="G454">
            <v>0</v>
          </cell>
          <cell r="H454">
            <v>0</v>
          </cell>
          <cell r="I454">
            <v>0</v>
          </cell>
          <cell r="K454">
            <v>58974.99</v>
          </cell>
          <cell r="M454">
            <v>68043</v>
          </cell>
          <cell r="N454">
            <v>0.86673118469203292</v>
          </cell>
          <cell r="R454">
            <v>1651.2997199999998</v>
          </cell>
          <cell r="S454">
            <v>412.82492999999994</v>
          </cell>
          <cell r="T454">
            <v>0</v>
          </cell>
        </row>
        <row r="455">
          <cell r="C455" t="str">
            <v>185-10</v>
          </cell>
          <cell r="D455" t="str">
            <v>JEFFERSON FRANCISCO ANDRADE PRAZERES</v>
          </cell>
          <cell r="E455">
            <v>41373.57</v>
          </cell>
          <cell r="G455">
            <v>0</v>
          </cell>
          <cell r="H455">
            <v>0</v>
          </cell>
          <cell r="I455">
            <v>0</v>
          </cell>
          <cell r="K455">
            <v>41373.57</v>
          </cell>
          <cell r="M455">
            <v>68043</v>
          </cell>
          <cell r="N455">
            <v>0.60805035051364575</v>
          </cell>
          <cell r="R455">
            <v>1158.4599599999999</v>
          </cell>
          <cell r="S455">
            <v>289.61498999999998</v>
          </cell>
          <cell r="T455">
            <v>0</v>
          </cell>
        </row>
        <row r="456">
          <cell r="C456" t="str">
            <v>185-11</v>
          </cell>
          <cell r="D456" t="str">
            <v>MONALISA FREITAS DO NASCIMENTO</v>
          </cell>
          <cell r="E456">
            <v>38633.11</v>
          </cell>
          <cell r="G456">
            <v>0</v>
          </cell>
          <cell r="H456">
            <v>0</v>
          </cell>
          <cell r="I456">
            <v>0</v>
          </cell>
          <cell r="K456">
            <v>38633.11</v>
          </cell>
          <cell r="M456">
            <v>68043</v>
          </cell>
          <cell r="N456">
            <v>0.56777493643725296</v>
          </cell>
          <cell r="R456">
            <v>1081.7270799999999</v>
          </cell>
          <cell r="S456">
            <v>270.43176999999997</v>
          </cell>
          <cell r="T456">
            <v>0</v>
          </cell>
        </row>
        <row r="457">
          <cell r="C457" t="str">
            <v>185-</v>
          </cell>
          <cell r="E457">
            <v>0</v>
          </cell>
          <cell r="G457">
            <v>0</v>
          </cell>
          <cell r="H457">
            <v>0</v>
          </cell>
          <cell r="I457">
            <v>0</v>
          </cell>
          <cell r="K457">
            <v>0</v>
          </cell>
          <cell r="N457">
            <v>0</v>
          </cell>
          <cell r="R457">
            <v>9112.5532399999993</v>
          </cell>
          <cell r="S457">
            <v>2278.1383099999998</v>
          </cell>
          <cell r="T457">
            <v>0</v>
          </cell>
        </row>
        <row r="458">
          <cell r="C458" t="str">
            <v>185-</v>
          </cell>
          <cell r="E458">
            <v>0</v>
          </cell>
          <cell r="G458">
            <v>0</v>
          </cell>
          <cell r="H458">
            <v>0</v>
          </cell>
          <cell r="I458">
            <v>0</v>
          </cell>
          <cell r="K458">
            <v>0</v>
          </cell>
          <cell r="N458">
            <v>0</v>
          </cell>
        </row>
        <row r="459">
          <cell r="C459" t="str">
            <v>185-</v>
          </cell>
          <cell r="E459">
            <v>0</v>
          </cell>
          <cell r="G459">
            <v>0</v>
          </cell>
          <cell r="H459">
            <v>0</v>
          </cell>
          <cell r="I459">
            <v>0</v>
          </cell>
          <cell r="K459">
            <v>0</v>
          </cell>
          <cell r="N459">
            <v>0</v>
          </cell>
        </row>
        <row r="460">
          <cell r="C460" t="str">
            <v>185-</v>
          </cell>
          <cell r="E460">
            <v>0</v>
          </cell>
          <cell r="G460">
            <v>0</v>
          </cell>
          <cell r="H460">
            <v>0</v>
          </cell>
          <cell r="I460">
            <v>0</v>
          </cell>
          <cell r="K460">
            <v>0</v>
          </cell>
          <cell r="N460">
            <v>0</v>
          </cell>
        </row>
        <row r="461">
          <cell r="C461" t="str">
            <v>185-</v>
          </cell>
          <cell r="E461">
            <v>0</v>
          </cell>
          <cell r="G461">
            <v>0</v>
          </cell>
          <cell r="H461">
            <v>0</v>
          </cell>
          <cell r="I461">
            <v>0</v>
          </cell>
          <cell r="K461">
            <v>0</v>
          </cell>
          <cell r="N461">
            <v>0</v>
          </cell>
        </row>
        <row r="462">
          <cell r="C462" t="str">
            <v>Total-</v>
          </cell>
          <cell r="E462">
            <v>327298.25</v>
          </cell>
          <cell r="F462">
            <v>0</v>
          </cell>
          <cell r="G462">
            <v>0</v>
          </cell>
          <cell r="H462">
            <v>79.989999999999995</v>
          </cell>
          <cell r="I462">
            <v>0</v>
          </cell>
          <cell r="J462">
            <v>0</v>
          </cell>
          <cell r="K462">
            <v>327378.24</v>
          </cell>
          <cell r="M462">
            <v>476301</v>
          </cell>
        </row>
        <row r="463">
          <cell r="C463" t="str">
            <v>-</v>
          </cell>
        </row>
        <row r="464">
          <cell r="C464" t="str">
            <v>-</v>
          </cell>
        </row>
        <row r="465">
          <cell r="C465" t="str">
            <v>-</v>
          </cell>
        </row>
        <row r="466">
          <cell r="C466" t="str">
            <v>Loja-Cod</v>
          </cell>
          <cell r="D466" t="str">
            <v>Vendedor</v>
          </cell>
          <cell r="E466" t="str">
            <v>PDV</v>
          </cell>
          <cell r="F466" t="str">
            <v>Não Presencial</v>
          </cell>
          <cell r="G466" t="str">
            <v>Social Selling</v>
          </cell>
          <cell r="H466" t="str">
            <v>Cupom</v>
          </cell>
          <cell r="I466" t="str">
            <v>Pick Up</v>
          </cell>
          <cell r="J466" t="str">
            <v>Shipping</v>
          </cell>
          <cell r="K466" t="str">
            <v>Total Vendas</v>
          </cell>
          <cell r="M466" t="str">
            <v>Meta Vend</v>
          </cell>
          <cell r="N466" t="str">
            <v>% Ating</v>
          </cell>
          <cell r="P466" t="str">
            <v>Meta Loja</v>
          </cell>
          <cell r="R466" t="str">
            <v>Comissão</v>
          </cell>
          <cell r="S466" t="str">
            <v>DSR</v>
          </cell>
          <cell r="T466" t="str">
            <v>Prêmio</v>
          </cell>
        </row>
        <row r="467">
          <cell r="C467" t="str">
            <v>200-74</v>
          </cell>
          <cell r="D467" t="str">
            <v>LORRANA GABRIELA ROCHA DE MIRANDA</v>
          </cell>
          <cell r="E467">
            <v>58223.18</v>
          </cell>
          <cell r="G467">
            <v>0</v>
          </cell>
          <cell r="H467">
            <v>399.99</v>
          </cell>
          <cell r="I467">
            <v>0</v>
          </cell>
          <cell r="K467">
            <v>58623.17</v>
          </cell>
          <cell r="M467">
            <v>39784</v>
          </cell>
          <cell r="N467">
            <v>1.4735363462698572</v>
          </cell>
          <cell r="P467">
            <v>217000</v>
          </cell>
          <cell r="R467">
            <v>1641.4487599999998</v>
          </cell>
          <cell r="S467">
            <v>410.36218999999994</v>
          </cell>
          <cell r="T467">
            <v>293.11585000000002</v>
          </cell>
        </row>
        <row r="468">
          <cell r="C468" t="str">
            <v>200-82</v>
          </cell>
          <cell r="D468" t="str">
            <v>DEBOHAH EVELYN GONCALVES DOS SANTOS</v>
          </cell>
          <cell r="E468">
            <v>37378.269999999997</v>
          </cell>
          <cell r="G468">
            <v>0</v>
          </cell>
          <cell r="H468">
            <v>0</v>
          </cell>
          <cell r="I468">
            <v>0</v>
          </cell>
          <cell r="K468">
            <v>37378.269999999997</v>
          </cell>
          <cell r="M468">
            <v>39784</v>
          </cell>
          <cell r="N468">
            <v>0.93953021315101537</v>
          </cell>
          <cell r="R468">
            <v>1046.5915599999998</v>
          </cell>
          <cell r="S468">
            <v>261.64788999999996</v>
          </cell>
          <cell r="T468">
            <v>0</v>
          </cell>
        </row>
        <row r="469">
          <cell r="C469" t="str">
            <v>200-120</v>
          </cell>
          <cell r="D469" t="str">
            <v>00120 - HUCHARLY REIS DO NASCIMENTO</v>
          </cell>
          <cell r="E469">
            <v>25198.01</v>
          </cell>
          <cell r="G469">
            <v>0</v>
          </cell>
          <cell r="H469">
            <v>0</v>
          </cell>
          <cell r="I469">
            <v>0</v>
          </cell>
          <cell r="K469">
            <v>25198.01</v>
          </cell>
          <cell r="M469">
            <v>39784</v>
          </cell>
          <cell r="N469">
            <v>0.63337045043233453</v>
          </cell>
          <cell r="R469">
            <v>705.54427999999984</v>
          </cell>
          <cell r="S469">
            <v>176.38606999999996</v>
          </cell>
          <cell r="T469">
            <v>0</v>
          </cell>
        </row>
        <row r="470">
          <cell r="C470" t="str">
            <v>200-128</v>
          </cell>
          <cell r="E470">
            <v>-400.2</v>
          </cell>
          <cell r="G470">
            <v>0</v>
          </cell>
          <cell r="H470">
            <v>0</v>
          </cell>
          <cell r="I470">
            <v>0</v>
          </cell>
          <cell r="K470">
            <v>-400.2</v>
          </cell>
          <cell r="N470">
            <v>0</v>
          </cell>
          <cell r="R470">
            <v>0</v>
          </cell>
          <cell r="S470">
            <v>0</v>
          </cell>
          <cell r="T470">
            <v>0</v>
          </cell>
        </row>
        <row r="471">
          <cell r="C471" t="str">
            <v>200-129</v>
          </cell>
          <cell r="D471" t="str">
            <v>CLEITON MOISES DOS SANTOS</v>
          </cell>
          <cell r="E471">
            <v>48005.66</v>
          </cell>
          <cell r="G471">
            <v>0</v>
          </cell>
          <cell r="H471">
            <v>0</v>
          </cell>
          <cell r="I471">
            <v>0</v>
          </cell>
          <cell r="K471">
            <v>48005.66</v>
          </cell>
          <cell r="M471">
            <v>39784</v>
          </cell>
          <cell r="N471">
            <v>1.2066574502312488</v>
          </cell>
          <cell r="R471">
            <v>1344.1584800000001</v>
          </cell>
          <cell r="S471">
            <v>336.03962000000001</v>
          </cell>
          <cell r="T471">
            <v>240.02830000000003</v>
          </cell>
        </row>
        <row r="472">
          <cell r="C472" t="str">
            <v>200-132</v>
          </cell>
          <cell r="D472" t="str">
            <v>00132 - ERICK ANGEL NAVES MARTINS</v>
          </cell>
          <cell r="E472">
            <v>53712.55</v>
          </cell>
          <cell r="G472">
            <v>0</v>
          </cell>
          <cell r="H472">
            <v>0</v>
          </cell>
          <cell r="I472">
            <v>0</v>
          </cell>
          <cell r="K472">
            <v>53712.55</v>
          </cell>
          <cell r="M472">
            <v>39784</v>
          </cell>
          <cell r="N472">
            <v>1.3501043132917756</v>
          </cell>
          <cell r="R472">
            <v>1503.9513999999999</v>
          </cell>
          <cell r="S472">
            <v>375.98784999999998</v>
          </cell>
          <cell r="T472">
            <v>268.56274999999999</v>
          </cell>
        </row>
        <row r="473">
          <cell r="C473" t="str">
            <v>200-135</v>
          </cell>
          <cell r="D473" t="str">
            <v>RENATA MAYRA DE LIMA E SILVA</v>
          </cell>
          <cell r="E473">
            <v>26443.65</v>
          </cell>
          <cell r="G473">
            <v>0</v>
          </cell>
          <cell r="H473">
            <v>349.99</v>
          </cell>
          <cell r="I473">
            <v>0</v>
          </cell>
          <cell r="K473">
            <v>26793.640000000003</v>
          </cell>
          <cell r="M473">
            <v>39784</v>
          </cell>
          <cell r="N473">
            <v>0.67347778001206526</v>
          </cell>
          <cell r="R473">
            <v>750.22191999999995</v>
          </cell>
          <cell r="S473">
            <v>187.55547999999999</v>
          </cell>
          <cell r="T473">
            <v>0</v>
          </cell>
        </row>
        <row r="474">
          <cell r="C474" t="str">
            <v>200-</v>
          </cell>
          <cell r="E474">
            <v>0</v>
          </cell>
          <cell r="G474">
            <v>0</v>
          </cell>
          <cell r="H474">
            <v>0</v>
          </cell>
          <cell r="I474">
            <v>0</v>
          </cell>
          <cell r="K474">
            <v>0</v>
          </cell>
          <cell r="N474">
            <v>0</v>
          </cell>
          <cell r="R474">
            <v>6991.9163999999992</v>
          </cell>
          <cell r="S474">
            <v>1747.9790999999998</v>
          </cell>
          <cell r="T474">
            <v>801.70690000000013</v>
          </cell>
        </row>
        <row r="475">
          <cell r="C475" t="str">
            <v>200-</v>
          </cell>
          <cell r="E475">
            <v>0</v>
          </cell>
          <cell r="G475">
            <v>0</v>
          </cell>
          <cell r="H475">
            <v>0</v>
          </cell>
          <cell r="I475">
            <v>0</v>
          </cell>
          <cell r="K475">
            <v>0</v>
          </cell>
          <cell r="N475">
            <v>0</v>
          </cell>
        </row>
        <row r="476">
          <cell r="C476" t="str">
            <v>200-</v>
          </cell>
          <cell r="E476">
            <v>0</v>
          </cell>
          <cell r="G476">
            <v>0</v>
          </cell>
          <cell r="H476">
            <v>0</v>
          </cell>
          <cell r="I476">
            <v>0</v>
          </cell>
          <cell r="K476">
            <v>0</v>
          </cell>
          <cell r="N476">
            <v>0</v>
          </cell>
        </row>
        <row r="477">
          <cell r="C477" t="str">
            <v>200-</v>
          </cell>
          <cell r="E477">
            <v>0</v>
          </cell>
          <cell r="G477">
            <v>0</v>
          </cell>
          <cell r="H477">
            <v>0</v>
          </cell>
          <cell r="I477">
            <v>0</v>
          </cell>
          <cell r="K477">
            <v>0</v>
          </cell>
          <cell r="N477">
            <v>0</v>
          </cell>
        </row>
        <row r="478">
          <cell r="E478">
            <v>248561.11999999997</v>
          </cell>
          <cell r="F478">
            <v>0</v>
          </cell>
          <cell r="G478">
            <v>0</v>
          </cell>
          <cell r="H478">
            <v>749.98</v>
          </cell>
          <cell r="I478">
            <v>0</v>
          </cell>
          <cell r="J478">
            <v>0</v>
          </cell>
          <cell r="K478">
            <v>249311.10000000003</v>
          </cell>
          <cell r="M478">
            <v>238704</v>
          </cell>
        </row>
        <row r="479">
          <cell r="S479" t="str">
            <v>Total</v>
          </cell>
        </row>
        <row r="480">
          <cell r="R480" t="str">
            <v>Comissão</v>
          </cell>
          <cell r="S480" t="str">
            <v>DSR</v>
          </cell>
          <cell r="T480" t="str">
            <v>Prêmio</v>
          </cell>
        </row>
        <row r="481">
          <cell r="R481">
            <v>271740.74703999999</v>
          </cell>
          <cell r="S481">
            <v>67935.186759999997</v>
          </cell>
          <cell r="T481">
            <v>25785.33295</v>
          </cell>
        </row>
        <row r="482">
          <cell r="E482">
            <v>8982662.2699999977</v>
          </cell>
          <cell r="F482">
            <v>899.99</v>
          </cell>
          <cell r="G482">
            <v>0</v>
          </cell>
          <cell r="H482">
            <v>30824.350000000006</v>
          </cell>
          <cell r="I482">
            <v>13640.71</v>
          </cell>
          <cell r="J482">
            <v>0</v>
          </cell>
          <cell r="K482">
            <v>9028027.3200000003</v>
          </cell>
          <cell r="P482">
            <v>9304000</v>
          </cell>
        </row>
        <row r="484">
          <cell r="E484">
            <v>8734101.1499999985</v>
          </cell>
          <cell r="F484">
            <v>899.99</v>
          </cell>
          <cell r="G484">
            <v>0</v>
          </cell>
          <cell r="H484">
            <v>30074.370000000006</v>
          </cell>
          <cell r="I484">
            <v>13640.71</v>
          </cell>
          <cell r="J484">
            <v>0</v>
          </cell>
          <cell r="K484">
            <v>8778716.2200000007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Prêmios William"/>
      <sheetName val="Prêmios Clayton"/>
      <sheetName val="Vendedores"/>
      <sheetName val="Gerentes"/>
      <sheetName val="Abono_085"/>
      <sheetName val="Evento 005"/>
      <sheetName val="Evento 144"/>
      <sheetName val="Evento 085"/>
      <sheetName val="Evento 078"/>
      <sheetName val="Evento 075"/>
      <sheetName val="Evento 233"/>
      <sheetName val="Evento 315 133"/>
      <sheetName val="Evento 171 314"/>
      <sheetName val="Evento 256 232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Maio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L2">
            <v>30</v>
          </cell>
          <cell r="N2">
            <v>0</v>
          </cell>
          <cell r="O2">
            <v>1719</v>
          </cell>
          <cell r="R2">
            <v>82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L3">
            <v>30</v>
          </cell>
          <cell r="N3">
            <v>1575.67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0</v>
          </cell>
          <cell r="L4">
            <v>0</v>
          </cell>
          <cell r="N4">
            <v>1406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L6">
            <v>30</v>
          </cell>
          <cell r="N6">
            <v>0</v>
          </cell>
          <cell r="O6">
            <v>1719</v>
          </cell>
          <cell r="R6">
            <v>82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L7">
            <v>30</v>
          </cell>
          <cell r="N7">
            <v>0</v>
          </cell>
          <cell r="O7">
            <v>1719</v>
          </cell>
          <cell r="R7">
            <v>82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L8">
            <v>30</v>
          </cell>
          <cell r="N8">
            <v>0</v>
          </cell>
          <cell r="O8">
            <v>4692.6000000000004</v>
          </cell>
          <cell r="R8">
            <v>82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L9">
            <v>30</v>
          </cell>
          <cell r="N9">
            <v>1575.67</v>
          </cell>
          <cell r="P9">
            <v>97</v>
          </cell>
          <cell r="R9">
            <v>41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L10">
            <v>30</v>
          </cell>
          <cell r="N10">
            <v>1575.67</v>
          </cell>
          <cell r="P10">
            <v>97</v>
          </cell>
          <cell r="R10">
            <v>41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24</v>
          </cell>
          <cell r="K11" t="str">
            <v>6</v>
          </cell>
          <cell r="L11">
            <v>24</v>
          </cell>
          <cell r="N11">
            <v>0</v>
          </cell>
          <cell r="O11">
            <v>1719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L12">
            <v>30</v>
          </cell>
          <cell r="N12">
            <v>1575.67</v>
          </cell>
          <cell r="P12">
            <v>97</v>
          </cell>
          <cell r="R12">
            <v>41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L13">
            <v>30</v>
          </cell>
          <cell r="N13">
            <v>0</v>
          </cell>
          <cell r="O13">
            <v>1719</v>
          </cell>
          <cell r="R13">
            <v>82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L14">
            <v>30</v>
          </cell>
          <cell r="N14">
            <v>0</v>
          </cell>
          <cell r="O14">
            <v>1719</v>
          </cell>
          <cell r="R14">
            <v>82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L15">
            <v>30</v>
          </cell>
          <cell r="N15">
            <v>0</v>
          </cell>
          <cell r="O15">
            <v>1300</v>
          </cell>
          <cell r="R15">
            <v>51</v>
          </cell>
          <cell r="S15">
            <v>221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L16">
            <v>30</v>
          </cell>
          <cell r="N16">
            <v>0</v>
          </cell>
          <cell r="O16">
            <v>1300</v>
          </cell>
          <cell r="R16">
            <v>51</v>
          </cell>
          <cell r="S16">
            <v>225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L17">
            <v>30</v>
          </cell>
          <cell r="N17">
            <v>0</v>
          </cell>
          <cell r="O17">
            <v>4680</v>
          </cell>
          <cell r="R17">
            <v>51</v>
          </cell>
          <cell r="S17">
            <v>534.29999999999995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30</v>
          </cell>
          <cell r="L18">
            <v>30</v>
          </cell>
          <cell r="N18">
            <v>1300</v>
          </cell>
          <cell r="P18">
            <v>130</v>
          </cell>
          <cell r="R18">
            <v>17</v>
          </cell>
          <cell r="S18">
            <v>212.5</v>
          </cell>
        </row>
        <row r="19">
          <cell r="C19" t="str">
            <v>93-95</v>
          </cell>
          <cell r="D19" t="str">
            <v>LUIZ EDUARDO MARCELINO DOS SANTOS</v>
          </cell>
          <cell r="E19" t="str">
            <v xml:space="preserve">VENDEDOR(a)         </v>
          </cell>
          <cell r="F19" t="str">
            <v>154.191.327-29</v>
          </cell>
          <cell r="G19">
            <v>43787</v>
          </cell>
          <cell r="H19" t="str">
            <v>Ativo</v>
          </cell>
          <cell r="J19">
            <v>30</v>
          </cell>
          <cell r="L19">
            <v>30</v>
          </cell>
          <cell r="N19">
            <v>0</v>
          </cell>
          <cell r="O19">
            <v>1300</v>
          </cell>
          <cell r="R19">
            <v>51</v>
          </cell>
        </row>
        <row r="20">
          <cell r="C20" t="str">
            <v>93-36</v>
          </cell>
          <cell r="D20" t="str">
            <v>LUIZ FERNANDO DE OLIVEIRA</v>
          </cell>
          <cell r="E20" t="str">
            <v xml:space="preserve">VENDEDOR(a)         </v>
          </cell>
          <cell r="F20" t="str">
            <v>060.160.187-40</v>
          </cell>
          <cell r="G20">
            <v>42482</v>
          </cell>
          <cell r="H20" t="str">
            <v>Ativo</v>
          </cell>
          <cell r="J20">
            <v>30</v>
          </cell>
          <cell r="L20">
            <v>30</v>
          </cell>
          <cell r="N20">
            <v>0</v>
          </cell>
          <cell r="O20">
            <v>1300</v>
          </cell>
          <cell r="R20">
            <v>51</v>
          </cell>
          <cell r="S20">
            <v>410.4</v>
          </cell>
        </row>
        <row r="21">
          <cell r="C21" t="str">
            <v>93-79</v>
          </cell>
          <cell r="D21" t="str">
            <v>MATHEUS DOS SANTOS CHRISTO</v>
          </cell>
          <cell r="E21" t="str">
            <v xml:space="preserve">VENDEDOR(a)         </v>
          </cell>
          <cell r="F21" t="str">
            <v>166.990.977-84</v>
          </cell>
          <cell r="G21">
            <v>43425</v>
          </cell>
          <cell r="H21" t="str">
            <v>Ativo</v>
          </cell>
          <cell r="J21">
            <v>30</v>
          </cell>
          <cell r="L21">
            <v>30</v>
          </cell>
          <cell r="N21">
            <v>0</v>
          </cell>
          <cell r="O21">
            <v>1300</v>
          </cell>
          <cell r="R21">
            <v>34</v>
          </cell>
          <cell r="S21">
            <v>234</v>
          </cell>
        </row>
        <row r="22">
          <cell r="C22" t="str">
            <v>93-91</v>
          </cell>
          <cell r="D22" t="str">
            <v>NATHALIA MATOS REIS DE FREITAS</v>
          </cell>
          <cell r="E22" t="str">
            <v xml:space="preserve">VENDEDOR(a)         </v>
          </cell>
          <cell r="F22" t="str">
            <v>150.984.167-95</v>
          </cell>
          <cell r="G22">
            <v>43740</v>
          </cell>
          <cell r="H22" t="str">
            <v>Ativo</v>
          </cell>
          <cell r="J22">
            <v>30</v>
          </cell>
          <cell r="L22">
            <v>30</v>
          </cell>
          <cell r="N22">
            <v>0</v>
          </cell>
          <cell r="O22">
            <v>1300</v>
          </cell>
          <cell r="R22">
            <v>51</v>
          </cell>
          <cell r="S22">
            <v>579.79999999999995</v>
          </cell>
        </row>
        <row r="23">
          <cell r="C23" t="str">
            <v>93-102</v>
          </cell>
          <cell r="D23" t="str">
            <v>RAFAEL SANTOS DE SOUSA</v>
          </cell>
          <cell r="E23" t="str">
            <v xml:space="preserve">ASSISTENTE DE LOJA  </v>
          </cell>
          <cell r="F23" t="str">
            <v>171.325.347-00</v>
          </cell>
          <cell r="G23">
            <v>44152</v>
          </cell>
          <cell r="H23" t="str">
            <v>Ativo</v>
          </cell>
          <cell r="J23">
            <v>30</v>
          </cell>
          <cell r="L23">
            <v>30</v>
          </cell>
          <cell r="N23">
            <v>1300</v>
          </cell>
          <cell r="P23">
            <v>130</v>
          </cell>
          <cell r="R23">
            <v>34</v>
          </cell>
          <cell r="S23">
            <v>418.6</v>
          </cell>
        </row>
        <row r="24">
          <cell r="C24" t="str">
            <v>93-100</v>
          </cell>
          <cell r="D24" t="str">
            <v>VITOR HUGO MACEDO</v>
          </cell>
          <cell r="E24" t="str">
            <v xml:space="preserve">VENDEDOR(a)         </v>
          </cell>
          <cell r="F24" t="str">
            <v>108.743.787-37</v>
          </cell>
          <cell r="G24">
            <v>44152</v>
          </cell>
          <cell r="H24" t="str">
            <v>Ativo</v>
          </cell>
          <cell r="J24">
            <v>30</v>
          </cell>
          <cell r="L24">
            <v>30</v>
          </cell>
          <cell r="N24">
            <v>0</v>
          </cell>
          <cell r="O24">
            <v>1300</v>
          </cell>
          <cell r="R24">
            <v>51</v>
          </cell>
          <cell r="S24">
            <v>365</v>
          </cell>
        </row>
        <row r="25">
          <cell r="C25" t="str">
            <v>94-3</v>
          </cell>
          <cell r="D25" t="str">
            <v>ALLAN DA SILVA PONTES</v>
          </cell>
          <cell r="E25" t="str">
            <v xml:space="preserve">VENDEDOR(a)         </v>
          </cell>
          <cell r="F25" t="str">
            <v>141.562.647-26</v>
          </cell>
          <cell r="G25">
            <v>42320</v>
          </cell>
          <cell r="H25" t="str">
            <v>Ativo</v>
          </cell>
          <cell r="J25">
            <v>30</v>
          </cell>
          <cell r="L25">
            <v>30</v>
          </cell>
          <cell r="N25">
            <v>0</v>
          </cell>
          <cell r="O25">
            <v>1370</v>
          </cell>
          <cell r="S25">
            <v>202.5</v>
          </cell>
        </row>
        <row r="26">
          <cell r="C26" t="str">
            <v>94-66</v>
          </cell>
          <cell r="D26" t="str">
            <v>ELIZA OLIVEIRA NUNES</v>
          </cell>
          <cell r="E26" t="str">
            <v xml:space="preserve">VENDEDOR(a)         </v>
          </cell>
          <cell r="F26" t="str">
            <v>178.908.587-01</v>
          </cell>
          <cell r="G26">
            <v>44257</v>
          </cell>
          <cell r="H26" t="str">
            <v>Ativo</v>
          </cell>
          <cell r="J26">
            <v>30</v>
          </cell>
          <cell r="L26">
            <v>30</v>
          </cell>
          <cell r="N26">
            <v>0</v>
          </cell>
          <cell r="O26">
            <v>1370</v>
          </cell>
          <cell r="S26">
            <v>202.5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L27">
            <v>30</v>
          </cell>
          <cell r="N27">
            <v>1335.01</v>
          </cell>
          <cell r="P27">
            <v>57</v>
          </cell>
          <cell r="S27">
            <v>202.5</v>
          </cell>
        </row>
        <row r="28">
          <cell r="C28" t="str">
            <v>94-55</v>
          </cell>
          <cell r="D28" t="str">
            <v>PATRICK TEIXEIRA CAMISAO</v>
          </cell>
          <cell r="E28" t="str">
            <v xml:space="preserve">VENDEDOR(a)         </v>
          </cell>
          <cell r="F28" t="str">
            <v>160.448.307-56</v>
          </cell>
          <cell r="G28">
            <v>43787</v>
          </cell>
          <cell r="H28" t="str">
            <v>Ativo</v>
          </cell>
          <cell r="J28">
            <v>30</v>
          </cell>
          <cell r="L28">
            <v>30</v>
          </cell>
          <cell r="N28">
            <v>0</v>
          </cell>
          <cell r="O28">
            <v>1370</v>
          </cell>
          <cell r="S28">
            <v>202.5</v>
          </cell>
        </row>
        <row r="29">
          <cell r="C29" t="str">
            <v>94-34</v>
          </cell>
          <cell r="D29" t="str">
            <v>RAPHAEL BORGES DE FARIAS</v>
          </cell>
          <cell r="E29" t="str">
            <v xml:space="preserve">GERENTE DE LOJA     </v>
          </cell>
          <cell r="F29" t="str">
            <v>059.845.167-64</v>
          </cell>
          <cell r="G29">
            <v>42903</v>
          </cell>
          <cell r="H29" t="str">
            <v>Ativo</v>
          </cell>
          <cell r="J29">
            <v>20</v>
          </cell>
          <cell r="K29">
            <v>10</v>
          </cell>
          <cell r="L29">
            <v>30</v>
          </cell>
          <cell r="N29">
            <v>0</v>
          </cell>
          <cell r="O29">
            <v>3500</v>
          </cell>
          <cell r="S29">
            <v>56.7</v>
          </cell>
        </row>
        <row r="30">
          <cell r="C30" t="str">
            <v>95-88</v>
          </cell>
          <cell r="D30" t="str">
            <v>BRUNO SILVA CAPELLI</v>
          </cell>
          <cell r="E30" t="str">
            <v xml:space="preserve">VENDEDOR(a)         </v>
          </cell>
          <cell r="F30" t="str">
            <v>366.421.178-24</v>
          </cell>
          <cell r="G30">
            <v>44256</v>
          </cell>
          <cell r="H30" t="str">
            <v>Ativo</v>
          </cell>
          <cell r="J30">
            <v>30</v>
          </cell>
          <cell r="L30">
            <v>30</v>
          </cell>
          <cell r="N30">
            <v>0</v>
          </cell>
          <cell r="O30">
            <v>1807.35</v>
          </cell>
          <cell r="R30">
            <v>80</v>
          </cell>
        </row>
        <row r="31">
          <cell r="C31" t="str">
            <v>95-56</v>
          </cell>
          <cell r="D31" t="str">
            <v>CAIO VIEIRA BARBOSA</v>
          </cell>
          <cell r="E31" t="str">
            <v xml:space="preserve">VENDEDOR(a)         </v>
          </cell>
          <cell r="F31" t="str">
            <v>442.376.138-60</v>
          </cell>
          <cell r="G31">
            <v>43165</v>
          </cell>
          <cell r="H31" t="str">
            <v>Ativo</v>
          </cell>
          <cell r="J31">
            <v>30</v>
          </cell>
          <cell r="L31">
            <v>30</v>
          </cell>
          <cell r="N31">
            <v>0</v>
          </cell>
          <cell r="O31">
            <v>1807.35</v>
          </cell>
          <cell r="R31">
            <v>80</v>
          </cell>
          <cell r="S31">
            <v>231.84</v>
          </cell>
        </row>
        <row r="32">
          <cell r="C32" t="str">
            <v>95-83</v>
          </cell>
          <cell r="D32" t="str">
            <v>CARLOS EDUARDO MARTINS DE LIMA</v>
          </cell>
          <cell r="E32" t="str">
            <v xml:space="preserve">ASSISTENTE DE LOJA  </v>
          </cell>
          <cell r="F32" t="str">
            <v>312.469.698-07</v>
          </cell>
          <cell r="G32">
            <v>44152</v>
          </cell>
          <cell r="H32" t="str">
            <v>Ativo</v>
          </cell>
          <cell r="J32">
            <v>30</v>
          </cell>
          <cell r="L32">
            <v>30</v>
          </cell>
          <cell r="N32">
            <v>1504.22</v>
          </cell>
          <cell r="P32">
            <v>70.41</v>
          </cell>
          <cell r="R32">
            <v>40</v>
          </cell>
          <cell r="S32">
            <v>277.2</v>
          </cell>
        </row>
        <row r="33">
          <cell r="C33" t="str">
            <v>95-84</v>
          </cell>
          <cell r="D33" t="str">
            <v>GABRIEL ALFREDO JESUS DE PINHO</v>
          </cell>
          <cell r="E33" t="str">
            <v xml:space="preserve">GERENTE DE LOJA     </v>
          </cell>
          <cell r="F33" t="str">
            <v>491.663.158-75</v>
          </cell>
          <cell r="G33">
            <v>43475</v>
          </cell>
          <cell r="H33" t="str">
            <v>Ativo</v>
          </cell>
          <cell r="J33">
            <v>30</v>
          </cell>
          <cell r="L33">
            <v>30</v>
          </cell>
          <cell r="N33">
            <v>0</v>
          </cell>
          <cell r="O33">
            <v>4117.6000000000004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L34">
            <v>30</v>
          </cell>
          <cell r="N34">
            <v>1504.22</v>
          </cell>
          <cell r="P34">
            <v>70.41</v>
          </cell>
          <cell r="R34">
            <v>40</v>
          </cell>
          <cell r="S34">
            <v>211.2</v>
          </cell>
        </row>
        <row r="35">
          <cell r="C35" t="str">
            <v>95-59</v>
          </cell>
          <cell r="D35" t="str">
            <v>MARGARETH LEAL</v>
          </cell>
          <cell r="E35" t="str">
            <v xml:space="preserve">VENDEDOR(a)         </v>
          </cell>
          <cell r="F35" t="str">
            <v>407.781.668-80</v>
          </cell>
          <cell r="G35">
            <v>43213</v>
          </cell>
          <cell r="H35" t="str">
            <v>Ativo</v>
          </cell>
          <cell r="J35">
            <v>30</v>
          </cell>
          <cell r="L35">
            <v>30</v>
          </cell>
          <cell r="N35">
            <v>0</v>
          </cell>
          <cell r="O35">
            <v>1807.35</v>
          </cell>
          <cell r="R35">
            <v>80</v>
          </cell>
          <cell r="S35">
            <v>462</v>
          </cell>
        </row>
        <row r="36">
          <cell r="C36" t="str">
            <v>95-85</v>
          </cell>
          <cell r="D36" t="str">
            <v>TIAGO WAGNER FRANCO</v>
          </cell>
          <cell r="E36" t="str">
            <v xml:space="preserve">VENDEDOR(a)         </v>
          </cell>
          <cell r="F36" t="str">
            <v>383.025.258-71</v>
          </cell>
          <cell r="G36">
            <v>44181</v>
          </cell>
          <cell r="H36" t="str">
            <v>Ativo</v>
          </cell>
          <cell r="J36">
            <v>30</v>
          </cell>
          <cell r="L36">
            <v>30</v>
          </cell>
          <cell r="N36">
            <v>0</v>
          </cell>
          <cell r="O36">
            <v>1807.35</v>
          </cell>
          <cell r="R36">
            <v>40</v>
          </cell>
          <cell r="S36">
            <v>163.19999999999999</v>
          </cell>
        </row>
        <row r="37">
          <cell r="C37" t="str">
            <v>103-185</v>
          </cell>
          <cell r="D37" t="str">
            <v>ANDRE FERNANDO OZUNA</v>
          </cell>
          <cell r="E37" t="str">
            <v xml:space="preserve">VENDEDOR(a)         </v>
          </cell>
          <cell r="F37" t="str">
            <v>285.803.778-70</v>
          </cell>
          <cell r="G37">
            <v>43782</v>
          </cell>
          <cell r="H37" t="str">
            <v>Ativo</v>
          </cell>
          <cell r="J37">
            <v>30</v>
          </cell>
          <cell r="L37">
            <v>30</v>
          </cell>
          <cell r="N37">
            <v>0</v>
          </cell>
          <cell r="O37">
            <v>1807.35</v>
          </cell>
          <cell r="R37">
            <v>40</v>
          </cell>
          <cell r="S37">
            <v>176.94</v>
          </cell>
        </row>
        <row r="38">
          <cell r="C38" t="str">
            <v>103-193</v>
          </cell>
          <cell r="D38" t="str">
            <v>BRUNA DIAS RAMOS</v>
          </cell>
          <cell r="E38" t="str">
            <v xml:space="preserve">VENDEDOR(a)         </v>
          </cell>
          <cell r="F38" t="str">
            <v>158.926.428-28</v>
          </cell>
          <cell r="G38">
            <v>44121</v>
          </cell>
          <cell r="H38" t="str">
            <v>Ativo</v>
          </cell>
          <cell r="J38">
            <v>30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</row>
        <row r="39">
          <cell r="C39" t="str">
            <v>103-200</v>
          </cell>
          <cell r="D39" t="str">
            <v>JENNYFER QUEIROZ DE ALMEIDA NASCIMENTO</v>
          </cell>
          <cell r="E39" t="str">
            <v xml:space="preserve">ASSISTENTE DE LOJA  </v>
          </cell>
          <cell r="F39" t="str">
            <v>407.642.998-24</v>
          </cell>
          <cell r="G39">
            <v>44180</v>
          </cell>
          <cell r="H39" t="str">
            <v>Sob Custódia do Inss</v>
          </cell>
          <cell r="J39" t="str">
            <v>0</v>
          </cell>
          <cell r="L39">
            <v>0</v>
          </cell>
          <cell r="N39">
            <v>1504.22</v>
          </cell>
          <cell r="P39">
            <v>70.41</v>
          </cell>
          <cell r="S39">
            <v>462</v>
          </cell>
        </row>
        <row r="40">
          <cell r="C40" t="str">
            <v>103-187</v>
          </cell>
          <cell r="D40" t="str">
            <v>MARCELO FERNANDES DE SOUZA</v>
          </cell>
          <cell r="E40" t="str">
            <v xml:space="preserve">VENDEDOR(a)         </v>
          </cell>
          <cell r="F40" t="str">
            <v>389.253.428-47</v>
          </cell>
          <cell r="G40">
            <v>43815</v>
          </cell>
          <cell r="H40" t="str">
            <v>Ativo</v>
          </cell>
          <cell r="J40">
            <v>30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460.2</v>
          </cell>
        </row>
        <row r="41">
          <cell r="C41" t="str">
            <v>103-199</v>
          </cell>
          <cell r="D41" t="str">
            <v>MARLON MIRANDA DE OLIVEIRA</v>
          </cell>
          <cell r="E41" t="str">
            <v xml:space="preserve">GERENTE DE LOJA     </v>
          </cell>
          <cell r="F41" t="str">
            <v>000.291.020-90</v>
          </cell>
          <cell r="G41">
            <v>43284</v>
          </cell>
          <cell r="H41" t="str">
            <v>Ativo</v>
          </cell>
          <cell r="J41">
            <v>30</v>
          </cell>
          <cell r="L41">
            <v>30</v>
          </cell>
          <cell r="N41">
            <v>0</v>
          </cell>
          <cell r="O41">
            <v>1807.35</v>
          </cell>
          <cell r="R41">
            <v>80</v>
          </cell>
          <cell r="S41">
            <v>480.48</v>
          </cell>
        </row>
        <row r="42">
          <cell r="C42" t="str">
            <v>103-194</v>
          </cell>
          <cell r="D42" t="str">
            <v>NICOLE MARIA FAZIO</v>
          </cell>
          <cell r="E42" t="str">
            <v xml:space="preserve">VENDEDOR(a)         </v>
          </cell>
          <cell r="F42" t="str">
            <v>487.676.818-83</v>
          </cell>
          <cell r="G42">
            <v>44121</v>
          </cell>
          <cell r="H42" t="str">
            <v>Ativo</v>
          </cell>
          <cell r="J42">
            <v>30</v>
          </cell>
          <cell r="L42">
            <v>30</v>
          </cell>
          <cell r="N42">
            <v>0</v>
          </cell>
          <cell r="O42">
            <v>1807.35</v>
          </cell>
          <cell r="R42">
            <v>40</v>
          </cell>
          <cell r="S42">
            <v>166.32</v>
          </cell>
        </row>
        <row r="43">
          <cell r="C43" t="str">
            <v>103-202</v>
          </cell>
          <cell r="D43" t="str">
            <v>RONALDO PINHEIRO DE OLIVEIRA</v>
          </cell>
          <cell r="E43" t="str">
            <v xml:space="preserve">VENDEDOR(a)         </v>
          </cell>
          <cell r="F43" t="str">
            <v>183.016.258-64</v>
          </cell>
          <cell r="G43">
            <v>44228</v>
          </cell>
          <cell r="H43" t="str">
            <v>Ativo</v>
          </cell>
          <cell r="J43">
            <v>30</v>
          </cell>
          <cell r="L43">
            <v>30</v>
          </cell>
          <cell r="N43">
            <v>0</v>
          </cell>
          <cell r="O43">
            <v>1807.35</v>
          </cell>
          <cell r="R43">
            <v>80</v>
          </cell>
          <cell r="S43">
            <v>443.52</v>
          </cell>
        </row>
        <row r="44">
          <cell r="C44" t="str">
            <v>103-184</v>
          </cell>
          <cell r="D44" t="str">
            <v>VADILSON TEAGO DE SANTANA</v>
          </cell>
          <cell r="E44" t="str">
            <v xml:space="preserve">ASSISTENTE DE LOJA  </v>
          </cell>
          <cell r="F44" t="str">
            <v>135.820.698-85</v>
          </cell>
          <cell r="G44">
            <v>43782</v>
          </cell>
          <cell r="H44" t="str">
            <v>Ativo</v>
          </cell>
          <cell r="J44">
            <v>30</v>
          </cell>
          <cell r="L44">
            <v>30</v>
          </cell>
          <cell r="N44">
            <v>1504.22</v>
          </cell>
          <cell r="P44">
            <v>70.41</v>
          </cell>
          <cell r="R44">
            <v>40</v>
          </cell>
          <cell r="S44">
            <v>251.16</v>
          </cell>
        </row>
        <row r="45">
          <cell r="C45" t="str">
            <v>104-52</v>
          </cell>
          <cell r="D45" t="str">
            <v>ADRIANA MONTEIRO MACEDO</v>
          </cell>
          <cell r="E45" t="str">
            <v xml:space="preserve">ASSISTENTE DE LOJA  </v>
          </cell>
          <cell r="F45" t="str">
            <v>702.895.822-10</v>
          </cell>
          <cell r="G45">
            <v>44117</v>
          </cell>
          <cell r="H45" t="str">
            <v>Ativo</v>
          </cell>
          <cell r="J45">
            <v>30</v>
          </cell>
          <cell r="L45">
            <v>30</v>
          </cell>
          <cell r="N45">
            <v>1100</v>
          </cell>
          <cell r="P45">
            <v>110</v>
          </cell>
          <cell r="S45">
            <v>197.6</v>
          </cell>
        </row>
        <row r="46">
          <cell r="C46" t="str">
            <v>104-49</v>
          </cell>
          <cell r="D46" t="str">
            <v>FRANCIANE DOS SANTOS MEDEIROS</v>
          </cell>
          <cell r="E46" t="str">
            <v xml:space="preserve">GERENTE DE LOJA     </v>
          </cell>
          <cell r="F46" t="str">
            <v>939.548.082-34</v>
          </cell>
          <cell r="G46">
            <v>43549</v>
          </cell>
          <cell r="H46" t="str">
            <v>Ativo</v>
          </cell>
          <cell r="J46">
            <v>30</v>
          </cell>
          <cell r="L46">
            <v>30</v>
          </cell>
          <cell r="N46">
            <v>0</v>
          </cell>
          <cell r="O46">
            <v>4500</v>
          </cell>
          <cell r="R46">
            <v>60.66</v>
          </cell>
        </row>
        <row r="47">
          <cell r="C47" t="str">
            <v>104-33</v>
          </cell>
          <cell r="D47" t="str">
            <v>JEFFERSON GONCALVES DA SILVA</v>
          </cell>
          <cell r="E47" t="str">
            <v xml:space="preserve">VENDEDOR (a)        </v>
          </cell>
          <cell r="F47" t="str">
            <v>007.164.092-40</v>
          </cell>
          <cell r="G47">
            <v>42705</v>
          </cell>
          <cell r="H47" t="str">
            <v>Ativo</v>
          </cell>
          <cell r="J47">
            <v>30</v>
          </cell>
          <cell r="L47">
            <v>30</v>
          </cell>
          <cell r="N47">
            <v>0</v>
          </cell>
          <cell r="O47">
            <v>1050</v>
          </cell>
          <cell r="R47">
            <v>30.33</v>
          </cell>
        </row>
        <row r="48">
          <cell r="C48" t="str">
            <v>104-45</v>
          </cell>
          <cell r="D48" t="str">
            <v>PATRICIA BRANDAO ANASTACIO</v>
          </cell>
          <cell r="E48" t="str">
            <v xml:space="preserve">ASSISTENTE DE LOJA  </v>
          </cell>
          <cell r="F48" t="str">
            <v>013.989.272-95</v>
          </cell>
          <cell r="G48">
            <v>43441</v>
          </cell>
          <cell r="H48" t="str">
            <v>Ativo</v>
          </cell>
          <cell r="J48">
            <v>30</v>
          </cell>
          <cell r="L48">
            <v>30</v>
          </cell>
          <cell r="N48">
            <v>1100</v>
          </cell>
          <cell r="P48">
            <v>110</v>
          </cell>
        </row>
        <row r="49">
          <cell r="C49" t="str">
            <v>104-53</v>
          </cell>
          <cell r="D49" t="str">
            <v>PATRINY LORRANNA DOS SANTOS MOTA</v>
          </cell>
          <cell r="E49" t="str">
            <v xml:space="preserve">VENDEDOR(a)         </v>
          </cell>
          <cell r="F49" t="str">
            <v>021.046.162-47</v>
          </cell>
          <cell r="G49">
            <v>44132</v>
          </cell>
          <cell r="H49" t="str">
            <v>Ativo</v>
          </cell>
          <cell r="J49">
            <v>30</v>
          </cell>
          <cell r="L49">
            <v>30</v>
          </cell>
          <cell r="N49">
            <v>0</v>
          </cell>
          <cell r="O49">
            <v>1050</v>
          </cell>
          <cell r="R49">
            <v>60.66</v>
          </cell>
          <cell r="S49">
            <v>197.6</v>
          </cell>
        </row>
        <row r="50">
          <cell r="C50" t="str">
            <v>104-41</v>
          </cell>
          <cell r="D50" t="str">
            <v>ROMEU PITER VERAS DOS SANTOS</v>
          </cell>
          <cell r="E50" t="str">
            <v xml:space="preserve">VENDEDOR(a)         </v>
          </cell>
          <cell r="F50" t="str">
            <v>945.231.772-87</v>
          </cell>
          <cell r="G50">
            <v>43070</v>
          </cell>
          <cell r="H50" t="str">
            <v>Ativo</v>
          </cell>
          <cell r="J50">
            <v>30</v>
          </cell>
          <cell r="L50">
            <v>30</v>
          </cell>
          <cell r="N50">
            <v>0</v>
          </cell>
          <cell r="O50">
            <v>1050</v>
          </cell>
          <cell r="R50">
            <v>60.66</v>
          </cell>
        </row>
        <row r="51">
          <cell r="C51" t="str">
            <v>105-93</v>
          </cell>
          <cell r="D51" t="str">
            <v>AMANDA LORENA VEIGA RODRIGUES DA SILVA</v>
          </cell>
          <cell r="E51" t="str">
            <v xml:space="preserve">VENDEDOR(a)         </v>
          </cell>
          <cell r="F51" t="str">
            <v>036.781.370-08</v>
          </cell>
          <cell r="G51">
            <v>43735</v>
          </cell>
          <cell r="H51" t="str">
            <v>Ativo</v>
          </cell>
          <cell r="J51">
            <v>30</v>
          </cell>
          <cell r="L51">
            <v>30</v>
          </cell>
          <cell r="N51">
            <v>0</v>
          </cell>
          <cell r="O51">
            <v>1439</v>
          </cell>
          <cell r="R51">
            <v>60.18</v>
          </cell>
        </row>
        <row r="52">
          <cell r="C52" t="str">
            <v>105-68</v>
          </cell>
          <cell r="D52" t="str">
            <v>CLAUCIO PITTHAN BERGHAHN</v>
          </cell>
          <cell r="E52" t="str">
            <v xml:space="preserve">VENDEDOR(a)         </v>
          </cell>
          <cell r="F52" t="str">
            <v>013.307.420-01</v>
          </cell>
          <cell r="G52">
            <v>42692</v>
          </cell>
          <cell r="H52" t="str">
            <v>Ativo</v>
          </cell>
          <cell r="J52">
            <v>30</v>
          </cell>
          <cell r="L52">
            <v>30</v>
          </cell>
          <cell r="N52">
            <v>0</v>
          </cell>
          <cell r="O52">
            <v>1439</v>
          </cell>
        </row>
        <row r="53">
          <cell r="C53" t="str">
            <v>105-100</v>
          </cell>
          <cell r="D53" t="str">
            <v>FELIPE GONCALVES</v>
          </cell>
          <cell r="E53" t="str">
            <v xml:space="preserve">ASSISTENTE DE LOJA  </v>
          </cell>
          <cell r="F53" t="str">
            <v>050.440.050-96</v>
          </cell>
          <cell r="G53">
            <v>44148</v>
          </cell>
          <cell r="H53" t="str">
            <v>Ativo</v>
          </cell>
          <cell r="J53">
            <v>30</v>
          </cell>
          <cell r="L53">
            <v>30</v>
          </cell>
          <cell r="N53">
            <v>1287.1500000000001</v>
          </cell>
          <cell r="P53">
            <v>144.06</v>
          </cell>
        </row>
        <row r="54">
          <cell r="C54" t="str">
            <v>105-61</v>
          </cell>
          <cell r="D54" t="str">
            <v>LUCIANO DA MOTA GONÇALVES</v>
          </cell>
          <cell r="E54" t="str">
            <v xml:space="preserve">GERENTE DE LOJA     </v>
          </cell>
          <cell r="F54" t="str">
            <v>001.104.960-00</v>
          </cell>
          <cell r="G54">
            <v>42893</v>
          </cell>
          <cell r="H54" t="str">
            <v>Ativo</v>
          </cell>
          <cell r="J54">
            <v>30</v>
          </cell>
          <cell r="L54">
            <v>30</v>
          </cell>
          <cell r="N54">
            <v>0</v>
          </cell>
          <cell r="O54">
            <v>4500</v>
          </cell>
          <cell r="R54">
            <v>60.18</v>
          </cell>
        </row>
        <row r="55">
          <cell r="C55" t="str">
            <v>105-84</v>
          </cell>
          <cell r="D55" t="str">
            <v>MARCIEL FISCHBORN FERNANDES</v>
          </cell>
          <cell r="E55" t="str">
            <v xml:space="preserve">VENDEDOR(a)         </v>
          </cell>
          <cell r="F55" t="str">
            <v>017.323.330-92</v>
          </cell>
          <cell r="G55">
            <v>43347</v>
          </cell>
          <cell r="H55" t="str">
            <v>Ativo</v>
          </cell>
          <cell r="J55">
            <v>30</v>
          </cell>
          <cell r="L55">
            <v>30</v>
          </cell>
          <cell r="N55">
            <v>0</v>
          </cell>
          <cell r="O55">
            <v>1439</v>
          </cell>
          <cell r="R55">
            <v>60.18</v>
          </cell>
        </row>
        <row r="56">
          <cell r="C56" t="str">
            <v>105-85</v>
          </cell>
          <cell r="D56" t="str">
            <v>ROGER PASSAIA</v>
          </cell>
          <cell r="E56" t="str">
            <v xml:space="preserve">VENDEDOR(a)         </v>
          </cell>
          <cell r="F56" t="str">
            <v>047.712.040-71</v>
          </cell>
          <cell r="G56">
            <v>43411</v>
          </cell>
          <cell r="H56" t="str">
            <v>Ativo</v>
          </cell>
          <cell r="J56">
            <v>30</v>
          </cell>
          <cell r="L56">
            <v>30</v>
          </cell>
          <cell r="N56">
            <v>0</v>
          </cell>
          <cell r="O56">
            <v>1439</v>
          </cell>
          <cell r="R56">
            <v>30.09</v>
          </cell>
        </row>
        <row r="57">
          <cell r="C57" t="str">
            <v>105-29</v>
          </cell>
          <cell r="D57" t="str">
            <v>SUSAN SCHULTZ MOURA</v>
          </cell>
          <cell r="E57" t="str">
            <v xml:space="preserve">ASSISTENTE DE LOJA  </v>
          </cell>
          <cell r="F57" t="str">
            <v>026.257.550-75</v>
          </cell>
          <cell r="G57">
            <v>42167</v>
          </cell>
          <cell r="H57" t="str">
            <v>Ativo</v>
          </cell>
          <cell r="J57">
            <v>30</v>
          </cell>
          <cell r="L57">
            <v>30</v>
          </cell>
          <cell r="N57">
            <v>1372.04</v>
          </cell>
          <cell r="P57">
            <v>144.06</v>
          </cell>
          <cell r="R57">
            <v>30.09</v>
          </cell>
        </row>
        <row r="58">
          <cell r="C58" t="str">
            <v>105-95</v>
          </cell>
          <cell r="D58" t="str">
            <v>VICTOR GABRIEL ESTEFEN DE SOUZA</v>
          </cell>
          <cell r="E58" t="str">
            <v xml:space="preserve">VENDEDOR(a)         </v>
          </cell>
          <cell r="F58" t="str">
            <v>037.604.160-98</v>
          </cell>
          <cell r="G58">
            <v>43759</v>
          </cell>
          <cell r="H58" t="str">
            <v>Ativo</v>
          </cell>
          <cell r="J58">
            <v>30</v>
          </cell>
          <cell r="L58">
            <v>30</v>
          </cell>
          <cell r="N58">
            <v>0</v>
          </cell>
          <cell r="O58">
            <v>1439</v>
          </cell>
          <cell r="R58">
            <v>60.18</v>
          </cell>
        </row>
        <row r="59">
          <cell r="C59" t="str">
            <v>105-103</v>
          </cell>
          <cell r="D59" t="str">
            <v>VITORIA APARECIDA DA SILVA</v>
          </cell>
          <cell r="E59" t="str">
            <v xml:space="preserve">VENDEDOR(a)         </v>
          </cell>
          <cell r="F59" t="str">
            <v>045.921.830-10</v>
          </cell>
          <cell r="G59">
            <v>44236</v>
          </cell>
          <cell r="H59" t="str">
            <v>Ativo</v>
          </cell>
          <cell r="J59">
            <v>30</v>
          </cell>
          <cell r="L59">
            <v>30</v>
          </cell>
          <cell r="N59">
            <v>0</v>
          </cell>
          <cell r="O59">
            <v>1439</v>
          </cell>
          <cell r="R59">
            <v>30.09</v>
          </cell>
        </row>
        <row r="60">
          <cell r="C60" t="str">
            <v>116-143</v>
          </cell>
          <cell r="D60" t="str">
            <v>ALUISIO SANCHES MORAES</v>
          </cell>
          <cell r="E60" t="str">
            <v xml:space="preserve">GERENTE DE LOJA     </v>
          </cell>
          <cell r="F60" t="str">
            <v>327.400.998-94</v>
          </cell>
          <cell r="G60">
            <v>43405</v>
          </cell>
          <cell r="H60" t="str">
            <v>Ativo</v>
          </cell>
          <cell r="J60">
            <v>30</v>
          </cell>
          <cell r="L60">
            <v>30</v>
          </cell>
          <cell r="N60">
            <v>0</v>
          </cell>
          <cell r="O60">
            <v>4680</v>
          </cell>
          <cell r="R60">
            <v>40</v>
          </cell>
        </row>
        <row r="61">
          <cell r="C61" t="str">
            <v>116-144</v>
          </cell>
          <cell r="D61" t="str">
            <v>RAFAEL NOGUEIRA DE MORAES</v>
          </cell>
          <cell r="E61" t="str">
            <v xml:space="preserve">VENDEDOR(a)         </v>
          </cell>
          <cell r="F61" t="str">
            <v>301.816.038-02</v>
          </cell>
          <cell r="G61">
            <v>43412</v>
          </cell>
          <cell r="H61" t="str">
            <v>Ativo</v>
          </cell>
          <cell r="J61">
            <v>30</v>
          </cell>
          <cell r="L61">
            <v>30</v>
          </cell>
          <cell r="N61">
            <v>0</v>
          </cell>
          <cell r="O61">
            <v>1755.73</v>
          </cell>
          <cell r="R61">
            <v>80</v>
          </cell>
        </row>
        <row r="62">
          <cell r="C62" t="str">
            <v>116-146</v>
          </cell>
          <cell r="D62" t="str">
            <v>LEONARDO MAFRA RODRIGUES</v>
          </cell>
          <cell r="E62" t="str">
            <v xml:space="preserve">ASSISTENTE DE LOJA  </v>
          </cell>
          <cell r="F62" t="str">
            <v>527.984.638-40</v>
          </cell>
          <cell r="G62">
            <v>43431</v>
          </cell>
          <cell r="H62" t="str">
            <v>Ativo</v>
          </cell>
          <cell r="J62">
            <v>30</v>
          </cell>
          <cell r="L62">
            <v>30</v>
          </cell>
          <cell r="N62">
            <v>1504.22</v>
          </cell>
          <cell r="P62">
            <v>68.400000000000006</v>
          </cell>
          <cell r="R62">
            <v>40</v>
          </cell>
          <cell r="S62">
            <v>480.48</v>
          </cell>
        </row>
        <row r="63">
          <cell r="C63" t="str">
            <v>116-148</v>
          </cell>
          <cell r="D63" t="str">
            <v>HUGO KENJI MIYAZAKI DIAS</v>
          </cell>
          <cell r="E63" t="str">
            <v xml:space="preserve">VENDEDOR(a)         </v>
          </cell>
          <cell r="F63" t="str">
            <v>384.188.068-18</v>
          </cell>
          <cell r="G63">
            <v>43437</v>
          </cell>
          <cell r="H63" t="str">
            <v>Ativo</v>
          </cell>
          <cell r="J63">
            <v>30</v>
          </cell>
          <cell r="L63">
            <v>30</v>
          </cell>
          <cell r="N63">
            <v>0</v>
          </cell>
          <cell r="O63">
            <v>1755.73</v>
          </cell>
          <cell r="R63">
            <v>80</v>
          </cell>
          <cell r="S63">
            <v>443.52</v>
          </cell>
        </row>
        <row r="64">
          <cell r="C64" t="str">
            <v>116-164</v>
          </cell>
          <cell r="D64" t="str">
            <v>DANIELLE DA SILVA CONCEICAO</v>
          </cell>
          <cell r="E64" t="str">
            <v xml:space="preserve">VENDEDOR(a)         </v>
          </cell>
          <cell r="F64" t="str">
            <v>954.817.372-72</v>
          </cell>
          <cell r="G64">
            <v>43717</v>
          </cell>
          <cell r="H64" t="str">
            <v>Ativo</v>
          </cell>
          <cell r="J64">
            <v>30</v>
          </cell>
          <cell r="L64">
            <v>30</v>
          </cell>
          <cell r="N64">
            <v>0</v>
          </cell>
          <cell r="O64">
            <v>1755.73</v>
          </cell>
          <cell r="S64">
            <v>351</v>
          </cell>
        </row>
        <row r="65">
          <cell r="C65" t="str">
            <v>116-169</v>
          </cell>
          <cell r="D65" t="str">
            <v>RENAN FERREIRA PIMENTEL</v>
          </cell>
          <cell r="E65" t="str">
            <v xml:space="preserve">VENDEDOR(a)         </v>
          </cell>
          <cell r="F65" t="str">
            <v>404.103.638-04</v>
          </cell>
          <cell r="G65">
            <v>41720</v>
          </cell>
          <cell r="H65" t="str">
            <v>Ativo</v>
          </cell>
          <cell r="J65">
            <v>30</v>
          </cell>
          <cell r="L65">
            <v>30</v>
          </cell>
          <cell r="N65">
            <v>0</v>
          </cell>
          <cell r="O65">
            <v>1755.73</v>
          </cell>
          <cell r="R65">
            <v>80</v>
          </cell>
        </row>
        <row r="66">
          <cell r="C66" t="str">
            <v>116-170</v>
          </cell>
          <cell r="D66" t="str">
            <v>MARIANA SOUZA RODRIGUES</v>
          </cell>
          <cell r="E66" t="str">
            <v xml:space="preserve">VENDEDOR(a)         </v>
          </cell>
          <cell r="F66" t="str">
            <v>460.133.308-32</v>
          </cell>
          <cell r="G66">
            <v>44079</v>
          </cell>
          <cell r="H66" t="str">
            <v>Ativo</v>
          </cell>
          <cell r="J66">
            <v>30</v>
          </cell>
          <cell r="L66">
            <v>30</v>
          </cell>
          <cell r="N66">
            <v>0</v>
          </cell>
          <cell r="O66">
            <v>1755.73</v>
          </cell>
          <cell r="R66">
            <v>40</v>
          </cell>
          <cell r="S66">
            <v>267</v>
          </cell>
        </row>
        <row r="67">
          <cell r="C67" t="str">
            <v>116-175</v>
          </cell>
          <cell r="D67" t="str">
            <v>LUCAS ALVES</v>
          </cell>
          <cell r="E67" t="str">
            <v xml:space="preserve">VENDEDOR(a)         </v>
          </cell>
          <cell r="F67" t="str">
            <v>228.904.388-56</v>
          </cell>
          <cell r="G67">
            <v>44092</v>
          </cell>
          <cell r="H67" t="str">
            <v>Ativo</v>
          </cell>
          <cell r="J67">
            <v>30</v>
          </cell>
          <cell r="L67">
            <v>30</v>
          </cell>
          <cell r="N67">
            <v>0</v>
          </cell>
          <cell r="O67">
            <v>1755.73</v>
          </cell>
        </row>
        <row r="68">
          <cell r="C68" t="str">
            <v>123-36</v>
          </cell>
          <cell r="D68" t="str">
            <v>UELDERMAN ALVES MIGUEZ COSTA</v>
          </cell>
          <cell r="E68" t="str">
            <v xml:space="preserve">VENDEDOR(a)         </v>
          </cell>
          <cell r="F68" t="str">
            <v>029.972.815-39</v>
          </cell>
          <cell r="G68">
            <v>42564</v>
          </cell>
          <cell r="H68" t="str">
            <v>Ativo</v>
          </cell>
          <cell r="J68">
            <v>30</v>
          </cell>
          <cell r="L68">
            <v>30</v>
          </cell>
          <cell r="N68">
            <v>0</v>
          </cell>
          <cell r="O68">
            <v>1189</v>
          </cell>
          <cell r="Q68">
            <v>60</v>
          </cell>
          <cell r="R68">
            <v>15</v>
          </cell>
        </row>
        <row r="69">
          <cell r="C69" t="str">
            <v>123-58</v>
          </cell>
          <cell r="D69" t="str">
            <v>GABRIELA DUARTE DOS SANTOS</v>
          </cell>
          <cell r="E69" t="str">
            <v xml:space="preserve">VENDEDOR(a)         </v>
          </cell>
          <cell r="F69" t="str">
            <v>061.462.155-03</v>
          </cell>
          <cell r="G69">
            <v>43252</v>
          </cell>
          <cell r="H69" t="str">
            <v>Ativo</v>
          </cell>
          <cell r="J69">
            <v>30</v>
          </cell>
          <cell r="L69">
            <v>30</v>
          </cell>
          <cell r="N69">
            <v>0</v>
          </cell>
          <cell r="O69">
            <v>1189</v>
          </cell>
          <cell r="Q69">
            <v>120</v>
          </cell>
          <cell r="R69">
            <v>30</v>
          </cell>
        </row>
        <row r="70">
          <cell r="C70" t="str">
            <v>123-68</v>
          </cell>
          <cell r="D70" t="str">
            <v>MARCELO ALVES DE SOUZA SANTOS</v>
          </cell>
          <cell r="E70" t="str">
            <v xml:space="preserve">GERENTE DE LOJA     </v>
          </cell>
          <cell r="F70" t="str">
            <v>041.739.405-56</v>
          </cell>
          <cell r="G70">
            <v>43560</v>
          </cell>
          <cell r="H70" t="str">
            <v>Ativo</v>
          </cell>
          <cell r="J70">
            <v>30</v>
          </cell>
          <cell r="L70">
            <v>30</v>
          </cell>
          <cell r="N70">
            <v>0</v>
          </cell>
          <cell r="O70">
            <v>4676.3999999999996</v>
          </cell>
          <cell r="Q70">
            <v>120</v>
          </cell>
          <cell r="R70">
            <v>30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</row>
        <row r="72">
          <cell r="C72" t="str">
            <v>123-70</v>
          </cell>
          <cell r="D72" t="str">
            <v>WEBERTON SOUZA DA SILVA</v>
          </cell>
          <cell r="E72" t="str">
            <v xml:space="preserve">VENDEDOR(a)         </v>
          </cell>
          <cell r="F72" t="str">
            <v>066.595.235-02</v>
          </cell>
          <cell r="G72">
            <v>43718</v>
          </cell>
          <cell r="H72" t="str">
            <v>Ativo</v>
          </cell>
          <cell r="J72">
            <v>30</v>
          </cell>
          <cell r="L72">
            <v>30</v>
          </cell>
          <cell r="N72">
            <v>0</v>
          </cell>
          <cell r="O72">
            <v>1189</v>
          </cell>
          <cell r="Q72">
            <v>60</v>
          </cell>
          <cell r="R72">
            <v>15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L73">
            <v>30</v>
          </cell>
          <cell r="N73">
            <v>0</v>
          </cell>
          <cell r="O73">
            <v>1189</v>
          </cell>
          <cell r="Q73">
            <v>120</v>
          </cell>
          <cell r="R73">
            <v>30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L74">
            <v>30</v>
          </cell>
          <cell r="N74">
            <v>1189</v>
          </cell>
          <cell r="P74">
            <v>118.9</v>
          </cell>
        </row>
        <row r="75">
          <cell r="C75" t="str">
            <v>124-2</v>
          </cell>
          <cell r="D75" t="str">
            <v>FLAVIANA DA SILVA</v>
          </cell>
          <cell r="E75" t="str">
            <v xml:space="preserve">VENDEDOR(a)         </v>
          </cell>
          <cell r="F75" t="str">
            <v>017.660.263-11</v>
          </cell>
          <cell r="G75">
            <v>41929</v>
          </cell>
          <cell r="H75" t="str">
            <v>Ativo</v>
          </cell>
          <cell r="J75">
            <v>30</v>
          </cell>
          <cell r="L75">
            <v>30</v>
          </cell>
          <cell r="N75">
            <v>0</v>
          </cell>
          <cell r="O75">
            <v>1166</v>
          </cell>
          <cell r="Q75">
            <v>73.14</v>
          </cell>
        </row>
        <row r="76">
          <cell r="C76" t="str">
            <v>124-19</v>
          </cell>
          <cell r="D76" t="str">
            <v>RANDAL BATISTA MAIA</v>
          </cell>
          <cell r="E76" t="str">
            <v xml:space="preserve">ASSISTENTE DE LOJA  </v>
          </cell>
          <cell r="F76" t="str">
            <v>057.107.003-55</v>
          </cell>
          <cell r="G76">
            <v>42082</v>
          </cell>
          <cell r="H76" t="str">
            <v>Ativo</v>
          </cell>
          <cell r="J76">
            <v>30</v>
          </cell>
          <cell r="L76">
            <v>30</v>
          </cell>
          <cell r="N76">
            <v>1347.01</v>
          </cell>
          <cell r="P76">
            <v>134.69999999999999</v>
          </cell>
          <cell r="Q76">
            <v>73.14</v>
          </cell>
        </row>
        <row r="77">
          <cell r="C77" t="str">
            <v>124-32</v>
          </cell>
          <cell r="D77" t="str">
            <v>DOUGLAS ALBUQUERQUE BRASIL JUNIOR</v>
          </cell>
          <cell r="E77" t="str">
            <v xml:space="preserve">GERENTE DE LOJA     </v>
          </cell>
          <cell r="F77" t="str">
            <v>949.017.162-04</v>
          </cell>
          <cell r="G77">
            <v>42681</v>
          </cell>
          <cell r="H77" t="str">
            <v>Ativo</v>
          </cell>
          <cell r="J77">
            <v>30</v>
          </cell>
          <cell r="L77">
            <v>30</v>
          </cell>
          <cell r="N77">
            <v>0</v>
          </cell>
          <cell r="O77">
            <v>5000</v>
          </cell>
        </row>
        <row r="78">
          <cell r="C78" t="str">
            <v>124-39</v>
          </cell>
          <cell r="D78" t="str">
            <v>THIAGO DOS SANTOS BATISTA</v>
          </cell>
          <cell r="E78" t="str">
            <v xml:space="preserve">VENDEDOR(a)         </v>
          </cell>
          <cell r="F78" t="str">
            <v>065.842.673-77</v>
          </cell>
          <cell r="G78">
            <v>42956</v>
          </cell>
          <cell r="H78" t="str">
            <v>Ativo</v>
          </cell>
          <cell r="J78">
            <v>30</v>
          </cell>
          <cell r="L78">
            <v>30</v>
          </cell>
          <cell r="N78">
            <v>0</v>
          </cell>
          <cell r="O78">
            <v>1166</v>
          </cell>
          <cell r="Q78">
            <v>73.14</v>
          </cell>
        </row>
        <row r="79">
          <cell r="C79" t="str">
            <v>124-40</v>
          </cell>
          <cell r="D79" t="str">
            <v>THEOGENES CALLOU LIMA</v>
          </cell>
          <cell r="E79" t="str">
            <v xml:space="preserve">VENDEDOR(a)         </v>
          </cell>
          <cell r="F79" t="str">
            <v>061.232.043-00</v>
          </cell>
          <cell r="G79">
            <v>42980</v>
          </cell>
          <cell r="H79" t="str">
            <v>Ativo</v>
          </cell>
          <cell r="J79">
            <v>30</v>
          </cell>
          <cell r="L79">
            <v>30</v>
          </cell>
          <cell r="N79">
            <v>0</v>
          </cell>
          <cell r="O79">
            <v>1166</v>
          </cell>
        </row>
        <row r="80">
          <cell r="C80" t="str">
            <v>124-49</v>
          </cell>
          <cell r="D80" t="str">
            <v>RAPHAEL SILVA VIEIRA DA LUZ</v>
          </cell>
          <cell r="E80" t="str">
            <v xml:space="preserve">VENDEDOR(a)         </v>
          </cell>
          <cell r="F80" t="str">
            <v>059.452.933-69</v>
          </cell>
          <cell r="G80">
            <v>44166</v>
          </cell>
          <cell r="H80" t="str">
            <v>Ativo</v>
          </cell>
          <cell r="J80">
            <v>30</v>
          </cell>
          <cell r="L80">
            <v>30</v>
          </cell>
          <cell r="N80">
            <v>0</v>
          </cell>
          <cell r="O80">
            <v>1166</v>
          </cell>
          <cell r="Q80">
            <v>73.14</v>
          </cell>
        </row>
        <row r="81">
          <cell r="C81" t="str">
            <v>125-38</v>
          </cell>
          <cell r="D81" t="str">
            <v>AMANDA CAROLINE MARIANO DA SILVA</v>
          </cell>
          <cell r="E81" t="str">
            <v xml:space="preserve">VENDEDOR(a)         </v>
          </cell>
          <cell r="F81" t="str">
            <v>022.617.843-92</v>
          </cell>
          <cell r="G81">
            <v>43245</v>
          </cell>
          <cell r="H81" t="str">
            <v>Em Auxilio Maternidade</v>
          </cell>
          <cell r="J81">
            <v>31</v>
          </cell>
          <cell r="L81">
            <v>31</v>
          </cell>
          <cell r="N81">
            <v>0</v>
          </cell>
          <cell r="O81">
            <v>1112</v>
          </cell>
        </row>
        <row r="82">
          <cell r="C82" t="str">
            <v>125-25</v>
          </cell>
          <cell r="D82" t="str">
            <v>HILTON DE SOUZA FERNANDES</v>
          </cell>
          <cell r="E82" t="str">
            <v xml:space="preserve">GERENTE DE LOJA     </v>
          </cell>
          <cell r="F82" t="str">
            <v>016.339.213-79</v>
          </cell>
          <cell r="G82">
            <v>41996</v>
          </cell>
          <cell r="H82" t="str">
            <v>Ativo</v>
          </cell>
          <cell r="J82">
            <v>30</v>
          </cell>
          <cell r="L82">
            <v>30</v>
          </cell>
          <cell r="N82">
            <v>0</v>
          </cell>
          <cell r="O82">
            <v>4500</v>
          </cell>
          <cell r="Q82">
            <v>48.5</v>
          </cell>
        </row>
        <row r="83">
          <cell r="C83" t="str">
            <v>125-54</v>
          </cell>
          <cell r="D83" t="str">
            <v>LUCAS PAZ PONTES</v>
          </cell>
          <cell r="E83" t="str">
            <v xml:space="preserve">VENDEDOR(a)         </v>
          </cell>
          <cell r="F83" t="str">
            <v>622.829.353-22</v>
          </cell>
          <cell r="G83">
            <v>43900</v>
          </cell>
          <cell r="H83" t="str">
            <v>Ativo</v>
          </cell>
          <cell r="J83">
            <v>30</v>
          </cell>
          <cell r="L83">
            <v>30</v>
          </cell>
          <cell r="N83">
            <v>0</v>
          </cell>
          <cell r="O83">
            <v>1112</v>
          </cell>
          <cell r="Q83">
            <v>48.5</v>
          </cell>
          <cell r="S83">
            <v>355</v>
          </cell>
        </row>
        <row r="84">
          <cell r="C84" t="str">
            <v>125-48</v>
          </cell>
          <cell r="D84" t="str">
            <v>LUIS CARLOS GARCIA SILVA</v>
          </cell>
          <cell r="E84" t="str">
            <v xml:space="preserve">VENDEDOR(a)         </v>
          </cell>
          <cell r="F84" t="str">
            <v>013.431.263-55</v>
          </cell>
          <cell r="G84">
            <v>43787</v>
          </cell>
          <cell r="H84" t="str">
            <v>Ativo</v>
          </cell>
          <cell r="J84">
            <v>30</v>
          </cell>
          <cell r="L84">
            <v>30</v>
          </cell>
          <cell r="N84">
            <v>0</v>
          </cell>
          <cell r="O84">
            <v>1112</v>
          </cell>
          <cell r="Q84">
            <v>48.5</v>
          </cell>
        </row>
        <row r="85">
          <cell r="C85" t="str">
            <v>125-58</v>
          </cell>
          <cell r="D85" t="str">
            <v>MAURICIO IBIAPINA SOARES NETO</v>
          </cell>
          <cell r="E85" t="str">
            <v xml:space="preserve">VENDEDOR(a)         </v>
          </cell>
          <cell r="F85" t="str">
            <v>046.023.193-60</v>
          </cell>
          <cell r="G85">
            <v>44158</v>
          </cell>
          <cell r="H85" t="str">
            <v>Ativo</v>
          </cell>
          <cell r="J85">
            <v>30</v>
          </cell>
          <cell r="L85">
            <v>30</v>
          </cell>
          <cell r="N85">
            <v>0</v>
          </cell>
          <cell r="O85">
            <v>1112</v>
          </cell>
          <cell r="Q85">
            <v>48.5</v>
          </cell>
        </row>
        <row r="86">
          <cell r="C86" t="str">
            <v>125-28</v>
          </cell>
          <cell r="D86" t="str">
            <v>PAULO HERMINO RIBEIRO DE SOUZA</v>
          </cell>
          <cell r="E86" t="str">
            <v xml:space="preserve">VENDEDOR(a)         </v>
          </cell>
          <cell r="F86" t="str">
            <v>603.472.423-67</v>
          </cell>
          <cell r="G86">
            <v>42710</v>
          </cell>
          <cell r="H86" t="str">
            <v>Ativo</v>
          </cell>
          <cell r="J86">
            <v>30</v>
          </cell>
          <cell r="L86">
            <v>30</v>
          </cell>
          <cell r="N86">
            <v>0</v>
          </cell>
          <cell r="O86">
            <v>1112</v>
          </cell>
          <cell r="Q86">
            <v>48.5</v>
          </cell>
        </row>
        <row r="87">
          <cell r="C87" t="str">
            <v>125-55</v>
          </cell>
          <cell r="D87" t="str">
            <v>TIAGO ELOI FERNANDO</v>
          </cell>
          <cell r="E87" t="str">
            <v xml:space="preserve">VENDEDOR(a)         </v>
          </cell>
          <cell r="F87" t="str">
            <v>603.375.873-02</v>
          </cell>
          <cell r="G87">
            <v>44099</v>
          </cell>
          <cell r="H87" t="str">
            <v>Ativo</v>
          </cell>
          <cell r="J87">
            <v>30</v>
          </cell>
          <cell r="L87">
            <v>30</v>
          </cell>
          <cell r="N87">
            <v>0</v>
          </cell>
          <cell r="O87">
            <v>1112</v>
          </cell>
          <cell r="Q87">
            <v>48.5</v>
          </cell>
        </row>
        <row r="88">
          <cell r="C88" t="str">
            <v>126-1</v>
          </cell>
          <cell r="D88" t="str">
            <v>LUIZ CARLOS BATISTA INACIO</v>
          </cell>
          <cell r="E88" t="str">
            <v xml:space="preserve">GERENTE DE LOJA     </v>
          </cell>
          <cell r="F88" t="str">
            <v>993.224.391-49</v>
          </cell>
          <cell r="G88">
            <v>41946</v>
          </cell>
          <cell r="H88" t="str">
            <v>Ativo</v>
          </cell>
          <cell r="J88">
            <v>30</v>
          </cell>
          <cell r="L88">
            <v>30</v>
          </cell>
          <cell r="N88">
            <v>662.04</v>
          </cell>
          <cell r="O88">
            <v>4000</v>
          </cell>
          <cell r="R88">
            <v>42</v>
          </cell>
          <cell r="S88">
            <v>197.8</v>
          </cell>
        </row>
        <row r="89">
          <cell r="C89" t="str">
            <v>126-28</v>
          </cell>
          <cell r="D89" t="str">
            <v>PAULO RICARDO FERNANDES NOVAIS</v>
          </cell>
          <cell r="E89" t="str">
            <v xml:space="preserve">VENDEDOR(a)         </v>
          </cell>
          <cell r="F89" t="str">
            <v>031.885.001-06</v>
          </cell>
          <cell r="G89">
            <v>42669</v>
          </cell>
          <cell r="H89" t="str">
            <v>Ativo</v>
          </cell>
          <cell r="J89">
            <v>30</v>
          </cell>
          <cell r="L89">
            <v>30</v>
          </cell>
          <cell r="N89">
            <v>662.04</v>
          </cell>
          <cell r="O89">
            <v>1315</v>
          </cell>
          <cell r="R89">
            <v>21</v>
          </cell>
          <cell r="S89">
            <v>197.8</v>
          </cell>
        </row>
        <row r="90">
          <cell r="C90" t="str">
            <v>126-37</v>
          </cell>
          <cell r="D90" t="str">
            <v>LUCAS DIAS SOUTO</v>
          </cell>
          <cell r="E90" t="str">
            <v xml:space="preserve">VENDEDOR(a)         </v>
          </cell>
          <cell r="F90" t="str">
            <v>753.825.631-87</v>
          </cell>
          <cell r="G90">
            <v>43047</v>
          </cell>
          <cell r="H90" t="str">
            <v>Ativo</v>
          </cell>
          <cell r="J90">
            <v>30</v>
          </cell>
          <cell r="L90">
            <v>30</v>
          </cell>
          <cell r="N90">
            <v>662.04</v>
          </cell>
          <cell r="O90">
            <v>1315</v>
          </cell>
          <cell r="R90">
            <v>42</v>
          </cell>
          <cell r="S90">
            <v>197.8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L91">
            <v>30</v>
          </cell>
          <cell r="N91">
            <v>662.04</v>
          </cell>
          <cell r="O91">
            <v>1315</v>
          </cell>
          <cell r="R91">
            <v>42</v>
          </cell>
          <cell r="S91">
            <v>197.8</v>
          </cell>
        </row>
        <row r="92">
          <cell r="C92" t="str">
            <v>126-45</v>
          </cell>
          <cell r="D92" t="str">
            <v>KAIO LIMA FRUTUOSO</v>
          </cell>
          <cell r="E92" t="str">
            <v xml:space="preserve">VENDEDOR(a)         </v>
          </cell>
          <cell r="F92" t="str">
            <v>708.205.191-38</v>
          </cell>
          <cell r="G92">
            <v>43431</v>
          </cell>
          <cell r="H92" t="str">
            <v>Ativo</v>
          </cell>
          <cell r="J92">
            <v>30</v>
          </cell>
          <cell r="L92">
            <v>30</v>
          </cell>
          <cell r="N92">
            <v>662.04</v>
          </cell>
          <cell r="O92">
            <v>1315</v>
          </cell>
          <cell r="R92">
            <v>21</v>
          </cell>
          <cell r="S92">
            <v>197.8</v>
          </cell>
        </row>
        <row r="93">
          <cell r="C93" t="str">
            <v>126-46</v>
          </cell>
          <cell r="D93" t="str">
            <v>VINICIUS DOS SANTOS OLIVEIRA</v>
          </cell>
          <cell r="E93" t="str">
            <v xml:space="preserve">VENDEDOR(a)         </v>
          </cell>
          <cell r="F93" t="str">
            <v>066.778.583-32</v>
          </cell>
          <cell r="G93">
            <v>43438</v>
          </cell>
          <cell r="H93" t="str">
            <v>Ativo</v>
          </cell>
          <cell r="J93">
            <v>30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126-55</v>
          </cell>
          <cell r="D94" t="str">
            <v>RAQUEL TEIXEIRA DA SILVA</v>
          </cell>
          <cell r="E94" t="str">
            <v xml:space="preserve">VENDEDOR(a)         </v>
          </cell>
          <cell r="F94" t="str">
            <v>025.438.791-88</v>
          </cell>
          <cell r="G94">
            <v>44152</v>
          </cell>
          <cell r="H94" t="str">
            <v>Ativo</v>
          </cell>
          <cell r="J94">
            <v>30</v>
          </cell>
          <cell r="L94">
            <v>30</v>
          </cell>
          <cell r="N94">
            <v>662.04</v>
          </cell>
          <cell r="O94">
            <v>1315</v>
          </cell>
          <cell r="R94">
            <v>21</v>
          </cell>
          <cell r="S94">
            <v>197.8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J95">
            <v>30</v>
          </cell>
          <cell r="L95">
            <v>30</v>
          </cell>
          <cell r="N95">
            <v>1283</v>
          </cell>
          <cell r="P95">
            <v>158</v>
          </cell>
          <cell r="R95">
            <v>21</v>
          </cell>
          <cell r="S95">
            <v>197.8</v>
          </cell>
        </row>
        <row r="96">
          <cell r="C96" t="str">
            <v>127-70</v>
          </cell>
          <cell r="D96" t="str">
            <v>EDUARDA ZACARIAS DA SILVA</v>
          </cell>
          <cell r="E96" t="str">
            <v xml:space="preserve">GERENTE DE LOJA     </v>
          </cell>
          <cell r="F96" t="str">
            <v>468.989.148-63</v>
          </cell>
          <cell r="G96">
            <v>43770</v>
          </cell>
          <cell r="H96" t="str">
            <v>Ativo</v>
          </cell>
          <cell r="J96">
            <v>30</v>
          </cell>
          <cell r="L96">
            <v>30</v>
          </cell>
          <cell r="N96">
            <v>0</v>
          </cell>
          <cell r="O96">
            <v>4000</v>
          </cell>
          <cell r="Q96">
            <v>78</v>
          </cell>
          <cell r="R96">
            <v>50</v>
          </cell>
          <cell r="S96">
            <v>244.4</v>
          </cell>
        </row>
        <row r="97">
          <cell r="C97" t="str">
            <v>127-75</v>
          </cell>
          <cell r="D97" t="str">
            <v>GABRIELA KETLEN RODRIGUES DE SOUZA</v>
          </cell>
          <cell r="E97" t="str">
            <v xml:space="preserve">ASSISTENTE DE LOJA  </v>
          </cell>
          <cell r="F97" t="str">
            <v>501.722.828-45</v>
          </cell>
          <cell r="G97">
            <v>44152</v>
          </cell>
          <cell r="H97" t="str">
            <v>Ativo</v>
          </cell>
          <cell r="J97">
            <v>30</v>
          </cell>
          <cell r="L97">
            <v>30</v>
          </cell>
          <cell r="N97">
            <v>1517.34</v>
          </cell>
          <cell r="P97">
            <v>83</v>
          </cell>
          <cell r="Q97">
            <v>78</v>
          </cell>
          <cell r="R97">
            <v>50</v>
          </cell>
          <cell r="S97">
            <v>225.6</v>
          </cell>
        </row>
        <row r="98">
          <cell r="C98" t="str">
            <v>127-79</v>
          </cell>
          <cell r="D98" t="str">
            <v>GABRIEL VINICIUS VIANA TAVARES</v>
          </cell>
          <cell r="E98" t="str">
            <v xml:space="preserve">VENDEDOR(a)         </v>
          </cell>
          <cell r="F98" t="str">
            <v>497.346.378-78</v>
          </cell>
          <cell r="G98">
            <v>44221</v>
          </cell>
          <cell r="H98" t="str">
            <v>Ativo</v>
          </cell>
          <cell r="J98">
            <v>30</v>
          </cell>
          <cell r="L98">
            <v>30</v>
          </cell>
          <cell r="N98">
            <v>0</v>
          </cell>
          <cell r="O98">
            <v>1820</v>
          </cell>
          <cell r="Q98">
            <v>39</v>
          </cell>
          <cell r="R98">
            <v>25</v>
          </cell>
          <cell r="S98">
            <v>222.5</v>
          </cell>
        </row>
        <row r="99">
          <cell r="C99" t="str">
            <v>127-80</v>
          </cell>
          <cell r="D99" t="str">
            <v>LUCAS SIQUEIRA FRANCO</v>
          </cell>
          <cell r="E99" t="str">
            <v xml:space="preserve">VENDEDOR(a)         </v>
          </cell>
          <cell r="F99" t="str">
            <v>439.691.338-90</v>
          </cell>
          <cell r="G99">
            <v>44221</v>
          </cell>
          <cell r="H99" t="str">
            <v>Ativo</v>
          </cell>
          <cell r="J99">
            <v>30</v>
          </cell>
          <cell r="L99">
            <v>30</v>
          </cell>
          <cell r="N99">
            <v>0</v>
          </cell>
          <cell r="O99">
            <v>1820</v>
          </cell>
        </row>
        <row r="100">
          <cell r="C100" t="str">
            <v>127-81</v>
          </cell>
          <cell r="D100" t="str">
            <v>MARIO SILVANO LEITE ALVES</v>
          </cell>
          <cell r="E100" t="str">
            <v xml:space="preserve">VENDEDOR(a)         </v>
          </cell>
          <cell r="F100" t="str">
            <v>605.447.793-55</v>
          </cell>
          <cell r="G100">
            <v>44321</v>
          </cell>
          <cell r="H100" t="str">
            <v>Ativo</v>
          </cell>
          <cell r="J100">
            <v>26</v>
          </cell>
          <cell r="L100">
            <v>26</v>
          </cell>
          <cell r="N100">
            <v>0</v>
          </cell>
          <cell r="O100">
            <v>1820</v>
          </cell>
          <cell r="S100">
            <v>107.8</v>
          </cell>
        </row>
        <row r="101">
          <cell r="C101" t="str">
            <v>139-24</v>
          </cell>
          <cell r="D101" t="str">
            <v>DAVID MARANDOLA</v>
          </cell>
          <cell r="E101" t="str">
            <v xml:space="preserve">VENDEDOR(a)         </v>
          </cell>
          <cell r="F101" t="str">
            <v>307.523.568-79</v>
          </cell>
          <cell r="G101">
            <v>43501</v>
          </cell>
          <cell r="H101" t="str">
            <v>Ativo</v>
          </cell>
          <cell r="J101">
            <v>30</v>
          </cell>
          <cell r="L101">
            <v>30</v>
          </cell>
          <cell r="N101">
            <v>0</v>
          </cell>
          <cell r="O101">
            <v>1660</v>
          </cell>
          <cell r="R101">
            <v>37.200000000000003</v>
          </cell>
          <cell r="S101" t="str">
            <v>FRETADO</v>
          </cell>
        </row>
        <row r="102">
          <cell r="C102" t="str">
            <v>139-28</v>
          </cell>
          <cell r="D102" t="str">
            <v>OSVALDO CARLOS CESAR</v>
          </cell>
          <cell r="E102" t="str">
            <v xml:space="preserve">VENDEDOR(a)         </v>
          </cell>
          <cell r="F102" t="str">
            <v>396.069.228-55</v>
          </cell>
          <cell r="G102">
            <v>43623</v>
          </cell>
          <cell r="H102" t="str">
            <v>Ativo</v>
          </cell>
          <cell r="J102">
            <v>30</v>
          </cell>
          <cell r="L102">
            <v>30</v>
          </cell>
          <cell r="N102">
            <v>0</v>
          </cell>
          <cell r="O102">
            <v>1660</v>
          </cell>
          <cell r="R102">
            <v>74.400000000000006</v>
          </cell>
        </row>
        <row r="103">
          <cell r="C103" t="str">
            <v>139-38</v>
          </cell>
          <cell r="D103" t="str">
            <v>FELIPPE MONTEIRO PEREIRA</v>
          </cell>
          <cell r="E103" t="str">
            <v xml:space="preserve">VENDEDOR(a)         </v>
          </cell>
          <cell r="F103" t="str">
            <v>468.123.328-52</v>
          </cell>
          <cell r="G103">
            <v>43809</v>
          </cell>
          <cell r="H103" t="str">
            <v>Ativo</v>
          </cell>
          <cell r="J103">
            <v>30</v>
          </cell>
          <cell r="L103">
            <v>30</v>
          </cell>
          <cell r="N103">
            <v>0</v>
          </cell>
          <cell r="O103">
            <v>1660</v>
          </cell>
          <cell r="R103">
            <v>74.400000000000006</v>
          </cell>
        </row>
        <row r="104">
          <cell r="C104" t="str">
            <v>139-41</v>
          </cell>
          <cell r="D104" t="str">
            <v>JULIANA CRISTINA CUNHA</v>
          </cell>
          <cell r="E104" t="str">
            <v xml:space="preserve">VENDEDOR(a)         </v>
          </cell>
          <cell r="F104" t="str">
            <v>307.648.608-01</v>
          </cell>
          <cell r="G104">
            <v>44085</v>
          </cell>
          <cell r="H104" t="str">
            <v>Ativo</v>
          </cell>
          <cell r="J104">
            <v>30</v>
          </cell>
          <cell r="L104">
            <v>30</v>
          </cell>
          <cell r="N104">
            <v>0</v>
          </cell>
          <cell r="O104">
            <v>1660</v>
          </cell>
          <cell r="R104">
            <v>74.400000000000006</v>
          </cell>
          <cell r="S104" t="str">
            <v>FRETADO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L105">
            <v>30</v>
          </cell>
          <cell r="N105">
            <v>1415</v>
          </cell>
          <cell r="P105">
            <v>71</v>
          </cell>
          <cell r="R105">
            <v>74.400000000000006</v>
          </cell>
          <cell r="S105" t="str">
            <v>FRETADO</v>
          </cell>
        </row>
        <row r="106">
          <cell r="C106" t="str">
            <v>139-47</v>
          </cell>
          <cell r="D106" t="str">
            <v>RENATO CORREA DA FONSECA</v>
          </cell>
          <cell r="E106" t="str">
            <v xml:space="preserve">VENDEDOR(a)         </v>
          </cell>
          <cell r="F106" t="str">
            <v>303.281.088-47</v>
          </cell>
          <cell r="G106">
            <v>44169</v>
          </cell>
          <cell r="H106" t="str">
            <v>Ativo</v>
          </cell>
          <cell r="J106">
            <v>30</v>
          </cell>
          <cell r="L106">
            <v>30</v>
          </cell>
          <cell r="N106">
            <v>0</v>
          </cell>
          <cell r="O106">
            <v>1660</v>
          </cell>
          <cell r="S106" t="str">
            <v>FRETADO</v>
          </cell>
        </row>
        <row r="107">
          <cell r="C107" t="str">
            <v>139-49</v>
          </cell>
          <cell r="D107" t="str">
            <v>RAVEL KAIQUE TIANO DA SILVA</v>
          </cell>
          <cell r="E107" t="str">
            <v xml:space="preserve">ASSISTENTE DE LOJA  </v>
          </cell>
          <cell r="F107" t="str">
            <v>465.919.398-57</v>
          </cell>
          <cell r="G107">
            <v>44169</v>
          </cell>
          <cell r="H107" t="str">
            <v>Ativo</v>
          </cell>
          <cell r="J107">
            <v>30</v>
          </cell>
          <cell r="L107">
            <v>30</v>
          </cell>
          <cell r="N107">
            <v>1415</v>
          </cell>
          <cell r="P107">
            <v>71</v>
          </cell>
          <cell r="R107">
            <v>37.200000000000003</v>
          </cell>
        </row>
        <row r="108">
          <cell r="C108" t="str">
            <v>139-50</v>
          </cell>
          <cell r="D108" t="str">
            <v>LUANA FERREIRA DA SILVA SOARES</v>
          </cell>
          <cell r="E108" t="str">
            <v xml:space="preserve">VENDEDOR(a)         </v>
          </cell>
          <cell r="F108" t="str">
            <v>053.220.423-93</v>
          </cell>
          <cell r="G108">
            <v>44256</v>
          </cell>
          <cell r="H108" t="str">
            <v>Ativo</v>
          </cell>
          <cell r="J108">
            <v>30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139-51</v>
          </cell>
          <cell r="D109" t="str">
            <v>MIRIA ALVES</v>
          </cell>
          <cell r="E109" t="str">
            <v xml:space="preserve">VENDEDOR(a)         </v>
          </cell>
          <cell r="F109" t="str">
            <v>446.951.558-26</v>
          </cell>
          <cell r="G109">
            <v>44256</v>
          </cell>
          <cell r="H109" t="str">
            <v>Ativo</v>
          </cell>
          <cell r="J109">
            <v>30</v>
          </cell>
          <cell r="L109">
            <v>30</v>
          </cell>
          <cell r="N109">
            <v>0</v>
          </cell>
          <cell r="O109">
            <v>1660</v>
          </cell>
          <cell r="R109">
            <v>74.400000000000006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L110">
            <v>30</v>
          </cell>
          <cell r="N110">
            <v>0</v>
          </cell>
          <cell r="O110">
            <v>1660</v>
          </cell>
          <cell r="R110">
            <v>74.400000000000006</v>
          </cell>
        </row>
        <row r="111">
          <cell r="C111" t="str">
            <v>144-35</v>
          </cell>
          <cell r="D111" t="str">
            <v>FERNANDO ROBERTO DE SOUZA</v>
          </cell>
          <cell r="E111" t="str">
            <v xml:space="preserve">GERENTE DE LOJA     </v>
          </cell>
          <cell r="F111" t="str">
            <v>310.780.058-93</v>
          </cell>
          <cell r="G111">
            <v>42545</v>
          </cell>
          <cell r="H111" t="str">
            <v>Ativo</v>
          </cell>
          <cell r="J111">
            <v>30</v>
          </cell>
          <cell r="L111">
            <v>30</v>
          </cell>
          <cell r="N111">
            <v>0</v>
          </cell>
          <cell r="O111">
            <v>4500</v>
          </cell>
          <cell r="R111">
            <v>23.5</v>
          </cell>
        </row>
        <row r="112">
          <cell r="C112" t="str">
            <v>144-71</v>
          </cell>
          <cell r="D112" t="str">
            <v>CASSIA HELENA DE SOUZA CORREIA DA SILVA</v>
          </cell>
          <cell r="E112" t="str">
            <v xml:space="preserve">VENDEDOR(a)         </v>
          </cell>
          <cell r="F112" t="str">
            <v>351.952.818-58</v>
          </cell>
          <cell r="G112">
            <v>43509</v>
          </cell>
          <cell r="H112" t="str">
            <v>Ativo</v>
          </cell>
          <cell r="J112">
            <v>30</v>
          </cell>
          <cell r="L112">
            <v>30</v>
          </cell>
          <cell r="N112">
            <v>0</v>
          </cell>
          <cell r="O112">
            <v>1693</v>
          </cell>
        </row>
        <row r="113">
          <cell r="C113" t="str">
            <v>144-74</v>
          </cell>
          <cell r="D113" t="str">
            <v>JOSE HENRIQUE GONCALVES</v>
          </cell>
          <cell r="E113" t="str">
            <v xml:space="preserve">VENDEDOR(a)         </v>
          </cell>
          <cell r="F113" t="str">
            <v>133.489.586-44</v>
          </cell>
          <cell r="G113">
            <v>43559</v>
          </cell>
          <cell r="H113" t="str">
            <v>Ativo</v>
          </cell>
          <cell r="J113">
            <v>30</v>
          </cell>
          <cell r="L113">
            <v>30</v>
          </cell>
          <cell r="N113">
            <v>0</v>
          </cell>
          <cell r="O113">
            <v>1693</v>
          </cell>
          <cell r="R113">
            <v>23.5</v>
          </cell>
        </row>
        <row r="114">
          <cell r="C114" t="str">
            <v>144-81</v>
          </cell>
          <cell r="D114" t="str">
            <v>CARLA DAIANE DA SILVA</v>
          </cell>
          <cell r="E114" t="str">
            <v xml:space="preserve">VENDEDOR(a)         </v>
          </cell>
          <cell r="F114" t="str">
            <v>061.950.663-62</v>
          </cell>
          <cell r="G114">
            <v>43864</v>
          </cell>
          <cell r="H114" t="str">
            <v>Ativo</v>
          </cell>
          <cell r="J114">
            <v>30</v>
          </cell>
          <cell r="L114">
            <v>30</v>
          </cell>
          <cell r="N114">
            <v>0</v>
          </cell>
          <cell r="O114">
            <v>1693</v>
          </cell>
          <cell r="R114">
            <v>23.5</v>
          </cell>
        </row>
        <row r="115">
          <cell r="C115" t="str">
            <v>144-85</v>
          </cell>
          <cell r="D115" t="str">
            <v>ELIZABETH SOUZA GOMES MELO SILVA BERALDO</v>
          </cell>
          <cell r="E115" t="str">
            <v xml:space="preserve">ASSISTENTE DE LOJA  </v>
          </cell>
          <cell r="F115" t="str">
            <v>351.952.868-17</v>
          </cell>
          <cell r="G115">
            <v>44155</v>
          </cell>
          <cell r="H115" t="str">
            <v>Ativo</v>
          </cell>
          <cell r="J115">
            <v>30</v>
          </cell>
          <cell r="L115">
            <v>30</v>
          </cell>
          <cell r="N115">
            <v>1449</v>
          </cell>
          <cell r="P115">
            <v>74.5</v>
          </cell>
          <cell r="R115">
            <v>23.5</v>
          </cell>
        </row>
        <row r="116">
          <cell r="C116" t="str">
            <v>144-88</v>
          </cell>
          <cell r="D116" t="str">
            <v>VALQUIRIA MELO DE SOUZA</v>
          </cell>
          <cell r="E116" t="str">
            <v xml:space="preserve">VENDEDOR(a)         </v>
          </cell>
          <cell r="F116" t="str">
            <v>302.136.518-31</v>
          </cell>
          <cell r="G116">
            <v>44166</v>
          </cell>
          <cell r="H116" t="str">
            <v>Ativo</v>
          </cell>
          <cell r="J116">
            <v>30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</row>
        <row r="117">
          <cell r="C117" t="str">
            <v>154-28</v>
          </cell>
          <cell r="D117" t="str">
            <v>THAIS CARLA DA SILVA</v>
          </cell>
          <cell r="E117" t="str">
            <v xml:space="preserve">VENDEDOR(a)         </v>
          </cell>
          <cell r="F117" t="str">
            <v>089.337.614-03</v>
          </cell>
          <cell r="G117">
            <v>42789</v>
          </cell>
          <cell r="H117" t="str">
            <v>Ativo</v>
          </cell>
          <cell r="J117">
            <v>30</v>
          </cell>
          <cell r="L117">
            <v>30</v>
          </cell>
          <cell r="N117">
            <v>0</v>
          </cell>
          <cell r="O117">
            <v>1205</v>
          </cell>
          <cell r="Q117">
            <v>73.8</v>
          </cell>
          <cell r="S117">
            <v>375</v>
          </cell>
        </row>
        <row r="118">
          <cell r="C118" t="str">
            <v>154-37</v>
          </cell>
          <cell r="D118" t="str">
            <v>MARCIO HENRIQUE CORREA</v>
          </cell>
          <cell r="E118" t="str">
            <v xml:space="preserve">GERENTE DE LOJA     </v>
          </cell>
          <cell r="F118" t="str">
            <v>352.686.818-26</v>
          </cell>
          <cell r="G118">
            <v>43600</v>
          </cell>
          <cell r="H118" t="str">
            <v>Ativo</v>
          </cell>
          <cell r="J118">
            <v>30</v>
          </cell>
          <cell r="L118">
            <v>30</v>
          </cell>
          <cell r="N118">
            <v>0</v>
          </cell>
          <cell r="O118">
            <v>4500</v>
          </cell>
        </row>
        <row r="119">
          <cell r="C119" t="str">
            <v>154-38</v>
          </cell>
          <cell r="D119" t="str">
            <v>GILVAN DE LIMA FERREIRA</v>
          </cell>
          <cell r="E119" t="str">
            <v xml:space="preserve">VENDEDOR(a)         </v>
          </cell>
          <cell r="F119" t="str">
            <v>047.334.784-96</v>
          </cell>
          <cell r="G119">
            <v>43679</v>
          </cell>
          <cell r="H119" t="str">
            <v>Ativo</v>
          </cell>
          <cell r="J119">
            <v>30</v>
          </cell>
          <cell r="L119">
            <v>30</v>
          </cell>
          <cell r="N119">
            <v>0</v>
          </cell>
          <cell r="O119">
            <v>1205</v>
          </cell>
          <cell r="Q119">
            <v>73.8</v>
          </cell>
        </row>
        <row r="120">
          <cell r="C120" t="str">
            <v>154-42</v>
          </cell>
          <cell r="D120" t="str">
            <v>VALDEK GONCALVES JUNIOR</v>
          </cell>
          <cell r="E120" t="str">
            <v xml:space="preserve">VENDEDOR(a)         </v>
          </cell>
          <cell r="F120" t="str">
            <v>012.818.324-13</v>
          </cell>
          <cell r="G120">
            <v>43787</v>
          </cell>
          <cell r="H120" t="str">
            <v>Ativo</v>
          </cell>
          <cell r="J120">
            <v>30</v>
          </cell>
          <cell r="L120">
            <v>30</v>
          </cell>
          <cell r="N120">
            <v>0</v>
          </cell>
          <cell r="O120">
            <v>1205</v>
          </cell>
          <cell r="Q120">
            <v>36.5</v>
          </cell>
        </row>
        <row r="121">
          <cell r="C121" t="str">
            <v>154-43</v>
          </cell>
          <cell r="D121" t="str">
            <v>MICHELINE QUIRINO DA SILVA</v>
          </cell>
          <cell r="E121" t="str">
            <v xml:space="preserve">ASSISTENTE DE LOJA  </v>
          </cell>
          <cell r="F121" t="str">
            <v>047.832.294-14</v>
          </cell>
          <cell r="G121">
            <v>44097</v>
          </cell>
          <cell r="H121" t="str">
            <v>Ativo</v>
          </cell>
          <cell r="J121">
            <v>30</v>
          </cell>
          <cell r="L121">
            <v>30</v>
          </cell>
          <cell r="N121">
            <v>1138.5</v>
          </cell>
          <cell r="P121">
            <v>113.85</v>
          </cell>
          <cell r="Q121">
            <v>44.29</v>
          </cell>
          <cell r="S121">
            <v>442.5</v>
          </cell>
        </row>
        <row r="122">
          <cell r="C122" t="str">
            <v>154-45</v>
          </cell>
          <cell r="D122" t="str">
            <v>RAFAEL BRUNO DA SILVA PEREIRA</v>
          </cell>
          <cell r="E122" t="str">
            <v xml:space="preserve">VENDEDOR(a)         </v>
          </cell>
          <cell r="F122" t="str">
            <v>052.187.014-32</v>
          </cell>
          <cell r="G122">
            <v>44152</v>
          </cell>
          <cell r="H122" t="str">
            <v>Ativo</v>
          </cell>
          <cell r="J122">
            <v>30</v>
          </cell>
          <cell r="L122">
            <v>30</v>
          </cell>
          <cell r="N122">
            <v>0</v>
          </cell>
          <cell r="O122">
            <v>1205</v>
          </cell>
          <cell r="Q122">
            <v>36.9</v>
          </cell>
          <cell r="S122">
            <v>180</v>
          </cell>
        </row>
        <row r="123">
          <cell r="C123" t="str">
            <v>156-67</v>
          </cell>
          <cell r="D123" t="str">
            <v>JAQUELINE GOMES FERNANDES</v>
          </cell>
          <cell r="E123" t="str">
            <v xml:space="preserve">VENDEDOR(a)         </v>
          </cell>
          <cell r="F123" t="str">
            <v>465.800.178-05</v>
          </cell>
          <cell r="G123">
            <v>43759</v>
          </cell>
          <cell r="H123" t="str">
            <v>Ativo</v>
          </cell>
          <cell r="J123">
            <v>30</v>
          </cell>
          <cell r="L123">
            <v>30</v>
          </cell>
          <cell r="N123">
            <v>0</v>
          </cell>
          <cell r="O123">
            <v>1807.35</v>
          </cell>
          <cell r="R123">
            <v>80</v>
          </cell>
        </row>
        <row r="124">
          <cell r="C124" t="str">
            <v>156-72</v>
          </cell>
          <cell r="D124" t="str">
            <v>DANILO TEIXEIRA</v>
          </cell>
          <cell r="E124" t="str">
            <v xml:space="preserve">VENDEDOR(a)         </v>
          </cell>
          <cell r="F124" t="str">
            <v>393.300.068-84</v>
          </cell>
          <cell r="G124">
            <v>43852</v>
          </cell>
          <cell r="H124" t="str">
            <v>Ativo</v>
          </cell>
          <cell r="J124">
            <v>30</v>
          </cell>
          <cell r="L124">
            <v>30</v>
          </cell>
          <cell r="N124">
            <v>0</v>
          </cell>
          <cell r="O124">
            <v>1807.35</v>
          </cell>
          <cell r="R124">
            <v>80</v>
          </cell>
          <cell r="S124">
            <v>462</v>
          </cell>
        </row>
        <row r="125">
          <cell r="C125" t="str">
            <v>156-75</v>
          </cell>
          <cell r="D125" t="str">
            <v>RAFAEL DOS SANTOS GENARE DENIS</v>
          </cell>
          <cell r="E125" t="str">
            <v xml:space="preserve">GERENTE DE LOJA     </v>
          </cell>
          <cell r="F125" t="str">
            <v>357.754.148-29</v>
          </cell>
          <cell r="G125">
            <v>43889</v>
          </cell>
          <cell r="H125" t="str">
            <v>Ativo</v>
          </cell>
          <cell r="J125">
            <v>30</v>
          </cell>
          <cell r="L125">
            <v>30</v>
          </cell>
          <cell r="N125">
            <v>0</v>
          </cell>
          <cell r="O125">
            <v>4817.59</v>
          </cell>
          <cell r="R125">
            <v>40</v>
          </cell>
        </row>
        <row r="126">
          <cell r="C126" t="str">
            <v>156-76</v>
          </cell>
          <cell r="D126" t="str">
            <v>DAIANE ELIAS FONTE</v>
          </cell>
          <cell r="E126" t="str">
            <v xml:space="preserve">VENDEDOR(a)         </v>
          </cell>
          <cell r="F126" t="str">
            <v>366.633.188-29</v>
          </cell>
          <cell r="G126">
            <v>43901</v>
          </cell>
          <cell r="H126" t="str">
            <v>Ativo</v>
          </cell>
          <cell r="J126">
            <v>30</v>
          </cell>
          <cell r="L126">
            <v>30</v>
          </cell>
          <cell r="N126">
            <v>0</v>
          </cell>
          <cell r="O126">
            <v>1807.35</v>
          </cell>
          <cell r="R126">
            <v>80</v>
          </cell>
          <cell r="S126">
            <v>425.04</v>
          </cell>
        </row>
        <row r="127">
          <cell r="C127" t="str">
            <v>156-78</v>
          </cell>
          <cell r="D127" t="str">
            <v>GUSTAVO DA SILVA DIAS</v>
          </cell>
          <cell r="E127" t="str">
            <v xml:space="preserve">VENDEDOR(a)         </v>
          </cell>
          <cell r="F127" t="str">
            <v>462.565.098-46</v>
          </cell>
          <cell r="G127">
            <v>43902</v>
          </cell>
          <cell r="H127" t="str">
            <v>Ativo</v>
          </cell>
          <cell r="J127">
            <v>30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267</v>
          </cell>
        </row>
        <row r="128">
          <cell r="C128" t="str">
            <v>156-79</v>
          </cell>
          <cell r="D128" t="str">
            <v>LUCAS DIAS NASCIMENTO</v>
          </cell>
          <cell r="E128" t="str">
            <v xml:space="preserve">VENDEDOR(a)         </v>
          </cell>
          <cell r="F128" t="str">
            <v>462.462.528-50</v>
          </cell>
          <cell r="G128">
            <v>44145</v>
          </cell>
          <cell r="H128" t="str">
            <v>Ativo</v>
          </cell>
          <cell r="J128">
            <v>30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277.2</v>
          </cell>
        </row>
        <row r="129">
          <cell r="C129" t="str">
            <v>156-81</v>
          </cell>
          <cell r="D129" t="str">
            <v>LUCAS COSTA NERIS</v>
          </cell>
          <cell r="E129" t="str">
            <v xml:space="preserve">ASSISTENTE DE LOJA  </v>
          </cell>
          <cell r="F129" t="str">
            <v>406.321.078-20</v>
          </cell>
          <cell r="G129">
            <v>44152</v>
          </cell>
          <cell r="H129" t="str">
            <v>Ativo</v>
          </cell>
          <cell r="J129">
            <v>30</v>
          </cell>
          <cell r="L129">
            <v>30</v>
          </cell>
          <cell r="N129">
            <v>1504.22</v>
          </cell>
          <cell r="P129">
            <v>70.41</v>
          </cell>
          <cell r="S129">
            <v>277.2</v>
          </cell>
        </row>
        <row r="130">
          <cell r="C130" t="str">
            <v>157-14</v>
          </cell>
          <cell r="D130" t="str">
            <v>JOELMA APARECIDA ZANCHINSKI DE MATTOS</v>
          </cell>
          <cell r="E130" t="str">
            <v xml:space="preserve">VENDEDOR(a)         </v>
          </cell>
          <cell r="F130" t="str">
            <v>072.489.409-84</v>
          </cell>
          <cell r="G130">
            <v>42684</v>
          </cell>
          <cell r="H130" t="str">
            <v>Ativo</v>
          </cell>
          <cell r="J130">
            <v>30</v>
          </cell>
          <cell r="L130">
            <v>30</v>
          </cell>
          <cell r="N130">
            <v>0</v>
          </cell>
          <cell r="O130">
            <v>1478</v>
          </cell>
          <cell r="R130">
            <v>44</v>
          </cell>
        </row>
        <row r="131">
          <cell r="C131" t="str">
            <v>157-33</v>
          </cell>
          <cell r="D131" t="str">
            <v>PEDRO MAGNO DOS SANTOS PEREIRA</v>
          </cell>
          <cell r="E131" t="str">
            <v xml:space="preserve">GERENTE DE LOJA     </v>
          </cell>
          <cell r="F131" t="str">
            <v>023.850.479-42</v>
          </cell>
          <cell r="G131">
            <v>43693</v>
          </cell>
          <cell r="H131" t="str">
            <v>Ativo</v>
          </cell>
          <cell r="J131">
            <v>30</v>
          </cell>
          <cell r="L131">
            <v>30</v>
          </cell>
          <cell r="N131">
            <v>0</v>
          </cell>
          <cell r="O131">
            <v>4500</v>
          </cell>
          <cell r="R131">
            <v>22</v>
          </cell>
        </row>
        <row r="132">
          <cell r="C132" t="str">
            <v>157-34</v>
          </cell>
          <cell r="D132" t="str">
            <v>ALEX ADRES BARBARA</v>
          </cell>
          <cell r="E132" t="str">
            <v xml:space="preserve">ASSISTENTE DE LOJA  </v>
          </cell>
          <cell r="F132" t="str">
            <v>095.268.949-95</v>
          </cell>
          <cell r="G132">
            <v>43728</v>
          </cell>
          <cell r="H132" t="str">
            <v>Ativo</v>
          </cell>
          <cell r="J132">
            <v>30</v>
          </cell>
          <cell r="L132">
            <v>30</v>
          </cell>
          <cell r="N132">
            <v>1408</v>
          </cell>
          <cell r="P132">
            <v>140.80000000000001</v>
          </cell>
          <cell r="R132">
            <v>22</v>
          </cell>
        </row>
        <row r="133">
          <cell r="C133" t="str">
            <v>157-43</v>
          </cell>
          <cell r="D133" t="str">
            <v>JULIO CESAR RODRIGUES ROSA</v>
          </cell>
          <cell r="E133" t="str">
            <v xml:space="preserve">VENDEDOR(a)         </v>
          </cell>
          <cell r="F133" t="str">
            <v>109.044.107-06</v>
          </cell>
          <cell r="G133">
            <v>44086</v>
          </cell>
          <cell r="H133" t="str">
            <v>Ativo</v>
          </cell>
          <cell r="J133">
            <v>30</v>
          </cell>
          <cell r="L133">
            <v>30</v>
          </cell>
          <cell r="N133">
            <v>0</v>
          </cell>
          <cell r="O133">
            <v>1478</v>
          </cell>
          <cell r="R133">
            <v>44</v>
          </cell>
        </row>
        <row r="134">
          <cell r="C134" t="str">
            <v>157-44</v>
          </cell>
          <cell r="D134" t="str">
            <v>GABRIELE VILICZINSKI ZADOROSNY</v>
          </cell>
          <cell r="E134" t="str">
            <v xml:space="preserve">ASSISTENTE DE LOJA  </v>
          </cell>
          <cell r="F134" t="str">
            <v>097.198.899-42</v>
          </cell>
          <cell r="G134">
            <v>44152</v>
          </cell>
          <cell r="H134" t="str">
            <v>Ativo</v>
          </cell>
          <cell r="J134">
            <v>30</v>
          </cell>
          <cell r="L134">
            <v>30</v>
          </cell>
          <cell r="N134">
            <v>1408</v>
          </cell>
          <cell r="P134">
            <v>140.80000000000001</v>
          </cell>
          <cell r="R134">
            <v>22</v>
          </cell>
        </row>
        <row r="135">
          <cell r="C135" t="str">
            <v>157-45</v>
          </cell>
          <cell r="D135" t="str">
            <v>LUIZA PACHEGO GROLLI</v>
          </cell>
          <cell r="E135" t="str">
            <v xml:space="preserve">VENDEDOR(a)         </v>
          </cell>
          <cell r="F135" t="str">
            <v>074.611.149-56</v>
          </cell>
          <cell r="G135">
            <v>44155</v>
          </cell>
          <cell r="H135" t="str">
            <v>Ativo</v>
          </cell>
          <cell r="J135">
            <v>30</v>
          </cell>
          <cell r="L135">
            <v>30</v>
          </cell>
          <cell r="N135">
            <v>0</v>
          </cell>
          <cell r="O135">
            <v>1478</v>
          </cell>
          <cell r="R135">
            <v>44</v>
          </cell>
        </row>
        <row r="136">
          <cell r="C136" t="str">
            <v>157-46</v>
          </cell>
          <cell r="D136" t="str">
            <v>ALEXANDRO LIMA PASSOS</v>
          </cell>
          <cell r="E136" t="str">
            <v xml:space="preserve">VENDEDOR(a)         </v>
          </cell>
          <cell r="F136" t="str">
            <v>073.153.439-54</v>
          </cell>
          <cell r="G136">
            <v>44179</v>
          </cell>
          <cell r="H136" t="str">
            <v>Ativo</v>
          </cell>
          <cell r="J136">
            <v>30</v>
          </cell>
          <cell r="L136">
            <v>30</v>
          </cell>
          <cell r="N136">
            <v>0</v>
          </cell>
          <cell r="O136">
            <v>1478</v>
          </cell>
          <cell r="R136">
            <v>44</v>
          </cell>
        </row>
        <row r="137">
          <cell r="C137" t="str">
            <v>161-32</v>
          </cell>
          <cell r="D137" t="str">
            <v>DEBORA RODRIGUES SILVA</v>
          </cell>
          <cell r="E137" t="str">
            <v xml:space="preserve">GERENTE DE LOJA     </v>
          </cell>
          <cell r="F137" t="str">
            <v>861.880.700-15</v>
          </cell>
          <cell r="G137">
            <v>43491</v>
          </cell>
          <cell r="H137" t="str">
            <v>Ativo</v>
          </cell>
          <cell r="J137">
            <v>30</v>
          </cell>
          <cell r="L137">
            <v>30</v>
          </cell>
          <cell r="N137">
            <v>0</v>
          </cell>
          <cell r="O137">
            <v>4000</v>
          </cell>
          <cell r="Q137">
            <v>85.54</v>
          </cell>
          <cell r="R137">
            <v>60.18</v>
          </cell>
        </row>
        <row r="138">
          <cell r="C138" t="str">
            <v>161-34</v>
          </cell>
          <cell r="D138" t="str">
            <v>MARLLON ARAUJO DA SILVA</v>
          </cell>
          <cell r="E138" t="str">
            <v xml:space="preserve">VENDEDOR(a)         </v>
          </cell>
          <cell r="F138" t="str">
            <v>850.836.150-53</v>
          </cell>
          <cell r="G138">
            <v>43521</v>
          </cell>
          <cell r="H138" t="str">
            <v>Sob Custódia do Inss</v>
          </cell>
          <cell r="J138" t="str">
            <v>0</v>
          </cell>
          <cell r="L138">
            <v>0</v>
          </cell>
          <cell r="N138">
            <v>0</v>
          </cell>
          <cell r="O138">
            <v>1420.37</v>
          </cell>
        </row>
        <row r="139">
          <cell r="C139" t="str">
            <v>161-44</v>
          </cell>
          <cell r="D139" t="str">
            <v>RAFAEL CARVALHO DA LUZ</v>
          </cell>
          <cell r="E139" t="str">
            <v xml:space="preserve">VENDEDOR(a)         </v>
          </cell>
          <cell r="F139" t="str">
            <v>014.127.690-86</v>
          </cell>
          <cell r="G139">
            <v>43882</v>
          </cell>
          <cell r="H139" t="str">
            <v>Ativo</v>
          </cell>
          <cell r="J139">
            <v>30</v>
          </cell>
          <cell r="L139">
            <v>30</v>
          </cell>
          <cell r="N139">
            <v>0</v>
          </cell>
          <cell r="O139">
            <v>1420.37</v>
          </cell>
          <cell r="Q139">
            <v>85.54</v>
          </cell>
          <cell r="R139">
            <v>60.18</v>
          </cell>
        </row>
        <row r="140">
          <cell r="C140" t="str">
            <v>161-45</v>
          </cell>
          <cell r="D140" t="str">
            <v>DANIELA DA SILVA CASTILHOS</v>
          </cell>
          <cell r="E140" t="str">
            <v xml:space="preserve">ASSISTENTE DE LOJA  </v>
          </cell>
          <cell r="F140" t="str">
            <v>868.605.930-91</v>
          </cell>
          <cell r="G140">
            <v>44154</v>
          </cell>
          <cell r="H140" t="str">
            <v>Ativo</v>
          </cell>
          <cell r="J140">
            <v>30</v>
          </cell>
          <cell r="L140">
            <v>30</v>
          </cell>
          <cell r="N140">
            <v>1285</v>
          </cell>
          <cell r="P140">
            <v>128.5</v>
          </cell>
        </row>
        <row r="141">
          <cell r="C141" t="str">
            <v>161-49</v>
          </cell>
          <cell r="D141" t="str">
            <v>CAUE LUCAS GIL</v>
          </cell>
          <cell r="E141" t="str">
            <v xml:space="preserve">VENDEDOR(a)         </v>
          </cell>
          <cell r="F141" t="str">
            <v>017.010.930-57</v>
          </cell>
          <cell r="G141">
            <v>44287</v>
          </cell>
          <cell r="H141" t="str">
            <v>Ativo</v>
          </cell>
          <cell r="J141">
            <v>30</v>
          </cell>
          <cell r="L141">
            <v>30</v>
          </cell>
          <cell r="N141">
            <v>0</v>
          </cell>
          <cell r="O141">
            <v>1420.37</v>
          </cell>
          <cell r="Q141">
            <v>85.54</v>
          </cell>
          <cell r="R141">
            <v>60.18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5</v>
          </cell>
          <cell r="L142">
            <v>5</v>
          </cell>
          <cell r="N142">
            <v>0</v>
          </cell>
          <cell r="O142">
            <v>1420.37</v>
          </cell>
          <cell r="R142">
            <v>13.87</v>
          </cell>
        </row>
        <row r="143">
          <cell r="C143" t="str">
            <v>166-1</v>
          </cell>
          <cell r="D143" t="str">
            <v>BRUNO HENRIQUE FIGUEIRA NOTARANGELI</v>
          </cell>
          <cell r="E143" t="str">
            <v xml:space="preserve">GERENTE DE LOJA     </v>
          </cell>
          <cell r="F143" t="str">
            <v>050.767.341-74</v>
          </cell>
          <cell r="G143">
            <v>43069</v>
          </cell>
          <cell r="H143" t="str">
            <v>Ativo</v>
          </cell>
          <cell r="J143">
            <v>30</v>
          </cell>
          <cell r="L143">
            <v>30</v>
          </cell>
          <cell r="N143">
            <v>0</v>
          </cell>
          <cell r="O143">
            <v>4000</v>
          </cell>
          <cell r="Q143">
            <v>560</v>
          </cell>
        </row>
        <row r="144">
          <cell r="C144" t="str">
            <v>166-8</v>
          </cell>
          <cell r="D144" t="str">
            <v>MARIANA DE SOUZA ARAL</v>
          </cell>
          <cell r="E144" t="str">
            <v xml:space="preserve">VENDEDOR(a)         </v>
          </cell>
          <cell r="F144" t="str">
            <v>059.153.461-46</v>
          </cell>
          <cell r="G144">
            <v>43069</v>
          </cell>
          <cell r="H144" t="str">
            <v>Ativo</v>
          </cell>
          <cell r="J144">
            <v>30</v>
          </cell>
          <cell r="L144">
            <v>30</v>
          </cell>
          <cell r="N144">
            <v>0</v>
          </cell>
          <cell r="O144">
            <v>1300</v>
          </cell>
          <cell r="Q144">
            <v>182</v>
          </cell>
        </row>
        <row r="145">
          <cell r="C145" t="str">
            <v>166-22</v>
          </cell>
          <cell r="D145" t="str">
            <v>CEILA DE OLIVEIRA RODRIGUES</v>
          </cell>
          <cell r="E145" t="str">
            <v xml:space="preserve">VENDEDOR(a)         </v>
          </cell>
          <cell r="F145" t="str">
            <v>984.766.101-49</v>
          </cell>
          <cell r="G145">
            <v>43426</v>
          </cell>
          <cell r="H145" t="str">
            <v>Ativo</v>
          </cell>
          <cell r="J145">
            <v>30</v>
          </cell>
          <cell r="L145">
            <v>30</v>
          </cell>
          <cell r="N145">
            <v>0</v>
          </cell>
          <cell r="O145">
            <v>1300</v>
          </cell>
        </row>
        <row r="146">
          <cell r="C146" t="str">
            <v>166-34</v>
          </cell>
          <cell r="D146" t="str">
            <v>BRAULIO RIBEIRO MARQUEZ</v>
          </cell>
          <cell r="E146" t="str">
            <v xml:space="preserve">VENDEDOR(a)         </v>
          </cell>
          <cell r="F146" t="str">
            <v>127.679.907-16</v>
          </cell>
          <cell r="G146">
            <v>43794</v>
          </cell>
          <cell r="H146" t="str">
            <v>Ativo</v>
          </cell>
          <cell r="J146">
            <v>26</v>
          </cell>
          <cell r="K146" t="str">
            <v>4</v>
          </cell>
          <cell r="L146">
            <v>26</v>
          </cell>
          <cell r="N146">
            <v>0</v>
          </cell>
          <cell r="O146">
            <v>1300</v>
          </cell>
          <cell r="S146">
            <v>184.8</v>
          </cell>
        </row>
        <row r="147">
          <cell r="C147" t="str">
            <v>166-39</v>
          </cell>
          <cell r="D147" t="str">
            <v>JHONNY LUCAS COCIAN CARVALHO</v>
          </cell>
          <cell r="E147" t="str">
            <v xml:space="preserve">VENDEDOR(a)         </v>
          </cell>
          <cell r="F147" t="str">
            <v>064.991.751-02</v>
          </cell>
          <cell r="G147">
            <v>44153</v>
          </cell>
          <cell r="H147" t="str">
            <v>Ativo</v>
          </cell>
          <cell r="J147">
            <v>30</v>
          </cell>
          <cell r="L147">
            <v>30</v>
          </cell>
          <cell r="N147">
            <v>0</v>
          </cell>
          <cell r="O147">
            <v>1300</v>
          </cell>
          <cell r="Q147">
            <v>182</v>
          </cell>
        </row>
        <row r="148">
          <cell r="C148" t="str">
            <v>169-1</v>
          </cell>
          <cell r="D148" t="str">
            <v>TATIANE MENDES NASCIMENTO</v>
          </cell>
          <cell r="E148" t="str">
            <v xml:space="preserve">VENDEDOR(a)         </v>
          </cell>
          <cell r="F148" t="str">
            <v>076.301.986-04</v>
          </cell>
          <cell r="G148">
            <v>43442</v>
          </cell>
          <cell r="H148" t="str">
            <v>Ativo</v>
          </cell>
          <cell r="J148">
            <v>30</v>
          </cell>
          <cell r="L148">
            <v>30</v>
          </cell>
          <cell r="N148">
            <v>0</v>
          </cell>
          <cell r="O148">
            <v>1314</v>
          </cell>
          <cell r="Q148">
            <v>126</v>
          </cell>
        </row>
        <row r="149">
          <cell r="C149" t="str">
            <v>169-7</v>
          </cell>
          <cell r="D149" t="str">
            <v>LEONARDO CASTRO DA PAIXAO</v>
          </cell>
          <cell r="E149" t="str">
            <v xml:space="preserve">VENDEDOR(a)         </v>
          </cell>
          <cell r="F149" t="str">
            <v>057.482.195-30</v>
          </cell>
          <cell r="G149">
            <v>43442</v>
          </cell>
          <cell r="H149" t="str">
            <v>Ativo</v>
          </cell>
          <cell r="J149">
            <v>30</v>
          </cell>
          <cell r="L149">
            <v>30</v>
          </cell>
          <cell r="N149">
            <v>0</v>
          </cell>
          <cell r="O149">
            <v>1314</v>
          </cell>
          <cell r="Q149">
            <v>63</v>
          </cell>
        </row>
        <row r="150">
          <cell r="C150" t="str">
            <v>169-16</v>
          </cell>
          <cell r="D150" t="str">
            <v>JOSE FELIX SAMUEL RAGGIO ADORNO</v>
          </cell>
          <cell r="E150" t="str">
            <v xml:space="preserve">GERENTE DE LOJA     </v>
          </cell>
          <cell r="F150" t="str">
            <v>704.874.091-40</v>
          </cell>
          <cell r="G150">
            <v>42626</v>
          </cell>
          <cell r="H150" t="str">
            <v>Ativo</v>
          </cell>
          <cell r="J150">
            <v>30</v>
          </cell>
          <cell r="L150">
            <v>30</v>
          </cell>
          <cell r="N150">
            <v>0</v>
          </cell>
          <cell r="O150">
            <v>5665</v>
          </cell>
          <cell r="Q150">
            <v>63</v>
          </cell>
        </row>
        <row r="151">
          <cell r="C151" t="str">
            <v>169-31</v>
          </cell>
          <cell r="D151" t="str">
            <v>JOSE VITOR SILVA TROIAN</v>
          </cell>
          <cell r="E151" t="str">
            <v xml:space="preserve">VENDEDOR(a)         </v>
          </cell>
          <cell r="F151" t="str">
            <v>083.524.149-17</v>
          </cell>
          <cell r="G151">
            <v>43781</v>
          </cell>
          <cell r="H151" t="str">
            <v>Ativo</v>
          </cell>
          <cell r="J151">
            <v>30</v>
          </cell>
          <cell r="L151">
            <v>30</v>
          </cell>
          <cell r="N151">
            <v>0</v>
          </cell>
          <cell r="O151">
            <v>1314</v>
          </cell>
          <cell r="Q151">
            <v>63</v>
          </cell>
        </row>
        <row r="152">
          <cell r="C152" t="str">
            <v>169-35</v>
          </cell>
          <cell r="D152" t="str">
            <v>BERLIS CAROLAYNE DAMASCENA  BOROWSKI</v>
          </cell>
          <cell r="E152" t="str">
            <v xml:space="preserve">ASSISTENTE DE LOJA  </v>
          </cell>
          <cell r="F152" t="str">
            <v>107.202.289-30</v>
          </cell>
          <cell r="G152">
            <v>44035</v>
          </cell>
          <cell r="H152" t="str">
            <v>Ativo</v>
          </cell>
          <cell r="J152">
            <v>30</v>
          </cell>
          <cell r="L152">
            <v>30</v>
          </cell>
          <cell r="N152">
            <v>1314</v>
          </cell>
          <cell r="P152">
            <v>262.8</v>
          </cell>
          <cell r="Q152">
            <v>126</v>
          </cell>
          <cell r="S152" t="str">
            <v>Fretado</v>
          </cell>
        </row>
        <row r="153">
          <cell r="C153" t="str">
            <v>169-37</v>
          </cell>
          <cell r="D153" t="str">
            <v>MATHEUS MARTINS VIEIRA</v>
          </cell>
          <cell r="E153" t="str">
            <v xml:space="preserve">VENDEDOR(a)         </v>
          </cell>
          <cell r="F153" t="str">
            <v>015.074.470-60</v>
          </cell>
          <cell r="G153">
            <v>44095</v>
          </cell>
          <cell r="H153" t="str">
            <v>Ativo</v>
          </cell>
          <cell r="J153">
            <v>30</v>
          </cell>
          <cell r="L153">
            <v>30</v>
          </cell>
          <cell r="N153">
            <v>0</v>
          </cell>
          <cell r="O153">
            <v>1314</v>
          </cell>
          <cell r="Q153">
            <v>126</v>
          </cell>
        </row>
        <row r="154">
          <cell r="C154" t="str">
            <v>169-38</v>
          </cell>
          <cell r="D154" t="str">
            <v>RAFAEL GOVONI</v>
          </cell>
          <cell r="E154" t="str">
            <v xml:space="preserve">VENDEDOR(a)         </v>
          </cell>
          <cell r="F154" t="str">
            <v>032.988.810-23</v>
          </cell>
          <cell r="G154">
            <v>44153</v>
          </cell>
          <cell r="H154" t="str">
            <v>Ativo</v>
          </cell>
          <cell r="J154">
            <v>30</v>
          </cell>
          <cell r="L154">
            <v>30</v>
          </cell>
          <cell r="N154">
            <v>0</v>
          </cell>
          <cell r="O154">
            <v>1314</v>
          </cell>
          <cell r="Q154">
            <v>126</v>
          </cell>
        </row>
        <row r="155">
          <cell r="C155" t="str">
            <v>169-39</v>
          </cell>
          <cell r="D155" t="str">
            <v>JADI REIS</v>
          </cell>
          <cell r="E155" t="str">
            <v xml:space="preserve">ASSISTENTE DE LOJA  </v>
          </cell>
          <cell r="F155" t="str">
            <v>138.361.579-93</v>
          </cell>
          <cell r="G155">
            <v>44152</v>
          </cell>
          <cell r="H155" t="str">
            <v>Ativo</v>
          </cell>
          <cell r="J155">
            <v>30</v>
          </cell>
          <cell r="L155">
            <v>30</v>
          </cell>
          <cell r="N155">
            <v>1314</v>
          </cell>
          <cell r="P155">
            <v>262.8</v>
          </cell>
          <cell r="Q155">
            <v>126</v>
          </cell>
        </row>
        <row r="156">
          <cell r="C156" t="str">
            <v>169-41</v>
          </cell>
          <cell r="D156" t="str">
            <v>LUIZ ANTONIO SILVEIRA</v>
          </cell>
          <cell r="E156" t="str">
            <v xml:space="preserve">VENDEDOR(a)         </v>
          </cell>
          <cell r="F156" t="str">
            <v>004.208.339-78</v>
          </cell>
          <cell r="G156">
            <v>44221</v>
          </cell>
          <cell r="H156" t="str">
            <v>Ativo</v>
          </cell>
          <cell r="J156">
            <v>30</v>
          </cell>
          <cell r="L156">
            <v>30</v>
          </cell>
          <cell r="N156">
            <v>0</v>
          </cell>
          <cell r="O156">
            <v>1314</v>
          </cell>
          <cell r="Q156">
            <v>126</v>
          </cell>
        </row>
        <row r="157">
          <cell r="C157" t="str">
            <v>173-5</v>
          </cell>
          <cell r="D157" t="str">
            <v>FLAVIA TEIXEIRA GONDIM</v>
          </cell>
          <cell r="E157" t="str">
            <v xml:space="preserve">VENDEDOR(a)         </v>
          </cell>
          <cell r="F157" t="str">
            <v>451.312.228-50</v>
          </cell>
          <cell r="G157">
            <v>43427</v>
          </cell>
          <cell r="H157" t="str">
            <v>Sob Custódia do Inss</v>
          </cell>
          <cell r="J157" t="str">
            <v>0</v>
          </cell>
          <cell r="L157">
            <v>0</v>
          </cell>
          <cell r="N157">
            <v>0</v>
          </cell>
          <cell r="O157">
            <v>0</v>
          </cell>
        </row>
        <row r="158">
          <cell r="C158" t="str">
            <v>173-23</v>
          </cell>
          <cell r="D158" t="str">
            <v>THAIS DE OLIVEIRA FELIX DAVID</v>
          </cell>
          <cell r="E158" t="str">
            <v xml:space="preserve">VENDEDOR(a)         </v>
          </cell>
          <cell r="F158" t="str">
            <v>428.403.468-50</v>
          </cell>
          <cell r="G158">
            <v>43791</v>
          </cell>
          <cell r="H158" t="str">
            <v>Ativo</v>
          </cell>
          <cell r="J158">
            <v>30</v>
          </cell>
          <cell r="L158">
            <v>30</v>
          </cell>
          <cell r="N158">
            <v>0</v>
          </cell>
          <cell r="O158">
            <v>1713</v>
          </cell>
          <cell r="R158">
            <v>80</v>
          </cell>
          <cell r="S158">
            <v>380</v>
          </cell>
        </row>
        <row r="159">
          <cell r="C159" t="str">
            <v>173-26</v>
          </cell>
          <cell r="D159" t="str">
            <v>ANDRESSA RIBEIRO DOS SANTOS</v>
          </cell>
          <cell r="E159" t="str">
            <v xml:space="preserve">VENDEDOR(a)         </v>
          </cell>
          <cell r="F159" t="str">
            <v>340.943.468-21</v>
          </cell>
          <cell r="G159">
            <v>43791</v>
          </cell>
          <cell r="H159" t="str">
            <v>Ativo</v>
          </cell>
          <cell r="J159">
            <v>30</v>
          </cell>
          <cell r="L159">
            <v>30</v>
          </cell>
          <cell r="N159">
            <v>0</v>
          </cell>
          <cell r="O159">
            <v>1713</v>
          </cell>
          <cell r="R159">
            <v>80</v>
          </cell>
          <cell r="S159">
            <v>370</v>
          </cell>
        </row>
        <row r="160">
          <cell r="C160" t="str">
            <v>173-30</v>
          </cell>
          <cell r="D160" t="str">
            <v>CAIO BRUNO DA SILVA FERREIRA</v>
          </cell>
          <cell r="E160" t="str">
            <v xml:space="preserve">ASSISTENTE DE LOJA  </v>
          </cell>
          <cell r="F160" t="str">
            <v>424.306.458-07</v>
          </cell>
          <cell r="G160">
            <v>43791</v>
          </cell>
          <cell r="H160" t="str">
            <v>Ativo</v>
          </cell>
          <cell r="J160">
            <v>30</v>
          </cell>
          <cell r="L160">
            <v>30</v>
          </cell>
          <cell r="N160">
            <v>1447</v>
          </cell>
          <cell r="P160">
            <v>80</v>
          </cell>
          <cell r="R160">
            <v>80</v>
          </cell>
          <cell r="S160">
            <v>275</v>
          </cell>
        </row>
        <row r="161">
          <cell r="C161" t="str">
            <v>173-34</v>
          </cell>
          <cell r="D161" t="str">
            <v>LUCAS DOS SANTOS AMARO SILVA</v>
          </cell>
          <cell r="E161" t="str">
            <v xml:space="preserve">VENDEDOR(a)         </v>
          </cell>
          <cell r="F161" t="str">
            <v>466.569.038-35</v>
          </cell>
          <cell r="G161">
            <v>43899</v>
          </cell>
          <cell r="H161" t="str">
            <v>Ativo</v>
          </cell>
          <cell r="J161">
            <v>30</v>
          </cell>
          <cell r="L161">
            <v>30</v>
          </cell>
          <cell r="N161">
            <v>0</v>
          </cell>
          <cell r="O161">
            <v>1713</v>
          </cell>
          <cell r="R161">
            <v>80</v>
          </cell>
          <cell r="S161">
            <v>596.5</v>
          </cell>
        </row>
        <row r="162">
          <cell r="C162" t="str">
            <v>173-35</v>
          </cell>
          <cell r="D162" t="str">
            <v>THIAGO HENRIQUE FRANÇA DA SILVA</v>
          </cell>
          <cell r="E162" t="str">
            <v xml:space="preserve">GERENTE DE LOJA     </v>
          </cell>
          <cell r="F162" t="str">
            <v>410.930.048-78</v>
          </cell>
          <cell r="G162">
            <v>42531</v>
          </cell>
          <cell r="H162" t="str">
            <v>Ativo</v>
          </cell>
          <cell r="J162">
            <v>26</v>
          </cell>
          <cell r="K162" t="str">
            <v>4</v>
          </cell>
          <cell r="L162">
            <v>26</v>
          </cell>
          <cell r="N162">
            <v>0</v>
          </cell>
          <cell r="O162">
            <v>4500</v>
          </cell>
        </row>
        <row r="163">
          <cell r="C163" t="str">
            <v>173-38</v>
          </cell>
          <cell r="D163" t="str">
            <v>DAVISON DE JESUS SANTOS</v>
          </cell>
          <cell r="E163" t="str">
            <v xml:space="preserve">VENDEDOR(a)         </v>
          </cell>
          <cell r="F163" t="str">
            <v>043.282.025-61</v>
          </cell>
          <cell r="G163">
            <v>44152</v>
          </cell>
          <cell r="H163" t="str">
            <v>Ativo</v>
          </cell>
          <cell r="J163">
            <v>30</v>
          </cell>
          <cell r="L163">
            <v>30</v>
          </cell>
          <cell r="N163">
            <v>0</v>
          </cell>
          <cell r="O163">
            <v>1713</v>
          </cell>
          <cell r="R163">
            <v>80</v>
          </cell>
          <cell r="S163">
            <v>225</v>
          </cell>
        </row>
        <row r="164">
          <cell r="C164" t="str">
            <v>175-1</v>
          </cell>
          <cell r="D164" t="str">
            <v>WALLACY BELTRAO DA COSTA</v>
          </cell>
          <cell r="E164" t="str">
            <v xml:space="preserve">VENDEDOR(a)         </v>
          </cell>
          <cell r="F164" t="str">
            <v>080.241.671-31</v>
          </cell>
          <cell r="G164">
            <v>43782</v>
          </cell>
          <cell r="H164" t="str">
            <v>Ativo</v>
          </cell>
          <cell r="J164">
            <v>30</v>
          </cell>
          <cell r="L164">
            <v>30</v>
          </cell>
          <cell r="N164">
            <v>998</v>
          </cell>
          <cell r="O164">
            <v>1257</v>
          </cell>
          <cell r="R164">
            <v>11</v>
          </cell>
          <cell r="S164" t="str">
            <v>Fretado</v>
          </cell>
        </row>
        <row r="165">
          <cell r="C165" t="str">
            <v>175-3</v>
          </cell>
          <cell r="D165" t="str">
            <v>LARISSA FONTENELE BARROS</v>
          </cell>
          <cell r="E165" t="str">
            <v xml:space="preserve">VENDEDOR(a)         </v>
          </cell>
          <cell r="F165" t="str">
            <v>033.104.201-08</v>
          </cell>
          <cell r="G165">
            <v>43782</v>
          </cell>
          <cell r="H165" t="str">
            <v>Ativo</v>
          </cell>
          <cell r="J165">
            <v>30</v>
          </cell>
          <cell r="L165">
            <v>30</v>
          </cell>
          <cell r="N165">
            <v>998</v>
          </cell>
          <cell r="O165">
            <v>1257</v>
          </cell>
          <cell r="R165">
            <v>11</v>
          </cell>
          <cell r="S165" t="str">
            <v>Fretado</v>
          </cell>
        </row>
        <row r="166">
          <cell r="C166" t="str">
            <v>175-6</v>
          </cell>
          <cell r="D166" t="str">
            <v>MATHEUS RUIZ ABRANTES</v>
          </cell>
          <cell r="E166" t="str">
            <v xml:space="preserve">VENDEDOR(a)         </v>
          </cell>
          <cell r="F166" t="str">
            <v>057.109.961-06</v>
          </cell>
          <cell r="G166">
            <v>43782</v>
          </cell>
          <cell r="H166" t="str">
            <v>Ativo</v>
          </cell>
          <cell r="J166">
            <v>30</v>
          </cell>
          <cell r="L166">
            <v>30</v>
          </cell>
          <cell r="N166">
            <v>998</v>
          </cell>
          <cell r="O166">
            <v>1257</v>
          </cell>
          <cell r="S166" t="str">
            <v>Fretado</v>
          </cell>
        </row>
        <row r="167">
          <cell r="C167" t="str">
            <v>175-8</v>
          </cell>
          <cell r="D167" t="str">
            <v>JANAINA INOCENCIO DA SILVA</v>
          </cell>
          <cell r="E167" t="str">
            <v xml:space="preserve">ASSISTENTE DE LOJA  </v>
          </cell>
          <cell r="F167" t="str">
            <v>056.879.891-02</v>
          </cell>
          <cell r="G167">
            <v>43782</v>
          </cell>
          <cell r="H167" t="str">
            <v>Ativo</v>
          </cell>
          <cell r="J167">
            <v>30</v>
          </cell>
          <cell r="L167">
            <v>30</v>
          </cell>
          <cell r="N167">
            <v>1060.3699999999999</v>
          </cell>
          <cell r="P167">
            <v>158</v>
          </cell>
          <cell r="S167" t="str">
            <v>Fretado</v>
          </cell>
        </row>
        <row r="168">
          <cell r="C168" t="str">
            <v>175-9</v>
          </cell>
          <cell r="D168" t="str">
            <v>MARCOS HENRIQUE FARIAS</v>
          </cell>
          <cell r="E168" t="str">
            <v xml:space="preserve">GERENTE DE LOJA     </v>
          </cell>
          <cell r="F168" t="str">
            <v>047.846.921-77</v>
          </cell>
          <cell r="G168">
            <v>43782</v>
          </cell>
          <cell r="H168" t="str">
            <v>Ativo</v>
          </cell>
          <cell r="J168">
            <v>30</v>
          </cell>
          <cell r="L168">
            <v>30</v>
          </cell>
          <cell r="N168">
            <v>0</v>
          </cell>
          <cell r="O168">
            <v>4000</v>
          </cell>
        </row>
        <row r="169">
          <cell r="C169" t="str">
            <v>175-11</v>
          </cell>
          <cell r="D169" t="str">
            <v>IGOR MANOEL AMARO DA SILVA</v>
          </cell>
          <cell r="E169" t="str">
            <v xml:space="preserve">VENDEDOR(a)         </v>
          </cell>
          <cell r="F169" t="str">
            <v>116.065.724-66</v>
          </cell>
          <cell r="G169">
            <v>43782</v>
          </cell>
          <cell r="H169" t="str">
            <v>Ativo</v>
          </cell>
          <cell r="J169">
            <v>30</v>
          </cell>
          <cell r="L169">
            <v>30</v>
          </cell>
          <cell r="N169">
            <v>998</v>
          </cell>
          <cell r="O169">
            <v>1257</v>
          </cell>
          <cell r="R169">
            <v>11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L170">
            <v>30</v>
          </cell>
          <cell r="N170">
            <v>998</v>
          </cell>
          <cell r="O170">
            <v>1257</v>
          </cell>
          <cell r="S170" t="str">
            <v>Fretado</v>
          </cell>
        </row>
        <row r="171">
          <cell r="C171" t="str">
            <v>175-17</v>
          </cell>
          <cell r="D171" t="str">
            <v>ALISON MURILO ALENCAR DIAS</v>
          </cell>
          <cell r="E171" t="str">
            <v xml:space="preserve">ASSISTENTE DE LOJA  </v>
          </cell>
          <cell r="F171" t="str">
            <v>061.080.931-88</v>
          </cell>
          <cell r="G171">
            <v>44153</v>
          </cell>
          <cell r="H171" t="str">
            <v>Ativo</v>
          </cell>
          <cell r="J171">
            <v>30</v>
          </cell>
          <cell r="L171">
            <v>30</v>
          </cell>
          <cell r="N171">
            <v>1060.3699999999999</v>
          </cell>
          <cell r="P171">
            <v>158</v>
          </cell>
          <cell r="R171">
            <v>11</v>
          </cell>
          <cell r="S171" t="str">
            <v>Fretado</v>
          </cell>
        </row>
        <row r="172">
          <cell r="C172" t="str">
            <v>179-1</v>
          </cell>
          <cell r="D172" t="str">
            <v>ANA CAROLINA LOURENCO</v>
          </cell>
          <cell r="E172" t="str">
            <v xml:space="preserve">ASSISTENTE DE LOJA  </v>
          </cell>
          <cell r="F172" t="str">
            <v>481.068.428-86</v>
          </cell>
          <cell r="G172">
            <v>44033</v>
          </cell>
          <cell r="H172" t="str">
            <v>Ativo</v>
          </cell>
          <cell r="J172">
            <v>30</v>
          </cell>
          <cell r="L172">
            <v>30</v>
          </cell>
          <cell r="N172">
            <v>1517.34</v>
          </cell>
          <cell r="P172">
            <v>83</v>
          </cell>
          <cell r="Q172">
            <v>78</v>
          </cell>
          <cell r="R172">
            <v>50</v>
          </cell>
          <cell r="S172">
            <v>326.39999999999998</v>
          </cell>
        </row>
        <row r="173">
          <cell r="C173" t="str">
            <v>179-2</v>
          </cell>
          <cell r="D173" t="str">
            <v>ANA PAULA CONCEICAO GONCALVES</v>
          </cell>
          <cell r="E173" t="str">
            <v xml:space="preserve">VENDEDOR(a)         </v>
          </cell>
          <cell r="F173" t="str">
            <v>426.370.468-13</v>
          </cell>
          <cell r="G173">
            <v>44033</v>
          </cell>
          <cell r="H173" t="str">
            <v>Ativo</v>
          </cell>
          <cell r="J173">
            <v>30</v>
          </cell>
          <cell r="L173">
            <v>30</v>
          </cell>
          <cell r="N173">
            <v>0</v>
          </cell>
          <cell r="O173">
            <v>1820</v>
          </cell>
          <cell r="Q173">
            <v>78</v>
          </cell>
          <cell r="R173">
            <v>50</v>
          </cell>
        </row>
        <row r="174">
          <cell r="C174" t="str">
            <v>179-3</v>
          </cell>
          <cell r="D174" t="str">
            <v>DIEGO GONCALVES LOPES</v>
          </cell>
          <cell r="E174" t="str">
            <v xml:space="preserve">VENDEDOR(a)         </v>
          </cell>
          <cell r="F174" t="str">
            <v>358.962.898-71</v>
          </cell>
          <cell r="G174">
            <v>44033</v>
          </cell>
          <cell r="H174" t="str">
            <v>Ativo</v>
          </cell>
          <cell r="J174">
            <v>30</v>
          </cell>
          <cell r="L174">
            <v>30</v>
          </cell>
          <cell r="N174">
            <v>0</v>
          </cell>
          <cell r="O174">
            <v>1820</v>
          </cell>
          <cell r="Q174">
            <v>78</v>
          </cell>
          <cell r="R174">
            <v>50</v>
          </cell>
        </row>
        <row r="175">
          <cell r="C175" t="str">
            <v>179-4</v>
          </cell>
          <cell r="D175" t="str">
            <v>ENRIQUE VAZQUEZ GARCIA</v>
          </cell>
          <cell r="E175" t="str">
            <v xml:space="preserve">VENDEDOR(a)         </v>
          </cell>
          <cell r="F175" t="str">
            <v>241.671.628-06</v>
          </cell>
          <cell r="G175">
            <v>44034</v>
          </cell>
          <cell r="H175" t="str">
            <v>Ativo</v>
          </cell>
          <cell r="J175">
            <v>30</v>
          </cell>
          <cell r="L175">
            <v>30</v>
          </cell>
          <cell r="N175">
            <v>0</v>
          </cell>
          <cell r="O175">
            <v>1820</v>
          </cell>
          <cell r="Q175">
            <v>78</v>
          </cell>
          <cell r="R175">
            <v>50</v>
          </cell>
          <cell r="S175">
            <v>326.39999999999998</v>
          </cell>
        </row>
        <row r="176">
          <cell r="C176" t="str">
            <v>179-12</v>
          </cell>
          <cell r="D176" t="str">
            <v>UILLIAM PEREIRA SANTOS</v>
          </cell>
          <cell r="E176" t="str">
            <v xml:space="preserve">ASSISTENTE DE LOJA  </v>
          </cell>
          <cell r="F176" t="str">
            <v>407.804.618-51</v>
          </cell>
          <cell r="G176">
            <v>44121</v>
          </cell>
          <cell r="H176" t="str">
            <v>Ativo</v>
          </cell>
          <cell r="J176">
            <v>30</v>
          </cell>
          <cell r="L176">
            <v>30</v>
          </cell>
          <cell r="N176">
            <v>1517.34</v>
          </cell>
          <cell r="P176">
            <v>83</v>
          </cell>
          <cell r="Q176">
            <v>78</v>
          </cell>
          <cell r="R176">
            <v>50</v>
          </cell>
          <cell r="S176">
            <v>377.5</v>
          </cell>
        </row>
        <row r="177">
          <cell r="C177" t="str">
            <v>179-16</v>
          </cell>
          <cell r="D177" t="str">
            <v>JONATHAN GOMES</v>
          </cell>
          <cell r="E177" t="str">
            <v xml:space="preserve">VENDEDOR(a)         </v>
          </cell>
          <cell r="F177" t="str">
            <v>369.156.498-40</v>
          </cell>
          <cell r="G177">
            <v>44183</v>
          </cell>
          <cell r="H177" t="str">
            <v>Ativo</v>
          </cell>
          <cell r="J177">
            <v>30</v>
          </cell>
          <cell r="L177">
            <v>30</v>
          </cell>
          <cell r="N177">
            <v>0</v>
          </cell>
          <cell r="O177">
            <v>1820</v>
          </cell>
          <cell r="Q177">
            <v>78</v>
          </cell>
          <cell r="R177">
            <v>50</v>
          </cell>
          <cell r="S177">
            <v>247</v>
          </cell>
        </row>
        <row r="178">
          <cell r="C178" t="str">
            <v>179-17</v>
          </cell>
          <cell r="D178" t="str">
            <v>DANIEL PITORRI BENEDITO</v>
          </cell>
          <cell r="E178" t="str">
            <v xml:space="preserve">GERENTE DE LOJA     </v>
          </cell>
          <cell r="F178" t="str">
            <v>286.932.948-22</v>
          </cell>
          <cell r="G178">
            <v>43235</v>
          </cell>
          <cell r="H178" t="str">
            <v>Ativo</v>
          </cell>
          <cell r="J178">
            <v>30</v>
          </cell>
          <cell r="L178">
            <v>30</v>
          </cell>
          <cell r="N178">
            <v>0</v>
          </cell>
          <cell r="O178">
            <v>5720</v>
          </cell>
          <cell r="Q178">
            <v>78</v>
          </cell>
          <cell r="R178">
            <v>50</v>
          </cell>
        </row>
        <row r="179">
          <cell r="C179" t="str">
            <v>179-18</v>
          </cell>
          <cell r="D179" t="str">
            <v>WANDERLEY SILVEIRA JUNIOR</v>
          </cell>
          <cell r="E179" t="str">
            <v xml:space="preserve">VENDEDOR(a)         </v>
          </cell>
          <cell r="F179" t="str">
            <v>400.104.248-73</v>
          </cell>
          <cell r="G179">
            <v>44342</v>
          </cell>
          <cell r="H179" t="str">
            <v>Ativo</v>
          </cell>
          <cell r="J179">
            <v>5</v>
          </cell>
          <cell r="L179">
            <v>5</v>
          </cell>
          <cell r="N179">
            <v>0</v>
          </cell>
          <cell r="O179">
            <v>1820</v>
          </cell>
          <cell r="R179">
            <v>25</v>
          </cell>
        </row>
        <row r="180">
          <cell r="C180" t="str">
            <v>181-1</v>
          </cell>
          <cell r="D180" t="str">
            <v>RODRIGO PARANHOS DIAS</v>
          </cell>
          <cell r="E180" t="str">
            <v xml:space="preserve">VENDEDOR(a)         </v>
          </cell>
          <cell r="F180" t="str">
            <v>859.064.096-53</v>
          </cell>
          <cell r="G180">
            <v>44078</v>
          </cell>
          <cell r="H180" t="str">
            <v>Ativo</v>
          </cell>
          <cell r="J180">
            <v>30</v>
          </cell>
          <cell r="L180">
            <v>30</v>
          </cell>
          <cell r="N180">
            <v>0</v>
          </cell>
          <cell r="O180">
            <v>1103.92</v>
          </cell>
        </row>
        <row r="181">
          <cell r="C181" t="str">
            <v>181-2</v>
          </cell>
          <cell r="D181" t="str">
            <v>ALEF FERNANDES ARAUJO MARTINS</v>
          </cell>
          <cell r="E181" t="str">
            <v xml:space="preserve">VENDEDOR(a)         </v>
          </cell>
          <cell r="F181" t="str">
            <v>126.597.756-99</v>
          </cell>
          <cell r="G181">
            <v>44078</v>
          </cell>
          <cell r="H181" t="str">
            <v>Ativo</v>
          </cell>
          <cell r="J181">
            <v>30</v>
          </cell>
          <cell r="L181">
            <v>30</v>
          </cell>
          <cell r="N181">
            <v>0</v>
          </cell>
          <cell r="O181">
            <v>1103.92</v>
          </cell>
        </row>
        <row r="182">
          <cell r="C182" t="str">
            <v>181-12</v>
          </cell>
          <cell r="D182" t="str">
            <v>ELOIZA ROCHAEL DIAS DE ASSIS</v>
          </cell>
          <cell r="E182" t="str">
            <v xml:space="preserve">GERENTE DE LOJA     </v>
          </cell>
          <cell r="F182" t="str">
            <v>074.016.926-27</v>
          </cell>
          <cell r="G182">
            <v>41611</v>
          </cell>
          <cell r="H182" t="str">
            <v>Ativo</v>
          </cell>
          <cell r="J182">
            <v>30</v>
          </cell>
          <cell r="L182">
            <v>30</v>
          </cell>
          <cell r="N182">
            <v>0</v>
          </cell>
          <cell r="O182">
            <v>4500</v>
          </cell>
        </row>
        <row r="183">
          <cell r="C183" t="str">
            <v>181-13</v>
          </cell>
          <cell r="D183" t="str">
            <v>TULIO CESAR DE ALMEIDA</v>
          </cell>
          <cell r="E183" t="str">
            <v xml:space="preserve">VENDEDOR(a)         </v>
          </cell>
          <cell r="F183" t="str">
            <v>118.274.336-63</v>
          </cell>
          <cell r="G183">
            <v>43476</v>
          </cell>
          <cell r="H183" t="str">
            <v>Ativo</v>
          </cell>
          <cell r="J183">
            <v>30</v>
          </cell>
          <cell r="L183">
            <v>30</v>
          </cell>
          <cell r="N183">
            <v>0</v>
          </cell>
          <cell r="O183">
            <v>1103.92</v>
          </cell>
        </row>
        <row r="184">
          <cell r="C184" t="str">
            <v>181-16</v>
          </cell>
          <cell r="D184" t="str">
            <v>GERMANO ROSENTHAL CAETANO BELFORT</v>
          </cell>
          <cell r="E184" t="str">
            <v xml:space="preserve">VENDEDOR(a)         </v>
          </cell>
          <cell r="F184" t="str">
            <v>129.517.856-74</v>
          </cell>
          <cell r="G184">
            <v>44127</v>
          </cell>
          <cell r="H184" t="str">
            <v>Ativo</v>
          </cell>
          <cell r="J184">
            <v>30</v>
          </cell>
          <cell r="L184">
            <v>30</v>
          </cell>
          <cell r="N184">
            <v>0</v>
          </cell>
          <cell r="O184">
            <v>1103.92</v>
          </cell>
        </row>
        <row r="185">
          <cell r="C185" t="str">
            <v>181-18</v>
          </cell>
          <cell r="D185" t="str">
            <v>GILSON SANTOS MOTA JUNIOR</v>
          </cell>
          <cell r="E185" t="str">
            <v xml:space="preserve">VENDEDOR(a)         </v>
          </cell>
          <cell r="F185" t="str">
            <v>110.793.406-02</v>
          </cell>
          <cell r="G185">
            <v>44128</v>
          </cell>
          <cell r="H185" t="str">
            <v>Ativo</v>
          </cell>
          <cell r="J185">
            <v>30</v>
          </cell>
          <cell r="L185">
            <v>30</v>
          </cell>
          <cell r="N185">
            <v>0</v>
          </cell>
          <cell r="O185">
            <v>1103.92</v>
          </cell>
        </row>
        <row r="186">
          <cell r="C186" t="str">
            <v>181-19</v>
          </cell>
          <cell r="D186" t="str">
            <v>SILMARA ROCHA</v>
          </cell>
          <cell r="E186" t="str">
            <v xml:space="preserve">VENDEDOR(a)         </v>
          </cell>
          <cell r="F186" t="str">
            <v>071.912.826-90</v>
          </cell>
          <cell r="G186">
            <v>44138</v>
          </cell>
          <cell r="H186" t="str">
            <v>Ativo</v>
          </cell>
          <cell r="J186">
            <v>30</v>
          </cell>
          <cell r="L186">
            <v>30</v>
          </cell>
          <cell r="N186">
            <v>0</v>
          </cell>
          <cell r="O186">
            <v>1103.92</v>
          </cell>
        </row>
        <row r="187">
          <cell r="C187" t="str">
            <v>181-30</v>
          </cell>
          <cell r="D187" t="str">
            <v>LUCAS CARVALHO GOMES</v>
          </cell>
          <cell r="E187" t="str">
            <v xml:space="preserve">VENDEDOR(a)         </v>
          </cell>
          <cell r="F187" t="str">
            <v>018.342.616-94</v>
          </cell>
          <cell r="G187">
            <v>44242</v>
          </cell>
          <cell r="H187" t="str">
            <v>Ativo</v>
          </cell>
          <cell r="J187">
            <v>30</v>
          </cell>
          <cell r="L187">
            <v>30</v>
          </cell>
          <cell r="N187">
            <v>0</v>
          </cell>
          <cell r="O187">
            <v>1103.92</v>
          </cell>
        </row>
        <row r="188">
          <cell r="C188" t="str">
            <v>181-31</v>
          </cell>
          <cell r="D188" t="str">
            <v>DAVI ALVES SILVEIRA</v>
          </cell>
          <cell r="E188" t="str">
            <v xml:space="preserve">ASSISTENTE DE LOJA  </v>
          </cell>
          <cell r="F188" t="str">
            <v>157.426.586-56</v>
          </cell>
          <cell r="G188">
            <v>44153</v>
          </cell>
          <cell r="H188" t="str">
            <v>Ativo</v>
          </cell>
          <cell r="J188">
            <v>30</v>
          </cell>
          <cell r="L188">
            <v>30</v>
          </cell>
          <cell r="N188">
            <v>1120</v>
          </cell>
          <cell r="P188">
            <v>89.33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27</v>
          </cell>
          <cell r="L189">
            <v>27</v>
          </cell>
          <cell r="N189">
            <v>1120</v>
          </cell>
          <cell r="P189">
            <v>89.33</v>
          </cell>
        </row>
        <row r="190">
          <cell r="C190" t="str">
            <v>183-14</v>
          </cell>
          <cell r="D190" t="str">
            <v>ARLANICSON FONSECA JUNIOR</v>
          </cell>
          <cell r="E190" t="str">
            <v xml:space="preserve">VENDEDOR(a)         </v>
          </cell>
          <cell r="F190" t="str">
            <v>430.570.188-07</v>
          </cell>
          <cell r="G190">
            <v>44342</v>
          </cell>
          <cell r="H190" t="str">
            <v>Ativo</v>
          </cell>
          <cell r="J190">
            <v>5</v>
          </cell>
          <cell r="L190">
            <v>5</v>
          </cell>
          <cell r="N190">
            <v>0</v>
          </cell>
          <cell r="O190">
            <v>1786</v>
          </cell>
        </row>
        <row r="191">
          <cell r="C191" t="str">
            <v>183-8</v>
          </cell>
          <cell r="D191" t="str">
            <v>HIAGO RODRIGUES DE MIRANDA</v>
          </cell>
          <cell r="E191" t="str">
            <v xml:space="preserve">VENDEDOR(a)         </v>
          </cell>
          <cell r="F191" t="str">
            <v>499.167.838-29</v>
          </cell>
          <cell r="G191">
            <v>44148</v>
          </cell>
          <cell r="H191" t="str">
            <v>Ativo</v>
          </cell>
          <cell r="J191">
            <v>30</v>
          </cell>
          <cell r="L191">
            <v>30</v>
          </cell>
          <cell r="N191">
            <v>0</v>
          </cell>
          <cell r="O191">
            <v>1786</v>
          </cell>
          <cell r="P191">
            <v>82</v>
          </cell>
          <cell r="R191">
            <v>28</v>
          </cell>
          <cell r="S191" t="str">
            <v>Fretado</v>
          </cell>
        </row>
        <row r="192">
          <cell r="C192" t="str">
            <v>183-13</v>
          </cell>
          <cell r="D192" t="str">
            <v>JULIO SALDANHA LIMA</v>
          </cell>
          <cell r="E192" t="str">
            <v xml:space="preserve">GERENTE DE LOJA     </v>
          </cell>
          <cell r="F192" t="str">
            <v>372.275.048-24</v>
          </cell>
          <cell r="G192">
            <v>43364</v>
          </cell>
          <cell r="H192" t="str">
            <v>Ativo</v>
          </cell>
          <cell r="J192">
            <v>30</v>
          </cell>
          <cell r="L192">
            <v>30</v>
          </cell>
          <cell r="N192">
            <v>0</v>
          </cell>
          <cell r="O192">
            <v>4180</v>
          </cell>
          <cell r="R192">
            <v>55</v>
          </cell>
        </row>
        <row r="193">
          <cell r="C193" t="str">
            <v>183-1</v>
          </cell>
          <cell r="D193" t="str">
            <v>KAROLINE SIQUEIRA DE AGUIAR MONTEIRO</v>
          </cell>
          <cell r="E193" t="str">
            <v xml:space="preserve">VENDEDOR(a)         </v>
          </cell>
          <cell r="F193" t="str">
            <v>431.040.318-27</v>
          </cell>
          <cell r="G193">
            <v>44146</v>
          </cell>
          <cell r="H193" t="str">
            <v>Ativo</v>
          </cell>
          <cell r="J193">
            <v>30</v>
          </cell>
          <cell r="L193">
            <v>30</v>
          </cell>
          <cell r="N193">
            <v>0</v>
          </cell>
          <cell r="O193">
            <v>1786</v>
          </cell>
          <cell r="R193">
            <v>55</v>
          </cell>
          <cell r="S193">
            <v>225</v>
          </cell>
        </row>
        <row r="194">
          <cell r="C194" t="str">
            <v>183-5</v>
          </cell>
          <cell r="D194" t="str">
            <v>RAPHAEL HENRIQUE SILVA DOS SANTOS FERREIRA</v>
          </cell>
          <cell r="E194" t="str">
            <v xml:space="preserve">VENDEDOR(a)         </v>
          </cell>
          <cell r="F194" t="str">
            <v>228.342.208-67</v>
          </cell>
          <cell r="G194">
            <v>44147</v>
          </cell>
          <cell r="H194" t="str">
            <v>Ativo</v>
          </cell>
          <cell r="J194">
            <v>30</v>
          </cell>
          <cell r="L194">
            <v>30</v>
          </cell>
          <cell r="N194">
            <v>0</v>
          </cell>
          <cell r="O194">
            <v>1786</v>
          </cell>
          <cell r="R194">
            <v>55</v>
          </cell>
          <cell r="S194">
            <v>234</v>
          </cell>
        </row>
        <row r="195">
          <cell r="C195" t="str">
            <v>183-11</v>
          </cell>
          <cell r="D195" t="str">
            <v>TALITA OLIVEIRA DA SILVA</v>
          </cell>
          <cell r="E195" t="str">
            <v xml:space="preserve">ASSISTENTE DE LOJA  </v>
          </cell>
          <cell r="F195" t="str">
            <v>484.952.528-80</v>
          </cell>
          <cell r="G195">
            <v>44149</v>
          </cell>
          <cell r="H195" t="str">
            <v>Ativo</v>
          </cell>
          <cell r="J195">
            <v>30</v>
          </cell>
          <cell r="L195">
            <v>30</v>
          </cell>
          <cell r="N195">
            <v>1519.44</v>
          </cell>
          <cell r="P195">
            <v>82</v>
          </cell>
          <cell r="R195">
            <v>55</v>
          </cell>
          <cell r="S195">
            <v>225</v>
          </cell>
        </row>
        <row r="196">
          <cell r="C196" t="str">
            <v>183-15</v>
          </cell>
          <cell r="D196" t="str">
            <v>VINICIUS MOREIRA COSSI</v>
          </cell>
          <cell r="E196" t="str">
            <v xml:space="preserve">VENDEDOR(a)         </v>
          </cell>
          <cell r="F196" t="str">
            <v>432.629.078-12</v>
          </cell>
          <cell r="G196">
            <v>44342</v>
          </cell>
          <cell r="H196" t="str">
            <v>Ativo</v>
          </cell>
          <cell r="J196">
            <v>5</v>
          </cell>
          <cell r="L196">
            <v>5</v>
          </cell>
          <cell r="N196">
            <v>0</v>
          </cell>
          <cell r="O196">
            <v>1786</v>
          </cell>
        </row>
        <row r="197">
          <cell r="C197" t="str">
            <v>183-2</v>
          </cell>
          <cell r="D197" t="str">
            <v>VITOR RODRIGO JACINTO</v>
          </cell>
          <cell r="E197" t="str">
            <v xml:space="preserve">ASSISTENTE DE LOJA  </v>
          </cell>
          <cell r="F197" t="str">
            <v>450.376.228-16</v>
          </cell>
          <cell r="G197">
            <v>44146</v>
          </cell>
          <cell r="H197" t="str">
            <v>Ativo</v>
          </cell>
          <cell r="J197">
            <v>30</v>
          </cell>
          <cell r="L197">
            <v>30</v>
          </cell>
          <cell r="N197">
            <v>1519.44</v>
          </cell>
          <cell r="P197">
            <v>82</v>
          </cell>
          <cell r="R197">
            <v>55</v>
          </cell>
          <cell r="S197">
            <v>225</v>
          </cell>
        </row>
        <row r="198">
          <cell r="C198" t="str">
            <v>185-1</v>
          </cell>
          <cell r="D198" t="str">
            <v>CARMECITA HELENA DA SILVA</v>
          </cell>
          <cell r="E198" t="str">
            <v xml:space="preserve">GERENTE DE LOJA     </v>
          </cell>
          <cell r="F198" t="str">
            <v>038.834.524-16</v>
          </cell>
          <cell r="G198">
            <v>44273</v>
          </cell>
          <cell r="H198" t="str">
            <v>Ativo</v>
          </cell>
          <cell r="J198">
            <v>30</v>
          </cell>
          <cell r="L198">
            <v>30</v>
          </cell>
          <cell r="N198">
            <v>0</v>
          </cell>
          <cell r="O198">
            <v>4000</v>
          </cell>
        </row>
        <row r="199">
          <cell r="C199" t="str">
            <v>185-2</v>
          </cell>
          <cell r="D199" t="str">
            <v>HELOISA VITORIA CINTRA DE ARAUJO</v>
          </cell>
          <cell r="E199" t="str">
            <v xml:space="preserve">VENDEDOR(a)         </v>
          </cell>
          <cell r="F199" t="str">
            <v>128.929.414-31</v>
          </cell>
          <cell r="G199">
            <v>44287</v>
          </cell>
          <cell r="H199" t="str">
            <v>Ativo</v>
          </cell>
          <cell r="J199">
            <v>30</v>
          </cell>
          <cell r="L199">
            <v>30</v>
          </cell>
          <cell r="N199">
            <v>0</v>
          </cell>
          <cell r="O199">
            <v>1055</v>
          </cell>
          <cell r="S199">
            <v>142.5</v>
          </cell>
        </row>
        <row r="200">
          <cell r="C200" t="str">
            <v>185-3</v>
          </cell>
          <cell r="D200" t="str">
            <v>EDRISIO DE LUCENA ALVES</v>
          </cell>
          <cell r="E200" t="str">
            <v xml:space="preserve">ASSISTENTE DE OJA   </v>
          </cell>
          <cell r="F200" t="str">
            <v>078.476.544-82</v>
          </cell>
          <cell r="G200">
            <v>44287</v>
          </cell>
          <cell r="H200" t="str">
            <v>Ativo</v>
          </cell>
          <cell r="J200">
            <v>30</v>
          </cell>
          <cell r="L200">
            <v>30</v>
          </cell>
          <cell r="N200">
            <v>1055</v>
          </cell>
          <cell r="P200">
            <v>52.75</v>
          </cell>
          <cell r="S200">
            <v>188</v>
          </cell>
        </row>
        <row r="201">
          <cell r="C201" t="str">
            <v>185-4</v>
          </cell>
          <cell r="D201" t="str">
            <v>NAIANA MONTE DOS SANTOS</v>
          </cell>
          <cell r="E201" t="str">
            <v xml:space="preserve">ASSISTENTE DE OJA   </v>
          </cell>
          <cell r="F201" t="str">
            <v>127.224.754-64</v>
          </cell>
          <cell r="G201">
            <v>44287</v>
          </cell>
          <cell r="H201" t="str">
            <v>Ativo</v>
          </cell>
          <cell r="J201">
            <v>30</v>
          </cell>
          <cell r="L201">
            <v>30</v>
          </cell>
          <cell r="N201">
            <v>1055</v>
          </cell>
          <cell r="P201">
            <v>52.75</v>
          </cell>
          <cell r="S201">
            <v>142.5</v>
          </cell>
        </row>
        <row r="202">
          <cell r="C202" t="str">
            <v>185-5</v>
          </cell>
          <cell r="D202" t="str">
            <v>WAGNER LEANDRO PINHEIRO DE FARIAS</v>
          </cell>
          <cell r="E202" t="str">
            <v xml:space="preserve">VENDEDOR(a)         </v>
          </cell>
          <cell r="F202" t="str">
            <v>055.148.534-54</v>
          </cell>
          <cell r="G202">
            <v>44287</v>
          </cell>
          <cell r="H202" t="str">
            <v>Ativo</v>
          </cell>
          <cell r="J202">
            <v>30</v>
          </cell>
          <cell r="L202">
            <v>30</v>
          </cell>
          <cell r="N202">
            <v>0</v>
          </cell>
          <cell r="O202">
            <v>1055</v>
          </cell>
        </row>
        <row r="203">
          <cell r="C203" t="str">
            <v>185-6</v>
          </cell>
          <cell r="D203" t="str">
            <v>ABRAAO PEREIRA DA SILVA</v>
          </cell>
          <cell r="E203" t="str">
            <v xml:space="preserve">VENDEDOR(a)         </v>
          </cell>
          <cell r="F203" t="str">
            <v>088.131.514-11</v>
          </cell>
          <cell r="G203">
            <v>44293</v>
          </cell>
          <cell r="H203" t="str">
            <v>Ativo</v>
          </cell>
          <cell r="J203">
            <v>30</v>
          </cell>
          <cell r="L203">
            <v>30</v>
          </cell>
          <cell r="N203">
            <v>0</v>
          </cell>
          <cell r="O203">
            <v>1055</v>
          </cell>
          <cell r="S203">
            <v>150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L204">
            <v>30</v>
          </cell>
          <cell r="N204">
            <v>0</v>
          </cell>
          <cell r="O204">
            <v>1055</v>
          </cell>
        </row>
        <row r="205">
          <cell r="C205" t="str">
            <v>185-8</v>
          </cell>
          <cell r="D205" t="str">
            <v>URSULA NATACHA SOBRAL</v>
          </cell>
          <cell r="E205" t="str">
            <v xml:space="preserve">VENDEDOR(a)         </v>
          </cell>
          <cell r="F205" t="str">
            <v>056.596.594-89</v>
          </cell>
          <cell r="G205">
            <v>44293</v>
          </cell>
          <cell r="H205" t="str">
            <v>Ativo</v>
          </cell>
          <cell r="J205">
            <v>30</v>
          </cell>
          <cell r="L205">
            <v>30</v>
          </cell>
          <cell r="N205">
            <v>0</v>
          </cell>
          <cell r="O205">
            <v>1055</v>
          </cell>
          <cell r="S205">
            <v>142.5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L206">
            <v>30</v>
          </cell>
          <cell r="N206">
            <v>1055</v>
          </cell>
          <cell r="P206">
            <v>52.75</v>
          </cell>
          <cell r="S206">
            <v>285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L207">
            <v>30</v>
          </cell>
          <cell r="N207">
            <v>0</v>
          </cell>
          <cell r="O207">
            <v>1055</v>
          </cell>
          <cell r="S207">
            <v>142.5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L208">
            <v>30</v>
          </cell>
          <cell r="N208">
            <v>0</v>
          </cell>
          <cell r="O208">
            <v>1055</v>
          </cell>
          <cell r="S208">
            <v>142.5</v>
          </cell>
        </row>
        <row r="209">
          <cell r="C209" t="str">
            <v>200-74</v>
          </cell>
          <cell r="D209" t="str">
            <v>LORRANA GABRIELA ROCHA DE MIRANDA</v>
          </cell>
          <cell r="E209" t="str">
            <v xml:space="preserve">VENDEDOR(a)         </v>
          </cell>
          <cell r="F209" t="str">
            <v>127.154.116-50</v>
          </cell>
          <cell r="G209">
            <v>42830</v>
          </cell>
          <cell r="H209" t="str">
            <v>Ativo</v>
          </cell>
          <cell r="J209">
            <v>30</v>
          </cell>
          <cell r="L209">
            <v>30</v>
          </cell>
          <cell r="N209">
            <v>0</v>
          </cell>
          <cell r="O209">
            <v>1175</v>
          </cell>
        </row>
        <row r="210">
          <cell r="C210" t="str">
            <v>200-82</v>
          </cell>
          <cell r="D210" t="str">
            <v>DEBORAH EVELYN GONÇALVES DOS SANTOS</v>
          </cell>
          <cell r="E210" t="str">
            <v xml:space="preserve">VENDEDOR(a)         </v>
          </cell>
          <cell r="F210" t="str">
            <v>103.234.896-80</v>
          </cell>
          <cell r="G210">
            <v>42965</v>
          </cell>
          <cell r="H210" t="str">
            <v>Ativo</v>
          </cell>
          <cell r="J210">
            <v>30</v>
          </cell>
          <cell r="L210">
            <v>30</v>
          </cell>
          <cell r="N210">
            <v>0</v>
          </cell>
          <cell r="O210">
            <v>1175</v>
          </cell>
        </row>
        <row r="211">
          <cell r="C211" t="str">
            <v>200-120</v>
          </cell>
          <cell r="D211" t="str">
            <v>HUCHARLY REIS DO NASCIMENTO</v>
          </cell>
          <cell r="E211" t="str">
            <v xml:space="preserve">VENDEDOR(a)         </v>
          </cell>
          <cell r="F211" t="str">
            <v>701.207.096-00</v>
          </cell>
          <cell r="G211">
            <v>43721</v>
          </cell>
          <cell r="H211" t="str">
            <v>Ativo</v>
          </cell>
          <cell r="J211">
            <v>30</v>
          </cell>
          <cell r="L211">
            <v>30</v>
          </cell>
          <cell r="N211">
            <v>0</v>
          </cell>
          <cell r="O211">
            <v>1175</v>
          </cell>
        </row>
        <row r="212">
          <cell r="C212" t="str">
            <v>200-128</v>
          </cell>
          <cell r="D212" t="str">
            <v>RAFAEL IDEVALDO DE ALMEIDA</v>
          </cell>
          <cell r="E212" t="str">
            <v xml:space="preserve">GERENTE DE LOJA     </v>
          </cell>
          <cell r="F212" t="str">
            <v>054.079.756-10</v>
          </cell>
          <cell r="G212">
            <v>44075</v>
          </cell>
          <cell r="H212" t="str">
            <v>Ativo</v>
          </cell>
          <cell r="J212">
            <v>30</v>
          </cell>
          <cell r="L212">
            <v>30</v>
          </cell>
          <cell r="N212">
            <v>0</v>
          </cell>
          <cell r="O212">
            <v>4500</v>
          </cell>
        </row>
        <row r="213">
          <cell r="C213" t="str">
            <v>200-129</v>
          </cell>
          <cell r="D213" t="str">
            <v>CLEITON MOISES DOS SANTOS</v>
          </cell>
          <cell r="E213" t="str">
            <v xml:space="preserve">VENDEDOR(a)         </v>
          </cell>
          <cell r="F213" t="str">
            <v>079.471.906-66</v>
          </cell>
          <cell r="G213">
            <v>44090</v>
          </cell>
          <cell r="H213" t="str">
            <v>Ativo</v>
          </cell>
          <cell r="J213">
            <v>30</v>
          </cell>
          <cell r="L213">
            <v>30</v>
          </cell>
          <cell r="N213">
            <v>0</v>
          </cell>
          <cell r="O213">
            <v>1175</v>
          </cell>
        </row>
        <row r="214">
          <cell r="C214" t="str">
            <v>200-130</v>
          </cell>
          <cell r="D214" t="str">
            <v>GABRIEL MARTINS DE  FREITAS  SANTOS</v>
          </cell>
          <cell r="E214" t="str">
            <v xml:space="preserve">ASSISTENTE DE LOJA  </v>
          </cell>
          <cell r="F214" t="str">
            <v>147.617.746-57</v>
          </cell>
          <cell r="G214">
            <v>44147</v>
          </cell>
          <cell r="H214" t="str">
            <v>Ativo</v>
          </cell>
          <cell r="J214">
            <v>30</v>
          </cell>
          <cell r="L214">
            <v>30</v>
          </cell>
          <cell r="N214">
            <v>1120</v>
          </cell>
          <cell r="P214">
            <v>127.85</v>
          </cell>
        </row>
        <row r="215">
          <cell r="C215" t="str">
            <v>200-132</v>
          </cell>
          <cell r="D215" t="str">
            <v>ERICK ANGEL NAVES MARTINS</v>
          </cell>
          <cell r="E215" t="str">
            <v xml:space="preserve">VENDEDOR(a)         </v>
          </cell>
          <cell r="F215" t="str">
            <v>099.217.546-10</v>
          </cell>
          <cell r="G215">
            <v>44152</v>
          </cell>
          <cell r="H215" t="str">
            <v>Ativo</v>
          </cell>
          <cell r="J215">
            <v>30</v>
          </cell>
          <cell r="L215">
            <v>30</v>
          </cell>
          <cell r="N215">
            <v>0</v>
          </cell>
          <cell r="O215">
            <v>1175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N216">
            <v>1120</v>
          </cell>
          <cell r="P216">
            <v>127.85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dedor"/>
      <sheetName val="Gerentes"/>
    </sheetNames>
    <sheetDataSet>
      <sheetData sheetId="0" refreshError="1"/>
      <sheetData sheetId="1">
        <row r="1">
          <cell r="B1" t="str">
            <v>Cod Loja</v>
          </cell>
          <cell r="C1" t="str">
            <v>Loja</v>
          </cell>
          <cell r="D1" t="str">
            <v>Supervisores</v>
          </cell>
          <cell r="E1" t="str">
            <v>Venda PDV</v>
          </cell>
          <cell r="F1" t="str">
            <v>Não Presencial</v>
          </cell>
          <cell r="G1" t="str">
            <v>SocialSelling</v>
          </cell>
          <cell r="H1" t="str">
            <v>Cupom</v>
          </cell>
          <cell r="I1" t="str">
            <v>Pick Up</v>
          </cell>
          <cell r="J1" t="str">
            <v>Shipping</v>
          </cell>
          <cell r="K1" t="str">
            <v>Total Vendas</v>
          </cell>
          <cell r="L1" t="str">
            <v>Meta Mês</v>
          </cell>
          <cell r="M1" t="str">
            <v>Atingimento Meta</v>
          </cell>
          <cell r="O1" t="str">
            <v>Comissão</v>
          </cell>
          <cell r="P1" t="str">
            <v>DSR</v>
          </cell>
          <cell r="Q1" t="str">
            <v>Prêmio</v>
          </cell>
        </row>
        <row r="2">
          <cell r="B2">
            <v>62</v>
          </cell>
          <cell r="C2" t="str">
            <v>OUTLET PREMIUM SÃO PAULO</v>
          </cell>
          <cell r="D2" t="str">
            <v>William</v>
          </cell>
          <cell r="E2">
            <v>715461.06</v>
          </cell>
          <cell r="G2">
            <v>0</v>
          </cell>
          <cell r="H2">
            <v>1449.97</v>
          </cell>
          <cell r="I2">
            <v>0</v>
          </cell>
          <cell r="J2">
            <v>0</v>
          </cell>
          <cell r="K2">
            <v>716911.03</v>
          </cell>
          <cell r="L2">
            <v>700000</v>
          </cell>
          <cell r="M2">
            <v>1.0241586142857144</v>
          </cell>
          <cell r="O2">
            <v>6452.199270000001</v>
          </cell>
          <cell r="P2">
            <v>1613.0498175000002</v>
          </cell>
          <cell r="Q2" t="str">
            <v>2000</v>
          </cell>
        </row>
        <row r="3">
          <cell r="B3">
            <v>93</v>
          </cell>
          <cell r="C3" t="str">
            <v>OUTLET PREMIUM RIO DE JANEIRO</v>
          </cell>
          <cell r="D3" t="str">
            <v>William</v>
          </cell>
          <cell r="E3">
            <v>481245.8</v>
          </cell>
          <cell r="G3">
            <v>0</v>
          </cell>
          <cell r="H3">
            <v>199.99</v>
          </cell>
          <cell r="I3">
            <v>0</v>
          </cell>
          <cell r="J3">
            <v>0</v>
          </cell>
          <cell r="K3">
            <v>481445.79</v>
          </cell>
          <cell r="L3">
            <v>450000</v>
          </cell>
          <cell r="M3">
            <v>1.0698795333333333</v>
          </cell>
          <cell r="O3">
            <v>4814.4579000000003</v>
          </cell>
          <cell r="P3">
            <v>1203.6144750000001</v>
          </cell>
          <cell r="Q3" t="str">
            <v>2000</v>
          </cell>
        </row>
        <row r="4">
          <cell r="B4">
            <v>94</v>
          </cell>
          <cell r="C4" t="str">
            <v>RIO DESIGN BARRA</v>
          </cell>
          <cell r="D4" t="str">
            <v>William</v>
          </cell>
          <cell r="E4">
            <v>133053.01999999999</v>
          </cell>
          <cell r="G4">
            <v>0</v>
          </cell>
          <cell r="H4">
            <v>1499.97</v>
          </cell>
          <cell r="I4">
            <v>399.99</v>
          </cell>
          <cell r="J4">
            <v>0</v>
          </cell>
          <cell r="K4">
            <v>134952.97999999998</v>
          </cell>
          <cell r="L4">
            <v>155000</v>
          </cell>
          <cell r="M4">
            <v>0.87066438709677407</v>
          </cell>
          <cell r="O4">
            <v>2294.20066</v>
          </cell>
          <cell r="P4">
            <v>573.55016499999999</v>
          </cell>
          <cell r="Q4">
            <v>0</v>
          </cell>
        </row>
        <row r="5">
          <cell r="B5">
            <v>95</v>
          </cell>
          <cell r="C5" t="str">
            <v>SHOPPING ELDORADO</v>
          </cell>
          <cell r="D5" t="str">
            <v>Clayton</v>
          </cell>
          <cell r="E5">
            <v>248239</v>
          </cell>
          <cell r="G5">
            <v>0</v>
          </cell>
          <cell r="H5">
            <v>1199.98</v>
          </cell>
          <cell r="I5">
            <v>899.97</v>
          </cell>
          <cell r="J5">
            <v>0</v>
          </cell>
          <cell r="K5">
            <v>250338.95</v>
          </cell>
          <cell r="L5">
            <v>250000</v>
          </cell>
          <cell r="M5">
            <v>1.0013558</v>
          </cell>
          <cell r="O5">
            <v>3254.4063500000007</v>
          </cell>
          <cell r="P5">
            <v>813.60158750000016</v>
          </cell>
          <cell r="Q5" t="str">
            <v>2000</v>
          </cell>
        </row>
        <row r="6">
          <cell r="B6">
            <v>103</v>
          </cell>
          <cell r="C6" t="str">
            <v>SHOPPING CIDADE SÃO PAULO</v>
          </cell>
          <cell r="D6" t="str">
            <v>Clayton</v>
          </cell>
          <cell r="E6">
            <v>330343.06</v>
          </cell>
          <cell r="G6">
            <v>0</v>
          </cell>
          <cell r="H6">
            <v>4639.9299999999994</v>
          </cell>
          <cell r="I6">
            <v>3139.9300000000003</v>
          </cell>
          <cell r="J6">
            <v>0</v>
          </cell>
          <cell r="K6">
            <v>338122.92</v>
          </cell>
          <cell r="L6">
            <v>295000</v>
          </cell>
          <cell r="M6">
            <v>1.1461793898305084</v>
          </cell>
          <cell r="O6">
            <v>3719.35212</v>
          </cell>
          <cell r="P6">
            <v>929.83803</v>
          </cell>
          <cell r="Q6" t="str">
            <v>2000</v>
          </cell>
        </row>
        <row r="7">
          <cell r="B7">
            <v>104</v>
          </cell>
          <cell r="C7" t="str">
            <v>PONTA NEGRA SHOPPING</v>
          </cell>
          <cell r="D7" t="str">
            <v>Clayton</v>
          </cell>
          <cell r="E7">
            <v>268379.58</v>
          </cell>
          <cell r="G7">
            <v>0</v>
          </cell>
          <cell r="H7">
            <v>0</v>
          </cell>
          <cell r="I7">
            <v>349.99</v>
          </cell>
          <cell r="J7">
            <v>0</v>
          </cell>
          <cell r="K7">
            <v>268729.57</v>
          </cell>
          <cell r="L7">
            <v>280000</v>
          </cell>
          <cell r="M7">
            <v>0.95974846428571436</v>
          </cell>
          <cell r="O7">
            <v>3493.4844100000005</v>
          </cell>
          <cell r="P7">
            <v>873.37110250000012</v>
          </cell>
          <cell r="Q7">
            <v>0</v>
          </cell>
        </row>
        <row r="8">
          <cell r="B8">
            <v>105</v>
          </cell>
          <cell r="C8" t="str">
            <v>I FASHION OUTLET</v>
          </cell>
          <cell r="D8" t="str">
            <v>Clayton</v>
          </cell>
          <cell r="E8">
            <v>340647.28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340647.28</v>
          </cell>
          <cell r="L8">
            <v>400000</v>
          </cell>
          <cell r="M8">
            <v>0.8516182000000001</v>
          </cell>
          <cell r="O8">
            <v>4087.7673600000003</v>
          </cell>
          <cell r="P8">
            <v>1021.9418400000001</v>
          </cell>
          <cell r="Q8">
            <v>0</v>
          </cell>
        </row>
        <row r="9">
          <cell r="B9">
            <v>116</v>
          </cell>
          <cell r="C9" t="str">
            <v>MORUMBI SHOPPING</v>
          </cell>
          <cell r="D9" t="str">
            <v>William</v>
          </cell>
          <cell r="E9">
            <v>354744.4</v>
          </cell>
          <cell r="G9">
            <v>0</v>
          </cell>
          <cell r="H9">
            <v>6959.869999999999</v>
          </cell>
          <cell r="I9">
            <v>599.99</v>
          </cell>
          <cell r="J9">
            <v>0</v>
          </cell>
          <cell r="K9">
            <v>362304.26</v>
          </cell>
          <cell r="L9">
            <v>450000</v>
          </cell>
          <cell r="M9">
            <v>0.80512057777777779</v>
          </cell>
          <cell r="O9">
            <v>4709.9553800000003</v>
          </cell>
          <cell r="P9">
            <v>1177.4888450000001</v>
          </cell>
          <cell r="Q9">
            <v>0</v>
          </cell>
        </row>
        <row r="10">
          <cell r="B10">
            <v>123</v>
          </cell>
          <cell r="C10" t="str">
            <v>OUTLET PREMIUM SALVADOR</v>
          </cell>
          <cell r="D10" t="str">
            <v>William</v>
          </cell>
          <cell r="E10">
            <v>276888.2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276888.2</v>
          </cell>
          <cell r="L10">
            <v>220000</v>
          </cell>
          <cell r="M10">
            <v>1.2585827272727272</v>
          </cell>
          <cell r="O10">
            <v>4707.099400000001</v>
          </cell>
          <cell r="P10">
            <v>1176.7748500000002</v>
          </cell>
          <cell r="Q10" t="str">
            <v>2000</v>
          </cell>
        </row>
        <row r="11">
          <cell r="B11">
            <v>124</v>
          </cell>
          <cell r="C11" t="str">
            <v>RIOMAR SHOPPING</v>
          </cell>
          <cell r="D11" t="str">
            <v>William</v>
          </cell>
          <cell r="E11">
            <v>221005.56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221005.56</v>
          </cell>
          <cell r="L11">
            <v>190000</v>
          </cell>
          <cell r="M11">
            <v>1.1631871578947368</v>
          </cell>
          <cell r="O11">
            <v>3536.08896</v>
          </cell>
          <cell r="P11">
            <v>884.02224000000001</v>
          </cell>
          <cell r="Q11" t="str">
            <v>2000</v>
          </cell>
        </row>
        <row r="12">
          <cell r="B12">
            <v>125</v>
          </cell>
          <cell r="C12" t="str">
            <v>OFF FASHION FORTALEZA</v>
          </cell>
          <cell r="D12" t="str">
            <v>William</v>
          </cell>
          <cell r="E12">
            <v>217176.94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217176.94</v>
          </cell>
          <cell r="L12">
            <v>190000</v>
          </cell>
          <cell r="M12">
            <v>1.1430365263157896</v>
          </cell>
          <cell r="O12">
            <v>2823.3002200000001</v>
          </cell>
          <cell r="P12">
            <v>705.82505500000002</v>
          </cell>
          <cell r="Q12" t="str">
            <v>2000</v>
          </cell>
        </row>
        <row r="13">
          <cell r="B13">
            <v>126</v>
          </cell>
          <cell r="C13" t="str">
            <v>FLAMBOYANT SHOPPING</v>
          </cell>
          <cell r="D13" t="str">
            <v>Clayton</v>
          </cell>
          <cell r="E13">
            <v>378579.20000000001</v>
          </cell>
          <cell r="G13">
            <v>0</v>
          </cell>
          <cell r="H13">
            <v>899.99</v>
          </cell>
          <cell r="I13">
            <v>0</v>
          </cell>
          <cell r="J13">
            <v>0</v>
          </cell>
          <cell r="K13">
            <v>379479.19</v>
          </cell>
          <cell r="L13">
            <v>350000</v>
          </cell>
          <cell r="M13">
            <v>1.0842262571428571</v>
          </cell>
          <cell r="O13">
            <v>4553.7502800000002</v>
          </cell>
          <cell r="P13">
            <v>1138.4375700000001</v>
          </cell>
          <cell r="Q13" t="str">
            <v>2000</v>
          </cell>
        </row>
        <row r="14">
          <cell r="B14">
            <v>127</v>
          </cell>
          <cell r="C14" t="str">
            <v>PARQUE SHOPPING MAIA</v>
          </cell>
          <cell r="D14" t="str">
            <v>Clayton</v>
          </cell>
          <cell r="E14">
            <v>139872.16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139872.16</v>
          </cell>
          <cell r="L14">
            <v>135000</v>
          </cell>
          <cell r="M14">
            <v>1.0360900740740742</v>
          </cell>
          <cell r="O14">
            <v>2237.9545600000001</v>
          </cell>
          <cell r="P14">
            <v>559.48864000000003</v>
          </cell>
          <cell r="Q14" t="str">
            <v>2000</v>
          </cell>
        </row>
        <row r="15">
          <cell r="B15">
            <v>139</v>
          </cell>
          <cell r="C15" t="str">
            <v>OUTLET CATARINA FASHION</v>
          </cell>
          <cell r="D15" t="str">
            <v>William</v>
          </cell>
          <cell r="E15">
            <v>412649.15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412649.15</v>
          </cell>
          <cell r="L15">
            <v>540000</v>
          </cell>
          <cell r="M15">
            <v>0.76416509259259269</v>
          </cell>
          <cell r="O15">
            <v>3713.8423500000008</v>
          </cell>
          <cell r="P15">
            <v>928.4605875000002</v>
          </cell>
          <cell r="Q15">
            <v>0</v>
          </cell>
        </row>
        <row r="16">
          <cell r="B16">
            <v>144</v>
          </cell>
          <cell r="C16" t="str">
            <v>IGUATEMI CAMPINAS</v>
          </cell>
          <cell r="D16" t="str">
            <v>William</v>
          </cell>
          <cell r="E16">
            <v>196726.86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196726.86</v>
          </cell>
          <cell r="L16">
            <v>240000</v>
          </cell>
          <cell r="M16">
            <v>0.81969524999999999</v>
          </cell>
          <cell r="O16">
            <v>2754.1760399999994</v>
          </cell>
          <cell r="P16">
            <v>688.54400999999984</v>
          </cell>
          <cell r="Q16">
            <v>0</v>
          </cell>
        </row>
        <row r="17">
          <cell r="B17">
            <v>154</v>
          </cell>
          <cell r="C17" t="str">
            <v>SHOPPING RIOMAR</v>
          </cell>
          <cell r="D17" t="str">
            <v>Clayton</v>
          </cell>
          <cell r="E17">
            <v>236243.69</v>
          </cell>
          <cell r="G17">
            <v>0</v>
          </cell>
          <cell r="H17">
            <v>0</v>
          </cell>
          <cell r="I17">
            <v>499.99</v>
          </cell>
          <cell r="J17">
            <v>0</v>
          </cell>
          <cell r="K17">
            <v>236743.67999999999</v>
          </cell>
          <cell r="L17">
            <v>204000</v>
          </cell>
          <cell r="M17">
            <v>1.1605082352941176</v>
          </cell>
          <cell r="O17">
            <v>3314.4115199999997</v>
          </cell>
          <cell r="P17">
            <v>828.60287999999991</v>
          </cell>
          <cell r="Q17" t="str">
            <v>2000</v>
          </cell>
        </row>
        <row r="18">
          <cell r="B18">
            <v>156</v>
          </cell>
          <cell r="C18" t="str">
            <v>JK IGUATEMI</v>
          </cell>
          <cell r="D18" t="str">
            <v>William</v>
          </cell>
          <cell r="E18">
            <v>388564.73</v>
          </cell>
          <cell r="F18">
            <v>899.99</v>
          </cell>
          <cell r="G18">
            <v>0</v>
          </cell>
          <cell r="H18">
            <v>6079.88</v>
          </cell>
          <cell r="I18">
            <v>4600.8999999999996</v>
          </cell>
          <cell r="J18">
            <v>0</v>
          </cell>
          <cell r="K18">
            <v>400145.5</v>
          </cell>
          <cell r="L18">
            <v>380000</v>
          </cell>
          <cell r="M18">
            <v>1.0530144736842104</v>
          </cell>
          <cell r="O18">
            <v>4801.7460000000001</v>
          </cell>
          <cell r="P18">
            <v>1200.4365</v>
          </cell>
          <cell r="Q18" t="str">
            <v>2000</v>
          </cell>
        </row>
        <row r="19">
          <cell r="B19">
            <v>157</v>
          </cell>
          <cell r="C19" t="str">
            <v>PARKSHOPPINGBARIGUI</v>
          </cell>
          <cell r="D19" t="str">
            <v>Clayton</v>
          </cell>
          <cell r="E19">
            <v>209156.33</v>
          </cell>
          <cell r="G19">
            <v>0</v>
          </cell>
          <cell r="H19">
            <v>2169.9300000000003</v>
          </cell>
          <cell r="I19">
            <v>399.99</v>
          </cell>
          <cell r="J19">
            <v>0</v>
          </cell>
          <cell r="K19">
            <v>211726.24999999997</v>
          </cell>
          <cell r="L19">
            <v>165000</v>
          </cell>
          <cell r="M19">
            <v>1.2831893939393937</v>
          </cell>
          <cell r="O19">
            <v>3387.6199999999994</v>
          </cell>
          <cell r="P19">
            <v>846.90499999999986</v>
          </cell>
          <cell r="Q19" t="str">
            <v>2000</v>
          </cell>
        </row>
        <row r="20">
          <cell r="B20">
            <v>161</v>
          </cell>
          <cell r="C20" t="str">
            <v>IGUATEMI PORTO ALEGRE</v>
          </cell>
          <cell r="D20" t="str">
            <v>Clayton</v>
          </cell>
          <cell r="E20">
            <v>190375.56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190375.56</v>
          </cell>
          <cell r="L20">
            <v>230000</v>
          </cell>
          <cell r="M20">
            <v>0.82771982608695649</v>
          </cell>
          <cell r="O20">
            <v>2855.6333999999997</v>
          </cell>
          <cell r="P20">
            <v>713.90834999999993</v>
          </cell>
          <cell r="Q20">
            <v>0</v>
          </cell>
        </row>
        <row r="21">
          <cell r="B21">
            <v>166</v>
          </cell>
          <cell r="C21" t="str">
            <v>SHOPPING CAMPO GRANDE</v>
          </cell>
          <cell r="D21" t="str">
            <v>Clayton</v>
          </cell>
          <cell r="E21">
            <v>218944.44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218944.44</v>
          </cell>
          <cell r="L21">
            <v>250000</v>
          </cell>
          <cell r="M21">
            <v>0.87577775999999996</v>
          </cell>
          <cell r="O21">
            <v>3284.1666</v>
          </cell>
          <cell r="P21">
            <v>821.04165</v>
          </cell>
          <cell r="Q21">
            <v>0</v>
          </cell>
        </row>
        <row r="22">
          <cell r="B22">
            <v>169</v>
          </cell>
          <cell r="C22" t="str">
            <v>I FASHION OUTLET SANTA CATARINA</v>
          </cell>
          <cell r="D22" t="str">
            <v>Clayton</v>
          </cell>
          <cell r="E22">
            <v>374499.31</v>
          </cell>
          <cell r="G22">
            <v>0</v>
          </cell>
          <cell r="H22">
            <v>1299.99</v>
          </cell>
          <cell r="I22">
            <v>0</v>
          </cell>
          <cell r="J22">
            <v>0</v>
          </cell>
          <cell r="K22">
            <v>375799.3</v>
          </cell>
          <cell r="L22">
            <v>340000</v>
          </cell>
          <cell r="M22">
            <v>1.1052920588235293</v>
          </cell>
          <cell r="O22">
            <v>4509.5915999999997</v>
          </cell>
          <cell r="P22">
            <v>1127.3978999999999</v>
          </cell>
          <cell r="Q22" t="str">
            <v>2000</v>
          </cell>
        </row>
        <row r="23">
          <cell r="B23">
            <v>173</v>
          </cell>
          <cell r="C23" t="str">
            <v>SHOPPING TAMBORE</v>
          </cell>
          <cell r="D23" t="str">
            <v>William</v>
          </cell>
          <cell r="E23">
            <v>258381.92</v>
          </cell>
          <cell r="G23">
            <v>0</v>
          </cell>
          <cell r="H23">
            <v>0</v>
          </cell>
          <cell r="I23">
            <v>2749.96</v>
          </cell>
          <cell r="J23">
            <v>0</v>
          </cell>
          <cell r="K23">
            <v>261131.88</v>
          </cell>
          <cell r="L23">
            <v>280000</v>
          </cell>
          <cell r="M23">
            <v>0.93261385714285716</v>
          </cell>
          <cell r="O23">
            <v>3655.8463199999997</v>
          </cell>
          <cell r="P23">
            <v>913.96157999999991</v>
          </cell>
          <cell r="Q23">
            <v>0</v>
          </cell>
        </row>
        <row r="24">
          <cell r="B24">
            <v>175</v>
          </cell>
          <cell r="C24" t="str">
            <v>OUTLET PREMIUM BRASILIA</v>
          </cell>
          <cell r="D24" t="str">
            <v>Clayton</v>
          </cell>
          <cell r="E24">
            <v>301501.28999999998</v>
          </cell>
          <cell r="G24">
            <v>0</v>
          </cell>
          <cell r="H24">
            <v>2944.89</v>
          </cell>
          <cell r="I24">
            <v>0</v>
          </cell>
          <cell r="J24">
            <v>0</v>
          </cell>
          <cell r="K24">
            <v>304446.18</v>
          </cell>
          <cell r="L24">
            <v>350000</v>
          </cell>
          <cell r="M24">
            <v>0.86984622857142857</v>
          </cell>
          <cell r="O24">
            <v>3957.8003400000002</v>
          </cell>
          <cell r="P24">
            <v>989.45008500000006</v>
          </cell>
          <cell r="Q24">
            <v>0</v>
          </cell>
        </row>
        <row r="25">
          <cell r="B25">
            <v>179</v>
          </cell>
          <cell r="C25" t="str">
            <v>OUTLET SOMARCAS OUTLET GUARULHOS</v>
          </cell>
          <cell r="D25" t="str">
            <v>Clayton</v>
          </cell>
          <cell r="E25">
            <v>392505.65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392505.65</v>
          </cell>
          <cell r="L25">
            <v>360000</v>
          </cell>
          <cell r="M25">
            <v>1.0902934722222224</v>
          </cell>
          <cell r="O25">
            <v>3532.5508500000005</v>
          </cell>
          <cell r="P25">
            <v>883.13771250000013</v>
          </cell>
          <cell r="Q25" t="str">
            <v>2000</v>
          </cell>
        </row>
        <row r="26">
          <cell r="B26">
            <v>181</v>
          </cell>
          <cell r="C26" t="str">
            <v>OUTLET CONTAGEM</v>
          </cell>
          <cell r="D26" t="str">
            <v>William</v>
          </cell>
          <cell r="E26">
            <v>822206.61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822206.61</v>
          </cell>
          <cell r="L26">
            <v>890000</v>
          </cell>
          <cell r="M26">
            <v>0.92382765168539327</v>
          </cell>
          <cell r="O26">
            <v>7399.8594900000007</v>
          </cell>
          <cell r="P26">
            <v>1849.9648725000002</v>
          </cell>
          <cell r="Q26">
            <v>0</v>
          </cell>
        </row>
        <row r="27">
          <cell r="B27">
            <v>183</v>
          </cell>
          <cell r="C27" t="str">
            <v>OUTLET MOGI</v>
          </cell>
          <cell r="D27" t="str">
            <v>Clayton</v>
          </cell>
          <cell r="E27">
            <v>299412.09999999998</v>
          </cell>
          <cell r="G27">
            <v>0</v>
          </cell>
          <cell r="H27">
            <v>649.99</v>
          </cell>
          <cell r="I27">
            <v>0</v>
          </cell>
          <cell r="J27">
            <v>0</v>
          </cell>
          <cell r="K27">
            <v>300062.08999999997</v>
          </cell>
          <cell r="L27">
            <v>360000</v>
          </cell>
          <cell r="M27">
            <v>0.83350580555555542</v>
          </cell>
          <cell r="O27">
            <v>2700.55881</v>
          </cell>
          <cell r="P27">
            <v>675.1397025</v>
          </cell>
          <cell r="Q27">
            <v>0</v>
          </cell>
        </row>
        <row r="28">
          <cell r="B28">
            <v>185</v>
          </cell>
          <cell r="C28" t="str">
            <v>OUTLET RECIFE</v>
          </cell>
          <cell r="D28" t="str">
            <v>Clayton</v>
          </cell>
          <cell r="E28">
            <v>327298.25</v>
          </cell>
          <cell r="G28">
            <v>0</v>
          </cell>
          <cell r="H28">
            <v>79.989999999999995</v>
          </cell>
          <cell r="I28">
            <v>0</v>
          </cell>
          <cell r="J28">
            <v>0</v>
          </cell>
          <cell r="K28">
            <v>327378.24</v>
          </cell>
          <cell r="L28">
            <v>433000</v>
          </cell>
          <cell r="M28">
            <v>0.75606983833718244</v>
          </cell>
          <cell r="O28">
            <v>2619.02592</v>
          </cell>
          <cell r="P28">
            <v>654.75648000000001</v>
          </cell>
          <cell r="Q28">
            <v>0</v>
          </cell>
        </row>
        <row r="29">
          <cell r="B29">
            <v>200</v>
          </cell>
          <cell r="C29" t="str">
            <v>OUTLET BH SHOPPING</v>
          </cell>
          <cell r="D29" t="str">
            <v>William</v>
          </cell>
          <cell r="E29">
            <v>248561.12</v>
          </cell>
          <cell r="G29">
            <v>0</v>
          </cell>
          <cell r="H29">
            <v>749.98</v>
          </cell>
          <cell r="I29">
            <v>0</v>
          </cell>
          <cell r="J29">
            <v>0</v>
          </cell>
          <cell r="K29">
            <v>249311.1</v>
          </cell>
          <cell r="L29">
            <v>217000</v>
          </cell>
          <cell r="M29">
            <v>1.1488990783410138</v>
          </cell>
          <cell r="O29">
            <v>3241.0443000000005</v>
          </cell>
          <cell r="P29">
            <v>810.26107500000012</v>
          </cell>
          <cell r="Q29" t="str">
            <v>2000</v>
          </cell>
        </row>
        <row r="30">
          <cell r="B30" t="str">
            <v>Total</v>
          </cell>
          <cell r="E30">
            <v>8982662.2700000014</v>
          </cell>
          <cell r="F30">
            <v>899.99</v>
          </cell>
          <cell r="G30">
            <v>0</v>
          </cell>
          <cell r="H30">
            <v>30824.350000000006</v>
          </cell>
          <cell r="I30">
            <v>13640.71</v>
          </cell>
          <cell r="J30">
            <v>0</v>
          </cell>
          <cell r="K30">
            <v>9028027.3200000003</v>
          </cell>
          <cell r="L30">
            <v>9304000</v>
          </cell>
          <cell r="M30">
            <v>0.97033827601031819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223"/>
  <sheetViews>
    <sheetView showGridLines="0" tabSelected="1" topLeftCell="E1" zoomScale="80" zoomScaleNormal="80" workbookViewId="0">
      <pane ySplit="2" topLeftCell="A3" activePane="bottomLeft" state="frozen"/>
      <selection pane="bottomLeft" activeCell="AA3" sqref="AA3"/>
    </sheetView>
  </sheetViews>
  <sheetFormatPr defaultColWidth="9.109375" defaultRowHeight="12" x14ac:dyDescent="0.25"/>
  <cols>
    <col min="1" max="1" width="8.6640625" style="21" customWidth="1"/>
    <col min="2" max="3" width="9.88671875" style="21" customWidth="1"/>
    <col min="4" max="4" width="45.5546875" style="13" bestFit="1" customWidth="1"/>
    <col min="5" max="5" width="21.5546875" style="13" customWidth="1"/>
    <col min="6" max="6" width="14" style="21" customWidth="1"/>
    <col min="7" max="7" width="15.44140625" style="21" customWidth="1"/>
    <col min="8" max="8" width="25.33203125" style="21" customWidth="1"/>
    <col min="9" max="9" width="3.44140625" style="21" customWidth="1"/>
    <col min="10" max="10" width="10" style="21" customWidth="1"/>
    <col min="11" max="11" width="7.44140625" style="21" customWidth="1"/>
    <col min="12" max="12" width="7.109375" style="21" customWidth="1"/>
    <col min="13" max="13" width="2.44140625" style="21" customWidth="1"/>
    <col min="14" max="14" width="14.33203125" style="22" customWidth="1"/>
    <col min="15" max="15" width="10.44140625" style="22" customWidth="1"/>
    <col min="16" max="18" width="9.109375" style="22" customWidth="1"/>
    <col min="19" max="19" width="12.44140625" style="22" customWidth="1"/>
    <col min="20" max="20" width="9.109375" style="22" customWidth="1"/>
    <col min="21" max="23" width="9.109375" style="13" customWidth="1"/>
    <col min="24" max="24" width="2" style="13" customWidth="1"/>
    <col min="25" max="25" width="11" style="13" customWidth="1"/>
    <col min="26" max="26" width="1.88671875" style="13" customWidth="1"/>
    <col min="27" max="27" width="10.33203125" style="13" customWidth="1"/>
    <col min="28" max="16384" width="9.109375" style="13"/>
  </cols>
  <sheetData>
    <row r="1" spans="1:34" ht="79.2" customHeight="1" x14ac:dyDescent="0.25">
      <c r="A1" s="227"/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27"/>
      <c r="AA1" s="227"/>
      <c r="AB1" s="227"/>
      <c r="AC1" s="227"/>
      <c r="AD1" s="227"/>
      <c r="AE1" s="227"/>
      <c r="AF1" s="227"/>
      <c r="AG1" s="227"/>
      <c r="AH1" s="227"/>
    </row>
    <row r="2" spans="1:34" ht="43.5" customHeight="1" x14ac:dyDescent="0.25">
      <c r="A2" s="3" t="s">
        <v>454</v>
      </c>
      <c r="B2" s="3" t="s">
        <v>2</v>
      </c>
      <c r="C2" s="3"/>
      <c r="D2" s="3" t="s">
        <v>733</v>
      </c>
      <c r="E2" s="224" t="s">
        <v>1</v>
      </c>
      <c r="F2" s="3" t="s">
        <v>3</v>
      </c>
      <c r="G2" s="3" t="s">
        <v>455</v>
      </c>
      <c r="H2" s="3" t="s">
        <v>456</v>
      </c>
      <c r="I2" s="4"/>
      <c r="J2" s="5" t="s">
        <v>457</v>
      </c>
      <c r="K2" s="6" t="s">
        <v>458</v>
      </c>
      <c r="L2" s="3" t="s">
        <v>459</v>
      </c>
      <c r="M2" s="4"/>
      <c r="N2" s="7" t="s">
        <v>460</v>
      </c>
      <c r="O2" s="7" t="s">
        <v>461</v>
      </c>
      <c r="P2" s="9" t="s">
        <v>462</v>
      </c>
      <c r="Q2" s="223" t="s">
        <v>734</v>
      </c>
      <c r="R2" s="223" t="s">
        <v>736</v>
      </c>
      <c r="S2" s="9" t="s">
        <v>463</v>
      </c>
      <c r="T2" s="223" t="s">
        <v>735</v>
      </c>
      <c r="U2" s="10" t="s">
        <v>464</v>
      </c>
      <c r="V2" s="11">
        <v>0.06</v>
      </c>
      <c r="W2" s="12" t="s">
        <v>737</v>
      </c>
      <c r="Y2" s="5" t="s">
        <v>465</v>
      </c>
      <c r="AA2" s="14" t="s">
        <v>738</v>
      </c>
      <c r="AB2" s="14" t="s">
        <v>466</v>
      </c>
      <c r="AC2" s="14" t="s">
        <v>467</v>
      </c>
      <c r="AD2" s="14" t="s">
        <v>468</v>
      </c>
      <c r="AE2" s="8" t="s">
        <v>469</v>
      </c>
      <c r="AF2" s="5" t="s">
        <v>470</v>
      </c>
      <c r="AG2" s="14" t="s">
        <v>739</v>
      </c>
      <c r="AH2" s="14" t="s">
        <v>471</v>
      </c>
    </row>
    <row r="3" spans="1:34" x14ac:dyDescent="0.25">
      <c r="A3" s="30">
        <v>62</v>
      </c>
      <c r="B3" s="30">
        <v>286</v>
      </c>
      <c r="C3" s="32" t="str">
        <f t="shared" ref="C3:C66" si="0">CONCATENATE(A3,"-",B3)</f>
        <v>62-286</v>
      </c>
      <c r="D3" s="16" t="s">
        <v>15</v>
      </c>
      <c r="E3" s="16" t="s">
        <v>14</v>
      </c>
      <c r="F3" s="15" t="s">
        <v>16</v>
      </c>
      <c r="G3" s="17">
        <v>42685</v>
      </c>
      <c r="H3" s="15" t="s">
        <v>10</v>
      </c>
      <c r="I3" s="18"/>
      <c r="J3" s="43">
        <f t="shared" ref="J3:J18" si="1">30-K3</f>
        <v>30</v>
      </c>
      <c r="K3" s="43">
        <v>0</v>
      </c>
      <c r="L3" s="43">
        <f t="shared" ref="L3:L66" si="2">SUM(J3:K3)</f>
        <v>30</v>
      </c>
      <c r="M3" s="18"/>
      <c r="N3" s="19">
        <v>0</v>
      </c>
      <c r="O3" s="19">
        <v>1719</v>
      </c>
      <c r="P3" s="19"/>
      <c r="Q3" s="19"/>
      <c r="R3" s="19">
        <v>41</v>
      </c>
      <c r="S3" s="19"/>
      <c r="T3" s="19">
        <v>485</v>
      </c>
      <c r="U3" s="19">
        <f t="shared" ref="U3:U34" si="3">SUM(S3:T3)</f>
        <v>485</v>
      </c>
      <c r="V3" s="45">
        <f>SUM(AA3:AB3,AF3)*6%</f>
        <v>293.38978199999997</v>
      </c>
      <c r="W3" s="44">
        <f>IF(U3&gt;V3,V3,U3)</f>
        <v>293.38978199999997</v>
      </c>
      <c r="Y3" s="19">
        <f t="shared" ref="Y3:Y34" si="4">SUM(N3:O3)/30*J3</f>
        <v>1719</v>
      </c>
      <c r="AA3" s="44">
        <f>IFERROR(VLOOKUP(C3,[1]Vendedor!$C$1:$R$65536,16,0),0)</f>
        <v>3911.8637599999993</v>
      </c>
      <c r="AB3" s="45">
        <f t="shared" ref="AB3:AB66" si="5">AA3*25%</f>
        <v>977.96593999999982</v>
      </c>
      <c r="AC3" s="20">
        <v>200</v>
      </c>
      <c r="AD3" s="44">
        <f>IFERROR(VLOOKUP(C3,[1]Vendedor!$C$1:$T$65536,18,0),0)</f>
        <v>698.54709999999989</v>
      </c>
      <c r="AE3" s="45">
        <f t="shared" ref="AE3:AE66" si="6">SUM(AA3:AD3)</f>
        <v>5788.3767999999991</v>
      </c>
      <c r="AF3" s="44">
        <f t="shared" ref="AF3:AF34" si="7">IF(AE3&lt;Y3,Y3-AE3,0)</f>
        <v>0</v>
      </c>
      <c r="AG3" s="20">
        <v>400</v>
      </c>
      <c r="AH3" s="20"/>
    </row>
    <row r="4" spans="1:34" x14ac:dyDescent="0.25">
      <c r="A4" s="30">
        <v>62</v>
      </c>
      <c r="B4" s="30">
        <v>325</v>
      </c>
      <c r="C4" s="32" t="str">
        <f t="shared" si="0"/>
        <v>62-325</v>
      </c>
      <c r="D4" s="16" t="s">
        <v>32</v>
      </c>
      <c r="E4" s="16" t="s">
        <v>21</v>
      </c>
      <c r="F4" s="15" t="s">
        <v>33</v>
      </c>
      <c r="G4" s="17">
        <v>44174</v>
      </c>
      <c r="H4" s="15" t="s">
        <v>10</v>
      </c>
      <c r="I4" s="18"/>
      <c r="J4" s="43">
        <f t="shared" si="1"/>
        <v>30</v>
      </c>
      <c r="K4" s="43">
        <v>0</v>
      </c>
      <c r="L4" s="43">
        <f t="shared" si="2"/>
        <v>30</v>
      </c>
      <c r="M4" s="18"/>
      <c r="N4" s="19">
        <v>1575.67</v>
      </c>
      <c r="O4" s="19">
        <v>0</v>
      </c>
      <c r="P4" s="19">
        <v>97</v>
      </c>
      <c r="Q4" s="19"/>
      <c r="R4" s="19">
        <v>41</v>
      </c>
      <c r="S4" s="19" t="str">
        <f>IFERROR(VLOOKUP(C4,[2]Base!$C$1:$S$65536,17,0),0)</f>
        <v>Fretado</v>
      </c>
      <c r="T4" s="19"/>
      <c r="U4" s="19">
        <f t="shared" si="3"/>
        <v>0</v>
      </c>
      <c r="V4" s="45">
        <f>SUM(AA4:AB4,AF4)*6%</f>
        <v>94.540199999999999</v>
      </c>
      <c r="W4" s="44">
        <f>V4</f>
        <v>94.540199999999999</v>
      </c>
      <c r="Y4" s="19">
        <f t="shared" si="4"/>
        <v>1575.67</v>
      </c>
      <c r="AA4" s="44">
        <f>IFERROR(VLOOKUP(C4,[1]Vendedor!$C$1:$R$65536,16,0),0)</f>
        <v>0</v>
      </c>
      <c r="AB4" s="45">
        <f t="shared" si="5"/>
        <v>0</v>
      </c>
      <c r="AC4" s="20"/>
      <c r="AD4" s="44">
        <f>IFERROR(VLOOKUP(C4,[1]Vendedor!$C$1:$T$65536,18,0),0)</f>
        <v>0</v>
      </c>
      <c r="AE4" s="45">
        <f t="shared" si="6"/>
        <v>0</v>
      </c>
      <c r="AF4" s="44">
        <f t="shared" si="7"/>
        <v>1575.67</v>
      </c>
      <c r="AG4" s="20"/>
      <c r="AH4" s="20"/>
    </row>
    <row r="5" spans="1:34" x14ac:dyDescent="0.25">
      <c r="A5" s="30">
        <v>62</v>
      </c>
      <c r="B5" s="30">
        <v>106</v>
      </c>
      <c r="C5" s="32" t="str">
        <f t="shared" si="0"/>
        <v>62-106</v>
      </c>
      <c r="D5" s="16" t="s">
        <v>4</v>
      </c>
      <c r="E5" s="16" t="s">
        <v>7</v>
      </c>
      <c r="F5" s="15" t="s">
        <v>5</v>
      </c>
      <c r="G5" s="17">
        <v>40868</v>
      </c>
      <c r="H5" s="15" t="s">
        <v>6</v>
      </c>
      <c r="I5" s="18"/>
      <c r="J5" s="43">
        <f t="shared" si="1"/>
        <v>30</v>
      </c>
      <c r="K5" s="43">
        <v>0</v>
      </c>
      <c r="L5" s="43">
        <f t="shared" si="2"/>
        <v>30</v>
      </c>
      <c r="M5" s="18"/>
      <c r="N5" s="19">
        <v>1406</v>
      </c>
      <c r="O5" s="19">
        <v>0</v>
      </c>
      <c r="P5" s="19"/>
      <c r="Q5" s="19"/>
      <c r="R5" s="19"/>
      <c r="S5" s="19">
        <f>IFERROR(VLOOKUP(C5,[2]Base!$C$1:$S$65536,17,0),0)</f>
        <v>0</v>
      </c>
      <c r="T5" s="19"/>
      <c r="U5" s="19">
        <f t="shared" si="3"/>
        <v>0</v>
      </c>
      <c r="V5" s="20"/>
      <c r="W5" s="44">
        <f t="shared" ref="W5:W36" si="8">IF(U5&gt;V5,V5,U5)</f>
        <v>0</v>
      </c>
      <c r="Y5" s="19">
        <f t="shared" si="4"/>
        <v>1406</v>
      </c>
      <c r="AA5" s="44">
        <f>IFERROR(VLOOKUP(C5,[1]Vendedor!$C$1:$R$65536,16,0),0)</f>
        <v>0</v>
      </c>
      <c r="AB5" s="45">
        <f t="shared" si="5"/>
        <v>0</v>
      </c>
      <c r="AC5" s="20"/>
      <c r="AD5" s="44">
        <f>IFERROR(VLOOKUP(C5,[1]Vendedor!$C$1:$T$65536,18,0),0)</f>
        <v>0</v>
      </c>
      <c r="AE5" s="45">
        <f t="shared" si="6"/>
        <v>0</v>
      </c>
      <c r="AF5" s="44">
        <f t="shared" si="7"/>
        <v>1406</v>
      </c>
      <c r="AG5" s="20"/>
      <c r="AH5" s="20"/>
    </row>
    <row r="6" spans="1:34" x14ac:dyDescent="0.25">
      <c r="A6" s="30">
        <v>62</v>
      </c>
      <c r="B6" s="30">
        <v>322</v>
      </c>
      <c r="C6" s="32" t="str">
        <f t="shared" si="0"/>
        <v>62-322</v>
      </c>
      <c r="D6" s="16" t="s">
        <v>28</v>
      </c>
      <c r="E6" s="16" t="s">
        <v>14</v>
      </c>
      <c r="F6" s="15" t="s">
        <v>29</v>
      </c>
      <c r="G6" s="17">
        <v>44113</v>
      </c>
      <c r="H6" s="15" t="s">
        <v>10</v>
      </c>
      <c r="I6" s="18"/>
      <c r="J6" s="43">
        <f t="shared" si="1"/>
        <v>30</v>
      </c>
      <c r="K6" s="43">
        <v>0</v>
      </c>
      <c r="L6" s="43">
        <f t="shared" si="2"/>
        <v>30</v>
      </c>
      <c r="M6" s="18"/>
      <c r="N6" s="19">
        <v>0</v>
      </c>
      <c r="O6" s="19">
        <v>1719</v>
      </c>
      <c r="P6" s="19"/>
      <c r="Q6" s="19"/>
      <c r="R6" s="19">
        <v>41</v>
      </c>
      <c r="S6" s="19"/>
      <c r="T6" s="19">
        <v>480</v>
      </c>
      <c r="U6" s="19">
        <f t="shared" si="3"/>
        <v>480</v>
      </c>
      <c r="V6" s="45">
        <f>SUM(AA6:AB6,AF6)*6%</f>
        <v>158.57580899999996</v>
      </c>
      <c r="W6" s="44">
        <f t="shared" si="8"/>
        <v>158.57580899999996</v>
      </c>
      <c r="Y6" s="19">
        <f t="shared" si="4"/>
        <v>1719</v>
      </c>
      <c r="AA6" s="44">
        <f>IFERROR(VLOOKUP(C6,[1]Vendedor!$C$1:$R$65536,16,0),0)</f>
        <v>2114.3441199999997</v>
      </c>
      <c r="AB6" s="45">
        <f t="shared" si="5"/>
        <v>528.58602999999994</v>
      </c>
      <c r="AC6" s="20"/>
      <c r="AD6" s="44">
        <f>IFERROR(VLOOKUP(C6,[1]Vendedor!$C$1:$T$65536,18,0),0)</f>
        <v>0</v>
      </c>
      <c r="AE6" s="45">
        <f t="shared" si="6"/>
        <v>2642.9301499999997</v>
      </c>
      <c r="AF6" s="44">
        <f t="shared" si="7"/>
        <v>0</v>
      </c>
      <c r="AG6" s="20"/>
      <c r="AH6" s="20"/>
    </row>
    <row r="7" spans="1:34" x14ac:dyDescent="0.25">
      <c r="A7" s="30">
        <v>62</v>
      </c>
      <c r="B7" s="30">
        <v>282</v>
      </c>
      <c r="C7" s="32" t="str">
        <f t="shared" si="0"/>
        <v>62-282</v>
      </c>
      <c r="D7" s="16" t="s">
        <v>12</v>
      </c>
      <c r="E7" s="16" t="s">
        <v>14</v>
      </c>
      <c r="F7" s="15" t="s">
        <v>13</v>
      </c>
      <c r="G7" s="17">
        <v>42529</v>
      </c>
      <c r="H7" s="15" t="s">
        <v>10</v>
      </c>
      <c r="I7" s="18"/>
      <c r="J7" s="43">
        <f t="shared" si="1"/>
        <v>30</v>
      </c>
      <c r="K7" s="43">
        <v>0</v>
      </c>
      <c r="L7" s="43">
        <f t="shared" si="2"/>
        <v>30</v>
      </c>
      <c r="M7" s="18"/>
      <c r="N7" s="19">
        <v>0</v>
      </c>
      <c r="O7" s="19">
        <v>1719</v>
      </c>
      <c r="P7" s="19"/>
      <c r="Q7" s="19"/>
      <c r="R7" s="19"/>
      <c r="S7" s="19"/>
      <c r="T7" s="19">
        <v>580</v>
      </c>
      <c r="U7" s="19">
        <f t="shared" si="3"/>
        <v>580</v>
      </c>
      <c r="V7" s="45">
        <f>SUM(AA7:AB7,AF7)*6%</f>
        <v>103.14</v>
      </c>
      <c r="W7" s="44">
        <f t="shared" si="8"/>
        <v>103.14</v>
      </c>
      <c r="Y7" s="19">
        <f t="shared" si="4"/>
        <v>1719</v>
      </c>
      <c r="AA7" s="44">
        <f>IFERROR(VLOOKUP(C7,[1]Vendedor!$C$1:$R$65536,16,0),0)</f>
        <v>961.33743999999979</v>
      </c>
      <c r="AB7" s="45">
        <f t="shared" si="5"/>
        <v>240.33435999999995</v>
      </c>
      <c r="AC7" s="20"/>
      <c r="AD7" s="44">
        <f>IFERROR(VLOOKUP(C7,[1]Vendedor!$C$1:$T$65536,18,0),0)</f>
        <v>0</v>
      </c>
      <c r="AE7" s="45">
        <f t="shared" si="6"/>
        <v>1201.6717999999996</v>
      </c>
      <c r="AF7" s="44">
        <f t="shared" si="7"/>
        <v>517.32820000000038</v>
      </c>
      <c r="AG7" s="20"/>
      <c r="AH7" s="20"/>
    </row>
    <row r="8" spans="1:34" x14ac:dyDescent="0.25">
      <c r="A8" s="30">
        <v>62</v>
      </c>
      <c r="B8" s="30">
        <v>316</v>
      </c>
      <c r="C8" s="32" t="str">
        <f t="shared" si="0"/>
        <v>62-316</v>
      </c>
      <c r="D8" s="16" t="s">
        <v>24</v>
      </c>
      <c r="E8" s="16" t="s">
        <v>14</v>
      </c>
      <c r="F8" s="15" t="s">
        <v>25</v>
      </c>
      <c r="G8" s="17">
        <v>43752</v>
      </c>
      <c r="H8" s="15" t="s">
        <v>10</v>
      </c>
      <c r="I8" s="18"/>
      <c r="J8" s="43">
        <f t="shared" si="1"/>
        <v>30</v>
      </c>
      <c r="K8" s="43">
        <v>0</v>
      </c>
      <c r="L8" s="43">
        <f t="shared" si="2"/>
        <v>30</v>
      </c>
      <c r="M8" s="18"/>
      <c r="N8" s="19">
        <v>0</v>
      </c>
      <c r="O8" s="19">
        <v>1719</v>
      </c>
      <c r="P8" s="19"/>
      <c r="Q8" s="19"/>
      <c r="R8" s="19">
        <v>41</v>
      </c>
      <c r="S8" s="19"/>
      <c r="T8" s="19">
        <v>485</v>
      </c>
      <c r="U8" s="19">
        <f t="shared" si="3"/>
        <v>485</v>
      </c>
      <c r="V8" s="45">
        <f>SUM(AA8:AB8,AF8)*6%</f>
        <v>240.87894599999993</v>
      </c>
      <c r="W8" s="44">
        <f t="shared" si="8"/>
        <v>240.87894599999993</v>
      </c>
      <c r="Y8" s="19">
        <f t="shared" si="4"/>
        <v>1719</v>
      </c>
      <c r="AA8" s="44">
        <f>IFERROR(VLOOKUP(C8,[1]Vendedor!$C$1:$R$65536,16,0),0)</f>
        <v>3211.7192799999993</v>
      </c>
      <c r="AB8" s="45">
        <f t="shared" si="5"/>
        <v>802.92981999999984</v>
      </c>
      <c r="AC8" s="20"/>
      <c r="AD8" s="44">
        <f>IFERROR(VLOOKUP(C8,[1]Vendedor!$C$1:$T$65536,18,0),0)</f>
        <v>573.5213</v>
      </c>
      <c r="AE8" s="45">
        <f t="shared" si="6"/>
        <v>4588.1703999999991</v>
      </c>
      <c r="AF8" s="44">
        <f t="shared" si="7"/>
        <v>0</v>
      </c>
      <c r="AG8" s="20"/>
      <c r="AH8" s="20"/>
    </row>
    <row r="9" spans="1:34" x14ac:dyDescent="0.25">
      <c r="A9" s="30">
        <v>62</v>
      </c>
      <c r="B9" s="30">
        <v>266</v>
      </c>
      <c r="C9" s="32" t="str">
        <f t="shared" si="0"/>
        <v>62-266</v>
      </c>
      <c r="D9" s="16" t="s">
        <v>8</v>
      </c>
      <c r="E9" s="16" t="s">
        <v>11</v>
      </c>
      <c r="F9" s="15" t="s">
        <v>9</v>
      </c>
      <c r="G9" s="17">
        <v>42333</v>
      </c>
      <c r="H9" s="15" t="s">
        <v>10</v>
      </c>
      <c r="I9" s="18"/>
      <c r="J9" s="43">
        <f t="shared" si="1"/>
        <v>30</v>
      </c>
      <c r="K9" s="43">
        <v>0</v>
      </c>
      <c r="L9" s="43">
        <f t="shared" si="2"/>
        <v>30</v>
      </c>
      <c r="M9" s="18"/>
      <c r="N9" s="19">
        <v>0</v>
      </c>
      <c r="O9" s="19">
        <v>4692.6000000000004</v>
      </c>
      <c r="P9" s="19"/>
      <c r="Q9" s="19"/>
      <c r="R9" s="19">
        <v>41</v>
      </c>
      <c r="S9" s="19">
        <f>IFERROR(VLOOKUP(C9,[2]Base!$C$1:$S$65536,17,0),0)</f>
        <v>0</v>
      </c>
      <c r="T9" s="19"/>
      <c r="U9" s="19">
        <f t="shared" si="3"/>
        <v>0</v>
      </c>
      <c r="V9" s="20"/>
      <c r="W9" s="44">
        <f t="shared" si="8"/>
        <v>0</v>
      </c>
      <c r="Y9" s="19">
        <f t="shared" si="4"/>
        <v>4692.6000000000004</v>
      </c>
      <c r="AA9" s="44">
        <f>VLOOKUP(A9,[3]Gerentes!$B$1:$O$65536,14,0)</f>
        <v>6452.199270000001</v>
      </c>
      <c r="AB9" s="45">
        <f t="shared" si="5"/>
        <v>1613.0498175000002</v>
      </c>
      <c r="AC9" s="20"/>
      <c r="AD9" s="44" t="str">
        <f>VLOOKUP(A9,[3]Gerentes!$B$1:$Q$65536,16,0)</f>
        <v>2000</v>
      </c>
      <c r="AE9" s="45">
        <f t="shared" si="6"/>
        <v>8065.2490875000012</v>
      </c>
      <c r="AF9" s="44">
        <f t="shared" si="7"/>
        <v>0</v>
      </c>
      <c r="AG9" s="20"/>
      <c r="AH9" s="20"/>
    </row>
    <row r="10" spans="1:34" x14ac:dyDescent="0.25">
      <c r="A10" s="30">
        <v>62</v>
      </c>
      <c r="B10" s="30">
        <v>323</v>
      </c>
      <c r="C10" s="32" t="str">
        <f t="shared" si="0"/>
        <v>62-323</v>
      </c>
      <c r="D10" s="16" t="s">
        <v>30</v>
      </c>
      <c r="E10" s="16" t="s">
        <v>21</v>
      </c>
      <c r="F10" s="15" t="s">
        <v>31</v>
      </c>
      <c r="G10" s="17">
        <v>44152</v>
      </c>
      <c r="H10" s="15" t="s">
        <v>10</v>
      </c>
      <c r="I10" s="18"/>
      <c r="J10" s="43">
        <f t="shared" si="1"/>
        <v>30</v>
      </c>
      <c r="K10" s="43">
        <v>0</v>
      </c>
      <c r="L10" s="43">
        <f t="shared" si="2"/>
        <v>30</v>
      </c>
      <c r="M10" s="18"/>
      <c r="N10" s="19">
        <v>1575.67</v>
      </c>
      <c r="O10" s="19">
        <v>0</v>
      </c>
      <c r="P10" s="19">
        <v>97</v>
      </c>
      <c r="Q10" s="19"/>
      <c r="R10" s="19"/>
      <c r="S10" s="19"/>
      <c r="T10" s="19">
        <v>200</v>
      </c>
      <c r="U10" s="19">
        <f t="shared" si="3"/>
        <v>200</v>
      </c>
      <c r="V10" s="45">
        <f>SUM(AA10:AB10,AF10)*6%</f>
        <v>94.540199999999999</v>
      </c>
      <c r="W10" s="44">
        <f t="shared" si="8"/>
        <v>94.540199999999999</v>
      </c>
      <c r="Y10" s="19">
        <f t="shared" si="4"/>
        <v>1575.67</v>
      </c>
      <c r="AA10" s="44">
        <f>IFERROR(VLOOKUP(C10,[1]Vendedor!$C$1:$R$65536,16,0),0)</f>
        <v>0</v>
      </c>
      <c r="AB10" s="45">
        <f t="shared" si="5"/>
        <v>0</v>
      </c>
      <c r="AC10" s="20"/>
      <c r="AD10" s="44">
        <f>IFERROR(VLOOKUP(C10,[1]Vendedor!$C$1:$T$65536,18,0),0)</f>
        <v>0</v>
      </c>
      <c r="AE10" s="45">
        <f t="shared" si="6"/>
        <v>0</v>
      </c>
      <c r="AF10" s="44">
        <f t="shared" si="7"/>
        <v>1575.67</v>
      </c>
      <c r="AG10" s="20"/>
      <c r="AH10" s="20"/>
    </row>
    <row r="11" spans="1:34" x14ac:dyDescent="0.25">
      <c r="A11" s="30">
        <v>62</v>
      </c>
      <c r="B11" s="30">
        <v>326</v>
      </c>
      <c r="C11" s="32" t="str">
        <f t="shared" si="0"/>
        <v>62-326</v>
      </c>
      <c r="D11" s="16" t="s">
        <v>34</v>
      </c>
      <c r="E11" s="16" t="s">
        <v>21</v>
      </c>
      <c r="F11" s="15" t="s">
        <v>35</v>
      </c>
      <c r="G11" s="17">
        <v>44221</v>
      </c>
      <c r="H11" s="15" t="s">
        <v>10</v>
      </c>
      <c r="I11" s="18"/>
      <c r="J11" s="43">
        <f t="shared" si="1"/>
        <v>30</v>
      </c>
      <c r="K11" s="43">
        <v>0</v>
      </c>
      <c r="L11" s="43">
        <f t="shared" si="2"/>
        <v>30</v>
      </c>
      <c r="M11" s="18"/>
      <c r="N11" s="19">
        <v>1575.67</v>
      </c>
      <c r="O11" s="19">
        <v>0</v>
      </c>
      <c r="P11" s="19">
        <v>97</v>
      </c>
      <c r="Q11" s="19"/>
      <c r="R11" s="19">
        <v>41</v>
      </c>
      <c r="S11" s="19"/>
      <c r="T11" s="19">
        <v>200</v>
      </c>
      <c r="U11" s="19">
        <f t="shared" si="3"/>
        <v>200</v>
      </c>
      <c r="V11" s="45">
        <f>SUM(AA11:AB11,AF11)*6%</f>
        <v>94.540199999999999</v>
      </c>
      <c r="W11" s="44">
        <f t="shared" si="8"/>
        <v>94.540199999999999</v>
      </c>
      <c r="Y11" s="19">
        <f t="shared" si="4"/>
        <v>1575.67</v>
      </c>
      <c r="AA11" s="44">
        <f>IFERROR(VLOOKUP(C11,[1]Vendedor!$C$1:$R$65536,16,0),0)</f>
        <v>0</v>
      </c>
      <c r="AB11" s="45">
        <f t="shared" si="5"/>
        <v>0</v>
      </c>
      <c r="AC11" s="20"/>
      <c r="AD11" s="44">
        <f>IFERROR(VLOOKUP(C11,[1]Vendedor!$C$1:$T$65536,18,0),0)</f>
        <v>0</v>
      </c>
      <c r="AE11" s="45">
        <f t="shared" si="6"/>
        <v>0</v>
      </c>
      <c r="AF11" s="44">
        <f t="shared" si="7"/>
        <v>1575.67</v>
      </c>
      <c r="AG11" s="20"/>
      <c r="AH11" s="20"/>
    </row>
    <row r="12" spans="1:34" x14ac:dyDescent="0.25">
      <c r="A12" s="30">
        <v>62</v>
      </c>
      <c r="B12" s="30">
        <v>314</v>
      </c>
      <c r="C12" s="32" t="str">
        <f t="shared" si="0"/>
        <v>62-314</v>
      </c>
      <c r="D12" s="16" t="s">
        <v>22</v>
      </c>
      <c r="E12" s="16" t="s">
        <v>14</v>
      </c>
      <c r="F12" s="15" t="s">
        <v>23</v>
      </c>
      <c r="G12" s="17">
        <v>43714</v>
      </c>
      <c r="H12" s="15" t="s">
        <v>10</v>
      </c>
      <c r="I12" s="18"/>
      <c r="J12" s="43">
        <f t="shared" si="1"/>
        <v>30</v>
      </c>
      <c r="K12" s="43">
        <v>0</v>
      </c>
      <c r="L12" s="43">
        <f t="shared" si="2"/>
        <v>30</v>
      </c>
      <c r="M12" s="18"/>
      <c r="N12" s="19">
        <v>0</v>
      </c>
      <c r="O12" s="19">
        <v>1719</v>
      </c>
      <c r="P12" s="19"/>
      <c r="Q12" s="19"/>
      <c r="R12" s="19">
        <v>41</v>
      </c>
      <c r="S12" s="19">
        <f>IFERROR(VLOOKUP(C12,[2]Base!$C$1:$S$65536,17,0),0)</f>
        <v>0</v>
      </c>
      <c r="T12" s="19"/>
      <c r="U12" s="19">
        <f t="shared" si="3"/>
        <v>0</v>
      </c>
      <c r="V12" s="20"/>
      <c r="W12" s="44">
        <f t="shared" si="8"/>
        <v>0</v>
      </c>
      <c r="Y12" s="19">
        <f t="shared" si="4"/>
        <v>1719</v>
      </c>
      <c r="AA12" s="44">
        <f>IFERROR(VLOOKUP(C12,[1]Vendedor!$C$1:$R$65536,16,0),0)</f>
        <v>3111.5725199999997</v>
      </c>
      <c r="AB12" s="45">
        <f t="shared" si="5"/>
        <v>777.89312999999993</v>
      </c>
      <c r="AC12" s="20"/>
      <c r="AD12" s="44">
        <f>IFERROR(VLOOKUP(C12,[1]Vendedor!$C$1:$T$65536,18,0),0)</f>
        <v>555.63795000000005</v>
      </c>
      <c r="AE12" s="45">
        <f t="shared" si="6"/>
        <v>4445.1035999999995</v>
      </c>
      <c r="AF12" s="44">
        <f t="shared" si="7"/>
        <v>0</v>
      </c>
      <c r="AG12" s="20"/>
      <c r="AH12" s="20"/>
    </row>
    <row r="13" spans="1:34" x14ac:dyDescent="0.25">
      <c r="A13" s="30">
        <v>62</v>
      </c>
      <c r="B13" s="30">
        <v>303</v>
      </c>
      <c r="C13" s="32" t="str">
        <f t="shared" si="0"/>
        <v>62-303</v>
      </c>
      <c r="D13" s="16" t="s">
        <v>19</v>
      </c>
      <c r="E13" s="16" t="s">
        <v>21</v>
      </c>
      <c r="F13" s="15" t="s">
        <v>20</v>
      </c>
      <c r="G13" s="17">
        <v>43336</v>
      </c>
      <c r="H13" s="15" t="s">
        <v>10</v>
      </c>
      <c r="I13" s="18"/>
      <c r="J13" s="43">
        <f t="shared" si="1"/>
        <v>30</v>
      </c>
      <c r="K13" s="43">
        <v>0</v>
      </c>
      <c r="L13" s="43">
        <f t="shared" si="2"/>
        <v>30</v>
      </c>
      <c r="M13" s="18"/>
      <c r="N13" s="19">
        <v>1575.67</v>
      </c>
      <c r="O13" s="19">
        <v>0</v>
      </c>
      <c r="P13" s="19">
        <v>97</v>
      </c>
      <c r="Q13" s="19"/>
      <c r="R13" s="19">
        <v>41</v>
      </c>
      <c r="S13" s="19"/>
      <c r="T13" s="19">
        <v>490</v>
      </c>
      <c r="U13" s="19">
        <f t="shared" si="3"/>
        <v>490</v>
      </c>
      <c r="V13" s="45">
        <f t="shared" ref="V13:V20" si="9">SUM(AA13:AB13,AF13)*6%</f>
        <v>82.540199999999999</v>
      </c>
      <c r="W13" s="44">
        <f t="shared" si="8"/>
        <v>82.540199999999999</v>
      </c>
      <c r="Y13" s="19">
        <f t="shared" si="4"/>
        <v>1575.67</v>
      </c>
      <c r="AA13" s="44">
        <f>IFERROR(VLOOKUP(C13,[1]Vendedor!$C$1:$R$65536,16,0),0)</f>
        <v>0</v>
      </c>
      <c r="AB13" s="45">
        <f t="shared" si="5"/>
        <v>0</v>
      </c>
      <c r="AC13" s="20">
        <v>200</v>
      </c>
      <c r="AD13" s="44">
        <f>IFERROR(VLOOKUP(C13,[1]Vendedor!$C$1:$T$65536,18,0),0)</f>
        <v>0</v>
      </c>
      <c r="AE13" s="45">
        <f t="shared" si="6"/>
        <v>200</v>
      </c>
      <c r="AF13" s="44">
        <f t="shared" si="7"/>
        <v>1375.67</v>
      </c>
      <c r="AG13" s="20"/>
      <c r="AH13" s="20"/>
    </row>
    <row r="14" spans="1:34" x14ac:dyDescent="0.25">
      <c r="A14" s="30">
        <v>62</v>
      </c>
      <c r="B14" s="30">
        <v>320</v>
      </c>
      <c r="C14" s="32" t="str">
        <f t="shared" si="0"/>
        <v>62-320</v>
      </c>
      <c r="D14" s="16" t="s">
        <v>26</v>
      </c>
      <c r="E14" s="16" t="s">
        <v>14</v>
      </c>
      <c r="F14" s="15" t="s">
        <v>27</v>
      </c>
      <c r="G14" s="17">
        <v>43810</v>
      </c>
      <c r="H14" s="15" t="s">
        <v>10</v>
      </c>
      <c r="I14" s="18"/>
      <c r="J14" s="43">
        <f t="shared" si="1"/>
        <v>30</v>
      </c>
      <c r="K14" s="43">
        <v>0</v>
      </c>
      <c r="L14" s="43">
        <f t="shared" si="2"/>
        <v>30</v>
      </c>
      <c r="M14" s="18"/>
      <c r="N14" s="19">
        <v>0</v>
      </c>
      <c r="O14" s="19">
        <v>1719</v>
      </c>
      <c r="P14" s="19"/>
      <c r="Q14" s="19"/>
      <c r="R14" s="19">
        <v>41</v>
      </c>
      <c r="S14" s="19"/>
      <c r="T14" s="19">
        <v>485</v>
      </c>
      <c r="U14" s="19">
        <f t="shared" si="3"/>
        <v>485</v>
      </c>
      <c r="V14" s="45">
        <f t="shared" si="9"/>
        <v>234.86326499999998</v>
      </c>
      <c r="W14" s="44">
        <f t="shared" si="8"/>
        <v>234.86326499999998</v>
      </c>
      <c r="Y14" s="19">
        <f t="shared" si="4"/>
        <v>1719</v>
      </c>
      <c r="AA14" s="44">
        <f>IFERROR(VLOOKUP(C14,[1]Vendedor!$C$1:$R$65536,16,0),0)</f>
        <v>3131.5101999999997</v>
      </c>
      <c r="AB14" s="45">
        <f t="shared" si="5"/>
        <v>782.87754999999993</v>
      </c>
      <c r="AC14" s="20"/>
      <c r="AD14" s="44">
        <f>IFERROR(VLOOKUP(C14,[1]Vendedor!$C$1:$T$65536,18,0),0)</f>
        <v>559.19825000000003</v>
      </c>
      <c r="AE14" s="45">
        <f t="shared" si="6"/>
        <v>4473.5860000000002</v>
      </c>
      <c r="AF14" s="44">
        <f t="shared" si="7"/>
        <v>0</v>
      </c>
      <c r="AG14" s="20"/>
      <c r="AH14" s="20"/>
    </row>
    <row r="15" spans="1:34" x14ac:dyDescent="0.25">
      <c r="A15" s="30">
        <v>62</v>
      </c>
      <c r="B15" s="30">
        <v>289</v>
      </c>
      <c r="C15" s="32" t="str">
        <f t="shared" si="0"/>
        <v>62-289</v>
      </c>
      <c r="D15" s="16" t="s">
        <v>17</v>
      </c>
      <c r="E15" s="16" t="s">
        <v>14</v>
      </c>
      <c r="F15" s="15" t="s">
        <v>18</v>
      </c>
      <c r="G15" s="17">
        <v>42695</v>
      </c>
      <c r="H15" s="15" t="s">
        <v>10</v>
      </c>
      <c r="I15" s="18"/>
      <c r="J15" s="43">
        <f t="shared" si="1"/>
        <v>30</v>
      </c>
      <c r="K15" s="43">
        <v>0</v>
      </c>
      <c r="L15" s="43">
        <f t="shared" si="2"/>
        <v>30</v>
      </c>
      <c r="M15" s="18"/>
      <c r="N15" s="19">
        <v>0</v>
      </c>
      <c r="O15" s="19">
        <v>1719</v>
      </c>
      <c r="P15" s="19"/>
      <c r="Q15" s="19"/>
      <c r="R15" s="19">
        <v>41</v>
      </c>
      <c r="S15" s="19"/>
      <c r="T15" s="19">
        <v>435</v>
      </c>
      <c r="U15" s="19">
        <f t="shared" si="3"/>
        <v>435</v>
      </c>
      <c r="V15" s="45">
        <f t="shared" si="9"/>
        <v>266.83135499999997</v>
      </c>
      <c r="W15" s="44">
        <f t="shared" si="8"/>
        <v>266.83135499999997</v>
      </c>
      <c r="Y15" s="19">
        <f t="shared" si="4"/>
        <v>1719</v>
      </c>
      <c r="AA15" s="44">
        <f>IFERROR(VLOOKUP(C15,[1]Vendedor!$C$1:$R$65536,16,0),0)</f>
        <v>3557.7513999999996</v>
      </c>
      <c r="AB15" s="45">
        <f t="shared" si="5"/>
        <v>889.43784999999991</v>
      </c>
      <c r="AC15" s="20">
        <v>200</v>
      </c>
      <c r="AD15" s="44">
        <f>IFERROR(VLOOKUP(C15,[1]Vendedor!$C$1:$T$65536,18,0),0)</f>
        <v>635.31275000000005</v>
      </c>
      <c r="AE15" s="45">
        <f t="shared" si="6"/>
        <v>5282.5019999999995</v>
      </c>
      <c r="AF15" s="44">
        <f t="shared" si="7"/>
        <v>0</v>
      </c>
      <c r="AG15" s="20">
        <v>400</v>
      </c>
      <c r="AH15" s="20"/>
    </row>
    <row r="16" spans="1:34" s="50" customFormat="1" x14ac:dyDescent="0.25">
      <c r="A16" s="47">
        <v>93</v>
      </c>
      <c r="B16" s="47">
        <v>98</v>
      </c>
      <c r="C16" s="48" t="str">
        <f t="shared" si="0"/>
        <v>93-98</v>
      </c>
      <c r="D16" s="212" t="s">
        <v>50</v>
      </c>
      <c r="E16" s="212" t="s">
        <v>14</v>
      </c>
      <c r="F16" s="213" t="s">
        <v>51</v>
      </c>
      <c r="G16" s="214">
        <v>44085</v>
      </c>
      <c r="H16" s="213" t="s">
        <v>10</v>
      </c>
      <c r="I16" s="49"/>
      <c r="J16" s="208">
        <f t="shared" si="1"/>
        <v>30</v>
      </c>
      <c r="K16" s="208">
        <v>0</v>
      </c>
      <c r="L16" s="208">
        <f t="shared" si="2"/>
        <v>30</v>
      </c>
      <c r="M16" s="49"/>
      <c r="N16" s="209">
        <v>0</v>
      </c>
      <c r="O16" s="209">
        <v>1389.75</v>
      </c>
      <c r="P16" s="209"/>
      <c r="Q16" s="209"/>
      <c r="R16" s="209">
        <v>17</v>
      </c>
      <c r="S16" s="209">
        <v>212.5</v>
      </c>
      <c r="T16" s="209"/>
      <c r="U16" s="209">
        <f t="shared" si="3"/>
        <v>212.5</v>
      </c>
      <c r="V16" s="52">
        <f t="shared" si="9"/>
        <v>149.44826399999997</v>
      </c>
      <c r="W16" s="51">
        <f t="shared" si="8"/>
        <v>149.44826399999997</v>
      </c>
      <c r="Y16" s="209">
        <f>SUM(N16:O16)/30*J16</f>
        <v>1389.75</v>
      </c>
      <c r="AA16" s="51">
        <f>IFERROR(VLOOKUP(C16,[1]Vendedor!$C$1:$R$65536,16,0),0)</f>
        <v>1992.6435199999996</v>
      </c>
      <c r="AB16" s="52">
        <f t="shared" si="5"/>
        <v>498.16087999999991</v>
      </c>
      <c r="AC16" s="53"/>
      <c r="AD16" s="51">
        <f>IFERROR(VLOOKUP(C16,[1]Vendedor!$C$1:$T$65536,18,0),0)</f>
        <v>355.82920000000001</v>
      </c>
      <c r="AE16" s="52">
        <f t="shared" si="6"/>
        <v>2846.6335999999997</v>
      </c>
      <c r="AF16" s="51">
        <f t="shared" si="7"/>
        <v>0</v>
      </c>
      <c r="AG16" s="53"/>
      <c r="AH16" s="53"/>
    </row>
    <row r="17" spans="1:34" s="50" customFormat="1" x14ac:dyDescent="0.25">
      <c r="A17" s="47">
        <v>93</v>
      </c>
      <c r="B17" s="47">
        <v>70</v>
      </c>
      <c r="C17" s="48" t="str">
        <f t="shared" si="0"/>
        <v>93-70</v>
      </c>
      <c r="D17" s="212" t="s">
        <v>38</v>
      </c>
      <c r="E17" s="212" t="s">
        <v>14</v>
      </c>
      <c r="F17" s="213" t="s">
        <v>39</v>
      </c>
      <c r="G17" s="214">
        <v>43070</v>
      </c>
      <c r="H17" s="213" t="s">
        <v>10</v>
      </c>
      <c r="I17" s="49"/>
      <c r="J17" s="208">
        <f t="shared" si="1"/>
        <v>30</v>
      </c>
      <c r="K17" s="208">
        <v>0</v>
      </c>
      <c r="L17" s="208">
        <f t="shared" si="2"/>
        <v>30</v>
      </c>
      <c r="M17" s="49"/>
      <c r="N17" s="209">
        <v>0</v>
      </c>
      <c r="O17" s="209">
        <v>1389.75</v>
      </c>
      <c r="P17" s="209"/>
      <c r="Q17" s="209"/>
      <c r="R17" s="209">
        <v>17</v>
      </c>
      <c r="S17" s="209">
        <v>216</v>
      </c>
      <c r="T17" s="209"/>
      <c r="U17" s="209">
        <f t="shared" si="3"/>
        <v>216</v>
      </c>
      <c r="V17" s="52">
        <f t="shared" si="9"/>
        <v>120.43884299999998</v>
      </c>
      <c r="W17" s="51">
        <f t="shared" si="8"/>
        <v>120.43884299999998</v>
      </c>
      <c r="Y17" s="209">
        <f t="shared" si="4"/>
        <v>1389.75</v>
      </c>
      <c r="AA17" s="51">
        <f>IFERROR(VLOOKUP(C17,[1]Vendedor!$C$1:$R$65536,16,0),0)</f>
        <v>1605.8512399999997</v>
      </c>
      <c r="AB17" s="52">
        <f t="shared" si="5"/>
        <v>401.46280999999993</v>
      </c>
      <c r="AC17" s="53"/>
      <c r="AD17" s="51">
        <f>IFERROR(VLOOKUP(C17,[1]Vendedor!$C$1:$T$65536,18,0),0)</f>
        <v>0</v>
      </c>
      <c r="AE17" s="52">
        <f t="shared" si="6"/>
        <v>2007.3140499999997</v>
      </c>
      <c r="AF17" s="51">
        <f t="shared" si="7"/>
        <v>0</v>
      </c>
      <c r="AG17" s="53"/>
      <c r="AH17" s="53"/>
    </row>
    <row r="18" spans="1:34" s="50" customFormat="1" x14ac:dyDescent="0.25">
      <c r="A18" s="47">
        <v>93</v>
      </c>
      <c r="B18" s="47">
        <v>90</v>
      </c>
      <c r="C18" s="48" t="str">
        <f t="shared" si="0"/>
        <v>93-90</v>
      </c>
      <c r="D18" s="212" t="s">
        <v>42</v>
      </c>
      <c r="E18" s="212" t="s">
        <v>11</v>
      </c>
      <c r="F18" s="213" t="s">
        <v>43</v>
      </c>
      <c r="G18" s="214">
        <v>43713</v>
      </c>
      <c r="H18" s="213" t="s">
        <v>10</v>
      </c>
      <c r="I18" s="49"/>
      <c r="J18" s="208">
        <f t="shared" si="1"/>
        <v>30</v>
      </c>
      <c r="K18" s="208">
        <v>0</v>
      </c>
      <c r="L18" s="208">
        <f t="shared" si="2"/>
        <v>30</v>
      </c>
      <c r="M18" s="49"/>
      <c r="N18" s="209">
        <v>0</v>
      </c>
      <c r="O18" s="209">
        <v>4998.1899999999996</v>
      </c>
      <c r="P18" s="209"/>
      <c r="Q18" s="209"/>
      <c r="R18" s="209">
        <v>17</v>
      </c>
      <c r="S18" s="209">
        <v>513.75</v>
      </c>
      <c r="T18" s="209"/>
      <c r="U18" s="209">
        <f t="shared" si="3"/>
        <v>513.75</v>
      </c>
      <c r="V18" s="52">
        <f t="shared" si="9"/>
        <v>361.08434250000005</v>
      </c>
      <c r="W18" s="51">
        <f t="shared" si="8"/>
        <v>361.08434250000005</v>
      </c>
      <c r="Y18" s="209">
        <f t="shared" si="4"/>
        <v>4998.1899999999996</v>
      </c>
      <c r="AA18" s="51">
        <f>VLOOKUP(A18,[3]Gerentes!$B$1:$O$65536,14,0)</f>
        <v>4814.4579000000003</v>
      </c>
      <c r="AB18" s="52">
        <f t="shared" si="5"/>
        <v>1203.6144750000001</v>
      </c>
      <c r="AC18" s="53"/>
      <c r="AD18" s="51" t="str">
        <f>VLOOKUP(A18,[3]Gerentes!$B$1:$Q$65536,16,0)</f>
        <v>2000</v>
      </c>
      <c r="AE18" s="52">
        <f t="shared" si="6"/>
        <v>6018.0723750000006</v>
      </c>
      <c r="AF18" s="51">
        <f t="shared" si="7"/>
        <v>0</v>
      </c>
      <c r="AG18" s="53"/>
      <c r="AH18" s="53"/>
    </row>
    <row r="19" spans="1:34" s="220" customFormat="1" x14ac:dyDescent="0.25">
      <c r="A19" s="210">
        <v>93</v>
      </c>
      <c r="B19" s="210">
        <v>92</v>
      </c>
      <c r="C19" s="211" t="str">
        <f t="shared" si="0"/>
        <v>93-92</v>
      </c>
      <c r="D19" s="212" t="s">
        <v>46</v>
      </c>
      <c r="E19" s="212" t="s">
        <v>21</v>
      </c>
      <c r="F19" s="213" t="s">
        <v>47</v>
      </c>
      <c r="G19" s="214">
        <v>43770</v>
      </c>
      <c r="H19" s="213" t="s">
        <v>10</v>
      </c>
      <c r="I19" s="215"/>
      <c r="J19" s="216">
        <v>14</v>
      </c>
      <c r="K19" s="216">
        <v>0</v>
      </c>
      <c r="L19" s="216">
        <f t="shared" si="2"/>
        <v>14</v>
      </c>
      <c r="M19" s="215"/>
      <c r="N19" s="217">
        <v>1389.75</v>
      </c>
      <c r="O19" s="217">
        <v>0</v>
      </c>
      <c r="P19" s="217">
        <f>N19*10%</f>
        <v>138.97499999999999</v>
      </c>
      <c r="Q19" s="217"/>
      <c r="R19" s="217">
        <v>17</v>
      </c>
      <c r="S19" s="217">
        <v>204</v>
      </c>
      <c r="T19" s="217"/>
      <c r="U19" s="217">
        <f t="shared" si="3"/>
        <v>204</v>
      </c>
      <c r="V19" s="218">
        <f t="shared" si="9"/>
        <v>38.913000000000004</v>
      </c>
      <c r="W19" s="219">
        <f t="shared" si="8"/>
        <v>38.913000000000004</v>
      </c>
      <c r="Y19" s="217">
        <f t="shared" si="4"/>
        <v>648.55000000000007</v>
      </c>
      <c r="AA19" s="219">
        <f>IFERROR(VLOOKUP(C19,[1]Vendedor!$C$1:$R$65536,16,0),0)</f>
        <v>0</v>
      </c>
      <c r="AB19" s="218">
        <f t="shared" si="5"/>
        <v>0</v>
      </c>
      <c r="AC19" s="221"/>
      <c r="AD19" s="219">
        <f>IFERROR(VLOOKUP(C19,[1]Vendedor!$C$1:$T$65536,18,0),0)</f>
        <v>0</v>
      </c>
      <c r="AE19" s="218">
        <f t="shared" si="6"/>
        <v>0</v>
      </c>
      <c r="AF19" s="219">
        <f t="shared" si="7"/>
        <v>648.55000000000007</v>
      </c>
      <c r="AG19" s="221"/>
      <c r="AH19" s="221"/>
    </row>
    <row r="20" spans="1:34" s="50" customFormat="1" x14ac:dyDescent="0.25">
      <c r="A20" s="47">
        <v>93</v>
      </c>
      <c r="B20" s="47">
        <v>103</v>
      </c>
      <c r="C20" s="48" t="str">
        <f t="shared" si="0"/>
        <v>93-103</v>
      </c>
      <c r="D20" s="212" t="s">
        <v>56</v>
      </c>
      <c r="E20" s="212" t="s">
        <v>21</v>
      </c>
      <c r="F20" s="213" t="s">
        <v>57</v>
      </c>
      <c r="G20" s="214">
        <v>44369</v>
      </c>
      <c r="H20" s="213" t="s">
        <v>10</v>
      </c>
      <c r="I20" s="49"/>
      <c r="J20" s="208">
        <v>9</v>
      </c>
      <c r="K20" s="208">
        <v>0</v>
      </c>
      <c r="L20" s="208">
        <f t="shared" si="2"/>
        <v>9</v>
      </c>
      <c r="M20" s="49"/>
      <c r="N20" s="209">
        <v>1389.75</v>
      </c>
      <c r="O20" s="209">
        <v>0</v>
      </c>
      <c r="P20" s="222">
        <f>N20*10%</f>
        <v>138.97499999999999</v>
      </c>
      <c r="Q20" s="209"/>
      <c r="R20" s="209">
        <v>34</v>
      </c>
      <c r="S20" s="209">
        <v>91.8</v>
      </c>
      <c r="T20" s="209"/>
      <c r="U20" s="209">
        <f t="shared" si="3"/>
        <v>91.8</v>
      </c>
      <c r="V20" s="52">
        <f t="shared" si="9"/>
        <v>25.015499999999999</v>
      </c>
      <c r="W20" s="51">
        <f t="shared" si="8"/>
        <v>25.015499999999999</v>
      </c>
      <c r="Y20" s="209">
        <f t="shared" si="4"/>
        <v>416.92500000000001</v>
      </c>
      <c r="AA20" s="51">
        <f>IFERROR(VLOOKUP(C20,[1]Vendedor!$C$1:$R$65536,16,0),0)</f>
        <v>0</v>
      </c>
      <c r="AB20" s="52">
        <f t="shared" si="5"/>
        <v>0</v>
      </c>
      <c r="AC20" s="53"/>
      <c r="AD20" s="51">
        <f>IFERROR(VLOOKUP(C20,[1]Vendedor!$C$1:$T$65536,18,0),0)</f>
        <v>0</v>
      </c>
      <c r="AE20" s="52">
        <f t="shared" si="6"/>
        <v>0</v>
      </c>
      <c r="AF20" s="51">
        <f t="shared" si="7"/>
        <v>416.92500000000001</v>
      </c>
      <c r="AG20" s="53"/>
      <c r="AH20" s="53"/>
    </row>
    <row r="21" spans="1:34" s="220" customFormat="1" x14ac:dyDescent="0.25">
      <c r="A21" s="47">
        <v>93</v>
      </c>
      <c r="B21" s="47">
        <v>95</v>
      </c>
      <c r="C21" s="48" t="str">
        <f t="shared" si="0"/>
        <v>93-95</v>
      </c>
      <c r="D21" s="212" t="s">
        <v>48</v>
      </c>
      <c r="E21" s="212" t="s">
        <v>14</v>
      </c>
      <c r="F21" s="213" t="s">
        <v>49</v>
      </c>
      <c r="G21" s="214">
        <v>43787</v>
      </c>
      <c r="H21" s="213" t="s">
        <v>10</v>
      </c>
      <c r="I21" s="49"/>
      <c r="J21" s="208">
        <f t="shared" ref="J21:J31" si="10">30-K21</f>
        <v>30</v>
      </c>
      <c r="K21" s="208">
        <v>0</v>
      </c>
      <c r="L21" s="208">
        <f t="shared" si="2"/>
        <v>30</v>
      </c>
      <c r="M21" s="49"/>
      <c r="N21" s="209">
        <v>0</v>
      </c>
      <c r="O21" s="209">
        <v>1389.75</v>
      </c>
      <c r="P21" s="209"/>
      <c r="Q21" s="209"/>
      <c r="R21" s="209">
        <v>17</v>
      </c>
      <c r="S21" s="209">
        <f>IFERROR(VLOOKUP(C21,[2]Base!$C$1:$S$65536,17,0),0)</f>
        <v>0</v>
      </c>
      <c r="T21" s="209"/>
      <c r="U21" s="209">
        <f t="shared" si="3"/>
        <v>0</v>
      </c>
      <c r="V21" s="53"/>
      <c r="W21" s="51">
        <f t="shared" si="8"/>
        <v>0</v>
      </c>
      <c r="X21" s="50"/>
      <c r="Y21" s="209">
        <f t="shared" si="4"/>
        <v>1389.75</v>
      </c>
      <c r="Z21" s="50"/>
      <c r="AA21" s="51">
        <f>IFERROR(VLOOKUP(C21,[1]Vendedor!$C$1:$R$65536,16,0),0)</f>
        <v>1999.1890799999999</v>
      </c>
      <c r="AB21" s="52">
        <f t="shared" si="5"/>
        <v>499.79726999999997</v>
      </c>
      <c r="AC21" s="53"/>
      <c r="AD21" s="51">
        <f>IFERROR(VLOOKUP(C21,[1]Vendedor!$C$1:$T$65536,18,0),0)</f>
        <v>356.99805000000003</v>
      </c>
      <c r="AE21" s="52">
        <f t="shared" si="6"/>
        <v>2855.9843999999998</v>
      </c>
      <c r="AF21" s="51">
        <f t="shared" si="7"/>
        <v>0</v>
      </c>
      <c r="AG21" s="53"/>
      <c r="AH21" s="53"/>
    </row>
    <row r="22" spans="1:34" s="50" customFormat="1" x14ac:dyDescent="0.25">
      <c r="A22" s="47">
        <v>93</v>
      </c>
      <c r="B22" s="47">
        <v>36</v>
      </c>
      <c r="C22" s="48" t="str">
        <f t="shared" si="0"/>
        <v>93-36</v>
      </c>
      <c r="D22" s="212" t="s">
        <v>36</v>
      </c>
      <c r="E22" s="212" t="s">
        <v>14</v>
      </c>
      <c r="F22" s="213" t="s">
        <v>37</v>
      </c>
      <c r="G22" s="214">
        <v>42482</v>
      </c>
      <c r="H22" s="213" t="s">
        <v>10</v>
      </c>
      <c r="I22" s="49"/>
      <c r="J22" s="208">
        <f t="shared" si="10"/>
        <v>30</v>
      </c>
      <c r="K22" s="208">
        <v>0</v>
      </c>
      <c r="L22" s="208">
        <f t="shared" si="2"/>
        <v>30</v>
      </c>
      <c r="M22" s="49"/>
      <c r="N22" s="209">
        <v>0</v>
      </c>
      <c r="O22" s="209">
        <v>1389.75</v>
      </c>
      <c r="P22" s="209"/>
      <c r="Q22" s="209"/>
      <c r="R22" s="209">
        <v>17</v>
      </c>
      <c r="S22" s="209">
        <v>427.5</v>
      </c>
      <c r="T22" s="209"/>
      <c r="U22" s="209">
        <f t="shared" si="3"/>
        <v>427.5</v>
      </c>
      <c r="V22" s="52">
        <f>SUM(AA22:AB22,AF22)*6%</f>
        <v>149.96097900000001</v>
      </c>
      <c r="W22" s="51">
        <f t="shared" si="8"/>
        <v>149.96097900000001</v>
      </c>
      <c r="Y22" s="209">
        <f t="shared" si="4"/>
        <v>1389.75</v>
      </c>
      <c r="AA22" s="51">
        <f>IFERROR(VLOOKUP(C22,[1]Vendedor!$C$1:$R$65536,16,0),0)</f>
        <v>1999.47972</v>
      </c>
      <c r="AB22" s="52">
        <f t="shared" si="5"/>
        <v>499.86993000000001</v>
      </c>
      <c r="AC22" s="53">
        <v>200</v>
      </c>
      <c r="AD22" s="51">
        <f>IFERROR(VLOOKUP(C22,[1]Vendedor!$C$1:$T$65536,18,0),0)</f>
        <v>357.04995000000002</v>
      </c>
      <c r="AE22" s="52">
        <f t="shared" si="6"/>
        <v>3056.3996000000002</v>
      </c>
      <c r="AF22" s="51">
        <f t="shared" si="7"/>
        <v>0</v>
      </c>
      <c r="AG22" s="53">
        <v>400</v>
      </c>
      <c r="AH22" s="53"/>
    </row>
    <row r="23" spans="1:34" s="50" customFormat="1" x14ac:dyDescent="0.25">
      <c r="A23" s="47">
        <v>93</v>
      </c>
      <c r="B23" s="47">
        <v>79</v>
      </c>
      <c r="C23" s="48" t="str">
        <f t="shared" si="0"/>
        <v>93-79</v>
      </c>
      <c r="D23" s="212" t="s">
        <v>40</v>
      </c>
      <c r="E23" s="212" t="s">
        <v>14</v>
      </c>
      <c r="F23" s="213" t="s">
        <v>41</v>
      </c>
      <c r="G23" s="214">
        <v>43425</v>
      </c>
      <c r="H23" s="213" t="s">
        <v>10</v>
      </c>
      <c r="I23" s="49"/>
      <c r="J23" s="208">
        <f t="shared" si="10"/>
        <v>30</v>
      </c>
      <c r="K23" s="208">
        <v>0</v>
      </c>
      <c r="L23" s="208">
        <f t="shared" si="2"/>
        <v>30</v>
      </c>
      <c r="M23" s="49"/>
      <c r="N23" s="209">
        <v>0</v>
      </c>
      <c r="O23" s="209">
        <v>1389.75</v>
      </c>
      <c r="P23" s="209"/>
      <c r="Q23" s="209"/>
      <c r="R23" s="209">
        <v>17</v>
      </c>
      <c r="S23" s="209">
        <v>216</v>
      </c>
      <c r="T23" s="209"/>
      <c r="U23" s="209">
        <f t="shared" si="3"/>
        <v>216</v>
      </c>
      <c r="V23" s="52">
        <f>SUM(AA23:AB23,AF23)*6%</f>
        <v>139.33882199999999</v>
      </c>
      <c r="W23" s="51">
        <f t="shared" si="8"/>
        <v>139.33882199999999</v>
      </c>
      <c r="Y23" s="209">
        <f t="shared" si="4"/>
        <v>1389.75</v>
      </c>
      <c r="AA23" s="51">
        <f>IFERROR(VLOOKUP(C23,[1]Vendedor!$C$1:$R$65536,16,0),0)</f>
        <v>1857.85096</v>
      </c>
      <c r="AB23" s="52">
        <f t="shared" si="5"/>
        <v>464.46274</v>
      </c>
      <c r="AC23" s="53"/>
      <c r="AD23" s="51">
        <f>IFERROR(VLOOKUP(C23,[1]Vendedor!$C$1:$T$65536,18,0),0)</f>
        <v>0</v>
      </c>
      <c r="AE23" s="52">
        <f t="shared" si="6"/>
        <v>2322.3137000000002</v>
      </c>
      <c r="AF23" s="51">
        <f t="shared" si="7"/>
        <v>0</v>
      </c>
      <c r="AG23" s="53"/>
      <c r="AH23" s="53"/>
    </row>
    <row r="24" spans="1:34" s="50" customFormat="1" x14ac:dyDescent="0.25">
      <c r="A24" s="47">
        <v>93</v>
      </c>
      <c r="B24" s="47">
        <v>91</v>
      </c>
      <c r="C24" s="48" t="str">
        <f t="shared" si="0"/>
        <v>93-91</v>
      </c>
      <c r="D24" s="212" t="s">
        <v>44</v>
      </c>
      <c r="E24" s="212" t="s">
        <v>14</v>
      </c>
      <c r="F24" s="213" t="s">
        <v>45</v>
      </c>
      <c r="G24" s="214">
        <v>43740</v>
      </c>
      <c r="H24" s="213" t="s">
        <v>10</v>
      </c>
      <c r="I24" s="49"/>
      <c r="J24" s="208">
        <f t="shared" si="10"/>
        <v>30</v>
      </c>
      <c r="K24" s="208">
        <v>0</v>
      </c>
      <c r="L24" s="208">
        <f t="shared" si="2"/>
        <v>30</v>
      </c>
      <c r="M24" s="49"/>
      <c r="N24" s="209">
        <v>0</v>
      </c>
      <c r="O24" s="209">
        <v>1389.75</v>
      </c>
      <c r="P24" s="209"/>
      <c r="Q24" s="209"/>
      <c r="R24" s="209">
        <v>17</v>
      </c>
      <c r="S24" s="209">
        <v>557.5</v>
      </c>
      <c r="T24" s="209"/>
      <c r="U24" s="209">
        <f t="shared" si="3"/>
        <v>557.5</v>
      </c>
      <c r="V24" s="52">
        <f>SUM(AA24:AB24,AF24)*6%</f>
        <v>150.38486399999996</v>
      </c>
      <c r="W24" s="51">
        <f t="shared" si="8"/>
        <v>150.38486399999996</v>
      </c>
      <c r="Y24" s="209">
        <f t="shared" si="4"/>
        <v>1389.75</v>
      </c>
      <c r="AA24" s="51">
        <f>IFERROR(VLOOKUP(C24,[1]Vendedor!$C$1:$R$65536,16,0),0)</f>
        <v>2005.1315199999997</v>
      </c>
      <c r="AB24" s="52">
        <f t="shared" si="5"/>
        <v>501.28287999999992</v>
      </c>
      <c r="AC24" s="53">
        <v>200</v>
      </c>
      <c r="AD24" s="51">
        <f>IFERROR(VLOOKUP(C24,[1]Vendedor!$C$1:$T$65536,18,0),0)</f>
        <v>358.05919999999998</v>
      </c>
      <c r="AE24" s="52">
        <f t="shared" si="6"/>
        <v>3064.4735999999998</v>
      </c>
      <c r="AF24" s="51">
        <f t="shared" si="7"/>
        <v>0</v>
      </c>
      <c r="AG24" s="53">
        <v>400</v>
      </c>
      <c r="AH24" s="53"/>
    </row>
    <row r="25" spans="1:34" s="50" customFormat="1" x14ac:dyDescent="0.25">
      <c r="A25" s="47">
        <v>93</v>
      </c>
      <c r="B25" s="47">
        <v>102</v>
      </c>
      <c r="C25" s="48" t="str">
        <f t="shared" si="0"/>
        <v>93-102</v>
      </c>
      <c r="D25" s="212" t="s">
        <v>54</v>
      </c>
      <c r="E25" s="212" t="s">
        <v>21</v>
      </c>
      <c r="F25" s="213" t="s">
        <v>55</v>
      </c>
      <c r="G25" s="214">
        <v>44152</v>
      </c>
      <c r="H25" s="213" t="s">
        <v>10</v>
      </c>
      <c r="I25" s="49"/>
      <c r="J25" s="208">
        <f t="shared" si="10"/>
        <v>30</v>
      </c>
      <c r="K25" s="208">
        <v>0</v>
      </c>
      <c r="L25" s="208">
        <f t="shared" si="2"/>
        <v>30</v>
      </c>
      <c r="M25" s="49"/>
      <c r="N25" s="209">
        <v>1389.75</v>
      </c>
      <c r="O25" s="209">
        <v>0</v>
      </c>
      <c r="P25" s="222">
        <f>N25*10%</f>
        <v>138.97499999999999</v>
      </c>
      <c r="Q25" s="209"/>
      <c r="R25" s="209">
        <v>17</v>
      </c>
      <c r="S25" s="209">
        <v>386.4</v>
      </c>
      <c r="T25" s="209"/>
      <c r="U25" s="209">
        <f t="shared" si="3"/>
        <v>386.4</v>
      </c>
      <c r="V25" s="52">
        <f>SUM(AA25:AB25,AF25)*6%</f>
        <v>83.384999999999991</v>
      </c>
      <c r="W25" s="51">
        <f t="shared" si="8"/>
        <v>83.384999999999991</v>
      </c>
      <c r="Y25" s="209">
        <f t="shared" si="4"/>
        <v>1389.75</v>
      </c>
      <c r="AA25" s="51">
        <f>IFERROR(VLOOKUP(C25,[1]Vendedor!$C$1:$R$65536,16,0),0)</f>
        <v>0</v>
      </c>
      <c r="AB25" s="52">
        <f t="shared" si="5"/>
        <v>0</v>
      </c>
      <c r="AC25" s="53"/>
      <c r="AD25" s="51">
        <f>IFERROR(VLOOKUP(C25,[1]Vendedor!$C$1:$T$65536,18,0),0)</f>
        <v>0</v>
      </c>
      <c r="AE25" s="52">
        <f t="shared" si="6"/>
        <v>0</v>
      </c>
      <c r="AF25" s="51">
        <f t="shared" si="7"/>
        <v>1389.75</v>
      </c>
      <c r="AG25" s="53"/>
      <c r="AH25" s="53"/>
    </row>
    <row r="26" spans="1:34" s="50" customFormat="1" x14ac:dyDescent="0.25">
      <c r="A26" s="47">
        <v>93</v>
      </c>
      <c r="B26" s="47">
        <v>100</v>
      </c>
      <c r="C26" s="48" t="str">
        <f t="shared" si="0"/>
        <v>93-100</v>
      </c>
      <c r="D26" s="212" t="s">
        <v>52</v>
      </c>
      <c r="E26" s="212" t="s">
        <v>14</v>
      </c>
      <c r="F26" s="213" t="s">
        <v>53</v>
      </c>
      <c r="G26" s="214">
        <v>44152</v>
      </c>
      <c r="H26" s="213" t="s">
        <v>10</v>
      </c>
      <c r="I26" s="49"/>
      <c r="J26" s="208">
        <f t="shared" si="10"/>
        <v>30</v>
      </c>
      <c r="K26" s="208">
        <v>0</v>
      </c>
      <c r="L26" s="208">
        <f t="shared" si="2"/>
        <v>30</v>
      </c>
      <c r="M26" s="49"/>
      <c r="N26" s="209">
        <v>0</v>
      </c>
      <c r="O26" s="209">
        <v>1389.75</v>
      </c>
      <c r="P26" s="209"/>
      <c r="Q26" s="209"/>
      <c r="R26" s="209">
        <v>17</v>
      </c>
      <c r="S26" s="209">
        <v>365</v>
      </c>
      <c r="T26" s="209"/>
      <c r="U26" s="209">
        <f t="shared" si="3"/>
        <v>365</v>
      </c>
      <c r="V26" s="52">
        <f>SUM(AA26:AB26,AF26)*6%</f>
        <v>150.66846899999996</v>
      </c>
      <c r="W26" s="51">
        <f t="shared" si="8"/>
        <v>150.66846899999996</v>
      </c>
      <c r="Y26" s="209">
        <f t="shared" si="4"/>
        <v>1389.75</v>
      </c>
      <c r="AA26" s="51">
        <f>IFERROR(VLOOKUP(C26,[1]Vendedor!$C$1:$R$65536,16,0),0)</f>
        <v>2008.9129199999998</v>
      </c>
      <c r="AB26" s="52">
        <f t="shared" si="5"/>
        <v>502.22822999999994</v>
      </c>
      <c r="AC26" s="53"/>
      <c r="AD26" s="51">
        <f>IFERROR(VLOOKUP(C26,[1]Vendedor!$C$1:$T$65536,18,0),0)</f>
        <v>358.73444999999998</v>
      </c>
      <c r="AE26" s="52">
        <f t="shared" si="6"/>
        <v>2869.8755999999994</v>
      </c>
      <c r="AF26" s="51">
        <f t="shared" si="7"/>
        <v>0</v>
      </c>
      <c r="AG26" s="53"/>
      <c r="AH26" s="53"/>
    </row>
    <row r="27" spans="1:34" x14ac:dyDescent="0.25">
      <c r="A27" s="30">
        <v>94</v>
      </c>
      <c r="B27" s="30">
        <v>3</v>
      </c>
      <c r="C27" s="32" t="str">
        <f t="shared" si="0"/>
        <v>94-3</v>
      </c>
      <c r="D27" s="16" t="s">
        <v>58</v>
      </c>
      <c r="E27" s="16" t="s">
        <v>14</v>
      </c>
      <c r="F27" s="15" t="s">
        <v>59</v>
      </c>
      <c r="G27" s="17">
        <v>42320</v>
      </c>
      <c r="H27" s="15" t="s">
        <v>10</v>
      </c>
      <c r="I27" s="18"/>
      <c r="J27" s="43">
        <f t="shared" si="10"/>
        <v>30</v>
      </c>
      <c r="K27" s="43">
        <v>0</v>
      </c>
      <c r="L27" s="43">
        <f t="shared" si="2"/>
        <v>30</v>
      </c>
      <c r="M27" s="18"/>
      <c r="N27" s="19">
        <v>0</v>
      </c>
      <c r="O27" s="19">
        <v>1370</v>
      </c>
      <c r="P27" s="19"/>
      <c r="Q27" s="19"/>
      <c r="R27" s="19">
        <v>22</v>
      </c>
      <c r="S27" s="19">
        <v>210.6</v>
      </c>
      <c r="T27" s="19"/>
      <c r="U27" s="19">
        <f t="shared" si="3"/>
        <v>210.6</v>
      </c>
      <c r="V27" s="45">
        <f t="shared" ref="V27:V36" si="11">SUM(AA27:AB27,AF27)*6%</f>
        <v>187.67679749999999</v>
      </c>
      <c r="W27" s="44">
        <f t="shared" si="8"/>
        <v>187.67679749999999</v>
      </c>
      <c r="Y27" s="19">
        <f t="shared" si="4"/>
        <v>1370</v>
      </c>
      <c r="AA27" s="44">
        <f>IFERROR(VLOOKUP(C27,[1]Vendedor!$C$1:$R$65536,16,0),0)</f>
        <v>2502.3573000000001</v>
      </c>
      <c r="AB27" s="45">
        <f t="shared" si="5"/>
        <v>625.58932500000003</v>
      </c>
      <c r="AC27" s="20"/>
      <c r="AD27" s="44">
        <f>IFERROR(VLOOKUP(C27,[1]Vendedor!$C$1:$T$65536,18,0),0)</f>
        <v>278.03970000000004</v>
      </c>
      <c r="AE27" s="45">
        <f t="shared" si="6"/>
        <v>3405.9863249999999</v>
      </c>
      <c r="AF27" s="44">
        <f t="shared" si="7"/>
        <v>0</v>
      </c>
      <c r="AG27" s="20">
        <v>200</v>
      </c>
      <c r="AH27" s="20"/>
    </row>
    <row r="28" spans="1:34" x14ac:dyDescent="0.25">
      <c r="A28" s="30">
        <v>94</v>
      </c>
      <c r="B28" s="30">
        <v>6</v>
      </c>
      <c r="C28" s="32" t="str">
        <f t="shared" si="0"/>
        <v>94-6</v>
      </c>
      <c r="D28" s="16" t="s">
        <v>60</v>
      </c>
      <c r="E28" s="16" t="s">
        <v>21</v>
      </c>
      <c r="F28" s="15" t="s">
        <v>61</v>
      </c>
      <c r="G28" s="17">
        <v>42320</v>
      </c>
      <c r="H28" s="15" t="s">
        <v>10</v>
      </c>
      <c r="I28" s="18"/>
      <c r="J28" s="43">
        <f t="shared" si="10"/>
        <v>30</v>
      </c>
      <c r="K28" s="43">
        <v>0</v>
      </c>
      <c r="L28" s="43">
        <f t="shared" si="2"/>
        <v>30</v>
      </c>
      <c r="M28" s="18"/>
      <c r="N28" s="19">
        <v>1335.01</v>
      </c>
      <c r="O28" s="19">
        <v>0</v>
      </c>
      <c r="P28" s="19">
        <v>57</v>
      </c>
      <c r="Q28" s="19"/>
      <c r="R28" s="19">
        <v>22</v>
      </c>
      <c r="S28" s="19">
        <v>202.5</v>
      </c>
      <c r="T28" s="19"/>
      <c r="U28" s="19">
        <f t="shared" si="3"/>
        <v>202.5</v>
      </c>
      <c r="V28" s="45">
        <f t="shared" si="11"/>
        <v>80.1006</v>
      </c>
      <c r="W28" s="44">
        <f t="shared" si="8"/>
        <v>80.1006</v>
      </c>
      <c r="Y28" s="19">
        <f t="shared" si="4"/>
        <v>1335.01</v>
      </c>
      <c r="AA28" s="44">
        <f>IFERROR(VLOOKUP(C28,[1]Vendedor!$C$1:$R$65536,16,0),0)</f>
        <v>0</v>
      </c>
      <c r="AB28" s="45">
        <f t="shared" si="5"/>
        <v>0</v>
      </c>
      <c r="AC28" s="20"/>
      <c r="AD28" s="44">
        <f>IFERROR(VLOOKUP(C28,[1]Vendedor!$C$1:$T$65536,18,0),0)</f>
        <v>0</v>
      </c>
      <c r="AE28" s="45">
        <f t="shared" si="6"/>
        <v>0</v>
      </c>
      <c r="AF28" s="44">
        <f t="shared" si="7"/>
        <v>1335.01</v>
      </c>
      <c r="AG28" s="20">
        <v>150</v>
      </c>
      <c r="AH28" s="20"/>
    </row>
    <row r="29" spans="1:34" x14ac:dyDescent="0.25">
      <c r="A29" s="30">
        <v>94</v>
      </c>
      <c r="B29" s="30">
        <v>34</v>
      </c>
      <c r="C29" s="32" t="str">
        <f t="shared" si="0"/>
        <v>94-34</v>
      </c>
      <c r="D29" s="16" t="s">
        <v>62</v>
      </c>
      <c r="E29" s="16" t="s">
        <v>11</v>
      </c>
      <c r="F29" s="15" t="s">
        <v>63</v>
      </c>
      <c r="G29" s="17">
        <v>42903</v>
      </c>
      <c r="H29" s="15" t="s">
        <v>10</v>
      </c>
      <c r="I29" s="18"/>
      <c r="J29" s="43">
        <f t="shared" si="10"/>
        <v>22</v>
      </c>
      <c r="K29" s="30">
        <v>8</v>
      </c>
      <c r="L29" s="43">
        <f t="shared" si="2"/>
        <v>30</v>
      </c>
      <c r="M29" s="18"/>
      <c r="N29" s="19">
        <v>0</v>
      </c>
      <c r="O29" s="19">
        <v>3500</v>
      </c>
      <c r="P29" s="19"/>
      <c r="Q29" s="19"/>
      <c r="R29" s="19"/>
      <c r="S29" s="19">
        <v>162</v>
      </c>
      <c r="T29" s="19"/>
      <c r="U29" s="19">
        <f t="shared" si="3"/>
        <v>162</v>
      </c>
      <c r="V29" s="45">
        <f t="shared" si="11"/>
        <v>172.06504949999999</v>
      </c>
      <c r="W29" s="44">
        <f t="shared" si="8"/>
        <v>162</v>
      </c>
      <c r="Y29" s="19">
        <f t="shared" si="4"/>
        <v>2566.666666666667</v>
      </c>
      <c r="AA29" s="44">
        <f>VLOOKUP(A29,[3]Gerentes!$B$1:$O$65536,14,0)</f>
        <v>2294.20066</v>
      </c>
      <c r="AB29" s="45">
        <f t="shared" si="5"/>
        <v>573.55016499999999</v>
      </c>
      <c r="AC29" s="20"/>
      <c r="AD29" s="44">
        <f>VLOOKUP(A29,[3]Gerentes!$B$1:$Q$65536,16,0)</f>
        <v>0</v>
      </c>
      <c r="AE29" s="45">
        <f t="shared" si="6"/>
        <v>2867.7508250000001</v>
      </c>
      <c r="AF29" s="44">
        <f>IF(AE29&lt;Y29,Y29-AE29,0)</f>
        <v>0</v>
      </c>
      <c r="AG29" s="20"/>
      <c r="AH29" s="20"/>
    </row>
    <row r="30" spans="1:34" x14ac:dyDescent="0.25">
      <c r="A30" s="30">
        <v>94</v>
      </c>
      <c r="B30" s="30">
        <v>55</v>
      </c>
      <c r="C30" s="32" t="str">
        <f t="shared" si="0"/>
        <v>94-55</v>
      </c>
      <c r="D30" s="16" t="s">
        <v>64</v>
      </c>
      <c r="E30" s="16" t="s">
        <v>14</v>
      </c>
      <c r="F30" s="15" t="s">
        <v>65</v>
      </c>
      <c r="G30" s="17">
        <v>43787</v>
      </c>
      <c r="H30" s="15" t="s">
        <v>10</v>
      </c>
      <c r="I30" s="18"/>
      <c r="J30" s="43">
        <f t="shared" si="10"/>
        <v>30</v>
      </c>
      <c r="K30" s="43">
        <v>0</v>
      </c>
      <c r="L30" s="43">
        <f t="shared" si="2"/>
        <v>30</v>
      </c>
      <c r="M30" s="18"/>
      <c r="N30" s="19">
        <v>0</v>
      </c>
      <c r="O30" s="19">
        <v>1370</v>
      </c>
      <c r="P30" s="19"/>
      <c r="Q30" s="19"/>
      <c r="R30" s="19">
        <v>22</v>
      </c>
      <c r="S30" s="19">
        <v>202.5</v>
      </c>
      <c r="T30" s="19"/>
      <c r="U30" s="19">
        <f t="shared" si="3"/>
        <v>202.5</v>
      </c>
      <c r="V30" s="45">
        <f t="shared" si="11"/>
        <v>82.2</v>
      </c>
      <c r="W30" s="44">
        <f t="shared" si="8"/>
        <v>82.2</v>
      </c>
      <c r="Y30" s="19">
        <f t="shared" si="4"/>
        <v>1370</v>
      </c>
      <c r="AA30" s="44">
        <f>IFERROR(VLOOKUP(C30,[1]Vendedor!$C$1:$R$65536,16,0),0)</f>
        <v>1053.5663999999999</v>
      </c>
      <c r="AB30" s="45">
        <f t="shared" si="5"/>
        <v>263.39159999999998</v>
      </c>
      <c r="AC30" s="20"/>
      <c r="AD30" s="44">
        <f>IFERROR(VLOOKUP(C30,[1]Vendedor!$C$1:$T$65536,18,0),0)</f>
        <v>0</v>
      </c>
      <c r="AE30" s="45">
        <f t="shared" si="6"/>
        <v>1316.9579999999999</v>
      </c>
      <c r="AF30" s="44">
        <f t="shared" si="7"/>
        <v>53.042000000000144</v>
      </c>
      <c r="AG30" s="20"/>
      <c r="AH30" s="20"/>
    </row>
    <row r="31" spans="1:34" x14ac:dyDescent="0.25">
      <c r="A31" s="30">
        <v>94</v>
      </c>
      <c r="B31" s="30">
        <v>66</v>
      </c>
      <c r="C31" s="32" t="str">
        <f t="shared" si="0"/>
        <v>94-66</v>
      </c>
      <c r="D31" s="16" t="s">
        <v>66</v>
      </c>
      <c r="E31" s="16" t="s">
        <v>14</v>
      </c>
      <c r="F31" s="15" t="s">
        <v>67</v>
      </c>
      <c r="G31" s="17">
        <v>44257</v>
      </c>
      <c r="H31" s="15" t="s">
        <v>68</v>
      </c>
      <c r="I31" s="18"/>
      <c r="J31" s="43">
        <f t="shared" si="10"/>
        <v>30</v>
      </c>
      <c r="K31" s="43">
        <v>0</v>
      </c>
      <c r="L31" s="43">
        <f t="shared" si="2"/>
        <v>30</v>
      </c>
      <c r="M31" s="18"/>
      <c r="N31" s="19">
        <v>0</v>
      </c>
      <c r="O31" s="19">
        <v>1370</v>
      </c>
      <c r="P31" s="19"/>
      <c r="Q31" s="19"/>
      <c r="R31" s="19">
        <v>22</v>
      </c>
      <c r="S31" s="19">
        <v>210.6</v>
      </c>
      <c r="T31" s="19"/>
      <c r="U31" s="19">
        <f t="shared" si="3"/>
        <v>210.6</v>
      </c>
      <c r="V31" s="45">
        <f t="shared" si="11"/>
        <v>82.2</v>
      </c>
      <c r="W31" s="44">
        <f t="shared" si="8"/>
        <v>82.2</v>
      </c>
      <c r="Y31" s="19">
        <f t="shared" si="4"/>
        <v>1370</v>
      </c>
      <c r="AA31" s="44">
        <f>IFERROR(VLOOKUP(C31,[1]Vendedor!$C$1:$R$65536,16,0),0)</f>
        <v>1024.19328</v>
      </c>
      <c r="AB31" s="45">
        <f t="shared" si="5"/>
        <v>256.04831999999999</v>
      </c>
      <c r="AC31" s="20"/>
      <c r="AD31" s="44">
        <f>IFERROR(VLOOKUP(C31,[1]Vendedor!$C$1:$T$65536,18,0),0)</f>
        <v>0</v>
      </c>
      <c r="AE31" s="45">
        <f t="shared" si="6"/>
        <v>1280.2415999999998</v>
      </c>
      <c r="AF31" s="44">
        <f t="shared" si="7"/>
        <v>89.758400000000165</v>
      </c>
      <c r="AG31" s="20"/>
      <c r="AH31" s="20"/>
    </row>
    <row r="32" spans="1:34" x14ac:dyDescent="0.25">
      <c r="A32" s="30">
        <v>94</v>
      </c>
      <c r="B32" s="30">
        <v>68</v>
      </c>
      <c r="C32" s="32" t="str">
        <f t="shared" si="0"/>
        <v>94-68</v>
      </c>
      <c r="D32" s="16" t="s">
        <v>69</v>
      </c>
      <c r="E32" s="16" t="s">
        <v>14</v>
      </c>
      <c r="F32" s="15" t="s">
        <v>70</v>
      </c>
      <c r="G32" s="17">
        <v>44359</v>
      </c>
      <c r="H32" s="15" t="s">
        <v>10</v>
      </c>
      <c r="I32" s="18"/>
      <c r="J32" s="43">
        <v>19</v>
      </c>
      <c r="K32" s="43">
        <v>0</v>
      </c>
      <c r="L32" s="43">
        <f t="shared" si="2"/>
        <v>19</v>
      </c>
      <c r="M32" s="18"/>
      <c r="N32" s="19">
        <v>0</v>
      </c>
      <c r="O32" s="19">
        <v>1370</v>
      </c>
      <c r="P32" s="19"/>
      <c r="Q32" s="19"/>
      <c r="R32" s="19">
        <v>47</v>
      </c>
      <c r="S32" s="19">
        <v>145.80000000000001</v>
      </c>
      <c r="T32" s="19"/>
      <c r="U32" s="19">
        <f t="shared" si="3"/>
        <v>145.80000000000001</v>
      </c>
      <c r="V32" s="45">
        <f t="shared" si="11"/>
        <v>52.059999999999995</v>
      </c>
      <c r="W32" s="44">
        <f t="shared" si="8"/>
        <v>52.059999999999995</v>
      </c>
      <c r="Y32" s="19">
        <f t="shared" si="4"/>
        <v>867.66666666666663</v>
      </c>
      <c r="AA32" s="44">
        <f>IFERROR(VLOOKUP(C32,[1]Vendedor!$C$1:$R$65536,16,0),0)</f>
        <v>428.19776000000002</v>
      </c>
      <c r="AB32" s="45">
        <f t="shared" si="5"/>
        <v>107.04944</v>
      </c>
      <c r="AC32" s="20"/>
      <c r="AD32" s="44">
        <f>IFERROR(VLOOKUP(C32,[1]Vendedor!$C$1:$T$65536,18,0),0)</f>
        <v>0</v>
      </c>
      <c r="AE32" s="45">
        <f t="shared" si="6"/>
        <v>535.24720000000002</v>
      </c>
      <c r="AF32" s="44">
        <f t="shared" si="7"/>
        <v>332.41946666666661</v>
      </c>
      <c r="AG32" s="20"/>
      <c r="AH32" s="20"/>
    </row>
    <row r="33" spans="1:34" x14ac:dyDescent="0.25">
      <c r="A33" s="30">
        <v>95</v>
      </c>
      <c r="B33" s="30">
        <v>56</v>
      </c>
      <c r="C33" s="32" t="str">
        <f t="shared" si="0"/>
        <v>95-56</v>
      </c>
      <c r="D33" s="16" t="s">
        <v>71</v>
      </c>
      <c r="E33" s="16" t="s">
        <v>14</v>
      </c>
      <c r="F33" s="15" t="s">
        <v>72</v>
      </c>
      <c r="G33" s="17">
        <v>43165</v>
      </c>
      <c r="H33" s="15" t="s">
        <v>10</v>
      </c>
      <c r="I33" s="18"/>
      <c r="J33" s="43">
        <f t="shared" ref="J33:J64" si="12">30-K33</f>
        <v>30</v>
      </c>
      <c r="K33" s="43">
        <v>0</v>
      </c>
      <c r="L33" s="43">
        <f t="shared" si="2"/>
        <v>30</v>
      </c>
      <c r="M33" s="18"/>
      <c r="N33" s="19">
        <v>0</v>
      </c>
      <c r="O33" s="19">
        <v>1807.35</v>
      </c>
      <c r="P33" s="19"/>
      <c r="Q33" s="19"/>
      <c r="R33" s="19">
        <v>40</v>
      </c>
      <c r="S33" s="19">
        <v>231.84</v>
      </c>
      <c r="T33" s="19"/>
      <c r="U33" s="19">
        <f t="shared" si="3"/>
        <v>231.84</v>
      </c>
      <c r="V33" s="45">
        <f t="shared" si="11"/>
        <v>192.339336</v>
      </c>
      <c r="W33" s="44">
        <f t="shared" si="8"/>
        <v>192.339336</v>
      </c>
      <c r="Y33" s="19">
        <f t="shared" si="4"/>
        <v>1807.35</v>
      </c>
      <c r="AA33" s="44">
        <f>IFERROR(VLOOKUP(C33,[1]Vendedor!$C$1:$R$65536,16,0),0)</f>
        <v>2564.52448</v>
      </c>
      <c r="AB33" s="45">
        <f t="shared" si="5"/>
        <v>641.13112000000001</v>
      </c>
      <c r="AC33" s="20">
        <v>150</v>
      </c>
      <c r="AD33" s="44">
        <f>IFERROR(VLOOKUP(C33,[1]Vendedor!$C$1:$T$65536,18,0),0)</f>
        <v>400.70695000000001</v>
      </c>
      <c r="AE33" s="45">
        <f t="shared" si="6"/>
        <v>3756.3625499999998</v>
      </c>
      <c r="AF33" s="44">
        <f t="shared" si="7"/>
        <v>0</v>
      </c>
      <c r="AG33" s="20">
        <v>300</v>
      </c>
      <c r="AH33" s="20"/>
    </row>
    <row r="34" spans="1:34" x14ac:dyDescent="0.25">
      <c r="A34" s="30">
        <v>95</v>
      </c>
      <c r="B34" s="30">
        <v>59</v>
      </c>
      <c r="C34" s="32" t="str">
        <f t="shared" si="0"/>
        <v>95-59</v>
      </c>
      <c r="D34" s="16" t="s">
        <v>73</v>
      </c>
      <c r="E34" s="16" t="s">
        <v>14</v>
      </c>
      <c r="F34" s="15" t="s">
        <v>74</v>
      </c>
      <c r="G34" s="17">
        <v>43213</v>
      </c>
      <c r="H34" s="15" t="s">
        <v>10</v>
      </c>
      <c r="I34" s="18"/>
      <c r="J34" s="43">
        <f t="shared" si="12"/>
        <v>30</v>
      </c>
      <c r="K34" s="43">
        <v>0</v>
      </c>
      <c r="L34" s="43">
        <f t="shared" si="2"/>
        <v>30</v>
      </c>
      <c r="M34" s="18"/>
      <c r="N34" s="19">
        <v>0</v>
      </c>
      <c r="O34" s="19">
        <v>1807.35</v>
      </c>
      <c r="P34" s="19"/>
      <c r="Q34" s="19"/>
      <c r="R34" s="19">
        <v>40</v>
      </c>
      <c r="S34" s="19">
        <v>425.04</v>
      </c>
      <c r="T34" s="19"/>
      <c r="U34" s="19">
        <f t="shared" si="3"/>
        <v>425.04</v>
      </c>
      <c r="V34" s="45">
        <f t="shared" si="11"/>
        <v>159.123648</v>
      </c>
      <c r="W34" s="44">
        <f t="shared" si="8"/>
        <v>159.123648</v>
      </c>
      <c r="Y34" s="19">
        <f t="shared" si="4"/>
        <v>1807.35</v>
      </c>
      <c r="AA34" s="44">
        <f>IFERROR(VLOOKUP(C34,[1]Vendedor!$C$1:$R$65536,16,0),0)</f>
        <v>2121.6486400000003</v>
      </c>
      <c r="AB34" s="45">
        <f t="shared" si="5"/>
        <v>530.41216000000009</v>
      </c>
      <c r="AC34" s="20"/>
      <c r="AD34" s="44">
        <f>IFERROR(VLOOKUP(C34,[1]Vendedor!$C$1:$T$65536,18,0),0)</f>
        <v>0</v>
      </c>
      <c r="AE34" s="45">
        <f t="shared" si="6"/>
        <v>2652.0608000000002</v>
      </c>
      <c r="AF34" s="44">
        <f t="shared" si="7"/>
        <v>0</v>
      </c>
      <c r="AG34" s="20"/>
      <c r="AH34" s="20"/>
    </row>
    <row r="35" spans="1:34" x14ac:dyDescent="0.25">
      <c r="A35" s="30">
        <v>95</v>
      </c>
      <c r="B35" s="30">
        <v>80</v>
      </c>
      <c r="C35" s="32" t="str">
        <f t="shared" si="0"/>
        <v>95-80</v>
      </c>
      <c r="D35" s="16" t="s">
        <v>75</v>
      </c>
      <c r="E35" s="16" t="s">
        <v>21</v>
      </c>
      <c r="F35" s="15" t="s">
        <v>76</v>
      </c>
      <c r="G35" s="17">
        <v>44064</v>
      </c>
      <c r="H35" s="15" t="s">
        <v>10</v>
      </c>
      <c r="I35" s="18"/>
      <c r="J35" s="43">
        <f t="shared" si="12"/>
        <v>30</v>
      </c>
      <c r="K35" s="43">
        <v>0</v>
      </c>
      <c r="L35" s="43">
        <f t="shared" si="2"/>
        <v>30</v>
      </c>
      <c r="M35" s="18"/>
      <c r="N35" s="19">
        <v>1504.22</v>
      </c>
      <c r="O35" s="19">
        <v>0</v>
      </c>
      <c r="P35" s="19">
        <v>70.41</v>
      </c>
      <c r="Q35" s="19"/>
      <c r="R35" s="19"/>
      <c r="S35" s="19">
        <v>211.2</v>
      </c>
      <c r="T35" s="19"/>
      <c r="U35" s="19">
        <f t="shared" ref="U35:U66" si="13">SUM(S35:T35)</f>
        <v>211.2</v>
      </c>
      <c r="V35" s="45">
        <f t="shared" si="11"/>
        <v>90.253199999999993</v>
      </c>
      <c r="W35" s="44">
        <f t="shared" si="8"/>
        <v>90.253199999999993</v>
      </c>
      <c r="Y35" s="19">
        <f t="shared" ref="Y35:Y66" si="14">SUM(N35:O35)/30*J35</f>
        <v>1504.22</v>
      </c>
      <c r="AA35" s="44">
        <f>IFERROR(VLOOKUP(C35,[1]Vendedor!$C$1:$R$65536,16,0),0)</f>
        <v>0</v>
      </c>
      <c r="AB35" s="45">
        <f t="shared" si="5"/>
        <v>0</v>
      </c>
      <c r="AC35" s="20"/>
      <c r="AD35" s="44">
        <f>IFERROR(VLOOKUP(C35,[1]Vendedor!$C$1:$T$65536,18,0),0)</f>
        <v>0</v>
      </c>
      <c r="AE35" s="45">
        <f t="shared" si="6"/>
        <v>0</v>
      </c>
      <c r="AF35" s="44">
        <f t="shared" ref="AF35:AF66" si="15">IF(AE35&lt;Y35,Y35-AE35,0)</f>
        <v>1504.22</v>
      </c>
      <c r="AG35" s="20"/>
      <c r="AH35" s="20"/>
    </row>
    <row r="36" spans="1:34" x14ac:dyDescent="0.25">
      <c r="A36" s="30">
        <v>95</v>
      </c>
      <c r="B36" s="30">
        <v>83</v>
      </c>
      <c r="C36" s="32" t="str">
        <f t="shared" si="0"/>
        <v>95-83</v>
      </c>
      <c r="D36" s="16" t="s">
        <v>77</v>
      </c>
      <c r="E36" s="16" t="s">
        <v>21</v>
      </c>
      <c r="F36" s="15" t="s">
        <v>78</v>
      </c>
      <c r="G36" s="17">
        <v>44152</v>
      </c>
      <c r="H36" s="15" t="s">
        <v>10</v>
      </c>
      <c r="I36" s="18"/>
      <c r="J36" s="43">
        <f t="shared" si="12"/>
        <v>30</v>
      </c>
      <c r="K36" s="43">
        <v>0</v>
      </c>
      <c r="L36" s="43">
        <f t="shared" si="2"/>
        <v>30</v>
      </c>
      <c r="M36" s="18"/>
      <c r="N36" s="19">
        <v>1504.22</v>
      </c>
      <c r="O36" s="19">
        <v>0</v>
      </c>
      <c r="P36" s="19">
        <v>70.41</v>
      </c>
      <c r="Q36" s="19"/>
      <c r="R36" s="19">
        <v>40</v>
      </c>
      <c r="S36" s="19">
        <v>443.52</v>
      </c>
      <c r="T36" s="19"/>
      <c r="U36" s="19">
        <f t="shared" si="13"/>
        <v>443.52</v>
      </c>
      <c r="V36" s="45">
        <f t="shared" si="11"/>
        <v>90.253199999999993</v>
      </c>
      <c r="W36" s="44">
        <f t="shared" si="8"/>
        <v>90.253199999999993</v>
      </c>
      <c r="Y36" s="19">
        <f t="shared" si="14"/>
        <v>1504.22</v>
      </c>
      <c r="AA36" s="44">
        <f>IFERROR(VLOOKUP(C36,[1]Vendedor!$C$1:$R$65536,16,0),0)</f>
        <v>0</v>
      </c>
      <c r="AB36" s="45">
        <f t="shared" si="5"/>
        <v>0</v>
      </c>
      <c r="AC36" s="20"/>
      <c r="AD36" s="44">
        <f>IFERROR(VLOOKUP(C36,[1]Vendedor!$C$1:$T$65536,18,0),0)</f>
        <v>0</v>
      </c>
      <c r="AE36" s="45">
        <f t="shared" si="6"/>
        <v>0</v>
      </c>
      <c r="AF36" s="44">
        <f t="shared" si="15"/>
        <v>1504.22</v>
      </c>
      <c r="AG36" s="20"/>
      <c r="AH36" s="20"/>
    </row>
    <row r="37" spans="1:34" x14ac:dyDescent="0.25">
      <c r="A37" s="30">
        <v>95</v>
      </c>
      <c r="B37" s="30">
        <v>84</v>
      </c>
      <c r="C37" s="32" t="str">
        <f t="shared" si="0"/>
        <v>95-84</v>
      </c>
      <c r="D37" s="16" t="s">
        <v>79</v>
      </c>
      <c r="E37" s="16" t="s">
        <v>11</v>
      </c>
      <c r="F37" s="15" t="s">
        <v>80</v>
      </c>
      <c r="G37" s="17">
        <v>43475</v>
      </c>
      <c r="H37" s="15" t="s">
        <v>10</v>
      </c>
      <c r="I37" s="18"/>
      <c r="J37" s="43">
        <f t="shared" si="12"/>
        <v>30</v>
      </c>
      <c r="K37" s="43">
        <v>0</v>
      </c>
      <c r="L37" s="43">
        <f t="shared" si="2"/>
        <v>30</v>
      </c>
      <c r="M37" s="18"/>
      <c r="N37" s="19">
        <v>0</v>
      </c>
      <c r="O37" s="19">
        <v>4117.6000000000004</v>
      </c>
      <c r="P37" s="19"/>
      <c r="Q37" s="19"/>
      <c r="R37" s="19">
        <v>40</v>
      </c>
      <c r="S37" s="19">
        <f>IFERROR(VLOOKUP(C37,[2]Base!$C$1:$S$65536,17,0),0)</f>
        <v>0</v>
      </c>
      <c r="T37" s="19"/>
      <c r="U37" s="19">
        <f t="shared" si="13"/>
        <v>0</v>
      </c>
      <c r="V37" s="20"/>
      <c r="W37" s="44">
        <f t="shared" ref="W37:W68" si="16">IF(U37&gt;V37,V37,U37)</f>
        <v>0</v>
      </c>
      <c r="Y37" s="19">
        <f t="shared" si="14"/>
        <v>4117.6000000000004</v>
      </c>
      <c r="AA37" s="44">
        <f>VLOOKUP(A37,[3]Gerentes!$B$1:$O$65536,14,0)</f>
        <v>3254.4063500000007</v>
      </c>
      <c r="AB37" s="45">
        <f t="shared" si="5"/>
        <v>813.60158750000016</v>
      </c>
      <c r="AC37" s="20"/>
      <c r="AD37" s="44" t="str">
        <f>VLOOKUP(A37,[3]Gerentes!$B$1:$Q$65536,16,0)</f>
        <v>2000</v>
      </c>
      <c r="AE37" s="45">
        <f t="shared" si="6"/>
        <v>4068.0079375000009</v>
      </c>
      <c r="AF37" s="44">
        <f t="shared" si="15"/>
        <v>49.592062499999429</v>
      </c>
      <c r="AG37" s="20"/>
      <c r="AH37" s="20"/>
    </row>
    <row r="38" spans="1:34" x14ac:dyDescent="0.25">
      <c r="A38" s="30">
        <v>95</v>
      </c>
      <c r="B38" s="30">
        <v>85</v>
      </c>
      <c r="C38" s="32" t="str">
        <f t="shared" si="0"/>
        <v>95-85</v>
      </c>
      <c r="D38" s="16" t="s">
        <v>81</v>
      </c>
      <c r="E38" s="16" t="s">
        <v>14</v>
      </c>
      <c r="F38" s="15" t="s">
        <v>82</v>
      </c>
      <c r="G38" s="17">
        <v>44181</v>
      </c>
      <c r="H38" s="15" t="s">
        <v>10</v>
      </c>
      <c r="I38" s="18"/>
      <c r="J38" s="43">
        <f t="shared" si="12"/>
        <v>30</v>
      </c>
      <c r="K38" s="43">
        <v>0</v>
      </c>
      <c r="L38" s="43">
        <f t="shared" si="2"/>
        <v>30</v>
      </c>
      <c r="M38" s="18"/>
      <c r="N38" s="19">
        <v>0</v>
      </c>
      <c r="O38" s="19">
        <v>1807.35</v>
      </c>
      <c r="P38" s="19"/>
      <c r="Q38" s="19"/>
      <c r="R38" s="19"/>
      <c r="S38" s="19">
        <v>340</v>
      </c>
      <c r="T38" s="19"/>
      <c r="U38" s="19">
        <f t="shared" si="13"/>
        <v>340</v>
      </c>
      <c r="V38" s="45">
        <f>SUM(AA38:AB38,AF38)*6%</f>
        <v>120.82624799999998</v>
      </c>
      <c r="W38" s="44">
        <f t="shared" si="16"/>
        <v>120.82624799999998</v>
      </c>
      <c r="Y38" s="19">
        <f t="shared" si="14"/>
        <v>1807.35</v>
      </c>
      <c r="AA38" s="44">
        <f>IFERROR(VLOOKUP(C38,[1]Vendedor!$C$1:$R$65536,16,0),0)</f>
        <v>1611.0166399999998</v>
      </c>
      <c r="AB38" s="45">
        <f t="shared" si="5"/>
        <v>402.75415999999996</v>
      </c>
      <c r="AC38" s="20"/>
      <c r="AD38" s="44">
        <f>IFERROR(VLOOKUP(C38,[1]Vendedor!$C$1:$T$65536,18,0),0)</f>
        <v>0</v>
      </c>
      <c r="AE38" s="45">
        <f t="shared" si="6"/>
        <v>2013.7707999999998</v>
      </c>
      <c r="AF38" s="44">
        <f t="shared" si="15"/>
        <v>0</v>
      </c>
      <c r="AG38" s="20"/>
      <c r="AH38" s="20"/>
    </row>
    <row r="39" spans="1:34" x14ac:dyDescent="0.25">
      <c r="A39" s="30">
        <v>95</v>
      </c>
      <c r="B39" s="30">
        <v>88</v>
      </c>
      <c r="C39" s="32" t="str">
        <f t="shared" si="0"/>
        <v>95-88</v>
      </c>
      <c r="D39" s="16" t="s">
        <v>83</v>
      </c>
      <c r="E39" s="16" t="s">
        <v>14</v>
      </c>
      <c r="F39" s="15" t="s">
        <v>84</v>
      </c>
      <c r="G39" s="17">
        <v>44256</v>
      </c>
      <c r="H39" s="15" t="s">
        <v>10</v>
      </c>
      <c r="I39" s="18"/>
      <c r="J39" s="43">
        <f t="shared" si="12"/>
        <v>30</v>
      </c>
      <c r="K39" s="43">
        <v>0</v>
      </c>
      <c r="L39" s="43">
        <f t="shared" si="2"/>
        <v>30</v>
      </c>
      <c r="M39" s="18"/>
      <c r="N39" s="19">
        <v>0</v>
      </c>
      <c r="O39" s="19">
        <v>1807.35</v>
      </c>
      <c r="P39" s="19"/>
      <c r="Q39" s="19"/>
      <c r="R39" s="19">
        <v>40</v>
      </c>
      <c r="S39" s="19">
        <f>IFERROR(VLOOKUP(C39,[2]Base!$C$1:$S$65536,17,0),0)</f>
        <v>0</v>
      </c>
      <c r="T39" s="19"/>
      <c r="U39" s="19">
        <f t="shared" si="13"/>
        <v>0</v>
      </c>
      <c r="V39" s="20"/>
      <c r="W39" s="44">
        <f t="shared" si="16"/>
        <v>0</v>
      </c>
      <c r="Y39" s="19">
        <f t="shared" si="14"/>
        <v>1807.35</v>
      </c>
      <c r="AA39" s="44">
        <f>IFERROR(VLOOKUP(C39,[1]Vendedor!$C$1:$R$65536,16,0),0)</f>
        <v>1703.19328</v>
      </c>
      <c r="AB39" s="45">
        <f t="shared" si="5"/>
        <v>425.79831999999999</v>
      </c>
      <c r="AC39" s="20"/>
      <c r="AD39" s="44">
        <f>IFERROR(VLOOKUP(C39,[1]Vendedor!$C$1:$T$65536,18,0),0)</f>
        <v>0</v>
      </c>
      <c r="AE39" s="45">
        <f t="shared" si="6"/>
        <v>2128.9915999999998</v>
      </c>
      <c r="AF39" s="44">
        <f t="shared" si="15"/>
        <v>0</v>
      </c>
      <c r="AG39" s="20"/>
      <c r="AH39" s="20"/>
    </row>
    <row r="40" spans="1:34" x14ac:dyDescent="0.25">
      <c r="A40" s="30">
        <v>103</v>
      </c>
      <c r="B40" s="30">
        <v>184</v>
      </c>
      <c r="C40" s="32" t="str">
        <f t="shared" si="0"/>
        <v>103-184</v>
      </c>
      <c r="D40" s="16" t="s">
        <v>85</v>
      </c>
      <c r="E40" s="16" t="s">
        <v>21</v>
      </c>
      <c r="F40" s="15" t="s">
        <v>86</v>
      </c>
      <c r="G40" s="17">
        <v>43782</v>
      </c>
      <c r="H40" s="15" t="s">
        <v>10</v>
      </c>
      <c r="I40" s="18"/>
      <c r="J40" s="43">
        <f t="shared" si="12"/>
        <v>30</v>
      </c>
      <c r="K40" s="43">
        <v>0</v>
      </c>
      <c r="L40" s="43">
        <f t="shared" si="2"/>
        <v>30</v>
      </c>
      <c r="M40" s="18"/>
      <c r="N40" s="19">
        <v>1504.22</v>
      </c>
      <c r="O40" s="19">
        <v>0</v>
      </c>
      <c r="P40" s="19">
        <v>70.41</v>
      </c>
      <c r="Q40" s="19"/>
      <c r="R40" s="19">
        <v>40</v>
      </c>
      <c r="S40" s="19">
        <v>222.18</v>
      </c>
      <c r="T40" s="19"/>
      <c r="U40" s="19">
        <f t="shared" si="13"/>
        <v>222.18</v>
      </c>
      <c r="V40" s="45">
        <f>SUM(AA40:AB40,AF40)*6%</f>
        <v>90.253199999999993</v>
      </c>
      <c r="W40" s="44">
        <f t="shared" si="16"/>
        <v>90.253199999999993</v>
      </c>
      <c r="Y40" s="19">
        <f t="shared" si="14"/>
        <v>1504.22</v>
      </c>
      <c r="AA40" s="44">
        <f>IFERROR(VLOOKUP(C40,[1]Vendedor!$C$1:$R$65536,16,0),0)</f>
        <v>0</v>
      </c>
      <c r="AB40" s="45">
        <f t="shared" si="5"/>
        <v>0</v>
      </c>
      <c r="AC40" s="20"/>
      <c r="AD40" s="44">
        <f>IFERROR(VLOOKUP(C40,[1]Vendedor!$C$1:$T$65536,18,0),0)</f>
        <v>0</v>
      </c>
      <c r="AE40" s="45">
        <f t="shared" si="6"/>
        <v>0</v>
      </c>
      <c r="AF40" s="44">
        <f t="shared" si="15"/>
        <v>1504.22</v>
      </c>
      <c r="AG40" s="20"/>
      <c r="AH40" s="20"/>
    </row>
    <row r="41" spans="1:34" x14ac:dyDescent="0.25">
      <c r="A41" s="30">
        <v>103</v>
      </c>
      <c r="B41" s="30">
        <v>185</v>
      </c>
      <c r="C41" s="32" t="str">
        <f t="shared" si="0"/>
        <v>103-185</v>
      </c>
      <c r="D41" s="16" t="s">
        <v>87</v>
      </c>
      <c r="E41" s="16" t="s">
        <v>14</v>
      </c>
      <c r="F41" s="15" t="s">
        <v>88</v>
      </c>
      <c r="G41" s="17">
        <v>43782</v>
      </c>
      <c r="H41" s="15" t="s">
        <v>10</v>
      </c>
      <c r="I41" s="18"/>
      <c r="J41" s="43">
        <f t="shared" si="12"/>
        <v>30</v>
      </c>
      <c r="K41" s="43">
        <v>0</v>
      </c>
      <c r="L41" s="43">
        <f t="shared" si="2"/>
        <v>30</v>
      </c>
      <c r="M41" s="18"/>
      <c r="N41" s="19">
        <v>0</v>
      </c>
      <c r="O41" s="19">
        <v>1807.35</v>
      </c>
      <c r="P41" s="19"/>
      <c r="Q41" s="19"/>
      <c r="R41" s="19">
        <v>40</v>
      </c>
      <c r="S41" s="19">
        <v>452.18</v>
      </c>
      <c r="T41" s="19"/>
      <c r="U41" s="19">
        <f t="shared" si="13"/>
        <v>452.18</v>
      </c>
      <c r="V41" s="45">
        <f>SUM(AA41:AB41,AF41)*6%</f>
        <v>157.81636799999998</v>
      </c>
      <c r="W41" s="44">
        <f t="shared" si="16"/>
        <v>157.81636799999998</v>
      </c>
      <c r="Y41" s="19">
        <f t="shared" si="14"/>
        <v>1807.35</v>
      </c>
      <c r="AA41" s="44">
        <f>IFERROR(VLOOKUP(C41,[1]Vendedor!$C$1:$R$65536,16,0),0)</f>
        <v>2104.2182399999997</v>
      </c>
      <c r="AB41" s="45">
        <f t="shared" si="5"/>
        <v>526.05455999999992</v>
      </c>
      <c r="AC41" s="20"/>
      <c r="AD41" s="44">
        <f>IFERROR(VLOOKUP(C41,[1]Vendedor!$C$1:$T$65536,18,0),0)</f>
        <v>328.78409999999997</v>
      </c>
      <c r="AE41" s="45">
        <f t="shared" si="6"/>
        <v>2959.0568999999996</v>
      </c>
      <c r="AF41" s="44">
        <f t="shared" si="15"/>
        <v>0</v>
      </c>
      <c r="AG41" s="20"/>
      <c r="AH41" s="20"/>
    </row>
    <row r="42" spans="1:34" x14ac:dyDescent="0.25">
      <c r="A42" s="30">
        <v>103</v>
      </c>
      <c r="B42" s="30">
        <v>187</v>
      </c>
      <c r="C42" s="32" t="str">
        <f t="shared" si="0"/>
        <v>103-187</v>
      </c>
      <c r="D42" s="16" t="s">
        <v>89</v>
      </c>
      <c r="E42" s="16" t="s">
        <v>14</v>
      </c>
      <c r="F42" s="15" t="s">
        <v>90</v>
      </c>
      <c r="G42" s="17">
        <v>43815</v>
      </c>
      <c r="H42" s="15" t="s">
        <v>10</v>
      </c>
      <c r="I42" s="18"/>
      <c r="J42" s="43">
        <f t="shared" si="12"/>
        <v>30</v>
      </c>
      <c r="K42" s="43">
        <v>0</v>
      </c>
      <c r="L42" s="43">
        <f t="shared" si="2"/>
        <v>30</v>
      </c>
      <c r="M42" s="18"/>
      <c r="N42" s="19">
        <v>0</v>
      </c>
      <c r="O42" s="19">
        <v>1807.35</v>
      </c>
      <c r="P42" s="19"/>
      <c r="Q42" s="19"/>
      <c r="R42" s="19">
        <v>40</v>
      </c>
      <c r="S42" s="19">
        <v>425.04</v>
      </c>
      <c r="T42" s="19"/>
      <c r="U42" s="19">
        <f t="shared" si="13"/>
        <v>425.04</v>
      </c>
      <c r="V42" s="45">
        <f>SUM(AA42:AB42,AF42)*6%</f>
        <v>157.10306399999999</v>
      </c>
      <c r="W42" s="44">
        <f t="shared" si="16"/>
        <v>157.10306399999999</v>
      </c>
      <c r="Y42" s="19">
        <f t="shared" si="14"/>
        <v>1807.35</v>
      </c>
      <c r="AA42" s="44">
        <f>IFERROR(VLOOKUP(C42,[1]Vendedor!$C$1:$R$65536,16,0),0)</f>
        <v>2094.7075199999999</v>
      </c>
      <c r="AB42" s="45">
        <f t="shared" si="5"/>
        <v>523.67687999999998</v>
      </c>
      <c r="AC42" s="20"/>
      <c r="AD42" s="44">
        <f>IFERROR(VLOOKUP(C42,[1]Vendedor!$C$1:$T$65536,18,0),0)</f>
        <v>327.29804999999999</v>
      </c>
      <c r="AE42" s="45">
        <f t="shared" si="6"/>
        <v>2945.6824499999998</v>
      </c>
      <c r="AF42" s="44">
        <f t="shared" si="15"/>
        <v>0</v>
      </c>
      <c r="AG42" s="20"/>
      <c r="AH42" s="20"/>
    </row>
    <row r="43" spans="1:34" x14ac:dyDescent="0.25">
      <c r="A43" s="30">
        <v>103</v>
      </c>
      <c r="B43" s="30">
        <v>193</v>
      </c>
      <c r="C43" s="32" t="str">
        <f t="shared" si="0"/>
        <v>103-193</v>
      </c>
      <c r="D43" s="16" t="s">
        <v>91</v>
      </c>
      <c r="E43" s="16" t="s">
        <v>14</v>
      </c>
      <c r="F43" s="15" t="s">
        <v>92</v>
      </c>
      <c r="G43" s="17">
        <v>44121</v>
      </c>
      <c r="H43" s="15" t="s">
        <v>10</v>
      </c>
      <c r="I43" s="18"/>
      <c r="J43" s="43">
        <f t="shared" si="12"/>
        <v>30</v>
      </c>
      <c r="K43" s="43">
        <v>0</v>
      </c>
      <c r="L43" s="43">
        <f t="shared" si="2"/>
        <v>30</v>
      </c>
      <c r="M43" s="18"/>
      <c r="N43" s="19">
        <v>0</v>
      </c>
      <c r="O43" s="19">
        <v>1807.35</v>
      </c>
      <c r="P43" s="19"/>
      <c r="Q43" s="19"/>
      <c r="R43" s="19"/>
      <c r="S43" s="19">
        <f>IFERROR(VLOOKUP(C43,[2]Base!$C$1:$S$65536,17,0),0)</f>
        <v>0</v>
      </c>
      <c r="T43" s="19"/>
      <c r="U43" s="19">
        <f t="shared" si="13"/>
        <v>0</v>
      </c>
      <c r="V43" s="20"/>
      <c r="W43" s="44">
        <f t="shared" si="16"/>
        <v>0</v>
      </c>
      <c r="Y43" s="19">
        <f t="shared" si="14"/>
        <v>1807.35</v>
      </c>
      <c r="AA43" s="44">
        <f>IFERROR(VLOOKUP(C43,[1]Vendedor!$C$1:$R$65536,16,0),0)</f>
        <v>2161.3001600000002</v>
      </c>
      <c r="AB43" s="45">
        <f t="shared" si="5"/>
        <v>540.32504000000006</v>
      </c>
      <c r="AC43" s="20">
        <v>400</v>
      </c>
      <c r="AD43" s="44">
        <f>IFERROR(VLOOKUP(C43,[1]Vendedor!$C$1:$T$65536,18,0),0)</f>
        <v>337.70315000000005</v>
      </c>
      <c r="AE43" s="45">
        <f t="shared" si="6"/>
        <v>3439.3283500000007</v>
      </c>
      <c r="AF43" s="44">
        <f t="shared" si="15"/>
        <v>0</v>
      </c>
      <c r="AG43" s="20">
        <v>400</v>
      </c>
      <c r="AH43" s="20"/>
    </row>
    <row r="44" spans="1:34" x14ac:dyDescent="0.25">
      <c r="A44" s="30">
        <v>103</v>
      </c>
      <c r="B44" s="30">
        <v>194</v>
      </c>
      <c r="C44" s="32" t="str">
        <f t="shared" si="0"/>
        <v>103-194</v>
      </c>
      <c r="D44" s="16" t="s">
        <v>93</v>
      </c>
      <c r="E44" s="16" t="s">
        <v>14</v>
      </c>
      <c r="F44" s="15" t="s">
        <v>94</v>
      </c>
      <c r="G44" s="17">
        <v>44121</v>
      </c>
      <c r="H44" s="15" t="s">
        <v>10</v>
      </c>
      <c r="I44" s="18"/>
      <c r="J44" s="43">
        <f t="shared" si="12"/>
        <v>30</v>
      </c>
      <c r="K44" s="43">
        <v>0</v>
      </c>
      <c r="L44" s="43">
        <f t="shared" si="2"/>
        <v>30</v>
      </c>
      <c r="M44" s="18"/>
      <c r="N44" s="19">
        <v>0</v>
      </c>
      <c r="O44" s="19">
        <v>1807.35</v>
      </c>
      <c r="P44" s="19"/>
      <c r="Q44" s="19"/>
      <c r="R44" s="19">
        <v>40</v>
      </c>
      <c r="S44" s="19">
        <v>425.04</v>
      </c>
      <c r="T44" s="19"/>
      <c r="U44" s="19">
        <f t="shared" si="13"/>
        <v>425.04</v>
      </c>
      <c r="V44" s="45">
        <f>SUM(AA44:AB44,AF44)*6%</f>
        <v>165.35068799999999</v>
      </c>
      <c r="W44" s="44">
        <f t="shared" si="16"/>
        <v>165.35068799999999</v>
      </c>
      <c r="Y44" s="19">
        <f t="shared" si="14"/>
        <v>1807.35</v>
      </c>
      <c r="AA44" s="44">
        <f>IFERROR(VLOOKUP(C44,[1]Vendedor!$C$1:$R$65536,16,0),0)</f>
        <v>2204.6758399999999</v>
      </c>
      <c r="AB44" s="45">
        <f t="shared" si="5"/>
        <v>551.16895999999997</v>
      </c>
      <c r="AC44" s="20"/>
      <c r="AD44" s="44">
        <f>IFERROR(VLOOKUP(C44,[1]Vendedor!$C$1:$T$65536,18,0),0)</f>
        <v>344.48059999999998</v>
      </c>
      <c r="AE44" s="45">
        <f t="shared" si="6"/>
        <v>3100.3253999999997</v>
      </c>
      <c r="AF44" s="44">
        <f t="shared" si="15"/>
        <v>0</v>
      </c>
      <c r="AG44" s="20"/>
      <c r="AH44" s="20"/>
    </row>
    <row r="45" spans="1:34" x14ac:dyDescent="0.25">
      <c r="A45" s="30">
        <v>103</v>
      </c>
      <c r="B45" s="30">
        <v>199</v>
      </c>
      <c r="C45" s="32" t="str">
        <f t="shared" si="0"/>
        <v>103-199</v>
      </c>
      <c r="D45" s="16" t="s">
        <v>95</v>
      </c>
      <c r="E45" s="16" t="s">
        <v>11</v>
      </c>
      <c r="F45" s="15" t="s">
        <v>96</v>
      </c>
      <c r="G45" s="17">
        <v>43284</v>
      </c>
      <c r="H45" s="15" t="s">
        <v>10</v>
      </c>
      <c r="I45" s="18"/>
      <c r="J45" s="43">
        <f t="shared" si="12"/>
        <v>30</v>
      </c>
      <c r="K45" s="43">
        <v>0</v>
      </c>
      <c r="L45" s="43">
        <f t="shared" si="2"/>
        <v>30</v>
      </c>
      <c r="M45" s="18"/>
      <c r="N45" s="19">
        <v>0</v>
      </c>
      <c r="O45" s="19">
        <v>4282.3</v>
      </c>
      <c r="P45" s="19"/>
      <c r="Q45" s="19"/>
      <c r="R45" s="19">
        <v>40</v>
      </c>
      <c r="S45" s="19">
        <v>443.52</v>
      </c>
      <c r="T45" s="19"/>
      <c r="U45" s="19">
        <f t="shared" si="13"/>
        <v>443.52</v>
      </c>
      <c r="V45" s="45">
        <f>SUM(AA45:AB45,AF45)*6%</f>
        <v>278.95140900000001</v>
      </c>
      <c r="W45" s="44">
        <f t="shared" si="16"/>
        <v>278.95140900000001</v>
      </c>
      <c r="Y45" s="19">
        <f t="shared" si="14"/>
        <v>4282.3</v>
      </c>
      <c r="AA45" s="44">
        <f>VLOOKUP(A45,[3]Gerentes!$B$1:$O$65536,14,0)</f>
        <v>3719.35212</v>
      </c>
      <c r="AB45" s="45">
        <f t="shared" si="5"/>
        <v>929.83803</v>
      </c>
      <c r="AC45" s="20"/>
      <c r="AD45" s="44" t="str">
        <f>VLOOKUP(A45,[3]Gerentes!$B$1:$Q$65536,16,0)</f>
        <v>2000</v>
      </c>
      <c r="AE45" s="45">
        <f t="shared" si="6"/>
        <v>4649.1901500000004</v>
      </c>
      <c r="AF45" s="44">
        <f t="shared" si="15"/>
        <v>0</v>
      </c>
      <c r="AG45" s="20"/>
      <c r="AH45" s="20"/>
    </row>
    <row r="46" spans="1:34" x14ac:dyDescent="0.25">
      <c r="A46" s="30">
        <v>103</v>
      </c>
      <c r="B46" s="30">
        <v>200</v>
      </c>
      <c r="C46" s="32" t="str">
        <f t="shared" si="0"/>
        <v>103-200</v>
      </c>
      <c r="D46" s="16" t="s">
        <v>97</v>
      </c>
      <c r="E46" s="16" t="s">
        <v>21</v>
      </c>
      <c r="F46" s="15" t="s">
        <v>98</v>
      </c>
      <c r="G46" s="17">
        <v>44180</v>
      </c>
      <c r="H46" s="15" t="s">
        <v>10</v>
      </c>
      <c r="I46" s="18"/>
      <c r="J46" s="43">
        <f t="shared" si="12"/>
        <v>30</v>
      </c>
      <c r="K46" s="43">
        <v>0</v>
      </c>
      <c r="L46" s="43">
        <f t="shared" si="2"/>
        <v>30</v>
      </c>
      <c r="M46" s="18"/>
      <c r="N46" s="19">
        <v>1504.22</v>
      </c>
      <c r="O46" s="19">
        <v>0</v>
      </c>
      <c r="P46" s="19">
        <v>70.41</v>
      </c>
      <c r="Q46" s="19"/>
      <c r="R46" s="19">
        <v>40</v>
      </c>
      <c r="S46" s="19">
        <v>0</v>
      </c>
      <c r="T46" s="19"/>
      <c r="U46" s="19">
        <f t="shared" si="13"/>
        <v>0</v>
      </c>
      <c r="V46" s="20"/>
      <c r="W46" s="44">
        <f t="shared" si="16"/>
        <v>0</v>
      </c>
      <c r="Y46" s="19">
        <f t="shared" si="14"/>
        <v>1504.22</v>
      </c>
      <c r="AA46" s="44">
        <f>IFERROR(VLOOKUP(C46,[1]Vendedor!$C$1:$R$65536,16,0),0)</f>
        <v>0</v>
      </c>
      <c r="AB46" s="45">
        <f t="shared" si="5"/>
        <v>0</v>
      </c>
      <c r="AC46" s="20"/>
      <c r="AD46" s="44">
        <f>IFERROR(VLOOKUP(C46,[1]Vendedor!$C$1:$T$65536,18,0),0)</f>
        <v>0</v>
      </c>
      <c r="AE46" s="45">
        <f t="shared" si="6"/>
        <v>0</v>
      </c>
      <c r="AF46" s="44">
        <f t="shared" si="15"/>
        <v>1504.22</v>
      </c>
      <c r="AG46" s="20"/>
      <c r="AH46" s="20"/>
    </row>
    <row r="47" spans="1:34" x14ac:dyDescent="0.25">
      <c r="A47" s="30">
        <v>103</v>
      </c>
      <c r="B47" s="30">
        <v>202</v>
      </c>
      <c r="C47" s="32" t="str">
        <f t="shared" si="0"/>
        <v>103-202</v>
      </c>
      <c r="D47" s="16" t="s">
        <v>99</v>
      </c>
      <c r="E47" s="16" t="s">
        <v>14</v>
      </c>
      <c r="F47" s="15" t="s">
        <v>100</v>
      </c>
      <c r="G47" s="17">
        <v>44228</v>
      </c>
      <c r="H47" s="15" t="s">
        <v>10</v>
      </c>
      <c r="I47" s="18"/>
      <c r="J47" s="43">
        <f t="shared" si="12"/>
        <v>30</v>
      </c>
      <c r="K47" s="43">
        <v>0</v>
      </c>
      <c r="L47" s="43">
        <f t="shared" si="2"/>
        <v>30</v>
      </c>
      <c r="M47" s="18"/>
      <c r="N47" s="19">
        <v>0</v>
      </c>
      <c r="O47" s="19">
        <v>1807.35</v>
      </c>
      <c r="P47" s="19"/>
      <c r="Q47" s="19"/>
      <c r="R47" s="19">
        <v>40</v>
      </c>
      <c r="S47" s="19">
        <v>443.52</v>
      </c>
      <c r="T47" s="19"/>
      <c r="U47" s="19">
        <f t="shared" si="13"/>
        <v>443.52</v>
      </c>
      <c r="V47" s="45">
        <f>SUM(AA47:AB47,AF47)*6%</f>
        <v>158.59989599999997</v>
      </c>
      <c r="W47" s="44">
        <f t="shared" si="16"/>
        <v>158.59989599999997</v>
      </c>
      <c r="Y47" s="19">
        <f t="shared" si="14"/>
        <v>1807.35</v>
      </c>
      <c r="AA47" s="44">
        <f>IFERROR(VLOOKUP(C47,[1]Vendedor!$C$1:$R$65536,16,0),0)</f>
        <v>2114.6652799999997</v>
      </c>
      <c r="AB47" s="45">
        <f t="shared" si="5"/>
        <v>528.66631999999993</v>
      </c>
      <c r="AC47" s="20"/>
      <c r="AD47" s="44">
        <f>IFERROR(VLOOKUP(C47,[1]Vendedor!$C$1:$T$65536,18,0),0)</f>
        <v>330.41645</v>
      </c>
      <c r="AE47" s="45">
        <f t="shared" si="6"/>
        <v>2973.7480499999997</v>
      </c>
      <c r="AF47" s="44">
        <f t="shared" si="15"/>
        <v>0</v>
      </c>
      <c r="AG47" s="20"/>
      <c r="AH47" s="20"/>
    </row>
    <row r="48" spans="1:34" x14ac:dyDescent="0.25">
      <c r="A48" s="30">
        <v>104</v>
      </c>
      <c r="B48" s="30">
        <v>52</v>
      </c>
      <c r="C48" s="32" t="str">
        <f t="shared" si="0"/>
        <v>104-52</v>
      </c>
      <c r="D48" s="16" t="s">
        <v>110</v>
      </c>
      <c r="E48" s="16" t="s">
        <v>21</v>
      </c>
      <c r="F48" s="15" t="s">
        <v>111</v>
      </c>
      <c r="G48" s="17">
        <v>44117</v>
      </c>
      <c r="H48" s="15" t="s">
        <v>10</v>
      </c>
      <c r="I48" s="18"/>
      <c r="J48" s="43">
        <f t="shared" si="12"/>
        <v>30</v>
      </c>
      <c r="K48" s="43">
        <v>0</v>
      </c>
      <c r="L48" s="43">
        <f t="shared" si="2"/>
        <v>30</v>
      </c>
      <c r="M48" s="18"/>
      <c r="N48" s="19">
        <v>1155</v>
      </c>
      <c r="O48" s="19">
        <v>0</v>
      </c>
      <c r="P48" s="19">
        <f>N48*10%</f>
        <v>115.5</v>
      </c>
      <c r="Q48" s="19"/>
      <c r="R48" s="19"/>
      <c r="S48" s="19">
        <v>197.6</v>
      </c>
      <c r="T48" s="19"/>
      <c r="U48" s="19">
        <f t="shared" si="13"/>
        <v>197.6</v>
      </c>
      <c r="V48" s="45">
        <f>SUM(AA48:AB48,AF48)*6%</f>
        <v>69.3</v>
      </c>
      <c r="W48" s="44">
        <f t="shared" si="16"/>
        <v>69.3</v>
      </c>
      <c r="Y48" s="19">
        <f t="shared" si="14"/>
        <v>1155</v>
      </c>
      <c r="AA48" s="44">
        <f>IFERROR(VLOOKUP(C48,[1]Vendedor!$C$1:$R$65536,16,0),0)</f>
        <v>0</v>
      </c>
      <c r="AB48" s="45">
        <f t="shared" si="5"/>
        <v>0</v>
      </c>
      <c r="AC48" s="20"/>
      <c r="AD48" s="44">
        <f>IFERROR(VLOOKUP(C48,[1]Vendedor!$C$1:$T$65536,18,0),0)</f>
        <v>0</v>
      </c>
      <c r="AE48" s="45">
        <f t="shared" si="6"/>
        <v>0</v>
      </c>
      <c r="AF48" s="44">
        <f t="shared" si="15"/>
        <v>1155</v>
      </c>
      <c r="AG48" s="20"/>
      <c r="AH48" s="20"/>
    </row>
    <row r="49" spans="1:34" x14ac:dyDescent="0.25">
      <c r="A49" s="30">
        <v>104</v>
      </c>
      <c r="B49" s="30">
        <v>49</v>
      </c>
      <c r="C49" s="32" t="str">
        <f t="shared" si="0"/>
        <v>104-49</v>
      </c>
      <c r="D49" s="16" t="s">
        <v>108</v>
      </c>
      <c r="E49" s="16" t="s">
        <v>11</v>
      </c>
      <c r="F49" s="15" t="s">
        <v>109</v>
      </c>
      <c r="G49" s="17">
        <v>43549</v>
      </c>
      <c r="H49" s="15" t="s">
        <v>10</v>
      </c>
      <c r="I49" s="18"/>
      <c r="J49" s="43">
        <f t="shared" si="12"/>
        <v>30</v>
      </c>
      <c r="K49" s="43">
        <v>0</v>
      </c>
      <c r="L49" s="43">
        <f t="shared" si="2"/>
        <v>30</v>
      </c>
      <c r="M49" s="18"/>
      <c r="N49" s="19">
        <v>0</v>
      </c>
      <c r="O49" s="19">
        <v>4612.5</v>
      </c>
      <c r="P49" s="19"/>
      <c r="Q49" s="19"/>
      <c r="R49" s="19"/>
      <c r="S49" s="19">
        <f>IFERROR(VLOOKUP(C49,[2]Base!$C$1:$S$65536,17,0),0)</f>
        <v>0</v>
      </c>
      <c r="T49" s="19"/>
      <c r="U49" s="19">
        <f t="shared" si="13"/>
        <v>0</v>
      </c>
      <c r="V49" s="20"/>
      <c r="W49" s="44">
        <f t="shared" si="16"/>
        <v>0</v>
      </c>
      <c r="Y49" s="19">
        <f t="shared" si="14"/>
        <v>4612.5</v>
      </c>
      <c r="AA49" s="44">
        <f>VLOOKUP(A49,[3]Gerentes!$B$1:$O$65536,14,0)</f>
        <v>3493.4844100000005</v>
      </c>
      <c r="AB49" s="45">
        <f t="shared" si="5"/>
        <v>873.37110250000012</v>
      </c>
      <c r="AC49" s="20"/>
      <c r="AD49" s="44">
        <f>VLOOKUP(A49,[3]Gerentes!$B$1:$Q$65536,16,0)</f>
        <v>0</v>
      </c>
      <c r="AE49" s="45">
        <f t="shared" si="6"/>
        <v>4366.8555125000003</v>
      </c>
      <c r="AF49" s="44">
        <f t="shared" si="15"/>
        <v>245.64448749999974</v>
      </c>
      <c r="AG49" s="20"/>
      <c r="AH49" s="20"/>
    </row>
    <row r="50" spans="1:34" x14ac:dyDescent="0.25">
      <c r="A50" s="30">
        <v>104</v>
      </c>
      <c r="B50" s="30">
        <v>33</v>
      </c>
      <c r="C50" s="32" t="str">
        <f t="shared" si="0"/>
        <v>104-33</v>
      </c>
      <c r="D50" s="16" t="s">
        <v>101</v>
      </c>
      <c r="E50" s="16" t="s">
        <v>103</v>
      </c>
      <c r="F50" s="15" t="s">
        <v>102</v>
      </c>
      <c r="G50" s="17">
        <v>42705</v>
      </c>
      <c r="H50" s="15" t="s">
        <v>10</v>
      </c>
      <c r="I50" s="18"/>
      <c r="J50" s="43">
        <f t="shared" si="12"/>
        <v>30</v>
      </c>
      <c r="K50" s="43">
        <v>0</v>
      </c>
      <c r="L50" s="43">
        <f t="shared" si="2"/>
        <v>30</v>
      </c>
      <c r="M50" s="18"/>
      <c r="N50" s="19">
        <v>0</v>
      </c>
      <c r="O50" s="19">
        <v>1155</v>
      </c>
      <c r="P50" s="19"/>
      <c r="Q50" s="19">
        <v>30.33</v>
      </c>
      <c r="R50" s="19"/>
      <c r="S50" s="19">
        <f>IFERROR(VLOOKUP(C50,[2]Base!$C$1:$S$65536,17,0),0)</f>
        <v>0</v>
      </c>
      <c r="T50" s="19"/>
      <c r="U50" s="19">
        <f t="shared" si="13"/>
        <v>0</v>
      </c>
      <c r="V50" s="20"/>
      <c r="W50" s="44">
        <f t="shared" si="16"/>
        <v>0</v>
      </c>
      <c r="Y50" s="19">
        <f t="shared" si="14"/>
        <v>1155</v>
      </c>
      <c r="AA50" s="44">
        <f>IFERROR(VLOOKUP(C50,[1]Vendedor!$C$1:$R$65536,16,0),0)</f>
        <v>2057.8683999999998</v>
      </c>
      <c r="AB50" s="45">
        <f t="shared" si="5"/>
        <v>514.46709999999996</v>
      </c>
      <c r="AC50" s="20"/>
      <c r="AD50" s="44">
        <f>IFERROR(VLOOKUP(C50,[1]Vendedor!$C$1:$T$65536,18,0),0)</f>
        <v>513.33500000000004</v>
      </c>
      <c r="AE50" s="45">
        <f t="shared" si="6"/>
        <v>3085.6704999999997</v>
      </c>
      <c r="AF50" s="44">
        <f t="shared" si="15"/>
        <v>0</v>
      </c>
      <c r="AG50" s="20">
        <v>300</v>
      </c>
      <c r="AH50" s="20"/>
    </row>
    <row r="51" spans="1:34" x14ac:dyDescent="0.25">
      <c r="A51" s="30">
        <v>104</v>
      </c>
      <c r="B51" s="30">
        <v>45</v>
      </c>
      <c r="C51" s="32" t="str">
        <f t="shared" si="0"/>
        <v>104-45</v>
      </c>
      <c r="D51" s="16" t="s">
        <v>106</v>
      </c>
      <c r="E51" s="16" t="s">
        <v>21</v>
      </c>
      <c r="F51" s="15" t="s">
        <v>107</v>
      </c>
      <c r="G51" s="17">
        <v>43441</v>
      </c>
      <c r="H51" s="15" t="s">
        <v>10</v>
      </c>
      <c r="I51" s="18"/>
      <c r="J51" s="43">
        <f t="shared" si="12"/>
        <v>30</v>
      </c>
      <c r="K51" s="43">
        <v>0</v>
      </c>
      <c r="L51" s="43">
        <f t="shared" si="2"/>
        <v>30</v>
      </c>
      <c r="M51" s="18"/>
      <c r="N51" s="19">
        <v>1155</v>
      </c>
      <c r="O51" s="19">
        <v>0</v>
      </c>
      <c r="P51" s="19">
        <f>N51*10%</f>
        <v>115.5</v>
      </c>
      <c r="Q51" s="19"/>
      <c r="R51" s="19"/>
      <c r="S51" s="19">
        <f>IFERROR(VLOOKUP(C51,[2]Base!$C$1:$S$65536,17,0),0)</f>
        <v>0</v>
      </c>
      <c r="T51" s="19"/>
      <c r="U51" s="19">
        <f t="shared" si="13"/>
        <v>0</v>
      </c>
      <c r="V51" s="20"/>
      <c r="W51" s="44">
        <f t="shared" si="16"/>
        <v>0</v>
      </c>
      <c r="Y51" s="19">
        <f t="shared" si="14"/>
        <v>1155</v>
      </c>
      <c r="AA51" s="44">
        <f>IFERROR(VLOOKUP(C51,[1]Vendedor!$C$1:$R$65536,16,0),0)</f>
        <v>0</v>
      </c>
      <c r="AB51" s="45">
        <f t="shared" si="5"/>
        <v>0</v>
      </c>
      <c r="AC51" s="20"/>
      <c r="AD51" s="44">
        <f>IFERROR(VLOOKUP(C51,[1]Vendedor!$C$1:$T$65536,18,0),0)</f>
        <v>0</v>
      </c>
      <c r="AE51" s="45">
        <f t="shared" si="6"/>
        <v>0</v>
      </c>
      <c r="AF51" s="44">
        <f t="shared" si="15"/>
        <v>1155</v>
      </c>
      <c r="AG51" s="20"/>
      <c r="AH51" s="20"/>
    </row>
    <row r="52" spans="1:34" x14ac:dyDescent="0.25">
      <c r="A52" s="30">
        <v>104</v>
      </c>
      <c r="B52" s="30">
        <v>53</v>
      </c>
      <c r="C52" s="32" t="str">
        <f t="shared" si="0"/>
        <v>104-53</v>
      </c>
      <c r="D52" s="16" t="s">
        <v>112</v>
      </c>
      <c r="E52" s="16" t="s">
        <v>14</v>
      </c>
      <c r="F52" s="15" t="s">
        <v>113</v>
      </c>
      <c r="G52" s="17">
        <v>44132</v>
      </c>
      <c r="H52" s="15" t="s">
        <v>10</v>
      </c>
      <c r="I52" s="18"/>
      <c r="J52" s="43">
        <f t="shared" si="12"/>
        <v>30</v>
      </c>
      <c r="K52" s="43">
        <v>0</v>
      </c>
      <c r="L52" s="43">
        <f t="shared" si="2"/>
        <v>30</v>
      </c>
      <c r="M52" s="18"/>
      <c r="N52" s="19">
        <v>0</v>
      </c>
      <c r="O52" s="19">
        <v>1155</v>
      </c>
      <c r="P52" s="19"/>
      <c r="Q52" s="19">
        <v>30.33</v>
      </c>
      <c r="R52" s="19"/>
      <c r="S52" s="19">
        <v>197.6</v>
      </c>
      <c r="T52" s="19"/>
      <c r="U52" s="19">
        <f t="shared" si="13"/>
        <v>197.6</v>
      </c>
      <c r="V52" s="45">
        <f>SUM(AA52:AB52,AF52)*6%</f>
        <v>94.336199999999991</v>
      </c>
      <c r="W52" s="44">
        <f t="shared" si="16"/>
        <v>94.336199999999991</v>
      </c>
      <c r="Y52" s="19">
        <f t="shared" si="14"/>
        <v>1155</v>
      </c>
      <c r="AA52" s="44">
        <f>IFERROR(VLOOKUP(C52,[1]Vendedor!$C$1:$R$65536,16,0),0)</f>
        <v>1257.816</v>
      </c>
      <c r="AB52" s="45">
        <f t="shared" si="5"/>
        <v>314.45400000000001</v>
      </c>
      <c r="AC52" s="20"/>
      <c r="AD52" s="44">
        <f>IFERROR(VLOOKUP(C52,[1]Vendedor!$C$1:$T$65536,18,0),0)</f>
        <v>0</v>
      </c>
      <c r="AE52" s="45">
        <f t="shared" si="6"/>
        <v>1572.27</v>
      </c>
      <c r="AF52" s="44">
        <f t="shared" si="15"/>
        <v>0</v>
      </c>
      <c r="AG52" s="20"/>
      <c r="AH52" s="20"/>
    </row>
    <row r="53" spans="1:34" x14ac:dyDescent="0.25">
      <c r="A53" s="30">
        <v>104</v>
      </c>
      <c r="B53" s="30">
        <v>41</v>
      </c>
      <c r="C53" s="32" t="str">
        <f t="shared" si="0"/>
        <v>104-41</v>
      </c>
      <c r="D53" s="16" t="s">
        <v>104</v>
      </c>
      <c r="E53" s="16" t="s">
        <v>14</v>
      </c>
      <c r="F53" s="15" t="s">
        <v>105</v>
      </c>
      <c r="G53" s="17">
        <v>43070</v>
      </c>
      <c r="H53" s="15" t="s">
        <v>10</v>
      </c>
      <c r="I53" s="18"/>
      <c r="J53" s="43">
        <f t="shared" si="12"/>
        <v>30</v>
      </c>
      <c r="K53" s="43">
        <v>0</v>
      </c>
      <c r="L53" s="43">
        <f t="shared" si="2"/>
        <v>30</v>
      </c>
      <c r="M53" s="18"/>
      <c r="N53" s="19">
        <v>0</v>
      </c>
      <c r="O53" s="19">
        <v>1155</v>
      </c>
      <c r="P53" s="19"/>
      <c r="Q53" s="19">
        <v>30.33</v>
      </c>
      <c r="R53" s="19"/>
      <c r="S53" s="19">
        <f>IFERROR(VLOOKUP(C53,[2]Base!$C$1:$S$65536,17,0),0)</f>
        <v>0</v>
      </c>
      <c r="T53" s="19"/>
      <c r="U53" s="19">
        <f t="shared" si="13"/>
        <v>0</v>
      </c>
      <c r="V53" s="20"/>
      <c r="W53" s="44">
        <f t="shared" si="16"/>
        <v>0</v>
      </c>
      <c r="Y53" s="19">
        <f t="shared" si="14"/>
        <v>1155</v>
      </c>
      <c r="AA53" s="44">
        <f>IFERROR(VLOOKUP(C53,[1]Vendedor!$C$1:$R$65536,16,0),0)</f>
        <v>2055.4514000000004</v>
      </c>
      <c r="AB53" s="45">
        <f t="shared" si="5"/>
        <v>513.86285000000009</v>
      </c>
      <c r="AC53" s="20"/>
      <c r="AD53" s="44">
        <f>IFERROR(VLOOKUP(C53,[1]Vendedor!$C$1:$T$65536,18,0),0)</f>
        <v>513.33500000000004</v>
      </c>
      <c r="AE53" s="45">
        <f t="shared" si="6"/>
        <v>3082.6492500000004</v>
      </c>
      <c r="AF53" s="44">
        <f t="shared" si="15"/>
        <v>0</v>
      </c>
      <c r="AG53" s="20"/>
      <c r="AH53" s="20"/>
    </row>
    <row r="54" spans="1:34" x14ac:dyDescent="0.25">
      <c r="A54" s="30">
        <v>105</v>
      </c>
      <c r="B54" s="30">
        <v>93</v>
      </c>
      <c r="C54" s="32" t="str">
        <f t="shared" si="0"/>
        <v>105-93</v>
      </c>
      <c r="D54" s="16" t="s">
        <v>124</v>
      </c>
      <c r="E54" s="16" t="s">
        <v>14</v>
      </c>
      <c r="F54" s="15" t="s">
        <v>125</v>
      </c>
      <c r="G54" s="17">
        <v>43735</v>
      </c>
      <c r="H54" s="15" t="s">
        <v>10</v>
      </c>
      <c r="I54" s="18"/>
      <c r="J54" s="43">
        <f t="shared" si="12"/>
        <v>30</v>
      </c>
      <c r="K54" s="43">
        <v>0</v>
      </c>
      <c r="L54" s="43">
        <f t="shared" si="2"/>
        <v>30</v>
      </c>
      <c r="M54" s="18"/>
      <c r="N54" s="19">
        <v>0</v>
      </c>
      <c r="O54" s="19">
        <v>1495</v>
      </c>
      <c r="P54" s="19"/>
      <c r="Q54" s="19"/>
      <c r="R54" s="19">
        <v>30.09</v>
      </c>
      <c r="S54" s="19"/>
      <c r="T54" s="19">
        <v>637</v>
      </c>
      <c r="U54" s="19">
        <f t="shared" si="13"/>
        <v>637</v>
      </c>
      <c r="V54" s="45">
        <f>SUM(AA54:AB54,AF54)*6%</f>
        <v>138.35331299999999</v>
      </c>
      <c r="W54" s="44">
        <f t="shared" si="16"/>
        <v>138.35331299999999</v>
      </c>
      <c r="Y54" s="19">
        <f t="shared" si="14"/>
        <v>1495</v>
      </c>
      <c r="AA54" s="44">
        <f>IFERROR(VLOOKUP(C54,[1]Vendedor!$C$1:$R$65536,16,0),0)</f>
        <v>1844.7108399999997</v>
      </c>
      <c r="AB54" s="45">
        <f t="shared" si="5"/>
        <v>461.17770999999993</v>
      </c>
      <c r="AC54" s="20"/>
      <c r="AD54" s="44">
        <f>IFERROR(VLOOKUP(C54,[1]Vendedor!$C$1:$T$65536,18,0),0)</f>
        <v>0</v>
      </c>
      <c r="AE54" s="45">
        <f t="shared" si="6"/>
        <v>2305.8885499999997</v>
      </c>
      <c r="AF54" s="44">
        <f t="shared" si="15"/>
        <v>0</v>
      </c>
      <c r="AG54" s="20">
        <v>300</v>
      </c>
      <c r="AH54" s="20"/>
    </row>
    <row r="55" spans="1:34" x14ac:dyDescent="0.25">
      <c r="A55" s="30">
        <v>105</v>
      </c>
      <c r="B55" s="30">
        <v>68</v>
      </c>
      <c r="C55" s="32" t="str">
        <f t="shared" si="0"/>
        <v>105-68</v>
      </c>
      <c r="D55" s="16" t="s">
        <v>118</v>
      </c>
      <c r="E55" s="16" t="s">
        <v>14</v>
      </c>
      <c r="F55" s="15" t="s">
        <v>119</v>
      </c>
      <c r="G55" s="17">
        <v>42692</v>
      </c>
      <c r="H55" s="15" t="s">
        <v>10</v>
      </c>
      <c r="I55" s="18"/>
      <c r="J55" s="43">
        <f t="shared" si="12"/>
        <v>30</v>
      </c>
      <c r="K55" s="43">
        <v>0</v>
      </c>
      <c r="L55" s="43">
        <f t="shared" si="2"/>
        <v>30</v>
      </c>
      <c r="M55" s="18"/>
      <c r="N55" s="19">
        <v>0</v>
      </c>
      <c r="O55" s="19">
        <v>1495</v>
      </c>
      <c r="P55" s="19"/>
      <c r="Q55" s="19"/>
      <c r="R55" s="19"/>
      <c r="S55" s="19"/>
      <c r="T55" s="19">
        <v>543.4</v>
      </c>
      <c r="U55" s="19">
        <f t="shared" si="13"/>
        <v>543.4</v>
      </c>
      <c r="V55" s="45">
        <f>SUM(AA55:AB55,AF55)*6%</f>
        <v>89.7</v>
      </c>
      <c r="W55" s="44">
        <f t="shared" si="16"/>
        <v>89.7</v>
      </c>
      <c r="Y55" s="19">
        <f t="shared" si="14"/>
        <v>1495</v>
      </c>
      <c r="AA55" s="44">
        <f>IFERROR(VLOOKUP(C55,[1]Vendedor!$C$1:$R$65536,16,0),0)</f>
        <v>67.196640000000002</v>
      </c>
      <c r="AB55" s="45">
        <f t="shared" si="5"/>
        <v>16.799160000000001</v>
      </c>
      <c r="AC55" s="20"/>
      <c r="AD55" s="44">
        <f>IFERROR(VLOOKUP(C55,[1]Vendedor!$C$1:$T$65536,18,0),0)</f>
        <v>0</v>
      </c>
      <c r="AE55" s="45">
        <f t="shared" si="6"/>
        <v>83.995800000000003</v>
      </c>
      <c r="AF55" s="44">
        <f t="shared" si="15"/>
        <v>1411.0042000000001</v>
      </c>
      <c r="AG55" s="20"/>
      <c r="AH55" s="20"/>
    </row>
    <row r="56" spans="1:34" x14ac:dyDescent="0.25">
      <c r="A56" s="30">
        <v>105</v>
      </c>
      <c r="B56" s="30">
        <v>100</v>
      </c>
      <c r="C56" s="32" t="str">
        <f t="shared" si="0"/>
        <v>105-100</v>
      </c>
      <c r="D56" s="16" t="s">
        <v>128</v>
      </c>
      <c r="E56" s="16" t="s">
        <v>21</v>
      </c>
      <c r="F56" s="15" t="s">
        <v>129</v>
      </c>
      <c r="G56" s="17">
        <v>44148</v>
      </c>
      <c r="H56" s="15" t="s">
        <v>10</v>
      </c>
      <c r="I56" s="18"/>
      <c r="J56" s="43">
        <f t="shared" si="12"/>
        <v>30</v>
      </c>
      <c r="K56" s="43">
        <v>0</v>
      </c>
      <c r="L56" s="43">
        <f t="shared" si="2"/>
        <v>30</v>
      </c>
      <c r="M56" s="18"/>
      <c r="N56" s="19">
        <v>1377.6</v>
      </c>
      <c r="O56" s="19">
        <v>0</v>
      </c>
      <c r="P56" s="19">
        <f>N56*10%</f>
        <v>137.76</v>
      </c>
      <c r="Q56" s="19"/>
      <c r="R56" s="19">
        <v>30.09</v>
      </c>
      <c r="S56" s="19"/>
      <c r="T56" s="19">
        <v>200.2</v>
      </c>
      <c r="U56" s="19">
        <f t="shared" si="13"/>
        <v>200.2</v>
      </c>
      <c r="V56" s="45">
        <f>SUM(AA56:AB56,AF56)*6%</f>
        <v>82.655999999999992</v>
      </c>
      <c r="W56" s="44">
        <f t="shared" si="16"/>
        <v>82.655999999999992</v>
      </c>
      <c r="Y56" s="19">
        <f t="shared" si="14"/>
        <v>1377.6</v>
      </c>
      <c r="AA56" s="44">
        <f>IFERROR(VLOOKUP(C56,[1]Vendedor!$C$1:$R$65536,16,0),0)</f>
        <v>0</v>
      </c>
      <c r="AB56" s="45">
        <f t="shared" si="5"/>
        <v>0</v>
      </c>
      <c r="AC56" s="20"/>
      <c r="AD56" s="44">
        <f>IFERROR(VLOOKUP(C56,[1]Vendedor!$C$1:$T$65536,18,0),0)</f>
        <v>0</v>
      </c>
      <c r="AE56" s="45">
        <f t="shared" si="6"/>
        <v>0</v>
      </c>
      <c r="AF56" s="44">
        <f t="shared" si="15"/>
        <v>1377.6</v>
      </c>
      <c r="AG56" s="20"/>
      <c r="AH56" s="20"/>
    </row>
    <row r="57" spans="1:34" x14ac:dyDescent="0.25">
      <c r="A57" s="30">
        <v>105</v>
      </c>
      <c r="B57" s="30">
        <v>61</v>
      </c>
      <c r="C57" s="32" t="str">
        <f t="shared" si="0"/>
        <v>105-61</v>
      </c>
      <c r="D57" s="16" t="s">
        <v>116</v>
      </c>
      <c r="E57" s="16" t="s">
        <v>11</v>
      </c>
      <c r="F57" s="15" t="s">
        <v>117</v>
      </c>
      <c r="G57" s="17">
        <v>42893</v>
      </c>
      <c r="H57" s="15" t="s">
        <v>10</v>
      </c>
      <c r="I57" s="18"/>
      <c r="J57" s="43">
        <f t="shared" si="12"/>
        <v>30</v>
      </c>
      <c r="K57" s="43">
        <v>0</v>
      </c>
      <c r="L57" s="43">
        <f t="shared" si="2"/>
        <v>30</v>
      </c>
      <c r="M57" s="18"/>
      <c r="N57" s="19">
        <v>0</v>
      </c>
      <c r="O57" s="19">
        <v>4635.8999999999996</v>
      </c>
      <c r="P57" s="19"/>
      <c r="Q57" s="19"/>
      <c r="R57" s="19">
        <v>30.09</v>
      </c>
      <c r="S57" s="19">
        <f>IFERROR(VLOOKUP(C57,[2]Base!$C$1:$S$65536,17,0),0)</f>
        <v>0</v>
      </c>
      <c r="T57" s="19"/>
      <c r="U57" s="19">
        <f t="shared" si="13"/>
        <v>0</v>
      </c>
      <c r="V57" s="20"/>
      <c r="W57" s="44">
        <f t="shared" si="16"/>
        <v>0</v>
      </c>
      <c r="Y57" s="19">
        <f t="shared" si="14"/>
        <v>4635.8999999999996</v>
      </c>
      <c r="AA57" s="44">
        <f>VLOOKUP(A57,[3]Gerentes!$B$1:$O$65536,14,0)</f>
        <v>4087.7673600000003</v>
      </c>
      <c r="AB57" s="45">
        <f t="shared" si="5"/>
        <v>1021.9418400000001</v>
      </c>
      <c r="AC57" s="20"/>
      <c r="AD57" s="44">
        <f>VLOOKUP(A57,[3]Gerentes!$B$1:$Q$65536,16,0)</f>
        <v>0</v>
      </c>
      <c r="AE57" s="45">
        <f t="shared" si="6"/>
        <v>5109.7092000000002</v>
      </c>
      <c r="AF57" s="44">
        <f t="shared" si="15"/>
        <v>0</v>
      </c>
      <c r="AG57" s="20"/>
      <c r="AH57" s="20"/>
    </row>
    <row r="58" spans="1:34" x14ac:dyDescent="0.25">
      <c r="A58" s="30">
        <v>105</v>
      </c>
      <c r="B58" s="30">
        <v>84</v>
      </c>
      <c r="C58" s="32" t="str">
        <f t="shared" si="0"/>
        <v>105-84</v>
      </c>
      <c r="D58" s="16" t="s">
        <v>120</v>
      </c>
      <c r="E58" s="16" t="s">
        <v>14</v>
      </c>
      <c r="F58" s="15" t="s">
        <v>121</v>
      </c>
      <c r="G58" s="17">
        <v>43347</v>
      </c>
      <c r="H58" s="15" t="s">
        <v>10</v>
      </c>
      <c r="I58" s="18"/>
      <c r="J58" s="43">
        <f t="shared" si="12"/>
        <v>30</v>
      </c>
      <c r="K58" s="43">
        <v>0</v>
      </c>
      <c r="L58" s="43">
        <f t="shared" si="2"/>
        <v>30</v>
      </c>
      <c r="M58" s="18"/>
      <c r="N58" s="19">
        <v>0</v>
      </c>
      <c r="O58" s="19">
        <v>1495</v>
      </c>
      <c r="P58" s="19"/>
      <c r="Q58" s="19"/>
      <c r="R58" s="19">
        <v>30.09</v>
      </c>
      <c r="S58" s="19"/>
      <c r="T58" s="19">
        <v>310</v>
      </c>
      <c r="U58" s="19">
        <f t="shared" si="13"/>
        <v>310</v>
      </c>
      <c r="V58" s="45">
        <f>SUM(AA58:AB58,AF58)*6%</f>
        <v>218.81115899999998</v>
      </c>
      <c r="W58" s="44">
        <f t="shared" si="16"/>
        <v>218.81115899999998</v>
      </c>
      <c r="Y58" s="19">
        <f t="shared" si="14"/>
        <v>1495</v>
      </c>
      <c r="AA58" s="44">
        <f>IFERROR(VLOOKUP(C58,[1]Vendedor!$C$1:$R$65536,16,0),0)</f>
        <v>2917.4821199999997</v>
      </c>
      <c r="AB58" s="45">
        <f t="shared" si="5"/>
        <v>729.37052999999992</v>
      </c>
      <c r="AC58" s="20"/>
      <c r="AD58" s="44">
        <f>IFERROR(VLOOKUP(C58,[1]Vendedor!$C$1:$T$65536,18,0),0)</f>
        <v>520.97894999999994</v>
      </c>
      <c r="AE58" s="45">
        <f t="shared" si="6"/>
        <v>4167.8315999999995</v>
      </c>
      <c r="AF58" s="44">
        <f t="shared" si="15"/>
        <v>0</v>
      </c>
      <c r="AG58" s="20">
        <v>300</v>
      </c>
      <c r="AH58" s="20"/>
    </row>
    <row r="59" spans="1:34" x14ac:dyDescent="0.25">
      <c r="A59" s="30">
        <v>105</v>
      </c>
      <c r="B59" s="30">
        <v>85</v>
      </c>
      <c r="C59" s="32" t="str">
        <f t="shared" si="0"/>
        <v>105-85</v>
      </c>
      <c r="D59" s="16" t="s">
        <v>122</v>
      </c>
      <c r="E59" s="16" t="s">
        <v>14</v>
      </c>
      <c r="F59" s="15" t="s">
        <v>123</v>
      </c>
      <c r="G59" s="17">
        <v>43411</v>
      </c>
      <c r="H59" s="15" t="s">
        <v>10</v>
      </c>
      <c r="I59" s="18"/>
      <c r="J59" s="43">
        <f t="shared" si="12"/>
        <v>30</v>
      </c>
      <c r="K59" s="43">
        <v>0</v>
      </c>
      <c r="L59" s="43">
        <f t="shared" si="2"/>
        <v>30</v>
      </c>
      <c r="M59" s="18"/>
      <c r="N59" s="19">
        <v>0</v>
      </c>
      <c r="O59" s="19">
        <v>1495</v>
      </c>
      <c r="P59" s="19"/>
      <c r="Q59" s="19"/>
      <c r="R59" s="19"/>
      <c r="S59" s="19"/>
      <c r="T59" s="19">
        <v>192.5</v>
      </c>
      <c r="U59" s="19">
        <f t="shared" si="13"/>
        <v>192.5</v>
      </c>
      <c r="V59" s="45">
        <f>SUM(AA59:AB59,AF59)*6%</f>
        <v>89.7</v>
      </c>
      <c r="W59" s="44">
        <f t="shared" si="16"/>
        <v>89.7</v>
      </c>
      <c r="Y59" s="19">
        <f t="shared" si="14"/>
        <v>1495</v>
      </c>
      <c r="AA59" s="44">
        <f>IFERROR(VLOOKUP(C59,[1]Vendedor!$C$1:$R$65536,16,0),0)</f>
        <v>1030.0746399999998</v>
      </c>
      <c r="AB59" s="45">
        <f t="shared" si="5"/>
        <v>257.51865999999995</v>
      </c>
      <c r="AC59" s="20"/>
      <c r="AD59" s="44">
        <f>IFERROR(VLOOKUP(C59,[1]Vendedor!$C$1:$T$65536,18,0),0)</f>
        <v>0</v>
      </c>
      <c r="AE59" s="45">
        <f t="shared" si="6"/>
        <v>1287.5932999999998</v>
      </c>
      <c r="AF59" s="44">
        <f t="shared" si="15"/>
        <v>207.40670000000023</v>
      </c>
      <c r="AG59" s="20"/>
      <c r="AH59" s="20"/>
    </row>
    <row r="60" spans="1:34" x14ac:dyDescent="0.25">
      <c r="A60" s="30">
        <v>105</v>
      </c>
      <c r="B60" s="30">
        <v>29</v>
      </c>
      <c r="C60" s="32" t="str">
        <f t="shared" si="0"/>
        <v>105-29</v>
      </c>
      <c r="D60" s="16" t="s">
        <v>114</v>
      </c>
      <c r="E60" s="16" t="s">
        <v>21</v>
      </c>
      <c r="F60" s="15" t="s">
        <v>115</v>
      </c>
      <c r="G60" s="17">
        <v>42167</v>
      </c>
      <c r="H60" s="15" t="s">
        <v>10</v>
      </c>
      <c r="I60" s="18"/>
      <c r="J60" s="43">
        <f t="shared" si="12"/>
        <v>30</v>
      </c>
      <c r="K60" s="43">
        <v>0</v>
      </c>
      <c r="L60" s="43">
        <f t="shared" si="2"/>
        <v>30</v>
      </c>
      <c r="M60" s="18"/>
      <c r="N60" s="19">
        <v>1468.46</v>
      </c>
      <c r="O60" s="19">
        <v>0</v>
      </c>
      <c r="P60" s="19">
        <f>N60*10%</f>
        <v>146.846</v>
      </c>
      <c r="Q60" s="19"/>
      <c r="R60" s="19">
        <v>30.09</v>
      </c>
      <c r="S60" s="19"/>
      <c r="T60" s="19">
        <v>400.4</v>
      </c>
      <c r="U60" s="19">
        <f t="shared" si="13"/>
        <v>400.4</v>
      </c>
      <c r="V60" s="45">
        <f>SUM(AA60:AB60,AF60)*6%</f>
        <v>88.107600000000005</v>
      </c>
      <c r="W60" s="44">
        <f t="shared" si="16"/>
        <v>88.107600000000005</v>
      </c>
      <c r="Y60" s="19">
        <f t="shared" si="14"/>
        <v>1468.46</v>
      </c>
      <c r="AA60" s="44">
        <f>IFERROR(VLOOKUP(C60,[1]Vendedor!$C$1:$R$65536,16,0),0)</f>
        <v>0</v>
      </c>
      <c r="AB60" s="45">
        <f t="shared" si="5"/>
        <v>0</v>
      </c>
      <c r="AC60" s="20"/>
      <c r="AD60" s="44">
        <f>IFERROR(VLOOKUP(C60,[1]Vendedor!$C$1:$T$65536,18,0),0)</f>
        <v>0</v>
      </c>
      <c r="AE60" s="45">
        <f t="shared" si="6"/>
        <v>0</v>
      </c>
      <c r="AF60" s="44">
        <f t="shared" si="15"/>
        <v>1468.46</v>
      </c>
      <c r="AG60" s="20"/>
      <c r="AH60" s="20"/>
    </row>
    <row r="61" spans="1:34" x14ac:dyDescent="0.25">
      <c r="A61" s="30">
        <v>105</v>
      </c>
      <c r="B61" s="30">
        <v>95</v>
      </c>
      <c r="C61" s="32" t="str">
        <f t="shared" si="0"/>
        <v>105-95</v>
      </c>
      <c r="D61" s="16" t="s">
        <v>126</v>
      </c>
      <c r="E61" s="16" t="s">
        <v>14</v>
      </c>
      <c r="F61" s="15" t="s">
        <v>127</v>
      </c>
      <c r="G61" s="17">
        <v>43759</v>
      </c>
      <c r="H61" s="15" t="s">
        <v>10</v>
      </c>
      <c r="I61" s="18"/>
      <c r="J61" s="43">
        <f t="shared" si="12"/>
        <v>30</v>
      </c>
      <c r="K61" s="43">
        <v>0</v>
      </c>
      <c r="L61" s="43">
        <f t="shared" si="2"/>
        <v>30</v>
      </c>
      <c r="M61" s="18"/>
      <c r="N61" s="19">
        <v>0</v>
      </c>
      <c r="O61" s="19">
        <v>1495</v>
      </c>
      <c r="P61" s="19"/>
      <c r="Q61" s="19"/>
      <c r="R61" s="19">
        <v>30.09</v>
      </c>
      <c r="S61" s="19"/>
      <c r="T61" s="19">
        <v>442</v>
      </c>
      <c r="U61" s="19">
        <f t="shared" si="13"/>
        <v>442</v>
      </c>
      <c r="V61" s="45">
        <f>SUM(AA61:AB61,AF61)*6%</f>
        <v>208.956447</v>
      </c>
      <c r="W61" s="44">
        <f t="shared" si="16"/>
        <v>208.956447</v>
      </c>
      <c r="Y61" s="19">
        <f t="shared" si="14"/>
        <v>1495</v>
      </c>
      <c r="AA61" s="44">
        <f>IFERROR(VLOOKUP(C61,[1]Vendedor!$C$1:$R$65536,16,0),0)</f>
        <v>2786.0859599999999</v>
      </c>
      <c r="AB61" s="45">
        <f t="shared" si="5"/>
        <v>696.52148999999997</v>
      </c>
      <c r="AC61" s="20"/>
      <c r="AD61" s="44">
        <f>IFERROR(VLOOKUP(C61,[1]Vendedor!$C$1:$T$65536,18,0),0)</f>
        <v>497.51535000000007</v>
      </c>
      <c r="AE61" s="45">
        <f t="shared" si="6"/>
        <v>3980.1228000000001</v>
      </c>
      <c r="AF61" s="44">
        <f t="shared" si="15"/>
        <v>0</v>
      </c>
      <c r="AG61" s="20"/>
      <c r="AH61" s="20"/>
    </row>
    <row r="62" spans="1:34" x14ac:dyDescent="0.25">
      <c r="A62" s="30">
        <v>105</v>
      </c>
      <c r="B62" s="30">
        <v>103</v>
      </c>
      <c r="C62" s="32" t="str">
        <f t="shared" si="0"/>
        <v>105-103</v>
      </c>
      <c r="D62" s="16" t="s">
        <v>130</v>
      </c>
      <c r="E62" s="16" t="s">
        <v>14</v>
      </c>
      <c r="F62" s="15" t="s">
        <v>131</v>
      </c>
      <c r="G62" s="17">
        <v>44236</v>
      </c>
      <c r="H62" s="15" t="s">
        <v>10</v>
      </c>
      <c r="I62" s="18"/>
      <c r="J62" s="43">
        <f t="shared" si="12"/>
        <v>30</v>
      </c>
      <c r="K62" s="43">
        <v>0</v>
      </c>
      <c r="L62" s="43">
        <f t="shared" si="2"/>
        <v>30</v>
      </c>
      <c r="M62" s="18"/>
      <c r="N62" s="19">
        <v>0</v>
      </c>
      <c r="O62" s="19">
        <v>1495</v>
      </c>
      <c r="P62" s="19"/>
      <c r="Q62" s="19"/>
      <c r="R62" s="19">
        <v>30.09</v>
      </c>
      <c r="S62" s="19"/>
      <c r="T62" s="19">
        <v>402.5</v>
      </c>
      <c r="U62" s="19">
        <f t="shared" si="13"/>
        <v>402.5</v>
      </c>
      <c r="V62" s="45">
        <f>SUM(AA62:AB62,AF62)*6%</f>
        <v>89.7</v>
      </c>
      <c r="W62" s="44">
        <f t="shared" si="16"/>
        <v>89.7</v>
      </c>
      <c r="Y62" s="19">
        <f t="shared" si="14"/>
        <v>1495</v>
      </c>
      <c r="AA62" s="44">
        <f>IFERROR(VLOOKUP(C62,[1]Vendedor!$C$1:$R$65536,16,0),0)</f>
        <v>831.42387999999994</v>
      </c>
      <c r="AB62" s="45">
        <f t="shared" si="5"/>
        <v>207.85596999999999</v>
      </c>
      <c r="AC62" s="20"/>
      <c r="AD62" s="44">
        <f>IFERROR(VLOOKUP(C62,[1]Vendedor!$C$1:$T$65536,18,0),0)</f>
        <v>0</v>
      </c>
      <c r="AE62" s="45">
        <f t="shared" si="6"/>
        <v>1039.2798499999999</v>
      </c>
      <c r="AF62" s="44">
        <f t="shared" si="15"/>
        <v>455.7201500000001</v>
      </c>
      <c r="AG62" s="20"/>
      <c r="AH62" s="20"/>
    </row>
    <row r="63" spans="1:34" x14ac:dyDescent="0.25">
      <c r="A63" s="30">
        <v>116</v>
      </c>
      <c r="B63" s="30">
        <v>143</v>
      </c>
      <c r="C63" s="32" t="str">
        <f t="shared" si="0"/>
        <v>116-143</v>
      </c>
      <c r="D63" s="16" t="s">
        <v>132</v>
      </c>
      <c r="E63" s="16" t="s">
        <v>11</v>
      </c>
      <c r="F63" s="15" t="s">
        <v>133</v>
      </c>
      <c r="G63" s="17">
        <v>43405</v>
      </c>
      <c r="H63" s="15" t="s">
        <v>10</v>
      </c>
      <c r="I63" s="18"/>
      <c r="J63" s="43">
        <f t="shared" si="12"/>
        <v>30</v>
      </c>
      <c r="K63" s="43">
        <v>0</v>
      </c>
      <c r="L63" s="43">
        <f t="shared" si="2"/>
        <v>30</v>
      </c>
      <c r="M63" s="18"/>
      <c r="N63" s="19">
        <v>0</v>
      </c>
      <c r="O63" s="19">
        <v>4680</v>
      </c>
      <c r="P63" s="19"/>
      <c r="Q63" s="19"/>
      <c r="R63" s="19"/>
      <c r="S63" s="19">
        <f>IFERROR(VLOOKUP(C63,[2]Base!$C$1:$S$65536,17,0),0)</f>
        <v>0</v>
      </c>
      <c r="T63" s="19"/>
      <c r="U63" s="19">
        <f t="shared" si="13"/>
        <v>0</v>
      </c>
      <c r="V63" s="20"/>
      <c r="W63" s="44">
        <f t="shared" si="16"/>
        <v>0</v>
      </c>
      <c r="Y63" s="19">
        <f t="shared" si="14"/>
        <v>4680</v>
      </c>
      <c r="AA63" s="44">
        <f>VLOOKUP(A63,[3]Gerentes!$B$1:$O$65536,14,0)</f>
        <v>4709.9553800000003</v>
      </c>
      <c r="AB63" s="45">
        <f t="shared" si="5"/>
        <v>1177.4888450000001</v>
      </c>
      <c r="AC63" s="20"/>
      <c r="AD63" s="44">
        <f>VLOOKUP(A63,[3]Gerentes!$B$1:$Q$65536,16,0)</f>
        <v>0</v>
      </c>
      <c r="AE63" s="45">
        <f t="shared" si="6"/>
        <v>5887.4442250000002</v>
      </c>
      <c r="AF63" s="44">
        <f t="shared" si="15"/>
        <v>0</v>
      </c>
      <c r="AG63" s="20"/>
      <c r="AH63" s="20"/>
    </row>
    <row r="64" spans="1:34" x14ac:dyDescent="0.25">
      <c r="A64" s="30">
        <v>116</v>
      </c>
      <c r="B64" s="30">
        <v>164</v>
      </c>
      <c r="C64" s="32" t="str">
        <f t="shared" si="0"/>
        <v>116-164</v>
      </c>
      <c r="D64" s="16" t="s">
        <v>140</v>
      </c>
      <c r="E64" s="16" t="s">
        <v>14</v>
      </c>
      <c r="F64" s="15" t="s">
        <v>141</v>
      </c>
      <c r="G64" s="17">
        <v>43717</v>
      </c>
      <c r="H64" s="15" t="s">
        <v>10</v>
      </c>
      <c r="I64" s="18"/>
      <c r="J64" s="43">
        <f t="shared" si="12"/>
        <v>30</v>
      </c>
      <c r="K64" s="43">
        <v>0</v>
      </c>
      <c r="L64" s="43">
        <f t="shared" si="2"/>
        <v>30</v>
      </c>
      <c r="M64" s="18"/>
      <c r="N64" s="19">
        <v>0</v>
      </c>
      <c r="O64" s="19">
        <v>1755.73</v>
      </c>
      <c r="P64" s="19"/>
      <c r="Q64" s="19"/>
      <c r="R64" s="19"/>
      <c r="S64" s="19">
        <v>561.6</v>
      </c>
      <c r="T64" s="19"/>
      <c r="U64" s="19">
        <f t="shared" si="13"/>
        <v>561.6</v>
      </c>
      <c r="V64" s="45">
        <f>SUM(AA64:AB64,AF64)*6%</f>
        <v>114.6918</v>
      </c>
      <c r="W64" s="44">
        <f t="shared" si="16"/>
        <v>114.6918</v>
      </c>
      <c r="Y64" s="19">
        <f t="shared" si="14"/>
        <v>1755.73</v>
      </c>
      <c r="AA64" s="44">
        <f>IFERROR(VLOOKUP(C64,[1]Vendedor!$C$1:$R$65536,16,0),0)</f>
        <v>1529.2239999999999</v>
      </c>
      <c r="AB64" s="45">
        <f t="shared" si="5"/>
        <v>382.30599999999998</v>
      </c>
      <c r="AC64" s="20"/>
      <c r="AD64" s="44">
        <f>IFERROR(VLOOKUP(C64,[1]Vendedor!$C$1:$T$65536,18,0),0)</f>
        <v>0</v>
      </c>
      <c r="AE64" s="45">
        <f t="shared" si="6"/>
        <v>1911.53</v>
      </c>
      <c r="AF64" s="44">
        <f t="shared" si="15"/>
        <v>0</v>
      </c>
      <c r="AG64" s="20"/>
      <c r="AH64" s="20"/>
    </row>
    <row r="65" spans="1:34" x14ac:dyDescent="0.25">
      <c r="A65" s="30">
        <v>116</v>
      </c>
      <c r="B65" s="30">
        <v>148</v>
      </c>
      <c r="C65" s="32" t="str">
        <f t="shared" si="0"/>
        <v>116-148</v>
      </c>
      <c r="D65" s="16" t="s">
        <v>138</v>
      </c>
      <c r="E65" s="16" t="s">
        <v>14</v>
      </c>
      <c r="F65" s="15" t="s">
        <v>139</v>
      </c>
      <c r="G65" s="17">
        <v>43437</v>
      </c>
      <c r="H65" s="15" t="s">
        <v>10</v>
      </c>
      <c r="I65" s="18"/>
      <c r="J65" s="43">
        <f t="shared" ref="J65:J96" si="17">30-K65</f>
        <v>30</v>
      </c>
      <c r="K65" s="43">
        <v>0</v>
      </c>
      <c r="L65" s="43">
        <f t="shared" si="2"/>
        <v>30</v>
      </c>
      <c r="M65" s="18"/>
      <c r="N65" s="19">
        <v>0</v>
      </c>
      <c r="O65" s="19">
        <v>1755.73</v>
      </c>
      <c r="P65" s="19"/>
      <c r="Q65" s="19"/>
      <c r="R65" s="19"/>
      <c r="S65" s="19">
        <v>425.04</v>
      </c>
      <c r="T65" s="19"/>
      <c r="U65" s="19">
        <f t="shared" si="13"/>
        <v>425.04</v>
      </c>
      <c r="V65" s="45">
        <f>SUM(AA65:AB65,AF65)*6%</f>
        <v>134.892696</v>
      </c>
      <c r="W65" s="44">
        <f t="shared" si="16"/>
        <v>134.892696</v>
      </c>
      <c r="Y65" s="19">
        <f t="shared" si="14"/>
        <v>1755.73</v>
      </c>
      <c r="AA65" s="44">
        <f>IFERROR(VLOOKUP(C65,[1]Vendedor!$C$1:$R$65536,16,0),0)</f>
        <v>1798.5692800000002</v>
      </c>
      <c r="AB65" s="45">
        <f t="shared" si="5"/>
        <v>449.64232000000004</v>
      </c>
      <c r="AC65" s="20"/>
      <c r="AD65" s="44">
        <f>IFERROR(VLOOKUP(C65,[1]Vendedor!$C$1:$T$65536,18,0),0)</f>
        <v>0</v>
      </c>
      <c r="AE65" s="45">
        <f t="shared" si="6"/>
        <v>2248.2116000000001</v>
      </c>
      <c r="AF65" s="44">
        <f t="shared" si="15"/>
        <v>0</v>
      </c>
      <c r="AG65" s="20">
        <v>400</v>
      </c>
      <c r="AH65" s="20"/>
    </row>
    <row r="66" spans="1:34" x14ac:dyDescent="0.25">
      <c r="A66" s="30">
        <v>116</v>
      </c>
      <c r="B66" s="30">
        <v>146</v>
      </c>
      <c r="C66" s="32" t="str">
        <f t="shared" si="0"/>
        <v>116-146</v>
      </c>
      <c r="D66" s="16" t="s">
        <v>136</v>
      </c>
      <c r="E66" s="16" t="s">
        <v>21</v>
      </c>
      <c r="F66" s="15" t="s">
        <v>137</v>
      </c>
      <c r="G66" s="17">
        <v>43431</v>
      </c>
      <c r="H66" s="15" t="s">
        <v>10</v>
      </c>
      <c r="I66" s="18"/>
      <c r="J66" s="43">
        <f t="shared" si="17"/>
        <v>0</v>
      </c>
      <c r="K66" s="30">
        <v>30</v>
      </c>
      <c r="L66" s="43">
        <f t="shared" si="2"/>
        <v>30</v>
      </c>
      <c r="M66" s="18"/>
      <c r="N66" s="19">
        <v>1504.22</v>
      </c>
      <c r="O66" s="19">
        <v>0</v>
      </c>
      <c r="P66" s="19">
        <v>68.400000000000006</v>
      </c>
      <c r="Q66" s="19"/>
      <c r="R66" s="19"/>
      <c r="S66" s="19">
        <v>425.04</v>
      </c>
      <c r="T66" s="19"/>
      <c r="U66" s="19">
        <f t="shared" si="13"/>
        <v>425.04</v>
      </c>
      <c r="V66" s="45">
        <f>N66*6%</f>
        <v>90.253199999999993</v>
      </c>
      <c r="W66" s="44">
        <f t="shared" si="16"/>
        <v>90.253199999999993</v>
      </c>
      <c r="Y66" s="19">
        <f t="shared" si="14"/>
        <v>0</v>
      </c>
      <c r="AA66" s="44">
        <f>IFERROR(VLOOKUP(C66,[1]Vendedor!$C$1:$R$65536,16,0),0)</f>
        <v>0</v>
      </c>
      <c r="AB66" s="45">
        <f t="shared" si="5"/>
        <v>0</v>
      </c>
      <c r="AC66" s="20"/>
      <c r="AD66" s="44">
        <f>IFERROR(VLOOKUP(C66,[1]Vendedor!$C$1:$T$65536,18,0),0)</f>
        <v>0</v>
      </c>
      <c r="AE66" s="45">
        <f t="shared" si="6"/>
        <v>0</v>
      </c>
      <c r="AF66" s="44">
        <f t="shared" si="15"/>
        <v>0</v>
      </c>
      <c r="AG66" s="20">
        <v>300</v>
      </c>
      <c r="AH66" s="20"/>
    </row>
    <row r="67" spans="1:34" x14ac:dyDescent="0.25">
      <c r="A67" s="30">
        <v>116</v>
      </c>
      <c r="B67" s="30">
        <v>175</v>
      </c>
      <c r="C67" s="32" t="str">
        <f t="shared" ref="C67:C130" si="18">CONCATENATE(A67,"-",B67)</f>
        <v>116-175</v>
      </c>
      <c r="D67" s="16" t="s">
        <v>146</v>
      </c>
      <c r="E67" s="16" t="s">
        <v>14</v>
      </c>
      <c r="F67" s="15" t="s">
        <v>147</v>
      </c>
      <c r="G67" s="17">
        <v>44092</v>
      </c>
      <c r="H67" s="15" t="s">
        <v>10</v>
      </c>
      <c r="I67" s="18"/>
      <c r="J67" s="43">
        <f t="shared" si="17"/>
        <v>30</v>
      </c>
      <c r="K67" s="43">
        <v>0</v>
      </c>
      <c r="L67" s="43">
        <f t="shared" ref="L67:L130" si="19">SUM(J67:K67)</f>
        <v>30</v>
      </c>
      <c r="M67" s="18"/>
      <c r="N67" s="19">
        <v>0</v>
      </c>
      <c r="O67" s="19">
        <v>1755.73</v>
      </c>
      <c r="P67" s="19"/>
      <c r="Q67" s="19"/>
      <c r="R67" s="19"/>
      <c r="S67" s="19">
        <f>IFERROR(VLOOKUP(C67,[2]Base!$C$1:$S$65536,17,0),0)</f>
        <v>0</v>
      </c>
      <c r="T67" s="19"/>
      <c r="U67" s="19">
        <f t="shared" ref="U67:U98" si="20">SUM(S67:T67)</f>
        <v>0</v>
      </c>
      <c r="V67" s="20"/>
      <c r="W67" s="44">
        <f t="shared" si="16"/>
        <v>0</v>
      </c>
      <c r="Y67" s="19">
        <f t="shared" ref="Y67:Y98" si="21">SUM(N67:O67)/30*J67</f>
        <v>1755.73</v>
      </c>
      <c r="AA67" s="44">
        <f>IFERROR(VLOOKUP(C67,[1]Vendedor!$C$1:$R$65536,16,0),0)</f>
        <v>2318.4611199999999</v>
      </c>
      <c r="AB67" s="45">
        <f t="shared" ref="AB67:AB130" si="22">AA67*25%</f>
        <v>579.61527999999998</v>
      </c>
      <c r="AC67" s="20"/>
      <c r="AD67" s="44">
        <f>IFERROR(VLOOKUP(C67,[1]Vendedor!$C$1:$T$65536,18,0),0)</f>
        <v>0</v>
      </c>
      <c r="AE67" s="45">
        <f t="shared" ref="AE67:AE130" si="23">SUM(AA67:AD67)</f>
        <v>2898.0763999999999</v>
      </c>
      <c r="AF67" s="44">
        <f t="shared" ref="AF67:AF98" si="24">IF(AE67&lt;Y67,Y67-AE67,0)</f>
        <v>0</v>
      </c>
      <c r="AG67" s="20"/>
      <c r="AH67" s="20"/>
    </row>
    <row r="68" spans="1:34" x14ac:dyDescent="0.25">
      <c r="A68" s="30">
        <v>116</v>
      </c>
      <c r="B68" s="30">
        <v>170</v>
      </c>
      <c r="C68" s="32" t="str">
        <f t="shared" si="18"/>
        <v>116-170</v>
      </c>
      <c r="D68" s="16" t="s">
        <v>144</v>
      </c>
      <c r="E68" s="16" t="s">
        <v>14</v>
      </c>
      <c r="F68" s="15" t="s">
        <v>145</v>
      </c>
      <c r="G68" s="17">
        <v>44079</v>
      </c>
      <c r="H68" s="15" t="s">
        <v>10</v>
      </c>
      <c r="I68" s="18"/>
      <c r="J68" s="43">
        <f t="shared" si="17"/>
        <v>30</v>
      </c>
      <c r="K68" s="43">
        <v>0</v>
      </c>
      <c r="L68" s="43">
        <f t="shared" si="19"/>
        <v>30</v>
      </c>
      <c r="M68" s="18"/>
      <c r="N68" s="19">
        <v>0</v>
      </c>
      <c r="O68" s="19">
        <v>1755.73</v>
      </c>
      <c r="P68" s="19"/>
      <c r="Q68" s="19"/>
      <c r="R68" s="19"/>
      <c r="S68" s="19">
        <v>427.2</v>
      </c>
      <c r="T68" s="19"/>
      <c r="U68" s="19">
        <f t="shared" si="20"/>
        <v>427.2</v>
      </c>
      <c r="V68" s="45">
        <f>SUM(AA68:AB68,AF68)*6%</f>
        <v>130.95146400000002</v>
      </c>
      <c r="W68" s="44">
        <f t="shared" si="16"/>
        <v>130.95146400000002</v>
      </c>
      <c r="Y68" s="19">
        <f t="shared" si="21"/>
        <v>1755.73</v>
      </c>
      <c r="AA68" s="44">
        <f>IFERROR(VLOOKUP(C68,[1]Vendedor!$C$1:$R$65536,16,0),0)</f>
        <v>1746.0195200000001</v>
      </c>
      <c r="AB68" s="45">
        <f t="shared" si="22"/>
        <v>436.50488000000001</v>
      </c>
      <c r="AC68" s="20"/>
      <c r="AD68" s="44">
        <f>IFERROR(VLOOKUP(C68,[1]Vendedor!$C$1:$T$65536,18,0),0)</f>
        <v>0</v>
      </c>
      <c r="AE68" s="45">
        <f t="shared" si="23"/>
        <v>2182.5244000000002</v>
      </c>
      <c r="AF68" s="44">
        <f t="shared" si="24"/>
        <v>0</v>
      </c>
      <c r="AG68" s="20"/>
      <c r="AH68" s="20"/>
    </row>
    <row r="69" spans="1:34" x14ac:dyDescent="0.25">
      <c r="A69" s="30">
        <v>116</v>
      </c>
      <c r="B69" s="30">
        <v>144</v>
      </c>
      <c r="C69" s="32" t="str">
        <f t="shared" si="18"/>
        <v>116-144</v>
      </c>
      <c r="D69" s="16" t="s">
        <v>134</v>
      </c>
      <c r="E69" s="16" t="s">
        <v>14</v>
      </c>
      <c r="F69" s="15" t="s">
        <v>135</v>
      </c>
      <c r="G69" s="17">
        <v>43412</v>
      </c>
      <c r="H69" s="15" t="s">
        <v>10</v>
      </c>
      <c r="I69" s="18"/>
      <c r="J69" s="43">
        <f t="shared" si="17"/>
        <v>30</v>
      </c>
      <c r="K69" s="43">
        <v>0</v>
      </c>
      <c r="L69" s="43">
        <f t="shared" si="19"/>
        <v>30</v>
      </c>
      <c r="M69" s="18"/>
      <c r="N69" s="19">
        <v>0</v>
      </c>
      <c r="O69" s="19">
        <v>1755.73</v>
      </c>
      <c r="P69" s="19"/>
      <c r="Q69" s="19"/>
      <c r="R69" s="19"/>
      <c r="S69" s="19">
        <f>IFERROR(VLOOKUP(C69,[2]Base!$C$1:$S$65536,17,0),0)</f>
        <v>0</v>
      </c>
      <c r="T69" s="19"/>
      <c r="U69" s="19">
        <f t="shared" si="20"/>
        <v>0</v>
      </c>
      <c r="V69" s="20"/>
      <c r="W69" s="44">
        <f t="shared" ref="W69:W100" si="25">IF(U69&gt;V69,V69,U69)</f>
        <v>0</v>
      </c>
      <c r="Y69" s="19">
        <f t="shared" si="21"/>
        <v>1755.73</v>
      </c>
      <c r="AA69" s="44">
        <f>IFERROR(VLOOKUP(C69,[1]Vendedor!$C$1:$R$65536,16,0),0)</f>
        <v>2320.3932800000002</v>
      </c>
      <c r="AB69" s="45">
        <f t="shared" si="22"/>
        <v>580.09832000000006</v>
      </c>
      <c r="AC69" s="20"/>
      <c r="AD69" s="44">
        <f>IFERROR(VLOOKUP(C69,[1]Vendedor!$C$1:$T$65536,18,0),0)</f>
        <v>0</v>
      </c>
      <c r="AE69" s="45">
        <f t="shared" si="23"/>
        <v>2900.4916000000003</v>
      </c>
      <c r="AF69" s="44">
        <f t="shared" si="24"/>
        <v>0</v>
      </c>
      <c r="AG69" s="20"/>
      <c r="AH69" s="20"/>
    </row>
    <row r="70" spans="1:34" x14ac:dyDescent="0.25">
      <c r="A70" s="30">
        <v>116</v>
      </c>
      <c r="B70" s="30">
        <v>169</v>
      </c>
      <c r="C70" s="32" t="str">
        <f t="shared" si="18"/>
        <v>116-169</v>
      </c>
      <c r="D70" s="16" t="s">
        <v>142</v>
      </c>
      <c r="E70" s="16" t="s">
        <v>14</v>
      </c>
      <c r="F70" s="15" t="s">
        <v>143</v>
      </c>
      <c r="G70" s="17">
        <v>41720</v>
      </c>
      <c r="H70" s="15" t="s">
        <v>10</v>
      </c>
      <c r="I70" s="18"/>
      <c r="J70" s="43">
        <f t="shared" si="17"/>
        <v>30</v>
      </c>
      <c r="K70" s="43">
        <v>0</v>
      </c>
      <c r="L70" s="43">
        <f t="shared" si="19"/>
        <v>30</v>
      </c>
      <c r="M70" s="18"/>
      <c r="N70" s="19">
        <v>0</v>
      </c>
      <c r="O70" s="19">
        <v>1755.73</v>
      </c>
      <c r="P70" s="19"/>
      <c r="Q70" s="19"/>
      <c r="R70" s="19"/>
      <c r="S70" s="19">
        <f>IFERROR(VLOOKUP(C70,[2]Base!$C$1:$S$65536,17,0),0)</f>
        <v>0</v>
      </c>
      <c r="T70" s="19"/>
      <c r="U70" s="19">
        <f t="shared" si="20"/>
        <v>0</v>
      </c>
      <c r="V70" s="20"/>
      <c r="W70" s="44">
        <f t="shared" si="25"/>
        <v>0</v>
      </c>
      <c r="Y70" s="19">
        <f t="shared" si="21"/>
        <v>1755.73</v>
      </c>
      <c r="AA70" s="44">
        <f>IFERROR(VLOOKUP(C70,[1]Vendedor!$C$1:$R$65536,16,0),0)</f>
        <v>1881.0691199999999</v>
      </c>
      <c r="AB70" s="45">
        <f t="shared" si="22"/>
        <v>470.26727999999997</v>
      </c>
      <c r="AC70" s="20">
        <v>0</v>
      </c>
      <c r="AD70" s="44">
        <f>IFERROR(VLOOKUP(C70,[1]Vendedor!$C$1:$T$65536,18,0),0)</f>
        <v>0</v>
      </c>
      <c r="AE70" s="45">
        <f t="shared" si="23"/>
        <v>2351.3363999999997</v>
      </c>
      <c r="AF70" s="44">
        <f t="shared" si="24"/>
        <v>0</v>
      </c>
      <c r="AG70" s="20">
        <v>400</v>
      </c>
      <c r="AH70" s="20"/>
    </row>
    <row r="71" spans="1:34" x14ac:dyDescent="0.25">
      <c r="A71" s="30">
        <v>123</v>
      </c>
      <c r="B71" s="30">
        <v>58</v>
      </c>
      <c r="C71" s="32" t="str">
        <f t="shared" si="18"/>
        <v>123-58</v>
      </c>
      <c r="D71" s="16" t="s">
        <v>150</v>
      </c>
      <c r="E71" s="16" t="s">
        <v>14</v>
      </c>
      <c r="F71" s="15" t="s">
        <v>151</v>
      </c>
      <c r="G71" s="17">
        <v>43252</v>
      </c>
      <c r="H71" s="15" t="s">
        <v>10</v>
      </c>
      <c r="I71" s="18"/>
      <c r="J71" s="43">
        <f t="shared" si="17"/>
        <v>30</v>
      </c>
      <c r="K71" s="43">
        <v>0</v>
      </c>
      <c r="L71" s="43">
        <f t="shared" si="19"/>
        <v>30</v>
      </c>
      <c r="M71" s="18"/>
      <c r="N71" s="19">
        <v>0</v>
      </c>
      <c r="O71" s="19">
        <v>1189</v>
      </c>
      <c r="P71" s="19"/>
      <c r="Q71" s="19">
        <v>60</v>
      </c>
      <c r="R71" s="19">
        <v>15</v>
      </c>
      <c r="S71" s="19"/>
      <c r="T71" s="19">
        <v>496.8</v>
      </c>
      <c r="U71" s="19">
        <f t="shared" si="20"/>
        <v>496.8</v>
      </c>
      <c r="V71" s="45">
        <f t="shared" ref="V71:V78" si="26">SUM(AA71:AB71,AF71)*6%</f>
        <v>110.66364750000001</v>
      </c>
      <c r="W71" s="44">
        <f t="shared" si="25"/>
        <v>110.66364750000001</v>
      </c>
      <c r="Y71" s="19">
        <f t="shared" si="21"/>
        <v>1189</v>
      </c>
      <c r="AA71" s="44">
        <f>IFERROR(VLOOKUP(C71,[1]Vendedor!$C$1:$R$65536,16,0),0)</f>
        <v>1475.5153000000003</v>
      </c>
      <c r="AB71" s="45">
        <f t="shared" si="22"/>
        <v>368.87882500000006</v>
      </c>
      <c r="AC71" s="20"/>
      <c r="AD71" s="44">
        <f>IFERROR(VLOOKUP(C71,[1]Vendedor!$C$1:$T$65536,18,0),0)</f>
        <v>0</v>
      </c>
      <c r="AE71" s="45">
        <f t="shared" si="23"/>
        <v>1844.3941250000003</v>
      </c>
      <c r="AF71" s="44">
        <f t="shared" si="24"/>
        <v>0</v>
      </c>
      <c r="AG71" s="20"/>
      <c r="AH71" s="20"/>
    </row>
    <row r="72" spans="1:34" x14ac:dyDescent="0.25">
      <c r="A72" s="30">
        <v>123</v>
      </c>
      <c r="B72" s="30">
        <v>69</v>
      </c>
      <c r="C72" s="32" t="str">
        <f t="shared" si="18"/>
        <v>123-69</v>
      </c>
      <c r="D72" s="16" t="s">
        <v>154</v>
      </c>
      <c r="E72" s="16" t="s">
        <v>14</v>
      </c>
      <c r="F72" s="15" t="s">
        <v>155</v>
      </c>
      <c r="G72" s="17">
        <v>43573</v>
      </c>
      <c r="H72" s="15" t="s">
        <v>10</v>
      </c>
      <c r="I72" s="18"/>
      <c r="J72" s="43">
        <f t="shared" si="17"/>
        <v>30</v>
      </c>
      <c r="K72" s="43">
        <v>0</v>
      </c>
      <c r="L72" s="43">
        <f t="shared" si="19"/>
        <v>30</v>
      </c>
      <c r="M72" s="18"/>
      <c r="N72" s="19">
        <v>0</v>
      </c>
      <c r="O72" s="19">
        <v>1189</v>
      </c>
      <c r="P72" s="19"/>
      <c r="Q72" s="19">
        <v>60</v>
      </c>
      <c r="R72" s="19">
        <v>15</v>
      </c>
      <c r="S72" s="19"/>
      <c r="T72" s="19">
        <v>496.8</v>
      </c>
      <c r="U72" s="19">
        <f t="shared" si="20"/>
        <v>496.8</v>
      </c>
      <c r="V72" s="45">
        <f t="shared" si="26"/>
        <v>177.34527449999999</v>
      </c>
      <c r="W72" s="44">
        <f t="shared" si="25"/>
        <v>177.34527449999999</v>
      </c>
      <c r="Y72" s="19">
        <f t="shared" si="21"/>
        <v>1189</v>
      </c>
      <c r="AA72" s="44">
        <f>IFERROR(VLOOKUP(C72,[1]Vendedor!$C$1:$R$65536,16,0),0)</f>
        <v>2364.6036599999998</v>
      </c>
      <c r="AB72" s="45">
        <f t="shared" si="22"/>
        <v>591.15091499999994</v>
      </c>
      <c r="AC72" s="20"/>
      <c r="AD72" s="44">
        <f>IFERROR(VLOOKUP(C72,[1]Vendedor!$C$1:$T$65536,18,0),0)</f>
        <v>288.36630000000002</v>
      </c>
      <c r="AE72" s="45">
        <f t="shared" si="23"/>
        <v>3244.1208750000001</v>
      </c>
      <c r="AF72" s="44">
        <f t="shared" si="24"/>
        <v>0</v>
      </c>
      <c r="AG72" s="20"/>
      <c r="AH72" s="20"/>
    </row>
    <row r="73" spans="1:34" x14ac:dyDescent="0.25">
      <c r="A73" s="30">
        <v>123</v>
      </c>
      <c r="B73" s="30">
        <v>81</v>
      </c>
      <c r="C73" s="32" t="str">
        <f t="shared" si="18"/>
        <v>123-81</v>
      </c>
      <c r="D73" s="16" t="s">
        <v>162</v>
      </c>
      <c r="E73" s="16" t="s">
        <v>14</v>
      </c>
      <c r="F73" s="15" t="s">
        <v>163</v>
      </c>
      <c r="G73" s="17">
        <v>44371</v>
      </c>
      <c r="H73" s="15" t="s">
        <v>10</v>
      </c>
      <c r="I73" s="18"/>
      <c r="J73" s="43">
        <f t="shared" si="17"/>
        <v>30</v>
      </c>
      <c r="K73" s="43">
        <v>0</v>
      </c>
      <c r="L73" s="43">
        <f t="shared" si="19"/>
        <v>30</v>
      </c>
      <c r="M73" s="18"/>
      <c r="N73" s="19">
        <v>0</v>
      </c>
      <c r="O73" s="19">
        <v>1189</v>
      </c>
      <c r="P73" s="19"/>
      <c r="Q73" s="19"/>
      <c r="R73" s="19">
        <v>68.599999999999994</v>
      </c>
      <c r="S73" s="19"/>
      <c r="T73" s="19">
        <v>369.6</v>
      </c>
      <c r="U73" s="19">
        <f t="shared" si="20"/>
        <v>369.6</v>
      </c>
      <c r="V73" s="45">
        <f t="shared" si="26"/>
        <v>71.34</v>
      </c>
      <c r="W73" s="44">
        <f t="shared" si="25"/>
        <v>71.34</v>
      </c>
      <c r="Y73" s="19">
        <f t="shared" si="21"/>
        <v>1189</v>
      </c>
      <c r="AA73" s="44">
        <f>IFERROR(VLOOKUP(C73,[1]Vendedor!$C$1:$R$65536,16,0),0)</f>
        <v>0</v>
      </c>
      <c r="AB73" s="45">
        <f t="shared" si="22"/>
        <v>0</v>
      </c>
      <c r="AC73" s="20"/>
      <c r="AD73" s="44">
        <f>IFERROR(VLOOKUP(C73,[1]Vendedor!$C$1:$T$65536,18,0),0)</f>
        <v>0</v>
      </c>
      <c r="AE73" s="45">
        <f t="shared" si="23"/>
        <v>0</v>
      </c>
      <c r="AF73" s="44">
        <f t="shared" si="24"/>
        <v>1189</v>
      </c>
      <c r="AG73" s="20"/>
      <c r="AH73" s="20"/>
    </row>
    <row r="74" spans="1:34" x14ac:dyDescent="0.25">
      <c r="A74" s="30">
        <v>123</v>
      </c>
      <c r="B74" s="30">
        <v>75</v>
      </c>
      <c r="C74" s="32" t="str">
        <f t="shared" si="18"/>
        <v>123-75</v>
      </c>
      <c r="D74" s="16" t="s">
        <v>158</v>
      </c>
      <c r="E74" s="16" t="s">
        <v>14</v>
      </c>
      <c r="F74" s="15" t="s">
        <v>159</v>
      </c>
      <c r="G74" s="17">
        <v>43808</v>
      </c>
      <c r="H74" s="15" t="s">
        <v>10</v>
      </c>
      <c r="I74" s="18"/>
      <c r="J74" s="43">
        <f t="shared" si="17"/>
        <v>30</v>
      </c>
      <c r="K74" s="43">
        <v>0</v>
      </c>
      <c r="L74" s="43">
        <f t="shared" si="19"/>
        <v>30</v>
      </c>
      <c r="M74" s="18"/>
      <c r="N74" s="19">
        <v>0</v>
      </c>
      <c r="O74" s="19">
        <v>1189</v>
      </c>
      <c r="P74" s="19"/>
      <c r="Q74" s="19">
        <v>60</v>
      </c>
      <c r="R74" s="19">
        <v>15</v>
      </c>
      <c r="S74" s="19"/>
      <c r="T74" s="19">
        <v>412.8</v>
      </c>
      <c r="U74" s="19">
        <f t="shared" si="20"/>
        <v>412.8</v>
      </c>
      <c r="V74" s="45">
        <f t="shared" si="26"/>
        <v>242.57920500000003</v>
      </c>
      <c r="W74" s="44">
        <f t="shared" si="25"/>
        <v>242.57920500000003</v>
      </c>
      <c r="Y74" s="19">
        <f t="shared" si="21"/>
        <v>1189</v>
      </c>
      <c r="AA74" s="44">
        <f>IFERROR(VLOOKUP(C74,[1]Vendedor!$C$1:$R$65536,16,0),0)</f>
        <v>3234.3894000000005</v>
      </c>
      <c r="AB74" s="45">
        <f t="shared" si="22"/>
        <v>808.59735000000012</v>
      </c>
      <c r="AC74" s="20"/>
      <c r="AD74" s="44">
        <f>IFERROR(VLOOKUP(C74,[1]Vendedor!$C$1:$T$65536,18,0),0)</f>
        <v>367.54425000000003</v>
      </c>
      <c r="AE74" s="45">
        <f t="shared" si="23"/>
        <v>4410.5310000000009</v>
      </c>
      <c r="AF74" s="44">
        <f t="shared" si="24"/>
        <v>0</v>
      </c>
      <c r="AG74" s="20"/>
      <c r="AH74" s="20"/>
    </row>
    <row r="75" spans="1:34" x14ac:dyDescent="0.25">
      <c r="A75" s="30">
        <v>123</v>
      </c>
      <c r="B75" s="30">
        <v>76</v>
      </c>
      <c r="C75" s="32" t="str">
        <f t="shared" si="18"/>
        <v>123-76</v>
      </c>
      <c r="D75" s="16" t="s">
        <v>160</v>
      </c>
      <c r="E75" s="16" t="s">
        <v>21</v>
      </c>
      <c r="F75" s="15" t="s">
        <v>161</v>
      </c>
      <c r="G75" s="17">
        <v>44084</v>
      </c>
      <c r="H75" s="15" t="s">
        <v>10</v>
      </c>
      <c r="I75" s="18"/>
      <c r="J75" s="43">
        <f t="shared" si="17"/>
        <v>30</v>
      </c>
      <c r="K75" s="43">
        <v>0</v>
      </c>
      <c r="L75" s="43">
        <f t="shared" si="19"/>
        <v>30</v>
      </c>
      <c r="M75" s="18"/>
      <c r="N75" s="19">
        <v>1189</v>
      </c>
      <c r="O75" s="19">
        <v>0</v>
      </c>
      <c r="P75" s="19">
        <v>118.9</v>
      </c>
      <c r="Q75" s="19">
        <v>60</v>
      </c>
      <c r="R75" s="19">
        <v>15</v>
      </c>
      <c r="S75" s="19"/>
      <c r="T75" s="19">
        <v>197.8</v>
      </c>
      <c r="U75" s="19">
        <f t="shared" si="20"/>
        <v>197.8</v>
      </c>
      <c r="V75" s="45">
        <f t="shared" si="26"/>
        <v>71.34</v>
      </c>
      <c r="W75" s="44">
        <f t="shared" si="25"/>
        <v>71.34</v>
      </c>
      <c r="Y75" s="19">
        <f t="shared" si="21"/>
        <v>1189</v>
      </c>
      <c r="AA75" s="44">
        <f>IFERROR(VLOOKUP(C75,[1]Vendedor!$C$1:$R$65536,16,0),0)</f>
        <v>0</v>
      </c>
      <c r="AB75" s="45">
        <f t="shared" si="22"/>
        <v>0</v>
      </c>
      <c r="AC75" s="20"/>
      <c r="AD75" s="44">
        <f>IFERROR(VLOOKUP(C75,[1]Vendedor!$C$1:$T$65536,18,0),0)</f>
        <v>0</v>
      </c>
      <c r="AE75" s="45">
        <f t="shared" si="23"/>
        <v>0</v>
      </c>
      <c r="AF75" s="44">
        <f t="shared" si="24"/>
        <v>1189</v>
      </c>
      <c r="AG75" s="20"/>
      <c r="AH75" s="20"/>
    </row>
    <row r="76" spans="1:34" x14ac:dyDescent="0.25">
      <c r="A76" s="30">
        <v>123</v>
      </c>
      <c r="B76" s="30">
        <v>68</v>
      </c>
      <c r="C76" s="32" t="str">
        <f t="shared" si="18"/>
        <v>123-68</v>
      </c>
      <c r="D76" s="16" t="s">
        <v>152</v>
      </c>
      <c r="E76" s="16" t="s">
        <v>11</v>
      </c>
      <c r="F76" s="15" t="s">
        <v>153</v>
      </c>
      <c r="G76" s="17">
        <v>43560</v>
      </c>
      <c r="H76" s="15" t="s">
        <v>10</v>
      </c>
      <c r="I76" s="18"/>
      <c r="J76" s="43">
        <f t="shared" si="17"/>
        <v>30</v>
      </c>
      <c r="K76" s="43">
        <v>0</v>
      </c>
      <c r="L76" s="43">
        <f t="shared" si="19"/>
        <v>30</v>
      </c>
      <c r="M76" s="18"/>
      <c r="N76" s="19">
        <v>0</v>
      </c>
      <c r="O76" s="19">
        <v>4676.3999999999996</v>
      </c>
      <c r="P76" s="19"/>
      <c r="Q76" s="19">
        <v>60</v>
      </c>
      <c r="R76" s="19">
        <v>15</v>
      </c>
      <c r="S76" s="19"/>
      <c r="T76" s="19">
        <v>561.6</v>
      </c>
      <c r="U76" s="19">
        <f t="shared" si="20"/>
        <v>561.6</v>
      </c>
      <c r="V76" s="45">
        <f t="shared" si="26"/>
        <v>353.03245500000003</v>
      </c>
      <c r="W76" s="44">
        <f t="shared" si="25"/>
        <v>353.03245500000003</v>
      </c>
      <c r="Y76" s="19">
        <f t="shared" si="21"/>
        <v>4676.3999999999996</v>
      </c>
      <c r="AA76" s="44">
        <f>VLOOKUP(A76,[3]Gerentes!$B$1:$O$65536,14,0)</f>
        <v>4707.099400000001</v>
      </c>
      <c r="AB76" s="45">
        <f t="shared" si="22"/>
        <v>1176.7748500000002</v>
      </c>
      <c r="AC76" s="20"/>
      <c r="AD76" s="44" t="str">
        <f>VLOOKUP(A76,[3]Gerentes!$B$1:$Q$65536,16,0)</f>
        <v>2000</v>
      </c>
      <c r="AE76" s="45">
        <f t="shared" si="23"/>
        <v>5883.8742500000008</v>
      </c>
      <c r="AF76" s="44">
        <f t="shared" si="24"/>
        <v>0</v>
      </c>
      <c r="AG76" s="20"/>
      <c r="AH76" s="20"/>
    </row>
    <row r="77" spans="1:34" x14ac:dyDescent="0.25">
      <c r="A77" s="30">
        <v>123</v>
      </c>
      <c r="B77" s="30">
        <v>36</v>
      </c>
      <c r="C77" s="32" t="str">
        <f t="shared" si="18"/>
        <v>123-36</v>
      </c>
      <c r="D77" s="16" t="s">
        <v>148</v>
      </c>
      <c r="E77" s="16" t="s">
        <v>14</v>
      </c>
      <c r="F77" s="15" t="s">
        <v>149</v>
      </c>
      <c r="G77" s="17">
        <v>42564</v>
      </c>
      <c r="H77" s="15" t="s">
        <v>10</v>
      </c>
      <c r="I77" s="18"/>
      <c r="J77" s="43">
        <f t="shared" si="17"/>
        <v>30</v>
      </c>
      <c r="K77" s="43">
        <v>0</v>
      </c>
      <c r="L77" s="43">
        <f t="shared" si="19"/>
        <v>30</v>
      </c>
      <c r="M77" s="18"/>
      <c r="N77" s="19">
        <v>0</v>
      </c>
      <c r="O77" s="19">
        <v>1189</v>
      </c>
      <c r="P77" s="19"/>
      <c r="Q77" s="19">
        <v>60</v>
      </c>
      <c r="R77" s="19">
        <v>15</v>
      </c>
      <c r="S77" s="19"/>
      <c r="T77" s="19">
        <v>518.4</v>
      </c>
      <c r="U77" s="19">
        <f t="shared" si="20"/>
        <v>518.4</v>
      </c>
      <c r="V77" s="45">
        <f t="shared" si="26"/>
        <v>140.59907849999999</v>
      </c>
      <c r="W77" s="44">
        <f t="shared" si="25"/>
        <v>140.59907849999999</v>
      </c>
      <c r="Y77" s="19">
        <f t="shared" si="21"/>
        <v>1189</v>
      </c>
      <c r="AA77" s="44">
        <f>IFERROR(VLOOKUP(C77,[1]Vendedor!$C$1:$R$65536,16,0),0)</f>
        <v>1874.6543799999999</v>
      </c>
      <c r="AB77" s="45">
        <f t="shared" si="22"/>
        <v>468.66359499999999</v>
      </c>
      <c r="AC77" s="20">
        <v>400</v>
      </c>
      <c r="AD77" s="44">
        <f>IFERROR(VLOOKUP(C77,[1]Vendedor!$C$1:$T$65536,18,0),0)</f>
        <v>246.66505000000001</v>
      </c>
      <c r="AE77" s="45">
        <f t="shared" si="23"/>
        <v>2989.983025</v>
      </c>
      <c r="AF77" s="44">
        <f t="shared" si="24"/>
        <v>0</v>
      </c>
      <c r="AG77" s="20">
        <v>300</v>
      </c>
      <c r="AH77" s="20"/>
    </row>
    <row r="78" spans="1:34" x14ac:dyDescent="0.25">
      <c r="A78" s="30">
        <v>123</v>
      </c>
      <c r="B78" s="30">
        <v>70</v>
      </c>
      <c r="C78" s="32" t="str">
        <f t="shared" si="18"/>
        <v>123-70</v>
      </c>
      <c r="D78" s="16" t="s">
        <v>156</v>
      </c>
      <c r="E78" s="16" t="s">
        <v>14</v>
      </c>
      <c r="F78" s="15" t="s">
        <v>157</v>
      </c>
      <c r="G78" s="17">
        <v>43718</v>
      </c>
      <c r="H78" s="15" t="s">
        <v>10</v>
      </c>
      <c r="I78" s="18"/>
      <c r="J78" s="43">
        <f t="shared" si="17"/>
        <v>30</v>
      </c>
      <c r="K78" s="43">
        <v>0</v>
      </c>
      <c r="L78" s="43">
        <f t="shared" si="19"/>
        <v>30</v>
      </c>
      <c r="M78" s="18"/>
      <c r="N78" s="19">
        <v>0</v>
      </c>
      <c r="O78" s="19">
        <v>1189</v>
      </c>
      <c r="P78" s="19"/>
      <c r="Q78" s="19">
        <v>60</v>
      </c>
      <c r="R78" s="19">
        <v>15</v>
      </c>
      <c r="S78" s="19"/>
      <c r="T78" s="19">
        <v>206.4</v>
      </c>
      <c r="U78" s="19">
        <f t="shared" si="20"/>
        <v>206.4</v>
      </c>
      <c r="V78" s="45">
        <f t="shared" si="26"/>
        <v>153.40278899999998</v>
      </c>
      <c r="W78" s="44">
        <f t="shared" si="25"/>
        <v>153.40278899999998</v>
      </c>
      <c r="Y78" s="19">
        <f t="shared" si="21"/>
        <v>1189</v>
      </c>
      <c r="AA78" s="44">
        <f>IFERROR(VLOOKUP(C78,[1]Vendedor!$C$1:$R$65536,16,0),0)</f>
        <v>2045.3705199999999</v>
      </c>
      <c r="AB78" s="45">
        <f t="shared" si="22"/>
        <v>511.34262999999999</v>
      </c>
      <c r="AC78" s="20">
        <v>400</v>
      </c>
      <c r="AD78" s="44">
        <f>IFERROR(VLOOKUP(C78,[1]Vendedor!$C$1:$T$65536,18,0),0)</f>
        <v>269.1277</v>
      </c>
      <c r="AE78" s="45">
        <f t="shared" si="23"/>
        <v>3225.84085</v>
      </c>
      <c r="AF78" s="44">
        <f t="shared" si="24"/>
        <v>0</v>
      </c>
      <c r="AG78" s="20">
        <v>300</v>
      </c>
      <c r="AH78" s="20"/>
    </row>
    <row r="79" spans="1:34" x14ac:dyDescent="0.25">
      <c r="A79" s="34">
        <v>124</v>
      </c>
      <c r="B79" s="34">
        <v>32</v>
      </c>
      <c r="C79" s="35" t="str">
        <f t="shared" si="18"/>
        <v>124-32</v>
      </c>
      <c r="D79" s="36" t="s">
        <v>168</v>
      </c>
      <c r="E79" s="36" t="s">
        <v>11</v>
      </c>
      <c r="F79" s="37" t="s">
        <v>169</v>
      </c>
      <c r="G79" s="38">
        <v>42681</v>
      </c>
      <c r="H79" s="37" t="s">
        <v>10</v>
      </c>
      <c r="I79" s="39"/>
      <c r="J79" s="43">
        <f t="shared" si="17"/>
        <v>30</v>
      </c>
      <c r="K79" s="43">
        <v>0</v>
      </c>
      <c r="L79" s="43">
        <f t="shared" si="19"/>
        <v>30</v>
      </c>
      <c r="M79" s="39"/>
      <c r="N79" s="40">
        <v>0</v>
      </c>
      <c r="O79" s="40">
        <v>5272.5</v>
      </c>
      <c r="P79" s="40"/>
      <c r="Q79" s="40">
        <v>73.14</v>
      </c>
      <c r="R79" s="40"/>
      <c r="S79" s="19">
        <f>IFERROR(VLOOKUP(C79,[2]Base!$C$1:$S$65536,17,0),0)</f>
        <v>0</v>
      </c>
      <c r="T79" s="40"/>
      <c r="U79" s="19">
        <f t="shared" si="20"/>
        <v>0</v>
      </c>
      <c r="V79" s="41"/>
      <c r="W79" s="44">
        <f t="shared" si="25"/>
        <v>0</v>
      </c>
      <c r="X79" s="42"/>
      <c r="Y79" s="19">
        <f t="shared" si="21"/>
        <v>5272.5</v>
      </c>
      <c r="Z79" s="42"/>
      <c r="AA79" s="44">
        <f>VLOOKUP(A79,[3]Gerentes!$B$1:$O$65536,14,0)</f>
        <v>3536.08896</v>
      </c>
      <c r="AB79" s="45">
        <f t="shared" si="22"/>
        <v>884.02224000000001</v>
      </c>
      <c r="AC79" s="41"/>
      <c r="AD79" s="44" t="str">
        <f>VLOOKUP(A79,[3]Gerentes!$B$1:$Q$65536,16,0)</f>
        <v>2000</v>
      </c>
      <c r="AE79" s="45">
        <f t="shared" si="23"/>
        <v>4420.1112000000003</v>
      </c>
      <c r="AF79" s="44">
        <f t="shared" si="24"/>
        <v>852.38879999999972</v>
      </c>
      <c r="AG79" s="41"/>
      <c r="AH79" s="41"/>
    </row>
    <row r="80" spans="1:34" x14ac:dyDescent="0.25">
      <c r="A80" s="30">
        <v>124</v>
      </c>
      <c r="B80" s="30">
        <v>2</v>
      </c>
      <c r="C80" s="32" t="str">
        <f t="shared" si="18"/>
        <v>124-2</v>
      </c>
      <c r="D80" s="16" t="s">
        <v>164</v>
      </c>
      <c r="E80" s="16" t="s">
        <v>14</v>
      </c>
      <c r="F80" s="15" t="s">
        <v>165</v>
      </c>
      <c r="G80" s="17">
        <v>41929</v>
      </c>
      <c r="H80" s="15" t="s">
        <v>10</v>
      </c>
      <c r="I80" s="18"/>
      <c r="J80" s="43">
        <f t="shared" si="17"/>
        <v>30</v>
      </c>
      <c r="K80" s="43">
        <v>0</v>
      </c>
      <c r="L80" s="43">
        <f t="shared" si="19"/>
        <v>30</v>
      </c>
      <c r="M80" s="18"/>
      <c r="N80" s="19">
        <v>0</v>
      </c>
      <c r="O80" s="19">
        <v>1214.54</v>
      </c>
      <c r="P80" s="19"/>
      <c r="Q80" s="19">
        <v>73.14</v>
      </c>
      <c r="R80" s="19"/>
      <c r="S80" s="19">
        <f>IFERROR(VLOOKUP(C80,[2]Base!$C$1:$S$65536,17,0),0)</f>
        <v>0</v>
      </c>
      <c r="T80" s="19"/>
      <c r="U80" s="19">
        <f t="shared" si="20"/>
        <v>0</v>
      </c>
      <c r="V80" s="20"/>
      <c r="W80" s="44">
        <f t="shared" si="25"/>
        <v>0</v>
      </c>
      <c r="Y80" s="19">
        <f t="shared" si="21"/>
        <v>1214.54</v>
      </c>
      <c r="AA80" s="44">
        <f>IFERROR(VLOOKUP(C80,[1]Vendedor!$C$1:$R$65536,16,0),0)</f>
        <v>2594.4051200000004</v>
      </c>
      <c r="AB80" s="45">
        <f t="shared" si="22"/>
        <v>648.60128000000009</v>
      </c>
      <c r="AC80" s="20">
        <v>400</v>
      </c>
      <c r="AD80" s="44">
        <f>IFERROR(VLOOKUP(C80,[1]Vendedor!$C$1:$T$65536,18,0),0)</f>
        <v>405.37580000000003</v>
      </c>
      <c r="AE80" s="45">
        <f t="shared" si="23"/>
        <v>4048.3822</v>
      </c>
      <c r="AF80" s="44">
        <f t="shared" si="24"/>
        <v>0</v>
      </c>
      <c r="AG80" s="20">
        <v>400</v>
      </c>
      <c r="AH80" s="20"/>
    </row>
    <row r="81" spans="1:34" s="42" customFormat="1" x14ac:dyDescent="0.25">
      <c r="A81" s="30">
        <v>124</v>
      </c>
      <c r="B81" s="30">
        <v>19</v>
      </c>
      <c r="C81" s="32" t="str">
        <f t="shared" si="18"/>
        <v>124-19</v>
      </c>
      <c r="D81" s="16" t="s">
        <v>166</v>
      </c>
      <c r="E81" s="16" t="s">
        <v>21</v>
      </c>
      <c r="F81" s="15" t="s">
        <v>167</v>
      </c>
      <c r="G81" s="17">
        <v>42082</v>
      </c>
      <c r="H81" s="15" t="s">
        <v>10</v>
      </c>
      <c r="I81" s="18"/>
      <c r="J81" s="43">
        <f t="shared" si="17"/>
        <v>30</v>
      </c>
      <c r="K81" s="43">
        <v>0</v>
      </c>
      <c r="L81" s="43">
        <f t="shared" si="19"/>
        <v>30</v>
      </c>
      <c r="M81" s="18"/>
      <c r="N81" s="19">
        <v>1420.42</v>
      </c>
      <c r="O81" s="19">
        <v>0</v>
      </c>
      <c r="P81" s="19">
        <f>N81*10%</f>
        <v>142.042</v>
      </c>
      <c r="Q81" s="19">
        <v>73.14</v>
      </c>
      <c r="R81" s="19"/>
      <c r="S81" s="19">
        <f>IFERROR(VLOOKUP(C81,[2]Base!$C$1:$S$65536,17,0),0)</f>
        <v>0</v>
      </c>
      <c r="T81" s="19"/>
      <c r="U81" s="19">
        <f t="shared" si="20"/>
        <v>0</v>
      </c>
      <c r="V81" s="20"/>
      <c r="W81" s="44">
        <f t="shared" si="25"/>
        <v>0</v>
      </c>
      <c r="X81" s="13"/>
      <c r="Y81" s="19">
        <f t="shared" si="21"/>
        <v>1420.42</v>
      </c>
      <c r="Z81" s="13"/>
      <c r="AA81" s="44">
        <f>IFERROR(VLOOKUP(C81,[1]Vendedor!$C$1:$R$65536,16,0),0)</f>
        <v>0</v>
      </c>
      <c r="AB81" s="45">
        <f t="shared" si="22"/>
        <v>0</v>
      </c>
      <c r="AC81" s="20"/>
      <c r="AD81" s="44">
        <f>IFERROR(VLOOKUP(C81,[1]Vendedor!$C$1:$T$65536,18,0),0)</f>
        <v>0</v>
      </c>
      <c r="AE81" s="45">
        <f t="shared" si="23"/>
        <v>0</v>
      </c>
      <c r="AF81" s="44">
        <f t="shared" si="24"/>
        <v>1420.42</v>
      </c>
      <c r="AG81" s="20">
        <v>100</v>
      </c>
      <c r="AH81" s="20"/>
    </row>
    <row r="82" spans="1:34" x14ac:dyDescent="0.25">
      <c r="A82" s="30">
        <v>124</v>
      </c>
      <c r="B82" s="30">
        <v>49</v>
      </c>
      <c r="C82" s="32" t="str">
        <f t="shared" si="18"/>
        <v>124-49</v>
      </c>
      <c r="D82" s="16" t="s">
        <v>174</v>
      </c>
      <c r="E82" s="16" t="s">
        <v>14</v>
      </c>
      <c r="F82" s="15" t="s">
        <v>175</v>
      </c>
      <c r="G82" s="17">
        <v>44166</v>
      </c>
      <c r="H82" s="15" t="s">
        <v>10</v>
      </c>
      <c r="I82" s="18"/>
      <c r="J82" s="43">
        <f t="shared" si="17"/>
        <v>30</v>
      </c>
      <c r="K82" s="43">
        <v>0</v>
      </c>
      <c r="L82" s="43">
        <f t="shared" si="19"/>
        <v>30</v>
      </c>
      <c r="M82" s="18"/>
      <c r="N82" s="19">
        <v>0</v>
      </c>
      <c r="O82" s="19">
        <v>1214.54</v>
      </c>
      <c r="P82" s="19"/>
      <c r="Q82" s="19">
        <v>73.14</v>
      </c>
      <c r="R82" s="19"/>
      <c r="S82" s="19">
        <f>IFERROR(VLOOKUP(C82,[2]Base!$C$1:$S$65536,17,0),0)</f>
        <v>0</v>
      </c>
      <c r="T82" s="19"/>
      <c r="U82" s="19">
        <f t="shared" si="20"/>
        <v>0</v>
      </c>
      <c r="V82" s="20"/>
      <c r="W82" s="44">
        <f t="shared" si="25"/>
        <v>0</v>
      </c>
      <c r="Y82" s="19">
        <f t="shared" si="21"/>
        <v>1214.54</v>
      </c>
      <c r="AA82" s="44">
        <f>IFERROR(VLOOKUP(C82,[1]Vendedor!$C$1:$R$65536,16,0),0)</f>
        <v>1852.9622400000001</v>
      </c>
      <c r="AB82" s="45">
        <f t="shared" si="22"/>
        <v>463.24056000000002</v>
      </c>
      <c r="AC82" s="20"/>
      <c r="AD82" s="44">
        <f>IFERROR(VLOOKUP(C82,[1]Vendedor!$C$1:$T$65536,18,0),0)</f>
        <v>289.52535</v>
      </c>
      <c r="AE82" s="45">
        <f t="shared" si="23"/>
        <v>2605.7281499999999</v>
      </c>
      <c r="AF82" s="44">
        <f t="shared" si="24"/>
        <v>0</v>
      </c>
      <c r="AG82" s="20"/>
      <c r="AH82" s="20"/>
    </row>
    <row r="83" spans="1:34" x14ac:dyDescent="0.25">
      <c r="A83" s="30">
        <v>124</v>
      </c>
      <c r="B83" s="30">
        <v>40</v>
      </c>
      <c r="C83" s="32" t="str">
        <f t="shared" si="18"/>
        <v>124-40</v>
      </c>
      <c r="D83" s="16" t="s">
        <v>172</v>
      </c>
      <c r="E83" s="16" t="s">
        <v>14</v>
      </c>
      <c r="F83" s="15" t="s">
        <v>173</v>
      </c>
      <c r="G83" s="17">
        <v>42980</v>
      </c>
      <c r="H83" s="15" t="s">
        <v>10</v>
      </c>
      <c r="I83" s="18"/>
      <c r="J83" s="43">
        <f t="shared" si="17"/>
        <v>30</v>
      </c>
      <c r="K83" s="43">
        <v>0</v>
      </c>
      <c r="L83" s="43">
        <f t="shared" si="19"/>
        <v>30</v>
      </c>
      <c r="M83" s="18"/>
      <c r="N83" s="19">
        <v>0</v>
      </c>
      <c r="O83" s="19">
        <v>1214.54</v>
      </c>
      <c r="P83" s="19"/>
      <c r="Q83" s="19">
        <v>73.14</v>
      </c>
      <c r="R83" s="19"/>
      <c r="S83" s="19">
        <f>IFERROR(VLOOKUP(C83,[2]Base!$C$1:$S$65536,17,0),0)</f>
        <v>0</v>
      </c>
      <c r="T83" s="19"/>
      <c r="U83" s="19">
        <f t="shared" si="20"/>
        <v>0</v>
      </c>
      <c r="V83" s="20"/>
      <c r="W83" s="44">
        <f t="shared" si="25"/>
        <v>0</v>
      </c>
      <c r="Y83" s="19">
        <f t="shared" si="21"/>
        <v>1214.54</v>
      </c>
      <c r="AA83" s="44">
        <f>IFERROR(VLOOKUP(C83,[1]Vendedor!$C$1:$R$65536,16,0),0)</f>
        <v>517.54944</v>
      </c>
      <c r="AB83" s="45">
        <f t="shared" si="22"/>
        <v>129.38736</v>
      </c>
      <c r="AC83" s="20"/>
      <c r="AD83" s="44">
        <f>IFERROR(VLOOKUP(C83,[1]Vendedor!$C$1:$T$65536,18,0),0)</f>
        <v>0</v>
      </c>
      <c r="AE83" s="45">
        <f t="shared" si="23"/>
        <v>646.93679999999995</v>
      </c>
      <c r="AF83" s="44">
        <f t="shared" si="24"/>
        <v>567.60320000000002</v>
      </c>
      <c r="AG83" s="20"/>
      <c r="AH83" s="20"/>
    </row>
    <row r="84" spans="1:34" x14ac:dyDescent="0.25">
      <c r="A84" s="30">
        <v>124</v>
      </c>
      <c r="B84" s="30">
        <v>39</v>
      </c>
      <c r="C84" s="32" t="str">
        <f t="shared" si="18"/>
        <v>124-39</v>
      </c>
      <c r="D84" s="16" t="s">
        <v>170</v>
      </c>
      <c r="E84" s="16" t="s">
        <v>14</v>
      </c>
      <c r="F84" s="15" t="s">
        <v>171</v>
      </c>
      <c r="G84" s="17">
        <v>42956</v>
      </c>
      <c r="H84" s="15" t="s">
        <v>10</v>
      </c>
      <c r="I84" s="18"/>
      <c r="J84" s="43">
        <f t="shared" si="17"/>
        <v>30</v>
      </c>
      <c r="K84" s="43">
        <v>0</v>
      </c>
      <c r="L84" s="43">
        <f t="shared" si="19"/>
        <v>30</v>
      </c>
      <c r="M84" s="18"/>
      <c r="N84" s="19">
        <v>0</v>
      </c>
      <c r="O84" s="19">
        <v>1214.54</v>
      </c>
      <c r="P84" s="19"/>
      <c r="Q84" s="19">
        <v>73.14</v>
      </c>
      <c r="R84" s="19"/>
      <c r="S84" s="19">
        <f>IFERROR(VLOOKUP(C84,[2]Base!$C$1:$S$65536,17,0),0)</f>
        <v>0</v>
      </c>
      <c r="T84" s="19"/>
      <c r="U84" s="19">
        <f t="shared" si="20"/>
        <v>0</v>
      </c>
      <c r="V84" s="20"/>
      <c r="W84" s="44">
        <f t="shared" si="25"/>
        <v>0</v>
      </c>
      <c r="Y84" s="19">
        <f t="shared" si="21"/>
        <v>1214.54</v>
      </c>
      <c r="AA84" s="44">
        <f>IFERROR(VLOOKUP(C84,[1]Vendedor!$C$1:$R$65536,16,0),0)</f>
        <v>2107.2611200000001</v>
      </c>
      <c r="AB84" s="45">
        <f t="shared" si="22"/>
        <v>526.81528000000003</v>
      </c>
      <c r="AC84" s="20"/>
      <c r="AD84" s="44">
        <f>IFERROR(VLOOKUP(C84,[1]Vendedor!$C$1:$T$65536,18,0),0)</f>
        <v>329.25955000000005</v>
      </c>
      <c r="AE84" s="45">
        <f t="shared" si="23"/>
        <v>2963.3359500000001</v>
      </c>
      <c r="AF84" s="44">
        <f t="shared" si="24"/>
        <v>0</v>
      </c>
      <c r="AG84" s="20"/>
      <c r="AH84" s="20"/>
    </row>
    <row r="85" spans="1:34" x14ac:dyDescent="0.25">
      <c r="A85" s="30">
        <v>125</v>
      </c>
      <c r="B85" s="30">
        <v>38</v>
      </c>
      <c r="C85" s="32" t="str">
        <f t="shared" si="18"/>
        <v>125-38</v>
      </c>
      <c r="D85" s="16" t="s">
        <v>180</v>
      </c>
      <c r="E85" s="16" t="s">
        <v>14</v>
      </c>
      <c r="F85" s="15" t="s">
        <v>181</v>
      </c>
      <c r="G85" s="17">
        <v>43245</v>
      </c>
      <c r="H85" s="15" t="s">
        <v>182</v>
      </c>
      <c r="I85" s="18"/>
      <c r="J85" s="43">
        <f t="shared" si="17"/>
        <v>30</v>
      </c>
      <c r="K85" s="43">
        <v>0</v>
      </c>
      <c r="L85" s="43">
        <f t="shared" si="19"/>
        <v>30</v>
      </c>
      <c r="M85" s="18"/>
      <c r="N85" s="19">
        <v>0</v>
      </c>
      <c r="O85" s="19">
        <v>1112</v>
      </c>
      <c r="P85" s="19"/>
      <c r="Q85" s="19"/>
      <c r="R85" s="19"/>
      <c r="S85" s="19">
        <f>IFERROR(VLOOKUP(C85,[2]Base!$C$1:$S$65536,17,0),0)</f>
        <v>0</v>
      </c>
      <c r="T85" s="19"/>
      <c r="U85" s="19">
        <f t="shared" si="20"/>
        <v>0</v>
      </c>
      <c r="V85" s="20"/>
      <c r="W85" s="44">
        <f t="shared" si="25"/>
        <v>0</v>
      </c>
      <c r="Y85" s="19">
        <f t="shared" si="21"/>
        <v>1112</v>
      </c>
      <c r="AA85" s="44">
        <f>IFERROR(VLOOKUP(C85,[1]Vendedor!$C$1:$R$65536,16,0),0)</f>
        <v>0</v>
      </c>
      <c r="AB85" s="45">
        <f t="shared" si="22"/>
        <v>0</v>
      </c>
      <c r="AC85" s="20"/>
      <c r="AD85" s="44">
        <f>IFERROR(VLOOKUP(C85,[1]Vendedor!$C$1:$T$65536,18,0),0)</f>
        <v>0</v>
      </c>
      <c r="AE85" s="45">
        <f t="shared" si="23"/>
        <v>0</v>
      </c>
      <c r="AF85" s="44">
        <f t="shared" si="24"/>
        <v>1112</v>
      </c>
      <c r="AG85" s="20"/>
      <c r="AH85" s="20"/>
    </row>
    <row r="86" spans="1:34" x14ac:dyDescent="0.25">
      <c r="A86" s="30">
        <v>125</v>
      </c>
      <c r="B86" s="30">
        <v>25</v>
      </c>
      <c r="C86" s="32" t="str">
        <f t="shared" si="18"/>
        <v>125-25</v>
      </c>
      <c r="D86" s="16" t="s">
        <v>176</v>
      </c>
      <c r="E86" s="16" t="s">
        <v>11</v>
      </c>
      <c r="F86" s="15" t="s">
        <v>177</v>
      </c>
      <c r="G86" s="17">
        <v>41996</v>
      </c>
      <c r="H86" s="15" t="s">
        <v>10</v>
      </c>
      <c r="I86" s="18"/>
      <c r="J86" s="43">
        <f t="shared" si="17"/>
        <v>30</v>
      </c>
      <c r="K86" s="43">
        <v>0</v>
      </c>
      <c r="L86" s="43">
        <f t="shared" si="19"/>
        <v>30</v>
      </c>
      <c r="M86" s="18"/>
      <c r="N86" s="19">
        <v>0</v>
      </c>
      <c r="O86" s="19">
        <v>4500</v>
      </c>
      <c r="P86" s="19"/>
      <c r="Q86" s="19"/>
      <c r="R86" s="19"/>
      <c r="S86" s="19">
        <f>IFERROR(VLOOKUP(C86,[2]Base!$C$1:$S$65536,17,0),0)</f>
        <v>0</v>
      </c>
      <c r="T86" s="19"/>
      <c r="U86" s="19">
        <f t="shared" si="20"/>
        <v>0</v>
      </c>
      <c r="V86" s="20"/>
      <c r="W86" s="44">
        <f t="shared" si="25"/>
        <v>0</v>
      </c>
      <c r="Y86" s="19">
        <f t="shared" si="21"/>
        <v>4500</v>
      </c>
      <c r="AA86" s="44">
        <f>VLOOKUP(A86,[3]Gerentes!$B$1:$O$65536,14,0)</f>
        <v>2823.3002200000001</v>
      </c>
      <c r="AB86" s="45">
        <f t="shared" si="22"/>
        <v>705.82505500000002</v>
      </c>
      <c r="AC86" s="20"/>
      <c r="AD86" s="44" t="str">
        <f>VLOOKUP(A86,[3]Gerentes!$B$1:$Q$65536,16,0)</f>
        <v>2000</v>
      </c>
      <c r="AE86" s="45">
        <f t="shared" si="23"/>
        <v>3529.1252750000003</v>
      </c>
      <c r="AF86" s="44">
        <f t="shared" si="24"/>
        <v>970.87472499999967</v>
      </c>
      <c r="AG86" s="20"/>
      <c r="AH86" s="20"/>
    </row>
    <row r="87" spans="1:34" x14ac:dyDescent="0.25">
      <c r="A87" s="30">
        <v>125</v>
      </c>
      <c r="B87" s="30">
        <v>54</v>
      </c>
      <c r="C87" s="32" t="str">
        <f t="shared" si="18"/>
        <v>125-54</v>
      </c>
      <c r="D87" s="16" t="s">
        <v>185</v>
      </c>
      <c r="E87" s="16" t="s">
        <v>14</v>
      </c>
      <c r="F87" s="15" t="s">
        <v>186</v>
      </c>
      <c r="G87" s="17">
        <v>43900</v>
      </c>
      <c r="H87" s="15" t="s">
        <v>10</v>
      </c>
      <c r="I87" s="18"/>
      <c r="J87" s="43">
        <f t="shared" si="17"/>
        <v>30</v>
      </c>
      <c r="K87" s="43">
        <v>0</v>
      </c>
      <c r="L87" s="43">
        <f t="shared" si="19"/>
        <v>30</v>
      </c>
      <c r="M87" s="18"/>
      <c r="N87" s="19">
        <v>0</v>
      </c>
      <c r="O87" s="19">
        <v>1112</v>
      </c>
      <c r="P87" s="19"/>
      <c r="Q87" s="19"/>
      <c r="R87" s="19"/>
      <c r="S87" s="19">
        <v>340.8</v>
      </c>
      <c r="T87" s="19"/>
      <c r="U87" s="19">
        <f t="shared" si="20"/>
        <v>340.8</v>
      </c>
      <c r="V87" s="45">
        <f>SUM(AA87:AB87,AF87)*6%</f>
        <v>95.425616999999988</v>
      </c>
      <c r="W87" s="44">
        <f t="shared" si="25"/>
        <v>95.425616999999988</v>
      </c>
      <c r="Y87" s="19">
        <f t="shared" si="21"/>
        <v>1112</v>
      </c>
      <c r="AA87" s="44">
        <f>IFERROR(VLOOKUP(C87,[1]Vendedor!$C$1:$R$65536,16,0),0)</f>
        <v>1272.3415599999998</v>
      </c>
      <c r="AB87" s="45">
        <f t="shared" si="22"/>
        <v>318.08538999999996</v>
      </c>
      <c r="AC87" s="20"/>
      <c r="AD87" s="44">
        <f>IFERROR(VLOOKUP(C87,[1]Vendedor!$C$1:$T$65536,18,0),0)</f>
        <v>0</v>
      </c>
      <c r="AE87" s="45">
        <f t="shared" si="23"/>
        <v>1590.4269499999998</v>
      </c>
      <c r="AF87" s="44">
        <f t="shared" si="24"/>
        <v>0</v>
      </c>
      <c r="AG87" s="20"/>
      <c r="AH87" s="20"/>
    </row>
    <row r="88" spans="1:34" x14ac:dyDescent="0.25">
      <c r="A88" s="30">
        <v>125</v>
      </c>
      <c r="B88" s="30">
        <v>48</v>
      </c>
      <c r="C88" s="32" t="str">
        <f t="shared" si="18"/>
        <v>125-48</v>
      </c>
      <c r="D88" s="16" t="s">
        <v>183</v>
      </c>
      <c r="E88" s="16" t="s">
        <v>14</v>
      </c>
      <c r="F88" s="15" t="s">
        <v>184</v>
      </c>
      <c r="G88" s="17">
        <v>43787</v>
      </c>
      <c r="H88" s="15" t="s">
        <v>10</v>
      </c>
      <c r="I88" s="18"/>
      <c r="J88" s="43">
        <f t="shared" si="17"/>
        <v>0</v>
      </c>
      <c r="K88" s="30">
        <v>30</v>
      </c>
      <c r="L88" s="43">
        <f t="shared" si="19"/>
        <v>30</v>
      </c>
      <c r="M88" s="18"/>
      <c r="N88" s="19">
        <v>0</v>
      </c>
      <c r="O88" s="19">
        <v>1112</v>
      </c>
      <c r="P88" s="19"/>
      <c r="Q88" s="19"/>
      <c r="R88" s="19"/>
      <c r="S88" s="19">
        <f>IFERROR(VLOOKUP(C88,[2]Base!$C$1:$S$65536,17,0),0)</f>
        <v>0</v>
      </c>
      <c r="T88" s="19"/>
      <c r="U88" s="19">
        <f t="shared" si="20"/>
        <v>0</v>
      </c>
      <c r="V88" s="20"/>
      <c r="W88" s="44">
        <f t="shared" si="25"/>
        <v>0</v>
      </c>
      <c r="Y88" s="19">
        <f t="shared" si="21"/>
        <v>0</v>
      </c>
      <c r="AA88" s="44">
        <f>IFERROR(VLOOKUP(C88,[1]Vendedor!$C$1:$R$65536,16,0),0)</f>
        <v>0</v>
      </c>
      <c r="AB88" s="45">
        <f t="shared" si="22"/>
        <v>0</v>
      </c>
      <c r="AC88" s="20"/>
      <c r="AD88" s="44">
        <f>IFERROR(VLOOKUP(C88,[1]Vendedor!$C$1:$T$65536,18,0),0)</f>
        <v>0</v>
      </c>
      <c r="AE88" s="45">
        <f t="shared" si="23"/>
        <v>0</v>
      </c>
      <c r="AF88" s="44">
        <f t="shared" si="24"/>
        <v>0</v>
      </c>
      <c r="AG88" s="20"/>
      <c r="AH88" s="20"/>
    </row>
    <row r="89" spans="1:34" x14ac:dyDescent="0.25">
      <c r="A89" s="30">
        <v>125</v>
      </c>
      <c r="B89" s="30">
        <v>58</v>
      </c>
      <c r="C89" s="32" t="str">
        <f t="shared" si="18"/>
        <v>125-58</v>
      </c>
      <c r="D89" s="16" t="s">
        <v>189</v>
      </c>
      <c r="E89" s="16" t="s">
        <v>14</v>
      </c>
      <c r="F89" s="15" t="s">
        <v>190</v>
      </c>
      <c r="G89" s="17">
        <v>44158</v>
      </c>
      <c r="H89" s="15" t="s">
        <v>10</v>
      </c>
      <c r="I89" s="18"/>
      <c r="J89" s="43">
        <f t="shared" si="17"/>
        <v>30</v>
      </c>
      <c r="K89" s="43">
        <v>0</v>
      </c>
      <c r="L89" s="43">
        <f t="shared" si="19"/>
        <v>30</v>
      </c>
      <c r="M89" s="18"/>
      <c r="N89" s="19">
        <v>0</v>
      </c>
      <c r="O89" s="19">
        <v>1112</v>
      </c>
      <c r="P89" s="19"/>
      <c r="Q89" s="19"/>
      <c r="R89" s="19"/>
      <c r="S89" s="19">
        <f>IFERROR(VLOOKUP(C89,[2]Base!$C$1:$S$65536,17,0),0)</f>
        <v>0</v>
      </c>
      <c r="T89" s="19"/>
      <c r="U89" s="19">
        <f t="shared" si="20"/>
        <v>0</v>
      </c>
      <c r="V89" s="20"/>
      <c r="W89" s="44">
        <f t="shared" si="25"/>
        <v>0</v>
      </c>
      <c r="Y89" s="19">
        <f t="shared" si="21"/>
        <v>1112</v>
      </c>
      <c r="AA89" s="44">
        <f>IFERROR(VLOOKUP(C89,[1]Vendedor!$C$1:$R$65536,16,0),0)</f>
        <v>1544.3189999999997</v>
      </c>
      <c r="AB89" s="45">
        <f t="shared" si="22"/>
        <v>386.07974999999993</v>
      </c>
      <c r="AC89" s="20"/>
      <c r="AD89" s="44">
        <f>IFERROR(VLOOKUP(C89,[1]Vendedor!$C$1:$T$65536,18,0),0)</f>
        <v>275.77125000000001</v>
      </c>
      <c r="AE89" s="45">
        <f t="shared" si="23"/>
        <v>2206.1699999999996</v>
      </c>
      <c r="AF89" s="44">
        <f t="shared" si="24"/>
        <v>0</v>
      </c>
      <c r="AG89" s="20"/>
      <c r="AH89" s="20"/>
    </row>
    <row r="90" spans="1:34" x14ac:dyDescent="0.25">
      <c r="A90" s="30">
        <v>125</v>
      </c>
      <c r="B90" s="30">
        <v>28</v>
      </c>
      <c r="C90" s="32" t="str">
        <f t="shared" si="18"/>
        <v>125-28</v>
      </c>
      <c r="D90" s="16" t="s">
        <v>178</v>
      </c>
      <c r="E90" s="16" t="s">
        <v>14</v>
      </c>
      <c r="F90" s="15" t="s">
        <v>179</v>
      </c>
      <c r="G90" s="17">
        <v>42710</v>
      </c>
      <c r="H90" s="15" t="s">
        <v>10</v>
      </c>
      <c r="I90" s="18"/>
      <c r="J90" s="43">
        <f t="shared" si="17"/>
        <v>30</v>
      </c>
      <c r="K90" s="43">
        <v>0</v>
      </c>
      <c r="L90" s="43">
        <f t="shared" si="19"/>
        <v>30</v>
      </c>
      <c r="M90" s="18"/>
      <c r="N90" s="19">
        <v>0</v>
      </c>
      <c r="O90" s="19">
        <v>1112</v>
      </c>
      <c r="P90" s="19"/>
      <c r="Q90" s="19"/>
      <c r="R90" s="19"/>
      <c r="S90" s="19">
        <f>IFERROR(VLOOKUP(C90,[2]Base!$C$1:$S$65536,17,0),0)</f>
        <v>0</v>
      </c>
      <c r="T90" s="19"/>
      <c r="U90" s="19">
        <f t="shared" si="20"/>
        <v>0</v>
      </c>
      <c r="V90" s="20"/>
      <c r="W90" s="44">
        <f t="shared" si="25"/>
        <v>0</v>
      </c>
      <c r="Y90" s="19">
        <f t="shared" si="21"/>
        <v>1112</v>
      </c>
      <c r="AA90" s="44">
        <f>IFERROR(VLOOKUP(C90,[1]Vendedor!$C$1:$R$65536,16,0),0)</f>
        <v>1503.5700399999998</v>
      </c>
      <c r="AB90" s="45">
        <f t="shared" si="22"/>
        <v>375.89250999999996</v>
      </c>
      <c r="AC90" s="20">
        <v>400</v>
      </c>
      <c r="AD90" s="44">
        <f>IFERROR(VLOOKUP(C90,[1]Vendedor!$C$1:$T$65536,18,0),0)</f>
        <v>268.49464999999998</v>
      </c>
      <c r="AE90" s="45">
        <f t="shared" si="23"/>
        <v>2547.9571999999998</v>
      </c>
      <c r="AF90" s="44">
        <f t="shared" si="24"/>
        <v>0</v>
      </c>
      <c r="AG90" s="20">
        <v>300</v>
      </c>
      <c r="AH90" s="20"/>
    </row>
    <row r="91" spans="1:34" x14ac:dyDescent="0.25">
      <c r="A91" s="30">
        <v>125</v>
      </c>
      <c r="B91" s="30">
        <v>55</v>
      </c>
      <c r="C91" s="32" t="str">
        <f t="shared" si="18"/>
        <v>125-55</v>
      </c>
      <c r="D91" s="16" t="s">
        <v>187</v>
      </c>
      <c r="E91" s="16" t="s">
        <v>14</v>
      </c>
      <c r="F91" s="15" t="s">
        <v>188</v>
      </c>
      <c r="G91" s="17">
        <v>44099</v>
      </c>
      <c r="H91" s="15" t="s">
        <v>10</v>
      </c>
      <c r="I91" s="18"/>
      <c r="J91" s="43">
        <f t="shared" si="17"/>
        <v>30</v>
      </c>
      <c r="K91" s="43">
        <v>0</v>
      </c>
      <c r="L91" s="43">
        <f t="shared" si="19"/>
        <v>30</v>
      </c>
      <c r="M91" s="18"/>
      <c r="N91" s="19">
        <v>0</v>
      </c>
      <c r="O91" s="19">
        <v>1112</v>
      </c>
      <c r="P91" s="19"/>
      <c r="Q91" s="19"/>
      <c r="R91" s="19"/>
      <c r="S91" s="19">
        <f>IFERROR(VLOOKUP(C91,[2]Base!$C$1:$S$65536,17,0),0)</f>
        <v>0</v>
      </c>
      <c r="T91" s="19"/>
      <c r="U91" s="19">
        <f t="shared" si="20"/>
        <v>0</v>
      </c>
      <c r="V91" s="20"/>
      <c r="W91" s="44">
        <f t="shared" si="25"/>
        <v>0</v>
      </c>
      <c r="Y91" s="19">
        <f t="shared" si="21"/>
        <v>1112</v>
      </c>
      <c r="AA91" s="44">
        <f>IFERROR(VLOOKUP(C91,[1]Vendedor!$C$1:$R$65536,16,0),0)</f>
        <v>1732.8368399999997</v>
      </c>
      <c r="AB91" s="45">
        <f t="shared" si="22"/>
        <v>433.20920999999993</v>
      </c>
      <c r="AC91" s="20"/>
      <c r="AD91" s="44">
        <f>IFERROR(VLOOKUP(C91,[1]Vendedor!$C$1:$T$65536,18,0),0)</f>
        <v>309.43515000000002</v>
      </c>
      <c r="AE91" s="45">
        <f t="shared" si="23"/>
        <v>2475.4811999999993</v>
      </c>
      <c r="AF91" s="44">
        <f t="shared" si="24"/>
        <v>0</v>
      </c>
      <c r="AG91" s="20"/>
      <c r="AH91" s="20"/>
    </row>
    <row r="92" spans="1:34" x14ac:dyDescent="0.25">
      <c r="A92" s="30">
        <v>126</v>
      </c>
      <c r="B92" s="30">
        <v>41</v>
      </c>
      <c r="C92" s="32" t="str">
        <f t="shared" si="18"/>
        <v>126-41</v>
      </c>
      <c r="D92" s="16" t="s">
        <v>197</v>
      </c>
      <c r="E92" s="16" t="s">
        <v>14</v>
      </c>
      <c r="F92" s="15" t="s">
        <v>198</v>
      </c>
      <c r="G92" s="17">
        <v>43160</v>
      </c>
      <c r="H92" s="15" t="s">
        <v>10</v>
      </c>
      <c r="I92" s="18"/>
      <c r="J92" s="43">
        <f t="shared" si="17"/>
        <v>30</v>
      </c>
      <c r="K92" s="43">
        <v>0</v>
      </c>
      <c r="L92" s="43">
        <f t="shared" si="19"/>
        <v>30</v>
      </c>
      <c r="M92" s="18"/>
      <c r="N92" s="19">
        <v>662.04</v>
      </c>
      <c r="O92" s="19">
        <v>1315</v>
      </c>
      <c r="P92" s="19"/>
      <c r="Q92" s="19"/>
      <c r="R92" s="19">
        <v>41</v>
      </c>
      <c r="S92" s="19">
        <v>206.4</v>
      </c>
      <c r="T92" s="19"/>
      <c r="U92" s="19">
        <f t="shared" si="20"/>
        <v>206.4</v>
      </c>
      <c r="V92" s="45">
        <f>N92*6%</f>
        <v>39.722399999999993</v>
      </c>
      <c r="W92" s="44">
        <f t="shared" si="25"/>
        <v>39.722399999999993</v>
      </c>
      <c r="Y92" s="19">
        <f t="shared" si="21"/>
        <v>1977.0399999999997</v>
      </c>
      <c r="AA92" s="44">
        <f>IFERROR(VLOOKUP(C92,[1]Vendedor!$C$1:$R$65536,16,0),0)</f>
        <v>2922.2700800000002</v>
      </c>
      <c r="AB92" s="45">
        <f t="shared" si="22"/>
        <v>730.56752000000006</v>
      </c>
      <c r="AC92" s="20">
        <v>200</v>
      </c>
      <c r="AD92" s="44">
        <f>IFERROR(VLOOKUP(C92,[1]Vendedor!$C$1:$T$65536,18,0),0)</f>
        <v>456.60470000000004</v>
      </c>
      <c r="AE92" s="45">
        <f t="shared" si="23"/>
        <v>4309.4423000000006</v>
      </c>
      <c r="AF92" s="44">
        <f t="shared" si="24"/>
        <v>0</v>
      </c>
      <c r="AG92" s="20">
        <v>300</v>
      </c>
      <c r="AH92" s="20"/>
    </row>
    <row r="93" spans="1:34" x14ac:dyDescent="0.25">
      <c r="A93" s="30">
        <v>126</v>
      </c>
      <c r="B93" s="30">
        <v>56</v>
      </c>
      <c r="C93" s="32" t="str">
        <f t="shared" si="18"/>
        <v>126-56</v>
      </c>
      <c r="D93" s="16" t="s">
        <v>205</v>
      </c>
      <c r="E93" s="16" t="s">
        <v>21</v>
      </c>
      <c r="F93" s="15" t="s">
        <v>206</v>
      </c>
      <c r="G93" s="17">
        <v>44183</v>
      </c>
      <c r="H93" s="15" t="s">
        <v>10</v>
      </c>
      <c r="I93" s="18"/>
      <c r="J93" s="43">
        <f t="shared" si="17"/>
        <v>30</v>
      </c>
      <c r="K93" s="43">
        <v>0</v>
      </c>
      <c r="L93" s="43">
        <f t="shared" si="19"/>
        <v>30</v>
      </c>
      <c r="M93" s="18"/>
      <c r="N93" s="19">
        <v>1283</v>
      </c>
      <c r="O93" s="19">
        <v>0</v>
      </c>
      <c r="P93" s="19">
        <v>158</v>
      </c>
      <c r="Q93" s="19"/>
      <c r="R93" s="19">
        <v>21</v>
      </c>
      <c r="S93" s="19">
        <v>215</v>
      </c>
      <c r="T93" s="19"/>
      <c r="U93" s="19">
        <f t="shared" si="20"/>
        <v>215</v>
      </c>
      <c r="V93" s="45">
        <f>SUM(AA93:AB93,AF93)*6%</f>
        <v>76.98</v>
      </c>
      <c r="W93" s="44">
        <f t="shared" si="25"/>
        <v>76.98</v>
      </c>
      <c r="Y93" s="19">
        <f t="shared" si="21"/>
        <v>1283</v>
      </c>
      <c r="AA93" s="44">
        <f>IFERROR(VLOOKUP(C93,[1]Vendedor!$C$1:$R$65536,16,0),0)</f>
        <v>0</v>
      </c>
      <c r="AB93" s="45">
        <f t="shared" si="22"/>
        <v>0</v>
      </c>
      <c r="AC93" s="20"/>
      <c r="AD93" s="44">
        <f>IFERROR(VLOOKUP(C93,[1]Vendedor!$C$1:$T$65536,18,0),0)</f>
        <v>0</v>
      </c>
      <c r="AE93" s="45">
        <f t="shared" si="23"/>
        <v>0</v>
      </c>
      <c r="AF93" s="44">
        <f t="shared" si="24"/>
        <v>1283</v>
      </c>
      <c r="AG93" s="20"/>
      <c r="AH93" s="20"/>
    </row>
    <row r="94" spans="1:34" x14ac:dyDescent="0.25">
      <c r="A94" s="30">
        <v>126</v>
      </c>
      <c r="B94" s="30">
        <v>45</v>
      </c>
      <c r="C94" s="32" t="str">
        <f t="shared" si="18"/>
        <v>126-45</v>
      </c>
      <c r="D94" s="16" t="s">
        <v>199</v>
      </c>
      <c r="E94" s="16" t="s">
        <v>14</v>
      </c>
      <c r="F94" s="15" t="s">
        <v>200</v>
      </c>
      <c r="G94" s="17">
        <v>43431</v>
      </c>
      <c r="H94" s="15" t="s">
        <v>10</v>
      </c>
      <c r="I94" s="18"/>
      <c r="J94" s="43">
        <f t="shared" si="17"/>
        <v>30</v>
      </c>
      <c r="K94" s="43">
        <v>0</v>
      </c>
      <c r="L94" s="43">
        <f t="shared" si="19"/>
        <v>30</v>
      </c>
      <c r="M94" s="18"/>
      <c r="N94" s="19">
        <v>662.04</v>
      </c>
      <c r="O94" s="19">
        <v>1315</v>
      </c>
      <c r="P94" s="19"/>
      <c r="Q94" s="19"/>
      <c r="R94" s="19">
        <v>41</v>
      </c>
      <c r="S94" s="19">
        <v>206.4</v>
      </c>
      <c r="T94" s="19"/>
      <c r="U94" s="19">
        <f t="shared" si="20"/>
        <v>206.4</v>
      </c>
      <c r="V94" s="45">
        <f t="shared" ref="V94:V99" si="27">N94*6%</f>
        <v>39.722399999999993</v>
      </c>
      <c r="W94" s="44">
        <f t="shared" si="25"/>
        <v>39.722399999999993</v>
      </c>
      <c r="Y94" s="19">
        <f t="shared" si="21"/>
        <v>1977.0399999999997</v>
      </c>
      <c r="AA94" s="44">
        <f>IFERROR(VLOOKUP(C94,[1]Vendedor!$C$1:$R$65536,16,0),0)</f>
        <v>1612.7913600000002</v>
      </c>
      <c r="AB94" s="45">
        <f t="shared" si="22"/>
        <v>403.19784000000004</v>
      </c>
      <c r="AC94" s="20"/>
      <c r="AD94" s="44">
        <f>IFERROR(VLOOKUP(C94,[1]Vendedor!$C$1:$T$65536,18,0),0)</f>
        <v>0</v>
      </c>
      <c r="AE94" s="45">
        <f t="shared" si="23"/>
        <v>2015.9892000000002</v>
      </c>
      <c r="AF94" s="44">
        <f t="shared" si="24"/>
        <v>0</v>
      </c>
      <c r="AG94" s="20"/>
      <c r="AH94" s="20"/>
    </row>
    <row r="95" spans="1:34" x14ac:dyDescent="0.25">
      <c r="A95" s="30">
        <v>126</v>
      </c>
      <c r="B95" s="30">
        <v>37</v>
      </c>
      <c r="C95" s="32" t="str">
        <f t="shared" si="18"/>
        <v>126-37</v>
      </c>
      <c r="D95" s="16" t="s">
        <v>195</v>
      </c>
      <c r="E95" s="16" t="s">
        <v>14</v>
      </c>
      <c r="F95" s="15" t="s">
        <v>196</v>
      </c>
      <c r="G95" s="17">
        <v>43047</v>
      </c>
      <c r="H95" s="15" t="s">
        <v>10</v>
      </c>
      <c r="I95" s="18"/>
      <c r="J95" s="43">
        <f t="shared" si="17"/>
        <v>30</v>
      </c>
      <c r="K95" s="43">
        <v>0</v>
      </c>
      <c r="L95" s="43">
        <f t="shared" si="19"/>
        <v>30</v>
      </c>
      <c r="M95" s="18"/>
      <c r="N95" s="19">
        <v>662.04</v>
      </c>
      <c r="O95" s="19">
        <v>1315</v>
      </c>
      <c r="P95" s="19"/>
      <c r="Q95" s="19"/>
      <c r="R95" s="19"/>
      <c r="S95" s="19">
        <v>215</v>
      </c>
      <c r="T95" s="19"/>
      <c r="U95" s="19">
        <f t="shared" si="20"/>
        <v>215</v>
      </c>
      <c r="V95" s="45">
        <f t="shared" si="27"/>
        <v>39.722399999999993</v>
      </c>
      <c r="W95" s="44">
        <f t="shared" si="25"/>
        <v>39.722399999999993</v>
      </c>
      <c r="Y95" s="19">
        <f t="shared" si="21"/>
        <v>1977.0399999999997</v>
      </c>
      <c r="AA95" s="44">
        <f>IFERROR(VLOOKUP(C95,[1]Vendedor!$C$1:$R$65536,16,0),0)</f>
        <v>1512.9273600000001</v>
      </c>
      <c r="AB95" s="45">
        <f t="shared" si="22"/>
        <v>378.23184000000003</v>
      </c>
      <c r="AC95" s="20">
        <v>200</v>
      </c>
      <c r="AD95" s="44">
        <f>IFERROR(VLOOKUP(C95,[1]Vendedor!$C$1:$T$65536,18,0),0)</f>
        <v>0</v>
      </c>
      <c r="AE95" s="45">
        <f t="shared" si="23"/>
        <v>2091.1592000000001</v>
      </c>
      <c r="AF95" s="44">
        <f t="shared" si="24"/>
        <v>0</v>
      </c>
      <c r="AG95" s="20">
        <v>300</v>
      </c>
      <c r="AH95" s="20"/>
    </row>
    <row r="96" spans="1:34" x14ac:dyDescent="0.25">
      <c r="A96" s="30">
        <v>126</v>
      </c>
      <c r="B96" s="30">
        <v>1</v>
      </c>
      <c r="C96" s="32" t="str">
        <f t="shared" si="18"/>
        <v>126-1</v>
      </c>
      <c r="D96" s="16" t="s">
        <v>191</v>
      </c>
      <c r="E96" s="16" t="s">
        <v>11</v>
      </c>
      <c r="F96" s="15" t="s">
        <v>192</v>
      </c>
      <c r="G96" s="17">
        <v>41946</v>
      </c>
      <c r="H96" s="15" t="s">
        <v>10</v>
      </c>
      <c r="I96" s="18"/>
      <c r="J96" s="43">
        <f t="shared" si="17"/>
        <v>30</v>
      </c>
      <c r="K96" s="43">
        <v>0</v>
      </c>
      <c r="L96" s="43">
        <f t="shared" si="19"/>
        <v>30</v>
      </c>
      <c r="M96" s="18"/>
      <c r="N96" s="19">
        <v>662.04</v>
      </c>
      <c r="O96" s="19">
        <v>4000</v>
      </c>
      <c r="P96" s="19"/>
      <c r="Q96" s="19"/>
      <c r="R96" s="19">
        <v>41</v>
      </c>
      <c r="S96" s="19">
        <v>215</v>
      </c>
      <c r="T96" s="19"/>
      <c r="U96" s="19">
        <f t="shared" si="20"/>
        <v>215</v>
      </c>
      <c r="V96" s="45">
        <f t="shared" si="27"/>
        <v>39.722399999999993</v>
      </c>
      <c r="W96" s="44">
        <f t="shared" si="25"/>
        <v>39.722399999999993</v>
      </c>
      <c r="Y96" s="19">
        <f t="shared" si="21"/>
        <v>4662.04</v>
      </c>
      <c r="AA96" s="44">
        <f>VLOOKUP(A96,[3]Gerentes!$B$1:$O$65536,14,0)</f>
        <v>4553.7502800000002</v>
      </c>
      <c r="AB96" s="45">
        <f t="shared" si="22"/>
        <v>1138.4375700000001</v>
      </c>
      <c r="AC96" s="20"/>
      <c r="AD96" s="44" t="str">
        <f>VLOOKUP(A96,[3]Gerentes!$B$1:$Q$65536,16,0)</f>
        <v>2000</v>
      </c>
      <c r="AE96" s="45">
        <f t="shared" si="23"/>
        <v>5692.1878500000003</v>
      </c>
      <c r="AF96" s="44">
        <f t="shared" si="24"/>
        <v>0</v>
      </c>
      <c r="AG96" s="20"/>
      <c r="AH96" s="20"/>
    </row>
    <row r="97" spans="1:34" x14ac:dyDescent="0.25">
      <c r="A97" s="30">
        <v>126</v>
      </c>
      <c r="B97" s="30">
        <v>28</v>
      </c>
      <c r="C97" s="32" t="str">
        <f t="shared" si="18"/>
        <v>126-28</v>
      </c>
      <c r="D97" s="16" t="s">
        <v>193</v>
      </c>
      <c r="E97" s="16" t="s">
        <v>14</v>
      </c>
      <c r="F97" s="15" t="s">
        <v>194</v>
      </c>
      <c r="G97" s="17">
        <v>42669</v>
      </c>
      <c r="H97" s="15" t="s">
        <v>10</v>
      </c>
      <c r="I97" s="18"/>
      <c r="J97" s="43">
        <f t="shared" ref="J97:J104" si="28">30-K97</f>
        <v>30</v>
      </c>
      <c r="K97" s="43">
        <v>0</v>
      </c>
      <c r="L97" s="43">
        <f t="shared" si="19"/>
        <v>30</v>
      </c>
      <c r="M97" s="18"/>
      <c r="N97" s="19">
        <v>662.04</v>
      </c>
      <c r="O97" s="19">
        <v>1315</v>
      </c>
      <c r="P97" s="19"/>
      <c r="Q97" s="19"/>
      <c r="R97" s="19">
        <v>41</v>
      </c>
      <c r="S97" s="19">
        <v>197.8</v>
      </c>
      <c r="T97" s="19"/>
      <c r="U97" s="19">
        <f t="shared" si="20"/>
        <v>197.8</v>
      </c>
      <c r="V97" s="45">
        <f t="shared" si="27"/>
        <v>39.722399999999993</v>
      </c>
      <c r="W97" s="44">
        <f t="shared" si="25"/>
        <v>39.722399999999993</v>
      </c>
      <c r="Y97" s="19">
        <f t="shared" si="21"/>
        <v>1977.0399999999997</v>
      </c>
      <c r="AA97" s="44">
        <f>IFERROR(VLOOKUP(C97,[1]Vendedor!$C$1:$R$65536,16,0),0)</f>
        <v>1819.3929599999999</v>
      </c>
      <c r="AB97" s="45">
        <f t="shared" si="22"/>
        <v>454.84823999999998</v>
      </c>
      <c r="AC97" s="20">
        <v>200</v>
      </c>
      <c r="AD97" s="44">
        <f>IFERROR(VLOOKUP(C97,[1]Vendedor!$C$1:$T$65536,18,0),0)</f>
        <v>0</v>
      </c>
      <c r="AE97" s="45">
        <f t="shared" si="23"/>
        <v>2474.2411999999999</v>
      </c>
      <c r="AF97" s="44">
        <f t="shared" si="24"/>
        <v>0</v>
      </c>
      <c r="AG97" s="20">
        <v>300</v>
      </c>
      <c r="AH97" s="20"/>
    </row>
    <row r="98" spans="1:34" x14ac:dyDescent="0.25">
      <c r="A98" s="30">
        <v>126</v>
      </c>
      <c r="B98" s="30">
        <v>55</v>
      </c>
      <c r="C98" s="32" t="str">
        <f t="shared" si="18"/>
        <v>126-55</v>
      </c>
      <c r="D98" s="16" t="s">
        <v>203</v>
      </c>
      <c r="E98" s="16" t="s">
        <v>14</v>
      </c>
      <c r="F98" s="15" t="s">
        <v>204</v>
      </c>
      <c r="G98" s="17">
        <v>44152</v>
      </c>
      <c r="H98" s="15" t="s">
        <v>10</v>
      </c>
      <c r="I98" s="18"/>
      <c r="J98" s="43">
        <f t="shared" si="28"/>
        <v>30</v>
      </c>
      <c r="K98" s="43">
        <v>0</v>
      </c>
      <c r="L98" s="43">
        <f t="shared" si="19"/>
        <v>30</v>
      </c>
      <c r="M98" s="18"/>
      <c r="N98" s="19">
        <v>662.04</v>
      </c>
      <c r="O98" s="19">
        <v>1315</v>
      </c>
      <c r="P98" s="19"/>
      <c r="Q98" s="19"/>
      <c r="R98" s="19">
        <v>41</v>
      </c>
      <c r="S98" s="19">
        <v>215</v>
      </c>
      <c r="T98" s="19"/>
      <c r="U98" s="19">
        <f t="shared" si="20"/>
        <v>215</v>
      </c>
      <c r="V98" s="45">
        <f t="shared" si="27"/>
        <v>39.722399999999993</v>
      </c>
      <c r="W98" s="44">
        <f t="shared" si="25"/>
        <v>39.722399999999993</v>
      </c>
      <c r="Y98" s="19">
        <f t="shared" si="21"/>
        <v>1977.0399999999997</v>
      </c>
      <c r="AA98" s="44">
        <f>IFERROR(VLOOKUP(C98,[1]Vendedor!$C$1:$R$65536,16,0),0)</f>
        <v>1362.3379199999999</v>
      </c>
      <c r="AB98" s="45">
        <f t="shared" si="22"/>
        <v>340.58447999999999</v>
      </c>
      <c r="AC98" s="20"/>
      <c r="AD98" s="44">
        <f>IFERROR(VLOOKUP(C98,[1]Vendedor!$C$1:$T$65536,18,0),0)</f>
        <v>0</v>
      </c>
      <c r="AE98" s="45">
        <f t="shared" si="23"/>
        <v>1702.9223999999999</v>
      </c>
      <c r="AF98" s="44">
        <f t="shared" si="24"/>
        <v>274.11759999999981</v>
      </c>
      <c r="AG98" s="20"/>
      <c r="AH98" s="20"/>
    </row>
    <row r="99" spans="1:34" x14ac:dyDescent="0.25">
      <c r="A99" s="30">
        <v>126</v>
      </c>
      <c r="B99" s="30">
        <v>46</v>
      </c>
      <c r="C99" s="32" t="str">
        <f t="shared" si="18"/>
        <v>126-46</v>
      </c>
      <c r="D99" s="16" t="s">
        <v>201</v>
      </c>
      <c r="E99" s="16" t="s">
        <v>14</v>
      </c>
      <c r="F99" s="15" t="s">
        <v>202</v>
      </c>
      <c r="G99" s="17">
        <v>43438</v>
      </c>
      <c r="H99" s="15" t="s">
        <v>10</v>
      </c>
      <c r="I99" s="18"/>
      <c r="J99" s="43">
        <f t="shared" si="28"/>
        <v>30</v>
      </c>
      <c r="K99" s="43">
        <v>0</v>
      </c>
      <c r="L99" s="43">
        <f t="shared" si="19"/>
        <v>30</v>
      </c>
      <c r="M99" s="18"/>
      <c r="N99" s="19">
        <v>662.04</v>
      </c>
      <c r="O99" s="19">
        <v>1315</v>
      </c>
      <c r="P99" s="19"/>
      <c r="Q99" s="19"/>
      <c r="R99" s="19">
        <v>41</v>
      </c>
      <c r="S99" s="19">
        <v>206.4</v>
      </c>
      <c r="T99" s="19"/>
      <c r="U99" s="19">
        <f t="shared" ref="U99:U130" si="29">SUM(S99:T99)</f>
        <v>206.4</v>
      </c>
      <c r="V99" s="45">
        <f t="shared" si="27"/>
        <v>39.722399999999993</v>
      </c>
      <c r="W99" s="44">
        <f t="shared" si="25"/>
        <v>39.722399999999993</v>
      </c>
      <c r="Y99" s="19">
        <f t="shared" ref="Y99:Y130" si="30">SUM(N99:O99)/30*J99</f>
        <v>1977.0399999999997</v>
      </c>
      <c r="AA99" s="44">
        <f>IFERROR(VLOOKUP(C99,[1]Vendedor!$C$1:$R$65536,16,0),0)</f>
        <v>1899.4265600000001</v>
      </c>
      <c r="AB99" s="45">
        <f t="shared" si="22"/>
        <v>474.85664000000003</v>
      </c>
      <c r="AC99" s="20"/>
      <c r="AD99" s="44">
        <f>IFERROR(VLOOKUP(C99,[1]Vendedor!$C$1:$T$65536,18,0),0)</f>
        <v>0</v>
      </c>
      <c r="AE99" s="45">
        <f t="shared" si="23"/>
        <v>2374.2832000000003</v>
      </c>
      <c r="AF99" s="44">
        <f t="shared" ref="AF99:AF130" si="31">IF(AE99&lt;Y99,Y99-AE99,0)</f>
        <v>0</v>
      </c>
      <c r="AG99" s="20"/>
      <c r="AH99" s="20"/>
    </row>
    <row r="100" spans="1:34" x14ac:dyDescent="0.25">
      <c r="A100" s="30">
        <v>127</v>
      </c>
      <c r="B100" s="30">
        <v>70</v>
      </c>
      <c r="C100" s="32" t="str">
        <f t="shared" si="18"/>
        <v>127-70</v>
      </c>
      <c r="D100" s="16" t="s">
        <v>207</v>
      </c>
      <c r="E100" s="16" t="s">
        <v>11</v>
      </c>
      <c r="F100" s="15" t="s">
        <v>208</v>
      </c>
      <c r="G100" s="17">
        <v>43770</v>
      </c>
      <c r="H100" s="15" t="s">
        <v>10</v>
      </c>
      <c r="I100" s="18"/>
      <c r="J100" s="43">
        <f t="shared" si="28"/>
        <v>30</v>
      </c>
      <c r="K100" s="43">
        <v>0</v>
      </c>
      <c r="L100" s="43">
        <f t="shared" si="19"/>
        <v>30</v>
      </c>
      <c r="M100" s="18"/>
      <c r="N100" s="19">
        <v>0</v>
      </c>
      <c r="O100" s="19">
        <v>4195.6000000000004</v>
      </c>
      <c r="P100" s="19"/>
      <c r="Q100" s="19">
        <v>39</v>
      </c>
      <c r="R100" s="19">
        <v>25</v>
      </c>
      <c r="S100" s="19">
        <v>235</v>
      </c>
      <c r="T100" s="19"/>
      <c r="U100" s="19">
        <f t="shared" si="29"/>
        <v>235</v>
      </c>
      <c r="V100" s="45">
        <f>SUM(AA100:AB100,AF100)*6%</f>
        <v>251.73600000000002</v>
      </c>
      <c r="W100" s="44">
        <f t="shared" si="25"/>
        <v>235</v>
      </c>
      <c r="Y100" s="19">
        <f t="shared" si="30"/>
        <v>4195.6000000000004</v>
      </c>
      <c r="AA100" s="44">
        <f>VLOOKUP(A100,[3]Gerentes!$B$1:$O$65536,14,0)</f>
        <v>2237.9545600000001</v>
      </c>
      <c r="AB100" s="45">
        <f t="shared" si="22"/>
        <v>559.48864000000003</v>
      </c>
      <c r="AC100" s="20"/>
      <c r="AD100" s="44" t="str">
        <f>VLOOKUP(A100,[3]Gerentes!$B$1:$Q$65536,16,0)</f>
        <v>2000</v>
      </c>
      <c r="AE100" s="45">
        <f t="shared" si="23"/>
        <v>2797.4432000000002</v>
      </c>
      <c r="AF100" s="44">
        <f t="shared" si="31"/>
        <v>1398.1568000000002</v>
      </c>
      <c r="AG100" s="20"/>
      <c r="AH100" s="20"/>
    </row>
    <row r="101" spans="1:34" x14ac:dyDescent="0.25">
      <c r="A101" s="30">
        <v>127</v>
      </c>
      <c r="B101" s="30">
        <v>79</v>
      </c>
      <c r="C101" s="32" t="str">
        <f t="shared" si="18"/>
        <v>127-79</v>
      </c>
      <c r="D101" s="16" t="s">
        <v>211</v>
      </c>
      <c r="E101" s="16" t="s">
        <v>14</v>
      </c>
      <c r="F101" s="15" t="s">
        <v>212</v>
      </c>
      <c r="G101" s="17">
        <v>44221</v>
      </c>
      <c r="H101" s="15" t="s">
        <v>10</v>
      </c>
      <c r="I101" s="18"/>
      <c r="J101" s="43">
        <f t="shared" si="28"/>
        <v>30</v>
      </c>
      <c r="K101" s="43">
        <v>0</v>
      </c>
      <c r="L101" s="43">
        <f t="shared" si="19"/>
        <v>30</v>
      </c>
      <c r="M101" s="18"/>
      <c r="N101" s="19">
        <v>0</v>
      </c>
      <c r="O101" s="19">
        <v>1909</v>
      </c>
      <c r="P101" s="19"/>
      <c r="Q101" s="19"/>
      <c r="R101" s="19"/>
      <c r="S101" s="19">
        <v>204.7</v>
      </c>
      <c r="T101" s="19"/>
      <c r="U101" s="19">
        <f t="shared" si="29"/>
        <v>204.7</v>
      </c>
      <c r="V101" s="45">
        <f>SUM(AA101:AB101,AF101)*6%</f>
        <v>114.53999999999999</v>
      </c>
      <c r="W101" s="44">
        <f t="shared" ref="W101:W105" si="32">IF(U101&gt;V101,V101,U101)</f>
        <v>114.53999999999999</v>
      </c>
      <c r="Y101" s="19">
        <f t="shared" si="30"/>
        <v>1909</v>
      </c>
      <c r="AA101" s="44">
        <f>IFERROR(VLOOKUP(C101,[1]Vendedor!$C$1:$R$65536,16,0),0)</f>
        <v>1411.94784</v>
      </c>
      <c r="AB101" s="45">
        <f t="shared" si="22"/>
        <v>352.98696000000001</v>
      </c>
      <c r="AC101" s="20"/>
      <c r="AD101" s="44">
        <f>IFERROR(VLOOKUP(C101,[1]Vendedor!$C$1:$T$65536,18,0),0)</f>
        <v>0</v>
      </c>
      <c r="AE101" s="45">
        <f t="shared" si="23"/>
        <v>1764.9348</v>
      </c>
      <c r="AF101" s="44">
        <f t="shared" si="31"/>
        <v>144.0652</v>
      </c>
      <c r="AG101" s="20"/>
      <c r="AH101" s="20"/>
    </row>
    <row r="102" spans="1:34" x14ac:dyDescent="0.25">
      <c r="A102" s="30">
        <v>127</v>
      </c>
      <c r="B102" s="30">
        <v>75</v>
      </c>
      <c r="C102" s="32" t="str">
        <f t="shared" si="18"/>
        <v>127-75</v>
      </c>
      <c r="D102" s="16" t="s">
        <v>209</v>
      </c>
      <c r="E102" s="16" t="s">
        <v>21</v>
      </c>
      <c r="F102" s="15" t="s">
        <v>210</v>
      </c>
      <c r="G102" s="17">
        <v>44152</v>
      </c>
      <c r="H102" s="15" t="s">
        <v>10</v>
      </c>
      <c r="I102" s="18"/>
      <c r="J102" s="43">
        <f t="shared" si="28"/>
        <v>30</v>
      </c>
      <c r="K102" s="43">
        <v>0</v>
      </c>
      <c r="L102" s="43">
        <f t="shared" si="19"/>
        <v>30</v>
      </c>
      <c r="M102" s="18"/>
      <c r="N102" s="19">
        <v>1591</v>
      </c>
      <c r="O102" s="19">
        <v>0</v>
      </c>
      <c r="P102" s="19">
        <v>87</v>
      </c>
      <c r="Q102" s="19">
        <v>39</v>
      </c>
      <c r="R102" s="19">
        <v>25</v>
      </c>
      <c r="S102" s="19">
        <v>225.6</v>
      </c>
      <c r="T102" s="19"/>
      <c r="U102" s="19">
        <f t="shared" si="29"/>
        <v>225.6</v>
      </c>
      <c r="V102" s="45">
        <f>SUM(AA102:AB102,AF102)*6%</f>
        <v>95.46</v>
      </c>
      <c r="W102" s="44">
        <f t="shared" si="32"/>
        <v>95.46</v>
      </c>
      <c r="Y102" s="19">
        <f t="shared" si="30"/>
        <v>1591</v>
      </c>
      <c r="AA102" s="44">
        <f>IFERROR(VLOOKUP(C102,[1]Vendedor!$C$1:$R$65536,16,0),0)</f>
        <v>0</v>
      </c>
      <c r="AB102" s="45">
        <f t="shared" si="22"/>
        <v>0</v>
      </c>
      <c r="AC102" s="20"/>
      <c r="AD102" s="44">
        <f>IFERROR(VLOOKUP(C102,[1]Vendedor!$C$1:$T$65536,18,0),0)</f>
        <v>0</v>
      </c>
      <c r="AE102" s="45">
        <f t="shared" si="23"/>
        <v>0</v>
      </c>
      <c r="AF102" s="44">
        <f t="shared" si="31"/>
        <v>1591</v>
      </c>
      <c r="AG102" s="20">
        <v>300</v>
      </c>
      <c r="AH102" s="20"/>
    </row>
    <row r="103" spans="1:34" x14ac:dyDescent="0.25">
      <c r="A103" s="30">
        <v>127</v>
      </c>
      <c r="B103" s="30">
        <v>80</v>
      </c>
      <c r="C103" s="32" t="str">
        <f t="shared" si="18"/>
        <v>127-80</v>
      </c>
      <c r="D103" s="16" t="s">
        <v>213</v>
      </c>
      <c r="E103" s="16" t="s">
        <v>14</v>
      </c>
      <c r="F103" s="15" t="s">
        <v>214</v>
      </c>
      <c r="G103" s="17">
        <v>44221</v>
      </c>
      <c r="H103" s="15" t="s">
        <v>10</v>
      </c>
      <c r="I103" s="18"/>
      <c r="J103" s="43">
        <f t="shared" si="28"/>
        <v>30</v>
      </c>
      <c r="K103" s="43">
        <v>0</v>
      </c>
      <c r="L103" s="43">
        <f t="shared" si="19"/>
        <v>30</v>
      </c>
      <c r="M103" s="18"/>
      <c r="N103" s="19">
        <v>0</v>
      </c>
      <c r="O103" s="19">
        <v>1909</v>
      </c>
      <c r="P103" s="19"/>
      <c r="Q103" s="19">
        <v>39</v>
      </c>
      <c r="R103" s="19">
        <v>25</v>
      </c>
      <c r="S103" s="19">
        <v>225.4</v>
      </c>
      <c r="T103" s="19"/>
      <c r="U103" s="19">
        <f t="shared" si="29"/>
        <v>225.4</v>
      </c>
      <c r="V103" s="45">
        <f>SUM(AA103:AB103,AF103)*6%</f>
        <v>167.119248</v>
      </c>
      <c r="W103" s="44">
        <f t="shared" si="32"/>
        <v>167.119248</v>
      </c>
      <c r="Y103" s="19">
        <f t="shared" si="30"/>
        <v>1909</v>
      </c>
      <c r="AA103" s="44">
        <f>IFERROR(VLOOKUP(C103,[1]Vendedor!$C$1:$R$65536,16,0),0)</f>
        <v>2228.2566400000001</v>
      </c>
      <c r="AB103" s="45">
        <f t="shared" si="22"/>
        <v>557.06416000000002</v>
      </c>
      <c r="AC103" s="20"/>
      <c r="AD103" s="44">
        <f>IFERROR(VLOOKUP(C103,[1]Vendedor!$C$1:$T$65536,18,0),0)</f>
        <v>348.16510000000005</v>
      </c>
      <c r="AE103" s="45">
        <f t="shared" si="23"/>
        <v>3133.4859000000001</v>
      </c>
      <c r="AF103" s="44">
        <f t="shared" si="31"/>
        <v>0</v>
      </c>
      <c r="AG103" s="20"/>
      <c r="AH103" s="20"/>
    </row>
    <row r="104" spans="1:34" x14ac:dyDescent="0.25">
      <c r="A104" s="30">
        <v>127</v>
      </c>
      <c r="B104" s="30">
        <v>82</v>
      </c>
      <c r="C104" s="32" t="str">
        <f t="shared" si="18"/>
        <v>127-82</v>
      </c>
      <c r="D104" s="16" t="s">
        <v>215</v>
      </c>
      <c r="E104" s="16" t="s">
        <v>14</v>
      </c>
      <c r="F104" s="15" t="s">
        <v>216</v>
      </c>
      <c r="G104" s="17">
        <v>44371</v>
      </c>
      <c r="H104" s="15" t="s">
        <v>10</v>
      </c>
      <c r="I104" s="18"/>
      <c r="J104" s="43">
        <f t="shared" si="28"/>
        <v>30</v>
      </c>
      <c r="K104" s="43">
        <v>0</v>
      </c>
      <c r="L104" s="43">
        <f t="shared" si="19"/>
        <v>30</v>
      </c>
      <c r="M104" s="18"/>
      <c r="N104" s="19">
        <v>0</v>
      </c>
      <c r="O104" s="19">
        <v>1909</v>
      </c>
      <c r="P104" s="19"/>
      <c r="Q104" s="19"/>
      <c r="R104" s="19">
        <v>26</v>
      </c>
      <c r="S104" s="19">
        <f>IFERROR(VLOOKUP(C104,[2]Base!$C$1:$S$65536,17,0),0)</f>
        <v>0</v>
      </c>
      <c r="T104" s="19"/>
      <c r="U104" s="19">
        <f t="shared" si="29"/>
        <v>0</v>
      </c>
      <c r="V104" s="20"/>
      <c r="W104" s="44">
        <f t="shared" si="32"/>
        <v>0</v>
      </c>
      <c r="Y104" s="19">
        <f t="shared" si="30"/>
        <v>1909</v>
      </c>
      <c r="AA104" s="44">
        <f>IFERROR(VLOOKUP(C104,[1]Vendedor!$C$1:$R$65536,16,0),0)</f>
        <v>142.71295999999998</v>
      </c>
      <c r="AB104" s="45">
        <f t="shared" si="22"/>
        <v>35.678239999999995</v>
      </c>
      <c r="AC104" s="20"/>
      <c r="AD104" s="44">
        <f>IFERROR(VLOOKUP(C104,[1]Vendedor!$C$1:$T$65536,18,0),0)</f>
        <v>0</v>
      </c>
      <c r="AE104" s="45">
        <f t="shared" si="23"/>
        <v>178.39119999999997</v>
      </c>
      <c r="AF104" s="44">
        <f t="shared" si="31"/>
        <v>1730.6088</v>
      </c>
      <c r="AG104" s="20"/>
      <c r="AH104" s="20"/>
    </row>
    <row r="105" spans="1:34" x14ac:dyDescent="0.25">
      <c r="A105" s="30">
        <v>139</v>
      </c>
      <c r="B105" s="30">
        <v>55</v>
      </c>
      <c r="C105" s="32" t="str">
        <f t="shared" si="18"/>
        <v>139-55</v>
      </c>
      <c r="D105" s="16" t="s">
        <v>239</v>
      </c>
      <c r="E105" s="16" t="s">
        <v>14</v>
      </c>
      <c r="F105" s="15" t="s">
        <v>240</v>
      </c>
      <c r="G105" s="17">
        <v>44363</v>
      </c>
      <c r="H105" s="15" t="s">
        <v>10</v>
      </c>
      <c r="I105" s="18"/>
      <c r="J105" s="43">
        <v>15</v>
      </c>
      <c r="K105" s="43">
        <v>0</v>
      </c>
      <c r="L105" s="43">
        <f t="shared" si="19"/>
        <v>15</v>
      </c>
      <c r="M105" s="18"/>
      <c r="N105" s="19">
        <v>0</v>
      </c>
      <c r="O105" s="19">
        <v>1660</v>
      </c>
      <c r="P105" s="19"/>
      <c r="Q105" s="19"/>
      <c r="R105" s="19"/>
      <c r="S105" s="19">
        <f>IFERROR(VLOOKUP(C105,[2]Base!$C$1:$S$65536,17,0),0)</f>
        <v>0</v>
      </c>
      <c r="T105" s="19"/>
      <c r="U105" s="19">
        <f t="shared" si="29"/>
        <v>0</v>
      </c>
      <c r="V105" s="20"/>
      <c r="W105" s="44">
        <f t="shared" si="32"/>
        <v>0</v>
      </c>
      <c r="Y105" s="19">
        <f t="shared" si="30"/>
        <v>830</v>
      </c>
      <c r="AA105" s="44">
        <f>IFERROR(VLOOKUP(C105,[1]Vendedor!$C$1:$R$65536,16,0),0)</f>
        <v>977.60907999999995</v>
      </c>
      <c r="AB105" s="45">
        <f t="shared" si="22"/>
        <v>244.40226999999999</v>
      </c>
      <c r="AC105" s="20"/>
      <c r="AD105" s="44">
        <f>IFERROR(VLOOKUP(C105,[1]Vendedor!$C$1:$T$65536,18,0),0)</f>
        <v>0</v>
      </c>
      <c r="AE105" s="45">
        <f t="shared" si="23"/>
        <v>1222.01135</v>
      </c>
      <c r="AF105" s="44">
        <f t="shared" si="31"/>
        <v>0</v>
      </c>
      <c r="AG105" s="20"/>
      <c r="AH105" s="20"/>
    </row>
    <row r="106" spans="1:34" x14ac:dyDescent="0.25">
      <c r="A106" s="30">
        <v>139</v>
      </c>
      <c r="B106" s="30">
        <v>43</v>
      </c>
      <c r="C106" s="32" t="str">
        <f t="shared" si="18"/>
        <v>139-43</v>
      </c>
      <c r="D106" s="16" t="s">
        <v>223</v>
      </c>
      <c r="E106" s="16" t="s">
        <v>21</v>
      </c>
      <c r="F106" s="15" t="s">
        <v>224</v>
      </c>
      <c r="G106" s="17">
        <v>44152</v>
      </c>
      <c r="H106" s="15" t="s">
        <v>10</v>
      </c>
      <c r="I106" s="18"/>
      <c r="J106" s="43">
        <f>30-K106</f>
        <v>30</v>
      </c>
      <c r="K106" s="43">
        <v>0</v>
      </c>
      <c r="L106" s="43">
        <f t="shared" si="19"/>
        <v>30</v>
      </c>
      <c r="M106" s="18"/>
      <c r="N106" s="19">
        <v>1415</v>
      </c>
      <c r="O106" s="19">
        <v>0</v>
      </c>
      <c r="P106" s="19">
        <v>71</v>
      </c>
      <c r="Q106" s="19"/>
      <c r="R106" s="19">
        <v>37.200000000000003</v>
      </c>
      <c r="S106" s="19" t="str">
        <f>IFERROR(VLOOKUP(C106,[2]Base!$C$1:$S$65536,17,0),0)</f>
        <v>FRETADO</v>
      </c>
      <c r="T106" s="19"/>
      <c r="U106" s="19">
        <f t="shared" si="29"/>
        <v>0</v>
      </c>
      <c r="V106" s="45">
        <f>SUM(AA106:AB106,AF106)*6%</f>
        <v>84.899999999999991</v>
      </c>
      <c r="W106" s="44">
        <f>V106</f>
        <v>84.899999999999991</v>
      </c>
      <c r="Y106" s="19">
        <f t="shared" si="30"/>
        <v>1415</v>
      </c>
      <c r="AA106" s="44">
        <f>IFERROR(VLOOKUP(C106,[1]Vendedor!$C$1:$R$65536,16,0),0)</f>
        <v>0</v>
      </c>
      <c r="AB106" s="45">
        <f t="shared" si="22"/>
        <v>0</v>
      </c>
      <c r="AC106" s="20"/>
      <c r="AD106" s="44">
        <f>IFERROR(VLOOKUP(C106,[1]Vendedor!$C$1:$T$65536,18,0),0)</f>
        <v>0</v>
      </c>
      <c r="AE106" s="45">
        <f t="shared" si="23"/>
        <v>0</v>
      </c>
      <c r="AF106" s="44">
        <f t="shared" si="31"/>
        <v>1415</v>
      </c>
      <c r="AG106" s="20"/>
      <c r="AH106" s="20"/>
    </row>
    <row r="107" spans="1:34" x14ac:dyDescent="0.25">
      <c r="A107" s="30">
        <v>139</v>
      </c>
      <c r="B107" s="30">
        <v>24</v>
      </c>
      <c r="C107" s="32" t="str">
        <f t="shared" si="18"/>
        <v>139-24</v>
      </c>
      <c r="D107" s="16" t="s">
        <v>217</v>
      </c>
      <c r="E107" s="16" t="s">
        <v>14</v>
      </c>
      <c r="F107" s="15" t="s">
        <v>218</v>
      </c>
      <c r="G107" s="17">
        <v>43501</v>
      </c>
      <c r="H107" s="15" t="s">
        <v>10</v>
      </c>
      <c r="I107" s="18"/>
      <c r="J107" s="43">
        <f>30-K107</f>
        <v>30</v>
      </c>
      <c r="K107" s="43">
        <v>0</v>
      </c>
      <c r="L107" s="43">
        <f t="shared" si="19"/>
        <v>30</v>
      </c>
      <c r="M107" s="18"/>
      <c r="N107" s="19">
        <v>0</v>
      </c>
      <c r="O107" s="19">
        <v>1660</v>
      </c>
      <c r="P107" s="19"/>
      <c r="Q107" s="19"/>
      <c r="R107" s="19">
        <v>37.200000000000003</v>
      </c>
      <c r="S107" s="19" t="str">
        <f>IFERROR(VLOOKUP(C107,[2]Base!$C$1:$S$65536,17,0),0)</f>
        <v>FRETADO</v>
      </c>
      <c r="T107" s="19"/>
      <c r="U107" s="19">
        <f t="shared" si="29"/>
        <v>0</v>
      </c>
      <c r="V107" s="45">
        <f>SUM(AA107:AB107,AF107)*6%</f>
        <v>99.6</v>
      </c>
      <c r="W107" s="44">
        <f>V107</f>
        <v>99.6</v>
      </c>
      <c r="Y107" s="19">
        <f t="shared" si="30"/>
        <v>1660</v>
      </c>
      <c r="AA107" s="44">
        <f>IFERROR(VLOOKUP(C107,[1]Vendedor!$C$1:$R$65536,16,0),0)</f>
        <v>1186.4515599999997</v>
      </c>
      <c r="AB107" s="45">
        <f t="shared" si="22"/>
        <v>296.61288999999994</v>
      </c>
      <c r="AC107" s="20"/>
      <c r="AD107" s="44">
        <f>IFERROR(VLOOKUP(C107,[1]Vendedor!$C$1:$T$65536,18,0),0)</f>
        <v>0</v>
      </c>
      <c r="AE107" s="45">
        <f t="shared" si="23"/>
        <v>1483.0644499999996</v>
      </c>
      <c r="AF107" s="44">
        <f t="shared" si="31"/>
        <v>176.93555000000038</v>
      </c>
      <c r="AG107" s="20">
        <v>400</v>
      </c>
      <c r="AH107" s="20"/>
    </row>
    <row r="108" spans="1:34" x14ac:dyDescent="0.25">
      <c r="A108" s="30">
        <v>139</v>
      </c>
      <c r="B108" s="30">
        <v>54</v>
      </c>
      <c r="C108" s="32" t="str">
        <f t="shared" si="18"/>
        <v>139-54</v>
      </c>
      <c r="D108" s="16" t="s">
        <v>237</v>
      </c>
      <c r="E108" s="16" t="s">
        <v>14</v>
      </c>
      <c r="F108" s="15" t="s">
        <v>238</v>
      </c>
      <c r="G108" s="17">
        <v>44358</v>
      </c>
      <c r="H108" s="15" t="s">
        <v>10</v>
      </c>
      <c r="I108" s="18"/>
      <c r="J108" s="43">
        <v>20</v>
      </c>
      <c r="K108" s="43">
        <v>0</v>
      </c>
      <c r="L108" s="43">
        <f t="shared" si="19"/>
        <v>20</v>
      </c>
      <c r="M108" s="18"/>
      <c r="N108" s="19">
        <v>0</v>
      </c>
      <c r="O108" s="19">
        <v>1660</v>
      </c>
      <c r="P108" s="19"/>
      <c r="Q108" s="19"/>
      <c r="R108" s="19"/>
      <c r="S108" s="19"/>
      <c r="T108" s="19">
        <v>266</v>
      </c>
      <c r="U108" s="19">
        <f t="shared" si="29"/>
        <v>266</v>
      </c>
      <c r="V108" s="45">
        <f>SUM(AA108:AB108,AF108)*6%</f>
        <v>95.514845999999991</v>
      </c>
      <c r="W108" s="44">
        <f>IF(U108&gt;V108,V108,U108)</f>
        <v>95.514845999999991</v>
      </c>
      <c r="Y108" s="19">
        <f t="shared" si="30"/>
        <v>1106.6666666666667</v>
      </c>
      <c r="AA108" s="44">
        <f>IFERROR(VLOOKUP(C108,[1]Vendedor!$C$1:$R$65536,16,0),0)</f>
        <v>1273.5312799999999</v>
      </c>
      <c r="AB108" s="45">
        <f t="shared" si="22"/>
        <v>318.38281999999998</v>
      </c>
      <c r="AC108" s="20"/>
      <c r="AD108" s="44">
        <f>IFERROR(VLOOKUP(C108,[1]Vendedor!$C$1:$T$65536,18,0),0)</f>
        <v>0</v>
      </c>
      <c r="AE108" s="45">
        <f t="shared" si="23"/>
        <v>1591.9141</v>
      </c>
      <c r="AF108" s="44">
        <f t="shared" si="31"/>
        <v>0</v>
      </c>
      <c r="AG108" s="20"/>
      <c r="AH108" s="20"/>
    </row>
    <row r="109" spans="1:34" x14ac:dyDescent="0.25">
      <c r="A109" s="30">
        <v>139</v>
      </c>
      <c r="B109" s="30">
        <v>41</v>
      </c>
      <c r="C109" s="32" t="str">
        <f t="shared" si="18"/>
        <v>139-41</v>
      </c>
      <c r="D109" s="16" t="s">
        <v>221</v>
      </c>
      <c r="E109" s="16" t="s">
        <v>14</v>
      </c>
      <c r="F109" s="15" t="s">
        <v>222</v>
      </c>
      <c r="G109" s="17">
        <v>44085</v>
      </c>
      <c r="H109" s="15" t="s">
        <v>10</v>
      </c>
      <c r="I109" s="18"/>
      <c r="J109" s="43">
        <f t="shared" ref="J109:J115" si="33">30-K109</f>
        <v>30</v>
      </c>
      <c r="K109" s="43">
        <v>0</v>
      </c>
      <c r="L109" s="43">
        <f t="shared" si="19"/>
        <v>30</v>
      </c>
      <c r="M109" s="18"/>
      <c r="N109" s="19">
        <v>0</v>
      </c>
      <c r="O109" s="19">
        <v>1660</v>
      </c>
      <c r="P109" s="19"/>
      <c r="Q109" s="19"/>
      <c r="R109" s="19">
        <v>37.200000000000003</v>
      </c>
      <c r="S109" s="19" t="str">
        <f>IFERROR(VLOOKUP(C109,[2]Base!$C$1:$S$65536,17,0),0)</f>
        <v>FRETADO</v>
      </c>
      <c r="T109" s="19"/>
      <c r="U109" s="19">
        <f t="shared" si="29"/>
        <v>0</v>
      </c>
      <c r="V109" s="45">
        <f>SUM(AA109:AB109,AF109)*6%</f>
        <v>99.6</v>
      </c>
      <c r="W109" s="44">
        <f>V109</f>
        <v>99.6</v>
      </c>
      <c r="Y109" s="19">
        <f t="shared" si="30"/>
        <v>1660</v>
      </c>
      <c r="AA109" s="44">
        <f>IFERROR(VLOOKUP(C109,[1]Vendedor!$C$1:$R$65536,16,0),0)</f>
        <v>1193.3171599999998</v>
      </c>
      <c r="AB109" s="45">
        <f t="shared" si="22"/>
        <v>298.32928999999996</v>
      </c>
      <c r="AC109" s="20"/>
      <c r="AD109" s="44">
        <f>IFERROR(VLOOKUP(C109,[1]Vendedor!$C$1:$T$65536,18,0),0)</f>
        <v>0</v>
      </c>
      <c r="AE109" s="45">
        <f t="shared" si="23"/>
        <v>1491.6464499999997</v>
      </c>
      <c r="AF109" s="44">
        <f t="shared" si="31"/>
        <v>168.35355000000027</v>
      </c>
      <c r="AG109" s="20">
        <v>400</v>
      </c>
      <c r="AH109" s="20"/>
    </row>
    <row r="110" spans="1:34" x14ac:dyDescent="0.25">
      <c r="A110" s="30">
        <v>139</v>
      </c>
      <c r="B110" s="30">
        <v>50</v>
      </c>
      <c r="C110" s="32" t="str">
        <f t="shared" si="18"/>
        <v>139-50</v>
      </c>
      <c r="D110" s="16" t="s">
        <v>229</v>
      </c>
      <c r="E110" s="16" t="s">
        <v>14</v>
      </c>
      <c r="F110" s="15" t="s">
        <v>230</v>
      </c>
      <c r="G110" s="17">
        <v>44256</v>
      </c>
      <c r="H110" s="15" t="s">
        <v>6</v>
      </c>
      <c r="I110" s="18"/>
      <c r="J110" s="43">
        <f t="shared" si="33"/>
        <v>30</v>
      </c>
      <c r="K110" s="43">
        <v>0</v>
      </c>
      <c r="L110" s="43">
        <f t="shared" si="19"/>
        <v>30</v>
      </c>
      <c r="M110" s="18"/>
      <c r="N110" s="19">
        <v>0</v>
      </c>
      <c r="O110" s="19">
        <v>1660</v>
      </c>
      <c r="P110" s="19"/>
      <c r="Q110" s="19"/>
      <c r="R110" s="19"/>
      <c r="S110" s="19" t="str">
        <f>IFERROR(VLOOKUP(C110,[2]Base!$C$1:$S$65536,17,0),0)</f>
        <v>FRETADO</v>
      </c>
      <c r="T110" s="19"/>
      <c r="U110" s="19">
        <f t="shared" si="29"/>
        <v>0</v>
      </c>
      <c r="V110" s="45">
        <f>SUM(AA110:AB110,AF110)*6%</f>
        <v>99.6</v>
      </c>
      <c r="W110" s="44">
        <f>V110</f>
        <v>99.6</v>
      </c>
      <c r="Y110" s="19">
        <f t="shared" si="30"/>
        <v>1660</v>
      </c>
      <c r="AA110" s="44">
        <f>IFERROR(VLOOKUP(C110,[1]Vendedor!$C$1:$R$65536,16,0),0)</f>
        <v>0</v>
      </c>
      <c r="AB110" s="45">
        <f t="shared" si="22"/>
        <v>0</v>
      </c>
      <c r="AC110" s="20"/>
      <c r="AD110" s="44">
        <f>IFERROR(VLOOKUP(C110,[1]Vendedor!$C$1:$T$65536,18,0),0)</f>
        <v>0</v>
      </c>
      <c r="AE110" s="45">
        <f t="shared" si="23"/>
        <v>0</v>
      </c>
      <c r="AF110" s="44">
        <f t="shared" si="31"/>
        <v>1660</v>
      </c>
      <c r="AG110" s="20"/>
      <c r="AH110" s="20"/>
    </row>
    <row r="111" spans="1:34" x14ac:dyDescent="0.25">
      <c r="A111" s="30">
        <v>139</v>
      </c>
      <c r="B111" s="30">
        <v>52</v>
      </c>
      <c r="C111" s="32" t="str">
        <f t="shared" si="18"/>
        <v>139-52</v>
      </c>
      <c r="D111" s="16" t="s">
        <v>233</v>
      </c>
      <c r="E111" s="16" t="s">
        <v>11</v>
      </c>
      <c r="F111" s="15" t="s">
        <v>234</v>
      </c>
      <c r="G111" s="17">
        <v>44257</v>
      </c>
      <c r="H111" s="15" t="s">
        <v>10</v>
      </c>
      <c r="I111" s="18"/>
      <c r="J111" s="43">
        <f t="shared" si="33"/>
        <v>30</v>
      </c>
      <c r="K111" s="43">
        <v>0</v>
      </c>
      <c r="L111" s="43">
        <f t="shared" si="19"/>
        <v>30</v>
      </c>
      <c r="M111" s="18"/>
      <c r="N111" s="19">
        <v>0</v>
      </c>
      <c r="O111" s="19">
        <v>5000</v>
      </c>
      <c r="P111" s="19"/>
      <c r="Q111" s="19"/>
      <c r="R111" s="19">
        <v>37.200000000000003</v>
      </c>
      <c r="S111" s="19">
        <f>IFERROR(VLOOKUP(C111,[2]Base!$C$1:$S$65536,17,0),0)</f>
        <v>0</v>
      </c>
      <c r="T111" s="19"/>
      <c r="U111" s="19">
        <f t="shared" si="29"/>
        <v>0</v>
      </c>
      <c r="V111" s="20"/>
      <c r="W111" s="44">
        <f t="shared" ref="W111:W153" si="34">IF(U111&gt;V111,V111,U111)</f>
        <v>0</v>
      </c>
      <c r="Y111" s="19">
        <f t="shared" si="30"/>
        <v>5000</v>
      </c>
      <c r="AA111" s="44">
        <f>VLOOKUP(A111,[3]Gerentes!$B$1:$O$65536,14,0)</f>
        <v>3713.8423500000008</v>
      </c>
      <c r="AB111" s="45">
        <f t="shared" si="22"/>
        <v>928.4605875000002</v>
      </c>
      <c r="AC111" s="20"/>
      <c r="AD111" s="44">
        <f>VLOOKUP(A111,[3]Gerentes!$B$1:$Q$65536,16,0)</f>
        <v>0</v>
      </c>
      <c r="AE111" s="45">
        <f t="shared" si="23"/>
        <v>4642.3029375000006</v>
      </c>
      <c r="AF111" s="44">
        <f t="shared" si="31"/>
        <v>357.69706249999945</v>
      </c>
      <c r="AG111" s="20"/>
      <c r="AH111" s="20"/>
    </row>
    <row r="112" spans="1:34" x14ac:dyDescent="0.25">
      <c r="A112" s="30">
        <v>139</v>
      </c>
      <c r="B112" s="30">
        <v>51</v>
      </c>
      <c r="C112" s="32" t="str">
        <f t="shared" si="18"/>
        <v>139-51</v>
      </c>
      <c r="D112" s="16" t="s">
        <v>231</v>
      </c>
      <c r="E112" s="16" t="s">
        <v>14</v>
      </c>
      <c r="F112" s="15" t="s">
        <v>232</v>
      </c>
      <c r="G112" s="17">
        <v>44256</v>
      </c>
      <c r="H112" s="15" t="s">
        <v>10</v>
      </c>
      <c r="I112" s="18"/>
      <c r="J112" s="43">
        <f t="shared" si="33"/>
        <v>30</v>
      </c>
      <c r="K112" s="43">
        <v>0</v>
      </c>
      <c r="L112" s="43">
        <f t="shared" si="19"/>
        <v>30</v>
      </c>
      <c r="M112" s="18"/>
      <c r="N112" s="19">
        <v>0</v>
      </c>
      <c r="O112" s="19">
        <v>1660</v>
      </c>
      <c r="P112" s="19"/>
      <c r="Q112" s="19"/>
      <c r="R112" s="19">
        <v>37.200000000000003</v>
      </c>
      <c r="S112" s="19">
        <f>IFERROR(VLOOKUP(C112,[2]Base!$C$1:$S$65536,17,0),0)</f>
        <v>0</v>
      </c>
      <c r="T112" s="19"/>
      <c r="U112" s="19">
        <f t="shared" si="29"/>
        <v>0</v>
      </c>
      <c r="V112" s="20"/>
      <c r="W112" s="44">
        <f t="shared" si="34"/>
        <v>0</v>
      </c>
      <c r="Y112" s="19">
        <f t="shared" si="30"/>
        <v>1660</v>
      </c>
      <c r="AA112" s="44">
        <f>IFERROR(VLOOKUP(C112,[1]Vendedor!$C$1:$R$65536,16,0),0)</f>
        <v>1893.5677599999997</v>
      </c>
      <c r="AB112" s="45">
        <f t="shared" si="22"/>
        <v>473.39193999999992</v>
      </c>
      <c r="AC112" s="20"/>
      <c r="AD112" s="44">
        <f>IFERROR(VLOOKUP(C112,[1]Vendedor!$C$1:$T$65536,18,0),0)</f>
        <v>0</v>
      </c>
      <c r="AE112" s="45">
        <f t="shared" si="23"/>
        <v>2366.9596999999994</v>
      </c>
      <c r="AF112" s="44">
        <f t="shared" si="31"/>
        <v>0</v>
      </c>
      <c r="AG112" s="20"/>
      <c r="AH112" s="20"/>
    </row>
    <row r="113" spans="1:34" x14ac:dyDescent="0.25">
      <c r="A113" s="30">
        <v>139</v>
      </c>
      <c r="B113" s="30">
        <v>28</v>
      </c>
      <c r="C113" s="32" t="str">
        <f t="shared" si="18"/>
        <v>139-28</v>
      </c>
      <c r="D113" s="16" t="s">
        <v>219</v>
      </c>
      <c r="E113" s="16" t="s">
        <v>14</v>
      </c>
      <c r="F113" s="15" t="s">
        <v>220</v>
      </c>
      <c r="G113" s="17">
        <v>43623</v>
      </c>
      <c r="H113" s="15" t="s">
        <v>10</v>
      </c>
      <c r="I113" s="18"/>
      <c r="J113" s="43">
        <f t="shared" si="33"/>
        <v>30</v>
      </c>
      <c r="K113" s="43">
        <v>0</v>
      </c>
      <c r="L113" s="43">
        <f t="shared" si="19"/>
        <v>30</v>
      </c>
      <c r="M113" s="18"/>
      <c r="N113" s="19">
        <v>0</v>
      </c>
      <c r="O113" s="19">
        <v>1660</v>
      </c>
      <c r="P113" s="19"/>
      <c r="Q113" s="19"/>
      <c r="R113" s="19">
        <v>37.200000000000003</v>
      </c>
      <c r="S113" s="19">
        <f>IFERROR(VLOOKUP(C113,[2]Base!$C$1:$S$65536,17,0),0)</f>
        <v>0</v>
      </c>
      <c r="T113" s="19"/>
      <c r="U113" s="19">
        <f t="shared" si="29"/>
        <v>0</v>
      </c>
      <c r="V113" s="20"/>
      <c r="W113" s="44">
        <f t="shared" si="34"/>
        <v>0</v>
      </c>
      <c r="Y113" s="19">
        <f t="shared" si="30"/>
        <v>1660</v>
      </c>
      <c r="AA113" s="44">
        <f>IFERROR(VLOOKUP(C113,[1]Vendedor!$C$1:$R$65536,16,0),0)</f>
        <v>2909.4335199999996</v>
      </c>
      <c r="AB113" s="45">
        <f t="shared" si="22"/>
        <v>727.3583799999999</v>
      </c>
      <c r="AC113" s="20"/>
      <c r="AD113" s="44">
        <f>IFERROR(VLOOKUP(C113,[1]Vendedor!$C$1:$T$65536,18,0),0)</f>
        <v>519.54169999999999</v>
      </c>
      <c r="AE113" s="45">
        <f t="shared" si="23"/>
        <v>4156.333599999999</v>
      </c>
      <c r="AF113" s="44">
        <f t="shared" si="31"/>
        <v>0</v>
      </c>
      <c r="AG113" s="20">
        <v>150</v>
      </c>
      <c r="AH113" s="20"/>
    </row>
    <row r="114" spans="1:34" x14ac:dyDescent="0.25">
      <c r="A114" s="30">
        <v>139</v>
      </c>
      <c r="B114" s="30">
        <v>49</v>
      </c>
      <c r="C114" s="32" t="str">
        <f t="shared" si="18"/>
        <v>139-49</v>
      </c>
      <c r="D114" s="16" t="s">
        <v>227</v>
      </c>
      <c r="E114" s="16" t="s">
        <v>21</v>
      </c>
      <c r="F114" s="15" t="s">
        <v>228</v>
      </c>
      <c r="G114" s="17">
        <v>44169</v>
      </c>
      <c r="H114" s="15" t="s">
        <v>10</v>
      </c>
      <c r="I114" s="18"/>
      <c r="J114" s="43">
        <f t="shared" si="33"/>
        <v>30</v>
      </c>
      <c r="K114" s="43">
        <v>0</v>
      </c>
      <c r="L114" s="43">
        <f t="shared" si="19"/>
        <v>30</v>
      </c>
      <c r="M114" s="18"/>
      <c r="N114" s="19">
        <v>1415</v>
      </c>
      <c r="O114" s="19">
        <v>0</v>
      </c>
      <c r="P114" s="19">
        <v>71</v>
      </c>
      <c r="Q114" s="19"/>
      <c r="R114" s="19">
        <v>37.200000000000003</v>
      </c>
      <c r="S114" s="19">
        <f>IFERROR(VLOOKUP(C114,[2]Base!$C$1:$S$65536,17,0),0)</f>
        <v>0</v>
      </c>
      <c r="T114" s="19"/>
      <c r="U114" s="19">
        <f t="shared" si="29"/>
        <v>0</v>
      </c>
      <c r="V114" s="20"/>
      <c r="W114" s="44">
        <f t="shared" si="34"/>
        <v>0</v>
      </c>
      <c r="Y114" s="19">
        <f t="shared" si="30"/>
        <v>1415</v>
      </c>
      <c r="AA114" s="44">
        <f>IFERROR(VLOOKUP(C114,[1]Vendedor!$C$1:$R$65536,16,0),0)</f>
        <v>0</v>
      </c>
      <c r="AB114" s="45">
        <f t="shared" si="22"/>
        <v>0</v>
      </c>
      <c r="AC114" s="20"/>
      <c r="AD114" s="44">
        <f>IFERROR(VLOOKUP(C114,[1]Vendedor!$C$1:$T$65536,18,0),0)</f>
        <v>0</v>
      </c>
      <c r="AE114" s="45">
        <f t="shared" si="23"/>
        <v>0</v>
      </c>
      <c r="AF114" s="44">
        <f t="shared" si="31"/>
        <v>1415</v>
      </c>
      <c r="AG114" s="20"/>
      <c r="AH114" s="20"/>
    </row>
    <row r="115" spans="1:34" x14ac:dyDescent="0.25">
      <c r="A115" s="30">
        <v>139</v>
      </c>
      <c r="B115" s="30">
        <v>47</v>
      </c>
      <c r="C115" s="32" t="str">
        <f t="shared" si="18"/>
        <v>139-47</v>
      </c>
      <c r="D115" s="16" t="s">
        <v>225</v>
      </c>
      <c r="E115" s="16" t="s">
        <v>14</v>
      </c>
      <c r="F115" s="15" t="s">
        <v>226</v>
      </c>
      <c r="G115" s="17">
        <v>44169</v>
      </c>
      <c r="H115" s="15" t="s">
        <v>10</v>
      </c>
      <c r="I115" s="18"/>
      <c r="J115" s="43">
        <f t="shared" si="33"/>
        <v>30</v>
      </c>
      <c r="K115" s="43">
        <v>0</v>
      </c>
      <c r="L115" s="43">
        <f t="shared" si="19"/>
        <v>30</v>
      </c>
      <c r="M115" s="18"/>
      <c r="N115" s="19">
        <v>0</v>
      </c>
      <c r="O115" s="19">
        <v>1660</v>
      </c>
      <c r="P115" s="19"/>
      <c r="Q115" s="19"/>
      <c r="R115" s="19">
        <v>37.200000000000003</v>
      </c>
      <c r="S115" s="19">
        <v>220</v>
      </c>
      <c r="T115" s="19"/>
      <c r="U115" s="19">
        <f t="shared" si="29"/>
        <v>220</v>
      </c>
      <c r="V115" s="45">
        <f>SUM(AA115:AB115,AF115)*6%</f>
        <v>99.6</v>
      </c>
      <c r="W115" s="44">
        <f t="shared" si="34"/>
        <v>99.6</v>
      </c>
      <c r="Y115" s="19">
        <f t="shared" si="30"/>
        <v>1660</v>
      </c>
      <c r="AA115" s="44">
        <f>IFERROR(VLOOKUP(C115,[1]Vendedor!$C$1:$R$65536,16,0),0)</f>
        <v>1229.0188399999997</v>
      </c>
      <c r="AB115" s="45">
        <f t="shared" si="22"/>
        <v>307.25470999999993</v>
      </c>
      <c r="AC115" s="20"/>
      <c r="AD115" s="44">
        <f>IFERROR(VLOOKUP(C115,[1]Vendedor!$C$1:$T$65536,18,0),0)</f>
        <v>0</v>
      </c>
      <c r="AE115" s="45">
        <f t="shared" si="23"/>
        <v>1536.2735499999997</v>
      </c>
      <c r="AF115" s="44">
        <f t="shared" si="31"/>
        <v>123.72645000000034</v>
      </c>
      <c r="AG115" s="20"/>
      <c r="AH115" s="20"/>
    </row>
    <row r="116" spans="1:34" x14ac:dyDescent="0.25">
      <c r="A116" s="30">
        <v>139</v>
      </c>
      <c r="B116" s="30">
        <v>53</v>
      </c>
      <c r="C116" s="32" t="str">
        <f t="shared" si="18"/>
        <v>139-53</v>
      </c>
      <c r="D116" s="16" t="s">
        <v>235</v>
      </c>
      <c r="E116" s="16" t="s">
        <v>21</v>
      </c>
      <c r="F116" s="15" t="s">
        <v>236</v>
      </c>
      <c r="G116" s="17">
        <v>44356</v>
      </c>
      <c r="H116" s="15" t="s">
        <v>10</v>
      </c>
      <c r="I116" s="18"/>
      <c r="J116" s="43">
        <v>22</v>
      </c>
      <c r="K116" s="43">
        <v>0</v>
      </c>
      <c r="L116" s="43">
        <f t="shared" si="19"/>
        <v>22</v>
      </c>
      <c r="M116" s="18"/>
      <c r="N116" s="19">
        <v>1415</v>
      </c>
      <c r="O116" s="19">
        <v>0</v>
      </c>
      <c r="P116" s="19">
        <v>71</v>
      </c>
      <c r="Q116" s="19"/>
      <c r="R116" s="19"/>
      <c r="S116" s="19">
        <f>IFERROR(VLOOKUP(C116,[2]Base!$C$1:$S$65536,17,0),0)</f>
        <v>0</v>
      </c>
      <c r="T116" s="19"/>
      <c r="U116" s="19">
        <f t="shared" si="29"/>
        <v>0</v>
      </c>
      <c r="V116" s="20"/>
      <c r="W116" s="44">
        <f t="shared" si="34"/>
        <v>0</v>
      </c>
      <c r="Y116" s="19">
        <f t="shared" si="30"/>
        <v>1037.6666666666665</v>
      </c>
      <c r="AA116" s="44">
        <v>0</v>
      </c>
      <c r="AB116" s="45">
        <f t="shared" si="22"/>
        <v>0</v>
      </c>
      <c r="AC116" s="20"/>
      <c r="AD116" s="44">
        <f>IFERROR(VLOOKUP(C116,[1]Vendedor!$C$1:$T$65536,18,0),0)</f>
        <v>0</v>
      </c>
      <c r="AE116" s="45">
        <f t="shared" si="23"/>
        <v>0</v>
      </c>
      <c r="AF116" s="44">
        <f t="shared" si="31"/>
        <v>1037.6666666666665</v>
      </c>
      <c r="AG116" s="20"/>
      <c r="AH116" s="20"/>
    </row>
    <row r="117" spans="1:34" x14ac:dyDescent="0.25">
      <c r="A117" s="30">
        <v>144</v>
      </c>
      <c r="B117" s="30">
        <v>81</v>
      </c>
      <c r="C117" s="32" t="str">
        <f t="shared" si="18"/>
        <v>144-81</v>
      </c>
      <c r="D117" s="16" t="s">
        <v>247</v>
      </c>
      <c r="E117" s="16" t="s">
        <v>14</v>
      </c>
      <c r="F117" s="15" t="s">
        <v>248</v>
      </c>
      <c r="G117" s="17">
        <v>43864</v>
      </c>
      <c r="H117" s="15" t="s">
        <v>10</v>
      </c>
      <c r="I117" s="18"/>
      <c r="J117" s="43">
        <f t="shared" ref="J117:J134" si="35">30-K117</f>
        <v>30</v>
      </c>
      <c r="K117" s="43">
        <v>0</v>
      </c>
      <c r="L117" s="43">
        <f t="shared" si="19"/>
        <v>30</v>
      </c>
      <c r="M117" s="18"/>
      <c r="N117" s="19">
        <v>0</v>
      </c>
      <c r="O117" s="19">
        <v>1693</v>
      </c>
      <c r="P117" s="19"/>
      <c r="Q117" s="19"/>
      <c r="R117" s="19">
        <v>23.5</v>
      </c>
      <c r="S117" s="19">
        <f>IFERROR(VLOOKUP(C117,[2]Base!$C$1:$S$65536,17,0),0)</f>
        <v>0</v>
      </c>
      <c r="T117" s="19"/>
      <c r="U117" s="19">
        <f t="shared" si="29"/>
        <v>0</v>
      </c>
      <c r="V117" s="20"/>
      <c r="W117" s="44">
        <f t="shared" si="34"/>
        <v>0</v>
      </c>
      <c r="Y117" s="19">
        <f t="shared" si="30"/>
        <v>1693</v>
      </c>
      <c r="AA117" s="44">
        <f>IFERROR(VLOOKUP(C117,[1]Vendedor!$C$1:$R$65536,16,0),0)</f>
        <v>2135.81376</v>
      </c>
      <c r="AB117" s="45">
        <f t="shared" si="22"/>
        <v>533.95344</v>
      </c>
      <c r="AC117" s="20"/>
      <c r="AD117" s="44">
        <f>IFERROR(VLOOKUP(C117,[1]Vendedor!$C$1:$T$65536,18,0),0)</f>
        <v>333.72089999999997</v>
      </c>
      <c r="AE117" s="45">
        <f t="shared" si="23"/>
        <v>3003.4881</v>
      </c>
      <c r="AF117" s="44">
        <f t="shared" si="31"/>
        <v>0</v>
      </c>
      <c r="AG117" s="20">
        <v>300</v>
      </c>
      <c r="AH117" s="20"/>
    </row>
    <row r="118" spans="1:34" x14ac:dyDescent="0.25">
      <c r="A118" s="30">
        <v>144</v>
      </c>
      <c r="B118" s="30">
        <v>71</v>
      </c>
      <c r="C118" s="32" t="str">
        <f t="shared" si="18"/>
        <v>144-71</v>
      </c>
      <c r="D118" s="16" t="s">
        <v>243</v>
      </c>
      <c r="E118" s="16" t="s">
        <v>14</v>
      </c>
      <c r="F118" s="15" t="s">
        <v>244</v>
      </c>
      <c r="G118" s="17">
        <v>43509</v>
      </c>
      <c r="H118" s="15" t="s">
        <v>10</v>
      </c>
      <c r="I118" s="18"/>
      <c r="J118" s="43">
        <f t="shared" si="35"/>
        <v>30</v>
      </c>
      <c r="K118" s="43">
        <v>0</v>
      </c>
      <c r="L118" s="43">
        <f t="shared" si="19"/>
        <v>30</v>
      </c>
      <c r="M118" s="18"/>
      <c r="N118" s="19">
        <v>0</v>
      </c>
      <c r="O118" s="19">
        <v>1693</v>
      </c>
      <c r="P118" s="19"/>
      <c r="Q118" s="19"/>
      <c r="R118" s="19">
        <v>23.5</v>
      </c>
      <c r="S118" s="19">
        <f>IFERROR(VLOOKUP(C118,[2]Base!$C$1:$S$65536,17,0),0)</f>
        <v>0</v>
      </c>
      <c r="T118" s="19"/>
      <c r="U118" s="19">
        <f t="shared" si="29"/>
        <v>0</v>
      </c>
      <c r="V118" s="20"/>
      <c r="W118" s="44">
        <f t="shared" si="34"/>
        <v>0</v>
      </c>
      <c r="Y118" s="19">
        <f t="shared" si="30"/>
        <v>1693</v>
      </c>
      <c r="AA118" s="44">
        <f>IFERROR(VLOOKUP(C118,[1]Vendedor!$C$1:$R$65536,16,0),0)</f>
        <v>1440.7513600000002</v>
      </c>
      <c r="AB118" s="45">
        <f t="shared" si="22"/>
        <v>360.18784000000005</v>
      </c>
      <c r="AC118" s="20"/>
      <c r="AD118" s="44">
        <f>IFERROR(VLOOKUP(C118,[1]Vendedor!$C$1:$T$65536,18,0),0)</f>
        <v>0</v>
      </c>
      <c r="AE118" s="45">
        <f t="shared" si="23"/>
        <v>1800.9392000000003</v>
      </c>
      <c r="AF118" s="44">
        <f t="shared" si="31"/>
        <v>0</v>
      </c>
      <c r="AG118" s="20">
        <v>300</v>
      </c>
      <c r="AH118" s="20"/>
    </row>
    <row r="119" spans="1:34" x14ac:dyDescent="0.25">
      <c r="A119" s="30">
        <v>144</v>
      </c>
      <c r="B119" s="30">
        <v>85</v>
      </c>
      <c r="C119" s="32" t="str">
        <f t="shared" si="18"/>
        <v>144-85</v>
      </c>
      <c r="D119" s="16" t="s">
        <v>249</v>
      </c>
      <c r="E119" s="16" t="s">
        <v>21</v>
      </c>
      <c r="F119" s="15" t="s">
        <v>250</v>
      </c>
      <c r="G119" s="17">
        <v>44155</v>
      </c>
      <c r="H119" s="15" t="s">
        <v>10</v>
      </c>
      <c r="I119" s="18"/>
      <c r="J119" s="43">
        <f t="shared" si="35"/>
        <v>30</v>
      </c>
      <c r="K119" s="43">
        <v>0</v>
      </c>
      <c r="L119" s="43">
        <f t="shared" si="19"/>
        <v>30</v>
      </c>
      <c r="M119" s="18"/>
      <c r="N119" s="19">
        <v>1449</v>
      </c>
      <c r="O119" s="19">
        <v>0</v>
      </c>
      <c r="P119" s="19">
        <v>74.5</v>
      </c>
      <c r="Q119" s="19"/>
      <c r="R119" s="19">
        <v>23.5</v>
      </c>
      <c r="S119" s="19">
        <f>IFERROR(VLOOKUP(C119,[2]Base!$C$1:$S$65536,17,0),0)</f>
        <v>0</v>
      </c>
      <c r="T119" s="19"/>
      <c r="U119" s="19">
        <f t="shared" si="29"/>
        <v>0</v>
      </c>
      <c r="V119" s="20"/>
      <c r="W119" s="44">
        <f t="shared" si="34"/>
        <v>0</v>
      </c>
      <c r="Y119" s="19">
        <f t="shared" si="30"/>
        <v>1449</v>
      </c>
      <c r="AA119" s="44">
        <f>IFERROR(VLOOKUP(C119,[1]Vendedor!$C$1:$R$65536,16,0),0)</f>
        <v>0</v>
      </c>
      <c r="AB119" s="45">
        <f t="shared" si="22"/>
        <v>0</v>
      </c>
      <c r="AC119" s="20"/>
      <c r="AD119" s="44">
        <f>IFERROR(VLOOKUP(C119,[1]Vendedor!$C$1:$T$65536,18,0),0)</f>
        <v>0</v>
      </c>
      <c r="AE119" s="45">
        <f t="shared" si="23"/>
        <v>0</v>
      </c>
      <c r="AF119" s="44">
        <f t="shared" si="31"/>
        <v>1449</v>
      </c>
      <c r="AG119" s="20"/>
      <c r="AH119" s="20"/>
    </row>
    <row r="120" spans="1:34" x14ac:dyDescent="0.25">
      <c r="A120" s="30">
        <v>144</v>
      </c>
      <c r="B120" s="30">
        <v>35</v>
      </c>
      <c r="C120" s="32" t="str">
        <f t="shared" si="18"/>
        <v>144-35</v>
      </c>
      <c r="D120" s="16" t="s">
        <v>241</v>
      </c>
      <c r="E120" s="16" t="s">
        <v>11</v>
      </c>
      <c r="F120" s="15" t="s">
        <v>242</v>
      </c>
      <c r="G120" s="17">
        <v>42545</v>
      </c>
      <c r="H120" s="15" t="s">
        <v>10</v>
      </c>
      <c r="I120" s="18"/>
      <c r="J120" s="43">
        <f t="shared" si="35"/>
        <v>30</v>
      </c>
      <c r="K120" s="43">
        <v>0</v>
      </c>
      <c r="L120" s="43">
        <f t="shared" si="19"/>
        <v>30</v>
      </c>
      <c r="M120" s="18"/>
      <c r="N120" s="19">
        <v>0</v>
      </c>
      <c r="O120" s="19">
        <v>4500</v>
      </c>
      <c r="P120" s="19"/>
      <c r="Q120" s="19"/>
      <c r="R120" s="19">
        <v>23.5</v>
      </c>
      <c r="S120" s="19">
        <f>IFERROR(VLOOKUP(C120,[2]Base!$C$1:$S$65536,17,0),0)</f>
        <v>0</v>
      </c>
      <c r="T120" s="19"/>
      <c r="U120" s="19">
        <f t="shared" si="29"/>
        <v>0</v>
      </c>
      <c r="V120" s="20"/>
      <c r="W120" s="44">
        <f t="shared" si="34"/>
        <v>0</v>
      </c>
      <c r="Y120" s="19">
        <f t="shared" si="30"/>
        <v>4500</v>
      </c>
      <c r="AA120" s="44">
        <f>VLOOKUP(A120,[3]Gerentes!$B$1:$O$65536,14,0)</f>
        <v>2754.1760399999994</v>
      </c>
      <c r="AB120" s="45">
        <f t="shared" si="22"/>
        <v>688.54400999999984</v>
      </c>
      <c r="AC120" s="20"/>
      <c r="AD120" s="44">
        <f>VLOOKUP(A120,[3]Gerentes!$B$1:$Q$65536,16,0)</f>
        <v>0</v>
      </c>
      <c r="AE120" s="45">
        <f t="shared" si="23"/>
        <v>3442.720049999999</v>
      </c>
      <c r="AF120" s="44">
        <f t="shared" si="31"/>
        <v>1057.279950000001</v>
      </c>
      <c r="AG120" s="20"/>
      <c r="AH120" s="20"/>
    </row>
    <row r="121" spans="1:34" x14ac:dyDescent="0.25">
      <c r="A121" s="30">
        <v>144</v>
      </c>
      <c r="B121" s="30">
        <v>74</v>
      </c>
      <c r="C121" s="32" t="str">
        <f t="shared" si="18"/>
        <v>144-74</v>
      </c>
      <c r="D121" s="16" t="s">
        <v>245</v>
      </c>
      <c r="E121" s="16" t="s">
        <v>14</v>
      </c>
      <c r="F121" s="15" t="s">
        <v>246</v>
      </c>
      <c r="G121" s="17">
        <v>43559</v>
      </c>
      <c r="H121" s="15" t="s">
        <v>10</v>
      </c>
      <c r="I121" s="18"/>
      <c r="J121" s="43">
        <f t="shared" si="35"/>
        <v>30</v>
      </c>
      <c r="K121" s="43">
        <v>0</v>
      </c>
      <c r="L121" s="43">
        <f t="shared" si="19"/>
        <v>30</v>
      </c>
      <c r="M121" s="18"/>
      <c r="N121" s="19">
        <v>0</v>
      </c>
      <c r="O121" s="19">
        <v>1693</v>
      </c>
      <c r="P121" s="19"/>
      <c r="Q121" s="19"/>
      <c r="R121" s="19"/>
      <c r="S121" s="19"/>
      <c r="T121" s="19">
        <v>218.4</v>
      </c>
      <c r="U121" s="19">
        <f t="shared" si="29"/>
        <v>218.4</v>
      </c>
      <c r="V121" s="45">
        <f>SUM(AA121:AB121,AF121)*6%</f>
        <v>112.26772800000001</v>
      </c>
      <c r="W121" s="44">
        <f t="shared" si="34"/>
        <v>112.26772800000001</v>
      </c>
      <c r="Y121" s="19">
        <f t="shared" si="30"/>
        <v>1693</v>
      </c>
      <c r="AA121" s="44">
        <f>IFERROR(VLOOKUP(C121,[1]Vendedor!$C$1:$R$65536,16,0),0)</f>
        <v>1496.9030400000001</v>
      </c>
      <c r="AB121" s="45">
        <f t="shared" si="22"/>
        <v>374.22576000000004</v>
      </c>
      <c r="AC121" s="20"/>
      <c r="AD121" s="44">
        <f>IFERROR(VLOOKUP(C121,[1]Vendedor!$C$1:$T$65536,18,0),0)</f>
        <v>0</v>
      </c>
      <c r="AE121" s="45">
        <f t="shared" si="23"/>
        <v>1871.1288000000002</v>
      </c>
      <c r="AF121" s="44">
        <f t="shared" si="31"/>
        <v>0</v>
      </c>
      <c r="AG121" s="20"/>
      <c r="AH121" s="20"/>
    </row>
    <row r="122" spans="1:34" x14ac:dyDescent="0.25">
      <c r="A122" s="30">
        <v>144</v>
      </c>
      <c r="B122" s="30">
        <v>88</v>
      </c>
      <c r="C122" s="32" t="str">
        <f t="shared" si="18"/>
        <v>144-88</v>
      </c>
      <c r="D122" s="16" t="s">
        <v>251</v>
      </c>
      <c r="E122" s="16" t="s">
        <v>14</v>
      </c>
      <c r="F122" s="15" t="s">
        <v>252</v>
      </c>
      <c r="G122" s="17">
        <v>44166</v>
      </c>
      <c r="H122" s="15" t="s">
        <v>10</v>
      </c>
      <c r="I122" s="18"/>
      <c r="J122" s="43">
        <f t="shared" si="35"/>
        <v>30</v>
      </c>
      <c r="K122" s="43">
        <v>0</v>
      </c>
      <c r="L122" s="43">
        <f t="shared" si="19"/>
        <v>30</v>
      </c>
      <c r="M122" s="18"/>
      <c r="N122" s="19">
        <v>0</v>
      </c>
      <c r="O122" s="19">
        <v>1693</v>
      </c>
      <c r="P122" s="19"/>
      <c r="Q122" s="19"/>
      <c r="R122" s="19">
        <v>23.5</v>
      </c>
      <c r="S122" s="19"/>
      <c r="T122" s="19">
        <v>227.7</v>
      </c>
      <c r="U122" s="19">
        <f t="shared" si="29"/>
        <v>227.7</v>
      </c>
      <c r="V122" s="45">
        <f>SUM(AA122:AB122,AF122)*6%</f>
        <v>101.58</v>
      </c>
      <c r="W122" s="44">
        <f t="shared" si="34"/>
        <v>101.58</v>
      </c>
      <c r="Y122" s="19">
        <f t="shared" si="30"/>
        <v>1693</v>
      </c>
      <c r="AA122" s="44">
        <f>IFERROR(VLOOKUP(C122,[1]Vendedor!$C$1:$R$65536,16,0),0)</f>
        <v>1150.9145600000002</v>
      </c>
      <c r="AB122" s="45">
        <f t="shared" si="22"/>
        <v>287.72864000000004</v>
      </c>
      <c r="AC122" s="20"/>
      <c r="AD122" s="44">
        <f>IFERROR(VLOOKUP(C122,[1]Vendedor!$C$1:$T$65536,18,0),0)</f>
        <v>0</v>
      </c>
      <c r="AE122" s="45">
        <f t="shared" si="23"/>
        <v>1438.6432000000002</v>
      </c>
      <c r="AF122" s="44">
        <f t="shared" si="31"/>
        <v>254.35679999999979</v>
      </c>
      <c r="AG122" s="20"/>
      <c r="AH122" s="20"/>
    </row>
    <row r="123" spans="1:34" x14ac:dyDescent="0.25">
      <c r="A123" s="30">
        <v>154</v>
      </c>
      <c r="B123" s="30">
        <v>38</v>
      </c>
      <c r="C123" s="32" t="str">
        <f t="shared" si="18"/>
        <v>154-38</v>
      </c>
      <c r="D123" s="16" t="s">
        <v>255</v>
      </c>
      <c r="E123" s="16" t="s">
        <v>14</v>
      </c>
      <c r="F123" s="15" t="s">
        <v>256</v>
      </c>
      <c r="G123" s="17">
        <v>43679</v>
      </c>
      <c r="H123" s="15" t="s">
        <v>10</v>
      </c>
      <c r="I123" s="18"/>
      <c r="J123" s="43">
        <f t="shared" si="35"/>
        <v>30</v>
      </c>
      <c r="K123" s="43">
        <v>0</v>
      </c>
      <c r="L123" s="43">
        <f t="shared" si="19"/>
        <v>30</v>
      </c>
      <c r="M123" s="18"/>
      <c r="N123" s="19">
        <v>0</v>
      </c>
      <c r="O123" s="19">
        <v>1240</v>
      </c>
      <c r="P123" s="19"/>
      <c r="Q123" s="19"/>
      <c r="R123" s="19"/>
      <c r="S123" s="19">
        <f>IFERROR(VLOOKUP(C123,[2]Base!$C$1:$S$65536,17,0),0)</f>
        <v>0</v>
      </c>
      <c r="T123" s="19"/>
      <c r="U123" s="19">
        <f t="shared" si="29"/>
        <v>0</v>
      </c>
      <c r="V123" s="20"/>
      <c r="W123" s="44">
        <f t="shared" si="34"/>
        <v>0</v>
      </c>
      <c r="Y123" s="19">
        <f t="shared" si="30"/>
        <v>1240</v>
      </c>
      <c r="AA123" s="44">
        <f>IFERROR(VLOOKUP(C123,[1]Vendedor!$C$1:$R$65536,16,0),0)</f>
        <v>191.22784000000001</v>
      </c>
      <c r="AB123" s="45">
        <f t="shared" si="22"/>
        <v>47.806960000000004</v>
      </c>
      <c r="AC123" s="20"/>
      <c r="AD123" s="44">
        <f>IFERROR(VLOOKUP(C123,[1]Vendedor!$C$1:$T$65536,18,0),0)</f>
        <v>0</v>
      </c>
      <c r="AE123" s="45">
        <f t="shared" si="23"/>
        <v>239.03480000000002</v>
      </c>
      <c r="AF123" s="44">
        <f t="shared" si="31"/>
        <v>1000.9652</v>
      </c>
      <c r="AG123" s="20"/>
      <c r="AH123" s="20"/>
    </row>
    <row r="124" spans="1:34" x14ac:dyDescent="0.25">
      <c r="A124" s="30">
        <v>154</v>
      </c>
      <c r="B124" s="30">
        <v>43</v>
      </c>
      <c r="C124" s="32" t="str">
        <f t="shared" si="18"/>
        <v>154-43</v>
      </c>
      <c r="D124" s="16" t="s">
        <v>259</v>
      </c>
      <c r="E124" s="16" t="s">
        <v>21</v>
      </c>
      <c r="F124" s="15" t="s">
        <v>260</v>
      </c>
      <c r="G124" s="17">
        <v>44097</v>
      </c>
      <c r="H124" s="15" t="s">
        <v>10</v>
      </c>
      <c r="I124" s="18"/>
      <c r="J124" s="43">
        <f t="shared" si="35"/>
        <v>30</v>
      </c>
      <c r="K124" s="43">
        <v>0</v>
      </c>
      <c r="L124" s="43">
        <f t="shared" si="19"/>
        <v>30</v>
      </c>
      <c r="M124" s="18"/>
      <c r="N124" s="19">
        <v>1240</v>
      </c>
      <c r="O124" s="19">
        <v>0</v>
      </c>
      <c r="P124" s="19">
        <f>N124*10%</f>
        <v>124</v>
      </c>
      <c r="Q124" s="19"/>
      <c r="R124" s="19"/>
      <c r="S124" s="19">
        <v>422.5</v>
      </c>
      <c r="T124" s="19"/>
      <c r="U124" s="19">
        <f t="shared" si="29"/>
        <v>422.5</v>
      </c>
      <c r="V124" s="45">
        <f>SUM(AA124:AB124,AF124)*6%</f>
        <v>74.399999999999991</v>
      </c>
      <c r="W124" s="44">
        <f t="shared" si="34"/>
        <v>74.399999999999991</v>
      </c>
      <c r="Y124" s="19">
        <f t="shared" si="30"/>
        <v>1240</v>
      </c>
      <c r="AA124" s="44">
        <f>IFERROR(VLOOKUP(C124,[1]Vendedor!$C$1:$R$65536,16,0),0)</f>
        <v>0</v>
      </c>
      <c r="AB124" s="45">
        <f t="shared" si="22"/>
        <v>0</v>
      </c>
      <c r="AC124" s="20"/>
      <c r="AD124" s="44">
        <f>IFERROR(VLOOKUP(C124,[1]Vendedor!$C$1:$T$65536,18,0),0)</f>
        <v>0</v>
      </c>
      <c r="AE124" s="45">
        <f t="shared" si="23"/>
        <v>0</v>
      </c>
      <c r="AF124" s="44">
        <f t="shared" si="31"/>
        <v>1240</v>
      </c>
      <c r="AG124" s="20"/>
      <c r="AH124" s="20"/>
    </row>
    <row r="125" spans="1:34" x14ac:dyDescent="0.25">
      <c r="A125" s="30">
        <v>154</v>
      </c>
      <c r="B125" s="30">
        <v>45</v>
      </c>
      <c r="C125" s="32" t="str">
        <f t="shared" si="18"/>
        <v>154-45</v>
      </c>
      <c r="D125" s="16" t="s">
        <v>261</v>
      </c>
      <c r="E125" s="16" t="s">
        <v>14</v>
      </c>
      <c r="F125" s="15" t="s">
        <v>262</v>
      </c>
      <c r="G125" s="17">
        <v>44152</v>
      </c>
      <c r="H125" s="15" t="s">
        <v>10</v>
      </c>
      <c r="I125" s="18"/>
      <c r="J125" s="43">
        <f t="shared" si="35"/>
        <v>30</v>
      </c>
      <c r="K125" s="43">
        <v>0</v>
      </c>
      <c r="L125" s="43">
        <f t="shared" si="19"/>
        <v>30</v>
      </c>
      <c r="M125" s="18"/>
      <c r="N125" s="19">
        <v>0</v>
      </c>
      <c r="O125" s="19">
        <v>1240</v>
      </c>
      <c r="P125" s="19"/>
      <c r="Q125" s="19"/>
      <c r="R125" s="19"/>
      <c r="S125" s="19">
        <v>187.5</v>
      </c>
      <c r="T125" s="19"/>
      <c r="U125" s="19">
        <f t="shared" si="29"/>
        <v>187.5</v>
      </c>
      <c r="V125" s="45">
        <f>SUM(AA125:AB125,AF125)*6%</f>
        <v>179.81284799999997</v>
      </c>
      <c r="W125" s="44">
        <f t="shared" si="34"/>
        <v>179.81284799999997</v>
      </c>
      <c r="Y125" s="19">
        <f t="shared" si="30"/>
        <v>1240</v>
      </c>
      <c r="AA125" s="44">
        <f>IFERROR(VLOOKUP(C125,[1]Vendedor!$C$1:$R$65536,16,0),0)</f>
        <v>2397.5046400000001</v>
      </c>
      <c r="AB125" s="45">
        <f t="shared" si="22"/>
        <v>599.37616000000003</v>
      </c>
      <c r="AC125" s="20"/>
      <c r="AD125" s="44">
        <f>IFERROR(VLOOKUP(C125,[1]Vendedor!$C$1:$T$65536,18,0),0)</f>
        <v>374.61010000000005</v>
      </c>
      <c r="AE125" s="45">
        <f t="shared" si="23"/>
        <v>3371.4908999999998</v>
      </c>
      <c r="AF125" s="44">
        <f t="shared" si="31"/>
        <v>0</v>
      </c>
      <c r="AG125" s="20"/>
      <c r="AH125" s="20"/>
    </row>
    <row r="126" spans="1:34" x14ac:dyDescent="0.25">
      <c r="A126" s="30">
        <v>154</v>
      </c>
      <c r="B126" s="30">
        <v>28</v>
      </c>
      <c r="C126" s="32" t="str">
        <f t="shared" si="18"/>
        <v>154-28</v>
      </c>
      <c r="D126" s="16" t="s">
        <v>253</v>
      </c>
      <c r="E126" s="16" t="s">
        <v>14</v>
      </c>
      <c r="F126" s="15" t="s">
        <v>254</v>
      </c>
      <c r="G126" s="17">
        <v>42789</v>
      </c>
      <c r="H126" s="15" t="s">
        <v>10</v>
      </c>
      <c r="I126" s="18"/>
      <c r="J126" s="43">
        <f t="shared" si="35"/>
        <v>30</v>
      </c>
      <c r="K126" s="43">
        <v>0</v>
      </c>
      <c r="L126" s="43">
        <f t="shared" si="19"/>
        <v>30</v>
      </c>
      <c r="M126" s="18"/>
      <c r="N126" s="19">
        <v>0</v>
      </c>
      <c r="O126" s="19">
        <v>1240</v>
      </c>
      <c r="P126" s="19"/>
      <c r="Q126" s="19"/>
      <c r="R126" s="19"/>
      <c r="S126" s="19">
        <v>375</v>
      </c>
      <c r="T126" s="19"/>
      <c r="U126" s="19">
        <f t="shared" si="29"/>
        <v>375</v>
      </c>
      <c r="V126" s="45">
        <f>SUM(AA126:AB126,AF126)*6%</f>
        <v>183.17484000000002</v>
      </c>
      <c r="W126" s="44">
        <f t="shared" si="34"/>
        <v>183.17484000000002</v>
      </c>
      <c r="Y126" s="19">
        <f t="shared" si="30"/>
        <v>1240</v>
      </c>
      <c r="AA126" s="44">
        <f>IFERROR(VLOOKUP(C126,[1]Vendedor!$C$1:$R$65536,16,0),0)</f>
        <v>2442.3312000000001</v>
      </c>
      <c r="AB126" s="45">
        <f t="shared" si="22"/>
        <v>610.58280000000002</v>
      </c>
      <c r="AC126" s="20">
        <v>150</v>
      </c>
      <c r="AD126" s="44">
        <f>IFERROR(VLOOKUP(C126,[1]Vendedor!$C$1:$T$65536,18,0),0)</f>
        <v>381.61425000000003</v>
      </c>
      <c r="AE126" s="45">
        <f t="shared" si="23"/>
        <v>3584.5282500000003</v>
      </c>
      <c r="AF126" s="44">
        <f t="shared" si="31"/>
        <v>0</v>
      </c>
      <c r="AG126" s="20">
        <v>300</v>
      </c>
      <c r="AH126" s="20"/>
    </row>
    <row r="127" spans="1:34" x14ac:dyDescent="0.25">
      <c r="A127" s="30">
        <v>154</v>
      </c>
      <c r="B127" s="30">
        <v>42</v>
      </c>
      <c r="C127" s="32" t="str">
        <f t="shared" si="18"/>
        <v>154-42</v>
      </c>
      <c r="D127" s="16" t="s">
        <v>257</v>
      </c>
      <c r="E127" s="16" t="s">
        <v>14</v>
      </c>
      <c r="F127" s="15" t="s">
        <v>258</v>
      </c>
      <c r="G127" s="17">
        <v>43787</v>
      </c>
      <c r="H127" s="15" t="s">
        <v>10</v>
      </c>
      <c r="I127" s="18"/>
      <c r="J127" s="43">
        <f t="shared" si="35"/>
        <v>30</v>
      </c>
      <c r="K127" s="43">
        <v>0</v>
      </c>
      <c r="L127" s="43">
        <f t="shared" si="19"/>
        <v>30</v>
      </c>
      <c r="M127" s="18"/>
      <c r="N127" s="19">
        <v>0</v>
      </c>
      <c r="O127" s="19">
        <v>1240</v>
      </c>
      <c r="P127" s="19"/>
      <c r="Q127" s="19"/>
      <c r="R127" s="19"/>
      <c r="S127" s="19">
        <f>IFERROR(VLOOKUP(C127,[2]Base!$C$1:$S$65536,17,0),0)</f>
        <v>0</v>
      </c>
      <c r="T127" s="19"/>
      <c r="U127" s="19">
        <f t="shared" si="29"/>
        <v>0</v>
      </c>
      <c r="V127" s="20"/>
      <c r="W127" s="44">
        <f t="shared" si="34"/>
        <v>0</v>
      </c>
      <c r="Y127" s="19">
        <f t="shared" si="30"/>
        <v>1240</v>
      </c>
      <c r="AA127" s="44">
        <f>IFERROR(VLOOKUP(C127,[1]Vendedor!$C$1:$R$65536,16,0),0)</f>
        <v>2509.9830400000001</v>
      </c>
      <c r="AB127" s="45">
        <f t="shared" si="22"/>
        <v>627.49576000000002</v>
      </c>
      <c r="AC127" s="20"/>
      <c r="AD127" s="44">
        <f>IFERROR(VLOOKUP(C127,[1]Vendedor!$C$1:$T$65536,18,0),0)</f>
        <v>392.18485000000004</v>
      </c>
      <c r="AE127" s="45">
        <f t="shared" si="23"/>
        <v>3529.66365</v>
      </c>
      <c r="AF127" s="44">
        <f t="shared" si="31"/>
        <v>0</v>
      </c>
      <c r="AG127" s="20"/>
      <c r="AH127" s="20"/>
    </row>
    <row r="128" spans="1:34" x14ac:dyDescent="0.25">
      <c r="A128" s="30">
        <v>156</v>
      </c>
      <c r="B128" s="30">
        <v>76</v>
      </c>
      <c r="C128" s="32" t="str">
        <f t="shared" si="18"/>
        <v>156-76</v>
      </c>
      <c r="D128" s="16" t="s">
        <v>269</v>
      </c>
      <c r="E128" s="16" t="s">
        <v>14</v>
      </c>
      <c r="F128" s="15" t="s">
        <v>270</v>
      </c>
      <c r="G128" s="17">
        <v>43901</v>
      </c>
      <c r="H128" s="15" t="s">
        <v>10</v>
      </c>
      <c r="I128" s="18"/>
      <c r="J128" s="43">
        <f t="shared" si="35"/>
        <v>30</v>
      </c>
      <c r="K128" s="43">
        <v>0</v>
      </c>
      <c r="L128" s="43">
        <f t="shared" si="19"/>
        <v>30</v>
      </c>
      <c r="M128" s="18"/>
      <c r="N128" s="19">
        <v>0</v>
      </c>
      <c r="O128" s="19">
        <v>1807.35</v>
      </c>
      <c r="P128" s="19"/>
      <c r="Q128" s="19"/>
      <c r="R128" s="19">
        <v>40</v>
      </c>
      <c r="S128" s="19">
        <v>443.52</v>
      </c>
      <c r="T128" s="19"/>
      <c r="U128" s="19">
        <f t="shared" si="29"/>
        <v>443.52</v>
      </c>
      <c r="V128" s="45">
        <f>SUM(AA128:AB128,AF128)*6%</f>
        <v>187.47724799999997</v>
      </c>
      <c r="W128" s="44">
        <f t="shared" si="34"/>
        <v>187.47724799999997</v>
      </c>
      <c r="Y128" s="19">
        <f t="shared" si="30"/>
        <v>1807.35</v>
      </c>
      <c r="AA128" s="44">
        <f>IFERROR(VLOOKUP(C128,[1]Vendedor!$C$1:$R$65536,16,0),0)</f>
        <v>2499.6966399999997</v>
      </c>
      <c r="AB128" s="45">
        <f t="shared" si="22"/>
        <v>624.92415999999992</v>
      </c>
      <c r="AC128" s="20"/>
      <c r="AD128" s="44">
        <f>IFERROR(VLOOKUP(C128,[1]Vendedor!$C$1:$T$65536,18,0),0)</f>
        <v>390.57759999999996</v>
      </c>
      <c r="AE128" s="45">
        <f t="shared" si="23"/>
        <v>3515.1983999999998</v>
      </c>
      <c r="AF128" s="44">
        <f t="shared" si="31"/>
        <v>0</v>
      </c>
      <c r="AG128" s="20"/>
      <c r="AH128" s="20"/>
    </row>
    <row r="129" spans="1:34" x14ac:dyDescent="0.25">
      <c r="A129" s="30">
        <v>156</v>
      </c>
      <c r="B129" s="30">
        <v>72</v>
      </c>
      <c r="C129" s="32" t="str">
        <f t="shared" si="18"/>
        <v>156-72</v>
      </c>
      <c r="D129" s="16" t="s">
        <v>265</v>
      </c>
      <c r="E129" s="16" t="s">
        <v>14</v>
      </c>
      <c r="F129" s="15" t="s">
        <v>266</v>
      </c>
      <c r="G129" s="17">
        <v>43852</v>
      </c>
      <c r="H129" s="15" t="s">
        <v>10</v>
      </c>
      <c r="I129" s="18"/>
      <c r="J129" s="43">
        <f t="shared" si="35"/>
        <v>30</v>
      </c>
      <c r="K129" s="43">
        <v>0</v>
      </c>
      <c r="L129" s="43">
        <f t="shared" si="19"/>
        <v>30</v>
      </c>
      <c r="M129" s="18"/>
      <c r="N129" s="19">
        <v>0</v>
      </c>
      <c r="O129" s="19">
        <v>1807.35</v>
      </c>
      <c r="P129" s="19"/>
      <c r="Q129" s="19"/>
      <c r="R129" s="19">
        <v>40</v>
      </c>
      <c r="S129" s="19">
        <v>443.52</v>
      </c>
      <c r="T129" s="19"/>
      <c r="U129" s="19">
        <f t="shared" si="29"/>
        <v>443.52</v>
      </c>
      <c r="V129" s="45">
        <f>SUM(AA129:AB129,AF129)*6%</f>
        <v>166.76267999999999</v>
      </c>
      <c r="W129" s="44">
        <f t="shared" si="34"/>
        <v>166.76267999999999</v>
      </c>
      <c r="Y129" s="19">
        <f t="shared" si="30"/>
        <v>1807.35</v>
      </c>
      <c r="AA129" s="44">
        <f>IFERROR(VLOOKUP(C129,[1]Vendedor!$C$1:$R$65536,16,0),0)</f>
        <v>2223.5023999999999</v>
      </c>
      <c r="AB129" s="45">
        <f t="shared" si="22"/>
        <v>555.87559999999996</v>
      </c>
      <c r="AC129" s="20">
        <v>600</v>
      </c>
      <c r="AD129" s="44">
        <f>IFERROR(VLOOKUP(C129,[1]Vendedor!$C$1:$T$65536,18,0),0)</f>
        <v>0</v>
      </c>
      <c r="AE129" s="45">
        <f t="shared" si="23"/>
        <v>3379.3779999999997</v>
      </c>
      <c r="AF129" s="44">
        <f t="shared" si="31"/>
        <v>0</v>
      </c>
      <c r="AG129" s="20">
        <v>300</v>
      </c>
      <c r="AH129" s="20"/>
    </row>
    <row r="130" spans="1:34" x14ac:dyDescent="0.25">
      <c r="A130" s="30">
        <v>156</v>
      </c>
      <c r="B130" s="30">
        <v>78</v>
      </c>
      <c r="C130" s="32" t="str">
        <f t="shared" si="18"/>
        <v>156-78</v>
      </c>
      <c r="D130" s="16" t="s">
        <v>271</v>
      </c>
      <c r="E130" s="16" t="s">
        <v>14</v>
      </c>
      <c r="F130" s="15" t="s">
        <v>272</v>
      </c>
      <c r="G130" s="17">
        <v>43902</v>
      </c>
      <c r="H130" s="15" t="s">
        <v>10</v>
      </c>
      <c r="I130" s="18"/>
      <c r="J130" s="43">
        <f t="shared" si="35"/>
        <v>30</v>
      </c>
      <c r="K130" s="43">
        <v>0</v>
      </c>
      <c r="L130" s="43">
        <f t="shared" si="19"/>
        <v>30</v>
      </c>
      <c r="M130" s="18"/>
      <c r="N130" s="19">
        <v>0</v>
      </c>
      <c r="O130" s="19">
        <v>1807.35</v>
      </c>
      <c r="P130" s="19"/>
      <c r="Q130" s="19"/>
      <c r="R130" s="19">
        <v>40</v>
      </c>
      <c r="S130" s="19">
        <v>0</v>
      </c>
      <c r="T130" s="19"/>
      <c r="U130" s="19">
        <f t="shared" si="29"/>
        <v>0</v>
      </c>
      <c r="V130" s="20"/>
      <c r="W130" s="44">
        <f t="shared" si="34"/>
        <v>0</v>
      </c>
      <c r="Y130" s="19">
        <f t="shared" si="30"/>
        <v>1807.35</v>
      </c>
      <c r="AA130" s="44">
        <f>IFERROR(VLOOKUP(C130,[1]Vendedor!$C$1:$R$65536,16,0),0)</f>
        <v>1268.4156800000001</v>
      </c>
      <c r="AB130" s="45">
        <f t="shared" si="22"/>
        <v>317.10392000000002</v>
      </c>
      <c r="AC130" s="20">
        <v>600</v>
      </c>
      <c r="AD130" s="44">
        <f>IFERROR(VLOOKUP(C130,[1]Vendedor!$C$1:$T$65536,18,0),0)</f>
        <v>0</v>
      </c>
      <c r="AE130" s="45">
        <f t="shared" si="23"/>
        <v>2185.5196000000001</v>
      </c>
      <c r="AF130" s="44">
        <f t="shared" si="31"/>
        <v>0</v>
      </c>
      <c r="AG130" s="20">
        <v>300</v>
      </c>
      <c r="AH130" s="20"/>
    </row>
    <row r="131" spans="1:34" x14ac:dyDescent="0.25">
      <c r="A131" s="30">
        <v>156</v>
      </c>
      <c r="B131" s="30">
        <v>67</v>
      </c>
      <c r="C131" s="32" t="str">
        <f t="shared" ref="C131:C194" si="36">CONCATENATE(A131,"-",B131)</f>
        <v>156-67</v>
      </c>
      <c r="D131" s="16" t="s">
        <v>263</v>
      </c>
      <c r="E131" s="16" t="s">
        <v>14</v>
      </c>
      <c r="F131" s="15" t="s">
        <v>264</v>
      </c>
      <c r="G131" s="17">
        <v>43759</v>
      </c>
      <c r="H131" s="15" t="s">
        <v>10</v>
      </c>
      <c r="I131" s="18"/>
      <c r="J131" s="43">
        <f t="shared" si="35"/>
        <v>30</v>
      </c>
      <c r="K131" s="43">
        <v>0</v>
      </c>
      <c r="L131" s="43">
        <f t="shared" ref="L131:L194" si="37">SUM(J131:K131)</f>
        <v>30</v>
      </c>
      <c r="M131" s="18"/>
      <c r="N131" s="19">
        <v>0</v>
      </c>
      <c r="O131" s="19">
        <v>1807.35</v>
      </c>
      <c r="P131" s="19"/>
      <c r="Q131" s="19"/>
      <c r="R131" s="19">
        <v>40</v>
      </c>
      <c r="S131" s="19">
        <f>IFERROR(VLOOKUP(C131,[2]Base!$C$1:$S$65536,17,0),0)</f>
        <v>0</v>
      </c>
      <c r="T131" s="19"/>
      <c r="U131" s="19">
        <f t="shared" ref="U131:U162" si="38">SUM(S131:T131)</f>
        <v>0</v>
      </c>
      <c r="V131" s="20"/>
      <c r="W131" s="44">
        <f t="shared" si="34"/>
        <v>0</v>
      </c>
      <c r="Y131" s="19">
        <f t="shared" ref="Y131:Y162" si="39">SUM(N131:O131)/30*J131</f>
        <v>1807.35</v>
      </c>
      <c r="AA131" s="44">
        <f>IFERROR(VLOOKUP(C131,[1]Vendedor!$C$1:$R$65536,16,0),0)</f>
        <v>2571.8348799999999</v>
      </c>
      <c r="AB131" s="45">
        <f t="shared" ref="AB131:AB194" si="40">AA131*25%</f>
        <v>642.95871999999997</v>
      </c>
      <c r="AC131" s="20">
        <v>200</v>
      </c>
      <c r="AD131" s="44">
        <f>IFERROR(VLOOKUP(C131,[1]Vendedor!$C$1:$T$65536,18,0),0)</f>
        <v>401.8492</v>
      </c>
      <c r="AE131" s="45">
        <f t="shared" ref="AE131:AE194" si="41">SUM(AA131:AD131)</f>
        <v>3816.6428000000001</v>
      </c>
      <c r="AF131" s="44">
        <f t="shared" ref="AF131:AF162" si="42">IF(AE131&lt;Y131,Y131-AE131,0)</f>
        <v>0</v>
      </c>
      <c r="AG131" s="20">
        <v>300</v>
      </c>
      <c r="AH131" s="20"/>
    </row>
    <row r="132" spans="1:34" s="204" customFormat="1" x14ac:dyDescent="0.25">
      <c r="A132" s="194">
        <v>156</v>
      </c>
      <c r="B132" s="194">
        <v>81</v>
      </c>
      <c r="C132" s="195" t="str">
        <f t="shared" si="36"/>
        <v>156-81</v>
      </c>
      <c r="D132" s="196" t="s">
        <v>275</v>
      </c>
      <c r="E132" s="196" t="s">
        <v>14</v>
      </c>
      <c r="F132" s="197" t="s">
        <v>276</v>
      </c>
      <c r="G132" s="198">
        <v>44152</v>
      </c>
      <c r="H132" s="197" t="s">
        <v>10</v>
      </c>
      <c r="I132" s="199"/>
      <c r="J132" s="200">
        <f t="shared" si="35"/>
        <v>30</v>
      </c>
      <c r="K132" s="200">
        <v>0</v>
      </c>
      <c r="L132" s="200">
        <f t="shared" si="37"/>
        <v>30</v>
      </c>
      <c r="M132" s="199"/>
      <c r="N132" s="201"/>
      <c r="O132" s="201">
        <v>1807.35</v>
      </c>
      <c r="P132" s="201"/>
      <c r="Q132" s="201"/>
      <c r="R132" s="201">
        <v>40</v>
      </c>
      <c r="S132" s="201">
        <v>443.52</v>
      </c>
      <c r="T132" s="201"/>
      <c r="U132" s="201">
        <f t="shared" si="38"/>
        <v>443.52</v>
      </c>
      <c r="V132" s="202">
        <f>SUM(AA132:AB132,AF132)*6%</f>
        <v>123.81633599999999</v>
      </c>
      <c r="W132" s="203">
        <f t="shared" si="34"/>
        <v>123.81633599999999</v>
      </c>
      <c r="Y132" s="201">
        <f t="shared" si="39"/>
        <v>1807.35</v>
      </c>
      <c r="AA132" s="203">
        <f>IFERROR(VLOOKUP(C132,[1]Vendedor!$C$1:$R$65536,16,0),0)</f>
        <v>1650.8844799999999</v>
      </c>
      <c r="AB132" s="202">
        <f t="shared" si="40"/>
        <v>412.72111999999998</v>
      </c>
      <c r="AC132" s="205"/>
      <c r="AD132" s="203">
        <f>IFERROR(VLOOKUP(C132,[1]Vendedor!$C$1:$T$65536,18,0),0)</f>
        <v>0</v>
      </c>
      <c r="AE132" s="202">
        <f t="shared" si="41"/>
        <v>2063.6055999999999</v>
      </c>
      <c r="AF132" s="203">
        <f t="shared" si="42"/>
        <v>0</v>
      </c>
      <c r="AG132" s="205"/>
      <c r="AH132" s="205"/>
    </row>
    <row r="133" spans="1:34" x14ac:dyDescent="0.25">
      <c r="A133" s="30">
        <v>156</v>
      </c>
      <c r="B133" s="30">
        <v>79</v>
      </c>
      <c r="C133" s="32" t="str">
        <f t="shared" si="36"/>
        <v>156-79</v>
      </c>
      <c r="D133" s="16" t="s">
        <v>273</v>
      </c>
      <c r="E133" s="16" t="s">
        <v>14</v>
      </c>
      <c r="F133" s="15" t="s">
        <v>274</v>
      </c>
      <c r="G133" s="17">
        <v>44145</v>
      </c>
      <c r="H133" s="15" t="s">
        <v>10</v>
      </c>
      <c r="I133" s="18"/>
      <c r="J133" s="43">
        <f t="shared" si="35"/>
        <v>30</v>
      </c>
      <c r="K133" s="43">
        <v>0</v>
      </c>
      <c r="L133" s="43">
        <f t="shared" si="37"/>
        <v>30</v>
      </c>
      <c r="M133" s="18"/>
      <c r="N133" s="19">
        <v>0</v>
      </c>
      <c r="O133" s="19">
        <v>1807.35</v>
      </c>
      <c r="P133" s="19"/>
      <c r="Q133" s="19"/>
      <c r="R133" s="19">
        <v>40</v>
      </c>
      <c r="S133" s="19">
        <v>443.52</v>
      </c>
      <c r="T133" s="19"/>
      <c r="U133" s="19">
        <f t="shared" si="38"/>
        <v>443.52</v>
      </c>
      <c r="V133" s="45">
        <f>SUM(AA133:AB133,AF133)*6%</f>
        <v>188.73518399999998</v>
      </c>
      <c r="W133" s="44">
        <f t="shared" si="34"/>
        <v>188.73518399999998</v>
      </c>
      <c r="Y133" s="19">
        <f t="shared" si="39"/>
        <v>1807.35</v>
      </c>
      <c r="AA133" s="44">
        <f>IFERROR(VLOOKUP(C133,[1]Vendedor!$C$1:$R$65536,16,0),0)</f>
        <v>2516.4691199999997</v>
      </c>
      <c r="AB133" s="45">
        <f t="shared" si="40"/>
        <v>629.11727999999994</v>
      </c>
      <c r="AC133" s="20"/>
      <c r="AD133" s="44">
        <f>IFERROR(VLOOKUP(C133,[1]Vendedor!$C$1:$T$65536,18,0),0)</f>
        <v>393.19829999999996</v>
      </c>
      <c r="AE133" s="45">
        <f t="shared" si="41"/>
        <v>3538.7846999999997</v>
      </c>
      <c r="AF133" s="44">
        <f t="shared" si="42"/>
        <v>0</v>
      </c>
      <c r="AG133" s="20"/>
      <c r="AH133" s="20"/>
    </row>
    <row r="134" spans="1:34" s="50" customFormat="1" x14ac:dyDescent="0.25">
      <c r="A134" s="30">
        <v>156</v>
      </c>
      <c r="B134" s="30">
        <v>75</v>
      </c>
      <c r="C134" s="32" t="str">
        <f t="shared" si="36"/>
        <v>156-75</v>
      </c>
      <c r="D134" s="16" t="s">
        <v>267</v>
      </c>
      <c r="E134" s="16" t="s">
        <v>11</v>
      </c>
      <c r="F134" s="15" t="s">
        <v>268</v>
      </c>
      <c r="G134" s="17">
        <v>43889</v>
      </c>
      <c r="H134" s="15" t="s">
        <v>10</v>
      </c>
      <c r="I134" s="18"/>
      <c r="J134" s="43">
        <f t="shared" si="35"/>
        <v>30</v>
      </c>
      <c r="K134" s="43">
        <v>0</v>
      </c>
      <c r="L134" s="43">
        <f t="shared" si="37"/>
        <v>30</v>
      </c>
      <c r="M134" s="18"/>
      <c r="N134" s="19">
        <v>0</v>
      </c>
      <c r="O134" s="19">
        <v>4817.59</v>
      </c>
      <c r="P134" s="19"/>
      <c r="Q134" s="19"/>
      <c r="R134" s="19">
        <v>40</v>
      </c>
      <c r="S134" s="19">
        <f>IFERROR(VLOOKUP(C134,[2]Base!$C$1:$S$65536,17,0),0)</f>
        <v>0</v>
      </c>
      <c r="T134" s="19"/>
      <c r="U134" s="19">
        <f t="shared" si="38"/>
        <v>0</v>
      </c>
      <c r="V134" s="20"/>
      <c r="W134" s="44">
        <f t="shared" si="34"/>
        <v>0</v>
      </c>
      <c r="X134" s="13"/>
      <c r="Y134" s="19">
        <f t="shared" si="39"/>
        <v>4817.59</v>
      </c>
      <c r="Z134" s="13"/>
      <c r="AA134" s="44">
        <f>VLOOKUP(A134,[3]Gerentes!$B$1:$O$65536,14,0)</f>
        <v>4801.7460000000001</v>
      </c>
      <c r="AB134" s="45">
        <f t="shared" si="40"/>
        <v>1200.4365</v>
      </c>
      <c r="AC134" s="20"/>
      <c r="AD134" s="44" t="str">
        <f>VLOOKUP(A134,[3]Gerentes!$B$1:$Q$65536,16,0)</f>
        <v>2000</v>
      </c>
      <c r="AE134" s="45">
        <f t="shared" si="41"/>
        <v>6002.1824999999999</v>
      </c>
      <c r="AF134" s="44">
        <f t="shared" si="42"/>
        <v>0</v>
      </c>
      <c r="AG134" s="20"/>
      <c r="AH134" s="20"/>
    </row>
    <row r="135" spans="1:34" x14ac:dyDescent="0.25">
      <c r="A135" s="30">
        <v>156</v>
      </c>
      <c r="B135" s="30">
        <v>84</v>
      </c>
      <c r="C135" s="32" t="str">
        <f t="shared" si="36"/>
        <v>156-84</v>
      </c>
      <c r="D135" s="16" t="s">
        <v>277</v>
      </c>
      <c r="E135" s="16" t="s">
        <v>21</v>
      </c>
      <c r="F135" s="15" t="s">
        <v>278</v>
      </c>
      <c r="G135" s="17">
        <v>44354</v>
      </c>
      <c r="H135" s="15" t="s">
        <v>10</v>
      </c>
      <c r="I135" s="18"/>
      <c r="J135" s="43">
        <v>24</v>
      </c>
      <c r="K135" s="43">
        <v>0</v>
      </c>
      <c r="L135" s="43">
        <f t="shared" si="37"/>
        <v>24</v>
      </c>
      <c r="M135" s="18"/>
      <c r="N135" s="19">
        <v>1461.24</v>
      </c>
      <c r="O135" s="19">
        <v>0</v>
      </c>
      <c r="P135" s="19">
        <v>68.400000000000006</v>
      </c>
      <c r="Q135" s="19"/>
      <c r="R135" s="19">
        <v>34</v>
      </c>
      <c r="S135" s="19"/>
      <c r="T135" s="19">
        <v>491.28</v>
      </c>
      <c r="U135" s="19">
        <f t="shared" si="38"/>
        <v>491.28</v>
      </c>
      <c r="V135" s="45">
        <f>SUM(AA135:AB135,AF135)*6%</f>
        <v>70.13951999999999</v>
      </c>
      <c r="W135" s="44">
        <f t="shared" si="34"/>
        <v>70.13951999999999</v>
      </c>
      <c r="Y135" s="19">
        <f t="shared" si="39"/>
        <v>1168.992</v>
      </c>
      <c r="AA135" s="44">
        <f>IFERROR(VLOOKUP(C135,[1]Vendedor!$C$1:$R$65536,16,0),0)</f>
        <v>0</v>
      </c>
      <c r="AB135" s="45">
        <f t="shared" si="40"/>
        <v>0</v>
      </c>
      <c r="AC135" s="20"/>
      <c r="AD135" s="44">
        <f>IFERROR(VLOOKUP(C135,[1]Vendedor!$C$1:$T$65536,18,0),0)</f>
        <v>0</v>
      </c>
      <c r="AE135" s="45">
        <f t="shared" si="41"/>
        <v>0</v>
      </c>
      <c r="AF135" s="44">
        <f t="shared" si="42"/>
        <v>1168.992</v>
      </c>
      <c r="AG135" s="20"/>
      <c r="AH135" s="20"/>
    </row>
    <row r="136" spans="1:34" x14ac:dyDescent="0.25">
      <c r="A136" s="30">
        <v>157</v>
      </c>
      <c r="B136" s="30">
        <v>14</v>
      </c>
      <c r="C136" s="32" t="str">
        <f t="shared" si="36"/>
        <v>157-14</v>
      </c>
      <c r="D136" s="16" t="s">
        <v>279</v>
      </c>
      <c r="E136" s="16" t="s">
        <v>14</v>
      </c>
      <c r="F136" s="15" t="s">
        <v>280</v>
      </c>
      <c r="G136" s="17">
        <v>42684</v>
      </c>
      <c r="H136" s="15" t="s">
        <v>10</v>
      </c>
      <c r="I136" s="18"/>
      <c r="J136" s="43">
        <f t="shared" ref="J136:J146" si="43">30-K136</f>
        <v>30</v>
      </c>
      <c r="K136" s="43">
        <v>0</v>
      </c>
      <c r="L136" s="43">
        <f t="shared" si="37"/>
        <v>30</v>
      </c>
      <c r="M136" s="18"/>
      <c r="N136" s="19">
        <v>0</v>
      </c>
      <c r="O136" s="19">
        <v>1478</v>
      </c>
      <c r="P136" s="19"/>
      <c r="Q136" s="19"/>
      <c r="R136" s="19"/>
      <c r="S136" s="19"/>
      <c r="T136" s="19">
        <v>216</v>
      </c>
      <c r="U136" s="19">
        <f t="shared" si="38"/>
        <v>216</v>
      </c>
      <c r="V136" s="45">
        <f>SUM(AA136:AB136,AF136)*6%</f>
        <v>183.05531999999999</v>
      </c>
      <c r="W136" s="44">
        <f t="shared" si="34"/>
        <v>183.05531999999999</v>
      </c>
      <c r="Y136" s="19">
        <f t="shared" si="39"/>
        <v>1478</v>
      </c>
      <c r="AA136" s="44">
        <f>IFERROR(VLOOKUP(C136,[1]Vendedor!$C$1:$R$65536,16,0),0)</f>
        <v>2440.7375999999999</v>
      </c>
      <c r="AB136" s="45">
        <f t="shared" si="40"/>
        <v>610.18439999999998</v>
      </c>
      <c r="AC136" s="20">
        <v>300</v>
      </c>
      <c r="AD136" s="44">
        <f>IFERROR(VLOOKUP(C136,[1]Vendedor!$C$1:$T$65536,18,0),0)</f>
        <v>381.36525</v>
      </c>
      <c r="AE136" s="45">
        <f t="shared" si="41"/>
        <v>3732.2872499999999</v>
      </c>
      <c r="AF136" s="44">
        <f t="shared" si="42"/>
        <v>0</v>
      </c>
      <c r="AG136" s="20">
        <v>300</v>
      </c>
      <c r="AH136" s="20"/>
    </row>
    <row r="137" spans="1:34" x14ac:dyDescent="0.25">
      <c r="A137" s="30">
        <v>157</v>
      </c>
      <c r="B137" s="30">
        <v>33</v>
      </c>
      <c r="C137" s="32" t="str">
        <f t="shared" si="36"/>
        <v>157-33</v>
      </c>
      <c r="D137" s="16" t="s">
        <v>281</v>
      </c>
      <c r="E137" s="16" t="s">
        <v>11</v>
      </c>
      <c r="F137" s="15" t="s">
        <v>282</v>
      </c>
      <c r="G137" s="17">
        <v>43693</v>
      </c>
      <c r="H137" s="15" t="s">
        <v>10</v>
      </c>
      <c r="I137" s="18"/>
      <c r="J137" s="43">
        <f t="shared" si="43"/>
        <v>6</v>
      </c>
      <c r="K137" s="43" t="s">
        <v>472</v>
      </c>
      <c r="L137" s="43">
        <f t="shared" si="37"/>
        <v>6</v>
      </c>
      <c r="M137" s="18"/>
      <c r="N137" s="19">
        <v>0</v>
      </c>
      <c r="O137" s="19">
        <v>4500</v>
      </c>
      <c r="P137" s="19"/>
      <c r="Q137" s="19"/>
      <c r="R137" s="19"/>
      <c r="S137" s="19">
        <f>IFERROR(VLOOKUP(C137,[2]Base!$C$1:$S$65536,17,0),0)</f>
        <v>0</v>
      </c>
      <c r="T137" s="19"/>
      <c r="U137" s="19">
        <f t="shared" si="38"/>
        <v>0</v>
      </c>
      <c r="V137" s="20"/>
      <c r="W137" s="44">
        <f t="shared" si="34"/>
        <v>0</v>
      </c>
      <c r="Y137" s="19">
        <f t="shared" si="39"/>
        <v>900</v>
      </c>
      <c r="AA137" s="44">
        <f>VLOOKUP(A137,[3]Gerentes!$B$1:$O$65536,14,0)</f>
        <v>3387.6199999999994</v>
      </c>
      <c r="AB137" s="45">
        <f t="shared" si="40"/>
        <v>846.90499999999986</v>
      </c>
      <c r="AC137" s="20"/>
      <c r="AD137" s="44" t="str">
        <f>VLOOKUP(A137,[3]Gerentes!$B$1:$Q$65536,16,0)</f>
        <v>2000</v>
      </c>
      <c r="AE137" s="45">
        <f t="shared" si="41"/>
        <v>4234.5249999999996</v>
      </c>
      <c r="AF137" s="44">
        <f t="shared" si="42"/>
        <v>0</v>
      </c>
      <c r="AG137" s="20"/>
      <c r="AH137" s="20"/>
    </row>
    <row r="138" spans="1:34" x14ac:dyDescent="0.25">
      <c r="A138" s="30">
        <v>157</v>
      </c>
      <c r="B138" s="30">
        <v>34</v>
      </c>
      <c r="C138" s="32" t="str">
        <f t="shared" si="36"/>
        <v>157-34</v>
      </c>
      <c r="D138" s="16" t="s">
        <v>283</v>
      </c>
      <c r="E138" s="16" t="s">
        <v>21</v>
      </c>
      <c r="F138" s="15" t="s">
        <v>284</v>
      </c>
      <c r="G138" s="17">
        <v>43728</v>
      </c>
      <c r="H138" s="15" t="s">
        <v>10</v>
      </c>
      <c r="I138" s="18"/>
      <c r="J138" s="43">
        <f t="shared" si="43"/>
        <v>30</v>
      </c>
      <c r="K138" s="43">
        <v>0</v>
      </c>
      <c r="L138" s="43">
        <f t="shared" si="37"/>
        <v>30</v>
      </c>
      <c r="M138" s="18"/>
      <c r="N138" s="19">
        <v>1408</v>
      </c>
      <c r="O138" s="19">
        <v>0</v>
      </c>
      <c r="P138" s="19">
        <v>140.80000000000001</v>
      </c>
      <c r="Q138" s="19"/>
      <c r="R138" s="19"/>
      <c r="S138" s="19"/>
      <c r="T138" s="19">
        <v>225</v>
      </c>
      <c r="U138" s="19">
        <f t="shared" si="38"/>
        <v>225</v>
      </c>
      <c r="V138" s="45">
        <f t="shared" ref="V138:V142" si="44">SUM(AA138:AB138,AF138)*6%</f>
        <v>84.47999999999999</v>
      </c>
      <c r="W138" s="44">
        <f t="shared" si="34"/>
        <v>84.47999999999999</v>
      </c>
      <c r="Y138" s="19">
        <f t="shared" si="39"/>
        <v>1408</v>
      </c>
      <c r="AA138" s="44">
        <f>IFERROR(VLOOKUP(C138,[1]Vendedor!$C$1:$R$65536,16,0),0)</f>
        <v>0</v>
      </c>
      <c r="AB138" s="45">
        <f t="shared" si="40"/>
        <v>0</v>
      </c>
      <c r="AC138" s="20"/>
      <c r="AD138" s="44">
        <f>IFERROR(VLOOKUP(C138,[1]Vendedor!$C$1:$T$65536,18,0),0)</f>
        <v>0</v>
      </c>
      <c r="AE138" s="45">
        <f t="shared" si="41"/>
        <v>0</v>
      </c>
      <c r="AF138" s="44">
        <f t="shared" si="42"/>
        <v>1408</v>
      </c>
      <c r="AG138" s="20"/>
      <c r="AH138" s="20"/>
    </row>
    <row r="139" spans="1:34" x14ac:dyDescent="0.25">
      <c r="A139" s="30">
        <v>157</v>
      </c>
      <c r="B139" s="30">
        <v>43</v>
      </c>
      <c r="C139" s="32" t="str">
        <f t="shared" si="36"/>
        <v>157-43</v>
      </c>
      <c r="D139" s="16" t="s">
        <v>285</v>
      </c>
      <c r="E139" s="16" t="s">
        <v>14</v>
      </c>
      <c r="F139" s="15" t="s">
        <v>286</v>
      </c>
      <c r="G139" s="17">
        <v>44086</v>
      </c>
      <c r="H139" s="15" t="s">
        <v>10</v>
      </c>
      <c r="I139" s="18"/>
      <c r="J139" s="43">
        <f t="shared" si="43"/>
        <v>30</v>
      </c>
      <c r="K139" s="43">
        <v>0</v>
      </c>
      <c r="L139" s="43">
        <f t="shared" si="37"/>
        <v>30</v>
      </c>
      <c r="M139" s="18"/>
      <c r="N139" s="19">
        <v>0</v>
      </c>
      <c r="O139" s="19">
        <v>1478</v>
      </c>
      <c r="P139" s="19"/>
      <c r="Q139" s="19"/>
      <c r="R139" s="19"/>
      <c r="S139" s="19"/>
      <c r="T139" s="19">
        <v>216</v>
      </c>
      <c r="U139" s="19">
        <f t="shared" si="38"/>
        <v>216</v>
      </c>
      <c r="V139" s="45">
        <f t="shared" si="44"/>
        <v>128.172504</v>
      </c>
      <c r="W139" s="44">
        <f t="shared" si="34"/>
        <v>128.172504</v>
      </c>
      <c r="Y139" s="19">
        <f t="shared" si="39"/>
        <v>1478</v>
      </c>
      <c r="AA139" s="44">
        <f>IFERROR(VLOOKUP(C139,[1]Vendedor!$C$1:$R$65536,16,0),0)</f>
        <v>1708.9667199999999</v>
      </c>
      <c r="AB139" s="45">
        <f t="shared" si="40"/>
        <v>427.24167999999997</v>
      </c>
      <c r="AC139" s="20"/>
      <c r="AD139" s="44">
        <f>IFERROR(VLOOKUP(C139,[1]Vendedor!$C$1:$T$65536,18,0),0)</f>
        <v>267.02605</v>
      </c>
      <c r="AE139" s="45">
        <f t="shared" si="41"/>
        <v>2403.2344499999999</v>
      </c>
      <c r="AF139" s="44">
        <f t="shared" si="42"/>
        <v>0</v>
      </c>
      <c r="AG139" s="20"/>
      <c r="AH139" s="20"/>
    </row>
    <row r="140" spans="1:34" x14ac:dyDescent="0.25">
      <c r="A140" s="30">
        <v>157</v>
      </c>
      <c r="B140" s="30">
        <v>44</v>
      </c>
      <c r="C140" s="32" t="str">
        <f t="shared" si="36"/>
        <v>157-44</v>
      </c>
      <c r="D140" s="16" t="s">
        <v>287</v>
      </c>
      <c r="E140" s="16" t="s">
        <v>21</v>
      </c>
      <c r="F140" s="15" t="s">
        <v>288</v>
      </c>
      <c r="G140" s="17">
        <v>44152</v>
      </c>
      <c r="H140" s="15" t="s">
        <v>10</v>
      </c>
      <c r="I140" s="18"/>
      <c r="J140" s="43">
        <f t="shared" si="43"/>
        <v>30</v>
      </c>
      <c r="K140" s="43">
        <v>0</v>
      </c>
      <c r="L140" s="43">
        <f t="shared" si="37"/>
        <v>30</v>
      </c>
      <c r="M140" s="18"/>
      <c r="N140" s="19">
        <v>1408</v>
      </c>
      <c r="O140" s="19">
        <v>0</v>
      </c>
      <c r="P140" s="19">
        <v>140.80000000000001</v>
      </c>
      <c r="Q140" s="19"/>
      <c r="R140" s="19"/>
      <c r="S140" s="19"/>
      <c r="T140" s="19">
        <v>207</v>
      </c>
      <c r="U140" s="19">
        <f t="shared" si="38"/>
        <v>207</v>
      </c>
      <c r="V140" s="45">
        <f t="shared" si="44"/>
        <v>84.47999999999999</v>
      </c>
      <c r="W140" s="44">
        <f t="shared" si="34"/>
        <v>84.47999999999999</v>
      </c>
      <c r="Y140" s="19">
        <f t="shared" si="39"/>
        <v>1408</v>
      </c>
      <c r="AA140" s="44">
        <f>IFERROR(VLOOKUP(C140,[1]Vendedor!$C$1:$R$65536,16,0),0)</f>
        <v>0</v>
      </c>
      <c r="AB140" s="45">
        <f t="shared" si="40"/>
        <v>0</v>
      </c>
      <c r="AC140" s="20"/>
      <c r="AD140" s="44">
        <f>IFERROR(VLOOKUP(C140,[1]Vendedor!$C$1:$T$65536,18,0),0)</f>
        <v>0</v>
      </c>
      <c r="AE140" s="45">
        <f t="shared" si="41"/>
        <v>0</v>
      </c>
      <c r="AF140" s="44">
        <f t="shared" si="42"/>
        <v>1408</v>
      </c>
      <c r="AG140" s="20"/>
      <c r="AH140" s="20"/>
    </row>
    <row r="141" spans="1:34" x14ac:dyDescent="0.25">
      <c r="A141" s="30">
        <v>157</v>
      </c>
      <c r="B141" s="30">
        <v>45</v>
      </c>
      <c r="C141" s="32" t="str">
        <f t="shared" si="36"/>
        <v>157-45</v>
      </c>
      <c r="D141" s="16" t="s">
        <v>289</v>
      </c>
      <c r="E141" s="16" t="s">
        <v>14</v>
      </c>
      <c r="F141" s="15" t="s">
        <v>290</v>
      </c>
      <c r="G141" s="17">
        <v>44155</v>
      </c>
      <c r="H141" s="15" t="s">
        <v>10</v>
      </c>
      <c r="I141" s="18"/>
      <c r="J141" s="43">
        <f t="shared" si="43"/>
        <v>30</v>
      </c>
      <c r="K141" s="43">
        <v>0</v>
      </c>
      <c r="L141" s="43">
        <f t="shared" si="37"/>
        <v>30</v>
      </c>
      <c r="M141" s="18"/>
      <c r="N141" s="19">
        <v>0</v>
      </c>
      <c r="O141" s="19">
        <v>1478</v>
      </c>
      <c r="P141" s="19"/>
      <c r="Q141" s="19"/>
      <c r="R141" s="19"/>
      <c r="S141" s="19"/>
      <c r="T141" s="19">
        <v>207</v>
      </c>
      <c r="U141" s="19">
        <f t="shared" si="38"/>
        <v>207</v>
      </c>
      <c r="V141" s="45">
        <f t="shared" si="44"/>
        <v>135.55224000000001</v>
      </c>
      <c r="W141" s="44">
        <f t="shared" si="34"/>
        <v>135.55224000000001</v>
      </c>
      <c r="Y141" s="19">
        <f t="shared" si="39"/>
        <v>1478</v>
      </c>
      <c r="AA141" s="44">
        <f>IFERROR(VLOOKUP(C141,[1]Vendedor!$C$1:$R$65536,16,0),0)</f>
        <v>1807.3632</v>
      </c>
      <c r="AB141" s="45">
        <f t="shared" si="40"/>
        <v>451.8408</v>
      </c>
      <c r="AC141" s="20"/>
      <c r="AD141" s="44">
        <f>IFERROR(VLOOKUP(C141,[1]Vendedor!$C$1:$T$65536,18,0),0)</f>
        <v>282.40050000000002</v>
      </c>
      <c r="AE141" s="45">
        <f t="shared" si="41"/>
        <v>2541.6045000000004</v>
      </c>
      <c r="AF141" s="44">
        <f t="shared" si="42"/>
        <v>0</v>
      </c>
      <c r="AG141" s="20"/>
      <c r="AH141" s="20"/>
    </row>
    <row r="142" spans="1:34" x14ac:dyDescent="0.25">
      <c r="A142" s="30">
        <v>157</v>
      </c>
      <c r="B142" s="30">
        <v>46</v>
      </c>
      <c r="C142" s="32" t="str">
        <f t="shared" si="36"/>
        <v>157-46</v>
      </c>
      <c r="D142" s="16" t="s">
        <v>291</v>
      </c>
      <c r="E142" s="16" t="s">
        <v>14</v>
      </c>
      <c r="F142" s="15" t="s">
        <v>292</v>
      </c>
      <c r="G142" s="17">
        <v>44179</v>
      </c>
      <c r="H142" s="15" t="s">
        <v>10</v>
      </c>
      <c r="I142" s="18"/>
      <c r="J142" s="43">
        <f t="shared" si="43"/>
        <v>30</v>
      </c>
      <c r="K142" s="43">
        <v>0</v>
      </c>
      <c r="L142" s="43">
        <f t="shared" si="37"/>
        <v>30</v>
      </c>
      <c r="M142" s="18"/>
      <c r="N142" s="19">
        <v>0</v>
      </c>
      <c r="O142" s="19">
        <v>1478</v>
      </c>
      <c r="P142" s="19"/>
      <c r="Q142" s="19"/>
      <c r="R142" s="19"/>
      <c r="S142" s="19"/>
      <c r="T142" s="19">
        <v>207</v>
      </c>
      <c r="U142" s="19">
        <f t="shared" si="38"/>
        <v>207</v>
      </c>
      <c r="V142" s="45">
        <f t="shared" si="44"/>
        <v>88.679999999999993</v>
      </c>
      <c r="W142" s="44">
        <f t="shared" si="34"/>
        <v>88.679999999999993</v>
      </c>
      <c r="Y142" s="19">
        <f t="shared" si="39"/>
        <v>1478</v>
      </c>
      <c r="AA142" s="44">
        <f>IFERROR(VLOOKUP(C142,[1]Vendedor!$C$1:$R$65536,16,0),0)</f>
        <v>728.89504000000011</v>
      </c>
      <c r="AB142" s="45">
        <f t="shared" si="40"/>
        <v>182.22376000000003</v>
      </c>
      <c r="AC142" s="20"/>
      <c r="AD142" s="44">
        <f>IFERROR(VLOOKUP(C142,[1]Vendedor!$C$1:$T$65536,18,0),0)</f>
        <v>0</v>
      </c>
      <c r="AE142" s="45">
        <f t="shared" si="41"/>
        <v>911.11880000000019</v>
      </c>
      <c r="AF142" s="44">
        <f t="shared" si="42"/>
        <v>566.88119999999981</v>
      </c>
      <c r="AG142" s="20"/>
      <c r="AH142" s="20"/>
    </row>
    <row r="143" spans="1:34" x14ac:dyDescent="0.25">
      <c r="A143" s="30">
        <v>161</v>
      </c>
      <c r="B143" s="30">
        <v>51</v>
      </c>
      <c r="C143" s="32" t="str">
        <f t="shared" si="36"/>
        <v>161-51</v>
      </c>
      <c r="D143" s="16" t="s">
        <v>301</v>
      </c>
      <c r="E143" s="16" t="s">
        <v>14</v>
      </c>
      <c r="F143" s="15" t="s">
        <v>302</v>
      </c>
      <c r="G143" s="17">
        <v>44342</v>
      </c>
      <c r="H143" s="15" t="s">
        <v>10</v>
      </c>
      <c r="I143" s="18"/>
      <c r="J143" s="43">
        <f t="shared" si="43"/>
        <v>30</v>
      </c>
      <c r="K143" s="43">
        <v>0</v>
      </c>
      <c r="L143" s="43">
        <f t="shared" si="37"/>
        <v>30</v>
      </c>
      <c r="M143" s="18"/>
      <c r="N143" s="19">
        <v>0</v>
      </c>
      <c r="O143" s="19">
        <v>1420.37</v>
      </c>
      <c r="P143" s="19"/>
      <c r="Q143" s="19">
        <v>42.77</v>
      </c>
      <c r="R143" s="19">
        <v>30.09</v>
      </c>
      <c r="S143" s="19"/>
      <c r="T143" s="19">
        <v>506</v>
      </c>
      <c r="U143" s="19">
        <f t="shared" si="38"/>
        <v>506</v>
      </c>
      <c r="V143" s="45">
        <f>SUM(AA143:AB143,AF143)*6%</f>
        <v>183.94807200000002</v>
      </c>
      <c r="W143" s="44">
        <f t="shared" si="34"/>
        <v>183.94807200000002</v>
      </c>
      <c r="Y143" s="19">
        <f t="shared" si="39"/>
        <v>1420.37</v>
      </c>
      <c r="AA143" s="44">
        <f>IFERROR(VLOOKUP(C143,[1]Vendedor!$C$1:$R$65536,16,0),0)</f>
        <v>2452.6409600000002</v>
      </c>
      <c r="AB143" s="45">
        <f t="shared" si="40"/>
        <v>613.16024000000004</v>
      </c>
      <c r="AC143" s="20"/>
      <c r="AD143" s="44">
        <f>IFERROR(VLOOKUP(C143,[1]Vendedor!$C$1:$T$65536,18,0),0)</f>
        <v>383.22514999999999</v>
      </c>
      <c r="AE143" s="45">
        <f t="shared" si="41"/>
        <v>3449.0263500000001</v>
      </c>
      <c r="AF143" s="44">
        <f t="shared" si="42"/>
        <v>0</v>
      </c>
      <c r="AG143" s="20">
        <v>300</v>
      </c>
      <c r="AH143" s="20"/>
    </row>
    <row r="144" spans="1:34" s="29" customFormat="1" x14ac:dyDescent="0.25">
      <c r="A144" s="30">
        <v>161</v>
      </c>
      <c r="B144" s="30">
        <v>49</v>
      </c>
      <c r="C144" s="32" t="str">
        <f t="shared" si="36"/>
        <v>161-49</v>
      </c>
      <c r="D144" s="16" t="s">
        <v>299</v>
      </c>
      <c r="E144" s="16" t="s">
        <v>14</v>
      </c>
      <c r="F144" s="15" t="s">
        <v>300</v>
      </c>
      <c r="G144" s="17">
        <v>44287</v>
      </c>
      <c r="H144" s="15" t="s">
        <v>10</v>
      </c>
      <c r="I144" s="18"/>
      <c r="J144" s="43">
        <f t="shared" si="43"/>
        <v>30</v>
      </c>
      <c r="K144" s="43">
        <v>0</v>
      </c>
      <c r="L144" s="43">
        <f t="shared" si="37"/>
        <v>30</v>
      </c>
      <c r="M144" s="18"/>
      <c r="N144" s="19">
        <v>0</v>
      </c>
      <c r="O144" s="19">
        <v>1420.37</v>
      </c>
      <c r="P144" s="19"/>
      <c r="Q144" s="19">
        <v>42.77</v>
      </c>
      <c r="R144" s="19">
        <v>30.09</v>
      </c>
      <c r="S144" s="19"/>
      <c r="T144" s="19">
        <v>402.5</v>
      </c>
      <c r="U144" s="19">
        <f t="shared" si="38"/>
        <v>402.5</v>
      </c>
      <c r="V144" s="45">
        <f>SUM(AA144:AB144,AF144)*6%</f>
        <v>178.87672799999999</v>
      </c>
      <c r="W144" s="44">
        <f t="shared" si="34"/>
        <v>178.87672799999999</v>
      </c>
      <c r="X144" s="13"/>
      <c r="Y144" s="19">
        <f t="shared" si="39"/>
        <v>1420.37</v>
      </c>
      <c r="Z144" s="13"/>
      <c r="AA144" s="44">
        <f>IFERROR(VLOOKUP(C144,[1]Vendedor!$C$1:$R$65536,16,0),0)</f>
        <v>2385.02304</v>
      </c>
      <c r="AB144" s="45">
        <f t="shared" si="40"/>
        <v>596.25576000000001</v>
      </c>
      <c r="AC144" s="20"/>
      <c r="AD144" s="44">
        <f>IFERROR(VLOOKUP(C144,[1]Vendedor!$C$1:$T$65536,18,0),0)</f>
        <v>372.65985000000001</v>
      </c>
      <c r="AE144" s="45">
        <f t="shared" si="41"/>
        <v>3353.9386500000001</v>
      </c>
      <c r="AF144" s="44">
        <f t="shared" si="42"/>
        <v>0</v>
      </c>
      <c r="AG144" s="20"/>
      <c r="AH144" s="20"/>
    </row>
    <row r="145" spans="1:34" x14ac:dyDescent="0.25">
      <c r="A145" s="30">
        <v>161</v>
      </c>
      <c r="B145" s="30">
        <v>45</v>
      </c>
      <c r="C145" s="32" t="str">
        <f t="shared" si="36"/>
        <v>161-45</v>
      </c>
      <c r="D145" s="16" t="s">
        <v>297</v>
      </c>
      <c r="E145" s="16" t="s">
        <v>21</v>
      </c>
      <c r="F145" s="15" t="s">
        <v>298</v>
      </c>
      <c r="G145" s="17">
        <v>44154</v>
      </c>
      <c r="H145" s="15" t="s">
        <v>10</v>
      </c>
      <c r="I145" s="18"/>
      <c r="J145" s="43">
        <f t="shared" si="43"/>
        <v>30</v>
      </c>
      <c r="K145" s="43">
        <v>0</v>
      </c>
      <c r="L145" s="43">
        <f t="shared" si="37"/>
        <v>30</v>
      </c>
      <c r="M145" s="18"/>
      <c r="N145" s="19">
        <v>1285</v>
      </c>
      <c r="O145" s="19">
        <v>0</v>
      </c>
      <c r="P145" s="19">
        <v>128.5</v>
      </c>
      <c r="Q145" s="19"/>
      <c r="R145" s="19"/>
      <c r="S145" s="19"/>
      <c r="T145" s="19">
        <v>227.5</v>
      </c>
      <c r="U145" s="19">
        <f t="shared" si="38"/>
        <v>227.5</v>
      </c>
      <c r="V145" s="45">
        <f>SUM(AA145:AB145,AF145)*6%</f>
        <v>77.099999999999994</v>
      </c>
      <c r="W145" s="44">
        <f t="shared" si="34"/>
        <v>77.099999999999994</v>
      </c>
      <c r="Y145" s="19">
        <f t="shared" si="39"/>
        <v>1285</v>
      </c>
      <c r="AA145" s="44">
        <f>IFERROR(VLOOKUP(C145,[1]Vendedor!$C$1:$R$65536,16,0),0)</f>
        <v>0</v>
      </c>
      <c r="AB145" s="45">
        <f t="shared" si="40"/>
        <v>0</v>
      </c>
      <c r="AC145" s="20"/>
      <c r="AD145" s="44">
        <f>IFERROR(VLOOKUP(C145,[1]Vendedor!$C$1:$T$65536,18,0),0)</f>
        <v>0</v>
      </c>
      <c r="AE145" s="45">
        <f t="shared" si="41"/>
        <v>0</v>
      </c>
      <c r="AF145" s="44">
        <f t="shared" si="42"/>
        <v>1285</v>
      </c>
      <c r="AG145" s="20"/>
      <c r="AH145" s="20"/>
    </row>
    <row r="146" spans="1:34" x14ac:dyDescent="0.25">
      <c r="A146" s="30">
        <v>161</v>
      </c>
      <c r="B146" s="30">
        <v>32</v>
      </c>
      <c r="C146" s="32" t="str">
        <f t="shared" si="36"/>
        <v>161-32</v>
      </c>
      <c r="D146" s="16" t="s">
        <v>293</v>
      </c>
      <c r="E146" s="16" t="s">
        <v>11</v>
      </c>
      <c r="F146" s="15" t="s">
        <v>294</v>
      </c>
      <c r="G146" s="17">
        <v>43491</v>
      </c>
      <c r="H146" s="15" t="s">
        <v>10</v>
      </c>
      <c r="I146" s="18"/>
      <c r="J146" s="43">
        <f t="shared" si="43"/>
        <v>30</v>
      </c>
      <c r="K146" s="43">
        <v>0</v>
      </c>
      <c r="L146" s="43">
        <f t="shared" si="37"/>
        <v>30</v>
      </c>
      <c r="M146" s="18"/>
      <c r="N146" s="19">
        <v>0</v>
      </c>
      <c r="O146" s="19">
        <v>4000</v>
      </c>
      <c r="P146" s="19"/>
      <c r="Q146" s="19">
        <v>42.77</v>
      </c>
      <c r="R146" s="19">
        <v>30.09</v>
      </c>
      <c r="S146" s="19"/>
      <c r="T146" s="19">
        <v>418.6</v>
      </c>
      <c r="U146" s="19">
        <f t="shared" si="38"/>
        <v>418.6</v>
      </c>
      <c r="V146" s="45">
        <f>SUM(AA146:AB146,AF146)*6%</f>
        <v>240.00000000000003</v>
      </c>
      <c r="W146" s="44">
        <f t="shared" si="34"/>
        <v>240.00000000000003</v>
      </c>
      <c r="Y146" s="19">
        <f t="shared" si="39"/>
        <v>4000.0000000000005</v>
      </c>
      <c r="AA146" s="44">
        <f>VLOOKUP(A146,[3]Gerentes!$B$1:$O$65536,14,0)</f>
        <v>2855.6333999999997</v>
      </c>
      <c r="AB146" s="45">
        <f t="shared" si="40"/>
        <v>713.90834999999993</v>
      </c>
      <c r="AC146" s="20"/>
      <c r="AD146" s="44">
        <f>VLOOKUP(A146,[3]Gerentes!$B$1:$Q$65536,16,0)</f>
        <v>0</v>
      </c>
      <c r="AE146" s="45">
        <f t="shared" si="41"/>
        <v>3569.5417499999994</v>
      </c>
      <c r="AF146" s="44">
        <f t="shared" si="42"/>
        <v>430.45825000000104</v>
      </c>
      <c r="AG146" s="20"/>
      <c r="AH146" s="20"/>
    </row>
    <row r="147" spans="1:34" x14ac:dyDescent="0.25">
      <c r="A147" s="30">
        <v>161</v>
      </c>
      <c r="B147" s="30">
        <v>52</v>
      </c>
      <c r="C147" s="32" t="str">
        <f t="shared" si="36"/>
        <v>161-52</v>
      </c>
      <c r="D147" s="16" t="s">
        <v>303</v>
      </c>
      <c r="E147" s="16" t="s">
        <v>14</v>
      </c>
      <c r="F147" s="15" t="s">
        <v>304</v>
      </c>
      <c r="G147" s="17">
        <v>44355</v>
      </c>
      <c r="H147" s="15" t="s">
        <v>10</v>
      </c>
      <c r="I147" s="18"/>
      <c r="J147" s="43">
        <v>23</v>
      </c>
      <c r="K147" s="43">
        <v>0</v>
      </c>
      <c r="L147" s="43">
        <f t="shared" si="37"/>
        <v>23</v>
      </c>
      <c r="M147" s="18"/>
      <c r="N147" s="19">
        <v>0</v>
      </c>
      <c r="O147" s="19">
        <v>1420.37</v>
      </c>
      <c r="P147" s="19"/>
      <c r="Q147" s="19"/>
      <c r="R147" s="19">
        <v>27.78</v>
      </c>
      <c r="S147" s="19"/>
      <c r="T147" s="19">
        <v>223.19</v>
      </c>
      <c r="U147" s="19">
        <f t="shared" si="38"/>
        <v>223.19</v>
      </c>
      <c r="V147" s="45">
        <f>SUM(AA147:AB147,AF147)*6%</f>
        <v>65.337019999999995</v>
      </c>
      <c r="W147" s="44">
        <f t="shared" si="34"/>
        <v>65.337019999999995</v>
      </c>
      <c r="Y147" s="19">
        <f t="shared" si="39"/>
        <v>1088.9503333333332</v>
      </c>
      <c r="AA147" s="44">
        <f>IFERROR(VLOOKUP(C147,[1]Vendedor!$C$1:$R$65536,16,0),0)</f>
        <v>864.95808</v>
      </c>
      <c r="AB147" s="45">
        <f t="shared" si="40"/>
        <v>216.23952</v>
      </c>
      <c r="AC147" s="20"/>
      <c r="AD147" s="44">
        <f>IFERROR(VLOOKUP(C147,[1]Vendedor!$C$1:$T$65536,18,0),0)</f>
        <v>0</v>
      </c>
      <c r="AE147" s="45">
        <f t="shared" si="41"/>
        <v>1081.1976</v>
      </c>
      <c r="AF147" s="44">
        <f t="shared" si="42"/>
        <v>7.7527333333332535</v>
      </c>
      <c r="AG147" s="20"/>
      <c r="AH147" s="20"/>
    </row>
    <row r="148" spans="1:34" x14ac:dyDescent="0.25">
      <c r="A148" s="31">
        <v>161</v>
      </c>
      <c r="B148" s="31">
        <v>34</v>
      </c>
      <c r="C148" s="33" t="str">
        <f t="shared" si="36"/>
        <v>161-34</v>
      </c>
      <c r="D148" s="24" t="s">
        <v>295</v>
      </c>
      <c r="E148" s="24" t="s">
        <v>14</v>
      </c>
      <c r="F148" s="23" t="s">
        <v>296</v>
      </c>
      <c r="G148" s="25">
        <v>43521</v>
      </c>
      <c r="H148" s="23" t="s">
        <v>6</v>
      </c>
      <c r="I148" s="26"/>
      <c r="J148" s="43">
        <f t="shared" ref="J148:J168" si="45">30-K148</f>
        <v>30</v>
      </c>
      <c r="K148" s="43">
        <v>0</v>
      </c>
      <c r="L148" s="43">
        <f t="shared" si="37"/>
        <v>30</v>
      </c>
      <c r="M148" s="26"/>
      <c r="N148" s="27">
        <v>0</v>
      </c>
      <c r="O148" s="27">
        <v>1420.37</v>
      </c>
      <c r="P148" s="27"/>
      <c r="Q148" s="27"/>
      <c r="R148" s="27"/>
      <c r="S148" s="19">
        <f>IFERROR(VLOOKUP(C148,[2]Base!$C$1:$S$65536,17,0),0)</f>
        <v>0</v>
      </c>
      <c r="T148" s="27"/>
      <c r="U148" s="19">
        <f t="shared" si="38"/>
        <v>0</v>
      </c>
      <c r="V148" s="28"/>
      <c r="W148" s="44">
        <f t="shared" si="34"/>
        <v>0</v>
      </c>
      <c r="X148" s="29"/>
      <c r="Y148" s="19">
        <f t="shared" si="39"/>
        <v>1420.37</v>
      </c>
      <c r="Z148" s="29"/>
      <c r="AA148" s="44">
        <f>IFERROR(VLOOKUP(C148,[1]Vendedor!$C$1:$R$65536,16,0),0)</f>
        <v>0</v>
      </c>
      <c r="AB148" s="45">
        <f t="shared" si="40"/>
        <v>0</v>
      </c>
      <c r="AC148" s="28"/>
      <c r="AD148" s="44">
        <f>IFERROR(VLOOKUP(C148,[1]Vendedor!$C$1:$T$65536,18,0),0)</f>
        <v>0</v>
      </c>
      <c r="AE148" s="45">
        <f t="shared" si="41"/>
        <v>0</v>
      </c>
      <c r="AF148" s="44">
        <f t="shared" si="42"/>
        <v>1420.37</v>
      </c>
      <c r="AG148" s="28"/>
      <c r="AH148" s="28"/>
    </row>
    <row r="149" spans="1:34" x14ac:dyDescent="0.25">
      <c r="A149" s="30">
        <v>166</v>
      </c>
      <c r="B149" s="30">
        <v>34</v>
      </c>
      <c r="C149" s="32" t="str">
        <f t="shared" si="36"/>
        <v>166-34</v>
      </c>
      <c r="D149" s="16" t="s">
        <v>311</v>
      </c>
      <c r="E149" s="16" t="s">
        <v>14</v>
      </c>
      <c r="F149" s="15" t="s">
        <v>312</v>
      </c>
      <c r="G149" s="17">
        <v>43794</v>
      </c>
      <c r="H149" s="15" t="s">
        <v>10</v>
      </c>
      <c r="I149" s="18"/>
      <c r="J149" s="43">
        <f t="shared" si="45"/>
        <v>30</v>
      </c>
      <c r="K149" s="43">
        <v>0</v>
      </c>
      <c r="L149" s="43">
        <f t="shared" si="37"/>
        <v>30</v>
      </c>
      <c r="M149" s="18"/>
      <c r="N149" s="19">
        <v>0</v>
      </c>
      <c r="O149" s="19">
        <v>1300</v>
      </c>
      <c r="P149" s="19"/>
      <c r="Q149" s="19">
        <v>91</v>
      </c>
      <c r="R149" s="19"/>
      <c r="S149" s="19">
        <v>193.2</v>
      </c>
      <c r="T149" s="19"/>
      <c r="U149" s="19">
        <f t="shared" si="38"/>
        <v>193.2</v>
      </c>
      <c r="V149" s="45">
        <f>SUM(AA149:AB149,AF149)*6%</f>
        <v>139.212816</v>
      </c>
      <c r="W149" s="44">
        <f t="shared" si="34"/>
        <v>139.212816</v>
      </c>
      <c r="Y149" s="19">
        <f t="shared" si="39"/>
        <v>1300</v>
      </c>
      <c r="AA149" s="44">
        <f>IFERROR(VLOOKUP(C149,[1]Vendedor!$C$1:$R$65536,16,0),0)</f>
        <v>1856.1708799999999</v>
      </c>
      <c r="AB149" s="45">
        <f t="shared" si="40"/>
        <v>464.04271999999997</v>
      </c>
      <c r="AC149" s="20"/>
      <c r="AD149" s="44">
        <f>IFERROR(VLOOKUP(C149,[1]Vendedor!$C$1:$T$65536,18,0),0)</f>
        <v>0</v>
      </c>
      <c r="AE149" s="45">
        <f t="shared" si="41"/>
        <v>2320.2136</v>
      </c>
      <c r="AF149" s="44">
        <f t="shared" si="42"/>
        <v>0</v>
      </c>
      <c r="AG149" s="20"/>
      <c r="AH149" s="20"/>
    </row>
    <row r="150" spans="1:34" x14ac:dyDescent="0.25">
      <c r="A150" s="30">
        <v>166</v>
      </c>
      <c r="B150" s="30">
        <v>1</v>
      </c>
      <c r="C150" s="32" t="str">
        <f t="shared" si="36"/>
        <v>166-1</v>
      </c>
      <c r="D150" s="16" t="s">
        <v>305</v>
      </c>
      <c r="E150" s="16" t="s">
        <v>11</v>
      </c>
      <c r="F150" s="15" t="s">
        <v>306</v>
      </c>
      <c r="G150" s="17">
        <v>43069</v>
      </c>
      <c r="H150" s="15" t="s">
        <v>10</v>
      </c>
      <c r="I150" s="18"/>
      <c r="J150" s="43">
        <f t="shared" si="45"/>
        <v>30</v>
      </c>
      <c r="K150" s="43">
        <v>0</v>
      </c>
      <c r="L150" s="43">
        <f t="shared" si="37"/>
        <v>30</v>
      </c>
      <c r="M150" s="18"/>
      <c r="N150" s="19">
        <v>0</v>
      </c>
      <c r="O150" s="19">
        <v>4000</v>
      </c>
      <c r="P150" s="19"/>
      <c r="Q150" s="19">
        <v>280</v>
      </c>
      <c r="R150" s="19"/>
      <c r="S150" s="19">
        <f>IFERROR(VLOOKUP(C150,[2]Base!$C$1:$S$65536,17,0),0)</f>
        <v>0</v>
      </c>
      <c r="T150" s="19"/>
      <c r="U150" s="19">
        <f t="shared" si="38"/>
        <v>0</v>
      </c>
      <c r="V150" s="20"/>
      <c r="W150" s="44">
        <f t="shared" si="34"/>
        <v>0</v>
      </c>
      <c r="Y150" s="19">
        <f t="shared" si="39"/>
        <v>4000.0000000000005</v>
      </c>
      <c r="AA150" s="44">
        <f>VLOOKUP(A150,[3]Gerentes!$B$1:$O$65536,14,0)</f>
        <v>3284.1666</v>
      </c>
      <c r="AB150" s="45">
        <f t="shared" si="40"/>
        <v>821.04165</v>
      </c>
      <c r="AC150" s="20"/>
      <c r="AD150" s="44">
        <f>VLOOKUP(A150,[3]Gerentes!$B$1:$Q$65536,16,0)</f>
        <v>0</v>
      </c>
      <c r="AE150" s="45">
        <f t="shared" si="41"/>
        <v>4105.2082499999997</v>
      </c>
      <c r="AF150" s="44">
        <f t="shared" si="42"/>
        <v>0</v>
      </c>
      <c r="AG150" s="20"/>
      <c r="AH150" s="20"/>
    </row>
    <row r="151" spans="1:34" x14ac:dyDescent="0.25">
      <c r="A151" s="30">
        <v>166</v>
      </c>
      <c r="B151" s="30">
        <v>22</v>
      </c>
      <c r="C151" s="32" t="str">
        <f t="shared" si="36"/>
        <v>166-22</v>
      </c>
      <c r="D151" s="16" t="s">
        <v>309</v>
      </c>
      <c r="E151" s="16" t="s">
        <v>14</v>
      </c>
      <c r="F151" s="15" t="s">
        <v>310</v>
      </c>
      <c r="G151" s="17">
        <v>43426</v>
      </c>
      <c r="H151" s="15" t="s">
        <v>10</v>
      </c>
      <c r="I151" s="18"/>
      <c r="J151" s="43">
        <f t="shared" si="45"/>
        <v>30</v>
      </c>
      <c r="K151" s="43">
        <v>0</v>
      </c>
      <c r="L151" s="43">
        <f t="shared" si="37"/>
        <v>30</v>
      </c>
      <c r="M151" s="18"/>
      <c r="N151" s="19">
        <v>0</v>
      </c>
      <c r="O151" s="19">
        <v>1300</v>
      </c>
      <c r="P151" s="19"/>
      <c r="Q151" s="19"/>
      <c r="R151" s="19"/>
      <c r="S151" s="19">
        <f>IFERROR(VLOOKUP(C151,[2]Base!$C$1:$S$65536,17,0),0)</f>
        <v>0</v>
      </c>
      <c r="T151" s="19"/>
      <c r="U151" s="19">
        <f t="shared" si="38"/>
        <v>0</v>
      </c>
      <c r="V151" s="20"/>
      <c r="W151" s="44">
        <f t="shared" si="34"/>
        <v>0</v>
      </c>
      <c r="Y151" s="19">
        <f t="shared" si="39"/>
        <v>1300</v>
      </c>
      <c r="AA151" s="44">
        <f>IFERROR(VLOOKUP(C151,[1]Vendedor!$C$1:$R$65536,16,0),0)</f>
        <v>1974.3468799999998</v>
      </c>
      <c r="AB151" s="45">
        <f t="shared" si="40"/>
        <v>493.58671999999996</v>
      </c>
      <c r="AC151" s="20"/>
      <c r="AD151" s="44">
        <f>IFERROR(VLOOKUP(C151,[1]Vendedor!$C$1:$T$65536,18,0),0)</f>
        <v>0</v>
      </c>
      <c r="AE151" s="45">
        <f t="shared" si="41"/>
        <v>2467.9335999999998</v>
      </c>
      <c r="AF151" s="44">
        <f t="shared" si="42"/>
        <v>0</v>
      </c>
      <c r="AG151" s="20"/>
      <c r="AH151" s="20"/>
    </row>
    <row r="152" spans="1:34" x14ac:dyDescent="0.25">
      <c r="A152" s="30">
        <v>166</v>
      </c>
      <c r="B152" s="30">
        <v>39</v>
      </c>
      <c r="C152" s="32" t="str">
        <f t="shared" si="36"/>
        <v>166-39</v>
      </c>
      <c r="D152" s="16" t="s">
        <v>313</v>
      </c>
      <c r="E152" s="16" t="s">
        <v>14</v>
      </c>
      <c r="F152" s="15" t="s">
        <v>314</v>
      </c>
      <c r="G152" s="17">
        <v>44153</v>
      </c>
      <c r="H152" s="15" t="s">
        <v>10</v>
      </c>
      <c r="I152" s="18"/>
      <c r="J152" s="43">
        <f t="shared" si="45"/>
        <v>30</v>
      </c>
      <c r="K152" s="43">
        <v>0</v>
      </c>
      <c r="L152" s="43">
        <f t="shared" si="37"/>
        <v>30</v>
      </c>
      <c r="M152" s="18"/>
      <c r="N152" s="19">
        <v>0</v>
      </c>
      <c r="O152" s="19">
        <v>1300</v>
      </c>
      <c r="P152" s="19"/>
      <c r="Q152" s="19"/>
      <c r="R152" s="19"/>
      <c r="S152" s="19">
        <f>IFERROR(VLOOKUP(C152,[2]Base!$C$1:$S$65536,17,0),0)</f>
        <v>0</v>
      </c>
      <c r="T152" s="19"/>
      <c r="U152" s="19">
        <f t="shared" si="38"/>
        <v>0</v>
      </c>
      <c r="V152" s="20"/>
      <c r="W152" s="44">
        <f t="shared" si="34"/>
        <v>0</v>
      </c>
      <c r="Y152" s="19">
        <f t="shared" si="39"/>
        <v>1300</v>
      </c>
      <c r="AA152" s="44">
        <f>IFERROR(VLOOKUP(C152,[1]Vendedor!$C$1:$R$65536,16,0),0)</f>
        <v>1163.6780800000001</v>
      </c>
      <c r="AB152" s="45">
        <f t="shared" si="40"/>
        <v>290.91952000000003</v>
      </c>
      <c r="AC152" s="20"/>
      <c r="AD152" s="44">
        <f>IFERROR(VLOOKUP(C152,[1]Vendedor!$C$1:$T$65536,18,0),0)</f>
        <v>0</v>
      </c>
      <c r="AE152" s="45">
        <f t="shared" si="41"/>
        <v>1454.5976000000001</v>
      </c>
      <c r="AF152" s="44">
        <f t="shared" si="42"/>
        <v>0</v>
      </c>
      <c r="AG152" s="20"/>
      <c r="AH152" s="20"/>
    </row>
    <row r="153" spans="1:34" x14ac:dyDescent="0.25">
      <c r="A153" s="30">
        <v>166</v>
      </c>
      <c r="B153" s="30">
        <v>8</v>
      </c>
      <c r="C153" s="32" t="str">
        <f t="shared" si="36"/>
        <v>166-8</v>
      </c>
      <c r="D153" s="16" t="s">
        <v>307</v>
      </c>
      <c r="E153" s="16" t="s">
        <v>14</v>
      </c>
      <c r="F153" s="15" t="s">
        <v>308</v>
      </c>
      <c r="G153" s="17">
        <v>43069</v>
      </c>
      <c r="H153" s="15" t="s">
        <v>10</v>
      </c>
      <c r="I153" s="18"/>
      <c r="J153" s="43">
        <f t="shared" si="45"/>
        <v>30</v>
      </c>
      <c r="K153" s="43">
        <v>0</v>
      </c>
      <c r="L153" s="43">
        <f t="shared" si="37"/>
        <v>30</v>
      </c>
      <c r="M153" s="18"/>
      <c r="N153" s="19">
        <v>0</v>
      </c>
      <c r="O153" s="19">
        <v>1300</v>
      </c>
      <c r="P153" s="19"/>
      <c r="Q153" s="19">
        <v>91</v>
      </c>
      <c r="R153" s="19"/>
      <c r="S153" s="19">
        <f>IFERROR(VLOOKUP(C153,[2]Base!$C$1:$S$65536,17,0),0)</f>
        <v>0</v>
      </c>
      <c r="T153" s="19"/>
      <c r="U153" s="19">
        <f t="shared" si="38"/>
        <v>0</v>
      </c>
      <c r="V153" s="20"/>
      <c r="W153" s="44">
        <f t="shared" si="34"/>
        <v>0</v>
      </c>
      <c r="Y153" s="19">
        <f t="shared" si="39"/>
        <v>1300</v>
      </c>
      <c r="AA153" s="44">
        <f>IFERROR(VLOOKUP(C153,[1]Vendedor!$C$1:$R$65536,16,0),0)</f>
        <v>1947.5161599999999</v>
      </c>
      <c r="AB153" s="45">
        <f t="shared" si="40"/>
        <v>486.87903999999997</v>
      </c>
      <c r="AC153" s="20"/>
      <c r="AD153" s="44">
        <f>IFERROR(VLOOKUP(C153,[1]Vendedor!$C$1:$T$65536,18,0),0)</f>
        <v>0</v>
      </c>
      <c r="AE153" s="45">
        <f t="shared" si="41"/>
        <v>2434.3951999999999</v>
      </c>
      <c r="AF153" s="44">
        <f t="shared" si="42"/>
        <v>0</v>
      </c>
      <c r="AG153" s="20">
        <v>300</v>
      </c>
      <c r="AH153" s="20"/>
    </row>
    <row r="154" spans="1:34" x14ac:dyDescent="0.25">
      <c r="A154" s="30">
        <v>169</v>
      </c>
      <c r="B154" s="30">
        <v>35</v>
      </c>
      <c r="C154" s="32" t="str">
        <f t="shared" si="36"/>
        <v>169-35</v>
      </c>
      <c r="D154" s="16" t="s">
        <v>323</v>
      </c>
      <c r="E154" s="16" t="s">
        <v>21</v>
      </c>
      <c r="F154" s="15" t="s">
        <v>324</v>
      </c>
      <c r="G154" s="17">
        <v>44035</v>
      </c>
      <c r="H154" s="15" t="s">
        <v>10</v>
      </c>
      <c r="I154" s="18"/>
      <c r="J154" s="43">
        <f t="shared" si="45"/>
        <v>30</v>
      </c>
      <c r="K154" s="43">
        <v>0</v>
      </c>
      <c r="L154" s="43">
        <f t="shared" si="37"/>
        <v>30</v>
      </c>
      <c r="M154" s="18"/>
      <c r="N154" s="19">
        <v>1314</v>
      </c>
      <c r="O154" s="19">
        <v>0</v>
      </c>
      <c r="P154" s="19">
        <v>262.8</v>
      </c>
      <c r="Q154" s="19">
        <v>63</v>
      </c>
      <c r="R154" s="19"/>
      <c r="S154" s="19" t="str">
        <f>IFERROR(VLOOKUP(C154,[2]Base!$C$1:$S$65536,17,0),0)</f>
        <v>Fretado</v>
      </c>
      <c r="T154" s="19"/>
      <c r="U154" s="19">
        <f t="shared" si="38"/>
        <v>0</v>
      </c>
      <c r="V154" s="45">
        <f>SUM(AA154:AB154,AF154)*6%</f>
        <v>78.84</v>
      </c>
      <c r="W154" s="44">
        <f>V154</f>
        <v>78.84</v>
      </c>
      <c r="Y154" s="19">
        <f t="shared" si="39"/>
        <v>1314</v>
      </c>
      <c r="AA154" s="44">
        <f>IFERROR(VLOOKUP(C154,[1]Vendedor!$C$1:$R$65536,16,0),0)</f>
        <v>0</v>
      </c>
      <c r="AB154" s="45">
        <f t="shared" si="40"/>
        <v>0</v>
      </c>
      <c r="AC154" s="20"/>
      <c r="AD154" s="44">
        <f>IFERROR(VLOOKUP(C154,[1]Vendedor!$C$1:$T$65536,18,0),0)</f>
        <v>0</v>
      </c>
      <c r="AE154" s="45">
        <f t="shared" si="41"/>
        <v>0</v>
      </c>
      <c r="AF154" s="44">
        <f t="shared" si="42"/>
        <v>1314</v>
      </c>
      <c r="AG154" s="20"/>
      <c r="AH154" s="20"/>
    </row>
    <row r="155" spans="1:34" x14ac:dyDescent="0.25">
      <c r="A155" s="30">
        <v>169</v>
      </c>
      <c r="B155" s="30">
        <v>39</v>
      </c>
      <c r="C155" s="32" t="str">
        <f t="shared" si="36"/>
        <v>169-39</v>
      </c>
      <c r="D155" s="16" t="s">
        <v>329</v>
      </c>
      <c r="E155" s="16" t="s">
        <v>21</v>
      </c>
      <c r="F155" s="15" t="s">
        <v>330</v>
      </c>
      <c r="G155" s="17">
        <v>44152</v>
      </c>
      <c r="H155" s="15" t="s">
        <v>10</v>
      </c>
      <c r="I155" s="18"/>
      <c r="J155" s="43">
        <f t="shared" si="45"/>
        <v>30</v>
      </c>
      <c r="K155" s="43">
        <v>0</v>
      </c>
      <c r="L155" s="43">
        <f t="shared" si="37"/>
        <v>30</v>
      </c>
      <c r="M155" s="18"/>
      <c r="N155" s="19">
        <v>1314</v>
      </c>
      <c r="O155" s="19">
        <v>0</v>
      </c>
      <c r="P155" s="19">
        <v>262.8</v>
      </c>
      <c r="Q155" s="19">
        <v>63</v>
      </c>
      <c r="R155" s="19"/>
      <c r="S155" s="19">
        <f>IFERROR(VLOOKUP(C155,[2]Base!$C$1:$S$65536,17,0),0)</f>
        <v>0</v>
      </c>
      <c r="T155" s="19"/>
      <c r="U155" s="19">
        <f t="shared" si="38"/>
        <v>0</v>
      </c>
      <c r="V155" s="20"/>
      <c r="W155" s="44">
        <f t="shared" ref="W155:W169" si="46">IF(U155&gt;V155,V155,U155)</f>
        <v>0</v>
      </c>
      <c r="Y155" s="19">
        <f t="shared" si="39"/>
        <v>1314</v>
      </c>
      <c r="AA155" s="44">
        <f>IFERROR(VLOOKUP(C155,[1]Vendedor!$C$1:$R$65536,16,0),0)</f>
        <v>0</v>
      </c>
      <c r="AB155" s="45">
        <f t="shared" si="40"/>
        <v>0</v>
      </c>
      <c r="AC155" s="20"/>
      <c r="AD155" s="44">
        <f>IFERROR(VLOOKUP(C155,[1]Vendedor!$C$1:$T$65536,18,0),0)</f>
        <v>0</v>
      </c>
      <c r="AE155" s="45">
        <f t="shared" si="41"/>
        <v>0</v>
      </c>
      <c r="AF155" s="44">
        <f t="shared" si="42"/>
        <v>1314</v>
      </c>
      <c r="AG155" s="20"/>
      <c r="AH155" s="20"/>
    </row>
    <row r="156" spans="1:34" x14ac:dyDescent="0.25">
      <c r="A156" s="30">
        <v>169</v>
      </c>
      <c r="B156" s="30">
        <v>16</v>
      </c>
      <c r="C156" s="32" t="str">
        <f t="shared" si="36"/>
        <v>169-16</v>
      </c>
      <c r="D156" s="16" t="s">
        <v>319</v>
      </c>
      <c r="E156" s="16" t="s">
        <v>11</v>
      </c>
      <c r="F156" s="15" t="s">
        <v>320</v>
      </c>
      <c r="G156" s="17">
        <v>42626</v>
      </c>
      <c r="H156" s="15" t="s">
        <v>10</v>
      </c>
      <c r="I156" s="18"/>
      <c r="J156" s="43">
        <f t="shared" si="45"/>
        <v>30</v>
      </c>
      <c r="K156" s="43">
        <v>0</v>
      </c>
      <c r="L156" s="43">
        <f t="shared" si="37"/>
        <v>30</v>
      </c>
      <c r="M156" s="18"/>
      <c r="N156" s="19">
        <v>0</v>
      </c>
      <c r="O156" s="19">
        <v>5665</v>
      </c>
      <c r="P156" s="19"/>
      <c r="Q156" s="19"/>
      <c r="R156" s="19"/>
      <c r="S156" s="19">
        <f>IFERROR(VLOOKUP(C156,[2]Base!$C$1:$S$65536,17,0),0)</f>
        <v>0</v>
      </c>
      <c r="T156" s="19"/>
      <c r="U156" s="19">
        <f t="shared" si="38"/>
        <v>0</v>
      </c>
      <c r="V156" s="20"/>
      <c r="W156" s="44">
        <f t="shared" si="46"/>
        <v>0</v>
      </c>
      <c r="Y156" s="19">
        <f t="shared" si="39"/>
        <v>5665</v>
      </c>
      <c r="AA156" s="44">
        <f>VLOOKUP(A156,[3]Gerentes!$B$1:$O$65536,14,0)</f>
        <v>4509.5915999999997</v>
      </c>
      <c r="AB156" s="45">
        <f t="shared" si="40"/>
        <v>1127.3978999999999</v>
      </c>
      <c r="AC156" s="20"/>
      <c r="AD156" s="44" t="str">
        <f>VLOOKUP(A156,[3]Gerentes!$B$1:$Q$65536,16,0)</f>
        <v>2000</v>
      </c>
      <c r="AE156" s="45">
        <f t="shared" si="41"/>
        <v>5636.9894999999997</v>
      </c>
      <c r="AF156" s="44">
        <f t="shared" si="42"/>
        <v>28.01050000000032</v>
      </c>
      <c r="AG156" s="20"/>
      <c r="AH156" s="20"/>
    </row>
    <row r="157" spans="1:34" x14ac:dyDescent="0.25">
      <c r="A157" s="30">
        <v>169</v>
      </c>
      <c r="B157" s="30">
        <v>31</v>
      </c>
      <c r="C157" s="32" t="str">
        <f t="shared" si="36"/>
        <v>169-31</v>
      </c>
      <c r="D157" s="16" t="s">
        <v>321</v>
      </c>
      <c r="E157" s="16" t="s">
        <v>14</v>
      </c>
      <c r="F157" s="15" t="s">
        <v>322</v>
      </c>
      <c r="G157" s="17">
        <v>43781</v>
      </c>
      <c r="H157" s="15" t="s">
        <v>10</v>
      </c>
      <c r="I157" s="18"/>
      <c r="J157" s="43">
        <f t="shared" si="45"/>
        <v>30</v>
      </c>
      <c r="K157" s="43">
        <v>0</v>
      </c>
      <c r="L157" s="43">
        <f t="shared" si="37"/>
        <v>30</v>
      </c>
      <c r="M157" s="18"/>
      <c r="N157" s="19">
        <v>0</v>
      </c>
      <c r="O157" s="19">
        <v>1314</v>
      </c>
      <c r="P157" s="19"/>
      <c r="Q157" s="19">
        <v>63</v>
      </c>
      <c r="R157" s="19"/>
      <c r="S157" s="19">
        <f>IFERROR(VLOOKUP(C157,[2]Base!$C$1:$S$65536,17,0),0)</f>
        <v>0</v>
      </c>
      <c r="T157" s="19"/>
      <c r="U157" s="19">
        <f t="shared" si="38"/>
        <v>0</v>
      </c>
      <c r="V157" s="20"/>
      <c r="W157" s="44">
        <f t="shared" si="46"/>
        <v>0</v>
      </c>
      <c r="Y157" s="19">
        <f t="shared" si="39"/>
        <v>1314</v>
      </c>
      <c r="AA157" s="44">
        <f>IFERROR(VLOOKUP(C157,[1]Vendedor!$C$1:$R$65536,16,0),0)</f>
        <v>1505.3708799999999</v>
      </c>
      <c r="AB157" s="45">
        <f t="shared" si="40"/>
        <v>376.34271999999999</v>
      </c>
      <c r="AC157" s="20"/>
      <c r="AD157" s="44">
        <f>IFERROR(VLOOKUP(C157,[1]Vendedor!$C$1:$T$65536,18,0),0)</f>
        <v>0</v>
      </c>
      <c r="AE157" s="45">
        <f t="shared" si="41"/>
        <v>1881.7136</v>
      </c>
      <c r="AF157" s="44">
        <f t="shared" si="42"/>
        <v>0</v>
      </c>
      <c r="AG157" s="20"/>
      <c r="AH157" s="20"/>
    </row>
    <row r="158" spans="1:34" x14ac:dyDescent="0.25">
      <c r="A158" s="30">
        <v>169</v>
      </c>
      <c r="B158" s="30">
        <v>7</v>
      </c>
      <c r="C158" s="32" t="str">
        <f t="shared" si="36"/>
        <v>169-7</v>
      </c>
      <c r="D158" s="16" t="s">
        <v>317</v>
      </c>
      <c r="E158" s="16" t="s">
        <v>14</v>
      </c>
      <c r="F158" s="15" t="s">
        <v>318</v>
      </c>
      <c r="G158" s="17">
        <v>43442</v>
      </c>
      <c r="H158" s="15" t="s">
        <v>10</v>
      </c>
      <c r="I158" s="18"/>
      <c r="J158" s="43">
        <f t="shared" si="45"/>
        <v>30</v>
      </c>
      <c r="K158" s="43">
        <v>0</v>
      </c>
      <c r="L158" s="43">
        <f t="shared" si="37"/>
        <v>30</v>
      </c>
      <c r="M158" s="18"/>
      <c r="N158" s="19">
        <v>0</v>
      </c>
      <c r="O158" s="19">
        <v>1314</v>
      </c>
      <c r="P158" s="19"/>
      <c r="Q158" s="19">
        <v>63</v>
      </c>
      <c r="R158" s="19"/>
      <c r="S158" s="19">
        <f>IFERROR(VLOOKUP(C158,[2]Base!$C$1:$S$65536,17,0),0)</f>
        <v>0</v>
      </c>
      <c r="T158" s="19"/>
      <c r="U158" s="19">
        <f t="shared" si="38"/>
        <v>0</v>
      </c>
      <c r="V158" s="20"/>
      <c r="W158" s="44">
        <f t="shared" si="46"/>
        <v>0</v>
      </c>
      <c r="Y158" s="19">
        <f t="shared" si="39"/>
        <v>1314</v>
      </c>
      <c r="AA158" s="44">
        <f>IFERROR(VLOOKUP(C158,[1]Vendedor!$C$1:$R$65536,16,0),0)</f>
        <v>2193.3500800000002</v>
      </c>
      <c r="AB158" s="45">
        <f t="shared" si="40"/>
        <v>548.33752000000004</v>
      </c>
      <c r="AC158" s="20"/>
      <c r="AD158" s="44">
        <f>IFERROR(VLOOKUP(C158,[1]Vendedor!$C$1:$T$65536,18,0),0)</f>
        <v>342.71095000000003</v>
      </c>
      <c r="AE158" s="45">
        <f t="shared" si="41"/>
        <v>3084.3985500000003</v>
      </c>
      <c r="AF158" s="44">
        <f t="shared" si="42"/>
        <v>0</v>
      </c>
      <c r="AG158" s="20"/>
      <c r="AH158" s="20"/>
    </row>
    <row r="159" spans="1:34" x14ac:dyDescent="0.25">
      <c r="A159" s="30">
        <v>169</v>
      </c>
      <c r="B159" s="30">
        <v>41</v>
      </c>
      <c r="C159" s="32" t="str">
        <f t="shared" si="36"/>
        <v>169-41</v>
      </c>
      <c r="D159" s="16" t="s">
        <v>331</v>
      </c>
      <c r="E159" s="16" t="s">
        <v>14</v>
      </c>
      <c r="F159" s="15" t="s">
        <v>332</v>
      </c>
      <c r="G159" s="17">
        <v>44221</v>
      </c>
      <c r="H159" s="15" t="s">
        <v>10</v>
      </c>
      <c r="I159" s="18"/>
      <c r="J159" s="43">
        <f t="shared" si="45"/>
        <v>30</v>
      </c>
      <c r="K159" s="43">
        <v>0</v>
      </c>
      <c r="L159" s="43">
        <f t="shared" si="37"/>
        <v>30</v>
      </c>
      <c r="M159" s="18"/>
      <c r="N159" s="19">
        <v>0</v>
      </c>
      <c r="O159" s="19">
        <v>1314</v>
      </c>
      <c r="P159" s="19"/>
      <c r="Q159" s="19">
        <v>63</v>
      </c>
      <c r="R159" s="19"/>
      <c r="S159" s="19">
        <f>IFERROR(VLOOKUP(C159,[2]Base!$C$1:$S$65536,17,0),0)</f>
        <v>0</v>
      </c>
      <c r="T159" s="19"/>
      <c r="U159" s="19">
        <f t="shared" si="38"/>
        <v>0</v>
      </c>
      <c r="V159" s="20"/>
      <c r="W159" s="44">
        <f t="shared" si="46"/>
        <v>0</v>
      </c>
      <c r="Y159" s="19">
        <f t="shared" si="39"/>
        <v>1314</v>
      </c>
      <c r="AA159" s="44">
        <f>IFERROR(VLOOKUP(C159,[1]Vendedor!$C$1:$R$65536,16,0),0)</f>
        <v>1707.44928</v>
      </c>
      <c r="AB159" s="45">
        <f t="shared" si="40"/>
        <v>426.86232000000001</v>
      </c>
      <c r="AC159" s="20"/>
      <c r="AD159" s="44">
        <f>IFERROR(VLOOKUP(C159,[1]Vendedor!$C$1:$T$65536,18,0),0)</f>
        <v>0</v>
      </c>
      <c r="AE159" s="45">
        <f t="shared" si="41"/>
        <v>2134.3116</v>
      </c>
      <c r="AF159" s="44">
        <f t="shared" si="42"/>
        <v>0</v>
      </c>
      <c r="AG159" s="20"/>
      <c r="AH159" s="20"/>
    </row>
    <row r="160" spans="1:34" x14ac:dyDescent="0.25">
      <c r="A160" s="30">
        <v>169</v>
      </c>
      <c r="B160" s="30">
        <v>37</v>
      </c>
      <c r="C160" s="32" t="str">
        <f t="shared" si="36"/>
        <v>169-37</v>
      </c>
      <c r="D160" s="16" t="s">
        <v>325</v>
      </c>
      <c r="E160" s="16" t="s">
        <v>14</v>
      </c>
      <c r="F160" s="15" t="s">
        <v>326</v>
      </c>
      <c r="G160" s="17">
        <v>44095</v>
      </c>
      <c r="H160" s="15" t="s">
        <v>10</v>
      </c>
      <c r="I160" s="18"/>
      <c r="J160" s="43">
        <f t="shared" si="45"/>
        <v>30</v>
      </c>
      <c r="K160" s="43">
        <v>0</v>
      </c>
      <c r="L160" s="43">
        <f t="shared" si="37"/>
        <v>30</v>
      </c>
      <c r="M160" s="18"/>
      <c r="N160" s="19">
        <v>0</v>
      </c>
      <c r="O160" s="19">
        <v>1314</v>
      </c>
      <c r="P160" s="19"/>
      <c r="Q160" s="19">
        <v>63</v>
      </c>
      <c r="R160" s="19"/>
      <c r="S160" s="19">
        <f>IFERROR(VLOOKUP(C160,[2]Base!$C$1:$S$65536,17,0),0)</f>
        <v>0</v>
      </c>
      <c r="T160" s="19"/>
      <c r="U160" s="19">
        <f t="shared" si="38"/>
        <v>0</v>
      </c>
      <c r="V160" s="20"/>
      <c r="W160" s="44">
        <f t="shared" si="46"/>
        <v>0</v>
      </c>
      <c r="Y160" s="19">
        <f t="shared" si="39"/>
        <v>1314</v>
      </c>
      <c r="AA160" s="44">
        <f>IFERROR(VLOOKUP(C160,[1]Vendedor!$C$1:$R$65536,16,0),0)</f>
        <v>2266.9452799999999</v>
      </c>
      <c r="AB160" s="45">
        <f t="shared" si="40"/>
        <v>566.73631999999998</v>
      </c>
      <c r="AC160" s="20">
        <v>400</v>
      </c>
      <c r="AD160" s="44">
        <f>IFERROR(VLOOKUP(C160,[1]Vendedor!$C$1:$T$65536,18,0),0)</f>
        <v>354.21019999999999</v>
      </c>
      <c r="AE160" s="45">
        <f t="shared" si="41"/>
        <v>3587.8917999999999</v>
      </c>
      <c r="AF160" s="44">
        <f t="shared" si="42"/>
        <v>0</v>
      </c>
      <c r="AG160" s="20">
        <v>400</v>
      </c>
      <c r="AH160" s="20"/>
    </row>
    <row r="161" spans="1:34" x14ac:dyDescent="0.25">
      <c r="A161" s="30">
        <v>169</v>
      </c>
      <c r="B161" s="30">
        <v>38</v>
      </c>
      <c r="C161" s="32" t="str">
        <f t="shared" si="36"/>
        <v>169-38</v>
      </c>
      <c r="D161" s="16" t="s">
        <v>327</v>
      </c>
      <c r="E161" s="16" t="s">
        <v>14</v>
      </c>
      <c r="F161" s="15" t="s">
        <v>328</v>
      </c>
      <c r="G161" s="17">
        <v>44153</v>
      </c>
      <c r="H161" s="15" t="s">
        <v>10</v>
      </c>
      <c r="I161" s="18"/>
      <c r="J161" s="43">
        <f t="shared" si="45"/>
        <v>30</v>
      </c>
      <c r="K161" s="43">
        <v>0</v>
      </c>
      <c r="L161" s="43">
        <f t="shared" si="37"/>
        <v>30</v>
      </c>
      <c r="M161" s="18"/>
      <c r="N161" s="19">
        <v>0</v>
      </c>
      <c r="O161" s="19">
        <v>1314</v>
      </c>
      <c r="P161" s="19"/>
      <c r="Q161" s="19">
        <v>63</v>
      </c>
      <c r="R161" s="19"/>
      <c r="S161" s="19">
        <f>IFERROR(VLOOKUP(C161,[2]Base!$C$1:$S$65536,17,0),0)</f>
        <v>0</v>
      </c>
      <c r="T161" s="19"/>
      <c r="U161" s="19">
        <f t="shared" si="38"/>
        <v>0</v>
      </c>
      <c r="V161" s="20"/>
      <c r="W161" s="44">
        <f t="shared" si="46"/>
        <v>0</v>
      </c>
      <c r="Y161" s="19">
        <f t="shared" si="39"/>
        <v>1314</v>
      </c>
      <c r="AA161" s="44">
        <f>IFERROR(VLOOKUP(C161,[1]Vendedor!$C$1:$R$65536,16,0),0)</f>
        <v>1808.1180800000002</v>
      </c>
      <c r="AB161" s="45">
        <f t="shared" si="40"/>
        <v>452.02952000000005</v>
      </c>
      <c r="AC161" s="20"/>
      <c r="AD161" s="44">
        <f>IFERROR(VLOOKUP(C161,[1]Vendedor!$C$1:$T$65536,18,0),0)</f>
        <v>0</v>
      </c>
      <c r="AE161" s="45">
        <f t="shared" si="41"/>
        <v>2260.1476000000002</v>
      </c>
      <c r="AF161" s="44">
        <f t="shared" si="42"/>
        <v>0</v>
      </c>
      <c r="AG161" s="20"/>
      <c r="AH161" s="20"/>
    </row>
    <row r="162" spans="1:34" x14ac:dyDescent="0.25">
      <c r="A162" s="30">
        <v>169</v>
      </c>
      <c r="B162" s="30">
        <v>1</v>
      </c>
      <c r="C162" s="32" t="str">
        <f t="shared" si="36"/>
        <v>169-1</v>
      </c>
      <c r="D162" s="16" t="s">
        <v>315</v>
      </c>
      <c r="E162" s="16" t="s">
        <v>14</v>
      </c>
      <c r="F162" s="15" t="s">
        <v>316</v>
      </c>
      <c r="G162" s="17">
        <v>43442</v>
      </c>
      <c r="H162" s="15" t="s">
        <v>10</v>
      </c>
      <c r="I162" s="18"/>
      <c r="J162" s="43">
        <f t="shared" si="45"/>
        <v>30</v>
      </c>
      <c r="K162" s="43">
        <v>0</v>
      </c>
      <c r="L162" s="43">
        <f t="shared" si="37"/>
        <v>30</v>
      </c>
      <c r="M162" s="18"/>
      <c r="N162" s="19">
        <v>0</v>
      </c>
      <c r="O162" s="19">
        <v>1314</v>
      </c>
      <c r="P162" s="19"/>
      <c r="Q162" s="19">
        <v>63</v>
      </c>
      <c r="R162" s="19"/>
      <c r="S162" s="19">
        <f>IFERROR(VLOOKUP(C162,[2]Base!$C$1:$S$65536,17,0),0)</f>
        <v>0</v>
      </c>
      <c r="T162" s="19"/>
      <c r="U162" s="19">
        <f t="shared" si="38"/>
        <v>0</v>
      </c>
      <c r="V162" s="20"/>
      <c r="W162" s="44">
        <f t="shared" si="46"/>
        <v>0</v>
      </c>
      <c r="Y162" s="19">
        <f t="shared" si="39"/>
        <v>1314</v>
      </c>
      <c r="AA162" s="44">
        <f>IFERROR(VLOOKUP(C162,[1]Vendedor!$C$1:$R$65536,16,0),0)</f>
        <v>2504.8262400000003</v>
      </c>
      <c r="AB162" s="45">
        <f t="shared" si="40"/>
        <v>626.20656000000008</v>
      </c>
      <c r="AC162" s="20">
        <v>400</v>
      </c>
      <c r="AD162" s="44">
        <f>IFERROR(VLOOKUP(C162,[1]Vendedor!$C$1:$T$65536,18,0),0)</f>
        <v>391.37910000000005</v>
      </c>
      <c r="AE162" s="45">
        <f t="shared" si="41"/>
        <v>3922.4119000000005</v>
      </c>
      <c r="AF162" s="44">
        <f t="shared" si="42"/>
        <v>0</v>
      </c>
      <c r="AG162" s="20">
        <v>400</v>
      </c>
      <c r="AH162" s="20"/>
    </row>
    <row r="163" spans="1:34" s="29" customFormat="1" x14ac:dyDescent="0.25">
      <c r="A163" s="31">
        <v>173</v>
      </c>
      <c r="B163" s="31">
        <v>5</v>
      </c>
      <c r="C163" s="33" t="str">
        <f t="shared" si="36"/>
        <v>173-5</v>
      </c>
      <c r="D163" s="24" t="s">
        <v>333</v>
      </c>
      <c r="E163" s="24" t="s">
        <v>14</v>
      </c>
      <c r="F163" s="23" t="s">
        <v>334</v>
      </c>
      <c r="G163" s="25">
        <v>43427</v>
      </c>
      <c r="H163" s="15" t="s">
        <v>6</v>
      </c>
      <c r="I163" s="18"/>
      <c r="J163" s="43">
        <f t="shared" si="45"/>
        <v>30</v>
      </c>
      <c r="K163" s="43">
        <v>0</v>
      </c>
      <c r="L163" s="43">
        <f t="shared" si="37"/>
        <v>30</v>
      </c>
      <c r="M163" s="18"/>
      <c r="N163" s="27">
        <v>0</v>
      </c>
      <c r="O163" s="27">
        <v>0</v>
      </c>
      <c r="P163" s="27"/>
      <c r="Q163" s="27"/>
      <c r="R163" s="27"/>
      <c r="S163" s="19">
        <f>IFERROR(VLOOKUP(C163,[2]Base!$C$1:$S$65536,17,0),0)</f>
        <v>0</v>
      </c>
      <c r="T163" s="27"/>
      <c r="U163" s="19">
        <f t="shared" ref="U163:U194" si="47">SUM(S163:T163)</f>
        <v>0</v>
      </c>
      <c r="V163" s="28"/>
      <c r="W163" s="44">
        <f t="shared" si="46"/>
        <v>0</v>
      </c>
      <c r="Y163" s="19">
        <f t="shared" ref="Y163:Y195" si="48">SUM(N163:O163)/30*J163</f>
        <v>0</v>
      </c>
      <c r="AA163" s="44">
        <f>IFERROR(VLOOKUP(C163,[1]Vendedor!$C$1:$R$65536,16,0),0)</f>
        <v>0</v>
      </c>
      <c r="AB163" s="45">
        <f t="shared" si="40"/>
        <v>0</v>
      </c>
      <c r="AC163" s="28"/>
      <c r="AD163" s="44">
        <f>IFERROR(VLOOKUP(C163,[1]Vendedor!$C$1:$T$65536,18,0),0)</f>
        <v>0</v>
      </c>
      <c r="AE163" s="45">
        <f t="shared" si="41"/>
        <v>0</v>
      </c>
      <c r="AF163" s="44">
        <f t="shared" ref="AF163:AF194" si="49">IF(AE163&lt;Y163,Y163-AE163,0)</f>
        <v>0</v>
      </c>
      <c r="AG163" s="28"/>
      <c r="AH163" s="28"/>
    </row>
    <row r="164" spans="1:34" x14ac:dyDescent="0.25">
      <c r="A164" s="30">
        <v>173</v>
      </c>
      <c r="B164" s="30">
        <v>26</v>
      </c>
      <c r="C164" s="32" t="str">
        <f t="shared" si="36"/>
        <v>173-26</v>
      </c>
      <c r="D164" s="16" t="s">
        <v>335</v>
      </c>
      <c r="E164" s="16" t="s">
        <v>14</v>
      </c>
      <c r="F164" s="15" t="s">
        <v>336</v>
      </c>
      <c r="G164" s="17">
        <v>43791</v>
      </c>
      <c r="H164" s="15" t="s">
        <v>10</v>
      </c>
      <c r="I164" s="18"/>
      <c r="J164" s="43">
        <f t="shared" si="45"/>
        <v>30</v>
      </c>
      <c r="K164" s="43">
        <v>0</v>
      </c>
      <c r="L164" s="43">
        <f t="shared" si="37"/>
        <v>30</v>
      </c>
      <c r="M164" s="18"/>
      <c r="N164" s="19">
        <v>0</v>
      </c>
      <c r="O164" s="19">
        <v>1713</v>
      </c>
      <c r="P164" s="19"/>
      <c r="Q164" s="19"/>
      <c r="R164" s="19"/>
      <c r="S164" s="19">
        <v>355.2</v>
      </c>
      <c r="T164" s="19"/>
      <c r="U164" s="19">
        <f t="shared" si="47"/>
        <v>355.2</v>
      </c>
      <c r="V164" s="45">
        <f>SUM(AA164:AB164,AF164)*6%</f>
        <v>182.84755275000001</v>
      </c>
      <c r="W164" s="44">
        <f t="shared" si="46"/>
        <v>182.84755275000001</v>
      </c>
      <c r="Y164" s="19">
        <f t="shared" si="48"/>
        <v>1713</v>
      </c>
      <c r="AA164" s="44">
        <f>IFERROR(VLOOKUP(C164,[1]Vendedor!$C$1:$R$65536,16,0),0)</f>
        <v>2437.9673700000003</v>
      </c>
      <c r="AB164" s="45">
        <f t="shared" si="40"/>
        <v>609.49184250000008</v>
      </c>
      <c r="AC164" s="20"/>
      <c r="AD164" s="44">
        <f>IFERROR(VLOOKUP(C164,[1]Vendedor!$C$1:$T$65536,18,0),0)</f>
        <v>329.45504999999997</v>
      </c>
      <c r="AE164" s="45">
        <f t="shared" si="41"/>
        <v>3376.9142625000004</v>
      </c>
      <c r="AF164" s="44">
        <f t="shared" si="49"/>
        <v>0</v>
      </c>
      <c r="AG164" s="20">
        <v>400</v>
      </c>
      <c r="AH164" s="20"/>
    </row>
    <row r="165" spans="1:34" x14ac:dyDescent="0.25">
      <c r="A165" s="30">
        <v>173</v>
      </c>
      <c r="B165" s="30">
        <v>30</v>
      </c>
      <c r="C165" s="32" t="str">
        <f t="shared" si="36"/>
        <v>173-30</v>
      </c>
      <c r="D165" s="16" t="s">
        <v>337</v>
      </c>
      <c r="E165" s="16" t="s">
        <v>21</v>
      </c>
      <c r="F165" s="15" t="s">
        <v>338</v>
      </c>
      <c r="G165" s="17">
        <v>43791</v>
      </c>
      <c r="H165" s="15" t="s">
        <v>10</v>
      </c>
      <c r="I165" s="18"/>
      <c r="J165" s="43">
        <f t="shared" si="45"/>
        <v>30</v>
      </c>
      <c r="K165" s="43">
        <v>0</v>
      </c>
      <c r="L165" s="43">
        <f t="shared" si="37"/>
        <v>30</v>
      </c>
      <c r="M165" s="18"/>
      <c r="N165" s="19">
        <v>1447</v>
      </c>
      <c r="O165" s="19">
        <v>0</v>
      </c>
      <c r="P165" s="19">
        <v>80</v>
      </c>
      <c r="Q165" s="19"/>
      <c r="R165" s="19">
        <v>40</v>
      </c>
      <c r="S165" s="19">
        <v>264</v>
      </c>
      <c r="T165" s="19"/>
      <c r="U165" s="19">
        <f t="shared" si="47"/>
        <v>264</v>
      </c>
      <c r="V165" s="45">
        <f>SUM(AA165:AB165,AF165)*6%</f>
        <v>86.82</v>
      </c>
      <c r="W165" s="44">
        <f t="shared" si="46"/>
        <v>86.82</v>
      </c>
      <c r="Y165" s="19">
        <f t="shared" si="48"/>
        <v>1447</v>
      </c>
      <c r="AA165" s="44">
        <f>IFERROR(VLOOKUP(C165,[1]Vendedor!$C$1:$R$65536,16,0),0)</f>
        <v>0</v>
      </c>
      <c r="AB165" s="45">
        <f t="shared" si="40"/>
        <v>0</v>
      </c>
      <c r="AC165" s="20"/>
      <c r="AD165" s="44">
        <f>IFERROR(VLOOKUP(C165,[1]Vendedor!$C$1:$T$65536,18,0),0)</f>
        <v>0</v>
      </c>
      <c r="AE165" s="45">
        <f t="shared" si="41"/>
        <v>0</v>
      </c>
      <c r="AF165" s="44">
        <f t="shared" si="49"/>
        <v>1447</v>
      </c>
      <c r="AG165" s="20"/>
      <c r="AH165" s="20"/>
    </row>
    <row r="166" spans="1:34" x14ac:dyDescent="0.25">
      <c r="A166" s="30">
        <v>173</v>
      </c>
      <c r="B166" s="30">
        <v>34</v>
      </c>
      <c r="C166" s="32" t="str">
        <f t="shared" si="36"/>
        <v>173-34</v>
      </c>
      <c r="D166" s="16" t="s">
        <v>339</v>
      </c>
      <c r="E166" s="16" t="s">
        <v>14</v>
      </c>
      <c r="F166" s="15" t="s">
        <v>340</v>
      </c>
      <c r="G166" s="17">
        <v>43899</v>
      </c>
      <c r="H166" s="15" t="s">
        <v>10</v>
      </c>
      <c r="I166" s="18"/>
      <c r="J166" s="43">
        <f t="shared" si="45"/>
        <v>30</v>
      </c>
      <c r="K166" s="43">
        <v>0</v>
      </c>
      <c r="L166" s="43">
        <f t="shared" si="37"/>
        <v>30</v>
      </c>
      <c r="M166" s="18"/>
      <c r="N166" s="19">
        <v>0</v>
      </c>
      <c r="O166" s="19">
        <v>1713</v>
      </c>
      <c r="P166" s="19"/>
      <c r="Q166" s="19"/>
      <c r="R166" s="19">
        <v>40</v>
      </c>
      <c r="S166" s="19">
        <v>572.64</v>
      </c>
      <c r="T166" s="19"/>
      <c r="U166" s="19">
        <f t="shared" si="47"/>
        <v>572.64</v>
      </c>
      <c r="V166" s="45">
        <f>SUM(AA166:AB166,AF166)*6%</f>
        <v>106.12284</v>
      </c>
      <c r="W166" s="44">
        <f t="shared" si="46"/>
        <v>106.12284</v>
      </c>
      <c r="Y166" s="19">
        <f t="shared" si="48"/>
        <v>1713</v>
      </c>
      <c r="AA166" s="44">
        <f>IFERROR(VLOOKUP(C166,[1]Vendedor!$C$1:$R$65536,16,0),0)</f>
        <v>1414.9712</v>
      </c>
      <c r="AB166" s="45">
        <f t="shared" si="40"/>
        <v>353.74279999999999</v>
      </c>
      <c r="AC166" s="20"/>
      <c r="AD166" s="44">
        <f>IFERROR(VLOOKUP(C166,[1]Vendedor!$C$1:$T$65536,18,0),0)</f>
        <v>0</v>
      </c>
      <c r="AE166" s="45">
        <f t="shared" si="41"/>
        <v>1768.7139999999999</v>
      </c>
      <c r="AF166" s="44">
        <f t="shared" si="49"/>
        <v>0</v>
      </c>
      <c r="AG166" s="20"/>
      <c r="AH166" s="20"/>
    </row>
    <row r="167" spans="1:34" x14ac:dyDescent="0.25">
      <c r="A167" s="30">
        <v>173</v>
      </c>
      <c r="B167" s="30">
        <v>35</v>
      </c>
      <c r="C167" s="32" t="str">
        <f t="shared" si="36"/>
        <v>173-35</v>
      </c>
      <c r="D167" s="16" t="s">
        <v>341</v>
      </c>
      <c r="E167" s="16" t="s">
        <v>11</v>
      </c>
      <c r="F167" s="15" t="s">
        <v>342</v>
      </c>
      <c r="G167" s="17">
        <v>42531</v>
      </c>
      <c r="H167" s="15" t="s">
        <v>10</v>
      </c>
      <c r="I167" s="18"/>
      <c r="J167" s="43">
        <f t="shared" si="45"/>
        <v>30</v>
      </c>
      <c r="K167" s="43">
        <v>0</v>
      </c>
      <c r="L167" s="43">
        <f t="shared" si="37"/>
        <v>30</v>
      </c>
      <c r="M167" s="18"/>
      <c r="N167" s="19">
        <v>0</v>
      </c>
      <c r="O167" s="19">
        <v>4500</v>
      </c>
      <c r="P167" s="19"/>
      <c r="Q167" s="19"/>
      <c r="R167" s="19">
        <v>40</v>
      </c>
      <c r="S167" s="19">
        <f>IFERROR(VLOOKUP(C167,[2]Base!$C$1:$S$65536,17,0),0)</f>
        <v>0</v>
      </c>
      <c r="T167" s="19"/>
      <c r="U167" s="19">
        <f t="shared" si="47"/>
        <v>0</v>
      </c>
      <c r="V167" s="20"/>
      <c r="W167" s="44">
        <f t="shared" si="46"/>
        <v>0</v>
      </c>
      <c r="Y167" s="19">
        <f t="shared" si="48"/>
        <v>4500</v>
      </c>
      <c r="AA167" s="44">
        <f>VLOOKUP(A167,[3]Gerentes!$B$1:$O$65536,14,0)</f>
        <v>3655.8463199999997</v>
      </c>
      <c r="AB167" s="45">
        <f t="shared" si="40"/>
        <v>913.96157999999991</v>
      </c>
      <c r="AC167" s="20"/>
      <c r="AD167" s="44">
        <f>VLOOKUP(A167,[3]Gerentes!$B$1:$Q$65536,16,0)</f>
        <v>0</v>
      </c>
      <c r="AE167" s="45">
        <f t="shared" si="41"/>
        <v>4569.8078999999998</v>
      </c>
      <c r="AF167" s="44">
        <f t="shared" si="49"/>
        <v>0</v>
      </c>
      <c r="AG167" s="20"/>
      <c r="AH167" s="20"/>
    </row>
    <row r="168" spans="1:34" x14ac:dyDescent="0.25">
      <c r="A168" s="30">
        <v>173</v>
      </c>
      <c r="B168" s="30">
        <v>38</v>
      </c>
      <c r="C168" s="32" t="str">
        <f t="shared" si="36"/>
        <v>173-38</v>
      </c>
      <c r="D168" s="16" t="s">
        <v>343</v>
      </c>
      <c r="E168" s="16" t="s">
        <v>14</v>
      </c>
      <c r="F168" s="15" t="s">
        <v>344</v>
      </c>
      <c r="G168" s="17">
        <v>44152</v>
      </c>
      <c r="H168" s="15" t="s">
        <v>10</v>
      </c>
      <c r="I168" s="18"/>
      <c r="J168" s="43">
        <f t="shared" si="45"/>
        <v>30</v>
      </c>
      <c r="K168" s="43">
        <v>0</v>
      </c>
      <c r="L168" s="43">
        <f t="shared" si="37"/>
        <v>30</v>
      </c>
      <c r="M168" s="18"/>
      <c r="N168" s="19">
        <v>0</v>
      </c>
      <c r="O168" s="19">
        <v>1713</v>
      </c>
      <c r="P168" s="19"/>
      <c r="Q168" s="19"/>
      <c r="R168" s="19">
        <v>40</v>
      </c>
      <c r="S168" s="19">
        <v>216</v>
      </c>
      <c r="T168" s="19"/>
      <c r="U168" s="19">
        <f t="shared" si="47"/>
        <v>216</v>
      </c>
      <c r="V168" s="45">
        <f t="shared" ref="V168:V174" si="50">SUM(AA168:AB168,AF168)*6%</f>
        <v>141.53443200000001</v>
      </c>
      <c r="W168" s="44">
        <f t="shared" si="46"/>
        <v>141.53443200000001</v>
      </c>
      <c r="Y168" s="19">
        <f t="shared" si="48"/>
        <v>1713</v>
      </c>
      <c r="AA168" s="44">
        <f>IFERROR(VLOOKUP(C168,[1]Vendedor!$C$1:$R$65536,16,0),0)</f>
        <v>1887.1257600000001</v>
      </c>
      <c r="AB168" s="45">
        <f t="shared" si="40"/>
        <v>471.78144000000003</v>
      </c>
      <c r="AC168" s="20"/>
      <c r="AD168" s="44">
        <f>IFERROR(VLOOKUP(C168,[1]Vendedor!$C$1:$T$65536,18,0),0)</f>
        <v>0</v>
      </c>
      <c r="AE168" s="45">
        <f t="shared" si="41"/>
        <v>2358.9072000000001</v>
      </c>
      <c r="AF168" s="44">
        <f t="shared" si="49"/>
        <v>0</v>
      </c>
      <c r="AG168" s="20"/>
      <c r="AH168" s="20"/>
    </row>
    <row r="169" spans="1:34" x14ac:dyDescent="0.25">
      <c r="A169" s="30">
        <v>173</v>
      </c>
      <c r="B169" s="30">
        <v>41</v>
      </c>
      <c r="C169" s="32" t="str">
        <f t="shared" si="36"/>
        <v>173-41</v>
      </c>
      <c r="D169" s="16" t="s">
        <v>345</v>
      </c>
      <c r="E169" s="16" t="s">
        <v>14</v>
      </c>
      <c r="F169" s="15" t="s">
        <v>346</v>
      </c>
      <c r="G169" s="17">
        <v>44358</v>
      </c>
      <c r="H169" s="15" t="s">
        <v>10</v>
      </c>
      <c r="I169" s="18"/>
      <c r="J169" s="43">
        <v>20</v>
      </c>
      <c r="K169" s="43">
        <v>0</v>
      </c>
      <c r="L169" s="43">
        <f t="shared" si="37"/>
        <v>20</v>
      </c>
      <c r="M169" s="18"/>
      <c r="N169" s="19">
        <v>0</v>
      </c>
      <c r="O169" s="19">
        <v>1713</v>
      </c>
      <c r="P169" s="19"/>
      <c r="Q169" s="19"/>
      <c r="R169" s="19">
        <v>34</v>
      </c>
      <c r="S169" s="19"/>
      <c r="T169" s="19">
        <v>423.7</v>
      </c>
      <c r="U169" s="19">
        <f t="shared" si="47"/>
        <v>423.7</v>
      </c>
      <c r="V169" s="45">
        <f t="shared" si="50"/>
        <v>68.52</v>
      </c>
      <c r="W169" s="44">
        <f t="shared" si="46"/>
        <v>68.52</v>
      </c>
      <c r="Y169" s="19">
        <f t="shared" si="48"/>
        <v>1142</v>
      </c>
      <c r="AA169" s="44">
        <f>IFERROR(VLOOKUP(C169,[1]Vendedor!$C$1:$R$65536,16,0),0)</f>
        <v>869.96672000000001</v>
      </c>
      <c r="AB169" s="45">
        <f t="shared" si="40"/>
        <v>217.49168</v>
      </c>
      <c r="AC169" s="20"/>
      <c r="AD169" s="44">
        <f>IFERROR(VLOOKUP(C169,[1]Vendedor!$C$1:$T$65536,18,0),0)</f>
        <v>0</v>
      </c>
      <c r="AE169" s="45">
        <f t="shared" si="41"/>
        <v>1087.4584</v>
      </c>
      <c r="AF169" s="44">
        <f t="shared" si="49"/>
        <v>54.541600000000017</v>
      </c>
      <c r="AG169" s="20"/>
      <c r="AH169" s="20"/>
    </row>
    <row r="170" spans="1:34" x14ac:dyDescent="0.25">
      <c r="A170" s="30">
        <v>175</v>
      </c>
      <c r="B170" s="30">
        <v>17</v>
      </c>
      <c r="C170" s="32" t="str">
        <f t="shared" si="36"/>
        <v>175-17</v>
      </c>
      <c r="D170" s="16" t="s">
        <v>359</v>
      </c>
      <c r="E170" s="16" t="s">
        <v>21</v>
      </c>
      <c r="F170" s="15" t="s">
        <v>360</v>
      </c>
      <c r="G170" s="17">
        <v>44153</v>
      </c>
      <c r="H170" s="15" t="s">
        <v>10</v>
      </c>
      <c r="I170" s="18"/>
      <c r="J170" s="43">
        <f t="shared" ref="J170:J184" si="51">30-K170</f>
        <v>30</v>
      </c>
      <c r="K170" s="43">
        <v>0</v>
      </c>
      <c r="L170" s="43">
        <f t="shared" si="37"/>
        <v>30</v>
      </c>
      <c r="M170" s="18"/>
      <c r="N170" s="19">
        <v>1060.3699999999999</v>
      </c>
      <c r="O170" s="19">
        <v>0</v>
      </c>
      <c r="P170" s="19">
        <v>158</v>
      </c>
      <c r="Q170" s="19"/>
      <c r="R170" s="19">
        <v>425</v>
      </c>
      <c r="S170" s="19" t="str">
        <f>IFERROR(VLOOKUP(C170,[2]Base!$C$1:$S$65536,17,0),0)</f>
        <v>Fretado</v>
      </c>
      <c r="T170" s="19"/>
      <c r="U170" s="19">
        <f t="shared" si="47"/>
        <v>0</v>
      </c>
      <c r="V170" s="45">
        <f t="shared" si="50"/>
        <v>63.622199999999992</v>
      </c>
      <c r="W170" s="44">
        <f>V170</f>
        <v>63.622199999999992</v>
      </c>
      <c r="Y170" s="19">
        <f t="shared" si="48"/>
        <v>1060.3699999999999</v>
      </c>
      <c r="AA170" s="44">
        <f>IFERROR(VLOOKUP(C170,[1]Vendedor!$C$1:$R$65536,16,0),0)</f>
        <v>0</v>
      </c>
      <c r="AB170" s="45">
        <f t="shared" si="40"/>
        <v>0</v>
      </c>
      <c r="AC170" s="20"/>
      <c r="AD170" s="44">
        <f>IFERROR(VLOOKUP(C170,[1]Vendedor!$C$1:$T$65536,18,0),0)</f>
        <v>0</v>
      </c>
      <c r="AE170" s="45">
        <f t="shared" si="41"/>
        <v>0</v>
      </c>
      <c r="AF170" s="44">
        <f t="shared" si="49"/>
        <v>1060.3699999999999</v>
      </c>
      <c r="AG170" s="20"/>
      <c r="AH170" s="20"/>
    </row>
    <row r="171" spans="1:34" x14ac:dyDescent="0.25">
      <c r="A171" s="30">
        <v>175</v>
      </c>
      <c r="B171" s="30">
        <v>13</v>
      </c>
      <c r="C171" s="32" t="str">
        <f t="shared" si="36"/>
        <v>175-13</v>
      </c>
      <c r="D171" s="16" t="s">
        <v>357</v>
      </c>
      <c r="E171" s="16" t="s">
        <v>14</v>
      </c>
      <c r="F171" s="15" t="s">
        <v>358</v>
      </c>
      <c r="G171" s="17">
        <v>43782</v>
      </c>
      <c r="H171" s="15" t="s">
        <v>10</v>
      </c>
      <c r="I171" s="18"/>
      <c r="J171" s="43">
        <f t="shared" si="51"/>
        <v>30</v>
      </c>
      <c r="K171" s="43">
        <v>0</v>
      </c>
      <c r="L171" s="43">
        <f t="shared" si="37"/>
        <v>30</v>
      </c>
      <c r="M171" s="18"/>
      <c r="N171" s="19">
        <v>998</v>
      </c>
      <c r="O171" s="19">
        <v>1257</v>
      </c>
      <c r="P171" s="19"/>
      <c r="Q171" s="19"/>
      <c r="R171" s="19">
        <v>436</v>
      </c>
      <c r="S171" s="19" t="str">
        <f>IFERROR(VLOOKUP(C171,[2]Base!$C$1:$S$65536,17,0),0)</f>
        <v>Fretado</v>
      </c>
      <c r="T171" s="19"/>
      <c r="U171" s="19">
        <f t="shared" si="47"/>
        <v>0</v>
      </c>
      <c r="V171" s="45">
        <f t="shared" si="50"/>
        <v>135.29999999999998</v>
      </c>
      <c r="W171" s="44">
        <f>V171</f>
        <v>135.29999999999998</v>
      </c>
      <c r="Y171" s="19">
        <f t="shared" si="48"/>
        <v>2255</v>
      </c>
      <c r="AA171" s="44">
        <f>IFERROR(VLOOKUP(C171,[1]Vendedor!$C$1:$R$65536,16,0),0)</f>
        <v>1430.8551599999998</v>
      </c>
      <c r="AB171" s="45">
        <f t="shared" si="40"/>
        <v>357.71378999999996</v>
      </c>
      <c r="AC171" s="20"/>
      <c r="AD171" s="44">
        <f>IFERROR(VLOOKUP(C171,[1]Vendedor!$C$1:$T$65536,18,0),0)</f>
        <v>0</v>
      </c>
      <c r="AE171" s="45">
        <f t="shared" si="41"/>
        <v>1788.5689499999999</v>
      </c>
      <c r="AF171" s="44">
        <f t="shared" si="49"/>
        <v>466.43105000000014</v>
      </c>
      <c r="AG171" s="20">
        <v>400</v>
      </c>
      <c r="AH171" s="20"/>
    </row>
    <row r="172" spans="1:34" x14ac:dyDescent="0.25">
      <c r="A172" s="30">
        <v>175</v>
      </c>
      <c r="B172" s="30">
        <v>11</v>
      </c>
      <c r="C172" s="32" t="str">
        <f t="shared" si="36"/>
        <v>175-11</v>
      </c>
      <c r="D172" s="16" t="s">
        <v>355</v>
      </c>
      <c r="E172" s="16" t="s">
        <v>14</v>
      </c>
      <c r="F172" s="15" t="s">
        <v>356</v>
      </c>
      <c r="G172" s="17">
        <v>43782</v>
      </c>
      <c r="H172" s="15" t="s">
        <v>10</v>
      </c>
      <c r="I172" s="18"/>
      <c r="J172" s="43">
        <f t="shared" si="51"/>
        <v>30</v>
      </c>
      <c r="K172" s="43">
        <v>0</v>
      </c>
      <c r="L172" s="43">
        <f t="shared" si="37"/>
        <v>30</v>
      </c>
      <c r="M172" s="18"/>
      <c r="N172" s="19">
        <v>998</v>
      </c>
      <c r="O172" s="19">
        <v>1257</v>
      </c>
      <c r="P172" s="19"/>
      <c r="Q172" s="19"/>
      <c r="R172" s="19">
        <v>419</v>
      </c>
      <c r="S172" s="19" t="str">
        <f>IFERROR(VLOOKUP(C172,[2]Base!$C$1:$S$65536,17,0),0)</f>
        <v>Fretado</v>
      </c>
      <c r="T172" s="19"/>
      <c r="U172" s="19">
        <f t="shared" si="47"/>
        <v>0</v>
      </c>
      <c r="V172" s="45">
        <f t="shared" si="50"/>
        <v>235.19583450000005</v>
      </c>
      <c r="W172" s="44">
        <f>V172</f>
        <v>235.19583450000005</v>
      </c>
      <c r="Y172" s="19">
        <f t="shared" si="48"/>
        <v>2255</v>
      </c>
      <c r="AA172" s="44">
        <f>IFERROR(VLOOKUP(C172,[1]Vendedor!$C$1:$R$65536,16,0),0)</f>
        <v>3135.9444600000006</v>
      </c>
      <c r="AB172" s="45">
        <f t="shared" si="40"/>
        <v>783.98611500000015</v>
      </c>
      <c r="AC172" s="20"/>
      <c r="AD172" s="44">
        <f>IFERROR(VLOOKUP(C172,[1]Vendedor!$C$1:$T$65536,18,0),0)</f>
        <v>475.14310000000006</v>
      </c>
      <c r="AE172" s="45">
        <f t="shared" si="41"/>
        <v>4395.0736750000005</v>
      </c>
      <c r="AF172" s="44">
        <f t="shared" si="49"/>
        <v>0</v>
      </c>
      <c r="AG172" s="20">
        <v>400</v>
      </c>
      <c r="AH172" s="20"/>
    </row>
    <row r="173" spans="1:34" x14ac:dyDescent="0.25">
      <c r="A173" s="30">
        <v>175</v>
      </c>
      <c r="B173" s="30">
        <v>8</v>
      </c>
      <c r="C173" s="32" t="str">
        <f t="shared" si="36"/>
        <v>175-8</v>
      </c>
      <c r="D173" s="16" t="s">
        <v>351</v>
      </c>
      <c r="E173" s="16" t="s">
        <v>21</v>
      </c>
      <c r="F173" s="15" t="s">
        <v>352</v>
      </c>
      <c r="G173" s="17">
        <v>43782</v>
      </c>
      <c r="H173" s="15" t="s">
        <v>10</v>
      </c>
      <c r="I173" s="18"/>
      <c r="J173" s="43">
        <f t="shared" si="51"/>
        <v>30</v>
      </c>
      <c r="K173" s="43">
        <v>0</v>
      </c>
      <c r="L173" s="43">
        <f t="shared" si="37"/>
        <v>30</v>
      </c>
      <c r="M173" s="18"/>
      <c r="N173" s="19">
        <v>1060.3699999999999</v>
      </c>
      <c r="O173" s="19">
        <v>0</v>
      </c>
      <c r="P173" s="19">
        <v>158</v>
      </c>
      <c r="Q173" s="19"/>
      <c r="R173" s="19">
        <v>419</v>
      </c>
      <c r="S173" s="19" t="str">
        <f>IFERROR(VLOOKUP(C173,[2]Base!$C$1:$S$65536,17,0),0)</f>
        <v>Fretado</v>
      </c>
      <c r="T173" s="19"/>
      <c r="U173" s="19">
        <f t="shared" si="47"/>
        <v>0</v>
      </c>
      <c r="V173" s="45">
        <f t="shared" si="50"/>
        <v>63.622199999999992</v>
      </c>
      <c r="W173" s="44">
        <f>V173</f>
        <v>63.622199999999992</v>
      </c>
      <c r="Y173" s="19">
        <f t="shared" si="48"/>
        <v>1060.3699999999999</v>
      </c>
      <c r="AA173" s="44">
        <f>IFERROR(VLOOKUP(C173,[1]Vendedor!$C$1:$R$65536,16,0),0)</f>
        <v>0</v>
      </c>
      <c r="AB173" s="45">
        <f t="shared" si="40"/>
        <v>0</v>
      </c>
      <c r="AC173" s="20"/>
      <c r="AD173" s="44">
        <f>IFERROR(VLOOKUP(C173,[1]Vendedor!$C$1:$T$65536,18,0),0)</f>
        <v>0</v>
      </c>
      <c r="AE173" s="45">
        <f t="shared" si="41"/>
        <v>0</v>
      </c>
      <c r="AF173" s="44">
        <f t="shared" si="49"/>
        <v>1060.3699999999999</v>
      </c>
      <c r="AG173" s="20"/>
      <c r="AH173" s="20"/>
    </row>
    <row r="174" spans="1:34" x14ac:dyDescent="0.25">
      <c r="A174" s="30">
        <v>175</v>
      </c>
      <c r="B174" s="30">
        <v>3</v>
      </c>
      <c r="C174" s="32" t="str">
        <f t="shared" si="36"/>
        <v>175-3</v>
      </c>
      <c r="D174" s="16" t="s">
        <v>349</v>
      </c>
      <c r="E174" s="16" t="s">
        <v>14</v>
      </c>
      <c r="F174" s="15" t="s">
        <v>350</v>
      </c>
      <c r="G174" s="17">
        <v>43782</v>
      </c>
      <c r="H174" s="15" t="s">
        <v>10</v>
      </c>
      <c r="I174" s="18"/>
      <c r="J174" s="43">
        <f t="shared" si="51"/>
        <v>30</v>
      </c>
      <c r="K174" s="43">
        <v>0</v>
      </c>
      <c r="L174" s="43">
        <f t="shared" si="37"/>
        <v>30</v>
      </c>
      <c r="M174" s="18"/>
      <c r="N174" s="19">
        <v>998</v>
      </c>
      <c r="O174" s="19">
        <v>1257</v>
      </c>
      <c r="P174" s="19"/>
      <c r="Q174" s="19"/>
      <c r="R174" s="19">
        <v>419</v>
      </c>
      <c r="S174" s="19" t="str">
        <f>IFERROR(VLOOKUP(C174,[2]Base!$C$1:$S$65536,17,0),0)</f>
        <v>Fretado</v>
      </c>
      <c r="T174" s="19"/>
      <c r="U174" s="19">
        <f t="shared" si="47"/>
        <v>0</v>
      </c>
      <c r="V174" s="45">
        <f t="shared" si="50"/>
        <v>148.65650099999996</v>
      </c>
      <c r="W174" s="44">
        <f>V174</f>
        <v>148.65650099999996</v>
      </c>
      <c r="Y174" s="19">
        <f t="shared" si="48"/>
        <v>2255</v>
      </c>
      <c r="AA174" s="44">
        <f>IFERROR(VLOOKUP(C174,[1]Vendedor!$C$1:$R$65536,16,0),0)</f>
        <v>1982.0866799999997</v>
      </c>
      <c r="AB174" s="45">
        <f t="shared" si="40"/>
        <v>495.52166999999992</v>
      </c>
      <c r="AC174" s="20"/>
      <c r="AD174" s="44">
        <f>IFERROR(VLOOKUP(C174,[1]Vendedor!$C$1:$T$65536,18,0),0)</f>
        <v>0</v>
      </c>
      <c r="AE174" s="45">
        <f t="shared" si="41"/>
        <v>2477.6083499999995</v>
      </c>
      <c r="AF174" s="44">
        <f t="shared" si="49"/>
        <v>0</v>
      </c>
      <c r="AG174" s="20"/>
      <c r="AH174" s="20"/>
    </row>
    <row r="175" spans="1:34" x14ac:dyDescent="0.25">
      <c r="A175" s="30">
        <v>175</v>
      </c>
      <c r="B175" s="30">
        <v>9</v>
      </c>
      <c r="C175" s="32" t="str">
        <f t="shared" si="36"/>
        <v>175-9</v>
      </c>
      <c r="D175" s="16" t="s">
        <v>353</v>
      </c>
      <c r="E175" s="16" t="s">
        <v>11</v>
      </c>
      <c r="F175" s="15" t="s">
        <v>354</v>
      </c>
      <c r="G175" s="17">
        <v>43782</v>
      </c>
      <c r="H175" s="15" t="s">
        <v>10</v>
      </c>
      <c r="I175" s="18"/>
      <c r="J175" s="43">
        <f t="shared" si="51"/>
        <v>30</v>
      </c>
      <c r="K175" s="43">
        <v>0</v>
      </c>
      <c r="L175" s="43">
        <f t="shared" si="37"/>
        <v>30</v>
      </c>
      <c r="M175" s="18"/>
      <c r="N175" s="19">
        <v>0</v>
      </c>
      <c r="O175" s="19">
        <v>4000</v>
      </c>
      <c r="P175" s="19"/>
      <c r="Q175" s="19"/>
      <c r="R175" s="19">
        <v>436</v>
      </c>
      <c r="S175" s="19">
        <f>IFERROR(VLOOKUP(C175,[2]Base!$C$1:$S$65536,17,0),0)</f>
        <v>0</v>
      </c>
      <c r="T175" s="19"/>
      <c r="U175" s="19">
        <f t="shared" si="47"/>
        <v>0</v>
      </c>
      <c r="V175" s="20"/>
      <c r="W175" s="44">
        <f>IF(U175&gt;V175,V175,U175)</f>
        <v>0</v>
      </c>
      <c r="Y175" s="19">
        <f t="shared" si="48"/>
        <v>4000.0000000000005</v>
      </c>
      <c r="AA175" s="44">
        <f>VLOOKUP(A175,[3]Gerentes!$B$1:$O$65536,14,0)</f>
        <v>3957.8003400000002</v>
      </c>
      <c r="AB175" s="45">
        <f t="shared" si="40"/>
        <v>989.45008500000006</v>
      </c>
      <c r="AC175" s="20"/>
      <c r="AD175" s="44">
        <f>VLOOKUP(A175,[3]Gerentes!$B$1:$Q$65536,16,0)</f>
        <v>0</v>
      </c>
      <c r="AE175" s="45">
        <f t="shared" si="41"/>
        <v>4947.2504250000002</v>
      </c>
      <c r="AF175" s="44">
        <f t="shared" si="49"/>
        <v>0</v>
      </c>
      <c r="AG175" s="20"/>
      <c r="AH175" s="20"/>
    </row>
    <row r="176" spans="1:34" x14ac:dyDescent="0.25">
      <c r="A176" s="30">
        <v>175</v>
      </c>
      <c r="B176" s="30">
        <v>1</v>
      </c>
      <c r="C176" s="32" t="str">
        <f t="shared" si="36"/>
        <v>175-1</v>
      </c>
      <c r="D176" s="16" t="s">
        <v>347</v>
      </c>
      <c r="E176" s="16" t="s">
        <v>14</v>
      </c>
      <c r="F176" s="15" t="s">
        <v>348</v>
      </c>
      <c r="G176" s="17">
        <v>43782</v>
      </c>
      <c r="H176" s="15" t="s">
        <v>10</v>
      </c>
      <c r="I176" s="18"/>
      <c r="J176" s="43">
        <f t="shared" si="51"/>
        <v>22</v>
      </c>
      <c r="K176" s="43" t="s">
        <v>473</v>
      </c>
      <c r="L176" s="43">
        <f t="shared" si="37"/>
        <v>22</v>
      </c>
      <c r="M176" s="18"/>
      <c r="N176" s="19">
        <v>998</v>
      </c>
      <c r="O176" s="19">
        <v>1257</v>
      </c>
      <c r="P176" s="19"/>
      <c r="Q176" s="19"/>
      <c r="R176" s="19">
        <v>419</v>
      </c>
      <c r="S176" s="19" t="str">
        <f>IFERROR(VLOOKUP(C176,[2]Base!$C$1:$S$65536,17,0),0)</f>
        <v>Fretado</v>
      </c>
      <c r="T176" s="19"/>
      <c r="U176" s="19">
        <f t="shared" si="47"/>
        <v>0</v>
      </c>
      <c r="V176" s="45">
        <f>SUM(AA176:AB176,AF176)*6%</f>
        <v>99.22</v>
      </c>
      <c r="W176" s="44">
        <f>V176</f>
        <v>99.22</v>
      </c>
      <c r="Y176" s="19">
        <f t="shared" si="48"/>
        <v>1653.6666666666667</v>
      </c>
      <c r="AA176" s="44">
        <f>IFERROR(VLOOKUP(C176,[1]Vendedor!$C$1:$R$65536,16,0),0)</f>
        <v>438.32011999999997</v>
      </c>
      <c r="AB176" s="45">
        <f t="shared" si="40"/>
        <v>109.58002999999999</v>
      </c>
      <c r="AC176" s="20"/>
      <c r="AD176" s="44">
        <f>IFERROR(VLOOKUP(C176,[1]Vendedor!$C$1:$T$65536,18,0),0)</f>
        <v>0</v>
      </c>
      <c r="AE176" s="45">
        <f t="shared" si="41"/>
        <v>547.90014999999994</v>
      </c>
      <c r="AF176" s="44">
        <f t="shared" si="49"/>
        <v>1105.7665166666668</v>
      </c>
      <c r="AG176" s="20"/>
      <c r="AH176" s="20"/>
    </row>
    <row r="177" spans="1:34" x14ac:dyDescent="0.25">
      <c r="A177" s="30">
        <v>179</v>
      </c>
      <c r="B177" s="30">
        <v>1</v>
      </c>
      <c r="C177" s="32" t="str">
        <f t="shared" si="36"/>
        <v>179-1</v>
      </c>
      <c r="D177" s="16" t="s">
        <v>361</v>
      </c>
      <c r="E177" s="16" t="s">
        <v>21</v>
      </c>
      <c r="F177" s="15" t="s">
        <v>362</v>
      </c>
      <c r="G177" s="17">
        <v>44033</v>
      </c>
      <c r="H177" s="15" t="s">
        <v>10</v>
      </c>
      <c r="I177" s="18"/>
      <c r="J177" s="43">
        <f t="shared" si="51"/>
        <v>30</v>
      </c>
      <c r="K177" s="43">
        <v>0</v>
      </c>
      <c r="L177" s="43">
        <f t="shared" si="37"/>
        <v>30</v>
      </c>
      <c r="M177" s="18"/>
      <c r="N177" s="19">
        <v>1591</v>
      </c>
      <c r="O177" s="19">
        <v>0</v>
      </c>
      <c r="P177" s="19">
        <v>87</v>
      </c>
      <c r="Q177" s="19">
        <v>39</v>
      </c>
      <c r="R177" s="19">
        <v>25</v>
      </c>
      <c r="S177" s="19">
        <v>326.39999999999998</v>
      </c>
      <c r="T177" s="19"/>
      <c r="U177" s="19">
        <f t="shared" si="47"/>
        <v>326.39999999999998</v>
      </c>
      <c r="V177" s="45">
        <f>SUM(AA177:AB177,AF177)*6%</f>
        <v>95.46</v>
      </c>
      <c r="W177" s="44">
        <f t="shared" ref="W177:W195" si="52">IF(U177&gt;V177,V177,U177)</f>
        <v>95.46</v>
      </c>
      <c r="Y177" s="19">
        <f t="shared" si="48"/>
        <v>1591</v>
      </c>
      <c r="AA177" s="44">
        <f>IFERROR(VLOOKUP(C177,[1]Vendedor!$C$1:$R$65536,16,0),0)</f>
        <v>0</v>
      </c>
      <c r="AB177" s="45">
        <f t="shared" si="40"/>
        <v>0</v>
      </c>
      <c r="AC177" s="20"/>
      <c r="AD177" s="44">
        <f>IFERROR(VLOOKUP(C177,[1]Vendedor!$C$1:$T$65536,18,0),0)</f>
        <v>0</v>
      </c>
      <c r="AE177" s="45">
        <f t="shared" si="41"/>
        <v>0</v>
      </c>
      <c r="AF177" s="44">
        <f t="shared" si="49"/>
        <v>1591</v>
      </c>
      <c r="AG177" s="20"/>
      <c r="AH177" s="20"/>
    </row>
    <row r="178" spans="1:34" x14ac:dyDescent="0.25">
      <c r="A178" s="30">
        <v>179</v>
      </c>
      <c r="B178" s="30">
        <v>2</v>
      </c>
      <c r="C178" s="32" t="str">
        <f t="shared" si="36"/>
        <v>179-2</v>
      </c>
      <c r="D178" s="16" t="s">
        <v>363</v>
      </c>
      <c r="E178" s="16" t="s">
        <v>14</v>
      </c>
      <c r="F178" s="15" t="s">
        <v>364</v>
      </c>
      <c r="G178" s="17">
        <v>44033</v>
      </c>
      <c r="H178" s="15" t="s">
        <v>10</v>
      </c>
      <c r="I178" s="18"/>
      <c r="J178" s="43">
        <f t="shared" si="51"/>
        <v>30</v>
      </c>
      <c r="K178" s="43">
        <v>0</v>
      </c>
      <c r="L178" s="43">
        <f t="shared" si="37"/>
        <v>30</v>
      </c>
      <c r="M178" s="18"/>
      <c r="N178" s="19">
        <v>0</v>
      </c>
      <c r="O178" s="19">
        <v>1909</v>
      </c>
      <c r="P178" s="19"/>
      <c r="Q178" s="19">
        <v>39</v>
      </c>
      <c r="R178" s="19">
        <v>25</v>
      </c>
      <c r="S178" s="19">
        <f>IFERROR(VLOOKUP(C178,[2]Base!$C$1:$S$65536,17,0),0)</f>
        <v>0</v>
      </c>
      <c r="T178" s="19"/>
      <c r="U178" s="19">
        <f t="shared" si="47"/>
        <v>0</v>
      </c>
      <c r="V178" s="20"/>
      <c r="W178" s="44">
        <f t="shared" si="52"/>
        <v>0</v>
      </c>
      <c r="Y178" s="19">
        <f t="shared" si="48"/>
        <v>1909</v>
      </c>
      <c r="AA178" s="44">
        <f>IFERROR(VLOOKUP(C178,[1]Vendedor!$C$1:$R$65536,16,0),0)</f>
        <v>2803.8628199999998</v>
      </c>
      <c r="AB178" s="45">
        <f t="shared" si="40"/>
        <v>700.96570499999996</v>
      </c>
      <c r="AC178" s="20"/>
      <c r="AD178" s="44">
        <f>IFERROR(VLOOKUP(C178,[1]Vendedor!$C$1:$T$65536,18,0),0)</f>
        <v>424.82769999999999</v>
      </c>
      <c r="AE178" s="45">
        <f t="shared" si="41"/>
        <v>3929.6562249999997</v>
      </c>
      <c r="AF178" s="44">
        <f t="shared" si="49"/>
        <v>0</v>
      </c>
      <c r="AG178" s="20"/>
      <c r="AH178" s="20"/>
    </row>
    <row r="179" spans="1:34" x14ac:dyDescent="0.25">
      <c r="A179" s="30">
        <v>179</v>
      </c>
      <c r="B179" s="30">
        <v>3</v>
      </c>
      <c r="C179" s="32" t="str">
        <f t="shared" si="36"/>
        <v>179-3</v>
      </c>
      <c r="D179" s="16" t="s">
        <v>365</v>
      </c>
      <c r="E179" s="16" t="s">
        <v>14</v>
      </c>
      <c r="F179" s="15" t="s">
        <v>366</v>
      </c>
      <c r="G179" s="17">
        <v>44033</v>
      </c>
      <c r="H179" s="15" t="s">
        <v>10</v>
      </c>
      <c r="I179" s="18"/>
      <c r="J179" s="43">
        <f t="shared" si="51"/>
        <v>30</v>
      </c>
      <c r="K179" s="43">
        <v>0</v>
      </c>
      <c r="L179" s="43">
        <f t="shared" si="37"/>
        <v>30</v>
      </c>
      <c r="M179" s="18"/>
      <c r="N179" s="19">
        <v>0</v>
      </c>
      <c r="O179" s="19">
        <v>1909</v>
      </c>
      <c r="P179" s="19"/>
      <c r="Q179" s="19">
        <v>39</v>
      </c>
      <c r="R179" s="19">
        <v>25</v>
      </c>
      <c r="S179" s="19">
        <f>IFERROR(VLOOKUP(C179,[2]Base!$C$1:$S$65536,17,0),0)</f>
        <v>0</v>
      </c>
      <c r="T179" s="19"/>
      <c r="U179" s="19">
        <f t="shared" si="47"/>
        <v>0</v>
      </c>
      <c r="V179" s="20"/>
      <c r="W179" s="44">
        <f t="shared" si="52"/>
        <v>0</v>
      </c>
      <c r="Y179" s="19">
        <f t="shared" si="48"/>
        <v>1909</v>
      </c>
      <c r="AA179" s="44">
        <f>IFERROR(VLOOKUP(C179,[1]Vendedor!$C$1:$R$65536,16,0),0)</f>
        <v>3536.7456200000001</v>
      </c>
      <c r="AB179" s="45">
        <f t="shared" si="40"/>
        <v>884.18640500000004</v>
      </c>
      <c r="AC179" s="20">
        <v>200</v>
      </c>
      <c r="AD179" s="44">
        <f>IFERROR(VLOOKUP(C179,[1]Vendedor!$C$1:$T$65536,18,0),0)</f>
        <v>520.10964999999999</v>
      </c>
      <c r="AE179" s="45">
        <f t="shared" si="41"/>
        <v>5141.0416750000004</v>
      </c>
      <c r="AF179" s="44">
        <f t="shared" si="49"/>
        <v>0</v>
      </c>
      <c r="AG179" s="20">
        <v>400</v>
      </c>
      <c r="AH179" s="20"/>
    </row>
    <row r="180" spans="1:34" x14ac:dyDescent="0.25">
      <c r="A180" s="30">
        <v>179</v>
      </c>
      <c r="B180" s="30">
        <v>4</v>
      </c>
      <c r="C180" s="32" t="str">
        <f t="shared" si="36"/>
        <v>179-4</v>
      </c>
      <c r="D180" s="16" t="s">
        <v>367</v>
      </c>
      <c r="E180" s="16" t="s">
        <v>14</v>
      </c>
      <c r="F180" s="15" t="s">
        <v>368</v>
      </c>
      <c r="G180" s="17">
        <v>44034</v>
      </c>
      <c r="H180" s="15" t="s">
        <v>10</v>
      </c>
      <c r="I180" s="18"/>
      <c r="J180" s="43">
        <f t="shared" si="51"/>
        <v>30</v>
      </c>
      <c r="K180" s="43">
        <v>0</v>
      </c>
      <c r="L180" s="43">
        <f t="shared" si="37"/>
        <v>30</v>
      </c>
      <c r="M180" s="18"/>
      <c r="N180" s="19">
        <v>0</v>
      </c>
      <c r="O180" s="19">
        <v>1909</v>
      </c>
      <c r="P180" s="19"/>
      <c r="Q180" s="19">
        <v>39</v>
      </c>
      <c r="R180" s="19">
        <v>25</v>
      </c>
      <c r="S180" s="19">
        <v>312.8</v>
      </c>
      <c r="T180" s="19"/>
      <c r="U180" s="19">
        <f t="shared" si="47"/>
        <v>312.8</v>
      </c>
      <c r="V180" s="45">
        <f t="shared" ref="V180:V186" si="53">SUM(AA180:AB180,AF180)*6%</f>
        <v>102.53999999999999</v>
      </c>
      <c r="W180" s="44">
        <f t="shared" si="52"/>
        <v>102.53999999999999</v>
      </c>
      <c r="Y180" s="19">
        <f t="shared" si="48"/>
        <v>1909</v>
      </c>
      <c r="AA180" s="44">
        <f>IFERROR(VLOOKUP(C180,[1]Vendedor!$C$1:$R$65536,16,0),0)</f>
        <v>724.83142999999995</v>
      </c>
      <c r="AB180" s="45">
        <f t="shared" si="40"/>
        <v>181.20785749999999</v>
      </c>
      <c r="AC180" s="20">
        <v>200</v>
      </c>
      <c r="AD180" s="44">
        <f>IFERROR(VLOOKUP(C180,[1]Vendedor!$C$1:$T$65536,18,0),0)</f>
        <v>0</v>
      </c>
      <c r="AE180" s="45">
        <f t="shared" si="41"/>
        <v>1106.0392875</v>
      </c>
      <c r="AF180" s="44">
        <f t="shared" si="49"/>
        <v>802.9607125</v>
      </c>
      <c r="AG180" s="20">
        <v>400</v>
      </c>
      <c r="AH180" s="20"/>
    </row>
    <row r="181" spans="1:34" x14ac:dyDescent="0.25">
      <c r="A181" s="30">
        <v>179</v>
      </c>
      <c r="B181" s="30">
        <v>16</v>
      </c>
      <c r="C181" s="32" t="str">
        <f t="shared" si="36"/>
        <v>179-16</v>
      </c>
      <c r="D181" s="16" t="s">
        <v>371</v>
      </c>
      <c r="E181" s="16" t="s">
        <v>14</v>
      </c>
      <c r="F181" s="15" t="s">
        <v>372</v>
      </c>
      <c r="G181" s="17">
        <v>44183</v>
      </c>
      <c r="H181" s="15" t="s">
        <v>10</v>
      </c>
      <c r="I181" s="18"/>
      <c r="J181" s="43">
        <f t="shared" si="51"/>
        <v>30</v>
      </c>
      <c r="K181" s="43">
        <v>0</v>
      </c>
      <c r="L181" s="43">
        <f t="shared" si="37"/>
        <v>30</v>
      </c>
      <c r="M181" s="18"/>
      <c r="N181" s="19">
        <v>0</v>
      </c>
      <c r="O181" s="19">
        <v>1909</v>
      </c>
      <c r="P181" s="19"/>
      <c r="Q181" s="19">
        <v>39</v>
      </c>
      <c r="R181" s="19">
        <v>25</v>
      </c>
      <c r="S181" s="19">
        <v>237.12</v>
      </c>
      <c r="T181" s="19"/>
      <c r="U181" s="19">
        <f t="shared" si="47"/>
        <v>237.12</v>
      </c>
      <c r="V181" s="45">
        <f t="shared" si="53"/>
        <v>217.64004075</v>
      </c>
      <c r="W181" s="44">
        <f t="shared" si="52"/>
        <v>217.64004075</v>
      </c>
      <c r="Y181" s="19">
        <f t="shared" si="48"/>
        <v>1909</v>
      </c>
      <c r="AA181" s="44">
        <f>IFERROR(VLOOKUP(C181,[1]Vendedor!$C$1:$R$65536,16,0),0)</f>
        <v>2901.8672099999999</v>
      </c>
      <c r="AB181" s="45">
        <f t="shared" si="40"/>
        <v>725.46680249999997</v>
      </c>
      <c r="AC181" s="20"/>
      <c r="AD181" s="44">
        <f>IFERROR(VLOOKUP(C181,[1]Vendedor!$C$1:$T$65536,18,0),0)</f>
        <v>439.67685</v>
      </c>
      <c r="AE181" s="45">
        <f t="shared" si="41"/>
        <v>4067.0108624999998</v>
      </c>
      <c r="AF181" s="44">
        <f t="shared" si="49"/>
        <v>0</v>
      </c>
      <c r="AG181" s="20"/>
      <c r="AH181" s="20"/>
    </row>
    <row r="182" spans="1:34" x14ac:dyDescent="0.25">
      <c r="A182" s="30">
        <v>179</v>
      </c>
      <c r="B182" s="30">
        <v>12</v>
      </c>
      <c r="C182" s="32" t="str">
        <f t="shared" si="36"/>
        <v>179-12</v>
      </c>
      <c r="D182" s="16" t="s">
        <v>369</v>
      </c>
      <c r="E182" s="16" t="s">
        <v>21</v>
      </c>
      <c r="F182" s="15" t="s">
        <v>370</v>
      </c>
      <c r="G182" s="17">
        <v>44121</v>
      </c>
      <c r="H182" s="15" t="s">
        <v>10</v>
      </c>
      <c r="I182" s="18"/>
      <c r="J182" s="43">
        <f t="shared" si="51"/>
        <v>30</v>
      </c>
      <c r="K182" s="43">
        <v>0</v>
      </c>
      <c r="L182" s="43">
        <f t="shared" si="37"/>
        <v>30</v>
      </c>
      <c r="M182" s="18"/>
      <c r="N182" s="19">
        <v>1591</v>
      </c>
      <c r="O182" s="19">
        <v>0</v>
      </c>
      <c r="P182" s="19">
        <v>87</v>
      </c>
      <c r="Q182" s="19">
        <v>39</v>
      </c>
      <c r="R182" s="19">
        <v>25</v>
      </c>
      <c r="S182" s="19">
        <v>347.3</v>
      </c>
      <c r="T182" s="19"/>
      <c r="U182" s="19">
        <f t="shared" si="47"/>
        <v>347.3</v>
      </c>
      <c r="V182" s="45">
        <f t="shared" si="53"/>
        <v>95.46</v>
      </c>
      <c r="W182" s="44">
        <f t="shared" si="52"/>
        <v>95.46</v>
      </c>
      <c r="Y182" s="19">
        <f t="shared" si="48"/>
        <v>1591</v>
      </c>
      <c r="AA182" s="44">
        <f>IFERROR(VLOOKUP(C182,[1]Vendedor!$C$1:$R$65536,16,0),0)</f>
        <v>0</v>
      </c>
      <c r="AB182" s="45">
        <f t="shared" si="40"/>
        <v>0</v>
      </c>
      <c r="AC182" s="20"/>
      <c r="AD182" s="44">
        <f>IFERROR(VLOOKUP(C182,[1]Vendedor!$C$1:$T$65536,18,0),0)</f>
        <v>0</v>
      </c>
      <c r="AE182" s="45">
        <f t="shared" si="41"/>
        <v>0</v>
      </c>
      <c r="AF182" s="44">
        <f t="shared" si="49"/>
        <v>1591</v>
      </c>
      <c r="AG182" s="20"/>
      <c r="AH182" s="20"/>
    </row>
    <row r="183" spans="1:34" x14ac:dyDescent="0.25">
      <c r="A183" s="30">
        <v>179</v>
      </c>
      <c r="B183" s="30">
        <v>18</v>
      </c>
      <c r="C183" s="32" t="str">
        <f t="shared" si="36"/>
        <v>179-18</v>
      </c>
      <c r="D183" s="16" t="s">
        <v>373</v>
      </c>
      <c r="E183" s="16" t="s">
        <v>14</v>
      </c>
      <c r="F183" s="15" t="s">
        <v>374</v>
      </c>
      <c r="G183" s="17">
        <v>44342</v>
      </c>
      <c r="H183" s="15" t="s">
        <v>10</v>
      </c>
      <c r="I183" s="18"/>
      <c r="J183" s="43">
        <f t="shared" si="51"/>
        <v>30</v>
      </c>
      <c r="K183" s="43">
        <v>0</v>
      </c>
      <c r="L183" s="43">
        <f t="shared" si="37"/>
        <v>30</v>
      </c>
      <c r="M183" s="18"/>
      <c r="N183" s="19">
        <v>0</v>
      </c>
      <c r="O183" s="19">
        <v>1909</v>
      </c>
      <c r="P183" s="19"/>
      <c r="Q183" s="19">
        <v>39</v>
      </c>
      <c r="R183" s="19">
        <v>25</v>
      </c>
      <c r="S183" s="19">
        <v>639.6</v>
      </c>
      <c r="T183" s="19"/>
      <c r="U183" s="19">
        <f t="shared" si="47"/>
        <v>639.6</v>
      </c>
      <c r="V183" s="45">
        <f t="shared" si="53"/>
        <v>207.11401424999997</v>
      </c>
      <c r="W183" s="44">
        <f t="shared" si="52"/>
        <v>207.11401424999997</v>
      </c>
      <c r="Y183" s="19">
        <f t="shared" si="48"/>
        <v>1909</v>
      </c>
      <c r="AA183" s="44">
        <f>IFERROR(VLOOKUP(C183,[1]Vendedor!$C$1:$R$65536,16,0),0)</f>
        <v>2761.5201899999997</v>
      </c>
      <c r="AB183" s="45">
        <f t="shared" si="40"/>
        <v>690.38004749999993</v>
      </c>
      <c r="AC183" s="20"/>
      <c r="AD183" s="44">
        <f>IFERROR(VLOOKUP(C183,[1]Vendedor!$C$1:$T$65536,18,0),0)</f>
        <v>418.41215</v>
      </c>
      <c r="AE183" s="45">
        <f t="shared" si="41"/>
        <v>3870.3123874999997</v>
      </c>
      <c r="AF183" s="44">
        <f t="shared" si="49"/>
        <v>0</v>
      </c>
      <c r="AG183" s="20"/>
      <c r="AH183" s="20"/>
    </row>
    <row r="184" spans="1:34" x14ac:dyDescent="0.25">
      <c r="A184" s="30">
        <v>181</v>
      </c>
      <c r="B184" s="30">
        <v>2</v>
      </c>
      <c r="C184" s="32" t="str">
        <f t="shared" si="36"/>
        <v>181-2</v>
      </c>
      <c r="D184" s="16" t="s">
        <v>377</v>
      </c>
      <c r="E184" s="16" t="s">
        <v>14</v>
      </c>
      <c r="F184" s="15" t="s">
        <v>378</v>
      </c>
      <c r="G184" s="17">
        <v>44078</v>
      </c>
      <c r="H184" s="15" t="s">
        <v>10</v>
      </c>
      <c r="I184" s="18"/>
      <c r="J184" s="43">
        <f t="shared" si="51"/>
        <v>30</v>
      </c>
      <c r="K184" s="43">
        <v>0</v>
      </c>
      <c r="L184" s="43">
        <f t="shared" si="37"/>
        <v>30</v>
      </c>
      <c r="M184" s="18"/>
      <c r="N184" s="19">
        <v>0</v>
      </c>
      <c r="O184" s="19">
        <v>1103.92</v>
      </c>
      <c r="P184" s="19"/>
      <c r="Q184" s="19"/>
      <c r="R184" s="19"/>
      <c r="S184" s="19"/>
      <c r="T184" s="19">
        <v>247.2</v>
      </c>
      <c r="U184" s="19">
        <f t="shared" si="47"/>
        <v>247.2</v>
      </c>
      <c r="V184" s="45">
        <f t="shared" si="53"/>
        <v>273.5707589999999</v>
      </c>
      <c r="W184" s="44">
        <f t="shared" si="52"/>
        <v>247.2</v>
      </c>
      <c r="Y184" s="19">
        <f t="shared" si="48"/>
        <v>1103.92</v>
      </c>
      <c r="AA184" s="44">
        <f>IFERROR(VLOOKUP(C184,[1]Vendedor!$C$1:$R$65536,16,0),0)</f>
        <v>3647.6101199999994</v>
      </c>
      <c r="AB184" s="45">
        <f t="shared" si="40"/>
        <v>911.90252999999984</v>
      </c>
      <c r="AC184" s="20"/>
      <c r="AD184" s="44">
        <f>IFERROR(VLOOKUP(C184,[1]Vendedor!$C$1:$T$65536,18,0),0)</f>
        <v>651.35894999999994</v>
      </c>
      <c r="AE184" s="45">
        <f t="shared" si="41"/>
        <v>5210.8715999999986</v>
      </c>
      <c r="AF184" s="44">
        <f t="shared" si="49"/>
        <v>0</v>
      </c>
      <c r="AG184" s="20">
        <v>400</v>
      </c>
      <c r="AH184" s="20"/>
    </row>
    <row r="185" spans="1:34" x14ac:dyDescent="0.25">
      <c r="A185" s="30">
        <v>181</v>
      </c>
      <c r="B185" s="30">
        <v>33</v>
      </c>
      <c r="C185" s="32" t="str">
        <f t="shared" si="36"/>
        <v>181-33</v>
      </c>
      <c r="D185" s="16" t="s">
        <v>393</v>
      </c>
      <c r="E185" s="16" t="s">
        <v>14</v>
      </c>
      <c r="F185" s="15" t="s">
        <v>394</v>
      </c>
      <c r="G185" s="17">
        <v>44348</v>
      </c>
      <c r="H185" s="15" t="s">
        <v>10</v>
      </c>
      <c r="I185" s="18"/>
      <c r="J185" s="43">
        <v>30</v>
      </c>
      <c r="K185" s="43">
        <v>0</v>
      </c>
      <c r="L185" s="43">
        <f t="shared" si="37"/>
        <v>30</v>
      </c>
      <c r="M185" s="18"/>
      <c r="N185" s="19">
        <v>0</v>
      </c>
      <c r="O185" s="19">
        <v>1103.92</v>
      </c>
      <c r="P185" s="19"/>
      <c r="Q185" s="19"/>
      <c r="R185" s="19">
        <v>160.5</v>
      </c>
      <c r="S185" s="19"/>
      <c r="T185" s="19">
        <v>149.80000000000001</v>
      </c>
      <c r="U185" s="19">
        <f t="shared" si="47"/>
        <v>149.80000000000001</v>
      </c>
      <c r="V185" s="45">
        <f t="shared" si="53"/>
        <v>165.94267200000002</v>
      </c>
      <c r="W185" s="44">
        <f t="shared" si="52"/>
        <v>149.80000000000001</v>
      </c>
      <c r="Y185" s="19">
        <f t="shared" si="48"/>
        <v>1103.92</v>
      </c>
      <c r="AA185" s="44">
        <f>IFERROR(VLOOKUP(C185,[1]Vendedor!$C$1:$R$65536,16,0),0)</f>
        <v>2212.5689600000001</v>
      </c>
      <c r="AB185" s="45">
        <f t="shared" si="40"/>
        <v>553.14224000000002</v>
      </c>
      <c r="AC185" s="20"/>
      <c r="AD185" s="44">
        <f>IFERROR(VLOOKUP(C185,[1]Vendedor!$C$1:$T$65536,18,0),0)</f>
        <v>0</v>
      </c>
      <c r="AE185" s="45">
        <f t="shared" si="41"/>
        <v>2765.7112000000002</v>
      </c>
      <c r="AF185" s="44">
        <f t="shared" si="49"/>
        <v>0</v>
      </c>
      <c r="AG185" s="20"/>
      <c r="AH185" s="20"/>
    </row>
    <row r="186" spans="1:34" x14ac:dyDescent="0.25">
      <c r="A186" s="30">
        <v>181</v>
      </c>
      <c r="B186" s="30">
        <v>31</v>
      </c>
      <c r="C186" s="32" t="str">
        <f t="shared" si="36"/>
        <v>181-31</v>
      </c>
      <c r="D186" s="16" t="s">
        <v>389</v>
      </c>
      <c r="E186" s="16" t="s">
        <v>21</v>
      </c>
      <c r="F186" s="15" t="s">
        <v>390</v>
      </c>
      <c r="G186" s="17">
        <v>44153</v>
      </c>
      <c r="H186" s="15" t="s">
        <v>10</v>
      </c>
      <c r="I186" s="18"/>
      <c r="J186" s="43">
        <f t="shared" ref="J186:J194" si="54">30-K186</f>
        <v>30</v>
      </c>
      <c r="K186" s="43">
        <v>0</v>
      </c>
      <c r="L186" s="43">
        <f t="shared" si="37"/>
        <v>30</v>
      </c>
      <c r="M186" s="18"/>
      <c r="N186" s="19">
        <v>1120</v>
      </c>
      <c r="O186" s="19">
        <v>0</v>
      </c>
      <c r="P186" s="19">
        <v>89.33</v>
      </c>
      <c r="Q186" s="19"/>
      <c r="R186" s="19"/>
      <c r="S186" s="19"/>
      <c r="T186" s="19">
        <v>216</v>
      </c>
      <c r="U186" s="19">
        <f t="shared" si="47"/>
        <v>216</v>
      </c>
      <c r="V186" s="45">
        <f t="shared" si="53"/>
        <v>67.2</v>
      </c>
      <c r="W186" s="44">
        <f t="shared" si="52"/>
        <v>67.2</v>
      </c>
      <c r="Y186" s="19">
        <f t="shared" si="48"/>
        <v>1120</v>
      </c>
      <c r="AA186" s="44">
        <f>IFERROR(VLOOKUP(C186,[1]Vendedor!$C$1:$R$65536,16,0),0)</f>
        <v>0</v>
      </c>
      <c r="AB186" s="45">
        <f t="shared" si="40"/>
        <v>0</v>
      </c>
      <c r="AC186" s="20"/>
      <c r="AD186" s="44">
        <f>IFERROR(VLOOKUP(C186,[1]Vendedor!$C$1:$T$65536,18,0),0)</f>
        <v>0</v>
      </c>
      <c r="AE186" s="45">
        <f t="shared" si="41"/>
        <v>0</v>
      </c>
      <c r="AF186" s="44">
        <f t="shared" si="49"/>
        <v>1120</v>
      </c>
      <c r="AG186" s="20"/>
      <c r="AH186" s="20"/>
    </row>
    <row r="187" spans="1:34" x14ac:dyDescent="0.25">
      <c r="A187" s="30">
        <v>181</v>
      </c>
      <c r="B187" s="30">
        <v>12</v>
      </c>
      <c r="C187" s="32" t="str">
        <f t="shared" si="36"/>
        <v>181-12</v>
      </c>
      <c r="D187" s="16" t="s">
        <v>379</v>
      </c>
      <c r="E187" s="16" t="s">
        <v>11</v>
      </c>
      <c r="F187" s="15" t="s">
        <v>380</v>
      </c>
      <c r="G187" s="17">
        <v>41611</v>
      </c>
      <c r="H187" s="15" t="s">
        <v>10</v>
      </c>
      <c r="I187" s="18"/>
      <c r="J187" s="43">
        <f t="shared" si="54"/>
        <v>30</v>
      </c>
      <c r="K187" s="43">
        <v>0</v>
      </c>
      <c r="L187" s="43">
        <f t="shared" si="37"/>
        <v>30</v>
      </c>
      <c r="M187" s="18"/>
      <c r="N187" s="19">
        <v>0</v>
      </c>
      <c r="O187" s="19">
        <v>4500</v>
      </c>
      <c r="P187" s="19"/>
      <c r="Q187" s="19"/>
      <c r="R187" s="19"/>
      <c r="S187" s="19">
        <f>IFERROR(VLOOKUP(C187,[2]Base!$C$1:$S$65536,17,0),0)</f>
        <v>0</v>
      </c>
      <c r="T187" s="19"/>
      <c r="U187" s="19">
        <f t="shared" si="47"/>
        <v>0</v>
      </c>
      <c r="V187" s="20"/>
      <c r="W187" s="44">
        <f t="shared" si="52"/>
        <v>0</v>
      </c>
      <c r="Y187" s="19">
        <f t="shared" si="48"/>
        <v>4500</v>
      </c>
      <c r="AA187" s="44">
        <f>VLOOKUP(A187,[3]Gerentes!$B$1:$O$65536,14,0)</f>
        <v>7399.8594900000007</v>
      </c>
      <c r="AB187" s="45">
        <f t="shared" si="40"/>
        <v>1849.9648725000002</v>
      </c>
      <c r="AC187" s="20"/>
      <c r="AD187" s="44">
        <f>VLOOKUP(A187,[3]Gerentes!$B$1:$Q$65536,16,0)</f>
        <v>0</v>
      </c>
      <c r="AE187" s="45">
        <f t="shared" si="41"/>
        <v>9249.8243625000014</v>
      </c>
      <c r="AF187" s="44">
        <f t="shared" si="49"/>
        <v>0</v>
      </c>
      <c r="AG187" s="20"/>
      <c r="AH187" s="20"/>
    </row>
    <row r="188" spans="1:34" x14ac:dyDescent="0.25">
      <c r="A188" s="30">
        <v>181</v>
      </c>
      <c r="B188" s="30">
        <v>16</v>
      </c>
      <c r="C188" s="32" t="str">
        <f t="shared" si="36"/>
        <v>181-16</v>
      </c>
      <c r="D188" s="16" t="s">
        <v>383</v>
      </c>
      <c r="E188" s="16" t="s">
        <v>14</v>
      </c>
      <c r="F188" s="15" t="s">
        <v>384</v>
      </c>
      <c r="G188" s="17">
        <v>44127</v>
      </c>
      <c r="H188" s="15" t="s">
        <v>10</v>
      </c>
      <c r="I188" s="18"/>
      <c r="J188" s="43">
        <f t="shared" si="54"/>
        <v>30</v>
      </c>
      <c r="K188" s="43">
        <v>0</v>
      </c>
      <c r="L188" s="43">
        <f t="shared" si="37"/>
        <v>30</v>
      </c>
      <c r="M188" s="18"/>
      <c r="N188" s="19">
        <v>0</v>
      </c>
      <c r="O188" s="19">
        <v>1103.92</v>
      </c>
      <c r="P188" s="19"/>
      <c r="Q188" s="19"/>
      <c r="R188" s="19"/>
      <c r="S188" s="19"/>
      <c r="T188" s="19">
        <v>292.5</v>
      </c>
      <c r="U188" s="19">
        <f t="shared" si="47"/>
        <v>292.5</v>
      </c>
      <c r="V188" s="45">
        <f>SUM(AA188:AB188,AF188)*6%</f>
        <v>271.28459399999997</v>
      </c>
      <c r="W188" s="44">
        <f t="shared" si="52"/>
        <v>271.28459399999997</v>
      </c>
      <c r="Y188" s="19">
        <f t="shared" si="48"/>
        <v>1103.92</v>
      </c>
      <c r="AA188" s="44">
        <f>IFERROR(VLOOKUP(C188,[1]Vendedor!$C$1:$R$65536,16,0),0)</f>
        <v>3617.1279199999994</v>
      </c>
      <c r="AB188" s="45">
        <f t="shared" si="40"/>
        <v>904.28197999999986</v>
      </c>
      <c r="AC188" s="20"/>
      <c r="AD188" s="44">
        <f>IFERROR(VLOOKUP(C188,[1]Vendedor!$C$1:$T$65536,18,0),0)</f>
        <v>645.91570000000002</v>
      </c>
      <c r="AE188" s="45">
        <f t="shared" si="41"/>
        <v>5167.3256000000001</v>
      </c>
      <c r="AF188" s="44">
        <f t="shared" si="49"/>
        <v>0</v>
      </c>
      <c r="AG188" s="20"/>
      <c r="AH188" s="20"/>
    </row>
    <row r="189" spans="1:34" x14ac:dyDescent="0.25">
      <c r="A189" s="30">
        <v>181</v>
      </c>
      <c r="B189" s="30">
        <v>18</v>
      </c>
      <c r="C189" s="32" t="str">
        <f t="shared" si="36"/>
        <v>181-18</v>
      </c>
      <c r="D189" s="16" t="s">
        <v>385</v>
      </c>
      <c r="E189" s="16" t="s">
        <v>14</v>
      </c>
      <c r="F189" s="15" t="s">
        <v>386</v>
      </c>
      <c r="G189" s="17">
        <v>44128</v>
      </c>
      <c r="H189" s="15" t="s">
        <v>10</v>
      </c>
      <c r="I189" s="18"/>
      <c r="J189" s="43">
        <f t="shared" si="54"/>
        <v>30</v>
      </c>
      <c r="K189" s="43">
        <v>0</v>
      </c>
      <c r="L189" s="43">
        <f t="shared" si="37"/>
        <v>30</v>
      </c>
      <c r="M189" s="18"/>
      <c r="N189" s="19">
        <v>0</v>
      </c>
      <c r="O189" s="19">
        <v>1103.92</v>
      </c>
      <c r="P189" s="19"/>
      <c r="Q189" s="19"/>
      <c r="R189" s="19"/>
      <c r="S189" s="19"/>
      <c r="T189" s="19">
        <v>216</v>
      </c>
      <c r="U189" s="19">
        <f t="shared" si="47"/>
        <v>216</v>
      </c>
      <c r="V189" s="45">
        <f>SUM(AA189:AB189,AF189)*6%</f>
        <v>170.14212599999996</v>
      </c>
      <c r="W189" s="44">
        <f t="shared" si="52"/>
        <v>170.14212599999996</v>
      </c>
      <c r="Y189" s="19">
        <f t="shared" si="48"/>
        <v>1103.92</v>
      </c>
      <c r="AA189" s="44">
        <f>IFERROR(VLOOKUP(C189,[1]Vendedor!$C$1:$R$65536,16,0),0)</f>
        <v>2268.5616799999998</v>
      </c>
      <c r="AB189" s="45">
        <f t="shared" si="40"/>
        <v>567.14041999999995</v>
      </c>
      <c r="AC189" s="20"/>
      <c r="AD189" s="44">
        <f>IFERROR(VLOOKUP(C189,[1]Vendedor!$C$1:$T$65536,18,0),0)</f>
        <v>0</v>
      </c>
      <c r="AE189" s="45">
        <f t="shared" si="41"/>
        <v>2835.7020999999995</v>
      </c>
      <c r="AF189" s="44">
        <f t="shared" si="49"/>
        <v>0</v>
      </c>
      <c r="AG189" s="20"/>
      <c r="AH189" s="20"/>
    </row>
    <row r="190" spans="1:34" x14ac:dyDescent="0.25">
      <c r="A190" s="30">
        <v>181</v>
      </c>
      <c r="B190" s="30">
        <v>32</v>
      </c>
      <c r="C190" s="32" t="str">
        <f t="shared" si="36"/>
        <v>181-32</v>
      </c>
      <c r="D190" s="16" t="s">
        <v>391</v>
      </c>
      <c r="E190" s="16" t="s">
        <v>21</v>
      </c>
      <c r="F190" s="15" t="s">
        <v>392</v>
      </c>
      <c r="G190" s="17">
        <v>44320</v>
      </c>
      <c r="H190" s="15" t="s">
        <v>10</v>
      </c>
      <c r="I190" s="18"/>
      <c r="J190" s="43">
        <f t="shared" si="54"/>
        <v>30</v>
      </c>
      <c r="K190" s="43">
        <v>0</v>
      </c>
      <c r="L190" s="43">
        <f t="shared" si="37"/>
        <v>30</v>
      </c>
      <c r="M190" s="18"/>
      <c r="N190" s="19">
        <v>1120</v>
      </c>
      <c r="O190" s="19">
        <v>0</v>
      </c>
      <c r="P190" s="19">
        <v>89.33</v>
      </c>
      <c r="Q190" s="19"/>
      <c r="R190" s="19"/>
      <c r="S190" s="19"/>
      <c r="T190" s="19">
        <v>292.5</v>
      </c>
      <c r="U190" s="19">
        <f t="shared" si="47"/>
        <v>292.5</v>
      </c>
      <c r="V190" s="45">
        <f>SUM(AA190:AB190,AF190)*6%</f>
        <v>67.2</v>
      </c>
      <c r="W190" s="44">
        <f t="shared" si="52"/>
        <v>67.2</v>
      </c>
      <c r="Y190" s="19">
        <f t="shared" si="48"/>
        <v>1120</v>
      </c>
      <c r="AA190" s="44">
        <f>IFERROR(VLOOKUP(C190,[1]Vendedor!$C$1:$R$65536,16,0),0)</f>
        <v>0</v>
      </c>
      <c r="AB190" s="45">
        <f t="shared" si="40"/>
        <v>0</v>
      </c>
      <c r="AC190" s="20"/>
      <c r="AD190" s="44">
        <f>IFERROR(VLOOKUP(C190,[1]Vendedor!$C$1:$T$65536,18,0),0)</f>
        <v>0</v>
      </c>
      <c r="AE190" s="45">
        <f t="shared" si="41"/>
        <v>0</v>
      </c>
      <c r="AF190" s="44">
        <f t="shared" si="49"/>
        <v>1120</v>
      </c>
      <c r="AG190" s="20"/>
      <c r="AH190" s="20"/>
    </row>
    <row r="191" spans="1:34" x14ac:dyDescent="0.25">
      <c r="A191" s="30">
        <v>181</v>
      </c>
      <c r="B191" s="30">
        <v>1</v>
      </c>
      <c r="C191" s="32" t="str">
        <f t="shared" si="36"/>
        <v>181-1</v>
      </c>
      <c r="D191" s="16" t="s">
        <v>375</v>
      </c>
      <c r="E191" s="16" t="s">
        <v>14</v>
      </c>
      <c r="F191" s="15" t="s">
        <v>376</v>
      </c>
      <c r="G191" s="17">
        <v>44078</v>
      </c>
      <c r="H191" s="15" t="s">
        <v>10</v>
      </c>
      <c r="I191" s="18"/>
      <c r="J191" s="43">
        <f t="shared" si="54"/>
        <v>30</v>
      </c>
      <c r="K191" s="43">
        <v>0</v>
      </c>
      <c r="L191" s="43">
        <f t="shared" si="37"/>
        <v>30</v>
      </c>
      <c r="M191" s="18"/>
      <c r="N191" s="19">
        <v>0</v>
      </c>
      <c r="O191" s="19">
        <v>1103.92</v>
      </c>
      <c r="P191" s="19"/>
      <c r="Q191" s="19"/>
      <c r="R191" s="19"/>
      <c r="S191" s="19"/>
      <c r="T191" s="19">
        <v>236.9</v>
      </c>
      <c r="U191" s="19">
        <f t="shared" si="47"/>
        <v>236.9</v>
      </c>
      <c r="V191" s="45">
        <f>SUM(AA191:AB191,AF191)*6%</f>
        <v>302.21242799999993</v>
      </c>
      <c r="W191" s="44">
        <f t="shared" si="52"/>
        <v>236.9</v>
      </c>
      <c r="Y191" s="19">
        <f t="shared" si="48"/>
        <v>1103.92</v>
      </c>
      <c r="AA191" s="44">
        <f>IFERROR(VLOOKUP(C191,[1]Vendedor!$C$1:$R$65536,16,0),0)</f>
        <v>4029.4990399999992</v>
      </c>
      <c r="AB191" s="45">
        <f t="shared" si="40"/>
        <v>1007.3747599999998</v>
      </c>
      <c r="AC191" s="20"/>
      <c r="AD191" s="44">
        <f>IFERROR(VLOOKUP(C191,[1]Vendedor!$C$1:$T$65536,18,0),0)</f>
        <v>719.55340000000001</v>
      </c>
      <c r="AE191" s="45">
        <f t="shared" si="41"/>
        <v>5756.4271999999992</v>
      </c>
      <c r="AF191" s="44">
        <f t="shared" si="49"/>
        <v>0</v>
      </c>
      <c r="AG191" s="20"/>
      <c r="AH191" s="20"/>
    </row>
    <row r="192" spans="1:34" x14ac:dyDescent="0.25">
      <c r="A192" s="30">
        <v>181</v>
      </c>
      <c r="B192" s="30">
        <v>19</v>
      </c>
      <c r="C192" s="32" t="str">
        <f t="shared" si="36"/>
        <v>181-19</v>
      </c>
      <c r="D192" s="16" t="s">
        <v>387</v>
      </c>
      <c r="E192" s="16" t="s">
        <v>14</v>
      </c>
      <c r="F192" s="15" t="s">
        <v>388</v>
      </c>
      <c r="G192" s="17">
        <v>44138</v>
      </c>
      <c r="H192" s="15" t="s">
        <v>10</v>
      </c>
      <c r="I192" s="18"/>
      <c r="J192" s="43">
        <f t="shared" si="54"/>
        <v>30</v>
      </c>
      <c r="K192" s="43">
        <v>0</v>
      </c>
      <c r="L192" s="43">
        <f t="shared" si="37"/>
        <v>30</v>
      </c>
      <c r="M192" s="18"/>
      <c r="N192" s="19">
        <v>0</v>
      </c>
      <c r="O192" s="19">
        <v>1103.92</v>
      </c>
      <c r="P192" s="19"/>
      <c r="Q192" s="19"/>
      <c r="R192" s="19"/>
      <c r="S192" s="19">
        <f>IFERROR(VLOOKUP(C192,[2]Base!$C$1:$S$65536,17,0),0)</f>
        <v>0</v>
      </c>
      <c r="T192" s="19"/>
      <c r="U192" s="19">
        <f t="shared" si="47"/>
        <v>0</v>
      </c>
      <c r="V192" s="20"/>
      <c r="W192" s="44">
        <f t="shared" si="52"/>
        <v>0</v>
      </c>
      <c r="Y192" s="19">
        <f t="shared" si="48"/>
        <v>1103.92</v>
      </c>
      <c r="AA192" s="44">
        <f>IFERROR(VLOOKUP(C192,[1]Vendedor!$C$1:$R$65536,16,0),0)</f>
        <v>2061.8497200000002</v>
      </c>
      <c r="AB192" s="45">
        <f t="shared" si="40"/>
        <v>515.46243000000004</v>
      </c>
      <c r="AC192" s="20"/>
      <c r="AD192" s="44">
        <f>IFERROR(VLOOKUP(C192,[1]Vendedor!$C$1:$T$65536,18,0),0)</f>
        <v>0</v>
      </c>
      <c r="AE192" s="45">
        <f t="shared" si="41"/>
        <v>2577.3121500000002</v>
      </c>
      <c r="AF192" s="44">
        <f t="shared" si="49"/>
        <v>0</v>
      </c>
      <c r="AG192" s="20"/>
      <c r="AH192" s="20"/>
    </row>
    <row r="193" spans="1:34" x14ac:dyDescent="0.25">
      <c r="A193" s="30">
        <v>181</v>
      </c>
      <c r="B193" s="30">
        <v>13</v>
      </c>
      <c r="C193" s="32" t="str">
        <f t="shared" si="36"/>
        <v>181-13</v>
      </c>
      <c r="D193" s="16" t="s">
        <v>381</v>
      </c>
      <c r="E193" s="16" t="s">
        <v>14</v>
      </c>
      <c r="F193" s="15" t="s">
        <v>382</v>
      </c>
      <c r="G193" s="17">
        <v>43476</v>
      </c>
      <c r="H193" s="15" t="s">
        <v>10</v>
      </c>
      <c r="I193" s="18"/>
      <c r="J193" s="43">
        <f t="shared" si="54"/>
        <v>30</v>
      </c>
      <c r="K193" s="43">
        <v>0</v>
      </c>
      <c r="L193" s="43">
        <f t="shared" si="37"/>
        <v>30</v>
      </c>
      <c r="M193" s="18"/>
      <c r="N193" s="19">
        <v>0</v>
      </c>
      <c r="O193" s="19">
        <v>1103.92</v>
      </c>
      <c r="P193" s="19"/>
      <c r="Q193" s="19"/>
      <c r="R193" s="19"/>
      <c r="S193" s="19"/>
      <c r="T193" s="19">
        <v>381.8</v>
      </c>
      <c r="U193" s="19">
        <f t="shared" si="47"/>
        <v>381.8</v>
      </c>
      <c r="V193" s="45">
        <f>SUM(AA193:AB193,AF193)*6%</f>
        <v>259.225617</v>
      </c>
      <c r="W193" s="44">
        <f t="shared" si="52"/>
        <v>259.225617</v>
      </c>
      <c r="Y193" s="19">
        <f t="shared" si="48"/>
        <v>1103.92</v>
      </c>
      <c r="AA193" s="44">
        <f>IFERROR(VLOOKUP(C193,[1]Vendedor!$C$1:$R$65536,16,0),0)</f>
        <v>3456.3415599999998</v>
      </c>
      <c r="AB193" s="45">
        <f t="shared" si="40"/>
        <v>864.08538999999996</v>
      </c>
      <c r="AC193" s="20"/>
      <c r="AD193" s="44">
        <f>IFERROR(VLOOKUP(C193,[1]Vendedor!$C$1:$T$65536,18,0),0)</f>
        <v>617.20384999999999</v>
      </c>
      <c r="AE193" s="45">
        <f t="shared" si="41"/>
        <v>4937.6307999999999</v>
      </c>
      <c r="AF193" s="44">
        <f t="shared" si="49"/>
        <v>0</v>
      </c>
      <c r="AG193" s="20">
        <v>400</v>
      </c>
      <c r="AH193" s="20"/>
    </row>
    <row r="194" spans="1:34" x14ac:dyDescent="0.25">
      <c r="A194" s="30">
        <v>183</v>
      </c>
      <c r="B194" s="30">
        <v>14</v>
      </c>
      <c r="C194" s="32" t="str">
        <f t="shared" si="36"/>
        <v>183-14</v>
      </c>
      <c r="D194" s="16" t="s">
        <v>405</v>
      </c>
      <c r="E194" s="16" t="s">
        <v>14</v>
      </c>
      <c r="F194" s="15" t="s">
        <v>406</v>
      </c>
      <c r="G194" s="17">
        <v>44342</v>
      </c>
      <c r="H194" s="15" t="s">
        <v>10</v>
      </c>
      <c r="I194" s="18"/>
      <c r="J194" s="43">
        <f t="shared" si="54"/>
        <v>30</v>
      </c>
      <c r="K194" s="43">
        <v>0</v>
      </c>
      <c r="L194" s="43">
        <f t="shared" si="37"/>
        <v>30</v>
      </c>
      <c r="M194" s="18"/>
      <c r="N194" s="19">
        <v>0</v>
      </c>
      <c r="O194" s="19">
        <v>1786</v>
      </c>
      <c r="P194" s="19"/>
      <c r="Q194" s="19"/>
      <c r="R194" s="19">
        <v>28</v>
      </c>
      <c r="S194" s="19">
        <v>499.2</v>
      </c>
      <c r="T194" s="19"/>
      <c r="U194" s="19">
        <f t="shared" si="47"/>
        <v>499.2</v>
      </c>
      <c r="V194" s="45">
        <f>SUM(AA194:AB194,AF194)*6%</f>
        <v>111.47667299999998</v>
      </c>
      <c r="W194" s="44">
        <f t="shared" si="52"/>
        <v>111.47667299999998</v>
      </c>
      <c r="Y194" s="19">
        <f t="shared" si="48"/>
        <v>1786</v>
      </c>
      <c r="AA194" s="44">
        <f>IFERROR(VLOOKUP(C194,[1]Vendedor!$C$1:$R$65536,16,0),0)</f>
        <v>1486.3556399999998</v>
      </c>
      <c r="AB194" s="45">
        <f t="shared" si="40"/>
        <v>371.58890999999994</v>
      </c>
      <c r="AC194" s="20"/>
      <c r="AD194" s="44">
        <f>IFERROR(VLOOKUP(C194,[1]Vendedor!$C$1:$T$65536,18,0),0)</f>
        <v>0</v>
      </c>
      <c r="AE194" s="45">
        <f t="shared" si="41"/>
        <v>1857.9445499999997</v>
      </c>
      <c r="AF194" s="44">
        <f t="shared" si="49"/>
        <v>0</v>
      </c>
      <c r="AG194" s="20"/>
      <c r="AH194" s="20"/>
    </row>
    <row r="195" spans="1:34" x14ac:dyDescent="0.25">
      <c r="A195" s="30">
        <v>183</v>
      </c>
      <c r="B195" s="30">
        <v>16</v>
      </c>
      <c r="C195" s="32" t="str">
        <f t="shared" ref="C195:C222" si="55">CONCATENATE(A195,"-",B195)</f>
        <v>183-16</v>
      </c>
      <c r="D195" s="16" t="s">
        <v>409</v>
      </c>
      <c r="E195" s="16" t="s">
        <v>14</v>
      </c>
      <c r="F195" s="15" t="s">
        <v>410</v>
      </c>
      <c r="G195" s="17">
        <v>44358</v>
      </c>
      <c r="H195" s="15" t="s">
        <v>10</v>
      </c>
      <c r="I195" s="18"/>
      <c r="J195" s="43">
        <v>20</v>
      </c>
      <c r="K195" s="43">
        <v>0</v>
      </c>
      <c r="L195" s="43">
        <f t="shared" ref="L195:L222" si="56">SUM(J195:K195)</f>
        <v>20</v>
      </c>
      <c r="M195" s="18"/>
      <c r="N195" s="19">
        <v>0</v>
      </c>
      <c r="O195" s="19">
        <v>1786</v>
      </c>
      <c r="P195" s="19"/>
      <c r="Q195" s="19"/>
      <c r="R195" s="19"/>
      <c r="S195" s="19">
        <f>IFERROR(VLOOKUP(C195,[2]Base!$C$1:$S$65536,17,0),0)</f>
        <v>0</v>
      </c>
      <c r="T195" s="19"/>
      <c r="U195" s="19">
        <f t="shared" ref="U195" si="57">SUM(S195:T195)</f>
        <v>0</v>
      </c>
      <c r="V195" s="20"/>
      <c r="W195" s="44">
        <f t="shared" si="52"/>
        <v>0</v>
      </c>
      <c r="Y195" s="19">
        <f t="shared" si="48"/>
        <v>1190.6666666666665</v>
      </c>
      <c r="AA195" s="44">
        <f>IFERROR(VLOOKUP(C195,[1]Vendedor!$C$1:$R$65536,16,0),0)</f>
        <v>795.36435999999992</v>
      </c>
      <c r="AB195" s="45">
        <f t="shared" ref="AB195:AB222" si="58">AA195*25%</f>
        <v>198.84108999999998</v>
      </c>
      <c r="AC195" s="20"/>
      <c r="AD195" s="44">
        <f>IFERROR(VLOOKUP(C195,[1]Vendedor!$C$1:$T$65536,18,0),0)</f>
        <v>0</v>
      </c>
      <c r="AE195" s="45">
        <f t="shared" ref="AE195:AE222" si="59">SUM(AA195:AD195)</f>
        <v>994.20544999999993</v>
      </c>
      <c r="AF195" s="44">
        <f t="shared" ref="AF195" si="60">IF(AE195&lt;Y195,Y195-AE195,0)</f>
        <v>196.46121666666659</v>
      </c>
      <c r="AG195" s="20"/>
      <c r="AH195" s="20"/>
    </row>
    <row r="196" spans="1:34" x14ac:dyDescent="0.25">
      <c r="A196" s="30">
        <v>183</v>
      </c>
      <c r="B196" s="30">
        <v>8</v>
      </c>
      <c r="C196" s="32" t="str">
        <f t="shared" si="55"/>
        <v>183-8</v>
      </c>
      <c r="D196" s="16" t="s">
        <v>401</v>
      </c>
      <c r="E196" s="16" t="s">
        <v>14</v>
      </c>
      <c r="F196" s="15" t="s">
        <v>402</v>
      </c>
      <c r="G196" s="17">
        <v>44148</v>
      </c>
      <c r="H196" s="15" t="s">
        <v>10</v>
      </c>
      <c r="I196" s="18"/>
      <c r="J196" s="43">
        <f t="shared" ref="J196:J219" si="61">30-K196</f>
        <v>30</v>
      </c>
      <c r="K196" s="43">
        <v>0</v>
      </c>
      <c r="L196" s="43">
        <f t="shared" si="56"/>
        <v>30</v>
      </c>
      <c r="M196" s="18"/>
      <c r="N196" s="19">
        <v>0</v>
      </c>
      <c r="O196" s="19">
        <v>1786</v>
      </c>
      <c r="P196" s="19"/>
      <c r="Q196" s="19"/>
      <c r="R196" s="19">
        <v>28</v>
      </c>
      <c r="S196" s="19" t="str">
        <f>IFERROR(VLOOKUP(C196,[2]Base!$C$1:$S$65536,17,0),0)</f>
        <v>Fretado</v>
      </c>
      <c r="T196" s="19"/>
      <c r="U196" s="19">
        <f t="shared" ref="U196:U222" si="62">SUM(S196:T196)</f>
        <v>0</v>
      </c>
      <c r="V196" s="45">
        <f>SUM(AA196:AB196,AF196)*6%</f>
        <v>107.16</v>
      </c>
      <c r="W196" s="44">
        <f>V196</f>
        <v>107.16</v>
      </c>
      <c r="Y196" s="19">
        <f t="shared" ref="Y196:Y222" si="63">SUM(N196:O196)/30*J196</f>
        <v>1786</v>
      </c>
      <c r="AA196" s="44">
        <f>IFERROR(VLOOKUP(C196,[1]Vendedor!$C$1:$R$65536,16,0),0)</f>
        <v>1139.9135999999999</v>
      </c>
      <c r="AB196" s="45">
        <f t="shared" si="58"/>
        <v>284.97839999999997</v>
      </c>
      <c r="AC196" s="20"/>
      <c r="AD196" s="44">
        <f>IFERROR(VLOOKUP(C196,[1]Vendedor!$C$1:$T$65536,18,0),0)</f>
        <v>0</v>
      </c>
      <c r="AE196" s="45">
        <f t="shared" si="59"/>
        <v>1424.8919999999998</v>
      </c>
      <c r="AF196" s="44">
        <f t="shared" ref="AF196:AF222" si="64">IF(AE196&lt;Y196,Y196-AE196,0)</f>
        <v>361.10800000000017</v>
      </c>
      <c r="AG196" s="20"/>
      <c r="AH196" s="20"/>
    </row>
    <row r="197" spans="1:34" x14ac:dyDescent="0.25">
      <c r="A197" s="30">
        <v>179</v>
      </c>
      <c r="B197" s="30">
        <v>19</v>
      </c>
      <c r="C197" s="32" t="str">
        <f t="shared" si="55"/>
        <v>179-19</v>
      </c>
      <c r="D197" s="16" t="s">
        <v>403</v>
      </c>
      <c r="E197" s="16" t="s">
        <v>11</v>
      </c>
      <c r="F197" s="15" t="s">
        <v>404</v>
      </c>
      <c r="G197" s="17">
        <v>43364</v>
      </c>
      <c r="H197" s="15" t="s">
        <v>10</v>
      </c>
      <c r="I197" s="18"/>
      <c r="J197" s="43">
        <f t="shared" si="61"/>
        <v>30</v>
      </c>
      <c r="K197" s="43">
        <v>0</v>
      </c>
      <c r="L197" s="43">
        <f t="shared" si="56"/>
        <v>30</v>
      </c>
      <c r="M197" s="18"/>
      <c r="N197" s="19">
        <v>0</v>
      </c>
      <c r="O197" s="19">
        <v>4180</v>
      </c>
      <c r="P197" s="19"/>
      <c r="Q197" s="19"/>
      <c r="R197" s="19">
        <v>28</v>
      </c>
      <c r="S197" s="19">
        <f>IFERROR(VLOOKUP(C197,[2]Base!$C$1:$S$65536,17,0),0)</f>
        <v>0</v>
      </c>
      <c r="T197" s="19"/>
      <c r="U197" s="19">
        <f t="shared" si="62"/>
        <v>0</v>
      </c>
      <c r="V197" s="20"/>
      <c r="W197" s="44">
        <f t="shared" ref="W197:W222" si="65">IF(U197&gt;V197,V197,U197)</f>
        <v>0</v>
      </c>
      <c r="Y197" s="19">
        <f t="shared" si="63"/>
        <v>4180</v>
      </c>
      <c r="AA197" s="44">
        <f>VLOOKUP(A197,[3]Gerentes!$B$1:$O$65536,14,0)</f>
        <v>3532.5508500000005</v>
      </c>
      <c r="AB197" s="45">
        <f t="shared" si="58"/>
        <v>883.13771250000013</v>
      </c>
      <c r="AC197" s="20"/>
      <c r="AD197" s="44" t="str">
        <f>VLOOKUP(A197,[3]Gerentes!$B$1:$Q$65536,16,0)</f>
        <v>2000</v>
      </c>
      <c r="AE197" s="45">
        <f t="shared" si="59"/>
        <v>4415.6885625000004</v>
      </c>
      <c r="AF197" s="44">
        <f t="shared" si="64"/>
        <v>0</v>
      </c>
      <c r="AG197" s="20"/>
      <c r="AH197" s="20"/>
    </row>
    <row r="198" spans="1:34" x14ac:dyDescent="0.25">
      <c r="A198" s="30">
        <v>183</v>
      </c>
      <c r="B198" s="30">
        <v>1</v>
      </c>
      <c r="C198" s="32" t="str">
        <f t="shared" si="55"/>
        <v>183-1</v>
      </c>
      <c r="D198" s="16" t="s">
        <v>395</v>
      </c>
      <c r="E198" s="16" t="s">
        <v>14</v>
      </c>
      <c r="F198" s="15" t="s">
        <v>396</v>
      </c>
      <c r="G198" s="17">
        <v>44146</v>
      </c>
      <c r="H198" s="15" t="s">
        <v>10</v>
      </c>
      <c r="I198" s="18"/>
      <c r="J198" s="43">
        <f t="shared" si="61"/>
        <v>30</v>
      </c>
      <c r="K198" s="43">
        <v>0</v>
      </c>
      <c r="L198" s="43">
        <f t="shared" si="56"/>
        <v>30</v>
      </c>
      <c r="M198" s="18"/>
      <c r="N198" s="19">
        <v>0</v>
      </c>
      <c r="O198" s="19">
        <v>1786</v>
      </c>
      <c r="P198" s="19"/>
      <c r="Q198" s="19"/>
      <c r="R198" s="19">
        <v>28</v>
      </c>
      <c r="S198" s="19">
        <v>216</v>
      </c>
      <c r="T198" s="19"/>
      <c r="U198" s="19">
        <f t="shared" si="62"/>
        <v>216</v>
      </c>
      <c r="V198" s="45">
        <f>SUM(AA198:AB198,AF198)*6%</f>
        <v>107.16</v>
      </c>
      <c r="W198" s="44">
        <f t="shared" si="65"/>
        <v>107.16</v>
      </c>
      <c r="Y198" s="19">
        <f t="shared" si="63"/>
        <v>1786</v>
      </c>
      <c r="AA198" s="44">
        <f>IFERROR(VLOOKUP(C198,[1]Vendedor!$C$1:$R$65536,16,0),0)</f>
        <v>1126.6998399999998</v>
      </c>
      <c r="AB198" s="45">
        <f t="shared" si="58"/>
        <v>281.67495999999994</v>
      </c>
      <c r="AC198" s="20"/>
      <c r="AD198" s="44">
        <f>IFERROR(VLOOKUP(C198,[1]Vendedor!$C$1:$T$65536,18,0),0)</f>
        <v>0</v>
      </c>
      <c r="AE198" s="45">
        <f t="shared" si="59"/>
        <v>1408.3747999999996</v>
      </c>
      <c r="AF198" s="44">
        <f t="shared" si="64"/>
        <v>377.6252000000004</v>
      </c>
      <c r="AG198" s="20">
        <v>400</v>
      </c>
      <c r="AH198" s="20"/>
    </row>
    <row r="199" spans="1:34" x14ac:dyDescent="0.25">
      <c r="A199" s="30">
        <v>183</v>
      </c>
      <c r="B199" s="30">
        <v>5</v>
      </c>
      <c r="C199" s="32" t="str">
        <f t="shared" si="55"/>
        <v>183-5</v>
      </c>
      <c r="D199" s="16" t="s">
        <v>399</v>
      </c>
      <c r="E199" s="16" t="s">
        <v>14</v>
      </c>
      <c r="F199" s="15" t="s">
        <v>400</v>
      </c>
      <c r="G199" s="17">
        <v>44147</v>
      </c>
      <c r="H199" s="15" t="s">
        <v>10</v>
      </c>
      <c r="I199" s="18"/>
      <c r="J199" s="43">
        <f t="shared" si="61"/>
        <v>30</v>
      </c>
      <c r="K199" s="43">
        <v>0</v>
      </c>
      <c r="L199" s="43">
        <f t="shared" si="56"/>
        <v>30</v>
      </c>
      <c r="M199" s="18"/>
      <c r="N199" s="19">
        <v>0</v>
      </c>
      <c r="O199" s="19">
        <v>1786</v>
      </c>
      <c r="P199" s="19"/>
      <c r="Q199" s="19"/>
      <c r="R199" s="19"/>
      <c r="S199" s="19">
        <v>216</v>
      </c>
      <c r="T199" s="19"/>
      <c r="U199" s="19">
        <f t="shared" si="62"/>
        <v>216</v>
      </c>
      <c r="V199" s="45">
        <f>SUM(AA199:AB199,AF199)*6%</f>
        <v>112.69093499999998</v>
      </c>
      <c r="W199" s="44">
        <f t="shared" si="65"/>
        <v>112.69093499999998</v>
      </c>
      <c r="Y199" s="19">
        <f t="shared" si="63"/>
        <v>1786</v>
      </c>
      <c r="AA199" s="44">
        <f>IFERROR(VLOOKUP(C199,[1]Vendedor!$C$1:$R$65536,16,0),0)</f>
        <v>1502.5457999999999</v>
      </c>
      <c r="AB199" s="45">
        <f t="shared" si="58"/>
        <v>375.63644999999997</v>
      </c>
      <c r="AC199" s="20"/>
      <c r="AD199" s="44">
        <f>IFERROR(VLOOKUP(C199,[1]Vendedor!$C$1:$T$65536,18,0),0)</f>
        <v>0</v>
      </c>
      <c r="AE199" s="45">
        <f t="shared" si="59"/>
        <v>1878.1822499999998</v>
      </c>
      <c r="AF199" s="44">
        <f t="shared" si="64"/>
        <v>0</v>
      </c>
      <c r="AG199" s="20">
        <v>400</v>
      </c>
      <c r="AH199" s="20"/>
    </row>
    <row r="200" spans="1:34" x14ac:dyDescent="0.25">
      <c r="A200" s="30">
        <v>183</v>
      </c>
      <c r="B200" s="30">
        <v>15</v>
      </c>
      <c r="C200" s="32" t="str">
        <f t="shared" si="55"/>
        <v>183-15</v>
      </c>
      <c r="D200" s="16" t="s">
        <v>407</v>
      </c>
      <c r="E200" s="16" t="s">
        <v>14</v>
      </c>
      <c r="F200" s="15" t="s">
        <v>408</v>
      </c>
      <c r="G200" s="17">
        <v>44342</v>
      </c>
      <c r="H200" s="15" t="s">
        <v>10</v>
      </c>
      <c r="I200" s="18"/>
      <c r="J200" s="43">
        <f t="shared" si="61"/>
        <v>30</v>
      </c>
      <c r="K200" s="43">
        <v>0</v>
      </c>
      <c r="L200" s="43">
        <f t="shared" si="56"/>
        <v>30</v>
      </c>
      <c r="M200" s="18"/>
      <c r="N200" s="19">
        <v>0</v>
      </c>
      <c r="O200" s="19">
        <v>1786</v>
      </c>
      <c r="P200" s="19"/>
      <c r="Q200" s="19"/>
      <c r="R200" s="19">
        <v>28</v>
      </c>
      <c r="S200" s="19">
        <f>IFERROR(VLOOKUP(C200,[2]Base!$C$1:$S$65536,17,0),0)</f>
        <v>0</v>
      </c>
      <c r="T200" s="19"/>
      <c r="U200" s="19">
        <f t="shared" si="62"/>
        <v>0</v>
      </c>
      <c r="V200" s="20"/>
      <c r="W200" s="44">
        <f t="shared" si="65"/>
        <v>0</v>
      </c>
      <c r="Y200" s="19">
        <f t="shared" si="63"/>
        <v>1786</v>
      </c>
      <c r="AA200" s="44">
        <f>IFERROR(VLOOKUP(C200,[1]Vendedor!$C$1:$R$65536,16,0),0)</f>
        <v>2307.3783599999997</v>
      </c>
      <c r="AB200" s="45">
        <f t="shared" si="58"/>
        <v>576.84458999999993</v>
      </c>
      <c r="AC200" s="20"/>
      <c r="AD200" s="44">
        <f>IFERROR(VLOOKUP(C200,[1]Vendedor!$C$1:$T$65536,18,0),0)</f>
        <v>412.03184999999996</v>
      </c>
      <c r="AE200" s="45">
        <f t="shared" si="59"/>
        <v>3296.2547999999992</v>
      </c>
      <c r="AF200" s="44">
        <f t="shared" si="64"/>
        <v>0</v>
      </c>
      <c r="AG200" s="20"/>
      <c r="AH200" s="20"/>
    </row>
    <row r="201" spans="1:34" x14ac:dyDescent="0.25">
      <c r="A201" s="30">
        <v>183</v>
      </c>
      <c r="B201" s="30">
        <v>2</v>
      </c>
      <c r="C201" s="32" t="str">
        <f t="shared" si="55"/>
        <v>183-2</v>
      </c>
      <c r="D201" s="16" t="s">
        <v>397</v>
      </c>
      <c r="E201" s="16" t="s">
        <v>21</v>
      </c>
      <c r="F201" s="15" t="s">
        <v>398</v>
      </c>
      <c r="G201" s="17">
        <v>44146</v>
      </c>
      <c r="H201" s="15" t="s">
        <v>6</v>
      </c>
      <c r="I201" s="18"/>
      <c r="J201" s="43">
        <f t="shared" si="61"/>
        <v>30</v>
      </c>
      <c r="K201" s="43">
        <v>0</v>
      </c>
      <c r="L201" s="43">
        <f t="shared" si="56"/>
        <v>30</v>
      </c>
      <c r="M201" s="18"/>
      <c r="N201" s="19">
        <v>1519.44</v>
      </c>
      <c r="O201" s="19">
        <v>0</v>
      </c>
      <c r="P201" s="19">
        <v>82</v>
      </c>
      <c r="Q201" s="19"/>
      <c r="R201" s="19"/>
      <c r="S201" s="19">
        <v>216</v>
      </c>
      <c r="T201" s="19"/>
      <c r="U201" s="19">
        <f t="shared" si="62"/>
        <v>216</v>
      </c>
      <c r="V201" s="45">
        <f>SUM(AA201:AB201,AF201)*6%</f>
        <v>91.166399999999996</v>
      </c>
      <c r="W201" s="44">
        <f t="shared" si="65"/>
        <v>91.166399999999996</v>
      </c>
      <c r="Y201" s="19">
        <f t="shared" si="63"/>
        <v>1519.44</v>
      </c>
      <c r="AA201" s="44">
        <f>IFERROR(VLOOKUP(C201,[1]Vendedor!$C$1:$R$65536,16,0),0)</f>
        <v>0</v>
      </c>
      <c r="AB201" s="45">
        <f t="shared" si="58"/>
        <v>0</v>
      </c>
      <c r="AC201" s="20"/>
      <c r="AD201" s="44">
        <f>IFERROR(VLOOKUP(C201,[1]Vendedor!$C$1:$T$65536,18,0),0)</f>
        <v>0</v>
      </c>
      <c r="AE201" s="45">
        <f t="shared" si="59"/>
        <v>0</v>
      </c>
      <c r="AF201" s="44">
        <f t="shared" si="64"/>
        <v>1519.44</v>
      </c>
      <c r="AG201" s="20"/>
      <c r="AH201" s="20"/>
    </row>
    <row r="202" spans="1:34" x14ac:dyDescent="0.25">
      <c r="A202" s="30">
        <v>185</v>
      </c>
      <c r="B202" s="30">
        <v>6</v>
      </c>
      <c r="C202" s="32" t="str">
        <f t="shared" si="55"/>
        <v>185-6</v>
      </c>
      <c r="D202" s="16" t="s">
        <v>422</v>
      </c>
      <c r="E202" s="16" t="s">
        <v>14</v>
      </c>
      <c r="F202" s="15" t="s">
        <v>423</v>
      </c>
      <c r="G202" s="17">
        <v>44293</v>
      </c>
      <c r="H202" s="15" t="s">
        <v>10</v>
      </c>
      <c r="I202" s="18"/>
      <c r="J202" s="43">
        <f t="shared" si="61"/>
        <v>30</v>
      </c>
      <c r="K202" s="43">
        <v>0</v>
      </c>
      <c r="L202" s="43">
        <f t="shared" si="56"/>
        <v>30</v>
      </c>
      <c r="M202" s="18"/>
      <c r="N202" s="19">
        <v>0</v>
      </c>
      <c r="O202" s="19">
        <v>1055</v>
      </c>
      <c r="P202" s="19"/>
      <c r="Q202" s="19"/>
      <c r="R202" s="19"/>
      <c r="S202" s="19">
        <v>180</v>
      </c>
      <c r="T202" s="19"/>
      <c r="U202" s="19">
        <f t="shared" si="62"/>
        <v>180</v>
      </c>
      <c r="V202" s="45">
        <f>SUM(AA202:AB202,AF202)*6%</f>
        <v>91.820735999999997</v>
      </c>
      <c r="W202" s="44">
        <f t="shared" si="65"/>
        <v>91.820735999999997</v>
      </c>
      <c r="Y202" s="19">
        <f t="shared" si="63"/>
        <v>1055</v>
      </c>
      <c r="AA202" s="44">
        <f>IFERROR(VLOOKUP(C202,[1]Vendedor!$C$1:$R$65536,16,0),0)</f>
        <v>1224.27648</v>
      </c>
      <c r="AB202" s="45">
        <f t="shared" si="58"/>
        <v>306.06912</v>
      </c>
      <c r="AC202" s="20"/>
      <c r="AD202" s="44">
        <f>IFERROR(VLOOKUP(C202,[1]Vendedor!$C$1:$T$65536,18,0),0)</f>
        <v>0</v>
      </c>
      <c r="AE202" s="45">
        <f t="shared" si="59"/>
        <v>1530.3456000000001</v>
      </c>
      <c r="AF202" s="44">
        <f t="shared" si="64"/>
        <v>0</v>
      </c>
      <c r="AG202" s="20"/>
      <c r="AH202" s="20"/>
    </row>
    <row r="203" spans="1:34" x14ac:dyDescent="0.25">
      <c r="A203" s="30">
        <v>185</v>
      </c>
      <c r="B203" s="30">
        <v>1</v>
      </c>
      <c r="C203" s="32" t="str">
        <f t="shared" si="55"/>
        <v>185-1</v>
      </c>
      <c r="D203" s="16" t="s">
        <v>411</v>
      </c>
      <c r="E203" s="16" t="s">
        <v>11</v>
      </c>
      <c r="F203" s="15" t="s">
        <v>412</v>
      </c>
      <c r="G203" s="17">
        <v>44273</v>
      </c>
      <c r="H203" s="15" t="s">
        <v>10</v>
      </c>
      <c r="I203" s="18"/>
      <c r="J203" s="43">
        <f t="shared" si="61"/>
        <v>30</v>
      </c>
      <c r="K203" s="43">
        <v>0</v>
      </c>
      <c r="L203" s="43">
        <f t="shared" si="56"/>
        <v>30</v>
      </c>
      <c r="M203" s="18"/>
      <c r="N203" s="19">
        <v>0</v>
      </c>
      <c r="O203" s="19">
        <v>4000</v>
      </c>
      <c r="P203" s="19"/>
      <c r="Q203" s="19"/>
      <c r="R203" s="19"/>
      <c r="S203" s="19">
        <f>IFERROR(VLOOKUP(C203,[2]Base!$C$1:$S$65536,17,0),0)</f>
        <v>0</v>
      </c>
      <c r="T203" s="19"/>
      <c r="U203" s="19">
        <f t="shared" si="62"/>
        <v>0</v>
      </c>
      <c r="V203" s="20"/>
      <c r="W203" s="44">
        <f t="shared" si="65"/>
        <v>0</v>
      </c>
      <c r="Y203" s="19">
        <f t="shared" si="63"/>
        <v>4000.0000000000005</v>
      </c>
      <c r="AA203" s="44">
        <f>VLOOKUP(A203,[3]Gerentes!$B$1:$O$65536,14,0)</f>
        <v>2619.02592</v>
      </c>
      <c r="AB203" s="45">
        <f t="shared" si="58"/>
        <v>654.75648000000001</v>
      </c>
      <c r="AC203" s="20"/>
      <c r="AD203" s="44">
        <f>VLOOKUP(A203,[3]Gerentes!$B$1:$Q$65536,16,0)</f>
        <v>0</v>
      </c>
      <c r="AE203" s="45">
        <f t="shared" si="59"/>
        <v>3273.7824000000001</v>
      </c>
      <c r="AF203" s="44">
        <f t="shared" si="64"/>
        <v>726.2176000000004</v>
      </c>
      <c r="AG203" s="20"/>
      <c r="AH203" s="20"/>
    </row>
    <row r="204" spans="1:34" x14ac:dyDescent="0.25">
      <c r="A204" s="30">
        <v>185</v>
      </c>
      <c r="B204" s="30">
        <v>3</v>
      </c>
      <c r="C204" s="32" t="str">
        <f t="shared" si="55"/>
        <v>185-3</v>
      </c>
      <c r="D204" s="16" t="s">
        <v>415</v>
      </c>
      <c r="E204" s="16" t="s">
        <v>417</v>
      </c>
      <c r="F204" s="15" t="s">
        <v>416</v>
      </c>
      <c r="G204" s="17">
        <v>44287</v>
      </c>
      <c r="H204" s="15" t="s">
        <v>10</v>
      </c>
      <c r="I204" s="18"/>
      <c r="J204" s="43">
        <f t="shared" si="61"/>
        <v>30</v>
      </c>
      <c r="K204" s="43">
        <v>0</v>
      </c>
      <c r="L204" s="43">
        <f t="shared" si="56"/>
        <v>30</v>
      </c>
      <c r="M204" s="18"/>
      <c r="N204" s="19">
        <v>1055</v>
      </c>
      <c r="O204" s="19">
        <v>0</v>
      </c>
      <c r="P204" s="19"/>
      <c r="Q204" s="19"/>
      <c r="R204" s="19"/>
      <c r="S204" s="19">
        <v>235</v>
      </c>
      <c r="T204" s="19"/>
      <c r="U204" s="19">
        <f t="shared" si="62"/>
        <v>235</v>
      </c>
      <c r="V204" s="45">
        <f>SUM(AA204:AB204,AF204)*6%</f>
        <v>63.3</v>
      </c>
      <c r="W204" s="44">
        <f t="shared" si="65"/>
        <v>63.3</v>
      </c>
      <c r="Y204" s="19">
        <f t="shared" si="63"/>
        <v>1055</v>
      </c>
      <c r="AA204" s="44">
        <f>IFERROR(VLOOKUP(C204,[1]Vendedor!$C$1:$R$65536,16,0),0)</f>
        <v>0</v>
      </c>
      <c r="AB204" s="45">
        <f t="shared" si="58"/>
        <v>0</v>
      </c>
      <c r="AC204" s="20"/>
      <c r="AD204" s="44">
        <f>IFERROR(VLOOKUP(C204,[1]Vendedor!$C$1:$T$65536,18,0),0)</f>
        <v>0</v>
      </c>
      <c r="AE204" s="45">
        <f t="shared" si="59"/>
        <v>0</v>
      </c>
      <c r="AF204" s="44">
        <f t="shared" si="64"/>
        <v>1055</v>
      </c>
      <c r="AG204" s="20"/>
      <c r="AH204" s="20"/>
    </row>
    <row r="205" spans="1:34" x14ac:dyDescent="0.25">
      <c r="A205" s="30">
        <v>185</v>
      </c>
      <c r="B205" s="30">
        <v>7</v>
      </c>
      <c r="C205" s="32" t="str">
        <f t="shared" si="55"/>
        <v>185-7</v>
      </c>
      <c r="D205" s="16" t="s">
        <v>424</v>
      </c>
      <c r="E205" s="16" t="s">
        <v>14</v>
      </c>
      <c r="F205" s="15" t="s">
        <v>425</v>
      </c>
      <c r="G205" s="17">
        <v>44293</v>
      </c>
      <c r="H205" s="15" t="s">
        <v>10</v>
      </c>
      <c r="I205" s="18"/>
      <c r="J205" s="43">
        <f t="shared" si="61"/>
        <v>30</v>
      </c>
      <c r="K205" s="43">
        <v>0</v>
      </c>
      <c r="L205" s="43">
        <f t="shared" si="56"/>
        <v>30</v>
      </c>
      <c r="M205" s="18"/>
      <c r="N205" s="19">
        <v>0</v>
      </c>
      <c r="O205" s="19">
        <v>1055</v>
      </c>
      <c r="P205" s="19"/>
      <c r="Q205" s="19"/>
      <c r="R205" s="19"/>
      <c r="S205" s="19">
        <f>IFERROR(VLOOKUP(C205,[2]Base!$C$1:$S$65536,17,0),0)</f>
        <v>0</v>
      </c>
      <c r="T205" s="19"/>
      <c r="U205" s="19">
        <f t="shared" si="62"/>
        <v>0</v>
      </c>
      <c r="V205" s="20"/>
      <c r="W205" s="44">
        <f t="shared" si="65"/>
        <v>0</v>
      </c>
      <c r="Y205" s="19">
        <f t="shared" si="63"/>
        <v>1055</v>
      </c>
      <c r="AA205" s="44">
        <f>IFERROR(VLOOKUP(C205,[1]Vendedor!$C$1:$R$65536,16,0),0)</f>
        <v>861.89767999999992</v>
      </c>
      <c r="AB205" s="45">
        <f t="shared" si="58"/>
        <v>215.47441999999998</v>
      </c>
      <c r="AC205" s="20"/>
      <c r="AD205" s="44">
        <f>IFERROR(VLOOKUP(C205,[1]Vendedor!$C$1:$T$65536,18,0),0)</f>
        <v>0</v>
      </c>
      <c r="AE205" s="45">
        <f t="shared" si="59"/>
        <v>1077.3720999999998</v>
      </c>
      <c r="AF205" s="44">
        <f t="shared" si="64"/>
        <v>0</v>
      </c>
      <c r="AG205" s="20"/>
      <c r="AH205" s="20"/>
    </row>
    <row r="206" spans="1:34" x14ac:dyDescent="0.25">
      <c r="A206" s="30">
        <v>185</v>
      </c>
      <c r="B206" s="30">
        <v>2</v>
      </c>
      <c r="C206" s="32" t="str">
        <f t="shared" si="55"/>
        <v>185-2</v>
      </c>
      <c r="D206" s="16" t="s">
        <v>413</v>
      </c>
      <c r="E206" s="16" t="s">
        <v>14</v>
      </c>
      <c r="F206" s="15" t="s">
        <v>414</v>
      </c>
      <c r="G206" s="17">
        <v>44287</v>
      </c>
      <c r="H206" s="15" t="s">
        <v>10</v>
      </c>
      <c r="I206" s="18"/>
      <c r="J206" s="43">
        <f t="shared" si="61"/>
        <v>30</v>
      </c>
      <c r="K206" s="43">
        <v>0</v>
      </c>
      <c r="L206" s="43">
        <f t="shared" si="56"/>
        <v>30</v>
      </c>
      <c r="M206" s="18"/>
      <c r="N206" s="19">
        <v>0</v>
      </c>
      <c r="O206" s="19">
        <v>1055</v>
      </c>
      <c r="P206" s="19"/>
      <c r="Q206" s="19"/>
      <c r="R206" s="19"/>
      <c r="S206" s="19">
        <v>187.5</v>
      </c>
      <c r="T206" s="19"/>
      <c r="U206" s="19">
        <f t="shared" si="62"/>
        <v>187.5</v>
      </c>
      <c r="V206" s="45">
        <f t="shared" ref="V206:V211" si="66">SUM(AA206:AB206,AF206)*6%</f>
        <v>109.30869599999997</v>
      </c>
      <c r="W206" s="44">
        <f t="shared" si="65"/>
        <v>109.30869599999997</v>
      </c>
      <c r="Y206" s="19">
        <f t="shared" si="63"/>
        <v>1055</v>
      </c>
      <c r="AA206" s="44">
        <f>IFERROR(VLOOKUP(C206,[1]Vendedor!$C$1:$R$65536,16,0),0)</f>
        <v>1457.4492799999996</v>
      </c>
      <c r="AB206" s="45">
        <f t="shared" si="58"/>
        <v>364.3623199999999</v>
      </c>
      <c r="AC206" s="20"/>
      <c r="AD206" s="44">
        <f>IFERROR(VLOOKUP(C206,[1]Vendedor!$C$1:$T$65536,18,0),0)</f>
        <v>0</v>
      </c>
      <c r="AE206" s="45">
        <f t="shared" si="59"/>
        <v>1821.8115999999995</v>
      </c>
      <c r="AF206" s="44">
        <f t="shared" si="64"/>
        <v>0</v>
      </c>
      <c r="AG206" s="20"/>
      <c r="AH206" s="20"/>
    </row>
    <row r="207" spans="1:34" x14ac:dyDescent="0.25">
      <c r="A207" s="30">
        <v>185</v>
      </c>
      <c r="B207" s="30">
        <v>9</v>
      </c>
      <c r="C207" s="32" t="str">
        <f t="shared" si="55"/>
        <v>185-9</v>
      </c>
      <c r="D207" s="16" t="s">
        <v>428</v>
      </c>
      <c r="E207" s="16" t="s">
        <v>417</v>
      </c>
      <c r="F207" s="15" t="s">
        <v>429</v>
      </c>
      <c r="G207" s="17">
        <v>44303</v>
      </c>
      <c r="H207" s="15" t="s">
        <v>10</v>
      </c>
      <c r="I207" s="18"/>
      <c r="J207" s="43">
        <f t="shared" si="61"/>
        <v>30</v>
      </c>
      <c r="K207" s="43">
        <v>0</v>
      </c>
      <c r="L207" s="43">
        <f t="shared" si="56"/>
        <v>30</v>
      </c>
      <c r="M207" s="18"/>
      <c r="N207" s="19">
        <v>1055</v>
      </c>
      <c r="O207" s="19">
        <v>0</v>
      </c>
      <c r="P207" s="19"/>
      <c r="Q207" s="19"/>
      <c r="R207" s="19"/>
      <c r="S207" s="19">
        <v>360</v>
      </c>
      <c r="T207" s="19"/>
      <c r="U207" s="19">
        <f t="shared" si="62"/>
        <v>360</v>
      </c>
      <c r="V207" s="45">
        <f t="shared" si="66"/>
        <v>63.3</v>
      </c>
      <c r="W207" s="44">
        <f t="shared" si="65"/>
        <v>63.3</v>
      </c>
      <c r="Y207" s="19">
        <f t="shared" si="63"/>
        <v>1055</v>
      </c>
      <c r="AA207" s="44">
        <f>IFERROR(VLOOKUP(C207,[1]Vendedor!$C$1:$R$65536,16,0),0)</f>
        <v>0</v>
      </c>
      <c r="AB207" s="45">
        <f t="shared" si="58"/>
        <v>0</v>
      </c>
      <c r="AC207" s="20"/>
      <c r="AD207" s="44">
        <f>IFERROR(VLOOKUP(C207,[1]Vendedor!$C$1:$T$65536,18,0),0)</f>
        <v>0</v>
      </c>
      <c r="AE207" s="45">
        <f t="shared" si="59"/>
        <v>0</v>
      </c>
      <c r="AF207" s="44">
        <f t="shared" si="64"/>
        <v>1055</v>
      </c>
      <c r="AG207" s="20"/>
      <c r="AH207" s="20"/>
    </row>
    <row r="208" spans="1:34" x14ac:dyDescent="0.25">
      <c r="A208" s="30">
        <v>185</v>
      </c>
      <c r="B208" s="30">
        <v>10</v>
      </c>
      <c r="C208" s="32" t="str">
        <f t="shared" si="55"/>
        <v>185-10</v>
      </c>
      <c r="D208" s="16" t="s">
        <v>430</v>
      </c>
      <c r="E208" s="16" t="s">
        <v>14</v>
      </c>
      <c r="F208" s="15" t="s">
        <v>431</v>
      </c>
      <c r="G208" s="17">
        <v>44303</v>
      </c>
      <c r="H208" s="15" t="s">
        <v>10</v>
      </c>
      <c r="I208" s="18"/>
      <c r="J208" s="43">
        <f t="shared" si="61"/>
        <v>30</v>
      </c>
      <c r="K208" s="43">
        <v>0</v>
      </c>
      <c r="L208" s="43">
        <f t="shared" si="56"/>
        <v>30</v>
      </c>
      <c r="M208" s="18"/>
      <c r="N208" s="19">
        <v>0</v>
      </c>
      <c r="O208" s="19">
        <v>1055</v>
      </c>
      <c r="P208" s="19"/>
      <c r="Q208" s="19"/>
      <c r="R208" s="19"/>
      <c r="S208" s="19">
        <v>187.5</v>
      </c>
      <c r="T208" s="19"/>
      <c r="U208" s="19">
        <f t="shared" si="62"/>
        <v>187.5</v>
      </c>
      <c r="V208" s="45">
        <f t="shared" si="66"/>
        <v>86.884496999999996</v>
      </c>
      <c r="W208" s="44">
        <f t="shared" si="65"/>
        <v>86.884496999999996</v>
      </c>
      <c r="Y208" s="19">
        <f t="shared" si="63"/>
        <v>1055</v>
      </c>
      <c r="AA208" s="44">
        <f>IFERROR(VLOOKUP(C208,[1]Vendedor!$C$1:$R$65536,16,0),0)</f>
        <v>1158.4599599999999</v>
      </c>
      <c r="AB208" s="45">
        <f t="shared" si="58"/>
        <v>289.61498999999998</v>
      </c>
      <c r="AC208" s="20"/>
      <c r="AD208" s="44">
        <f>IFERROR(VLOOKUP(C208,[1]Vendedor!$C$1:$T$65536,18,0),0)</f>
        <v>0</v>
      </c>
      <c r="AE208" s="45">
        <f t="shared" si="59"/>
        <v>1448.0749499999999</v>
      </c>
      <c r="AF208" s="44">
        <f t="shared" si="64"/>
        <v>0</v>
      </c>
      <c r="AG208" s="20"/>
      <c r="AH208" s="20"/>
    </row>
    <row r="209" spans="1:34" x14ac:dyDescent="0.25">
      <c r="A209" s="30">
        <v>185</v>
      </c>
      <c r="B209" s="30">
        <v>11</v>
      </c>
      <c r="C209" s="32" t="str">
        <f t="shared" si="55"/>
        <v>185-11</v>
      </c>
      <c r="D209" s="16" t="s">
        <v>432</v>
      </c>
      <c r="E209" s="16" t="s">
        <v>14</v>
      </c>
      <c r="F209" s="15" t="s">
        <v>433</v>
      </c>
      <c r="G209" s="17">
        <v>44303</v>
      </c>
      <c r="H209" s="15" t="s">
        <v>10</v>
      </c>
      <c r="I209" s="18"/>
      <c r="J209" s="43">
        <f t="shared" si="61"/>
        <v>30</v>
      </c>
      <c r="K209" s="43">
        <v>0</v>
      </c>
      <c r="L209" s="43">
        <f t="shared" si="56"/>
        <v>30</v>
      </c>
      <c r="M209" s="18"/>
      <c r="N209" s="19">
        <v>0</v>
      </c>
      <c r="O209" s="19">
        <v>1055</v>
      </c>
      <c r="P209" s="19"/>
      <c r="Q209" s="19"/>
      <c r="R209" s="19"/>
      <c r="S209" s="19">
        <v>195</v>
      </c>
      <c r="T209" s="19"/>
      <c r="U209" s="19">
        <f t="shared" si="62"/>
        <v>195</v>
      </c>
      <c r="V209" s="45">
        <f t="shared" si="66"/>
        <v>81.129530999999986</v>
      </c>
      <c r="W209" s="44">
        <f t="shared" si="65"/>
        <v>81.129530999999986</v>
      </c>
      <c r="Y209" s="19">
        <f t="shared" si="63"/>
        <v>1055</v>
      </c>
      <c r="AA209" s="44">
        <f>IFERROR(VLOOKUP(C209,[1]Vendedor!$C$1:$R$65536,16,0),0)</f>
        <v>1081.7270799999999</v>
      </c>
      <c r="AB209" s="45">
        <f t="shared" si="58"/>
        <v>270.43176999999997</v>
      </c>
      <c r="AC209" s="20"/>
      <c r="AD209" s="44">
        <f>IFERROR(VLOOKUP(C209,[1]Vendedor!$C$1:$T$65536,18,0),0)</f>
        <v>0</v>
      </c>
      <c r="AE209" s="45">
        <f t="shared" si="59"/>
        <v>1352.1588499999998</v>
      </c>
      <c r="AF209" s="44">
        <f t="shared" si="64"/>
        <v>0</v>
      </c>
      <c r="AG209" s="20"/>
      <c r="AH209" s="20"/>
    </row>
    <row r="210" spans="1:34" x14ac:dyDescent="0.25">
      <c r="A210" s="30">
        <v>185</v>
      </c>
      <c r="B210" s="30">
        <v>4</v>
      </c>
      <c r="C210" s="32" t="str">
        <f t="shared" si="55"/>
        <v>185-4</v>
      </c>
      <c r="D210" s="16" t="s">
        <v>418</v>
      </c>
      <c r="E210" s="16" t="s">
        <v>417</v>
      </c>
      <c r="F210" s="15" t="s">
        <v>419</v>
      </c>
      <c r="G210" s="17">
        <v>44287</v>
      </c>
      <c r="H210" s="15" t="s">
        <v>10</v>
      </c>
      <c r="I210" s="18"/>
      <c r="J210" s="43">
        <f t="shared" si="61"/>
        <v>30</v>
      </c>
      <c r="K210" s="43">
        <v>0</v>
      </c>
      <c r="L210" s="43">
        <f t="shared" si="56"/>
        <v>30</v>
      </c>
      <c r="M210" s="18"/>
      <c r="N210" s="19">
        <v>1055</v>
      </c>
      <c r="O210" s="19">
        <v>0</v>
      </c>
      <c r="P210" s="19"/>
      <c r="Q210" s="19"/>
      <c r="R210" s="19"/>
      <c r="S210" s="19">
        <v>187.5</v>
      </c>
      <c r="T210" s="19"/>
      <c r="U210" s="19">
        <f t="shared" si="62"/>
        <v>187.5</v>
      </c>
      <c r="V210" s="45">
        <f t="shared" si="66"/>
        <v>63.3</v>
      </c>
      <c r="W210" s="44">
        <f t="shared" si="65"/>
        <v>63.3</v>
      </c>
      <c r="Y210" s="19">
        <f t="shared" si="63"/>
        <v>1055</v>
      </c>
      <c r="AA210" s="44">
        <f>IFERROR(VLOOKUP(C210,[1]Vendedor!$C$1:$R$65536,16,0),0)</f>
        <v>0</v>
      </c>
      <c r="AB210" s="45">
        <f t="shared" si="58"/>
        <v>0</v>
      </c>
      <c r="AC210" s="20"/>
      <c r="AD210" s="44">
        <f>IFERROR(VLOOKUP(C210,[1]Vendedor!$C$1:$T$65536,18,0),0)</f>
        <v>0</v>
      </c>
      <c r="AE210" s="45">
        <f t="shared" si="59"/>
        <v>0</v>
      </c>
      <c r="AF210" s="44">
        <f t="shared" si="64"/>
        <v>1055</v>
      </c>
      <c r="AG210" s="20"/>
      <c r="AH210" s="20"/>
    </row>
    <row r="211" spans="1:34" x14ac:dyDescent="0.25">
      <c r="A211" s="30">
        <v>185</v>
      </c>
      <c r="B211" s="30">
        <v>8</v>
      </c>
      <c r="C211" s="32" t="str">
        <f t="shared" si="55"/>
        <v>185-8</v>
      </c>
      <c r="D211" s="16" t="s">
        <v>426</v>
      </c>
      <c r="E211" s="16" t="s">
        <v>14</v>
      </c>
      <c r="F211" s="15" t="s">
        <v>427</v>
      </c>
      <c r="G211" s="17">
        <v>44293</v>
      </c>
      <c r="H211" s="15" t="s">
        <v>10</v>
      </c>
      <c r="I211" s="18"/>
      <c r="J211" s="43">
        <f t="shared" si="61"/>
        <v>30</v>
      </c>
      <c r="K211" s="43">
        <v>0</v>
      </c>
      <c r="L211" s="43">
        <f t="shared" si="56"/>
        <v>30</v>
      </c>
      <c r="M211" s="18"/>
      <c r="N211" s="19">
        <v>0</v>
      </c>
      <c r="O211" s="19">
        <v>1055</v>
      </c>
      <c r="P211" s="19"/>
      <c r="Q211" s="19"/>
      <c r="R211" s="19"/>
      <c r="S211" s="19">
        <v>180</v>
      </c>
      <c r="T211" s="19"/>
      <c r="U211" s="19">
        <f t="shared" si="62"/>
        <v>180</v>
      </c>
      <c r="V211" s="45">
        <f t="shared" si="66"/>
        <v>123.84747899999998</v>
      </c>
      <c r="W211" s="44">
        <f t="shared" si="65"/>
        <v>123.84747899999998</v>
      </c>
      <c r="Y211" s="19">
        <f t="shared" si="63"/>
        <v>1055</v>
      </c>
      <c r="AA211" s="44">
        <f>IFERROR(VLOOKUP(C211,[1]Vendedor!$C$1:$R$65536,16,0),0)</f>
        <v>1651.2997199999998</v>
      </c>
      <c r="AB211" s="45">
        <f t="shared" si="58"/>
        <v>412.82492999999994</v>
      </c>
      <c r="AC211" s="20"/>
      <c r="AD211" s="44">
        <f>IFERROR(VLOOKUP(C211,[1]Vendedor!$C$1:$T$65536,18,0),0)</f>
        <v>0</v>
      </c>
      <c r="AE211" s="45">
        <f t="shared" si="59"/>
        <v>2064.1246499999997</v>
      </c>
      <c r="AF211" s="44">
        <f t="shared" si="64"/>
        <v>0</v>
      </c>
      <c r="AG211" s="20">
        <v>400</v>
      </c>
      <c r="AH211" s="20"/>
    </row>
    <row r="212" spans="1:34" x14ac:dyDescent="0.25">
      <c r="A212" s="30">
        <v>185</v>
      </c>
      <c r="B212" s="30">
        <v>5</v>
      </c>
      <c r="C212" s="32" t="str">
        <f t="shared" si="55"/>
        <v>185-5</v>
      </c>
      <c r="D212" s="16" t="s">
        <v>420</v>
      </c>
      <c r="E212" s="16" t="s">
        <v>14</v>
      </c>
      <c r="F212" s="15" t="s">
        <v>421</v>
      </c>
      <c r="G212" s="17">
        <v>44287</v>
      </c>
      <c r="H212" s="15" t="s">
        <v>10</v>
      </c>
      <c r="I212" s="18"/>
      <c r="J212" s="43">
        <f t="shared" si="61"/>
        <v>30</v>
      </c>
      <c r="K212" s="43">
        <v>0</v>
      </c>
      <c r="L212" s="43">
        <f t="shared" si="56"/>
        <v>30</v>
      </c>
      <c r="M212" s="18"/>
      <c r="N212" s="19">
        <v>0</v>
      </c>
      <c r="O212" s="19">
        <v>1055</v>
      </c>
      <c r="P212" s="19"/>
      <c r="Q212" s="19"/>
      <c r="R212" s="19"/>
      <c r="S212" s="19">
        <f>IFERROR(VLOOKUP(C212,[2]Base!$C$1:$S$65536,17,0),0)</f>
        <v>0</v>
      </c>
      <c r="T212" s="19"/>
      <c r="U212" s="19">
        <f t="shared" si="62"/>
        <v>0</v>
      </c>
      <c r="V212" s="20"/>
      <c r="W212" s="44">
        <f t="shared" si="65"/>
        <v>0</v>
      </c>
      <c r="Y212" s="19">
        <f t="shared" si="63"/>
        <v>1055</v>
      </c>
      <c r="AA212" s="44">
        <f>IFERROR(VLOOKUP(C212,[1]Vendedor!$C$1:$R$65536,16,0),0)</f>
        <v>1677.4430399999999</v>
      </c>
      <c r="AB212" s="45">
        <f t="shared" si="58"/>
        <v>419.36075999999997</v>
      </c>
      <c r="AC212" s="20"/>
      <c r="AD212" s="44">
        <f>IFERROR(VLOOKUP(C212,[1]Vendedor!$C$1:$T$65536,18,0),0)</f>
        <v>0</v>
      </c>
      <c r="AE212" s="45">
        <f t="shared" si="59"/>
        <v>2096.8037999999997</v>
      </c>
      <c r="AF212" s="44">
        <f t="shared" si="64"/>
        <v>0</v>
      </c>
      <c r="AG212" s="20"/>
      <c r="AH212" s="20"/>
    </row>
    <row r="213" spans="1:34" x14ac:dyDescent="0.25">
      <c r="A213" s="30">
        <v>200</v>
      </c>
      <c r="B213" s="30">
        <v>129</v>
      </c>
      <c r="C213" s="32" t="str">
        <f t="shared" si="55"/>
        <v>200-129</v>
      </c>
      <c r="D213" s="16" t="s">
        <v>442</v>
      </c>
      <c r="E213" s="16" t="s">
        <v>14</v>
      </c>
      <c r="F213" s="15" t="s">
        <v>443</v>
      </c>
      <c r="G213" s="17">
        <v>44090</v>
      </c>
      <c r="H213" s="15" t="s">
        <v>10</v>
      </c>
      <c r="I213" s="18"/>
      <c r="J213" s="43">
        <f t="shared" si="61"/>
        <v>30</v>
      </c>
      <c r="K213" s="43">
        <v>0</v>
      </c>
      <c r="L213" s="43">
        <f t="shared" si="56"/>
        <v>30</v>
      </c>
      <c r="M213" s="18"/>
      <c r="N213" s="19">
        <v>0</v>
      </c>
      <c r="O213" s="19">
        <v>1266.07</v>
      </c>
      <c r="P213" s="19"/>
      <c r="Q213" s="19"/>
      <c r="R213" s="19"/>
      <c r="S213" s="19"/>
      <c r="T213" s="19">
        <v>468</v>
      </c>
      <c r="U213" s="19">
        <f t="shared" si="62"/>
        <v>468</v>
      </c>
      <c r="V213" s="45">
        <f>SUM(AA213:AB213,AF213)*6%</f>
        <v>100.811886</v>
      </c>
      <c r="W213" s="44">
        <f t="shared" si="65"/>
        <v>100.811886</v>
      </c>
      <c r="Y213" s="19">
        <f t="shared" si="63"/>
        <v>1266.07</v>
      </c>
      <c r="AA213" s="44">
        <f>IFERROR(VLOOKUP(C213,[1]Vendedor!$C$1:$R$65536,16,0),0)</f>
        <v>1344.1584800000001</v>
      </c>
      <c r="AB213" s="45">
        <f t="shared" si="58"/>
        <v>336.03962000000001</v>
      </c>
      <c r="AC213" s="20"/>
      <c r="AD213" s="44">
        <f>IFERROR(VLOOKUP(C213,[1]Vendedor!$C$1:$T$65536,18,0),0)</f>
        <v>240.02830000000003</v>
      </c>
      <c r="AE213" s="45">
        <f t="shared" si="59"/>
        <v>1920.2264</v>
      </c>
      <c r="AF213" s="44">
        <f t="shared" si="64"/>
        <v>0</v>
      </c>
      <c r="AG213" s="20"/>
      <c r="AH213" s="20"/>
    </row>
    <row r="214" spans="1:34" x14ac:dyDescent="0.25">
      <c r="A214" s="30">
        <v>200</v>
      </c>
      <c r="B214" s="30">
        <v>82</v>
      </c>
      <c r="C214" s="32" t="str">
        <f t="shared" si="55"/>
        <v>200-82</v>
      </c>
      <c r="D214" s="16" t="s">
        <v>436</v>
      </c>
      <c r="E214" s="16" t="s">
        <v>14</v>
      </c>
      <c r="F214" s="15" t="s">
        <v>437</v>
      </c>
      <c r="G214" s="17">
        <v>42965</v>
      </c>
      <c r="H214" s="15" t="s">
        <v>10</v>
      </c>
      <c r="I214" s="18"/>
      <c r="J214" s="43">
        <f t="shared" si="61"/>
        <v>30</v>
      </c>
      <c r="K214" s="43">
        <v>0</v>
      </c>
      <c r="L214" s="43">
        <f t="shared" si="56"/>
        <v>30</v>
      </c>
      <c r="M214" s="18"/>
      <c r="N214" s="19">
        <v>0</v>
      </c>
      <c r="O214" s="19">
        <v>1266.07</v>
      </c>
      <c r="P214" s="19"/>
      <c r="Q214" s="19"/>
      <c r="R214" s="19"/>
      <c r="S214" s="19"/>
      <c r="T214" s="19">
        <v>608.4</v>
      </c>
      <c r="U214" s="19">
        <f t="shared" si="62"/>
        <v>608.4</v>
      </c>
      <c r="V214" s="45">
        <f>SUM(AA214:AB214,AF214)*6%</f>
        <v>78.494366999999983</v>
      </c>
      <c r="W214" s="44">
        <f t="shared" si="65"/>
        <v>78.494366999999983</v>
      </c>
      <c r="Y214" s="19">
        <f t="shared" si="63"/>
        <v>1266.07</v>
      </c>
      <c r="AA214" s="44">
        <f>IFERROR(VLOOKUP(C214,[1]Vendedor!$C$1:$R$65536,16,0),0)</f>
        <v>1046.5915599999998</v>
      </c>
      <c r="AB214" s="45">
        <f t="shared" si="58"/>
        <v>261.64788999999996</v>
      </c>
      <c r="AC214" s="20"/>
      <c r="AD214" s="44">
        <f>IFERROR(VLOOKUP(C214,[1]Vendedor!$C$1:$T$65536,18,0),0)</f>
        <v>0</v>
      </c>
      <c r="AE214" s="45">
        <f t="shared" si="59"/>
        <v>1308.2394499999998</v>
      </c>
      <c r="AF214" s="44">
        <f t="shared" si="64"/>
        <v>0</v>
      </c>
      <c r="AG214" s="20"/>
      <c r="AH214" s="20"/>
    </row>
    <row r="215" spans="1:34" x14ac:dyDescent="0.25">
      <c r="A215" s="30">
        <v>200</v>
      </c>
      <c r="B215" s="30">
        <v>132</v>
      </c>
      <c r="C215" s="32" t="str">
        <f t="shared" si="55"/>
        <v>200-132</v>
      </c>
      <c r="D215" s="16" t="s">
        <v>446</v>
      </c>
      <c r="E215" s="16" t="s">
        <v>14</v>
      </c>
      <c r="F215" s="15" t="s">
        <v>447</v>
      </c>
      <c r="G215" s="17">
        <v>44152</v>
      </c>
      <c r="H215" s="15" t="s">
        <v>10</v>
      </c>
      <c r="I215" s="18"/>
      <c r="J215" s="43">
        <f t="shared" si="61"/>
        <v>30</v>
      </c>
      <c r="K215" s="43">
        <v>0</v>
      </c>
      <c r="L215" s="43">
        <f t="shared" si="56"/>
        <v>30</v>
      </c>
      <c r="M215" s="18"/>
      <c r="N215" s="19">
        <v>0</v>
      </c>
      <c r="O215" s="19">
        <v>1266.07</v>
      </c>
      <c r="P215" s="19"/>
      <c r="Q215" s="19"/>
      <c r="R215" s="19"/>
      <c r="S215" s="19"/>
      <c r="T215" s="19">
        <v>468</v>
      </c>
      <c r="U215" s="19">
        <f t="shared" si="62"/>
        <v>468</v>
      </c>
      <c r="V215" s="45">
        <f>SUM(AA215:AB215,AF215)*6%</f>
        <v>112.79635499999999</v>
      </c>
      <c r="W215" s="44">
        <f t="shared" si="65"/>
        <v>112.79635499999999</v>
      </c>
      <c r="Y215" s="19">
        <f t="shared" si="63"/>
        <v>1266.07</v>
      </c>
      <c r="AA215" s="44">
        <f>IFERROR(VLOOKUP(C215,[1]Vendedor!$C$1:$R$65536,16,0),0)</f>
        <v>1503.9513999999999</v>
      </c>
      <c r="AB215" s="45">
        <f t="shared" si="58"/>
        <v>375.98784999999998</v>
      </c>
      <c r="AC215" s="20"/>
      <c r="AD215" s="44">
        <f>IFERROR(VLOOKUP(C215,[1]Vendedor!$C$1:$T$65536,18,0),0)</f>
        <v>268.56274999999999</v>
      </c>
      <c r="AE215" s="45">
        <f t="shared" si="59"/>
        <v>2148.502</v>
      </c>
      <c r="AF215" s="44">
        <f t="shared" si="64"/>
        <v>0</v>
      </c>
      <c r="AG215" s="20"/>
      <c r="AH215" s="20"/>
    </row>
    <row r="216" spans="1:34" x14ac:dyDescent="0.25">
      <c r="A216" s="30">
        <v>200</v>
      </c>
      <c r="B216" s="30">
        <v>130</v>
      </c>
      <c r="C216" s="32" t="str">
        <f t="shared" si="55"/>
        <v>200-130</v>
      </c>
      <c r="D216" s="16" t="s">
        <v>444</v>
      </c>
      <c r="E216" s="16" t="s">
        <v>21</v>
      </c>
      <c r="F216" s="15" t="s">
        <v>445</v>
      </c>
      <c r="G216" s="17">
        <v>44147</v>
      </c>
      <c r="H216" s="15" t="s">
        <v>10</v>
      </c>
      <c r="I216" s="18"/>
      <c r="J216" s="43">
        <f t="shared" si="61"/>
        <v>30</v>
      </c>
      <c r="K216" s="43">
        <v>0</v>
      </c>
      <c r="L216" s="43">
        <f t="shared" si="56"/>
        <v>30</v>
      </c>
      <c r="M216" s="18"/>
      <c r="N216" s="19">
        <v>1131.54</v>
      </c>
      <c r="O216" s="19">
        <v>0</v>
      </c>
      <c r="P216" s="19">
        <v>135</v>
      </c>
      <c r="Q216" s="19"/>
      <c r="R216" s="19"/>
      <c r="S216" s="19"/>
      <c r="T216" s="19">
        <v>468</v>
      </c>
      <c r="U216" s="19">
        <f t="shared" si="62"/>
        <v>468</v>
      </c>
      <c r="V216" s="45">
        <f>SUM(AA216:AB216,AF216)*6%</f>
        <v>67.892399999999995</v>
      </c>
      <c r="W216" s="44">
        <f t="shared" si="65"/>
        <v>67.892399999999995</v>
      </c>
      <c r="Y216" s="19">
        <f t="shared" si="63"/>
        <v>1131.54</v>
      </c>
      <c r="AA216" s="44">
        <f>IFERROR(VLOOKUP(C216,[1]Vendedor!$C$1:$R$65536,16,0),0)</f>
        <v>0</v>
      </c>
      <c r="AB216" s="45">
        <f t="shared" si="58"/>
        <v>0</v>
      </c>
      <c r="AC216" s="20"/>
      <c r="AD216" s="44">
        <f>IFERROR(VLOOKUP(C216,[1]Vendedor!$C$1:$T$65536,18,0),0)</f>
        <v>0</v>
      </c>
      <c r="AE216" s="45">
        <f t="shared" si="59"/>
        <v>0</v>
      </c>
      <c r="AF216" s="44">
        <f t="shared" si="64"/>
        <v>1131.54</v>
      </c>
      <c r="AG216" s="20"/>
      <c r="AH216" s="20"/>
    </row>
    <row r="217" spans="1:34" x14ac:dyDescent="0.25">
      <c r="A217" s="30">
        <v>200</v>
      </c>
      <c r="B217" s="30">
        <v>133</v>
      </c>
      <c r="C217" s="32" t="str">
        <f t="shared" si="55"/>
        <v>200-133</v>
      </c>
      <c r="D217" s="16" t="s">
        <v>448</v>
      </c>
      <c r="E217" s="16" t="s">
        <v>21</v>
      </c>
      <c r="F217" s="15" t="s">
        <v>449</v>
      </c>
      <c r="G217" s="17">
        <v>44155</v>
      </c>
      <c r="H217" s="15" t="s">
        <v>68</v>
      </c>
      <c r="I217" s="18"/>
      <c r="J217" s="43">
        <f t="shared" si="61"/>
        <v>30</v>
      </c>
      <c r="K217" s="43">
        <v>0</v>
      </c>
      <c r="L217" s="43">
        <f t="shared" si="56"/>
        <v>30</v>
      </c>
      <c r="M217" s="18"/>
      <c r="N217" s="19">
        <v>1131.54</v>
      </c>
      <c r="O217" s="19">
        <v>0</v>
      </c>
      <c r="P217" s="19">
        <v>135</v>
      </c>
      <c r="Q217" s="19"/>
      <c r="R217" s="19"/>
      <c r="S217" s="19">
        <f>IFERROR(VLOOKUP(C217,[2]Base!$C$1:$S$65536,17,0),0)</f>
        <v>0</v>
      </c>
      <c r="T217" s="19"/>
      <c r="U217" s="19">
        <f t="shared" si="62"/>
        <v>0</v>
      </c>
      <c r="V217" s="20"/>
      <c r="W217" s="44">
        <f t="shared" si="65"/>
        <v>0</v>
      </c>
      <c r="Y217" s="19">
        <f t="shared" si="63"/>
        <v>1131.54</v>
      </c>
      <c r="AA217" s="44">
        <f>IFERROR(VLOOKUP(C217,[1]Vendedor!$C$1:$R$65536,16,0),0)</f>
        <v>0</v>
      </c>
      <c r="AB217" s="45">
        <f t="shared" si="58"/>
        <v>0</v>
      </c>
      <c r="AC217" s="20"/>
      <c r="AD217" s="44">
        <f>IFERROR(VLOOKUP(C217,[1]Vendedor!$C$1:$T$65536,18,0),0)</f>
        <v>0</v>
      </c>
      <c r="AE217" s="45">
        <f t="shared" si="59"/>
        <v>0</v>
      </c>
      <c r="AF217" s="44">
        <f t="shared" si="64"/>
        <v>1131.54</v>
      </c>
      <c r="AG217" s="20"/>
      <c r="AH217" s="20"/>
    </row>
    <row r="218" spans="1:34" x14ac:dyDescent="0.25">
      <c r="A218" s="30">
        <v>200</v>
      </c>
      <c r="B218" s="30">
        <v>120</v>
      </c>
      <c r="C218" s="32" t="str">
        <f t="shared" si="55"/>
        <v>200-120</v>
      </c>
      <c r="D218" s="16" t="s">
        <v>438</v>
      </c>
      <c r="E218" s="16" t="s">
        <v>14</v>
      </c>
      <c r="F218" s="15" t="s">
        <v>439</v>
      </c>
      <c r="G218" s="17">
        <v>43721</v>
      </c>
      <c r="H218" s="15" t="s">
        <v>10</v>
      </c>
      <c r="I218" s="18"/>
      <c r="J218" s="43">
        <f t="shared" si="61"/>
        <v>30</v>
      </c>
      <c r="K218" s="43">
        <v>0</v>
      </c>
      <c r="L218" s="43">
        <f t="shared" si="56"/>
        <v>30</v>
      </c>
      <c r="M218" s="18"/>
      <c r="N218" s="19">
        <v>0</v>
      </c>
      <c r="O218" s="19">
        <v>1266.07</v>
      </c>
      <c r="P218" s="19"/>
      <c r="Q218" s="19"/>
      <c r="R218" s="19"/>
      <c r="S218" s="19"/>
      <c r="T218" s="19">
        <v>234</v>
      </c>
      <c r="U218" s="19">
        <f t="shared" si="62"/>
        <v>234</v>
      </c>
      <c r="V218" s="45">
        <f>SUM(AA218:AB218,AF218)*6%</f>
        <v>75.964199999999991</v>
      </c>
      <c r="W218" s="44">
        <f t="shared" si="65"/>
        <v>75.964199999999991</v>
      </c>
      <c r="Y218" s="19">
        <f t="shared" si="63"/>
        <v>1266.07</v>
      </c>
      <c r="AA218" s="44">
        <f>IFERROR(VLOOKUP(C218,[1]Vendedor!$C$1:$R$65536,16,0),0)</f>
        <v>705.54427999999984</v>
      </c>
      <c r="AB218" s="45">
        <f t="shared" si="58"/>
        <v>176.38606999999996</v>
      </c>
      <c r="AC218" s="20"/>
      <c r="AD218" s="44">
        <f>IFERROR(VLOOKUP(C218,[1]Vendedor!$C$1:$T$65536,18,0),0)</f>
        <v>0</v>
      </c>
      <c r="AE218" s="45">
        <f t="shared" si="59"/>
        <v>881.93034999999986</v>
      </c>
      <c r="AF218" s="44">
        <f t="shared" si="64"/>
        <v>384.13965000000007</v>
      </c>
      <c r="AG218" s="20"/>
      <c r="AH218" s="20"/>
    </row>
    <row r="219" spans="1:34" x14ac:dyDescent="0.25">
      <c r="A219" s="30">
        <v>200</v>
      </c>
      <c r="B219" s="30">
        <v>74</v>
      </c>
      <c r="C219" s="32" t="str">
        <f t="shared" si="55"/>
        <v>200-74</v>
      </c>
      <c r="D219" s="16" t="s">
        <v>434</v>
      </c>
      <c r="E219" s="16" t="s">
        <v>14</v>
      </c>
      <c r="F219" s="15" t="s">
        <v>435</v>
      </c>
      <c r="G219" s="17">
        <v>42830</v>
      </c>
      <c r="H219" s="15" t="s">
        <v>10</v>
      </c>
      <c r="I219" s="18"/>
      <c r="J219" s="43">
        <f t="shared" si="61"/>
        <v>30</v>
      </c>
      <c r="K219" s="43">
        <v>0</v>
      </c>
      <c r="L219" s="43">
        <f t="shared" si="56"/>
        <v>30</v>
      </c>
      <c r="M219" s="18"/>
      <c r="N219" s="19">
        <v>0</v>
      </c>
      <c r="O219" s="19">
        <v>1266.07</v>
      </c>
      <c r="P219" s="19"/>
      <c r="Q219" s="19"/>
      <c r="R219" s="19"/>
      <c r="S219" s="19"/>
      <c r="T219" s="19">
        <v>292.5</v>
      </c>
      <c r="U219" s="19">
        <f t="shared" si="62"/>
        <v>292.5</v>
      </c>
      <c r="V219" s="45">
        <f>SUM(AA219:AB219,AF219)*6%</f>
        <v>123.10865699999997</v>
      </c>
      <c r="W219" s="44">
        <f t="shared" si="65"/>
        <v>123.10865699999997</v>
      </c>
      <c r="Y219" s="19">
        <f t="shared" si="63"/>
        <v>1266.07</v>
      </c>
      <c r="AA219" s="44">
        <f>IFERROR(VLOOKUP(C219,[1]Vendedor!$C$1:$R$65536,16,0),0)</f>
        <v>1641.4487599999998</v>
      </c>
      <c r="AB219" s="45">
        <f t="shared" si="58"/>
        <v>410.36218999999994</v>
      </c>
      <c r="AC219" s="20">
        <v>150</v>
      </c>
      <c r="AD219" s="44">
        <f>IFERROR(VLOOKUP(C219,[1]Vendedor!$C$1:$T$65536,18,0),0)</f>
        <v>293.11585000000002</v>
      </c>
      <c r="AE219" s="45">
        <f t="shared" si="59"/>
        <v>2494.9267999999997</v>
      </c>
      <c r="AF219" s="44">
        <f t="shared" si="64"/>
        <v>0</v>
      </c>
      <c r="AG219" s="20">
        <v>300</v>
      </c>
      <c r="AH219" s="20"/>
    </row>
    <row r="220" spans="1:34" x14ac:dyDescent="0.25">
      <c r="A220" s="30">
        <v>200</v>
      </c>
      <c r="B220" s="30">
        <v>136</v>
      </c>
      <c r="C220" s="32" t="str">
        <f t="shared" si="55"/>
        <v>200-136</v>
      </c>
      <c r="D220" s="16" t="s">
        <v>452</v>
      </c>
      <c r="E220" s="16" t="s">
        <v>21</v>
      </c>
      <c r="F220" s="15" t="s">
        <v>453</v>
      </c>
      <c r="G220" s="17">
        <v>44355</v>
      </c>
      <c r="H220" s="15" t="s">
        <v>10</v>
      </c>
      <c r="I220" s="18"/>
      <c r="J220" s="43">
        <v>23</v>
      </c>
      <c r="K220" s="43">
        <v>0</v>
      </c>
      <c r="L220" s="43">
        <f t="shared" si="56"/>
        <v>23</v>
      </c>
      <c r="M220" s="18"/>
      <c r="N220" s="19">
        <v>1131.54</v>
      </c>
      <c r="O220" s="19">
        <v>0</v>
      </c>
      <c r="P220" s="19">
        <v>135</v>
      </c>
      <c r="Q220" s="19"/>
      <c r="R220" s="19">
        <v>103.04</v>
      </c>
      <c r="S220" s="19"/>
      <c r="T220" s="19">
        <v>203.7</v>
      </c>
      <c r="U220" s="19">
        <f t="shared" si="62"/>
        <v>203.7</v>
      </c>
      <c r="V220" s="45">
        <f>SUM(AA220:AB220,AF220)*6%</f>
        <v>52.050839999999994</v>
      </c>
      <c r="W220" s="44">
        <f t="shared" si="65"/>
        <v>52.050839999999994</v>
      </c>
      <c r="Y220" s="19">
        <f t="shared" si="63"/>
        <v>867.5139999999999</v>
      </c>
      <c r="AA220" s="44">
        <f>IFERROR(VLOOKUP(C220,[1]Vendedor!$C$1:$R$65536,16,0),0)</f>
        <v>0</v>
      </c>
      <c r="AB220" s="45">
        <f t="shared" si="58"/>
        <v>0</v>
      </c>
      <c r="AC220" s="20"/>
      <c r="AD220" s="44">
        <f>IFERROR(VLOOKUP(C220,[1]Vendedor!$C$1:$T$65536,18,0),0)</f>
        <v>0</v>
      </c>
      <c r="AE220" s="45">
        <f t="shared" si="59"/>
        <v>0</v>
      </c>
      <c r="AF220" s="44">
        <f t="shared" si="64"/>
        <v>867.5139999999999</v>
      </c>
      <c r="AG220" s="20"/>
      <c r="AH220" s="20"/>
    </row>
    <row r="221" spans="1:34" x14ac:dyDescent="0.25">
      <c r="A221" s="30">
        <v>200</v>
      </c>
      <c r="B221" s="30">
        <v>128</v>
      </c>
      <c r="C221" s="32" t="str">
        <f t="shared" si="55"/>
        <v>200-128</v>
      </c>
      <c r="D221" s="16" t="s">
        <v>440</v>
      </c>
      <c r="E221" s="16" t="s">
        <v>11</v>
      </c>
      <c r="F221" s="15" t="s">
        <v>441</v>
      </c>
      <c r="G221" s="17">
        <v>44075</v>
      </c>
      <c r="H221" s="15" t="s">
        <v>10</v>
      </c>
      <c r="I221" s="18"/>
      <c r="J221" s="43">
        <f>30-K221</f>
        <v>30</v>
      </c>
      <c r="K221" s="43">
        <v>0</v>
      </c>
      <c r="L221" s="43">
        <f t="shared" si="56"/>
        <v>30</v>
      </c>
      <c r="M221" s="18"/>
      <c r="N221" s="19">
        <v>0</v>
      </c>
      <c r="O221" s="19">
        <v>4569.3</v>
      </c>
      <c r="P221" s="19"/>
      <c r="Q221" s="19"/>
      <c r="R221" s="19"/>
      <c r="S221" s="19">
        <f>IFERROR(VLOOKUP(C221,[2]Base!$C$1:$S$65536,17,0),0)</f>
        <v>0</v>
      </c>
      <c r="T221" s="19"/>
      <c r="U221" s="19">
        <f t="shared" si="62"/>
        <v>0</v>
      </c>
      <c r="V221" s="20"/>
      <c r="W221" s="44">
        <f t="shared" si="65"/>
        <v>0</v>
      </c>
      <c r="Y221" s="19">
        <f t="shared" si="63"/>
        <v>4569.3</v>
      </c>
      <c r="AA221" s="44">
        <f>VLOOKUP(A221,[3]Gerentes!$B$1:$O$65536,14,0)</f>
        <v>3241.0443000000005</v>
      </c>
      <c r="AB221" s="45">
        <f t="shared" si="58"/>
        <v>810.26107500000012</v>
      </c>
      <c r="AC221" s="20"/>
      <c r="AD221" s="44" t="str">
        <f>VLOOKUP(A221,[3]Gerentes!$B$1:$Q$65536,16,0)</f>
        <v>2000</v>
      </c>
      <c r="AE221" s="45">
        <f t="shared" si="59"/>
        <v>4051.3053750000008</v>
      </c>
      <c r="AF221" s="44">
        <f t="shared" si="64"/>
        <v>517.99462499999936</v>
      </c>
      <c r="AG221" s="20"/>
      <c r="AH221" s="20"/>
    </row>
    <row r="222" spans="1:34" x14ac:dyDescent="0.25">
      <c r="A222" s="30">
        <v>200</v>
      </c>
      <c r="B222" s="30">
        <v>135</v>
      </c>
      <c r="C222" s="32" t="str">
        <f t="shared" si="55"/>
        <v>200-135</v>
      </c>
      <c r="D222" s="16" t="s">
        <v>450</v>
      </c>
      <c r="E222" s="16" t="s">
        <v>14</v>
      </c>
      <c r="F222" s="15" t="s">
        <v>451</v>
      </c>
      <c r="G222" s="17">
        <v>44352</v>
      </c>
      <c r="H222" s="15" t="s">
        <v>10</v>
      </c>
      <c r="I222" s="18"/>
      <c r="J222" s="43">
        <v>25</v>
      </c>
      <c r="K222" s="43">
        <v>0</v>
      </c>
      <c r="L222" s="43">
        <f t="shared" si="56"/>
        <v>25</v>
      </c>
      <c r="M222" s="18"/>
      <c r="N222" s="19">
        <v>0</v>
      </c>
      <c r="O222" s="19">
        <v>1266.07</v>
      </c>
      <c r="P222" s="19"/>
      <c r="Q222" s="19"/>
      <c r="R222" s="19">
        <v>296.24</v>
      </c>
      <c r="S222" s="19"/>
      <c r="T222" s="19">
        <v>536.25</v>
      </c>
      <c r="U222" s="19">
        <f t="shared" si="62"/>
        <v>536.25</v>
      </c>
      <c r="V222" s="45">
        <f>SUM(AA222:AB222,AF222)*6%</f>
        <v>63.303499999999985</v>
      </c>
      <c r="W222" s="44">
        <f t="shared" si="65"/>
        <v>63.303499999999985</v>
      </c>
      <c r="Y222" s="19">
        <f t="shared" si="63"/>
        <v>1055.0583333333332</v>
      </c>
      <c r="AA222" s="44">
        <f>IFERROR(VLOOKUP(C222,[1]Vendedor!$C$1:$R$65536,16,0),0)</f>
        <v>750.22191999999995</v>
      </c>
      <c r="AB222" s="45">
        <f t="shared" si="58"/>
        <v>187.55547999999999</v>
      </c>
      <c r="AC222" s="20"/>
      <c r="AD222" s="44">
        <f>IFERROR(VLOOKUP(C222,[1]Vendedor!$C$1:$T$65536,18,0),0)</f>
        <v>0</v>
      </c>
      <c r="AE222" s="45">
        <f t="shared" si="59"/>
        <v>937.77739999999994</v>
      </c>
      <c r="AF222" s="44">
        <f t="shared" si="64"/>
        <v>117.28093333333322</v>
      </c>
      <c r="AG222" s="20"/>
      <c r="AH222" s="20"/>
    </row>
    <row r="223" spans="1:34" x14ac:dyDescent="0.25">
      <c r="AA223" s="46"/>
      <c r="AB223" s="46"/>
      <c r="AC223" s="46"/>
      <c r="AD223" s="46"/>
    </row>
  </sheetData>
  <mergeCells count="1">
    <mergeCell ref="A1:A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656"/>
  <sheetViews>
    <sheetView showGridLines="0" topLeftCell="A385" workbookViewId="0">
      <selection activeCell="R397" sqref="R397"/>
    </sheetView>
  </sheetViews>
  <sheetFormatPr defaultColWidth="9.109375" defaultRowHeight="13.2" x14ac:dyDescent="0.25"/>
  <cols>
    <col min="1" max="1" width="4.88671875" style="54" customWidth="1"/>
    <col min="2" max="3" width="7.33203125" style="55" customWidth="1"/>
    <col min="4" max="4" width="35.109375" style="54" customWidth="1"/>
    <col min="5" max="10" width="14.88671875" style="64" hidden="1" customWidth="1"/>
    <col min="11" max="11" width="14.88671875" style="64" customWidth="1"/>
    <col min="12" max="12" width="1.33203125" style="54" customWidth="1"/>
    <col min="13" max="13" width="11.6640625" style="54" bestFit="1" customWidth="1"/>
    <col min="14" max="14" width="9.109375" style="54"/>
    <col min="15" max="15" width="1.33203125" style="54" customWidth="1"/>
    <col min="16" max="16" width="12.6640625" style="54" bestFit="1" customWidth="1"/>
    <col min="17" max="17" width="9.109375" style="54"/>
    <col min="18" max="18" width="11.33203125" style="54" bestFit="1" customWidth="1"/>
    <col min="19" max="20" width="10.33203125" style="54" bestFit="1" customWidth="1"/>
    <col min="21" max="16384" width="9.109375" style="54"/>
  </cols>
  <sheetData>
    <row r="1" spans="1:20" x14ac:dyDescent="0.25">
      <c r="E1" s="54"/>
      <c r="F1" s="54"/>
      <c r="G1" s="54"/>
      <c r="H1" s="54"/>
      <c r="I1" s="54"/>
      <c r="J1" s="54"/>
      <c r="K1" s="54"/>
    </row>
    <row r="2" spans="1:20" ht="12.75" customHeight="1" x14ac:dyDescent="0.25">
      <c r="A2" s="56" t="s">
        <v>454</v>
      </c>
      <c r="B2" s="57" t="s">
        <v>474</v>
      </c>
      <c r="C2" s="57"/>
      <c r="D2" s="56" t="s">
        <v>475</v>
      </c>
      <c r="E2" s="57" t="s">
        <v>476</v>
      </c>
      <c r="F2" s="57" t="s">
        <v>477</v>
      </c>
      <c r="G2" s="57" t="s">
        <v>478</v>
      </c>
      <c r="H2" s="57" t="s">
        <v>479</v>
      </c>
      <c r="I2" s="57" t="s">
        <v>480</v>
      </c>
      <c r="J2" s="57" t="s">
        <v>481</v>
      </c>
      <c r="K2" s="57" t="s">
        <v>482</v>
      </c>
      <c r="L2" s="58"/>
      <c r="M2" s="59" t="s">
        <v>483</v>
      </c>
      <c r="N2" s="59" t="s">
        <v>484</v>
      </c>
      <c r="O2" s="58"/>
      <c r="P2" s="57" t="s">
        <v>485</v>
      </c>
      <c r="R2" s="60" t="s">
        <v>486</v>
      </c>
      <c r="S2" s="60" t="s">
        <v>466</v>
      </c>
      <c r="T2" s="60" t="s">
        <v>487</v>
      </c>
    </row>
    <row r="3" spans="1:20" ht="12.75" customHeight="1" x14ac:dyDescent="0.25">
      <c r="A3" s="61">
        <v>62</v>
      </c>
      <c r="B3" s="62">
        <v>266</v>
      </c>
      <c r="C3" s="62" t="str">
        <f>CONCATENATE(A3,"-",B3)</f>
        <v>62-266</v>
      </c>
      <c r="D3" s="63" t="s">
        <v>8</v>
      </c>
      <c r="E3" s="64">
        <v>2621.79</v>
      </c>
      <c r="G3" s="64">
        <v>0</v>
      </c>
      <c r="H3" s="64">
        <v>0</v>
      </c>
      <c r="I3" s="64">
        <v>0</v>
      </c>
      <c r="K3" s="64">
        <f>SUM(E3:J3)</f>
        <v>2621.79</v>
      </c>
      <c r="M3" s="64"/>
      <c r="N3" s="65">
        <f>IFERROR(K3/M3,)</f>
        <v>0</v>
      </c>
      <c r="P3" s="64">
        <v>700000</v>
      </c>
      <c r="R3" s="66">
        <v>0</v>
      </c>
      <c r="S3" s="67">
        <f>R3*25%</f>
        <v>0</v>
      </c>
      <c r="T3" s="66">
        <f>IF(N3&gt;1,K3*0.5%,0)</f>
        <v>0</v>
      </c>
    </row>
    <row r="4" spans="1:20" ht="12.75" customHeight="1" x14ac:dyDescent="0.25">
      <c r="A4" s="61">
        <v>62</v>
      </c>
      <c r="B4" s="62">
        <v>282</v>
      </c>
      <c r="C4" s="62" t="str">
        <f t="shared" ref="C4:C67" si="0">CONCATENATE(A4,"-",B4)</f>
        <v>62-282</v>
      </c>
      <c r="D4" s="63" t="s">
        <v>12</v>
      </c>
      <c r="E4" s="64">
        <v>33983.49</v>
      </c>
      <c r="G4" s="64">
        <v>0</v>
      </c>
      <c r="H4" s="64">
        <v>349.99</v>
      </c>
      <c r="I4" s="64">
        <v>0</v>
      </c>
      <c r="K4" s="64">
        <f t="shared" ref="K4:K13" si="1">SUM(E4:J4)</f>
        <v>34333.479999999996</v>
      </c>
      <c r="M4" s="64">
        <v>110000</v>
      </c>
      <c r="N4" s="65">
        <f t="shared" ref="N4:N13" si="2">IFERROR(K4/M4,)</f>
        <v>0.31212254545454543</v>
      </c>
      <c r="R4" s="66">
        <f t="shared" ref="R4:R10" si="3">K4*2.8%</f>
        <v>961.33743999999979</v>
      </c>
      <c r="S4" s="67">
        <f t="shared" ref="S4:S10" si="4">R4*25%</f>
        <v>240.33435999999995</v>
      </c>
      <c r="T4" s="66">
        <f t="shared" ref="T4:T10" si="5">IF(N4&gt;1,K4*0.5%,0)</f>
        <v>0</v>
      </c>
    </row>
    <row r="5" spans="1:20" ht="12.75" customHeight="1" x14ac:dyDescent="0.25">
      <c r="A5" s="61">
        <v>62</v>
      </c>
      <c r="B5" s="62">
        <v>286</v>
      </c>
      <c r="C5" s="62" t="str">
        <f t="shared" si="0"/>
        <v>62-286</v>
      </c>
      <c r="D5" s="63" t="s">
        <v>15</v>
      </c>
      <c r="E5" s="64">
        <v>138809.43</v>
      </c>
      <c r="G5" s="64">
        <v>0</v>
      </c>
      <c r="H5" s="64">
        <v>899.99</v>
      </c>
      <c r="I5" s="64">
        <v>0</v>
      </c>
      <c r="K5" s="64">
        <f t="shared" si="1"/>
        <v>139709.41999999998</v>
      </c>
      <c r="M5" s="64">
        <v>110000</v>
      </c>
      <c r="N5" s="65">
        <f t="shared" si="2"/>
        <v>1.2700856363636361</v>
      </c>
      <c r="R5" s="66">
        <f t="shared" si="3"/>
        <v>3911.8637599999993</v>
      </c>
      <c r="S5" s="67">
        <f t="shared" si="4"/>
        <v>977.96593999999982</v>
      </c>
      <c r="T5" s="66">
        <f t="shared" si="5"/>
        <v>698.54709999999989</v>
      </c>
    </row>
    <row r="6" spans="1:20" ht="12.75" customHeight="1" x14ac:dyDescent="0.25">
      <c r="A6" s="61">
        <v>62</v>
      </c>
      <c r="B6" s="62">
        <v>289</v>
      </c>
      <c r="C6" s="62" t="str">
        <f t="shared" si="0"/>
        <v>62-289</v>
      </c>
      <c r="D6" s="63" t="s">
        <v>488</v>
      </c>
      <c r="E6" s="64">
        <v>127062.55</v>
      </c>
      <c r="G6" s="64">
        <v>0</v>
      </c>
      <c r="H6" s="64">
        <v>0</v>
      </c>
      <c r="I6" s="64">
        <v>0</v>
      </c>
      <c r="K6" s="64">
        <f t="shared" si="1"/>
        <v>127062.55</v>
      </c>
      <c r="M6" s="64">
        <v>110000</v>
      </c>
      <c r="N6" s="65">
        <f t="shared" si="2"/>
        <v>1.1551140909090909</v>
      </c>
      <c r="R6" s="66">
        <f t="shared" si="3"/>
        <v>3557.7513999999996</v>
      </c>
      <c r="S6" s="67">
        <f t="shared" si="4"/>
        <v>889.43784999999991</v>
      </c>
      <c r="T6" s="66">
        <f t="shared" si="5"/>
        <v>635.31275000000005</v>
      </c>
    </row>
    <row r="7" spans="1:20" ht="12.75" customHeight="1" x14ac:dyDescent="0.25">
      <c r="A7" s="61">
        <v>62</v>
      </c>
      <c r="B7" s="62">
        <v>314</v>
      </c>
      <c r="C7" s="62" t="str">
        <f t="shared" si="0"/>
        <v>62-314</v>
      </c>
      <c r="D7" s="63" t="s">
        <v>489</v>
      </c>
      <c r="E7" s="64">
        <v>111127.59</v>
      </c>
      <c r="G7" s="64">
        <v>0</v>
      </c>
      <c r="H7" s="64">
        <v>0</v>
      </c>
      <c r="I7" s="64">
        <v>0</v>
      </c>
      <c r="K7" s="64">
        <f t="shared" si="1"/>
        <v>111127.59</v>
      </c>
      <c r="M7" s="64">
        <v>110000</v>
      </c>
      <c r="N7" s="65">
        <f t="shared" si="2"/>
        <v>1.0102508181818182</v>
      </c>
      <c r="R7" s="66">
        <f t="shared" si="3"/>
        <v>3111.5725199999997</v>
      </c>
      <c r="S7" s="67">
        <f t="shared" si="4"/>
        <v>777.89312999999993</v>
      </c>
      <c r="T7" s="66">
        <f t="shared" si="5"/>
        <v>555.63795000000005</v>
      </c>
    </row>
    <row r="8" spans="1:20" ht="12.75" customHeight="1" x14ac:dyDescent="0.25">
      <c r="A8" s="61">
        <v>62</v>
      </c>
      <c r="B8" s="62">
        <v>316</v>
      </c>
      <c r="C8" s="62" t="str">
        <f t="shared" si="0"/>
        <v>62-316</v>
      </c>
      <c r="D8" s="63" t="s">
        <v>490</v>
      </c>
      <c r="E8" s="64">
        <v>114704.26</v>
      </c>
      <c r="G8" s="64">
        <v>0</v>
      </c>
      <c r="H8" s="64">
        <v>0</v>
      </c>
      <c r="I8" s="64">
        <v>0</v>
      </c>
      <c r="K8" s="64">
        <f t="shared" si="1"/>
        <v>114704.26</v>
      </c>
      <c r="M8" s="64">
        <v>110000</v>
      </c>
      <c r="N8" s="65">
        <f t="shared" si="2"/>
        <v>1.0427659999999999</v>
      </c>
      <c r="R8" s="66">
        <f t="shared" si="3"/>
        <v>3211.7192799999993</v>
      </c>
      <c r="S8" s="67">
        <f t="shared" si="4"/>
        <v>802.92981999999984</v>
      </c>
      <c r="T8" s="66">
        <f t="shared" si="5"/>
        <v>573.5213</v>
      </c>
    </row>
    <row r="9" spans="1:20" ht="12.75" customHeight="1" x14ac:dyDescent="0.25">
      <c r="A9" s="61">
        <v>62</v>
      </c>
      <c r="B9" s="62">
        <v>320</v>
      </c>
      <c r="C9" s="62" t="str">
        <f t="shared" si="0"/>
        <v>62-320</v>
      </c>
      <c r="D9" s="63" t="s">
        <v>491</v>
      </c>
      <c r="E9" s="64">
        <v>111639.66</v>
      </c>
      <c r="G9" s="64">
        <v>0</v>
      </c>
      <c r="H9" s="64">
        <v>199.99</v>
      </c>
      <c r="I9" s="64">
        <v>0</v>
      </c>
      <c r="K9" s="64">
        <f t="shared" si="1"/>
        <v>111839.65000000001</v>
      </c>
      <c r="M9" s="64">
        <v>110000</v>
      </c>
      <c r="N9" s="65">
        <f t="shared" si="2"/>
        <v>1.0167240909090909</v>
      </c>
      <c r="R9" s="66">
        <f t="shared" si="3"/>
        <v>3131.5101999999997</v>
      </c>
      <c r="S9" s="67">
        <f t="shared" si="4"/>
        <v>782.87754999999993</v>
      </c>
      <c r="T9" s="66">
        <f t="shared" si="5"/>
        <v>559.19825000000003</v>
      </c>
    </row>
    <row r="10" spans="1:20" ht="12.75" customHeight="1" x14ac:dyDescent="0.25">
      <c r="A10" s="61">
        <v>62</v>
      </c>
      <c r="B10" s="62">
        <v>322</v>
      </c>
      <c r="C10" s="62" t="str">
        <f t="shared" si="0"/>
        <v>62-322</v>
      </c>
      <c r="D10" s="63" t="s">
        <v>492</v>
      </c>
      <c r="E10" s="64">
        <v>75512.289999999994</v>
      </c>
      <c r="G10" s="64">
        <v>0</v>
      </c>
      <c r="H10" s="64">
        <v>0</v>
      </c>
      <c r="I10" s="64">
        <v>0</v>
      </c>
      <c r="K10" s="64">
        <f t="shared" si="1"/>
        <v>75512.289999999994</v>
      </c>
      <c r="M10" s="64">
        <v>110000</v>
      </c>
      <c r="N10" s="65">
        <f t="shared" si="2"/>
        <v>0.68647536363636363</v>
      </c>
      <c r="R10" s="66">
        <f t="shared" si="3"/>
        <v>2114.3441199999997</v>
      </c>
      <c r="S10" s="67">
        <f t="shared" si="4"/>
        <v>528.58602999999994</v>
      </c>
      <c r="T10" s="66">
        <f t="shared" si="5"/>
        <v>0</v>
      </c>
    </row>
    <row r="11" spans="1:20" ht="12.75" customHeight="1" x14ac:dyDescent="0.25">
      <c r="A11" s="61">
        <v>62</v>
      </c>
      <c r="B11" s="62"/>
      <c r="C11" s="62" t="str">
        <f>CONCATENATE(A11,"-",B11)</f>
        <v>62-</v>
      </c>
      <c r="D11" s="63"/>
      <c r="E11" s="64">
        <v>0</v>
      </c>
      <c r="G11" s="64">
        <v>0</v>
      </c>
      <c r="H11" s="64">
        <v>0</v>
      </c>
      <c r="I11" s="64">
        <v>0</v>
      </c>
      <c r="K11" s="64">
        <f t="shared" si="1"/>
        <v>0</v>
      </c>
      <c r="M11" s="64"/>
      <c r="N11" s="65">
        <f t="shared" si="2"/>
        <v>0</v>
      </c>
      <c r="R11" s="68">
        <f>SUM(R3:R10)</f>
        <v>20000.098719999995</v>
      </c>
      <c r="S11" s="68">
        <f>SUM(S3:S10)</f>
        <v>5000.0246799999986</v>
      </c>
      <c r="T11" s="68">
        <f>SUM(T3:T10)</f>
        <v>3022.2173499999999</v>
      </c>
    </row>
    <row r="12" spans="1:20" ht="12.75" customHeight="1" x14ac:dyDescent="0.25">
      <c r="A12" s="61">
        <v>62</v>
      </c>
      <c r="B12" s="62"/>
      <c r="C12" s="62" t="str">
        <f t="shared" si="0"/>
        <v>62-</v>
      </c>
      <c r="D12" s="63"/>
      <c r="E12" s="64">
        <v>0</v>
      </c>
      <c r="G12" s="64">
        <v>0</v>
      </c>
      <c r="H12" s="64">
        <v>0</v>
      </c>
      <c r="I12" s="64">
        <v>0</v>
      </c>
      <c r="K12" s="64">
        <f t="shared" si="1"/>
        <v>0</v>
      </c>
      <c r="M12" s="64"/>
      <c r="N12" s="65">
        <f t="shared" si="2"/>
        <v>0</v>
      </c>
    </row>
    <row r="13" spans="1:20" ht="12.75" customHeight="1" x14ac:dyDescent="0.25">
      <c r="A13" s="61">
        <v>62</v>
      </c>
      <c r="B13" s="62"/>
      <c r="C13" s="62" t="str">
        <f t="shared" si="0"/>
        <v>62-</v>
      </c>
      <c r="D13" s="63"/>
      <c r="E13" s="64">
        <v>0</v>
      </c>
      <c r="G13" s="64">
        <v>0</v>
      </c>
      <c r="H13" s="64">
        <v>0</v>
      </c>
      <c r="I13" s="64">
        <v>0</v>
      </c>
      <c r="K13" s="64">
        <f t="shared" si="1"/>
        <v>0</v>
      </c>
      <c r="M13" s="64"/>
      <c r="N13" s="65">
        <f t="shared" si="2"/>
        <v>0</v>
      </c>
    </row>
    <row r="14" spans="1:20" ht="12.75" customHeight="1" x14ac:dyDescent="0.25">
      <c r="A14" s="69" t="s">
        <v>459</v>
      </c>
      <c r="B14" s="70"/>
      <c r="C14" s="62" t="str">
        <f t="shared" si="0"/>
        <v>Total-</v>
      </c>
      <c r="D14" s="69"/>
      <c r="E14" s="71">
        <v>715461.06</v>
      </c>
      <c r="F14" s="71">
        <v>0</v>
      </c>
      <c r="G14" s="71">
        <v>0</v>
      </c>
      <c r="H14" s="71">
        <v>1449.97</v>
      </c>
      <c r="I14" s="71">
        <v>0</v>
      </c>
      <c r="J14" s="71">
        <v>0</v>
      </c>
      <c r="K14" s="71">
        <f>SUM(K3:K13)</f>
        <v>716911.03</v>
      </c>
      <c r="M14" s="71">
        <f>SUM(M3:M13)</f>
        <v>770000</v>
      </c>
    </row>
    <row r="15" spans="1:20" ht="12.75" customHeight="1" x14ac:dyDescent="0.25">
      <c r="C15" s="62" t="str">
        <f t="shared" si="0"/>
        <v>-</v>
      </c>
    </row>
    <row r="16" spans="1:20" ht="12.75" customHeight="1" x14ac:dyDescent="0.25">
      <c r="C16" s="62" t="str">
        <f t="shared" si="0"/>
        <v>-</v>
      </c>
    </row>
    <row r="17" spans="1:20" ht="12.75" customHeight="1" x14ac:dyDescent="0.25">
      <c r="C17" s="62" t="str">
        <f t="shared" si="0"/>
        <v>-</v>
      </c>
    </row>
    <row r="18" spans="1:20" ht="12.75" customHeight="1" x14ac:dyDescent="0.25">
      <c r="A18" s="56" t="s">
        <v>454</v>
      </c>
      <c r="B18" s="57" t="s">
        <v>474</v>
      </c>
      <c r="C18" s="62" t="str">
        <f t="shared" si="0"/>
        <v>Loja-Cod</v>
      </c>
      <c r="D18" s="56" t="s">
        <v>475</v>
      </c>
      <c r="E18" s="57" t="s">
        <v>476</v>
      </c>
      <c r="F18" s="57" t="s">
        <v>477</v>
      </c>
      <c r="G18" s="57" t="s">
        <v>478</v>
      </c>
      <c r="H18" s="57" t="s">
        <v>479</v>
      </c>
      <c r="I18" s="57" t="s">
        <v>480</v>
      </c>
      <c r="J18" s="57" t="s">
        <v>481</v>
      </c>
      <c r="K18" s="57" t="s">
        <v>482</v>
      </c>
      <c r="M18" s="59" t="s">
        <v>483</v>
      </c>
      <c r="N18" s="59" t="s">
        <v>484</v>
      </c>
      <c r="P18" s="57" t="s">
        <v>485</v>
      </c>
      <c r="R18" s="60" t="s">
        <v>486</v>
      </c>
      <c r="S18" s="60" t="s">
        <v>466</v>
      </c>
      <c r="T18" s="60" t="s">
        <v>487</v>
      </c>
    </row>
    <row r="19" spans="1:20" s="77" customFormat="1" ht="12.75" customHeight="1" x14ac:dyDescent="0.25">
      <c r="A19" s="73">
        <v>93</v>
      </c>
      <c r="B19" s="206">
        <v>36</v>
      </c>
      <c r="C19" s="206" t="str">
        <f t="shared" si="0"/>
        <v>93-36</v>
      </c>
      <c r="D19" s="207" t="s">
        <v>36</v>
      </c>
      <c r="E19" s="76">
        <v>71409.990000000005</v>
      </c>
      <c r="F19" s="76"/>
      <c r="G19" s="76">
        <v>0</v>
      </c>
      <c r="H19" s="76">
        <v>0</v>
      </c>
      <c r="I19" s="76">
        <v>0</v>
      </c>
      <c r="J19" s="76"/>
      <c r="K19" s="76">
        <f t="shared" ref="K19:K29" si="6">SUM(E19:J19)</f>
        <v>71409.990000000005</v>
      </c>
      <c r="M19" s="76">
        <v>70800</v>
      </c>
      <c r="N19" s="78">
        <f t="shared" ref="N19:N29" si="7">IFERROR(K19/M19,)</f>
        <v>1.0086156779661017</v>
      </c>
      <c r="P19" s="76">
        <v>450000</v>
      </c>
      <c r="R19" s="79">
        <f>(K19*2.8%)</f>
        <v>1999.47972</v>
      </c>
      <c r="S19" s="79">
        <f>R19*25%</f>
        <v>499.86993000000001</v>
      </c>
      <c r="T19" s="79">
        <f>IF(N19&gt;1,K19*0.5%,0)</f>
        <v>357.04995000000002</v>
      </c>
    </row>
    <row r="20" spans="1:20" s="77" customFormat="1" ht="12.75" customHeight="1" x14ac:dyDescent="0.25">
      <c r="A20" s="73">
        <v>93</v>
      </c>
      <c r="B20" s="206">
        <v>70</v>
      </c>
      <c r="C20" s="206" t="str">
        <f t="shared" si="0"/>
        <v>93-70</v>
      </c>
      <c r="D20" s="207" t="s">
        <v>38</v>
      </c>
      <c r="E20" s="76">
        <v>57151.839999999997</v>
      </c>
      <c r="F20" s="76"/>
      <c r="G20" s="76">
        <v>0</v>
      </c>
      <c r="H20" s="76">
        <v>199.99</v>
      </c>
      <c r="I20" s="76">
        <v>0</v>
      </c>
      <c r="J20" s="76"/>
      <c r="K20" s="76">
        <f t="shared" si="6"/>
        <v>57351.829999999994</v>
      </c>
      <c r="M20" s="76">
        <v>70800</v>
      </c>
      <c r="N20" s="78">
        <f t="shared" si="7"/>
        <v>0.81005409604519762</v>
      </c>
      <c r="R20" s="79">
        <f t="shared" ref="R20:R26" si="8">(K20*2.8%)</f>
        <v>1605.8512399999997</v>
      </c>
      <c r="S20" s="79">
        <f t="shared" ref="S20:S26" si="9">R20*25%</f>
        <v>401.46280999999993</v>
      </c>
      <c r="T20" s="79">
        <f t="shared" ref="T20:T26" si="10">IF(N20&gt;1,K20*0.5%,0)</f>
        <v>0</v>
      </c>
    </row>
    <row r="21" spans="1:20" s="77" customFormat="1" ht="12.75" customHeight="1" x14ac:dyDescent="0.25">
      <c r="A21" s="73">
        <v>93</v>
      </c>
      <c r="B21" s="206">
        <v>79</v>
      </c>
      <c r="C21" s="206" t="str">
        <f t="shared" si="0"/>
        <v>93-79</v>
      </c>
      <c r="D21" s="207" t="s">
        <v>40</v>
      </c>
      <c r="E21" s="76">
        <v>66351.820000000007</v>
      </c>
      <c r="F21" s="76"/>
      <c r="G21" s="76">
        <v>0</v>
      </c>
      <c r="H21" s="76">
        <v>0</v>
      </c>
      <c r="I21" s="76">
        <v>0</v>
      </c>
      <c r="J21" s="76"/>
      <c r="K21" s="76">
        <f t="shared" si="6"/>
        <v>66351.820000000007</v>
      </c>
      <c r="M21" s="76">
        <v>70800</v>
      </c>
      <c r="N21" s="78">
        <f t="shared" si="7"/>
        <v>0.93717259887005655</v>
      </c>
      <c r="R21" s="79">
        <f t="shared" si="8"/>
        <v>1857.85096</v>
      </c>
      <c r="S21" s="79">
        <f t="shared" si="9"/>
        <v>464.46274</v>
      </c>
      <c r="T21" s="79">
        <f t="shared" si="10"/>
        <v>0</v>
      </c>
    </row>
    <row r="22" spans="1:20" ht="12.75" customHeight="1" x14ac:dyDescent="0.25">
      <c r="A22" s="61">
        <v>93</v>
      </c>
      <c r="B22" s="62">
        <v>90</v>
      </c>
      <c r="C22" s="62" t="str">
        <f t="shared" si="0"/>
        <v>93-90</v>
      </c>
      <c r="D22" s="63" t="s">
        <v>42</v>
      </c>
      <c r="E22" s="64">
        <v>407.97</v>
      </c>
      <c r="G22" s="64">
        <v>0</v>
      </c>
      <c r="H22" s="64">
        <v>0</v>
      </c>
      <c r="I22" s="64">
        <v>0</v>
      </c>
      <c r="K22" s="64">
        <f t="shared" si="6"/>
        <v>407.97</v>
      </c>
      <c r="M22" s="64"/>
      <c r="N22" s="65">
        <f t="shared" si="7"/>
        <v>0</v>
      </c>
      <c r="R22" s="66">
        <v>0</v>
      </c>
      <c r="S22" s="66">
        <f t="shared" si="9"/>
        <v>0</v>
      </c>
      <c r="T22" s="66">
        <f t="shared" si="10"/>
        <v>0</v>
      </c>
    </row>
    <row r="23" spans="1:20" s="77" customFormat="1" ht="12.75" customHeight="1" x14ac:dyDescent="0.25">
      <c r="A23" s="73">
        <v>93</v>
      </c>
      <c r="B23" s="206">
        <v>91</v>
      </c>
      <c r="C23" s="206" t="str">
        <f t="shared" si="0"/>
        <v>93-91</v>
      </c>
      <c r="D23" s="207" t="s">
        <v>44</v>
      </c>
      <c r="E23" s="76">
        <v>71611.839999999997</v>
      </c>
      <c r="F23" s="76"/>
      <c r="G23" s="76">
        <v>0</v>
      </c>
      <c r="H23" s="76">
        <v>0</v>
      </c>
      <c r="I23" s="76">
        <v>0</v>
      </c>
      <c r="J23" s="76"/>
      <c r="K23" s="76">
        <f t="shared" si="6"/>
        <v>71611.839999999997</v>
      </c>
      <c r="M23" s="76">
        <v>70800</v>
      </c>
      <c r="N23" s="78">
        <f t="shared" si="7"/>
        <v>1.0114666666666665</v>
      </c>
      <c r="R23" s="79">
        <f t="shared" si="8"/>
        <v>2005.1315199999997</v>
      </c>
      <c r="S23" s="79">
        <f t="shared" si="9"/>
        <v>501.28287999999992</v>
      </c>
      <c r="T23" s="79">
        <f t="shared" si="10"/>
        <v>358.05919999999998</v>
      </c>
    </row>
    <row r="24" spans="1:20" s="77" customFormat="1" ht="12.75" customHeight="1" x14ac:dyDescent="0.25">
      <c r="A24" s="73">
        <v>93</v>
      </c>
      <c r="B24" s="206">
        <v>95</v>
      </c>
      <c r="C24" s="206" t="str">
        <f t="shared" si="0"/>
        <v>93-95</v>
      </c>
      <c r="D24" s="207" t="s">
        <v>48</v>
      </c>
      <c r="E24" s="76">
        <v>71399.61</v>
      </c>
      <c r="F24" s="76"/>
      <c r="G24" s="76">
        <v>0</v>
      </c>
      <c r="H24" s="76">
        <v>0</v>
      </c>
      <c r="I24" s="76">
        <v>0</v>
      </c>
      <c r="J24" s="76"/>
      <c r="K24" s="76">
        <f t="shared" si="6"/>
        <v>71399.61</v>
      </c>
      <c r="M24" s="76">
        <v>70800</v>
      </c>
      <c r="N24" s="78">
        <f t="shared" si="7"/>
        <v>1.0084690677966102</v>
      </c>
      <c r="R24" s="79">
        <f t="shared" si="8"/>
        <v>1999.1890799999999</v>
      </c>
      <c r="S24" s="79">
        <f t="shared" si="9"/>
        <v>499.79726999999997</v>
      </c>
      <c r="T24" s="79">
        <f t="shared" si="10"/>
        <v>356.99805000000003</v>
      </c>
    </row>
    <row r="25" spans="1:20" s="77" customFormat="1" ht="12.75" customHeight="1" x14ac:dyDescent="0.25">
      <c r="A25" s="73">
        <v>93</v>
      </c>
      <c r="B25" s="206">
        <v>98</v>
      </c>
      <c r="C25" s="206" t="str">
        <f t="shared" si="0"/>
        <v>93-98</v>
      </c>
      <c r="D25" s="207" t="s">
        <v>50</v>
      </c>
      <c r="E25" s="76">
        <v>71165.84</v>
      </c>
      <c r="F25" s="76"/>
      <c r="G25" s="76">
        <v>0</v>
      </c>
      <c r="H25" s="76">
        <v>0</v>
      </c>
      <c r="I25" s="76">
        <v>0</v>
      </c>
      <c r="J25" s="76"/>
      <c r="K25" s="76">
        <f t="shared" si="6"/>
        <v>71165.84</v>
      </c>
      <c r="M25" s="76">
        <v>70800</v>
      </c>
      <c r="N25" s="78">
        <f t="shared" si="7"/>
        <v>1.0051672316384179</v>
      </c>
      <c r="R25" s="79">
        <f t="shared" si="8"/>
        <v>1992.6435199999996</v>
      </c>
      <c r="S25" s="79">
        <f t="shared" si="9"/>
        <v>498.16087999999991</v>
      </c>
      <c r="T25" s="79">
        <f t="shared" si="10"/>
        <v>355.82920000000001</v>
      </c>
    </row>
    <row r="26" spans="1:20" s="77" customFormat="1" ht="12.75" customHeight="1" x14ac:dyDescent="0.25">
      <c r="A26" s="73">
        <v>93</v>
      </c>
      <c r="B26" s="206">
        <v>100</v>
      </c>
      <c r="C26" s="206" t="str">
        <f t="shared" si="0"/>
        <v>93-100</v>
      </c>
      <c r="D26" s="207" t="s">
        <v>493</v>
      </c>
      <c r="E26" s="76">
        <v>71746.89</v>
      </c>
      <c r="F26" s="76"/>
      <c r="G26" s="76">
        <v>0</v>
      </c>
      <c r="H26" s="76">
        <v>0</v>
      </c>
      <c r="I26" s="76">
        <v>0</v>
      </c>
      <c r="J26" s="76"/>
      <c r="K26" s="76">
        <f t="shared" si="6"/>
        <v>71746.89</v>
      </c>
      <c r="M26" s="76">
        <v>70800</v>
      </c>
      <c r="N26" s="78">
        <f t="shared" si="7"/>
        <v>1.013374152542373</v>
      </c>
      <c r="R26" s="79">
        <f t="shared" si="8"/>
        <v>2008.9129199999998</v>
      </c>
      <c r="S26" s="79">
        <f t="shared" si="9"/>
        <v>502.22822999999994</v>
      </c>
      <c r="T26" s="79">
        <f t="shared" si="10"/>
        <v>358.73444999999998</v>
      </c>
    </row>
    <row r="27" spans="1:20" ht="12.75" customHeight="1" x14ac:dyDescent="0.25">
      <c r="A27" s="61">
        <v>93</v>
      </c>
      <c r="B27" s="62"/>
      <c r="C27" s="62" t="str">
        <f t="shared" si="0"/>
        <v>93-</v>
      </c>
      <c r="D27" s="63"/>
      <c r="E27" s="64">
        <v>0</v>
      </c>
      <c r="G27" s="64">
        <v>0</v>
      </c>
      <c r="H27" s="64">
        <v>0</v>
      </c>
      <c r="I27" s="64">
        <v>0</v>
      </c>
      <c r="K27" s="64">
        <f t="shared" si="6"/>
        <v>0</v>
      </c>
      <c r="M27" s="64"/>
      <c r="N27" s="65">
        <f t="shared" si="7"/>
        <v>0</v>
      </c>
      <c r="R27" s="68">
        <f>SUM(R19:R26)</f>
        <v>13469.058959999998</v>
      </c>
      <c r="S27" s="68">
        <f>SUM(S19:S26)</f>
        <v>3367.2647399999996</v>
      </c>
      <c r="T27" s="68">
        <f>SUM(T19:T26)</f>
        <v>1786.67085</v>
      </c>
    </row>
    <row r="28" spans="1:20" ht="12.75" customHeight="1" x14ac:dyDescent="0.25">
      <c r="A28" s="61">
        <v>93</v>
      </c>
      <c r="B28" s="62"/>
      <c r="C28" s="62" t="str">
        <f t="shared" si="0"/>
        <v>93-</v>
      </c>
      <c r="D28" s="63"/>
      <c r="E28" s="64">
        <v>0</v>
      </c>
      <c r="G28" s="64">
        <v>0</v>
      </c>
      <c r="H28" s="64">
        <v>0</v>
      </c>
      <c r="I28" s="64">
        <v>0</v>
      </c>
      <c r="K28" s="64">
        <f t="shared" si="6"/>
        <v>0</v>
      </c>
      <c r="M28" s="64"/>
      <c r="N28" s="65">
        <f t="shared" si="7"/>
        <v>0</v>
      </c>
    </row>
    <row r="29" spans="1:20" ht="12.75" customHeight="1" x14ac:dyDescent="0.25">
      <c r="A29" s="61">
        <v>93</v>
      </c>
      <c r="B29" s="62"/>
      <c r="C29" s="62" t="str">
        <f t="shared" si="0"/>
        <v>93-</v>
      </c>
      <c r="D29" s="63"/>
      <c r="E29" s="64">
        <v>0</v>
      </c>
      <c r="G29" s="64">
        <v>0</v>
      </c>
      <c r="H29" s="64">
        <v>0</v>
      </c>
      <c r="I29" s="64">
        <v>0</v>
      </c>
      <c r="K29" s="64">
        <f t="shared" si="6"/>
        <v>0</v>
      </c>
      <c r="M29" s="64"/>
      <c r="N29" s="65">
        <f t="shared" si="7"/>
        <v>0</v>
      </c>
    </row>
    <row r="30" spans="1:20" ht="12.75" customHeight="1" x14ac:dyDescent="0.25">
      <c r="A30" s="69" t="s">
        <v>459</v>
      </c>
      <c r="B30" s="70"/>
      <c r="C30" s="62" t="str">
        <f t="shared" si="0"/>
        <v>Total-</v>
      </c>
      <c r="D30" s="69"/>
      <c r="E30" s="71">
        <v>481245.80000000005</v>
      </c>
      <c r="F30" s="71">
        <v>0</v>
      </c>
      <c r="G30" s="71">
        <v>0</v>
      </c>
      <c r="H30" s="71">
        <v>199.99</v>
      </c>
      <c r="I30" s="71">
        <v>0</v>
      </c>
      <c r="J30" s="71">
        <v>0</v>
      </c>
      <c r="K30" s="71">
        <f>SUM(K19:K29)</f>
        <v>481445.79000000004</v>
      </c>
      <c r="M30" s="71">
        <f>SUM(M19:M29)</f>
        <v>495600</v>
      </c>
    </row>
    <row r="31" spans="1:20" ht="12.75" customHeight="1" x14ac:dyDescent="0.25">
      <c r="C31" s="62" t="str">
        <f t="shared" si="0"/>
        <v>-</v>
      </c>
    </row>
    <row r="32" spans="1:20" ht="12.75" customHeight="1" x14ac:dyDescent="0.25">
      <c r="C32" s="62" t="str">
        <f t="shared" si="0"/>
        <v>-</v>
      </c>
    </row>
    <row r="33" spans="1:20" ht="12.75" customHeight="1" x14ac:dyDescent="0.25">
      <c r="C33" s="62" t="str">
        <f t="shared" si="0"/>
        <v>-</v>
      </c>
    </row>
    <row r="34" spans="1:20" ht="12.75" customHeight="1" x14ac:dyDescent="0.25">
      <c r="C34" s="62" t="str">
        <f t="shared" si="0"/>
        <v>-</v>
      </c>
    </row>
    <row r="35" spans="1:20" ht="12.75" customHeight="1" x14ac:dyDescent="0.25">
      <c r="A35" s="56" t="s">
        <v>454</v>
      </c>
      <c r="B35" s="57" t="s">
        <v>474</v>
      </c>
      <c r="C35" s="62" t="str">
        <f t="shared" si="0"/>
        <v>Loja-Cod</v>
      </c>
      <c r="D35" s="56" t="s">
        <v>475</v>
      </c>
      <c r="E35" s="57" t="s">
        <v>476</v>
      </c>
      <c r="F35" s="57" t="s">
        <v>477</v>
      </c>
      <c r="G35" s="57" t="s">
        <v>478</v>
      </c>
      <c r="H35" s="57" t="s">
        <v>479</v>
      </c>
      <c r="I35" s="57" t="s">
        <v>480</v>
      </c>
      <c r="J35" s="57" t="s">
        <v>481</v>
      </c>
      <c r="K35" s="57" t="s">
        <v>482</v>
      </c>
      <c r="M35" s="59" t="s">
        <v>483</v>
      </c>
      <c r="N35" s="59" t="s">
        <v>484</v>
      </c>
      <c r="P35" s="57" t="s">
        <v>485</v>
      </c>
      <c r="R35" s="60" t="s">
        <v>486</v>
      </c>
      <c r="S35" s="60" t="s">
        <v>466</v>
      </c>
      <c r="T35" s="60" t="s">
        <v>487</v>
      </c>
    </row>
    <row r="36" spans="1:20" ht="12.75" customHeight="1" x14ac:dyDescent="0.25">
      <c r="A36" s="61">
        <v>94</v>
      </c>
      <c r="B36" s="62">
        <v>34</v>
      </c>
      <c r="C36" s="62" t="str">
        <f t="shared" si="0"/>
        <v>94-34</v>
      </c>
      <c r="D36" s="63" t="s">
        <v>62</v>
      </c>
      <c r="E36" s="64">
        <v>1033.8699999999999</v>
      </c>
      <c r="G36" s="64">
        <v>0</v>
      </c>
      <c r="H36" s="64">
        <v>0</v>
      </c>
      <c r="I36" s="64">
        <v>0</v>
      </c>
      <c r="K36" s="64">
        <f t="shared" ref="K36:K46" si="11">SUM(E36:J36)</f>
        <v>1033.8699999999999</v>
      </c>
      <c r="M36" s="64"/>
      <c r="N36" s="65">
        <f t="shared" ref="N36:N46" si="12">IFERROR(K36/M36,)</f>
        <v>0</v>
      </c>
      <c r="P36" s="64">
        <v>155000</v>
      </c>
      <c r="R36" s="66">
        <v>0</v>
      </c>
      <c r="S36" s="66">
        <f>R36*25%</f>
        <v>0</v>
      </c>
      <c r="T36" s="66">
        <f>IF(N36&gt;1,K36*0.5%,0)</f>
        <v>0</v>
      </c>
    </row>
    <row r="37" spans="1:20" ht="12.75" customHeight="1" x14ac:dyDescent="0.25">
      <c r="A37" s="61">
        <v>94</v>
      </c>
      <c r="B37" s="62">
        <v>55</v>
      </c>
      <c r="C37" s="62" t="str">
        <f t="shared" si="0"/>
        <v>94-55</v>
      </c>
      <c r="D37" s="63" t="s">
        <v>64</v>
      </c>
      <c r="E37" s="64">
        <v>31923.96</v>
      </c>
      <c r="G37" s="64">
        <v>0</v>
      </c>
      <c r="H37" s="64">
        <v>999.99</v>
      </c>
      <c r="I37" s="64">
        <v>0</v>
      </c>
      <c r="K37" s="64">
        <f t="shared" si="11"/>
        <v>32923.949999999997</v>
      </c>
      <c r="M37" s="64">
        <v>45600</v>
      </c>
      <c r="N37" s="65">
        <f t="shared" si="12"/>
        <v>0.72201644736842097</v>
      </c>
      <c r="R37" s="66">
        <f>(K37*3.2%)</f>
        <v>1053.5663999999999</v>
      </c>
      <c r="S37" s="66">
        <f>R37*25%</f>
        <v>263.39159999999998</v>
      </c>
      <c r="T37" s="66">
        <f>IF(N37&gt;1,K37*0.5%,0)</f>
        <v>0</v>
      </c>
    </row>
    <row r="38" spans="1:20" ht="12.75" customHeight="1" x14ac:dyDescent="0.25">
      <c r="A38" s="61">
        <v>94</v>
      </c>
      <c r="B38" s="62">
        <v>3</v>
      </c>
      <c r="C38" s="62" t="str">
        <f t="shared" si="0"/>
        <v>94-3</v>
      </c>
      <c r="D38" s="63" t="s">
        <v>494</v>
      </c>
      <c r="E38" s="64">
        <v>54707.97</v>
      </c>
      <c r="G38" s="64">
        <v>0</v>
      </c>
      <c r="H38" s="64">
        <v>499.98</v>
      </c>
      <c r="I38" s="64">
        <v>399.99</v>
      </c>
      <c r="K38" s="64">
        <f t="shared" si="11"/>
        <v>55607.94</v>
      </c>
      <c r="M38" s="64">
        <v>45600</v>
      </c>
      <c r="N38" s="65">
        <f t="shared" si="12"/>
        <v>1.2194723684210527</v>
      </c>
      <c r="R38" s="66">
        <f>(K38*4.5%)</f>
        <v>2502.3573000000001</v>
      </c>
      <c r="S38" s="66">
        <f>R38*25%</f>
        <v>625.58932500000003</v>
      </c>
      <c r="T38" s="66">
        <f>IF(N38&gt;1,K38*0.5%,0)</f>
        <v>278.03970000000004</v>
      </c>
    </row>
    <row r="39" spans="1:20" ht="12.75" customHeight="1" x14ac:dyDescent="0.25">
      <c r="A39" s="61">
        <v>94</v>
      </c>
      <c r="B39" s="62">
        <v>66</v>
      </c>
      <c r="C39" s="62" t="str">
        <f t="shared" si="0"/>
        <v>94-66</v>
      </c>
      <c r="D39" s="63" t="s">
        <v>66</v>
      </c>
      <c r="E39" s="64">
        <v>32006.04</v>
      </c>
      <c r="G39" s="64">
        <v>0</v>
      </c>
      <c r="H39" s="64">
        <v>0</v>
      </c>
      <c r="I39" s="64">
        <v>0</v>
      </c>
      <c r="K39" s="64">
        <f t="shared" si="11"/>
        <v>32006.04</v>
      </c>
      <c r="M39" s="64">
        <v>45600</v>
      </c>
      <c r="N39" s="65">
        <f t="shared" si="12"/>
        <v>0.7018868421052632</v>
      </c>
      <c r="R39" s="66">
        <f>(K39*3.2%)</f>
        <v>1024.19328</v>
      </c>
      <c r="S39" s="66">
        <f>R39*25%</f>
        <v>256.04831999999999</v>
      </c>
      <c r="T39" s="66">
        <f>IF(N39&gt;1,K39*0.5%,0)</f>
        <v>0</v>
      </c>
    </row>
    <row r="40" spans="1:20" ht="12.75" customHeight="1" x14ac:dyDescent="0.25">
      <c r="A40" s="61">
        <v>94</v>
      </c>
      <c r="B40" s="62">
        <v>68</v>
      </c>
      <c r="C40" s="62" t="str">
        <f t="shared" si="0"/>
        <v>94-68</v>
      </c>
      <c r="D40" s="63" t="s">
        <v>69</v>
      </c>
      <c r="E40" s="64">
        <v>13381.18</v>
      </c>
      <c r="G40" s="64">
        <v>0</v>
      </c>
      <c r="H40" s="64">
        <v>0</v>
      </c>
      <c r="I40" s="64">
        <v>0</v>
      </c>
      <c r="K40" s="64">
        <f t="shared" si="11"/>
        <v>13381.18</v>
      </c>
      <c r="M40" s="64">
        <v>34200</v>
      </c>
      <c r="N40" s="65">
        <f t="shared" si="12"/>
        <v>0.3912625730994152</v>
      </c>
      <c r="R40" s="66">
        <f>(K40*3.2%)</f>
        <v>428.19776000000002</v>
      </c>
      <c r="S40" s="66">
        <f>R40*25%</f>
        <v>107.04944</v>
      </c>
      <c r="T40" s="66">
        <f>IF(N40&gt;1,K40*0.5%,0)</f>
        <v>0</v>
      </c>
    </row>
    <row r="41" spans="1:20" ht="12.75" customHeight="1" x14ac:dyDescent="0.25">
      <c r="A41" s="61">
        <v>94</v>
      </c>
      <c r="B41" s="62"/>
      <c r="C41" s="62" t="str">
        <f t="shared" si="0"/>
        <v>94-</v>
      </c>
      <c r="D41" s="63"/>
      <c r="E41" s="64">
        <v>0</v>
      </c>
      <c r="G41" s="64">
        <v>0</v>
      </c>
      <c r="H41" s="64">
        <v>0</v>
      </c>
      <c r="I41" s="64">
        <v>0</v>
      </c>
      <c r="K41" s="64">
        <f t="shared" si="11"/>
        <v>0</v>
      </c>
      <c r="M41" s="64"/>
      <c r="N41" s="65">
        <f t="shared" si="12"/>
        <v>0</v>
      </c>
      <c r="R41" s="68">
        <f>SUM(R36:R40)</f>
        <v>5008.3147400000007</v>
      </c>
      <c r="S41" s="68">
        <f>SUM(S36:S40)</f>
        <v>1252.0786850000002</v>
      </c>
      <c r="T41" s="68">
        <f>SUM(T36:T40)</f>
        <v>278.03970000000004</v>
      </c>
    </row>
    <row r="42" spans="1:20" ht="12.75" customHeight="1" x14ac:dyDescent="0.25">
      <c r="A42" s="61">
        <v>94</v>
      </c>
      <c r="B42" s="62"/>
      <c r="C42" s="62" t="str">
        <f t="shared" si="0"/>
        <v>94-</v>
      </c>
      <c r="D42" s="63"/>
      <c r="E42" s="64">
        <v>0</v>
      </c>
      <c r="G42" s="64">
        <v>0</v>
      </c>
      <c r="H42" s="64">
        <v>0</v>
      </c>
      <c r="I42" s="64">
        <v>0</v>
      </c>
      <c r="K42" s="64">
        <f t="shared" si="11"/>
        <v>0</v>
      </c>
      <c r="M42" s="64"/>
      <c r="N42" s="65">
        <f t="shared" si="12"/>
        <v>0</v>
      </c>
    </row>
    <row r="43" spans="1:20" ht="12.75" customHeight="1" x14ac:dyDescent="0.25">
      <c r="A43" s="61">
        <v>94</v>
      </c>
      <c r="B43" s="62"/>
      <c r="C43" s="62" t="str">
        <f t="shared" si="0"/>
        <v>94-</v>
      </c>
      <c r="D43" s="63"/>
      <c r="E43" s="64">
        <v>0</v>
      </c>
      <c r="G43" s="64">
        <v>0</v>
      </c>
      <c r="H43" s="64">
        <v>0</v>
      </c>
      <c r="I43" s="64">
        <v>0</v>
      </c>
      <c r="K43" s="64">
        <f t="shared" si="11"/>
        <v>0</v>
      </c>
      <c r="M43" s="64"/>
      <c r="N43" s="65">
        <f t="shared" si="12"/>
        <v>0</v>
      </c>
    </row>
    <row r="44" spans="1:20" ht="12.75" customHeight="1" x14ac:dyDescent="0.25">
      <c r="A44" s="61">
        <v>94</v>
      </c>
      <c r="B44" s="62"/>
      <c r="C44" s="62" t="str">
        <f t="shared" si="0"/>
        <v>94-</v>
      </c>
      <c r="D44" s="63"/>
      <c r="E44" s="64">
        <v>0</v>
      </c>
      <c r="G44" s="64">
        <v>0</v>
      </c>
      <c r="H44" s="64">
        <v>0</v>
      </c>
      <c r="I44" s="64">
        <v>0</v>
      </c>
      <c r="K44" s="64">
        <f t="shared" si="11"/>
        <v>0</v>
      </c>
      <c r="M44" s="64"/>
      <c r="N44" s="65">
        <f t="shared" si="12"/>
        <v>0</v>
      </c>
    </row>
    <row r="45" spans="1:20" ht="12.75" customHeight="1" x14ac:dyDescent="0.25">
      <c r="A45" s="61">
        <v>94</v>
      </c>
      <c r="B45" s="62"/>
      <c r="C45" s="62" t="str">
        <f t="shared" si="0"/>
        <v>94-</v>
      </c>
      <c r="D45" s="63"/>
      <c r="E45" s="64">
        <v>0</v>
      </c>
      <c r="G45" s="64">
        <v>0</v>
      </c>
      <c r="H45" s="64">
        <v>0</v>
      </c>
      <c r="I45" s="64">
        <v>0</v>
      </c>
      <c r="K45" s="64">
        <f t="shared" si="11"/>
        <v>0</v>
      </c>
      <c r="M45" s="64"/>
      <c r="N45" s="65">
        <f t="shared" si="12"/>
        <v>0</v>
      </c>
    </row>
    <row r="46" spans="1:20" ht="12.75" customHeight="1" x14ac:dyDescent="0.25">
      <c r="A46" s="61">
        <v>94</v>
      </c>
      <c r="B46" s="62"/>
      <c r="C46" s="62" t="str">
        <f t="shared" si="0"/>
        <v>94-</v>
      </c>
      <c r="D46" s="63"/>
      <c r="E46" s="64">
        <v>0</v>
      </c>
      <c r="G46" s="64">
        <v>0</v>
      </c>
      <c r="H46" s="64">
        <v>0</v>
      </c>
      <c r="I46" s="64">
        <v>0</v>
      </c>
      <c r="K46" s="64">
        <f t="shared" si="11"/>
        <v>0</v>
      </c>
      <c r="M46" s="64"/>
      <c r="N46" s="65">
        <f t="shared" si="12"/>
        <v>0</v>
      </c>
    </row>
    <row r="47" spans="1:20" ht="12.75" customHeight="1" x14ac:dyDescent="0.25">
      <c r="A47" s="69" t="s">
        <v>459</v>
      </c>
      <c r="B47" s="70"/>
      <c r="C47" s="62" t="str">
        <f t="shared" si="0"/>
        <v>Total-</v>
      </c>
      <c r="D47" s="69"/>
      <c r="E47" s="71">
        <v>133053.01999999999</v>
      </c>
      <c r="F47" s="71">
        <v>0</v>
      </c>
      <c r="G47" s="71">
        <v>0</v>
      </c>
      <c r="H47" s="71">
        <v>1499.97</v>
      </c>
      <c r="I47" s="71">
        <v>399.99</v>
      </c>
      <c r="J47" s="71">
        <v>0</v>
      </c>
      <c r="K47" s="71">
        <f>SUM(K36:K46)</f>
        <v>134952.98000000001</v>
      </c>
      <c r="M47" s="71">
        <f>SUM(M36:M46)</f>
        <v>171000</v>
      </c>
    </row>
    <row r="48" spans="1:20" ht="12.75" customHeight="1" x14ac:dyDescent="0.25">
      <c r="C48" s="62" t="str">
        <f t="shared" si="0"/>
        <v>-</v>
      </c>
    </row>
    <row r="49" spans="1:20" ht="12.75" customHeight="1" x14ac:dyDescent="0.25">
      <c r="C49" s="62" t="str">
        <f t="shared" si="0"/>
        <v>-</v>
      </c>
    </row>
    <row r="50" spans="1:20" ht="12.75" customHeight="1" x14ac:dyDescent="0.25">
      <c r="C50" s="62" t="str">
        <f t="shared" si="0"/>
        <v>-</v>
      </c>
    </row>
    <row r="51" spans="1:20" ht="12.75" customHeight="1" x14ac:dyDescent="0.25">
      <c r="C51" s="62" t="str">
        <f t="shared" si="0"/>
        <v>-</v>
      </c>
    </row>
    <row r="52" spans="1:20" ht="12.75" customHeight="1" x14ac:dyDescent="0.25">
      <c r="A52" s="56" t="s">
        <v>454</v>
      </c>
      <c r="B52" s="57" t="s">
        <v>474</v>
      </c>
      <c r="C52" s="62" t="str">
        <f t="shared" si="0"/>
        <v>Loja-Cod</v>
      </c>
      <c r="D52" s="56" t="s">
        <v>475</v>
      </c>
      <c r="E52" s="57" t="s">
        <v>476</v>
      </c>
      <c r="F52" s="57" t="s">
        <v>477</v>
      </c>
      <c r="G52" s="57" t="s">
        <v>478</v>
      </c>
      <c r="H52" s="57" t="s">
        <v>479</v>
      </c>
      <c r="I52" s="57" t="s">
        <v>480</v>
      </c>
      <c r="J52" s="57" t="s">
        <v>481</v>
      </c>
      <c r="K52" s="57" t="s">
        <v>482</v>
      </c>
      <c r="M52" s="59" t="s">
        <v>483</v>
      </c>
      <c r="N52" s="59" t="s">
        <v>484</v>
      </c>
      <c r="P52" s="57" t="s">
        <v>485</v>
      </c>
      <c r="R52" s="60" t="s">
        <v>486</v>
      </c>
      <c r="S52" s="60" t="s">
        <v>466</v>
      </c>
      <c r="T52" s="60" t="s">
        <v>487</v>
      </c>
    </row>
    <row r="53" spans="1:20" ht="12.75" customHeight="1" x14ac:dyDescent="0.25">
      <c r="A53" s="61">
        <v>95</v>
      </c>
      <c r="B53" s="62">
        <v>59</v>
      </c>
      <c r="C53" s="62" t="str">
        <f t="shared" si="0"/>
        <v>95-59</v>
      </c>
      <c r="D53" s="63" t="s">
        <v>495</v>
      </c>
      <c r="E53" s="64">
        <v>65751.53</v>
      </c>
      <c r="G53" s="64">
        <v>0</v>
      </c>
      <c r="H53" s="64">
        <v>549.99</v>
      </c>
      <c r="I53" s="64">
        <v>0</v>
      </c>
      <c r="K53" s="64">
        <f t="shared" ref="K53:K63" si="13">SUM(E53:J53)</f>
        <v>66301.52</v>
      </c>
      <c r="M53" s="64">
        <v>68750</v>
      </c>
      <c r="N53" s="65">
        <f t="shared" ref="N53:N63" si="14">IFERROR(K53/M53,)</f>
        <v>0.96438574545454547</v>
      </c>
      <c r="P53" s="64">
        <v>250000</v>
      </c>
      <c r="R53" s="66">
        <f>(K53*3.2%)</f>
        <v>2121.6486400000003</v>
      </c>
      <c r="S53" s="66">
        <f>R53*25%</f>
        <v>530.41216000000009</v>
      </c>
      <c r="T53" s="66">
        <f>IF(N53&gt;1,K53*0.5%,0)</f>
        <v>0</v>
      </c>
    </row>
    <row r="54" spans="1:20" ht="12.75" customHeight="1" x14ac:dyDescent="0.25">
      <c r="A54" s="61">
        <v>95</v>
      </c>
      <c r="B54" s="62">
        <v>84</v>
      </c>
      <c r="C54" s="62" t="str">
        <f t="shared" si="0"/>
        <v>95-84</v>
      </c>
      <c r="D54" s="63" t="s">
        <v>496</v>
      </c>
      <c r="E54" s="64">
        <v>326.98</v>
      </c>
      <c r="G54" s="64">
        <v>0</v>
      </c>
      <c r="H54" s="64">
        <v>0</v>
      </c>
      <c r="I54" s="64">
        <v>0</v>
      </c>
      <c r="K54" s="64">
        <f t="shared" si="13"/>
        <v>326.98</v>
      </c>
      <c r="M54" s="64"/>
      <c r="N54" s="65">
        <f t="shared" si="14"/>
        <v>0</v>
      </c>
      <c r="R54" s="66">
        <v>0</v>
      </c>
      <c r="S54" s="66">
        <f>R54*25%</f>
        <v>0</v>
      </c>
      <c r="T54" s="66">
        <f>IF(N54&gt;1,K54*0.5%,0)</f>
        <v>0</v>
      </c>
    </row>
    <row r="55" spans="1:20" ht="12.75" customHeight="1" x14ac:dyDescent="0.25">
      <c r="A55" s="61">
        <v>95</v>
      </c>
      <c r="B55" s="62">
        <v>85</v>
      </c>
      <c r="C55" s="62" t="str">
        <f t="shared" si="0"/>
        <v>95-85</v>
      </c>
      <c r="D55" s="63" t="s">
        <v>81</v>
      </c>
      <c r="E55" s="64">
        <v>50344.27</v>
      </c>
      <c r="G55" s="64">
        <v>0</v>
      </c>
      <c r="H55" s="64">
        <v>0</v>
      </c>
      <c r="I55" s="64">
        <v>0</v>
      </c>
      <c r="K55" s="64">
        <f t="shared" si="13"/>
        <v>50344.27</v>
      </c>
      <c r="M55" s="64">
        <v>68750</v>
      </c>
      <c r="N55" s="65">
        <f t="shared" si="14"/>
        <v>0.73228029090909086</v>
      </c>
      <c r="R55" s="66">
        <f>(K55*3.2%)</f>
        <v>1611.0166399999998</v>
      </c>
      <c r="S55" s="66">
        <f>R55*25%</f>
        <v>402.75415999999996</v>
      </c>
      <c r="T55" s="66">
        <f>IF(N55&gt;1,K55*0.5%,0)</f>
        <v>0</v>
      </c>
    </row>
    <row r="56" spans="1:20" ht="12.75" customHeight="1" x14ac:dyDescent="0.25">
      <c r="A56" s="61">
        <v>95</v>
      </c>
      <c r="B56" s="72">
        <v>88</v>
      </c>
      <c r="C56" s="62" t="str">
        <f t="shared" si="0"/>
        <v>95-88</v>
      </c>
      <c r="D56" s="63" t="s">
        <v>83</v>
      </c>
      <c r="E56" s="64">
        <v>53224.79</v>
      </c>
      <c r="G56" s="64">
        <v>0</v>
      </c>
      <c r="H56" s="64">
        <v>0</v>
      </c>
      <c r="I56" s="64">
        <v>0</v>
      </c>
      <c r="K56" s="64">
        <f t="shared" si="13"/>
        <v>53224.79</v>
      </c>
      <c r="M56" s="64">
        <v>68750</v>
      </c>
      <c r="N56" s="65">
        <f t="shared" si="14"/>
        <v>0.77417876363636362</v>
      </c>
      <c r="R56" s="66">
        <f>(K56*3.2%)</f>
        <v>1703.19328</v>
      </c>
      <c r="S56" s="66">
        <f>R56*25%</f>
        <v>425.79831999999999</v>
      </c>
      <c r="T56" s="66">
        <f>IF(N56&gt;1,K56*0.5%,0)</f>
        <v>0</v>
      </c>
    </row>
    <row r="57" spans="1:20" ht="12.75" customHeight="1" x14ac:dyDescent="0.25">
      <c r="A57" s="61">
        <v>95</v>
      </c>
      <c r="B57" s="62">
        <v>56</v>
      </c>
      <c r="C57" s="62" t="str">
        <f t="shared" si="0"/>
        <v>95-56</v>
      </c>
      <c r="D57" s="63" t="s">
        <v>497</v>
      </c>
      <c r="E57" s="64">
        <v>78591.429999999993</v>
      </c>
      <c r="G57" s="64">
        <v>0</v>
      </c>
      <c r="H57" s="64">
        <v>649.99</v>
      </c>
      <c r="I57" s="64">
        <v>899.97</v>
      </c>
      <c r="K57" s="64">
        <f t="shared" si="13"/>
        <v>80141.39</v>
      </c>
      <c r="M57" s="64">
        <v>68750</v>
      </c>
      <c r="N57" s="65">
        <f t="shared" si="14"/>
        <v>1.1656929454545455</v>
      </c>
      <c r="R57" s="66">
        <f>(K57*3.2%)</f>
        <v>2564.52448</v>
      </c>
      <c r="S57" s="66">
        <f>R57*25%</f>
        <v>641.13112000000001</v>
      </c>
      <c r="T57" s="66">
        <f>IF(N57&gt;1,K57*0.5%,0)</f>
        <v>400.70695000000001</v>
      </c>
    </row>
    <row r="58" spans="1:20" ht="12.75" customHeight="1" x14ac:dyDescent="0.25">
      <c r="A58" s="61">
        <v>95</v>
      </c>
      <c r="B58" s="62"/>
      <c r="C58" s="62" t="str">
        <f t="shared" si="0"/>
        <v>95-</v>
      </c>
      <c r="D58" s="63"/>
      <c r="E58" s="64">
        <v>0</v>
      </c>
      <c r="G58" s="64">
        <v>0</v>
      </c>
      <c r="H58" s="64">
        <v>0</v>
      </c>
      <c r="I58" s="64">
        <v>0</v>
      </c>
      <c r="K58" s="64">
        <f t="shared" si="13"/>
        <v>0</v>
      </c>
      <c r="M58" s="64"/>
      <c r="N58" s="65">
        <f t="shared" si="14"/>
        <v>0</v>
      </c>
      <c r="R58" s="68">
        <f>SUM(R53:R57)</f>
        <v>8000.3830400000006</v>
      </c>
      <c r="S58" s="68">
        <f>SUM(S53:S57)</f>
        <v>2000.0957600000002</v>
      </c>
      <c r="T58" s="68">
        <f>SUM(T53:T57)</f>
        <v>400.70695000000001</v>
      </c>
    </row>
    <row r="59" spans="1:20" ht="12.75" customHeight="1" x14ac:dyDescent="0.25">
      <c r="A59" s="61">
        <v>95</v>
      </c>
      <c r="B59" s="62"/>
      <c r="C59" s="62" t="str">
        <f t="shared" si="0"/>
        <v>95-</v>
      </c>
      <c r="D59" s="63"/>
      <c r="E59" s="64">
        <v>0</v>
      </c>
      <c r="G59" s="64">
        <v>0</v>
      </c>
      <c r="H59" s="64">
        <v>0</v>
      </c>
      <c r="I59" s="64">
        <v>0</v>
      </c>
      <c r="K59" s="64">
        <f t="shared" si="13"/>
        <v>0</v>
      </c>
      <c r="M59" s="64"/>
      <c r="N59" s="65">
        <f t="shared" si="14"/>
        <v>0</v>
      </c>
    </row>
    <row r="60" spans="1:20" ht="12.75" customHeight="1" x14ac:dyDescent="0.25">
      <c r="A60" s="61">
        <v>95</v>
      </c>
      <c r="B60" s="62"/>
      <c r="C60" s="62" t="str">
        <f t="shared" si="0"/>
        <v>95-</v>
      </c>
      <c r="D60" s="63"/>
      <c r="E60" s="64">
        <v>0</v>
      </c>
      <c r="G60" s="64">
        <v>0</v>
      </c>
      <c r="H60" s="64">
        <v>0</v>
      </c>
      <c r="I60" s="64">
        <v>0</v>
      </c>
      <c r="K60" s="64">
        <f t="shared" si="13"/>
        <v>0</v>
      </c>
      <c r="M60" s="64"/>
      <c r="N60" s="65">
        <f t="shared" si="14"/>
        <v>0</v>
      </c>
    </row>
    <row r="61" spans="1:20" ht="12.75" customHeight="1" x14ac:dyDescent="0.25">
      <c r="A61" s="61">
        <v>95</v>
      </c>
      <c r="B61" s="62"/>
      <c r="C61" s="62" t="str">
        <f t="shared" si="0"/>
        <v>95-</v>
      </c>
      <c r="D61" s="63"/>
      <c r="E61" s="64">
        <v>0</v>
      </c>
      <c r="G61" s="64">
        <v>0</v>
      </c>
      <c r="H61" s="64">
        <v>0</v>
      </c>
      <c r="I61" s="64">
        <v>0</v>
      </c>
      <c r="K61" s="64">
        <f t="shared" si="13"/>
        <v>0</v>
      </c>
      <c r="M61" s="64"/>
      <c r="N61" s="65">
        <f t="shared" si="14"/>
        <v>0</v>
      </c>
    </row>
    <row r="62" spans="1:20" ht="12.75" customHeight="1" x14ac:dyDescent="0.25">
      <c r="A62" s="61">
        <v>95</v>
      </c>
      <c r="B62" s="62"/>
      <c r="C62" s="62" t="str">
        <f t="shared" si="0"/>
        <v>95-</v>
      </c>
      <c r="D62" s="63"/>
      <c r="E62" s="64">
        <v>0</v>
      </c>
      <c r="G62" s="64">
        <v>0</v>
      </c>
      <c r="H62" s="64">
        <v>0</v>
      </c>
      <c r="I62" s="64">
        <v>0</v>
      </c>
      <c r="K62" s="64">
        <f t="shared" si="13"/>
        <v>0</v>
      </c>
      <c r="M62" s="64"/>
      <c r="N62" s="65">
        <f t="shared" si="14"/>
        <v>0</v>
      </c>
    </row>
    <row r="63" spans="1:20" ht="12.75" customHeight="1" x14ac:dyDescent="0.25">
      <c r="A63" s="61">
        <v>95</v>
      </c>
      <c r="B63" s="62"/>
      <c r="C63" s="62" t="str">
        <f t="shared" si="0"/>
        <v>95-</v>
      </c>
      <c r="D63" s="63"/>
      <c r="E63" s="64">
        <v>0</v>
      </c>
      <c r="G63" s="64">
        <v>0</v>
      </c>
      <c r="H63" s="64">
        <v>0</v>
      </c>
      <c r="I63" s="64">
        <v>0</v>
      </c>
      <c r="K63" s="64">
        <f t="shared" si="13"/>
        <v>0</v>
      </c>
      <c r="M63" s="64"/>
      <c r="N63" s="65">
        <f t="shared" si="14"/>
        <v>0</v>
      </c>
    </row>
    <row r="64" spans="1:20" ht="12.75" customHeight="1" x14ac:dyDescent="0.25">
      <c r="A64" s="69" t="s">
        <v>459</v>
      </c>
      <c r="B64" s="70"/>
      <c r="C64" s="62" t="str">
        <f t="shared" si="0"/>
        <v>Total-</v>
      </c>
      <c r="D64" s="69"/>
      <c r="E64" s="71">
        <v>248239</v>
      </c>
      <c r="F64" s="71">
        <v>0</v>
      </c>
      <c r="G64" s="71">
        <v>0</v>
      </c>
      <c r="H64" s="71">
        <v>1199.98</v>
      </c>
      <c r="I64" s="71">
        <v>899.97</v>
      </c>
      <c r="J64" s="71">
        <v>0</v>
      </c>
      <c r="K64" s="71">
        <f>SUM(K53:K63)</f>
        <v>250338.95</v>
      </c>
      <c r="M64" s="71">
        <f>SUM(M53:M63)</f>
        <v>275000</v>
      </c>
    </row>
    <row r="65" spans="1:20" ht="12.75" customHeight="1" x14ac:dyDescent="0.25">
      <c r="C65" s="62" t="str">
        <f t="shared" si="0"/>
        <v>-</v>
      </c>
    </row>
    <row r="66" spans="1:20" ht="12.75" customHeight="1" x14ac:dyDescent="0.25">
      <c r="C66" s="62" t="str">
        <f t="shared" si="0"/>
        <v>-</v>
      </c>
    </row>
    <row r="67" spans="1:20" ht="12.75" customHeight="1" x14ac:dyDescent="0.25">
      <c r="C67" s="62" t="str">
        <f t="shared" si="0"/>
        <v>-</v>
      </c>
    </row>
    <row r="68" spans="1:20" ht="12.75" customHeight="1" x14ac:dyDescent="0.25">
      <c r="A68" s="56" t="s">
        <v>454</v>
      </c>
      <c r="B68" s="57" t="s">
        <v>474</v>
      </c>
      <c r="C68" s="62" t="str">
        <f t="shared" ref="C68:C131" si="15">CONCATENATE(A68,"-",B68)</f>
        <v>Loja-Cod</v>
      </c>
      <c r="D68" s="56" t="s">
        <v>475</v>
      </c>
      <c r="E68" s="57" t="s">
        <v>476</v>
      </c>
      <c r="F68" s="57" t="s">
        <v>477</v>
      </c>
      <c r="G68" s="57" t="s">
        <v>478</v>
      </c>
      <c r="H68" s="57" t="s">
        <v>479</v>
      </c>
      <c r="I68" s="57" t="s">
        <v>480</v>
      </c>
      <c r="J68" s="57" t="s">
        <v>481</v>
      </c>
      <c r="K68" s="57" t="s">
        <v>482</v>
      </c>
      <c r="M68" s="59" t="s">
        <v>483</v>
      </c>
      <c r="N68" s="59" t="s">
        <v>484</v>
      </c>
      <c r="P68" s="57" t="s">
        <v>485</v>
      </c>
      <c r="R68" s="60" t="s">
        <v>486</v>
      </c>
      <c r="S68" s="60" t="s">
        <v>466</v>
      </c>
      <c r="T68" s="60" t="s">
        <v>487</v>
      </c>
    </row>
    <row r="69" spans="1:20" ht="12.75" customHeight="1" x14ac:dyDescent="0.25">
      <c r="A69" s="61">
        <v>103</v>
      </c>
      <c r="B69" s="62">
        <v>185</v>
      </c>
      <c r="C69" s="62" t="str">
        <f t="shared" si="15"/>
        <v>103-185</v>
      </c>
      <c r="D69" s="63" t="s">
        <v>87</v>
      </c>
      <c r="E69" s="64">
        <v>63276.85</v>
      </c>
      <c r="G69" s="64">
        <v>0</v>
      </c>
      <c r="H69" s="64">
        <v>2479.9700000000003</v>
      </c>
      <c r="I69" s="64">
        <v>0</v>
      </c>
      <c r="K69" s="64">
        <f t="shared" ref="K69:K79" si="16">SUM(E69:J69)</f>
        <v>65756.819999999992</v>
      </c>
      <c r="M69" s="64">
        <v>64900</v>
      </c>
      <c r="N69" s="65">
        <f t="shared" ref="N69:N79" si="17">IFERROR(K69/M69,)</f>
        <v>1.0132021571648688</v>
      </c>
      <c r="P69" s="64">
        <v>295000</v>
      </c>
      <c r="R69" s="66">
        <f t="shared" ref="R69:R74" si="18">(K69*3.2%)</f>
        <v>2104.2182399999997</v>
      </c>
      <c r="S69" s="66">
        <f t="shared" ref="S69:S74" si="19">R69*25%</f>
        <v>526.05455999999992</v>
      </c>
      <c r="T69" s="66">
        <f t="shared" ref="T69:T74" si="20">IF(N69&gt;1,K69*0.5%,0)</f>
        <v>328.78409999999997</v>
      </c>
    </row>
    <row r="70" spans="1:20" ht="12.75" customHeight="1" x14ac:dyDescent="0.25">
      <c r="A70" s="61">
        <v>103</v>
      </c>
      <c r="B70" s="62">
        <v>187</v>
      </c>
      <c r="C70" s="62" t="str">
        <f t="shared" si="15"/>
        <v>103-187</v>
      </c>
      <c r="D70" s="63" t="s">
        <v>498</v>
      </c>
      <c r="E70" s="64">
        <v>65459.61</v>
      </c>
      <c r="G70" s="64">
        <v>0</v>
      </c>
      <c r="H70" s="64">
        <v>0</v>
      </c>
      <c r="I70" s="64">
        <v>0</v>
      </c>
      <c r="K70" s="64">
        <f t="shared" si="16"/>
        <v>65459.61</v>
      </c>
      <c r="M70" s="64">
        <v>64900</v>
      </c>
      <c r="N70" s="65">
        <f t="shared" si="17"/>
        <v>1.0086226502311249</v>
      </c>
      <c r="R70" s="66">
        <f t="shared" si="18"/>
        <v>2094.7075199999999</v>
      </c>
      <c r="S70" s="66">
        <f t="shared" si="19"/>
        <v>523.67687999999998</v>
      </c>
      <c r="T70" s="66">
        <f t="shared" si="20"/>
        <v>327.29804999999999</v>
      </c>
    </row>
    <row r="71" spans="1:20" ht="12.75" customHeight="1" x14ac:dyDescent="0.25">
      <c r="A71" s="61">
        <v>103</v>
      </c>
      <c r="B71" s="62">
        <v>193</v>
      </c>
      <c r="C71" s="62" t="str">
        <f t="shared" si="15"/>
        <v>103-193</v>
      </c>
      <c r="D71" s="63" t="s">
        <v>499</v>
      </c>
      <c r="E71" s="64">
        <v>63400.71</v>
      </c>
      <c r="G71" s="64">
        <v>0</v>
      </c>
      <c r="H71" s="64">
        <v>999.99</v>
      </c>
      <c r="I71" s="64">
        <v>3139.9300000000003</v>
      </c>
      <c r="K71" s="64">
        <f t="shared" si="16"/>
        <v>67540.63</v>
      </c>
      <c r="M71" s="64">
        <v>64900</v>
      </c>
      <c r="N71" s="65">
        <f t="shared" si="17"/>
        <v>1.0406876733436057</v>
      </c>
      <c r="R71" s="66">
        <f t="shared" si="18"/>
        <v>2161.3001600000002</v>
      </c>
      <c r="S71" s="66">
        <f t="shared" si="19"/>
        <v>540.32504000000006</v>
      </c>
      <c r="T71" s="66">
        <f t="shared" si="20"/>
        <v>337.70315000000005</v>
      </c>
    </row>
    <row r="72" spans="1:20" ht="12.75" customHeight="1" x14ac:dyDescent="0.25">
      <c r="A72" s="61">
        <v>103</v>
      </c>
      <c r="B72" s="62">
        <v>194</v>
      </c>
      <c r="C72" s="62" t="str">
        <f t="shared" si="15"/>
        <v>103-194</v>
      </c>
      <c r="D72" s="63" t="s">
        <v>500</v>
      </c>
      <c r="E72" s="64">
        <v>67736.149999999994</v>
      </c>
      <c r="G72" s="64">
        <v>0</v>
      </c>
      <c r="H72" s="64">
        <v>1159.97</v>
      </c>
      <c r="I72" s="64">
        <v>0</v>
      </c>
      <c r="K72" s="64">
        <f t="shared" si="16"/>
        <v>68896.12</v>
      </c>
      <c r="M72" s="64">
        <v>64900</v>
      </c>
      <c r="N72" s="65">
        <f t="shared" si="17"/>
        <v>1.0615734976887519</v>
      </c>
      <c r="R72" s="66">
        <f t="shared" si="18"/>
        <v>2204.6758399999999</v>
      </c>
      <c r="S72" s="66">
        <f t="shared" si="19"/>
        <v>551.16895999999997</v>
      </c>
      <c r="T72" s="66">
        <f t="shared" si="20"/>
        <v>344.48059999999998</v>
      </c>
    </row>
    <row r="73" spans="1:20" ht="12.75" customHeight="1" x14ac:dyDescent="0.25">
      <c r="A73" s="61">
        <v>103</v>
      </c>
      <c r="B73" s="62">
        <v>199</v>
      </c>
      <c r="C73" s="62" t="str">
        <f t="shared" si="15"/>
        <v>103-199</v>
      </c>
      <c r="D73" s="63" t="s">
        <v>501</v>
      </c>
      <c r="E73" s="64">
        <v>4386.45</v>
      </c>
      <c r="G73" s="64">
        <v>0</v>
      </c>
      <c r="H73" s="64">
        <v>0</v>
      </c>
      <c r="I73" s="64">
        <v>0</v>
      </c>
      <c r="K73" s="64">
        <f t="shared" si="16"/>
        <v>4386.45</v>
      </c>
      <c r="M73" s="64"/>
      <c r="N73" s="65">
        <f t="shared" si="17"/>
        <v>0</v>
      </c>
      <c r="R73" s="66">
        <v>0</v>
      </c>
      <c r="S73" s="66">
        <f t="shared" si="19"/>
        <v>0</v>
      </c>
      <c r="T73" s="66">
        <f t="shared" si="20"/>
        <v>0</v>
      </c>
    </row>
    <row r="74" spans="1:20" ht="12.75" customHeight="1" x14ac:dyDescent="0.25">
      <c r="A74" s="61">
        <v>103</v>
      </c>
      <c r="B74" s="62">
        <v>202</v>
      </c>
      <c r="C74" s="62" t="str">
        <f t="shared" si="15"/>
        <v>103-202</v>
      </c>
      <c r="D74" s="63" t="s">
        <v>99</v>
      </c>
      <c r="E74" s="64">
        <v>66083.289999999994</v>
      </c>
      <c r="G74" s="64">
        <v>0</v>
      </c>
      <c r="H74" s="64">
        <v>0</v>
      </c>
      <c r="I74" s="64">
        <v>0</v>
      </c>
      <c r="K74" s="64">
        <f t="shared" si="16"/>
        <v>66083.289999999994</v>
      </c>
      <c r="M74" s="64">
        <v>64900</v>
      </c>
      <c r="N74" s="65">
        <f t="shared" si="17"/>
        <v>1.0182325115562403</v>
      </c>
      <c r="R74" s="66">
        <f t="shared" si="18"/>
        <v>2114.6652799999997</v>
      </c>
      <c r="S74" s="66">
        <f t="shared" si="19"/>
        <v>528.66631999999993</v>
      </c>
      <c r="T74" s="66">
        <f t="shared" si="20"/>
        <v>330.41645</v>
      </c>
    </row>
    <row r="75" spans="1:20" ht="12.75" customHeight="1" x14ac:dyDescent="0.25">
      <c r="A75" s="61">
        <v>103</v>
      </c>
      <c r="B75" s="62"/>
      <c r="C75" s="62" t="str">
        <f t="shared" si="15"/>
        <v>103-</v>
      </c>
      <c r="D75" s="63"/>
      <c r="E75" s="64">
        <v>0</v>
      </c>
      <c r="G75" s="64">
        <v>0</v>
      </c>
      <c r="H75" s="64">
        <v>0</v>
      </c>
      <c r="I75" s="64">
        <v>0</v>
      </c>
      <c r="K75" s="64">
        <f t="shared" si="16"/>
        <v>0</v>
      </c>
      <c r="M75" s="64"/>
      <c r="N75" s="65">
        <f t="shared" si="17"/>
        <v>0</v>
      </c>
      <c r="R75" s="68">
        <f>SUM(R69:R74)</f>
        <v>10679.56704</v>
      </c>
      <c r="S75" s="68">
        <f>SUM(S69:S74)</f>
        <v>2669.89176</v>
      </c>
      <c r="T75" s="68">
        <f>SUM(T69:T74)</f>
        <v>1668.6823499999998</v>
      </c>
    </row>
    <row r="76" spans="1:20" ht="12.75" customHeight="1" x14ac:dyDescent="0.25">
      <c r="A76" s="61">
        <v>103</v>
      </c>
      <c r="B76" s="62"/>
      <c r="C76" s="62" t="str">
        <f t="shared" si="15"/>
        <v>103-</v>
      </c>
      <c r="D76" s="63"/>
      <c r="E76" s="64">
        <v>0</v>
      </c>
      <c r="G76" s="64">
        <v>0</v>
      </c>
      <c r="H76" s="64">
        <v>0</v>
      </c>
      <c r="I76" s="64">
        <v>0</v>
      </c>
      <c r="K76" s="64">
        <f t="shared" si="16"/>
        <v>0</v>
      </c>
      <c r="M76" s="64"/>
      <c r="N76" s="65">
        <f t="shared" si="17"/>
        <v>0</v>
      </c>
    </row>
    <row r="77" spans="1:20" ht="12.75" customHeight="1" x14ac:dyDescent="0.25">
      <c r="A77" s="61">
        <v>103</v>
      </c>
      <c r="B77" s="62"/>
      <c r="C77" s="62" t="str">
        <f t="shared" si="15"/>
        <v>103-</v>
      </c>
      <c r="D77" s="63"/>
      <c r="E77" s="64">
        <v>0</v>
      </c>
      <c r="G77" s="64">
        <v>0</v>
      </c>
      <c r="H77" s="64">
        <v>0</v>
      </c>
      <c r="I77" s="64">
        <v>0</v>
      </c>
      <c r="K77" s="64">
        <f t="shared" si="16"/>
        <v>0</v>
      </c>
      <c r="M77" s="64"/>
      <c r="N77" s="65">
        <f t="shared" si="17"/>
        <v>0</v>
      </c>
    </row>
    <row r="78" spans="1:20" ht="12.75" customHeight="1" x14ac:dyDescent="0.25">
      <c r="A78" s="61">
        <v>103</v>
      </c>
      <c r="B78" s="62"/>
      <c r="C78" s="62" t="str">
        <f t="shared" si="15"/>
        <v>103-</v>
      </c>
      <c r="D78" s="63"/>
      <c r="E78" s="64">
        <v>0</v>
      </c>
      <c r="G78" s="64">
        <v>0</v>
      </c>
      <c r="H78" s="64">
        <v>0</v>
      </c>
      <c r="I78" s="64">
        <v>0</v>
      </c>
      <c r="K78" s="64">
        <f t="shared" si="16"/>
        <v>0</v>
      </c>
      <c r="M78" s="64"/>
      <c r="N78" s="65">
        <f t="shared" si="17"/>
        <v>0</v>
      </c>
    </row>
    <row r="79" spans="1:20" ht="12.75" customHeight="1" x14ac:dyDescent="0.25">
      <c r="A79" s="61">
        <v>103</v>
      </c>
      <c r="B79" s="62"/>
      <c r="C79" s="62" t="str">
        <f t="shared" si="15"/>
        <v>103-</v>
      </c>
      <c r="D79" s="63"/>
      <c r="E79" s="64">
        <v>0</v>
      </c>
      <c r="G79" s="64">
        <v>0</v>
      </c>
      <c r="H79" s="64">
        <v>0</v>
      </c>
      <c r="I79" s="64">
        <v>0</v>
      </c>
      <c r="K79" s="64">
        <f t="shared" si="16"/>
        <v>0</v>
      </c>
      <c r="M79" s="64"/>
      <c r="N79" s="65">
        <f t="shared" si="17"/>
        <v>0</v>
      </c>
    </row>
    <row r="80" spans="1:20" ht="12.75" customHeight="1" x14ac:dyDescent="0.25">
      <c r="A80" s="69" t="s">
        <v>459</v>
      </c>
      <c r="B80" s="70"/>
      <c r="C80" s="62" t="str">
        <f t="shared" si="15"/>
        <v>Total-</v>
      </c>
      <c r="D80" s="69"/>
      <c r="E80" s="71">
        <v>330343.05999999994</v>
      </c>
      <c r="F80" s="71">
        <v>0</v>
      </c>
      <c r="G80" s="71">
        <v>0</v>
      </c>
      <c r="H80" s="71">
        <v>4639.93</v>
      </c>
      <c r="I80" s="71">
        <v>3139.9300000000003</v>
      </c>
      <c r="J80" s="71">
        <v>0</v>
      </c>
      <c r="K80" s="71">
        <f>SUM(K69:K79)</f>
        <v>338122.92</v>
      </c>
      <c r="M80" s="71">
        <f>SUM(M69:M79)</f>
        <v>324500</v>
      </c>
    </row>
    <row r="81" spans="1:20" ht="12.75" customHeight="1" x14ac:dyDescent="0.25">
      <c r="C81" s="62" t="str">
        <f t="shared" si="15"/>
        <v>-</v>
      </c>
    </row>
    <row r="82" spans="1:20" ht="12.75" customHeight="1" x14ac:dyDescent="0.25">
      <c r="C82" s="62" t="str">
        <f t="shared" si="15"/>
        <v>-</v>
      </c>
    </row>
    <row r="83" spans="1:20" ht="12.75" customHeight="1" x14ac:dyDescent="0.25">
      <c r="C83" s="62" t="str">
        <f t="shared" si="15"/>
        <v>-</v>
      </c>
    </row>
    <row r="84" spans="1:20" ht="12.75" customHeight="1" x14ac:dyDescent="0.25">
      <c r="C84" s="62" t="str">
        <f t="shared" si="15"/>
        <v>-</v>
      </c>
    </row>
    <row r="85" spans="1:20" ht="12.75" customHeight="1" x14ac:dyDescent="0.25">
      <c r="A85" s="56" t="s">
        <v>454</v>
      </c>
      <c r="B85" s="57" t="s">
        <v>474</v>
      </c>
      <c r="C85" s="62" t="str">
        <f t="shared" si="15"/>
        <v>Loja-Cod</v>
      </c>
      <c r="D85" s="56" t="s">
        <v>475</v>
      </c>
      <c r="E85" s="57" t="s">
        <v>476</v>
      </c>
      <c r="F85" s="57" t="s">
        <v>477</v>
      </c>
      <c r="G85" s="57" t="s">
        <v>478</v>
      </c>
      <c r="H85" s="57" t="s">
        <v>479</v>
      </c>
      <c r="I85" s="57" t="s">
        <v>480</v>
      </c>
      <c r="J85" s="57" t="s">
        <v>481</v>
      </c>
      <c r="K85" s="57" t="s">
        <v>482</v>
      </c>
      <c r="M85" s="59" t="s">
        <v>483</v>
      </c>
      <c r="N85" s="59" t="s">
        <v>484</v>
      </c>
      <c r="P85" s="57" t="s">
        <v>485</v>
      </c>
      <c r="R85" s="60" t="s">
        <v>486</v>
      </c>
      <c r="S85" s="60" t="s">
        <v>466</v>
      </c>
      <c r="T85" s="60" t="s">
        <v>487</v>
      </c>
    </row>
    <row r="86" spans="1:20" ht="12.75" customHeight="1" x14ac:dyDescent="0.25">
      <c r="A86" s="61">
        <v>104</v>
      </c>
      <c r="B86" s="62">
        <v>33</v>
      </c>
      <c r="C86" s="62" t="str">
        <f t="shared" si="15"/>
        <v>104-33</v>
      </c>
      <c r="D86" s="63" t="s">
        <v>101</v>
      </c>
      <c r="E86" s="64">
        <v>102893.42</v>
      </c>
      <c r="G86" s="64">
        <v>0</v>
      </c>
      <c r="H86" s="64">
        <v>0</v>
      </c>
      <c r="I86" s="64">
        <v>0</v>
      </c>
      <c r="K86" s="64">
        <f t="shared" ref="K86:K96" si="21">SUM(E86:J86)</f>
        <v>102893.42</v>
      </c>
      <c r="M86" s="64">
        <v>102667</v>
      </c>
      <c r="N86" s="65">
        <f t="shared" ref="N86:N96" si="22">IFERROR(K86/M86,)</f>
        <v>1.002205382450057</v>
      </c>
      <c r="P86" s="64">
        <v>280000</v>
      </c>
      <c r="R86" s="66">
        <f>(K86*2%)</f>
        <v>2057.8683999999998</v>
      </c>
      <c r="S86" s="66">
        <f>R86*25%</f>
        <v>514.46709999999996</v>
      </c>
      <c r="T86" s="66">
        <f>IF(N86&gt;1,M86*0.5%,0)</f>
        <v>513.33500000000004</v>
      </c>
    </row>
    <row r="87" spans="1:20" ht="12.75" customHeight="1" x14ac:dyDescent="0.25">
      <c r="A87" s="61">
        <v>104</v>
      </c>
      <c r="B87" s="62">
        <v>41</v>
      </c>
      <c r="C87" s="62" t="str">
        <f t="shared" si="15"/>
        <v>104-41</v>
      </c>
      <c r="D87" s="63" t="s">
        <v>104</v>
      </c>
      <c r="E87" s="64">
        <v>102772.57</v>
      </c>
      <c r="G87" s="64">
        <v>0</v>
      </c>
      <c r="H87" s="64">
        <v>0</v>
      </c>
      <c r="I87" s="64">
        <v>0</v>
      </c>
      <c r="K87" s="64">
        <f t="shared" si="21"/>
        <v>102772.57</v>
      </c>
      <c r="M87" s="64">
        <v>102667</v>
      </c>
      <c r="N87" s="65">
        <f t="shared" si="22"/>
        <v>1.0010282758822213</v>
      </c>
      <c r="R87" s="66">
        <f>(K87*2%)</f>
        <v>2055.4514000000004</v>
      </c>
      <c r="S87" s="66">
        <f>R87*25%</f>
        <v>513.86285000000009</v>
      </c>
      <c r="T87" s="66">
        <f>IF(N87&gt;1,M87*0.5%,0)</f>
        <v>513.33500000000004</v>
      </c>
    </row>
    <row r="88" spans="1:20" ht="12.75" customHeight="1" x14ac:dyDescent="0.25">
      <c r="A88" s="61">
        <v>104</v>
      </c>
      <c r="B88" s="62">
        <v>49</v>
      </c>
      <c r="C88" s="62" t="str">
        <f t="shared" si="15"/>
        <v>104-49</v>
      </c>
      <c r="D88" s="63" t="s">
        <v>108</v>
      </c>
      <c r="E88" s="64">
        <v>172.78</v>
      </c>
      <c r="G88" s="64">
        <v>0</v>
      </c>
      <c r="H88" s="64">
        <v>0</v>
      </c>
      <c r="I88" s="64">
        <v>0</v>
      </c>
      <c r="K88" s="64">
        <f t="shared" si="21"/>
        <v>172.78</v>
      </c>
      <c r="M88" s="64"/>
      <c r="N88" s="65">
        <f t="shared" si="22"/>
        <v>0</v>
      </c>
      <c r="R88" s="66">
        <v>0</v>
      </c>
      <c r="S88" s="66">
        <f>R88*25%</f>
        <v>0</v>
      </c>
      <c r="T88" s="66">
        <f>IF(N88&gt;1,M88*0.5%,0)</f>
        <v>0</v>
      </c>
    </row>
    <row r="89" spans="1:20" ht="12.75" customHeight="1" x14ac:dyDescent="0.25">
      <c r="A89" s="61">
        <v>104</v>
      </c>
      <c r="B89" s="62">
        <v>53</v>
      </c>
      <c r="C89" s="62" t="str">
        <f t="shared" si="15"/>
        <v>104-53</v>
      </c>
      <c r="D89" s="63" t="s">
        <v>112</v>
      </c>
      <c r="E89" s="64">
        <v>62540.81</v>
      </c>
      <c r="G89" s="64">
        <v>0</v>
      </c>
      <c r="H89" s="64">
        <v>0</v>
      </c>
      <c r="I89" s="64">
        <v>349.99</v>
      </c>
      <c r="K89" s="64">
        <f t="shared" si="21"/>
        <v>62890.799999999996</v>
      </c>
      <c r="M89" s="64">
        <v>102667</v>
      </c>
      <c r="N89" s="65">
        <f t="shared" si="22"/>
        <v>0.6125707384066934</v>
      </c>
      <c r="R89" s="66">
        <f>(K89*2%)</f>
        <v>1257.816</v>
      </c>
      <c r="S89" s="66">
        <f>R89*25%</f>
        <v>314.45400000000001</v>
      </c>
      <c r="T89" s="66">
        <f>IF(N89&gt;1,M89*0.5%,0)</f>
        <v>0</v>
      </c>
    </row>
    <row r="90" spans="1:20" ht="12.75" customHeight="1" x14ac:dyDescent="0.25">
      <c r="A90" s="61">
        <v>104</v>
      </c>
      <c r="B90" s="62"/>
      <c r="C90" s="62" t="str">
        <f t="shared" si="15"/>
        <v>104-</v>
      </c>
      <c r="D90" s="63"/>
      <c r="E90" s="64">
        <v>0</v>
      </c>
      <c r="G90" s="64">
        <v>0</v>
      </c>
      <c r="H90" s="64">
        <v>0</v>
      </c>
      <c r="I90" s="64">
        <v>0</v>
      </c>
      <c r="K90" s="64">
        <f t="shared" si="21"/>
        <v>0</v>
      </c>
      <c r="M90" s="64"/>
      <c r="N90" s="65">
        <f t="shared" si="22"/>
        <v>0</v>
      </c>
      <c r="R90" s="68">
        <f>SUM(R86:R89)</f>
        <v>5371.1358</v>
      </c>
      <c r="S90" s="68">
        <f>SUM(S86:S89)</f>
        <v>1342.78395</v>
      </c>
      <c r="T90" s="68">
        <f>SUM(T86:T89)</f>
        <v>1026.67</v>
      </c>
    </row>
    <row r="91" spans="1:20" ht="12.75" customHeight="1" x14ac:dyDescent="0.25">
      <c r="A91" s="61">
        <v>104</v>
      </c>
      <c r="B91" s="62"/>
      <c r="C91" s="62" t="str">
        <f t="shared" si="15"/>
        <v>104-</v>
      </c>
      <c r="D91" s="63"/>
      <c r="E91" s="64">
        <v>0</v>
      </c>
      <c r="G91" s="64">
        <v>0</v>
      </c>
      <c r="H91" s="64">
        <v>0</v>
      </c>
      <c r="I91" s="64">
        <v>0</v>
      </c>
      <c r="K91" s="64">
        <f t="shared" si="21"/>
        <v>0</v>
      </c>
      <c r="M91" s="64"/>
      <c r="N91" s="65">
        <f t="shared" si="22"/>
        <v>0</v>
      </c>
    </row>
    <row r="92" spans="1:20" ht="12.75" customHeight="1" x14ac:dyDescent="0.25">
      <c r="A92" s="61">
        <v>104</v>
      </c>
      <c r="B92" s="62"/>
      <c r="C92" s="62" t="str">
        <f t="shared" si="15"/>
        <v>104-</v>
      </c>
      <c r="D92" s="63"/>
      <c r="E92" s="64">
        <v>0</v>
      </c>
      <c r="G92" s="64">
        <v>0</v>
      </c>
      <c r="H92" s="64">
        <v>0</v>
      </c>
      <c r="I92" s="64">
        <v>0</v>
      </c>
      <c r="K92" s="64">
        <f t="shared" si="21"/>
        <v>0</v>
      </c>
      <c r="M92" s="64"/>
      <c r="N92" s="65">
        <f t="shared" si="22"/>
        <v>0</v>
      </c>
    </row>
    <row r="93" spans="1:20" ht="12.75" customHeight="1" x14ac:dyDescent="0.25">
      <c r="A93" s="61">
        <v>104</v>
      </c>
      <c r="B93" s="62"/>
      <c r="C93" s="62" t="str">
        <f t="shared" si="15"/>
        <v>104-</v>
      </c>
      <c r="D93" s="63"/>
      <c r="E93" s="64">
        <v>0</v>
      </c>
      <c r="G93" s="64">
        <v>0</v>
      </c>
      <c r="H93" s="64">
        <v>0</v>
      </c>
      <c r="I93" s="64">
        <v>0</v>
      </c>
      <c r="K93" s="64">
        <f t="shared" si="21"/>
        <v>0</v>
      </c>
      <c r="M93" s="64"/>
      <c r="N93" s="65">
        <f t="shared" si="22"/>
        <v>0</v>
      </c>
    </row>
    <row r="94" spans="1:20" ht="12.75" customHeight="1" x14ac:dyDescent="0.25">
      <c r="A94" s="61">
        <v>104</v>
      </c>
      <c r="B94" s="62"/>
      <c r="C94" s="62" t="str">
        <f t="shared" si="15"/>
        <v>104-</v>
      </c>
      <c r="D94" s="63"/>
      <c r="E94" s="64">
        <v>0</v>
      </c>
      <c r="G94" s="64">
        <v>0</v>
      </c>
      <c r="H94" s="64">
        <v>0</v>
      </c>
      <c r="I94" s="64">
        <v>0</v>
      </c>
      <c r="K94" s="64">
        <f t="shared" si="21"/>
        <v>0</v>
      </c>
      <c r="M94" s="64"/>
      <c r="N94" s="65">
        <f t="shared" si="22"/>
        <v>0</v>
      </c>
    </row>
    <row r="95" spans="1:20" ht="12.75" customHeight="1" x14ac:dyDescent="0.25">
      <c r="A95" s="61">
        <v>104</v>
      </c>
      <c r="B95" s="62"/>
      <c r="C95" s="62" t="str">
        <f t="shared" si="15"/>
        <v>104-</v>
      </c>
      <c r="D95" s="63"/>
      <c r="E95" s="64">
        <v>0</v>
      </c>
      <c r="G95" s="64">
        <v>0</v>
      </c>
      <c r="H95" s="64">
        <v>0</v>
      </c>
      <c r="I95" s="64">
        <v>0</v>
      </c>
      <c r="K95" s="64">
        <f t="shared" si="21"/>
        <v>0</v>
      </c>
      <c r="M95" s="64"/>
      <c r="N95" s="65">
        <f t="shared" si="22"/>
        <v>0</v>
      </c>
    </row>
    <row r="96" spans="1:20" ht="12.75" customHeight="1" x14ac:dyDescent="0.25">
      <c r="A96" s="61">
        <v>104</v>
      </c>
      <c r="B96" s="62"/>
      <c r="C96" s="62" t="str">
        <f t="shared" si="15"/>
        <v>104-</v>
      </c>
      <c r="D96" s="63"/>
      <c r="E96" s="64">
        <v>0</v>
      </c>
      <c r="G96" s="64">
        <v>0</v>
      </c>
      <c r="H96" s="64">
        <v>0</v>
      </c>
      <c r="I96" s="64">
        <v>0</v>
      </c>
      <c r="K96" s="64">
        <f t="shared" si="21"/>
        <v>0</v>
      </c>
      <c r="M96" s="64"/>
      <c r="N96" s="65">
        <f t="shared" si="22"/>
        <v>0</v>
      </c>
    </row>
    <row r="97" spans="1:20" ht="12.75" customHeight="1" x14ac:dyDescent="0.25">
      <c r="A97" s="69" t="s">
        <v>459</v>
      </c>
      <c r="B97" s="70"/>
      <c r="C97" s="62" t="str">
        <f t="shared" si="15"/>
        <v>Total-</v>
      </c>
      <c r="D97" s="69"/>
      <c r="E97" s="71">
        <v>268379.57999999996</v>
      </c>
      <c r="F97" s="71">
        <v>0</v>
      </c>
      <c r="G97" s="71">
        <v>0</v>
      </c>
      <c r="H97" s="71">
        <v>0</v>
      </c>
      <c r="I97" s="71">
        <v>349.99</v>
      </c>
      <c r="J97" s="71">
        <v>0</v>
      </c>
      <c r="K97" s="71">
        <f>SUM(K86:K96)</f>
        <v>268729.57</v>
      </c>
      <c r="M97" s="71">
        <f>SUM(M86:M96)</f>
        <v>308001</v>
      </c>
    </row>
    <row r="98" spans="1:20" ht="12.75" customHeight="1" x14ac:dyDescent="0.25">
      <c r="C98" s="62" t="str">
        <f t="shared" si="15"/>
        <v>-</v>
      </c>
    </row>
    <row r="99" spans="1:20" ht="12.75" customHeight="1" x14ac:dyDescent="0.25">
      <c r="C99" s="62" t="str">
        <f t="shared" si="15"/>
        <v>-</v>
      </c>
    </row>
    <row r="100" spans="1:20" ht="12.75" customHeight="1" x14ac:dyDescent="0.25">
      <c r="C100" s="62" t="str">
        <f t="shared" si="15"/>
        <v>-</v>
      </c>
    </row>
    <row r="101" spans="1:20" ht="12.75" customHeight="1" x14ac:dyDescent="0.25">
      <c r="C101" s="62" t="str">
        <f t="shared" si="15"/>
        <v>-</v>
      </c>
    </row>
    <row r="102" spans="1:20" ht="12.75" customHeight="1" x14ac:dyDescent="0.25">
      <c r="A102" s="56" t="s">
        <v>454</v>
      </c>
      <c r="B102" s="57" t="s">
        <v>474</v>
      </c>
      <c r="C102" s="62" t="str">
        <f t="shared" si="15"/>
        <v>Loja-Cod</v>
      </c>
      <c r="D102" s="56" t="s">
        <v>475</v>
      </c>
      <c r="E102" s="57" t="s">
        <v>476</v>
      </c>
      <c r="F102" s="57" t="s">
        <v>477</v>
      </c>
      <c r="G102" s="57" t="s">
        <v>478</v>
      </c>
      <c r="H102" s="57" t="s">
        <v>479</v>
      </c>
      <c r="I102" s="57" t="s">
        <v>480</v>
      </c>
      <c r="J102" s="57" t="s">
        <v>481</v>
      </c>
      <c r="K102" s="57" t="s">
        <v>482</v>
      </c>
      <c r="M102" s="59" t="s">
        <v>483</v>
      </c>
      <c r="N102" s="59" t="s">
        <v>484</v>
      </c>
      <c r="P102" s="57" t="s">
        <v>485</v>
      </c>
      <c r="R102" s="60" t="s">
        <v>486</v>
      </c>
      <c r="S102" s="60" t="s">
        <v>466</v>
      </c>
      <c r="T102" s="60" t="s">
        <v>487</v>
      </c>
    </row>
    <row r="103" spans="1:20" ht="12.75" customHeight="1" x14ac:dyDescent="0.25">
      <c r="A103" s="61">
        <v>105</v>
      </c>
      <c r="B103" s="62">
        <v>61</v>
      </c>
      <c r="C103" s="62" t="str">
        <f t="shared" si="15"/>
        <v>105-61</v>
      </c>
      <c r="D103" s="63" t="s">
        <v>502</v>
      </c>
      <c r="E103" s="64">
        <v>2183.92</v>
      </c>
      <c r="G103" s="64">
        <v>0</v>
      </c>
      <c r="H103" s="64">
        <v>0</v>
      </c>
      <c r="I103" s="64">
        <v>0</v>
      </c>
      <c r="K103" s="64">
        <f t="shared" ref="K103:K113" si="23">SUM(E103:J103)</f>
        <v>2183.92</v>
      </c>
      <c r="M103" s="64"/>
      <c r="N103" s="65">
        <f t="shared" ref="N103:N113" si="24">IFERROR(K103/M103,)</f>
        <v>0</v>
      </c>
      <c r="P103" s="64">
        <v>400000</v>
      </c>
      <c r="R103" s="66">
        <v>0</v>
      </c>
      <c r="S103" s="66">
        <f>R103*25%</f>
        <v>0</v>
      </c>
      <c r="T103" s="66">
        <f>IF(N103&gt;1,K103*0.5%,0)</f>
        <v>0</v>
      </c>
    </row>
    <row r="104" spans="1:20" ht="12.75" customHeight="1" x14ac:dyDescent="0.25">
      <c r="A104" s="61">
        <v>105</v>
      </c>
      <c r="B104" s="62">
        <v>68</v>
      </c>
      <c r="C104" s="62" t="str">
        <f t="shared" si="15"/>
        <v>105-68</v>
      </c>
      <c r="D104" s="63" t="s">
        <v>118</v>
      </c>
      <c r="E104" s="64">
        <v>2399.88</v>
      </c>
      <c r="G104" s="64">
        <v>0</v>
      </c>
      <c r="H104" s="64">
        <v>0</v>
      </c>
      <c r="I104" s="64">
        <v>0</v>
      </c>
      <c r="K104" s="64">
        <f t="shared" si="23"/>
        <v>2399.88</v>
      </c>
      <c r="M104" s="64"/>
      <c r="N104" s="65">
        <f t="shared" si="24"/>
        <v>0</v>
      </c>
      <c r="R104" s="66">
        <f t="shared" ref="R104:R109" si="25">(K104*2.8%)</f>
        <v>67.196640000000002</v>
      </c>
      <c r="S104" s="66">
        <f t="shared" ref="S104:S109" si="26">R104*25%</f>
        <v>16.799160000000001</v>
      </c>
      <c r="T104" s="66">
        <f t="shared" ref="T104:T109" si="27">IF(N104&gt;1,K104*0.5%,0)</f>
        <v>0</v>
      </c>
    </row>
    <row r="105" spans="1:20" ht="12.75" customHeight="1" x14ac:dyDescent="0.25">
      <c r="A105" s="61">
        <v>105</v>
      </c>
      <c r="B105" s="62">
        <v>84</v>
      </c>
      <c r="C105" s="62" t="str">
        <f t="shared" si="15"/>
        <v>105-84</v>
      </c>
      <c r="D105" s="63" t="s">
        <v>120</v>
      </c>
      <c r="E105" s="64">
        <v>104195.79</v>
      </c>
      <c r="G105" s="64">
        <v>0</v>
      </c>
      <c r="H105" s="64">
        <v>0</v>
      </c>
      <c r="I105" s="64">
        <v>0</v>
      </c>
      <c r="K105" s="64">
        <f t="shared" si="23"/>
        <v>104195.79</v>
      </c>
      <c r="M105" s="64">
        <v>88000</v>
      </c>
      <c r="N105" s="65">
        <f t="shared" si="24"/>
        <v>1.1840430681818181</v>
      </c>
      <c r="R105" s="66">
        <f t="shared" si="25"/>
        <v>2917.4821199999997</v>
      </c>
      <c r="S105" s="66">
        <f t="shared" si="26"/>
        <v>729.37052999999992</v>
      </c>
      <c r="T105" s="66">
        <f t="shared" si="27"/>
        <v>520.97894999999994</v>
      </c>
    </row>
    <row r="106" spans="1:20" ht="12.75" customHeight="1" x14ac:dyDescent="0.25">
      <c r="A106" s="61">
        <v>105</v>
      </c>
      <c r="B106" s="62">
        <v>85</v>
      </c>
      <c r="C106" s="62" t="str">
        <f t="shared" si="15"/>
        <v>105-85</v>
      </c>
      <c r="D106" s="63" t="s">
        <v>503</v>
      </c>
      <c r="E106" s="64">
        <v>36788.379999999997</v>
      </c>
      <c r="G106" s="64">
        <v>0</v>
      </c>
      <c r="H106" s="64">
        <v>0</v>
      </c>
      <c r="I106" s="64">
        <v>0</v>
      </c>
      <c r="K106" s="64">
        <f t="shared" si="23"/>
        <v>36788.379999999997</v>
      </c>
      <c r="M106" s="64">
        <v>88000</v>
      </c>
      <c r="N106" s="65">
        <f t="shared" si="24"/>
        <v>0.41804977272727267</v>
      </c>
      <c r="R106" s="66">
        <f t="shared" si="25"/>
        <v>1030.0746399999998</v>
      </c>
      <c r="S106" s="66">
        <f t="shared" si="26"/>
        <v>257.51865999999995</v>
      </c>
      <c r="T106" s="66">
        <f t="shared" si="27"/>
        <v>0</v>
      </c>
    </row>
    <row r="107" spans="1:20" ht="12.75" customHeight="1" x14ac:dyDescent="0.25">
      <c r="A107" s="61">
        <v>105</v>
      </c>
      <c r="B107" s="62">
        <v>93</v>
      </c>
      <c r="C107" s="62" t="str">
        <f t="shared" si="15"/>
        <v>105-93</v>
      </c>
      <c r="D107" s="63" t="s">
        <v>124</v>
      </c>
      <c r="E107" s="64">
        <v>65882.53</v>
      </c>
      <c r="G107" s="64">
        <v>0</v>
      </c>
      <c r="H107" s="64">
        <v>0</v>
      </c>
      <c r="I107" s="64">
        <v>0</v>
      </c>
      <c r="K107" s="64">
        <f t="shared" si="23"/>
        <v>65882.53</v>
      </c>
      <c r="M107" s="64">
        <v>88000</v>
      </c>
      <c r="N107" s="65">
        <f t="shared" si="24"/>
        <v>0.74866511363636368</v>
      </c>
      <c r="R107" s="66">
        <f t="shared" si="25"/>
        <v>1844.7108399999997</v>
      </c>
      <c r="S107" s="66">
        <f t="shared" si="26"/>
        <v>461.17770999999993</v>
      </c>
      <c r="T107" s="66">
        <f t="shared" si="27"/>
        <v>0</v>
      </c>
    </row>
    <row r="108" spans="1:20" ht="12.75" customHeight="1" x14ac:dyDescent="0.25">
      <c r="A108" s="61">
        <v>105</v>
      </c>
      <c r="B108" s="62">
        <v>95</v>
      </c>
      <c r="C108" s="62" t="str">
        <f t="shared" si="15"/>
        <v>105-95</v>
      </c>
      <c r="D108" s="63" t="s">
        <v>126</v>
      </c>
      <c r="E108" s="64">
        <v>99503.07</v>
      </c>
      <c r="G108" s="64">
        <v>0</v>
      </c>
      <c r="H108" s="64">
        <v>0</v>
      </c>
      <c r="I108" s="64">
        <v>0</v>
      </c>
      <c r="K108" s="64">
        <f t="shared" si="23"/>
        <v>99503.07</v>
      </c>
      <c r="M108" s="64">
        <v>88000</v>
      </c>
      <c r="N108" s="65">
        <f t="shared" si="24"/>
        <v>1.1307167045454547</v>
      </c>
      <c r="R108" s="66">
        <f t="shared" si="25"/>
        <v>2786.0859599999999</v>
      </c>
      <c r="S108" s="66">
        <f t="shared" si="26"/>
        <v>696.52148999999997</v>
      </c>
      <c r="T108" s="66">
        <f t="shared" si="27"/>
        <v>497.51535000000007</v>
      </c>
    </row>
    <row r="109" spans="1:20" ht="12.75" customHeight="1" x14ac:dyDescent="0.25">
      <c r="A109" s="61">
        <v>105</v>
      </c>
      <c r="B109" s="62">
        <v>103</v>
      </c>
      <c r="C109" s="62" t="str">
        <f t="shared" si="15"/>
        <v>105-103</v>
      </c>
      <c r="D109" s="63" t="s">
        <v>130</v>
      </c>
      <c r="E109" s="64">
        <v>29693.71</v>
      </c>
      <c r="G109" s="64">
        <v>0</v>
      </c>
      <c r="H109" s="64">
        <v>0</v>
      </c>
      <c r="I109" s="64">
        <v>0</v>
      </c>
      <c r="K109" s="64">
        <f t="shared" si="23"/>
        <v>29693.71</v>
      </c>
      <c r="M109" s="64">
        <v>88000</v>
      </c>
      <c r="N109" s="65">
        <f t="shared" si="24"/>
        <v>0.3374285227272727</v>
      </c>
      <c r="R109" s="66">
        <f t="shared" si="25"/>
        <v>831.42387999999994</v>
      </c>
      <c r="S109" s="66">
        <f t="shared" si="26"/>
        <v>207.85596999999999</v>
      </c>
      <c r="T109" s="66">
        <f t="shared" si="27"/>
        <v>0</v>
      </c>
    </row>
    <row r="110" spans="1:20" ht="12.75" customHeight="1" x14ac:dyDescent="0.25">
      <c r="A110" s="61">
        <v>105</v>
      </c>
      <c r="B110" s="62"/>
      <c r="C110" s="62" t="str">
        <f t="shared" si="15"/>
        <v>105-</v>
      </c>
      <c r="D110" s="63"/>
      <c r="E110" s="64">
        <v>0</v>
      </c>
      <c r="G110" s="64">
        <v>0</v>
      </c>
      <c r="H110" s="64">
        <v>0</v>
      </c>
      <c r="I110" s="64">
        <v>0</v>
      </c>
      <c r="K110" s="64">
        <f t="shared" si="23"/>
        <v>0</v>
      </c>
      <c r="M110" s="64"/>
      <c r="N110" s="65">
        <f t="shared" si="24"/>
        <v>0</v>
      </c>
      <c r="R110" s="68">
        <f>SUM(R103:R109)</f>
        <v>9476.97408</v>
      </c>
      <c r="S110" s="68">
        <f>SUM(S103:S109)</f>
        <v>2369.24352</v>
      </c>
      <c r="T110" s="68">
        <f>SUM(T103:T109)</f>
        <v>1018.4943000000001</v>
      </c>
    </row>
    <row r="111" spans="1:20" ht="12.75" customHeight="1" x14ac:dyDescent="0.25">
      <c r="A111" s="61">
        <v>105</v>
      </c>
      <c r="B111" s="62"/>
      <c r="C111" s="62" t="str">
        <f t="shared" si="15"/>
        <v>105-</v>
      </c>
      <c r="D111" s="63"/>
      <c r="E111" s="64">
        <v>0</v>
      </c>
      <c r="G111" s="64">
        <v>0</v>
      </c>
      <c r="H111" s="64">
        <v>0</v>
      </c>
      <c r="I111" s="64">
        <v>0</v>
      </c>
      <c r="K111" s="64">
        <f t="shared" si="23"/>
        <v>0</v>
      </c>
      <c r="M111" s="64"/>
      <c r="N111" s="65">
        <f t="shared" si="24"/>
        <v>0</v>
      </c>
    </row>
    <row r="112" spans="1:20" ht="12.75" customHeight="1" x14ac:dyDescent="0.25">
      <c r="A112" s="61">
        <v>105</v>
      </c>
      <c r="B112" s="62"/>
      <c r="C112" s="62" t="str">
        <f t="shared" si="15"/>
        <v>105-</v>
      </c>
      <c r="D112" s="63"/>
      <c r="E112" s="64">
        <v>0</v>
      </c>
      <c r="G112" s="64">
        <v>0</v>
      </c>
      <c r="H112" s="64">
        <v>0</v>
      </c>
      <c r="I112" s="64">
        <v>0</v>
      </c>
      <c r="K112" s="64">
        <f t="shared" si="23"/>
        <v>0</v>
      </c>
      <c r="M112" s="64"/>
      <c r="N112" s="65">
        <f t="shared" si="24"/>
        <v>0</v>
      </c>
    </row>
    <row r="113" spans="1:20" ht="12.75" customHeight="1" x14ac:dyDescent="0.25">
      <c r="A113" s="61">
        <v>105</v>
      </c>
      <c r="B113" s="62"/>
      <c r="C113" s="62" t="str">
        <f t="shared" si="15"/>
        <v>105-</v>
      </c>
      <c r="D113" s="63"/>
      <c r="E113" s="64">
        <v>0</v>
      </c>
      <c r="G113" s="64">
        <v>0</v>
      </c>
      <c r="H113" s="64">
        <v>0</v>
      </c>
      <c r="I113" s="64">
        <v>0</v>
      </c>
      <c r="K113" s="64">
        <f t="shared" si="23"/>
        <v>0</v>
      </c>
      <c r="M113" s="64"/>
      <c r="N113" s="65">
        <f t="shared" si="24"/>
        <v>0</v>
      </c>
    </row>
    <row r="114" spans="1:20" ht="12.75" customHeight="1" x14ac:dyDescent="0.25">
      <c r="A114" s="69" t="s">
        <v>459</v>
      </c>
      <c r="B114" s="70"/>
      <c r="C114" s="62" t="str">
        <f t="shared" si="15"/>
        <v>Total-</v>
      </c>
      <c r="D114" s="69"/>
      <c r="E114" s="71">
        <v>340647.28</v>
      </c>
      <c r="F114" s="71">
        <v>0</v>
      </c>
      <c r="G114" s="71">
        <v>0</v>
      </c>
      <c r="H114" s="71">
        <v>0</v>
      </c>
      <c r="I114" s="71">
        <v>0</v>
      </c>
      <c r="J114" s="71">
        <v>0</v>
      </c>
      <c r="K114" s="71">
        <f>SUM(K103:K113)</f>
        <v>340647.28</v>
      </c>
      <c r="M114" s="71">
        <f>SUM(M103:M113)</f>
        <v>440000</v>
      </c>
    </row>
    <row r="115" spans="1:20" ht="12.75" customHeight="1" x14ac:dyDescent="0.25">
      <c r="C115" s="62" t="str">
        <f t="shared" si="15"/>
        <v>-</v>
      </c>
    </row>
    <row r="116" spans="1:20" ht="12.75" customHeight="1" x14ac:dyDescent="0.25">
      <c r="C116" s="62" t="str">
        <f t="shared" si="15"/>
        <v>-</v>
      </c>
    </row>
    <row r="117" spans="1:20" ht="12.75" customHeight="1" x14ac:dyDescent="0.25">
      <c r="C117" s="62" t="str">
        <f t="shared" si="15"/>
        <v>-</v>
      </c>
    </row>
    <row r="118" spans="1:20" ht="12.75" customHeight="1" x14ac:dyDescent="0.25">
      <c r="C118" s="62" t="str">
        <f t="shared" si="15"/>
        <v>-</v>
      </c>
    </row>
    <row r="119" spans="1:20" ht="12.75" customHeight="1" x14ac:dyDescent="0.25">
      <c r="A119" s="56" t="s">
        <v>454</v>
      </c>
      <c r="B119" s="57" t="s">
        <v>474</v>
      </c>
      <c r="C119" s="62" t="str">
        <f t="shared" si="15"/>
        <v>Loja-Cod</v>
      </c>
      <c r="D119" s="56" t="s">
        <v>475</v>
      </c>
      <c r="E119" s="57" t="s">
        <v>476</v>
      </c>
      <c r="F119" s="57" t="s">
        <v>477</v>
      </c>
      <c r="G119" s="57" t="s">
        <v>478</v>
      </c>
      <c r="H119" s="57" t="s">
        <v>479</v>
      </c>
      <c r="I119" s="57" t="s">
        <v>480</v>
      </c>
      <c r="J119" s="57" t="s">
        <v>481</v>
      </c>
      <c r="K119" s="57" t="s">
        <v>482</v>
      </c>
      <c r="M119" s="59" t="s">
        <v>483</v>
      </c>
      <c r="N119" s="59" t="s">
        <v>484</v>
      </c>
      <c r="P119" s="57" t="s">
        <v>485</v>
      </c>
      <c r="R119" s="60" t="s">
        <v>486</v>
      </c>
      <c r="S119" s="60" t="s">
        <v>466</v>
      </c>
      <c r="T119" s="60" t="s">
        <v>487</v>
      </c>
    </row>
    <row r="120" spans="1:20" ht="12.75" customHeight="1" x14ac:dyDescent="0.25">
      <c r="A120" s="61">
        <v>116</v>
      </c>
      <c r="B120" s="62">
        <v>143</v>
      </c>
      <c r="C120" s="62" t="str">
        <f t="shared" si="15"/>
        <v>116-143</v>
      </c>
      <c r="D120" s="63" t="s">
        <v>132</v>
      </c>
      <c r="E120" s="64">
        <v>0</v>
      </c>
      <c r="G120" s="64">
        <v>0</v>
      </c>
      <c r="H120" s="64">
        <v>0</v>
      </c>
      <c r="I120" s="64">
        <v>0</v>
      </c>
      <c r="K120" s="64">
        <f t="shared" ref="K120:K130" si="28">SUM(E120:J120)</f>
        <v>0</v>
      </c>
      <c r="M120" s="64"/>
      <c r="N120" s="65">
        <f t="shared" ref="N120:N130" si="29">IFERROR(K120/M120,)</f>
        <v>0</v>
      </c>
      <c r="P120" s="64">
        <v>450000</v>
      </c>
      <c r="R120" s="66">
        <f>(K120*3.2%)</f>
        <v>0</v>
      </c>
      <c r="S120" s="67">
        <f>R120*25%</f>
        <v>0</v>
      </c>
      <c r="T120" s="66">
        <f>IF(N120&gt;1,K120*0.5%,0)</f>
        <v>0</v>
      </c>
    </row>
    <row r="121" spans="1:20" ht="12.75" customHeight="1" x14ac:dyDescent="0.25">
      <c r="A121" s="61">
        <v>116</v>
      </c>
      <c r="B121" s="62">
        <v>144</v>
      </c>
      <c r="C121" s="62" t="str">
        <f t="shared" si="15"/>
        <v>116-144</v>
      </c>
      <c r="D121" s="63" t="s">
        <v>134</v>
      </c>
      <c r="E121" s="64">
        <v>71332.320000000007</v>
      </c>
      <c r="G121" s="64">
        <v>0</v>
      </c>
      <c r="H121" s="64">
        <v>1179.97</v>
      </c>
      <c r="I121" s="64">
        <v>0</v>
      </c>
      <c r="K121" s="64">
        <f t="shared" si="28"/>
        <v>72512.290000000008</v>
      </c>
      <c r="M121" s="64">
        <v>82500</v>
      </c>
      <c r="N121" s="65">
        <f t="shared" si="29"/>
        <v>0.87893684848484854</v>
      </c>
      <c r="R121" s="66">
        <f t="shared" ref="R121:R126" si="30">(K121*3.2%)</f>
        <v>2320.3932800000002</v>
      </c>
      <c r="S121" s="67">
        <f t="shared" ref="S121:S126" si="31">R121*25%</f>
        <v>580.09832000000006</v>
      </c>
      <c r="T121" s="66">
        <f t="shared" ref="T121:T126" si="32">IF(N121&gt;1,K121*0.5%,0)</f>
        <v>0</v>
      </c>
    </row>
    <row r="122" spans="1:20" ht="12.75" customHeight="1" x14ac:dyDescent="0.25">
      <c r="A122" s="61">
        <v>116</v>
      </c>
      <c r="B122" s="62">
        <v>148</v>
      </c>
      <c r="C122" s="62" t="str">
        <f t="shared" si="15"/>
        <v>116-148</v>
      </c>
      <c r="D122" s="63" t="s">
        <v>138</v>
      </c>
      <c r="E122" s="64">
        <v>55055.32</v>
      </c>
      <c r="G122" s="64">
        <v>0</v>
      </c>
      <c r="H122" s="64">
        <v>1149.97</v>
      </c>
      <c r="I122" s="64">
        <v>0</v>
      </c>
      <c r="K122" s="64">
        <f t="shared" si="28"/>
        <v>56205.29</v>
      </c>
      <c r="M122" s="64">
        <v>82500</v>
      </c>
      <c r="N122" s="65">
        <f t="shared" si="29"/>
        <v>0.68127624242424245</v>
      </c>
      <c r="R122" s="66">
        <f t="shared" si="30"/>
        <v>1798.5692800000002</v>
      </c>
      <c r="S122" s="67">
        <f t="shared" si="31"/>
        <v>449.64232000000004</v>
      </c>
      <c r="T122" s="66">
        <f t="shared" si="32"/>
        <v>0</v>
      </c>
    </row>
    <row r="123" spans="1:20" ht="12.75" customHeight="1" x14ac:dyDescent="0.25">
      <c r="A123" s="61">
        <v>116</v>
      </c>
      <c r="B123" s="62">
        <v>164</v>
      </c>
      <c r="C123" s="62" t="str">
        <f t="shared" si="15"/>
        <v>116-164</v>
      </c>
      <c r="D123" s="63" t="s">
        <v>140</v>
      </c>
      <c r="E123" s="64">
        <v>46458.27</v>
      </c>
      <c r="G123" s="64">
        <v>0</v>
      </c>
      <c r="H123" s="64">
        <v>1329.98</v>
      </c>
      <c r="I123" s="64">
        <v>0</v>
      </c>
      <c r="K123" s="64">
        <f t="shared" si="28"/>
        <v>47788.25</v>
      </c>
      <c r="M123" s="64">
        <v>82500</v>
      </c>
      <c r="N123" s="65">
        <f t="shared" si="29"/>
        <v>0.57925151515151518</v>
      </c>
      <c r="R123" s="66">
        <f t="shared" si="30"/>
        <v>1529.2239999999999</v>
      </c>
      <c r="S123" s="67">
        <f t="shared" si="31"/>
        <v>382.30599999999998</v>
      </c>
      <c r="T123" s="66">
        <f t="shared" si="32"/>
        <v>0</v>
      </c>
    </row>
    <row r="124" spans="1:20" ht="12.75" customHeight="1" x14ac:dyDescent="0.25">
      <c r="A124" s="61">
        <v>116</v>
      </c>
      <c r="B124" s="62">
        <v>169</v>
      </c>
      <c r="C124" s="62" t="str">
        <f t="shared" si="15"/>
        <v>116-169</v>
      </c>
      <c r="D124" s="63" t="s">
        <v>142</v>
      </c>
      <c r="E124" s="64">
        <v>58183.42</v>
      </c>
      <c r="G124" s="64">
        <v>0</v>
      </c>
      <c r="H124" s="64">
        <v>0</v>
      </c>
      <c r="I124" s="64">
        <v>599.99</v>
      </c>
      <c r="K124" s="64">
        <f t="shared" si="28"/>
        <v>58783.409999999996</v>
      </c>
      <c r="M124" s="64">
        <v>82500</v>
      </c>
      <c r="N124" s="65">
        <f t="shared" si="29"/>
        <v>0.71252618181818173</v>
      </c>
      <c r="R124" s="66">
        <f t="shared" si="30"/>
        <v>1881.0691199999999</v>
      </c>
      <c r="S124" s="67">
        <f t="shared" si="31"/>
        <v>470.26727999999997</v>
      </c>
      <c r="T124" s="66">
        <f t="shared" si="32"/>
        <v>0</v>
      </c>
    </row>
    <row r="125" spans="1:20" ht="12.75" customHeight="1" x14ac:dyDescent="0.25">
      <c r="A125" s="61">
        <v>116</v>
      </c>
      <c r="B125" s="62">
        <v>170</v>
      </c>
      <c r="C125" s="62" t="str">
        <f t="shared" si="15"/>
        <v>116-170</v>
      </c>
      <c r="D125" s="63" t="s">
        <v>504</v>
      </c>
      <c r="E125" s="64">
        <v>53063.13</v>
      </c>
      <c r="G125" s="64">
        <v>0</v>
      </c>
      <c r="H125" s="64">
        <v>1499.98</v>
      </c>
      <c r="I125" s="64">
        <v>0</v>
      </c>
      <c r="K125" s="64">
        <f t="shared" si="28"/>
        <v>54563.11</v>
      </c>
      <c r="M125" s="64">
        <v>82500</v>
      </c>
      <c r="N125" s="65">
        <f t="shared" si="29"/>
        <v>0.66137103030303035</v>
      </c>
      <c r="R125" s="66">
        <f t="shared" si="30"/>
        <v>1746.0195200000001</v>
      </c>
      <c r="S125" s="67">
        <f t="shared" si="31"/>
        <v>436.50488000000001</v>
      </c>
      <c r="T125" s="66">
        <f t="shared" si="32"/>
        <v>0</v>
      </c>
    </row>
    <row r="126" spans="1:20" ht="12.75" customHeight="1" x14ac:dyDescent="0.25">
      <c r="A126" s="61">
        <v>116</v>
      </c>
      <c r="B126" s="62">
        <v>175</v>
      </c>
      <c r="C126" s="62" t="str">
        <f t="shared" si="15"/>
        <v>116-175</v>
      </c>
      <c r="D126" s="63" t="s">
        <v>505</v>
      </c>
      <c r="E126" s="64">
        <v>70651.94</v>
      </c>
      <c r="G126" s="64">
        <v>0</v>
      </c>
      <c r="H126" s="64">
        <v>1799.97</v>
      </c>
      <c r="I126" s="64">
        <v>0</v>
      </c>
      <c r="K126" s="64">
        <f t="shared" si="28"/>
        <v>72451.91</v>
      </c>
      <c r="M126" s="64">
        <v>82500</v>
      </c>
      <c r="N126" s="65">
        <f t="shared" si="29"/>
        <v>0.87820496969696971</v>
      </c>
      <c r="R126" s="66">
        <f t="shared" si="30"/>
        <v>2318.4611199999999</v>
      </c>
      <c r="S126" s="67">
        <f t="shared" si="31"/>
        <v>579.61527999999998</v>
      </c>
      <c r="T126" s="66">
        <f t="shared" si="32"/>
        <v>0</v>
      </c>
    </row>
    <row r="127" spans="1:20" ht="12.75" customHeight="1" x14ac:dyDescent="0.25">
      <c r="A127" s="61">
        <v>116</v>
      </c>
      <c r="B127" s="62"/>
      <c r="C127" s="62" t="str">
        <f t="shared" si="15"/>
        <v>116-</v>
      </c>
      <c r="D127" s="63"/>
      <c r="E127" s="64">
        <v>0</v>
      </c>
      <c r="G127" s="64">
        <v>0</v>
      </c>
      <c r="H127" s="64">
        <v>0</v>
      </c>
      <c r="I127" s="64">
        <v>0</v>
      </c>
      <c r="K127" s="64">
        <f t="shared" si="28"/>
        <v>0</v>
      </c>
      <c r="M127" s="64"/>
      <c r="N127" s="65">
        <f t="shared" si="29"/>
        <v>0</v>
      </c>
      <c r="R127" s="68">
        <f>SUM(R120:R126)</f>
        <v>11593.73632</v>
      </c>
      <c r="S127" s="68">
        <f>SUM(S120:S126)</f>
        <v>2898.43408</v>
      </c>
      <c r="T127" s="68">
        <f>SUM(T120:T126)</f>
        <v>0</v>
      </c>
    </row>
    <row r="128" spans="1:20" ht="12.75" customHeight="1" x14ac:dyDescent="0.25">
      <c r="A128" s="61">
        <v>116</v>
      </c>
      <c r="B128" s="62"/>
      <c r="C128" s="62" t="str">
        <f t="shared" si="15"/>
        <v>116-</v>
      </c>
      <c r="D128" s="63"/>
      <c r="E128" s="64">
        <v>0</v>
      </c>
      <c r="G128" s="64">
        <v>0</v>
      </c>
      <c r="H128" s="64">
        <v>0</v>
      </c>
      <c r="I128" s="64">
        <v>0</v>
      </c>
      <c r="K128" s="64">
        <f t="shared" si="28"/>
        <v>0</v>
      </c>
      <c r="M128" s="64"/>
      <c r="N128" s="65">
        <f t="shared" si="29"/>
        <v>0</v>
      </c>
    </row>
    <row r="129" spans="1:20" ht="12.75" customHeight="1" x14ac:dyDescent="0.25">
      <c r="A129" s="61">
        <v>116</v>
      </c>
      <c r="B129" s="62"/>
      <c r="C129" s="62" t="str">
        <f t="shared" si="15"/>
        <v>116-</v>
      </c>
      <c r="D129" s="63"/>
      <c r="E129" s="64">
        <v>0</v>
      </c>
      <c r="G129" s="64">
        <v>0</v>
      </c>
      <c r="H129" s="64">
        <v>0</v>
      </c>
      <c r="I129" s="64">
        <v>0</v>
      </c>
      <c r="K129" s="64">
        <f t="shared" si="28"/>
        <v>0</v>
      </c>
      <c r="M129" s="64"/>
      <c r="N129" s="65">
        <f t="shared" si="29"/>
        <v>0</v>
      </c>
    </row>
    <row r="130" spans="1:20" ht="12.75" customHeight="1" x14ac:dyDescent="0.25">
      <c r="A130" s="61">
        <v>116</v>
      </c>
      <c r="B130" s="62"/>
      <c r="C130" s="62" t="str">
        <f t="shared" si="15"/>
        <v>116-</v>
      </c>
      <c r="D130" s="63"/>
      <c r="E130" s="64">
        <v>0</v>
      </c>
      <c r="G130" s="64">
        <v>0</v>
      </c>
      <c r="H130" s="64">
        <v>0</v>
      </c>
      <c r="I130" s="64">
        <v>0</v>
      </c>
      <c r="K130" s="64">
        <f t="shared" si="28"/>
        <v>0</v>
      </c>
      <c r="M130" s="64"/>
      <c r="N130" s="65">
        <f t="shared" si="29"/>
        <v>0</v>
      </c>
    </row>
    <row r="131" spans="1:20" ht="12.75" customHeight="1" x14ac:dyDescent="0.25">
      <c r="A131" s="69" t="s">
        <v>459</v>
      </c>
      <c r="B131" s="70"/>
      <c r="C131" s="62" t="str">
        <f t="shared" si="15"/>
        <v>Total-</v>
      </c>
      <c r="D131" s="69"/>
      <c r="E131" s="71">
        <v>354744.4</v>
      </c>
      <c r="F131" s="71">
        <v>0</v>
      </c>
      <c r="G131" s="71">
        <v>0</v>
      </c>
      <c r="H131" s="71">
        <v>6959.87</v>
      </c>
      <c r="I131" s="71">
        <v>599.99</v>
      </c>
      <c r="J131" s="71">
        <v>0</v>
      </c>
      <c r="K131" s="71">
        <f>SUM(K120:K130)</f>
        <v>362304.26</v>
      </c>
      <c r="M131" s="71">
        <f>SUM(M120:M130)</f>
        <v>495000</v>
      </c>
    </row>
    <row r="132" spans="1:20" ht="12.75" customHeight="1" x14ac:dyDescent="0.25">
      <c r="C132" s="62" t="str">
        <f t="shared" ref="C132:C195" si="33">CONCATENATE(A132,"-",B132)</f>
        <v>-</v>
      </c>
    </row>
    <row r="133" spans="1:20" ht="12.75" customHeight="1" x14ac:dyDescent="0.25">
      <c r="C133" s="62" t="str">
        <f t="shared" si="33"/>
        <v>-</v>
      </c>
    </row>
    <row r="134" spans="1:20" ht="12.75" customHeight="1" x14ac:dyDescent="0.25">
      <c r="C134" s="62" t="str">
        <f t="shared" si="33"/>
        <v>-</v>
      </c>
    </row>
    <row r="135" spans="1:20" ht="12.75" customHeight="1" x14ac:dyDescent="0.25">
      <c r="C135" s="62" t="str">
        <f t="shared" si="33"/>
        <v>-</v>
      </c>
    </row>
    <row r="136" spans="1:20" ht="12.75" customHeight="1" x14ac:dyDescent="0.25">
      <c r="A136" s="56" t="s">
        <v>454</v>
      </c>
      <c r="B136" s="57" t="s">
        <v>474</v>
      </c>
      <c r="C136" s="62" t="str">
        <f t="shared" si="33"/>
        <v>Loja-Cod</v>
      </c>
      <c r="D136" s="56" t="s">
        <v>475</v>
      </c>
      <c r="E136" s="57" t="s">
        <v>476</v>
      </c>
      <c r="F136" s="57" t="s">
        <v>477</v>
      </c>
      <c r="G136" s="57" t="s">
        <v>478</v>
      </c>
      <c r="H136" s="57" t="s">
        <v>479</v>
      </c>
      <c r="I136" s="57" t="s">
        <v>480</v>
      </c>
      <c r="J136" s="57" t="s">
        <v>481</v>
      </c>
      <c r="K136" s="57" t="s">
        <v>482</v>
      </c>
      <c r="M136" s="59" t="s">
        <v>483</v>
      </c>
      <c r="N136" s="59" t="s">
        <v>484</v>
      </c>
      <c r="P136" s="57" t="s">
        <v>485</v>
      </c>
      <c r="R136" s="60" t="s">
        <v>486</v>
      </c>
      <c r="S136" s="60" t="s">
        <v>466</v>
      </c>
      <c r="T136" s="60" t="s">
        <v>487</v>
      </c>
    </row>
    <row r="137" spans="1:20" ht="12.75" customHeight="1" x14ac:dyDescent="0.25">
      <c r="A137" s="61">
        <v>123</v>
      </c>
      <c r="B137" s="62">
        <v>20</v>
      </c>
      <c r="C137" s="62" t="str">
        <f t="shared" si="33"/>
        <v>123-20</v>
      </c>
      <c r="D137" s="63" t="s">
        <v>506</v>
      </c>
      <c r="E137" s="64">
        <v>389.96</v>
      </c>
      <c r="G137" s="64">
        <v>0</v>
      </c>
      <c r="H137" s="64">
        <v>0</v>
      </c>
      <c r="I137" s="64">
        <v>0</v>
      </c>
      <c r="K137" s="64">
        <f t="shared" ref="K137:K147" si="34">SUM(E137:J137)</f>
        <v>389.96</v>
      </c>
      <c r="M137" s="64"/>
      <c r="N137" s="65">
        <f t="shared" ref="N137:N147" si="35">IFERROR(K137/M137,)</f>
        <v>0</v>
      </c>
      <c r="P137" s="64">
        <v>220000</v>
      </c>
      <c r="R137" s="66">
        <v>0</v>
      </c>
      <c r="S137" s="67">
        <f t="shared" ref="S137:S142" si="36">R137*25%</f>
        <v>0</v>
      </c>
      <c r="T137" s="66">
        <f t="shared" ref="T137:T142" si="37">IF(N137&gt;1,K137*0.5%,0)</f>
        <v>0</v>
      </c>
    </row>
    <row r="138" spans="1:20" ht="12.75" customHeight="1" x14ac:dyDescent="0.25">
      <c r="A138" s="61">
        <v>123</v>
      </c>
      <c r="B138" s="62">
        <v>36</v>
      </c>
      <c r="C138" s="62" t="str">
        <f t="shared" si="33"/>
        <v>123-36</v>
      </c>
      <c r="D138" s="63" t="s">
        <v>148</v>
      </c>
      <c r="E138" s="64">
        <v>49333.01</v>
      </c>
      <c r="G138" s="64">
        <v>0</v>
      </c>
      <c r="H138" s="64">
        <v>0</v>
      </c>
      <c r="I138" s="64">
        <v>0</v>
      </c>
      <c r="K138" s="64">
        <f t="shared" si="34"/>
        <v>49333.01</v>
      </c>
      <c r="M138" s="64">
        <v>49000</v>
      </c>
      <c r="N138" s="65">
        <f t="shared" si="35"/>
        <v>1.0067961224489796</v>
      </c>
      <c r="R138" s="66">
        <f>(K138*3.8%)</f>
        <v>1874.6543799999999</v>
      </c>
      <c r="S138" s="67">
        <f t="shared" si="36"/>
        <v>468.66359499999999</v>
      </c>
      <c r="T138" s="66">
        <f t="shared" si="37"/>
        <v>246.66505000000001</v>
      </c>
    </row>
    <row r="139" spans="1:20" ht="12.75" customHeight="1" x14ac:dyDescent="0.25">
      <c r="A139" s="61">
        <v>123</v>
      </c>
      <c r="B139" s="62">
        <v>58</v>
      </c>
      <c r="C139" s="62" t="str">
        <f t="shared" si="33"/>
        <v>123-58</v>
      </c>
      <c r="D139" s="63" t="s">
        <v>150</v>
      </c>
      <c r="E139" s="64">
        <v>42157.58</v>
      </c>
      <c r="G139" s="64">
        <v>0</v>
      </c>
      <c r="H139" s="64">
        <v>0</v>
      </c>
      <c r="I139" s="64">
        <v>0</v>
      </c>
      <c r="K139" s="64">
        <f t="shared" si="34"/>
        <v>42157.58</v>
      </c>
      <c r="M139" s="64">
        <v>49000</v>
      </c>
      <c r="N139" s="65">
        <f t="shared" si="35"/>
        <v>0.86035877551020412</v>
      </c>
      <c r="R139" s="66">
        <f>(K139*3.5%)</f>
        <v>1475.5153000000003</v>
      </c>
      <c r="S139" s="67">
        <f t="shared" si="36"/>
        <v>368.87882500000006</v>
      </c>
      <c r="T139" s="66">
        <f t="shared" si="37"/>
        <v>0</v>
      </c>
    </row>
    <row r="140" spans="1:20" ht="12.75" customHeight="1" x14ac:dyDescent="0.25">
      <c r="A140" s="61">
        <v>123</v>
      </c>
      <c r="B140" s="62">
        <v>69</v>
      </c>
      <c r="C140" s="62" t="str">
        <f t="shared" si="33"/>
        <v>123-69</v>
      </c>
      <c r="D140" s="63" t="s">
        <v>154</v>
      </c>
      <c r="E140" s="64">
        <v>57673.26</v>
      </c>
      <c r="G140" s="64">
        <v>0</v>
      </c>
      <c r="H140" s="64">
        <v>0</v>
      </c>
      <c r="I140" s="64">
        <v>0</v>
      </c>
      <c r="K140" s="64">
        <f t="shared" si="34"/>
        <v>57673.26</v>
      </c>
      <c r="M140" s="64">
        <v>49000</v>
      </c>
      <c r="N140" s="65">
        <f t="shared" si="35"/>
        <v>1.177005306122449</v>
      </c>
      <c r="R140" s="66">
        <f>(K140*4.1%)</f>
        <v>2364.6036599999998</v>
      </c>
      <c r="S140" s="67">
        <f t="shared" si="36"/>
        <v>591.15091499999994</v>
      </c>
      <c r="T140" s="66">
        <f t="shared" si="37"/>
        <v>288.36630000000002</v>
      </c>
    </row>
    <row r="141" spans="1:20" ht="12.75" customHeight="1" x14ac:dyDescent="0.25">
      <c r="A141" s="61">
        <v>123</v>
      </c>
      <c r="B141" s="62">
        <v>70</v>
      </c>
      <c r="C141" s="62" t="str">
        <f t="shared" si="33"/>
        <v>123-70</v>
      </c>
      <c r="D141" s="63" t="s">
        <v>156</v>
      </c>
      <c r="E141" s="64">
        <v>53825.54</v>
      </c>
      <c r="G141" s="64">
        <v>0</v>
      </c>
      <c r="H141" s="64">
        <v>0</v>
      </c>
      <c r="I141" s="64">
        <v>0</v>
      </c>
      <c r="K141" s="64">
        <f t="shared" si="34"/>
        <v>53825.54</v>
      </c>
      <c r="M141" s="64">
        <v>49000</v>
      </c>
      <c r="N141" s="65">
        <f t="shared" si="35"/>
        <v>1.0984804081632653</v>
      </c>
      <c r="R141" s="66">
        <f>(K141*3.8%)</f>
        <v>2045.3705199999999</v>
      </c>
      <c r="S141" s="67">
        <f t="shared" si="36"/>
        <v>511.34262999999999</v>
      </c>
      <c r="T141" s="66">
        <f t="shared" si="37"/>
        <v>269.1277</v>
      </c>
    </row>
    <row r="142" spans="1:20" ht="12.75" customHeight="1" x14ac:dyDescent="0.25">
      <c r="A142" s="61">
        <v>123</v>
      </c>
      <c r="B142" s="62">
        <v>75</v>
      </c>
      <c r="C142" s="62" t="str">
        <f t="shared" si="33"/>
        <v>123-75</v>
      </c>
      <c r="D142" s="63" t="s">
        <v>507</v>
      </c>
      <c r="E142" s="64">
        <v>73508.850000000006</v>
      </c>
      <c r="G142" s="64">
        <v>0</v>
      </c>
      <c r="H142" s="64">
        <v>0</v>
      </c>
      <c r="I142" s="64">
        <v>0</v>
      </c>
      <c r="K142" s="64">
        <f t="shared" si="34"/>
        <v>73508.850000000006</v>
      </c>
      <c r="M142" s="64">
        <v>49000</v>
      </c>
      <c r="N142" s="65">
        <f t="shared" si="35"/>
        <v>1.5001806122448982</v>
      </c>
      <c r="R142" s="66">
        <f>(K142*4.4%)</f>
        <v>3234.3894000000005</v>
      </c>
      <c r="S142" s="67">
        <f t="shared" si="36"/>
        <v>808.59735000000012</v>
      </c>
      <c r="T142" s="66">
        <f t="shared" si="37"/>
        <v>367.54425000000003</v>
      </c>
    </row>
    <row r="143" spans="1:20" ht="12.75" customHeight="1" x14ac:dyDescent="0.25">
      <c r="A143" s="61">
        <v>123</v>
      </c>
      <c r="B143" s="62"/>
      <c r="C143" s="62" t="str">
        <f t="shared" si="33"/>
        <v>123-</v>
      </c>
      <c r="D143" s="63"/>
      <c r="E143" s="64">
        <v>0</v>
      </c>
      <c r="G143" s="64">
        <v>0</v>
      </c>
      <c r="H143" s="64">
        <v>0</v>
      </c>
      <c r="I143" s="64">
        <v>0</v>
      </c>
      <c r="K143" s="64">
        <f t="shared" si="34"/>
        <v>0</v>
      </c>
      <c r="M143" s="64"/>
      <c r="N143" s="65">
        <f t="shared" si="35"/>
        <v>0</v>
      </c>
      <c r="R143" s="68">
        <f>SUM(R137:R142)</f>
        <v>10994.53326</v>
      </c>
      <c r="S143" s="68">
        <f>SUM(S137:S142)</f>
        <v>2748.633315</v>
      </c>
      <c r="T143" s="68">
        <f>SUM(T137:T142)</f>
        <v>1171.7033000000001</v>
      </c>
    </row>
    <row r="144" spans="1:20" ht="12.75" customHeight="1" x14ac:dyDescent="0.25">
      <c r="A144" s="61">
        <v>123</v>
      </c>
      <c r="B144" s="62"/>
      <c r="C144" s="62" t="str">
        <f t="shared" si="33"/>
        <v>123-</v>
      </c>
      <c r="D144" s="63"/>
      <c r="E144" s="64">
        <v>0</v>
      </c>
      <c r="G144" s="64">
        <v>0</v>
      </c>
      <c r="H144" s="64">
        <v>0</v>
      </c>
      <c r="I144" s="64">
        <v>0</v>
      </c>
      <c r="K144" s="64">
        <f t="shared" si="34"/>
        <v>0</v>
      </c>
      <c r="M144" s="64"/>
      <c r="N144" s="65">
        <f t="shared" si="35"/>
        <v>0</v>
      </c>
    </row>
    <row r="145" spans="1:20" ht="12.75" customHeight="1" x14ac:dyDescent="0.25">
      <c r="A145" s="61">
        <v>123</v>
      </c>
      <c r="B145" s="62"/>
      <c r="C145" s="62" t="str">
        <f t="shared" si="33"/>
        <v>123-</v>
      </c>
      <c r="D145" s="63"/>
      <c r="E145" s="64">
        <v>0</v>
      </c>
      <c r="G145" s="64">
        <v>0</v>
      </c>
      <c r="H145" s="64">
        <v>0</v>
      </c>
      <c r="I145" s="64">
        <v>0</v>
      </c>
      <c r="K145" s="64">
        <f t="shared" si="34"/>
        <v>0</v>
      </c>
      <c r="M145" s="64"/>
      <c r="N145" s="65">
        <f t="shared" si="35"/>
        <v>0</v>
      </c>
    </row>
    <row r="146" spans="1:20" ht="12.75" customHeight="1" x14ac:dyDescent="0.25">
      <c r="A146" s="61">
        <v>123</v>
      </c>
      <c r="B146" s="62"/>
      <c r="C146" s="62" t="str">
        <f t="shared" si="33"/>
        <v>123-</v>
      </c>
      <c r="D146" s="63"/>
      <c r="E146" s="64">
        <v>0</v>
      </c>
      <c r="G146" s="64">
        <v>0</v>
      </c>
      <c r="H146" s="64">
        <v>0</v>
      </c>
      <c r="I146" s="64">
        <v>0</v>
      </c>
      <c r="K146" s="64">
        <f t="shared" si="34"/>
        <v>0</v>
      </c>
      <c r="M146" s="64"/>
      <c r="N146" s="65">
        <f t="shared" si="35"/>
        <v>0</v>
      </c>
    </row>
    <row r="147" spans="1:20" ht="12.75" customHeight="1" x14ac:dyDescent="0.25">
      <c r="A147" s="61">
        <v>123</v>
      </c>
      <c r="B147" s="62"/>
      <c r="C147" s="62" t="str">
        <f t="shared" si="33"/>
        <v>123-</v>
      </c>
      <c r="D147" s="63"/>
      <c r="E147" s="64">
        <v>0</v>
      </c>
      <c r="G147" s="64">
        <v>0</v>
      </c>
      <c r="H147" s="64">
        <v>0</v>
      </c>
      <c r="I147" s="64">
        <v>0</v>
      </c>
      <c r="K147" s="64">
        <f t="shared" si="34"/>
        <v>0</v>
      </c>
      <c r="M147" s="64"/>
      <c r="N147" s="65">
        <f t="shared" si="35"/>
        <v>0</v>
      </c>
    </row>
    <row r="148" spans="1:20" ht="12.75" customHeight="1" x14ac:dyDescent="0.25">
      <c r="A148" s="69" t="s">
        <v>459</v>
      </c>
      <c r="B148" s="70"/>
      <c r="C148" s="62" t="str">
        <f t="shared" si="33"/>
        <v>Total-</v>
      </c>
      <c r="D148" s="69"/>
      <c r="E148" s="71">
        <v>276888.2</v>
      </c>
      <c r="F148" s="71">
        <v>0</v>
      </c>
      <c r="G148" s="71">
        <v>0</v>
      </c>
      <c r="H148" s="71">
        <v>0</v>
      </c>
      <c r="I148" s="71">
        <v>0</v>
      </c>
      <c r="J148" s="71">
        <v>0</v>
      </c>
      <c r="K148" s="71">
        <f>SUM(K137:K147)</f>
        <v>276888.2</v>
      </c>
      <c r="M148" s="71">
        <f>SUM(M137:M147)</f>
        <v>245000</v>
      </c>
    </row>
    <row r="149" spans="1:20" ht="12.75" customHeight="1" x14ac:dyDescent="0.25">
      <c r="C149" s="62" t="str">
        <f t="shared" si="33"/>
        <v>-</v>
      </c>
    </row>
    <row r="150" spans="1:20" ht="12.75" customHeight="1" x14ac:dyDescent="0.25">
      <c r="C150" s="62" t="str">
        <f t="shared" si="33"/>
        <v>-</v>
      </c>
    </row>
    <row r="151" spans="1:20" ht="12.75" customHeight="1" x14ac:dyDescent="0.25">
      <c r="C151" s="62" t="str">
        <f t="shared" si="33"/>
        <v>-</v>
      </c>
    </row>
    <row r="152" spans="1:20" ht="12.75" customHeight="1" x14ac:dyDescent="0.25">
      <c r="C152" s="62" t="str">
        <f t="shared" si="33"/>
        <v>-</v>
      </c>
    </row>
    <row r="153" spans="1:20" ht="12.75" customHeight="1" x14ac:dyDescent="0.25">
      <c r="A153" s="56" t="s">
        <v>454</v>
      </c>
      <c r="B153" s="57" t="s">
        <v>474</v>
      </c>
      <c r="C153" s="62" t="str">
        <f t="shared" si="33"/>
        <v>Loja-Cod</v>
      </c>
      <c r="D153" s="56" t="s">
        <v>475</v>
      </c>
      <c r="E153" s="57" t="s">
        <v>476</v>
      </c>
      <c r="F153" s="57" t="s">
        <v>477</v>
      </c>
      <c r="G153" s="57" t="s">
        <v>478</v>
      </c>
      <c r="H153" s="57" t="s">
        <v>479</v>
      </c>
      <c r="I153" s="57" t="s">
        <v>480</v>
      </c>
      <c r="J153" s="57" t="s">
        <v>481</v>
      </c>
      <c r="K153" s="57" t="s">
        <v>482</v>
      </c>
      <c r="M153" s="59" t="s">
        <v>483</v>
      </c>
      <c r="N153" s="59" t="s">
        <v>484</v>
      </c>
      <c r="P153" s="57" t="s">
        <v>485</v>
      </c>
      <c r="R153" s="60" t="s">
        <v>486</v>
      </c>
      <c r="S153" s="60" t="s">
        <v>466</v>
      </c>
      <c r="T153" s="60" t="s">
        <v>487</v>
      </c>
    </row>
    <row r="154" spans="1:20" ht="12.75" customHeight="1" x14ac:dyDescent="0.25">
      <c r="A154" s="61">
        <v>124</v>
      </c>
      <c r="B154" s="62">
        <v>1</v>
      </c>
      <c r="C154" s="62" t="str">
        <f t="shared" si="33"/>
        <v>124-1</v>
      </c>
      <c r="D154" s="63" t="s">
        <v>508</v>
      </c>
      <c r="E154" s="64">
        <v>4.5474735088649996E-13</v>
      </c>
      <c r="G154" s="64">
        <v>0</v>
      </c>
      <c r="H154" s="64">
        <v>0</v>
      </c>
      <c r="I154" s="64">
        <v>0</v>
      </c>
      <c r="K154" s="64">
        <f t="shared" ref="K154:K164" si="38">SUM(E154:J154)</f>
        <v>4.5474735088649996E-13</v>
      </c>
      <c r="M154" s="64"/>
      <c r="N154" s="65">
        <f t="shared" ref="N154:N164" si="39">IFERROR(K154/M154,)</f>
        <v>0</v>
      </c>
      <c r="P154" s="64">
        <v>190000</v>
      </c>
      <c r="R154" s="66">
        <v>0</v>
      </c>
      <c r="S154" s="67">
        <f>R154*25%</f>
        <v>0</v>
      </c>
      <c r="T154" s="66">
        <f>IF(N154&gt;1,K154*0.5%,0)</f>
        <v>0</v>
      </c>
    </row>
    <row r="155" spans="1:20" ht="12.75" customHeight="1" x14ac:dyDescent="0.25">
      <c r="A155" s="61">
        <v>124</v>
      </c>
      <c r="B155" s="62">
        <v>2</v>
      </c>
      <c r="C155" s="62" t="str">
        <f t="shared" si="33"/>
        <v>124-2</v>
      </c>
      <c r="D155" s="63" t="s">
        <v>164</v>
      </c>
      <c r="E155" s="64">
        <v>81075.16</v>
      </c>
      <c r="G155" s="64">
        <v>0</v>
      </c>
      <c r="H155" s="64">
        <v>0</v>
      </c>
      <c r="I155" s="64">
        <v>0</v>
      </c>
      <c r="K155" s="64">
        <f t="shared" si="38"/>
        <v>81075.16</v>
      </c>
      <c r="M155" s="64">
        <v>52500</v>
      </c>
      <c r="N155" s="65">
        <f t="shared" si="39"/>
        <v>1.5442887619047621</v>
      </c>
      <c r="R155" s="66">
        <f>(K155*3.2%)</f>
        <v>2594.4051200000004</v>
      </c>
      <c r="S155" s="67">
        <f>R155*25%</f>
        <v>648.60128000000009</v>
      </c>
      <c r="T155" s="66">
        <f>IF(N155&gt;1,K155*0.5%,0)</f>
        <v>405.37580000000003</v>
      </c>
    </row>
    <row r="156" spans="1:20" ht="12.75" customHeight="1" x14ac:dyDescent="0.25">
      <c r="A156" s="61">
        <v>124</v>
      </c>
      <c r="B156" s="62">
        <v>39</v>
      </c>
      <c r="C156" s="62" t="str">
        <f t="shared" si="33"/>
        <v>124-39</v>
      </c>
      <c r="D156" s="63" t="s">
        <v>170</v>
      </c>
      <c r="E156" s="64">
        <v>65851.91</v>
      </c>
      <c r="G156" s="64">
        <v>0</v>
      </c>
      <c r="H156" s="64">
        <v>0</v>
      </c>
      <c r="I156" s="64">
        <v>0</v>
      </c>
      <c r="K156" s="64">
        <f t="shared" si="38"/>
        <v>65851.91</v>
      </c>
      <c r="M156" s="64">
        <v>52500</v>
      </c>
      <c r="N156" s="65">
        <f t="shared" si="39"/>
        <v>1.2543220952380953</v>
      </c>
      <c r="R156" s="66">
        <f>(K156*3.2%)</f>
        <v>2107.2611200000001</v>
      </c>
      <c r="S156" s="67">
        <f>R156*25%</f>
        <v>526.81528000000003</v>
      </c>
      <c r="T156" s="66">
        <f>IF(N156&gt;1,K156*0.5%,0)</f>
        <v>329.25955000000005</v>
      </c>
    </row>
    <row r="157" spans="1:20" ht="12.75" customHeight="1" x14ac:dyDescent="0.25">
      <c r="A157" s="61">
        <v>124</v>
      </c>
      <c r="B157" s="62">
        <v>40</v>
      </c>
      <c r="C157" s="62" t="str">
        <f t="shared" si="33"/>
        <v>124-40</v>
      </c>
      <c r="D157" s="63" t="s">
        <v>172</v>
      </c>
      <c r="E157" s="64">
        <v>16173.42</v>
      </c>
      <c r="G157" s="64">
        <v>0</v>
      </c>
      <c r="H157" s="64">
        <v>0</v>
      </c>
      <c r="I157" s="64">
        <v>0</v>
      </c>
      <c r="K157" s="64">
        <f t="shared" si="38"/>
        <v>16173.42</v>
      </c>
      <c r="M157" s="64">
        <v>52500</v>
      </c>
      <c r="N157" s="65">
        <f t="shared" si="39"/>
        <v>0.30806514285714287</v>
      </c>
      <c r="R157" s="66">
        <f>(K157*3.2%)</f>
        <v>517.54944</v>
      </c>
      <c r="S157" s="67">
        <f>R157*25%</f>
        <v>129.38736</v>
      </c>
      <c r="T157" s="66">
        <f>IF(N157&gt;1,K157*0.5%,0)</f>
        <v>0</v>
      </c>
    </row>
    <row r="158" spans="1:20" ht="12.75" customHeight="1" x14ac:dyDescent="0.25">
      <c r="A158" s="61">
        <v>124</v>
      </c>
      <c r="B158" s="62">
        <v>49</v>
      </c>
      <c r="C158" s="62" t="str">
        <f t="shared" si="33"/>
        <v>124-49</v>
      </c>
      <c r="D158" s="63" t="s">
        <v>174</v>
      </c>
      <c r="E158" s="64">
        <v>57905.07</v>
      </c>
      <c r="G158" s="64">
        <v>0</v>
      </c>
      <c r="H158" s="64">
        <v>0</v>
      </c>
      <c r="I158" s="64">
        <v>0</v>
      </c>
      <c r="K158" s="64">
        <f t="shared" si="38"/>
        <v>57905.07</v>
      </c>
      <c r="M158" s="64">
        <v>52500</v>
      </c>
      <c r="N158" s="65">
        <f t="shared" si="39"/>
        <v>1.1029537142857142</v>
      </c>
      <c r="R158" s="66">
        <f>(K158*3.2%)</f>
        <v>1852.9622400000001</v>
      </c>
      <c r="S158" s="67">
        <f>R158*25%</f>
        <v>463.24056000000002</v>
      </c>
      <c r="T158" s="66">
        <f>IF(N158&gt;1,K158*0.5%,0)</f>
        <v>289.52535</v>
      </c>
    </row>
    <row r="159" spans="1:20" ht="12.75" customHeight="1" x14ac:dyDescent="0.25">
      <c r="A159" s="61">
        <v>124</v>
      </c>
      <c r="B159" s="62"/>
      <c r="C159" s="62" t="str">
        <f t="shared" si="33"/>
        <v>124-</v>
      </c>
      <c r="D159" s="63"/>
      <c r="E159" s="64">
        <v>0</v>
      </c>
      <c r="G159" s="64">
        <v>0</v>
      </c>
      <c r="H159" s="64">
        <v>0</v>
      </c>
      <c r="I159" s="64">
        <v>0</v>
      </c>
      <c r="K159" s="64">
        <f t="shared" si="38"/>
        <v>0</v>
      </c>
      <c r="M159" s="64"/>
      <c r="N159" s="65">
        <f t="shared" si="39"/>
        <v>0</v>
      </c>
      <c r="R159" s="68">
        <f>SUM(R154:R158)</f>
        <v>7072.1779200000001</v>
      </c>
      <c r="S159" s="68">
        <f>SUM(S154:S158)</f>
        <v>1768.04448</v>
      </c>
      <c r="T159" s="68">
        <f>SUM(T154:T158)</f>
        <v>1024.1606999999999</v>
      </c>
    </row>
    <row r="160" spans="1:20" ht="12.75" customHeight="1" x14ac:dyDescent="0.25">
      <c r="A160" s="61">
        <v>124</v>
      </c>
      <c r="B160" s="62"/>
      <c r="C160" s="62" t="str">
        <f t="shared" si="33"/>
        <v>124-</v>
      </c>
      <c r="D160" s="63"/>
      <c r="E160" s="64">
        <v>0</v>
      </c>
      <c r="G160" s="64">
        <v>0</v>
      </c>
      <c r="H160" s="64">
        <v>0</v>
      </c>
      <c r="I160" s="64">
        <v>0</v>
      </c>
      <c r="K160" s="64">
        <f t="shared" si="38"/>
        <v>0</v>
      </c>
      <c r="M160" s="64"/>
      <c r="N160" s="65">
        <f t="shared" si="39"/>
        <v>0</v>
      </c>
    </row>
    <row r="161" spans="1:20" ht="12.75" customHeight="1" x14ac:dyDescent="0.25">
      <c r="A161" s="61">
        <v>124</v>
      </c>
      <c r="B161" s="62"/>
      <c r="C161" s="62" t="str">
        <f t="shared" si="33"/>
        <v>124-</v>
      </c>
      <c r="D161" s="63"/>
      <c r="E161" s="64">
        <v>0</v>
      </c>
      <c r="G161" s="64">
        <v>0</v>
      </c>
      <c r="H161" s="64">
        <v>0</v>
      </c>
      <c r="I161" s="64">
        <v>0</v>
      </c>
      <c r="K161" s="64">
        <f t="shared" si="38"/>
        <v>0</v>
      </c>
      <c r="M161" s="64"/>
      <c r="N161" s="65">
        <f t="shared" si="39"/>
        <v>0</v>
      </c>
    </row>
    <row r="162" spans="1:20" ht="12.75" customHeight="1" x14ac:dyDescent="0.25">
      <c r="A162" s="61">
        <v>124</v>
      </c>
      <c r="B162" s="62"/>
      <c r="C162" s="62" t="str">
        <f t="shared" si="33"/>
        <v>124-</v>
      </c>
      <c r="D162" s="63"/>
      <c r="E162" s="64">
        <v>0</v>
      </c>
      <c r="G162" s="64">
        <v>0</v>
      </c>
      <c r="H162" s="64">
        <v>0</v>
      </c>
      <c r="I162" s="64">
        <v>0</v>
      </c>
      <c r="K162" s="64">
        <f t="shared" si="38"/>
        <v>0</v>
      </c>
      <c r="M162" s="64"/>
      <c r="N162" s="65">
        <f t="shared" si="39"/>
        <v>0</v>
      </c>
    </row>
    <row r="163" spans="1:20" ht="12.75" customHeight="1" x14ac:dyDescent="0.25">
      <c r="A163" s="61">
        <v>124</v>
      </c>
      <c r="B163" s="62"/>
      <c r="C163" s="62" t="str">
        <f t="shared" si="33"/>
        <v>124-</v>
      </c>
      <c r="D163" s="63"/>
      <c r="E163" s="64">
        <v>0</v>
      </c>
      <c r="G163" s="64">
        <v>0</v>
      </c>
      <c r="H163" s="64">
        <v>0</v>
      </c>
      <c r="I163" s="64">
        <v>0</v>
      </c>
      <c r="K163" s="64">
        <f t="shared" si="38"/>
        <v>0</v>
      </c>
      <c r="M163" s="64"/>
      <c r="N163" s="65">
        <f t="shared" si="39"/>
        <v>0</v>
      </c>
    </row>
    <row r="164" spans="1:20" ht="12.75" customHeight="1" x14ac:dyDescent="0.25">
      <c r="A164" s="61">
        <v>124</v>
      </c>
      <c r="B164" s="62"/>
      <c r="C164" s="62" t="str">
        <f t="shared" si="33"/>
        <v>124-</v>
      </c>
      <c r="D164" s="63"/>
      <c r="E164" s="64">
        <v>0</v>
      </c>
      <c r="G164" s="64">
        <v>0</v>
      </c>
      <c r="H164" s="64">
        <v>0</v>
      </c>
      <c r="I164" s="64">
        <v>0</v>
      </c>
      <c r="K164" s="64">
        <f t="shared" si="38"/>
        <v>0</v>
      </c>
      <c r="M164" s="64"/>
      <c r="N164" s="65">
        <f t="shared" si="39"/>
        <v>0</v>
      </c>
    </row>
    <row r="165" spans="1:20" ht="12.75" customHeight="1" x14ac:dyDescent="0.25">
      <c r="A165" s="69" t="s">
        <v>459</v>
      </c>
      <c r="B165" s="70"/>
      <c r="C165" s="62" t="str">
        <f t="shared" si="33"/>
        <v>Total-</v>
      </c>
      <c r="D165" s="69"/>
      <c r="E165" s="71">
        <v>221005.56000000003</v>
      </c>
      <c r="F165" s="71">
        <v>0</v>
      </c>
      <c r="G165" s="71">
        <v>0</v>
      </c>
      <c r="H165" s="71">
        <v>0</v>
      </c>
      <c r="I165" s="71">
        <v>0</v>
      </c>
      <c r="J165" s="71">
        <v>0</v>
      </c>
      <c r="K165" s="71">
        <f>SUM(K154:K164)</f>
        <v>221005.56000000003</v>
      </c>
      <c r="M165" s="71">
        <f>SUM(M154:M164)</f>
        <v>210000</v>
      </c>
    </row>
    <row r="166" spans="1:20" ht="12.75" customHeight="1" x14ac:dyDescent="0.25">
      <c r="C166" s="62" t="str">
        <f t="shared" si="33"/>
        <v>-</v>
      </c>
    </row>
    <row r="167" spans="1:20" ht="12.75" customHeight="1" x14ac:dyDescent="0.25">
      <c r="C167" s="62" t="str">
        <f t="shared" si="33"/>
        <v>-</v>
      </c>
    </row>
    <row r="168" spans="1:20" ht="12.75" customHeight="1" x14ac:dyDescent="0.25">
      <c r="C168" s="62" t="str">
        <f t="shared" si="33"/>
        <v>-</v>
      </c>
    </row>
    <row r="169" spans="1:20" ht="12.75" customHeight="1" x14ac:dyDescent="0.25">
      <c r="C169" s="62" t="str">
        <f t="shared" si="33"/>
        <v>-</v>
      </c>
    </row>
    <row r="170" spans="1:20" ht="12.75" customHeight="1" x14ac:dyDescent="0.25">
      <c r="A170" s="56" t="s">
        <v>454</v>
      </c>
      <c r="B170" s="57" t="s">
        <v>474</v>
      </c>
      <c r="C170" s="62" t="str">
        <f t="shared" si="33"/>
        <v>Loja-Cod</v>
      </c>
      <c r="D170" s="56" t="s">
        <v>475</v>
      </c>
      <c r="E170" s="57" t="s">
        <v>476</v>
      </c>
      <c r="F170" s="57" t="s">
        <v>477</v>
      </c>
      <c r="G170" s="57" t="s">
        <v>478</v>
      </c>
      <c r="H170" s="57" t="s">
        <v>479</v>
      </c>
      <c r="I170" s="57" t="s">
        <v>480</v>
      </c>
      <c r="J170" s="57" t="s">
        <v>481</v>
      </c>
      <c r="K170" s="57" t="s">
        <v>482</v>
      </c>
      <c r="M170" s="59" t="s">
        <v>483</v>
      </c>
      <c r="N170" s="59" t="s">
        <v>484</v>
      </c>
      <c r="P170" s="57" t="s">
        <v>485</v>
      </c>
      <c r="R170" s="60" t="s">
        <v>486</v>
      </c>
      <c r="S170" s="60" t="s">
        <v>466</v>
      </c>
      <c r="T170" s="60" t="s">
        <v>487</v>
      </c>
    </row>
    <row r="171" spans="1:20" ht="12.75" customHeight="1" x14ac:dyDescent="0.25">
      <c r="A171" s="61">
        <v>125</v>
      </c>
      <c r="B171" s="62">
        <v>1</v>
      </c>
      <c r="C171" s="62" t="str">
        <f t="shared" si="33"/>
        <v>125-1</v>
      </c>
      <c r="D171" s="63" t="s">
        <v>509</v>
      </c>
      <c r="E171" s="64">
        <v>995.96</v>
      </c>
      <c r="G171" s="64">
        <v>0</v>
      </c>
      <c r="H171" s="64">
        <v>0</v>
      </c>
      <c r="I171" s="64">
        <v>0</v>
      </c>
      <c r="K171" s="64">
        <f t="shared" ref="K171:K181" si="40">SUM(E171:J171)</f>
        <v>995.96</v>
      </c>
      <c r="M171" s="64"/>
      <c r="N171" s="65">
        <f t="shared" ref="N171:N181" si="41">IFERROR(K171/M171,)</f>
        <v>0</v>
      </c>
      <c r="P171" s="64">
        <v>190000</v>
      </c>
      <c r="R171" s="66">
        <v>0</v>
      </c>
      <c r="S171" s="67">
        <f>R171*25%</f>
        <v>0</v>
      </c>
      <c r="T171" s="66">
        <f>IF(N171&gt;1,K171*0.5%,0)</f>
        <v>0</v>
      </c>
    </row>
    <row r="172" spans="1:20" ht="12.75" customHeight="1" x14ac:dyDescent="0.25">
      <c r="A172" s="61">
        <v>125</v>
      </c>
      <c r="B172" s="62">
        <v>28</v>
      </c>
      <c r="C172" s="62" t="str">
        <f t="shared" si="33"/>
        <v>125-28</v>
      </c>
      <c r="D172" s="63" t="s">
        <v>178</v>
      </c>
      <c r="E172" s="64">
        <v>53698.93</v>
      </c>
      <c r="G172" s="64">
        <v>0</v>
      </c>
      <c r="H172" s="64">
        <v>0</v>
      </c>
      <c r="I172" s="64">
        <v>0</v>
      </c>
      <c r="K172" s="64">
        <f t="shared" si="40"/>
        <v>53698.93</v>
      </c>
      <c r="M172" s="64">
        <v>52500</v>
      </c>
      <c r="N172" s="65">
        <f t="shared" si="41"/>
        <v>1.0228367619047618</v>
      </c>
      <c r="R172" s="66">
        <f>(K172*2.8%)</f>
        <v>1503.5700399999998</v>
      </c>
      <c r="S172" s="67">
        <f>R172*25%</f>
        <v>375.89250999999996</v>
      </c>
      <c r="T172" s="66">
        <f>IF(N172&gt;1,K172*0.5%,0)</f>
        <v>268.49464999999998</v>
      </c>
    </row>
    <row r="173" spans="1:20" ht="12.75" customHeight="1" x14ac:dyDescent="0.25">
      <c r="A173" s="61">
        <v>125</v>
      </c>
      <c r="B173" s="62">
        <v>54</v>
      </c>
      <c r="C173" s="62" t="str">
        <f t="shared" si="33"/>
        <v>125-54</v>
      </c>
      <c r="D173" s="63" t="s">
        <v>510</v>
      </c>
      <c r="E173" s="64">
        <v>45440.77</v>
      </c>
      <c r="G173" s="64">
        <v>0</v>
      </c>
      <c r="H173" s="64">
        <v>0</v>
      </c>
      <c r="I173" s="64">
        <v>0</v>
      </c>
      <c r="K173" s="64">
        <f t="shared" si="40"/>
        <v>45440.77</v>
      </c>
      <c r="M173" s="64">
        <v>52500</v>
      </c>
      <c r="N173" s="65">
        <f t="shared" si="41"/>
        <v>0.86553847619047608</v>
      </c>
      <c r="R173" s="66">
        <f>(K173*2.8%)</f>
        <v>1272.3415599999998</v>
      </c>
      <c r="S173" s="67">
        <f>R173*25%</f>
        <v>318.08538999999996</v>
      </c>
      <c r="T173" s="66">
        <f>IF(N173&gt;1,K173*0.5%,0)</f>
        <v>0</v>
      </c>
    </row>
    <row r="174" spans="1:20" ht="12.75" customHeight="1" x14ac:dyDescent="0.25">
      <c r="A174" s="61">
        <v>125</v>
      </c>
      <c r="B174" s="62">
        <v>55</v>
      </c>
      <c r="C174" s="62" t="str">
        <f t="shared" si="33"/>
        <v>125-55</v>
      </c>
      <c r="D174" s="63" t="s">
        <v>511</v>
      </c>
      <c r="E174" s="64">
        <v>61887.03</v>
      </c>
      <c r="G174" s="64">
        <v>0</v>
      </c>
      <c r="H174" s="64">
        <v>0</v>
      </c>
      <c r="I174" s="64">
        <v>0</v>
      </c>
      <c r="K174" s="64">
        <f t="shared" si="40"/>
        <v>61887.03</v>
      </c>
      <c r="M174" s="64">
        <v>52500</v>
      </c>
      <c r="N174" s="65">
        <f t="shared" si="41"/>
        <v>1.1788005714285714</v>
      </c>
      <c r="R174" s="66">
        <f>(K174*2.8%)</f>
        <v>1732.8368399999997</v>
      </c>
      <c r="S174" s="67">
        <f>R174*25%</f>
        <v>433.20920999999993</v>
      </c>
      <c r="T174" s="66">
        <f>IF(N174&gt;1,K174*0.5%,0)</f>
        <v>309.43515000000002</v>
      </c>
    </row>
    <row r="175" spans="1:20" ht="12.75" customHeight="1" x14ac:dyDescent="0.25">
      <c r="A175" s="61">
        <v>125</v>
      </c>
      <c r="B175" s="62">
        <v>58</v>
      </c>
      <c r="C175" s="62" t="str">
        <f t="shared" si="33"/>
        <v>125-58</v>
      </c>
      <c r="D175" s="63" t="s">
        <v>189</v>
      </c>
      <c r="E175" s="64">
        <v>55154.25</v>
      </c>
      <c r="G175" s="64">
        <v>0</v>
      </c>
      <c r="H175" s="64">
        <v>0</v>
      </c>
      <c r="I175" s="64">
        <v>0</v>
      </c>
      <c r="K175" s="64">
        <f t="shared" si="40"/>
        <v>55154.25</v>
      </c>
      <c r="M175" s="64">
        <v>52500</v>
      </c>
      <c r="N175" s="65">
        <f t="shared" si="41"/>
        <v>1.050557142857143</v>
      </c>
      <c r="R175" s="66">
        <f>(K175*2.8%)</f>
        <v>1544.3189999999997</v>
      </c>
      <c r="S175" s="67">
        <f>R175*25%</f>
        <v>386.07974999999993</v>
      </c>
      <c r="T175" s="66">
        <f>IF(N175&gt;1,K175*0.5%,0)</f>
        <v>275.77125000000001</v>
      </c>
    </row>
    <row r="176" spans="1:20" ht="12.75" customHeight="1" x14ac:dyDescent="0.25">
      <c r="A176" s="61">
        <v>125</v>
      </c>
      <c r="B176" s="62"/>
      <c r="C176" s="62" t="str">
        <f t="shared" si="33"/>
        <v>125-</v>
      </c>
      <c r="D176" s="63"/>
      <c r="E176" s="64">
        <v>0</v>
      </c>
      <c r="G176" s="64">
        <v>0</v>
      </c>
      <c r="H176" s="64">
        <v>0</v>
      </c>
      <c r="I176" s="64">
        <v>0</v>
      </c>
      <c r="K176" s="64">
        <f t="shared" si="40"/>
        <v>0</v>
      </c>
      <c r="M176" s="64"/>
      <c r="N176" s="65">
        <f t="shared" si="41"/>
        <v>0</v>
      </c>
      <c r="R176" s="68">
        <f>SUM(R171:R175)</f>
        <v>6053.0674399999989</v>
      </c>
      <c r="S176" s="68">
        <f>SUM(S171:S175)</f>
        <v>1513.2668599999997</v>
      </c>
      <c r="T176" s="68">
        <f>SUM(T171:T175)</f>
        <v>853.70105000000001</v>
      </c>
    </row>
    <row r="177" spans="1:20" ht="12.75" customHeight="1" x14ac:dyDescent="0.25">
      <c r="A177" s="61">
        <v>125</v>
      </c>
      <c r="B177" s="62"/>
      <c r="C177" s="62" t="str">
        <f t="shared" si="33"/>
        <v>125-</v>
      </c>
      <c r="D177" s="63"/>
      <c r="E177" s="64">
        <v>0</v>
      </c>
      <c r="G177" s="64">
        <v>0</v>
      </c>
      <c r="H177" s="64">
        <v>0</v>
      </c>
      <c r="I177" s="64">
        <v>0</v>
      </c>
      <c r="K177" s="64">
        <f t="shared" si="40"/>
        <v>0</v>
      </c>
      <c r="M177" s="64"/>
      <c r="N177" s="65">
        <f t="shared" si="41"/>
        <v>0</v>
      </c>
    </row>
    <row r="178" spans="1:20" ht="12.75" customHeight="1" x14ac:dyDescent="0.25">
      <c r="A178" s="61">
        <v>125</v>
      </c>
      <c r="B178" s="62"/>
      <c r="C178" s="62" t="str">
        <f t="shared" si="33"/>
        <v>125-</v>
      </c>
      <c r="D178" s="63"/>
      <c r="E178" s="64">
        <v>0</v>
      </c>
      <c r="G178" s="64">
        <v>0</v>
      </c>
      <c r="H178" s="64">
        <v>0</v>
      </c>
      <c r="I178" s="64">
        <v>0</v>
      </c>
      <c r="K178" s="64">
        <f t="shared" si="40"/>
        <v>0</v>
      </c>
      <c r="M178" s="64"/>
      <c r="N178" s="65">
        <f t="shared" si="41"/>
        <v>0</v>
      </c>
    </row>
    <row r="179" spans="1:20" ht="12.75" customHeight="1" x14ac:dyDescent="0.25">
      <c r="A179" s="61">
        <v>125</v>
      </c>
      <c r="B179" s="62"/>
      <c r="C179" s="62" t="str">
        <f t="shared" si="33"/>
        <v>125-</v>
      </c>
      <c r="D179" s="63"/>
      <c r="E179" s="64">
        <v>0</v>
      </c>
      <c r="G179" s="64">
        <v>0</v>
      </c>
      <c r="H179" s="64">
        <v>0</v>
      </c>
      <c r="I179" s="64">
        <v>0</v>
      </c>
      <c r="K179" s="64">
        <f t="shared" si="40"/>
        <v>0</v>
      </c>
      <c r="M179" s="64"/>
      <c r="N179" s="65">
        <f t="shared" si="41"/>
        <v>0</v>
      </c>
    </row>
    <row r="180" spans="1:20" ht="12.75" customHeight="1" x14ac:dyDescent="0.25">
      <c r="A180" s="61">
        <v>125</v>
      </c>
      <c r="B180" s="62"/>
      <c r="C180" s="62" t="str">
        <f t="shared" si="33"/>
        <v>125-</v>
      </c>
      <c r="D180" s="63"/>
      <c r="E180" s="64">
        <v>0</v>
      </c>
      <c r="G180" s="64">
        <v>0</v>
      </c>
      <c r="H180" s="64">
        <v>0</v>
      </c>
      <c r="I180" s="64">
        <v>0</v>
      </c>
      <c r="K180" s="64">
        <f t="shared" si="40"/>
        <v>0</v>
      </c>
      <c r="M180" s="64"/>
      <c r="N180" s="65">
        <f t="shared" si="41"/>
        <v>0</v>
      </c>
    </row>
    <row r="181" spans="1:20" ht="12.75" customHeight="1" x14ac:dyDescent="0.25">
      <c r="A181" s="61">
        <v>125</v>
      </c>
      <c r="B181" s="62"/>
      <c r="C181" s="62" t="str">
        <f t="shared" si="33"/>
        <v>125-</v>
      </c>
      <c r="D181" s="63"/>
      <c r="E181" s="64">
        <v>0</v>
      </c>
      <c r="G181" s="64">
        <v>0</v>
      </c>
      <c r="H181" s="64">
        <v>0</v>
      </c>
      <c r="I181" s="64">
        <v>0</v>
      </c>
      <c r="K181" s="64">
        <f t="shared" si="40"/>
        <v>0</v>
      </c>
      <c r="M181" s="64"/>
      <c r="N181" s="65">
        <f t="shared" si="41"/>
        <v>0</v>
      </c>
    </row>
    <row r="182" spans="1:20" ht="12.75" customHeight="1" x14ac:dyDescent="0.25">
      <c r="A182" s="69" t="s">
        <v>459</v>
      </c>
      <c r="B182" s="70"/>
      <c r="C182" s="62" t="str">
        <f t="shared" si="33"/>
        <v>Total-</v>
      </c>
      <c r="D182" s="69"/>
      <c r="E182" s="71">
        <v>217176.94</v>
      </c>
      <c r="F182" s="71">
        <v>0</v>
      </c>
      <c r="G182" s="71">
        <v>0</v>
      </c>
      <c r="H182" s="71">
        <v>0</v>
      </c>
      <c r="I182" s="71">
        <v>0</v>
      </c>
      <c r="J182" s="71">
        <v>0</v>
      </c>
      <c r="K182" s="71">
        <f>SUM(K171:K181)</f>
        <v>217176.94</v>
      </c>
      <c r="M182" s="71">
        <f>SUM(M171:M181)</f>
        <v>210000</v>
      </c>
    </row>
    <row r="183" spans="1:20" ht="12.75" customHeight="1" x14ac:dyDescent="0.25">
      <c r="C183" s="62" t="str">
        <f t="shared" si="33"/>
        <v>-</v>
      </c>
    </row>
    <row r="184" spans="1:20" ht="12.75" customHeight="1" x14ac:dyDescent="0.25">
      <c r="C184" s="62" t="str">
        <f t="shared" si="33"/>
        <v>-</v>
      </c>
    </row>
    <row r="185" spans="1:20" ht="12.75" customHeight="1" x14ac:dyDescent="0.25">
      <c r="C185" s="62" t="str">
        <f t="shared" si="33"/>
        <v>-</v>
      </c>
    </row>
    <row r="186" spans="1:20" ht="12.75" customHeight="1" x14ac:dyDescent="0.25">
      <c r="C186" s="62" t="str">
        <f t="shared" si="33"/>
        <v>-</v>
      </c>
    </row>
    <row r="187" spans="1:20" ht="12.75" customHeight="1" x14ac:dyDescent="0.25">
      <c r="A187" s="56" t="s">
        <v>454</v>
      </c>
      <c r="B187" s="57" t="s">
        <v>474</v>
      </c>
      <c r="C187" s="62" t="str">
        <f t="shared" si="33"/>
        <v>Loja-Cod</v>
      </c>
      <c r="D187" s="56" t="s">
        <v>475</v>
      </c>
      <c r="E187" s="57" t="s">
        <v>476</v>
      </c>
      <c r="F187" s="57" t="s">
        <v>477</v>
      </c>
      <c r="G187" s="57" t="s">
        <v>478</v>
      </c>
      <c r="H187" s="57" t="s">
        <v>479</v>
      </c>
      <c r="I187" s="57" t="s">
        <v>480</v>
      </c>
      <c r="J187" s="57" t="s">
        <v>481</v>
      </c>
      <c r="K187" s="57" t="s">
        <v>482</v>
      </c>
      <c r="M187" s="59" t="s">
        <v>483</v>
      </c>
      <c r="N187" s="59" t="s">
        <v>484</v>
      </c>
      <c r="P187" s="57" t="s">
        <v>485</v>
      </c>
      <c r="R187" s="60" t="s">
        <v>486</v>
      </c>
      <c r="S187" s="60" t="s">
        <v>466</v>
      </c>
      <c r="T187" s="60" t="s">
        <v>487</v>
      </c>
    </row>
    <row r="188" spans="1:20" ht="12.75" customHeight="1" x14ac:dyDescent="0.25">
      <c r="A188" s="61">
        <v>126</v>
      </c>
      <c r="B188" s="62">
        <v>1</v>
      </c>
      <c r="C188" s="62" t="str">
        <f t="shared" si="33"/>
        <v>126-1</v>
      </c>
      <c r="D188" s="63" t="s">
        <v>191</v>
      </c>
      <c r="E188" s="64">
        <v>3461.78</v>
      </c>
      <c r="G188" s="64">
        <v>0</v>
      </c>
      <c r="H188" s="64">
        <v>0</v>
      </c>
      <c r="I188" s="64">
        <v>0</v>
      </c>
      <c r="K188" s="64">
        <f t="shared" ref="K188:K198" si="42">SUM(E188:J188)</f>
        <v>3461.78</v>
      </c>
      <c r="M188" s="64"/>
      <c r="N188" s="65">
        <f t="shared" ref="N188:N198" si="43">IFERROR(K188/M188,)</f>
        <v>0</v>
      </c>
      <c r="P188" s="64">
        <v>350000</v>
      </c>
      <c r="R188" s="66">
        <v>0</v>
      </c>
      <c r="S188" s="67">
        <f>R188*25%</f>
        <v>0</v>
      </c>
      <c r="T188" s="66">
        <f>IF(N188&gt;1,K188*0.5%,0)</f>
        <v>0</v>
      </c>
    </row>
    <row r="189" spans="1:20" ht="12.75" customHeight="1" x14ac:dyDescent="0.25">
      <c r="A189" s="61">
        <v>126</v>
      </c>
      <c r="B189" s="62">
        <v>28</v>
      </c>
      <c r="C189" s="62" t="str">
        <f t="shared" si="33"/>
        <v>126-28</v>
      </c>
      <c r="D189" s="63" t="s">
        <v>512</v>
      </c>
      <c r="E189" s="64">
        <v>56856.03</v>
      </c>
      <c r="G189" s="64">
        <v>0</v>
      </c>
      <c r="H189" s="64">
        <v>0</v>
      </c>
      <c r="I189" s="64">
        <v>0</v>
      </c>
      <c r="K189" s="64">
        <f t="shared" si="42"/>
        <v>56856.03</v>
      </c>
      <c r="M189" s="64">
        <v>64167</v>
      </c>
      <c r="N189" s="65">
        <f t="shared" si="43"/>
        <v>0.88606339707326198</v>
      </c>
      <c r="R189" s="66">
        <f t="shared" ref="R189:R194" si="44">(K189*3.2%)</f>
        <v>1819.3929599999999</v>
      </c>
      <c r="S189" s="67">
        <f t="shared" ref="S189:S195" si="45">R189*25%</f>
        <v>454.84823999999998</v>
      </c>
      <c r="T189" s="66">
        <f t="shared" ref="T189:T195" si="46">IF(N189&gt;1,K189*0.5%,0)</f>
        <v>0</v>
      </c>
    </row>
    <row r="190" spans="1:20" ht="12.75" customHeight="1" x14ac:dyDescent="0.25">
      <c r="A190" s="61">
        <v>126</v>
      </c>
      <c r="B190" s="62">
        <v>37</v>
      </c>
      <c r="C190" s="62" t="str">
        <f t="shared" si="33"/>
        <v>126-37</v>
      </c>
      <c r="D190" s="63" t="s">
        <v>513</v>
      </c>
      <c r="E190" s="64">
        <v>47278.98</v>
      </c>
      <c r="G190" s="64">
        <v>0</v>
      </c>
      <c r="H190" s="64">
        <v>0</v>
      </c>
      <c r="I190" s="64">
        <v>0</v>
      </c>
      <c r="K190" s="64">
        <f t="shared" si="42"/>
        <v>47278.98</v>
      </c>
      <c r="M190" s="64">
        <v>64167</v>
      </c>
      <c r="N190" s="65">
        <f t="shared" si="43"/>
        <v>0.73681144513535002</v>
      </c>
      <c r="R190" s="66">
        <f t="shared" si="44"/>
        <v>1512.9273600000001</v>
      </c>
      <c r="S190" s="67">
        <f t="shared" si="45"/>
        <v>378.23184000000003</v>
      </c>
      <c r="T190" s="66">
        <f t="shared" si="46"/>
        <v>0</v>
      </c>
    </row>
    <row r="191" spans="1:20" ht="12.75" customHeight="1" x14ac:dyDescent="0.25">
      <c r="A191" s="61">
        <v>126</v>
      </c>
      <c r="B191" s="62">
        <v>41</v>
      </c>
      <c r="C191" s="62" t="str">
        <f t="shared" si="33"/>
        <v>126-41</v>
      </c>
      <c r="D191" s="63" t="s">
        <v>197</v>
      </c>
      <c r="E191" s="64">
        <v>90420.95</v>
      </c>
      <c r="G191" s="64">
        <v>0</v>
      </c>
      <c r="H191" s="64">
        <v>899.99</v>
      </c>
      <c r="I191" s="64">
        <v>0</v>
      </c>
      <c r="K191" s="64">
        <f t="shared" si="42"/>
        <v>91320.94</v>
      </c>
      <c r="M191" s="64">
        <v>64167</v>
      </c>
      <c r="N191" s="65">
        <f t="shared" si="43"/>
        <v>1.4231760873969486</v>
      </c>
      <c r="R191" s="66">
        <f t="shared" si="44"/>
        <v>2922.2700800000002</v>
      </c>
      <c r="S191" s="67">
        <f t="shared" si="45"/>
        <v>730.56752000000006</v>
      </c>
      <c r="T191" s="66">
        <f t="shared" si="46"/>
        <v>456.60470000000004</v>
      </c>
    </row>
    <row r="192" spans="1:20" ht="12.75" customHeight="1" x14ac:dyDescent="0.25">
      <c r="A192" s="61">
        <v>126</v>
      </c>
      <c r="B192" s="62">
        <v>45</v>
      </c>
      <c r="C192" s="62" t="str">
        <f t="shared" si="33"/>
        <v>126-45</v>
      </c>
      <c r="D192" s="63" t="s">
        <v>514</v>
      </c>
      <c r="E192" s="64">
        <v>50399.73</v>
      </c>
      <c r="G192" s="64">
        <v>0</v>
      </c>
      <c r="H192" s="64">
        <v>0</v>
      </c>
      <c r="I192" s="64">
        <v>0</v>
      </c>
      <c r="K192" s="64">
        <f t="shared" si="42"/>
        <v>50399.73</v>
      </c>
      <c r="M192" s="64">
        <v>64167</v>
      </c>
      <c r="N192" s="65">
        <f t="shared" si="43"/>
        <v>0.78544625742203944</v>
      </c>
      <c r="R192" s="66">
        <f t="shared" si="44"/>
        <v>1612.7913600000002</v>
      </c>
      <c r="S192" s="67">
        <f t="shared" si="45"/>
        <v>403.19784000000004</v>
      </c>
      <c r="T192" s="66">
        <f t="shared" si="46"/>
        <v>0</v>
      </c>
    </row>
    <row r="193" spans="1:21" ht="12.75" customHeight="1" x14ac:dyDescent="0.25">
      <c r="A193" s="61">
        <v>126</v>
      </c>
      <c r="B193" s="62">
        <v>46</v>
      </c>
      <c r="C193" s="62" t="str">
        <f t="shared" si="33"/>
        <v>126-46</v>
      </c>
      <c r="D193" s="63" t="s">
        <v>201</v>
      </c>
      <c r="E193" s="64">
        <v>59357.08</v>
      </c>
      <c r="G193" s="64">
        <v>0</v>
      </c>
      <c r="H193" s="64">
        <v>0</v>
      </c>
      <c r="I193" s="64">
        <v>0</v>
      </c>
      <c r="K193" s="64">
        <f t="shared" si="42"/>
        <v>59357.08</v>
      </c>
      <c r="M193" s="64">
        <v>64167</v>
      </c>
      <c r="N193" s="65">
        <f t="shared" si="43"/>
        <v>0.92504059719170295</v>
      </c>
      <c r="R193" s="66">
        <f t="shared" si="44"/>
        <v>1899.4265600000001</v>
      </c>
      <c r="S193" s="67">
        <f t="shared" si="45"/>
        <v>474.85664000000003</v>
      </c>
      <c r="T193" s="66">
        <f t="shared" si="46"/>
        <v>0</v>
      </c>
    </row>
    <row r="194" spans="1:21" ht="12.75" customHeight="1" x14ac:dyDescent="0.25">
      <c r="A194" s="61">
        <v>126</v>
      </c>
      <c r="B194" s="62">
        <v>55</v>
      </c>
      <c r="C194" s="62" t="str">
        <f t="shared" si="33"/>
        <v>126-55</v>
      </c>
      <c r="D194" s="63" t="s">
        <v>515</v>
      </c>
      <c r="E194" s="64">
        <v>42573.06</v>
      </c>
      <c r="G194" s="64">
        <v>0</v>
      </c>
      <c r="H194" s="64">
        <v>0</v>
      </c>
      <c r="I194" s="64">
        <v>0</v>
      </c>
      <c r="K194" s="64">
        <f t="shared" si="42"/>
        <v>42573.06</v>
      </c>
      <c r="M194" s="64">
        <v>64167</v>
      </c>
      <c r="N194" s="65">
        <f t="shared" si="43"/>
        <v>0.66347281312824347</v>
      </c>
      <c r="R194" s="66">
        <f t="shared" si="44"/>
        <v>1362.3379199999999</v>
      </c>
      <c r="S194" s="67">
        <f t="shared" si="45"/>
        <v>340.58447999999999</v>
      </c>
      <c r="T194" s="66">
        <f t="shared" si="46"/>
        <v>0</v>
      </c>
    </row>
    <row r="195" spans="1:21" ht="12.75" customHeight="1" x14ac:dyDescent="0.25">
      <c r="A195" s="61">
        <v>126</v>
      </c>
      <c r="B195" s="62">
        <v>13</v>
      </c>
      <c r="C195" s="62" t="str">
        <f t="shared" si="33"/>
        <v>126-13</v>
      </c>
      <c r="D195" s="63"/>
      <c r="E195" s="64">
        <v>28231.59</v>
      </c>
      <c r="G195" s="64">
        <v>0</v>
      </c>
      <c r="H195" s="64">
        <v>0</v>
      </c>
      <c r="I195" s="64">
        <v>0</v>
      </c>
      <c r="K195" s="64">
        <f t="shared" si="42"/>
        <v>28231.59</v>
      </c>
      <c r="M195" s="64"/>
      <c r="N195" s="65">
        <f t="shared" si="43"/>
        <v>0</v>
      </c>
      <c r="R195" s="66">
        <v>0</v>
      </c>
      <c r="S195" s="67">
        <f t="shared" si="45"/>
        <v>0</v>
      </c>
      <c r="T195" s="66">
        <f t="shared" si="46"/>
        <v>0</v>
      </c>
    </row>
    <row r="196" spans="1:21" ht="12.75" customHeight="1" x14ac:dyDescent="0.25">
      <c r="A196" s="61">
        <v>126</v>
      </c>
      <c r="B196" s="62"/>
      <c r="C196" s="62" t="str">
        <f t="shared" ref="C196:C259" si="47">CONCATENATE(A196,"-",B196)</f>
        <v>126-</v>
      </c>
      <c r="D196" s="63"/>
      <c r="E196" s="64">
        <v>0</v>
      </c>
      <c r="G196" s="64">
        <v>0</v>
      </c>
      <c r="H196" s="64">
        <v>0</v>
      </c>
      <c r="I196" s="64">
        <v>0</v>
      </c>
      <c r="K196" s="64">
        <f t="shared" si="42"/>
        <v>0</v>
      </c>
      <c r="M196" s="64"/>
      <c r="N196" s="65">
        <f t="shared" si="43"/>
        <v>0</v>
      </c>
      <c r="R196" s="68">
        <f>SUM(R188:R195)</f>
        <v>11129.14624</v>
      </c>
      <c r="S196" s="68">
        <f>SUM(S188:S195)</f>
        <v>2782.28656</v>
      </c>
      <c r="T196" s="68">
        <f>SUM(T188:T195)</f>
        <v>456.60470000000004</v>
      </c>
    </row>
    <row r="197" spans="1:21" ht="12.75" customHeight="1" x14ac:dyDescent="0.25">
      <c r="A197" s="61">
        <v>126</v>
      </c>
      <c r="B197" s="62"/>
      <c r="C197" s="62" t="str">
        <f t="shared" si="47"/>
        <v>126-</v>
      </c>
      <c r="D197" s="63"/>
      <c r="E197" s="64">
        <v>0</v>
      </c>
      <c r="G197" s="64">
        <v>0</v>
      </c>
      <c r="H197" s="64">
        <v>0</v>
      </c>
      <c r="I197" s="64">
        <v>0</v>
      </c>
      <c r="K197" s="64">
        <f t="shared" si="42"/>
        <v>0</v>
      </c>
      <c r="M197" s="64"/>
      <c r="N197" s="65">
        <f t="shared" si="43"/>
        <v>0</v>
      </c>
    </row>
    <row r="198" spans="1:21" ht="12.75" customHeight="1" x14ac:dyDescent="0.25">
      <c r="A198" s="61">
        <v>126</v>
      </c>
      <c r="B198" s="62"/>
      <c r="C198" s="62" t="str">
        <f t="shared" si="47"/>
        <v>126-</v>
      </c>
      <c r="D198" s="63"/>
      <c r="E198" s="64">
        <v>0</v>
      </c>
      <c r="G198" s="64">
        <v>0</v>
      </c>
      <c r="H198" s="64">
        <v>0</v>
      </c>
      <c r="I198" s="64">
        <v>0</v>
      </c>
      <c r="K198" s="64">
        <f t="shared" si="42"/>
        <v>0</v>
      </c>
      <c r="M198" s="64"/>
      <c r="N198" s="65">
        <f t="shared" si="43"/>
        <v>0</v>
      </c>
    </row>
    <row r="199" spans="1:21" ht="12.75" customHeight="1" x14ac:dyDescent="0.25">
      <c r="A199" s="69" t="s">
        <v>459</v>
      </c>
      <c r="B199" s="70"/>
      <c r="C199" s="62" t="str">
        <f t="shared" si="47"/>
        <v>Total-</v>
      </c>
      <c r="D199" s="69"/>
      <c r="E199" s="71">
        <v>378579.20000000001</v>
      </c>
      <c r="F199" s="71">
        <v>0</v>
      </c>
      <c r="G199" s="71">
        <v>0</v>
      </c>
      <c r="H199" s="71">
        <v>899.99</v>
      </c>
      <c r="I199" s="71">
        <v>0</v>
      </c>
      <c r="J199" s="71">
        <v>0</v>
      </c>
      <c r="K199" s="71">
        <f>SUM(K188:K198)</f>
        <v>379479.19000000006</v>
      </c>
      <c r="M199" s="71">
        <f>SUM(M188:M198)</f>
        <v>385002</v>
      </c>
    </row>
    <row r="200" spans="1:21" ht="12.75" customHeight="1" x14ac:dyDescent="0.25">
      <c r="C200" s="62" t="str">
        <f t="shared" si="47"/>
        <v>-</v>
      </c>
    </row>
    <row r="201" spans="1:21" ht="12.75" customHeight="1" x14ac:dyDescent="0.25">
      <c r="C201" s="62" t="str">
        <f t="shared" si="47"/>
        <v>-</v>
      </c>
    </row>
    <row r="202" spans="1:21" ht="12.75" customHeight="1" x14ac:dyDescent="0.25">
      <c r="C202" s="62" t="str">
        <f t="shared" si="47"/>
        <v>-</v>
      </c>
    </row>
    <row r="203" spans="1:21" ht="12.75" customHeight="1" x14ac:dyDescent="0.25">
      <c r="C203" s="62" t="str">
        <f t="shared" si="47"/>
        <v>-</v>
      </c>
    </row>
    <row r="204" spans="1:21" ht="12.75" customHeight="1" x14ac:dyDescent="0.25">
      <c r="A204" s="56" t="s">
        <v>454</v>
      </c>
      <c r="B204" s="57" t="s">
        <v>474</v>
      </c>
      <c r="C204" s="62" t="str">
        <f t="shared" si="47"/>
        <v>Loja-Cod</v>
      </c>
      <c r="D204" s="56" t="s">
        <v>475</v>
      </c>
      <c r="E204" s="57" t="s">
        <v>476</v>
      </c>
      <c r="F204" s="57" t="s">
        <v>477</v>
      </c>
      <c r="G204" s="57" t="s">
        <v>478</v>
      </c>
      <c r="H204" s="57" t="s">
        <v>479</v>
      </c>
      <c r="I204" s="57" t="s">
        <v>480</v>
      </c>
      <c r="J204" s="57" t="s">
        <v>481</v>
      </c>
      <c r="K204" s="57" t="s">
        <v>482</v>
      </c>
      <c r="M204" s="59" t="s">
        <v>483</v>
      </c>
      <c r="N204" s="59" t="s">
        <v>484</v>
      </c>
      <c r="P204" s="57" t="s">
        <v>485</v>
      </c>
      <c r="R204" s="60" t="s">
        <v>486</v>
      </c>
      <c r="S204" s="60" t="s">
        <v>466</v>
      </c>
      <c r="T204" s="60" t="s">
        <v>487</v>
      </c>
    </row>
    <row r="205" spans="1:21" ht="12.75" customHeight="1" x14ac:dyDescent="0.25">
      <c r="A205" s="61">
        <v>127</v>
      </c>
      <c r="B205" s="62">
        <v>70</v>
      </c>
      <c r="C205" s="62" t="str">
        <f t="shared" si="47"/>
        <v>127-70</v>
      </c>
      <c r="D205" s="63" t="s">
        <v>207</v>
      </c>
      <c r="E205" s="64">
        <v>1999.53</v>
      </c>
      <c r="G205" s="64">
        <v>0</v>
      </c>
      <c r="H205" s="64">
        <v>0</v>
      </c>
      <c r="I205" s="64">
        <v>0</v>
      </c>
      <c r="K205" s="64">
        <f t="shared" ref="K205:K215" si="48">SUM(E205:J205)</f>
        <v>1999.53</v>
      </c>
      <c r="M205" s="64"/>
      <c r="N205" s="65">
        <f t="shared" ref="N205:N215" si="49">IFERROR(K205/M205,)</f>
        <v>0</v>
      </c>
      <c r="P205" s="64">
        <v>135000</v>
      </c>
      <c r="R205" s="66">
        <v>0</v>
      </c>
      <c r="S205" s="66">
        <f>R205*25%</f>
        <v>0</v>
      </c>
      <c r="T205" s="66">
        <f>IF(N205&gt;1,K205*0.5%,0)</f>
        <v>0</v>
      </c>
    </row>
    <row r="206" spans="1:21" ht="12.75" customHeight="1" x14ac:dyDescent="0.25">
      <c r="A206" s="61">
        <v>127</v>
      </c>
      <c r="B206" s="62">
        <v>79</v>
      </c>
      <c r="C206" s="62" t="str">
        <f t="shared" si="47"/>
        <v>127-79</v>
      </c>
      <c r="D206" s="63" t="s">
        <v>211</v>
      </c>
      <c r="E206" s="64">
        <v>44123.37</v>
      </c>
      <c r="G206" s="64">
        <v>0</v>
      </c>
      <c r="H206" s="64">
        <v>0</v>
      </c>
      <c r="I206" s="64">
        <v>0</v>
      </c>
      <c r="K206" s="64">
        <f t="shared" si="48"/>
        <v>44123.37</v>
      </c>
      <c r="M206" s="64">
        <v>49500</v>
      </c>
      <c r="N206" s="65">
        <f t="shared" si="49"/>
        <v>0.89138121212121213</v>
      </c>
      <c r="R206" s="66">
        <f>(K206*3.2%)</f>
        <v>1411.94784</v>
      </c>
      <c r="S206" s="66">
        <f>R206*25%</f>
        <v>352.98696000000001</v>
      </c>
      <c r="T206" s="66">
        <f>IF(N206&gt;1,K206*0.5%,0)</f>
        <v>0</v>
      </c>
    </row>
    <row r="207" spans="1:21" ht="12.75" customHeight="1" x14ac:dyDescent="0.25">
      <c r="A207" s="61">
        <v>127</v>
      </c>
      <c r="B207" s="62">
        <v>80</v>
      </c>
      <c r="C207" s="62" t="str">
        <f t="shared" si="47"/>
        <v>127-80</v>
      </c>
      <c r="D207" s="63" t="s">
        <v>213</v>
      </c>
      <c r="E207" s="64">
        <v>69633.02</v>
      </c>
      <c r="G207" s="64">
        <v>0</v>
      </c>
      <c r="H207" s="64">
        <v>0</v>
      </c>
      <c r="I207" s="64">
        <v>0</v>
      </c>
      <c r="K207" s="64">
        <f t="shared" si="48"/>
        <v>69633.02</v>
      </c>
      <c r="M207" s="64">
        <v>49500</v>
      </c>
      <c r="N207" s="65">
        <f t="shared" si="49"/>
        <v>1.4067276767676768</v>
      </c>
      <c r="R207" s="66">
        <f>(K207*3.2%)</f>
        <v>2228.2566400000001</v>
      </c>
      <c r="S207" s="66">
        <f>R207*25%</f>
        <v>557.06416000000002</v>
      </c>
      <c r="T207" s="66">
        <f>IF(N207&gt;1,K207*0.5%,0)</f>
        <v>348.16510000000005</v>
      </c>
    </row>
    <row r="208" spans="1:21" s="77" customFormat="1" ht="12.75" customHeight="1" x14ac:dyDescent="0.25">
      <c r="A208" s="73">
        <v>127</v>
      </c>
      <c r="B208" s="74">
        <v>81</v>
      </c>
      <c r="C208" s="74" t="str">
        <f t="shared" si="47"/>
        <v>127-81</v>
      </c>
      <c r="D208" s="75" t="s">
        <v>516</v>
      </c>
      <c r="E208" s="76">
        <v>19656.46</v>
      </c>
      <c r="F208" s="76"/>
      <c r="G208" s="76">
        <v>0</v>
      </c>
      <c r="H208" s="76">
        <v>0</v>
      </c>
      <c r="I208" s="76">
        <v>0</v>
      </c>
      <c r="J208" s="76"/>
      <c r="K208" s="76">
        <f t="shared" si="48"/>
        <v>19656.46</v>
      </c>
      <c r="M208" s="76">
        <v>49500</v>
      </c>
      <c r="N208" s="78">
        <f t="shared" si="49"/>
        <v>0.39710020202020202</v>
      </c>
      <c r="R208" s="79">
        <v>0</v>
      </c>
      <c r="S208" s="79">
        <f>R208*25%</f>
        <v>0</v>
      </c>
      <c r="T208" s="79">
        <f>IF(N208&gt;1,K208*0.5%,0)</f>
        <v>0</v>
      </c>
      <c r="U208" s="77" t="s">
        <v>517</v>
      </c>
    </row>
    <row r="209" spans="1:20" ht="12.75" customHeight="1" x14ac:dyDescent="0.25">
      <c r="A209" s="61">
        <v>127</v>
      </c>
      <c r="B209" s="62">
        <v>82</v>
      </c>
      <c r="C209" s="62" t="str">
        <f t="shared" si="47"/>
        <v>127-82</v>
      </c>
      <c r="D209" s="63" t="s">
        <v>215</v>
      </c>
      <c r="E209" s="64">
        <v>4459.78</v>
      </c>
      <c r="G209" s="64">
        <v>0</v>
      </c>
      <c r="H209" s="64">
        <v>0</v>
      </c>
      <c r="I209" s="64">
        <v>0</v>
      </c>
      <c r="K209" s="64">
        <f t="shared" si="48"/>
        <v>4459.78</v>
      </c>
      <c r="M209" s="64">
        <v>9000</v>
      </c>
      <c r="N209" s="65">
        <f t="shared" si="49"/>
        <v>0.49553111111111109</v>
      </c>
      <c r="R209" s="66">
        <f>(K209*3.2%)</f>
        <v>142.71295999999998</v>
      </c>
      <c r="S209" s="66">
        <f>R209*25%</f>
        <v>35.678239999999995</v>
      </c>
      <c r="T209" s="66">
        <f>IF(N209&gt;1,K209*0.5%,0)</f>
        <v>0</v>
      </c>
    </row>
    <row r="210" spans="1:20" ht="12.75" customHeight="1" x14ac:dyDescent="0.25">
      <c r="A210" s="61">
        <v>127</v>
      </c>
      <c r="B210" s="62"/>
      <c r="C210" s="62" t="str">
        <f t="shared" si="47"/>
        <v>127-</v>
      </c>
      <c r="D210" s="63"/>
      <c r="E210" s="64">
        <v>0</v>
      </c>
      <c r="G210" s="64">
        <v>0</v>
      </c>
      <c r="H210" s="64">
        <v>0</v>
      </c>
      <c r="I210" s="64">
        <v>0</v>
      </c>
      <c r="K210" s="64">
        <f t="shared" si="48"/>
        <v>0</v>
      </c>
      <c r="M210" s="64"/>
      <c r="N210" s="65">
        <f t="shared" si="49"/>
        <v>0</v>
      </c>
      <c r="R210" s="68">
        <f>SUM(R205:R209)</f>
        <v>3782.9174400000002</v>
      </c>
      <c r="S210" s="68">
        <f>SUM(S205:S209)</f>
        <v>945.72936000000004</v>
      </c>
      <c r="T210" s="68">
        <f>SUM(T205:T209)</f>
        <v>348.16510000000005</v>
      </c>
    </row>
    <row r="211" spans="1:20" ht="12.75" customHeight="1" x14ac:dyDescent="0.25">
      <c r="A211" s="61">
        <v>127</v>
      </c>
      <c r="B211" s="62"/>
      <c r="C211" s="62" t="str">
        <f t="shared" si="47"/>
        <v>127-</v>
      </c>
      <c r="D211" s="63"/>
      <c r="E211" s="64">
        <v>0</v>
      </c>
      <c r="G211" s="64">
        <v>0</v>
      </c>
      <c r="H211" s="64">
        <v>0</v>
      </c>
      <c r="I211" s="64">
        <v>0</v>
      </c>
      <c r="K211" s="64">
        <f t="shared" si="48"/>
        <v>0</v>
      </c>
      <c r="M211" s="64"/>
      <c r="N211" s="65">
        <f t="shared" si="49"/>
        <v>0</v>
      </c>
    </row>
    <row r="212" spans="1:20" ht="12.75" customHeight="1" x14ac:dyDescent="0.25">
      <c r="A212" s="61">
        <v>127</v>
      </c>
      <c r="B212" s="62"/>
      <c r="C212" s="62" t="str">
        <f t="shared" si="47"/>
        <v>127-</v>
      </c>
      <c r="D212" s="63"/>
      <c r="E212" s="64">
        <v>0</v>
      </c>
      <c r="G212" s="64">
        <v>0</v>
      </c>
      <c r="H212" s="64">
        <v>0</v>
      </c>
      <c r="I212" s="64">
        <v>0</v>
      </c>
      <c r="K212" s="64">
        <f t="shared" si="48"/>
        <v>0</v>
      </c>
      <c r="M212" s="64"/>
      <c r="N212" s="65">
        <f t="shared" si="49"/>
        <v>0</v>
      </c>
    </row>
    <row r="213" spans="1:20" ht="12.75" customHeight="1" x14ac:dyDescent="0.25">
      <c r="A213" s="61">
        <v>127</v>
      </c>
      <c r="B213" s="62"/>
      <c r="C213" s="62" t="str">
        <f t="shared" si="47"/>
        <v>127-</v>
      </c>
      <c r="D213" s="63"/>
      <c r="E213" s="64">
        <v>0</v>
      </c>
      <c r="G213" s="64">
        <v>0</v>
      </c>
      <c r="H213" s="64">
        <v>0</v>
      </c>
      <c r="I213" s="64">
        <v>0</v>
      </c>
      <c r="K213" s="64">
        <f t="shared" si="48"/>
        <v>0</v>
      </c>
      <c r="M213" s="64"/>
      <c r="N213" s="65">
        <f t="shared" si="49"/>
        <v>0</v>
      </c>
    </row>
    <row r="214" spans="1:20" ht="12.75" customHeight="1" x14ac:dyDescent="0.25">
      <c r="A214" s="61">
        <v>127</v>
      </c>
      <c r="B214" s="62"/>
      <c r="C214" s="62" t="str">
        <f t="shared" si="47"/>
        <v>127-</v>
      </c>
      <c r="D214" s="63"/>
      <c r="E214" s="64">
        <v>0</v>
      </c>
      <c r="G214" s="64">
        <v>0</v>
      </c>
      <c r="H214" s="64">
        <v>0</v>
      </c>
      <c r="I214" s="64">
        <v>0</v>
      </c>
      <c r="K214" s="64">
        <f t="shared" si="48"/>
        <v>0</v>
      </c>
      <c r="M214" s="64"/>
      <c r="N214" s="65">
        <f t="shared" si="49"/>
        <v>0</v>
      </c>
    </row>
    <row r="215" spans="1:20" ht="12.75" customHeight="1" x14ac:dyDescent="0.25">
      <c r="A215" s="61">
        <v>127</v>
      </c>
      <c r="B215" s="62"/>
      <c r="C215" s="62" t="str">
        <f t="shared" si="47"/>
        <v>127-</v>
      </c>
      <c r="D215" s="63"/>
      <c r="E215" s="64">
        <v>0</v>
      </c>
      <c r="G215" s="64">
        <v>0</v>
      </c>
      <c r="H215" s="64">
        <v>0</v>
      </c>
      <c r="I215" s="64">
        <v>0</v>
      </c>
      <c r="K215" s="64">
        <f t="shared" si="48"/>
        <v>0</v>
      </c>
      <c r="M215" s="64"/>
      <c r="N215" s="65">
        <f t="shared" si="49"/>
        <v>0</v>
      </c>
    </row>
    <row r="216" spans="1:20" ht="12.75" customHeight="1" x14ac:dyDescent="0.25">
      <c r="A216" s="69" t="s">
        <v>459</v>
      </c>
      <c r="B216" s="70"/>
      <c r="C216" s="62" t="str">
        <f t="shared" si="47"/>
        <v>Total-</v>
      </c>
      <c r="D216" s="69"/>
      <c r="E216" s="71">
        <v>139872.16</v>
      </c>
      <c r="F216" s="71">
        <v>0</v>
      </c>
      <c r="G216" s="71">
        <v>0</v>
      </c>
      <c r="H216" s="71">
        <v>0</v>
      </c>
      <c r="I216" s="71">
        <v>0</v>
      </c>
      <c r="J216" s="71">
        <v>0</v>
      </c>
      <c r="K216" s="71">
        <f>SUM(K205:K215)</f>
        <v>139872.16</v>
      </c>
      <c r="M216" s="71">
        <f>SUM(M205:M215)</f>
        <v>157500</v>
      </c>
    </row>
    <row r="217" spans="1:20" ht="12.75" customHeight="1" x14ac:dyDescent="0.25">
      <c r="C217" s="62" t="str">
        <f t="shared" si="47"/>
        <v>-</v>
      </c>
    </row>
    <row r="218" spans="1:20" ht="12.75" customHeight="1" x14ac:dyDescent="0.25">
      <c r="C218" s="62" t="str">
        <f t="shared" si="47"/>
        <v>-</v>
      </c>
    </row>
    <row r="219" spans="1:20" ht="12.75" customHeight="1" x14ac:dyDescent="0.25">
      <c r="C219" s="62" t="str">
        <f t="shared" si="47"/>
        <v>-</v>
      </c>
    </row>
    <row r="220" spans="1:20" ht="12.75" customHeight="1" x14ac:dyDescent="0.25">
      <c r="C220" s="62" t="str">
        <f t="shared" si="47"/>
        <v>-</v>
      </c>
    </row>
    <row r="221" spans="1:20" ht="12.75" customHeight="1" x14ac:dyDescent="0.25">
      <c r="A221" s="56" t="s">
        <v>454</v>
      </c>
      <c r="B221" s="57" t="s">
        <v>474</v>
      </c>
      <c r="C221" s="62" t="str">
        <f t="shared" si="47"/>
        <v>Loja-Cod</v>
      </c>
      <c r="D221" s="56" t="s">
        <v>475</v>
      </c>
      <c r="E221" s="57" t="s">
        <v>476</v>
      </c>
      <c r="F221" s="57" t="s">
        <v>477</v>
      </c>
      <c r="G221" s="57" t="s">
        <v>478</v>
      </c>
      <c r="H221" s="57" t="s">
        <v>479</v>
      </c>
      <c r="I221" s="57" t="s">
        <v>480</v>
      </c>
      <c r="J221" s="57" t="s">
        <v>481</v>
      </c>
      <c r="K221" s="57" t="s">
        <v>482</v>
      </c>
      <c r="M221" s="59" t="s">
        <v>483</v>
      </c>
      <c r="N221" s="59" t="s">
        <v>484</v>
      </c>
      <c r="P221" s="57" t="s">
        <v>485</v>
      </c>
      <c r="R221" s="60" t="s">
        <v>486</v>
      </c>
      <c r="S221" s="60" t="s">
        <v>466</v>
      </c>
      <c r="T221" s="60" t="s">
        <v>487</v>
      </c>
    </row>
    <row r="222" spans="1:20" ht="12.75" customHeight="1" x14ac:dyDescent="0.25">
      <c r="A222" s="61">
        <v>139</v>
      </c>
      <c r="B222" s="62">
        <v>23</v>
      </c>
      <c r="C222" s="62" t="str">
        <f t="shared" si="47"/>
        <v>139-23</v>
      </c>
      <c r="D222" s="63" t="s">
        <v>518</v>
      </c>
      <c r="E222" s="64">
        <v>199.99</v>
      </c>
      <c r="G222" s="64">
        <v>0</v>
      </c>
      <c r="H222" s="64">
        <v>0</v>
      </c>
      <c r="I222" s="64">
        <v>0</v>
      </c>
      <c r="K222" s="64">
        <f t="shared" ref="K222:K232" si="50">SUM(E222:J222)</f>
        <v>199.99</v>
      </c>
      <c r="M222" s="64"/>
      <c r="N222" s="65">
        <f t="shared" ref="N222:N232" si="51">IFERROR(K222/M222,)</f>
        <v>0</v>
      </c>
      <c r="P222" s="64">
        <v>540000</v>
      </c>
      <c r="R222" s="66">
        <v>0</v>
      </c>
      <c r="S222" s="67">
        <f>R222*25%</f>
        <v>0</v>
      </c>
      <c r="T222" s="66">
        <f>IF(N222&gt;1,K222*0.5%,0)</f>
        <v>0</v>
      </c>
    </row>
    <row r="223" spans="1:20" ht="12.75" customHeight="1" x14ac:dyDescent="0.25">
      <c r="A223" s="61">
        <v>139</v>
      </c>
      <c r="B223" s="62">
        <v>24</v>
      </c>
      <c r="C223" s="62" t="str">
        <f t="shared" si="47"/>
        <v>139-24</v>
      </c>
      <c r="D223" s="63" t="s">
        <v>217</v>
      </c>
      <c r="E223" s="64">
        <v>42373.27</v>
      </c>
      <c r="G223" s="64">
        <v>0</v>
      </c>
      <c r="H223" s="64">
        <v>0</v>
      </c>
      <c r="I223" s="64">
        <v>0</v>
      </c>
      <c r="K223" s="64">
        <f t="shared" si="50"/>
        <v>42373.27</v>
      </c>
      <c r="M223" s="64">
        <v>99000</v>
      </c>
      <c r="N223" s="65">
        <f t="shared" si="51"/>
        <v>0.42801282828282827</v>
      </c>
      <c r="R223" s="66">
        <f t="shared" ref="R223:R231" si="52">(K223*2.8%)</f>
        <v>1186.4515599999997</v>
      </c>
      <c r="S223" s="67">
        <f t="shared" ref="S223:S232" si="53">R223*25%</f>
        <v>296.61288999999994</v>
      </c>
      <c r="T223" s="66">
        <f t="shared" ref="T223:T232" si="54">IF(N223&gt;1,K223*0.5%,0)</f>
        <v>0</v>
      </c>
    </row>
    <row r="224" spans="1:20" ht="12.75" customHeight="1" x14ac:dyDescent="0.25">
      <c r="A224" s="61">
        <v>139</v>
      </c>
      <c r="B224" s="62">
        <v>28</v>
      </c>
      <c r="C224" s="62" t="str">
        <f t="shared" si="47"/>
        <v>139-28</v>
      </c>
      <c r="D224" s="63" t="s">
        <v>219</v>
      </c>
      <c r="E224" s="64">
        <v>103908.34</v>
      </c>
      <c r="G224" s="64">
        <v>0</v>
      </c>
      <c r="H224" s="64">
        <v>0</v>
      </c>
      <c r="I224" s="64">
        <v>0</v>
      </c>
      <c r="K224" s="64">
        <f t="shared" si="50"/>
        <v>103908.34</v>
      </c>
      <c r="M224" s="64">
        <v>99000</v>
      </c>
      <c r="N224" s="65">
        <f t="shared" si="51"/>
        <v>1.0495791919191919</v>
      </c>
      <c r="R224" s="66">
        <f t="shared" si="52"/>
        <v>2909.4335199999996</v>
      </c>
      <c r="S224" s="67">
        <f t="shared" si="53"/>
        <v>727.3583799999999</v>
      </c>
      <c r="T224" s="66">
        <f t="shared" si="54"/>
        <v>519.54169999999999</v>
      </c>
    </row>
    <row r="225" spans="1:21" s="77" customFormat="1" ht="12.75" customHeight="1" x14ac:dyDescent="0.25">
      <c r="A225" s="73">
        <v>139</v>
      </c>
      <c r="B225" s="74">
        <v>38</v>
      </c>
      <c r="C225" s="74" t="str">
        <f t="shared" si="47"/>
        <v>139-38</v>
      </c>
      <c r="D225" s="75" t="s">
        <v>519</v>
      </c>
      <c r="E225" s="76">
        <v>9734.6</v>
      </c>
      <c r="F225" s="76"/>
      <c r="G225" s="76">
        <v>0</v>
      </c>
      <c r="H225" s="76">
        <v>0</v>
      </c>
      <c r="I225" s="76">
        <v>0</v>
      </c>
      <c r="J225" s="76"/>
      <c r="K225" s="76">
        <f t="shared" si="50"/>
        <v>9734.6</v>
      </c>
      <c r="M225" s="76"/>
      <c r="N225" s="78">
        <f t="shared" si="51"/>
        <v>0</v>
      </c>
      <c r="R225" s="79">
        <v>0</v>
      </c>
      <c r="S225" s="80">
        <f t="shared" si="53"/>
        <v>0</v>
      </c>
      <c r="T225" s="79">
        <f t="shared" si="54"/>
        <v>0</v>
      </c>
      <c r="U225" s="77" t="s">
        <v>517</v>
      </c>
    </row>
    <row r="226" spans="1:21" ht="12.75" customHeight="1" x14ac:dyDescent="0.25">
      <c r="A226" s="61">
        <v>139</v>
      </c>
      <c r="B226" s="62">
        <v>41</v>
      </c>
      <c r="C226" s="62" t="str">
        <f t="shared" si="47"/>
        <v>139-41</v>
      </c>
      <c r="D226" s="63" t="s">
        <v>221</v>
      </c>
      <c r="E226" s="64">
        <v>42618.47</v>
      </c>
      <c r="G226" s="64">
        <v>0</v>
      </c>
      <c r="H226" s="64">
        <v>0</v>
      </c>
      <c r="I226" s="64">
        <v>0</v>
      </c>
      <c r="K226" s="64">
        <f t="shared" si="50"/>
        <v>42618.47</v>
      </c>
      <c r="M226" s="64">
        <v>99000</v>
      </c>
      <c r="N226" s="65">
        <f t="shared" si="51"/>
        <v>0.43048959595959596</v>
      </c>
      <c r="R226" s="66">
        <f t="shared" si="52"/>
        <v>1193.3171599999998</v>
      </c>
      <c r="S226" s="67">
        <f t="shared" si="53"/>
        <v>298.32928999999996</v>
      </c>
      <c r="T226" s="66">
        <f t="shared" si="54"/>
        <v>0</v>
      </c>
    </row>
    <row r="227" spans="1:21" ht="12.75" customHeight="1" x14ac:dyDescent="0.25">
      <c r="A227" s="61">
        <v>139</v>
      </c>
      <c r="B227" s="62">
        <v>47</v>
      </c>
      <c r="C227" s="62" t="str">
        <f t="shared" si="47"/>
        <v>139-47</v>
      </c>
      <c r="D227" s="63" t="s">
        <v>225</v>
      </c>
      <c r="E227" s="64">
        <v>43893.53</v>
      </c>
      <c r="G227" s="64">
        <v>0</v>
      </c>
      <c r="H227" s="64">
        <v>0</v>
      </c>
      <c r="I227" s="64">
        <v>0</v>
      </c>
      <c r="K227" s="64">
        <f t="shared" si="50"/>
        <v>43893.53</v>
      </c>
      <c r="M227" s="64">
        <v>99000</v>
      </c>
      <c r="N227" s="65">
        <f t="shared" si="51"/>
        <v>0.44336898989898987</v>
      </c>
      <c r="R227" s="66">
        <f t="shared" si="52"/>
        <v>1229.0188399999997</v>
      </c>
      <c r="S227" s="67">
        <f t="shared" si="53"/>
        <v>307.25470999999993</v>
      </c>
      <c r="T227" s="66">
        <f t="shared" si="54"/>
        <v>0</v>
      </c>
    </row>
    <row r="228" spans="1:21" ht="12.75" customHeight="1" x14ac:dyDescent="0.25">
      <c r="A228" s="61">
        <v>139</v>
      </c>
      <c r="B228" s="62">
        <v>51</v>
      </c>
      <c r="C228" s="62" t="str">
        <f t="shared" si="47"/>
        <v>139-51</v>
      </c>
      <c r="D228" s="63" t="s">
        <v>231</v>
      </c>
      <c r="E228" s="64">
        <v>67627.42</v>
      </c>
      <c r="G228" s="64">
        <v>0</v>
      </c>
      <c r="H228" s="64">
        <v>0</v>
      </c>
      <c r="I228" s="64">
        <v>0</v>
      </c>
      <c r="K228" s="64">
        <f t="shared" si="50"/>
        <v>67627.42</v>
      </c>
      <c r="M228" s="64">
        <v>99000</v>
      </c>
      <c r="N228" s="65">
        <f t="shared" si="51"/>
        <v>0.68310525252525256</v>
      </c>
      <c r="R228" s="66">
        <f t="shared" si="52"/>
        <v>1893.5677599999997</v>
      </c>
      <c r="S228" s="67">
        <f t="shared" si="53"/>
        <v>473.39193999999992</v>
      </c>
      <c r="T228" s="66">
        <f t="shared" si="54"/>
        <v>0</v>
      </c>
    </row>
    <row r="229" spans="1:21" s="77" customFormat="1" ht="12.75" customHeight="1" x14ac:dyDescent="0.25">
      <c r="A229" s="73">
        <v>139</v>
      </c>
      <c r="B229" s="74">
        <v>53</v>
      </c>
      <c r="C229" s="74" t="str">
        <f t="shared" si="47"/>
        <v>139-53</v>
      </c>
      <c r="D229" s="75" t="s">
        <v>235</v>
      </c>
      <c r="E229" s="76">
        <v>16490.93</v>
      </c>
      <c r="F229" s="76"/>
      <c r="G229" s="76">
        <v>0</v>
      </c>
      <c r="H229" s="76">
        <v>0</v>
      </c>
      <c r="I229" s="76">
        <v>0</v>
      </c>
      <c r="J229" s="76"/>
      <c r="K229" s="76">
        <f t="shared" si="50"/>
        <v>16490.93</v>
      </c>
      <c r="M229" s="76"/>
      <c r="N229" s="78">
        <f t="shared" si="51"/>
        <v>0</v>
      </c>
      <c r="R229" s="79"/>
      <c r="S229" s="80">
        <f t="shared" si="53"/>
        <v>0</v>
      </c>
      <c r="T229" s="79">
        <f t="shared" si="54"/>
        <v>0</v>
      </c>
      <c r="U229" s="77" t="s">
        <v>520</v>
      </c>
    </row>
    <row r="230" spans="1:21" ht="12.75" customHeight="1" x14ac:dyDescent="0.25">
      <c r="A230" s="61">
        <v>139</v>
      </c>
      <c r="B230" s="62">
        <v>54</v>
      </c>
      <c r="C230" s="62" t="str">
        <f t="shared" si="47"/>
        <v>139-54</v>
      </c>
      <c r="D230" s="63"/>
      <c r="E230" s="64">
        <v>45483.26</v>
      </c>
      <c r="G230" s="64">
        <v>0</v>
      </c>
      <c r="H230" s="64">
        <v>0</v>
      </c>
      <c r="I230" s="64">
        <v>0</v>
      </c>
      <c r="K230" s="64">
        <f t="shared" si="50"/>
        <v>45483.26</v>
      </c>
      <c r="M230" s="64">
        <v>99000</v>
      </c>
      <c r="N230" s="65">
        <f t="shared" si="51"/>
        <v>0.45942686868686872</v>
      </c>
      <c r="R230" s="66">
        <f t="shared" si="52"/>
        <v>1273.5312799999999</v>
      </c>
      <c r="S230" s="67">
        <f t="shared" si="53"/>
        <v>318.38281999999998</v>
      </c>
      <c r="T230" s="66">
        <f t="shared" si="54"/>
        <v>0</v>
      </c>
    </row>
    <row r="231" spans="1:21" ht="12.75" customHeight="1" x14ac:dyDescent="0.25">
      <c r="A231" s="61">
        <v>139</v>
      </c>
      <c r="B231" s="81">
        <v>55</v>
      </c>
      <c r="C231" s="62" t="str">
        <f t="shared" si="47"/>
        <v>139-55</v>
      </c>
      <c r="D231" s="63" t="s">
        <v>239</v>
      </c>
      <c r="E231" s="64">
        <v>34914.61</v>
      </c>
      <c r="G231" s="64">
        <v>0</v>
      </c>
      <c r="H231" s="64">
        <v>0</v>
      </c>
      <c r="I231" s="64">
        <v>0</v>
      </c>
      <c r="K231" s="64">
        <f t="shared" si="50"/>
        <v>34914.61</v>
      </c>
      <c r="M231" s="64">
        <v>99000</v>
      </c>
      <c r="N231" s="65">
        <f t="shared" si="51"/>
        <v>0.35267282828282831</v>
      </c>
      <c r="R231" s="66">
        <f t="shared" si="52"/>
        <v>977.60907999999995</v>
      </c>
      <c r="S231" s="67">
        <f t="shared" si="53"/>
        <v>244.40226999999999</v>
      </c>
      <c r="T231" s="66">
        <f t="shared" si="54"/>
        <v>0</v>
      </c>
    </row>
    <row r="232" spans="1:21" ht="12.75" customHeight="1" x14ac:dyDescent="0.25">
      <c r="A232" s="61">
        <v>139</v>
      </c>
      <c r="B232" s="62">
        <v>799</v>
      </c>
      <c r="C232" s="62" t="str">
        <f t="shared" si="47"/>
        <v>139-799</v>
      </c>
      <c r="D232" s="63" t="s">
        <v>508</v>
      </c>
      <c r="E232" s="64">
        <v>5404.73</v>
      </c>
      <c r="G232" s="64">
        <v>0</v>
      </c>
      <c r="H232" s="64">
        <v>0</v>
      </c>
      <c r="I232" s="64">
        <v>0</v>
      </c>
      <c r="K232" s="64">
        <f t="shared" si="50"/>
        <v>5404.73</v>
      </c>
      <c r="M232" s="64"/>
      <c r="N232" s="65">
        <f t="shared" si="51"/>
        <v>0</v>
      </c>
      <c r="R232" s="66">
        <v>0</v>
      </c>
      <c r="S232" s="67">
        <f t="shared" si="53"/>
        <v>0</v>
      </c>
      <c r="T232" s="66">
        <f t="shared" si="54"/>
        <v>0</v>
      </c>
    </row>
    <row r="233" spans="1:21" ht="12.75" customHeight="1" x14ac:dyDescent="0.25">
      <c r="A233" s="69" t="s">
        <v>459</v>
      </c>
      <c r="B233" s="70"/>
      <c r="C233" s="62" t="str">
        <f t="shared" si="47"/>
        <v>Total-</v>
      </c>
      <c r="D233" s="69"/>
      <c r="E233" s="71">
        <v>412649.14999999997</v>
      </c>
      <c r="F233" s="71">
        <v>0</v>
      </c>
      <c r="G233" s="71">
        <v>0</v>
      </c>
      <c r="H233" s="71">
        <v>0</v>
      </c>
      <c r="I233" s="71">
        <v>0</v>
      </c>
      <c r="J233" s="71">
        <v>0</v>
      </c>
      <c r="K233" s="71">
        <f>SUM(K222:K232)</f>
        <v>412649.14999999997</v>
      </c>
      <c r="M233" s="71">
        <f>SUM(M222:M232)</f>
        <v>693000</v>
      </c>
      <c r="R233" s="68">
        <f>SUM(R222:R232)</f>
        <v>10662.929199999997</v>
      </c>
      <c r="S233" s="68">
        <f>SUM(S222:S232)</f>
        <v>2665.7322999999992</v>
      </c>
      <c r="T233" s="68">
        <f>SUM(T222:T232)</f>
        <v>519.54169999999999</v>
      </c>
    </row>
    <row r="234" spans="1:21" ht="12.75" customHeight="1" x14ac:dyDescent="0.25">
      <c r="C234" s="62" t="str">
        <f t="shared" si="47"/>
        <v>-</v>
      </c>
    </row>
    <row r="235" spans="1:21" ht="12.75" customHeight="1" x14ac:dyDescent="0.25">
      <c r="C235" s="62" t="str">
        <f t="shared" si="47"/>
        <v>-</v>
      </c>
    </row>
    <row r="236" spans="1:21" ht="12.75" customHeight="1" x14ac:dyDescent="0.25">
      <c r="C236" s="62" t="str">
        <f t="shared" si="47"/>
        <v>-</v>
      </c>
    </row>
    <row r="237" spans="1:21" ht="12.75" customHeight="1" x14ac:dyDescent="0.25">
      <c r="C237" s="62" t="str">
        <f t="shared" si="47"/>
        <v>-</v>
      </c>
    </row>
    <row r="238" spans="1:21" ht="12.75" customHeight="1" x14ac:dyDescent="0.25">
      <c r="A238" s="56" t="s">
        <v>454</v>
      </c>
      <c r="B238" s="57" t="s">
        <v>474</v>
      </c>
      <c r="C238" s="62" t="str">
        <f t="shared" si="47"/>
        <v>Loja-Cod</v>
      </c>
      <c r="D238" s="56" t="s">
        <v>475</v>
      </c>
      <c r="E238" s="57" t="s">
        <v>476</v>
      </c>
      <c r="F238" s="57" t="s">
        <v>477</v>
      </c>
      <c r="G238" s="57" t="s">
        <v>478</v>
      </c>
      <c r="H238" s="57" t="s">
        <v>479</v>
      </c>
      <c r="I238" s="57" t="s">
        <v>480</v>
      </c>
      <c r="J238" s="57" t="s">
        <v>481</v>
      </c>
      <c r="K238" s="57" t="s">
        <v>482</v>
      </c>
      <c r="M238" s="59" t="s">
        <v>483</v>
      </c>
      <c r="N238" s="59" t="s">
        <v>484</v>
      </c>
      <c r="P238" s="57" t="s">
        <v>485</v>
      </c>
      <c r="R238" s="60" t="s">
        <v>486</v>
      </c>
      <c r="S238" s="60" t="s">
        <v>466</v>
      </c>
      <c r="T238" s="60" t="s">
        <v>487</v>
      </c>
    </row>
    <row r="239" spans="1:21" ht="12.75" customHeight="1" x14ac:dyDescent="0.25">
      <c r="A239" s="61">
        <v>144</v>
      </c>
      <c r="B239" s="62">
        <v>35</v>
      </c>
      <c r="C239" s="62" t="str">
        <f t="shared" si="47"/>
        <v>144-35</v>
      </c>
      <c r="D239" s="63" t="s">
        <v>241</v>
      </c>
      <c r="E239" s="64">
        <v>2214.9</v>
      </c>
      <c r="G239" s="64">
        <v>0</v>
      </c>
      <c r="H239" s="64">
        <v>0</v>
      </c>
      <c r="I239" s="64">
        <v>0</v>
      </c>
      <c r="K239" s="64">
        <f t="shared" ref="K239:K249" si="55">SUM(E239:J239)</f>
        <v>2214.9</v>
      </c>
      <c r="M239" s="64"/>
      <c r="N239" s="65">
        <f t="shared" ref="N239:N249" si="56">IFERROR(K239/M239,)</f>
        <v>0</v>
      </c>
      <c r="P239" s="64">
        <v>240000</v>
      </c>
      <c r="R239" s="66">
        <v>0</v>
      </c>
      <c r="S239" s="67">
        <f>R239*25%</f>
        <v>0</v>
      </c>
      <c r="T239" s="66">
        <f>IF(N239&gt;1,K239*0.5%,0)</f>
        <v>0</v>
      </c>
    </row>
    <row r="240" spans="1:21" ht="12.75" customHeight="1" x14ac:dyDescent="0.25">
      <c r="A240" s="61">
        <v>144</v>
      </c>
      <c r="B240" s="62">
        <v>71</v>
      </c>
      <c r="C240" s="62" t="str">
        <f t="shared" si="47"/>
        <v>144-71</v>
      </c>
      <c r="D240" s="63" t="s">
        <v>521</v>
      </c>
      <c r="E240" s="64">
        <v>45023.48</v>
      </c>
      <c r="G240" s="64">
        <v>0</v>
      </c>
      <c r="H240" s="64">
        <v>0</v>
      </c>
      <c r="I240" s="64">
        <v>0</v>
      </c>
      <c r="K240" s="64">
        <f t="shared" si="55"/>
        <v>45023.48</v>
      </c>
      <c r="M240" s="64">
        <v>66000</v>
      </c>
      <c r="N240" s="65">
        <f t="shared" si="56"/>
        <v>0.68217393939393944</v>
      </c>
      <c r="R240" s="66">
        <f>(K240*3.2%)</f>
        <v>1440.7513600000002</v>
      </c>
      <c r="S240" s="67">
        <f>R240*25%</f>
        <v>360.18784000000005</v>
      </c>
      <c r="T240" s="66">
        <f>IF(N240&gt;1,K240*0.5%,0)</f>
        <v>0</v>
      </c>
    </row>
    <row r="241" spans="1:20" ht="12.75" customHeight="1" x14ac:dyDescent="0.25">
      <c r="A241" s="61">
        <v>144</v>
      </c>
      <c r="B241" s="62">
        <v>74</v>
      </c>
      <c r="C241" s="62" t="str">
        <f t="shared" si="47"/>
        <v>144-74</v>
      </c>
      <c r="D241" s="63" t="s">
        <v>245</v>
      </c>
      <c r="E241" s="64">
        <v>46778.22</v>
      </c>
      <c r="G241" s="64">
        <v>0</v>
      </c>
      <c r="H241" s="64">
        <v>0</v>
      </c>
      <c r="I241" s="64">
        <v>0</v>
      </c>
      <c r="K241" s="64">
        <f t="shared" si="55"/>
        <v>46778.22</v>
      </c>
      <c r="M241" s="64">
        <v>66000</v>
      </c>
      <c r="N241" s="65">
        <f t="shared" si="56"/>
        <v>0.70876090909090916</v>
      </c>
      <c r="R241" s="66">
        <f>(K241*3.2%)</f>
        <v>1496.9030400000001</v>
      </c>
      <c r="S241" s="67">
        <f>R241*25%</f>
        <v>374.22576000000004</v>
      </c>
      <c r="T241" s="66">
        <f>IF(N241&gt;1,K241*0.5%,0)</f>
        <v>0</v>
      </c>
    </row>
    <row r="242" spans="1:20" ht="12.75" customHeight="1" x14ac:dyDescent="0.25">
      <c r="A242" s="61">
        <v>144</v>
      </c>
      <c r="B242" s="62">
        <v>81</v>
      </c>
      <c r="C242" s="62" t="str">
        <f t="shared" si="47"/>
        <v>144-81</v>
      </c>
      <c r="D242" s="63" t="s">
        <v>247</v>
      </c>
      <c r="E242" s="64">
        <v>66744.179999999993</v>
      </c>
      <c r="G242" s="64">
        <v>0</v>
      </c>
      <c r="H242" s="64">
        <v>0</v>
      </c>
      <c r="I242" s="64">
        <v>0</v>
      </c>
      <c r="K242" s="64">
        <f t="shared" si="55"/>
        <v>66744.179999999993</v>
      </c>
      <c r="M242" s="64">
        <v>66000</v>
      </c>
      <c r="N242" s="65">
        <f t="shared" si="56"/>
        <v>1.0112754545454545</v>
      </c>
      <c r="R242" s="66">
        <f>(K242*3.2%)</f>
        <v>2135.81376</v>
      </c>
      <c r="S242" s="67">
        <f>R242*25%</f>
        <v>533.95344</v>
      </c>
      <c r="T242" s="66">
        <f>IF(N242&gt;1,K242*0.5%,0)</f>
        <v>333.72089999999997</v>
      </c>
    </row>
    <row r="243" spans="1:20" ht="12.75" customHeight="1" x14ac:dyDescent="0.25">
      <c r="A243" s="61">
        <v>144</v>
      </c>
      <c r="B243" s="62">
        <v>88</v>
      </c>
      <c r="C243" s="62" t="str">
        <f t="shared" si="47"/>
        <v>144-88</v>
      </c>
      <c r="D243" s="63" t="s">
        <v>522</v>
      </c>
      <c r="E243" s="64">
        <v>35966.080000000002</v>
      </c>
      <c r="G243" s="64">
        <v>0</v>
      </c>
      <c r="H243" s="64">
        <v>0</v>
      </c>
      <c r="I243" s="64">
        <v>0</v>
      </c>
      <c r="K243" s="64">
        <f t="shared" si="55"/>
        <v>35966.080000000002</v>
      </c>
      <c r="M243" s="64">
        <v>66000</v>
      </c>
      <c r="N243" s="65">
        <f t="shared" si="56"/>
        <v>0.54494060606060613</v>
      </c>
      <c r="R243" s="66">
        <f>(K243*3.2%)</f>
        <v>1150.9145600000002</v>
      </c>
      <c r="S243" s="67">
        <f>R243*25%</f>
        <v>287.72864000000004</v>
      </c>
      <c r="T243" s="66">
        <f>IF(N243&gt;1,K243*0.5%,0)</f>
        <v>0</v>
      </c>
    </row>
    <row r="244" spans="1:20" ht="12.75" customHeight="1" x14ac:dyDescent="0.25">
      <c r="A244" s="61">
        <v>144</v>
      </c>
      <c r="B244" s="62"/>
      <c r="C244" s="62" t="str">
        <f t="shared" si="47"/>
        <v>144-</v>
      </c>
      <c r="D244" s="63"/>
      <c r="E244" s="64">
        <v>0</v>
      </c>
      <c r="G244" s="64">
        <v>0</v>
      </c>
      <c r="H244" s="64">
        <v>0</v>
      </c>
      <c r="I244" s="64">
        <v>0</v>
      </c>
      <c r="K244" s="64">
        <f t="shared" si="55"/>
        <v>0</v>
      </c>
      <c r="M244" s="64"/>
      <c r="N244" s="65">
        <f t="shared" si="56"/>
        <v>0</v>
      </c>
      <c r="R244" s="68">
        <f>SUM(R239:R243)</f>
        <v>6224.3827200000005</v>
      </c>
      <c r="S244" s="68">
        <f>SUM(S239:S243)</f>
        <v>1556.0956800000001</v>
      </c>
      <c r="T244" s="68">
        <f>SUM(T239:T243)</f>
        <v>333.72089999999997</v>
      </c>
    </row>
    <row r="245" spans="1:20" ht="12.75" customHeight="1" x14ac:dyDescent="0.25">
      <c r="A245" s="61">
        <v>144</v>
      </c>
      <c r="B245" s="62"/>
      <c r="C245" s="62" t="str">
        <f t="shared" si="47"/>
        <v>144-</v>
      </c>
      <c r="D245" s="63"/>
      <c r="E245" s="64">
        <v>0</v>
      </c>
      <c r="G245" s="64">
        <v>0</v>
      </c>
      <c r="H245" s="64">
        <v>0</v>
      </c>
      <c r="I245" s="64">
        <v>0</v>
      </c>
      <c r="K245" s="64">
        <f t="shared" si="55"/>
        <v>0</v>
      </c>
      <c r="M245" s="64"/>
      <c r="N245" s="65">
        <f t="shared" si="56"/>
        <v>0</v>
      </c>
    </row>
    <row r="246" spans="1:20" ht="12.75" customHeight="1" x14ac:dyDescent="0.25">
      <c r="A246" s="61">
        <v>144</v>
      </c>
      <c r="B246" s="62"/>
      <c r="C246" s="62" t="str">
        <f t="shared" si="47"/>
        <v>144-</v>
      </c>
      <c r="D246" s="63"/>
      <c r="E246" s="64">
        <v>0</v>
      </c>
      <c r="G246" s="64">
        <v>0</v>
      </c>
      <c r="H246" s="64">
        <v>0</v>
      </c>
      <c r="I246" s="64">
        <v>0</v>
      </c>
      <c r="K246" s="64">
        <f t="shared" si="55"/>
        <v>0</v>
      </c>
      <c r="M246" s="64"/>
      <c r="N246" s="65">
        <f t="shared" si="56"/>
        <v>0</v>
      </c>
    </row>
    <row r="247" spans="1:20" ht="12.75" customHeight="1" x14ac:dyDescent="0.25">
      <c r="A247" s="61">
        <v>144</v>
      </c>
      <c r="B247" s="62"/>
      <c r="C247" s="62" t="str">
        <f t="shared" si="47"/>
        <v>144-</v>
      </c>
      <c r="D247" s="63"/>
      <c r="E247" s="64">
        <v>0</v>
      </c>
      <c r="G247" s="64">
        <v>0</v>
      </c>
      <c r="H247" s="64">
        <v>0</v>
      </c>
      <c r="I247" s="64">
        <v>0</v>
      </c>
      <c r="K247" s="64">
        <f t="shared" si="55"/>
        <v>0</v>
      </c>
      <c r="M247" s="64"/>
      <c r="N247" s="65">
        <f t="shared" si="56"/>
        <v>0</v>
      </c>
    </row>
    <row r="248" spans="1:20" ht="12.75" customHeight="1" x14ac:dyDescent="0.25">
      <c r="A248" s="61">
        <v>144</v>
      </c>
      <c r="B248" s="62"/>
      <c r="C248" s="62" t="str">
        <f t="shared" si="47"/>
        <v>144-</v>
      </c>
      <c r="D248" s="63"/>
      <c r="E248" s="64">
        <v>0</v>
      </c>
      <c r="G248" s="64">
        <v>0</v>
      </c>
      <c r="H248" s="64">
        <v>0</v>
      </c>
      <c r="I248" s="64">
        <v>0</v>
      </c>
      <c r="K248" s="64">
        <f t="shared" si="55"/>
        <v>0</v>
      </c>
      <c r="M248" s="64"/>
      <c r="N248" s="65">
        <f t="shared" si="56"/>
        <v>0</v>
      </c>
    </row>
    <row r="249" spans="1:20" ht="12.75" customHeight="1" x14ac:dyDescent="0.25">
      <c r="A249" s="61">
        <v>144</v>
      </c>
      <c r="B249" s="62"/>
      <c r="C249" s="62" t="str">
        <f t="shared" si="47"/>
        <v>144-</v>
      </c>
      <c r="D249" s="63"/>
      <c r="E249" s="64">
        <v>0</v>
      </c>
      <c r="G249" s="64">
        <v>0</v>
      </c>
      <c r="H249" s="64">
        <v>0</v>
      </c>
      <c r="I249" s="64">
        <v>0</v>
      </c>
      <c r="K249" s="64">
        <f t="shared" si="55"/>
        <v>0</v>
      </c>
      <c r="M249" s="64"/>
      <c r="N249" s="65">
        <f t="shared" si="56"/>
        <v>0</v>
      </c>
    </row>
    <row r="250" spans="1:20" ht="12.75" customHeight="1" x14ac:dyDescent="0.25">
      <c r="A250" s="69" t="s">
        <v>459</v>
      </c>
      <c r="B250" s="70"/>
      <c r="C250" s="62" t="str">
        <f t="shared" si="47"/>
        <v>Total-</v>
      </c>
      <c r="D250" s="69"/>
      <c r="E250" s="71">
        <v>196726.86</v>
      </c>
      <c r="F250" s="71">
        <v>0</v>
      </c>
      <c r="G250" s="71">
        <v>0</v>
      </c>
      <c r="H250" s="71">
        <v>0</v>
      </c>
      <c r="I250" s="71">
        <v>0</v>
      </c>
      <c r="J250" s="71">
        <v>0</v>
      </c>
      <c r="K250" s="71">
        <f>SUM(K239:K249)</f>
        <v>196726.86</v>
      </c>
      <c r="M250" s="71">
        <f>SUM(M239:M249)</f>
        <v>264000</v>
      </c>
    </row>
    <row r="251" spans="1:20" ht="12.75" customHeight="1" x14ac:dyDescent="0.25">
      <c r="C251" s="62" t="str">
        <f t="shared" si="47"/>
        <v>-</v>
      </c>
    </row>
    <row r="252" spans="1:20" ht="12.75" customHeight="1" x14ac:dyDescent="0.25">
      <c r="C252" s="62" t="str">
        <f t="shared" si="47"/>
        <v>-</v>
      </c>
    </row>
    <row r="253" spans="1:20" ht="12.75" customHeight="1" x14ac:dyDescent="0.25">
      <c r="C253" s="62" t="str">
        <f t="shared" si="47"/>
        <v>-</v>
      </c>
    </row>
    <row r="254" spans="1:20" ht="12.75" customHeight="1" x14ac:dyDescent="0.25">
      <c r="C254" s="62" t="str">
        <f t="shared" si="47"/>
        <v>-</v>
      </c>
    </row>
    <row r="255" spans="1:20" ht="12.75" customHeight="1" x14ac:dyDescent="0.25">
      <c r="A255" s="56" t="s">
        <v>454</v>
      </c>
      <c r="B255" s="57" t="s">
        <v>474</v>
      </c>
      <c r="C255" s="62" t="str">
        <f t="shared" si="47"/>
        <v>Loja-Cod</v>
      </c>
      <c r="D255" s="56" t="s">
        <v>475</v>
      </c>
      <c r="E255" s="57" t="s">
        <v>476</v>
      </c>
      <c r="F255" s="57" t="s">
        <v>477</v>
      </c>
      <c r="G255" s="57" t="s">
        <v>478</v>
      </c>
      <c r="H255" s="57" t="s">
        <v>479</v>
      </c>
      <c r="I255" s="57" t="s">
        <v>480</v>
      </c>
      <c r="J255" s="57" t="s">
        <v>481</v>
      </c>
      <c r="K255" s="57" t="s">
        <v>482</v>
      </c>
      <c r="M255" s="59" t="s">
        <v>483</v>
      </c>
      <c r="N255" s="59" t="s">
        <v>484</v>
      </c>
      <c r="P255" s="57" t="s">
        <v>485</v>
      </c>
      <c r="R255" s="60" t="s">
        <v>486</v>
      </c>
      <c r="S255" s="60" t="s">
        <v>466</v>
      </c>
      <c r="T255" s="60" t="s">
        <v>487</v>
      </c>
    </row>
    <row r="256" spans="1:20" ht="12.75" customHeight="1" x14ac:dyDescent="0.25">
      <c r="A256" s="61">
        <v>154</v>
      </c>
      <c r="B256" s="62">
        <v>28</v>
      </c>
      <c r="C256" s="62" t="str">
        <f t="shared" si="47"/>
        <v>154-28</v>
      </c>
      <c r="D256" s="63" t="s">
        <v>523</v>
      </c>
      <c r="E256" s="64">
        <v>75822.86</v>
      </c>
      <c r="G256" s="64">
        <v>0</v>
      </c>
      <c r="H256" s="64">
        <v>0</v>
      </c>
      <c r="I256" s="64">
        <v>499.99</v>
      </c>
      <c r="K256" s="64">
        <f t="shared" ref="K256:K266" si="57">SUM(E256:J256)</f>
        <v>76322.850000000006</v>
      </c>
      <c r="M256" s="64">
        <v>74678</v>
      </c>
      <c r="N256" s="65">
        <f t="shared" ref="N256:N266" si="58">IFERROR(K256/M256,)</f>
        <v>1.02202589785479</v>
      </c>
      <c r="P256" s="64">
        <v>204000</v>
      </c>
      <c r="R256" s="66">
        <f>(K256*3.2%)</f>
        <v>2442.3312000000001</v>
      </c>
      <c r="S256" s="66">
        <f>R256*25%</f>
        <v>610.58280000000002</v>
      </c>
      <c r="T256" s="66">
        <f>IF(N256&gt;1,K256*0.5%,0)</f>
        <v>381.61425000000003</v>
      </c>
    </row>
    <row r="257" spans="1:20" ht="12.75" customHeight="1" x14ac:dyDescent="0.25">
      <c r="A257" s="61">
        <v>154</v>
      </c>
      <c r="B257" s="62">
        <v>37</v>
      </c>
      <c r="C257" s="62" t="str">
        <f t="shared" si="47"/>
        <v>154-37</v>
      </c>
      <c r="D257" s="63" t="s">
        <v>524</v>
      </c>
      <c r="E257" s="64">
        <v>1085.97</v>
      </c>
      <c r="G257" s="64">
        <v>0</v>
      </c>
      <c r="H257" s="64">
        <v>0</v>
      </c>
      <c r="I257" s="64">
        <v>0</v>
      </c>
      <c r="K257" s="64">
        <f t="shared" si="57"/>
        <v>1085.97</v>
      </c>
      <c r="M257" s="64"/>
      <c r="N257" s="65">
        <f t="shared" si="58"/>
        <v>0</v>
      </c>
      <c r="R257" s="66">
        <v>0</v>
      </c>
      <c r="S257" s="66">
        <f>R257*25%</f>
        <v>0</v>
      </c>
      <c r="T257" s="66">
        <f>IF(N257&gt;1,K257*0.5%,0)</f>
        <v>0</v>
      </c>
    </row>
    <row r="258" spans="1:20" ht="12.75" customHeight="1" x14ac:dyDescent="0.25">
      <c r="A258" s="61">
        <v>154</v>
      </c>
      <c r="B258" s="62">
        <v>38</v>
      </c>
      <c r="C258" s="62" t="str">
        <f t="shared" si="47"/>
        <v>154-38</v>
      </c>
      <c r="D258" s="63" t="s">
        <v>255</v>
      </c>
      <c r="E258" s="64">
        <v>5975.87</v>
      </c>
      <c r="G258" s="64">
        <v>0</v>
      </c>
      <c r="H258" s="64">
        <v>0</v>
      </c>
      <c r="I258" s="64">
        <v>0</v>
      </c>
      <c r="K258" s="64">
        <f t="shared" si="57"/>
        <v>5975.87</v>
      </c>
      <c r="M258" s="64"/>
      <c r="N258" s="65">
        <f t="shared" si="58"/>
        <v>0</v>
      </c>
      <c r="R258" s="66">
        <f>(K258*3.2%)</f>
        <v>191.22784000000001</v>
      </c>
      <c r="S258" s="66">
        <f>R258*25%</f>
        <v>47.806960000000004</v>
      </c>
      <c r="T258" s="66">
        <f>IF(N258&gt;1,K258*0.5%,0)</f>
        <v>0</v>
      </c>
    </row>
    <row r="259" spans="1:20" ht="12.75" customHeight="1" x14ac:dyDescent="0.25">
      <c r="A259" s="61">
        <v>154</v>
      </c>
      <c r="B259" s="62">
        <v>42</v>
      </c>
      <c r="C259" s="62" t="str">
        <f t="shared" si="47"/>
        <v>154-42</v>
      </c>
      <c r="D259" s="63" t="s">
        <v>257</v>
      </c>
      <c r="E259" s="64">
        <v>78436.97</v>
      </c>
      <c r="G259" s="64">
        <v>0</v>
      </c>
      <c r="H259" s="64">
        <v>0</v>
      </c>
      <c r="I259" s="64">
        <v>0</v>
      </c>
      <c r="K259" s="64">
        <f t="shared" si="57"/>
        <v>78436.97</v>
      </c>
      <c r="M259" s="64">
        <v>74678</v>
      </c>
      <c r="N259" s="65">
        <f t="shared" si="58"/>
        <v>1.050335707972897</v>
      </c>
      <c r="R259" s="66">
        <f>(K259*3.2%)</f>
        <v>2509.9830400000001</v>
      </c>
      <c r="S259" s="66">
        <f>R259*25%</f>
        <v>627.49576000000002</v>
      </c>
      <c r="T259" s="66">
        <f>IF(N259&gt;1,K259*0.5%,0)</f>
        <v>392.18485000000004</v>
      </c>
    </row>
    <row r="260" spans="1:20" ht="12.75" customHeight="1" x14ac:dyDescent="0.25">
      <c r="A260" s="61">
        <v>154</v>
      </c>
      <c r="B260" s="62">
        <v>45</v>
      </c>
      <c r="C260" s="62" t="str">
        <f t="shared" ref="C260:C323" si="59">CONCATENATE(A260,"-",B260)</f>
        <v>154-45</v>
      </c>
      <c r="D260" s="63" t="s">
        <v>525</v>
      </c>
      <c r="E260" s="64">
        <v>74922.02</v>
      </c>
      <c r="G260" s="64">
        <v>0</v>
      </c>
      <c r="H260" s="64">
        <v>0</v>
      </c>
      <c r="I260" s="64">
        <v>0</v>
      </c>
      <c r="K260" s="64">
        <f t="shared" si="57"/>
        <v>74922.02</v>
      </c>
      <c r="M260" s="64">
        <v>74678</v>
      </c>
      <c r="N260" s="65">
        <f t="shared" si="58"/>
        <v>1.0032676290205951</v>
      </c>
      <c r="R260" s="66">
        <f>(K260*3.2%)</f>
        <v>2397.5046400000001</v>
      </c>
      <c r="S260" s="66">
        <f>R260*25%</f>
        <v>599.37616000000003</v>
      </c>
      <c r="T260" s="66">
        <f>IF(N260&gt;1,K260*0.5%,0)</f>
        <v>374.61010000000005</v>
      </c>
    </row>
    <row r="261" spans="1:20" ht="12.75" customHeight="1" x14ac:dyDescent="0.25">
      <c r="A261" s="61">
        <v>154</v>
      </c>
      <c r="B261" s="62"/>
      <c r="C261" s="62" t="str">
        <f t="shared" si="59"/>
        <v>154-</v>
      </c>
      <c r="D261" s="63"/>
      <c r="E261" s="64">
        <v>0</v>
      </c>
      <c r="G261" s="64">
        <v>0</v>
      </c>
      <c r="H261" s="64">
        <v>0</v>
      </c>
      <c r="I261" s="64">
        <v>0</v>
      </c>
      <c r="K261" s="64">
        <f t="shared" si="57"/>
        <v>0</v>
      </c>
      <c r="M261" s="64"/>
      <c r="N261" s="65">
        <f t="shared" si="58"/>
        <v>0</v>
      </c>
      <c r="R261" s="68">
        <f>SUM(R256:R260)</f>
        <v>7541.0467200000003</v>
      </c>
      <c r="S261" s="68">
        <f>SUM(S256:S260)</f>
        <v>1885.2616800000001</v>
      </c>
      <c r="T261" s="68">
        <f>SUM(T256:T260)</f>
        <v>1148.4092000000001</v>
      </c>
    </row>
    <row r="262" spans="1:20" ht="12.75" customHeight="1" x14ac:dyDescent="0.25">
      <c r="A262" s="61">
        <v>154</v>
      </c>
      <c r="B262" s="62"/>
      <c r="C262" s="62" t="str">
        <f t="shared" si="59"/>
        <v>154-</v>
      </c>
      <c r="D262" s="63"/>
      <c r="E262" s="64">
        <v>0</v>
      </c>
      <c r="G262" s="64">
        <v>0</v>
      </c>
      <c r="H262" s="64">
        <v>0</v>
      </c>
      <c r="I262" s="64">
        <v>0</v>
      </c>
      <c r="K262" s="64">
        <f t="shared" si="57"/>
        <v>0</v>
      </c>
      <c r="M262" s="64"/>
      <c r="N262" s="65">
        <f t="shared" si="58"/>
        <v>0</v>
      </c>
    </row>
    <row r="263" spans="1:20" ht="12.75" customHeight="1" x14ac:dyDescent="0.25">
      <c r="A263" s="61">
        <v>154</v>
      </c>
      <c r="B263" s="62"/>
      <c r="C263" s="62" t="str">
        <f t="shared" si="59"/>
        <v>154-</v>
      </c>
      <c r="D263" s="63"/>
      <c r="E263" s="64">
        <v>0</v>
      </c>
      <c r="G263" s="64">
        <v>0</v>
      </c>
      <c r="H263" s="64">
        <v>0</v>
      </c>
      <c r="I263" s="64">
        <v>0</v>
      </c>
      <c r="K263" s="64">
        <f t="shared" si="57"/>
        <v>0</v>
      </c>
      <c r="M263" s="64"/>
      <c r="N263" s="65">
        <f t="shared" si="58"/>
        <v>0</v>
      </c>
    </row>
    <row r="264" spans="1:20" ht="12.75" customHeight="1" x14ac:dyDescent="0.25">
      <c r="A264" s="61">
        <v>154</v>
      </c>
      <c r="B264" s="62"/>
      <c r="C264" s="62" t="str">
        <f t="shared" si="59"/>
        <v>154-</v>
      </c>
      <c r="D264" s="63"/>
      <c r="E264" s="64">
        <v>0</v>
      </c>
      <c r="G264" s="64">
        <v>0</v>
      </c>
      <c r="H264" s="64">
        <v>0</v>
      </c>
      <c r="I264" s="64">
        <v>0</v>
      </c>
      <c r="K264" s="64">
        <f t="shared" si="57"/>
        <v>0</v>
      </c>
      <c r="M264" s="64"/>
      <c r="N264" s="65">
        <f t="shared" si="58"/>
        <v>0</v>
      </c>
    </row>
    <row r="265" spans="1:20" ht="12.75" customHeight="1" x14ac:dyDescent="0.25">
      <c r="A265" s="61">
        <v>154</v>
      </c>
      <c r="B265" s="62"/>
      <c r="C265" s="62" t="str">
        <f t="shared" si="59"/>
        <v>154-</v>
      </c>
      <c r="D265" s="63"/>
      <c r="E265" s="64">
        <v>0</v>
      </c>
      <c r="G265" s="64">
        <v>0</v>
      </c>
      <c r="H265" s="64">
        <v>0</v>
      </c>
      <c r="I265" s="64">
        <v>0</v>
      </c>
      <c r="K265" s="64">
        <f t="shared" si="57"/>
        <v>0</v>
      </c>
      <c r="M265" s="64"/>
      <c r="N265" s="65">
        <f t="shared" si="58"/>
        <v>0</v>
      </c>
    </row>
    <row r="266" spans="1:20" ht="12.75" customHeight="1" x14ac:dyDescent="0.25">
      <c r="A266" s="61">
        <v>154</v>
      </c>
      <c r="B266" s="62"/>
      <c r="C266" s="62" t="str">
        <f t="shared" si="59"/>
        <v>154-</v>
      </c>
      <c r="D266" s="63"/>
      <c r="E266" s="64">
        <v>0</v>
      </c>
      <c r="G266" s="64">
        <v>0</v>
      </c>
      <c r="H266" s="64">
        <v>0</v>
      </c>
      <c r="I266" s="64">
        <v>0</v>
      </c>
      <c r="K266" s="64">
        <f t="shared" si="57"/>
        <v>0</v>
      </c>
      <c r="M266" s="64"/>
      <c r="N266" s="65">
        <f t="shared" si="58"/>
        <v>0</v>
      </c>
    </row>
    <row r="267" spans="1:20" ht="12.75" customHeight="1" x14ac:dyDescent="0.25">
      <c r="A267" s="69" t="s">
        <v>459</v>
      </c>
      <c r="B267" s="70"/>
      <c r="C267" s="62" t="str">
        <f t="shared" si="59"/>
        <v>Total-</v>
      </c>
      <c r="D267" s="69"/>
      <c r="E267" s="71">
        <v>236243.69</v>
      </c>
      <c r="F267" s="71">
        <v>0</v>
      </c>
      <c r="G267" s="71">
        <v>0</v>
      </c>
      <c r="H267" s="71">
        <v>0</v>
      </c>
      <c r="I267" s="71">
        <v>499.99</v>
      </c>
      <c r="J267" s="71">
        <v>0</v>
      </c>
      <c r="K267" s="71">
        <f>SUM(K256:K266)</f>
        <v>236743.67999999999</v>
      </c>
      <c r="M267" s="71">
        <f>SUM(M256:M266)</f>
        <v>224034</v>
      </c>
    </row>
    <row r="268" spans="1:20" ht="12.75" customHeight="1" x14ac:dyDescent="0.25">
      <c r="C268" s="62" t="str">
        <f t="shared" si="59"/>
        <v>-</v>
      </c>
    </row>
    <row r="269" spans="1:20" ht="12.75" customHeight="1" x14ac:dyDescent="0.25">
      <c r="C269" s="62" t="str">
        <f t="shared" si="59"/>
        <v>-</v>
      </c>
    </row>
    <row r="270" spans="1:20" ht="12.75" customHeight="1" x14ac:dyDescent="0.25">
      <c r="C270" s="62" t="str">
        <f t="shared" si="59"/>
        <v>-</v>
      </c>
    </row>
    <row r="271" spans="1:20" ht="12.75" customHeight="1" x14ac:dyDescent="0.25">
      <c r="C271" s="62" t="str">
        <f t="shared" si="59"/>
        <v>-</v>
      </c>
    </row>
    <row r="272" spans="1:20" ht="12.75" customHeight="1" x14ac:dyDescent="0.25">
      <c r="A272" s="56" t="s">
        <v>454</v>
      </c>
      <c r="B272" s="57" t="s">
        <v>474</v>
      </c>
      <c r="C272" s="62" t="str">
        <f t="shared" si="59"/>
        <v>Loja-Cod</v>
      </c>
      <c r="D272" s="56" t="s">
        <v>475</v>
      </c>
      <c r="E272" s="57" t="s">
        <v>476</v>
      </c>
      <c r="F272" s="57" t="s">
        <v>477</v>
      </c>
      <c r="G272" s="57" t="s">
        <v>478</v>
      </c>
      <c r="H272" s="57" t="s">
        <v>479</v>
      </c>
      <c r="I272" s="57" t="s">
        <v>480</v>
      </c>
      <c r="J272" s="57" t="s">
        <v>481</v>
      </c>
      <c r="K272" s="57" t="s">
        <v>482</v>
      </c>
      <c r="M272" s="59" t="s">
        <v>483</v>
      </c>
      <c r="N272" s="59" t="s">
        <v>484</v>
      </c>
      <c r="P272" s="57" t="s">
        <v>485</v>
      </c>
      <c r="R272" s="60" t="s">
        <v>486</v>
      </c>
      <c r="S272" s="60" t="s">
        <v>466</v>
      </c>
      <c r="T272" s="60" t="s">
        <v>487</v>
      </c>
    </row>
    <row r="273" spans="1:20" ht="12.75" customHeight="1" x14ac:dyDescent="0.25">
      <c r="A273" s="61">
        <v>156</v>
      </c>
      <c r="B273" s="62">
        <v>67</v>
      </c>
      <c r="C273" s="62" t="str">
        <f t="shared" si="59"/>
        <v>156-67</v>
      </c>
      <c r="D273" s="63" t="s">
        <v>263</v>
      </c>
      <c r="E273" s="64">
        <v>78859.88</v>
      </c>
      <c r="G273" s="64">
        <v>0</v>
      </c>
      <c r="H273" s="64">
        <v>1169.98</v>
      </c>
      <c r="I273" s="64">
        <v>339.98</v>
      </c>
      <c r="K273" s="64">
        <f t="shared" ref="K273:K283" si="60">SUM(E273:J273)</f>
        <v>80369.84</v>
      </c>
      <c r="M273" s="64">
        <v>69700</v>
      </c>
      <c r="N273" s="65">
        <f t="shared" ref="N273:N283" si="61">IFERROR(K273/M273,)</f>
        <v>1.1530823529411764</v>
      </c>
      <c r="P273" s="64">
        <v>380000</v>
      </c>
      <c r="R273" s="66">
        <f>(K273*3.2%)</f>
        <v>2571.8348799999999</v>
      </c>
      <c r="S273" s="66">
        <f>R273*25%</f>
        <v>642.95871999999997</v>
      </c>
      <c r="T273" s="66">
        <f>IF(N273&gt;1,K273*0.5%,0)</f>
        <v>401.8492</v>
      </c>
    </row>
    <row r="274" spans="1:20" ht="12.75" customHeight="1" x14ac:dyDescent="0.25">
      <c r="A274" s="61">
        <v>156</v>
      </c>
      <c r="B274" s="62">
        <v>72</v>
      </c>
      <c r="C274" s="62" t="str">
        <f t="shared" si="59"/>
        <v>156-72</v>
      </c>
      <c r="D274" s="63" t="s">
        <v>265</v>
      </c>
      <c r="E274" s="64">
        <v>66854.5</v>
      </c>
      <c r="F274" s="64">
        <v>899.99</v>
      </c>
      <c r="G274" s="64">
        <v>0</v>
      </c>
      <c r="H274" s="64">
        <v>1079.98</v>
      </c>
      <c r="I274" s="64">
        <v>649.98</v>
      </c>
      <c r="K274" s="64">
        <f t="shared" si="60"/>
        <v>69484.45</v>
      </c>
      <c r="M274" s="64">
        <v>69700</v>
      </c>
      <c r="N274" s="65">
        <f t="shared" si="61"/>
        <v>0.99690746054519364</v>
      </c>
      <c r="R274" s="66">
        <f t="shared" ref="R274:R279" si="62">(K274*3.2%)</f>
        <v>2223.5023999999999</v>
      </c>
      <c r="S274" s="66">
        <f t="shared" ref="S274:S279" si="63">R274*25%</f>
        <v>555.87559999999996</v>
      </c>
      <c r="T274" s="66">
        <f t="shared" ref="T274:T279" si="64">IF(N274&gt;1,K274*0.5%,0)</f>
        <v>0</v>
      </c>
    </row>
    <row r="275" spans="1:20" ht="12.75" customHeight="1" x14ac:dyDescent="0.25">
      <c r="A275" s="61">
        <v>156</v>
      </c>
      <c r="B275" s="62">
        <v>75</v>
      </c>
      <c r="C275" s="62" t="str">
        <f t="shared" si="59"/>
        <v>156-75</v>
      </c>
      <c r="D275" s="63" t="s">
        <v>267</v>
      </c>
      <c r="E275" s="64">
        <v>1907.91</v>
      </c>
      <c r="G275" s="64">
        <v>0</v>
      </c>
      <c r="H275" s="64">
        <v>399.99</v>
      </c>
      <c r="I275" s="64">
        <v>0</v>
      </c>
      <c r="K275" s="64">
        <f t="shared" si="60"/>
        <v>2307.9</v>
      </c>
      <c r="M275" s="64">
        <v>69700</v>
      </c>
      <c r="N275" s="65">
        <f t="shared" si="61"/>
        <v>3.3111908177905311E-2</v>
      </c>
      <c r="R275" s="66">
        <v>0</v>
      </c>
      <c r="S275" s="66">
        <f t="shared" si="63"/>
        <v>0</v>
      </c>
      <c r="T275" s="66">
        <f t="shared" si="64"/>
        <v>0</v>
      </c>
    </row>
    <row r="276" spans="1:20" ht="12.75" customHeight="1" x14ac:dyDescent="0.25">
      <c r="A276" s="61">
        <v>156</v>
      </c>
      <c r="B276" s="62">
        <v>76</v>
      </c>
      <c r="C276" s="62" t="str">
        <f t="shared" si="59"/>
        <v>156-76</v>
      </c>
      <c r="D276" s="63" t="s">
        <v>269</v>
      </c>
      <c r="E276" s="64">
        <v>77245.539999999994</v>
      </c>
      <c r="G276" s="64">
        <v>0</v>
      </c>
      <c r="H276" s="64">
        <v>0</v>
      </c>
      <c r="I276" s="64">
        <v>869.98</v>
      </c>
      <c r="K276" s="64">
        <f t="shared" si="60"/>
        <v>78115.51999999999</v>
      </c>
      <c r="M276" s="64">
        <v>69700</v>
      </c>
      <c r="N276" s="65">
        <f t="shared" si="61"/>
        <v>1.1207391678622667</v>
      </c>
      <c r="R276" s="66">
        <f t="shared" si="62"/>
        <v>2499.6966399999997</v>
      </c>
      <c r="S276" s="66">
        <f t="shared" si="63"/>
        <v>624.92415999999992</v>
      </c>
      <c r="T276" s="66">
        <f t="shared" si="64"/>
        <v>390.57759999999996</v>
      </c>
    </row>
    <row r="277" spans="1:20" ht="12.75" customHeight="1" x14ac:dyDescent="0.25">
      <c r="A277" s="61">
        <v>156</v>
      </c>
      <c r="B277" s="62">
        <v>78</v>
      </c>
      <c r="C277" s="62" t="str">
        <f t="shared" si="59"/>
        <v>156-78</v>
      </c>
      <c r="D277" s="63" t="s">
        <v>271</v>
      </c>
      <c r="E277" s="64">
        <v>36947.019999999997</v>
      </c>
      <c r="G277" s="64">
        <v>0</v>
      </c>
      <c r="H277" s="64">
        <v>1299.98</v>
      </c>
      <c r="I277" s="64">
        <v>1390.99</v>
      </c>
      <c r="K277" s="64">
        <f t="shared" si="60"/>
        <v>39637.99</v>
      </c>
      <c r="M277" s="64">
        <v>69700</v>
      </c>
      <c r="N277" s="65">
        <f t="shared" si="61"/>
        <v>0.56869426111908172</v>
      </c>
      <c r="R277" s="66">
        <f t="shared" si="62"/>
        <v>1268.4156800000001</v>
      </c>
      <c r="S277" s="66">
        <f t="shared" si="63"/>
        <v>317.10392000000002</v>
      </c>
      <c r="T277" s="66">
        <f t="shared" si="64"/>
        <v>0</v>
      </c>
    </row>
    <row r="278" spans="1:20" ht="12.75" customHeight="1" x14ac:dyDescent="0.25">
      <c r="A278" s="61">
        <v>156</v>
      </c>
      <c r="B278" s="62">
        <v>79</v>
      </c>
      <c r="C278" s="62" t="str">
        <f t="shared" si="59"/>
        <v>156-79</v>
      </c>
      <c r="D278" s="63" t="s">
        <v>526</v>
      </c>
      <c r="E278" s="64">
        <v>75559.73</v>
      </c>
      <c r="G278" s="64">
        <v>0</v>
      </c>
      <c r="H278" s="64">
        <v>2129.9499999999998</v>
      </c>
      <c r="I278" s="64">
        <v>949.98</v>
      </c>
      <c r="K278" s="64">
        <f t="shared" si="60"/>
        <v>78639.659999999989</v>
      </c>
      <c r="M278" s="64">
        <v>69700</v>
      </c>
      <c r="N278" s="65">
        <f t="shared" si="61"/>
        <v>1.1282591104734576</v>
      </c>
      <c r="R278" s="66">
        <f t="shared" si="62"/>
        <v>2516.4691199999997</v>
      </c>
      <c r="S278" s="66">
        <f t="shared" si="63"/>
        <v>629.11727999999994</v>
      </c>
      <c r="T278" s="66">
        <f t="shared" si="64"/>
        <v>393.19829999999996</v>
      </c>
    </row>
    <row r="279" spans="1:20" ht="12.75" customHeight="1" x14ac:dyDescent="0.25">
      <c r="A279" s="61">
        <v>156</v>
      </c>
      <c r="B279" s="62">
        <v>81</v>
      </c>
      <c r="C279" s="62" t="str">
        <f t="shared" si="59"/>
        <v>156-81</v>
      </c>
      <c r="D279" s="63" t="s">
        <v>275</v>
      </c>
      <c r="E279" s="64">
        <v>51190.15</v>
      </c>
      <c r="G279" s="64">
        <v>0</v>
      </c>
      <c r="H279" s="64">
        <v>0</v>
      </c>
      <c r="I279" s="64">
        <v>399.99</v>
      </c>
      <c r="K279" s="64">
        <f t="shared" si="60"/>
        <v>51590.14</v>
      </c>
      <c r="M279" s="64">
        <v>69700</v>
      </c>
      <c r="N279" s="65">
        <f t="shared" si="61"/>
        <v>0.74017417503586802</v>
      </c>
      <c r="R279" s="66">
        <f t="shared" si="62"/>
        <v>1650.8844799999999</v>
      </c>
      <c r="S279" s="66">
        <f t="shared" si="63"/>
        <v>412.72111999999998</v>
      </c>
      <c r="T279" s="66">
        <f t="shared" si="64"/>
        <v>0</v>
      </c>
    </row>
    <row r="280" spans="1:20" ht="12.75" customHeight="1" x14ac:dyDescent="0.25">
      <c r="A280" s="61">
        <v>156</v>
      </c>
      <c r="B280" s="62"/>
      <c r="C280" s="62" t="str">
        <f t="shared" si="59"/>
        <v>156-</v>
      </c>
      <c r="D280" s="63"/>
      <c r="E280" s="64">
        <v>0</v>
      </c>
      <c r="G280" s="64">
        <v>0</v>
      </c>
      <c r="H280" s="64">
        <v>0</v>
      </c>
      <c r="I280" s="64">
        <v>0</v>
      </c>
      <c r="K280" s="64">
        <f t="shared" si="60"/>
        <v>0</v>
      </c>
      <c r="M280" s="64"/>
      <c r="N280" s="65">
        <f t="shared" si="61"/>
        <v>0</v>
      </c>
      <c r="R280" s="68">
        <f>SUM(R273:R279)</f>
        <v>12730.8032</v>
      </c>
      <c r="S280" s="68">
        <f>SUM(S273:S279)</f>
        <v>3182.7008000000001</v>
      </c>
      <c r="T280" s="68">
        <f>SUM(T273:T279)</f>
        <v>1185.6251</v>
      </c>
    </row>
    <row r="281" spans="1:20" ht="12.75" customHeight="1" x14ac:dyDescent="0.25">
      <c r="A281" s="61">
        <v>156</v>
      </c>
      <c r="B281" s="62"/>
      <c r="C281" s="62" t="str">
        <f t="shared" si="59"/>
        <v>156-</v>
      </c>
      <c r="D281" s="63"/>
      <c r="E281" s="64">
        <v>0</v>
      </c>
      <c r="G281" s="64">
        <v>0</v>
      </c>
      <c r="H281" s="64">
        <v>0</v>
      </c>
      <c r="I281" s="64">
        <v>0</v>
      </c>
      <c r="K281" s="64">
        <f t="shared" si="60"/>
        <v>0</v>
      </c>
      <c r="M281" s="64"/>
      <c r="N281" s="65">
        <f t="shared" si="61"/>
        <v>0</v>
      </c>
    </row>
    <row r="282" spans="1:20" ht="12.75" customHeight="1" x14ac:dyDescent="0.25">
      <c r="A282" s="61">
        <v>156</v>
      </c>
      <c r="B282" s="62"/>
      <c r="C282" s="62" t="str">
        <f t="shared" si="59"/>
        <v>156-</v>
      </c>
      <c r="D282" s="63"/>
      <c r="E282" s="64">
        <v>0</v>
      </c>
      <c r="G282" s="64">
        <v>0</v>
      </c>
      <c r="H282" s="64">
        <v>0</v>
      </c>
      <c r="I282" s="64">
        <v>0</v>
      </c>
      <c r="K282" s="64">
        <f t="shared" si="60"/>
        <v>0</v>
      </c>
      <c r="M282" s="64"/>
      <c r="N282" s="65">
        <f t="shared" si="61"/>
        <v>0</v>
      </c>
    </row>
    <row r="283" spans="1:20" ht="12.75" customHeight="1" x14ac:dyDescent="0.25">
      <c r="A283" s="61">
        <v>156</v>
      </c>
      <c r="B283" s="62"/>
      <c r="C283" s="62" t="str">
        <f t="shared" si="59"/>
        <v>156-</v>
      </c>
      <c r="D283" s="63"/>
      <c r="E283" s="64">
        <v>0</v>
      </c>
      <c r="G283" s="64">
        <v>0</v>
      </c>
      <c r="H283" s="64">
        <v>0</v>
      </c>
      <c r="I283" s="64">
        <v>0</v>
      </c>
      <c r="K283" s="64">
        <f t="shared" si="60"/>
        <v>0</v>
      </c>
      <c r="M283" s="64"/>
      <c r="N283" s="65">
        <f t="shared" si="61"/>
        <v>0</v>
      </c>
    </row>
    <row r="284" spans="1:20" ht="12.75" customHeight="1" x14ac:dyDescent="0.25">
      <c r="A284" s="69" t="s">
        <v>459</v>
      </c>
      <c r="B284" s="70"/>
      <c r="C284" s="62" t="str">
        <f t="shared" si="59"/>
        <v>Total-</v>
      </c>
      <c r="D284" s="69"/>
      <c r="E284" s="71">
        <v>388564.73000000004</v>
      </c>
      <c r="F284" s="71">
        <v>899.99</v>
      </c>
      <c r="G284" s="71">
        <v>0</v>
      </c>
      <c r="H284" s="71">
        <v>6079.8799999999992</v>
      </c>
      <c r="I284" s="71">
        <v>4600.8999999999996</v>
      </c>
      <c r="J284" s="71">
        <v>0</v>
      </c>
      <c r="K284" s="71">
        <f>SUM(K273:K283)</f>
        <v>400145.49999999994</v>
      </c>
      <c r="M284" s="71">
        <f>SUM(M273:M283)</f>
        <v>487900</v>
      </c>
    </row>
    <row r="285" spans="1:20" ht="12.75" customHeight="1" x14ac:dyDescent="0.25">
      <c r="C285" s="62" t="str">
        <f t="shared" si="59"/>
        <v>-</v>
      </c>
    </row>
    <row r="286" spans="1:20" ht="12.75" customHeight="1" x14ac:dyDescent="0.25">
      <c r="C286" s="62" t="str">
        <f t="shared" si="59"/>
        <v>-</v>
      </c>
    </row>
    <row r="287" spans="1:20" ht="12.75" customHeight="1" x14ac:dyDescent="0.25">
      <c r="C287" s="62" t="str">
        <f t="shared" si="59"/>
        <v>-</v>
      </c>
    </row>
    <row r="288" spans="1:20" ht="12.75" customHeight="1" x14ac:dyDescent="0.25">
      <c r="C288" s="62" t="str">
        <f t="shared" si="59"/>
        <v>-</v>
      </c>
    </row>
    <row r="289" spans="1:20" ht="12.75" customHeight="1" x14ac:dyDescent="0.25">
      <c r="A289" s="56" t="s">
        <v>454</v>
      </c>
      <c r="B289" s="57" t="s">
        <v>474</v>
      </c>
      <c r="C289" s="62" t="str">
        <f t="shared" si="59"/>
        <v>Loja-Cod</v>
      </c>
      <c r="D289" s="56" t="s">
        <v>475</v>
      </c>
      <c r="E289" s="57" t="s">
        <v>476</v>
      </c>
      <c r="F289" s="57" t="s">
        <v>477</v>
      </c>
      <c r="G289" s="57" t="s">
        <v>478</v>
      </c>
      <c r="H289" s="57" t="s">
        <v>479</v>
      </c>
      <c r="I289" s="57" t="s">
        <v>480</v>
      </c>
      <c r="J289" s="57" t="s">
        <v>481</v>
      </c>
      <c r="K289" s="57" t="s">
        <v>482</v>
      </c>
      <c r="M289" s="59" t="s">
        <v>483</v>
      </c>
      <c r="N289" s="59" t="s">
        <v>484</v>
      </c>
      <c r="P289" s="57" t="s">
        <v>485</v>
      </c>
      <c r="R289" s="60" t="s">
        <v>486</v>
      </c>
      <c r="S289" s="60" t="s">
        <v>466</v>
      </c>
      <c r="T289" s="60" t="s">
        <v>487</v>
      </c>
    </row>
    <row r="290" spans="1:20" ht="12.75" customHeight="1" x14ac:dyDescent="0.25">
      <c r="A290" s="61">
        <v>157</v>
      </c>
      <c r="B290" s="62">
        <v>14</v>
      </c>
      <c r="C290" s="62" t="str">
        <f t="shared" si="59"/>
        <v>157-14</v>
      </c>
      <c r="D290" s="63" t="s">
        <v>279</v>
      </c>
      <c r="E290" s="64">
        <v>75253.09</v>
      </c>
      <c r="G290" s="64">
        <v>0</v>
      </c>
      <c r="H290" s="64">
        <v>619.97</v>
      </c>
      <c r="I290" s="64">
        <v>399.99</v>
      </c>
      <c r="K290" s="64">
        <f t="shared" ref="K290:K300" si="65">SUM(E290:J290)</f>
        <v>76273.05</v>
      </c>
      <c r="M290" s="64">
        <v>45375</v>
      </c>
      <c r="N290" s="65">
        <f t="shared" ref="N290:N300" si="66">IFERROR(K290/M290,)</f>
        <v>1.6809487603305786</v>
      </c>
      <c r="P290" s="64">
        <v>165000</v>
      </c>
      <c r="R290" s="66">
        <f>(K290*3.2%)</f>
        <v>2440.7375999999999</v>
      </c>
      <c r="S290" s="66">
        <f>R290*25%</f>
        <v>610.18439999999998</v>
      </c>
      <c r="T290" s="66">
        <f>IF(N290&gt;1,K290*0.5%,0)</f>
        <v>381.36525</v>
      </c>
    </row>
    <row r="291" spans="1:20" ht="12.75" customHeight="1" x14ac:dyDescent="0.25">
      <c r="A291" s="61">
        <v>157</v>
      </c>
      <c r="B291" s="81">
        <v>33</v>
      </c>
      <c r="C291" s="62" t="str">
        <f t="shared" si="59"/>
        <v>157-33</v>
      </c>
      <c r="D291" s="63" t="s">
        <v>281</v>
      </c>
      <c r="E291" s="64">
        <v>2789.92</v>
      </c>
      <c r="G291" s="64">
        <v>0</v>
      </c>
      <c r="H291" s="64">
        <v>0</v>
      </c>
      <c r="I291" s="64">
        <v>0</v>
      </c>
      <c r="K291" s="64">
        <f t="shared" si="65"/>
        <v>2789.92</v>
      </c>
      <c r="M291" s="64"/>
      <c r="N291" s="65">
        <f t="shared" si="66"/>
        <v>0</v>
      </c>
      <c r="R291" s="66">
        <v>0</v>
      </c>
      <c r="S291" s="66">
        <f>R291*25%</f>
        <v>0</v>
      </c>
      <c r="T291" s="66">
        <f>IF(N291&gt;1,K291*0.5%,0)</f>
        <v>0</v>
      </c>
    </row>
    <row r="292" spans="1:20" ht="12.75" customHeight="1" x14ac:dyDescent="0.25">
      <c r="A292" s="61">
        <v>157</v>
      </c>
      <c r="B292" s="62">
        <v>43</v>
      </c>
      <c r="C292" s="62" t="str">
        <f t="shared" si="59"/>
        <v>157-43</v>
      </c>
      <c r="D292" s="63" t="s">
        <v>527</v>
      </c>
      <c r="E292" s="64">
        <v>53005.22</v>
      </c>
      <c r="G292" s="64">
        <v>0</v>
      </c>
      <c r="H292" s="64">
        <v>399.99</v>
      </c>
      <c r="I292" s="64">
        <v>0</v>
      </c>
      <c r="K292" s="64">
        <f t="shared" si="65"/>
        <v>53405.21</v>
      </c>
      <c r="M292" s="64">
        <v>45375</v>
      </c>
      <c r="N292" s="65">
        <f t="shared" si="66"/>
        <v>1.1769743250688705</v>
      </c>
      <c r="R292" s="66">
        <f>(K292*3.2%)</f>
        <v>1708.9667199999999</v>
      </c>
      <c r="S292" s="66">
        <f>R292*25%</f>
        <v>427.24167999999997</v>
      </c>
      <c r="T292" s="66">
        <f>IF(N292&gt;1,K292*0.5%,0)</f>
        <v>267.02605</v>
      </c>
    </row>
    <row r="293" spans="1:20" ht="12.75" customHeight="1" x14ac:dyDescent="0.25">
      <c r="A293" s="61">
        <v>157</v>
      </c>
      <c r="B293" s="62">
        <v>45</v>
      </c>
      <c r="C293" s="62" t="str">
        <f t="shared" si="59"/>
        <v>157-45</v>
      </c>
      <c r="D293" s="63" t="s">
        <v>528</v>
      </c>
      <c r="E293" s="64">
        <v>55980.11</v>
      </c>
      <c r="G293" s="64">
        <v>0</v>
      </c>
      <c r="H293" s="64">
        <v>499.99</v>
      </c>
      <c r="I293" s="64">
        <v>0</v>
      </c>
      <c r="K293" s="64">
        <f t="shared" si="65"/>
        <v>56480.1</v>
      </c>
      <c r="M293" s="64">
        <v>45375</v>
      </c>
      <c r="N293" s="65">
        <f t="shared" si="66"/>
        <v>1.2447404958677686</v>
      </c>
      <c r="R293" s="66">
        <f>(K293*3.2%)</f>
        <v>1807.3632</v>
      </c>
      <c r="S293" s="66">
        <f>R293*25%</f>
        <v>451.8408</v>
      </c>
      <c r="T293" s="66">
        <f>IF(N293&gt;1,K293*0.5%,0)</f>
        <v>282.40050000000002</v>
      </c>
    </row>
    <row r="294" spans="1:20" ht="12.75" customHeight="1" x14ac:dyDescent="0.25">
      <c r="A294" s="61">
        <v>157</v>
      </c>
      <c r="B294" s="62">
        <v>46</v>
      </c>
      <c r="C294" s="62" t="str">
        <f t="shared" si="59"/>
        <v>157-46</v>
      </c>
      <c r="D294" s="63" t="s">
        <v>529</v>
      </c>
      <c r="E294" s="64">
        <v>22127.99</v>
      </c>
      <c r="G294" s="64">
        <v>0</v>
      </c>
      <c r="H294" s="64">
        <v>649.98</v>
      </c>
      <c r="I294" s="64">
        <v>0</v>
      </c>
      <c r="K294" s="64">
        <f t="shared" si="65"/>
        <v>22777.97</v>
      </c>
      <c r="M294" s="64">
        <v>45375</v>
      </c>
      <c r="N294" s="65">
        <f t="shared" si="66"/>
        <v>0.50199382920110192</v>
      </c>
      <c r="R294" s="66">
        <f>(K294*3.2%)</f>
        <v>728.89504000000011</v>
      </c>
      <c r="S294" s="66">
        <f>R294*25%</f>
        <v>182.22376000000003</v>
      </c>
      <c r="T294" s="66">
        <f>IF(N294&gt;1,K294*0.5%,0)</f>
        <v>0</v>
      </c>
    </row>
    <row r="295" spans="1:20" ht="12.75" customHeight="1" x14ac:dyDescent="0.25">
      <c r="A295" s="61">
        <v>157</v>
      </c>
      <c r="B295" s="62"/>
      <c r="C295" s="62" t="str">
        <f t="shared" si="59"/>
        <v>157-</v>
      </c>
      <c r="D295" s="63"/>
      <c r="E295" s="64">
        <v>0</v>
      </c>
      <c r="G295" s="64">
        <v>0</v>
      </c>
      <c r="H295" s="64">
        <v>0</v>
      </c>
      <c r="I295" s="64">
        <v>0</v>
      </c>
      <c r="K295" s="64">
        <f t="shared" si="65"/>
        <v>0</v>
      </c>
      <c r="M295" s="64"/>
      <c r="N295" s="65">
        <f t="shared" si="66"/>
        <v>0</v>
      </c>
      <c r="R295" s="68">
        <f>SUM(R290:R294)</f>
        <v>6685.9625599999999</v>
      </c>
      <c r="S295" s="68">
        <f>SUM(S290:S294)</f>
        <v>1671.49064</v>
      </c>
      <c r="T295" s="68">
        <f>SUM(T290:T294)</f>
        <v>930.79179999999997</v>
      </c>
    </row>
    <row r="296" spans="1:20" ht="12.75" customHeight="1" x14ac:dyDescent="0.25">
      <c r="A296" s="61">
        <v>157</v>
      </c>
      <c r="B296" s="62"/>
      <c r="C296" s="62" t="str">
        <f t="shared" si="59"/>
        <v>157-</v>
      </c>
      <c r="D296" s="63"/>
      <c r="E296" s="64">
        <v>0</v>
      </c>
      <c r="G296" s="64">
        <v>0</v>
      </c>
      <c r="H296" s="64">
        <v>0</v>
      </c>
      <c r="I296" s="64">
        <v>0</v>
      </c>
      <c r="K296" s="64">
        <f t="shared" si="65"/>
        <v>0</v>
      </c>
      <c r="M296" s="64"/>
      <c r="N296" s="65">
        <f t="shared" si="66"/>
        <v>0</v>
      </c>
    </row>
    <row r="297" spans="1:20" ht="12.75" customHeight="1" x14ac:dyDescent="0.25">
      <c r="A297" s="61">
        <v>157</v>
      </c>
      <c r="B297" s="62"/>
      <c r="C297" s="62" t="str">
        <f t="shared" si="59"/>
        <v>157-</v>
      </c>
      <c r="D297" s="63"/>
      <c r="E297" s="64">
        <v>0</v>
      </c>
      <c r="G297" s="64">
        <v>0</v>
      </c>
      <c r="H297" s="64">
        <v>0</v>
      </c>
      <c r="I297" s="64">
        <v>0</v>
      </c>
      <c r="K297" s="64">
        <f t="shared" si="65"/>
        <v>0</v>
      </c>
      <c r="M297" s="64"/>
      <c r="N297" s="65">
        <f t="shared" si="66"/>
        <v>0</v>
      </c>
    </row>
    <row r="298" spans="1:20" ht="12.75" customHeight="1" x14ac:dyDescent="0.25">
      <c r="A298" s="61">
        <v>157</v>
      </c>
      <c r="B298" s="62"/>
      <c r="C298" s="62" t="str">
        <f t="shared" si="59"/>
        <v>157-</v>
      </c>
      <c r="D298" s="63"/>
      <c r="E298" s="64">
        <v>0</v>
      </c>
      <c r="G298" s="64">
        <v>0</v>
      </c>
      <c r="H298" s="64">
        <v>0</v>
      </c>
      <c r="I298" s="64">
        <v>0</v>
      </c>
      <c r="K298" s="64">
        <f t="shared" si="65"/>
        <v>0</v>
      </c>
      <c r="M298" s="64"/>
      <c r="N298" s="65">
        <f t="shared" si="66"/>
        <v>0</v>
      </c>
    </row>
    <row r="299" spans="1:20" ht="12.75" customHeight="1" x14ac:dyDescent="0.25">
      <c r="A299" s="61">
        <v>157</v>
      </c>
      <c r="B299" s="62"/>
      <c r="C299" s="62" t="str">
        <f t="shared" si="59"/>
        <v>157-</v>
      </c>
      <c r="D299" s="63"/>
      <c r="E299" s="64">
        <v>0</v>
      </c>
      <c r="G299" s="64">
        <v>0</v>
      </c>
      <c r="H299" s="64">
        <v>0</v>
      </c>
      <c r="I299" s="64">
        <v>0</v>
      </c>
      <c r="K299" s="64">
        <f t="shared" si="65"/>
        <v>0</v>
      </c>
      <c r="M299" s="64"/>
      <c r="N299" s="65">
        <f t="shared" si="66"/>
        <v>0</v>
      </c>
    </row>
    <row r="300" spans="1:20" ht="12.75" customHeight="1" x14ac:dyDescent="0.25">
      <c r="A300" s="61">
        <v>157</v>
      </c>
      <c r="B300" s="62"/>
      <c r="C300" s="62" t="str">
        <f t="shared" si="59"/>
        <v>157-</v>
      </c>
      <c r="D300" s="63"/>
      <c r="E300" s="64">
        <v>0</v>
      </c>
      <c r="G300" s="64">
        <v>0</v>
      </c>
      <c r="H300" s="64">
        <v>0</v>
      </c>
      <c r="I300" s="64">
        <v>0</v>
      </c>
      <c r="K300" s="64">
        <f t="shared" si="65"/>
        <v>0</v>
      </c>
      <c r="M300" s="64"/>
      <c r="N300" s="65">
        <f t="shared" si="66"/>
        <v>0</v>
      </c>
    </row>
    <row r="301" spans="1:20" ht="12.75" customHeight="1" x14ac:dyDescent="0.25">
      <c r="A301" s="69" t="s">
        <v>459</v>
      </c>
      <c r="B301" s="70"/>
      <c r="C301" s="62" t="str">
        <f t="shared" si="59"/>
        <v>Total-</v>
      </c>
      <c r="D301" s="69"/>
      <c r="E301" s="71">
        <v>209156.33</v>
      </c>
      <c r="F301" s="71">
        <v>0</v>
      </c>
      <c r="G301" s="71">
        <v>0</v>
      </c>
      <c r="H301" s="71">
        <v>2169.9300000000003</v>
      </c>
      <c r="I301" s="71">
        <v>399.99</v>
      </c>
      <c r="J301" s="71">
        <v>0</v>
      </c>
      <c r="K301" s="71">
        <f>SUM(K290:K300)</f>
        <v>211726.25</v>
      </c>
      <c r="M301" s="71">
        <f>SUM(M290:M300)</f>
        <v>181500</v>
      </c>
    </row>
    <row r="302" spans="1:20" ht="12.75" customHeight="1" x14ac:dyDescent="0.25">
      <c r="C302" s="62" t="str">
        <f t="shared" si="59"/>
        <v>-</v>
      </c>
    </row>
    <row r="303" spans="1:20" ht="12.75" customHeight="1" x14ac:dyDescent="0.25">
      <c r="C303" s="62" t="str">
        <f t="shared" si="59"/>
        <v>-</v>
      </c>
    </row>
    <row r="304" spans="1:20" ht="12.75" customHeight="1" x14ac:dyDescent="0.25">
      <c r="C304" s="62" t="str">
        <f t="shared" si="59"/>
        <v>-</v>
      </c>
    </row>
    <row r="305" spans="1:21" ht="12.75" customHeight="1" x14ac:dyDescent="0.25">
      <c r="C305" s="62" t="str">
        <f t="shared" si="59"/>
        <v>-</v>
      </c>
    </row>
    <row r="306" spans="1:21" ht="12.75" customHeight="1" x14ac:dyDescent="0.25">
      <c r="A306" s="56" t="s">
        <v>454</v>
      </c>
      <c r="B306" s="57" t="s">
        <v>474</v>
      </c>
      <c r="C306" s="62" t="str">
        <f t="shared" si="59"/>
        <v>Loja-Cod</v>
      </c>
      <c r="D306" s="56" t="s">
        <v>475</v>
      </c>
      <c r="E306" s="57" t="s">
        <v>476</v>
      </c>
      <c r="F306" s="57" t="s">
        <v>477</v>
      </c>
      <c r="G306" s="57" t="s">
        <v>478</v>
      </c>
      <c r="H306" s="57" t="s">
        <v>479</v>
      </c>
      <c r="I306" s="57" t="s">
        <v>480</v>
      </c>
      <c r="J306" s="57" t="s">
        <v>481</v>
      </c>
      <c r="K306" s="57" t="s">
        <v>482</v>
      </c>
      <c r="M306" s="59" t="s">
        <v>483</v>
      </c>
      <c r="N306" s="59" t="s">
        <v>484</v>
      </c>
      <c r="P306" s="57" t="s">
        <v>485</v>
      </c>
      <c r="R306" s="60" t="s">
        <v>486</v>
      </c>
      <c r="S306" s="60" t="s">
        <v>466</v>
      </c>
      <c r="T306" s="60" t="s">
        <v>487</v>
      </c>
    </row>
    <row r="307" spans="1:21" ht="12.75" customHeight="1" x14ac:dyDescent="0.25">
      <c r="A307" s="61">
        <v>161</v>
      </c>
      <c r="B307" s="62">
        <v>32</v>
      </c>
      <c r="C307" s="62" t="str">
        <f t="shared" si="59"/>
        <v>161-32</v>
      </c>
      <c r="D307" s="63" t="s">
        <v>293</v>
      </c>
      <c r="E307" s="64">
        <v>515.99</v>
      </c>
      <c r="G307" s="64">
        <v>0</v>
      </c>
      <c r="H307" s="64">
        <v>0</v>
      </c>
      <c r="I307" s="64">
        <v>0</v>
      </c>
      <c r="K307" s="64">
        <f t="shared" ref="K307:K317" si="67">SUM(E307:J307)</f>
        <v>515.99</v>
      </c>
      <c r="M307" s="64"/>
      <c r="N307" s="65">
        <f t="shared" ref="N307:N317" si="68">IFERROR(K307/M307,)</f>
        <v>0</v>
      </c>
      <c r="P307" s="64">
        <v>230000</v>
      </c>
      <c r="R307" s="66">
        <v>0</v>
      </c>
      <c r="S307" s="66">
        <f>R307*25%</f>
        <v>0</v>
      </c>
      <c r="T307" s="66">
        <f>IF(N307&gt;1,K307*0.5%,0)</f>
        <v>0</v>
      </c>
    </row>
    <row r="308" spans="1:21" s="77" customFormat="1" ht="12.75" customHeight="1" x14ac:dyDescent="0.25">
      <c r="A308" s="73">
        <v>161</v>
      </c>
      <c r="B308" s="74">
        <v>44</v>
      </c>
      <c r="C308" s="74" t="str">
        <f t="shared" si="59"/>
        <v>161-44</v>
      </c>
      <c r="D308" s="75" t="s">
        <v>530</v>
      </c>
      <c r="E308" s="76">
        <v>11652.63</v>
      </c>
      <c r="F308" s="76"/>
      <c r="G308" s="76">
        <v>0</v>
      </c>
      <c r="H308" s="76">
        <v>0</v>
      </c>
      <c r="I308" s="76">
        <v>0</v>
      </c>
      <c r="J308" s="76"/>
      <c r="K308" s="76">
        <f t="shared" si="67"/>
        <v>11652.63</v>
      </c>
      <c r="M308" s="76">
        <v>42000</v>
      </c>
      <c r="N308" s="78">
        <f t="shared" si="68"/>
        <v>0.2774435714285714</v>
      </c>
      <c r="R308" s="79">
        <v>0</v>
      </c>
      <c r="S308" s="79">
        <f>R308*25%</f>
        <v>0</v>
      </c>
      <c r="T308" s="79">
        <f>IF(N308&gt;1,K308*0.5%,0)</f>
        <v>0</v>
      </c>
      <c r="U308" s="77" t="s">
        <v>517</v>
      </c>
    </row>
    <row r="309" spans="1:21" ht="12.75" customHeight="1" x14ac:dyDescent="0.25">
      <c r="A309" s="61">
        <v>161</v>
      </c>
      <c r="B309" s="62">
        <v>49</v>
      </c>
      <c r="C309" s="62" t="str">
        <f t="shared" si="59"/>
        <v>161-49</v>
      </c>
      <c r="D309" s="63" t="s">
        <v>531</v>
      </c>
      <c r="E309" s="64">
        <v>74531.97</v>
      </c>
      <c r="G309" s="64">
        <v>0</v>
      </c>
      <c r="H309" s="64">
        <v>0</v>
      </c>
      <c r="I309" s="64">
        <v>0</v>
      </c>
      <c r="K309" s="64">
        <f t="shared" si="67"/>
        <v>74531.97</v>
      </c>
      <c r="M309" s="64">
        <v>70400</v>
      </c>
      <c r="N309" s="65">
        <f t="shared" si="68"/>
        <v>1.0586927556818182</v>
      </c>
      <c r="R309" s="66">
        <f>(K309*3.2%)</f>
        <v>2385.02304</v>
      </c>
      <c r="S309" s="66">
        <f>R309*25%</f>
        <v>596.25576000000001</v>
      </c>
      <c r="T309" s="66">
        <f>IF(N309&gt;1,K309*0.5%,0)</f>
        <v>372.65985000000001</v>
      </c>
    </row>
    <row r="310" spans="1:21" ht="12.75" customHeight="1" x14ac:dyDescent="0.25">
      <c r="A310" s="61">
        <v>161</v>
      </c>
      <c r="B310" s="62">
        <v>51</v>
      </c>
      <c r="C310" s="62" t="str">
        <f t="shared" si="59"/>
        <v>161-51</v>
      </c>
      <c r="D310" s="63" t="s">
        <v>301</v>
      </c>
      <c r="E310" s="64">
        <v>76645.03</v>
      </c>
      <c r="G310" s="64">
        <v>0</v>
      </c>
      <c r="H310" s="64">
        <v>0</v>
      </c>
      <c r="I310" s="64">
        <v>0</v>
      </c>
      <c r="K310" s="64">
        <f t="shared" si="67"/>
        <v>76645.03</v>
      </c>
      <c r="M310" s="64">
        <v>70400</v>
      </c>
      <c r="N310" s="65">
        <f t="shared" si="68"/>
        <v>1.0887078125</v>
      </c>
      <c r="R310" s="66">
        <f>(K310*3.2%)</f>
        <v>2452.6409600000002</v>
      </c>
      <c r="S310" s="66">
        <f>R310*25%</f>
        <v>613.16024000000004</v>
      </c>
      <c r="T310" s="66">
        <f>IF(N310&gt;1,K310*0.5%,0)</f>
        <v>383.22514999999999</v>
      </c>
    </row>
    <row r="311" spans="1:21" ht="12.75" customHeight="1" x14ac:dyDescent="0.25">
      <c r="A311" s="61">
        <v>161</v>
      </c>
      <c r="B311" s="62">
        <v>52</v>
      </c>
      <c r="C311" s="62" t="str">
        <f t="shared" si="59"/>
        <v>161-52</v>
      </c>
      <c r="D311" s="63" t="s">
        <v>303</v>
      </c>
      <c r="E311" s="64">
        <v>27029.94</v>
      </c>
      <c r="G311" s="64">
        <v>0</v>
      </c>
      <c r="H311" s="64">
        <v>0</v>
      </c>
      <c r="I311" s="64">
        <v>0</v>
      </c>
      <c r="K311" s="64">
        <f t="shared" si="67"/>
        <v>27029.94</v>
      </c>
      <c r="M311" s="64">
        <v>70400</v>
      </c>
      <c r="N311" s="65">
        <f t="shared" si="68"/>
        <v>0.38394801136363632</v>
      </c>
      <c r="R311" s="66">
        <f>(K311*3.2%)</f>
        <v>864.95808</v>
      </c>
      <c r="S311" s="66">
        <f>R311*25%</f>
        <v>216.23952</v>
      </c>
      <c r="T311" s="66">
        <f>IF(N311&gt;1,K311*0.5%,0)</f>
        <v>0</v>
      </c>
    </row>
    <row r="312" spans="1:21" ht="12.75" customHeight="1" x14ac:dyDescent="0.25">
      <c r="A312" s="61">
        <v>161</v>
      </c>
      <c r="B312" s="62"/>
      <c r="C312" s="62" t="str">
        <f t="shared" si="59"/>
        <v>161-</v>
      </c>
      <c r="D312" s="63"/>
      <c r="E312" s="64">
        <v>0</v>
      </c>
      <c r="G312" s="64">
        <v>0</v>
      </c>
      <c r="H312" s="64">
        <v>0</v>
      </c>
      <c r="I312" s="64">
        <v>0</v>
      </c>
      <c r="K312" s="64">
        <f t="shared" si="67"/>
        <v>0</v>
      </c>
      <c r="M312" s="64"/>
      <c r="N312" s="65">
        <f t="shared" si="68"/>
        <v>0</v>
      </c>
      <c r="R312" s="82">
        <f>SUM(R307:R311)</f>
        <v>5702.622080000001</v>
      </c>
      <c r="S312" s="82">
        <f>SUM(S307:S311)</f>
        <v>1425.6555200000003</v>
      </c>
      <c r="T312" s="82">
        <f>SUM(T307:T311)</f>
        <v>755.88499999999999</v>
      </c>
    </row>
    <row r="313" spans="1:21" ht="12.75" customHeight="1" x14ac:dyDescent="0.25">
      <c r="A313" s="61">
        <v>161</v>
      </c>
      <c r="B313" s="62"/>
      <c r="C313" s="62" t="str">
        <f t="shared" si="59"/>
        <v>161-</v>
      </c>
      <c r="D313" s="63"/>
      <c r="E313" s="64">
        <v>0</v>
      </c>
      <c r="G313" s="64">
        <v>0</v>
      </c>
      <c r="H313" s="64">
        <v>0</v>
      </c>
      <c r="I313" s="64">
        <v>0</v>
      </c>
      <c r="K313" s="64">
        <f t="shared" si="67"/>
        <v>0</v>
      </c>
      <c r="M313" s="64"/>
      <c r="N313" s="65">
        <f t="shared" si="68"/>
        <v>0</v>
      </c>
    </row>
    <row r="314" spans="1:21" ht="12.75" customHeight="1" x14ac:dyDescent="0.25">
      <c r="A314" s="61">
        <v>161</v>
      </c>
      <c r="B314" s="62"/>
      <c r="C314" s="62" t="str">
        <f t="shared" si="59"/>
        <v>161-</v>
      </c>
      <c r="D314" s="63"/>
      <c r="E314" s="64">
        <v>0</v>
      </c>
      <c r="G314" s="64">
        <v>0</v>
      </c>
      <c r="H314" s="64">
        <v>0</v>
      </c>
      <c r="I314" s="64">
        <v>0</v>
      </c>
      <c r="K314" s="64">
        <f t="shared" si="67"/>
        <v>0</v>
      </c>
      <c r="M314" s="64"/>
      <c r="N314" s="65">
        <f t="shared" si="68"/>
        <v>0</v>
      </c>
    </row>
    <row r="315" spans="1:21" ht="12.75" customHeight="1" x14ac:dyDescent="0.25">
      <c r="A315" s="61">
        <v>161</v>
      </c>
      <c r="B315" s="62"/>
      <c r="C315" s="62" t="str">
        <f t="shared" si="59"/>
        <v>161-</v>
      </c>
      <c r="D315" s="63"/>
      <c r="E315" s="64">
        <v>0</v>
      </c>
      <c r="G315" s="64">
        <v>0</v>
      </c>
      <c r="H315" s="64">
        <v>0</v>
      </c>
      <c r="I315" s="64">
        <v>0</v>
      </c>
      <c r="K315" s="64">
        <f t="shared" si="67"/>
        <v>0</v>
      </c>
      <c r="M315" s="64"/>
      <c r="N315" s="65">
        <f t="shared" si="68"/>
        <v>0</v>
      </c>
    </row>
    <row r="316" spans="1:21" ht="12.75" customHeight="1" x14ac:dyDescent="0.25">
      <c r="A316" s="61">
        <v>161</v>
      </c>
      <c r="B316" s="62"/>
      <c r="C316" s="62" t="str">
        <f t="shared" si="59"/>
        <v>161-</v>
      </c>
      <c r="D316" s="63"/>
      <c r="E316" s="64">
        <v>0</v>
      </c>
      <c r="G316" s="64">
        <v>0</v>
      </c>
      <c r="H316" s="64">
        <v>0</v>
      </c>
      <c r="I316" s="64">
        <v>0</v>
      </c>
      <c r="K316" s="64">
        <f t="shared" si="67"/>
        <v>0</v>
      </c>
      <c r="M316" s="64"/>
      <c r="N316" s="65">
        <f t="shared" si="68"/>
        <v>0</v>
      </c>
    </row>
    <row r="317" spans="1:21" ht="12.75" customHeight="1" x14ac:dyDescent="0.25">
      <c r="A317" s="61">
        <v>161</v>
      </c>
      <c r="B317" s="62"/>
      <c r="C317" s="62" t="str">
        <f t="shared" si="59"/>
        <v>161-</v>
      </c>
      <c r="D317" s="63"/>
      <c r="E317" s="64">
        <v>0</v>
      </c>
      <c r="G317" s="64">
        <v>0</v>
      </c>
      <c r="H317" s="64">
        <v>0</v>
      </c>
      <c r="I317" s="64">
        <v>0</v>
      </c>
      <c r="K317" s="64">
        <f t="shared" si="67"/>
        <v>0</v>
      </c>
      <c r="M317" s="64"/>
      <c r="N317" s="65">
        <f t="shared" si="68"/>
        <v>0</v>
      </c>
    </row>
    <row r="318" spans="1:21" ht="12.75" customHeight="1" x14ac:dyDescent="0.25">
      <c r="A318" s="69" t="s">
        <v>459</v>
      </c>
      <c r="B318" s="70"/>
      <c r="C318" s="62" t="str">
        <f t="shared" si="59"/>
        <v>Total-</v>
      </c>
      <c r="D318" s="69"/>
      <c r="E318" s="71">
        <v>190375.56</v>
      </c>
      <c r="F318" s="71">
        <v>0</v>
      </c>
      <c r="G318" s="71">
        <v>0</v>
      </c>
      <c r="H318" s="71">
        <v>0</v>
      </c>
      <c r="I318" s="71">
        <v>0</v>
      </c>
      <c r="J318" s="71">
        <v>0</v>
      </c>
      <c r="K318" s="71">
        <f>SUM(K307:K317)</f>
        <v>190375.56</v>
      </c>
      <c r="M318" s="71">
        <f>SUM(M307:M317)</f>
        <v>253200</v>
      </c>
    </row>
    <row r="319" spans="1:21" ht="12.75" customHeight="1" x14ac:dyDescent="0.25">
      <c r="C319" s="62" t="str">
        <f t="shared" si="59"/>
        <v>-</v>
      </c>
    </row>
    <row r="320" spans="1:21" ht="12.75" customHeight="1" x14ac:dyDescent="0.25">
      <c r="C320" s="62" t="str">
        <f t="shared" si="59"/>
        <v>-</v>
      </c>
    </row>
    <row r="321" spans="1:20" ht="12.75" customHeight="1" x14ac:dyDescent="0.25">
      <c r="C321" s="62" t="str">
        <f t="shared" si="59"/>
        <v>-</v>
      </c>
    </row>
    <row r="322" spans="1:20" ht="12.75" customHeight="1" x14ac:dyDescent="0.25">
      <c r="C322" s="62" t="str">
        <f t="shared" si="59"/>
        <v>-</v>
      </c>
    </row>
    <row r="323" spans="1:20" ht="12.75" customHeight="1" x14ac:dyDescent="0.25">
      <c r="C323" s="62" t="str">
        <f t="shared" si="59"/>
        <v>-</v>
      </c>
    </row>
    <row r="324" spans="1:20" ht="12.75" customHeight="1" x14ac:dyDescent="0.25">
      <c r="A324" s="56" t="s">
        <v>454</v>
      </c>
      <c r="B324" s="57" t="s">
        <v>474</v>
      </c>
      <c r="C324" s="62" t="str">
        <f t="shared" ref="C324:C387" si="69">CONCATENATE(A324,"-",B324)</f>
        <v>Loja-Cod</v>
      </c>
      <c r="D324" s="56" t="s">
        <v>475</v>
      </c>
      <c r="E324" s="57" t="s">
        <v>476</v>
      </c>
      <c r="F324" s="57" t="s">
        <v>477</v>
      </c>
      <c r="G324" s="57" t="s">
        <v>478</v>
      </c>
      <c r="H324" s="57" t="s">
        <v>479</v>
      </c>
      <c r="I324" s="57" t="s">
        <v>480</v>
      </c>
      <c r="J324" s="57" t="s">
        <v>481</v>
      </c>
      <c r="K324" s="57" t="s">
        <v>482</v>
      </c>
      <c r="M324" s="59" t="s">
        <v>483</v>
      </c>
      <c r="N324" s="59" t="s">
        <v>484</v>
      </c>
      <c r="P324" s="57" t="s">
        <v>485</v>
      </c>
      <c r="R324" s="60" t="s">
        <v>486</v>
      </c>
      <c r="S324" s="60" t="s">
        <v>466</v>
      </c>
      <c r="T324" s="60" t="s">
        <v>487</v>
      </c>
    </row>
    <row r="325" spans="1:20" ht="12.75" customHeight="1" x14ac:dyDescent="0.25">
      <c r="A325" s="61">
        <v>166</v>
      </c>
      <c r="B325" s="62">
        <v>1</v>
      </c>
      <c r="C325" s="62" t="str">
        <f t="shared" si="69"/>
        <v>166-1</v>
      </c>
      <c r="D325" s="63" t="s">
        <v>305</v>
      </c>
      <c r="E325" s="64">
        <v>2015.94</v>
      </c>
      <c r="G325" s="64">
        <v>0</v>
      </c>
      <c r="H325" s="64">
        <v>0</v>
      </c>
      <c r="I325" s="64">
        <v>0</v>
      </c>
      <c r="K325" s="64">
        <f t="shared" ref="K325:K335" si="70">SUM(E325:J325)</f>
        <v>2015.94</v>
      </c>
      <c r="M325" s="64"/>
      <c r="N325" s="65">
        <f t="shared" ref="N325:N335" si="71">IFERROR(K325/M325,)</f>
        <v>0</v>
      </c>
      <c r="P325" s="64">
        <v>250000</v>
      </c>
      <c r="R325" s="66">
        <v>0</v>
      </c>
      <c r="S325" s="66">
        <f>R325*25%</f>
        <v>0</v>
      </c>
      <c r="T325" s="66"/>
    </row>
    <row r="326" spans="1:20" ht="12.75" customHeight="1" x14ac:dyDescent="0.25">
      <c r="A326" s="61">
        <v>166</v>
      </c>
      <c r="B326" s="62">
        <v>8</v>
      </c>
      <c r="C326" s="62" t="str">
        <f t="shared" si="69"/>
        <v>166-8</v>
      </c>
      <c r="D326" s="63" t="s">
        <v>307</v>
      </c>
      <c r="E326" s="64">
        <v>60859.88</v>
      </c>
      <c r="G326" s="64">
        <v>0</v>
      </c>
      <c r="H326" s="64">
        <v>0</v>
      </c>
      <c r="I326" s="64">
        <v>0</v>
      </c>
      <c r="K326" s="64">
        <f t="shared" si="70"/>
        <v>60859.88</v>
      </c>
      <c r="M326" s="64">
        <v>68750</v>
      </c>
      <c r="N326" s="65">
        <f t="shared" si="71"/>
        <v>0.88523461818181814</v>
      </c>
      <c r="R326" s="66">
        <f>(K326*3.2%)</f>
        <v>1947.5161599999999</v>
      </c>
      <c r="S326" s="66">
        <f>R326*25%</f>
        <v>486.87903999999997</v>
      </c>
      <c r="T326" s="66"/>
    </row>
    <row r="327" spans="1:20" ht="12.75" customHeight="1" x14ac:dyDescent="0.25">
      <c r="A327" s="61">
        <v>166</v>
      </c>
      <c r="B327" s="62">
        <v>22</v>
      </c>
      <c r="C327" s="62" t="str">
        <f t="shared" si="69"/>
        <v>166-22</v>
      </c>
      <c r="D327" s="63" t="s">
        <v>309</v>
      </c>
      <c r="E327" s="64">
        <v>61698.34</v>
      </c>
      <c r="G327" s="64">
        <v>0</v>
      </c>
      <c r="H327" s="64">
        <v>0</v>
      </c>
      <c r="I327" s="64">
        <v>0</v>
      </c>
      <c r="K327" s="64">
        <f t="shared" si="70"/>
        <v>61698.34</v>
      </c>
      <c r="M327" s="64">
        <v>68750</v>
      </c>
      <c r="N327" s="65">
        <f t="shared" si="71"/>
        <v>0.89743039999999996</v>
      </c>
      <c r="R327" s="66">
        <f>(K327*3.2%)</f>
        <v>1974.3468799999998</v>
      </c>
      <c r="S327" s="66">
        <f>R327*25%</f>
        <v>493.58671999999996</v>
      </c>
      <c r="T327" s="66"/>
    </row>
    <row r="328" spans="1:20" ht="12.75" customHeight="1" x14ac:dyDescent="0.25">
      <c r="A328" s="61">
        <v>166</v>
      </c>
      <c r="B328" s="62">
        <v>34</v>
      </c>
      <c r="C328" s="62" t="str">
        <f t="shared" si="69"/>
        <v>166-34</v>
      </c>
      <c r="D328" s="63" t="s">
        <v>311</v>
      </c>
      <c r="E328" s="64">
        <v>58005.34</v>
      </c>
      <c r="G328" s="64">
        <v>0</v>
      </c>
      <c r="H328" s="64">
        <v>0</v>
      </c>
      <c r="I328" s="64">
        <v>0</v>
      </c>
      <c r="K328" s="64">
        <f t="shared" si="70"/>
        <v>58005.34</v>
      </c>
      <c r="M328" s="64">
        <v>68750</v>
      </c>
      <c r="N328" s="65">
        <f t="shared" si="71"/>
        <v>0.84371403636363629</v>
      </c>
      <c r="R328" s="66">
        <f>(K328*3.2%)</f>
        <v>1856.1708799999999</v>
      </c>
      <c r="S328" s="66">
        <f>R328*25%</f>
        <v>464.04271999999997</v>
      </c>
      <c r="T328" s="66"/>
    </row>
    <row r="329" spans="1:20" ht="12.75" customHeight="1" x14ac:dyDescent="0.25">
      <c r="A329" s="61">
        <v>166</v>
      </c>
      <c r="B329" s="62">
        <v>39</v>
      </c>
      <c r="C329" s="62" t="str">
        <f t="shared" si="69"/>
        <v>166-39</v>
      </c>
      <c r="D329" s="63" t="s">
        <v>532</v>
      </c>
      <c r="E329" s="64">
        <v>36364.94</v>
      </c>
      <c r="G329" s="64">
        <v>0</v>
      </c>
      <c r="H329" s="64">
        <v>0</v>
      </c>
      <c r="I329" s="64">
        <v>0</v>
      </c>
      <c r="K329" s="64">
        <f t="shared" si="70"/>
        <v>36364.94</v>
      </c>
      <c r="M329" s="64">
        <v>68750</v>
      </c>
      <c r="N329" s="65">
        <f t="shared" si="71"/>
        <v>0.52894458181818182</v>
      </c>
      <c r="R329" s="66">
        <f>(K329*3.2%)</f>
        <v>1163.6780800000001</v>
      </c>
      <c r="S329" s="66">
        <f>R329*25%</f>
        <v>290.91952000000003</v>
      </c>
      <c r="T329" s="66"/>
    </row>
    <row r="330" spans="1:20" ht="12.75" customHeight="1" x14ac:dyDescent="0.25">
      <c r="A330" s="61">
        <v>166</v>
      </c>
      <c r="B330" s="62"/>
      <c r="C330" s="62" t="str">
        <f t="shared" si="69"/>
        <v>166-</v>
      </c>
      <c r="D330" s="63"/>
      <c r="E330" s="64">
        <v>0</v>
      </c>
      <c r="G330" s="64">
        <v>0</v>
      </c>
      <c r="H330" s="64">
        <v>0</v>
      </c>
      <c r="I330" s="64">
        <v>0</v>
      </c>
      <c r="K330" s="64">
        <f t="shared" si="70"/>
        <v>0</v>
      </c>
      <c r="M330" s="64"/>
      <c r="N330" s="65">
        <f t="shared" si="71"/>
        <v>0</v>
      </c>
      <c r="R330" s="83"/>
      <c r="S330" s="83"/>
      <c r="T330" s="83"/>
    </row>
    <row r="331" spans="1:20" ht="12.75" customHeight="1" x14ac:dyDescent="0.25">
      <c r="A331" s="61">
        <v>166</v>
      </c>
      <c r="B331" s="62"/>
      <c r="C331" s="62" t="str">
        <f t="shared" si="69"/>
        <v>166-</v>
      </c>
      <c r="D331" s="63"/>
      <c r="E331" s="64">
        <v>0</v>
      </c>
      <c r="G331" s="64">
        <v>0</v>
      </c>
      <c r="H331" s="64">
        <v>0</v>
      </c>
      <c r="I331" s="64">
        <v>0</v>
      </c>
      <c r="K331" s="64">
        <f t="shared" si="70"/>
        <v>0</v>
      </c>
      <c r="M331" s="64"/>
      <c r="N331" s="65">
        <f t="shared" si="71"/>
        <v>0</v>
      </c>
      <c r="R331" s="68">
        <f>SUM(R325:R330)</f>
        <v>6941.7119999999995</v>
      </c>
      <c r="S331" s="68">
        <f>SUM(S325:S330)</f>
        <v>1735.4279999999999</v>
      </c>
      <c r="T331" s="68">
        <f>SUM(T325:T330)</f>
        <v>0</v>
      </c>
    </row>
    <row r="332" spans="1:20" ht="12.75" customHeight="1" x14ac:dyDescent="0.25">
      <c r="A332" s="61">
        <v>166</v>
      </c>
      <c r="B332" s="62"/>
      <c r="C332" s="62" t="str">
        <f t="shared" si="69"/>
        <v>166-</v>
      </c>
      <c r="D332" s="63"/>
      <c r="E332" s="64">
        <v>0</v>
      </c>
      <c r="G332" s="64">
        <v>0</v>
      </c>
      <c r="H332" s="64">
        <v>0</v>
      </c>
      <c r="I332" s="64">
        <v>0</v>
      </c>
      <c r="K332" s="64">
        <f t="shared" si="70"/>
        <v>0</v>
      </c>
      <c r="M332" s="64"/>
      <c r="N332" s="65">
        <f t="shared" si="71"/>
        <v>0</v>
      </c>
    </row>
    <row r="333" spans="1:20" ht="12.75" customHeight="1" x14ac:dyDescent="0.25">
      <c r="A333" s="61">
        <v>166</v>
      </c>
      <c r="B333" s="62"/>
      <c r="C333" s="62" t="str">
        <f t="shared" si="69"/>
        <v>166-</v>
      </c>
      <c r="D333" s="63"/>
      <c r="E333" s="64">
        <v>0</v>
      </c>
      <c r="G333" s="64">
        <v>0</v>
      </c>
      <c r="H333" s="64">
        <v>0</v>
      </c>
      <c r="I333" s="64">
        <v>0</v>
      </c>
      <c r="K333" s="64">
        <f t="shared" si="70"/>
        <v>0</v>
      </c>
      <c r="M333" s="64"/>
      <c r="N333" s="65">
        <f t="shared" si="71"/>
        <v>0</v>
      </c>
    </row>
    <row r="334" spans="1:20" ht="12.75" customHeight="1" x14ac:dyDescent="0.25">
      <c r="A334" s="61">
        <v>166</v>
      </c>
      <c r="B334" s="62"/>
      <c r="C334" s="62" t="str">
        <f t="shared" si="69"/>
        <v>166-</v>
      </c>
      <c r="D334" s="63"/>
      <c r="E334" s="64">
        <v>0</v>
      </c>
      <c r="G334" s="64">
        <v>0</v>
      </c>
      <c r="H334" s="64">
        <v>0</v>
      </c>
      <c r="I334" s="64">
        <v>0</v>
      </c>
      <c r="K334" s="64">
        <f t="shared" si="70"/>
        <v>0</v>
      </c>
      <c r="M334" s="64"/>
      <c r="N334" s="65">
        <f t="shared" si="71"/>
        <v>0</v>
      </c>
    </row>
    <row r="335" spans="1:20" ht="12.75" customHeight="1" x14ac:dyDescent="0.25">
      <c r="A335" s="61">
        <v>166</v>
      </c>
      <c r="B335" s="62"/>
      <c r="C335" s="62" t="str">
        <f t="shared" si="69"/>
        <v>166-</v>
      </c>
      <c r="D335" s="63"/>
      <c r="E335" s="64">
        <v>0</v>
      </c>
      <c r="G335" s="64">
        <v>0</v>
      </c>
      <c r="H335" s="64">
        <v>0</v>
      </c>
      <c r="I335" s="64">
        <v>0</v>
      </c>
      <c r="K335" s="64">
        <f t="shared" si="70"/>
        <v>0</v>
      </c>
      <c r="M335" s="64"/>
      <c r="N335" s="65">
        <f t="shared" si="71"/>
        <v>0</v>
      </c>
    </row>
    <row r="336" spans="1:20" ht="12.75" customHeight="1" x14ac:dyDescent="0.25">
      <c r="A336" s="69" t="s">
        <v>459</v>
      </c>
      <c r="B336" s="70"/>
      <c r="C336" s="62" t="str">
        <f t="shared" si="69"/>
        <v>Total-</v>
      </c>
      <c r="D336" s="69"/>
      <c r="E336" s="71">
        <v>218944.44</v>
      </c>
      <c r="F336" s="71">
        <v>0</v>
      </c>
      <c r="G336" s="71">
        <v>0</v>
      </c>
      <c r="H336" s="71">
        <v>0</v>
      </c>
      <c r="I336" s="71">
        <v>0</v>
      </c>
      <c r="J336" s="71">
        <v>0</v>
      </c>
      <c r="K336" s="71">
        <f>SUM(K325:K335)</f>
        <v>218944.44</v>
      </c>
      <c r="M336" s="71">
        <f>SUM(M325:M335)</f>
        <v>275000</v>
      </c>
    </row>
    <row r="337" spans="1:20" ht="12.75" customHeight="1" x14ac:dyDescent="0.25">
      <c r="C337" s="62" t="str">
        <f t="shared" si="69"/>
        <v>-</v>
      </c>
    </row>
    <row r="338" spans="1:20" ht="12.75" customHeight="1" x14ac:dyDescent="0.25">
      <c r="C338" s="62" t="str">
        <f t="shared" si="69"/>
        <v>-</v>
      </c>
    </row>
    <row r="339" spans="1:20" ht="12.75" customHeight="1" x14ac:dyDescent="0.25">
      <c r="C339" s="62" t="str">
        <f t="shared" si="69"/>
        <v>-</v>
      </c>
    </row>
    <row r="340" spans="1:20" ht="12.75" customHeight="1" x14ac:dyDescent="0.25">
      <c r="C340" s="62" t="str">
        <f t="shared" si="69"/>
        <v>-</v>
      </c>
    </row>
    <row r="341" spans="1:20" ht="12.75" customHeight="1" x14ac:dyDescent="0.25">
      <c r="C341" s="62" t="str">
        <f t="shared" si="69"/>
        <v>-</v>
      </c>
    </row>
    <row r="342" spans="1:20" ht="12.75" customHeight="1" x14ac:dyDescent="0.25">
      <c r="C342" s="62" t="str">
        <f t="shared" si="69"/>
        <v>-</v>
      </c>
    </row>
    <row r="343" spans="1:20" ht="12.75" customHeight="1" x14ac:dyDescent="0.25">
      <c r="A343" s="56" t="s">
        <v>454</v>
      </c>
      <c r="B343" s="57" t="s">
        <v>474</v>
      </c>
      <c r="C343" s="62" t="str">
        <f t="shared" si="69"/>
        <v>Loja-Cod</v>
      </c>
      <c r="D343" s="56" t="s">
        <v>475</v>
      </c>
      <c r="E343" s="57" t="s">
        <v>476</v>
      </c>
      <c r="F343" s="57" t="s">
        <v>477</v>
      </c>
      <c r="G343" s="57" t="s">
        <v>478</v>
      </c>
      <c r="H343" s="57" t="s">
        <v>479</v>
      </c>
      <c r="I343" s="57" t="s">
        <v>480</v>
      </c>
      <c r="J343" s="57" t="s">
        <v>481</v>
      </c>
      <c r="K343" s="57" t="s">
        <v>482</v>
      </c>
      <c r="M343" s="59" t="s">
        <v>483</v>
      </c>
      <c r="N343" s="59" t="s">
        <v>484</v>
      </c>
      <c r="P343" s="57" t="s">
        <v>485</v>
      </c>
      <c r="R343" s="60" t="s">
        <v>486</v>
      </c>
      <c r="S343" s="60" t="s">
        <v>466</v>
      </c>
      <c r="T343" s="60" t="s">
        <v>487</v>
      </c>
    </row>
    <row r="344" spans="1:20" ht="12.75" customHeight="1" x14ac:dyDescent="0.25">
      <c r="A344" s="61">
        <v>169</v>
      </c>
      <c r="B344" s="62">
        <v>1</v>
      </c>
      <c r="C344" s="62" t="str">
        <f t="shared" si="69"/>
        <v>169-1</v>
      </c>
      <c r="D344" s="63" t="s">
        <v>315</v>
      </c>
      <c r="E344" s="64">
        <v>78275.820000000007</v>
      </c>
      <c r="G344" s="64">
        <v>0</v>
      </c>
      <c r="H344" s="64">
        <v>0</v>
      </c>
      <c r="I344" s="64">
        <v>0</v>
      </c>
      <c r="K344" s="64">
        <f t="shared" ref="K344:K354" si="72">SUM(E344:J344)</f>
        <v>78275.820000000007</v>
      </c>
      <c r="M344" s="64">
        <v>62334</v>
      </c>
      <c r="N344" s="65">
        <f t="shared" ref="N344:N354" si="73">IFERROR(K344/M344,)</f>
        <v>1.2557483877177786</v>
      </c>
      <c r="P344" s="64">
        <v>340000</v>
      </c>
      <c r="R344" s="66">
        <f t="shared" ref="R344:R349" si="74">(K344*3.2%)</f>
        <v>2504.8262400000003</v>
      </c>
      <c r="S344" s="66">
        <f>R344*25%</f>
        <v>626.20656000000008</v>
      </c>
      <c r="T344" s="66">
        <f>IF(N344&gt;1,K344*0.5%,0)</f>
        <v>391.37910000000005</v>
      </c>
    </row>
    <row r="345" spans="1:20" ht="12.75" customHeight="1" x14ac:dyDescent="0.25">
      <c r="A345" s="61">
        <v>169</v>
      </c>
      <c r="B345" s="62">
        <v>7</v>
      </c>
      <c r="C345" s="62" t="str">
        <f t="shared" si="69"/>
        <v>169-7</v>
      </c>
      <c r="D345" s="63" t="s">
        <v>317</v>
      </c>
      <c r="E345" s="64">
        <v>67242.2</v>
      </c>
      <c r="G345" s="64">
        <v>0</v>
      </c>
      <c r="H345" s="64">
        <v>1299.99</v>
      </c>
      <c r="I345" s="64">
        <v>0</v>
      </c>
      <c r="K345" s="64">
        <f t="shared" si="72"/>
        <v>68542.19</v>
      </c>
      <c r="M345" s="64">
        <v>62334</v>
      </c>
      <c r="N345" s="65">
        <f t="shared" si="73"/>
        <v>1.0995955658228254</v>
      </c>
      <c r="R345" s="66">
        <f t="shared" si="74"/>
        <v>2193.3500800000002</v>
      </c>
      <c r="S345" s="66">
        <f t="shared" ref="S345:S350" si="75">R345*25%</f>
        <v>548.33752000000004</v>
      </c>
      <c r="T345" s="66">
        <f t="shared" ref="T345:T350" si="76">IF(N345&gt;1,K345*0.5%,0)</f>
        <v>342.71095000000003</v>
      </c>
    </row>
    <row r="346" spans="1:20" ht="12.75" customHeight="1" x14ac:dyDescent="0.25">
      <c r="A346" s="61">
        <v>169</v>
      </c>
      <c r="B346" s="62">
        <v>31</v>
      </c>
      <c r="C346" s="62" t="str">
        <f t="shared" si="69"/>
        <v>169-31</v>
      </c>
      <c r="D346" s="63" t="s">
        <v>533</v>
      </c>
      <c r="E346" s="64">
        <v>47042.84</v>
      </c>
      <c r="G346" s="64">
        <v>0</v>
      </c>
      <c r="H346" s="64">
        <v>0</v>
      </c>
      <c r="I346" s="64">
        <v>0</v>
      </c>
      <c r="K346" s="64">
        <f t="shared" si="72"/>
        <v>47042.84</v>
      </c>
      <c r="M346" s="64">
        <v>62334</v>
      </c>
      <c r="N346" s="65">
        <f t="shared" si="73"/>
        <v>0.75468989636474471</v>
      </c>
      <c r="R346" s="66">
        <f t="shared" si="74"/>
        <v>1505.3708799999999</v>
      </c>
      <c r="S346" s="66">
        <f t="shared" si="75"/>
        <v>376.34271999999999</v>
      </c>
      <c r="T346" s="66">
        <f t="shared" si="76"/>
        <v>0</v>
      </c>
    </row>
    <row r="347" spans="1:20" ht="12.75" customHeight="1" x14ac:dyDescent="0.25">
      <c r="A347" s="61">
        <v>169</v>
      </c>
      <c r="B347" s="62">
        <v>37</v>
      </c>
      <c r="C347" s="62" t="str">
        <f t="shared" si="69"/>
        <v>169-37</v>
      </c>
      <c r="D347" s="63" t="s">
        <v>534</v>
      </c>
      <c r="E347" s="64">
        <v>70842.039999999994</v>
      </c>
      <c r="G347" s="64">
        <v>0</v>
      </c>
      <c r="H347" s="64">
        <v>0</v>
      </c>
      <c r="I347" s="64">
        <v>0</v>
      </c>
      <c r="K347" s="64">
        <f t="shared" si="72"/>
        <v>70842.039999999994</v>
      </c>
      <c r="M347" s="64">
        <v>62334</v>
      </c>
      <c r="N347" s="65">
        <f t="shared" si="73"/>
        <v>1.1364911605223473</v>
      </c>
      <c r="R347" s="66">
        <f t="shared" si="74"/>
        <v>2266.9452799999999</v>
      </c>
      <c r="S347" s="66">
        <f t="shared" si="75"/>
        <v>566.73631999999998</v>
      </c>
      <c r="T347" s="66">
        <f t="shared" si="76"/>
        <v>354.21019999999999</v>
      </c>
    </row>
    <row r="348" spans="1:20" ht="12.75" customHeight="1" x14ac:dyDescent="0.25">
      <c r="A348" s="61">
        <v>169</v>
      </c>
      <c r="B348" s="62">
        <v>38</v>
      </c>
      <c r="C348" s="62" t="str">
        <f t="shared" si="69"/>
        <v>169-38</v>
      </c>
      <c r="D348" s="63" t="s">
        <v>535</v>
      </c>
      <c r="E348" s="64">
        <v>56503.69</v>
      </c>
      <c r="G348" s="64">
        <v>0</v>
      </c>
      <c r="H348" s="64">
        <v>0</v>
      </c>
      <c r="I348" s="64">
        <v>0</v>
      </c>
      <c r="K348" s="64">
        <f t="shared" si="72"/>
        <v>56503.69</v>
      </c>
      <c r="M348" s="64">
        <v>62334</v>
      </c>
      <c r="N348" s="65">
        <f t="shared" si="73"/>
        <v>0.90646661533031736</v>
      </c>
      <c r="R348" s="66">
        <f t="shared" si="74"/>
        <v>1808.1180800000002</v>
      </c>
      <c r="S348" s="66">
        <f t="shared" si="75"/>
        <v>452.02952000000005</v>
      </c>
      <c r="T348" s="66">
        <f t="shared" si="76"/>
        <v>0</v>
      </c>
    </row>
    <row r="349" spans="1:20" ht="12.75" customHeight="1" x14ac:dyDescent="0.25">
      <c r="A349" s="61">
        <v>169</v>
      </c>
      <c r="B349" s="62">
        <v>41</v>
      </c>
      <c r="C349" s="62" t="str">
        <f t="shared" si="69"/>
        <v>169-41</v>
      </c>
      <c r="D349" s="63" t="s">
        <v>331</v>
      </c>
      <c r="E349" s="64">
        <v>53357.79</v>
      </c>
      <c r="G349" s="64">
        <v>0</v>
      </c>
      <c r="H349" s="64">
        <v>0</v>
      </c>
      <c r="I349" s="64">
        <v>0</v>
      </c>
      <c r="K349" s="64">
        <f t="shared" si="72"/>
        <v>53357.79</v>
      </c>
      <c r="M349" s="64">
        <v>62334</v>
      </c>
      <c r="N349" s="65">
        <f t="shared" si="73"/>
        <v>0.85599817114255461</v>
      </c>
      <c r="R349" s="66">
        <f t="shared" si="74"/>
        <v>1707.44928</v>
      </c>
      <c r="S349" s="66">
        <f t="shared" si="75"/>
        <v>426.86232000000001</v>
      </c>
      <c r="T349" s="66">
        <f t="shared" si="76"/>
        <v>0</v>
      </c>
    </row>
    <row r="350" spans="1:20" ht="12.75" customHeight="1" x14ac:dyDescent="0.25">
      <c r="A350" s="61">
        <v>169</v>
      </c>
      <c r="B350" s="62">
        <v>99</v>
      </c>
      <c r="C350" s="62" t="str">
        <f t="shared" si="69"/>
        <v>169-99</v>
      </c>
      <c r="D350" s="63" t="s">
        <v>536</v>
      </c>
      <c r="E350" s="64">
        <v>1234.93</v>
      </c>
      <c r="G350" s="64">
        <v>0</v>
      </c>
      <c r="H350" s="64">
        <v>0</v>
      </c>
      <c r="I350" s="64">
        <v>0</v>
      </c>
      <c r="K350" s="64">
        <f t="shared" si="72"/>
        <v>1234.93</v>
      </c>
      <c r="M350" s="64"/>
      <c r="N350" s="65">
        <f t="shared" si="73"/>
        <v>0</v>
      </c>
      <c r="R350" s="66">
        <v>0</v>
      </c>
      <c r="S350" s="66">
        <f t="shared" si="75"/>
        <v>0</v>
      </c>
      <c r="T350" s="66">
        <f t="shared" si="76"/>
        <v>0</v>
      </c>
    </row>
    <row r="351" spans="1:20" ht="12.75" customHeight="1" x14ac:dyDescent="0.25">
      <c r="A351" s="61">
        <v>169</v>
      </c>
      <c r="B351" s="62"/>
      <c r="C351" s="62" t="str">
        <f t="shared" si="69"/>
        <v>169-</v>
      </c>
      <c r="D351" s="63"/>
      <c r="E351" s="64">
        <v>0</v>
      </c>
      <c r="G351" s="64">
        <v>0</v>
      </c>
      <c r="H351" s="64">
        <v>0</v>
      </c>
      <c r="I351" s="64">
        <v>0</v>
      </c>
      <c r="K351" s="64">
        <f t="shared" si="72"/>
        <v>0</v>
      </c>
      <c r="M351" s="64"/>
      <c r="N351" s="65">
        <f t="shared" si="73"/>
        <v>0</v>
      </c>
      <c r="R351" s="68">
        <f>SUM(R344:R350)</f>
        <v>11986.059840000002</v>
      </c>
      <c r="S351" s="68">
        <f>SUM(S344:S350)</f>
        <v>2996.5149600000004</v>
      </c>
      <c r="T351" s="68">
        <f>SUM(T344:T350)</f>
        <v>1088.30025</v>
      </c>
    </row>
    <row r="352" spans="1:20" ht="12.75" customHeight="1" x14ac:dyDescent="0.25">
      <c r="A352" s="61">
        <v>169</v>
      </c>
      <c r="B352" s="62"/>
      <c r="C352" s="62" t="str">
        <f t="shared" si="69"/>
        <v>169-</v>
      </c>
      <c r="D352" s="63"/>
      <c r="E352" s="64">
        <v>0</v>
      </c>
      <c r="G352" s="64">
        <v>0</v>
      </c>
      <c r="H352" s="64">
        <v>0</v>
      </c>
      <c r="I352" s="64">
        <v>0</v>
      </c>
      <c r="K352" s="64">
        <f t="shared" si="72"/>
        <v>0</v>
      </c>
      <c r="M352" s="64"/>
      <c r="N352" s="65">
        <f t="shared" si="73"/>
        <v>0</v>
      </c>
    </row>
    <row r="353" spans="1:21" ht="12.75" customHeight="1" x14ac:dyDescent="0.25">
      <c r="A353" s="61">
        <v>169</v>
      </c>
      <c r="B353" s="62"/>
      <c r="C353" s="62" t="str">
        <f t="shared" si="69"/>
        <v>169-</v>
      </c>
      <c r="D353" s="63"/>
      <c r="E353" s="64">
        <v>0</v>
      </c>
      <c r="G353" s="64">
        <v>0</v>
      </c>
      <c r="H353" s="64">
        <v>0</v>
      </c>
      <c r="I353" s="64">
        <v>0</v>
      </c>
      <c r="K353" s="64">
        <f t="shared" si="72"/>
        <v>0</v>
      </c>
      <c r="M353" s="64"/>
      <c r="N353" s="65">
        <f t="shared" si="73"/>
        <v>0</v>
      </c>
    </row>
    <row r="354" spans="1:21" ht="12.75" customHeight="1" x14ac:dyDescent="0.25">
      <c r="A354" s="61">
        <v>169</v>
      </c>
      <c r="B354" s="62"/>
      <c r="C354" s="62" t="str">
        <f t="shared" si="69"/>
        <v>169-</v>
      </c>
      <c r="D354" s="63"/>
      <c r="E354" s="64">
        <v>0</v>
      </c>
      <c r="G354" s="64">
        <v>0</v>
      </c>
      <c r="H354" s="64">
        <v>0</v>
      </c>
      <c r="I354" s="64">
        <v>0</v>
      </c>
      <c r="K354" s="64">
        <f t="shared" si="72"/>
        <v>0</v>
      </c>
      <c r="M354" s="64"/>
      <c r="N354" s="65">
        <f t="shared" si="73"/>
        <v>0</v>
      </c>
    </row>
    <row r="355" spans="1:21" ht="12.75" customHeight="1" x14ac:dyDescent="0.25">
      <c r="A355" s="69" t="s">
        <v>459</v>
      </c>
      <c r="B355" s="70"/>
      <c r="C355" s="62" t="str">
        <f t="shared" si="69"/>
        <v>Total-</v>
      </c>
      <c r="D355" s="69"/>
      <c r="E355" s="71">
        <v>374499.31</v>
      </c>
      <c r="F355" s="71">
        <v>0</v>
      </c>
      <c r="G355" s="71">
        <v>0</v>
      </c>
      <c r="H355" s="71">
        <v>1299.99</v>
      </c>
      <c r="I355" s="71">
        <v>0</v>
      </c>
      <c r="J355" s="71">
        <v>0</v>
      </c>
      <c r="K355" s="71">
        <f>SUM(K344:K354)</f>
        <v>375799.3</v>
      </c>
      <c r="M355" s="71">
        <f>SUM(M344:M354)</f>
        <v>374004</v>
      </c>
    </row>
    <row r="356" spans="1:21" ht="12.75" customHeight="1" x14ac:dyDescent="0.25">
      <c r="C356" s="62" t="str">
        <f t="shared" si="69"/>
        <v>-</v>
      </c>
    </row>
    <row r="357" spans="1:21" ht="12.75" customHeight="1" x14ac:dyDescent="0.25">
      <c r="C357" s="62" t="str">
        <f t="shared" si="69"/>
        <v>-</v>
      </c>
    </row>
    <row r="358" spans="1:21" ht="12.75" customHeight="1" x14ac:dyDescent="0.25">
      <c r="C358" s="62" t="str">
        <f t="shared" si="69"/>
        <v>-</v>
      </c>
    </row>
    <row r="359" spans="1:21" ht="12.75" customHeight="1" x14ac:dyDescent="0.25">
      <c r="C359" s="62" t="str">
        <f t="shared" si="69"/>
        <v>-</v>
      </c>
    </row>
    <row r="360" spans="1:21" ht="12.75" customHeight="1" x14ac:dyDescent="0.25">
      <c r="C360" s="62" t="str">
        <f t="shared" si="69"/>
        <v>-</v>
      </c>
    </row>
    <row r="361" spans="1:21" ht="12.75" customHeight="1" x14ac:dyDescent="0.25">
      <c r="A361" s="56" t="s">
        <v>454</v>
      </c>
      <c r="B361" s="57" t="s">
        <v>474</v>
      </c>
      <c r="C361" s="62" t="str">
        <f t="shared" si="69"/>
        <v>Loja-Cod</v>
      </c>
      <c r="D361" s="56" t="s">
        <v>475</v>
      </c>
      <c r="E361" s="57" t="s">
        <v>476</v>
      </c>
      <c r="F361" s="57" t="s">
        <v>477</v>
      </c>
      <c r="G361" s="57" t="s">
        <v>478</v>
      </c>
      <c r="H361" s="57" t="s">
        <v>479</v>
      </c>
      <c r="I361" s="57" t="s">
        <v>480</v>
      </c>
      <c r="J361" s="57" t="s">
        <v>481</v>
      </c>
      <c r="K361" s="57" t="s">
        <v>482</v>
      </c>
      <c r="M361" s="59" t="s">
        <v>483</v>
      </c>
      <c r="N361" s="59" t="s">
        <v>484</v>
      </c>
      <c r="P361" s="57" t="s">
        <v>485</v>
      </c>
      <c r="R361" s="60" t="s">
        <v>486</v>
      </c>
      <c r="S361" s="60" t="s">
        <v>466</v>
      </c>
      <c r="T361" s="60" t="s">
        <v>487</v>
      </c>
    </row>
    <row r="362" spans="1:21" s="77" customFormat="1" ht="12.75" customHeight="1" x14ac:dyDescent="0.25">
      <c r="A362" s="73">
        <v>173</v>
      </c>
      <c r="B362" s="74">
        <v>23</v>
      </c>
      <c r="C362" s="74" t="str">
        <f t="shared" si="69"/>
        <v>173-23</v>
      </c>
      <c r="D362" s="75" t="s">
        <v>537</v>
      </c>
      <c r="E362" s="76">
        <v>62369.5</v>
      </c>
      <c r="F362" s="76"/>
      <c r="G362" s="76">
        <v>0</v>
      </c>
      <c r="H362" s="76">
        <v>0</v>
      </c>
      <c r="I362" s="76">
        <v>0</v>
      </c>
      <c r="J362" s="76"/>
      <c r="K362" s="76">
        <f t="shared" ref="K362:K372" si="77">SUM(E362:J362)</f>
        <v>62369.5</v>
      </c>
      <c r="M362" s="76">
        <v>61600</v>
      </c>
      <c r="N362" s="78">
        <f t="shared" ref="N362:N372" si="78">IFERROR(K362/M362,)</f>
        <v>1.0124918831168832</v>
      </c>
      <c r="P362" s="76">
        <v>280000</v>
      </c>
      <c r="R362" s="79">
        <v>0</v>
      </c>
      <c r="S362" s="79">
        <f t="shared" ref="S362:S367" si="79">R362*25%</f>
        <v>0</v>
      </c>
      <c r="T362" s="79">
        <v>0</v>
      </c>
      <c r="U362" s="77" t="s">
        <v>538</v>
      </c>
    </row>
    <row r="363" spans="1:21" ht="12.75" customHeight="1" x14ac:dyDescent="0.25">
      <c r="A363" s="61">
        <v>173</v>
      </c>
      <c r="B363" s="62">
        <v>26</v>
      </c>
      <c r="C363" s="62" t="str">
        <f t="shared" si="69"/>
        <v>173-26</v>
      </c>
      <c r="D363" s="63" t="s">
        <v>335</v>
      </c>
      <c r="E363" s="64">
        <v>65341.02</v>
      </c>
      <c r="G363" s="64">
        <v>0</v>
      </c>
      <c r="H363" s="64">
        <v>0</v>
      </c>
      <c r="I363" s="64">
        <v>549.99</v>
      </c>
      <c r="K363" s="64">
        <f t="shared" si="77"/>
        <v>65891.009999999995</v>
      </c>
      <c r="M363" s="64">
        <v>61600</v>
      </c>
      <c r="N363" s="65">
        <f t="shared" si="78"/>
        <v>1.0696592532467533</v>
      </c>
      <c r="R363" s="66">
        <f>(K363*3.7%)</f>
        <v>2437.9673700000003</v>
      </c>
      <c r="S363" s="66">
        <f t="shared" si="79"/>
        <v>609.49184250000008</v>
      </c>
      <c r="T363" s="66">
        <f>IF(N363&gt;1,K363*0.5%,0)</f>
        <v>329.45504999999997</v>
      </c>
    </row>
    <row r="364" spans="1:21" ht="12.75" customHeight="1" x14ac:dyDescent="0.25">
      <c r="A364" s="61">
        <v>173</v>
      </c>
      <c r="B364" s="62">
        <v>34</v>
      </c>
      <c r="C364" s="62" t="str">
        <f t="shared" si="69"/>
        <v>173-34</v>
      </c>
      <c r="D364" s="63" t="s">
        <v>539</v>
      </c>
      <c r="E364" s="64">
        <v>43917.86</v>
      </c>
      <c r="G364" s="64">
        <v>0</v>
      </c>
      <c r="H364" s="64">
        <v>0</v>
      </c>
      <c r="I364" s="64">
        <v>299.99</v>
      </c>
      <c r="K364" s="64">
        <f t="shared" si="77"/>
        <v>44217.85</v>
      </c>
      <c r="M364" s="64">
        <v>61600</v>
      </c>
      <c r="N364" s="65">
        <f t="shared" si="78"/>
        <v>0.71782224025974029</v>
      </c>
      <c r="R364" s="66">
        <f>(K364*3.2%)</f>
        <v>1414.9712</v>
      </c>
      <c r="S364" s="66">
        <f t="shared" si="79"/>
        <v>353.74279999999999</v>
      </c>
      <c r="T364" s="66">
        <f>IF(N364&gt;1,K364*0.5%,0)</f>
        <v>0</v>
      </c>
    </row>
    <row r="365" spans="1:21" ht="12.75" customHeight="1" x14ac:dyDescent="0.25">
      <c r="A365" s="61">
        <v>173</v>
      </c>
      <c r="B365" s="62">
        <v>35</v>
      </c>
      <c r="C365" s="62" t="str">
        <f t="shared" si="69"/>
        <v>173-35</v>
      </c>
      <c r="D365" s="63" t="s">
        <v>540</v>
      </c>
      <c r="E365" s="64">
        <v>2494.38</v>
      </c>
      <c r="G365" s="64">
        <v>0</v>
      </c>
      <c r="H365" s="64">
        <v>0</v>
      </c>
      <c r="I365" s="64">
        <v>0</v>
      </c>
      <c r="K365" s="64">
        <f t="shared" si="77"/>
        <v>2494.38</v>
      </c>
      <c r="M365" s="64"/>
      <c r="N365" s="65">
        <f t="shared" si="78"/>
        <v>0</v>
      </c>
      <c r="R365" s="66">
        <v>0</v>
      </c>
      <c r="S365" s="66">
        <f t="shared" si="79"/>
        <v>0</v>
      </c>
      <c r="T365" s="66">
        <f>IF(N365&gt;1,K365*0.5%,0)</f>
        <v>0</v>
      </c>
    </row>
    <row r="366" spans="1:21" ht="12.75" customHeight="1" x14ac:dyDescent="0.25">
      <c r="A366" s="61">
        <v>173</v>
      </c>
      <c r="B366" s="62">
        <v>38</v>
      </c>
      <c r="C366" s="62" t="str">
        <f t="shared" si="69"/>
        <v>173-38</v>
      </c>
      <c r="D366" s="63" t="s">
        <v>541</v>
      </c>
      <c r="E366" s="64">
        <v>57072.7</v>
      </c>
      <c r="G366" s="64">
        <v>0</v>
      </c>
      <c r="H366" s="64">
        <v>0</v>
      </c>
      <c r="I366" s="64">
        <v>1899.98</v>
      </c>
      <c r="K366" s="64">
        <f t="shared" si="77"/>
        <v>58972.68</v>
      </c>
      <c r="M366" s="64">
        <v>61600</v>
      </c>
      <c r="N366" s="65">
        <f t="shared" si="78"/>
        <v>0.95734870129870131</v>
      </c>
      <c r="R366" s="66">
        <f>(K366*3.2%)</f>
        <v>1887.1257600000001</v>
      </c>
      <c r="S366" s="66">
        <f t="shared" si="79"/>
        <v>471.78144000000003</v>
      </c>
      <c r="T366" s="66">
        <f>IF(N366&gt;1,K366*0.5%,0)</f>
        <v>0</v>
      </c>
    </row>
    <row r="367" spans="1:21" ht="12.75" customHeight="1" x14ac:dyDescent="0.25">
      <c r="A367" s="61">
        <v>173</v>
      </c>
      <c r="B367" s="62">
        <v>41</v>
      </c>
      <c r="C367" s="62" t="str">
        <f t="shared" si="69"/>
        <v>173-41</v>
      </c>
      <c r="D367" s="63" t="s">
        <v>345</v>
      </c>
      <c r="E367" s="64">
        <v>27186.46</v>
      </c>
      <c r="G367" s="64">
        <v>0</v>
      </c>
      <c r="H367" s="64">
        <v>0</v>
      </c>
      <c r="I367" s="64">
        <v>0</v>
      </c>
      <c r="K367" s="64">
        <f t="shared" si="77"/>
        <v>27186.46</v>
      </c>
      <c r="M367" s="64">
        <v>61600</v>
      </c>
      <c r="N367" s="65">
        <f t="shared" si="78"/>
        <v>0.44133863636363635</v>
      </c>
      <c r="R367" s="66">
        <f>(K367*3.2%)</f>
        <v>869.96672000000001</v>
      </c>
      <c r="S367" s="66">
        <f t="shared" si="79"/>
        <v>217.49168</v>
      </c>
      <c r="T367" s="66">
        <f>IF(N367&gt;1,K367*0.5%,0)</f>
        <v>0</v>
      </c>
    </row>
    <row r="368" spans="1:21" ht="12.75" customHeight="1" x14ac:dyDescent="0.25">
      <c r="A368" s="61">
        <v>173</v>
      </c>
      <c r="B368" s="62"/>
      <c r="C368" s="62" t="str">
        <f t="shared" si="69"/>
        <v>173-</v>
      </c>
      <c r="D368" s="63"/>
      <c r="E368" s="64">
        <v>0</v>
      </c>
      <c r="G368" s="64">
        <v>0</v>
      </c>
      <c r="H368" s="64">
        <v>0</v>
      </c>
      <c r="I368" s="64">
        <v>0</v>
      </c>
      <c r="K368" s="64">
        <f t="shared" si="77"/>
        <v>0</v>
      </c>
      <c r="M368" s="64"/>
      <c r="N368" s="65">
        <f t="shared" si="78"/>
        <v>0</v>
      </c>
      <c r="R368" s="68">
        <f>SUM(R362:R367)</f>
        <v>6610.0310500000005</v>
      </c>
      <c r="S368" s="68">
        <f>SUM(S362:S367)</f>
        <v>1652.5077625000001</v>
      </c>
      <c r="T368" s="68">
        <f>SUM(T362:T367)</f>
        <v>329.45504999999997</v>
      </c>
    </row>
    <row r="369" spans="1:21" ht="12.75" customHeight="1" x14ac:dyDescent="0.25">
      <c r="A369" s="61">
        <v>173</v>
      </c>
      <c r="B369" s="62"/>
      <c r="C369" s="62" t="str">
        <f t="shared" si="69"/>
        <v>173-</v>
      </c>
      <c r="D369" s="63"/>
      <c r="E369" s="64">
        <v>0</v>
      </c>
      <c r="G369" s="64">
        <v>0</v>
      </c>
      <c r="H369" s="64">
        <v>0</v>
      </c>
      <c r="I369" s="64">
        <v>0</v>
      </c>
      <c r="K369" s="64">
        <f t="shared" si="77"/>
        <v>0</v>
      </c>
      <c r="M369" s="64"/>
      <c r="N369" s="65">
        <f t="shared" si="78"/>
        <v>0</v>
      </c>
    </row>
    <row r="370" spans="1:21" ht="12.75" customHeight="1" x14ac:dyDescent="0.25">
      <c r="A370" s="61">
        <v>173</v>
      </c>
      <c r="B370" s="62"/>
      <c r="C370" s="62" t="str">
        <f t="shared" si="69"/>
        <v>173-</v>
      </c>
      <c r="D370" s="63"/>
      <c r="E370" s="64">
        <v>0</v>
      </c>
      <c r="G370" s="64">
        <v>0</v>
      </c>
      <c r="H370" s="64">
        <v>0</v>
      </c>
      <c r="I370" s="64">
        <v>0</v>
      </c>
      <c r="K370" s="64">
        <f t="shared" si="77"/>
        <v>0</v>
      </c>
      <c r="M370" s="64"/>
      <c r="N370" s="65">
        <f t="shared" si="78"/>
        <v>0</v>
      </c>
    </row>
    <row r="371" spans="1:21" ht="12.75" customHeight="1" x14ac:dyDescent="0.25">
      <c r="A371" s="61">
        <v>173</v>
      </c>
      <c r="B371" s="62"/>
      <c r="C371" s="62" t="str">
        <f t="shared" si="69"/>
        <v>173-</v>
      </c>
      <c r="D371" s="63"/>
      <c r="E371" s="64">
        <v>0</v>
      </c>
      <c r="G371" s="64">
        <v>0</v>
      </c>
      <c r="H371" s="64">
        <v>0</v>
      </c>
      <c r="I371" s="64">
        <v>0</v>
      </c>
      <c r="K371" s="64">
        <f t="shared" si="77"/>
        <v>0</v>
      </c>
      <c r="M371" s="64"/>
      <c r="N371" s="65">
        <f t="shared" si="78"/>
        <v>0</v>
      </c>
    </row>
    <row r="372" spans="1:21" ht="12.75" customHeight="1" x14ac:dyDescent="0.25">
      <c r="A372" s="61">
        <v>173</v>
      </c>
      <c r="B372" s="62"/>
      <c r="C372" s="62" t="str">
        <f t="shared" si="69"/>
        <v>173-</v>
      </c>
      <c r="D372" s="63"/>
      <c r="E372" s="64">
        <v>0</v>
      </c>
      <c r="G372" s="64">
        <v>0</v>
      </c>
      <c r="H372" s="64">
        <v>0</v>
      </c>
      <c r="I372" s="64">
        <v>0</v>
      </c>
      <c r="K372" s="64">
        <f t="shared" si="77"/>
        <v>0</v>
      </c>
      <c r="M372" s="64"/>
      <c r="N372" s="65">
        <f t="shared" si="78"/>
        <v>0</v>
      </c>
    </row>
    <row r="373" spans="1:21" ht="12.75" customHeight="1" x14ac:dyDescent="0.25">
      <c r="A373" s="69" t="s">
        <v>459</v>
      </c>
      <c r="B373" s="70"/>
      <c r="C373" s="62" t="str">
        <f t="shared" si="69"/>
        <v>Total-</v>
      </c>
      <c r="D373" s="69"/>
      <c r="E373" s="71">
        <v>258381.92</v>
      </c>
      <c r="F373" s="71">
        <v>0</v>
      </c>
      <c r="G373" s="71">
        <v>0</v>
      </c>
      <c r="H373" s="71">
        <v>0</v>
      </c>
      <c r="I373" s="71">
        <v>2749.96</v>
      </c>
      <c r="J373" s="71">
        <v>0</v>
      </c>
      <c r="K373" s="71">
        <f>SUM(K362:K372)</f>
        <v>261131.87999999998</v>
      </c>
      <c r="M373" s="71">
        <f>SUM(M362:M372)</f>
        <v>308000</v>
      </c>
    </row>
    <row r="374" spans="1:21" ht="12.75" customHeight="1" x14ac:dyDescent="0.25">
      <c r="C374" s="62" t="str">
        <f t="shared" si="69"/>
        <v>-</v>
      </c>
    </row>
    <row r="375" spans="1:21" ht="12.75" customHeight="1" x14ac:dyDescent="0.25">
      <c r="C375" s="62" t="str">
        <f t="shared" si="69"/>
        <v>-</v>
      </c>
    </row>
    <row r="376" spans="1:21" ht="12.75" customHeight="1" x14ac:dyDescent="0.25">
      <c r="C376" s="62" t="str">
        <f t="shared" si="69"/>
        <v>-</v>
      </c>
    </row>
    <row r="377" spans="1:21" ht="12.75" customHeight="1" x14ac:dyDescent="0.25">
      <c r="C377" s="62" t="str">
        <f t="shared" si="69"/>
        <v>-</v>
      </c>
    </row>
    <row r="378" spans="1:21" ht="12.75" customHeight="1" x14ac:dyDescent="0.25">
      <c r="C378" s="62" t="str">
        <f t="shared" si="69"/>
        <v>-</v>
      </c>
    </row>
    <row r="379" spans="1:21" ht="12.75" customHeight="1" x14ac:dyDescent="0.25">
      <c r="A379" s="56" t="s">
        <v>454</v>
      </c>
      <c r="B379" s="57" t="s">
        <v>474</v>
      </c>
      <c r="C379" s="62" t="str">
        <f t="shared" si="69"/>
        <v>Loja-Cod</v>
      </c>
      <c r="D379" s="56" t="s">
        <v>475</v>
      </c>
      <c r="E379" s="57" t="s">
        <v>476</v>
      </c>
      <c r="F379" s="57" t="s">
        <v>477</v>
      </c>
      <c r="G379" s="57" t="s">
        <v>478</v>
      </c>
      <c r="H379" s="57" t="s">
        <v>479</v>
      </c>
      <c r="I379" s="57" t="s">
        <v>480</v>
      </c>
      <c r="J379" s="57" t="s">
        <v>481</v>
      </c>
      <c r="K379" s="57" t="s">
        <v>482</v>
      </c>
      <c r="M379" s="59" t="s">
        <v>483</v>
      </c>
      <c r="N379" s="59" t="s">
        <v>484</v>
      </c>
      <c r="P379" s="57" t="s">
        <v>485</v>
      </c>
      <c r="R379" s="60" t="s">
        <v>486</v>
      </c>
      <c r="S379" s="60" t="s">
        <v>466</v>
      </c>
      <c r="T379" s="60" t="s">
        <v>487</v>
      </c>
    </row>
    <row r="380" spans="1:21" ht="12.75" customHeight="1" x14ac:dyDescent="0.25">
      <c r="A380" s="61">
        <v>175</v>
      </c>
      <c r="B380" s="62">
        <v>1</v>
      </c>
      <c r="C380" s="62" t="str">
        <f t="shared" si="69"/>
        <v>175-1</v>
      </c>
      <c r="D380" s="63" t="s">
        <v>347</v>
      </c>
      <c r="E380" s="64">
        <v>15654.29</v>
      </c>
      <c r="G380" s="64">
        <v>0</v>
      </c>
      <c r="H380" s="64">
        <v>0</v>
      </c>
      <c r="I380" s="64">
        <v>0</v>
      </c>
      <c r="K380" s="64">
        <f t="shared" ref="K380:K390" si="80">SUM(E380:J380)</f>
        <v>15654.29</v>
      </c>
      <c r="M380" s="64">
        <v>20000</v>
      </c>
      <c r="N380" s="65">
        <f t="shared" ref="N380:N390" si="81">IFERROR(K380/M380,)</f>
        <v>0.78271450000000009</v>
      </c>
      <c r="P380" s="64">
        <v>350000</v>
      </c>
      <c r="R380" s="66">
        <f>K380*2.8%</f>
        <v>438.32011999999997</v>
      </c>
      <c r="S380" s="66">
        <f t="shared" ref="S380:S385" si="82">R380*25%</f>
        <v>109.58002999999999</v>
      </c>
      <c r="T380" s="66">
        <f t="shared" ref="T380:T385" si="83">IF(N380&gt;1,K380*0.5%,0)</f>
        <v>0</v>
      </c>
    </row>
    <row r="381" spans="1:21" ht="12.75" customHeight="1" x14ac:dyDescent="0.25">
      <c r="A381" s="61">
        <v>175</v>
      </c>
      <c r="B381" s="62">
        <v>3</v>
      </c>
      <c r="C381" s="62" t="str">
        <f t="shared" si="69"/>
        <v>175-3</v>
      </c>
      <c r="D381" s="63" t="s">
        <v>542</v>
      </c>
      <c r="E381" s="64">
        <v>70788.81</v>
      </c>
      <c r="G381" s="64">
        <v>0</v>
      </c>
      <c r="H381" s="64">
        <v>0</v>
      </c>
      <c r="I381" s="64">
        <v>0</v>
      </c>
      <c r="K381" s="64">
        <f t="shared" si="80"/>
        <v>70788.81</v>
      </c>
      <c r="M381" s="64">
        <v>91250</v>
      </c>
      <c r="N381" s="65">
        <f t="shared" si="81"/>
        <v>0.77576778082191777</v>
      </c>
      <c r="R381" s="66">
        <f>K381*2.8%</f>
        <v>1982.0866799999997</v>
      </c>
      <c r="S381" s="66">
        <f t="shared" si="82"/>
        <v>495.52166999999992</v>
      </c>
      <c r="T381" s="66">
        <f t="shared" si="83"/>
        <v>0</v>
      </c>
    </row>
    <row r="382" spans="1:21" s="77" customFormat="1" ht="12.75" customHeight="1" x14ac:dyDescent="0.25">
      <c r="A382" s="73">
        <v>175</v>
      </c>
      <c r="B382" s="74">
        <v>6</v>
      </c>
      <c r="C382" s="74" t="str">
        <f t="shared" si="69"/>
        <v>175-6</v>
      </c>
      <c r="D382" s="75" t="s">
        <v>543</v>
      </c>
      <c r="E382" s="76">
        <v>70354.58</v>
      </c>
      <c r="F382" s="76"/>
      <c r="G382" s="76">
        <v>0</v>
      </c>
      <c r="H382" s="76">
        <v>599.98</v>
      </c>
      <c r="I382" s="76">
        <v>0</v>
      </c>
      <c r="J382" s="76"/>
      <c r="K382" s="76">
        <f t="shared" si="80"/>
        <v>70954.559999999998</v>
      </c>
      <c r="M382" s="76">
        <v>91250</v>
      </c>
      <c r="N382" s="78">
        <f t="shared" si="81"/>
        <v>0.77758421917808218</v>
      </c>
      <c r="R382" s="79">
        <v>0</v>
      </c>
      <c r="S382" s="79">
        <f t="shared" si="82"/>
        <v>0</v>
      </c>
      <c r="T382" s="79">
        <f t="shared" si="83"/>
        <v>0</v>
      </c>
      <c r="U382" s="77" t="s">
        <v>517</v>
      </c>
    </row>
    <row r="383" spans="1:21" ht="12.75" customHeight="1" x14ac:dyDescent="0.25">
      <c r="A383" s="61">
        <v>175</v>
      </c>
      <c r="B383" s="62">
        <v>11</v>
      </c>
      <c r="C383" s="62" t="str">
        <f t="shared" si="69"/>
        <v>175-11</v>
      </c>
      <c r="D383" s="63" t="s">
        <v>355</v>
      </c>
      <c r="E383" s="64">
        <v>92683.71</v>
      </c>
      <c r="G383" s="64">
        <v>0</v>
      </c>
      <c r="H383" s="64">
        <v>2344.91</v>
      </c>
      <c r="I383" s="64">
        <v>0</v>
      </c>
      <c r="K383" s="64">
        <f t="shared" si="80"/>
        <v>95028.62000000001</v>
      </c>
      <c r="M383" s="64">
        <v>91250</v>
      </c>
      <c r="N383" s="65">
        <f t="shared" si="81"/>
        <v>1.0414095342465755</v>
      </c>
      <c r="R383" s="66">
        <f>K383*3.3%</f>
        <v>3135.9444600000006</v>
      </c>
      <c r="S383" s="66">
        <f t="shared" si="82"/>
        <v>783.98611500000015</v>
      </c>
      <c r="T383" s="66">
        <f t="shared" si="83"/>
        <v>475.14310000000006</v>
      </c>
    </row>
    <row r="384" spans="1:21" ht="12.75" customHeight="1" x14ac:dyDescent="0.25">
      <c r="A384" s="61">
        <v>175</v>
      </c>
      <c r="B384" s="62">
        <v>13</v>
      </c>
      <c r="C384" s="62" t="str">
        <f t="shared" si="69"/>
        <v>175-13</v>
      </c>
      <c r="D384" s="63" t="s">
        <v>357</v>
      </c>
      <c r="E384" s="64">
        <v>51101.97</v>
      </c>
      <c r="G384" s="64">
        <v>0</v>
      </c>
      <c r="H384" s="64">
        <v>0</v>
      </c>
      <c r="I384" s="64">
        <v>0</v>
      </c>
      <c r="K384" s="64">
        <f t="shared" si="80"/>
        <v>51101.97</v>
      </c>
      <c r="M384" s="64">
        <v>91250</v>
      </c>
      <c r="N384" s="65">
        <f t="shared" si="81"/>
        <v>0.56002158904109589</v>
      </c>
      <c r="R384" s="66">
        <f>K384*2.8%</f>
        <v>1430.8551599999998</v>
      </c>
      <c r="S384" s="66">
        <f t="shared" si="82"/>
        <v>357.71378999999996</v>
      </c>
      <c r="T384" s="66">
        <f t="shared" si="83"/>
        <v>0</v>
      </c>
    </row>
    <row r="385" spans="1:20" ht="12.75" customHeight="1" x14ac:dyDescent="0.25">
      <c r="A385" s="61">
        <v>175</v>
      </c>
      <c r="B385" s="62">
        <v>777</v>
      </c>
      <c r="C385" s="62" t="str">
        <f t="shared" si="69"/>
        <v>175-777</v>
      </c>
      <c r="D385" s="63"/>
      <c r="E385" s="64">
        <v>917.93</v>
      </c>
      <c r="G385" s="64">
        <v>0</v>
      </c>
      <c r="H385" s="64">
        <v>0</v>
      </c>
      <c r="I385" s="64">
        <v>0</v>
      </c>
      <c r="K385" s="64">
        <f t="shared" si="80"/>
        <v>917.93</v>
      </c>
      <c r="M385" s="64"/>
      <c r="N385" s="65">
        <f t="shared" si="81"/>
        <v>0</v>
      </c>
      <c r="R385" s="66">
        <v>0</v>
      </c>
      <c r="S385" s="83">
        <f t="shared" si="82"/>
        <v>0</v>
      </c>
      <c r="T385" s="66">
        <f t="shared" si="83"/>
        <v>0</v>
      </c>
    </row>
    <row r="386" spans="1:20" ht="12.75" customHeight="1" x14ac:dyDescent="0.25">
      <c r="A386" s="61">
        <v>175</v>
      </c>
      <c r="B386" s="62"/>
      <c r="C386" s="62" t="str">
        <f t="shared" si="69"/>
        <v>175-</v>
      </c>
      <c r="D386" s="63"/>
      <c r="E386" s="64">
        <v>0</v>
      </c>
      <c r="G386" s="64">
        <v>0</v>
      </c>
      <c r="H386" s="64">
        <v>0</v>
      </c>
      <c r="I386" s="64">
        <v>0</v>
      </c>
      <c r="K386" s="64">
        <f t="shared" si="80"/>
        <v>0</v>
      </c>
      <c r="M386" s="64"/>
      <c r="N386" s="65">
        <f t="shared" si="81"/>
        <v>0</v>
      </c>
      <c r="R386" s="68">
        <f>SUM(R380:R385)</f>
        <v>6987.2064200000004</v>
      </c>
      <c r="S386" s="68">
        <f>SUM(S380:S385)</f>
        <v>1746.8016050000001</v>
      </c>
      <c r="T386" s="68">
        <f>SUM(T380:T385)</f>
        <v>475.14310000000006</v>
      </c>
    </row>
    <row r="387" spans="1:20" ht="12.75" customHeight="1" x14ac:dyDescent="0.25">
      <c r="A387" s="61">
        <v>175</v>
      </c>
      <c r="B387" s="62"/>
      <c r="C387" s="62" t="str">
        <f t="shared" si="69"/>
        <v>175-</v>
      </c>
      <c r="D387" s="63"/>
      <c r="E387" s="64">
        <v>0</v>
      </c>
      <c r="G387" s="64">
        <v>0</v>
      </c>
      <c r="H387" s="64">
        <v>0</v>
      </c>
      <c r="I387" s="64">
        <v>0</v>
      </c>
      <c r="K387" s="64">
        <f t="shared" si="80"/>
        <v>0</v>
      </c>
      <c r="M387" s="64"/>
      <c r="N387" s="65">
        <f t="shared" si="81"/>
        <v>0</v>
      </c>
    </row>
    <row r="388" spans="1:20" ht="12.75" customHeight="1" x14ac:dyDescent="0.25">
      <c r="A388" s="61">
        <v>175</v>
      </c>
      <c r="B388" s="62"/>
      <c r="C388" s="62" t="str">
        <f t="shared" ref="C388:C451" si="84">CONCATENATE(A388,"-",B388)</f>
        <v>175-</v>
      </c>
      <c r="D388" s="63"/>
      <c r="E388" s="64">
        <v>0</v>
      </c>
      <c r="G388" s="64">
        <v>0</v>
      </c>
      <c r="H388" s="64">
        <v>0</v>
      </c>
      <c r="I388" s="64">
        <v>0</v>
      </c>
      <c r="K388" s="64">
        <f t="shared" si="80"/>
        <v>0</v>
      </c>
      <c r="M388" s="64"/>
      <c r="N388" s="65">
        <f t="shared" si="81"/>
        <v>0</v>
      </c>
    </row>
    <row r="389" spans="1:20" ht="12.75" customHeight="1" x14ac:dyDescent="0.25">
      <c r="A389" s="61">
        <v>175</v>
      </c>
      <c r="B389" s="62"/>
      <c r="C389" s="62" t="str">
        <f t="shared" si="84"/>
        <v>175-</v>
      </c>
      <c r="D389" s="63"/>
      <c r="E389" s="64">
        <v>0</v>
      </c>
      <c r="G389" s="64">
        <v>0</v>
      </c>
      <c r="H389" s="64">
        <v>0</v>
      </c>
      <c r="I389" s="64">
        <v>0</v>
      </c>
      <c r="K389" s="64">
        <f t="shared" si="80"/>
        <v>0</v>
      </c>
      <c r="M389" s="64"/>
      <c r="N389" s="65">
        <f t="shared" si="81"/>
        <v>0</v>
      </c>
    </row>
    <row r="390" spans="1:20" ht="12.75" customHeight="1" x14ac:dyDescent="0.25">
      <c r="A390" s="61">
        <v>175</v>
      </c>
      <c r="B390" s="62"/>
      <c r="C390" s="62" t="str">
        <f t="shared" si="84"/>
        <v>175-</v>
      </c>
      <c r="D390" s="63"/>
      <c r="E390" s="64">
        <v>0</v>
      </c>
      <c r="G390" s="64">
        <v>0</v>
      </c>
      <c r="H390" s="64">
        <v>0</v>
      </c>
      <c r="I390" s="64">
        <v>0</v>
      </c>
      <c r="K390" s="64">
        <f t="shared" si="80"/>
        <v>0</v>
      </c>
      <c r="M390" s="64"/>
      <c r="N390" s="65">
        <f t="shared" si="81"/>
        <v>0</v>
      </c>
    </row>
    <row r="391" spans="1:20" ht="12.75" customHeight="1" x14ac:dyDescent="0.25">
      <c r="A391" s="69" t="s">
        <v>459</v>
      </c>
      <c r="B391" s="70"/>
      <c r="C391" s="62" t="str">
        <f t="shared" si="84"/>
        <v>Total-</v>
      </c>
      <c r="D391" s="69"/>
      <c r="E391" s="71">
        <v>301501.28999999998</v>
      </c>
      <c r="F391" s="71">
        <v>0</v>
      </c>
      <c r="G391" s="71">
        <v>0</v>
      </c>
      <c r="H391" s="71">
        <v>2944.89</v>
      </c>
      <c r="I391" s="71">
        <v>0</v>
      </c>
      <c r="J391" s="71">
        <v>0</v>
      </c>
      <c r="K391" s="71">
        <f>SUM(K380:K390)</f>
        <v>304446.18</v>
      </c>
      <c r="M391" s="71">
        <f>SUM(M380:M390)</f>
        <v>385000</v>
      </c>
    </row>
    <row r="392" spans="1:20" ht="12.75" customHeight="1" x14ac:dyDescent="0.25">
      <c r="C392" s="62" t="str">
        <f t="shared" si="84"/>
        <v>-</v>
      </c>
    </row>
    <row r="393" spans="1:20" ht="12.75" customHeight="1" x14ac:dyDescent="0.25">
      <c r="C393" s="62" t="str">
        <f t="shared" si="84"/>
        <v>-</v>
      </c>
    </row>
    <row r="394" spans="1:20" ht="12.75" customHeight="1" x14ac:dyDescent="0.25">
      <c r="C394" s="62" t="str">
        <f t="shared" si="84"/>
        <v>-</v>
      </c>
    </row>
    <row r="395" spans="1:20" ht="12.75" customHeight="1" x14ac:dyDescent="0.25">
      <c r="A395" s="56" t="s">
        <v>454</v>
      </c>
      <c r="B395" s="57" t="s">
        <v>474</v>
      </c>
      <c r="C395" s="62" t="str">
        <f t="shared" si="84"/>
        <v>Loja-Cod</v>
      </c>
      <c r="D395" s="56" t="s">
        <v>475</v>
      </c>
      <c r="E395" s="57" t="s">
        <v>476</v>
      </c>
      <c r="F395" s="57" t="s">
        <v>477</v>
      </c>
      <c r="G395" s="57" t="s">
        <v>478</v>
      </c>
      <c r="H395" s="57" t="s">
        <v>479</v>
      </c>
      <c r="I395" s="57" t="s">
        <v>480</v>
      </c>
      <c r="J395" s="57" t="s">
        <v>481</v>
      </c>
      <c r="K395" s="57" t="s">
        <v>482</v>
      </c>
      <c r="M395" s="59" t="s">
        <v>483</v>
      </c>
      <c r="N395" s="59" t="s">
        <v>484</v>
      </c>
      <c r="P395" s="57" t="s">
        <v>485</v>
      </c>
      <c r="R395" s="60" t="s">
        <v>486</v>
      </c>
      <c r="S395" s="60" t="s">
        <v>466</v>
      </c>
      <c r="T395" s="60" t="s">
        <v>487</v>
      </c>
    </row>
    <row r="396" spans="1:20" ht="12.75" customHeight="1" x14ac:dyDescent="0.25">
      <c r="A396" s="61">
        <v>179</v>
      </c>
      <c r="B396" s="62">
        <v>2</v>
      </c>
      <c r="C396" s="62" t="str">
        <f t="shared" si="84"/>
        <v>179-2</v>
      </c>
      <c r="D396" s="63" t="s">
        <v>544</v>
      </c>
      <c r="E396" s="64">
        <v>84965.54</v>
      </c>
      <c r="G396" s="64">
        <v>0</v>
      </c>
      <c r="H396" s="64">
        <v>0</v>
      </c>
      <c r="I396" s="64">
        <v>0</v>
      </c>
      <c r="K396" s="64">
        <f t="shared" ref="K396:K406" si="85">SUM(E396:J396)</f>
        <v>84965.54</v>
      </c>
      <c r="M396" s="64">
        <v>79200</v>
      </c>
      <c r="N396" s="65">
        <f t="shared" ref="N396:N406" si="86">IFERROR(K396/M396,)</f>
        <v>1.0727972222222222</v>
      </c>
      <c r="P396" s="64">
        <v>360000</v>
      </c>
      <c r="R396" s="66">
        <f>K396*3.3%</f>
        <v>2803.8628199999998</v>
      </c>
      <c r="S396" s="66">
        <f t="shared" ref="S396:S401" si="87">R396*25%</f>
        <v>700.96570499999996</v>
      </c>
      <c r="T396" s="66">
        <f t="shared" ref="T396:T401" si="88">IF(N396&gt;1,K396*0.5%,0)</f>
        <v>424.82769999999999</v>
      </c>
    </row>
    <row r="397" spans="1:20" ht="12.75" customHeight="1" x14ac:dyDescent="0.25">
      <c r="A397" s="61">
        <v>179</v>
      </c>
      <c r="B397" s="62">
        <v>3</v>
      </c>
      <c r="C397" s="62" t="str">
        <f t="shared" si="84"/>
        <v>179-3</v>
      </c>
      <c r="D397" s="63" t="s">
        <v>545</v>
      </c>
      <c r="E397" s="64">
        <v>104021.93</v>
      </c>
      <c r="G397" s="64">
        <v>0</v>
      </c>
      <c r="H397" s="64">
        <v>0</v>
      </c>
      <c r="I397" s="64">
        <v>0</v>
      </c>
      <c r="K397" s="64">
        <f t="shared" si="85"/>
        <v>104021.93</v>
      </c>
      <c r="M397" s="64">
        <v>79200</v>
      </c>
      <c r="N397" s="65">
        <f t="shared" si="86"/>
        <v>1.3134082070707069</v>
      </c>
      <c r="R397" s="66">
        <f>K397*3.4%</f>
        <v>3536.7456200000001</v>
      </c>
      <c r="S397" s="66">
        <f t="shared" si="87"/>
        <v>884.18640500000004</v>
      </c>
      <c r="T397" s="66">
        <f t="shared" si="88"/>
        <v>520.10964999999999</v>
      </c>
    </row>
    <row r="398" spans="1:20" ht="12.75" customHeight="1" x14ac:dyDescent="0.25">
      <c r="A398" s="61">
        <v>179</v>
      </c>
      <c r="B398" s="62">
        <v>4</v>
      </c>
      <c r="C398" s="62" t="str">
        <f t="shared" si="84"/>
        <v>179-4</v>
      </c>
      <c r="D398" s="63" t="s">
        <v>546</v>
      </c>
      <c r="E398" s="64">
        <v>31514.41</v>
      </c>
      <c r="G398" s="64">
        <v>0</v>
      </c>
      <c r="H398" s="64">
        <v>0</v>
      </c>
      <c r="I398" s="64">
        <v>0</v>
      </c>
      <c r="K398" s="64">
        <f t="shared" si="85"/>
        <v>31514.41</v>
      </c>
      <c r="M398" s="64">
        <v>79200</v>
      </c>
      <c r="N398" s="65">
        <f t="shared" si="86"/>
        <v>0.39790921717171718</v>
      </c>
      <c r="R398" s="66">
        <f>K398*2.3%</f>
        <v>724.83142999999995</v>
      </c>
      <c r="S398" s="66">
        <f t="shared" si="87"/>
        <v>181.20785749999999</v>
      </c>
      <c r="T398" s="66">
        <f t="shared" si="88"/>
        <v>0</v>
      </c>
    </row>
    <row r="399" spans="1:20" ht="12.75" customHeight="1" x14ac:dyDescent="0.25">
      <c r="A399" s="61">
        <v>179</v>
      </c>
      <c r="B399" s="62">
        <v>16</v>
      </c>
      <c r="C399" s="62" t="str">
        <f t="shared" si="84"/>
        <v>179-16</v>
      </c>
      <c r="D399" s="63" t="s">
        <v>547</v>
      </c>
      <c r="E399" s="64">
        <v>87935.37</v>
      </c>
      <c r="G399" s="64">
        <v>0</v>
      </c>
      <c r="H399" s="64">
        <v>0</v>
      </c>
      <c r="I399" s="64">
        <v>0</v>
      </c>
      <c r="K399" s="64">
        <f t="shared" si="85"/>
        <v>87935.37</v>
      </c>
      <c r="M399" s="64">
        <v>79200</v>
      </c>
      <c r="N399" s="65">
        <f t="shared" si="86"/>
        <v>1.1102950757575758</v>
      </c>
      <c r="R399" s="66">
        <f>K399*3.3%</f>
        <v>2901.8672099999999</v>
      </c>
      <c r="S399" s="66">
        <f t="shared" si="87"/>
        <v>725.46680249999997</v>
      </c>
      <c r="T399" s="66">
        <f t="shared" si="88"/>
        <v>439.67685</v>
      </c>
    </row>
    <row r="400" spans="1:20" ht="12.75" customHeight="1" x14ac:dyDescent="0.25">
      <c r="A400" s="61">
        <v>179</v>
      </c>
      <c r="B400" s="62">
        <v>18</v>
      </c>
      <c r="C400" s="62" t="str">
        <f t="shared" si="84"/>
        <v>179-18</v>
      </c>
      <c r="D400" s="63" t="s">
        <v>373</v>
      </c>
      <c r="E400" s="64">
        <v>83682.429999999993</v>
      </c>
      <c r="G400" s="64">
        <v>0</v>
      </c>
      <c r="H400" s="64">
        <v>0</v>
      </c>
      <c r="I400" s="64">
        <v>0</v>
      </c>
      <c r="K400" s="64">
        <f t="shared" si="85"/>
        <v>83682.429999999993</v>
      </c>
      <c r="M400" s="64">
        <v>79200</v>
      </c>
      <c r="N400" s="65">
        <f t="shared" si="86"/>
        <v>1.0565963383838384</v>
      </c>
      <c r="R400" s="66">
        <f>K400*3.3%</f>
        <v>2761.5201899999997</v>
      </c>
      <c r="S400" s="66">
        <f t="shared" si="87"/>
        <v>690.38004749999993</v>
      </c>
      <c r="T400" s="66">
        <f t="shared" si="88"/>
        <v>418.41215</v>
      </c>
    </row>
    <row r="401" spans="1:20" ht="12.75" customHeight="1" x14ac:dyDescent="0.25">
      <c r="A401" s="61">
        <v>179</v>
      </c>
      <c r="B401" s="62">
        <v>57</v>
      </c>
      <c r="C401" s="62" t="str">
        <f t="shared" si="84"/>
        <v>179-57</v>
      </c>
      <c r="D401" s="63"/>
      <c r="E401" s="64">
        <v>385.97</v>
      </c>
      <c r="G401" s="64">
        <v>0</v>
      </c>
      <c r="H401" s="64">
        <v>0</v>
      </c>
      <c r="I401" s="64">
        <v>0</v>
      </c>
      <c r="K401" s="64">
        <f t="shared" si="85"/>
        <v>385.97</v>
      </c>
      <c r="M401" s="64"/>
      <c r="N401" s="65">
        <f t="shared" si="86"/>
        <v>0</v>
      </c>
      <c r="R401" s="66">
        <v>0</v>
      </c>
      <c r="S401" s="66">
        <f t="shared" si="87"/>
        <v>0</v>
      </c>
      <c r="T401" s="66">
        <f t="shared" si="88"/>
        <v>0</v>
      </c>
    </row>
    <row r="402" spans="1:20" ht="12.75" customHeight="1" x14ac:dyDescent="0.25">
      <c r="A402" s="61">
        <v>179</v>
      </c>
      <c r="B402" s="72"/>
      <c r="C402" s="62" t="str">
        <f t="shared" si="84"/>
        <v>179-</v>
      </c>
      <c r="D402" s="63"/>
      <c r="E402" s="64">
        <v>0</v>
      </c>
      <c r="G402" s="64">
        <v>0</v>
      </c>
      <c r="H402" s="64">
        <v>0</v>
      </c>
      <c r="I402" s="64">
        <v>0</v>
      </c>
      <c r="K402" s="64">
        <f t="shared" si="85"/>
        <v>0</v>
      </c>
      <c r="M402" s="64"/>
      <c r="N402" s="65">
        <f t="shared" si="86"/>
        <v>0</v>
      </c>
      <c r="R402" s="68">
        <f>SUM(R396:R401)</f>
        <v>12728.82727</v>
      </c>
      <c r="S402" s="68">
        <f>SUM(S396:S401)</f>
        <v>3182.2068174999999</v>
      </c>
      <c r="T402" s="68">
        <f>SUM(T396:T401)</f>
        <v>1803.0263500000001</v>
      </c>
    </row>
    <row r="403" spans="1:20" ht="12.75" customHeight="1" x14ac:dyDescent="0.25">
      <c r="A403" s="61">
        <v>179</v>
      </c>
      <c r="B403" s="72"/>
      <c r="C403" s="62" t="str">
        <f t="shared" si="84"/>
        <v>179-</v>
      </c>
      <c r="D403" s="63"/>
      <c r="E403" s="64">
        <v>0</v>
      </c>
      <c r="G403" s="64">
        <v>0</v>
      </c>
      <c r="H403" s="64">
        <v>0</v>
      </c>
      <c r="I403" s="64">
        <v>0</v>
      </c>
      <c r="K403" s="64">
        <f t="shared" si="85"/>
        <v>0</v>
      </c>
      <c r="M403" s="64"/>
      <c r="N403" s="65">
        <f t="shared" si="86"/>
        <v>0</v>
      </c>
    </row>
    <row r="404" spans="1:20" ht="12.75" customHeight="1" x14ac:dyDescent="0.25">
      <c r="A404" s="61">
        <v>179</v>
      </c>
      <c r="B404" s="62"/>
      <c r="C404" s="62" t="str">
        <f t="shared" si="84"/>
        <v>179-</v>
      </c>
      <c r="D404" s="63"/>
      <c r="E404" s="64">
        <v>0</v>
      </c>
      <c r="G404" s="64">
        <v>0</v>
      </c>
      <c r="H404" s="64">
        <v>0</v>
      </c>
      <c r="I404" s="64">
        <v>0</v>
      </c>
      <c r="K404" s="64">
        <f t="shared" si="85"/>
        <v>0</v>
      </c>
      <c r="M404" s="64"/>
      <c r="N404" s="65">
        <f t="shared" si="86"/>
        <v>0</v>
      </c>
    </row>
    <row r="405" spans="1:20" ht="12.75" customHeight="1" x14ac:dyDescent="0.25">
      <c r="A405" s="61">
        <v>179</v>
      </c>
      <c r="B405" s="62"/>
      <c r="C405" s="62" t="str">
        <f t="shared" si="84"/>
        <v>179-</v>
      </c>
      <c r="D405" s="63"/>
      <c r="E405" s="64">
        <v>0</v>
      </c>
      <c r="G405" s="64">
        <v>0</v>
      </c>
      <c r="H405" s="64">
        <v>0</v>
      </c>
      <c r="I405" s="64">
        <v>0</v>
      </c>
      <c r="K405" s="64">
        <f t="shared" si="85"/>
        <v>0</v>
      </c>
      <c r="M405" s="64"/>
      <c r="N405" s="65">
        <f t="shared" si="86"/>
        <v>0</v>
      </c>
    </row>
    <row r="406" spans="1:20" ht="12.75" customHeight="1" x14ac:dyDescent="0.25">
      <c r="A406" s="61">
        <v>179</v>
      </c>
      <c r="B406" s="62"/>
      <c r="C406" s="62" t="str">
        <f t="shared" si="84"/>
        <v>179-</v>
      </c>
      <c r="D406" s="63"/>
      <c r="E406" s="64">
        <v>0</v>
      </c>
      <c r="G406" s="64">
        <v>0</v>
      </c>
      <c r="H406" s="64">
        <v>0</v>
      </c>
      <c r="I406" s="64">
        <v>0</v>
      </c>
      <c r="K406" s="64">
        <f t="shared" si="85"/>
        <v>0</v>
      </c>
      <c r="M406" s="64"/>
      <c r="N406" s="65">
        <f t="shared" si="86"/>
        <v>0</v>
      </c>
    </row>
    <row r="407" spans="1:20" ht="12.75" customHeight="1" x14ac:dyDescent="0.25">
      <c r="A407" s="69" t="s">
        <v>459</v>
      </c>
      <c r="B407" s="70"/>
      <c r="C407" s="62" t="str">
        <f t="shared" si="84"/>
        <v>Total-</v>
      </c>
      <c r="D407" s="69"/>
      <c r="E407" s="71">
        <v>392505.64999999997</v>
      </c>
      <c r="F407" s="71">
        <v>0</v>
      </c>
      <c r="G407" s="71">
        <v>0</v>
      </c>
      <c r="H407" s="71">
        <v>0</v>
      </c>
      <c r="I407" s="71">
        <v>0</v>
      </c>
      <c r="J407" s="71">
        <v>0</v>
      </c>
      <c r="K407" s="71">
        <f>SUM(K396:K406)</f>
        <v>392505.64999999997</v>
      </c>
      <c r="M407" s="71">
        <f>SUM(M396:M406)</f>
        <v>396000</v>
      </c>
    </row>
    <row r="408" spans="1:20" ht="12.75" customHeight="1" x14ac:dyDescent="0.25">
      <c r="C408" s="62" t="str">
        <f t="shared" si="84"/>
        <v>-</v>
      </c>
    </row>
    <row r="409" spans="1:20" ht="12.75" customHeight="1" x14ac:dyDescent="0.25">
      <c r="C409" s="62" t="str">
        <f t="shared" si="84"/>
        <v>-</v>
      </c>
    </row>
    <row r="410" spans="1:20" ht="12.75" customHeight="1" x14ac:dyDescent="0.25">
      <c r="C410" s="62" t="str">
        <f t="shared" si="84"/>
        <v>-</v>
      </c>
    </row>
    <row r="411" spans="1:20" ht="12.75" customHeight="1" x14ac:dyDescent="0.25">
      <c r="C411" s="62" t="str">
        <f t="shared" si="84"/>
        <v>-</v>
      </c>
    </row>
    <row r="412" spans="1:20" ht="12.75" customHeight="1" x14ac:dyDescent="0.25">
      <c r="A412" s="56" t="s">
        <v>454</v>
      </c>
      <c r="B412" s="57" t="s">
        <v>474</v>
      </c>
      <c r="C412" s="62" t="str">
        <f t="shared" si="84"/>
        <v>Loja-Cod</v>
      </c>
      <c r="D412" s="56" t="s">
        <v>475</v>
      </c>
      <c r="E412" s="57" t="s">
        <v>476</v>
      </c>
      <c r="F412" s="57" t="s">
        <v>477</v>
      </c>
      <c r="G412" s="57" t="s">
        <v>478</v>
      </c>
      <c r="H412" s="57" t="s">
        <v>479</v>
      </c>
      <c r="I412" s="57" t="s">
        <v>480</v>
      </c>
      <c r="J412" s="57" t="s">
        <v>481</v>
      </c>
      <c r="K412" s="57" t="s">
        <v>482</v>
      </c>
      <c r="M412" s="59" t="s">
        <v>483</v>
      </c>
      <c r="N412" s="59" t="s">
        <v>484</v>
      </c>
      <c r="P412" s="57" t="s">
        <v>485</v>
      </c>
      <c r="R412" s="60" t="s">
        <v>486</v>
      </c>
      <c r="S412" s="60" t="s">
        <v>466</v>
      </c>
      <c r="T412" s="60" t="s">
        <v>487</v>
      </c>
    </row>
    <row r="413" spans="1:20" ht="12.75" customHeight="1" x14ac:dyDescent="0.25">
      <c r="A413" s="61">
        <v>181</v>
      </c>
      <c r="B413" s="62">
        <v>1</v>
      </c>
      <c r="C413" s="62" t="str">
        <f t="shared" si="84"/>
        <v>181-1</v>
      </c>
      <c r="D413" s="63" t="s">
        <v>548</v>
      </c>
      <c r="E413" s="64">
        <v>143910.68</v>
      </c>
      <c r="G413" s="64">
        <v>0</v>
      </c>
      <c r="H413" s="64">
        <v>0</v>
      </c>
      <c r="I413" s="64">
        <v>0</v>
      </c>
      <c r="K413" s="64">
        <f t="shared" ref="K413:K425" si="89">SUM(E413:J413)</f>
        <v>143910.68</v>
      </c>
      <c r="M413" s="64">
        <v>122500</v>
      </c>
      <c r="N413" s="65">
        <f t="shared" ref="N413:N425" si="90">IFERROR(K413/M413,)</f>
        <v>1.1747810612244898</v>
      </c>
      <c r="P413" s="64">
        <v>890000</v>
      </c>
      <c r="R413" s="66">
        <f>K413*2.8%</f>
        <v>4029.4990399999992</v>
      </c>
      <c r="S413" s="66">
        <f>R413*25%</f>
        <v>1007.3747599999998</v>
      </c>
      <c r="T413" s="66">
        <f>IF(N413&gt;1,K413*0.5%,0)</f>
        <v>719.55340000000001</v>
      </c>
    </row>
    <row r="414" spans="1:20" ht="12.75" customHeight="1" x14ac:dyDescent="0.25">
      <c r="A414" s="61">
        <v>181</v>
      </c>
      <c r="B414" s="62">
        <v>2</v>
      </c>
      <c r="C414" s="62" t="str">
        <f t="shared" si="84"/>
        <v>181-2</v>
      </c>
      <c r="D414" s="63" t="s">
        <v>549</v>
      </c>
      <c r="E414" s="64">
        <v>130271.79</v>
      </c>
      <c r="G414" s="64">
        <v>0</v>
      </c>
      <c r="H414" s="64">
        <v>0</v>
      </c>
      <c r="I414" s="64">
        <v>0</v>
      </c>
      <c r="K414" s="64">
        <f t="shared" si="89"/>
        <v>130271.79</v>
      </c>
      <c r="M414" s="64">
        <v>122500</v>
      </c>
      <c r="N414" s="65">
        <f t="shared" si="90"/>
        <v>1.0634431836734692</v>
      </c>
      <c r="R414" s="66">
        <f t="shared" ref="R414:R421" si="91">K414*2.8%</f>
        <v>3647.6101199999994</v>
      </c>
      <c r="S414" s="66">
        <f t="shared" ref="S414:S421" si="92">R414*25%</f>
        <v>911.90252999999984</v>
      </c>
      <c r="T414" s="66">
        <f t="shared" ref="T414:T421" si="93">IF(N414&gt;1,K414*0.5%,0)</f>
        <v>651.35894999999994</v>
      </c>
    </row>
    <row r="415" spans="1:20" ht="12.75" customHeight="1" x14ac:dyDescent="0.25">
      <c r="A415" s="61">
        <v>181</v>
      </c>
      <c r="B415" s="62">
        <v>12</v>
      </c>
      <c r="C415" s="62" t="str">
        <f t="shared" si="84"/>
        <v>181-12</v>
      </c>
      <c r="D415" s="63"/>
      <c r="E415" s="64">
        <v>3945.54</v>
      </c>
      <c r="G415" s="64">
        <v>0</v>
      </c>
      <c r="H415" s="64">
        <v>0</v>
      </c>
      <c r="I415" s="64">
        <v>0</v>
      </c>
      <c r="K415" s="64">
        <f t="shared" si="89"/>
        <v>3945.54</v>
      </c>
      <c r="M415" s="64"/>
      <c r="N415" s="65">
        <f t="shared" si="90"/>
        <v>0</v>
      </c>
      <c r="R415" s="66">
        <v>0</v>
      </c>
      <c r="S415" s="66">
        <f t="shared" si="92"/>
        <v>0</v>
      </c>
      <c r="T415" s="66">
        <f t="shared" si="93"/>
        <v>0</v>
      </c>
    </row>
    <row r="416" spans="1:20" ht="12.75" customHeight="1" x14ac:dyDescent="0.25">
      <c r="A416" s="61">
        <v>181</v>
      </c>
      <c r="B416" s="62">
        <v>13</v>
      </c>
      <c r="C416" s="62" t="str">
        <f t="shared" si="84"/>
        <v>181-13</v>
      </c>
      <c r="D416" s="63" t="s">
        <v>550</v>
      </c>
      <c r="E416" s="64">
        <v>123440.77</v>
      </c>
      <c r="G416" s="64">
        <v>0</v>
      </c>
      <c r="H416" s="64">
        <v>0</v>
      </c>
      <c r="I416" s="64">
        <v>0</v>
      </c>
      <c r="K416" s="64">
        <f t="shared" si="89"/>
        <v>123440.77</v>
      </c>
      <c r="M416" s="64">
        <v>122500</v>
      </c>
      <c r="N416" s="65">
        <f t="shared" si="90"/>
        <v>1.0076797551020409</v>
      </c>
      <c r="R416" s="66">
        <f t="shared" si="91"/>
        <v>3456.3415599999998</v>
      </c>
      <c r="S416" s="66">
        <f t="shared" si="92"/>
        <v>864.08538999999996</v>
      </c>
      <c r="T416" s="66">
        <f t="shared" si="93"/>
        <v>617.20384999999999</v>
      </c>
    </row>
    <row r="417" spans="1:21" ht="12.75" customHeight="1" x14ac:dyDescent="0.25">
      <c r="A417" s="61">
        <v>181</v>
      </c>
      <c r="B417" s="62">
        <v>16</v>
      </c>
      <c r="C417" s="62" t="str">
        <f t="shared" si="84"/>
        <v>181-16</v>
      </c>
      <c r="D417" s="63" t="s">
        <v>551</v>
      </c>
      <c r="E417" s="64">
        <v>129183.14</v>
      </c>
      <c r="G417" s="64">
        <v>0</v>
      </c>
      <c r="H417" s="64">
        <v>0</v>
      </c>
      <c r="I417" s="64">
        <v>0</v>
      </c>
      <c r="K417" s="64">
        <f t="shared" si="89"/>
        <v>129183.14</v>
      </c>
      <c r="M417" s="64">
        <v>122500</v>
      </c>
      <c r="N417" s="65">
        <f t="shared" si="90"/>
        <v>1.0545562448979591</v>
      </c>
      <c r="R417" s="66">
        <f t="shared" si="91"/>
        <v>3617.1279199999994</v>
      </c>
      <c r="S417" s="66">
        <f t="shared" si="92"/>
        <v>904.28197999999986</v>
      </c>
      <c r="T417" s="66">
        <f t="shared" si="93"/>
        <v>645.91570000000002</v>
      </c>
    </row>
    <row r="418" spans="1:21" ht="12.75" customHeight="1" x14ac:dyDescent="0.25">
      <c r="A418" s="61">
        <v>181</v>
      </c>
      <c r="B418" s="62">
        <v>18</v>
      </c>
      <c r="C418" s="62" t="str">
        <f t="shared" si="84"/>
        <v>181-18</v>
      </c>
      <c r="D418" s="63" t="s">
        <v>552</v>
      </c>
      <c r="E418" s="64">
        <v>81020.06</v>
      </c>
      <c r="G418" s="64">
        <v>0</v>
      </c>
      <c r="H418" s="64">
        <v>0</v>
      </c>
      <c r="I418" s="64">
        <v>0</v>
      </c>
      <c r="K418" s="64">
        <f t="shared" si="89"/>
        <v>81020.06</v>
      </c>
      <c r="M418" s="64">
        <v>122500</v>
      </c>
      <c r="N418" s="65">
        <f t="shared" si="90"/>
        <v>0.66138824489795911</v>
      </c>
      <c r="R418" s="66">
        <f t="shared" si="91"/>
        <v>2268.5616799999998</v>
      </c>
      <c r="S418" s="66">
        <f t="shared" si="92"/>
        <v>567.14041999999995</v>
      </c>
      <c r="T418" s="66">
        <f t="shared" si="93"/>
        <v>0</v>
      </c>
    </row>
    <row r="419" spans="1:21" ht="12.75" customHeight="1" x14ac:dyDescent="0.25">
      <c r="A419" s="61">
        <v>181</v>
      </c>
      <c r="B419" s="72">
        <v>19</v>
      </c>
      <c r="C419" s="62" t="str">
        <f t="shared" si="84"/>
        <v>181-19</v>
      </c>
      <c r="D419" s="63" t="s">
        <v>553</v>
      </c>
      <c r="E419" s="64">
        <v>73637.490000000005</v>
      </c>
      <c r="G419" s="64">
        <v>0</v>
      </c>
      <c r="H419" s="64">
        <v>0</v>
      </c>
      <c r="I419" s="64">
        <v>0</v>
      </c>
      <c r="K419" s="64">
        <f t="shared" si="89"/>
        <v>73637.490000000005</v>
      </c>
      <c r="M419" s="64">
        <v>122500</v>
      </c>
      <c r="N419" s="65">
        <f t="shared" si="90"/>
        <v>0.6011223673469388</v>
      </c>
      <c r="R419" s="66">
        <f t="shared" si="91"/>
        <v>2061.8497200000002</v>
      </c>
      <c r="S419" s="66">
        <f t="shared" si="92"/>
        <v>515.46243000000004</v>
      </c>
      <c r="T419" s="66">
        <f t="shared" si="93"/>
        <v>0</v>
      </c>
    </row>
    <row r="420" spans="1:21" s="77" customFormat="1" ht="12.75" customHeight="1" x14ac:dyDescent="0.25">
      <c r="A420" s="73">
        <v>181</v>
      </c>
      <c r="B420" s="84">
        <v>30</v>
      </c>
      <c r="C420" s="74" t="str">
        <f t="shared" si="84"/>
        <v>181-30</v>
      </c>
      <c r="D420" s="75" t="s">
        <v>554</v>
      </c>
      <c r="E420" s="76">
        <v>57776.82</v>
      </c>
      <c r="F420" s="76"/>
      <c r="G420" s="76">
        <v>0</v>
      </c>
      <c r="H420" s="76">
        <v>0</v>
      </c>
      <c r="I420" s="76">
        <v>0</v>
      </c>
      <c r="J420" s="76"/>
      <c r="K420" s="76">
        <f>SUM(E420:J420)</f>
        <v>57776.82</v>
      </c>
      <c r="M420" s="76">
        <v>122500</v>
      </c>
      <c r="N420" s="78">
        <f>IFERROR(K420/M420,)</f>
        <v>0.47164751020408163</v>
      </c>
      <c r="R420" s="79">
        <v>0</v>
      </c>
      <c r="S420" s="79">
        <f t="shared" si="92"/>
        <v>0</v>
      </c>
      <c r="T420" s="79">
        <f t="shared" si="93"/>
        <v>0</v>
      </c>
      <c r="U420" s="77" t="s">
        <v>517</v>
      </c>
    </row>
    <row r="421" spans="1:21" ht="12.75" customHeight="1" x14ac:dyDescent="0.25">
      <c r="A421" s="61">
        <v>181</v>
      </c>
      <c r="B421" s="72">
        <v>33</v>
      </c>
      <c r="C421" s="62" t="str">
        <f t="shared" si="84"/>
        <v>181-33</v>
      </c>
      <c r="D421" s="63" t="s">
        <v>393</v>
      </c>
      <c r="E421" s="64">
        <v>79020.320000000007</v>
      </c>
      <c r="G421" s="64">
        <v>0</v>
      </c>
      <c r="H421" s="64">
        <v>0</v>
      </c>
      <c r="I421" s="64">
        <v>0</v>
      </c>
      <c r="K421" s="64">
        <f>SUM(E421:J421)</f>
        <v>79020.320000000007</v>
      </c>
      <c r="M421" s="64">
        <v>122500</v>
      </c>
      <c r="N421" s="65">
        <f>IFERROR(K421/M421,)</f>
        <v>0.64506383673469392</v>
      </c>
      <c r="R421" s="66">
        <f t="shared" si="91"/>
        <v>2212.5689600000001</v>
      </c>
      <c r="S421" s="66">
        <f t="shared" si="92"/>
        <v>553.14224000000002</v>
      </c>
      <c r="T421" s="66">
        <f t="shared" si="93"/>
        <v>0</v>
      </c>
    </row>
    <row r="422" spans="1:21" ht="12.75" customHeight="1" x14ac:dyDescent="0.25">
      <c r="A422" s="61">
        <v>181</v>
      </c>
      <c r="B422" s="72"/>
      <c r="C422" s="62" t="str">
        <f t="shared" si="84"/>
        <v>181-</v>
      </c>
      <c r="D422" s="63"/>
      <c r="E422" s="64">
        <v>0</v>
      </c>
      <c r="G422" s="64">
        <v>0</v>
      </c>
      <c r="H422" s="64">
        <v>0</v>
      </c>
      <c r="I422" s="64">
        <v>0</v>
      </c>
      <c r="K422" s="64">
        <f t="shared" si="89"/>
        <v>0</v>
      </c>
      <c r="M422" s="64"/>
      <c r="N422" s="65">
        <f t="shared" si="90"/>
        <v>0</v>
      </c>
      <c r="R422" s="68">
        <f>SUM(R413:R421)</f>
        <v>21293.558999999997</v>
      </c>
      <c r="S422" s="68">
        <f>SUM(S413:S421)</f>
        <v>5323.3897499999994</v>
      </c>
      <c r="T422" s="68">
        <f>SUM(T413:T421)</f>
        <v>2634.0319</v>
      </c>
    </row>
    <row r="423" spans="1:21" ht="12.75" customHeight="1" x14ac:dyDescent="0.25">
      <c r="A423" s="61">
        <v>181</v>
      </c>
      <c r="B423" s="62"/>
      <c r="C423" s="62" t="str">
        <f t="shared" si="84"/>
        <v>181-</v>
      </c>
      <c r="D423" s="63"/>
      <c r="E423" s="64">
        <v>0</v>
      </c>
      <c r="G423" s="64">
        <v>0</v>
      </c>
      <c r="H423" s="64">
        <v>0</v>
      </c>
      <c r="I423" s="64">
        <v>0</v>
      </c>
      <c r="K423" s="64">
        <f t="shared" si="89"/>
        <v>0</v>
      </c>
      <c r="M423" s="64"/>
      <c r="N423" s="65">
        <f t="shared" si="90"/>
        <v>0</v>
      </c>
    </row>
    <row r="424" spans="1:21" ht="12.75" customHeight="1" x14ac:dyDescent="0.25">
      <c r="A424" s="61">
        <v>181</v>
      </c>
      <c r="B424" s="62"/>
      <c r="C424" s="62" t="str">
        <f t="shared" si="84"/>
        <v>181-</v>
      </c>
      <c r="D424" s="63"/>
      <c r="E424" s="64">
        <v>0</v>
      </c>
      <c r="G424" s="64">
        <v>0</v>
      </c>
      <c r="H424" s="64">
        <v>0</v>
      </c>
      <c r="I424" s="64">
        <v>0</v>
      </c>
      <c r="K424" s="64">
        <f t="shared" si="89"/>
        <v>0</v>
      </c>
      <c r="M424" s="64"/>
      <c r="N424" s="65">
        <f t="shared" si="90"/>
        <v>0</v>
      </c>
    </row>
    <row r="425" spans="1:21" ht="12.75" customHeight="1" x14ac:dyDescent="0.25">
      <c r="A425" s="61">
        <v>181</v>
      </c>
      <c r="B425" s="62"/>
      <c r="C425" s="62" t="str">
        <f t="shared" si="84"/>
        <v>181-</v>
      </c>
      <c r="D425" s="63"/>
      <c r="E425" s="64">
        <v>0</v>
      </c>
      <c r="G425" s="64">
        <v>0</v>
      </c>
      <c r="H425" s="64">
        <v>0</v>
      </c>
      <c r="I425" s="64">
        <v>0</v>
      </c>
      <c r="K425" s="64">
        <f t="shared" si="89"/>
        <v>0</v>
      </c>
      <c r="M425" s="64"/>
      <c r="N425" s="65">
        <f t="shared" si="90"/>
        <v>0</v>
      </c>
    </row>
    <row r="426" spans="1:21" ht="12.75" customHeight="1" x14ac:dyDescent="0.25">
      <c r="A426" s="69" t="s">
        <v>459</v>
      </c>
      <c r="B426" s="70"/>
      <c r="C426" s="62" t="str">
        <f t="shared" si="84"/>
        <v>Total-</v>
      </c>
      <c r="D426" s="69"/>
      <c r="E426" s="71">
        <v>822206.60999999987</v>
      </c>
      <c r="F426" s="71">
        <v>0</v>
      </c>
      <c r="G426" s="71">
        <v>0</v>
      </c>
      <c r="H426" s="71">
        <v>0</v>
      </c>
      <c r="I426" s="71">
        <v>0</v>
      </c>
      <c r="J426" s="71">
        <v>0</v>
      </c>
      <c r="K426" s="71">
        <f>SUM(K413:K425)</f>
        <v>822206.60999999987</v>
      </c>
      <c r="M426" s="71">
        <f>SUM(M413:M425)</f>
        <v>980000</v>
      </c>
    </row>
    <row r="427" spans="1:21" ht="12.75" customHeight="1" x14ac:dyDescent="0.25">
      <c r="C427" s="62" t="str">
        <f t="shared" si="84"/>
        <v>-</v>
      </c>
    </row>
    <row r="428" spans="1:21" ht="12.75" customHeight="1" x14ac:dyDescent="0.25">
      <c r="C428" s="62" t="str">
        <f t="shared" si="84"/>
        <v>-</v>
      </c>
    </row>
    <row r="429" spans="1:21" ht="12.75" customHeight="1" x14ac:dyDescent="0.25">
      <c r="C429" s="62" t="str">
        <f t="shared" si="84"/>
        <v>-</v>
      </c>
    </row>
    <row r="430" spans="1:21" ht="12.75" customHeight="1" x14ac:dyDescent="0.25">
      <c r="A430" s="56" t="s">
        <v>454</v>
      </c>
      <c r="B430" s="57" t="s">
        <v>474</v>
      </c>
      <c r="C430" s="62" t="str">
        <f t="shared" si="84"/>
        <v>Loja-Cod</v>
      </c>
      <c r="D430" s="56" t="s">
        <v>475</v>
      </c>
      <c r="E430" s="57" t="s">
        <v>476</v>
      </c>
      <c r="F430" s="57" t="s">
        <v>477</v>
      </c>
      <c r="G430" s="57" t="s">
        <v>478</v>
      </c>
      <c r="H430" s="57" t="s">
        <v>479</v>
      </c>
      <c r="I430" s="57" t="s">
        <v>480</v>
      </c>
      <c r="J430" s="57" t="s">
        <v>481</v>
      </c>
      <c r="K430" s="57" t="s">
        <v>482</v>
      </c>
      <c r="M430" s="59" t="s">
        <v>483</v>
      </c>
      <c r="N430" s="59" t="s">
        <v>484</v>
      </c>
      <c r="P430" s="57" t="s">
        <v>485</v>
      </c>
      <c r="R430" s="60" t="s">
        <v>486</v>
      </c>
      <c r="S430" s="60" t="s">
        <v>466</v>
      </c>
      <c r="T430" s="60" t="s">
        <v>487</v>
      </c>
    </row>
    <row r="431" spans="1:21" ht="12.75" customHeight="1" x14ac:dyDescent="0.25">
      <c r="A431" s="61">
        <v>183</v>
      </c>
      <c r="B431" s="62">
        <v>1</v>
      </c>
      <c r="C431" s="62" t="str">
        <f t="shared" si="84"/>
        <v>183-1</v>
      </c>
      <c r="D431" s="63" t="s">
        <v>555</v>
      </c>
      <c r="E431" s="64">
        <v>39589.29</v>
      </c>
      <c r="G431" s="64">
        <v>0</v>
      </c>
      <c r="H431" s="64">
        <v>649.99</v>
      </c>
      <c r="I431" s="64">
        <v>0</v>
      </c>
      <c r="K431" s="64">
        <f t="shared" ref="K431:K443" si="94">SUM(E431:J431)</f>
        <v>40239.279999999999</v>
      </c>
      <c r="M431" s="64">
        <v>70500</v>
      </c>
      <c r="N431" s="65">
        <f t="shared" ref="N431:N443" si="95">IFERROR(K431/M431,)</f>
        <v>0.57076992907801416</v>
      </c>
      <c r="P431" s="64">
        <v>360000</v>
      </c>
      <c r="R431" s="66">
        <f t="shared" ref="R431:R436" si="96">K431*2.8%</f>
        <v>1126.6998399999998</v>
      </c>
      <c r="S431" s="66">
        <f>R431*25%</f>
        <v>281.67495999999994</v>
      </c>
      <c r="T431" s="66">
        <f>IF(N431&gt;1,K431*0.5%,0)</f>
        <v>0</v>
      </c>
    </row>
    <row r="432" spans="1:21" ht="12.75" customHeight="1" x14ac:dyDescent="0.25">
      <c r="A432" s="61">
        <v>183</v>
      </c>
      <c r="B432" s="62">
        <v>5</v>
      </c>
      <c r="C432" s="62" t="str">
        <f t="shared" si="84"/>
        <v>183-5</v>
      </c>
      <c r="D432" s="63" t="s">
        <v>556</v>
      </c>
      <c r="E432" s="64">
        <v>53662.35</v>
      </c>
      <c r="G432" s="64">
        <v>0</v>
      </c>
      <c r="H432" s="64">
        <v>0</v>
      </c>
      <c r="I432" s="64">
        <v>0</v>
      </c>
      <c r="K432" s="64">
        <f t="shared" si="94"/>
        <v>53662.35</v>
      </c>
      <c r="M432" s="64">
        <v>70500</v>
      </c>
      <c r="N432" s="65">
        <f t="shared" si="95"/>
        <v>0.76116808510638301</v>
      </c>
      <c r="R432" s="66">
        <f t="shared" si="96"/>
        <v>1502.5457999999999</v>
      </c>
      <c r="S432" s="66">
        <f t="shared" ref="S432:S437" si="97">R432*25%</f>
        <v>375.63644999999997</v>
      </c>
      <c r="T432" s="66">
        <f t="shared" ref="T432:T437" si="98">IF(N432&gt;1,K432*0.5%,0)</f>
        <v>0</v>
      </c>
    </row>
    <row r="433" spans="1:20" ht="12.75" customHeight="1" x14ac:dyDescent="0.25">
      <c r="A433" s="61">
        <v>183</v>
      </c>
      <c r="B433" s="62">
        <v>8</v>
      </c>
      <c r="C433" s="62" t="str">
        <f t="shared" si="84"/>
        <v>183-8</v>
      </c>
      <c r="D433" s="63"/>
      <c r="E433" s="64">
        <v>40711.199999999997</v>
      </c>
      <c r="G433" s="64">
        <v>0</v>
      </c>
      <c r="H433" s="64">
        <v>0</v>
      </c>
      <c r="I433" s="64">
        <v>0</v>
      </c>
      <c r="K433" s="64">
        <f t="shared" si="94"/>
        <v>40711.199999999997</v>
      </c>
      <c r="M433" s="64">
        <v>70500</v>
      </c>
      <c r="N433" s="65">
        <f t="shared" si="95"/>
        <v>0.57746382978723398</v>
      </c>
      <c r="R433" s="66">
        <f t="shared" si="96"/>
        <v>1139.9135999999999</v>
      </c>
      <c r="S433" s="66">
        <f t="shared" si="97"/>
        <v>284.97839999999997</v>
      </c>
      <c r="T433" s="66">
        <f t="shared" si="98"/>
        <v>0</v>
      </c>
    </row>
    <row r="434" spans="1:20" ht="12.75" customHeight="1" x14ac:dyDescent="0.25">
      <c r="A434" s="61">
        <v>183</v>
      </c>
      <c r="B434" s="62">
        <v>14</v>
      </c>
      <c r="C434" s="62" t="str">
        <f t="shared" si="84"/>
        <v>183-14</v>
      </c>
      <c r="D434" s="63" t="s">
        <v>405</v>
      </c>
      <c r="E434" s="64">
        <v>53084.13</v>
      </c>
      <c r="G434" s="64">
        <v>0</v>
      </c>
      <c r="H434" s="64">
        <v>0</v>
      </c>
      <c r="I434" s="64">
        <v>0</v>
      </c>
      <c r="K434" s="64">
        <f t="shared" si="94"/>
        <v>53084.13</v>
      </c>
      <c r="M434" s="64">
        <v>70500</v>
      </c>
      <c r="N434" s="65">
        <f t="shared" si="95"/>
        <v>0.75296638297872331</v>
      </c>
      <c r="R434" s="66">
        <f t="shared" si="96"/>
        <v>1486.3556399999998</v>
      </c>
      <c r="S434" s="66">
        <f t="shared" si="97"/>
        <v>371.58890999999994</v>
      </c>
      <c r="T434" s="66">
        <f t="shared" si="98"/>
        <v>0</v>
      </c>
    </row>
    <row r="435" spans="1:20" ht="12.75" customHeight="1" x14ac:dyDescent="0.25">
      <c r="A435" s="61">
        <v>183</v>
      </c>
      <c r="B435" s="62">
        <v>15</v>
      </c>
      <c r="C435" s="62" t="str">
        <f t="shared" si="84"/>
        <v>183-15</v>
      </c>
      <c r="D435" s="63" t="s">
        <v>407</v>
      </c>
      <c r="E435" s="64">
        <v>82406.37</v>
      </c>
      <c r="G435" s="64">
        <v>0</v>
      </c>
      <c r="H435" s="64">
        <v>0</v>
      </c>
      <c r="I435" s="64">
        <v>0</v>
      </c>
      <c r="K435" s="64">
        <f t="shared" si="94"/>
        <v>82406.37</v>
      </c>
      <c r="M435" s="64">
        <v>70500</v>
      </c>
      <c r="N435" s="65">
        <f t="shared" si="95"/>
        <v>1.1688846808510638</v>
      </c>
      <c r="R435" s="66">
        <f t="shared" si="96"/>
        <v>2307.3783599999997</v>
      </c>
      <c r="S435" s="66">
        <f t="shared" si="97"/>
        <v>576.84458999999993</v>
      </c>
      <c r="T435" s="66">
        <f t="shared" si="98"/>
        <v>412.03184999999996</v>
      </c>
    </row>
    <row r="436" spans="1:20" ht="12.75" customHeight="1" x14ac:dyDescent="0.25">
      <c r="A436" s="61">
        <v>183</v>
      </c>
      <c r="B436" s="62">
        <v>16</v>
      </c>
      <c r="C436" s="62" t="str">
        <f t="shared" si="84"/>
        <v>183-16</v>
      </c>
      <c r="D436" s="63"/>
      <c r="E436" s="64">
        <v>28405.87</v>
      </c>
      <c r="G436" s="64">
        <v>0</v>
      </c>
      <c r="H436" s="64">
        <v>0</v>
      </c>
      <c r="I436" s="64">
        <v>0</v>
      </c>
      <c r="K436" s="64">
        <f t="shared" si="94"/>
        <v>28405.87</v>
      </c>
      <c r="M436" s="64">
        <v>43560</v>
      </c>
      <c r="N436" s="65">
        <f t="shared" si="95"/>
        <v>0.65210904499540856</v>
      </c>
      <c r="R436" s="66">
        <f t="shared" si="96"/>
        <v>795.36435999999992</v>
      </c>
      <c r="S436" s="66">
        <f t="shared" si="97"/>
        <v>198.84108999999998</v>
      </c>
      <c r="T436" s="66">
        <f t="shared" si="98"/>
        <v>0</v>
      </c>
    </row>
    <row r="437" spans="1:20" ht="12.75" customHeight="1" x14ac:dyDescent="0.25">
      <c r="A437" s="61">
        <v>183</v>
      </c>
      <c r="B437" s="72">
        <v>777</v>
      </c>
      <c r="C437" s="62" t="str">
        <f t="shared" si="84"/>
        <v>183-777</v>
      </c>
      <c r="D437" s="63"/>
      <c r="E437" s="64">
        <v>1552.89</v>
      </c>
      <c r="G437" s="64">
        <v>0</v>
      </c>
      <c r="H437" s="64">
        <v>0</v>
      </c>
      <c r="I437" s="64">
        <v>0</v>
      </c>
      <c r="K437" s="64">
        <f t="shared" si="94"/>
        <v>1552.89</v>
      </c>
      <c r="M437" s="64"/>
      <c r="N437" s="65">
        <f t="shared" si="95"/>
        <v>0</v>
      </c>
      <c r="R437" s="66">
        <v>0</v>
      </c>
      <c r="S437" s="66">
        <f t="shared" si="97"/>
        <v>0</v>
      </c>
      <c r="T437" s="66">
        <f t="shared" si="98"/>
        <v>0</v>
      </c>
    </row>
    <row r="438" spans="1:20" ht="12.75" customHeight="1" x14ac:dyDescent="0.25">
      <c r="A438" s="61">
        <v>183</v>
      </c>
      <c r="B438" s="72"/>
      <c r="C438" s="62" t="str">
        <f t="shared" si="84"/>
        <v>183-</v>
      </c>
      <c r="D438" s="63"/>
      <c r="E438" s="64">
        <v>0</v>
      </c>
      <c r="G438" s="64">
        <v>0</v>
      </c>
      <c r="H438" s="64">
        <v>0</v>
      </c>
      <c r="I438" s="64">
        <v>0</v>
      </c>
      <c r="K438" s="64">
        <f t="shared" si="94"/>
        <v>0</v>
      </c>
      <c r="M438" s="64"/>
      <c r="N438" s="65">
        <f t="shared" si="95"/>
        <v>0</v>
      </c>
      <c r="R438" s="68">
        <f>SUM(R431:R437)</f>
        <v>8358.257599999999</v>
      </c>
      <c r="S438" s="68">
        <f>SUM(S431:S437)</f>
        <v>2089.5643999999998</v>
      </c>
      <c r="T438" s="68">
        <f>SUM(T431:T437)</f>
        <v>412.03184999999996</v>
      </c>
    </row>
    <row r="439" spans="1:20" ht="12.75" customHeight="1" x14ac:dyDescent="0.3">
      <c r="A439" s="61">
        <v>183</v>
      </c>
      <c r="B439" s="72"/>
      <c r="C439" s="62" t="str">
        <f t="shared" si="84"/>
        <v>183-</v>
      </c>
      <c r="D439" s="63"/>
      <c r="E439" s="64">
        <v>0</v>
      </c>
      <c r="G439" s="64">
        <v>0</v>
      </c>
      <c r="H439" s="64">
        <v>0</v>
      </c>
      <c r="I439" s="64">
        <v>0</v>
      </c>
      <c r="K439" s="64">
        <f t="shared" si="94"/>
        <v>0</v>
      </c>
      <c r="M439" s="85"/>
      <c r="N439" s="65">
        <f t="shared" si="95"/>
        <v>0</v>
      </c>
    </row>
    <row r="440" spans="1:20" ht="12.75" customHeight="1" x14ac:dyDescent="0.3">
      <c r="A440" s="61">
        <v>183</v>
      </c>
      <c r="B440" s="72"/>
      <c r="C440" s="62" t="str">
        <f t="shared" si="84"/>
        <v>183-</v>
      </c>
      <c r="D440" s="63"/>
      <c r="E440" s="64">
        <v>0</v>
      </c>
      <c r="G440" s="64">
        <v>0</v>
      </c>
      <c r="H440" s="64">
        <v>0</v>
      </c>
      <c r="I440" s="64">
        <v>0</v>
      </c>
      <c r="K440" s="64">
        <f t="shared" si="94"/>
        <v>0</v>
      </c>
      <c r="M440" s="85"/>
      <c r="N440" s="65">
        <f t="shared" si="95"/>
        <v>0</v>
      </c>
    </row>
    <row r="441" spans="1:20" ht="12.75" customHeight="1" x14ac:dyDescent="0.25">
      <c r="A441" s="61">
        <v>183</v>
      </c>
      <c r="B441" s="62"/>
      <c r="C441" s="62" t="str">
        <f t="shared" si="84"/>
        <v>183-</v>
      </c>
      <c r="D441" s="63"/>
      <c r="E441" s="64">
        <v>0</v>
      </c>
      <c r="G441" s="64">
        <v>0</v>
      </c>
      <c r="H441" s="64">
        <v>0</v>
      </c>
      <c r="I441" s="64">
        <v>0</v>
      </c>
      <c r="K441" s="64">
        <f t="shared" si="94"/>
        <v>0</v>
      </c>
      <c r="N441" s="65">
        <f t="shared" si="95"/>
        <v>0</v>
      </c>
    </row>
    <row r="442" spans="1:20" ht="12.75" customHeight="1" x14ac:dyDescent="0.25">
      <c r="A442" s="61">
        <v>183</v>
      </c>
      <c r="B442" s="62"/>
      <c r="C442" s="62" t="str">
        <f t="shared" si="84"/>
        <v>183-</v>
      </c>
      <c r="D442" s="63"/>
      <c r="E442" s="64">
        <v>0</v>
      </c>
      <c r="G442" s="64">
        <v>0</v>
      </c>
      <c r="H442" s="64">
        <v>0</v>
      </c>
      <c r="I442" s="64">
        <v>0</v>
      </c>
      <c r="K442" s="64">
        <f t="shared" si="94"/>
        <v>0</v>
      </c>
      <c r="N442" s="65">
        <f t="shared" si="95"/>
        <v>0</v>
      </c>
    </row>
    <row r="443" spans="1:20" ht="12.75" customHeight="1" x14ac:dyDescent="0.25">
      <c r="A443" s="61">
        <v>183</v>
      </c>
      <c r="B443" s="62"/>
      <c r="C443" s="62" t="str">
        <f t="shared" si="84"/>
        <v>183-</v>
      </c>
      <c r="D443" s="63"/>
      <c r="E443" s="64">
        <v>0</v>
      </c>
      <c r="G443" s="64">
        <v>0</v>
      </c>
      <c r="H443" s="64">
        <v>0</v>
      </c>
      <c r="I443" s="64">
        <v>0</v>
      </c>
      <c r="K443" s="64">
        <f t="shared" si="94"/>
        <v>0</v>
      </c>
      <c r="N443" s="65">
        <f t="shared" si="95"/>
        <v>0</v>
      </c>
    </row>
    <row r="444" spans="1:20" ht="12.75" customHeight="1" x14ac:dyDescent="0.25">
      <c r="A444" s="69" t="s">
        <v>459</v>
      </c>
      <c r="B444" s="70"/>
      <c r="C444" s="62" t="str">
        <f t="shared" si="84"/>
        <v>Total-</v>
      </c>
      <c r="D444" s="69"/>
      <c r="E444" s="71">
        <v>299412.09999999998</v>
      </c>
      <c r="F444" s="71">
        <v>0</v>
      </c>
      <c r="G444" s="71">
        <v>0</v>
      </c>
      <c r="H444" s="71">
        <v>649.99</v>
      </c>
      <c r="I444" s="71">
        <v>0</v>
      </c>
      <c r="J444" s="71">
        <v>0</v>
      </c>
      <c r="K444" s="71">
        <f>SUM(K431:K443)</f>
        <v>300062.09000000003</v>
      </c>
      <c r="M444" s="71">
        <f>SUM(M431:M443)</f>
        <v>396060</v>
      </c>
    </row>
    <row r="445" spans="1:20" ht="12.75" customHeight="1" x14ac:dyDescent="0.25">
      <c r="C445" s="62" t="str">
        <f t="shared" si="84"/>
        <v>-</v>
      </c>
    </row>
    <row r="446" spans="1:20" ht="12.75" customHeight="1" x14ac:dyDescent="0.25">
      <c r="C446" s="62" t="str">
        <f t="shared" si="84"/>
        <v>-</v>
      </c>
    </row>
    <row r="447" spans="1:20" ht="12.75" customHeight="1" x14ac:dyDescent="0.25">
      <c r="C447" s="62" t="str">
        <f t="shared" si="84"/>
        <v>-</v>
      </c>
    </row>
    <row r="448" spans="1:20" ht="12.75" customHeight="1" x14ac:dyDescent="0.25">
      <c r="A448" s="56" t="s">
        <v>454</v>
      </c>
      <c r="B448" s="57" t="s">
        <v>474</v>
      </c>
      <c r="C448" s="62" t="str">
        <f t="shared" si="84"/>
        <v>Loja-Cod</v>
      </c>
      <c r="D448" s="56" t="s">
        <v>475</v>
      </c>
      <c r="E448" s="57" t="s">
        <v>476</v>
      </c>
      <c r="F448" s="57" t="s">
        <v>477</v>
      </c>
      <c r="G448" s="57" t="s">
        <v>478</v>
      </c>
      <c r="H448" s="57" t="s">
        <v>479</v>
      </c>
      <c r="I448" s="57" t="s">
        <v>480</v>
      </c>
      <c r="J448" s="57" t="s">
        <v>481</v>
      </c>
      <c r="K448" s="57" t="s">
        <v>482</v>
      </c>
      <c r="M448" s="59" t="s">
        <v>483</v>
      </c>
      <c r="N448" s="59" t="s">
        <v>484</v>
      </c>
      <c r="P448" s="57" t="s">
        <v>485</v>
      </c>
      <c r="R448" s="60" t="s">
        <v>486</v>
      </c>
      <c r="S448" s="60" t="s">
        <v>466</v>
      </c>
      <c r="T448" s="60" t="s">
        <v>487</v>
      </c>
    </row>
    <row r="449" spans="1:20" ht="12.75" customHeight="1" x14ac:dyDescent="0.25">
      <c r="A449" s="61">
        <v>185</v>
      </c>
      <c r="B449" s="62">
        <v>1</v>
      </c>
      <c r="C449" s="62" t="str">
        <f t="shared" si="84"/>
        <v>185-1</v>
      </c>
      <c r="D449" s="63" t="s">
        <v>411</v>
      </c>
      <c r="E449" s="64">
        <v>1929.91</v>
      </c>
      <c r="G449" s="64">
        <v>0</v>
      </c>
      <c r="H449" s="64">
        <v>0</v>
      </c>
      <c r="I449" s="64">
        <v>0</v>
      </c>
      <c r="K449" s="64">
        <f t="shared" ref="K449:K461" si="99">SUM(E449:J449)</f>
        <v>1929.91</v>
      </c>
      <c r="M449" s="64"/>
      <c r="N449" s="65">
        <f t="shared" ref="N449:N461" si="100">IFERROR(K449/M449,)</f>
        <v>0</v>
      </c>
      <c r="P449" s="64">
        <v>433000</v>
      </c>
      <c r="R449" s="66">
        <v>0</v>
      </c>
      <c r="S449" s="66">
        <f>R449*25%</f>
        <v>0</v>
      </c>
      <c r="T449" s="66">
        <f>IF(N449&gt;1,K449*0.5%,0)</f>
        <v>0</v>
      </c>
    </row>
    <row r="450" spans="1:20" ht="12.75" customHeight="1" x14ac:dyDescent="0.25">
      <c r="A450" s="61">
        <v>185</v>
      </c>
      <c r="B450" s="62">
        <v>2</v>
      </c>
      <c r="C450" s="62" t="str">
        <f t="shared" si="84"/>
        <v>185-2</v>
      </c>
      <c r="D450" s="63" t="s">
        <v>413</v>
      </c>
      <c r="E450" s="64">
        <v>51971.77</v>
      </c>
      <c r="G450" s="64">
        <v>0</v>
      </c>
      <c r="H450" s="64">
        <v>79.989999999999995</v>
      </c>
      <c r="I450" s="64">
        <v>0</v>
      </c>
      <c r="K450" s="64">
        <f t="shared" si="99"/>
        <v>52051.759999999995</v>
      </c>
      <c r="M450" s="64">
        <v>68043</v>
      </c>
      <c r="N450" s="65">
        <f t="shared" si="100"/>
        <v>0.76498331937157382</v>
      </c>
      <c r="R450" s="66">
        <f t="shared" ref="R450:R456" si="101">K450*2.8%</f>
        <v>1457.4492799999996</v>
      </c>
      <c r="S450" s="66">
        <f t="shared" ref="S450:S456" si="102">R450*25%</f>
        <v>364.3623199999999</v>
      </c>
      <c r="T450" s="66">
        <f t="shared" ref="T450:T456" si="103">IF(N450&gt;1,K450*0.5%,0)</f>
        <v>0</v>
      </c>
    </row>
    <row r="451" spans="1:20" ht="12.75" customHeight="1" x14ac:dyDescent="0.25">
      <c r="A451" s="61">
        <v>185</v>
      </c>
      <c r="B451" s="62">
        <v>5</v>
      </c>
      <c r="C451" s="62" t="str">
        <f t="shared" si="84"/>
        <v>185-5</v>
      </c>
      <c r="D451" s="63" t="s">
        <v>420</v>
      </c>
      <c r="E451" s="64">
        <v>59908.68</v>
      </c>
      <c r="G451" s="64">
        <v>0</v>
      </c>
      <c r="H451" s="64">
        <v>0</v>
      </c>
      <c r="I451" s="64">
        <v>0</v>
      </c>
      <c r="K451" s="64">
        <f t="shared" si="99"/>
        <v>59908.68</v>
      </c>
      <c r="M451" s="64">
        <v>68043</v>
      </c>
      <c r="N451" s="65">
        <f t="shared" si="100"/>
        <v>0.8804532428023456</v>
      </c>
      <c r="R451" s="66">
        <f t="shared" si="101"/>
        <v>1677.4430399999999</v>
      </c>
      <c r="S451" s="66">
        <f t="shared" si="102"/>
        <v>419.36075999999997</v>
      </c>
      <c r="T451" s="66">
        <f t="shared" si="103"/>
        <v>0</v>
      </c>
    </row>
    <row r="452" spans="1:20" ht="12.75" customHeight="1" x14ac:dyDescent="0.25">
      <c r="A452" s="61">
        <v>185</v>
      </c>
      <c r="B452" s="62">
        <v>6</v>
      </c>
      <c r="C452" s="62" t="str">
        <f t="shared" ref="C452:C477" si="104">CONCATENATE(A452,"-",B452)</f>
        <v>185-6</v>
      </c>
      <c r="D452" s="63" t="s">
        <v>422</v>
      </c>
      <c r="E452" s="64">
        <v>43724.160000000003</v>
      </c>
      <c r="G452" s="64">
        <v>0</v>
      </c>
      <c r="H452" s="64">
        <v>0</v>
      </c>
      <c r="I452" s="64">
        <v>0</v>
      </c>
      <c r="K452" s="64">
        <f t="shared" si="99"/>
        <v>43724.160000000003</v>
      </c>
      <c r="M452" s="64">
        <v>68043</v>
      </c>
      <c r="N452" s="65">
        <f t="shared" si="100"/>
        <v>0.64259600546713114</v>
      </c>
      <c r="R452" s="66">
        <f t="shared" si="101"/>
        <v>1224.27648</v>
      </c>
      <c r="S452" s="66">
        <f t="shared" si="102"/>
        <v>306.06912</v>
      </c>
      <c r="T452" s="66">
        <f t="shared" si="103"/>
        <v>0</v>
      </c>
    </row>
    <row r="453" spans="1:20" ht="12.75" customHeight="1" x14ac:dyDescent="0.25">
      <c r="A453" s="61">
        <v>185</v>
      </c>
      <c r="B453" s="62">
        <v>7</v>
      </c>
      <c r="C453" s="62" t="str">
        <f t="shared" si="104"/>
        <v>185-7</v>
      </c>
      <c r="D453" s="63" t="s">
        <v>424</v>
      </c>
      <c r="E453" s="64">
        <v>30782.06</v>
      </c>
      <c r="G453" s="64">
        <v>0</v>
      </c>
      <c r="H453" s="64">
        <v>0</v>
      </c>
      <c r="I453" s="64">
        <v>0</v>
      </c>
      <c r="K453" s="64">
        <f t="shared" si="99"/>
        <v>30782.06</v>
      </c>
      <c r="M453" s="64">
        <v>68043</v>
      </c>
      <c r="N453" s="65">
        <f t="shared" si="100"/>
        <v>0.45239128198345169</v>
      </c>
      <c r="R453" s="66">
        <f t="shared" si="101"/>
        <v>861.89767999999992</v>
      </c>
      <c r="S453" s="66">
        <f t="shared" si="102"/>
        <v>215.47441999999998</v>
      </c>
      <c r="T453" s="66">
        <f t="shared" si="103"/>
        <v>0</v>
      </c>
    </row>
    <row r="454" spans="1:20" ht="12.75" customHeight="1" x14ac:dyDescent="0.25">
      <c r="A454" s="61">
        <v>185</v>
      </c>
      <c r="B454" s="62">
        <v>8</v>
      </c>
      <c r="C454" s="62" t="str">
        <f t="shared" si="104"/>
        <v>185-8</v>
      </c>
      <c r="D454" s="63" t="s">
        <v>426</v>
      </c>
      <c r="E454" s="64">
        <v>58974.99</v>
      </c>
      <c r="G454" s="64">
        <v>0</v>
      </c>
      <c r="H454" s="64">
        <v>0</v>
      </c>
      <c r="I454" s="64">
        <v>0</v>
      </c>
      <c r="K454" s="64">
        <f t="shared" si="99"/>
        <v>58974.99</v>
      </c>
      <c r="M454" s="64">
        <v>68043</v>
      </c>
      <c r="N454" s="65">
        <f t="shared" si="100"/>
        <v>0.86673118469203292</v>
      </c>
      <c r="R454" s="66">
        <f t="shared" si="101"/>
        <v>1651.2997199999998</v>
      </c>
      <c r="S454" s="66">
        <f t="shared" si="102"/>
        <v>412.82492999999994</v>
      </c>
      <c r="T454" s="66">
        <f t="shared" si="103"/>
        <v>0</v>
      </c>
    </row>
    <row r="455" spans="1:20" ht="12.75" customHeight="1" x14ac:dyDescent="0.25">
      <c r="A455" s="61">
        <v>185</v>
      </c>
      <c r="B455" s="72">
        <v>10</v>
      </c>
      <c r="C455" s="62" t="str">
        <f t="shared" si="104"/>
        <v>185-10</v>
      </c>
      <c r="D455" s="63" t="s">
        <v>430</v>
      </c>
      <c r="E455" s="64">
        <v>41373.57</v>
      </c>
      <c r="G455" s="64">
        <v>0</v>
      </c>
      <c r="H455" s="64">
        <v>0</v>
      </c>
      <c r="I455" s="64">
        <v>0</v>
      </c>
      <c r="K455" s="64">
        <f t="shared" si="99"/>
        <v>41373.57</v>
      </c>
      <c r="M455" s="64">
        <v>68043</v>
      </c>
      <c r="N455" s="65">
        <f t="shared" si="100"/>
        <v>0.60805035051364575</v>
      </c>
      <c r="R455" s="66">
        <f t="shared" si="101"/>
        <v>1158.4599599999999</v>
      </c>
      <c r="S455" s="66">
        <f t="shared" si="102"/>
        <v>289.61498999999998</v>
      </c>
      <c r="T455" s="66">
        <f t="shared" si="103"/>
        <v>0</v>
      </c>
    </row>
    <row r="456" spans="1:20" ht="12.75" customHeight="1" x14ac:dyDescent="0.25">
      <c r="A456" s="61">
        <v>185</v>
      </c>
      <c r="B456" s="72">
        <v>11</v>
      </c>
      <c r="C456" s="62" t="str">
        <f t="shared" si="104"/>
        <v>185-11</v>
      </c>
      <c r="D456" s="63" t="s">
        <v>432</v>
      </c>
      <c r="E456" s="64">
        <v>38633.11</v>
      </c>
      <c r="G456" s="64">
        <v>0</v>
      </c>
      <c r="H456" s="64">
        <v>0</v>
      </c>
      <c r="I456" s="64">
        <v>0</v>
      </c>
      <c r="K456" s="64">
        <f t="shared" si="99"/>
        <v>38633.11</v>
      </c>
      <c r="M456" s="64">
        <v>68043</v>
      </c>
      <c r="N456" s="65">
        <f t="shared" si="100"/>
        <v>0.56777493643725296</v>
      </c>
      <c r="R456" s="66">
        <f t="shared" si="101"/>
        <v>1081.7270799999999</v>
      </c>
      <c r="S456" s="66">
        <f t="shared" si="102"/>
        <v>270.43176999999997</v>
      </c>
      <c r="T456" s="66">
        <f t="shared" si="103"/>
        <v>0</v>
      </c>
    </row>
    <row r="457" spans="1:20" ht="12.75" customHeight="1" x14ac:dyDescent="0.3">
      <c r="A457" s="61">
        <v>185</v>
      </c>
      <c r="B457" s="72"/>
      <c r="C457" s="62" t="str">
        <f t="shared" si="104"/>
        <v>185-</v>
      </c>
      <c r="D457" s="63"/>
      <c r="E457" s="64">
        <v>0</v>
      </c>
      <c r="G457" s="64">
        <v>0</v>
      </c>
      <c r="H457" s="64">
        <v>0</v>
      </c>
      <c r="I457" s="64">
        <v>0</v>
      </c>
      <c r="K457" s="64">
        <f t="shared" si="99"/>
        <v>0</v>
      </c>
      <c r="M457" s="85"/>
      <c r="N457" s="65">
        <f t="shared" si="100"/>
        <v>0</v>
      </c>
      <c r="R457" s="68">
        <f>SUM(R449:R456)</f>
        <v>9112.5532399999993</v>
      </c>
      <c r="S457" s="68">
        <f>SUM(S449:S456)</f>
        <v>2278.1383099999998</v>
      </c>
      <c r="T457" s="68">
        <f>SUM(T449:T456)</f>
        <v>0</v>
      </c>
    </row>
    <row r="458" spans="1:20" ht="12.75" customHeight="1" x14ac:dyDescent="0.3">
      <c r="A458" s="61">
        <v>185</v>
      </c>
      <c r="B458" s="72"/>
      <c r="C458" s="62" t="str">
        <f t="shared" si="104"/>
        <v>185-</v>
      </c>
      <c r="D458" s="63"/>
      <c r="E458" s="64">
        <v>0</v>
      </c>
      <c r="G458" s="64">
        <v>0</v>
      </c>
      <c r="H458" s="64">
        <v>0</v>
      </c>
      <c r="I458" s="64">
        <v>0</v>
      </c>
      <c r="K458" s="64">
        <f t="shared" si="99"/>
        <v>0</v>
      </c>
      <c r="M458" s="85"/>
      <c r="N458" s="65">
        <f t="shared" si="100"/>
        <v>0</v>
      </c>
    </row>
    <row r="459" spans="1:20" ht="12.75" customHeight="1" x14ac:dyDescent="0.25">
      <c r="A459" s="61">
        <v>185</v>
      </c>
      <c r="B459" s="62"/>
      <c r="C459" s="62" t="str">
        <f t="shared" si="104"/>
        <v>185-</v>
      </c>
      <c r="D459" s="63"/>
      <c r="E459" s="64">
        <v>0</v>
      </c>
      <c r="G459" s="64">
        <v>0</v>
      </c>
      <c r="H459" s="64">
        <v>0</v>
      </c>
      <c r="I459" s="64">
        <v>0</v>
      </c>
      <c r="K459" s="64">
        <f t="shared" si="99"/>
        <v>0</v>
      </c>
      <c r="N459" s="65">
        <f t="shared" si="100"/>
        <v>0</v>
      </c>
    </row>
    <row r="460" spans="1:20" ht="12.75" customHeight="1" x14ac:dyDescent="0.25">
      <c r="A460" s="61">
        <v>185</v>
      </c>
      <c r="B460" s="62"/>
      <c r="C460" s="62" t="str">
        <f t="shared" si="104"/>
        <v>185-</v>
      </c>
      <c r="D460" s="63"/>
      <c r="E460" s="64">
        <v>0</v>
      </c>
      <c r="G460" s="64">
        <v>0</v>
      </c>
      <c r="H460" s="64">
        <v>0</v>
      </c>
      <c r="I460" s="64">
        <v>0</v>
      </c>
      <c r="K460" s="64">
        <f t="shared" si="99"/>
        <v>0</v>
      </c>
      <c r="N460" s="65">
        <f t="shared" si="100"/>
        <v>0</v>
      </c>
    </row>
    <row r="461" spans="1:20" ht="12.75" customHeight="1" x14ac:dyDescent="0.25">
      <c r="A461" s="61">
        <v>185</v>
      </c>
      <c r="B461" s="62"/>
      <c r="C461" s="62" t="str">
        <f t="shared" si="104"/>
        <v>185-</v>
      </c>
      <c r="D461" s="63"/>
      <c r="E461" s="64">
        <v>0</v>
      </c>
      <c r="G461" s="64">
        <v>0</v>
      </c>
      <c r="H461" s="64">
        <v>0</v>
      </c>
      <c r="I461" s="64">
        <v>0</v>
      </c>
      <c r="K461" s="64">
        <f t="shared" si="99"/>
        <v>0</v>
      </c>
      <c r="N461" s="65">
        <f t="shared" si="100"/>
        <v>0</v>
      </c>
    </row>
    <row r="462" spans="1:20" ht="12.75" customHeight="1" x14ac:dyDescent="0.25">
      <c r="A462" s="69" t="s">
        <v>459</v>
      </c>
      <c r="B462" s="70"/>
      <c r="C462" s="62" t="str">
        <f t="shared" si="104"/>
        <v>Total-</v>
      </c>
      <c r="D462" s="69"/>
      <c r="E462" s="71">
        <v>327298.25</v>
      </c>
      <c r="F462" s="71">
        <v>0</v>
      </c>
      <c r="G462" s="71">
        <v>0</v>
      </c>
      <c r="H462" s="71">
        <v>79.989999999999995</v>
      </c>
      <c r="I462" s="71">
        <v>0</v>
      </c>
      <c r="J462" s="71">
        <v>0</v>
      </c>
      <c r="K462" s="71">
        <f>SUM(K449:K461)</f>
        <v>327378.24</v>
      </c>
      <c r="M462" s="71">
        <f>SUM(M449:M461)</f>
        <v>476301</v>
      </c>
    </row>
    <row r="463" spans="1:20" ht="12.75" customHeight="1" x14ac:dyDescent="0.25">
      <c r="C463" s="62" t="str">
        <f t="shared" si="104"/>
        <v>-</v>
      </c>
    </row>
    <row r="464" spans="1:20" ht="12.75" customHeight="1" x14ac:dyDescent="0.25">
      <c r="C464" s="62" t="str">
        <f t="shared" si="104"/>
        <v>-</v>
      </c>
    </row>
    <row r="465" spans="1:20" ht="12.75" customHeight="1" x14ac:dyDescent="0.25">
      <c r="C465" s="62" t="str">
        <f t="shared" si="104"/>
        <v>-</v>
      </c>
    </row>
    <row r="466" spans="1:20" ht="12.75" customHeight="1" x14ac:dyDescent="0.25">
      <c r="A466" s="56" t="s">
        <v>454</v>
      </c>
      <c r="B466" s="57" t="s">
        <v>474</v>
      </c>
      <c r="C466" s="62" t="str">
        <f t="shared" si="104"/>
        <v>Loja-Cod</v>
      </c>
      <c r="D466" s="56" t="s">
        <v>475</v>
      </c>
      <c r="E466" s="57" t="s">
        <v>476</v>
      </c>
      <c r="F466" s="57" t="s">
        <v>477</v>
      </c>
      <c r="G466" s="57" t="s">
        <v>478</v>
      </c>
      <c r="H466" s="57" t="s">
        <v>479</v>
      </c>
      <c r="I466" s="57" t="s">
        <v>480</v>
      </c>
      <c r="J466" s="57" t="s">
        <v>481</v>
      </c>
      <c r="K466" s="57" t="s">
        <v>482</v>
      </c>
      <c r="M466" s="59" t="s">
        <v>483</v>
      </c>
      <c r="N466" s="59" t="s">
        <v>484</v>
      </c>
      <c r="P466" s="57" t="s">
        <v>485</v>
      </c>
      <c r="R466" s="60" t="s">
        <v>486</v>
      </c>
      <c r="S466" s="60" t="s">
        <v>466</v>
      </c>
      <c r="T466" s="60" t="s">
        <v>487</v>
      </c>
    </row>
    <row r="467" spans="1:20" ht="12.75" customHeight="1" x14ac:dyDescent="0.25">
      <c r="A467" s="61">
        <v>200</v>
      </c>
      <c r="B467" s="62">
        <v>74</v>
      </c>
      <c r="C467" s="62" t="str">
        <f t="shared" si="104"/>
        <v>200-74</v>
      </c>
      <c r="D467" s="63" t="s">
        <v>434</v>
      </c>
      <c r="E467" s="64">
        <v>58223.18</v>
      </c>
      <c r="G467" s="64">
        <v>0</v>
      </c>
      <c r="H467" s="64">
        <v>399.99</v>
      </c>
      <c r="I467" s="64">
        <v>0</v>
      </c>
      <c r="K467" s="64">
        <f t="shared" ref="K467:K477" si="105">SUM(E467:J467)</f>
        <v>58623.17</v>
      </c>
      <c r="M467" s="64">
        <v>39784</v>
      </c>
      <c r="N467" s="65">
        <f t="shared" ref="N467:N477" si="106">IFERROR(K467/M467,)</f>
        <v>1.4735363462698572</v>
      </c>
      <c r="P467" s="64">
        <v>217000</v>
      </c>
      <c r="R467" s="66">
        <f>K467*2.8%</f>
        <v>1641.4487599999998</v>
      </c>
      <c r="S467" s="66">
        <f>R467*25%</f>
        <v>410.36218999999994</v>
      </c>
      <c r="T467" s="66">
        <f>IF(N467&gt;1,K467*0.5%,0)</f>
        <v>293.11585000000002</v>
      </c>
    </row>
    <row r="468" spans="1:20" ht="12.75" customHeight="1" x14ac:dyDescent="0.25">
      <c r="A468" s="61">
        <v>200</v>
      </c>
      <c r="B468" s="62">
        <v>82</v>
      </c>
      <c r="C468" s="62" t="str">
        <f t="shared" si="104"/>
        <v>200-82</v>
      </c>
      <c r="D468" s="63" t="s">
        <v>557</v>
      </c>
      <c r="E468" s="64">
        <v>37378.269999999997</v>
      </c>
      <c r="G468" s="64">
        <v>0</v>
      </c>
      <c r="H468" s="64">
        <v>0</v>
      </c>
      <c r="I468" s="64">
        <v>0</v>
      </c>
      <c r="K468" s="64">
        <f t="shared" si="105"/>
        <v>37378.269999999997</v>
      </c>
      <c r="M468" s="64">
        <v>39784</v>
      </c>
      <c r="N468" s="65">
        <f t="shared" si="106"/>
        <v>0.93953021315101537</v>
      </c>
      <c r="R468" s="66">
        <f t="shared" ref="R468:R473" si="107">K468*2.8%</f>
        <v>1046.5915599999998</v>
      </c>
      <c r="S468" s="66">
        <f t="shared" ref="S468:S473" si="108">R468*25%</f>
        <v>261.64788999999996</v>
      </c>
      <c r="T468" s="66">
        <f t="shared" ref="T468:T473" si="109">IF(N468&gt;1,K468*0.5%,0)</f>
        <v>0</v>
      </c>
    </row>
    <row r="469" spans="1:20" ht="12.75" customHeight="1" x14ac:dyDescent="0.25">
      <c r="A469" s="61">
        <v>200</v>
      </c>
      <c r="B469" s="62">
        <v>120</v>
      </c>
      <c r="C469" s="62" t="str">
        <f t="shared" si="104"/>
        <v>200-120</v>
      </c>
      <c r="D469" s="63" t="s">
        <v>558</v>
      </c>
      <c r="E469" s="64">
        <v>25198.01</v>
      </c>
      <c r="G469" s="64">
        <v>0</v>
      </c>
      <c r="H469" s="64">
        <v>0</v>
      </c>
      <c r="I469" s="64">
        <v>0</v>
      </c>
      <c r="K469" s="64">
        <f t="shared" si="105"/>
        <v>25198.01</v>
      </c>
      <c r="M469" s="64">
        <v>39784</v>
      </c>
      <c r="N469" s="65">
        <f>IFERROR(K469/M469,)</f>
        <v>0.63337045043233453</v>
      </c>
      <c r="R469" s="66">
        <f t="shared" si="107"/>
        <v>705.54427999999984</v>
      </c>
      <c r="S469" s="66">
        <f t="shared" si="108"/>
        <v>176.38606999999996</v>
      </c>
      <c r="T469" s="66">
        <f t="shared" si="109"/>
        <v>0</v>
      </c>
    </row>
    <row r="470" spans="1:20" ht="12.75" customHeight="1" x14ac:dyDescent="0.25">
      <c r="A470" s="61">
        <v>200</v>
      </c>
      <c r="B470" s="62">
        <v>128</v>
      </c>
      <c r="C470" s="62" t="str">
        <f t="shared" si="104"/>
        <v>200-128</v>
      </c>
      <c r="D470" s="63"/>
      <c r="E470" s="64">
        <v>-400.2</v>
      </c>
      <c r="G470" s="64">
        <v>0</v>
      </c>
      <c r="H470" s="64">
        <v>0</v>
      </c>
      <c r="I470" s="64">
        <v>0</v>
      </c>
      <c r="K470" s="64">
        <f t="shared" si="105"/>
        <v>-400.2</v>
      </c>
      <c r="M470" s="64"/>
      <c r="N470" s="65">
        <f t="shared" si="106"/>
        <v>0</v>
      </c>
      <c r="R470" s="66">
        <v>0</v>
      </c>
      <c r="S470" s="66">
        <f t="shared" si="108"/>
        <v>0</v>
      </c>
      <c r="T470" s="66">
        <f t="shared" si="109"/>
        <v>0</v>
      </c>
    </row>
    <row r="471" spans="1:20" ht="12.75" customHeight="1" x14ac:dyDescent="0.25">
      <c r="A471" s="61">
        <v>200</v>
      </c>
      <c r="B471" s="62">
        <v>129</v>
      </c>
      <c r="C471" s="62" t="str">
        <f t="shared" si="104"/>
        <v>200-129</v>
      </c>
      <c r="D471" s="63" t="s">
        <v>442</v>
      </c>
      <c r="E471" s="64">
        <v>48005.66</v>
      </c>
      <c r="G471" s="64">
        <v>0</v>
      </c>
      <c r="H471" s="64">
        <v>0</v>
      </c>
      <c r="I471" s="64">
        <v>0</v>
      </c>
      <c r="K471" s="64">
        <f t="shared" si="105"/>
        <v>48005.66</v>
      </c>
      <c r="M471" s="64">
        <v>39784</v>
      </c>
      <c r="N471" s="65">
        <f t="shared" si="106"/>
        <v>1.2066574502312488</v>
      </c>
      <c r="R471" s="66">
        <f t="shared" si="107"/>
        <v>1344.1584800000001</v>
      </c>
      <c r="S471" s="66">
        <f t="shared" si="108"/>
        <v>336.03962000000001</v>
      </c>
      <c r="T471" s="66">
        <f t="shared" si="109"/>
        <v>240.02830000000003</v>
      </c>
    </row>
    <row r="472" spans="1:20" ht="12.75" customHeight="1" x14ac:dyDescent="0.25">
      <c r="A472" s="61">
        <v>200</v>
      </c>
      <c r="B472" s="62">
        <v>132</v>
      </c>
      <c r="C472" s="62" t="str">
        <f t="shared" si="104"/>
        <v>200-132</v>
      </c>
      <c r="D472" s="63" t="s">
        <v>559</v>
      </c>
      <c r="E472" s="64">
        <v>53712.55</v>
      </c>
      <c r="G472" s="64">
        <v>0</v>
      </c>
      <c r="H472" s="64">
        <v>0</v>
      </c>
      <c r="I472" s="64">
        <v>0</v>
      </c>
      <c r="K472" s="64">
        <f t="shared" si="105"/>
        <v>53712.55</v>
      </c>
      <c r="M472" s="64">
        <v>39784</v>
      </c>
      <c r="N472" s="65">
        <f t="shared" si="106"/>
        <v>1.3501043132917756</v>
      </c>
      <c r="R472" s="66">
        <f t="shared" si="107"/>
        <v>1503.9513999999999</v>
      </c>
      <c r="S472" s="66">
        <f t="shared" si="108"/>
        <v>375.98784999999998</v>
      </c>
      <c r="T472" s="66">
        <f t="shared" si="109"/>
        <v>268.56274999999999</v>
      </c>
    </row>
    <row r="473" spans="1:20" ht="12.75" customHeight="1" x14ac:dyDescent="0.25">
      <c r="A473" s="61">
        <v>200</v>
      </c>
      <c r="B473" s="72">
        <v>135</v>
      </c>
      <c r="C473" s="62" t="str">
        <f t="shared" si="104"/>
        <v>200-135</v>
      </c>
      <c r="D473" s="63" t="s">
        <v>450</v>
      </c>
      <c r="E473" s="64">
        <v>26443.65</v>
      </c>
      <c r="G473" s="64">
        <v>0</v>
      </c>
      <c r="H473" s="64">
        <v>349.99</v>
      </c>
      <c r="I473" s="64">
        <v>0</v>
      </c>
      <c r="K473" s="64">
        <f t="shared" si="105"/>
        <v>26793.640000000003</v>
      </c>
      <c r="M473" s="64">
        <v>39784</v>
      </c>
      <c r="N473" s="65">
        <f t="shared" si="106"/>
        <v>0.67347778001206526</v>
      </c>
      <c r="R473" s="66">
        <f t="shared" si="107"/>
        <v>750.22191999999995</v>
      </c>
      <c r="S473" s="66">
        <f t="shared" si="108"/>
        <v>187.55547999999999</v>
      </c>
      <c r="T473" s="66">
        <f t="shared" si="109"/>
        <v>0</v>
      </c>
    </row>
    <row r="474" spans="1:20" ht="12.75" customHeight="1" x14ac:dyDescent="0.25">
      <c r="A474" s="61">
        <v>200</v>
      </c>
      <c r="B474" s="62"/>
      <c r="C474" s="62" t="str">
        <f t="shared" si="104"/>
        <v>200-</v>
      </c>
      <c r="D474" s="63"/>
      <c r="E474" s="64">
        <v>0</v>
      </c>
      <c r="G474" s="64">
        <v>0</v>
      </c>
      <c r="H474" s="64">
        <v>0</v>
      </c>
      <c r="I474" s="64">
        <v>0</v>
      </c>
      <c r="K474" s="64">
        <f t="shared" si="105"/>
        <v>0</v>
      </c>
      <c r="M474" s="64"/>
      <c r="N474" s="65">
        <f t="shared" si="106"/>
        <v>0</v>
      </c>
      <c r="R474" s="68">
        <f>SUM(R467:R473)</f>
        <v>6991.9163999999992</v>
      </c>
      <c r="S474" s="68">
        <f>SUM(S467:S473)</f>
        <v>1747.9790999999998</v>
      </c>
      <c r="T474" s="68">
        <f>SUM(T467:T473)</f>
        <v>801.70690000000013</v>
      </c>
    </row>
    <row r="475" spans="1:20" ht="12.75" customHeight="1" x14ac:dyDescent="0.25">
      <c r="A475" s="61">
        <v>200</v>
      </c>
      <c r="B475" s="62"/>
      <c r="C475" s="62" t="str">
        <f t="shared" si="104"/>
        <v>200-</v>
      </c>
      <c r="D475" s="63"/>
      <c r="E475" s="64">
        <v>0</v>
      </c>
      <c r="G475" s="64">
        <v>0</v>
      </c>
      <c r="H475" s="64">
        <v>0</v>
      </c>
      <c r="I475" s="64">
        <v>0</v>
      </c>
      <c r="K475" s="64">
        <f t="shared" si="105"/>
        <v>0</v>
      </c>
      <c r="M475" s="64"/>
      <c r="N475" s="65">
        <f t="shared" si="106"/>
        <v>0</v>
      </c>
    </row>
    <row r="476" spans="1:20" ht="12.75" customHeight="1" x14ac:dyDescent="0.25">
      <c r="A476" s="61">
        <v>200</v>
      </c>
      <c r="B476" s="62"/>
      <c r="C476" s="62" t="str">
        <f t="shared" si="104"/>
        <v>200-</v>
      </c>
      <c r="D476" s="63"/>
      <c r="E476" s="64">
        <v>0</v>
      </c>
      <c r="G476" s="64">
        <v>0</v>
      </c>
      <c r="H476" s="64">
        <v>0</v>
      </c>
      <c r="I476" s="64">
        <v>0</v>
      </c>
      <c r="K476" s="64">
        <f t="shared" si="105"/>
        <v>0</v>
      </c>
      <c r="M476" s="64"/>
      <c r="N476" s="65">
        <f t="shared" si="106"/>
        <v>0</v>
      </c>
    </row>
    <row r="477" spans="1:20" ht="12.75" customHeight="1" x14ac:dyDescent="0.25">
      <c r="A477" s="61">
        <v>200</v>
      </c>
      <c r="B477" s="62"/>
      <c r="C477" s="62" t="str">
        <f t="shared" si="104"/>
        <v>200-</v>
      </c>
      <c r="D477" s="63"/>
      <c r="E477" s="64">
        <v>0</v>
      </c>
      <c r="G477" s="64">
        <v>0</v>
      </c>
      <c r="H477" s="64">
        <v>0</v>
      </c>
      <c r="I477" s="64">
        <v>0</v>
      </c>
      <c r="K477" s="64">
        <f t="shared" si="105"/>
        <v>0</v>
      </c>
      <c r="M477" s="64"/>
      <c r="N477" s="65">
        <f t="shared" si="106"/>
        <v>0</v>
      </c>
    </row>
    <row r="478" spans="1:20" ht="12.75" customHeight="1" x14ac:dyDescent="0.25">
      <c r="A478" s="69" t="s">
        <v>459</v>
      </c>
      <c r="B478" s="70"/>
      <c r="C478" s="70"/>
      <c r="D478" s="69"/>
      <c r="E478" s="71">
        <v>248561.11999999997</v>
      </c>
      <c r="F478" s="71">
        <v>0</v>
      </c>
      <c r="G478" s="71">
        <v>0</v>
      </c>
      <c r="H478" s="71">
        <v>749.98</v>
      </c>
      <c r="I478" s="71">
        <v>0</v>
      </c>
      <c r="J478" s="71">
        <v>0</v>
      </c>
      <c r="K478" s="71">
        <f>SUM(K467:K477)</f>
        <v>249311.10000000003</v>
      </c>
      <c r="M478" s="71">
        <f>SUM(M467:M477)</f>
        <v>238704</v>
      </c>
    </row>
    <row r="479" spans="1:20" ht="12.75" customHeight="1" x14ac:dyDescent="0.25">
      <c r="S479" s="86" t="s">
        <v>459</v>
      </c>
    </row>
    <row r="480" spans="1:20" ht="12.75" customHeight="1" x14ac:dyDescent="0.25">
      <c r="R480" s="60" t="s">
        <v>486</v>
      </c>
      <c r="S480" s="60" t="s">
        <v>466</v>
      </c>
      <c r="T480" s="60" t="s">
        <v>487</v>
      </c>
    </row>
    <row r="481" spans="1:20" ht="12.75" customHeight="1" x14ac:dyDescent="0.25">
      <c r="R481" s="67">
        <f>SUM(R11,R27,R41,R58,R75,R90,R110,R127,R143,R159,R176,R196,R210,R233,R244,R261,R280,R295,R312,R331,R351,R368,R386,R402,R422,R438,R457,R474)</f>
        <v>263188.98030000005</v>
      </c>
      <c r="S481" s="67">
        <f>SUM(S11,S27,S41,S58,S75,S90,S110,S127,S143,S159,S176,S196,S210,S233,S244,S261,S280,S295,S312,S331,S351,S368,S386,S402,S422,S438,S457,S474)</f>
        <v>65797.245075000013</v>
      </c>
      <c r="T481" s="67">
        <f>SUM(T11,T27,T41,T58,T75,T90,T110,T127,T143,T159,T176,T196,T210,T233,T244,T261,T280,T295,T312,T331,T351,T368,T386,T402,T422,T438,T457,T474)</f>
        <v>25473.485449999996</v>
      </c>
    </row>
    <row r="482" spans="1:20" ht="12.75" customHeight="1" x14ac:dyDescent="0.25">
      <c r="A482" s="87" t="s">
        <v>560</v>
      </c>
      <c r="B482" s="88"/>
      <c r="C482" s="88"/>
      <c r="D482" s="87"/>
      <c r="E482" s="89">
        <v>8982662.2699999977</v>
      </c>
      <c r="F482" s="89">
        <v>899.99</v>
      </c>
      <c r="G482" s="89">
        <v>0</v>
      </c>
      <c r="H482" s="89">
        <v>30824.350000000006</v>
      </c>
      <c r="I482" s="89">
        <v>13640.71</v>
      </c>
      <c r="J482" s="89">
        <v>0</v>
      </c>
      <c r="K482" s="89">
        <f>K478+K407+K391+K373+K355+K336+K318+K301+K284+K267+K250+K233+K216+K199+K182+K165+K148+K131+K114+K97+K80+K64+K47+K30+K14+K426+K444+K462</f>
        <v>9028027.3200000003</v>
      </c>
      <c r="P482" s="89">
        <v>9304000</v>
      </c>
    </row>
    <row r="483" spans="1:20" ht="12.75" customHeight="1" x14ac:dyDescent="0.25"/>
    <row r="484" spans="1:20" ht="12.75" customHeight="1" x14ac:dyDescent="0.25">
      <c r="E484" s="64">
        <v>8734101.1499999985</v>
      </c>
      <c r="F484" s="64">
        <v>899.99</v>
      </c>
      <c r="G484" s="64">
        <v>0</v>
      </c>
      <c r="H484" s="64">
        <v>30074.370000000006</v>
      </c>
      <c r="I484" s="64">
        <v>13640.71</v>
      </c>
      <c r="J484" s="64">
        <v>0</v>
      </c>
      <c r="K484" s="64">
        <f>K482-K478</f>
        <v>8778716.2200000007</v>
      </c>
    </row>
    <row r="485" spans="1:20" ht="12.75" customHeight="1" x14ac:dyDescent="0.25"/>
    <row r="486" spans="1:20" ht="12.75" customHeight="1" x14ac:dyDescent="0.25"/>
    <row r="487" spans="1:20" ht="12.75" customHeight="1" x14ac:dyDescent="0.25"/>
    <row r="488" spans="1:20" ht="12.75" customHeight="1" x14ac:dyDescent="0.25"/>
    <row r="489" spans="1:20" ht="12.75" customHeight="1" x14ac:dyDescent="0.25"/>
    <row r="490" spans="1:20" ht="12.75" customHeight="1" x14ac:dyDescent="0.25"/>
    <row r="491" spans="1:20" ht="12.75" customHeight="1" x14ac:dyDescent="0.25"/>
    <row r="492" spans="1:20" ht="12.75" customHeight="1" x14ac:dyDescent="0.25"/>
    <row r="493" spans="1:20" ht="12.75" customHeight="1" x14ac:dyDescent="0.25"/>
    <row r="494" spans="1:20" ht="12.75" customHeight="1" x14ac:dyDescent="0.25"/>
    <row r="495" spans="1:20" ht="12.75" customHeight="1" x14ac:dyDescent="0.25"/>
    <row r="496" spans="1:20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</sheetData>
  <conditionalFormatting sqref="N3">
    <cfRule type="cellIs" dxfId="38" priority="36" stopIfTrue="1" operator="greaterThan">
      <formula>0.999999999999999</formula>
    </cfRule>
  </conditionalFormatting>
  <conditionalFormatting sqref="N4:N13">
    <cfRule type="cellIs" dxfId="37" priority="35" stopIfTrue="1" operator="greaterThan">
      <formula>0.999999999999999</formula>
    </cfRule>
  </conditionalFormatting>
  <conditionalFormatting sqref="N19:N29">
    <cfRule type="cellIs" dxfId="36" priority="34" stopIfTrue="1" operator="greaterThan">
      <formula>0.999999999999999</formula>
    </cfRule>
  </conditionalFormatting>
  <conditionalFormatting sqref="N36:N46">
    <cfRule type="cellIs" dxfId="35" priority="33" stopIfTrue="1" operator="greaterThan">
      <formula>0.999999999999999</formula>
    </cfRule>
  </conditionalFormatting>
  <conditionalFormatting sqref="N53:N63">
    <cfRule type="cellIs" dxfId="34" priority="32" stopIfTrue="1" operator="greaterThan">
      <formula>0.999999999999999</formula>
    </cfRule>
  </conditionalFormatting>
  <conditionalFormatting sqref="N69:N79">
    <cfRule type="cellIs" dxfId="33" priority="31" stopIfTrue="1" operator="greaterThan">
      <formula>0.999999999999999</formula>
    </cfRule>
  </conditionalFormatting>
  <conditionalFormatting sqref="N86:N96">
    <cfRule type="cellIs" dxfId="32" priority="30" stopIfTrue="1" operator="greaterThan">
      <formula>0.999999999999999</formula>
    </cfRule>
  </conditionalFormatting>
  <conditionalFormatting sqref="N103:N113">
    <cfRule type="cellIs" dxfId="31" priority="29" stopIfTrue="1" operator="greaterThan">
      <formula>0.999999999999999</formula>
    </cfRule>
  </conditionalFormatting>
  <conditionalFormatting sqref="N120:N130">
    <cfRule type="cellIs" dxfId="30" priority="28" stopIfTrue="1" operator="greaterThan">
      <formula>0.999999999999999</formula>
    </cfRule>
  </conditionalFormatting>
  <conditionalFormatting sqref="N137:N147">
    <cfRule type="cellIs" dxfId="29" priority="27" stopIfTrue="1" operator="greaterThan">
      <formula>0.999999999999999</formula>
    </cfRule>
  </conditionalFormatting>
  <conditionalFormatting sqref="N154:N164">
    <cfRule type="cellIs" dxfId="28" priority="26" stopIfTrue="1" operator="greaterThan">
      <formula>0.999999999999999</formula>
    </cfRule>
  </conditionalFormatting>
  <conditionalFormatting sqref="N171:N181">
    <cfRule type="cellIs" dxfId="27" priority="25" stopIfTrue="1" operator="greaterThan">
      <formula>0.999999999999999</formula>
    </cfRule>
  </conditionalFormatting>
  <conditionalFormatting sqref="N188:N198">
    <cfRule type="cellIs" dxfId="26" priority="24" stopIfTrue="1" operator="greaterThan">
      <formula>0.999999999999999</formula>
    </cfRule>
  </conditionalFormatting>
  <conditionalFormatting sqref="N205:N215">
    <cfRule type="cellIs" dxfId="25" priority="23" stopIfTrue="1" operator="greaterThan">
      <formula>0.999999999999999</formula>
    </cfRule>
  </conditionalFormatting>
  <conditionalFormatting sqref="N222:N232">
    <cfRule type="cellIs" dxfId="24" priority="22" stopIfTrue="1" operator="greaterThan">
      <formula>0.999999999999999</formula>
    </cfRule>
  </conditionalFormatting>
  <conditionalFormatting sqref="N239:N249">
    <cfRule type="cellIs" dxfId="23" priority="21" stopIfTrue="1" operator="greaterThan">
      <formula>0.999999999999999</formula>
    </cfRule>
  </conditionalFormatting>
  <conditionalFormatting sqref="N256:N266">
    <cfRule type="cellIs" dxfId="22" priority="20" stopIfTrue="1" operator="greaterThan">
      <formula>0.999999999999999</formula>
    </cfRule>
  </conditionalFormatting>
  <conditionalFormatting sqref="N273:N283">
    <cfRule type="cellIs" dxfId="21" priority="19" stopIfTrue="1" operator="greaterThan">
      <formula>0.999999999999999</formula>
    </cfRule>
  </conditionalFormatting>
  <conditionalFormatting sqref="N290:N300">
    <cfRule type="cellIs" dxfId="20" priority="18" stopIfTrue="1" operator="greaterThan">
      <formula>0.999999999999999</formula>
    </cfRule>
  </conditionalFormatting>
  <conditionalFormatting sqref="N307:N317">
    <cfRule type="cellIs" dxfId="19" priority="17" stopIfTrue="1" operator="greaterThan">
      <formula>0.999999999999999</formula>
    </cfRule>
  </conditionalFormatting>
  <conditionalFormatting sqref="N325:N335">
    <cfRule type="cellIs" dxfId="18" priority="16" stopIfTrue="1" operator="greaterThan">
      <formula>0.999999999999999</formula>
    </cfRule>
  </conditionalFormatting>
  <conditionalFormatting sqref="N344:N354">
    <cfRule type="cellIs" dxfId="17" priority="15" stopIfTrue="1" operator="greaterThan">
      <formula>0.999999999999999</formula>
    </cfRule>
  </conditionalFormatting>
  <conditionalFormatting sqref="N362:N372">
    <cfRule type="cellIs" dxfId="16" priority="14" stopIfTrue="1" operator="greaterThan">
      <formula>0.999999999999999</formula>
    </cfRule>
  </conditionalFormatting>
  <conditionalFormatting sqref="N380:N390">
    <cfRule type="cellIs" dxfId="15" priority="13" stopIfTrue="1" operator="greaterThan">
      <formula>0.999999999999999</formula>
    </cfRule>
  </conditionalFormatting>
  <conditionalFormatting sqref="N396:N398 N400:N406">
    <cfRule type="cellIs" dxfId="14" priority="12" stopIfTrue="1" operator="greaterThan">
      <formula>0.999999999999999</formula>
    </cfRule>
  </conditionalFormatting>
  <conditionalFormatting sqref="N467:N477">
    <cfRule type="cellIs" dxfId="13" priority="11" stopIfTrue="1" operator="greaterThan">
      <formula>0.999999999999999</formula>
    </cfRule>
  </conditionalFormatting>
  <conditionalFormatting sqref="N399">
    <cfRule type="cellIs" dxfId="12" priority="10" stopIfTrue="1" operator="greaterThan">
      <formula>0.999999999999999</formula>
    </cfRule>
  </conditionalFormatting>
  <conditionalFormatting sqref="N413:N415 N417:N419 N422:N425">
    <cfRule type="cellIs" dxfId="11" priority="9" stopIfTrue="1" operator="greaterThan">
      <formula>0.999999999999999</formula>
    </cfRule>
  </conditionalFormatting>
  <conditionalFormatting sqref="N416">
    <cfRule type="cellIs" dxfId="10" priority="8" stopIfTrue="1" operator="greaterThan">
      <formula>0.999999999999999</formula>
    </cfRule>
  </conditionalFormatting>
  <conditionalFormatting sqref="N420:N421">
    <cfRule type="cellIs" dxfId="9" priority="7" stopIfTrue="1" operator="greaterThan">
      <formula>0.999999999999999</formula>
    </cfRule>
  </conditionalFormatting>
  <conditionalFormatting sqref="N431:N433 N435:N437 N440:N443">
    <cfRule type="cellIs" dxfId="8" priority="6" stopIfTrue="1" operator="greaterThan">
      <formula>0.999999999999999</formula>
    </cfRule>
  </conditionalFormatting>
  <conditionalFormatting sqref="N434">
    <cfRule type="cellIs" dxfId="7" priority="5" stopIfTrue="1" operator="greaterThan">
      <formula>0.999999999999999</formula>
    </cfRule>
  </conditionalFormatting>
  <conditionalFormatting sqref="N438:N439">
    <cfRule type="cellIs" dxfId="6" priority="4" stopIfTrue="1" operator="greaterThan">
      <formula>0.999999999999999</formula>
    </cfRule>
  </conditionalFormatting>
  <conditionalFormatting sqref="N456:N457">
    <cfRule type="cellIs" dxfId="5" priority="1" stopIfTrue="1" operator="greaterThan">
      <formula>0.999999999999999</formula>
    </cfRule>
  </conditionalFormatting>
  <conditionalFormatting sqref="N449:N451 N453:N455 N458:N461">
    <cfRule type="cellIs" dxfId="4" priority="3" stopIfTrue="1" operator="greaterThan">
      <formula>0.999999999999999</formula>
    </cfRule>
  </conditionalFormatting>
  <conditionalFormatting sqref="N452">
    <cfRule type="cellIs" dxfId="3" priority="2" stopIfTrue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Q32"/>
  <sheetViews>
    <sheetView showGridLines="0" topLeftCell="A10" workbookViewId="0">
      <selection activeCell="Q25" sqref="Q25"/>
    </sheetView>
  </sheetViews>
  <sheetFormatPr defaultColWidth="9.109375" defaultRowHeight="14.4" x14ac:dyDescent="0.3"/>
  <cols>
    <col min="1" max="1" width="4.33203125" style="92" customWidth="1"/>
    <col min="2" max="2" width="9.109375" style="92"/>
    <col min="3" max="3" width="34.88671875" style="105" bestFit="1" customWidth="1"/>
    <col min="4" max="4" width="12.44140625" style="94" bestFit="1" customWidth="1"/>
    <col min="5" max="5" width="13.5546875" style="94" hidden="1" customWidth="1"/>
    <col min="6" max="6" width="14.33203125" style="94" hidden="1" customWidth="1"/>
    <col min="7" max="7" width="20.5546875" style="94" hidden="1" customWidth="1"/>
    <col min="8" max="10" width="16.33203125" style="94" hidden="1" customWidth="1"/>
    <col min="11" max="12" width="13.5546875" style="94" customWidth="1"/>
    <col min="13" max="13" width="17.44140625" style="92" bestFit="1" customWidth="1"/>
    <col min="14" max="14" width="9.109375" style="92"/>
    <col min="15" max="15" width="11.109375" style="92" bestFit="1" customWidth="1"/>
    <col min="16" max="16" width="10" style="92" bestFit="1" customWidth="1"/>
    <col min="17" max="16384" width="9.109375" style="92"/>
  </cols>
  <sheetData>
    <row r="1" spans="2:17" x14ac:dyDescent="0.3">
      <c r="B1" s="90" t="s">
        <v>561</v>
      </c>
      <c r="C1" s="90" t="s">
        <v>454</v>
      </c>
      <c r="D1" s="91" t="s">
        <v>562</v>
      </c>
      <c r="E1" s="91" t="s">
        <v>563</v>
      </c>
      <c r="F1" s="91" t="s">
        <v>477</v>
      </c>
      <c r="G1" s="91" t="s">
        <v>564</v>
      </c>
      <c r="H1" s="91" t="s">
        <v>479</v>
      </c>
      <c r="I1" s="91" t="s">
        <v>480</v>
      </c>
      <c r="J1" s="91" t="s">
        <v>481</v>
      </c>
      <c r="K1" s="91" t="s">
        <v>482</v>
      </c>
      <c r="L1" s="91" t="s">
        <v>565</v>
      </c>
      <c r="M1" s="91" t="s">
        <v>566</v>
      </c>
      <c r="O1" s="93" t="s">
        <v>486</v>
      </c>
      <c r="P1" s="93" t="s">
        <v>466</v>
      </c>
      <c r="Q1" s="93" t="s">
        <v>487</v>
      </c>
    </row>
    <row r="2" spans="2:17" x14ac:dyDescent="0.3">
      <c r="B2" s="92">
        <v>62</v>
      </c>
      <c r="C2" s="92" t="s">
        <v>567</v>
      </c>
      <c r="D2" s="94" t="s">
        <v>568</v>
      </c>
      <c r="E2" s="95">
        <v>715461.06</v>
      </c>
      <c r="F2" s="95"/>
      <c r="G2" s="95">
        <v>0</v>
      </c>
      <c r="H2" s="95">
        <v>1449.97</v>
      </c>
      <c r="I2" s="95">
        <v>0</v>
      </c>
      <c r="J2" s="95">
        <v>0</v>
      </c>
      <c r="K2" s="96">
        <f>SUM(E2:J2)</f>
        <v>716911.03</v>
      </c>
      <c r="L2" s="95">
        <v>700000</v>
      </c>
      <c r="M2" s="97">
        <f>IFERROR(K2/L2,0)</f>
        <v>1.0241586142857144</v>
      </c>
      <c r="O2" s="98">
        <f>K2*0.9%</f>
        <v>6452.199270000001</v>
      </c>
      <c r="P2" s="98">
        <f t="shared" ref="P2:P8" si="0">O2*25%</f>
        <v>1613.0498175000002</v>
      </c>
      <c r="Q2" s="98" t="str">
        <f t="shared" ref="Q2:Q8" si="1">IF(M2&gt;1,"2000",0)</f>
        <v>2000</v>
      </c>
    </row>
    <row r="3" spans="2:17" x14ac:dyDescent="0.3">
      <c r="B3" s="92">
        <v>93</v>
      </c>
      <c r="C3" s="92" t="s">
        <v>569</v>
      </c>
      <c r="D3" s="94" t="s">
        <v>568</v>
      </c>
      <c r="E3" s="95">
        <v>481245.8</v>
      </c>
      <c r="F3" s="95"/>
      <c r="G3" s="95">
        <v>0</v>
      </c>
      <c r="H3" s="95">
        <v>199.99</v>
      </c>
      <c r="I3" s="95">
        <v>0</v>
      </c>
      <c r="J3" s="95">
        <v>0</v>
      </c>
      <c r="K3" s="96">
        <f t="shared" ref="K3:K29" si="2">SUM(E3:J3)</f>
        <v>481445.79</v>
      </c>
      <c r="L3" s="95">
        <v>450000</v>
      </c>
      <c r="M3" s="97">
        <f t="shared" ref="M3:M30" si="3">IFERROR(K3/L3,0)</f>
        <v>1.0698795333333333</v>
      </c>
      <c r="O3" s="98">
        <f>K3*1%</f>
        <v>4814.4579000000003</v>
      </c>
      <c r="P3" s="98">
        <f t="shared" si="0"/>
        <v>1203.6144750000001</v>
      </c>
      <c r="Q3" s="98" t="str">
        <f t="shared" si="1"/>
        <v>2000</v>
      </c>
    </row>
    <row r="4" spans="2:17" x14ac:dyDescent="0.3">
      <c r="B4" s="92">
        <v>94</v>
      </c>
      <c r="C4" s="92" t="s">
        <v>570</v>
      </c>
      <c r="D4" s="94" t="s">
        <v>568</v>
      </c>
      <c r="E4" s="95">
        <v>133053.01999999999</v>
      </c>
      <c r="F4" s="95"/>
      <c r="G4" s="95">
        <v>0</v>
      </c>
      <c r="H4" s="95">
        <v>1499.97</v>
      </c>
      <c r="I4" s="95">
        <v>399.99</v>
      </c>
      <c r="J4" s="95">
        <v>0</v>
      </c>
      <c r="K4" s="96">
        <f t="shared" si="2"/>
        <v>134952.97999999998</v>
      </c>
      <c r="L4" s="95">
        <v>155000</v>
      </c>
      <c r="M4" s="97">
        <f t="shared" si="3"/>
        <v>0.87066438709677407</v>
      </c>
      <c r="O4" s="98">
        <f>K4*1.7%</f>
        <v>2294.20066</v>
      </c>
      <c r="P4" s="98">
        <f t="shared" si="0"/>
        <v>573.55016499999999</v>
      </c>
      <c r="Q4" s="98">
        <f t="shared" si="1"/>
        <v>0</v>
      </c>
    </row>
    <row r="5" spans="2:17" x14ac:dyDescent="0.3">
      <c r="B5" s="92">
        <v>95</v>
      </c>
      <c r="C5" s="92" t="s">
        <v>571</v>
      </c>
      <c r="D5" s="94" t="s">
        <v>572</v>
      </c>
      <c r="E5" s="95">
        <v>248239</v>
      </c>
      <c r="F5" s="95"/>
      <c r="G5" s="95">
        <v>0</v>
      </c>
      <c r="H5" s="95">
        <v>1199.98</v>
      </c>
      <c r="I5" s="95">
        <v>899.97</v>
      </c>
      <c r="J5" s="95">
        <v>0</v>
      </c>
      <c r="K5" s="96">
        <f t="shared" si="2"/>
        <v>250338.95</v>
      </c>
      <c r="L5" s="95">
        <v>250000</v>
      </c>
      <c r="M5" s="97">
        <f t="shared" si="3"/>
        <v>1.0013558</v>
      </c>
      <c r="O5" s="98">
        <f>K5*1.3%</f>
        <v>3254.4063500000007</v>
      </c>
      <c r="P5" s="98">
        <f t="shared" si="0"/>
        <v>813.60158750000016</v>
      </c>
      <c r="Q5" s="98" t="str">
        <f t="shared" si="1"/>
        <v>2000</v>
      </c>
    </row>
    <row r="6" spans="2:17" x14ac:dyDescent="0.3">
      <c r="B6" s="92">
        <v>103</v>
      </c>
      <c r="C6" s="92" t="s">
        <v>573</v>
      </c>
      <c r="D6" s="94" t="s">
        <v>572</v>
      </c>
      <c r="E6" s="95">
        <v>330343.06</v>
      </c>
      <c r="F6" s="95"/>
      <c r="G6" s="95">
        <v>0</v>
      </c>
      <c r="H6" s="95">
        <v>4639.9299999999994</v>
      </c>
      <c r="I6" s="95">
        <v>3139.9300000000003</v>
      </c>
      <c r="J6" s="95">
        <v>0</v>
      </c>
      <c r="K6" s="96">
        <f t="shared" si="2"/>
        <v>338122.92</v>
      </c>
      <c r="L6" s="95">
        <v>295000</v>
      </c>
      <c r="M6" s="97">
        <f t="shared" si="3"/>
        <v>1.1461793898305084</v>
      </c>
      <c r="O6" s="98">
        <f>K6*1.1%</f>
        <v>3719.35212</v>
      </c>
      <c r="P6" s="98">
        <f t="shared" si="0"/>
        <v>929.83803</v>
      </c>
      <c r="Q6" s="98" t="str">
        <f t="shared" si="1"/>
        <v>2000</v>
      </c>
    </row>
    <row r="7" spans="2:17" x14ac:dyDescent="0.3">
      <c r="B7" s="92">
        <v>104</v>
      </c>
      <c r="C7" s="92" t="s">
        <v>574</v>
      </c>
      <c r="D7" s="94" t="s">
        <v>572</v>
      </c>
      <c r="E7" s="95">
        <v>268379.58</v>
      </c>
      <c r="F7" s="95"/>
      <c r="G7" s="95">
        <v>0</v>
      </c>
      <c r="H7" s="95">
        <v>0</v>
      </c>
      <c r="I7" s="95">
        <v>349.99</v>
      </c>
      <c r="J7" s="95">
        <v>0</v>
      </c>
      <c r="K7" s="96">
        <f t="shared" si="2"/>
        <v>268729.57</v>
      </c>
      <c r="L7" s="95">
        <v>280000</v>
      </c>
      <c r="M7" s="97">
        <f t="shared" si="3"/>
        <v>0.95974846428571436</v>
      </c>
      <c r="O7" s="98">
        <f>K7*1.3%</f>
        <v>3493.4844100000005</v>
      </c>
      <c r="P7" s="98">
        <f t="shared" si="0"/>
        <v>873.37110250000012</v>
      </c>
      <c r="Q7" s="98">
        <f t="shared" si="1"/>
        <v>0</v>
      </c>
    </row>
    <row r="8" spans="2:17" x14ac:dyDescent="0.3">
      <c r="B8" s="92">
        <v>105</v>
      </c>
      <c r="C8" s="92" t="s">
        <v>575</v>
      </c>
      <c r="D8" s="94" t="s">
        <v>572</v>
      </c>
      <c r="E8" s="95">
        <v>340647.28</v>
      </c>
      <c r="F8" s="95"/>
      <c r="G8" s="95">
        <v>0</v>
      </c>
      <c r="H8" s="95">
        <v>0</v>
      </c>
      <c r="I8" s="95">
        <v>0</v>
      </c>
      <c r="J8" s="95">
        <v>0</v>
      </c>
      <c r="K8" s="96">
        <f t="shared" si="2"/>
        <v>340647.28</v>
      </c>
      <c r="L8" s="95">
        <v>400000</v>
      </c>
      <c r="M8" s="97">
        <f t="shared" si="3"/>
        <v>0.8516182000000001</v>
      </c>
      <c r="O8" s="98">
        <f>K8*1.2%</f>
        <v>4087.7673600000003</v>
      </c>
      <c r="P8" s="98">
        <f t="shared" si="0"/>
        <v>1021.9418400000001</v>
      </c>
      <c r="Q8" s="98">
        <f t="shared" si="1"/>
        <v>0</v>
      </c>
    </row>
    <row r="9" spans="2:17" x14ac:dyDescent="0.3">
      <c r="B9" s="92">
        <v>116</v>
      </c>
      <c r="C9" s="92" t="s">
        <v>576</v>
      </c>
      <c r="D9" s="94" t="s">
        <v>568</v>
      </c>
      <c r="E9" s="95">
        <v>354744.4</v>
      </c>
      <c r="F9" s="95"/>
      <c r="G9" s="95">
        <v>0</v>
      </c>
      <c r="H9" s="95">
        <v>6959.869999999999</v>
      </c>
      <c r="I9" s="95">
        <v>599.99</v>
      </c>
      <c r="J9" s="95">
        <v>0</v>
      </c>
      <c r="K9" s="96">
        <f t="shared" si="2"/>
        <v>362304.26</v>
      </c>
      <c r="L9" s="95">
        <v>450000</v>
      </c>
      <c r="M9" s="97">
        <f t="shared" si="3"/>
        <v>0.80512057777777779</v>
      </c>
      <c r="O9" s="98">
        <f>K9*1.3%</f>
        <v>4709.9553800000003</v>
      </c>
      <c r="P9" s="98">
        <f t="shared" ref="P9:P29" si="4">O9*25%</f>
        <v>1177.4888450000001</v>
      </c>
      <c r="Q9" s="98">
        <f t="shared" ref="Q9:Q29" si="5">IF(M9&gt;1,"2000",0)</f>
        <v>0</v>
      </c>
    </row>
    <row r="10" spans="2:17" x14ac:dyDescent="0.3">
      <c r="B10" s="92">
        <v>123</v>
      </c>
      <c r="C10" s="92" t="s">
        <v>577</v>
      </c>
      <c r="D10" s="94" t="s">
        <v>568</v>
      </c>
      <c r="E10" s="95">
        <v>276888.2</v>
      </c>
      <c r="F10" s="95"/>
      <c r="G10" s="95">
        <v>0</v>
      </c>
      <c r="H10" s="95">
        <v>0</v>
      </c>
      <c r="I10" s="95">
        <v>0</v>
      </c>
      <c r="J10" s="95">
        <v>0</v>
      </c>
      <c r="K10" s="96">
        <f t="shared" si="2"/>
        <v>276888.2</v>
      </c>
      <c r="L10" s="95">
        <v>220000</v>
      </c>
      <c r="M10" s="97">
        <f t="shared" si="3"/>
        <v>1.2585827272727272</v>
      </c>
      <c r="O10" s="98">
        <f>K10*1.7%</f>
        <v>4707.099400000001</v>
      </c>
      <c r="P10" s="98">
        <f t="shared" si="4"/>
        <v>1176.7748500000002</v>
      </c>
      <c r="Q10" s="98" t="str">
        <f t="shared" si="5"/>
        <v>2000</v>
      </c>
    </row>
    <row r="11" spans="2:17" x14ac:dyDescent="0.3">
      <c r="B11" s="92">
        <v>124</v>
      </c>
      <c r="C11" s="92" t="s">
        <v>578</v>
      </c>
      <c r="D11" s="94" t="s">
        <v>568</v>
      </c>
      <c r="E11" s="95">
        <v>221005.56</v>
      </c>
      <c r="F11" s="95"/>
      <c r="G11" s="95">
        <v>0</v>
      </c>
      <c r="H11" s="95">
        <v>0</v>
      </c>
      <c r="I11" s="95">
        <v>0</v>
      </c>
      <c r="J11" s="95">
        <v>0</v>
      </c>
      <c r="K11" s="96">
        <f t="shared" si="2"/>
        <v>221005.56</v>
      </c>
      <c r="L11" s="95">
        <v>190000</v>
      </c>
      <c r="M11" s="97">
        <f t="shared" si="3"/>
        <v>1.1631871578947368</v>
      </c>
      <c r="O11" s="98">
        <f>K11*1.6%</f>
        <v>3536.08896</v>
      </c>
      <c r="P11" s="98">
        <f t="shared" si="4"/>
        <v>884.02224000000001</v>
      </c>
      <c r="Q11" s="98" t="str">
        <f t="shared" si="5"/>
        <v>2000</v>
      </c>
    </row>
    <row r="12" spans="2:17" x14ac:dyDescent="0.3">
      <c r="B12" s="92">
        <v>125</v>
      </c>
      <c r="C12" s="92" t="s">
        <v>579</v>
      </c>
      <c r="D12" s="94" t="s">
        <v>568</v>
      </c>
      <c r="E12" s="95">
        <v>217176.94</v>
      </c>
      <c r="F12" s="95"/>
      <c r="G12" s="95">
        <v>0</v>
      </c>
      <c r="H12" s="95">
        <v>0</v>
      </c>
      <c r="I12" s="95">
        <v>0</v>
      </c>
      <c r="J12" s="95">
        <v>0</v>
      </c>
      <c r="K12" s="96">
        <f t="shared" si="2"/>
        <v>217176.94</v>
      </c>
      <c r="L12" s="95">
        <v>190000</v>
      </c>
      <c r="M12" s="97">
        <f t="shared" si="3"/>
        <v>1.1430365263157896</v>
      </c>
      <c r="O12" s="98">
        <f>K12*1.3%</f>
        <v>2823.3002200000001</v>
      </c>
      <c r="P12" s="98">
        <f t="shared" si="4"/>
        <v>705.82505500000002</v>
      </c>
      <c r="Q12" s="98" t="str">
        <f t="shared" si="5"/>
        <v>2000</v>
      </c>
    </row>
    <row r="13" spans="2:17" x14ac:dyDescent="0.3">
      <c r="B13" s="92">
        <v>126</v>
      </c>
      <c r="C13" s="92" t="s">
        <v>580</v>
      </c>
      <c r="D13" s="94" t="s">
        <v>572</v>
      </c>
      <c r="E13" s="95">
        <v>378579.20000000001</v>
      </c>
      <c r="F13" s="95"/>
      <c r="G13" s="95">
        <v>0</v>
      </c>
      <c r="H13" s="95">
        <v>899.99</v>
      </c>
      <c r="I13" s="95">
        <v>0</v>
      </c>
      <c r="J13" s="95">
        <v>0</v>
      </c>
      <c r="K13" s="96">
        <f t="shared" si="2"/>
        <v>379479.19</v>
      </c>
      <c r="L13" s="95">
        <v>350000</v>
      </c>
      <c r="M13" s="97">
        <f t="shared" si="3"/>
        <v>1.0842262571428571</v>
      </c>
      <c r="O13" s="98">
        <f>K13*1.2%</f>
        <v>4553.7502800000002</v>
      </c>
      <c r="P13" s="98">
        <f t="shared" si="4"/>
        <v>1138.4375700000001</v>
      </c>
      <c r="Q13" s="98" t="str">
        <f t="shared" si="5"/>
        <v>2000</v>
      </c>
    </row>
    <row r="14" spans="2:17" x14ac:dyDescent="0.3">
      <c r="B14" s="92">
        <v>127</v>
      </c>
      <c r="C14" s="92" t="s">
        <v>581</v>
      </c>
      <c r="D14" s="94" t="s">
        <v>572</v>
      </c>
      <c r="E14" s="95">
        <v>139872.16</v>
      </c>
      <c r="F14" s="95"/>
      <c r="G14" s="95">
        <v>0</v>
      </c>
      <c r="H14" s="95">
        <v>0</v>
      </c>
      <c r="I14" s="95">
        <v>0</v>
      </c>
      <c r="J14" s="95">
        <v>0</v>
      </c>
      <c r="K14" s="96">
        <f t="shared" si="2"/>
        <v>139872.16</v>
      </c>
      <c r="L14" s="95">
        <v>135000</v>
      </c>
      <c r="M14" s="97">
        <f t="shared" si="3"/>
        <v>1.0360900740740742</v>
      </c>
      <c r="O14" s="98">
        <f>K14*1.6%</f>
        <v>2237.9545600000001</v>
      </c>
      <c r="P14" s="98">
        <f t="shared" si="4"/>
        <v>559.48864000000003</v>
      </c>
      <c r="Q14" s="98" t="str">
        <f t="shared" si="5"/>
        <v>2000</v>
      </c>
    </row>
    <row r="15" spans="2:17" x14ac:dyDescent="0.3">
      <c r="B15" s="92">
        <v>139</v>
      </c>
      <c r="C15" s="92" t="s">
        <v>582</v>
      </c>
      <c r="D15" s="94" t="s">
        <v>568</v>
      </c>
      <c r="E15" s="95">
        <v>412649.15</v>
      </c>
      <c r="F15" s="95"/>
      <c r="G15" s="95">
        <v>0</v>
      </c>
      <c r="H15" s="95">
        <v>0</v>
      </c>
      <c r="I15" s="95">
        <v>0</v>
      </c>
      <c r="J15" s="95">
        <v>0</v>
      </c>
      <c r="K15" s="96">
        <f t="shared" si="2"/>
        <v>412649.15</v>
      </c>
      <c r="L15" s="95">
        <v>540000</v>
      </c>
      <c r="M15" s="97">
        <f t="shared" si="3"/>
        <v>0.76416509259259269</v>
      </c>
      <c r="O15" s="98">
        <f>K15*0.9%</f>
        <v>3713.8423500000008</v>
      </c>
      <c r="P15" s="98">
        <f t="shared" si="4"/>
        <v>928.4605875000002</v>
      </c>
      <c r="Q15" s="98">
        <f t="shared" si="5"/>
        <v>0</v>
      </c>
    </row>
    <row r="16" spans="2:17" x14ac:dyDescent="0.3">
      <c r="B16" s="92">
        <v>144</v>
      </c>
      <c r="C16" s="92" t="s">
        <v>583</v>
      </c>
      <c r="D16" s="94" t="s">
        <v>568</v>
      </c>
      <c r="E16" s="95">
        <v>196726.86</v>
      </c>
      <c r="F16" s="95"/>
      <c r="G16" s="95">
        <v>0</v>
      </c>
      <c r="H16" s="95">
        <v>0</v>
      </c>
      <c r="I16" s="95">
        <v>0</v>
      </c>
      <c r="J16" s="95">
        <v>0</v>
      </c>
      <c r="K16" s="96">
        <f t="shared" si="2"/>
        <v>196726.86</v>
      </c>
      <c r="L16" s="95">
        <v>240000</v>
      </c>
      <c r="M16" s="97">
        <f t="shared" si="3"/>
        <v>0.81969524999999999</v>
      </c>
      <c r="O16" s="98">
        <f>K16*1.4%</f>
        <v>2754.1760399999994</v>
      </c>
      <c r="P16" s="98">
        <f t="shared" si="4"/>
        <v>688.54400999999984</v>
      </c>
      <c r="Q16" s="98">
        <f t="shared" si="5"/>
        <v>0</v>
      </c>
    </row>
    <row r="17" spans="2:17" x14ac:dyDescent="0.3">
      <c r="B17" s="92">
        <v>154</v>
      </c>
      <c r="C17" s="92" t="s">
        <v>584</v>
      </c>
      <c r="D17" s="94" t="s">
        <v>572</v>
      </c>
      <c r="E17" s="95">
        <v>236243.69</v>
      </c>
      <c r="F17" s="95"/>
      <c r="G17" s="95">
        <v>0</v>
      </c>
      <c r="H17" s="95">
        <v>0</v>
      </c>
      <c r="I17" s="95">
        <v>499.99</v>
      </c>
      <c r="J17" s="95">
        <v>0</v>
      </c>
      <c r="K17" s="96">
        <f t="shared" si="2"/>
        <v>236743.67999999999</v>
      </c>
      <c r="L17" s="95">
        <v>204000</v>
      </c>
      <c r="M17" s="97">
        <f t="shared" si="3"/>
        <v>1.1605082352941176</v>
      </c>
      <c r="O17" s="98">
        <f>K17*1.4%</f>
        <v>3314.4115199999997</v>
      </c>
      <c r="P17" s="98">
        <f t="shared" si="4"/>
        <v>828.60287999999991</v>
      </c>
      <c r="Q17" s="98" t="str">
        <f t="shared" si="5"/>
        <v>2000</v>
      </c>
    </row>
    <row r="18" spans="2:17" x14ac:dyDescent="0.3">
      <c r="B18" s="92">
        <v>156</v>
      </c>
      <c r="C18" s="92" t="s">
        <v>585</v>
      </c>
      <c r="D18" s="94" t="s">
        <v>568</v>
      </c>
      <c r="E18" s="95">
        <v>388564.73</v>
      </c>
      <c r="F18" s="95">
        <v>899.99</v>
      </c>
      <c r="G18" s="95">
        <v>0</v>
      </c>
      <c r="H18" s="95">
        <v>6079.88</v>
      </c>
      <c r="I18" s="95">
        <v>4600.8999999999996</v>
      </c>
      <c r="J18" s="95">
        <v>0</v>
      </c>
      <c r="K18" s="96">
        <f t="shared" si="2"/>
        <v>400145.5</v>
      </c>
      <c r="L18" s="95">
        <v>380000</v>
      </c>
      <c r="M18" s="97">
        <f t="shared" si="3"/>
        <v>1.0530144736842104</v>
      </c>
      <c r="O18" s="98">
        <f>K18*1.2%</f>
        <v>4801.7460000000001</v>
      </c>
      <c r="P18" s="98">
        <f t="shared" si="4"/>
        <v>1200.4365</v>
      </c>
      <c r="Q18" s="98" t="str">
        <f t="shared" si="5"/>
        <v>2000</v>
      </c>
    </row>
    <row r="19" spans="2:17" x14ac:dyDescent="0.3">
      <c r="B19" s="92">
        <v>157</v>
      </c>
      <c r="C19" s="92" t="s">
        <v>586</v>
      </c>
      <c r="D19" s="94" t="s">
        <v>572</v>
      </c>
      <c r="E19" s="95">
        <v>209156.33</v>
      </c>
      <c r="F19" s="95"/>
      <c r="G19" s="95">
        <v>0</v>
      </c>
      <c r="H19" s="95">
        <v>2169.9300000000003</v>
      </c>
      <c r="I19" s="95">
        <v>399.99</v>
      </c>
      <c r="J19" s="95">
        <v>0</v>
      </c>
      <c r="K19" s="96">
        <f t="shared" si="2"/>
        <v>211726.24999999997</v>
      </c>
      <c r="L19" s="95">
        <v>165000</v>
      </c>
      <c r="M19" s="97">
        <f t="shared" si="3"/>
        <v>1.2831893939393937</v>
      </c>
      <c r="O19" s="98">
        <f>K19*1.6%</f>
        <v>3387.6199999999994</v>
      </c>
      <c r="P19" s="98">
        <f t="shared" si="4"/>
        <v>846.90499999999986</v>
      </c>
      <c r="Q19" s="98" t="str">
        <f t="shared" si="5"/>
        <v>2000</v>
      </c>
    </row>
    <row r="20" spans="2:17" x14ac:dyDescent="0.3">
      <c r="B20" s="92">
        <v>161</v>
      </c>
      <c r="C20" s="92" t="s">
        <v>587</v>
      </c>
      <c r="D20" s="94" t="s">
        <v>572</v>
      </c>
      <c r="E20" s="95">
        <v>190375.56</v>
      </c>
      <c r="F20" s="95"/>
      <c r="G20" s="95">
        <v>0</v>
      </c>
      <c r="H20" s="95">
        <v>0</v>
      </c>
      <c r="I20" s="95">
        <v>0</v>
      </c>
      <c r="J20" s="95">
        <v>0</v>
      </c>
      <c r="K20" s="96">
        <f t="shared" si="2"/>
        <v>190375.56</v>
      </c>
      <c r="L20" s="95">
        <v>230000</v>
      </c>
      <c r="M20" s="97">
        <f t="shared" si="3"/>
        <v>0.82771982608695649</v>
      </c>
      <c r="O20" s="98">
        <f>K20*1.5%</f>
        <v>2855.6333999999997</v>
      </c>
      <c r="P20" s="98">
        <f t="shared" si="4"/>
        <v>713.90834999999993</v>
      </c>
      <c r="Q20" s="98">
        <f t="shared" si="5"/>
        <v>0</v>
      </c>
    </row>
    <row r="21" spans="2:17" x14ac:dyDescent="0.3">
      <c r="B21" s="92">
        <v>166</v>
      </c>
      <c r="C21" s="92" t="s">
        <v>588</v>
      </c>
      <c r="D21" s="94" t="s">
        <v>572</v>
      </c>
      <c r="E21" s="95">
        <v>218944.44</v>
      </c>
      <c r="F21" s="95"/>
      <c r="G21" s="95">
        <v>0</v>
      </c>
      <c r="H21" s="95">
        <v>0</v>
      </c>
      <c r="I21" s="95">
        <v>0</v>
      </c>
      <c r="J21" s="95">
        <v>0</v>
      </c>
      <c r="K21" s="96">
        <f t="shared" si="2"/>
        <v>218944.44</v>
      </c>
      <c r="L21" s="95">
        <v>250000</v>
      </c>
      <c r="M21" s="97">
        <f t="shared" si="3"/>
        <v>0.87577775999999996</v>
      </c>
      <c r="O21" s="98">
        <f>K21*1.5%</f>
        <v>3284.1666</v>
      </c>
      <c r="P21" s="98">
        <f t="shared" si="4"/>
        <v>821.04165</v>
      </c>
      <c r="Q21" s="98">
        <f t="shared" si="5"/>
        <v>0</v>
      </c>
    </row>
    <row r="22" spans="2:17" x14ac:dyDescent="0.3">
      <c r="B22" s="92">
        <v>169</v>
      </c>
      <c r="C22" s="92" t="s">
        <v>589</v>
      </c>
      <c r="D22" s="94" t="s">
        <v>572</v>
      </c>
      <c r="E22" s="95">
        <v>374499.31</v>
      </c>
      <c r="F22" s="95"/>
      <c r="G22" s="95">
        <v>0</v>
      </c>
      <c r="H22" s="95">
        <v>1299.99</v>
      </c>
      <c r="I22" s="95">
        <v>0</v>
      </c>
      <c r="J22" s="95">
        <v>0</v>
      </c>
      <c r="K22" s="96">
        <f t="shared" si="2"/>
        <v>375799.3</v>
      </c>
      <c r="L22" s="95">
        <v>340000</v>
      </c>
      <c r="M22" s="97">
        <f t="shared" si="3"/>
        <v>1.1052920588235293</v>
      </c>
      <c r="O22" s="98">
        <f>K22*1.2%</f>
        <v>4509.5915999999997</v>
      </c>
      <c r="P22" s="98">
        <f t="shared" si="4"/>
        <v>1127.3978999999999</v>
      </c>
      <c r="Q22" s="98" t="str">
        <f t="shared" si="5"/>
        <v>2000</v>
      </c>
    </row>
    <row r="23" spans="2:17" x14ac:dyDescent="0.3">
      <c r="B23" s="92">
        <v>173</v>
      </c>
      <c r="C23" s="92" t="s">
        <v>590</v>
      </c>
      <c r="D23" s="94" t="s">
        <v>568</v>
      </c>
      <c r="E23" s="95">
        <v>258381.92</v>
      </c>
      <c r="F23" s="95"/>
      <c r="G23" s="95">
        <v>0</v>
      </c>
      <c r="H23" s="95">
        <v>0</v>
      </c>
      <c r="I23" s="95">
        <v>2749.96</v>
      </c>
      <c r="J23" s="95">
        <v>0</v>
      </c>
      <c r="K23" s="96">
        <f t="shared" si="2"/>
        <v>261131.88</v>
      </c>
      <c r="L23" s="95">
        <v>280000</v>
      </c>
      <c r="M23" s="97">
        <f t="shared" si="3"/>
        <v>0.93261385714285716</v>
      </c>
      <c r="O23" s="98">
        <f>K23*1.4%</f>
        <v>3655.8463199999997</v>
      </c>
      <c r="P23" s="98">
        <f t="shared" si="4"/>
        <v>913.96157999999991</v>
      </c>
      <c r="Q23" s="98">
        <f t="shared" si="5"/>
        <v>0</v>
      </c>
    </row>
    <row r="24" spans="2:17" x14ac:dyDescent="0.3">
      <c r="B24" s="92">
        <v>175</v>
      </c>
      <c r="C24" s="92" t="s">
        <v>591</v>
      </c>
      <c r="D24" s="94" t="s">
        <v>572</v>
      </c>
      <c r="E24" s="95">
        <v>301501.28999999998</v>
      </c>
      <c r="F24" s="95"/>
      <c r="G24" s="95">
        <v>0</v>
      </c>
      <c r="H24" s="95">
        <v>2944.89</v>
      </c>
      <c r="I24" s="95">
        <v>0</v>
      </c>
      <c r="J24" s="95">
        <v>0</v>
      </c>
      <c r="K24" s="96">
        <f t="shared" si="2"/>
        <v>304446.18</v>
      </c>
      <c r="L24" s="95">
        <v>350000</v>
      </c>
      <c r="M24" s="97">
        <f t="shared" si="3"/>
        <v>0.86984622857142857</v>
      </c>
      <c r="O24" s="98">
        <f>K24*1.3%</f>
        <v>3957.8003400000002</v>
      </c>
      <c r="P24" s="98">
        <f t="shared" si="4"/>
        <v>989.45008500000006</v>
      </c>
      <c r="Q24" s="98">
        <f t="shared" si="5"/>
        <v>0</v>
      </c>
    </row>
    <row r="25" spans="2:17" x14ac:dyDescent="0.3">
      <c r="B25" s="92">
        <v>179</v>
      </c>
      <c r="C25" s="92" t="s">
        <v>592</v>
      </c>
      <c r="D25" s="94" t="s">
        <v>572</v>
      </c>
      <c r="E25" s="95">
        <v>392505.65</v>
      </c>
      <c r="F25" s="95"/>
      <c r="G25" s="95">
        <v>0</v>
      </c>
      <c r="H25" s="95">
        <v>0</v>
      </c>
      <c r="I25" s="95">
        <v>0</v>
      </c>
      <c r="J25" s="95">
        <v>0</v>
      </c>
      <c r="K25" s="96">
        <f t="shared" si="2"/>
        <v>392505.65</v>
      </c>
      <c r="L25" s="95">
        <v>360000</v>
      </c>
      <c r="M25" s="97">
        <f t="shared" si="3"/>
        <v>1.0902934722222224</v>
      </c>
      <c r="O25" s="98">
        <f>K25*0.9%</f>
        <v>3532.5508500000005</v>
      </c>
      <c r="P25" s="98">
        <f t="shared" si="4"/>
        <v>883.13771250000013</v>
      </c>
      <c r="Q25" s="98" t="str">
        <f t="shared" si="5"/>
        <v>2000</v>
      </c>
    </row>
    <row r="26" spans="2:17" x14ac:dyDescent="0.3">
      <c r="B26" s="99">
        <v>181</v>
      </c>
      <c r="C26" s="92" t="s">
        <v>593</v>
      </c>
      <c r="D26" s="94" t="s">
        <v>568</v>
      </c>
      <c r="E26" s="95">
        <v>822206.61</v>
      </c>
      <c r="F26" s="95"/>
      <c r="G26" s="95">
        <v>0</v>
      </c>
      <c r="H26" s="95">
        <v>0</v>
      </c>
      <c r="I26" s="95">
        <v>0</v>
      </c>
      <c r="J26" s="95">
        <v>0</v>
      </c>
      <c r="K26" s="96">
        <f t="shared" si="2"/>
        <v>822206.61</v>
      </c>
      <c r="L26" s="95">
        <v>890000</v>
      </c>
      <c r="M26" s="97">
        <f t="shared" si="3"/>
        <v>0.92382765168539327</v>
      </c>
      <c r="O26" s="98">
        <f>K26*0.9%</f>
        <v>7399.8594900000007</v>
      </c>
      <c r="P26" s="98">
        <f t="shared" si="4"/>
        <v>1849.9648725000002</v>
      </c>
      <c r="Q26" s="98">
        <f t="shared" si="5"/>
        <v>0</v>
      </c>
    </row>
    <row r="27" spans="2:17" x14ac:dyDescent="0.3">
      <c r="B27" s="99">
        <v>183</v>
      </c>
      <c r="C27" s="92" t="s">
        <v>594</v>
      </c>
      <c r="D27" s="94" t="s">
        <v>572</v>
      </c>
      <c r="E27" s="95">
        <v>299412.09999999998</v>
      </c>
      <c r="F27" s="95"/>
      <c r="G27" s="95">
        <v>0</v>
      </c>
      <c r="H27" s="95">
        <v>649.99</v>
      </c>
      <c r="I27" s="95">
        <v>0</v>
      </c>
      <c r="J27" s="95">
        <v>0</v>
      </c>
      <c r="K27" s="96">
        <f t="shared" si="2"/>
        <v>300062.08999999997</v>
      </c>
      <c r="L27" s="95">
        <v>360000</v>
      </c>
      <c r="M27" s="97">
        <f t="shared" si="3"/>
        <v>0.83350580555555542</v>
      </c>
      <c r="O27" s="98">
        <f>K27*0.9%</f>
        <v>2700.55881</v>
      </c>
      <c r="P27" s="98">
        <f t="shared" si="4"/>
        <v>675.1397025</v>
      </c>
      <c r="Q27" s="98">
        <f t="shared" si="5"/>
        <v>0</v>
      </c>
    </row>
    <row r="28" spans="2:17" x14ac:dyDescent="0.3">
      <c r="B28" s="99">
        <v>185</v>
      </c>
      <c r="C28" s="92" t="s">
        <v>595</v>
      </c>
      <c r="D28" s="94" t="s">
        <v>572</v>
      </c>
      <c r="E28" s="95">
        <v>327298.25</v>
      </c>
      <c r="F28" s="95"/>
      <c r="G28" s="95">
        <v>0</v>
      </c>
      <c r="H28" s="95">
        <v>79.989999999999995</v>
      </c>
      <c r="I28" s="95">
        <v>0</v>
      </c>
      <c r="J28" s="95">
        <v>0</v>
      </c>
      <c r="K28" s="96">
        <f t="shared" si="2"/>
        <v>327378.24</v>
      </c>
      <c r="L28" s="95">
        <v>433000</v>
      </c>
      <c r="M28" s="97">
        <f t="shared" si="3"/>
        <v>0.75606983833718244</v>
      </c>
      <c r="O28" s="98">
        <f>K28*0.8%</f>
        <v>2619.02592</v>
      </c>
      <c r="P28" s="98">
        <f t="shared" si="4"/>
        <v>654.75648000000001</v>
      </c>
      <c r="Q28" s="98">
        <f t="shared" si="5"/>
        <v>0</v>
      </c>
    </row>
    <row r="29" spans="2:17" x14ac:dyDescent="0.3">
      <c r="B29" s="92">
        <v>200</v>
      </c>
      <c r="C29" s="92" t="s">
        <v>596</v>
      </c>
      <c r="D29" s="94" t="s">
        <v>568</v>
      </c>
      <c r="E29" s="95">
        <v>248561.12</v>
      </c>
      <c r="F29" s="95"/>
      <c r="G29" s="95">
        <v>0</v>
      </c>
      <c r="H29" s="95">
        <v>749.98</v>
      </c>
      <c r="I29" s="95">
        <v>0</v>
      </c>
      <c r="J29" s="95">
        <v>0</v>
      </c>
      <c r="K29" s="96">
        <f t="shared" si="2"/>
        <v>249311.1</v>
      </c>
      <c r="L29" s="95">
        <v>217000</v>
      </c>
      <c r="M29" s="97">
        <f t="shared" si="3"/>
        <v>1.1488990783410138</v>
      </c>
      <c r="O29" s="98">
        <f>K29*1.3%</f>
        <v>3241.0443000000005</v>
      </c>
      <c r="P29" s="98">
        <f t="shared" si="4"/>
        <v>810.26107500000012</v>
      </c>
      <c r="Q29" s="98" t="str">
        <f t="shared" si="5"/>
        <v>2000</v>
      </c>
    </row>
    <row r="30" spans="2:17" x14ac:dyDescent="0.3">
      <c r="B30" s="100" t="s">
        <v>459</v>
      </c>
      <c r="C30" s="101"/>
      <c r="D30" s="102"/>
      <c r="E30" s="103">
        <f t="shared" ref="E30:L30" si="6">SUM(E2:E29)</f>
        <v>8982662.2700000014</v>
      </c>
      <c r="F30" s="103">
        <f t="shared" si="6"/>
        <v>899.99</v>
      </c>
      <c r="G30" s="103">
        <f t="shared" si="6"/>
        <v>0</v>
      </c>
      <c r="H30" s="103">
        <f t="shared" si="6"/>
        <v>30824.350000000006</v>
      </c>
      <c r="I30" s="103">
        <f t="shared" si="6"/>
        <v>13640.71</v>
      </c>
      <c r="J30" s="103">
        <f t="shared" si="6"/>
        <v>0</v>
      </c>
      <c r="K30" s="103">
        <f t="shared" si="6"/>
        <v>9028027.3200000003</v>
      </c>
      <c r="L30" s="103">
        <f t="shared" si="6"/>
        <v>9304000</v>
      </c>
      <c r="M30" s="104">
        <f t="shared" si="3"/>
        <v>0.97033827601031819</v>
      </c>
    </row>
    <row r="31" spans="2:17" x14ac:dyDescent="0.3">
      <c r="C31" s="92"/>
    </row>
    <row r="32" spans="2:17" x14ac:dyDescent="0.3">
      <c r="C32" s="92"/>
    </row>
  </sheetData>
  <conditionalFormatting sqref="M2:M25 M29:M30">
    <cfRule type="cellIs" dxfId="2" priority="3" operator="greaterThan">
      <formula>0.999999999999999</formula>
    </cfRule>
  </conditionalFormatting>
  <conditionalFormatting sqref="M26:M27">
    <cfRule type="cellIs" dxfId="1" priority="2" operator="greaterThan">
      <formula>0.999999999999999</formula>
    </cfRule>
  </conditionalFormatting>
  <conditionalFormatting sqref="M28">
    <cfRule type="cellIs" dxfId="0" priority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1:M48"/>
  <sheetViews>
    <sheetView workbookViewId="0">
      <selection activeCell="G50" sqref="G50"/>
    </sheetView>
  </sheetViews>
  <sheetFormatPr defaultRowHeight="14.4" x14ac:dyDescent="0.3"/>
  <cols>
    <col min="1" max="1" width="7" style="106" customWidth="1"/>
    <col min="2" max="3" width="19" style="106" customWidth="1"/>
    <col min="4" max="4" width="36.33203125" customWidth="1"/>
    <col min="5" max="5" width="25.5546875" customWidth="1"/>
    <col min="6" max="6" width="16.5546875" hidden="1" customWidth="1"/>
    <col min="7" max="8" width="18.33203125" style="107" customWidth="1"/>
    <col min="9" max="9" width="18.33203125" style="108" customWidth="1"/>
    <col min="10" max="10" width="22.109375" style="108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2" t="s">
        <v>597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3" ht="9" customHeight="1" x14ac:dyDescent="0.3"/>
    <row r="3" spans="1:13" x14ac:dyDescent="0.3">
      <c r="A3" s="109" t="s">
        <v>598</v>
      </c>
      <c r="B3" s="109" t="s">
        <v>508</v>
      </c>
      <c r="C3" s="109"/>
      <c r="D3" s="109" t="s">
        <v>599</v>
      </c>
      <c r="E3" s="225" t="s">
        <v>600</v>
      </c>
      <c r="F3" s="225"/>
      <c r="G3" s="110"/>
      <c r="H3" s="110"/>
      <c r="I3" s="111"/>
      <c r="J3" s="111"/>
      <c r="K3" s="109"/>
      <c r="L3" s="112" t="s">
        <v>601</v>
      </c>
      <c r="M3" s="113"/>
    </row>
    <row r="4" spans="1:13" s="119" customFormat="1" ht="21" customHeight="1" x14ac:dyDescent="0.3">
      <c r="A4" s="114" t="s">
        <v>508</v>
      </c>
      <c r="B4" s="114" t="s">
        <v>602</v>
      </c>
      <c r="C4" s="114" t="s">
        <v>603</v>
      </c>
      <c r="D4" s="115" t="s">
        <v>604</v>
      </c>
      <c r="E4" s="115" t="s">
        <v>605</v>
      </c>
      <c r="F4" s="114" t="s">
        <v>606</v>
      </c>
      <c r="G4" s="116" t="s">
        <v>607</v>
      </c>
      <c r="H4" s="116" t="s">
        <v>608</v>
      </c>
      <c r="I4" s="117" t="s">
        <v>609</v>
      </c>
      <c r="J4" s="117" t="s">
        <v>610</v>
      </c>
      <c r="K4" s="114" t="s">
        <v>611</v>
      </c>
      <c r="L4" s="114" t="s">
        <v>612</v>
      </c>
      <c r="M4" s="118" t="s">
        <v>613</v>
      </c>
    </row>
    <row r="5" spans="1:13" s="119" customFormat="1" hidden="1" x14ac:dyDescent="0.3">
      <c r="A5" s="120">
        <v>62</v>
      </c>
      <c r="B5" s="121" t="s">
        <v>614</v>
      </c>
      <c r="C5" s="121" t="s">
        <v>615</v>
      </c>
      <c r="D5" s="115" t="s">
        <v>616</v>
      </c>
      <c r="E5" s="115" t="s">
        <v>617</v>
      </c>
      <c r="F5" s="114"/>
      <c r="G5" s="116"/>
      <c r="H5" s="116">
        <v>2000</v>
      </c>
      <c r="I5" s="117"/>
      <c r="J5" s="117"/>
      <c r="K5" s="116">
        <f>G5+H5+I5+J5</f>
        <v>2000</v>
      </c>
      <c r="L5" s="114"/>
      <c r="M5" s="118"/>
    </row>
    <row r="6" spans="1:13" hidden="1" x14ac:dyDescent="0.3">
      <c r="A6" s="122">
        <v>62</v>
      </c>
      <c r="B6" s="121" t="s">
        <v>614</v>
      </c>
      <c r="C6" s="121" t="s">
        <v>618</v>
      </c>
      <c r="D6" s="123" t="s">
        <v>619</v>
      </c>
      <c r="E6" s="124">
        <v>2.8000000000000001E-2</v>
      </c>
      <c r="F6" s="125">
        <v>5.0000000000000001E-3</v>
      </c>
      <c r="G6" s="126">
        <v>400</v>
      </c>
      <c r="H6" s="126">
        <v>200</v>
      </c>
      <c r="I6" s="127"/>
      <c r="J6" s="127"/>
      <c r="K6" s="116">
        <f t="shared" ref="K6:K48" si="0">G6+H6+I6+J6</f>
        <v>600</v>
      </c>
      <c r="L6" s="128" t="s">
        <v>620</v>
      </c>
      <c r="M6" s="118" t="s">
        <v>621</v>
      </c>
    </row>
    <row r="7" spans="1:13" hidden="1" x14ac:dyDescent="0.3">
      <c r="A7" s="122">
        <v>62</v>
      </c>
      <c r="B7" s="121" t="s">
        <v>614</v>
      </c>
      <c r="C7" s="121" t="s">
        <v>618</v>
      </c>
      <c r="D7" s="129" t="s">
        <v>622</v>
      </c>
      <c r="E7" s="124">
        <v>2.8000000000000001E-2</v>
      </c>
      <c r="F7" s="125">
        <v>5.0000000000000001E-3</v>
      </c>
      <c r="G7" s="126">
        <v>400</v>
      </c>
      <c r="H7" s="126">
        <v>200</v>
      </c>
      <c r="I7" s="127"/>
      <c r="J7" s="127"/>
      <c r="K7" s="116">
        <f t="shared" si="0"/>
        <v>600</v>
      </c>
      <c r="L7" s="128" t="s">
        <v>620</v>
      </c>
      <c r="M7" s="118" t="s">
        <v>621</v>
      </c>
    </row>
    <row r="8" spans="1:13" hidden="1" x14ac:dyDescent="0.3">
      <c r="A8" s="122">
        <v>62</v>
      </c>
      <c r="B8" s="121" t="s">
        <v>614</v>
      </c>
      <c r="C8" s="121" t="s">
        <v>623</v>
      </c>
      <c r="D8" s="123" t="s">
        <v>624</v>
      </c>
      <c r="E8" s="124"/>
      <c r="F8" s="125"/>
      <c r="G8" s="126"/>
      <c r="H8" s="126">
        <v>200</v>
      </c>
      <c r="I8" s="127"/>
      <c r="J8" s="127"/>
      <c r="K8" s="116">
        <f t="shared" si="0"/>
        <v>200</v>
      </c>
      <c r="L8" s="128"/>
      <c r="M8" s="118"/>
    </row>
    <row r="9" spans="1:13" x14ac:dyDescent="0.3">
      <c r="A9" s="122">
        <v>93</v>
      </c>
      <c r="B9" s="121" t="s">
        <v>625</v>
      </c>
      <c r="C9" s="121" t="s">
        <v>615</v>
      </c>
      <c r="D9" s="123" t="s">
        <v>626</v>
      </c>
      <c r="E9" s="115" t="s">
        <v>617</v>
      </c>
      <c r="F9" s="125"/>
      <c r="G9" s="126"/>
      <c r="H9" s="126">
        <v>2000</v>
      </c>
      <c r="I9" s="127"/>
      <c r="J9" s="127"/>
      <c r="K9" s="116">
        <f t="shared" si="0"/>
        <v>2000</v>
      </c>
      <c r="L9" s="128"/>
      <c r="M9" s="118"/>
    </row>
    <row r="10" spans="1:13" x14ac:dyDescent="0.3">
      <c r="A10" s="122">
        <v>93</v>
      </c>
      <c r="B10" s="121" t="s">
        <v>625</v>
      </c>
      <c r="C10" s="121" t="s">
        <v>618</v>
      </c>
      <c r="D10" s="130" t="s">
        <v>627</v>
      </c>
      <c r="E10" s="124">
        <v>2.8000000000000001E-2</v>
      </c>
      <c r="F10" s="125">
        <v>5.0000000000000001E-3</v>
      </c>
      <c r="G10" s="126">
        <v>400</v>
      </c>
      <c r="H10" s="126">
        <v>200</v>
      </c>
      <c r="I10" s="127"/>
      <c r="J10" s="127"/>
      <c r="K10" s="116">
        <f t="shared" si="0"/>
        <v>600</v>
      </c>
      <c r="L10" s="128" t="s">
        <v>620</v>
      </c>
      <c r="M10" s="118"/>
    </row>
    <row r="11" spans="1:13" x14ac:dyDescent="0.3">
      <c r="A11" s="122">
        <v>93</v>
      </c>
      <c r="B11" s="121" t="s">
        <v>625</v>
      </c>
      <c r="C11" s="121" t="s">
        <v>618</v>
      </c>
      <c r="D11" s="123" t="s">
        <v>628</v>
      </c>
      <c r="E11" s="124">
        <v>2.8000000000000001E-2</v>
      </c>
      <c r="F11" s="125">
        <v>5.0000000000000001E-3</v>
      </c>
      <c r="G11" s="126">
        <v>400</v>
      </c>
      <c r="H11" s="126">
        <v>200</v>
      </c>
      <c r="I11" s="127"/>
      <c r="J11" s="127"/>
      <c r="K11" s="116">
        <f t="shared" si="0"/>
        <v>600</v>
      </c>
      <c r="L11" s="128" t="s">
        <v>620</v>
      </c>
      <c r="M11" s="118"/>
    </row>
    <row r="12" spans="1:13" hidden="1" x14ac:dyDescent="0.3">
      <c r="A12" s="122">
        <v>94</v>
      </c>
      <c r="B12" s="121" t="s">
        <v>629</v>
      </c>
      <c r="C12" s="121" t="s">
        <v>615</v>
      </c>
      <c r="D12" s="123" t="s">
        <v>630</v>
      </c>
      <c r="E12" s="115" t="s">
        <v>617</v>
      </c>
      <c r="F12" s="125"/>
      <c r="G12" s="126"/>
      <c r="H12" s="126"/>
      <c r="I12" s="127"/>
      <c r="J12" s="127"/>
      <c r="K12" s="116">
        <f t="shared" si="0"/>
        <v>0</v>
      </c>
      <c r="L12" s="128"/>
      <c r="M12" s="118"/>
    </row>
    <row r="13" spans="1:13" hidden="1" x14ac:dyDescent="0.3">
      <c r="A13" s="122">
        <v>94</v>
      </c>
      <c r="B13" s="121" t="s">
        <v>629</v>
      </c>
      <c r="C13" s="121" t="s">
        <v>618</v>
      </c>
      <c r="D13" s="131" t="s">
        <v>631</v>
      </c>
      <c r="E13" s="124" t="s">
        <v>632</v>
      </c>
      <c r="F13" s="125"/>
      <c r="G13" s="126">
        <v>200</v>
      </c>
      <c r="H13" s="126"/>
      <c r="I13" s="127"/>
      <c r="J13" s="127"/>
      <c r="K13" s="116">
        <f t="shared" si="0"/>
        <v>200</v>
      </c>
      <c r="L13" s="128" t="s">
        <v>633</v>
      </c>
      <c r="M13" s="118" t="s">
        <v>621</v>
      </c>
    </row>
    <row r="14" spans="1:13" hidden="1" x14ac:dyDescent="0.3">
      <c r="A14" s="122">
        <v>94</v>
      </c>
      <c r="B14" s="121" t="s">
        <v>629</v>
      </c>
      <c r="C14" s="121" t="s">
        <v>618</v>
      </c>
      <c r="D14" s="131" t="s">
        <v>634</v>
      </c>
      <c r="E14" s="124"/>
      <c r="F14" s="125"/>
      <c r="G14" s="126">
        <v>150</v>
      </c>
      <c r="H14" s="126"/>
      <c r="I14" s="127"/>
      <c r="J14" s="127"/>
      <c r="K14" s="116">
        <f t="shared" si="0"/>
        <v>150</v>
      </c>
      <c r="L14" s="128"/>
      <c r="M14" s="118" t="s">
        <v>621</v>
      </c>
    </row>
    <row r="15" spans="1:13" hidden="1" x14ac:dyDescent="0.3">
      <c r="A15" s="122">
        <v>116</v>
      </c>
      <c r="B15" s="121" t="s">
        <v>635</v>
      </c>
      <c r="C15" s="121" t="s">
        <v>615</v>
      </c>
      <c r="D15" s="131" t="s">
        <v>636</v>
      </c>
      <c r="E15" s="115" t="s">
        <v>617</v>
      </c>
      <c r="F15" s="125"/>
      <c r="G15" s="126"/>
      <c r="H15" s="126"/>
      <c r="I15" s="127"/>
      <c r="J15" s="127"/>
      <c r="K15" s="116">
        <f t="shared" si="0"/>
        <v>0</v>
      </c>
      <c r="L15" s="128"/>
      <c r="M15" s="118"/>
    </row>
    <row r="16" spans="1:13" hidden="1" x14ac:dyDescent="0.3">
      <c r="A16" s="122">
        <v>116</v>
      </c>
      <c r="B16" s="121" t="s">
        <v>635</v>
      </c>
      <c r="C16" s="121" t="s">
        <v>618</v>
      </c>
      <c r="D16" s="132" t="s">
        <v>637</v>
      </c>
      <c r="E16" s="124" t="s">
        <v>632</v>
      </c>
      <c r="F16" s="125"/>
      <c r="G16" s="126">
        <v>400</v>
      </c>
      <c r="H16" s="126"/>
      <c r="I16" s="127"/>
      <c r="J16" s="127"/>
      <c r="K16" s="116">
        <f t="shared" si="0"/>
        <v>400</v>
      </c>
      <c r="L16" s="128" t="s">
        <v>620</v>
      </c>
      <c r="M16" s="118" t="s">
        <v>621</v>
      </c>
    </row>
    <row r="17" spans="1:13" hidden="1" x14ac:dyDescent="0.3">
      <c r="A17" s="122">
        <v>116</v>
      </c>
      <c r="B17" s="121" t="s">
        <v>635</v>
      </c>
      <c r="C17" s="121" t="s">
        <v>618</v>
      </c>
      <c r="D17" s="133" t="s">
        <v>138</v>
      </c>
      <c r="E17" s="124" t="s">
        <v>632</v>
      </c>
      <c r="F17" s="125"/>
      <c r="G17" s="126">
        <v>400</v>
      </c>
      <c r="H17" s="126"/>
      <c r="I17" s="127"/>
      <c r="J17" s="127"/>
      <c r="K17" s="116">
        <f t="shared" si="0"/>
        <v>400</v>
      </c>
      <c r="L17" s="128" t="s">
        <v>620</v>
      </c>
      <c r="M17" s="118" t="s">
        <v>621</v>
      </c>
    </row>
    <row r="18" spans="1:13" hidden="1" x14ac:dyDescent="0.3">
      <c r="A18" s="122">
        <v>116</v>
      </c>
      <c r="B18" s="121" t="s">
        <v>635</v>
      </c>
      <c r="C18" s="121" t="s">
        <v>623</v>
      </c>
      <c r="D18" s="133" t="s">
        <v>638</v>
      </c>
      <c r="E18" s="124"/>
      <c r="F18" s="125"/>
      <c r="G18" s="126">
        <v>300</v>
      </c>
      <c r="H18" s="126"/>
      <c r="I18" s="127"/>
      <c r="J18" s="127"/>
      <c r="K18" s="116">
        <f t="shared" si="0"/>
        <v>300</v>
      </c>
      <c r="L18" s="128"/>
      <c r="M18" s="118" t="s">
        <v>639</v>
      </c>
    </row>
    <row r="19" spans="1:13" hidden="1" x14ac:dyDescent="0.3">
      <c r="A19" s="122">
        <v>123</v>
      </c>
      <c r="B19" s="121" t="s">
        <v>640</v>
      </c>
      <c r="C19" s="121" t="s">
        <v>615</v>
      </c>
      <c r="D19" s="133" t="s">
        <v>641</v>
      </c>
      <c r="E19" s="115" t="s">
        <v>617</v>
      </c>
      <c r="F19" s="125"/>
      <c r="G19" s="126"/>
      <c r="H19" s="126">
        <v>2000</v>
      </c>
      <c r="I19" s="127"/>
      <c r="J19" s="127"/>
      <c r="K19" s="116">
        <f t="shared" si="0"/>
        <v>2000</v>
      </c>
      <c r="L19" s="128"/>
      <c r="M19" s="118"/>
    </row>
    <row r="20" spans="1:13" hidden="1" x14ac:dyDescent="0.3">
      <c r="A20" s="122">
        <v>123</v>
      </c>
      <c r="B20" s="121" t="s">
        <v>640</v>
      </c>
      <c r="C20" s="121" t="s">
        <v>618</v>
      </c>
      <c r="D20" s="130" t="s">
        <v>148</v>
      </c>
      <c r="E20" s="124" t="s">
        <v>642</v>
      </c>
      <c r="F20" s="125"/>
      <c r="G20" s="126">
        <v>300</v>
      </c>
      <c r="H20" s="126">
        <v>200</v>
      </c>
      <c r="I20" s="127">
        <v>200</v>
      </c>
      <c r="J20" s="127"/>
      <c r="K20" s="116">
        <f t="shared" si="0"/>
        <v>700</v>
      </c>
      <c r="L20" s="128" t="s">
        <v>643</v>
      </c>
      <c r="M20" s="118"/>
    </row>
    <row r="21" spans="1:13" hidden="1" x14ac:dyDescent="0.3">
      <c r="A21" s="122">
        <v>123</v>
      </c>
      <c r="B21" s="121" t="s">
        <v>640</v>
      </c>
      <c r="C21" s="121" t="s">
        <v>618</v>
      </c>
      <c r="D21" s="130" t="s">
        <v>644</v>
      </c>
      <c r="E21" s="124" t="s">
        <v>642</v>
      </c>
      <c r="F21" s="125"/>
      <c r="G21" s="126">
        <v>300</v>
      </c>
      <c r="H21" s="126">
        <v>200</v>
      </c>
      <c r="I21" s="127">
        <v>200</v>
      </c>
      <c r="J21" s="127"/>
      <c r="K21" s="116">
        <f t="shared" si="0"/>
        <v>700</v>
      </c>
      <c r="L21" s="128" t="s">
        <v>643</v>
      </c>
      <c r="M21" s="118"/>
    </row>
    <row r="22" spans="1:13" hidden="1" x14ac:dyDescent="0.3">
      <c r="A22" s="122">
        <v>124</v>
      </c>
      <c r="B22" s="121" t="s">
        <v>645</v>
      </c>
      <c r="C22" s="121" t="s">
        <v>615</v>
      </c>
      <c r="D22" s="130" t="s">
        <v>646</v>
      </c>
      <c r="E22" s="115" t="s">
        <v>617</v>
      </c>
      <c r="F22" s="125"/>
      <c r="G22" s="126"/>
      <c r="H22" s="126">
        <v>2000</v>
      </c>
      <c r="I22" s="127"/>
      <c r="J22" s="127"/>
      <c r="K22" s="116">
        <f t="shared" si="0"/>
        <v>2000</v>
      </c>
      <c r="L22" s="128"/>
      <c r="M22" s="118"/>
    </row>
    <row r="23" spans="1:13" hidden="1" x14ac:dyDescent="0.3">
      <c r="A23" s="122">
        <v>124</v>
      </c>
      <c r="B23" s="121" t="s">
        <v>645</v>
      </c>
      <c r="C23" s="121" t="s">
        <v>618</v>
      </c>
      <c r="D23" s="133" t="s">
        <v>164</v>
      </c>
      <c r="E23" s="134">
        <v>3.2000000000000001E-2</v>
      </c>
      <c r="F23" s="125">
        <v>5.0000000000000001E-3</v>
      </c>
      <c r="G23" s="126">
        <v>400</v>
      </c>
      <c r="H23" s="126">
        <v>200</v>
      </c>
      <c r="I23" s="127">
        <v>200</v>
      </c>
      <c r="J23" s="127"/>
      <c r="K23" s="116">
        <f t="shared" si="0"/>
        <v>800</v>
      </c>
      <c r="L23" s="128" t="s">
        <v>620</v>
      </c>
      <c r="M23" s="118"/>
    </row>
    <row r="24" spans="1:13" hidden="1" x14ac:dyDescent="0.3">
      <c r="A24" s="122">
        <v>124</v>
      </c>
      <c r="B24" s="121" t="s">
        <v>645</v>
      </c>
      <c r="C24" s="121" t="s">
        <v>618</v>
      </c>
      <c r="D24" s="123" t="s">
        <v>647</v>
      </c>
      <c r="E24" s="115"/>
      <c r="F24" s="125"/>
      <c r="G24" s="126">
        <v>100</v>
      </c>
      <c r="H24" s="126"/>
      <c r="I24" s="127"/>
      <c r="J24" s="127"/>
      <c r="K24" s="116">
        <f t="shared" si="0"/>
        <v>100</v>
      </c>
      <c r="L24" s="128" t="s">
        <v>620</v>
      </c>
      <c r="M24" s="118"/>
    </row>
    <row r="25" spans="1:13" hidden="1" x14ac:dyDescent="0.3">
      <c r="A25" s="122">
        <v>125</v>
      </c>
      <c r="B25" s="121" t="s">
        <v>648</v>
      </c>
      <c r="C25" s="121" t="s">
        <v>615</v>
      </c>
      <c r="D25" s="123" t="s">
        <v>649</v>
      </c>
      <c r="E25" s="115" t="s">
        <v>617</v>
      </c>
      <c r="F25" s="125"/>
      <c r="G25" s="126"/>
      <c r="H25" s="126">
        <v>2000</v>
      </c>
      <c r="I25" s="127"/>
      <c r="J25" s="127"/>
      <c r="K25" s="116">
        <f t="shared" si="0"/>
        <v>2000</v>
      </c>
      <c r="L25" s="128"/>
      <c r="M25" s="118"/>
    </row>
    <row r="26" spans="1:13" hidden="1" x14ac:dyDescent="0.3">
      <c r="A26" s="122">
        <v>125</v>
      </c>
      <c r="B26" s="121" t="s">
        <v>648</v>
      </c>
      <c r="C26" s="121" t="s">
        <v>618</v>
      </c>
      <c r="D26" s="133"/>
      <c r="E26" s="124">
        <v>2.8000000000000001E-2</v>
      </c>
      <c r="F26" s="125">
        <v>5.0000000000000001E-3</v>
      </c>
      <c r="G26" s="126"/>
      <c r="H26" s="126"/>
      <c r="I26" s="127"/>
      <c r="J26" s="127"/>
      <c r="K26" s="116">
        <f t="shared" si="0"/>
        <v>0</v>
      </c>
      <c r="L26" s="128" t="s">
        <v>643</v>
      </c>
      <c r="M26" s="118"/>
    </row>
    <row r="27" spans="1:13" hidden="1" x14ac:dyDescent="0.3">
      <c r="A27" s="122">
        <v>125</v>
      </c>
      <c r="B27" s="121" t="s">
        <v>648</v>
      </c>
      <c r="C27" s="121" t="s">
        <v>618</v>
      </c>
      <c r="D27" s="133" t="s">
        <v>650</v>
      </c>
      <c r="E27" s="124">
        <v>2.8000000000000001E-2</v>
      </c>
      <c r="F27" s="125">
        <v>5.0000000000000001E-3</v>
      </c>
      <c r="G27" s="126">
        <v>300</v>
      </c>
      <c r="H27" s="126">
        <v>200</v>
      </c>
      <c r="I27" s="127">
        <v>200</v>
      </c>
      <c r="J27" s="127"/>
      <c r="K27" s="116">
        <f t="shared" si="0"/>
        <v>700</v>
      </c>
      <c r="L27" s="128" t="s">
        <v>643</v>
      </c>
      <c r="M27" s="118"/>
    </row>
    <row r="28" spans="1:13" hidden="1" x14ac:dyDescent="0.3">
      <c r="A28" s="122">
        <v>125</v>
      </c>
      <c r="B28" s="121" t="s">
        <v>648</v>
      </c>
      <c r="C28" s="121" t="s">
        <v>623</v>
      </c>
      <c r="D28" s="133"/>
      <c r="E28" s="124"/>
      <c r="F28" s="125"/>
      <c r="G28" s="126"/>
      <c r="H28" s="126"/>
      <c r="I28" s="127"/>
      <c r="J28" s="127"/>
      <c r="K28" s="116">
        <f t="shared" si="0"/>
        <v>0</v>
      </c>
      <c r="L28" s="128"/>
      <c r="M28" s="118"/>
    </row>
    <row r="29" spans="1:13" hidden="1" x14ac:dyDescent="0.3">
      <c r="A29" s="122">
        <v>139</v>
      </c>
      <c r="B29" s="121" t="s">
        <v>651</v>
      </c>
      <c r="C29" s="121" t="s">
        <v>615</v>
      </c>
      <c r="D29" s="133" t="s">
        <v>641</v>
      </c>
      <c r="E29" s="115" t="s">
        <v>617</v>
      </c>
      <c r="F29" s="125"/>
      <c r="G29" s="126"/>
      <c r="H29" s="126"/>
      <c r="I29" s="127"/>
      <c r="J29" s="127"/>
      <c r="K29" s="116">
        <f t="shared" si="0"/>
        <v>0</v>
      </c>
      <c r="L29" s="128"/>
      <c r="M29" s="118"/>
    </row>
    <row r="30" spans="1:13" hidden="1" x14ac:dyDescent="0.3">
      <c r="A30" s="122">
        <v>139</v>
      </c>
      <c r="B30" s="121" t="s">
        <v>651</v>
      </c>
      <c r="C30" s="121" t="s">
        <v>618</v>
      </c>
      <c r="D30" s="131" t="s">
        <v>217</v>
      </c>
      <c r="E30" s="124">
        <v>2.8000000000000001E-2</v>
      </c>
      <c r="F30" s="125">
        <v>5.0000000000000001E-3</v>
      </c>
      <c r="G30" s="126">
        <v>400</v>
      </c>
      <c r="H30" s="126"/>
      <c r="I30" s="127"/>
      <c r="J30" s="127"/>
      <c r="K30" s="116">
        <f t="shared" si="0"/>
        <v>400</v>
      </c>
      <c r="L30" s="128" t="s">
        <v>620</v>
      </c>
      <c r="M30" s="118"/>
    </row>
    <row r="31" spans="1:13" hidden="1" x14ac:dyDescent="0.3">
      <c r="A31" s="122">
        <v>139</v>
      </c>
      <c r="B31" s="121" t="s">
        <v>651</v>
      </c>
      <c r="C31" s="121" t="s">
        <v>618</v>
      </c>
      <c r="D31" s="123" t="s">
        <v>652</v>
      </c>
      <c r="E31" s="124">
        <v>2.8000000000000001E-2</v>
      </c>
      <c r="F31" s="125">
        <v>5.0000000000000001E-3</v>
      </c>
      <c r="G31" s="126">
        <v>400</v>
      </c>
      <c r="H31" s="126"/>
      <c r="I31" s="127"/>
      <c r="J31" s="127"/>
      <c r="K31" s="116">
        <f t="shared" si="0"/>
        <v>400</v>
      </c>
      <c r="L31" s="128" t="s">
        <v>620</v>
      </c>
      <c r="M31" s="118"/>
    </row>
    <row r="32" spans="1:13" hidden="1" x14ac:dyDescent="0.3">
      <c r="A32" s="122">
        <v>139</v>
      </c>
      <c r="B32" s="121" t="s">
        <v>651</v>
      </c>
      <c r="C32" s="121" t="s">
        <v>618</v>
      </c>
      <c r="D32" s="123" t="s">
        <v>653</v>
      </c>
      <c r="E32" s="124"/>
      <c r="F32" s="125"/>
      <c r="G32" s="126">
        <v>150</v>
      </c>
      <c r="H32" s="126"/>
      <c r="I32" s="127"/>
      <c r="J32" s="127"/>
      <c r="K32" s="116">
        <f t="shared" si="0"/>
        <v>150</v>
      </c>
      <c r="L32" s="128"/>
      <c r="M32" s="118" t="s">
        <v>654</v>
      </c>
    </row>
    <row r="33" spans="1:13" hidden="1" x14ac:dyDescent="0.3">
      <c r="A33" s="122">
        <v>144</v>
      </c>
      <c r="B33" s="121" t="s">
        <v>655</v>
      </c>
      <c r="C33" s="121" t="s">
        <v>615</v>
      </c>
      <c r="D33" s="123" t="s">
        <v>656</v>
      </c>
      <c r="E33" s="115" t="s">
        <v>617</v>
      </c>
      <c r="F33" s="125"/>
      <c r="G33" s="126"/>
      <c r="H33" s="126"/>
      <c r="I33" s="127"/>
      <c r="J33" s="127"/>
      <c r="K33" s="116">
        <f t="shared" si="0"/>
        <v>0</v>
      </c>
      <c r="L33" s="128"/>
      <c r="M33" s="118"/>
    </row>
    <row r="34" spans="1:13" hidden="1" x14ac:dyDescent="0.3">
      <c r="A34" s="122">
        <v>144</v>
      </c>
      <c r="B34" s="121" t="s">
        <v>655</v>
      </c>
      <c r="C34" s="121" t="s">
        <v>618</v>
      </c>
      <c r="D34" s="131" t="s">
        <v>657</v>
      </c>
      <c r="E34" s="124">
        <v>3.2000000000000001E-2</v>
      </c>
      <c r="F34" s="125">
        <v>5.0000000000000001E-3</v>
      </c>
      <c r="G34" s="126">
        <v>300</v>
      </c>
      <c r="H34" s="126"/>
      <c r="I34" s="127"/>
      <c r="J34" s="127"/>
      <c r="K34" s="116">
        <f t="shared" si="0"/>
        <v>300</v>
      </c>
      <c r="L34" s="128" t="s">
        <v>658</v>
      </c>
      <c r="M34" s="118"/>
    </row>
    <row r="35" spans="1:13" hidden="1" x14ac:dyDescent="0.3">
      <c r="A35" s="122">
        <v>144</v>
      </c>
      <c r="B35" s="121" t="s">
        <v>655</v>
      </c>
      <c r="C35" s="121" t="s">
        <v>618</v>
      </c>
      <c r="D35" s="123" t="s">
        <v>247</v>
      </c>
      <c r="E35" s="124">
        <v>3.2000000000000001E-2</v>
      </c>
      <c r="F35" s="125">
        <v>5.0000000000000001E-3</v>
      </c>
      <c r="G35" s="126">
        <v>300</v>
      </c>
      <c r="H35" s="126"/>
      <c r="I35" s="127"/>
      <c r="J35" s="127"/>
      <c r="K35" s="116">
        <f t="shared" si="0"/>
        <v>300</v>
      </c>
      <c r="L35" s="128" t="s">
        <v>658</v>
      </c>
      <c r="M35" s="118"/>
    </row>
    <row r="36" spans="1:13" hidden="1" x14ac:dyDescent="0.3">
      <c r="A36" s="122">
        <v>156</v>
      </c>
      <c r="B36" s="121" t="s">
        <v>659</v>
      </c>
      <c r="C36" s="121" t="s">
        <v>615</v>
      </c>
      <c r="D36" s="123" t="s">
        <v>660</v>
      </c>
      <c r="E36" s="115" t="s">
        <v>617</v>
      </c>
      <c r="F36" s="125"/>
      <c r="G36" s="126"/>
      <c r="H36" s="126">
        <v>2000</v>
      </c>
      <c r="I36" s="127"/>
      <c r="J36" s="127"/>
      <c r="K36" s="116">
        <f t="shared" si="0"/>
        <v>2000</v>
      </c>
      <c r="L36" s="128"/>
      <c r="M36" s="118"/>
    </row>
    <row r="37" spans="1:13" hidden="1" x14ac:dyDescent="0.3">
      <c r="A37" s="122">
        <v>156</v>
      </c>
      <c r="B37" s="121" t="s">
        <v>659</v>
      </c>
      <c r="C37" s="121" t="s">
        <v>618</v>
      </c>
      <c r="D37" s="135" t="s">
        <v>661</v>
      </c>
      <c r="E37" s="124">
        <v>3.2000000000000001E-2</v>
      </c>
      <c r="F37" s="125">
        <v>5.0000000000000001E-3</v>
      </c>
      <c r="G37" s="126">
        <v>300</v>
      </c>
      <c r="H37" s="126">
        <v>200</v>
      </c>
      <c r="I37" s="127"/>
      <c r="J37" s="127"/>
      <c r="K37" s="116">
        <f t="shared" si="0"/>
        <v>500</v>
      </c>
      <c r="L37" s="128" t="s">
        <v>643</v>
      </c>
      <c r="M37" s="118"/>
    </row>
    <row r="38" spans="1:13" hidden="1" x14ac:dyDescent="0.3">
      <c r="A38" s="122">
        <v>156</v>
      </c>
      <c r="B38" s="121" t="s">
        <v>659</v>
      </c>
      <c r="C38" s="121" t="s">
        <v>618</v>
      </c>
      <c r="D38" s="123" t="s">
        <v>662</v>
      </c>
      <c r="E38" s="124">
        <v>3.2000000000000001E-2</v>
      </c>
      <c r="F38" s="125">
        <v>5.0000000000000001E-3</v>
      </c>
      <c r="G38" s="126">
        <v>300</v>
      </c>
      <c r="H38" s="126">
        <v>200</v>
      </c>
      <c r="I38" s="127"/>
      <c r="J38" s="127">
        <v>400</v>
      </c>
      <c r="K38" s="116">
        <f t="shared" si="0"/>
        <v>900</v>
      </c>
      <c r="L38" s="128" t="s">
        <v>643</v>
      </c>
      <c r="M38" s="118" t="s">
        <v>639</v>
      </c>
    </row>
    <row r="39" spans="1:13" hidden="1" x14ac:dyDescent="0.3">
      <c r="A39" s="122">
        <v>156</v>
      </c>
      <c r="B39" s="121" t="s">
        <v>659</v>
      </c>
      <c r="C39" s="121" t="s">
        <v>618</v>
      </c>
      <c r="D39" s="123" t="s">
        <v>626</v>
      </c>
      <c r="E39" s="124">
        <v>3.2000000000000001E-2</v>
      </c>
      <c r="F39" s="125">
        <v>5.0000000000000001E-3</v>
      </c>
      <c r="G39" s="126">
        <v>300</v>
      </c>
      <c r="H39" s="126"/>
      <c r="I39" s="127"/>
      <c r="J39" s="127">
        <v>600</v>
      </c>
      <c r="K39" s="116">
        <f t="shared" si="0"/>
        <v>900</v>
      </c>
      <c r="L39" s="128" t="s">
        <v>643</v>
      </c>
      <c r="M39" s="118" t="s">
        <v>639</v>
      </c>
    </row>
    <row r="40" spans="1:13" hidden="1" x14ac:dyDescent="0.3">
      <c r="A40" s="122">
        <v>173</v>
      </c>
      <c r="B40" s="121" t="s">
        <v>663</v>
      </c>
      <c r="C40" s="121" t="s">
        <v>615</v>
      </c>
      <c r="D40" s="123" t="s">
        <v>664</v>
      </c>
      <c r="E40" s="115" t="s">
        <v>617</v>
      </c>
      <c r="F40" s="125"/>
      <c r="G40" s="126"/>
      <c r="H40" s="126"/>
      <c r="I40" s="127"/>
      <c r="J40" s="127"/>
      <c r="K40" s="116">
        <f t="shared" si="0"/>
        <v>0</v>
      </c>
      <c r="L40" s="128"/>
      <c r="M40" s="118"/>
    </row>
    <row r="41" spans="1:13" hidden="1" x14ac:dyDescent="0.3">
      <c r="A41" s="122">
        <v>173</v>
      </c>
      <c r="B41" s="121" t="s">
        <v>663</v>
      </c>
      <c r="C41" s="121" t="s">
        <v>618</v>
      </c>
      <c r="D41" s="136" t="s">
        <v>335</v>
      </c>
      <c r="E41" s="124" t="s">
        <v>632</v>
      </c>
      <c r="F41" s="125"/>
      <c r="G41" s="126">
        <v>400</v>
      </c>
      <c r="H41" s="126"/>
      <c r="I41" s="127"/>
      <c r="J41" s="127"/>
      <c r="K41" s="116">
        <f t="shared" si="0"/>
        <v>400</v>
      </c>
      <c r="L41" s="128" t="s">
        <v>620</v>
      </c>
      <c r="M41" s="118"/>
    </row>
    <row r="42" spans="1:13" hidden="1" x14ac:dyDescent="0.3">
      <c r="A42" s="122">
        <v>173</v>
      </c>
      <c r="B42" s="121" t="s">
        <v>663</v>
      </c>
      <c r="C42" s="121" t="s">
        <v>618</v>
      </c>
      <c r="D42" s="136" t="s">
        <v>665</v>
      </c>
      <c r="E42" s="124" t="s">
        <v>632</v>
      </c>
      <c r="F42" s="125"/>
      <c r="G42" s="126">
        <v>400</v>
      </c>
      <c r="H42" s="126"/>
      <c r="I42" s="127"/>
      <c r="J42" s="127"/>
      <c r="K42" s="116">
        <f t="shared" si="0"/>
        <v>400</v>
      </c>
      <c r="L42" s="128" t="s">
        <v>620</v>
      </c>
      <c r="M42" s="118"/>
    </row>
    <row r="43" spans="1:13" hidden="1" x14ac:dyDescent="0.3">
      <c r="A43" s="122">
        <v>181</v>
      </c>
      <c r="B43" s="121" t="s">
        <v>666</v>
      </c>
      <c r="C43" s="121" t="s">
        <v>615</v>
      </c>
      <c r="D43" s="136" t="s">
        <v>667</v>
      </c>
      <c r="E43" s="115" t="s">
        <v>617</v>
      </c>
      <c r="F43" s="125"/>
      <c r="G43" s="126"/>
      <c r="H43" s="126"/>
      <c r="I43" s="127"/>
      <c r="J43" s="127"/>
      <c r="K43" s="116">
        <f t="shared" si="0"/>
        <v>0</v>
      </c>
      <c r="L43" s="128"/>
      <c r="M43" s="118"/>
    </row>
    <row r="44" spans="1:13" hidden="1" x14ac:dyDescent="0.3">
      <c r="A44" s="137">
        <v>181</v>
      </c>
      <c r="B44" s="121" t="s">
        <v>666</v>
      </c>
      <c r="C44" s="121" t="s">
        <v>618</v>
      </c>
      <c r="D44" s="138" t="s">
        <v>381</v>
      </c>
      <c r="E44" s="124">
        <v>2.8000000000000001E-2</v>
      </c>
      <c r="F44" s="125">
        <v>5.0000000000000001E-3</v>
      </c>
      <c r="G44" s="126">
        <v>400</v>
      </c>
      <c r="H44" s="126"/>
      <c r="I44" s="127"/>
      <c r="J44" s="139"/>
      <c r="K44" s="116">
        <f t="shared" si="0"/>
        <v>400</v>
      </c>
      <c r="L44" s="128" t="s">
        <v>620</v>
      </c>
      <c r="M44" s="118"/>
    </row>
    <row r="45" spans="1:13" hidden="1" x14ac:dyDescent="0.3">
      <c r="A45" s="137">
        <v>181</v>
      </c>
      <c r="B45" s="121" t="s">
        <v>666</v>
      </c>
      <c r="C45" s="121" t="s">
        <v>618</v>
      </c>
      <c r="D45" s="138" t="s">
        <v>668</v>
      </c>
      <c r="E45" s="124">
        <v>2.8000000000000001E-2</v>
      </c>
      <c r="F45" s="125">
        <v>5.0000000000000001E-3</v>
      </c>
      <c r="G45" s="126">
        <v>400</v>
      </c>
      <c r="H45" s="126"/>
      <c r="I45" s="127"/>
      <c r="J45" s="127"/>
      <c r="K45" s="116">
        <f t="shared" si="0"/>
        <v>400</v>
      </c>
      <c r="L45" s="128" t="s">
        <v>620</v>
      </c>
      <c r="M45" s="118"/>
    </row>
    <row r="46" spans="1:13" hidden="1" x14ac:dyDescent="0.3">
      <c r="A46" s="137">
        <v>200</v>
      </c>
      <c r="B46" s="121" t="s">
        <v>669</v>
      </c>
      <c r="C46" s="121" t="s">
        <v>615</v>
      </c>
      <c r="D46" s="138" t="s">
        <v>660</v>
      </c>
      <c r="E46" s="115" t="s">
        <v>617</v>
      </c>
      <c r="F46" s="125"/>
      <c r="G46" s="126"/>
      <c r="H46" s="126">
        <v>2000</v>
      </c>
      <c r="I46" s="127"/>
      <c r="J46" s="127"/>
      <c r="K46" s="116">
        <f t="shared" si="0"/>
        <v>2000</v>
      </c>
      <c r="L46" s="128"/>
      <c r="M46" s="118"/>
    </row>
    <row r="47" spans="1:13" hidden="1" x14ac:dyDescent="0.3">
      <c r="A47" s="140">
        <v>200</v>
      </c>
      <c r="B47" s="121" t="s">
        <v>669</v>
      </c>
      <c r="C47" s="121" t="s">
        <v>618</v>
      </c>
      <c r="D47" s="138" t="s">
        <v>670</v>
      </c>
      <c r="E47" s="124">
        <v>2.8000000000000001E-2</v>
      </c>
      <c r="F47" s="125">
        <v>5.0000000000000001E-3</v>
      </c>
      <c r="G47" s="126">
        <v>300</v>
      </c>
      <c r="H47" s="126">
        <v>150</v>
      </c>
      <c r="I47" s="127"/>
      <c r="J47" s="127"/>
      <c r="K47" s="116">
        <f t="shared" si="0"/>
        <v>450</v>
      </c>
      <c r="L47" s="128" t="s">
        <v>658</v>
      </c>
      <c r="M47" s="118"/>
    </row>
    <row r="48" spans="1:13" hidden="1" x14ac:dyDescent="0.3">
      <c r="A48" s="140">
        <v>200</v>
      </c>
      <c r="B48" s="121" t="s">
        <v>669</v>
      </c>
      <c r="C48" s="121" t="s">
        <v>618</v>
      </c>
      <c r="D48" s="123" t="s">
        <v>671</v>
      </c>
      <c r="E48" s="124">
        <v>2.8000000000000001E-2</v>
      </c>
      <c r="F48" s="125">
        <v>5.0000000000000001E-3</v>
      </c>
      <c r="G48" s="126"/>
      <c r="H48" s="126"/>
      <c r="I48" s="127"/>
      <c r="J48" s="127"/>
      <c r="K48" s="116">
        <f t="shared" si="0"/>
        <v>0</v>
      </c>
      <c r="L48" s="128"/>
      <c r="M48" s="118"/>
    </row>
  </sheetData>
  <autoFilter ref="A4:M48" xr:uid="{00000000-0009-0000-0000-000003000000}">
    <filterColumn colId="0">
      <filters>
        <filter val="93"/>
      </filters>
    </filterColumn>
  </autoFilter>
  <mergeCells count="2">
    <mergeCell ref="A1:L1"/>
    <mergeCell ref="E3:F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9"/>
  <sheetViews>
    <sheetView showGridLines="0" workbookViewId="0">
      <selection activeCell="A4" sqref="A4:G19"/>
    </sheetView>
  </sheetViews>
  <sheetFormatPr defaultRowHeight="14.4" x14ac:dyDescent="0.3"/>
  <cols>
    <col min="1" max="1" width="7" style="106" customWidth="1"/>
    <col min="2" max="2" width="20" style="106" customWidth="1"/>
    <col min="3" max="3" width="44.109375" bestFit="1" customWidth="1"/>
    <col min="4" max="4" width="39.33203125" bestFit="1" customWidth="1"/>
    <col min="5" max="5" width="25.5546875" bestFit="1" customWidth="1"/>
    <col min="6" max="6" width="22.88671875" bestFit="1" customWidth="1"/>
    <col min="7" max="7" width="16.5546875" customWidth="1"/>
    <col min="8" max="10" width="21.5546875" customWidth="1"/>
    <col min="11" max="11" width="22.109375" bestFit="1" customWidth="1"/>
    <col min="12" max="12" width="32" bestFit="1" customWidth="1"/>
    <col min="13" max="13" width="57.44140625" bestFit="1" customWidth="1"/>
    <col min="14" max="14" width="38.6640625" customWidth="1"/>
  </cols>
  <sheetData>
    <row r="1" spans="1:13" ht="19.5" customHeight="1" x14ac:dyDescent="0.4">
      <c r="A1" s="2" t="s">
        <v>597</v>
      </c>
      <c r="B1" s="1"/>
      <c r="C1" s="1"/>
      <c r="D1" s="1"/>
      <c r="E1" s="1"/>
      <c r="F1" s="1"/>
      <c r="G1" s="1"/>
    </row>
    <row r="3" spans="1:13" x14ac:dyDescent="0.3">
      <c r="A3" s="141" t="s">
        <v>598</v>
      </c>
      <c r="B3" s="141" t="s">
        <v>508</v>
      </c>
      <c r="C3" s="141" t="s">
        <v>672</v>
      </c>
      <c r="D3" s="141" t="s">
        <v>673</v>
      </c>
      <c r="E3" s="141"/>
      <c r="F3" s="226" t="s">
        <v>600</v>
      </c>
      <c r="G3" s="226"/>
      <c r="H3" s="141" t="s">
        <v>730</v>
      </c>
      <c r="I3" s="141" t="s">
        <v>731</v>
      </c>
      <c r="J3" s="141" t="s">
        <v>732</v>
      </c>
      <c r="K3" s="141" t="s">
        <v>610</v>
      </c>
      <c r="L3" s="141" t="s">
        <v>601</v>
      </c>
      <c r="M3" s="141" t="s">
        <v>674</v>
      </c>
    </row>
    <row r="4" spans="1:13" s="119" customFormat="1" x14ac:dyDescent="0.3">
      <c r="A4" s="142" t="s">
        <v>508</v>
      </c>
      <c r="B4" s="142" t="s">
        <v>602</v>
      </c>
      <c r="C4" s="143" t="s">
        <v>675</v>
      </c>
      <c r="D4" s="143" t="s">
        <v>676</v>
      </c>
      <c r="E4" s="143"/>
      <c r="F4" s="143" t="s">
        <v>605</v>
      </c>
      <c r="G4" s="142" t="s">
        <v>606</v>
      </c>
      <c r="H4" s="144"/>
      <c r="I4" s="144"/>
      <c r="J4" s="144"/>
      <c r="K4" s="144"/>
      <c r="L4" s="142" t="s">
        <v>612</v>
      </c>
      <c r="M4" s="145"/>
    </row>
    <row r="5" spans="1:13" x14ac:dyDescent="0.3">
      <c r="A5" s="146">
        <v>95</v>
      </c>
      <c r="B5" s="147" t="s">
        <v>677</v>
      </c>
      <c r="C5" s="147" t="s">
        <v>678</v>
      </c>
      <c r="D5" s="147" t="s">
        <v>671</v>
      </c>
      <c r="E5" s="147"/>
      <c r="F5" s="148">
        <v>3.2000000000000001E-2</v>
      </c>
      <c r="G5" s="149">
        <v>5.0000000000000001E-3</v>
      </c>
      <c r="H5" s="150">
        <v>300</v>
      </c>
      <c r="I5" s="150">
        <v>150</v>
      </c>
      <c r="J5" s="150"/>
      <c r="K5" s="151"/>
      <c r="L5" s="152" t="s">
        <v>658</v>
      </c>
      <c r="M5" s="153"/>
    </row>
    <row r="6" spans="1:13" x14ac:dyDescent="0.3">
      <c r="A6" s="146">
        <v>103</v>
      </c>
      <c r="B6" s="147" t="s">
        <v>679</v>
      </c>
      <c r="C6" s="147" t="s">
        <v>91</v>
      </c>
      <c r="D6" s="147" t="s">
        <v>671</v>
      </c>
      <c r="E6" s="147"/>
      <c r="F6" s="148">
        <v>3.2000000000000001E-2</v>
      </c>
      <c r="G6" s="149">
        <v>5.0000000000000001E-3</v>
      </c>
      <c r="H6" s="150">
        <v>400</v>
      </c>
      <c r="I6" s="150">
        <v>200</v>
      </c>
      <c r="J6" s="150">
        <v>200</v>
      </c>
      <c r="K6" s="151"/>
      <c r="L6" s="152" t="s">
        <v>620</v>
      </c>
      <c r="M6" s="153"/>
    </row>
    <row r="7" spans="1:13" x14ac:dyDescent="0.3">
      <c r="A7" s="146">
        <v>104</v>
      </c>
      <c r="B7" s="152" t="s">
        <v>680</v>
      </c>
      <c r="C7" s="154" t="s">
        <v>101</v>
      </c>
      <c r="D7" s="155" t="s">
        <v>671</v>
      </c>
      <c r="E7" s="155"/>
      <c r="F7" s="148">
        <v>0.02</v>
      </c>
      <c r="G7" s="149">
        <v>5.0000000000000001E-3</v>
      </c>
      <c r="H7" s="150">
        <v>300</v>
      </c>
      <c r="I7" s="150"/>
      <c r="J7" s="150"/>
      <c r="K7" s="151"/>
      <c r="L7" s="152" t="s">
        <v>658</v>
      </c>
      <c r="M7" s="153"/>
    </row>
    <row r="8" spans="1:13" x14ac:dyDescent="0.3">
      <c r="A8" s="146">
        <v>105</v>
      </c>
      <c r="B8" s="147" t="s">
        <v>681</v>
      </c>
      <c r="C8" s="156" t="s">
        <v>682</v>
      </c>
      <c r="D8" s="156" t="s">
        <v>120</v>
      </c>
      <c r="E8" s="156"/>
      <c r="F8" s="148">
        <v>2.8000000000000001E-2</v>
      </c>
      <c r="G8" s="149">
        <v>5.0000000000000001E-3</v>
      </c>
      <c r="H8" s="150">
        <v>300</v>
      </c>
      <c r="I8" s="150"/>
      <c r="J8" s="150"/>
      <c r="K8" s="151"/>
      <c r="L8" s="152" t="s">
        <v>658</v>
      </c>
      <c r="M8" s="153"/>
    </row>
    <row r="9" spans="1:13" x14ac:dyDescent="0.3">
      <c r="A9" s="146">
        <v>126</v>
      </c>
      <c r="B9" s="147" t="s">
        <v>683</v>
      </c>
      <c r="C9" s="157" t="s">
        <v>512</v>
      </c>
      <c r="D9" s="157" t="s">
        <v>513</v>
      </c>
      <c r="E9" s="158" t="s">
        <v>197</v>
      </c>
      <c r="F9" s="148">
        <v>3.2000000000000001E-2</v>
      </c>
      <c r="G9" s="149">
        <v>5.0000000000000001E-3</v>
      </c>
      <c r="H9" s="150">
        <v>300</v>
      </c>
      <c r="I9" s="150">
        <v>200</v>
      </c>
      <c r="J9" s="150"/>
      <c r="K9" s="151">
        <v>300</v>
      </c>
      <c r="L9" s="152" t="s">
        <v>643</v>
      </c>
      <c r="M9" s="159" t="s">
        <v>684</v>
      </c>
    </row>
    <row r="10" spans="1:13" x14ac:dyDescent="0.3">
      <c r="A10" s="146">
        <v>127</v>
      </c>
      <c r="B10" s="147" t="s">
        <v>685</v>
      </c>
      <c r="C10" s="147" t="s">
        <v>686</v>
      </c>
      <c r="D10" s="147" t="s">
        <v>671</v>
      </c>
      <c r="E10" s="147"/>
      <c r="F10" s="148">
        <v>3.2000000000000001E-2</v>
      </c>
      <c r="G10" s="149">
        <v>5.0000000000000001E-3</v>
      </c>
      <c r="H10" s="150">
        <v>300</v>
      </c>
      <c r="I10" s="150"/>
      <c r="J10" s="150"/>
      <c r="K10" s="151"/>
      <c r="L10" s="152" t="s">
        <v>658</v>
      </c>
      <c r="M10" s="160"/>
    </row>
    <row r="11" spans="1:13" x14ac:dyDescent="0.3">
      <c r="A11" s="146">
        <v>154</v>
      </c>
      <c r="B11" s="147" t="s">
        <v>687</v>
      </c>
      <c r="C11" s="161" t="s">
        <v>253</v>
      </c>
      <c r="D11" s="147"/>
      <c r="E11" s="147"/>
      <c r="F11" s="148">
        <v>3.2000000000000001E-2</v>
      </c>
      <c r="G11" s="149">
        <v>5.0000000000000001E-3</v>
      </c>
      <c r="H11" s="150">
        <v>300</v>
      </c>
      <c r="I11" s="150">
        <v>150</v>
      </c>
      <c r="J11" s="150"/>
      <c r="K11" s="151">
        <v>300</v>
      </c>
      <c r="L11" s="152" t="s">
        <v>658</v>
      </c>
      <c r="M11" s="162" t="s">
        <v>688</v>
      </c>
    </row>
    <row r="12" spans="1:13" x14ac:dyDescent="0.3">
      <c r="A12" s="146">
        <v>157</v>
      </c>
      <c r="B12" s="147" t="s">
        <v>689</v>
      </c>
      <c r="C12" s="154" t="s">
        <v>279</v>
      </c>
      <c r="D12" s="147" t="s">
        <v>671</v>
      </c>
      <c r="E12" s="147"/>
      <c r="F12" s="148">
        <v>3.2000000000000001E-2</v>
      </c>
      <c r="G12" s="149">
        <v>5.0000000000000001E-3</v>
      </c>
      <c r="H12" s="150">
        <v>300</v>
      </c>
      <c r="I12" s="150">
        <v>150</v>
      </c>
      <c r="J12" s="150">
        <v>150</v>
      </c>
      <c r="K12" s="151">
        <v>600</v>
      </c>
      <c r="L12" s="152" t="s">
        <v>658</v>
      </c>
      <c r="M12" s="163" t="s">
        <v>690</v>
      </c>
    </row>
    <row r="13" spans="1:13" x14ac:dyDescent="0.3">
      <c r="A13" s="146">
        <v>161</v>
      </c>
      <c r="B13" s="147" t="s">
        <v>691</v>
      </c>
      <c r="C13" s="164" t="s">
        <v>301</v>
      </c>
      <c r="D13" s="147" t="s">
        <v>671</v>
      </c>
      <c r="E13" s="147"/>
      <c r="F13" s="148">
        <v>3.2000000000000001E-2</v>
      </c>
      <c r="G13" s="149">
        <v>5.0000000000000001E-3</v>
      </c>
      <c r="H13" s="150">
        <v>300</v>
      </c>
      <c r="I13" s="150"/>
      <c r="J13" s="150"/>
      <c r="K13" s="151"/>
      <c r="L13" s="152" t="s">
        <v>658</v>
      </c>
      <c r="M13" s="160"/>
    </row>
    <row r="14" spans="1:13" x14ac:dyDescent="0.3">
      <c r="A14" s="146">
        <v>166</v>
      </c>
      <c r="B14" s="147" t="s">
        <v>692</v>
      </c>
      <c r="C14" s="157" t="s">
        <v>307</v>
      </c>
      <c r="D14" s="147" t="s">
        <v>671</v>
      </c>
      <c r="E14" s="147"/>
      <c r="F14" s="148">
        <v>3.2000000000000001E-2</v>
      </c>
      <c r="G14" s="149">
        <v>5.0000000000000001E-3</v>
      </c>
      <c r="H14" s="150">
        <v>300</v>
      </c>
      <c r="I14" s="150"/>
      <c r="J14" s="150"/>
      <c r="K14" s="151"/>
      <c r="L14" s="152" t="s">
        <v>658</v>
      </c>
      <c r="M14" s="153"/>
    </row>
    <row r="15" spans="1:13" x14ac:dyDescent="0.3">
      <c r="A15" s="146">
        <v>169</v>
      </c>
      <c r="B15" s="147" t="s">
        <v>693</v>
      </c>
      <c r="C15" s="161" t="s">
        <v>315</v>
      </c>
      <c r="D15" s="147" t="s">
        <v>325</v>
      </c>
      <c r="E15" s="155"/>
      <c r="F15" s="165">
        <v>3.2000000000000001E-2</v>
      </c>
      <c r="G15" s="166">
        <v>5.0000000000000001E-3</v>
      </c>
      <c r="H15" s="150">
        <v>400</v>
      </c>
      <c r="I15" s="150">
        <v>200</v>
      </c>
      <c r="J15" s="150">
        <v>200</v>
      </c>
      <c r="K15" s="151"/>
      <c r="L15" s="152" t="s">
        <v>620</v>
      </c>
      <c r="M15" s="153"/>
    </row>
    <row r="16" spans="1:13" x14ac:dyDescent="0.3">
      <c r="A16" s="167">
        <v>175</v>
      </c>
      <c r="B16" s="155" t="s">
        <v>694</v>
      </c>
      <c r="C16" s="168" t="s">
        <v>355</v>
      </c>
      <c r="D16" s="155" t="s">
        <v>695</v>
      </c>
      <c r="E16" s="155"/>
      <c r="F16" s="148" t="s">
        <v>696</v>
      </c>
      <c r="G16" s="166"/>
      <c r="H16" s="150">
        <v>400</v>
      </c>
      <c r="I16" s="150"/>
      <c r="J16" s="150"/>
      <c r="K16" s="151">
        <v>1000</v>
      </c>
      <c r="L16" s="152" t="s">
        <v>620</v>
      </c>
      <c r="M16" s="147" t="s">
        <v>697</v>
      </c>
    </row>
    <row r="17" spans="1:13" x14ac:dyDescent="0.3">
      <c r="A17" s="169">
        <v>179</v>
      </c>
      <c r="B17" s="147" t="s">
        <v>698</v>
      </c>
      <c r="C17" s="162" t="s">
        <v>365</v>
      </c>
      <c r="D17" s="162" t="s">
        <v>367</v>
      </c>
      <c r="E17" s="162"/>
      <c r="F17" s="148" t="s">
        <v>699</v>
      </c>
      <c r="G17" s="166">
        <v>5.0000000000000001E-3</v>
      </c>
      <c r="H17" s="150">
        <v>400</v>
      </c>
      <c r="I17" s="150">
        <v>200</v>
      </c>
      <c r="J17" s="150"/>
      <c r="K17" s="151"/>
      <c r="L17" s="152" t="s">
        <v>620</v>
      </c>
      <c r="M17" s="160"/>
    </row>
    <row r="18" spans="1:13" x14ac:dyDescent="0.3">
      <c r="A18" s="169">
        <v>183</v>
      </c>
      <c r="B18" s="147" t="s">
        <v>700</v>
      </c>
      <c r="C18" s="147" t="s">
        <v>701</v>
      </c>
      <c r="D18" s="147" t="s">
        <v>702</v>
      </c>
      <c r="E18" s="147"/>
      <c r="F18" s="148">
        <v>2.8000000000000001E-2</v>
      </c>
      <c r="G18" s="149">
        <v>5.0000000000000001E-3</v>
      </c>
      <c r="H18" s="150">
        <v>400</v>
      </c>
      <c r="I18" s="150"/>
      <c r="J18" s="150"/>
      <c r="K18" s="151">
        <v>1000</v>
      </c>
      <c r="L18" s="152" t="s">
        <v>620</v>
      </c>
      <c r="M18" s="147" t="s">
        <v>703</v>
      </c>
    </row>
    <row r="19" spans="1:13" x14ac:dyDescent="0.3">
      <c r="A19" s="169">
        <v>185</v>
      </c>
      <c r="B19" s="147" t="s">
        <v>704</v>
      </c>
      <c r="C19" s="147" t="s">
        <v>705</v>
      </c>
      <c r="D19" s="147" t="s">
        <v>671</v>
      </c>
      <c r="E19" s="147"/>
      <c r="F19" s="148">
        <v>2.8000000000000001E-2</v>
      </c>
      <c r="G19" s="149">
        <v>5.0000000000000001E-3</v>
      </c>
      <c r="H19" s="150">
        <v>400</v>
      </c>
      <c r="I19" s="150"/>
      <c r="J19" s="150"/>
      <c r="K19" s="151"/>
      <c r="L19" s="152" t="s">
        <v>620</v>
      </c>
      <c r="M19" s="153"/>
    </row>
  </sheetData>
  <mergeCells count="2">
    <mergeCell ref="A1:G1"/>
    <mergeCell ref="F3:G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0"/>
  <sheetViews>
    <sheetView showGridLines="0" workbookViewId="0">
      <selection activeCell="B10" sqref="B10"/>
    </sheetView>
  </sheetViews>
  <sheetFormatPr defaultColWidth="9.109375" defaultRowHeight="14.4" x14ac:dyDescent="0.3"/>
  <cols>
    <col min="1" max="1" width="4.5546875" style="187" bestFit="1" customWidth="1"/>
    <col min="2" max="2" width="7.109375" style="187" bestFit="1" customWidth="1"/>
    <col min="3" max="3" width="7.6640625" style="187" bestFit="1" customWidth="1"/>
    <col min="4" max="4" width="33.33203125" style="187" bestFit="1" customWidth="1"/>
    <col min="5" max="5" width="19.88671875" style="187" bestFit="1" customWidth="1"/>
    <col min="6" max="6" width="14" style="187" bestFit="1" customWidth="1"/>
    <col min="7" max="7" width="10.6640625" style="187" bestFit="1" customWidth="1"/>
    <col min="8" max="8" width="5.6640625" style="187" bestFit="1" customWidth="1"/>
    <col min="9" max="9" width="8.33203125" style="187" bestFit="1" customWidth="1"/>
    <col min="10" max="16384" width="9.109375" style="187"/>
  </cols>
  <sheetData>
    <row r="1" spans="1:9" x14ac:dyDescent="0.3">
      <c r="A1" s="185" t="s">
        <v>454</v>
      </c>
      <c r="B1" s="185" t="s">
        <v>2</v>
      </c>
      <c r="C1" s="185"/>
      <c r="D1" s="185" t="s">
        <v>0</v>
      </c>
      <c r="E1" s="185" t="s">
        <v>1</v>
      </c>
      <c r="F1" s="185" t="s">
        <v>3</v>
      </c>
      <c r="G1" s="185" t="s">
        <v>455</v>
      </c>
      <c r="H1" s="185" t="s">
        <v>728</v>
      </c>
      <c r="I1" s="186" t="s">
        <v>729</v>
      </c>
    </row>
    <row r="2" spans="1:9" x14ac:dyDescent="0.3">
      <c r="A2" s="188">
        <v>95</v>
      </c>
      <c r="B2" s="188">
        <v>56</v>
      </c>
      <c r="C2" s="184" t="s">
        <v>709</v>
      </c>
      <c r="D2" s="189" t="s">
        <v>71</v>
      </c>
      <c r="E2" s="190" t="s">
        <v>14</v>
      </c>
      <c r="F2" s="191" t="s">
        <v>72</v>
      </c>
      <c r="G2" s="192">
        <v>43165</v>
      </c>
      <c r="H2" s="191" t="s">
        <v>10</v>
      </c>
      <c r="I2" s="193">
        <v>70</v>
      </c>
    </row>
    <row r="3" spans="1:9" x14ac:dyDescent="0.3">
      <c r="A3" s="188">
        <v>95</v>
      </c>
      <c r="B3" s="188">
        <v>59</v>
      </c>
      <c r="C3" s="184" t="s">
        <v>710</v>
      </c>
      <c r="D3" s="189" t="s">
        <v>73</v>
      </c>
      <c r="E3" s="190" t="s">
        <v>14</v>
      </c>
      <c r="F3" s="191" t="s">
        <v>74</v>
      </c>
      <c r="G3" s="192">
        <v>43213</v>
      </c>
      <c r="H3" s="191" t="s">
        <v>10</v>
      </c>
      <c r="I3" s="193">
        <v>70</v>
      </c>
    </row>
    <row r="4" spans="1:9" x14ac:dyDescent="0.3">
      <c r="A4" s="188">
        <v>95</v>
      </c>
      <c r="B4" s="188">
        <v>80</v>
      </c>
      <c r="C4" s="184" t="s">
        <v>711</v>
      </c>
      <c r="D4" s="189" t="s">
        <v>75</v>
      </c>
      <c r="E4" s="190" t="s">
        <v>21</v>
      </c>
      <c r="F4" s="191" t="s">
        <v>76</v>
      </c>
      <c r="G4" s="192">
        <v>44064</v>
      </c>
      <c r="H4" s="191" t="s">
        <v>10</v>
      </c>
      <c r="I4" s="193">
        <v>70</v>
      </c>
    </row>
    <row r="5" spans="1:9" x14ac:dyDescent="0.3">
      <c r="A5" s="188">
        <v>95</v>
      </c>
      <c r="B5" s="188">
        <v>84</v>
      </c>
      <c r="C5" s="184" t="s">
        <v>712</v>
      </c>
      <c r="D5" s="189" t="s">
        <v>79</v>
      </c>
      <c r="E5" s="190" t="s">
        <v>11</v>
      </c>
      <c r="F5" s="191" t="s">
        <v>80</v>
      </c>
      <c r="G5" s="192">
        <v>43475</v>
      </c>
      <c r="H5" s="191" t="s">
        <v>10</v>
      </c>
      <c r="I5" s="193">
        <v>70</v>
      </c>
    </row>
    <row r="6" spans="1:9" x14ac:dyDescent="0.3">
      <c r="A6" s="188">
        <v>103</v>
      </c>
      <c r="B6" s="188">
        <v>185</v>
      </c>
      <c r="C6" s="184" t="s">
        <v>714</v>
      </c>
      <c r="D6" s="189" t="s">
        <v>87</v>
      </c>
      <c r="E6" s="190" t="s">
        <v>14</v>
      </c>
      <c r="F6" s="191" t="s">
        <v>88</v>
      </c>
      <c r="G6" s="192">
        <v>43782</v>
      </c>
      <c r="H6" s="191" t="s">
        <v>10</v>
      </c>
      <c r="I6" s="193">
        <v>70</v>
      </c>
    </row>
    <row r="7" spans="1:9" x14ac:dyDescent="0.3">
      <c r="A7" s="188">
        <v>103</v>
      </c>
      <c r="B7" s="188">
        <v>187</v>
      </c>
      <c r="C7" s="184" t="s">
        <v>715</v>
      </c>
      <c r="D7" s="189" t="s">
        <v>89</v>
      </c>
      <c r="E7" s="190" t="s">
        <v>14</v>
      </c>
      <c r="F7" s="191" t="s">
        <v>90</v>
      </c>
      <c r="G7" s="192">
        <v>43815</v>
      </c>
      <c r="H7" s="191" t="s">
        <v>10</v>
      </c>
      <c r="I7" s="193">
        <v>70</v>
      </c>
    </row>
    <row r="8" spans="1:9" x14ac:dyDescent="0.3">
      <c r="A8" s="188">
        <v>103</v>
      </c>
      <c r="B8" s="188">
        <v>199</v>
      </c>
      <c r="C8" s="184" t="s">
        <v>716</v>
      </c>
      <c r="D8" s="189" t="s">
        <v>95</v>
      </c>
      <c r="E8" s="190" t="s">
        <v>11</v>
      </c>
      <c r="F8" s="191" t="s">
        <v>96</v>
      </c>
      <c r="G8" s="192">
        <v>43284</v>
      </c>
      <c r="H8" s="191" t="s">
        <v>10</v>
      </c>
      <c r="I8" s="193">
        <v>70</v>
      </c>
    </row>
    <row r="9" spans="1:9" x14ac:dyDescent="0.3">
      <c r="A9" s="188">
        <v>103</v>
      </c>
      <c r="B9" s="188">
        <v>184</v>
      </c>
      <c r="C9" s="184" t="s">
        <v>713</v>
      </c>
      <c r="D9" s="189" t="s">
        <v>85</v>
      </c>
      <c r="E9" s="190" t="s">
        <v>21</v>
      </c>
      <c r="F9" s="191" t="s">
        <v>86</v>
      </c>
      <c r="G9" s="192">
        <v>43782</v>
      </c>
      <c r="H9" s="191" t="s">
        <v>10</v>
      </c>
      <c r="I9" s="193">
        <v>70</v>
      </c>
    </row>
    <row r="10" spans="1:9" x14ac:dyDescent="0.3">
      <c r="A10" s="188">
        <v>116</v>
      </c>
      <c r="B10" s="188">
        <v>143</v>
      </c>
      <c r="C10" s="184" t="s">
        <v>717</v>
      </c>
      <c r="D10" s="189" t="s">
        <v>132</v>
      </c>
      <c r="E10" s="190" t="s">
        <v>11</v>
      </c>
      <c r="F10" s="191" t="s">
        <v>133</v>
      </c>
      <c r="G10" s="192">
        <v>43405</v>
      </c>
      <c r="H10" s="191" t="s">
        <v>10</v>
      </c>
      <c r="I10" s="193">
        <v>70</v>
      </c>
    </row>
    <row r="11" spans="1:9" x14ac:dyDescent="0.3">
      <c r="A11" s="188">
        <v>116</v>
      </c>
      <c r="B11" s="188">
        <v>144</v>
      </c>
      <c r="C11" s="184" t="s">
        <v>721</v>
      </c>
      <c r="D11" s="189" t="s">
        <v>134</v>
      </c>
      <c r="E11" s="190" t="s">
        <v>14</v>
      </c>
      <c r="F11" s="191" t="s">
        <v>135</v>
      </c>
      <c r="G11" s="192">
        <v>43412</v>
      </c>
      <c r="H11" s="191" t="s">
        <v>10</v>
      </c>
      <c r="I11" s="193">
        <v>70</v>
      </c>
    </row>
    <row r="12" spans="1:9" x14ac:dyDescent="0.3">
      <c r="A12" s="188">
        <v>116</v>
      </c>
      <c r="B12" s="188">
        <v>146</v>
      </c>
      <c r="C12" s="184" t="s">
        <v>720</v>
      </c>
      <c r="D12" s="189" t="s">
        <v>136</v>
      </c>
      <c r="E12" s="190" t="s">
        <v>21</v>
      </c>
      <c r="F12" s="191" t="s">
        <v>137</v>
      </c>
      <c r="G12" s="192">
        <v>43431</v>
      </c>
      <c r="H12" s="191" t="s">
        <v>10</v>
      </c>
      <c r="I12" s="193">
        <v>70</v>
      </c>
    </row>
    <row r="13" spans="1:9" x14ac:dyDescent="0.3">
      <c r="A13" s="188">
        <v>116</v>
      </c>
      <c r="B13" s="188">
        <v>148</v>
      </c>
      <c r="C13" s="184" t="s">
        <v>719</v>
      </c>
      <c r="D13" s="189" t="s">
        <v>138</v>
      </c>
      <c r="E13" s="190" t="s">
        <v>14</v>
      </c>
      <c r="F13" s="191" t="s">
        <v>139</v>
      </c>
      <c r="G13" s="192">
        <v>43437</v>
      </c>
      <c r="H13" s="191" t="s">
        <v>10</v>
      </c>
      <c r="I13" s="193">
        <v>70</v>
      </c>
    </row>
    <row r="14" spans="1:9" x14ac:dyDescent="0.3">
      <c r="A14" s="188">
        <v>116</v>
      </c>
      <c r="B14" s="188">
        <v>164</v>
      </c>
      <c r="C14" s="184" t="s">
        <v>718</v>
      </c>
      <c r="D14" s="189" t="s">
        <v>140</v>
      </c>
      <c r="E14" s="190" t="s">
        <v>14</v>
      </c>
      <c r="F14" s="191" t="s">
        <v>141</v>
      </c>
      <c r="G14" s="192">
        <v>43717</v>
      </c>
      <c r="H14" s="191" t="s">
        <v>10</v>
      </c>
      <c r="I14" s="193">
        <v>70</v>
      </c>
    </row>
    <row r="15" spans="1:9" x14ac:dyDescent="0.3">
      <c r="A15" s="188">
        <v>116</v>
      </c>
      <c r="B15" s="188">
        <v>169</v>
      </c>
      <c r="C15" s="184" t="s">
        <v>722</v>
      </c>
      <c r="D15" s="189" t="s">
        <v>142</v>
      </c>
      <c r="E15" s="190" t="s">
        <v>14</v>
      </c>
      <c r="F15" s="191" t="s">
        <v>143</v>
      </c>
      <c r="G15" s="192">
        <v>41720</v>
      </c>
      <c r="H15" s="191" t="s">
        <v>10</v>
      </c>
      <c r="I15" s="193">
        <v>70</v>
      </c>
    </row>
    <row r="16" spans="1:9" x14ac:dyDescent="0.3">
      <c r="A16" s="188">
        <v>156</v>
      </c>
      <c r="B16" s="188">
        <v>67</v>
      </c>
      <c r="C16" s="184" t="s">
        <v>726</v>
      </c>
      <c r="D16" s="189" t="s">
        <v>263</v>
      </c>
      <c r="E16" s="190" t="s">
        <v>14</v>
      </c>
      <c r="F16" s="191" t="s">
        <v>264</v>
      </c>
      <c r="G16" s="192">
        <v>43759</v>
      </c>
      <c r="H16" s="191" t="s">
        <v>10</v>
      </c>
      <c r="I16" s="193">
        <v>70</v>
      </c>
    </row>
    <row r="17" spans="1:9" x14ac:dyDescent="0.3">
      <c r="A17" s="188">
        <v>156</v>
      </c>
      <c r="B17" s="188">
        <v>72</v>
      </c>
      <c r="C17" s="184" t="s">
        <v>724</v>
      </c>
      <c r="D17" s="189" t="s">
        <v>265</v>
      </c>
      <c r="E17" s="190" t="s">
        <v>14</v>
      </c>
      <c r="F17" s="191" t="s">
        <v>266</v>
      </c>
      <c r="G17" s="192">
        <v>43852</v>
      </c>
      <c r="H17" s="191" t="s">
        <v>10</v>
      </c>
      <c r="I17" s="193">
        <v>70</v>
      </c>
    </row>
    <row r="18" spans="1:9" x14ac:dyDescent="0.3">
      <c r="A18" s="188">
        <v>156</v>
      </c>
      <c r="B18" s="188">
        <v>75</v>
      </c>
      <c r="C18" s="184" t="s">
        <v>727</v>
      </c>
      <c r="D18" s="189" t="s">
        <v>267</v>
      </c>
      <c r="E18" s="190" t="s">
        <v>11</v>
      </c>
      <c r="F18" s="191" t="s">
        <v>268</v>
      </c>
      <c r="G18" s="192">
        <v>43889</v>
      </c>
      <c r="H18" s="191" t="s">
        <v>10</v>
      </c>
      <c r="I18" s="193">
        <v>70</v>
      </c>
    </row>
    <row r="19" spans="1:9" x14ac:dyDescent="0.3">
      <c r="A19" s="188">
        <v>156</v>
      </c>
      <c r="B19" s="188">
        <v>76</v>
      </c>
      <c r="C19" s="184" t="s">
        <v>723</v>
      </c>
      <c r="D19" s="189" t="s">
        <v>269</v>
      </c>
      <c r="E19" s="190" t="s">
        <v>14</v>
      </c>
      <c r="F19" s="191" t="s">
        <v>270</v>
      </c>
      <c r="G19" s="192">
        <v>43901</v>
      </c>
      <c r="H19" s="191" t="s">
        <v>10</v>
      </c>
      <c r="I19" s="193">
        <v>70</v>
      </c>
    </row>
    <row r="20" spans="1:9" x14ac:dyDescent="0.3">
      <c r="A20" s="188">
        <v>156</v>
      </c>
      <c r="B20" s="188">
        <v>78</v>
      </c>
      <c r="C20" s="184" t="s">
        <v>725</v>
      </c>
      <c r="D20" s="189" t="s">
        <v>271</v>
      </c>
      <c r="E20" s="190" t="s">
        <v>14</v>
      </c>
      <c r="F20" s="191" t="s">
        <v>272</v>
      </c>
      <c r="G20" s="192">
        <v>43902</v>
      </c>
      <c r="H20" s="191" t="s">
        <v>10</v>
      </c>
      <c r="I20" s="193">
        <v>70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3"/>
  <sheetViews>
    <sheetView showGridLines="0" topLeftCell="A2" workbookViewId="0">
      <selection activeCell="A5" sqref="A5:D23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70" t="s">
        <v>706</v>
      </c>
      <c r="B1" s="171"/>
    </row>
    <row r="2" spans="1:6" x14ac:dyDescent="0.3">
      <c r="A2" s="170" t="s">
        <v>707</v>
      </c>
      <c r="B2" s="171"/>
    </row>
    <row r="3" spans="1:6" x14ac:dyDescent="0.3">
      <c r="A3" s="170"/>
      <c r="B3" s="171"/>
    </row>
    <row r="4" spans="1:6" x14ac:dyDescent="0.3">
      <c r="A4" s="172"/>
      <c r="B4" s="173"/>
      <c r="C4" s="174"/>
      <c r="D4" s="175"/>
      <c r="E4" s="176"/>
    </row>
    <row r="5" spans="1:6" x14ac:dyDescent="0.3">
      <c r="A5" s="177">
        <v>95</v>
      </c>
      <c r="B5" s="178">
        <v>56</v>
      </c>
      <c r="C5" s="179">
        <v>85</v>
      </c>
      <c r="D5" s="180">
        <f>F5</f>
        <v>7000</v>
      </c>
      <c r="E5" s="181">
        <v>70</v>
      </c>
      <c r="F5" s="54">
        <f>E5*100</f>
        <v>7000</v>
      </c>
    </row>
    <row r="6" spans="1:6" x14ac:dyDescent="0.3">
      <c r="A6" s="177">
        <v>95</v>
      </c>
      <c r="B6" s="178">
        <v>59</v>
      </c>
      <c r="C6" s="179">
        <v>85</v>
      </c>
      <c r="D6" s="180">
        <f t="shared" ref="D6:D23" si="0">F6</f>
        <v>7000</v>
      </c>
      <c r="E6" s="181">
        <v>70</v>
      </c>
      <c r="F6" s="54">
        <f t="shared" ref="F6:F23" si="1">E6*100</f>
        <v>7000</v>
      </c>
    </row>
    <row r="7" spans="1:6" x14ac:dyDescent="0.3">
      <c r="A7" s="177">
        <v>95</v>
      </c>
      <c r="B7" s="178">
        <v>80</v>
      </c>
      <c r="C7" s="179">
        <v>85</v>
      </c>
      <c r="D7" s="180">
        <f t="shared" si="0"/>
        <v>7000</v>
      </c>
      <c r="E7" s="181">
        <v>70</v>
      </c>
      <c r="F7" s="54">
        <f t="shared" si="1"/>
        <v>7000</v>
      </c>
    </row>
    <row r="8" spans="1:6" x14ac:dyDescent="0.3">
      <c r="A8" s="177">
        <v>95</v>
      </c>
      <c r="B8" s="178">
        <v>84</v>
      </c>
      <c r="C8" s="179">
        <v>85</v>
      </c>
      <c r="D8" s="180">
        <f t="shared" si="0"/>
        <v>7000</v>
      </c>
      <c r="E8" s="181">
        <v>70</v>
      </c>
      <c r="F8" s="54">
        <f t="shared" si="1"/>
        <v>7000</v>
      </c>
    </row>
    <row r="9" spans="1:6" x14ac:dyDescent="0.3">
      <c r="A9" s="177">
        <v>103</v>
      </c>
      <c r="B9" s="178">
        <v>184</v>
      </c>
      <c r="C9" s="179">
        <v>85</v>
      </c>
      <c r="D9" s="180">
        <f t="shared" si="0"/>
        <v>7000</v>
      </c>
      <c r="E9" s="181">
        <v>70</v>
      </c>
      <c r="F9" s="54">
        <f t="shared" si="1"/>
        <v>7000</v>
      </c>
    </row>
    <row r="10" spans="1:6" x14ac:dyDescent="0.3">
      <c r="A10" s="177">
        <v>103</v>
      </c>
      <c r="B10" s="178">
        <v>185</v>
      </c>
      <c r="C10" s="179">
        <v>85</v>
      </c>
      <c r="D10" s="180">
        <f t="shared" si="0"/>
        <v>7000</v>
      </c>
      <c r="E10" s="181">
        <v>70</v>
      </c>
      <c r="F10" s="54">
        <f t="shared" si="1"/>
        <v>7000</v>
      </c>
    </row>
    <row r="11" spans="1:6" x14ac:dyDescent="0.3">
      <c r="A11" s="177">
        <v>103</v>
      </c>
      <c r="B11" s="178">
        <v>187</v>
      </c>
      <c r="C11" s="179">
        <v>85</v>
      </c>
      <c r="D11" s="180">
        <f t="shared" si="0"/>
        <v>7000</v>
      </c>
      <c r="E11" s="181">
        <v>70</v>
      </c>
      <c r="F11" s="54">
        <f t="shared" si="1"/>
        <v>7000</v>
      </c>
    </row>
    <row r="12" spans="1:6" x14ac:dyDescent="0.3">
      <c r="A12" s="177">
        <v>103</v>
      </c>
      <c r="B12" s="178">
        <v>199</v>
      </c>
      <c r="C12" s="179">
        <v>85</v>
      </c>
      <c r="D12" s="180">
        <f t="shared" si="0"/>
        <v>7000</v>
      </c>
      <c r="E12" s="181">
        <v>70</v>
      </c>
      <c r="F12" s="54">
        <f t="shared" si="1"/>
        <v>7000</v>
      </c>
    </row>
    <row r="13" spans="1:6" x14ac:dyDescent="0.3">
      <c r="A13" s="177">
        <v>116</v>
      </c>
      <c r="B13" s="178">
        <v>143</v>
      </c>
      <c r="C13" s="179">
        <v>85</v>
      </c>
      <c r="D13" s="180">
        <f t="shared" si="0"/>
        <v>7000</v>
      </c>
      <c r="E13" s="181">
        <v>70</v>
      </c>
      <c r="F13" s="54">
        <f t="shared" si="1"/>
        <v>7000</v>
      </c>
    </row>
    <row r="14" spans="1:6" x14ac:dyDescent="0.3">
      <c r="A14" s="177">
        <v>116</v>
      </c>
      <c r="B14" s="178">
        <v>144</v>
      </c>
      <c r="C14" s="179">
        <v>85</v>
      </c>
      <c r="D14" s="180">
        <f t="shared" si="0"/>
        <v>7000</v>
      </c>
      <c r="E14" s="181">
        <v>70</v>
      </c>
      <c r="F14" s="54">
        <f t="shared" si="1"/>
        <v>7000</v>
      </c>
    </row>
    <row r="15" spans="1:6" x14ac:dyDescent="0.3">
      <c r="A15" s="177">
        <v>116</v>
      </c>
      <c r="B15" s="178">
        <v>146</v>
      </c>
      <c r="C15" s="179">
        <v>85</v>
      </c>
      <c r="D15" s="180">
        <f t="shared" si="0"/>
        <v>7000</v>
      </c>
      <c r="E15" s="181">
        <v>70</v>
      </c>
      <c r="F15" s="54">
        <f t="shared" si="1"/>
        <v>7000</v>
      </c>
    </row>
    <row r="16" spans="1:6" x14ac:dyDescent="0.3">
      <c r="A16" s="177">
        <v>116</v>
      </c>
      <c r="B16" s="178">
        <v>148</v>
      </c>
      <c r="C16" s="179">
        <v>85</v>
      </c>
      <c r="D16" s="180">
        <f t="shared" si="0"/>
        <v>7000</v>
      </c>
      <c r="E16" s="181">
        <v>70</v>
      </c>
      <c r="F16" s="54">
        <f t="shared" si="1"/>
        <v>7000</v>
      </c>
    </row>
    <row r="17" spans="1:6" x14ac:dyDescent="0.3">
      <c r="A17" s="177">
        <v>116</v>
      </c>
      <c r="B17" s="178">
        <v>164</v>
      </c>
      <c r="C17" s="179">
        <v>85</v>
      </c>
      <c r="D17" s="180">
        <f t="shared" si="0"/>
        <v>7000</v>
      </c>
      <c r="E17" s="181">
        <v>70</v>
      </c>
      <c r="F17" s="54">
        <f t="shared" si="1"/>
        <v>7000</v>
      </c>
    </row>
    <row r="18" spans="1:6" x14ac:dyDescent="0.3">
      <c r="A18" s="177">
        <v>116</v>
      </c>
      <c r="B18" s="178">
        <v>169</v>
      </c>
      <c r="C18" s="179">
        <v>85</v>
      </c>
      <c r="D18" s="180">
        <f t="shared" si="0"/>
        <v>7000</v>
      </c>
      <c r="E18" s="181">
        <v>70</v>
      </c>
      <c r="F18" s="54">
        <f t="shared" si="1"/>
        <v>7000</v>
      </c>
    </row>
    <row r="19" spans="1:6" x14ac:dyDescent="0.3">
      <c r="A19" s="177">
        <v>156</v>
      </c>
      <c r="B19" s="178">
        <v>67</v>
      </c>
      <c r="C19" s="179">
        <v>85</v>
      </c>
      <c r="D19" s="180">
        <f t="shared" si="0"/>
        <v>7000</v>
      </c>
      <c r="E19" s="181">
        <v>70</v>
      </c>
      <c r="F19" s="54">
        <f t="shared" si="1"/>
        <v>7000</v>
      </c>
    </row>
    <row r="20" spans="1:6" x14ac:dyDescent="0.3">
      <c r="A20" s="177">
        <v>156</v>
      </c>
      <c r="B20" s="178">
        <v>72</v>
      </c>
      <c r="C20" s="179">
        <v>85</v>
      </c>
      <c r="D20" s="180">
        <f t="shared" si="0"/>
        <v>7000</v>
      </c>
      <c r="E20" s="181">
        <v>70</v>
      </c>
      <c r="F20" s="54">
        <f t="shared" si="1"/>
        <v>7000</v>
      </c>
    </row>
    <row r="21" spans="1:6" x14ac:dyDescent="0.3">
      <c r="A21" s="177">
        <v>156</v>
      </c>
      <c r="B21" s="178">
        <v>75</v>
      </c>
      <c r="C21" s="179">
        <v>85</v>
      </c>
      <c r="D21" s="180">
        <f t="shared" si="0"/>
        <v>7000</v>
      </c>
      <c r="E21" s="181">
        <v>70</v>
      </c>
      <c r="F21" s="54">
        <f t="shared" si="1"/>
        <v>7000</v>
      </c>
    </row>
    <row r="22" spans="1:6" x14ac:dyDescent="0.3">
      <c r="A22" s="177">
        <v>156</v>
      </c>
      <c r="B22" s="178">
        <v>76</v>
      </c>
      <c r="C22" s="179">
        <v>85</v>
      </c>
      <c r="D22" s="180">
        <f t="shared" si="0"/>
        <v>7000</v>
      </c>
      <c r="E22" s="181">
        <v>70</v>
      </c>
      <c r="F22" s="54">
        <f t="shared" si="1"/>
        <v>7000</v>
      </c>
    </row>
    <row r="23" spans="1:6" x14ac:dyDescent="0.3">
      <c r="A23" s="177">
        <v>156</v>
      </c>
      <c r="B23" s="178">
        <v>78</v>
      </c>
      <c r="C23" s="179">
        <v>85</v>
      </c>
      <c r="D23" s="180">
        <f t="shared" si="0"/>
        <v>7000</v>
      </c>
      <c r="E23" s="181">
        <v>70</v>
      </c>
      <c r="F23" s="54">
        <f t="shared" si="1"/>
        <v>7000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71"/>
  <sheetViews>
    <sheetView showGridLines="0" topLeftCell="A150" workbookViewId="0">
      <selection activeCell="A5" sqref="A5:D171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70" t="s">
        <v>706</v>
      </c>
      <c r="B1" s="171"/>
    </row>
    <row r="2" spans="1:6" x14ac:dyDescent="0.3">
      <c r="A2" s="170" t="s">
        <v>707</v>
      </c>
      <c r="B2" s="171"/>
    </row>
    <row r="3" spans="1:6" x14ac:dyDescent="0.3">
      <c r="A3" s="170"/>
      <c r="B3" s="171"/>
    </row>
    <row r="4" spans="1:6" x14ac:dyDescent="0.3">
      <c r="A4" s="172"/>
      <c r="B4" s="173"/>
      <c r="C4" s="174"/>
      <c r="D4" s="175"/>
      <c r="E4" s="176"/>
    </row>
    <row r="5" spans="1:6" x14ac:dyDescent="0.3">
      <c r="A5" s="177">
        <v>62</v>
      </c>
      <c r="B5" s="178">
        <v>286</v>
      </c>
      <c r="C5" s="179">
        <v>5</v>
      </c>
      <c r="D5" s="180">
        <f>F5</f>
        <v>391186.37599999993</v>
      </c>
      <c r="E5" s="181">
        <v>3911.8637599999993</v>
      </c>
      <c r="F5" s="54">
        <f>E5*100</f>
        <v>391186.37599999993</v>
      </c>
    </row>
    <row r="6" spans="1:6" x14ac:dyDescent="0.3">
      <c r="A6" s="177">
        <v>62</v>
      </c>
      <c r="B6" s="178">
        <v>322</v>
      </c>
      <c r="C6" s="179">
        <v>5</v>
      </c>
      <c r="D6" s="180">
        <f t="shared" ref="D6:D69" si="0">F6</f>
        <v>211434.41199999998</v>
      </c>
      <c r="E6" s="181">
        <v>2114.3441199999997</v>
      </c>
      <c r="F6" s="54">
        <f t="shared" ref="F6:F69" si="1">E6*100</f>
        <v>211434.41199999998</v>
      </c>
    </row>
    <row r="7" spans="1:6" x14ac:dyDescent="0.3">
      <c r="A7" s="177">
        <v>62</v>
      </c>
      <c r="B7" s="178">
        <v>282</v>
      </c>
      <c r="C7" s="179">
        <v>5</v>
      </c>
      <c r="D7" s="180">
        <f t="shared" si="0"/>
        <v>96133.743999999977</v>
      </c>
      <c r="E7" s="181">
        <v>961.33743999999979</v>
      </c>
      <c r="F7" s="54">
        <f t="shared" si="1"/>
        <v>96133.743999999977</v>
      </c>
    </row>
    <row r="8" spans="1:6" x14ac:dyDescent="0.3">
      <c r="A8" s="177">
        <v>62</v>
      </c>
      <c r="B8" s="178">
        <v>316</v>
      </c>
      <c r="C8" s="179">
        <v>5</v>
      </c>
      <c r="D8" s="180">
        <f t="shared" si="0"/>
        <v>321171.92799999996</v>
      </c>
      <c r="E8" s="181">
        <v>3211.7192799999993</v>
      </c>
      <c r="F8" s="54">
        <f t="shared" si="1"/>
        <v>321171.92799999996</v>
      </c>
    </row>
    <row r="9" spans="1:6" x14ac:dyDescent="0.3">
      <c r="A9" s="177">
        <v>62</v>
      </c>
      <c r="B9" s="178">
        <v>266</v>
      </c>
      <c r="C9" s="179">
        <v>5</v>
      </c>
      <c r="D9" s="180">
        <f t="shared" si="0"/>
        <v>645219.92700000014</v>
      </c>
      <c r="E9" s="181">
        <v>6452.199270000001</v>
      </c>
      <c r="F9" s="54">
        <f t="shared" si="1"/>
        <v>645219.92700000014</v>
      </c>
    </row>
    <row r="10" spans="1:6" x14ac:dyDescent="0.3">
      <c r="A10" s="177">
        <v>62</v>
      </c>
      <c r="B10" s="178">
        <v>314</v>
      </c>
      <c r="C10" s="179">
        <v>5</v>
      </c>
      <c r="D10" s="180">
        <f t="shared" si="0"/>
        <v>311157.25199999998</v>
      </c>
      <c r="E10" s="181">
        <v>3111.5725199999997</v>
      </c>
      <c r="F10" s="54">
        <f t="shared" si="1"/>
        <v>311157.25199999998</v>
      </c>
    </row>
    <row r="11" spans="1:6" x14ac:dyDescent="0.3">
      <c r="A11" s="177">
        <v>62</v>
      </c>
      <c r="B11" s="178">
        <v>320</v>
      </c>
      <c r="C11" s="179">
        <v>5</v>
      </c>
      <c r="D11" s="180">
        <f t="shared" si="0"/>
        <v>313151.01999999996</v>
      </c>
      <c r="E11" s="181">
        <v>3131.5101999999997</v>
      </c>
      <c r="F11" s="54">
        <f t="shared" si="1"/>
        <v>313151.01999999996</v>
      </c>
    </row>
    <row r="12" spans="1:6" x14ac:dyDescent="0.3">
      <c r="A12" s="177">
        <v>62</v>
      </c>
      <c r="B12" s="178">
        <v>289</v>
      </c>
      <c r="C12" s="179">
        <v>5</v>
      </c>
      <c r="D12" s="180">
        <f t="shared" si="0"/>
        <v>355775.13999999996</v>
      </c>
      <c r="E12" s="181">
        <v>3557.7513999999996</v>
      </c>
      <c r="F12" s="54">
        <f t="shared" si="1"/>
        <v>355775.13999999996</v>
      </c>
    </row>
    <row r="13" spans="1:6" x14ac:dyDescent="0.3">
      <c r="A13" s="177">
        <v>93</v>
      </c>
      <c r="B13" s="178">
        <v>98</v>
      </c>
      <c r="C13" s="179">
        <v>5</v>
      </c>
      <c r="D13" s="180">
        <f t="shared" si="0"/>
        <v>199264.35199999996</v>
      </c>
      <c r="E13" s="181">
        <v>1992.6435199999996</v>
      </c>
      <c r="F13" s="54">
        <f t="shared" si="1"/>
        <v>199264.35199999996</v>
      </c>
    </row>
    <row r="14" spans="1:6" x14ac:dyDescent="0.3">
      <c r="A14" s="177">
        <v>93</v>
      </c>
      <c r="B14" s="178">
        <v>70</v>
      </c>
      <c r="C14" s="179">
        <v>5</v>
      </c>
      <c r="D14" s="180">
        <f t="shared" si="0"/>
        <v>160585.12399999998</v>
      </c>
      <c r="E14" s="181">
        <v>1605.8512399999997</v>
      </c>
      <c r="F14" s="54">
        <f t="shared" si="1"/>
        <v>160585.12399999998</v>
      </c>
    </row>
    <row r="15" spans="1:6" x14ac:dyDescent="0.3">
      <c r="A15" s="177">
        <v>93</v>
      </c>
      <c r="B15" s="178">
        <v>90</v>
      </c>
      <c r="C15" s="179">
        <v>5</v>
      </c>
      <c r="D15" s="180">
        <f t="shared" si="0"/>
        <v>481445.79000000004</v>
      </c>
      <c r="E15" s="181">
        <v>4814.4579000000003</v>
      </c>
      <c r="F15" s="54">
        <f t="shared" si="1"/>
        <v>481445.79000000004</v>
      </c>
    </row>
    <row r="16" spans="1:6" x14ac:dyDescent="0.3">
      <c r="A16" s="177">
        <v>93</v>
      </c>
      <c r="B16" s="178">
        <v>95</v>
      </c>
      <c r="C16" s="179">
        <v>5</v>
      </c>
      <c r="D16" s="180">
        <f t="shared" si="0"/>
        <v>199918.908</v>
      </c>
      <c r="E16" s="181">
        <v>1999.1890799999999</v>
      </c>
      <c r="F16" s="54">
        <f t="shared" si="1"/>
        <v>199918.908</v>
      </c>
    </row>
    <row r="17" spans="1:6" x14ac:dyDescent="0.3">
      <c r="A17" s="177">
        <v>93</v>
      </c>
      <c r="B17" s="178">
        <v>36</v>
      </c>
      <c r="C17" s="179">
        <v>5</v>
      </c>
      <c r="D17" s="180">
        <f t="shared" si="0"/>
        <v>199947.97200000001</v>
      </c>
      <c r="E17" s="181">
        <v>1999.47972</v>
      </c>
      <c r="F17" s="54">
        <f t="shared" si="1"/>
        <v>199947.97200000001</v>
      </c>
    </row>
    <row r="18" spans="1:6" x14ac:dyDescent="0.3">
      <c r="A18" s="177">
        <v>93</v>
      </c>
      <c r="B18" s="178">
        <v>79</v>
      </c>
      <c r="C18" s="179">
        <v>5</v>
      </c>
      <c r="D18" s="180">
        <f t="shared" si="0"/>
        <v>185785.09599999999</v>
      </c>
      <c r="E18" s="181">
        <v>1857.85096</v>
      </c>
      <c r="F18" s="54">
        <f t="shared" si="1"/>
        <v>185785.09599999999</v>
      </c>
    </row>
    <row r="19" spans="1:6" x14ac:dyDescent="0.3">
      <c r="A19" s="177">
        <v>93</v>
      </c>
      <c r="B19" s="178">
        <v>91</v>
      </c>
      <c r="C19" s="179">
        <v>5</v>
      </c>
      <c r="D19" s="180">
        <f t="shared" si="0"/>
        <v>200513.15199999997</v>
      </c>
      <c r="E19" s="181">
        <v>2005.1315199999997</v>
      </c>
      <c r="F19" s="54">
        <f t="shared" si="1"/>
        <v>200513.15199999997</v>
      </c>
    </row>
    <row r="20" spans="1:6" x14ac:dyDescent="0.3">
      <c r="A20" s="177">
        <v>93</v>
      </c>
      <c r="B20" s="178">
        <v>100</v>
      </c>
      <c r="C20" s="179">
        <v>5</v>
      </c>
      <c r="D20" s="180">
        <f t="shared" si="0"/>
        <v>200891.29199999999</v>
      </c>
      <c r="E20" s="181">
        <v>2008.9129199999998</v>
      </c>
      <c r="F20" s="54">
        <f t="shared" si="1"/>
        <v>200891.29199999999</v>
      </c>
    </row>
    <row r="21" spans="1:6" x14ac:dyDescent="0.3">
      <c r="A21" s="177">
        <v>94</v>
      </c>
      <c r="B21" s="178">
        <v>3</v>
      </c>
      <c r="C21" s="179">
        <v>5</v>
      </c>
      <c r="D21" s="180">
        <f t="shared" si="0"/>
        <v>250235.73</v>
      </c>
      <c r="E21" s="181">
        <v>2502.3573000000001</v>
      </c>
      <c r="F21" s="54">
        <f t="shared" si="1"/>
        <v>250235.73</v>
      </c>
    </row>
    <row r="22" spans="1:6" x14ac:dyDescent="0.3">
      <c r="A22" s="177">
        <v>94</v>
      </c>
      <c r="B22" s="178">
        <v>34</v>
      </c>
      <c r="C22" s="179">
        <v>5</v>
      </c>
      <c r="D22" s="180">
        <f t="shared" si="0"/>
        <v>229420.06599999999</v>
      </c>
      <c r="E22" s="181">
        <v>2294.20066</v>
      </c>
      <c r="F22" s="54">
        <f t="shared" si="1"/>
        <v>229420.06599999999</v>
      </c>
    </row>
    <row r="23" spans="1:6" x14ac:dyDescent="0.3">
      <c r="A23" s="177">
        <v>94</v>
      </c>
      <c r="B23" s="178">
        <v>55</v>
      </c>
      <c r="C23" s="179">
        <v>5</v>
      </c>
      <c r="D23" s="180">
        <f t="shared" si="0"/>
        <v>105356.64</v>
      </c>
      <c r="E23" s="181">
        <v>1053.5663999999999</v>
      </c>
      <c r="F23" s="54">
        <f t="shared" si="1"/>
        <v>105356.64</v>
      </c>
    </row>
    <row r="24" spans="1:6" x14ac:dyDescent="0.3">
      <c r="A24" s="177">
        <v>94</v>
      </c>
      <c r="B24" s="178">
        <v>66</v>
      </c>
      <c r="C24" s="179">
        <v>5</v>
      </c>
      <c r="D24" s="180">
        <f t="shared" si="0"/>
        <v>102419.32799999999</v>
      </c>
      <c r="E24">
        <v>1024.19328</v>
      </c>
      <c r="F24" s="54">
        <f t="shared" si="1"/>
        <v>102419.32799999999</v>
      </c>
    </row>
    <row r="25" spans="1:6" x14ac:dyDescent="0.3">
      <c r="A25" s="177">
        <v>94</v>
      </c>
      <c r="B25" s="178">
        <v>68</v>
      </c>
      <c r="C25" s="179">
        <v>5</v>
      </c>
      <c r="D25" s="180">
        <f t="shared" si="0"/>
        <v>42819.775999999998</v>
      </c>
      <c r="E25">
        <v>428.19776000000002</v>
      </c>
      <c r="F25" s="54">
        <f t="shared" si="1"/>
        <v>42819.775999999998</v>
      </c>
    </row>
    <row r="26" spans="1:6" x14ac:dyDescent="0.3">
      <c r="A26" s="177">
        <v>95</v>
      </c>
      <c r="B26" s="178">
        <v>56</v>
      </c>
      <c r="C26" s="179">
        <v>5</v>
      </c>
      <c r="D26" s="180">
        <f t="shared" si="0"/>
        <v>256452.448</v>
      </c>
      <c r="E26">
        <v>2564.52448</v>
      </c>
      <c r="F26" s="54">
        <f t="shared" si="1"/>
        <v>256452.448</v>
      </c>
    </row>
    <row r="27" spans="1:6" x14ac:dyDescent="0.3">
      <c r="A27" s="177">
        <v>95</v>
      </c>
      <c r="B27" s="178">
        <v>59</v>
      </c>
      <c r="C27" s="179">
        <v>5</v>
      </c>
      <c r="D27" s="180">
        <f t="shared" si="0"/>
        <v>212164.86400000003</v>
      </c>
      <c r="E27">
        <v>2121.6486400000003</v>
      </c>
      <c r="F27" s="54">
        <f t="shared" si="1"/>
        <v>212164.86400000003</v>
      </c>
    </row>
    <row r="28" spans="1:6" x14ac:dyDescent="0.3">
      <c r="A28" s="177">
        <v>95</v>
      </c>
      <c r="B28" s="178">
        <v>84</v>
      </c>
      <c r="C28" s="179">
        <v>5</v>
      </c>
      <c r="D28" s="180">
        <f t="shared" si="0"/>
        <v>325440.63500000007</v>
      </c>
      <c r="E28">
        <v>3254.4063500000007</v>
      </c>
      <c r="F28" s="54">
        <f t="shared" si="1"/>
        <v>325440.63500000007</v>
      </c>
    </row>
    <row r="29" spans="1:6" x14ac:dyDescent="0.3">
      <c r="A29" s="177">
        <v>95</v>
      </c>
      <c r="B29" s="178">
        <v>85</v>
      </c>
      <c r="C29" s="179">
        <v>5</v>
      </c>
      <c r="D29" s="180">
        <f t="shared" si="0"/>
        <v>161101.66399999999</v>
      </c>
      <c r="E29">
        <v>1611.0166399999998</v>
      </c>
      <c r="F29" s="54">
        <f t="shared" si="1"/>
        <v>161101.66399999999</v>
      </c>
    </row>
    <row r="30" spans="1:6" x14ac:dyDescent="0.3">
      <c r="A30" s="177">
        <v>95</v>
      </c>
      <c r="B30" s="178">
        <v>88</v>
      </c>
      <c r="C30" s="179">
        <v>5</v>
      </c>
      <c r="D30" s="180">
        <f t="shared" si="0"/>
        <v>170319.32800000001</v>
      </c>
      <c r="E30">
        <v>1703.19328</v>
      </c>
      <c r="F30" s="54">
        <f t="shared" si="1"/>
        <v>170319.32800000001</v>
      </c>
    </row>
    <row r="31" spans="1:6" x14ac:dyDescent="0.3">
      <c r="A31" s="177">
        <v>103</v>
      </c>
      <c r="B31" s="178">
        <v>185</v>
      </c>
      <c r="C31" s="179">
        <v>5</v>
      </c>
      <c r="D31" s="180">
        <f t="shared" si="0"/>
        <v>210421.82399999996</v>
      </c>
      <c r="E31">
        <v>2104.2182399999997</v>
      </c>
      <c r="F31" s="54">
        <f t="shared" si="1"/>
        <v>210421.82399999996</v>
      </c>
    </row>
    <row r="32" spans="1:6" x14ac:dyDescent="0.3">
      <c r="A32" s="177">
        <v>103</v>
      </c>
      <c r="B32" s="178">
        <v>187</v>
      </c>
      <c r="C32" s="179">
        <v>5</v>
      </c>
      <c r="D32" s="180">
        <f t="shared" si="0"/>
        <v>209470.75199999998</v>
      </c>
      <c r="E32">
        <v>2094.7075199999999</v>
      </c>
      <c r="F32" s="54">
        <f t="shared" si="1"/>
        <v>209470.75199999998</v>
      </c>
    </row>
    <row r="33" spans="1:6" x14ac:dyDescent="0.3">
      <c r="A33" s="177">
        <v>103</v>
      </c>
      <c r="B33" s="178">
        <v>193</v>
      </c>
      <c r="C33" s="179">
        <v>5</v>
      </c>
      <c r="D33" s="180">
        <f t="shared" si="0"/>
        <v>216130.01600000003</v>
      </c>
      <c r="E33">
        <v>2161.3001600000002</v>
      </c>
      <c r="F33" s="54">
        <f t="shared" si="1"/>
        <v>216130.01600000003</v>
      </c>
    </row>
    <row r="34" spans="1:6" x14ac:dyDescent="0.3">
      <c r="A34" s="177">
        <v>103</v>
      </c>
      <c r="B34" s="178">
        <v>194</v>
      </c>
      <c r="C34" s="179">
        <v>5</v>
      </c>
      <c r="D34" s="180">
        <f t="shared" si="0"/>
        <v>220467.58399999997</v>
      </c>
      <c r="E34">
        <v>2204.6758399999999</v>
      </c>
      <c r="F34" s="54">
        <f t="shared" si="1"/>
        <v>220467.58399999997</v>
      </c>
    </row>
    <row r="35" spans="1:6" x14ac:dyDescent="0.3">
      <c r="A35" s="177">
        <v>103</v>
      </c>
      <c r="B35" s="178">
        <v>199</v>
      </c>
      <c r="C35" s="179">
        <v>5</v>
      </c>
      <c r="D35" s="180">
        <f t="shared" si="0"/>
        <v>371935.212</v>
      </c>
      <c r="E35">
        <v>3719.35212</v>
      </c>
      <c r="F35" s="54">
        <f t="shared" si="1"/>
        <v>371935.212</v>
      </c>
    </row>
    <row r="36" spans="1:6" x14ac:dyDescent="0.3">
      <c r="A36" s="177">
        <v>103</v>
      </c>
      <c r="B36" s="178">
        <v>202</v>
      </c>
      <c r="C36" s="179">
        <v>5</v>
      </c>
      <c r="D36" s="180">
        <f t="shared" si="0"/>
        <v>211466.52799999996</v>
      </c>
      <c r="E36">
        <v>2114.6652799999997</v>
      </c>
      <c r="F36" s="54">
        <f t="shared" si="1"/>
        <v>211466.52799999996</v>
      </c>
    </row>
    <row r="37" spans="1:6" x14ac:dyDescent="0.3">
      <c r="A37" s="177">
        <v>104</v>
      </c>
      <c r="B37" s="178">
        <v>49</v>
      </c>
      <c r="C37" s="179">
        <v>5</v>
      </c>
      <c r="D37" s="180">
        <f t="shared" si="0"/>
        <v>349348.44100000005</v>
      </c>
      <c r="E37">
        <v>3493.4844100000005</v>
      </c>
      <c r="F37" s="54">
        <f t="shared" si="1"/>
        <v>349348.44100000005</v>
      </c>
    </row>
    <row r="38" spans="1:6" x14ac:dyDescent="0.3">
      <c r="A38" s="177">
        <v>104</v>
      </c>
      <c r="B38" s="178">
        <v>33</v>
      </c>
      <c r="C38" s="179">
        <v>5</v>
      </c>
      <c r="D38" s="180">
        <f t="shared" si="0"/>
        <v>205786.84</v>
      </c>
      <c r="E38">
        <v>2057.8683999999998</v>
      </c>
      <c r="F38" s="54">
        <f t="shared" si="1"/>
        <v>205786.84</v>
      </c>
    </row>
    <row r="39" spans="1:6" x14ac:dyDescent="0.3">
      <c r="A39" s="177">
        <v>104</v>
      </c>
      <c r="B39" s="178">
        <v>53</v>
      </c>
      <c r="C39" s="179">
        <v>5</v>
      </c>
      <c r="D39" s="180">
        <f t="shared" si="0"/>
        <v>125781.6</v>
      </c>
      <c r="E39">
        <v>1257.816</v>
      </c>
      <c r="F39" s="54">
        <f t="shared" si="1"/>
        <v>125781.6</v>
      </c>
    </row>
    <row r="40" spans="1:6" x14ac:dyDescent="0.3">
      <c r="A40" s="177">
        <v>104</v>
      </c>
      <c r="B40" s="178">
        <v>41</v>
      </c>
      <c r="C40" s="179">
        <v>5</v>
      </c>
      <c r="D40" s="180">
        <f t="shared" si="0"/>
        <v>205545.14000000004</v>
      </c>
      <c r="E40">
        <v>2055.4514000000004</v>
      </c>
      <c r="F40" s="54">
        <f t="shared" si="1"/>
        <v>205545.14000000004</v>
      </c>
    </row>
    <row r="41" spans="1:6" x14ac:dyDescent="0.3">
      <c r="A41" s="177">
        <v>105</v>
      </c>
      <c r="B41" s="178">
        <v>93</v>
      </c>
      <c r="C41" s="179">
        <v>5</v>
      </c>
      <c r="D41" s="180">
        <f t="shared" si="0"/>
        <v>184471.08399999997</v>
      </c>
      <c r="E41">
        <v>1844.7108399999997</v>
      </c>
      <c r="F41" s="54">
        <f t="shared" si="1"/>
        <v>184471.08399999997</v>
      </c>
    </row>
    <row r="42" spans="1:6" x14ac:dyDescent="0.3">
      <c r="A42" s="177">
        <v>105</v>
      </c>
      <c r="B42" s="178">
        <v>68</v>
      </c>
      <c r="C42" s="179">
        <v>5</v>
      </c>
      <c r="D42" s="180">
        <f t="shared" si="0"/>
        <v>6719.6640000000007</v>
      </c>
      <c r="E42">
        <v>67.196640000000002</v>
      </c>
      <c r="F42" s="54">
        <f t="shared" si="1"/>
        <v>6719.6640000000007</v>
      </c>
    </row>
    <row r="43" spans="1:6" x14ac:dyDescent="0.3">
      <c r="A43" s="177">
        <v>105</v>
      </c>
      <c r="B43" s="178">
        <v>61</v>
      </c>
      <c r="C43" s="179">
        <v>5</v>
      </c>
      <c r="D43" s="180">
        <f t="shared" si="0"/>
        <v>408776.73600000003</v>
      </c>
      <c r="E43">
        <v>4087.7673600000003</v>
      </c>
      <c r="F43" s="54">
        <f t="shared" si="1"/>
        <v>408776.73600000003</v>
      </c>
    </row>
    <row r="44" spans="1:6" x14ac:dyDescent="0.3">
      <c r="A44" s="177">
        <v>105</v>
      </c>
      <c r="B44" s="178">
        <v>84</v>
      </c>
      <c r="C44" s="179">
        <v>5</v>
      </c>
      <c r="D44" s="180">
        <f t="shared" si="0"/>
        <v>291748.21199999994</v>
      </c>
      <c r="E44">
        <v>2917.4821199999997</v>
      </c>
      <c r="F44" s="54">
        <f t="shared" si="1"/>
        <v>291748.21199999994</v>
      </c>
    </row>
    <row r="45" spans="1:6" x14ac:dyDescent="0.3">
      <c r="A45" s="177">
        <v>105</v>
      </c>
      <c r="B45" s="178">
        <v>85</v>
      </c>
      <c r="C45" s="179">
        <v>5</v>
      </c>
      <c r="D45" s="180">
        <f t="shared" si="0"/>
        <v>103007.46399999998</v>
      </c>
      <c r="E45">
        <v>1030.0746399999998</v>
      </c>
      <c r="F45" s="54">
        <f t="shared" si="1"/>
        <v>103007.46399999998</v>
      </c>
    </row>
    <row r="46" spans="1:6" x14ac:dyDescent="0.3">
      <c r="A46" s="177">
        <v>105</v>
      </c>
      <c r="B46" s="178">
        <v>95</v>
      </c>
      <c r="C46" s="179">
        <v>5</v>
      </c>
      <c r="D46" s="180">
        <f t="shared" si="0"/>
        <v>278608.59599999996</v>
      </c>
      <c r="E46">
        <v>2786.0859599999999</v>
      </c>
      <c r="F46" s="54">
        <f t="shared" si="1"/>
        <v>278608.59599999996</v>
      </c>
    </row>
    <row r="47" spans="1:6" x14ac:dyDescent="0.3">
      <c r="A47" s="177">
        <v>105</v>
      </c>
      <c r="B47" s="178">
        <v>103</v>
      </c>
      <c r="C47" s="179">
        <v>5</v>
      </c>
      <c r="D47" s="180">
        <f t="shared" si="0"/>
        <v>83142.387999999992</v>
      </c>
      <c r="E47">
        <v>831.42387999999994</v>
      </c>
      <c r="F47" s="54">
        <f t="shared" si="1"/>
        <v>83142.387999999992</v>
      </c>
    </row>
    <row r="48" spans="1:6" x14ac:dyDescent="0.3">
      <c r="A48" s="177">
        <v>116</v>
      </c>
      <c r="B48" s="178">
        <v>143</v>
      </c>
      <c r="C48" s="179">
        <v>5</v>
      </c>
      <c r="D48" s="180">
        <f t="shared" si="0"/>
        <v>470995.53800000006</v>
      </c>
      <c r="E48">
        <v>4709.9553800000003</v>
      </c>
      <c r="F48" s="54">
        <f t="shared" si="1"/>
        <v>470995.53800000006</v>
      </c>
    </row>
    <row r="49" spans="1:6" x14ac:dyDescent="0.3">
      <c r="A49" s="177">
        <v>116</v>
      </c>
      <c r="B49" s="178">
        <v>164</v>
      </c>
      <c r="C49" s="179">
        <v>5</v>
      </c>
      <c r="D49" s="180">
        <f t="shared" si="0"/>
        <v>152922.4</v>
      </c>
      <c r="E49">
        <v>1529.2239999999999</v>
      </c>
      <c r="F49" s="54">
        <f t="shared" si="1"/>
        <v>152922.4</v>
      </c>
    </row>
    <row r="50" spans="1:6" x14ac:dyDescent="0.3">
      <c r="A50" s="177">
        <v>116</v>
      </c>
      <c r="B50" s="178">
        <v>148</v>
      </c>
      <c r="C50" s="179">
        <v>5</v>
      </c>
      <c r="D50" s="180">
        <f t="shared" si="0"/>
        <v>179856.92800000001</v>
      </c>
      <c r="E50">
        <v>1798.5692800000002</v>
      </c>
      <c r="F50" s="54">
        <f t="shared" si="1"/>
        <v>179856.92800000001</v>
      </c>
    </row>
    <row r="51" spans="1:6" x14ac:dyDescent="0.3">
      <c r="A51" s="177">
        <v>116</v>
      </c>
      <c r="B51" s="178">
        <v>175</v>
      </c>
      <c r="C51" s="179">
        <v>5</v>
      </c>
      <c r="D51" s="180">
        <f t="shared" si="0"/>
        <v>231846.11199999999</v>
      </c>
      <c r="E51">
        <v>2318.4611199999999</v>
      </c>
      <c r="F51" s="54">
        <f t="shared" si="1"/>
        <v>231846.11199999999</v>
      </c>
    </row>
    <row r="52" spans="1:6" x14ac:dyDescent="0.3">
      <c r="A52" s="177">
        <v>116</v>
      </c>
      <c r="B52" s="178">
        <v>170</v>
      </c>
      <c r="C52" s="179">
        <v>5</v>
      </c>
      <c r="D52" s="180">
        <f t="shared" si="0"/>
        <v>174601.95200000002</v>
      </c>
      <c r="E52">
        <v>1746.0195200000001</v>
      </c>
      <c r="F52" s="54">
        <f t="shared" si="1"/>
        <v>174601.95200000002</v>
      </c>
    </row>
    <row r="53" spans="1:6" x14ac:dyDescent="0.3">
      <c r="A53" s="177">
        <v>116</v>
      </c>
      <c r="B53" s="178">
        <v>144</v>
      </c>
      <c r="C53" s="179">
        <v>5</v>
      </c>
      <c r="D53" s="180">
        <f t="shared" si="0"/>
        <v>232039.32800000004</v>
      </c>
      <c r="E53">
        <v>2320.3932800000002</v>
      </c>
      <c r="F53" s="54">
        <f t="shared" si="1"/>
        <v>232039.32800000004</v>
      </c>
    </row>
    <row r="54" spans="1:6" x14ac:dyDescent="0.3">
      <c r="A54" s="177">
        <v>116</v>
      </c>
      <c r="B54" s="178">
        <v>169</v>
      </c>
      <c r="C54" s="179">
        <v>5</v>
      </c>
      <c r="D54" s="180">
        <f t="shared" si="0"/>
        <v>188106.91199999998</v>
      </c>
      <c r="E54">
        <v>1881.0691199999999</v>
      </c>
      <c r="F54" s="54">
        <f t="shared" si="1"/>
        <v>188106.91199999998</v>
      </c>
    </row>
    <row r="55" spans="1:6" x14ac:dyDescent="0.3">
      <c r="A55" s="177">
        <v>123</v>
      </c>
      <c r="B55" s="178">
        <v>58</v>
      </c>
      <c r="C55" s="179">
        <v>5</v>
      </c>
      <c r="D55" s="180">
        <f t="shared" si="0"/>
        <v>147551.53000000003</v>
      </c>
      <c r="E55">
        <v>1475.5153000000003</v>
      </c>
      <c r="F55" s="54">
        <f t="shared" si="1"/>
        <v>147551.53000000003</v>
      </c>
    </row>
    <row r="56" spans="1:6" x14ac:dyDescent="0.3">
      <c r="A56" s="177">
        <v>123</v>
      </c>
      <c r="B56" s="178">
        <v>69</v>
      </c>
      <c r="C56" s="179">
        <v>5</v>
      </c>
      <c r="D56" s="180">
        <f t="shared" si="0"/>
        <v>236460.36599999998</v>
      </c>
      <c r="E56">
        <v>2364.6036599999998</v>
      </c>
      <c r="F56" s="54">
        <f t="shared" si="1"/>
        <v>236460.36599999998</v>
      </c>
    </row>
    <row r="57" spans="1:6" x14ac:dyDescent="0.3">
      <c r="A57" s="177">
        <v>123</v>
      </c>
      <c r="B57" s="178">
        <v>75</v>
      </c>
      <c r="C57" s="179">
        <v>5</v>
      </c>
      <c r="D57" s="180">
        <f t="shared" si="0"/>
        <v>323438.94000000006</v>
      </c>
      <c r="E57">
        <v>3234.3894000000005</v>
      </c>
      <c r="F57" s="54">
        <f t="shared" si="1"/>
        <v>323438.94000000006</v>
      </c>
    </row>
    <row r="58" spans="1:6" x14ac:dyDescent="0.3">
      <c r="A58" s="177">
        <v>123</v>
      </c>
      <c r="B58" s="178">
        <v>68</v>
      </c>
      <c r="C58" s="179">
        <v>5</v>
      </c>
      <c r="D58" s="180">
        <f t="shared" si="0"/>
        <v>470709.94000000012</v>
      </c>
      <c r="E58">
        <v>4707.099400000001</v>
      </c>
      <c r="F58" s="54">
        <f t="shared" si="1"/>
        <v>470709.94000000012</v>
      </c>
    </row>
    <row r="59" spans="1:6" x14ac:dyDescent="0.3">
      <c r="A59" s="177">
        <v>123</v>
      </c>
      <c r="B59" s="178">
        <v>36</v>
      </c>
      <c r="C59" s="179">
        <v>5</v>
      </c>
      <c r="D59" s="180">
        <f t="shared" si="0"/>
        <v>187465.43799999999</v>
      </c>
      <c r="E59">
        <v>1874.6543799999999</v>
      </c>
      <c r="F59" s="54">
        <f t="shared" si="1"/>
        <v>187465.43799999999</v>
      </c>
    </row>
    <row r="60" spans="1:6" x14ac:dyDescent="0.3">
      <c r="A60" s="177">
        <v>123</v>
      </c>
      <c r="B60" s="178">
        <v>70</v>
      </c>
      <c r="C60" s="179">
        <v>5</v>
      </c>
      <c r="D60" s="180">
        <f t="shared" si="0"/>
        <v>204537.052</v>
      </c>
      <c r="E60">
        <v>2045.3705199999999</v>
      </c>
      <c r="F60" s="54">
        <f t="shared" si="1"/>
        <v>204537.052</v>
      </c>
    </row>
    <row r="61" spans="1:6" x14ac:dyDescent="0.3">
      <c r="A61" s="177">
        <v>124</v>
      </c>
      <c r="B61" s="178">
        <v>32</v>
      </c>
      <c r="C61" s="179">
        <v>5</v>
      </c>
      <c r="D61" s="180">
        <f t="shared" si="0"/>
        <v>353608.89600000001</v>
      </c>
      <c r="E61">
        <v>3536.08896</v>
      </c>
      <c r="F61" s="54">
        <f t="shared" si="1"/>
        <v>353608.89600000001</v>
      </c>
    </row>
    <row r="62" spans="1:6" x14ac:dyDescent="0.3">
      <c r="A62" s="177">
        <v>124</v>
      </c>
      <c r="B62" s="178">
        <v>2</v>
      </c>
      <c r="C62" s="179">
        <v>5</v>
      </c>
      <c r="D62" s="180">
        <f t="shared" si="0"/>
        <v>259440.51200000005</v>
      </c>
      <c r="E62">
        <v>2594.4051200000004</v>
      </c>
      <c r="F62" s="54">
        <f t="shared" si="1"/>
        <v>259440.51200000005</v>
      </c>
    </row>
    <row r="63" spans="1:6" x14ac:dyDescent="0.3">
      <c r="A63" s="177">
        <v>124</v>
      </c>
      <c r="B63" s="178">
        <v>49</v>
      </c>
      <c r="C63" s="179">
        <v>5</v>
      </c>
      <c r="D63" s="180">
        <f t="shared" si="0"/>
        <v>185296.22400000002</v>
      </c>
      <c r="E63">
        <v>1852.9622400000001</v>
      </c>
      <c r="F63" s="54">
        <f t="shared" si="1"/>
        <v>185296.22400000002</v>
      </c>
    </row>
    <row r="64" spans="1:6" x14ac:dyDescent="0.3">
      <c r="A64" s="177">
        <v>124</v>
      </c>
      <c r="B64" s="178">
        <v>40</v>
      </c>
      <c r="C64" s="179">
        <v>5</v>
      </c>
      <c r="D64" s="180">
        <f t="shared" si="0"/>
        <v>51754.944000000003</v>
      </c>
      <c r="E64">
        <v>517.54944</v>
      </c>
      <c r="F64" s="54">
        <f t="shared" si="1"/>
        <v>51754.944000000003</v>
      </c>
    </row>
    <row r="65" spans="1:6" x14ac:dyDescent="0.3">
      <c r="A65" s="177">
        <v>124</v>
      </c>
      <c r="B65" s="178">
        <v>39</v>
      </c>
      <c r="C65" s="179">
        <v>5</v>
      </c>
      <c r="D65" s="180">
        <f t="shared" si="0"/>
        <v>210726.11200000002</v>
      </c>
      <c r="E65">
        <v>2107.2611200000001</v>
      </c>
      <c r="F65" s="54">
        <f t="shared" si="1"/>
        <v>210726.11200000002</v>
      </c>
    </row>
    <row r="66" spans="1:6" x14ac:dyDescent="0.3">
      <c r="A66" s="177">
        <v>125</v>
      </c>
      <c r="B66" s="178">
        <v>25</v>
      </c>
      <c r="C66" s="179">
        <v>5</v>
      </c>
      <c r="D66" s="180">
        <f t="shared" si="0"/>
        <v>282330.022</v>
      </c>
      <c r="E66">
        <v>2823.3002200000001</v>
      </c>
      <c r="F66" s="54">
        <f t="shared" si="1"/>
        <v>282330.022</v>
      </c>
    </row>
    <row r="67" spans="1:6" x14ac:dyDescent="0.3">
      <c r="A67" s="177">
        <v>125</v>
      </c>
      <c r="B67" s="178">
        <v>54</v>
      </c>
      <c r="C67" s="179">
        <v>5</v>
      </c>
      <c r="D67" s="180">
        <f t="shared" si="0"/>
        <v>127234.15599999999</v>
      </c>
      <c r="E67">
        <v>1272.3415599999998</v>
      </c>
      <c r="F67" s="54">
        <f t="shared" si="1"/>
        <v>127234.15599999999</v>
      </c>
    </row>
    <row r="68" spans="1:6" x14ac:dyDescent="0.3">
      <c r="A68" s="177">
        <v>125</v>
      </c>
      <c r="B68" s="178">
        <v>58</v>
      </c>
      <c r="C68" s="179">
        <v>5</v>
      </c>
      <c r="D68" s="180">
        <f t="shared" si="0"/>
        <v>154431.89999999997</v>
      </c>
      <c r="E68">
        <v>1544.3189999999997</v>
      </c>
      <c r="F68" s="54">
        <f t="shared" si="1"/>
        <v>154431.89999999997</v>
      </c>
    </row>
    <row r="69" spans="1:6" x14ac:dyDescent="0.3">
      <c r="A69" s="177">
        <v>125</v>
      </c>
      <c r="B69" s="178">
        <v>28</v>
      </c>
      <c r="C69" s="179">
        <v>5</v>
      </c>
      <c r="D69" s="180">
        <f t="shared" si="0"/>
        <v>150357.00399999999</v>
      </c>
      <c r="E69">
        <v>1503.5700399999998</v>
      </c>
      <c r="F69" s="54">
        <f t="shared" si="1"/>
        <v>150357.00399999999</v>
      </c>
    </row>
    <row r="70" spans="1:6" x14ac:dyDescent="0.3">
      <c r="A70" s="177">
        <v>125</v>
      </c>
      <c r="B70" s="178">
        <v>55</v>
      </c>
      <c r="C70" s="179">
        <v>5</v>
      </c>
      <c r="D70" s="180">
        <f t="shared" ref="D70:D133" si="2">F70</f>
        <v>173283.68399999998</v>
      </c>
      <c r="E70">
        <v>1732.8368399999997</v>
      </c>
      <c r="F70" s="54">
        <f t="shared" ref="F70:F133" si="3">E70*100</f>
        <v>173283.68399999998</v>
      </c>
    </row>
    <row r="71" spans="1:6" x14ac:dyDescent="0.3">
      <c r="A71" s="177">
        <v>126</v>
      </c>
      <c r="B71" s="178">
        <v>41</v>
      </c>
      <c r="C71" s="179">
        <v>5</v>
      </c>
      <c r="D71" s="180">
        <f t="shared" si="2"/>
        <v>292227.00800000003</v>
      </c>
      <c r="E71">
        <v>2922.2700800000002</v>
      </c>
      <c r="F71" s="54">
        <f t="shared" si="3"/>
        <v>292227.00800000003</v>
      </c>
    </row>
    <row r="72" spans="1:6" x14ac:dyDescent="0.3">
      <c r="A72" s="177">
        <v>126</v>
      </c>
      <c r="B72" s="178">
        <v>45</v>
      </c>
      <c r="C72" s="179">
        <v>5</v>
      </c>
      <c r="D72" s="180">
        <f t="shared" si="2"/>
        <v>161279.13600000003</v>
      </c>
      <c r="E72">
        <v>1612.7913600000002</v>
      </c>
      <c r="F72" s="54">
        <f t="shared" si="3"/>
        <v>161279.13600000003</v>
      </c>
    </row>
    <row r="73" spans="1:6" x14ac:dyDescent="0.3">
      <c r="A73" s="177">
        <v>126</v>
      </c>
      <c r="B73" s="178">
        <v>37</v>
      </c>
      <c r="C73" s="179">
        <v>5</v>
      </c>
      <c r="D73" s="180">
        <f t="shared" si="2"/>
        <v>151292.736</v>
      </c>
      <c r="E73">
        <v>1512.9273600000001</v>
      </c>
      <c r="F73" s="54">
        <f t="shared" si="3"/>
        <v>151292.736</v>
      </c>
    </row>
    <row r="74" spans="1:6" x14ac:dyDescent="0.3">
      <c r="A74" s="177">
        <v>126</v>
      </c>
      <c r="B74" s="178">
        <v>1</v>
      </c>
      <c r="C74" s="179">
        <v>5</v>
      </c>
      <c r="D74" s="180">
        <f t="shared" si="2"/>
        <v>455375.02800000005</v>
      </c>
      <c r="E74">
        <v>4553.7502800000002</v>
      </c>
      <c r="F74" s="54">
        <f t="shared" si="3"/>
        <v>455375.02800000005</v>
      </c>
    </row>
    <row r="75" spans="1:6" x14ac:dyDescent="0.3">
      <c r="A75" s="177">
        <v>126</v>
      </c>
      <c r="B75" s="178">
        <v>28</v>
      </c>
      <c r="C75" s="179">
        <v>5</v>
      </c>
      <c r="D75" s="180">
        <f t="shared" si="2"/>
        <v>181939.296</v>
      </c>
      <c r="E75">
        <v>1819.3929599999999</v>
      </c>
      <c r="F75" s="54">
        <f t="shared" si="3"/>
        <v>181939.296</v>
      </c>
    </row>
    <row r="76" spans="1:6" x14ac:dyDescent="0.3">
      <c r="A76" s="177">
        <v>126</v>
      </c>
      <c r="B76" s="178">
        <v>55</v>
      </c>
      <c r="C76" s="179">
        <v>5</v>
      </c>
      <c r="D76" s="180">
        <f t="shared" si="2"/>
        <v>136233.79199999999</v>
      </c>
      <c r="E76">
        <v>1362.3379199999999</v>
      </c>
      <c r="F76" s="54">
        <f t="shared" si="3"/>
        <v>136233.79199999999</v>
      </c>
    </row>
    <row r="77" spans="1:6" x14ac:dyDescent="0.3">
      <c r="A77" s="177">
        <v>126</v>
      </c>
      <c r="B77" s="178">
        <v>46</v>
      </c>
      <c r="C77" s="179">
        <v>5</v>
      </c>
      <c r="D77" s="180">
        <f t="shared" si="2"/>
        <v>189942.65600000002</v>
      </c>
      <c r="E77">
        <v>1899.4265600000001</v>
      </c>
      <c r="F77" s="54">
        <f t="shared" si="3"/>
        <v>189942.65600000002</v>
      </c>
    </row>
    <row r="78" spans="1:6" x14ac:dyDescent="0.3">
      <c r="A78" s="177">
        <v>127</v>
      </c>
      <c r="B78" s="178">
        <v>70</v>
      </c>
      <c r="C78" s="179">
        <v>5</v>
      </c>
      <c r="D78" s="180">
        <f t="shared" si="2"/>
        <v>223795.45600000001</v>
      </c>
      <c r="E78">
        <v>2237.9545600000001</v>
      </c>
      <c r="F78" s="54">
        <f t="shared" si="3"/>
        <v>223795.45600000001</v>
      </c>
    </row>
    <row r="79" spans="1:6" x14ac:dyDescent="0.3">
      <c r="A79" s="177">
        <v>127</v>
      </c>
      <c r="B79" s="178">
        <v>79</v>
      </c>
      <c r="C79" s="179">
        <v>5</v>
      </c>
      <c r="D79" s="180">
        <f t="shared" si="2"/>
        <v>141194.78400000001</v>
      </c>
      <c r="E79">
        <v>1411.94784</v>
      </c>
      <c r="F79" s="54">
        <f t="shared" si="3"/>
        <v>141194.78400000001</v>
      </c>
    </row>
    <row r="80" spans="1:6" x14ac:dyDescent="0.3">
      <c r="A80" s="177">
        <v>127</v>
      </c>
      <c r="B80" s="178">
        <v>80</v>
      </c>
      <c r="C80" s="179">
        <v>5</v>
      </c>
      <c r="D80" s="180">
        <f t="shared" si="2"/>
        <v>222825.66400000002</v>
      </c>
      <c r="E80">
        <v>2228.2566400000001</v>
      </c>
      <c r="F80" s="54">
        <f t="shared" si="3"/>
        <v>222825.66400000002</v>
      </c>
    </row>
    <row r="81" spans="1:6" x14ac:dyDescent="0.3">
      <c r="A81" s="177">
        <v>127</v>
      </c>
      <c r="B81" s="178">
        <v>82</v>
      </c>
      <c r="C81" s="179">
        <v>5</v>
      </c>
      <c r="D81" s="180">
        <f t="shared" si="2"/>
        <v>14271.295999999998</v>
      </c>
      <c r="E81">
        <v>142.71295999999998</v>
      </c>
      <c r="F81" s="54">
        <f t="shared" si="3"/>
        <v>14271.295999999998</v>
      </c>
    </row>
    <row r="82" spans="1:6" x14ac:dyDescent="0.3">
      <c r="A82" s="177">
        <v>139</v>
      </c>
      <c r="B82" s="178">
        <v>55</v>
      </c>
      <c r="C82" s="179">
        <v>5</v>
      </c>
      <c r="D82" s="180">
        <f t="shared" si="2"/>
        <v>97760.907999999996</v>
      </c>
      <c r="E82">
        <v>977.60907999999995</v>
      </c>
      <c r="F82" s="54">
        <f t="shared" si="3"/>
        <v>97760.907999999996</v>
      </c>
    </row>
    <row r="83" spans="1:6" x14ac:dyDescent="0.3">
      <c r="A83" s="177">
        <v>139</v>
      </c>
      <c r="B83" s="178">
        <v>24</v>
      </c>
      <c r="C83" s="179">
        <v>5</v>
      </c>
      <c r="D83" s="180">
        <f t="shared" si="2"/>
        <v>118645.15599999997</v>
      </c>
      <c r="E83">
        <v>1186.4515599999997</v>
      </c>
      <c r="F83" s="54">
        <f t="shared" si="3"/>
        <v>118645.15599999997</v>
      </c>
    </row>
    <row r="84" spans="1:6" x14ac:dyDescent="0.3">
      <c r="A84" s="177">
        <v>139</v>
      </c>
      <c r="B84" s="178">
        <v>54</v>
      </c>
      <c r="C84" s="179">
        <v>5</v>
      </c>
      <c r="D84" s="180">
        <f t="shared" si="2"/>
        <v>127353.128</v>
      </c>
      <c r="E84">
        <v>1273.5312799999999</v>
      </c>
      <c r="F84" s="54">
        <f t="shared" si="3"/>
        <v>127353.128</v>
      </c>
    </row>
    <row r="85" spans="1:6" x14ac:dyDescent="0.3">
      <c r="A85" s="177">
        <v>139</v>
      </c>
      <c r="B85" s="178">
        <v>41</v>
      </c>
      <c r="C85" s="179">
        <v>5</v>
      </c>
      <c r="D85" s="180">
        <f t="shared" si="2"/>
        <v>119331.71599999999</v>
      </c>
      <c r="E85">
        <v>1193.3171599999998</v>
      </c>
      <c r="F85" s="54">
        <f t="shared" si="3"/>
        <v>119331.71599999999</v>
      </c>
    </row>
    <row r="86" spans="1:6" x14ac:dyDescent="0.3">
      <c r="A86" s="177">
        <v>139</v>
      </c>
      <c r="B86" s="178">
        <v>52</v>
      </c>
      <c r="C86" s="179">
        <v>5</v>
      </c>
      <c r="D86" s="180">
        <f t="shared" si="2"/>
        <v>371384.2350000001</v>
      </c>
      <c r="E86">
        <v>3713.8423500000008</v>
      </c>
      <c r="F86" s="54">
        <f t="shared" si="3"/>
        <v>371384.2350000001</v>
      </c>
    </row>
    <row r="87" spans="1:6" x14ac:dyDescent="0.3">
      <c r="A87" s="177">
        <v>139</v>
      </c>
      <c r="B87" s="178">
        <v>51</v>
      </c>
      <c r="C87" s="179">
        <v>5</v>
      </c>
      <c r="D87" s="180">
        <f t="shared" si="2"/>
        <v>189356.77599999995</v>
      </c>
      <c r="E87">
        <v>1893.5677599999997</v>
      </c>
      <c r="F87" s="54">
        <f t="shared" si="3"/>
        <v>189356.77599999995</v>
      </c>
    </row>
    <row r="88" spans="1:6" x14ac:dyDescent="0.3">
      <c r="A88" s="177">
        <v>139</v>
      </c>
      <c r="B88" s="178">
        <v>28</v>
      </c>
      <c r="C88" s="179">
        <v>5</v>
      </c>
      <c r="D88" s="180">
        <f t="shared" si="2"/>
        <v>290943.35199999996</v>
      </c>
      <c r="E88">
        <v>2909.4335199999996</v>
      </c>
      <c r="F88" s="54">
        <f t="shared" si="3"/>
        <v>290943.35199999996</v>
      </c>
    </row>
    <row r="89" spans="1:6" x14ac:dyDescent="0.3">
      <c r="A89" s="177">
        <v>139</v>
      </c>
      <c r="B89" s="178">
        <v>47</v>
      </c>
      <c r="C89" s="179">
        <v>5</v>
      </c>
      <c r="D89" s="180">
        <f t="shared" si="2"/>
        <v>122901.88399999998</v>
      </c>
      <c r="E89">
        <v>1229.0188399999997</v>
      </c>
      <c r="F89" s="54">
        <f t="shared" si="3"/>
        <v>122901.88399999998</v>
      </c>
    </row>
    <row r="90" spans="1:6" x14ac:dyDescent="0.3">
      <c r="A90" s="177">
        <v>144</v>
      </c>
      <c r="B90" s="178">
        <v>81</v>
      </c>
      <c r="C90" s="179">
        <v>5</v>
      </c>
      <c r="D90" s="180">
        <f t="shared" si="2"/>
        <v>213581.37599999999</v>
      </c>
      <c r="E90">
        <v>2135.81376</v>
      </c>
      <c r="F90" s="54">
        <f t="shared" si="3"/>
        <v>213581.37599999999</v>
      </c>
    </row>
    <row r="91" spans="1:6" x14ac:dyDescent="0.3">
      <c r="A91" s="177">
        <v>144</v>
      </c>
      <c r="B91" s="178">
        <v>71</v>
      </c>
      <c r="C91" s="179">
        <v>5</v>
      </c>
      <c r="D91" s="180">
        <f t="shared" si="2"/>
        <v>144075.13600000003</v>
      </c>
      <c r="E91">
        <v>1440.7513600000002</v>
      </c>
      <c r="F91" s="54">
        <f t="shared" si="3"/>
        <v>144075.13600000003</v>
      </c>
    </row>
    <row r="92" spans="1:6" x14ac:dyDescent="0.3">
      <c r="A92" s="177">
        <v>144</v>
      </c>
      <c r="B92" s="178">
        <v>35</v>
      </c>
      <c r="C92" s="179">
        <v>5</v>
      </c>
      <c r="D92" s="180">
        <f t="shared" si="2"/>
        <v>275417.60399999993</v>
      </c>
      <c r="E92">
        <v>2754.1760399999994</v>
      </c>
      <c r="F92" s="54">
        <f t="shared" si="3"/>
        <v>275417.60399999993</v>
      </c>
    </row>
    <row r="93" spans="1:6" x14ac:dyDescent="0.3">
      <c r="A93" s="177">
        <v>144</v>
      </c>
      <c r="B93" s="178">
        <v>74</v>
      </c>
      <c r="C93" s="179">
        <v>5</v>
      </c>
      <c r="D93" s="180">
        <f t="shared" si="2"/>
        <v>149690.304</v>
      </c>
      <c r="E93">
        <v>1496.9030400000001</v>
      </c>
      <c r="F93" s="54">
        <f t="shared" si="3"/>
        <v>149690.304</v>
      </c>
    </row>
    <row r="94" spans="1:6" x14ac:dyDescent="0.3">
      <c r="A94" s="177">
        <v>144</v>
      </c>
      <c r="B94" s="178">
        <v>88</v>
      </c>
      <c r="C94" s="179">
        <v>5</v>
      </c>
      <c r="D94" s="180">
        <f t="shared" si="2"/>
        <v>115091.45600000002</v>
      </c>
      <c r="E94">
        <v>1150.9145600000002</v>
      </c>
      <c r="F94" s="54">
        <f t="shared" si="3"/>
        <v>115091.45600000002</v>
      </c>
    </row>
    <row r="95" spans="1:6" x14ac:dyDescent="0.3">
      <c r="A95" s="177">
        <v>154</v>
      </c>
      <c r="B95" s="178">
        <v>38</v>
      </c>
      <c r="C95" s="179">
        <v>5</v>
      </c>
      <c r="D95" s="180">
        <f t="shared" si="2"/>
        <v>19122.784</v>
      </c>
      <c r="E95">
        <v>191.22784000000001</v>
      </c>
      <c r="F95" s="54">
        <f t="shared" si="3"/>
        <v>19122.784</v>
      </c>
    </row>
    <row r="96" spans="1:6" x14ac:dyDescent="0.3">
      <c r="A96" s="177">
        <v>154</v>
      </c>
      <c r="B96" s="178">
        <v>45</v>
      </c>
      <c r="C96" s="179">
        <v>5</v>
      </c>
      <c r="D96" s="180">
        <f t="shared" si="2"/>
        <v>239750.46400000001</v>
      </c>
      <c r="E96">
        <v>2397.5046400000001</v>
      </c>
      <c r="F96" s="54">
        <f t="shared" si="3"/>
        <v>239750.46400000001</v>
      </c>
    </row>
    <row r="97" spans="1:6" x14ac:dyDescent="0.3">
      <c r="A97" s="177">
        <v>154</v>
      </c>
      <c r="B97" s="178">
        <v>28</v>
      </c>
      <c r="C97" s="179">
        <v>5</v>
      </c>
      <c r="D97" s="180">
        <f t="shared" si="2"/>
        <v>244233.12</v>
      </c>
      <c r="E97">
        <v>2442.3312000000001</v>
      </c>
      <c r="F97" s="54">
        <f t="shared" si="3"/>
        <v>244233.12</v>
      </c>
    </row>
    <row r="98" spans="1:6" x14ac:dyDescent="0.3">
      <c r="A98" s="177">
        <v>154</v>
      </c>
      <c r="B98" s="178">
        <v>42</v>
      </c>
      <c r="C98" s="179">
        <v>5</v>
      </c>
      <c r="D98" s="180">
        <f t="shared" si="2"/>
        <v>250998.304</v>
      </c>
      <c r="E98">
        <v>2509.9830400000001</v>
      </c>
      <c r="F98" s="54">
        <f t="shared" si="3"/>
        <v>250998.304</v>
      </c>
    </row>
    <row r="99" spans="1:6" x14ac:dyDescent="0.3">
      <c r="A99" s="177">
        <v>156</v>
      </c>
      <c r="B99" s="178">
        <v>76</v>
      </c>
      <c r="C99" s="179">
        <v>5</v>
      </c>
      <c r="D99" s="180">
        <f t="shared" si="2"/>
        <v>249969.66399999996</v>
      </c>
      <c r="E99">
        <v>2499.6966399999997</v>
      </c>
      <c r="F99" s="54">
        <f t="shared" si="3"/>
        <v>249969.66399999996</v>
      </c>
    </row>
    <row r="100" spans="1:6" x14ac:dyDescent="0.3">
      <c r="A100" s="177">
        <v>156</v>
      </c>
      <c r="B100" s="178">
        <v>72</v>
      </c>
      <c r="C100" s="179">
        <v>5</v>
      </c>
      <c r="D100" s="180">
        <f t="shared" si="2"/>
        <v>222350.24</v>
      </c>
      <c r="E100">
        <v>2223.5023999999999</v>
      </c>
      <c r="F100" s="54">
        <f t="shared" si="3"/>
        <v>222350.24</v>
      </c>
    </row>
    <row r="101" spans="1:6" x14ac:dyDescent="0.3">
      <c r="A101" s="177">
        <v>156</v>
      </c>
      <c r="B101" s="178">
        <v>78</v>
      </c>
      <c r="C101" s="179">
        <v>5</v>
      </c>
      <c r="D101" s="180">
        <f t="shared" si="2"/>
        <v>126841.568</v>
      </c>
      <c r="E101">
        <v>1268.4156800000001</v>
      </c>
      <c r="F101" s="54">
        <f t="shared" si="3"/>
        <v>126841.568</v>
      </c>
    </row>
    <row r="102" spans="1:6" x14ac:dyDescent="0.3">
      <c r="A102" s="177">
        <v>156</v>
      </c>
      <c r="B102" s="178">
        <v>67</v>
      </c>
      <c r="C102" s="179">
        <v>5</v>
      </c>
      <c r="D102" s="180">
        <f t="shared" si="2"/>
        <v>257183.48799999998</v>
      </c>
      <c r="E102">
        <v>2571.8348799999999</v>
      </c>
      <c r="F102" s="54">
        <f t="shared" si="3"/>
        <v>257183.48799999998</v>
      </c>
    </row>
    <row r="103" spans="1:6" x14ac:dyDescent="0.3">
      <c r="A103" s="177">
        <v>156</v>
      </c>
      <c r="B103" s="178">
        <v>81</v>
      </c>
      <c r="C103" s="179">
        <v>5</v>
      </c>
      <c r="D103" s="180">
        <f t="shared" si="2"/>
        <v>165088.448</v>
      </c>
      <c r="E103">
        <v>1650.8844799999999</v>
      </c>
      <c r="F103" s="54">
        <f t="shared" si="3"/>
        <v>165088.448</v>
      </c>
    </row>
    <row r="104" spans="1:6" x14ac:dyDescent="0.3">
      <c r="A104" s="177">
        <v>156</v>
      </c>
      <c r="B104" s="178">
        <v>79</v>
      </c>
      <c r="C104" s="179">
        <v>5</v>
      </c>
      <c r="D104" s="180">
        <f t="shared" si="2"/>
        <v>251646.91199999998</v>
      </c>
      <c r="E104">
        <v>2516.4691199999997</v>
      </c>
      <c r="F104" s="54">
        <f t="shared" si="3"/>
        <v>251646.91199999998</v>
      </c>
    </row>
    <row r="105" spans="1:6" x14ac:dyDescent="0.3">
      <c r="A105" s="177">
        <v>156</v>
      </c>
      <c r="B105" s="178">
        <v>75</v>
      </c>
      <c r="C105" s="179">
        <v>5</v>
      </c>
      <c r="D105" s="180">
        <f t="shared" si="2"/>
        <v>480174.60000000003</v>
      </c>
      <c r="E105">
        <v>4801.7460000000001</v>
      </c>
      <c r="F105" s="54">
        <f t="shared" si="3"/>
        <v>480174.60000000003</v>
      </c>
    </row>
    <row r="106" spans="1:6" x14ac:dyDescent="0.3">
      <c r="A106" s="177">
        <v>157</v>
      </c>
      <c r="B106" s="178">
        <v>14</v>
      </c>
      <c r="C106" s="179">
        <v>5</v>
      </c>
      <c r="D106" s="180">
        <f t="shared" si="2"/>
        <v>244073.75999999998</v>
      </c>
      <c r="E106">
        <v>2440.7375999999999</v>
      </c>
      <c r="F106" s="54">
        <f t="shared" si="3"/>
        <v>244073.75999999998</v>
      </c>
    </row>
    <row r="107" spans="1:6" x14ac:dyDescent="0.3">
      <c r="A107" s="177">
        <v>157</v>
      </c>
      <c r="B107" s="178">
        <v>33</v>
      </c>
      <c r="C107" s="179">
        <v>5</v>
      </c>
      <c r="D107" s="180">
        <f t="shared" si="2"/>
        <v>338761.99999999994</v>
      </c>
      <c r="E107">
        <v>3387.6199999999994</v>
      </c>
      <c r="F107" s="54">
        <f t="shared" si="3"/>
        <v>338761.99999999994</v>
      </c>
    </row>
    <row r="108" spans="1:6" x14ac:dyDescent="0.3">
      <c r="A108" s="177">
        <v>157</v>
      </c>
      <c r="B108" s="178">
        <v>43</v>
      </c>
      <c r="C108" s="179">
        <v>5</v>
      </c>
      <c r="D108" s="180">
        <f t="shared" si="2"/>
        <v>170896.67199999999</v>
      </c>
      <c r="E108">
        <v>1708.9667199999999</v>
      </c>
      <c r="F108" s="54">
        <f t="shared" si="3"/>
        <v>170896.67199999999</v>
      </c>
    </row>
    <row r="109" spans="1:6" x14ac:dyDescent="0.3">
      <c r="A109" s="177">
        <v>157</v>
      </c>
      <c r="B109" s="178">
        <v>45</v>
      </c>
      <c r="C109" s="179">
        <v>5</v>
      </c>
      <c r="D109" s="180">
        <f t="shared" si="2"/>
        <v>180736.32</v>
      </c>
      <c r="E109">
        <v>1807.3632</v>
      </c>
      <c r="F109" s="54">
        <f t="shared" si="3"/>
        <v>180736.32</v>
      </c>
    </row>
    <row r="110" spans="1:6" x14ac:dyDescent="0.3">
      <c r="A110" s="177">
        <v>157</v>
      </c>
      <c r="B110" s="178">
        <v>46</v>
      </c>
      <c r="C110" s="179">
        <v>5</v>
      </c>
      <c r="D110" s="180">
        <f t="shared" si="2"/>
        <v>72889.504000000015</v>
      </c>
      <c r="E110">
        <v>728.89504000000011</v>
      </c>
      <c r="F110" s="54">
        <f t="shared" si="3"/>
        <v>72889.504000000015</v>
      </c>
    </row>
    <row r="111" spans="1:6" x14ac:dyDescent="0.3">
      <c r="A111" s="177">
        <v>161</v>
      </c>
      <c r="B111" s="178">
        <v>51</v>
      </c>
      <c r="C111" s="179">
        <v>5</v>
      </c>
      <c r="D111" s="180">
        <f t="shared" si="2"/>
        <v>245264.09600000002</v>
      </c>
      <c r="E111">
        <v>2452.6409600000002</v>
      </c>
      <c r="F111" s="54">
        <f t="shared" si="3"/>
        <v>245264.09600000002</v>
      </c>
    </row>
    <row r="112" spans="1:6" x14ac:dyDescent="0.3">
      <c r="A112" s="177">
        <v>161</v>
      </c>
      <c r="B112" s="178">
        <v>49</v>
      </c>
      <c r="C112" s="179">
        <v>5</v>
      </c>
      <c r="D112" s="180">
        <f t="shared" si="2"/>
        <v>238502.304</v>
      </c>
      <c r="E112">
        <v>2385.02304</v>
      </c>
      <c r="F112" s="54">
        <f t="shared" si="3"/>
        <v>238502.304</v>
      </c>
    </row>
    <row r="113" spans="1:6" x14ac:dyDescent="0.3">
      <c r="A113" s="177">
        <v>161</v>
      </c>
      <c r="B113" s="178">
        <v>32</v>
      </c>
      <c r="C113" s="179">
        <v>5</v>
      </c>
      <c r="D113" s="180">
        <f t="shared" si="2"/>
        <v>285563.33999999997</v>
      </c>
      <c r="E113">
        <v>2855.6333999999997</v>
      </c>
      <c r="F113" s="54">
        <f t="shared" si="3"/>
        <v>285563.33999999997</v>
      </c>
    </row>
    <row r="114" spans="1:6" x14ac:dyDescent="0.3">
      <c r="A114" s="177">
        <v>161</v>
      </c>
      <c r="B114" s="178">
        <v>52</v>
      </c>
      <c r="C114" s="179">
        <v>5</v>
      </c>
      <c r="D114" s="180">
        <f t="shared" si="2"/>
        <v>86495.808000000005</v>
      </c>
      <c r="E114">
        <v>864.95808</v>
      </c>
      <c r="F114" s="54">
        <f t="shared" si="3"/>
        <v>86495.808000000005</v>
      </c>
    </row>
    <row r="115" spans="1:6" x14ac:dyDescent="0.3">
      <c r="A115" s="177">
        <v>166</v>
      </c>
      <c r="B115" s="178">
        <v>34</v>
      </c>
      <c r="C115" s="179">
        <v>5</v>
      </c>
      <c r="D115" s="180">
        <f t="shared" si="2"/>
        <v>185617.08799999999</v>
      </c>
      <c r="E115">
        <v>1856.1708799999999</v>
      </c>
      <c r="F115" s="54">
        <f t="shared" si="3"/>
        <v>185617.08799999999</v>
      </c>
    </row>
    <row r="116" spans="1:6" x14ac:dyDescent="0.3">
      <c r="A116" s="177">
        <v>166</v>
      </c>
      <c r="B116" s="178">
        <v>1</v>
      </c>
      <c r="C116" s="179">
        <v>5</v>
      </c>
      <c r="D116" s="180">
        <f t="shared" si="2"/>
        <v>328416.65999999997</v>
      </c>
      <c r="E116">
        <v>3284.1666</v>
      </c>
      <c r="F116" s="54">
        <f t="shared" si="3"/>
        <v>328416.65999999997</v>
      </c>
    </row>
    <row r="117" spans="1:6" x14ac:dyDescent="0.3">
      <c r="A117" s="177">
        <v>166</v>
      </c>
      <c r="B117" s="178">
        <v>22</v>
      </c>
      <c r="C117" s="179">
        <v>5</v>
      </c>
      <c r="D117" s="180">
        <f t="shared" si="2"/>
        <v>197434.68799999999</v>
      </c>
      <c r="E117">
        <v>1974.3468799999998</v>
      </c>
      <c r="F117" s="54">
        <f t="shared" si="3"/>
        <v>197434.68799999999</v>
      </c>
    </row>
    <row r="118" spans="1:6" x14ac:dyDescent="0.3">
      <c r="A118" s="177">
        <v>166</v>
      </c>
      <c r="B118" s="178">
        <v>39</v>
      </c>
      <c r="C118" s="179">
        <v>5</v>
      </c>
      <c r="D118" s="180">
        <f t="shared" si="2"/>
        <v>116367.80800000002</v>
      </c>
      <c r="E118">
        <v>1163.6780800000001</v>
      </c>
      <c r="F118" s="54">
        <f t="shared" si="3"/>
        <v>116367.80800000002</v>
      </c>
    </row>
    <row r="119" spans="1:6" x14ac:dyDescent="0.3">
      <c r="A119" s="177">
        <v>166</v>
      </c>
      <c r="B119" s="178">
        <v>8</v>
      </c>
      <c r="C119" s="179">
        <v>5</v>
      </c>
      <c r="D119" s="180">
        <f t="shared" si="2"/>
        <v>194751.61599999998</v>
      </c>
      <c r="E119">
        <v>1947.5161599999999</v>
      </c>
      <c r="F119" s="54">
        <f t="shared" si="3"/>
        <v>194751.61599999998</v>
      </c>
    </row>
    <row r="120" spans="1:6" x14ac:dyDescent="0.3">
      <c r="A120" s="177">
        <v>169</v>
      </c>
      <c r="B120" s="178">
        <v>16</v>
      </c>
      <c r="C120" s="179">
        <v>5</v>
      </c>
      <c r="D120" s="180">
        <f t="shared" si="2"/>
        <v>450959.16</v>
      </c>
      <c r="E120">
        <v>4509.5915999999997</v>
      </c>
      <c r="F120" s="54">
        <f t="shared" si="3"/>
        <v>450959.16</v>
      </c>
    </row>
    <row r="121" spans="1:6" x14ac:dyDescent="0.3">
      <c r="A121" s="177">
        <v>169</v>
      </c>
      <c r="B121" s="178">
        <v>31</v>
      </c>
      <c r="C121" s="179">
        <v>5</v>
      </c>
      <c r="D121" s="180">
        <f t="shared" si="2"/>
        <v>150537.08799999999</v>
      </c>
      <c r="E121">
        <v>1505.3708799999999</v>
      </c>
      <c r="F121" s="54">
        <f t="shared" si="3"/>
        <v>150537.08799999999</v>
      </c>
    </row>
    <row r="122" spans="1:6" x14ac:dyDescent="0.3">
      <c r="A122" s="177">
        <v>169</v>
      </c>
      <c r="B122" s="178">
        <v>7</v>
      </c>
      <c r="C122" s="179">
        <v>5</v>
      </c>
      <c r="D122" s="180">
        <f t="shared" si="2"/>
        <v>219335.00800000003</v>
      </c>
      <c r="E122">
        <v>2193.3500800000002</v>
      </c>
      <c r="F122" s="54">
        <f t="shared" si="3"/>
        <v>219335.00800000003</v>
      </c>
    </row>
    <row r="123" spans="1:6" x14ac:dyDescent="0.3">
      <c r="A123" s="177">
        <v>169</v>
      </c>
      <c r="B123" s="178">
        <v>41</v>
      </c>
      <c r="C123" s="179">
        <v>5</v>
      </c>
      <c r="D123" s="180">
        <f t="shared" si="2"/>
        <v>170744.92800000001</v>
      </c>
      <c r="E123">
        <v>1707.44928</v>
      </c>
      <c r="F123" s="54">
        <f t="shared" si="3"/>
        <v>170744.92800000001</v>
      </c>
    </row>
    <row r="124" spans="1:6" x14ac:dyDescent="0.3">
      <c r="A124" s="177">
        <v>169</v>
      </c>
      <c r="B124" s="178">
        <v>37</v>
      </c>
      <c r="C124" s="179">
        <v>5</v>
      </c>
      <c r="D124" s="180">
        <f t="shared" si="2"/>
        <v>226694.52799999999</v>
      </c>
      <c r="E124">
        <v>2266.9452799999999</v>
      </c>
      <c r="F124" s="54">
        <f t="shared" si="3"/>
        <v>226694.52799999999</v>
      </c>
    </row>
    <row r="125" spans="1:6" x14ac:dyDescent="0.3">
      <c r="A125" s="177">
        <v>169</v>
      </c>
      <c r="B125" s="178">
        <v>38</v>
      </c>
      <c r="C125" s="179">
        <v>5</v>
      </c>
      <c r="D125" s="180">
        <f t="shared" si="2"/>
        <v>180811.80800000002</v>
      </c>
      <c r="E125">
        <v>1808.1180800000002</v>
      </c>
      <c r="F125" s="54">
        <f t="shared" si="3"/>
        <v>180811.80800000002</v>
      </c>
    </row>
    <row r="126" spans="1:6" x14ac:dyDescent="0.3">
      <c r="A126" s="177">
        <v>169</v>
      </c>
      <c r="B126" s="178">
        <v>1</v>
      </c>
      <c r="C126" s="179">
        <v>5</v>
      </c>
      <c r="D126" s="180">
        <f t="shared" si="2"/>
        <v>250482.62400000004</v>
      </c>
      <c r="E126">
        <v>2504.8262400000003</v>
      </c>
      <c r="F126" s="54">
        <f t="shared" si="3"/>
        <v>250482.62400000004</v>
      </c>
    </row>
    <row r="127" spans="1:6" x14ac:dyDescent="0.3">
      <c r="A127" s="177">
        <v>173</v>
      </c>
      <c r="B127" s="178">
        <v>26</v>
      </c>
      <c r="C127" s="179">
        <v>5</v>
      </c>
      <c r="D127" s="180">
        <f t="shared" si="2"/>
        <v>243796.73700000002</v>
      </c>
      <c r="E127">
        <v>2437.9673700000003</v>
      </c>
      <c r="F127" s="54">
        <f t="shared" si="3"/>
        <v>243796.73700000002</v>
      </c>
    </row>
    <row r="128" spans="1:6" x14ac:dyDescent="0.3">
      <c r="A128" s="177">
        <v>173</v>
      </c>
      <c r="B128" s="178">
        <v>34</v>
      </c>
      <c r="C128" s="179">
        <v>5</v>
      </c>
      <c r="D128" s="180">
        <f t="shared" si="2"/>
        <v>141497.12</v>
      </c>
      <c r="E128">
        <v>1414.9712</v>
      </c>
      <c r="F128" s="54">
        <f t="shared" si="3"/>
        <v>141497.12</v>
      </c>
    </row>
    <row r="129" spans="1:6" x14ac:dyDescent="0.3">
      <c r="A129" s="177">
        <v>173</v>
      </c>
      <c r="B129" s="178">
        <v>35</v>
      </c>
      <c r="C129" s="179">
        <v>5</v>
      </c>
      <c r="D129" s="180">
        <f t="shared" si="2"/>
        <v>365584.63199999998</v>
      </c>
      <c r="E129">
        <v>3655.8463199999997</v>
      </c>
      <c r="F129" s="54">
        <f t="shared" si="3"/>
        <v>365584.63199999998</v>
      </c>
    </row>
    <row r="130" spans="1:6" x14ac:dyDescent="0.3">
      <c r="A130" s="177">
        <v>173</v>
      </c>
      <c r="B130" s="178">
        <v>38</v>
      </c>
      <c r="C130" s="179">
        <v>5</v>
      </c>
      <c r="D130" s="180">
        <f t="shared" si="2"/>
        <v>188712.576</v>
      </c>
      <c r="E130">
        <v>1887.1257600000001</v>
      </c>
      <c r="F130" s="54">
        <f t="shared" si="3"/>
        <v>188712.576</v>
      </c>
    </row>
    <row r="131" spans="1:6" x14ac:dyDescent="0.3">
      <c r="A131" s="177">
        <v>173</v>
      </c>
      <c r="B131" s="178">
        <v>41</v>
      </c>
      <c r="C131" s="179">
        <v>5</v>
      </c>
      <c r="D131" s="180">
        <f t="shared" si="2"/>
        <v>86996.672000000006</v>
      </c>
      <c r="E131">
        <v>869.96672000000001</v>
      </c>
      <c r="F131" s="54">
        <f t="shared" si="3"/>
        <v>86996.672000000006</v>
      </c>
    </row>
    <row r="132" spans="1:6" x14ac:dyDescent="0.3">
      <c r="A132" s="177">
        <v>175</v>
      </c>
      <c r="B132" s="178">
        <v>13</v>
      </c>
      <c r="C132" s="179">
        <v>5</v>
      </c>
      <c r="D132" s="180">
        <f t="shared" si="2"/>
        <v>143085.51599999997</v>
      </c>
      <c r="E132">
        <v>1430.8551599999998</v>
      </c>
      <c r="F132" s="54">
        <f t="shared" si="3"/>
        <v>143085.51599999997</v>
      </c>
    </row>
    <row r="133" spans="1:6" x14ac:dyDescent="0.3">
      <c r="A133" s="177">
        <v>175</v>
      </c>
      <c r="B133" s="178">
        <v>11</v>
      </c>
      <c r="C133" s="179">
        <v>5</v>
      </c>
      <c r="D133" s="180">
        <f t="shared" si="2"/>
        <v>313594.44600000005</v>
      </c>
      <c r="E133">
        <v>3135.9444600000006</v>
      </c>
      <c r="F133" s="54">
        <f t="shared" si="3"/>
        <v>313594.44600000005</v>
      </c>
    </row>
    <row r="134" spans="1:6" x14ac:dyDescent="0.3">
      <c r="A134" s="177">
        <v>175</v>
      </c>
      <c r="B134" s="178">
        <v>3</v>
      </c>
      <c r="C134" s="179">
        <v>5</v>
      </c>
      <c r="D134" s="180">
        <f t="shared" ref="D134:D171" si="4">F134</f>
        <v>198208.66799999998</v>
      </c>
      <c r="E134">
        <v>1982.0866799999997</v>
      </c>
      <c r="F134" s="54">
        <f t="shared" ref="F134:F171" si="5">E134*100</f>
        <v>198208.66799999998</v>
      </c>
    </row>
    <row r="135" spans="1:6" x14ac:dyDescent="0.3">
      <c r="A135" s="177">
        <v>175</v>
      </c>
      <c r="B135" s="178">
        <v>9</v>
      </c>
      <c r="C135" s="179">
        <v>5</v>
      </c>
      <c r="D135" s="180">
        <f t="shared" si="4"/>
        <v>395780.03400000004</v>
      </c>
      <c r="E135">
        <v>3957.8003400000002</v>
      </c>
      <c r="F135" s="54">
        <f t="shared" si="5"/>
        <v>395780.03400000004</v>
      </c>
    </row>
    <row r="136" spans="1:6" x14ac:dyDescent="0.3">
      <c r="A136" s="177">
        <v>175</v>
      </c>
      <c r="B136" s="178">
        <v>1</v>
      </c>
      <c r="C136" s="179">
        <v>5</v>
      </c>
      <c r="D136" s="180">
        <f t="shared" si="4"/>
        <v>43832.011999999995</v>
      </c>
      <c r="E136">
        <v>438.32011999999997</v>
      </c>
      <c r="F136" s="54">
        <f t="shared" si="5"/>
        <v>43832.011999999995</v>
      </c>
    </row>
    <row r="137" spans="1:6" x14ac:dyDescent="0.3">
      <c r="A137" s="177">
        <v>179</v>
      </c>
      <c r="B137" s="178">
        <v>2</v>
      </c>
      <c r="C137" s="179">
        <v>5</v>
      </c>
      <c r="D137" s="180">
        <f t="shared" si="4"/>
        <v>280386.28200000001</v>
      </c>
      <c r="E137">
        <v>2803.8628199999998</v>
      </c>
      <c r="F137" s="54">
        <f t="shared" si="5"/>
        <v>280386.28200000001</v>
      </c>
    </row>
    <row r="138" spans="1:6" x14ac:dyDescent="0.3">
      <c r="A138" s="177">
        <v>179</v>
      </c>
      <c r="B138" s="178">
        <v>3</v>
      </c>
      <c r="C138" s="179">
        <v>5</v>
      </c>
      <c r="D138" s="180">
        <f t="shared" si="4"/>
        <v>353674.56200000003</v>
      </c>
      <c r="E138">
        <v>3536.7456200000001</v>
      </c>
      <c r="F138" s="54">
        <f t="shared" si="5"/>
        <v>353674.56200000003</v>
      </c>
    </row>
    <row r="139" spans="1:6" x14ac:dyDescent="0.3">
      <c r="A139" s="177">
        <v>179</v>
      </c>
      <c r="B139" s="178">
        <v>4</v>
      </c>
      <c r="C139" s="179">
        <v>5</v>
      </c>
      <c r="D139" s="180">
        <f t="shared" si="4"/>
        <v>72483.142999999996</v>
      </c>
      <c r="E139">
        <v>724.83142999999995</v>
      </c>
      <c r="F139" s="54">
        <f t="shared" si="5"/>
        <v>72483.142999999996</v>
      </c>
    </row>
    <row r="140" spans="1:6" x14ac:dyDescent="0.3">
      <c r="A140" s="177">
        <v>179</v>
      </c>
      <c r="B140" s="178">
        <v>16</v>
      </c>
      <c r="C140" s="179">
        <v>5</v>
      </c>
      <c r="D140" s="180">
        <f t="shared" si="4"/>
        <v>290186.72099999996</v>
      </c>
      <c r="E140">
        <v>2901.8672099999999</v>
      </c>
      <c r="F140" s="54">
        <f t="shared" si="5"/>
        <v>290186.72099999996</v>
      </c>
    </row>
    <row r="141" spans="1:6" x14ac:dyDescent="0.3">
      <c r="A141" s="177">
        <v>179</v>
      </c>
      <c r="B141" s="178">
        <v>18</v>
      </c>
      <c r="C141" s="179">
        <v>5</v>
      </c>
      <c r="D141" s="180">
        <f t="shared" si="4"/>
        <v>276152.01899999997</v>
      </c>
      <c r="E141">
        <v>2761.5201899999997</v>
      </c>
      <c r="F141" s="54">
        <f t="shared" si="5"/>
        <v>276152.01899999997</v>
      </c>
    </row>
    <row r="142" spans="1:6" x14ac:dyDescent="0.3">
      <c r="A142" s="177">
        <v>181</v>
      </c>
      <c r="B142" s="178">
        <v>2</v>
      </c>
      <c r="C142" s="179">
        <v>5</v>
      </c>
      <c r="D142" s="180">
        <f t="shared" si="4"/>
        <v>364761.01199999993</v>
      </c>
      <c r="E142">
        <v>3647.6101199999994</v>
      </c>
      <c r="F142" s="54">
        <f t="shared" si="5"/>
        <v>364761.01199999993</v>
      </c>
    </row>
    <row r="143" spans="1:6" x14ac:dyDescent="0.3">
      <c r="A143" s="177">
        <v>181</v>
      </c>
      <c r="B143" s="178">
        <v>33</v>
      </c>
      <c r="C143" s="179">
        <v>5</v>
      </c>
      <c r="D143" s="180">
        <f t="shared" si="4"/>
        <v>221256.89600000001</v>
      </c>
      <c r="E143">
        <v>2212.5689600000001</v>
      </c>
      <c r="F143" s="54">
        <f t="shared" si="5"/>
        <v>221256.89600000001</v>
      </c>
    </row>
    <row r="144" spans="1:6" x14ac:dyDescent="0.3">
      <c r="A144" s="177">
        <v>181</v>
      </c>
      <c r="B144" s="178">
        <v>12</v>
      </c>
      <c r="C144" s="179">
        <v>5</v>
      </c>
      <c r="D144" s="180">
        <f t="shared" si="4"/>
        <v>739985.94900000002</v>
      </c>
      <c r="E144">
        <v>7399.8594900000007</v>
      </c>
      <c r="F144" s="54">
        <f t="shared" si="5"/>
        <v>739985.94900000002</v>
      </c>
    </row>
    <row r="145" spans="1:6" x14ac:dyDescent="0.3">
      <c r="A145" s="177">
        <v>181</v>
      </c>
      <c r="B145" s="178">
        <v>16</v>
      </c>
      <c r="C145" s="179">
        <v>5</v>
      </c>
      <c r="D145" s="180">
        <f t="shared" si="4"/>
        <v>361712.79199999996</v>
      </c>
      <c r="E145">
        <v>3617.1279199999994</v>
      </c>
      <c r="F145" s="54">
        <f t="shared" si="5"/>
        <v>361712.79199999996</v>
      </c>
    </row>
    <row r="146" spans="1:6" x14ac:dyDescent="0.3">
      <c r="A146" s="177">
        <v>181</v>
      </c>
      <c r="B146" s="178">
        <v>18</v>
      </c>
      <c r="C146" s="179">
        <v>5</v>
      </c>
      <c r="D146" s="180">
        <f t="shared" si="4"/>
        <v>226856.16799999998</v>
      </c>
      <c r="E146">
        <v>2268.5616799999998</v>
      </c>
      <c r="F146" s="54">
        <f t="shared" si="5"/>
        <v>226856.16799999998</v>
      </c>
    </row>
    <row r="147" spans="1:6" x14ac:dyDescent="0.3">
      <c r="A147" s="177">
        <v>181</v>
      </c>
      <c r="B147" s="178">
        <v>1</v>
      </c>
      <c r="C147" s="179">
        <v>5</v>
      </c>
      <c r="D147" s="180">
        <f t="shared" si="4"/>
        <v>402949.90399999992</v>
      </c>
      <c r="E147">
        <v>4029.4990399999992</v>
      </c>
      <c r="F147" s="54">
        <f t="shared" si="5"/>
        <v>402949.90399999992</v>
      </c>
    </row>
    <row r="148" spans="1:6" x14ac:dyDescent="0.3">
      <c r="A148" s="177">
        <v>181</v>
      </c>
      <c r="B148" s="178">
        <v>19</v>
      </c>
      <c r="C148" s="179">
        <v>5</v>
      </c>
      <c r="D148" s="180">
        <f t="shared" si="4"/>
        <v>206184.97200000001</v>
      </c>
      <c r="E148">
        <v>2061.8497200000002</v>
      </c>
      <c r="F148" s="54">
        <f t="shared" si="5"/>
        <v>206184.97200000001</v>
      </c>
    </row>
    <row r="149" spans="1:6" x14ac:dyDescent="0.3">
      <c r="A149" s="177">
        <v>181</v>
      </c>
      <c r="B149" s="178">
        <v>13</v>
      </c>
      <c r="C149" s="179">
        <v>5</v>
      </c>
      <c r="D149" s="180">
        <f t="shared" si="4"/>
        <v>345634.15599999996</v>
      </c>
      <c r="E149">
        <v>3456.3415599999998</v>
      </c>
      <c r="F149" s="54">
        <f t="shared" si="5"/>
        <v>345634.15599999996</v>
      </c>
    </row>
    <row r="150" spans="1:6" x14ac:dyDescent="0.3">
      <c r="A150" s="177">
        <v>183</v>
      </c>
      <c r="B150" s="178">
        <v>14</v>
      </c>
      <c r="C150" s="179">
        <v>5</v>
      </c>
      <c r="D150" s="180">
        <f t="shared" si="4"/>
        <v>148635.56399999998</v>
      </c>
      <c r="E150">
        <v>1486.3556399999998</v>
      </c>
      <c r="F150" s="54">
        <f t="shared" si="5"/>
        <v>148635.56399999998</v>
      </c>
    </row>
    <row r="151" spans="1:6" x14ac:dyDescent="0.3">
      <c r="A151" s="177">
        <v>183</v>
      </c>
      <c r="B151" s="178">
        <v>16</v>
      </c>
      <c r="C151" s="179">
        <v>5</v>
      </c>
      <c r="D151" s="180">
        <f t="shared" si="4"/>
        <v>79536.435999999987</v>
      </c>
      <c r="E151">
        <v>795.36435999999992</v>
      </c>
      <c r="F151" s="54">
        <f t="shared" si="5"/>
        <v>79536.435999999987</v>
      </c>
    </row>
    <row r="152" spans="1:6" x14ac:dyDescent="0.3">
      <c r="A152" s="177">
        <v>183</v>
      </c>
      <c r="B152" s="178">
        <v>8</v>
      </c>
      <c r="C152" s="179">
        <v>5</v>
      </c>
      <c r="D152" s="180">
        <f t="shared" si="4"/>
        <v>113991.35999999999</v>
      </c>
      <c r="E152">
        <v>1139.9135999999999</v>
      </c>
      <c r="F152" s="54">
        <f t="shared" si="5"/>
        <v>113991.35999999999</v>
      </c>
    </row>
    <row r="153" spans="1:6" x14ac:dyDescent="0.3">
      <c r="A153" s="177">
        <v>183</v>
      </c>
      <c r="B153" s="178">
        <v>13</v>
      </c>
      <c r="C153" s="179">
        <v>5</v>
      </c>
      <c r="D153" s="180">
        <f t="shared" si="4"/>
        <v>270055.88099999999</v>
      </c>
      <c r="E153">
        <v>2700.55881</v>
      </c>
      <c r="F153" s="54">
        <f t="shared" si="5"/>
        <v>270055.88099999999</v>
      </c>
    </row>
    <row r="154" spans="1:6" x14ac:dyDescent="0.3">
      <c r="A154" s="177">
        <v>183</v>
      </c>
      <c r="B154" s="178">
        <v>1</v>
      </c>
      <c r="C154" s="179">
        <v>5</v>
      </c>
      <c r="D154" s="180">
        <f t="shared" si="4"/>
        <v>112669.98399999998</v>
      </c>
      <c r="E154">
        <v>1126.6998399999998</v>
      </c>
      <c r="F154" s="54">
        <f t="shared" si="5"/>
        <v>112669.98399999998</v>
      </c>
    </row>
    <row r="155" spans="1:6" x14ac:dyDescent="0.3">
      <c r="A155" s="177">
        <v>183</v>
      </c>
      <c r="B155" s="178">
        <v>5</v>
      </c>
      <c r="C155" s="179">
        <v>5</v>
      </c>
      <c r="D155" s="180">
        <f t="shared" si="4"/>
        <v>150254.57999999999</v>
      </c>
      <c r="E155">
        <v>1502.5457999999999</v>
      </c>
      <c r="F155" s="54">
        <f t="shared" si="5"/>
        <v>150254.57999999999</v>
      </c>
    </row>
    <row r="156" spans="1:6" x14ac:dyDescent="0.3">
      <c r="A156" s="177">
        <v>183</v>
      </c>
      <c r="B156" s="178">
        <v>15</v>
      </c>
      <c r="C156" s="179">
        <v>5</v>
      </c>
      <c r="D156" s="180">
        <f t="shared" si="4"/>
        <v>230737.83599999998</v>
      </c>
      <c r="E156">
        <v>2307.3783599999997</v>
      </c>
      <c r="F156" s="54">
        <f t="shared" si="5"/>
        <v>230737.83599999998</v>
      </c>
    </row>
    <row r="157" spans="1:6" x14ac:dyDescent="0.3">
      <c r="A157" s="177">
        <v>185</v>
      </c>
      <c r="B157" s="178">
        <v>6</v>
      </c>
      <c r="C157" s="179">
        <v>5</v>
      </c>
      <c r="D157" s="180">
        <f t="shared" si="4"/>
        <v>122427.648</v>
      </c>
      <c r="E157">
        <v>1224.27648</v>
      </c>
      <c r="F157" s="54">
        <f t="shared" si="5"/>
        <v>122427.648</v>
      </c>
    </row>
    <row r="158" spans="1:6" x14ac:dyDescent="0.3">
      <c r="A158" s="177">
        <v>185</v>
      </c>
      <c r="B158" s="178">
        <v>1</v>
      </c>
      <c r="C158" s="179">
        <v>5</v>
      </c>
      <c r="D158" s="180">
        <f t="shared" si="4"/>
        <v>261902.592</v>
      </c>
      <c r="E158">
        <v>2619.02592</v>
      </c>
      <c r="F158" s="54">
        <f t="shared" si="5"/>
        <v>261902.592</v>
      </c>
    </row>
    <row r="159" spans="1:6" x14ac:dyDescent="0.3">
      <c r="A159" s="177">
        <v>185</v>
      </c>
      <c r="B159" s="178">
        <v>7</v>
      </c>
      <c r="C159" s="179">
        <v>5</v>
      </c>
      <c r="D159" s="180">
        <f t="shared" si="4"/>
        <v>86189.767999999996</v>
      </c>
      <c r="E159">
        <v>861.89767999999992</v>
      </c>
      <c r="F159" s="54">
        <f t="shared" si="5"/>
        <v>86189.767999999996</v>
      </c>
    </row>
    <row r="160" spans="1:6" x14ac:dyDescent="0.3">
      <c r="A160" s="177">
        <v>185</v>
      </c>
      <c r="B160" s="178">
        <v>2</v>
      </c>
      <c r="C160" s="179">
        <v>5</v>
      </c>
      <c r="D160" s="180">
        <f t="shared" si="4"/>
        <v>145744.92799999996</v>
      </c>
      <c r="E160">
        <v>1457.4492799999996</v>
      </c>
      <c r="F160" s="54">
        <f t="shared" si="5"/>
        <v>145744.92799999996</v>
      </c>
    </row>
    <row r="161" spans="1:6" x14ac:dyDescent="0.3">
      <c r="A161" s="177">
        <v>185</v>
      </c>
      <c r="B161" s="178">
        <v>10</v>
      </c>
      <c r="C161" s="179">
        <v>5</v>
      </c>
      <c r="D161" s="180">
        <f t="shared" si="4"/>
        <v>115845.99599999998</v>
      </c>
      <c r="E161">
        <v>1158.4599599999999</v>
      </c>
      <c r="F161" s="54">
        <f t="shared" si="5"/>
        <v>115845.99599999998</v>
      </c>
    </row>
    <row r="162" spans="1:6" x14ac:dyDescent="0.3">
      <c r="A162" s="177">
        <v>185</v>
      </c>
      <c r="B162" s="178">
        <v>11</v>
      </c>
      <c r="C162" s="179">
        <v>5</v>
      </c>
      <c r="D162" s="180">
        <f t="shared" si="4"/>
        <v>108172.70799999998</v>
      </c>
      <c r="E162">
        <v>1081.7270799999999</v>
      </c>
      <c r="F162" s="54">
        <f t="shared" si="5"/>
        <v>108172.70799999998</v>
      </c>
    </row>
    <row r="163" spans="1:6" x14ac:dyDescent="0.3">
      <c r="A163" s="177">
        <v>185</v>
      </c>
      <c r="B163" s="178">
        <v>8</v>
      </c>
      <c r="C163" s="179">
        <v>5</v>
      </c>
      <c r="D163" s="180">
        <f t="shared" si="4"/>
        <v>165129.97199999998</v>
      </c>
      <c r="E163">
        <v>1651.2997199999998</v>
      </c>
      <c r="F163" s="54">
        <f t="shared" si="5"/>
        <v>165129.97199999998</v>
      </c>
    </row>
    <row r="164" spans="1:6" x14ac:dyDescent="0.3">
      <c r="A164" s="177">
        <v>185</v>
      </c>
      <c r="B164" s="178">
        <v>5</v>
      </c>
      <c r="C164" s="179">
        <v>5</v>
      </c>
      <c r="D164" s="180">
        <f t="shared" si="4"/>
        <v>167744.30399999997</v>
      </c>
      <c r="E164">
        <v>1677.4430399999999</v>
      </c>
      <c r="F164" s="54">
        <f t="shared" si="5"/>
        <v>167744.30399999997</v>
      </c>
    </row>
    <row r="165" spans="1:6" x14ac:dyDescent="0.3">
      <c r="A165" s="177">
        <v>200</v>
      </c>
      <c r="B165" s="178">
        <v>129</v>
      </c>
      <c r="C165" s="179">
        <v>5</v>
      </c>
      <c r="D165" s="180">
        <f t="shared" si="4"/>
        <v>134415.848</v>
      </c>
      <c r="E165">
        <v>1344.1584800000001</v>
      </c>
      <c r="F165" s="54">
        <f t="shared" si="5"/>
        <v>134415.848</v>
      </c>
    </row>
    <row r="166" spans="1:6" x14ac:dyDescent="0.3">
      <c r="A166" s="177">
        <v>200</v>
      </c>
      <c r="B166" s="178">
        <v>82</v>
      </c>
      <c r="C166" s="179">
        <v>5</v>
      </c>
      <c r="D166" s="180">
        <f t="shared" si="4"/>
        <v>104659.15599999999</v>
      </c>
      <c r="E166">
        <v>1046.5915599999998</v>
      </c>
      <c r="F166" s="54">
        <f t="shared" si="5"/>
        <v>104659.15599999999</v>
      </c>
    </row>
    <row r="167" spans="1:6" x14ac:dyDescent="0.3">
      <c r="A167" s="177">
        <v>200</v>
      </c>
      <c r="B167" s="178">
        <v>132</v>
      </c>
      <c r="C167" s="179">
        <v>5</v>
      </c>
      <c r="D167" s="180">
        <f t="shared" si="4"/>
        <v>150395.13999999998</v>
      </c>
      <c r="E167">
        <v>1503.9513999999999</v>
      </c>
      <c r="F167" s="54">
        <f t="shared" si="5"/>
        <v>150395.13999999998</v>
      </c>
    </row>
    <row r="168" spans="1:6" x14ac:dyDescent="0.3">
      <c r="A168" s="177">
        <v>200</v>
      </c>
      <c r="B168" s="178">
        <v>120</v>
      </c>
      <c r="C168" s="179">
        <v>5</v>
      </c>
      <c r="D168" s="180">
        <f t="shared" si="4"/>
        <v>70554.427999999985</v>
      </c>
      <c r="E168">
        <v>705.54427999999984</v>
      </c>
      <c r="F168" s="54">
        <f t="shared" si="5"/>
        <v>70554.427999999985</v>
      </c>
    </row>
    <row r="169" spans="1:6" x14ac:dyDescent="0.3">
      <c r="A169" s="177">
        <v>200</v>
      </c>
      <c r="B169" s="178">
        <v>74</v>
      </c>
      <c r="C169" s="179">
        <v>5</v>
      </c>
      <c r="D169" s="180">
        <f t="shared" si="4"/>
        <v>164144.87599999999</v>
      </c>
      <c r="E169">
        <v>1641.4487599999998</v>
      </c>
      <c r="F169" s="54">
        <f t="shared" si="5"/>
        <v>164144.87599999999</v>
      </c>
    </row>
    <row r="170" spans="1:6" x14ac:dyDescent="0.3">
      <c r="A170" s="177">
        <v>200</v>
      </c>
      <c r="B170" s="178">
        <v>128</v>
      </c>
      <c r="C170" s="179">
        <v>5</v>
      </c>
      <c r="D170" s="180">
        <f t="shared" si="4"/>
        <v>324104.43000000005</v>
      </c>
      <c r="E170">
        <v>3241.0443000000005</v>
      </c>
      <c r="F170" s="54">
        <f t="shared" si="5"/>
        <v>324104.43000000005</v>
      </c>
    </row>
    <row r="171" spans="1:6" x14ac:dyDescent="0.3">
      <c r="A171" s="177">
        <v>200</v>
      </c>
      <c r="B171" s="178">
        <v>135</v>
      </c>
      <c r="C171" s="179">
        <v>5</v>
      </c>
      <c r="D171" s="180">
        <f t="shared" si="4"/>
        <v>75022.191999999995</v>
      </c>
      <c r="E171">
        <v>750.22191999999995</v>
      </c>
      <c r="F171" s="54">
        <f t="shared" si="5"/>
        <v>75022.191999999995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8"/>
  <sheetViews>
    <sheetView showGridLines="0" topLeftCell="A7" workbookViewId="0">
      <selection activeCell="A5" sqref="A5:D2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70" t="s">
        <v>706</v>
      </c>
      <c r="B1" s="171"/>
    </row>
    <row r="2" spans="1:6" x14ac:dyDescent="0.3">
      <c r="A2" s="170" t="s">
        <v>707</v>
      </c>
      <c r="B2" s="171"/>
    </row>
    <row r="3" spans="1:6" x14ac:dyDescent="0.3">
      <c r="A3" s="170"/>
      <c r="B3" s="171"/>
    </row>
    <row r="4" spans="1:6" x14ac:dyDescent="0.3">
      <c r="A4" s="172"/>
      <c r="B4" s="173"/>
      <c r="C4" s="174"/>
      <c r="D4" s="175"/>
      <c r="E4" s="176"/>
    </row>
    <row r="5" spans="1:6" x14ac:dyDescent="0.3">
      <c r="A5" s="177">
        <v>62</v>
      </c>
      <c r="B5" s="178">
        <v>286</v>
      </c>
      <c r="C5" s="179">
        <v>78</v>
      </c>
      <c r="D5" s="180">
        <f>F5</f>
        <v>20000</v>
      </c>
      <c r="E5" s="181">
        <v>200</v>
      </c>
      <c r="F5" s="54">
        <f>E5*100</f>
        <v>20000</v>
      </c>
    </row>
    <row r="6" spans="1:6" x14ac:dyDescent="0.3">
      <c r="A6" s="177">
        <v>62</v>
      </c>
      <c r="B6" s="178">
        <v>303</v>
      </c>
      <c r="C6" s="179">
        <v>78</v>
      </c>
      <c r="D6" s="180">
        <f t="shared" ref="D6:D28" si="0">F6</f>
        <v>20000</v>
      </c>
      <c r="E6" s="181">
        <v>200</v>
      </c>
      <c r="F6" s="54">
        <f t="shared" ref="F6:F24" si="1">E6*100</f>
        <v>20000</v>
      </c>
    </row>
    <row r="7" spans="1:6" x14ac:dyDescent="0.3">
      <c r="A7" s="177">
        <v>62</v>
      </c>
      <c r="B7" s="178">
        <v>289</v>
      </c>
      <c r="C7" s="179">
        <v>78</v>
      </c>
      <c r="D7" s="180">
        <f t="shared" si="0"/>
        <v>20000</v>
      </c>
      <c r="E7" s="181">
        <v>200</v>
      </c>
      <c r="F7" s="54">
        <f t="shared" si="1"/>
        <v>20000</v>
      </c>
    </row>
    <row r="8" spans="1:6" x14ac:dyDescent="0.3">
      <c r="A8" s="177">
        <v>93</v>
      </c>
      <c r="B8" s="178">
        <v>36</v>
      </c>
      <c r="C8" s="179">
        <v>78</v>
      </c>
      <c r="D8" s="180">
        <f t="shared" si="0"/>
        <v>20000</v>
      </c>
      <c r="E8" s="181">
        <v>200</v>
      </c>
      <c r="F8" s="54">
        <f t="shared" si="1"/>
        <v>20000</v>
      </c>
    </row>
    <row r="9" spans="1:6" x14ac:dyDescent="0.3">
      <c r="A9" s="177">
        <v>93</v>
      </c>
      <c r="B9" s="178">
        <v>91</v>
      </c>
      <c r="C9" s="179">
        <v>78</v>
      </c>
      <c r="D9" s="180">
        <f t="shared" si="0"/>
        <v>20000</v>
      </c>
      <c r="E9" s="181">
        <v>200</v>
      </c>
      <c r="F9" s="54">
        <f t="shared" si="1"/>
        <v>20000</v>
      </c>
    </row>
    <row r="10" spans="1:6" x14ac:dyDescent="0.3">
      <c r="A10" s="177">
        <v>95</v>
      </c>
      <c r="B10" s="178">
        <v>56</v>
      </c>
      <c r="C10" s="179">
        <v>78</v>
      </c>
      <c r="D10" s="180">
        <f t="shared" si="0"/>
        <v>15000</v>
      </c>
      <c r="E10" s="181">
        <v>150</v>
      </c>
      <c r="F10" s="54">
        <f t="shared" si="1"/>
        <v>15000</v>
      </c>
    </row>
    <row r="11" spans="1:6" x14ac:dyDescent="0.3">
      <c r="A11" s="177">
        <v>103</v>
      </c>
      <c r="B11" s="178">
        <v>193</v>
      </c>
      <c r="C11" s="179">
        <v>78</v>
      </c>
      <c r="D11" s="180">
        <f t="shared" si="0"/>
        <v>40000</v>
      </c>
      <c r="E11" s="181">
        <v>400</v>
      </c>
      <c r="F11" s="54">
        <f t="shared" si="1"/>
        <v>40000</v>
      </c>
    </row>
    <row r="12" spans="1:6" x14ac:dyDescent="0.3">
      <c r="A12" s="177">
        <v>123</v>
      </c>
      <c r="B12" s="178">
        <v>36</v>
      </c>
      <c r="C12" s="179">
        <v>78</v>
      </c>
      <c r="D12" s="180">
        <f t="shared" si="0"/>
        <v>40000</v>
      </c>
      <c r="E12" s="181">
        <v>400</v>
      </c>
      <c r="F12" s="54">
        <f t="shared" si="1"/>
        <v>40000</v>
      </c>
    </row>
    <row r="13" spans="1:6" x14ac:dyDescent="0.3">
      <c r="A13" s="177">
        <v>123</v>
      </c>
      <c r="B13" s="178">
        <v>70</v>
      </c>
      <c r="C13" s="179">
        <v>78</v>
      </c>
      <c r="D13" s="180">
        <f t="shared" si="0"/>
        <v>40000</v>
      </c>
      <c r="E13" s="181">
        <v>400</v>
      </c>
      <c r="F13" s="54">
        <f t="shared" si="1"/>
        <v>40000</v>
      </c>
    </row>
    <row r="14" spans="1:6" x14ac:dyDescent="0.3">
      <c r="A14" s="177">
        <v>124</v>
      </c>
      <c r="B14" s="178">
        <v>2</v>
      </c>
      <c r="C14" s="179">
        <v>78</v>
      </c>
      <c r="D14" s="180">
        <f t="shared" si="0"/>
        <v>40000</v>
      </c>
      <c r="E14" s="181">
        <v>400</v>
      </c>
      <c r="F14" s="54">
        <f t="shared" si="1"/>
        <v>40000</v>
      </c>
    </row>
    <row r="15" spans="1:6" x14ac:dyDescent="0.3">
      <c r="A15" s="177">
        <v>125</v>
      </c>
      <c r="B15" s="178">
        <v>28</v>
      </c>
      <c r="C15" s="179">
        <v>78</v>
      </c>
      <c r="D15" s="180">
        <f t="shared" si="0"/>
        <v>40000</v>
      </c>
      <c r="E15" s="181">
        <v>400</v>
      </c>
      <c r="F15" s="54">
        <f t="shared" si="1"/>
        <v>40000</v>
      </c>
    </row>
    <row r="16" spans="1:6" x14ac:dyDescent="0.3">
      <c r="A16" s="177">
        <v>126</v>
      </c>
      <c r="B16" s="178">
        <v>41</v>
      </c>
      <c r="C16" s="179">
        <v>78</v>
      </c>
      <c r="D16" s="180">
        <f t="shared" si="0"/>
        <v>20000</v>
      </c>
      <c r="E16" s="181">
        <v>200</v>
      </c>
      <c r="F16" s="54">
        <f t="shared" si="1"/>
        <v>20000</v>
      </c>
    </row>
    <row r="17" spans="1:6" x14ac:dyDescent="0.3">
      <c r="A17" s="177">
        <v>126</v>
      </c>
      <c r="B17" s="178">
        <v>37</v>
      </c>
      <c r="C17" s="179">
        <v>78</v>
      </c>
      <c r="D17" s="180">
        <f t="shared" si="0"/>
        <v>20000</v>
      </c>
      <c r="E17" s="181">
        <v>200</v>
      </c>
      <c r="F17" s="54">
        <f t="shared" si="1"/>
        <v>20000</v>
      </c>
    </row>
    <row r="18" spans="1:6" x14ac:dyDescent="0.3">
      <c r="A18" s="177">
        <v>126</v>
      </c>
      <c r="B18" s="178">
        <v>28</v>
      </c>
      <c r="C18" s="179">
        <v>78</v>
      </c>
      <c r="D18" s="180">
        <f t="shared" si="0"/>
        <v>20000</v>
      </c>
      <c r="E18" s="181">
        <v>200</v>
      </c>
      <c r="F18" s="54">
        <f t="shared" si="1"/>
        <v>20000</v>
      </c>
    </row>
    <row r="19" spans="1:6" x14ac:dyDescent="0.3">
      <c r="A19" s="177">
        <v>154</v>
      </c>
      <c r="B19" s="178">
        <v>28</v>
      </c>
      <c r="C19" s="179">
        <v>78</v>
      </c>
      <c r="D19" s="180">
        <f t="shared" si="0"/>
        <v>15000</v>
      </c>
      <c r="E19" s="181">
        <v>150</v>
      </c>
      <c r="F19" s="54">
        <f t="shared" si="1"/>
        <v>15000</v>
      </c>
    </row>
    <row r="20" spans="1:6" x14ac:dyDescent="0.3">
      <c r="A20" s="177">
        <v>156</v>
      </c>
      <c r="B20" s="178">
        <v>72</v>
      </c>
      <c r="C20" s="179">
        <v>78</v>
      </c>
      <c r="D20" s="180">
        <f t="shared" si="0"/>
        <v>60000</v>
      </c>
      <c r="E20" s="181">
        <v>600</v>
      </c>
      <c r="F20" s="54">
        <f t="shared" si="1"/>
        <v>60000</v>
      </c>
    </row>
    <row r="21" spans="1:6" x14ac:dyDescent="0.3">
      <c r="A21" s="177">
        <v>156</v>
      </c>
      <c r="B21" s="178">
        <v>78</v>
      </c>
      <c r="C21" s="179">
        <v>78</v>
      </c>
      <c r="D21" s="180">
        <f t="shared" si="0"/>
        <v>60000</v>
      </c>
      <c r="E21" s="181">
        <v>600</v>
      </c>
      <c r="F21" s="54">
        <f t="shared" si="1"/>
        <v>60000</v>
      </c>
    </row>
    <row r="22" spans="1:6" x14ac:dyDescent="0.3">
      <c r="A22" s="177">
        <v>156</v>
      </c>
      <c r="B22" s="178">
        <v>67</v>
      </c>
      <c r="C22" s="179">
        <v>78</v>
      </c>
      <c r="D22" s="180">
        <f t="shared" si="0"/>
        <v>20000</v>
      </c>
      <c r="E22" s="181">
        <v>200</v>
      </c>
      <c r="F22" s="54">
        <f t="shared" si="1"/>
        <v>20000</v>
      </c>
    </row>
    <row r="23" spans="1:6" x14ac:dyDescent="0.3">
      <c r="A23" s="177">
        <v>157</v>
      </c>
      <c r="B23" s="178">
        <v>14</v>
      </c>
      <c r="C23" s="179">
        <v>78</v>
      </c>
      <c r="D23" s="180">
        <f t="shared" si="0"/>
        <v>30000</v>
      </c>
      <c r="E23" s="181">
        <v>300</v>
      </c>
      <c r="F23" s="54">
        <f t="shared" si="1"/>
        <v>30000</v>
      </c>
    </row>
    <row r="24" spans="1:6" x14ac:dyDescent="0.3">
      <c r="A24" s="177">
        <v>169</v>
      </c>
      <c r="B24" s="178">
        <v>37</v>
      </c>
      <c r="C24" s="179">
        <v>78</v>
      </c>
      <c r="D24" s="180">
        <f t="shared" si="0"/>
        <v>40000</v>
      </c>
      <c r="E24">
        <v>400</v>
      </c>
      <c r="F24" s="54">
        <f t="shared" si="1"/>
        <v>40000</v>
      </c>
    </row>
    <row r="25" spans="1:6" x14ac:dyDescent="0.3">
      <c r="A25" s="177">
        <v>169</v>
      </c>
      <c r="B25" s="178">
        <v>1</v>
      </c>
      <c r="C25" s="179">
        <v>78</v>
      </c>
      <c r="D25" s="180">
        <f t="shared" si="0"/>
        <v>300</v>
      </c>
      <c r="E25">
        <v>400</v>
      </c>
      <c r="F25" s="54">
        <v>300</v>
      </c>
    </row>
    <row r="26" spans="1:6" x14ac:dyDescent="0.3">
      <c r="A26" s="177">
        <v>179</v>
      </c>
      <c r="B26" s="178">
        <v>3</v>
      </c>
      <c r="C26" s="179">
        <v>78</v>
      </c>
      <c r="D26" s="180">
        <f t="shared" si="0"/>
        <v>300</v>
      </c>
      <c r="E26">
        <v>200</v>
      </c>
      <c r="F26" s="54">
        <v>300</v>
      </c>
    </row>
    <row r="27" spans="1:6" x14ac:dyDescent="0.3">
      <c r="A27" s="177">
        <v>179</v>
      </c>
      <c r="B27" s="178">
        <v>4</v>
      </c>
      <c r="C27" s="179">
        <v>78</v>
      </c>
      <c r="D27" s="180">
        <f t="shared" si="0"/>
        <v>300</v>
      </c>
      <c r="E27">
        <v>200</v>
      </c>
      <c r="F27" s="54">
        <v>300</v>
      </c>
    </row>
    <row r="28" spans="1:6" x14ac:dyDescent="0.3">
      <c r="A28" s="177">
        <v>200</v>
      </c>
      <c r="B28" s="178">
        <v>74</v>
      </c>
      <c r="C28" s="179">
        <v>78</v>
      </c>
      <c r="D28" s="180">
        <f t="shared" si="0"/>
        <v>300</v>
      </c>
      <c r="E28">
        <v>150</v>
      </c>
      <c r="F28" s="54">
        <v>300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80"/>
  <sheetViews>
    <sheetView showGridLines="0" topLeftCell="A59" workbookViewId="0">
      <selection activeCell="A5" sqref="A5:D80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70" t="s">
        <v>706</v>
      </c>
      <c r="B1" s="171"/>
    </row>
    <row r="2" spans="1:6" x14ac:dyDescent="0.3">
      <c r="A2" s="170" t="s">
        <v>707</v>
      </c>
      <c r="B2" s="171"/>
    </row>
    <row r="3" spans="1:6" x14ac:dyDescent="0.3">
      <c r="A3" s="170"/>
      <c r="B3" s="171"/>
    </row>
    <row r="4" spans="1:6" x14ac:dyDescent="0.3">
      <c r="A4" s="172"/>
      <c r="B4" s="173"/>
      <c r="C4" s="174"/>
      <c r="D4" s="175"/>
      <c r="E4" s="176"/>
    </row>
    <row r="5" spans="1:6" x14ac:dyDescent="0.3">
      <c r="A5" s="177">
        <v>62</v>
      </c>
      <c r="B5" s="178">
        <v>286</v>
      </c>
      <c r="C5" s="179">
        <v>75</v>
      </c>
      <c r="D5" s="180">
        <f>F5</f>
        <v>69854.709999999992</v>
      </c>
      <c r="E5" s="181">
        <v>698.54709999999989</v>
      </c>
      <c r="F5" s="54">
        <f>E5*100</f>
        <v>69854.709999999992</v>
      </c>
    </row>
    <row r="6" spans="1:6" x14ac:dyDescent="0.3">
      <c r="A6" s="177">
        <v>62</v>
      </c>
      <c r="B6" s="178">
        <v>316</v>
      </c>
      <c r="C6" s="179">
        <v>75</v>
      </c>
      <c r="D6" s="180">
        <f t="shared" ref="D6:D69" si="0">F6</f>
        <v>57352.13</v>
      </c>
      <c r="E6" s="181">
        <v>573.5213</v>
      </c>
      <c r="F6" s="54">
        <f t="shared" ref="F6:F69" si="1">E6*100</f>
        <v>57352.13</v>
      </c>
    </row>
    <row r="7" spans="1:6" x14ac:dyDescent="0.3">
      <c r="A7" s="177">
        <v>62</v>
      </c>
      <c r="B7" s="178">
        <v>266</v>
      </c>
      <c r="C7" s="179">
        <v>75</v>
      </c>
      <c r="D7" s="180">
        <f t="shared" si="0"/>
        <v>200000</v>
      </c>
      <c r="E7" s="181" t="s">
        <v>708</v>
      </c>
      <c r="F7" s="54">
        <f t="shared" si="1"/>
        <v>200000</v>
      </c>
    </row>
    <row r="8" spans="1:6" x14ac:dyDescent="0.3">
      <c r="A8" s="177">
        <v>62</v>
      </c>
      <c r="B8" s="178">
        <v>314</v>
      </c>
      <c r="C8" s="179">
        <v>75</v>
      </c>
      <c r="D8" s="180">
        <f t="shared" si="0"/>
        <v>55563.795000000006</v>
      </c>
      <c r="E8" s="181">
        <v>555.63795000000005</v>
      </c>
      <c r="F8" s="54">
        <f t="shared" si="1"/>
        <v>55563.795000000006</v>
      </c>
    </row>
    <row r="9" spans="1:6" x14ac:dyDescent="0.3">
      <c r="A9" s="177">
        <v>62</v>
      </c>
      <c r="B9" s="178">
        <v>320</v>
      </c>
      <c r="C9" s="179">
        <v>75</v>
      </c>
      <c r="D9" s="180">
        <f t="shared" si="0"/>
        <v>55919.825000000004</v>
      </c>
      <c r="E9" s="181">
        <v>559.19825000000003</v>
      </c>
      <c r="F9" s="54">
        <f t="shared" si="1"/>
        <v>55919.825000000004</v>
      </c>
    </row>
    <row r="10" spans="1:6" x14ac:dyDescent="0.3">
      <c r="A10" s="177">
        <v>62</v>
      </c>
      <c r="B10" s="178">
        <v>289</v>
      </c>
      <c r="C10" s="179">
        <v>75</v>
      </c>
      <c r="D10" s="180">
        <f t="shared" si="0"/>
        <v>63531.275000000009</v>
      </c>
      <c r="E10" s="181">
        <v>635.31275000000005</v>
      </c>
      <c r="F10" s="54">
        <f t="shared" si="1"/>
        <v>63531.275000000009</v>
      </c>
    </row>
    <row r="11" spans="1:6" x14ac:dyDescent="0.3">
      <c r="A11" s="177">
        <v>93</v>
      </c>
      <c r="B11" s="178">
        <v>98</v>
      </c>
      <c r="C11" s="179">
        <v>75</v>
      </c>
      <c r="D11" s="180">
        <f t="shared" si="0"/>
        <v>35582.92</v>
      </c>
      <c r="E11" s="181">
        <v>355.82920000000001</v>
      </c>
      <c r="F11" s="54">
        <f t="shared" si="1"/>
        <v>35582.92</v>
      </c>
    </row>
    <row r="12" spans="1:6" x14ac:dyDescent="0.3">
      <c r="A12" s="177">
        <v>93</v>
      </c>
      <c r="B12" s="178">
        <v>90</v>
      </c>
      <c r="C12" s="179">
        <v>75</v>
      </c>
      <c r="D12" s="180">
        <f t="shared" si="0"/>
        <v>200000</v>
      </c>
      <c r="E12" s="181" t="s">
        <v>708</v>
      </c>
      <c r="F12" s="54">
        <f t="shared" si="1"/>
        <v>200000</v>
      </c>
    </row>
    <row r="13" spans="1:6" x14ac:dyDescent="0.3">
      <c r="A13" s="177">
        <v>93</v>
      </c>
      <c r="B13" s="178">
        <v>95</v>
      </c>
      <c r="C13" s="179">
        <v>75</v>
      </c>
      <c r="D13" s="180">
        <f t="shared" si="0"/>
        <v>35699.805</v>
      </c>
      <c r="E13" s="181">
        <v>356.99805000000003</v>
      </c>
      <c r="F13" s="54">
        <f t="shared" si="1"/>
        <v>35699.805</v>
      </c>
    </row>
    <row r="14" spans="1:6" x14ac:dyDescent="0.3">
      <c r="A14" s="177">
        <v>93</v>
      </c>
      <c r="B14" s="178">
        <v>36</v>
      </c>
      <c r="C14" s="179">
        <v>75</v>
      </c>
      <c r="D14" s="180">
        <f t="shared" si="0"/>
        <v>35704.995000000003</v>
      </c>
      <c r="E14" s="181">
        <v>357.04995000000002</v>
      </c>
      <c r="F14" s="54">
        <f t="shared" si="1"/>
        <v>35704.995000000003</v>
      </c>
    </row>
    <row r="15" spans="1:6" x14ac:dyDescent="0.3">
      <c r="A15" s="177">
        <v>93</v>
      </c>
      <c r="B15" s="178">
        <v>91</v>
      </c>
      <c r="C15" s="179">
        <v>75</v>
      </c>
      <c r="D15" s="180">
        <f t="shared" si="0"/>
        <v>35805.919999999998</v>
      </c>
      <c r="E15" s="181">
        <v>358.05919999999998</v>
      </c>
      <c r="F15" s="54">
        <f t="shared" si="1"/>
        <v>35805.919999999998</v>
      </c>
    </row>
    <row r="16" spans="1:6" x14ac:dyDescent="0.3">
      <c r="A16" s="177">
        <v>93</v>
      </c>
      <c r="B16" s="178">
        <v>100</v>
      </c>
      <c r="C16" s="179">
        <v>75</v>
      </c>
      <c r="D16" s="180">
        <f t="shared" si="0"/>
        <v>35873.445</v>
      </c>
      <c r="E16" s="181">
        <v>358.73444999999998</v>
      </c>
      <c r="F16" s="54">
        <f t="shared" si="1"/>
        <v>35873.445</v>
      </c>
    </row>
    <row r="17" spans="1:6" x14ac:dyDescent="0.3">
      <c r="A17" s="177">
        <v>94</v>
      </c>
      <c r="B17" s="178">
        <v>3</v>
      </c>
      <c r="C17" s="179">
        <v>75</v>
      </c>
      <c r="D17" s="180">
        <f t="shared" si="0"/>
        <v>27803.970000000005</v>
      </c>
      <c r="E17" s="181">
        <v>278.03970000000004</v>
      </c>
      <c r="F17" s="54">
        <f t="shared" si="1"/>
        <v>27803.970000000005</v>
      </c>
    </row>
    <row r="18" spans="1:6" x14ac:dyDescent="0.3">
      <c r="A18" s="177">
        <v>95</v>
      </c>
      <c r="B18" s="178">
        <v>56</v>
      </c>
      <c r="C18" s="179">
        <v>75</v>
      </c>
      <c r="D18" s="180">
        <f t="shared" si="0"/>
        <v>40070.695</v>
      </c>
      <c r="E18" s="181">
        <v>400.70695000000001</v>
      </c>
      <c r="F18" s="54">
        <f t="shared" si="1"/>
        <v>40070.695</v>
      </c>
    </row>
    <row r="19" spans="1:6" x14ac:dyDescent="0.3">
      <c r="A19" s="177">
        <v>95</v>
      </c>
      <c r="B19" s="178">
        <v>84</v>
      </c>
      <c r="C19" s="179">
        <v>75</v>
      </c>
      <c r="D19" s="180">
        <f t="shared" si="0"/>
        <v>200000</v>
      </c>
      <c r="E19" s="181" t="s">
        <v>708</v>
      </c>
      <c r="F19" s="54">
        <f t="shared" si="1"/>
        <v>200000</v>
      </c>
    </row>
    <row r="20" spans="1:6" x14ac:dyDescent="0.3">
      <c r="A20" s="177">
        <v>103</v>
      </c>
      <c r="B20" s="178">
        <v>185</v>
      </c>
      <c r="C20" s="179">
        <v>75</v>
      </c>
      <c r="D20" s="180">
        <f t="shared" si="0"/>
        <v>32878.409999999996</v>
      </c>
      <c r="E20" s="181">
        <v>328.78409999999997</v>
      </c>
      <c r="F20" s="54">
        <f t="shared" si="1"/>
        <v>32878.409999999996</v>
      </c>
    </row>
    <row r="21" spans="1:6" x14ac:dyDescent="0.3">
      <c r="A21" s="177">
        <v>103</v>
      </c>
      <c r="B21" s="178">
        <v>187</v>
      </c>
      <c r="C21" s="179">
        <v>75</v>
      </c>
      <c r="D21" s="180">
        <f t="shared" si="0"/>
        <v>32729.805</v>
      </c>
      <c r="E21" s="181">
        <v>327.29804999999999</v>
      </c>
      <c r="F21" s="54">
        <f t="shared" si="1"/>
        <v>32729.805</v>
      </c>
    </row>
    <row r="22" spans="1:6" x14ac:dyDescent="0.3">
      <c r="A22" s="177">
        <v>103</v>
      </c>
      <c r="B22" s="178">
        <v>193</v>
      </c>
      <c r="C22" s="179">
        <v>75</v>
      </c>
      <c r="D22" s="180">
        <f t="shared" si="0"/>
        <v>33770.315000000002</v>
      </c>
      <c r="E22" s="181">
        <v>337.70315000000005</v>
      </c>
      <c r="F22" s="54">
        <f t="shared" si="1"/>
        <v>33770.315000000002</v>
      </c>
    </row>
    <row r="23" spans="1:6" x14ac:dyDescent="0.3">
      <c r="A23" s="177">
        <v>103</v>
      </c>
      <c r="B23" s="178">
        <v>194</v>
      </c>
      <c r="C23" s="179">
        <v>75</v>
      </c>
      <c r="D23" s="180">
        <f t="shared" si="0"/>
        <v>34448.06</v>
      </c>
      <c r="E23" s="181">
        <v>344.48059999999998</v>
      </c>
      <c r="F23" s="54">
        <f t="shared" si="1"/>
        <v>34448.06</v>
      </c>
    </row>
    <row r="24" spans="1:6" x14ac:dyDescent="0.3">
      <c r="A24" s="177">
        <v>103</v>
      </c>
      <c r="B24" s="178">
        <v>199</v>
      </c>
      <c r="C24" s="179">
        <v>75</v>
      </c>
      <c r="D24" s="180">
        <f t="shared" si="0"/>
        <v>200000</v>
      </c>
      <c r="E24" t="s">
        <v>708</v>
      </c>
      <c r="F24" s="54">
        <f t="shared" si="1"/>
        <v>200000</v>
      </c>
    </row>
    <row r="25" spans="1:6" x14ac:dyDescent="0.3">
      <c r="A25" s="177">
        <v>103</v>
      </c>
      <c r="B25" s="178">
        <v>202</v>
      </c>
      <c r="C25" s="179">
        <v>75</v>
      </c>
      <c r="D25" s="180">
        <f t="shared" si="0"/>
        <v>33041.644999999997</v>
      </c>
      <c r="E25">
        <v>330.41645</v>
      </c>
      <c r="F25" s="54">
        <f t="shared" si="1"/>
        <v>33041.644999999997</v>
      </c>
    </row>
    <row r="26" spans="1:6" x14ac:dyDescent="0.3">
      <c r="A26" s="177">
        <v>104</v>
      </c>
      <c r="B26" s="178">
        <v>33</v>
      </c>
      <c r="C26" s="179">
        <v>75</v>
      </c>
      <c r="D26" s="180">
        <f t="shared" si="0"/>
        <v>51333.5</v>
      </c>
      <c r="E26">
        <v>513.33500000000004</v>
      </c>
      <c r="F26" s="54">
        <f t="shared" si="1"/>
        <v>51333.5</v>
      </c>
    </row>
    <row r="27" spans="1:6" x14ac:dyDescent="0.3">
      <c r="A27" s="177">
        <v>104</v>
      </c>
      <c r="B27" s="178">
        <v>41</v>
      </c>
      <c r="C27" s="179">
        <v>75</v>
      </c>
      <c r="D27" s="180">
        <f t="shared" si="0"/>
        <v>51333.5</v>
      </c>
      <c r="E27">
        <v>513.33500000000004</v>
      </c>
      <c r="F27" s="54">
        <f t="shared" si="1"/>
        <v>51333.5</v>
      </c>
    </row>
    <row r="28" spans="1:6" x14ac:dyDescent="0.3">
      <c r="A28" s="177">
        <v>105</v>
      </c>
      <c r="B28" s="178">
        <v>84</v>
      </c>
      <c r="C28" s="179">
        <v>75</v>
      </c>
      <c r="D28" s="180">
        <f t="shared" si="0"/>
        <v>52097.894999999997</v>
      </c>
      <c r="E28">
        <v>520.97894999999994</v>
      </c>
      <c r="F28" s="54">
        <f t="shared" si="1"/>
        <v>52097.894999999997</v>
      </c>
    </row>
    <row r="29" spans="1:6" x14ac:dyDescent="0.3">
      <c r="A29" s="177">
        <v>105</v>
      </c>
      <c r="B29" s="178">
        <v>95</v>
      </c>
      <c r="C29" s="179">
        <v>75</v>
      </c>
      <c r="D29" s="180">
        <f t="shared" si="0"/>
        <v>49751.535000000003</v>
      </c>
      <c r="E29">
        <v>497.51535000000007</v>
      </c>
      <c r="F29" s="54">
        <f t="shared" si="1"/>
        <v>49751.535000000003</v>
      </c>
    </row>
    <row r="30" spans="1:6" x14ac:dyDescent="0.3">
      <c r="A30" s="177">
        <v>123</v>
      </c>
      <c r="B30" s="178">
        <v>69</v>
      </c>
      <c r="C30" s="179">
        <v>75</v>
      </c>
      <c r="D30" s="180">
        <f t="shared" si="0"/>
        <v>28836.63</v>
      </c>
      <c r="E30">
        <v>288.36630000000002</v>
      </c>
      <c r="F30" s="54">
        <f t="shared" si="1"/>
        <v>28836.63</v>
      </c>
    </row>
    <row r="31" spans="1:6" x14ac:dyDescent="0.3">
      <c r="A31" s="177">
        <v>123</v>
      </c>
      <c r="B31" s="178">
        <v>75</v>
      </c>
      <c r="C31" s="179">
        <v>75</v>
      </c>
      <c r="D31" s="180">
        <f t="shared" si="0"/>
        <v>36754.425000000003</v>
      </c>
      <c r="E31">
        <v>367.54425000000003</v>
      </c>
      <c r="F31" s="54">
        <f t="shared" si="1"/>
        <v>36754.425000000003</v>
      </c>
    </row>
    <row r="32" spans="1:6" x14ac:dyDescent="0.3">
      <c r="A32" s="177">
        <v>123</v>
      </c>
      <c r="B32" s="178">
        <v>68</v>
      </c>
      <c r="C32" s="179">
        <v>75</v>
      </c>
      <c r="D32" s="180">
        <f t="shared" si="0"/>
        <v>200000</v>
      </c>
      <c r="E32" t="s">
        <v>708</v>
      </c>
      <c r="F32" s="54">
        <f t="shared" si="1"/>
        <v>200000</v>
      </c>
    </row>
    <row r="33" spans="1:6" x14ac:dyDescent="0.3">
      <c r="A33" s="177">
        <v>123</v>
      </c>
      <c r="B33" s="178">
        <v>36</v>
      </c>
      <c r="C33" s="179">
        <v>75</v>
      </c>
      <c r="D33" s="180">
        <f t="shared" si="0"/>
        <v>24666.505000000001</v>
      </c>
      <c r="E33">
        <v>246.66505000000001</v>
      </c>
      <c r="F33" s="54">
        <f t="shared" si="1"/>
        <v>24666.505000000001</v>
      </c>
    </row>
    <row r="34" spans="1:6" x14ac:dyDescent="0.3">
      <c r="A34" s="177">
        <v>123</v>
      </c>
      <c r="B34" s="178">
        <v>70</v>
      </c>
      <c r="C34" s="179">
        <v>75</v>
      </c>
      <c r="D34" s="180">
        <f t="shared" si="0"/>
        <v>26912.77</v>
      </c>
      <c r="E34">
        <v>269.1277</v>
      </c>
      <c r="F34" s="54">
        <f t="shared" si="1"/>
        <v>26912.77</v>
      </c>
    </row>
    <row r="35" spans="1:6" x14ac:dyDescent="0.3">
      <c r="A35" s="177">
        <v>124</v>
      </c>
      <c r="B35" s="178">
        <v>32</v>
      </c>
      <c r="C35" s="179">
        <v>75</v>
      </c>
      <c r="D35" s="180">
        <f t="shared" si="0"/>
        <v>200000</v>
      </c>
      <c r="E35" t="s">
        <v>708</v>
      </c>
      <c r="F35" s="54">
        <f t="shared" si="1"/>
        <v>200000</v>
      </c>
    </row>
    <row r="36" spans="1:6" x14ac:dyDescent="0.3">
      <c r="A36" s="177">
        <v>124</v>
      </c>
      <c r="B36" s="178">
        <v>2</v>
      </c>
      <c r="C36" s="179">
        <v>75</v>
      </c>
      <c r="D36" s="180">
        <f t="shared" si="0"/>
        <v>40537.58</v>
      </c>
      <c r="E36">
        <v>405.37580000000003</v>
      </c>
      <c r="F36" s="54">
        <f t="shared" si="1"/>
        <v>40537.58</v>
      </c>
    </row>
    <row r="37" spans="1:6" x14ac:dyDescent="0.3">
      <c r="A37" s="177">
        <v>124</v>
      </c>
      <c r="B37" s="178">
        <v>49</v>
      </c>
      <c r="C37" s="179">
        <v>75</v>
      </c>
      <c r="D37" s="180">
        <f t="shared" si="0"/>
        <v>28952.535</v>
      </c>
      <c r="E37">
        <v>289.52535</v>
      </c>
      <c r="F37" s="54">
        <f t="shared" si="1"/>
        <v>28952.535</v>
      </c>
    </row>
    <row r="38" spans="1:6" x14ac:dyDescent="0.3">
      <c r="A38" s="177">
        <v>124</v>
      </c>
      <c r="B38" s="178">
        <v>39</v>
      </c>
      <c r="C38" s="179">
        <v>75</v>
      </c>
      <c r="D38" s="180">
        <f t="shared" si="0"/>
        <v>32925.955000000002</v>
      </c>
      <c r="E38">
        <v>329.25955000000005</v>
      </c>
      <c r="F38" s="54">
        <f t="shared" si="1"/>
        <v>32925.955000000002</v>
      </c>
    </row>
    <row r="39" spans="1:6" x14ac:dyDescent="0.3">
      <c r="A39" s="177">
        <v>125</v>
      </c>
      <c r="B39" s="178">
        <v>25</v>
      </c>
      <c r="C39" s="179">
        <v>75</v>
      </c>
      <c r="D39" s="180">
        <f t="shared" si="0"/>
        <v>200000</v>
      </c>
      <c r="E39" t="s">
        <v>708</v>
      </c>
      <c r="F39" s="54">
        <f t="shared" si="1"/>
        <v>200000</v>
      </c>
    </row>
    <row r="40" spans="1:6" x14ac:dyDescent="0.3">
      <c r="A40" s="177">
        <v>125</v>
      </c>
      <c r="B40" s="178">
        <v>58</v>
      </c>
      <c r="C40" s="179">
        <v>75</v>
      </c>
      <c r="D40" s="180">
        <f t="shared" si="0"/>
        <v>27577.125</v>
      </c>
      <c r="E40">
        <v>275.77125000000001</v>
      </c>
      <c r="F40" s="54">
        <f t="shared" si="1"/>
        <v>27577.125</v>
      </c>
    </row>
    <row r="41" spans="1:6" x14ac:dyDescent="0.3">
      <c r="A41" s="177">
        <v>125</v>
      </c>
      <c r="B41" s="178">
        <v>28</v>
      </c>
      <c r="C41" s="179">
        <v>75</v>
      </c>
      <c r="D41" s="180">
        <f t="shared" si="0"/>
        <v>26849.464999999997</v>
      </c>
      <c r="E41">
        <v>268.49464999999998</v>
      </c>
      <c r="F41" s="54">
        <f t="shared" si="1"/>
        <v>26849.464999999997</v>
      </c>
    </row>
    <row r="42" spans="1:6" x14ac:dyDescent="0.3">
      <c r="A42" s="177">
        <v>125</v>
      </c>
      <c r="B42" s="178">
        <v>55</v>
      </c>
      <c r="C42" s="179">
        <v>75</v>
      </c>
      <c r="D42" s="180">
        <f t="shared" si="0"/>
        <v>30943.515000000003</v>
      </c>
      <c r="E42">
        <v>309.43515000000002</v>
      </c>
      <c r="F42" s="54">
        <f t="shared" si="1"/>
        <v>30943.515000000003</v>
      </c>
    </row>
    <row r="43" spans="1:6" x14ac:dyDescent="0.3">
      <c r="A43" s="177">
        <v>126</v>
      </c>
      <c r="B43" s="178">
        <v>41</v>
      </c>
      <c r="C43" s="179">
        <v>75</v>
      </c>
      <c r="D43" s="180">
        <f t="shared" si="0"/>
        <v>45660.47</v>
      </c>
      <c r="E43">
        <v>456.60470000000004</v>
      </c>
      <c r="F43" s="54">
        <f t="shared" si="1"/>
        <v>45660.47</v>
      </c>
    </row>
    <row r="44" spans="1:6" x14ac:dyDescent="0.3">
      <c r="A44" s="177">
        <v>126</v>
      </c>
      <c r="B44" s="178">
        <v>1</v>
      </c>
      <c r="C44" s="179">
        <v>75</v>
      </c>
      <c r="D44" s="180">
        <f t="shared" si="0"/>
        <v>200000</v>
      </c>
      <c r="E44" t="s">
        <v>708</v>
      </c>
      <c r="F44" s="54">
        <f t="shared" si="1"/>
        <v>200000</v>
      </c>
    </row>
    <row r="45" spans="1:6" x14ac:dyDescent="0.3">
      <c r="A45" s="177">
        <v>127</v>
      </c>
      <c r="B45" s="178">
        <v>70</v>
      </c>
      <c r="C45" s="179">
        <v>75</v>
      </c>
      <c r="D45" s="180">
        <f t="shared" si="0"/>
        <v>200000</v>
      </c>
      <c r="E45" t="s">
        <v>708</v>
      </c>
      <c r="F45" s="54">
        <f t="shared" si="1"/>
        <v>200000</v>
      </c>
    </row>
    <row r="46" spans="1:6" x14ac:dyDescent="0.3">
      <c r="A46" s="177">
        <v>127</v>
      </c>
      <c r="B46" s="178">
        <v>80</v>
      </c>
      <c r="C46" s="179">
        <v>75</v>
      </c>
      <c r="D46" s="180">
        <f t="shared" si="0"/>
        <v>34816.51</v>
      </c>
      <c r="E46">
        <v>348.16510000000005</v>
      </c>
      <c r="F46" s="54">
        <f t="shared" si="1"/>
        <v>34816.51</v>
      </c>
    </row>
    <row r="47" spans="1:6" x14ac:dyDescent="0.3">
      <c r="A47" s="177">
        <v>139</v>
      </c>
      <c r="B47" s="178">
        <v>28</v>
      </c>
      <c r="C47" s="179">
        <v>75</v>
      </c>
      <c r="D47" s="180">
        <f t="shared" si="0"/>
        <v>51954.17</v>
      </c>
      <c r="E47">
        <v>519.54169999999999</v>
      </c>
      <c r="F47" s="54">
        <f t="shared" si="1"/>
        <v>51954.17</v>
      </c>
    </row>
    <row r="48" spans="1:6" x14ac:dyDescent="0.3">
      <c r="A48" s="177">
        <v>144</v>
      </c>
      <c r="B48" s="178">
        <v>81</v>
      </c>
      <c r="C48" s="179">
        <v>75</v>
      </c>
      <c r="D48" s="180">
        <f t="shared" si="0"/>
        <v>33372.089999999997</v>
      </c>
      <c r="E48">
        <v>333.72089999999997</v>
      </c>
      <c r="F48" s="54">
        <f t="shared" si="1"/>
        <v>33372.089999999997</v>
      </c>
    </row>
    <row r="49" spans="1:6" x14ac:dyDescent="0.3">
      <c r="A49" s="177">
        <v>154</v>
      </c>
      <c r="B49" s="178">
        <v>45</v>
      </c>
      <c r="C49" s="179">
        <v>75</v>
      </c>
      <c r="D49" s="180">
        <f t="shared" si="0"/>
        <v>37461.01</v>
      </c>
      <c r="E49">
        <v>374.61010000000005</v>
      </c>
      <c r="F49" s="54">
        <f t="shared" si="1"/>
        <v>37461.01</v>
      </c>
    </row>
    <row r="50" spans="1:6" x14ac:dyDescent="0.3">
      <c r="A50" s="177">
        <v>154</v>
      </c>
      <c r="B50" s="178">
        <v>28</v>
      </c>
      <c r="C50" s="179">
        <v>75</v>
      </c>
      <c r="D50" s="180">
        <f t="shared" si="0"/>
        <v>38161.425000000003</v>
      </c>
      <c r="E50">
        <v>381.61425000000003</v>
      </c>
      <c r="F50" s="54">
        <f t="shared" si="1"/>
        <v>38161.425000000003</v>
      </c>
    </row>
    <row r="51" spans="1:6" x14ac:dyDescent="0.3">
      <c r="A51" s="177">
        <v>154</v>
      </c>
      <c r="B51" s="178">
        <v>42</v>
      </c>
      <c r="C51" s="179">
        <v>75</v>
      </c>
      <c r="D51" s="180">
        <f t="shared" si="0"/>
        <v>39218.485000000001</v>
      </c>
      <c r="E51">
        <v>392.18485000000004</v>
      </c>
      <c r="F51" s="54">
        <f t="shared" si="1"/>
        <v>39218.485000000001</v>
      </c>
    </row>
    <row r="52" spans="1:6" x14ac:dyDescent="0.3">
      <c r="A52" s="177">
        <v>156</v>
      </c>
      <c r="B52" s="178">
        <v>76</v>
      </c>
      <c r="C52" s="179">
        <v>75</v>
      </c>
      <c r="D52" s="180">
        <f t="shared" si="0"/>
        <v>39057.759999999995</v>
      </c>
      <c r="E52">
        <v>390.57759999999996</v>
      </c>
      <c r="F52" s="54">
        <f t="shared" si="1"/>
        <v>39057.759999999995</v>
      </c>
    </row>
    <row r="53" spans="1:6" x14ac:dyDescent="0.3">
      <c r="A53" s="177">
        <v>156</v>
      </c>
      <c r="B53" s="178">
        <v>67</v>
      </c>
      <c r="C53" s="179">
        <v>75</v>
      </c>
      <c r="D53" s="180">
        <f t="shared" si="0"/>
        <v>40184.92</v>
      </c>
      <c r="E53">
        <v>401.8492</v>
      </c>
      <c r="F53" s="54">
        <f t="shared" si="1"/>
        <v>40184.92</v>
      </c>
    </row>
    <row r="54" spans="1:6" x14ac:dyDescent="0.3">
      <c r="A54" s="177">
        <v>156</v>
      </c>
      <c r="B54" s="178">
        <v>79</v>
      </c>
      <c r="C54" s="179">
        <v>75</v>
      </c>
      <c r="D54" s="180">
        <f t="shared" si="0"/>
        <v>39319.829999999994</v>
      </c>
      <c r="E54">
        <v>393.19829999999996</v>
      </c>
      <c r="F54" s="54">
        <f t="shared" si="1"/>
        <v>39319.829999999994</v>
      </c>
    </row>
    <row r="55" spans="1:6" x14ac:dyDescent="0.3">
      <c r="A55" s="177">
        <v>156</v>
      </c>
      <c r="B55" s="178">
        <v>75</v>
      </c>
      <c r="C55" s="179">
        <v>75</v>
      </c>
      <c r="D55" s="180">
        <f t="shared" si="0"/>
        <v>200000</v>
      </c>
      <c r="E55" t="s">
        <v>708</v>
      </c>
      <c r="F55" s="54">
        <f t="shared" si="1"/>
        <v>200000</v>
      </c>
    </row>
    <row r="56" spans="1:6" x14ac:dyDescent="0.3">
      <c r="A56" s="177">
        <v>157</v>
      </c>
      <c r="B56" s="178">
        <v>14</v>
      </c>
      <c r="C56" s="179">
        <v>75</v>
      </c>
      <c r="D56" s="180">
        <f t="shared" si="0"/>
        <v>38136.525000000001</v>
      </c>
      <c r="E56">
        <v>381.36525</v>
      </c>
      <c r="F56" s="54">
        <f t="shared" si="1"/>
        <v>38136.525000000001</v>
      </c>
    </row>
    <row r="57" spans="1:6" x14ac:dyDescent="0.3">
      <c r="A57" s="177">
        <v>157</v>
      </c>
      <c r="B57" s="178">
        <v>33</v>
      </c>
      <c r="C57" s="179">
        <v>75</v>
      </c>
      <c r="D57" s="180">
        <f t="shared" si="0"/>
        <v>200000</v>
      </c>
      <c r="E57" t="s">
        <v>708</v>
      </c>
      <c r="F57" s="54">
        <f t="shared" si="1"/>
        <v>200000</v>
      </c>
    </row>
    <row r="58" spans="1:6" x14ac:dyDescent="0.3">
      <c r="A58" s="177">
        <v>157</v>
      </c>
      <c r="B58" s="178">
        <v>43</v>
      </c>
      <c r="C58" s="179">
        <v>75</v>
      </c>
      <c r="D58" s="180">
        <f t="shared" si="0"/>
        <v>26702.605</v>
      </c>
      <c r="E58">
        <v>267.02605</v>
      </c>
      <c r="F58" s="54">
        <f t="shared" si="1"/>
        <v>26702.605</v>
      </c>
    </row>
    <row r="59" spans="1:6" x14ac:dyDescent="0.3">
      <c r="A59" s="177">
        <v>157</v>
      </c>
      <c r="B59" s="178">
        <v>45</v>
      </c>
      <c r="C59" s="179">
        <v>75</v>
      </c>
      <c r="D59" s="180">
        <f t="shared" si="0"/>
        <v>28240.050000000003</v>
      </c>
      <c r="E59">
        <v>282.40050000000002</v>
      </c>
      <c r="F59" s="54">
        <f t="shared" si="1"/>
        <v>28240.050000000003</v>
      </c>
    </row>
    <row r="60" spans="1:6" x14ac:dyDescent="0.3">
      <c r="A60" s="177">
        <v>161</v>
      </c>
      <c r="B60" s="178">
        <v>51</v>
      </c>
      <c r="C60" s="179">
        <v>75</v>
      </c>
      <c r="D60" s="180">
        <f t="shared" si="0"/>
        <v>38322.514999999999</v>
      </c>
      <c r="E60">
        <v>383.22514999999999</v>
      </c>
      <c r="F60" s="54">
        <f t="shared" si="1"/>
        <v>38322.514999999999</v>
      </c>
    </row>
    <row r="61" spans="1:6" x14ac:dyDescent="0.3">
      <c r="A61" s="177">
        <v>161</v>
      </c>
      <c r="B61" s="178">
        <v>49</v>
      </c>
      <c r="C61" s="179">
        <v>75</v>
      </c>
      <c r="D61" s="180">
        <f t="shared" si="0"/>
        <v>37265.985000000001</v>
      </c>
      <c r="E61">
        <v>372.65985000000001</v>
      </c>
      <c r="F61" s="54">
        <f t="shared" si="1"/>
        <v>37265.985000000001</v>
      </c>
    </row>
    <row r="62" spans="1:6" x14ac:dyDescent="0.3">
      <c r="A62" s="177">
        <v>169</v>
      </c>
      <c r="B62" s="178">
        <v>16</v>
      </c>
      <c r="C62" s="179">
        <v>75</v>
      </c>
      <c r="D62" s="180">
        <f t="shared" si="0"/>
        <v>200000</v>
      </c>
      <c r="E62" t="s">
        <v>708</v>
      </c>
      <c r="F62" s="54">
        <f t="shared" si="1"/>
        <v>200000</v>
      </c>
    </row>
    <row r="63" spans="1:6" x14ac:dyDescent="0.3">
      <c r="A63" s="177">
        <v>169</v>
      </c>
      <c r="B63" s="178">
        <v>7</v>
      </c>
      <c r="C63" s="179">
        <v>75</v>
      </c>
      <c r="D63" s="180">
        <f t="shared" si="0"/>
        <v>34271.095000000001</v>
      </c>
      <c r="E63">
        <v>342.71095000000003</v>
      </c>
      <c r="F63" s="54">
        <f t="shared" si="1"/>
        <v>34271.095000000001</v>
      </c>
    </row>
    <row r="64" spans="1:6" x14ac:dyDescent="0.3">
      <c r="A64" s="177">
        <v>169</v>
      </c>
      <c r="B64" s="178">
        <v>37</v>
      </c>
      <c r="C64" s="179">
        <v>75</v>
      </c>
      <c r="D64" s="180">
        <f t="shared" si="0"/>
        <v>35421.019999999997</v>
      </c>
      <c r="E64">
        <v>354.21019999999999</v>
      </c>
      <c r="F64" s="54">
        <f t="shared" si="1"/>
        <v>35421.019999999997</v>
      </c>
    </row>
    <row r="65" spans="1:6" x14ac:dyDescent="0.3">
      <c r="A65" s="177">
        <v>169</v>
      </c>
      <c r="B65" s="178">
        <v>1</v>
      </c>
      <c r="C65" s="179">
        <v>75</v>
      </c>
      <c r="D65" s="180">
        <f t="shared" si="0"/>
        <v>39137.910000000003</v>
      </c>
      <c r="E65">
        <v>391.37910000000005</v>
      </c>
      <c r="F65" s="54">
        <f t="shared" si="1"/>
        <v>39137.910000000003</v>
      </c>
    </row>
    <row r="66" spans="1:6" x14ac:dyDescent="0.3">
      <c r="A66" s="177">
        <v>173</v>
      </c>
      <c r="B66" s="178">
        <v>26</v>
      </c>
      <c r="C66" s="179">
        <v>75</v>
      </c>
      <c r="D66" s="180">
        <f t="shared" si="0"/>
        <v>32945.504999999997</v>
      </c>
      <c r="E66">
        <v>329.45504999999997</v>
      </c>
      <c r="F66" s="54">
        <f t="shared" si="1"/>
        <v>32945.504999999997</v>
      </c>
    </row>
    <row r="67" spans="1:6" x14ac:dyDescent="0.3">
      <c r="A67" s="177">
        <v>175</v>
      </c>
      <c r="B67" s="178">
        <v>11</v>
      </c>
      <c r="C67" s="179">
        <v>75</v>
      </c>
      <c r="D67" s="180">
        <f t="shared" si="0"/>
        <v>47514.310000000005</v>
      </c>
      <c r="E67">
        <v>475.14310000000006</v>
      </c>
      <c r="F67" s="54">
        <f t="shared" si="1"/>
        <v>47514.310000000005</v>
      </c>
    </row>
    <row r="68" spans="1:6" x14ac:dyDescent="0.3">
      <c r="A68" s="177">
        <v>179</v>
      </c>
      <c r="B68" s="178">
        <v>2</v>
      </c>
      <c r="C68" s="179">
        <v>75</v>
      </c>
      <c r="D68" s="180">
        <f t="shared" si="0"/>
        <v>42482.77</v>
      </c>
      <c r="E68">
        <v>424.82769999999999</v>
      </c>
      <c r="F68" s="54">
        <f t="shared" si="1"/>
        <v>42482.77</v>
      </c>
    </row>
    <row r="69" spans="1:6" x14ac:dyDescent="0.3">
      <c r="A69" s="177">
        <v>179</v>
      </c>
      <c r="B69" s="178">
        <v>3</v>
      </c>
      <c r="C69" s="179">
        <v>75</v>
      </c>
      <c r="D69" s="180">
        <f t="shared" si="0"/>
        <v>52010.964999999997</v>
      </c>
      <c r="E69">
        <v>520.10964999999999</v>
      </c>
      <c r="F69" s="54">
        <f t="shared" si="1"/>
        <v>52010.964999999997</v>
      </c>
    </row>
    <row r="70" spans="1:6" x14ac:dyDescent="0.3">
      <c r="A70" s="177">
        <v>179</v>
      </c>
      <c r="B70" s="178">
        <v>16</v>
      </c>
      <c r="C70" s="179">
        <v>75</v>
      </c>
      <c r="D70" s="180">
        <f t="shared" ref="D70:D80" si="2">F70</f>
        <v>43967.684999999998</v>
      </c>
      <c r="E70">
        <v>439.67685</v>
      </c>
      <c r="F70" s="54">
        <f t="shared" ref="F70:F80" si="3">E70*100</f>
        <v>43967.684999999998</v>
      </c>
    </row>
    <row r="71" spans="1:6" x14ac:dyDescent="0.3">
      <c r="A71" s="177">
        <v>179</v>
      </c>
      <c r="B71" s="178">
        <v>18</v>
      </c>
      <c r="C71" s="179">
        <v>75</v>
      </c>
      <c r="D71" s="180">
        <f t="shared" si="2"/>
        <v>41841.214999999997</v>
      </c>
      <c r="E71">
        <v>418.41215</v>
      </c>
      <c r="F71" s="54">
        <f t="shared" si="3"/>
        <v>41841.214999999997</v>
      </c>
    </row>
    <row r="72" spans="1:6" x14ac:dyDescent="0.3">
      <c r="A72" s="177">
        <v>181</v>
      </c>
      <c r="B72" s="178">
        <v>2</v>
      </c>
      <c r="C72" s="179">
        <v>75</v>
      </c>
      <c r="D72" s="180">
        <f t="shared" si="2"/>
        <v>65135.894999999997</v>
      </c>
      <c r="E72">
        <v>651.35894999999994</v>
      </c>
      <c r="F72" s="54">
        <f t="shared" si="3"/>
        <v>65135.894999999997</v>
      </c>
    </row>
    <row r="73" spans="1:6" x14ac:dyDescent="0.3">
      <c r="A73" s="177">
        <v>181</v>
      </c>
      <c r="B73" s="178">
        <v>16</v>
      </c>
      <c r="C73" s="179">
        <v>75</v>
      </c>
      <c r="D73" s="180">
        <f t="shared" si="2"/>
        <v>64591.57</v>
      </c>
      <c r="E73">
        <v>645.91570000000002</v>
      </c>
      <c r="F73" s="54">
        <f t="shared" si="3"/>
        <v>64591.57</v>
      </c>
    </row>
    <row r="74" spans="1:6" x14ac:dyDescent="0.3">
      <c r="A74" s="177">
        <v>181</v>
      </c>
      <c r="B74" s="178">
        <v>1</v>
      </c>
      <c r="C74" s="179">
        <v>75</v>
      </c>
      <c r="D74" s="180">
        <f t="shared" si="2"/>
        <v>71955.34</v>
      </c>
      <c r="E74">
        <v>719.55340000000001</v>
      </c>
      <c r="F74" s="54">
        <f t="shared" si="3"/>
        <v>71955.34</v>
      </c>
    </row>
    <row r="75" spans="1:6" x14ac:dyDescent="0.3">
      <c r="A75" s="177">
        <v>181</v>
      </c>
      <c r="B75" s="178">
        <v>13</v>
      </c>
      <c r="C75" s="179">
        <v>75</v>
      </c>
      <c r="D75" s="180">
        <f t="shared" si="2"/>
        <v>61720.385000000002</v>
      </c>
      <c r="E75">
        <v>617.20384999999999</v>
      </c>
      <c r="F75" s="54">
        <f t="shared" si="3"/>
        <v>61720.385000000002</v>
      </c>
    </row>
    <row r="76" spans="1:6" x14ac:dyDescent="0.3">
      <c r="A76" s="177">
        <v>183</v>
      </c>
      <c r="B76" s="178">
        <v>15</v>
      </c>
      <c r="C76" s="179">
        <v>75</v>
      </c>
      <c r="D76" s="180">
        <f t="shared" si="2"/>
        <v>41203.184999999998</v>
      </c>
      <c r="E76">
        <v>412.03184999999996</v>
      </c>
      <c r="F76" s="54">
        <f t="shared" si="3"/>
        <v>41203.184999999998</v>
      </c>
    </row>
    <row r="77" spans="1:6" x14ac:dyDescent="0.3">
      <c r="A77" s="177">
        <v>200</v>
      </c>
      <c r="B77" s="178">
        <v>129</v>
      </c>
      <c r="C77" s="179">
        <v>75</v>
      </c>
      <c r="D77" s="180">
        <f t="shared" si="2"/>
        <v>24002.83</v>
      </c>
      <c r="E77">
        <v>240.02830000000003</v>
      </c>
      <c r="F77" s="54">
        <f t="shared" si="3"/>
        <v>24002.83</v>
      </c>
    </row>
    <row r="78" spans="1:6" x14ac:dyDescent="0.3">
      <c r="A78" s="177">
        <v>200</v>
      </c>
      <c r="B78" s="178">
        <v>132</v>
      </c>
      <c r="C78" s="179">
        <v>75</v>
      </c>
      <c r="D78" s="180">
        <f t="shared" si="2"/>
        <v>26856.274999999998</v>
      </c>
      <c r="E78">
        <v>268.56274999999999</v>
      </c>
      <c r="F78" s="54">
        <f t="shared" si="3"/>
        <v>26856.274999999998</v>
      </c>
    </row>
    <row r="79" spans="1:6" x14ac:dyDescent="0.3">
      <c r="A79" s="177">
        <v>200</v>
      </c>
      <c r="B79" s="178">
        <v>74</v>
      </c>
      <c r="C79" s="179">
        <v>75</v>
      </c>
      <c r="D79" s="180">
        <f t="shared" si="2"/>
        <v>29311.585000000003</v>
      </c>
      <c r="E79">
        <v>293.11585000000002</v>
      </c>
      <c r="F79" s="54">
        <f t="shared" si="3"/>
        <v>29311.585000000003</v>
      </c>
    </row>
    <row r="80" spans="1:6" x14ac:dyDescent="0.3">
      <c r="A80" s="177">
        <v>200</v>
      </c>
      <c r="B80" s="178">
        <v>128</v>
      </c>
      <c r="C80" s="179">
        <v>75</v>
      </c>
      <c r="D80" s="180">
        <f t="shared" si="2"/>
        <v>200000</v>
      </c>
      <c r="E80" t="s">
        <v>708</v>
      </c>
      <c r="F80" s="54">
        <f t="shared" si="3"/>
        <v>200000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52"/>
  <sheetViews>
    <sheetView showGridLines="0" topLeftCell="A24" workbookViewId="0">
      <selection activeCell="A5" sqref="A5:D52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70" t="s">
        <v>706</v>
      </c>
      <c r="B1" s="171"/>
    </row>
    <row r="2" spans="1:6" x14ac:dyDescent="0.3">
      <c r="A2" s="170" t="s">
        <v>707</v>
      </c>
      <c r="B2" s="171"/>
    </row>
    <row r="3" spans="1:6" x14ac:dyDescent="0.3">
      <c r="A3" s="170"/>
      <c r="B3" s="171"/>
    </row>
    <row r="4" spans="1:6" x14ac:dyDescent="0.3">
      <c r="A4" s="172"/>
      <c r="B4" s="173"/>
      <c r="C4" s="174"/>
      <c r="D4" s="175"/>
      <c r="E4" s="176"/>
    </row>
    <row r="5" spans="1:6" x14ac:dyDescent="0.3">
      <c r="A5" s="177">
        <v>62</v>
      </c>
      <c r="B5" s="178">
        <v>286</v>
      </c>
      <c r="C5" s="179">
        <v>233</v>
      </c>
      <c r="D5" s="180">
        <f>F5</f>
        <v>40000</v>
      </c>
      <c r="E5" s="181">
        <v>400</v>
      </c>
      <c r="F5" s="54">
        <f>E5*100</f>
        <v>40000</v>
      </c>
    </row>
    <row r="6" spans="1:6" x14ac:dyDescent="0.3">
      <c r="A6" s="177">
        <v>62</v>
      </c>
      <c r="B6" s="178">
        <v>289</v>
      </c>
      <c r="C6" s="179">
        <v>233</v>
      </c>
      <c r="D6" s="180">
        <f t="shared" ref="D6:D52" si="0">F6</f>
        <v>40000</v>
      </c>
      <c r="E6" s="181">
        <v>400</v>
      </c>
      <c r="F6" s="54">
        <f t="shared" ref="F6:F52" si="1">E6*100</f>
        <v>40000</v>
      </c>
    </row>
    <row r="7" spans="1:6" x14ac:dyDescent="0.3">
      <c r="A7" s="177">
        <v>93</v>
      </c>
      <c r="B7" s="178">
        <v>36</v>
      </c>
      <c r="C7" s="179">
        <v>233</v>
      </c>
      <c r="D7" s="180">
        <f t="shared" si="0"/>
        <v>40000</v>
      </c>
      <c r="E7" s="181">
        <v>400</v>
      </c>
      <c r="F7" s="54">
        <f t="shared" si="1"/>
        <v>40000</v>
      </c>
    </row>
    <row r="8" spans="1:6" x14ac:dyDescent="0.3">
      <c r="A8" s="177">
        <v>93</v>
      </c>
      <c r="B8" s="178">
        <v>91</v>
      </c>
      <c r="C8" s="179">
        <v>233</v>
      </c>
      <c r="D8" s="180">
        <f t="shared" si="0"/>
        <v>40000</v>
      </c>
      <c r="E8" s="181">
        <v>400</v>
      </c>
      <c r="F8" s="54">
        <f t="shared" si="1"/>
        <v>40000</v>
      </c>
    </row>
    <row r="9" spans="1:6" x14ac:dyDescent="0.3">
      <c r="A9" s="177">
        <v>94</v>
      </c>
      <c r="B9" s="178">
        <v>3</v>
      </c>
      <c r="C9" s="179">
        <v>233</v>
      </c>
      <c r="D9" s="180">
        <f t="shared" si="0"/>
        <v>20000</v>
      </c>
      <c r="E9" s="181">
        <v>200</v>
      </c>
      <c r="F9" s="54">
        <f t="shared" si="1"/>
        <v>20000</v>
      </c>
    </row>
    <row r="10" spans="1:6" x14ac:dyDescent="0.3">
      <c r="A10" s="177">
        <v>94</v>
      </c>
      <c r="B10" s="178">
        <v>6</v>
      </c>
      <c r="C10" s="179">
        <v>233</v>
      </c>
      <c r="D10" s="180">
        <f t="shared" si="0"/>
        <v>15000</v>
      </c>
      <c r="E10" s="181">
        <v>150</v>
      </c>
      <c r="F10" s="54">
        <f t="shared" si="1"/>
        <v>15000</v>
      </c>
    </row>
    <row r="11" spans="1:6" x14ac:dyDescent="0.3">
      <c r="A11" s="177">
        <v>95</v>
      </c>
      <c r="B11" s="178">
        <v>56</v>
      </c>
      <c r="C11" s="179">
        <v>233</v>
      </c>
      <c r="D11" s="180">
        <f t="shared" si="0"/>
        <v>30000</v>
      </c>
      <c r="E11" s="181">
        <v>300</v>
      </c>
      <c r="F11" s="54">
        <f t="shared" si="1"/>
        <v>30000</v>
      </c>
    </row>
    <row r="12" spans="1:6" x14ac:dyDescent="0.3">
      <c r="A12" s="177">
        <v>103</v>
      </c>
      <c r="B12" s="178">
        <v>193</v>
      </c>
      <c r="C12" s="179">
        <v>233</v>
      </c>
      <c r="D12" s="180">
        <f t="shared" si="0"/>
        <v>40000</v>
      </c>
      <c r="E12" s="181">
        <v>400</v>
      </c>
      <c r="F12" s="54">
        <f t="shared" si="1"/>
        <v>40000</v>
      </c>
    </row>
    <row r="13" spans="1:6" x14ac:dyDescent="0.3">
      <c r="A13" s="177">
        <v>104</v>
      </c>
      <c r="B13" s="178">
        <v>33</v>
      </c>
      <c r="C13" s="179">
        <v>233</v>
      </c>
      <c r="D13" s="180">
        <f t="shared" si="0"/>
        <v>30000</v>
      </c>
      <c r="E13" s="181">
        <v>300</v>
      </c>
      <c r="F13" s="54">
        <f t="shared" si="1"/>
        <v>30000</v>
      </c>
    </row>
    <row r="14" spans="1:6" x14ac:dyDescent="0.3">
      <c r="A14" s="177">
        <v>105</v>
      </c>
      <c r="B14" s="178">
        <v>93</v>
      </c>
      <c r="C14" s="179">
        <v>233</v>
      </c>
      <c r="D14" s="180">
        <f t="shared" si="0"/>
        <v>30000</v>
      </c>
      <c r="E14" s="181">
        <v>300</v>
      </c>
      <c r="F14" s="54">
        <f t="shared" si="1"/>
        <v>30000</v>
      </c>
    </row>
    <row r="15" spans="1:6" x14ac:dyDescent="0.3">
      <c r="A15" s="177">
        <v>105</v>
      </c>
      <c r="B15" s="178">
        <v>84</v>
      </c>
      <c r="C15" s="179">
        <v>233</v>
      </c>
      <c r="D15" s="180">
        <f t="shared" si="0"/>
        <v>30000</v>
      </c>
      <c r="E15" s="181">
        <v>300</v>
      </c>
      <c r="F15" s="54">
        <f t="shared" si="1"/>
        <v>30000</v>
      </c>
    </row>
    <row r="16" spans="1:6" x14ac:dyDescent="0.3">
      <c r="A16" s="177">
        <v>116</v>
      </c>
      <c r="B16" s="178">
        <v>148</v>
      </c>
      <c r="C16" s="179">
        <v>233</v>
      </c>
      <c r="D16" s="180">
        <f t="shared" si="0"/>
        <v>40000</v>
      </c>
      <c r="E16" s="181">
        <v>400</v>
      </c>
      <c r="F16" s="54">
        <f t="shared" si="1"/>
        <v>40000</v>
      </c>
    </row>
    <row r="17" spans="1:6" x14ac:dyDescent="0.3">
      <c r="A17" s="177">
        <v>116</v>
      </c>
      <c r="B17" s="178">
        <v>146</v>
      </c>
      <c r="C17" s="179">
        <v>233</v>
      </c>
      <c r="D17" s="180">
        <f t="shared" si="0"/>
        <v>30000</v>
      </c>
      <c r="E17" s="181">
        <v>300</v>
      </c>
      <c r="F17" s="54">
        <f t="shared" si="1"/>
        <v>30000</v>
      </c>
    </row>
    <row r="18" spans="1:6" x14ac:dyDescent="0.3">
      <c r="A18" s="177">
        <v>116</v>
      </c>
      <c r="B18" s="178">
        <v>169</v>
      </c>
      <c r="C18" s="179">
        <v>233</v>
      </c>
      <c r="D18" s="180">
        <f t="shared" si="0"/>
        <v>40000</v>
      </c>
      <c r="E18" s="181">
        <v>400</v>
      </c>
      <c r="F18" s="54">
        <f t="shared" si="1"/>
        <v>40000</v>
      </c>
    </row>
    <row r="19" spans="1:6" x14ac:dyDescent="0.3">
      <c r="A19" s="177">
        <v>123</v>
      </c>
      <c r="B19" s="178">
        <v>36</v>
      </c>
      <c r="C19" s="179">
        <v>233</v>
      </c>
      <c r="D19" s="180">
        <f t="shared" si="0"/>
        <v>30000</v>
      </c>
      <c r="E19" s="181">
        <v>300</v>
      </c>
      <c r="F19" s="54">
        <f t="shared" si="1"/>
        <v>30000</v>
      </c>
    </row>
    <row r="20" spans="1:6" x14ac:dyDescent="0.3">
      <c r="A20" s="177">
        <v>123</v>
      </c>
      <c r="B20" s="178">
        <v>70</v>
      </c>
      <c r="C20" s="179">
        <v>233</v>
      </c>
      <c r="D20" s="180">
        <f t="shared" si="0"/>
        <v>30000</v>
      </c>
      <c r="E20" s="181">
        <v>300</v>
      </c>
      <c r="F20" s="54">
        <f t="shared" si="1"/>
        <v>30000</v>
      </c>
    </row>
    <row r="21" spans="1:6" x14ac:dyDescent="0.3">
      <c r="A21" s="177">
        <v>124</v>
      </c>
      <c r="B21" s="178">
        <v>2</v>
      </c>
      <c r="C21" s="179">
        <v>233</v>
      </c>
      <c r="D21" s="180">
        <f t="shared" si="0"/>
        <v>40000</v>
      </c>
      <c r="E21" s="181">
        <v>400</v>
      </c>
      <c r="F21" s="54">
        <f t="shared" si="1"/>
        <v>40000</v>
      </c>
    </row>
    <row r="22" spans="1:6" x14ac:dyDescent="0.3">
      <c r="A22" s="177">
        <v>124</v>
      </c>
      <c r="B22" s="178">
        <v>19</v>
      </c>
      <c r="C22" s="179">
        <v>233</v>
      </c>
      <c r="D22" s="180">
        <f t="shared" si="0"/>
        <v>10000</v>
      </c>
      <c r="E22" s="181">
        <v>100</v>
      </c>
      <c r="F22" s="54">
        <f t="shared" si="1"/>
        <v>10000</v>
      </c>
    </row>
    <row r="23" spans="1:6" x14ac:dyDescent="0.3">
      <c r="A23" s="177">
        <v>125</v>
      </c>
      <c r="B23" s="178">
        <v>28</v>
      </c>
      <c r="C23" s="179">
        <v>233</v>
      </c>
      <c r="D23" s="180">
        <f t="shared" si="0"/>
        <v>30000</v>
      </c>
      <c r="E23" s="181">
        <v>300</v>
      </c>
      <c r="F23" s="54">
        <f t="shared" si="1"/>
        <v>30000</v>
      </c>
    </row>
    <row r="24" spans="1:6" x14ac:dyDescent="0.3">
      <c r="A24" s="177">
        <v>126</v>
      </c>
      <c r="B24" s="178">
        <v>41</v>
      </c>
      <c r="C24" s="179">
        <v>233</v>
      </c>
      <c r="D24" s="180">
        <f t="shared" si="0"/>
        <v>30000</v>
      </c>
      <c r="E24">
        <v>300</v>
      </c>
      <c r="F24" s="54">
        <f t="shared" si="1"/>
        <v>30000</v>
      </c>
    </row>
    <row r="25" spans="1:6" x14ac:dyDescent="0.3">
      <c r="A25" s="177">
        <v>126</v>
      </c>
      <c r="B25" s="178">
        <v>37</v>
      </c>
      <c r="C25" s="179">
        <v>233</v>
      </c>
      <c r="D25" s="180">
        <f t="shared" si="0"/>
        <v>30000</v>
      </c>
      <c r="E25">
        <v>300</v>
      </c>
      <c r="F25" s="54">
        <f t="shared" si="1"/>
        <v>30000</v>
      </c>
    </row>
    <row r="26" spans="1:6" x14ac:dyDescent="0.3">
      <c r="A26" s="177">
        <v>126</v>
      </c>
      <c r="B26" s="178">
        <v>28</v>
      </c>
      <c r="C26" s="179">
        <v>233</v>
      </c>
      <c r="D26" s="180">
        <f t="shared" si="0"/>
        <v>30000</v>
      </c>
      <c r="E26">
        <v>300</v>
      </c>
      <c r="F26" s="54">
        <f t="shared" si="1"/>
        <v>30000</v>
      </c>
    </row>
    <row r="27" spans="1:6" x14ac:dyDescent="0.3">
      <c r="A27" s="177">
        <v>127</v>
      </c>
      <c r="B27" s="178">
        <v>75</v>
      </c>
      <c r="C27" s="179">
        <v>233</v>
      </c>
      <c r="D27" s="180">
        <f t="shared" si="0"/>
        <v>30000</v>
      </c>
      <c r="E27">
        <v>300</v>
      </c>
      <c r="F27" s="54">
        <f t="shared" si="1"/>
        <v>30000</v>
      </c>
    </row>
    <row r="28" spans="1:6" x14ac:dyDescent="0.3">
      <c r="A28" s="177">
        <v>139</v>
      </c>
      <c r="B28" s="178">
        <v>24</v>
      </c>
      <c r="C28" s="179">
        <v>233</v>
      </c>
      <c r="D28" s="180">
        <f t="shared" si="0"/>
        <v>40000</v>
      </c>
      <c r="E28">
        <v>400</v>
      </c>
      <c r="F28" s="54">
        <f t="shared" si="1"/>
        <v>40000</v>
      </c>
    </row>
    <row r="29" spans="1:6" x14ac:dyDescent="0.3">
      <c r="A29" s="177">
        <v>139</v>
      </c>
      <c r="B29" s="178">
        <v>41</v>
      </c>
      <c r="C29" s="179">
        <v>233</v>
      </c>
      <c r="D29" s="180">
        <f t="shared" si="0"/>
        <v>40000</v>
      </c>
      <c r="E29">
        <v>400</v>
      </c>
      <c r="F29" s="54">
        <f t="shared" si="1"/>
        <v>40000</v>
      </c>
    </row>
    <row r="30" spans="1:6" x14ac:dyDescent="0.3">
      <c r="A30" s="177">
        <v>139</v>
      </c>
      <c r="B30" s="178">
        <v>28</v>
      </c>
      <c r="C30" s="179">
        <v>233</v>
      </c>
      <c r="D30" s="180">
        <f t="shared" si="0"/>
        <v>15000</v>
      </c>
      <c r="E30">
        <v>150</v>
      </c>
      <c r="F30" s="54">
        <f t="shared" si="1"/>
        <v>15000</v>
      </c>
    </row>
    <row r="31" spans="1:6" x14ac:dyDescent="0.3">
      <c r="A31" s="177">
        <v>144</v>
      </c>
      <c r="B31" s="178">
        <v>81</v>
      </c>
      <c r="C31" s="179">
        <v>233</v>
      </c>
      <c r="D31" s="180">
        <f t="shared" si="0"/>
        <v>30000</v>
      </c>
      <c r="E31">
        <v>300</v>
      </c>
      <c r="F31" s="54">
        <f t="shared" si="1"/>
        <v>30000</v>
      </c>
    </row>
    <row r="32" spans="1:6" x14ac:dyDescent="0.3">
      <c r="A32" s="177">
        <v>144</v>
      </c>
      <c r="B32" s="178">
        <v>71</v>
      </c>
      <c r="C32" s="179">
        <v>233</v>
      </c>
      <c r="D32" s="180">
        <f t="shared" si="0"/>
        <v>30000</v>
      </c>
      <c r="E32">
        <v>300</v>
      </c>
      <c r="F32" s="54">
        <f t="shared" si="1"/>
        <v>30000</v>
      </c>
    </row>
    <row r="33" spans="1:6" x14ac:dyDescent="0.3">
      <c r="A33" s="177">
        <v>154</v>
      </c>
      <c r="B33" s="178">
        <v>28</v>
      </c>
      <c r="C33" s="179">
        <v>233</v>
      </c>
      <c r="D33" s="180">
        <f t="shared" si="0"/>
        <v>30000</v>
      </c>
      <c r="E33">
        <v>300</v>
      </c>
      <c r="F33" s="54">
        <f t="shared" si="1"/>
        <v>30000</v>
      </c>
    </row>
    <row r="34" spans="1:6" x14ac:dyDescent="0.3">
      <c r="A34" s="177">
        <v>156</v>
      </c>
      <c r="B34" s="178">
        <v>72</v>
      </c>
      <c r="C34" s="179">
        <v>233</v>
      </c>
      <c r="D34" s="180">
        <f t="shared" si="0"/>
        <v>30000</v>
      </c>
      <c r="E34">
        <v>300</v>
      </c>
      <c r="F34" s="54">
        <f t="shared" si="1"/>
        <v>30000</v>
      </c>
    </row>
    <row r="35" spans="1:6" x14ac:dyDescent="0.3">
      <c r="A35" s="177">
        <v>156</v>
      </c>
      <c r="B35" s="178">
        <v>78</v>
      </c>
      <c r="C35" s="179">
        <v>233</v>
      </c>
      <c r="D35" s="180">
        <f t="shared" si="0"/>
        <v>30000</v>
      </c>
      <c r="E35">
        <v>300</v>
      </c>
      <c r="F35" s="54">
        <f t="shared" si="1"/>
        <v>30000</v>
      </c>
    </row>
    <row r="36" spans="1:6" x14ac:dyDescent="0.3">
      <c r="A36" s="177">
        <v>156</v>
      </c>
      <c r="B36" s="178">
        <v>67</v>
      </c>
      <c r="C36" s="179">
        <v>233</v>
      </c>
      <c r="D36" s="180">
        <f t="shared" si="0"/>
        <v>30000</v>
      </c>
      <c r="E36">
        <v>300</v>
      </c>
      <c r="F36" s="54">
        <f t="shared" si="1"/>
        <v>30000</v>
      </c>
    </row>
    <row r="37" spans="1:6" x14ac:dyDescent="0.3">
      <c r="A37" s="177">
        <v>157</v>
      </c>
      <c r="B37" s="178">
        <v>14</v>
      </c>
      <c r="C37" s="179">
        <v>233</v>
      </c>
      <c r="D37" s="180">
        <f t="shared" si="0"/>
        <v>30000</v>
      </c>
      <c r="E37">
        <v>300</v>
      </c>
      <c r="F37" s="54">
        <f t="shared" si="1"/>
        <v>30000</v>
      </c>
    </row>
    <row r="38" spans="1:6" x14ac:dyDescent="0.3">
      <c r="A38" s="177">
        <v>161</v>
      </c>
      <c r="B38" s="178">
        <v>51</v>
      </c>
      <c r="C38" s="179">
        <v>233</v>
      </c>
      <c r="D38" s="180">
        <f t="shared" si="0"/>
        <v>30000</v>
      </c>
      <c r="E38">
        <v>300</v>
      </c>
      <c r="F38" s="54">
        <f t="shared" si="1"/>
        <v>30000</v>
      </c>
    </row>
    <row r="39" spans="1:6" x14ac:dyDescent="0.3">
      <c r="A39" s="177">
        <v>166</v>
      </c>
      <c r="B39" s="178">
        <v>8</v>
      </c>
      <c r="C39" s="179">
        <v>233</v>
      </c>
      <c r="D39" s="180">
        <f t="shared" si="0"/>
        <v>30000</v>
      </c>
      <c r="E39">
        <v>300</v>
      </c>
      <c r="F39" s="54">
        <f t="shared" si="1"/>
        <v>30000</v>
      </c>
    </row>
    <row r="40" spans="1:6" x14ac:dyDescent="0.3">
      <c r="A40" s="177">
        <v>169</v>
      </c>
      <c r="B40" s="178">
        <v>37</v>
      </c>
      <c r="C40" s="179">
        <v>233</v>
      </c>
      <c r="D40" s="180">
        <f t="shared" si="0"/>
        <v>40000</v>
      </c>
      <c r="E40">
        <v>400</v>
      </c>
      <c r="F40" s="54">
        <f t="shared" si="1"/>
        <v>40000</v>
      </c>
    </row>
    <row r="41" spans="1:6" x14ac:dyDescent="0.3">
      <c r="A41" s="177">
        <v>169</v>
      </c>
      <c r="B41" s="178">
        <v>1</v>
      </c>
      <c r="C41" s="179">
        <v>233</v>
      </c>
      <c r="D41" s="180">
        <f t="shared" si="0"/>
        <v>40000</v>
      </c>
      <c r="E41">
        <v>400</v>
      </c>
      <c r="F41" s="54">
        <f t="shared" si="1"/>
        <v>40000</v>
      </c>
    </row>
    <row r="42" spans="1:6" x14ac:dyDescent="0.3">
      <c r="A42" s="177">
        <v>173</v>
      </c>
      <c r="B42" s="178">
        <v>26</v>
      </c>
      <c r="C42" s="179">
        <v>233</v>
      </c>
      <c r="D42" s="180">
        <f t="shared" si="0"/>
        <v>40000</v>
      </c>
      <c r="E42">
        <v>400</v>
      </c>
      <c r="F42" s="54">
        <f t="shared" si="1"/>
        <v>40000</v>
      </c>
    </row>
    <row r="43" spans="1:6" x14ac:dyDescent="0.3">
      <c r="A43" s="177">
        <v>175</v>
      </c>
      <c r="B43" s="178">
        <v>13</v>
      </c>
      <c r="C43" s="179">
        <v>233</v>
      </c>
      <c r="D43" s="180">
        <f t="shared" si="0"/>
        <v>40000</v>
      </c>
      <c r="E43">
        <v>400</v>
      </c>
      <c r="F43" s="54">
        <f t="shared" si="1"/>
        <v>40000</v>
      </c>
    </row>
    <row r="44" spans="1:6" x14ac:dyDescent="0.3">
      <c r="A44" s="177">
        <v>175</v>
      </c>
      <c r="B44" s="178">
        <v>11</v>
      </c>
      <c r="C44" s="179">
        <v>233</v>
      </c>
      <c r="D44" s="180">
        <f t="shared" si="0"/>
        <v>40000</v>
      </c>
      <c r="E44">
        <v>400</v>
      </c>
      <c r="F44" s="54">
        <f t="shared" si="1"/>
        <v>40000</v>
      </c>
    </row>
    <row r="45" spans="1:6" x14ac:dyDescent="0.3">
      <c r="A45" s="177">
        <v>179</v>
      </c>
      <c r="B45" s="178">
        <v>3</v>
      </c>
      <c r="C45" s="179">
        <v>233</v>
      </c>
      <c r="D45" s="180">
        <f t="shared" si="0"/>
        <v>40000</v>
      </c>
      <c r="E45">
        <v>400</v>
      </c>
      <c r="F45" s="54">
        <f t="shared" si="1"/>
        <v>40000</v>
      </c>
    </row>
    <row r="46" spans="1:6" x14ac:dyDescent="0.3">
      <c r="A46" s="177">
        <v>179</v>
      </c>
      <c r="B46" s="178">
        <v>4</v>
      </c>
      <c r="C46" s="179">
        <v>233</v>
      </c>
      <c r="D46" s="180">
        <f t="shared" si="0"/>
        <v>40000</v>
      </c>
      <c r="E46">
        <v>400</v>
      </c>
      <c r="F46" s="54">
        <f t="shared" si="1"/>
        <v>40000</v>
      </c>
    </row>
    <row r="47" spans="1:6" x14ac:dyDescent="0.3">
      <c r="A47" s="177">
        <v>181</v>
      </c>
      <c r="B47" s="178">
        <v>2</v>
      </c>
      <c r="C47" s="179">
        <v>233</v>
      </c>
      <c r="D47" s="180">
        <f t="shared" si="0"/>
        <v>40000</v>
      </c>
      <c r="E47">
        <v>400</v>
      </c>
      <c r="F47" s="54">
        <f t="shared" si="1"/>
        <v>40000</v>
      </c>
    </row>
    <row r="48" spans="1:6" x14ac:dyDescent="0.3">
      <c r="A48" s="177">
        <v>181</v>
      </c>
      <c r="B48" s="178">
        <v>13</v>
      </c>
      <c r="C48" s="179">
        <v>233</v>
      </c>
      <c r="D48" s="180">
        <f t="shared" si="0"/>
        <v>40000</v>
      </c>
      <c r="E48">
        <v>400</v>
      </c>
      <c r="F48" s="54">
        <f t="shared" si="1"/>
        <v>40000</v>
      </c>
    </row>
    <row r="49" spans="1:6" x14ac:dyDescent="0.3">
      <c r="A49" s="177">
        <v>183</v>
      </c>
      <c r="B49" s="178">
        <v>1</v>
      </c>
      <c r="C49" s="179">
        <v>233</v>
      </c>
      <c r="D49" s="180">
        <f t="shared" si="0"/>
        <v>40000</v>
      </c>
      <c r="E49">
        <v>400</v>
      </c>
      <c r="F49" s="54">
        <f t="shared" si="1"/>
        <v>40000</v>
      </c>
    </row>
    <row r="50" spans="1:6" x14ac:dyDescent="0.3">
      <c r="A50" s="177">
        <v>183</v>
      </c>
      <c r="B50" s="178">
        <v>5</v>
      </c>
      <c r="C50" s="179">
        <v>233</v>
      </c>
      <c r="D50" s="180">
        <f t="shared" si="0"/>
        <v>40000</v>
      </c>
      <c r="E50">
        <v>400</v>
      </c>
      <c r="F50" s="54">
        <f t="shared" si="1"/>
        <v>40000</v>
      </c>
    </row>
    <row r="51" spans="1:6" x14ac:dyDescent="0.3">
      <c r="A51" s="177">
        <v>185</v>
      </c>
      <c r="B51" s="178">
        <v>8</v>
      </c>
      <c r="C51" s="179">
        <v>233</v>
      </c>
      <c r="D51" s="180">
        <f t="shared" si="0"/>
        <v>40000</v>
      </c>
      <c r="E51">
        <v>400</v>
      </c>
      <c r="F51" s="54">
        <f t="shared" si="1"/>
        <v>40000</v>
      </c>
    </row>
    <row r="52" spans="1:6" x14ac:dyDescent="0.3">
      <c r="A52" s="177">
        <v>200</v>
      </c>
      <c r="B52" s="178">
        <v>74</v>
      </c>
      <c r="C52" s="179">
        <v>233</v>
      </c>
      <c r="D52" s="180">
        <f t="shared" si="0"/>
        <v>30000</v>
      </c>
      <c r="E52">
        <v>300</v>
      </c>
      <c r="F52" s="54">
        <f t="shared" si="1"/>
        <v>30000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224"/>
  <sheetViews>
    <sheetView showGridLines="0" topLeftCell="A203" workbookViewId="0">
      <selection activeCell="A5" sqref="A5:D22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98" bestFit="1" customWidth="1"/>
    <col min="6" max="6" width="11" bestFit="1" customWidth="1"/>
  </cols>
  <sheetData>
    <row r="1" spans="1:6" x14ac:dyDescent="0.3">
      <c r="A1" s="170" t="s">
        <v>706</v>
      </c>
      <c r="B1" s="171"/>
    </row>
    <row r="2" spans="1:6" x14ac:dyDescent="0.3">
      <c r="A2" s="170" t="s">
        <v>707</v>
      </c>
      <c r="B2" s="171"/>
    </row>
    <row r="3" spans="1:6" x14ac:dyDescent="0.3">
      <c r="A3" s="170"/>
      <c r="B3" s="171"/>
    </row>
    <row r="4" spans="1:6" x14ac:dyDescent="0.3">
      <c r="A4" s="172"/>
      <c r="B4" s="173"/>
      <c r="C4" s="174"/>
      <c r="D4" s="175"/>
      <c r="E4" s="182"/>
    </row>
    <row r="5" spans="1:6" x14ac:dyDescent="0.3">
      <c r="A5" s="177">
        <v>62</v>
      </c>
      <c r="B5" s="178">
        <v>286</v>
      </c>
      <c r="C5" s="179">
        <v>144</v>
      </c>
      <c r="D5" s="180">
        <f>F5</f>
        <v>29338.978199999998</v>
      </c>
      <c r="E5" s="183">
        <v>293.38978199999997</v>
      </c>
      <c r="F5" s="54">
        <f>E5*100</f>
        <v>29338.978199999998</v>
      </c>
    </row>
    <row r="6" spans="1:6" x14ac:dyDescent="0.3">
      <c r="A6" s="177">
        <v>62</v>
      </c>
      <c r="B6" s="178">
        <v>325</v>
      </c>
      <c r="C6" s="179">
        <v>144</v>
      </c>
      <c r="D6" s="180">
        <f t="shared" ref="D6:D69" si="0">F6</f>
        <v>9454.02</v>
      </c>
      <c r="E6" s="183">
        <v>94.540199999999999</v>
      </c>
      <c r="F6" s="54">
        <f t="shared" ref="F6:F69" si="1">E6*100</f>
        <v>9454.02</v>
      </c>
    </row>
    <row r="7" spans="1:6" x14ac:dyDescent="0.3">
      <c r="A7" s="177">
        <v>62</v>
      </c>
      <c r="B7" s="178">
        <v>106</v>
      </c>
      <c r="C7" s="179">
        <v>144</v>
      </c>
      <c r="D7" s="180">
        <f t="shared" si="0"/>
        <v>0</v>
      </c>
      <c r="E7" s="183">
        <v>0</v>
      </c>
      <c r="F7" s="54">
        <f t="shared" si="1"/>
        <v>0</v>
      </c>
    </row>
    <row r="8" spans="1:6" x14ac:dyDescent="0.3">
      <c r="A8" s="177">
        <v>62</v>
      </c>
      <c r="B8" s="178">
        <v>322</v>
      </c>
      <c r="C8" s="179">
        <v>144</v>
      </c>
      <c r="D8" s="180">
        <f t="shared" si="0"/>
        <v>15857.580899999997</v>
      </c>
      <c r="E8" s="183">
        <v>158.57580899999996</v>
      </c>
      <c r="F8" s="54">
        <f t="shared" si="1"/>
        <v>15857.580899999997</v>
      </c>
    </row>
    <row r="9" spans="1:6" x14ac:dyDescent="0.3">
      <c r="A9" s="177">
        <v>62</v>
      </c>
      <c r="B9" s="178">
        <v>282</v>
      </c>
      <c r="C9" s="179">
        <v>144</v>
      </c>
      <c r="D9" s="180">
        <f t="shared" si="0"/>
        <v>10314</v>
      </c>
      <c r="E9" s="183">
        <v>103.14</v>
      </c>
      <c r="F9" s="54">
        <f t="shared" si="1"/>
        <v>10314</v>
      </c>
    </row>
    <row r="10" spans="1:6" x14ac:dyDescent="0.3">
      <c r="A10" s="177">
        <v>62</v>
      </c>
      <c r="B10" s="178">
        <v>316</v>
      </c>
      <c r="C10" s="179">
        <v>144</v>
      </c>
      <c r="D10" s="180">
        <f t="shared" si="0"/>
        <v>24087.894599999992</v>
      </c>
      <c r="E10" s="183">
        <v>240.87894599999993</v>
      </c>
      <c r="F10" s="54">
        <f t="shared" si="1"/>
        <v>24087.894599999992</v>
      </c>
    </row>
    <row r="11" spans="1:6" x14ac:dyDescent="0.3">
      <c r="A11" s="177">
        <v>62</v>
      </c>
      <c r="B11" s="178">
        <v>266</v>
      </c>
      <c r="C11" s="179">
        <v>144</v>
      </c>
      <c r="D11" s="180">
        <f t="shared" si="0"/>
        <v>0</v>
      </c>
      <c r="E11" s="183">
        <v>0</v>
      </c>
      <c r="F11" s="54">
        <f t="shared" si="1"/>
        <v>0</v>
      </c>
    </row>
    <row r="12" spans="1:6" x14ac:dyDescent="0.3">
      <c r="A12" s="177">
        <v>62</v>
      </c>
      <c r="B12" s="178">
        <v>323</v>
      </c>
      <c r="C12" s="179">
        <v>144</v>
      </c>
      <c r="D12" s="180">
        <f t="shared" si="0"/>
        <v>9454.02</v>
      </c>
      <c r="E12" s="183">
        <v>94.540199999999999</v>
      </c>
      <c r="F12" s="54">
        <f t="shared" si="1"/>
        <v>9454.02</v>
      </c>
    </row>
    <row r="13" spans="1:6" x14ac:dyDescent="0.3">
      <c r="A13" s="177">
        <v>62</v>
      </c>
      <c r="B13" s="178">
        <v>326</v>
      </c>
      <c r="C13" s="179">
        <v>144</v>
      </c>
      <c r="D13" s="180">
        <f t="shared" si="0"/>
        <v>9454.02</v>
      </c>
      <c r="E13" s="183">
        <v>94.540199999999999</v>
      </c>
      <c r="F13" s="54">
        <f t="shared" si="1"/>
        <v>9454.02</v>
      </c>
    </row>
    <row r="14" spans="1:6" x14ac:dyDescent="0.3">
      <c r="A14" s="177">
        <v>62</v>
      </c>
      <c r="B14" s="178">
        <v>314</v>
      </c>
      <c r="C14" s="179">
        <v>144</v>
      </c>
      <c r="D14" s="180">
        <f t="shared" si="0"/>
        <v>0</v>
      </c>
      <c r="E14" s="183">
        <v>0</v>
      </c>
      <c r="F14" s="54">
        <f t="shared" si="1"/>
        <v>0</v>
      </c>
    </row>
    <row r="15" spans="1:6" x14ac:dyDescent="0.3">
      <c r="A15" s="177">
        <v>62</v>
      </c>
      <c r="B15" s="178">
        <v>303</v>
      </c>
      <c r="C15" s="179">
        <v>144</v>
      </c>
      <c r="D15" s="180">
        <f t="shared" si="0"/>
        <v>8254.02</v>
      </c>
      <c r="E15" s="183">
        <v>82.540199999999999</v>
      </c>
      <c r="F15" s="54">
        <f t="shared" si="1"/>
        <v>8254.02</v>
      </c>
    </row>
    <row r="16" spans="1:6" x14ac:dyDescent="0.3">
      <c r="A16" s="177">
        <v>62</v>
      </c>
      <c r="B16" s="178">
        <v>320</v>
      </c>
      <c r="C16" s="179">
        <v>144</v>
      </c>
      <c r="D16" s="180">
        <f t="shared" si="0"/>
        <v>23486.326499999999</v>
      </c>
      <c r="E16" s="183">
        <v>234.86326499999998</v>
      </c>
      <c r="F16" s="54">
        <f t="shared" si="1"/>
        <v>23486.326499999999</v>
      </c>
    </row>
    <row r="17" spans="1:6" x14ac:dyDescent="0.3">
      <c r="A17" s="177">
        <v>62</v>
      </c>
      <c r="B17" s="178">
        <v>289</v>
      </c>
      <c r="C17" s="179">
        <v>144</v>
      </c>
      <c r="D17" s="180">
        <f t="shared" si="0"/>
        <v>26683.135499999997</v>
      </c>
      <c r="E17" s="183">
        <v>266.83135499999997</v>
      </c>
      <c r="F17" s="54">
        <f t="shared" si="1"/>
        <v>26683.135499999997</v>
      </c>
    </row>
    <row r="18" spans="1:6" x14ac:dyDescent="0.3">
      <c r="A18" s="177">
        <v>93</v>
      </c>
      <c r="B18" s="178">
        <v>98</v>
      </c>
      <c r="C18" s="179">
        <v>144</v>
      </c>
      <c r="D18" s="180">
        <f t="shared" si="0"/>
        <v>14944.826399999996</v>
      </c>
      <c r="E18" s="183">
        <v>149.44826399999997</v>
      </c>
      <c r="F18" s="54">
        <f t="shared" si="1"/>
        <v>14944.826399999996</v>
      </c>
    </row>
    <row r="19" spans="1:6" x14ac:dyDescent="0.3">
      <c r="A19" s="177">
        <v>93</v>
      </c>
      <c r="B19" s="178">
        <v>70</v>
      </c>
      <c r="C19" s="179">
        <v>144</v>
      </c>
      <c r="D19" s="180">
        <f t="shared" si="0"/>
        <v>12043.884299999998</v>
      </c>
      <c r="E19" s="183">
        <v>120.43884299999998</v>
      </c>
      <c r="F19" s="54">
        <f t="shared" si="1"/>
        <v>12043.884299999998</v>
      </c>
    </row>
    <row r="20" spans="1:6" x14ac:dyDescent="0.3">
      <c r="A20" s="177">
        <v>93</v>
      </c>
      <c r="B20" s="178">
        <v>90</v>
      </c>
      <c r="C20" s="179">
        <v>144</v>
      </c>
      <c r="D20" s="180">
        <f t="shared" si="0"/>
        <v>36108.434250000006</v>
      </c>
      <c r="E20" s="183">
        <v>361.08434250000005</v>
      </c>
      <c r="F20" s="54">
        <f t="shared" si="1"/>
        <v>36108.434250000006</v>
      </c>
    </row>
    <row r="21" spans="1:6" x14ac:dyDescent="0.3">
      <c r="A21" s="177">
        <v>93</v>
      </c>
      <c r="B21" s="178">
        <v>92</v>
      </c>
      <c r="C21" s="179">
        <v>144</v>
      </c>
      <c r="D21" s="180">
        <f t="shared" si="0"/>
        <v>7800</v>
      </c>
      <c r="E21" s="183">
        <v>78</v>
      </c>
      <c r="F21" s="54">
        <f t="shared" si="1"/>
        <v>7800</v>
      </c>
    </row>
    <row r="22" spans="1:6" x14ac:dyDescent="0.3">
      <c r="A22" s="177">
        <v>93</v>
      </c>
      <c r="B22" s="178">
        <v>103</v>
      </c>
      <c r="C22" s="179">
        <v>144</v>
      </c>
      <c r="D22" s="180">
        <f t="shared" si="0"/>
        <v>2340</v>
      </c>
      <c r="E22" s="183">
        <v>23.4</v>
      </c>
      <c r="F22" s="54">
        <f t="shared" si="1"/>
        <v>2340</v>
      </c>
    </row>
    <row r="23" spans="1:6" x14ac:dyDescent="0.3">
      <c r="A23" s="177">
        <v>93</v>
      </c>
      <c r="B23" s="178">
        <v>95</v>
      </c>
      <c r="C23" s="179">
        <v>144</v>
      </c>
      <c r="D23" s="180">
        <f t="shared" si="0"/>
        <v>0</v>
      </c>
      <c r="E23" s="183">
        <v>0</v>
      </c>
      <c r="F23" s="54">
        <f t="shared" si="1"/>
        <v>0</v>
      </c>
    </row>
    <row r="24" spans="1:6" x14ac:dyDescent="0.3">
      <c r="A24" s="177">
        <v>93</v>
      </c>
      <c r="B24" s="178">
        <v>36</v>
      </c>
      <c r="C24" s="179">
        <v>144</v>
      </c>
      <c r="D24" s="180">
        <f t="shared" si="0"/>
        <v>14996.097900000001</v>
      </c>
      <c r="E24" s="98">
        <v>149.96097900000001</v>
      </c>
      <c r="F24" s="54">
        <f t="shared" si="1"/>
        <v>14996.097900000001</v>
      </c>
    </row>
    <row r="25" spans="1:6" x14ac:dyDescent="0.3">
      <c r="A25" s="177">
        <v>93</v>
      </c>
      <c r="B25" s="178">
        <v>79</v>
      </c>
      <c r="C25" s="179">
        <v>144</v>
      </c>
      <c r="D25" s="180">
        <f t="shared" si="0"/>
        <v>13933.8822</v>
      </c>
      <c r="E25" s="98">
        <v>139.33882199999999</v>
      </c>
      <c r="F25" s="54">
        <f t="shared" si="1"/>
        <v>13933.8822</v>
      </c>
    </row>
    <row r="26" spans="1:6" x14ac:dyDescent="0.3">
      <c r="A26" s="177">
        <v>93</v>
      </c>
      <c r="B26" s="178">
        <v>91</v>
      </c>
      <c r="C26" s="179">
        <v>144</v>
      </c>
      <c r="D26" s="180">
        <f t="shared" si="0"/>
        <v>15038.486399999996</v>
      </c>
      <c r="E26" s="98">
        <v>150.38486399999996</v>
      </c>
      <c r="F26" s="54">
        <f t="shared" si="1"/>
        <v>15038.486399999996</v>
      </c>
    </row>
    <row r="27" spans="1:6" x14ac:dyDescent="0.3">
      <c r="A27" s="177">
        <v>93</v>
      </c>
      <c r="B27" s="178">
        <v>102</v>
      </c>
      <c r="C27" s="179">
        <v>144</v>
      </c>
      <c r="D27" s="180">
        <f t="shared" si="0"/>
        <v>7800</v>
      </c>
      <c r="E27" s="98">
        <v>78</v>
      </c>
      <c r="F27" s="54">
        <f t="shared" si="1"/>
        <v>7800</v>
      </c>
    </row>
    <row r="28" spans="1:6" x14ac:dyDescent="0.3">
      <c r="A28" s="177">
        <v>93</v>
      </c>
      <c r="B28" s="178">
        <v>100</v>
      </c>
      <c r="C28" s="179">
        <v>144</v>
      </c>
      <c r="D28" s="180">
        <f t="shared" si="0"/>
        <v>15066.846899999997</v>
      </c>
      <c r="E28" s="98">
        <v>150.66846899999996</v>
      </c>
      <c r="F28" s="54">
        <f t="shared" si="1"/>
        <v>15066.846899999997</v>
      </c>
    </row>
    <row r="29" spans="1:6" x14ac:dyDescent="0.3">
      <c r="A29" s="177">
        <v>94</v>
      </c>
      <c r="B29" s="178">
        <v>3</v>
      </c>
      <c r="C29" s="179">
        <v>144</v>
      </c>
      <c r="D29" s="180">
        <f t="shared" si="0"/>
        <v>18767.679749999999</v>
      </c>
      <c r="E29" s="98">
        <v>187.67679749999999</v>
      </c>
      <c r="F29" s="54">
        <f t="shared" si="1"/>
        <v>18767.679749999999</v>
      </c>
    </row>
    <row r="30" spans="1:6" x14ac:dyDescent="0.3">
      <c r="A30" s="177">
        <v>94</v>
      </c>
      <c r="B30" s="178">
        <v>6</v>
      </c>
      <c r="C30" s="179">
        <v>144</v>
      </c>
      <c r="D30" s="180">
        <f t="shared" si="0"/>
        <v>8010.06</v>
      </c>
      <c r="E30" s="98">
        <v>80.1006</v>
      </c>
      <c r="F30" s="54">
        <f t="shared" si="1"/>
        <v>8010.06</v>
      </c>
    </row>
    <row r="31" spans="1:6" x14ac:dyDescent="0.3">
      <c r="A31" s="177">
        <v>94</v>
      </c>
      <c r="B31" s="178">
        <v>34</v>
      </c>
      <c r="C31" s="179">
        <v>144</v>
      </c>
      <c r="D31" s="180">
        <f t="shared" si="0"/>
        <v>16200</v>
      </c>
      <c r="E31" s="98">
        <v>162</v>
      </c>
      <c r="F31" s="54">
        <f t="shared" si="1"/>
        <v>16200</v>
      </c>
    </row>
    <row r="32" spans="1:6" x14ac:dyDescent="0.3">
      <c r="A32" s="177">
        <v>94</v>
      </c>
      <c r="B32" s="178">
        <v>55</v>
      </c>
      <c r="C32" s="179">
        <v>144</v>
      </c>
      <c r="D32" s="180">
        <f t="shared" si="0"/>
        <v>8220</v>
      </c>
      <c r="E32" s="98">
        <v>82.2</v>
      </c>
      <c r="F32" s="54">
        <f t="shared" si="1"/>
        <v>8220</v>
      </c>
    </row>
    <row r="33" spans="1:6" x14ac:dyDescent="0.3">
      <c r="A33" s="177">
        <v>94</v>
      </c>
      <c r="B33" s="178">
        <v>66</v>
      </c>
      <c r="C33" s="179">
        <v>144</v>
      </c>
      <c r="D33" s="180">
        <f t="shared" si="0"/>
        <v>8220</v>
      </c>
      <c r="E33" s="98">
        <v>82.2</v>
      </c>
      <c r="F33" s="54">
        <f t="shared" si="1"/>
        <v>8220</v>
      </c>
    </row>
    <row r="34" spans="1:6" x14ac:dyDescent="0.3">
      <c r="A34" s="177">
        <v>94</v>
      </c>
      <c r="B34" s="178">
        <v>68</v>
      </c>
      <c r="C34" s="179">
        <v>144</v>
      </c>
      <c r="D34" s="180">
        <f t="shared" si="0"/>
        <v>5205.9999999999991</v>
      </c>
      <c r="E34" s="98">
        <v>52.059999999999995</v>
      </c>
      <c r="F34" s="54">
        <f t="shared" si="1"/>
        <v>5205.9999999999991</v>
      </c>
    </row>
    <row r="35" spans="1:6" x14ac:dyDescent="0.3">
      <c r="A35" s="177">
        <v>95</v>
      </c>
      <c r="B35" s="178">
        <v>56</v>
      </c>
      <c r="C35" s="179">
        <v>144</v>
      </c>
      <c r="D35" s="180">
        <f t="shared" si="0"/>
        <v>19233.9336</v>
      </c>
      <c r="E35" s="98">
        <v>192.339336</v>
      </c>
      <c r="F35" s="54">
        <f t="shared" si="1"/>
        <v>19233.9336</v>
      </c>
    </row>
    <row r="36" spans="1:6" x14ac:dyDescent="0.3">
      <c r="A36" s="177">
        <v>95</v>
      </c>
      <c r="B36" s="178">
        <v>59</v>
      </c>
      <c r="C36" s="179">
        <v>144</v>
      </c>
      <c r="D36" s="180">
        <f t="shared" si="0"/>
        <v>15912.364799999999</v>
      </c>
      <c r="E36" s="98">
        <v>159.123648</v>
      </c>
      <c r="F36" s="54">
        <f t="shared" si="1"/>
        <v>15912.364799999999</v>
      </c>
    </row>
    <row r="37" spans="1:6" x14ac:dyDescent="0.3">
      <c r="A37" s="177">
        <v>95</v>
      </c>
      <c r="B37" s="178">
        <v>80</v>
      </c>
      <c r="C37" s="179">
        <v>144</v>
      </c>
      <c r="D37" s="180">
        <f t="shared" si="0"/>
        <v>9025.32</v>
      </c>
      <c r="E37" s="98">
        <v>90.253199999999993</v>
      </c>
      <c r="F37" s="54">
        <f t="shared" si="1"/>
        <v>9025.32</v>
      </c>
    </row>
    <row r="38" spans="1:6" x14ac:dyDescent="0.3">
      <c r="A38" s="177">
        <v>95</v>
      </c>
      <c r="B38" s="178">
        <v>83</v>
      </c>
      <c r="C38" s="179">
        <v>144</v>
      </c>
      <c r="D38" s="180">
        <f t="shared" si="0"/>
        <v>9025.32</v>
      </c>
      <c r="E38" s="98">
        <v>90.253199999999993</v>
      </c>
      <c r="F38" s="54">
        <f t="shared" si="1"/>
        <v>9025.32</v>
      </c>
    </row>
    <row r="39" spans="1:6" x14ac:dyDescent="0.3">
      <c r="A39" s="177">
        <v>95</v>
      </c>
      <c r="B39" s="178">
        <v>84</v>
      </c>
      <c r="C39" s="179">
        <v>144</v>
      </c>
      <c r="D39" s="180">
        <f t="shared" si="0"/>
        <v>0</v>
      </c>
      <c r="E39" s="98">
        <v>0</v>
      </c>
      <c r="F39" s="54">
        <f t="shared" si="1"/>
        <v>0</v>
      </c>
    </row>
    <row r="40" spans="1:6" x14ac:dyDescent="0.3">
      <c r="A40" s="177">
        <v>95</v>
      </c>
      <c r="B40" s="178">
        <v>85</v>
      </c>
      <c r="C40" s="179">
        <v>144</v>
      </c>
      <c r="D40" s="180">
        <f t="shared" si="0"/>
        <v>12082.624799999998</v>
      </c>
      <c r="E40" s="98">
        <v>120.82624799999998</v>
      </c>
      <c r="F40" s="54">
        <f t="shared" si="1"/>
        <v>12082.624799999998</v>
      </c>
    </row>
    <row r="41" spans="1:6" x14ac:dyDescent="0.3">
      <c r="A41" s="177">
        <v>95</v>
      </c>
      <c r="B41" s="178">
        <v>88</v>
      </c>
      <c r="C41" s="179">
        <v>144</v>
      </c>
      <c r="D41" s="180">
        <f t="shared" si="0"/>
        <v>0</v>
      </c>
      <c r="E41" s="98">
        <v>0</v>
      </c>
      <c r="F41" s="54">
        <f t="shared" si="1"/>
        <v>0</v>
      </c>
    </row>
    <row r="42" spans="1:6" x14ac:dyDescent="0.3">
      <c r="A42" s="177">
        <v>103</v>
      </c>
      <c r="B42" s="178">
        <v>184</v>
      </c>
      <c r="C42" s="179">
        <v>144</v>
      </c>
      <c r="D42" s="180">
        <f t="shared" si="0"/>
        <v>9025.32</v>
      </c>
      <c r="E42" s="98">
        <v>90.253199999999993</v>
      </c>
      <c r="F42" s="54">
        <f t="shared" si="1"/>
        <v>9025.32</v>
      </c>
    </row>
    <row r="43" spans="1:6" x14ac:dyDescent="0.3">
      <c r="A43" s="177">
        <v>103</v>
      </c>
      <c r="B43" s="178">
        <v>185</v>
      </c>
      <c r="C43" s="179">
        <v>144</v>
      </c>
      <c r="D43" s="180">
        <f t="shared" si="0"/>
        <v>15781.636799999998</v>
      </c>
      <c r="E43" s="98">
        <v>157.81636799999998</v>
      </c>
      <c r="F43" s="54">
        <f t="shared" si="1"/>
        <v>15781.636799999998</v>
      </c>
    </row>
    <row r="44" spans="1:6" x14ac:dyDescent="0.3">
      <c r="A44" s="177">
        <v>103</v>
      </c>
      <c r="B44" s="178">
        <v>187</v>
      </c>
      <c r="C44" s="179">
        <v>144</v>
      </c>
      <c r="D44" s="180">
        <f t="shared" si="0"/>
        <v>15710.306399999999</v>
      </c>
      <c r="E44" s="98">
        <v>157.10306399999999</v>
      </c>
      <c r="F44" s="54">
        <f t="shared" si="1"/>
        <v>15710.306399999999</v>
      </c>
    </row>
    <row r="45" spans="1:6" x14ac:dyDescent="0.3">
      <c r="A45" s="177">
        <v>103</v>
      </c>
      <c r="B45" s="178">
        <v>193</v>
      </c>
      <c r="C45" s="179">
        <v>144</v>
      </c>
      <c r="D45" s="180">
        <f t="shared" si="0"/>
        <v>0</v>
      </c>
      <c r="E45" s="98">
        <v>0</v>
      </c>
      <c r="F45" s="54">
        <f t="shared" si="1"/>
        <v>0</v>
      </c>
    </row>
    <row r="46" spans="1:6" x14ac:dyDescent="0.3">
      <c r="A46" s="177">
        <v>103</v>
      </c>
      <c r="B46" s="178">
        <v>194</v>
      </c>
      <c r="C46" s="179">
        <v>144</v>
      </c>
      <c r="D46" s="180">
        <f t="shared" si="0"/>
        <v>16535.068800000001</v>
      </c>
      <c r="E46" s="98">
        <v>165.35068799999999</v>
      </c>
      <c r="F46" s="54">
        <f t="shared" si="1"/>
        <v>16535.068800000001</v>
      </c>
    </row>
    <row r="47" spans="1:6" x14ac:dyDescent="0.3">
      <c r="A47" s="177">
        <v>103</v>
      </c>
      <c r="B47" s="178">
        <v>199</v>
      </c>
      <c r="C47" s="179">
        <v>144</v>
      </c>
      <c r="D47" s="180">
        <f t="shared" si="0"/>
        <v>27895.140900000002</v>
      </c>
      <c r="E47" s="98">
        <v>278.95140900000001</v>
      </c>
      <c r="F47" s="54">
        <f t="shared" si="1"/>
        <v>27895.140900000002</v>
      </c>
    </row>
    <row r="48" spans="1:6" x14ac:dyDescent="0.3">
      <c r="A48" s="177">
        <v>103</v>
      </c>
      <c r="B48" s="178">
        <v>200</v>
      </c>
      <c r="C48" s="179">
        <v>144</v>
      </c>
      <c r="D48" s="180">
        <f t="shared" si="0"/>
        <v>0</v>
      </c>
      <c r="E48" s="98">
        <v>0</v>
      </c>
      <c r="F48" s="54">
        <f t="shared" si="1"/>
        <v>0</v>
      </c>
    </row>
    <row r="49" spans="1:6" x14ac:dyDescent="0.3">
      <c r="A49" s="177">
        <v>103</v>
      </c>
      <c r="B49" s="178">
        <v>202</v>
      </c>
      <c r="C49" s="179">
        <v>144</v>
      </c>
      <c r="D49" s="180">
        <f t="shared" si="0"/>
        <v>15859.989599999997</v>
      </c>
      <c r="E49" s="98">
        <v>158.59989599999997</v>
      </c>
      <c r="F49" s="54">
        <f t="shared" si="1"/>
        <v>15859.989599999997</v>
      </c>
    </row>
    <row r="50" spans="1:6" x14ac:dyDescent="0.3">
      <c r="A50" s="177">
        <v>104</v>
      </c>
      <c r="B50" s="178">
        <v>52</v>
      </c>
      <c r="C50" s="179">
        <v>144</v>
      </c>
      <c r="D50" s="180">
        <f t="shared" si="0"/>
        <v>6600</v>
      </c>
      <c r="E50" s="98">
        <v>66</v>
      </c>
      <c r="F50" s="54">
        <f t="shared" si="1"/>
        <v>6600</v>
      </c>
    </row>
    <row r="51" spans="1:6" x14ac:dyDescent="0.3">
      <c r="A51" s="177">
        <v>104</v>
      </c>
      <c r="B51" s="178">
        <v>49</v>
      </c>
      <c r="C51" s="179">
        <v>144</v>
      </c>
      <c r="D51" s="180">
        <f t="shared" si="0"/>
        <v>0</v>
      </c>
      <c r="E51" s="98">
        <v>0</v>
      </c>
      <c r="F51" s="54">
        <f t="shared" si="1"/>
        <v>0</v>
      </c>
    </row>
    <row r="52" spans="1:6" x14ac:dyDescent="0.3">
      <c r="A52" s="177">
        <v>104</v>
      </c>
      <c r="B52" s="178">
        <v>33</v>
      </c>
      <c r="C52" s="179">
        <v>144</v>
      </c>
      <c r="D52" s="180">
        <f t="shared" si="0"/>
        <v>0</v>
      </c>
      <c r="E52" s="98">
        <v>0</v>
      </c>
      <c r="F52" s="54">
        <f t="shared" si="1"/>
        <v>0</v>
      </c>
    </row>
    <row r="53" spans="1:6" x14ac:dyDescent="0.3">
      <c r="A53" s="177">
        <v>104</v>
      </c>
      <c r="B53" s="178">
        <v>45</v>
      </c>
      <c r="C53" s="179">
        <v>144</v>
      </c>
      <c r="D53" s="180">
        <f t="shared" si="0"/>
        <v>0</v>
      </c>
      <c r="E53" s="98">
        <v>0</v>
      </c>
      <c r="F53" s="54">
        <f t="shared" si="1"/>
        <v>0</v>
      </c>
    </row>
    <row r="54" spans="1:6" x14ac:dyDescent="0.3">
      <c r="A54" s="177">
        <v>104</v>
      </c>
      <c r="B54" s="178">
        <v>53</v>
      </c>
      <c r="C54" s="179">
        <v>144</v>
      </c>
      <c r="D54" s="180">
        <f t="shared" si="0"/>
        <v>9433.619999999999</v>
      </c>
      <c r="E54" s="98">
        <v>94.336199999999991</v>
      </c>
      <c r="F54" s="54">
        <f t="shared" si="1"/>
        <v>9433.619999999999</v>
      </c>
    </row>
    <row r="55" spans="1:6" x14ac:dyDescent="0.3">
      <c r="A55" s="177">
        <v>104</v>
      </c>
      <c r="B55" s="178">
        <v>41</v>
      </c>
      <c r="C55" s="179">
        <v>144</v>
      </c>
      <c r="D55" s="180">
        <f t="shared" si="0"/>
        <v>0</v>
      </c>
      <c r="E55" s="98">
        <v>0</v>
      </c>
      <c r="F55" s="54">
        <f t="shared" si="1"/>
        <v>0</v>
      </c>
    </row>
    <row r="56" spans="1:6" x14ac:dyDescent="0.3">
      <c r="A56" s="177">
        <v>105</v>
      </c>
      <c r="B56" s="178">
        <v>93</v>
      </c>
      <c r="C56" s="179">
        <v>144</v>
      </c>
      <c r="D56" s="180">
        <f t="shared" si="0"/>
        <v>13835.331299999998</v>
      </c>
      <c r="E56" s="98">
        <v>138.35331299999999</v>
      </c>
      <c r="F56" s="54">
        <f t="shared" si="1"/>
        <v>13835.331299999998</v>
      </c>
    </row>
    <row r="57" spans="1:6" x14ac:dyDescent="0.3">
      <c r="A57" s="177">
        <v>105</v>
      </c>
      <c r="B57" s="178">
        <v>68</v>
      </c>
      <c r="C57" s="179">
        <v>144</v>
      </c>
      <c r="D57" s="180">
        <f t="shared" si="0"/>
        <v>8634</v>
      </c>
      <c r="E57" s="98">
        <v>86.34</v>
      </c>
      <c r="F57" s="54">
        <f t="shared" si="1"/>
        <v>8634</v>
      </c>
    </row>
    <row r="58" spans="1:6" x14ac:dyDescent="0.3">
      <c r="A58" s="177">
        <v>105</v>
      </c>
      <c r="B58" s="178">
        <v>100</v>
      </c>
      <c r="C58" s="179">
        <v>144</v>
      </c>
      <c r="D58" s="180">
        <f t="shared" si="0"/>
        <v>7722.9</v>
      </c>
      <c r="E58" s="98">
        <v>77.228999999999999</v>
      </c>
      <c r="F58" s="54">
        <f t="shared" si="1"/>
        <v>7722.9</v>
      </c>
    </row>
    <row r="59" spans="1:6" x14ac:dyDescent="0.3">
      <c r="A59" s="177">
        <v>105</v>
      </c>
      <c r="B59" s="178">
        <v>61</v>
      </c>
      <c r="C59" s="179">
        <v>144</v>
      </c>
      <c r="D59" s="180">
        <f t="shared" si="0"/>
        <v>0</v>
      </c>
      <c r="E59" s="98">
        <v>0</v>
      </c>
      <c r="F59" s="54">
        <f t="shared" si="1"/>
        <v>0</v>
      </c>
    </row>
    <row r="60" spans="1:6" x14ac:dyDescent="0.3">
      <c r="A60" s="177">
        <v>105</v>
      </c>
      <c r="B60" s="178">
        <v>84</v>
      </c>
      <c r="C60" s="179">
        <v>144</v>
      </c>
      <c r="D60" s="180">
        <f t="shared" si="0"/>
        <v>21881.115899999997</v>
      </c>
      <c r="E60" s="98">
        <v>218.81115899999998</v>
      </c>
      <c r="F60" s="54">
        <f t="shared" si="1"/>
        <v>21881.115899999997</v>
      </c>
    </row>
    <row r="61" spans="1:6" x14ac:dyDescent="0.3">
      <c r="A61" s="177">
        <v>105</v>
      </c>
      <c r="B61" s="178">
        <v>85</v>
      </c>
      <c r="C61" s="179">
        <v>144</v>
      </c>
      <c r="D61" s="180">
        <f t="shared" si="0"/>
        <v>8634</v>
      </c>
      <c r="E61" s="98">
        <v>86.34</v>
      </c>
      <c r="F61" s="54">
        <f t="shared" si="1"/>
        <v>8634</v>
      </c>
    </row>
    <row r="62" spans="1:6" x14ac:dyDescent="0.3">
      <c r="A62" s="177">
        <v>105</v>
      </c>
      <c r="B62" s="178">
        <v>29</v>
      </c>
      <c r="C62" s="179">
        <v>144</v>
      </c>
      <c r="D62" s="180">
        <f t="shared" si="0"/>
        <v>8232.24</v>
      </c>
      <c r="E62" s="98">
        <v>82.322400000000002</v>
      </c>
      <c r="F62" s="54">
        <f t="shared" si="1"/>
        <v>8232.24</v>
      </c>
    </row>
    <row r="63" spans="1:6" x14ac:dyDescent="0.3">
      <c r="A63" s="177">
        <v>105</v>
      </c>
      <c r="B63" s="178">
        <v>95</v>
      </c>
      <c r="C63" s="179">
        <v>144</v>
      </c>
      <c r="D63" s="180">
        <f t="shared" si="0"/>
        <v>20895.644700000001</v>
      </c>
      <c r="E63" s="98">
        <v>208.956447</v>
      </c>
      <c r="F63" s="54">
        <f t="shared" si="1"/>
        <v>20895.644700000001</v>
      </c>
    </row>
    <row r="64" spans="1:6" x14ac:dyDescent="0.3">
      <c r="A64" s="177">
        <v>105</v>
      </c>
      <c r="B64" s="178">
        <v>103</v>
      </c>
      <c r="C64" s="179">
        <v>144</v>
      </c>
      <c r="D64" s="180">
        <f t="shared" si="0"/>
        <v>8634</v>
      </c>
      <c r="E64" s="98">
        <v>86.34</v>
      </c>
      <c r="F64" s="54">
        <f t="shared" si="1"/>
        <v>8634</v>
      </c>
    </row>
    <row r="65" spans="1:6" x14ac:dyDescent="0.3">
      <c r="A65" s="177">
        <v>116</v>
      </c>
      <c r="B65" s="178">
        <v>143</v>
      </c>
      <c r="C65" s="179">
        <v>144</v>
      </c>
      <c r="D65" s="180">
        <f t="shared" si="0"/>
        <v>0</v>
      </c>
      <c r="E65" s="98">
        <v>0</v>
      </c>
      <c r="F65" s="54">
        <f t="shared" si="1"/>
        <v>0</v>
      </c>
    </row>
    <row r="66" spans="1:6" x14ac:dyDescent="0.3">
      <c r="A66" s="177">
        <v>116</v>
      </c>
      <c r="B66" s="178">
        <v>164</v>
      </c>
      <c r="C66" s="179">
        <v>144</v>
      </c>
      <c r="D66" s="180">
        <f t="shared" si="0"/>
        <v>11469.18</v>
      </c>
      <c r="E66" s="98">
        <v>114.6918</v>
      </c>
      <c r="F66" s="54">
        <f t="shared" si="1"/>
        <v>11469.18</v>
      </c>
    </row>
    <row r="67" spans="1:6" x14ac:dyDescent="0.3">
      <c r="A67" s="177">
        <v>116</v>
      </c>
      <c r="B67" s="178">
        <v>148</v>
      </c>
      <c r="C67" s="179">
        <v>144</v>
      </c>
      <c r="D67" s="180">
        <f t="shared" si="0"/>
        <v>13489.2696</v>
      </c>
      <c r="E67" s="98">
        <v>134.892696</v>
      </c>
      <c r="F67" s="54">
        <f t="shared" si="1"/>
        <v>13489.2696</v>
      </c>
    </row>
    <row r="68" spans="1:6" x14ac:dyDescent="0.3">
      <c r="A68" s="177">
        <v>116</v>
      </c>
      <c r="B68" s="178">
        <v>146</v>
      </c>
      <c r="C68" s="179">
        <v>144</v>
      </c>
      <c r="D68" s="180">
        <f t="shared" si="0"/>
        <v>9025.32</v>
      </c>
      <c r="E68" s="98">
        <v>90.253199999999993</v>
      </c>
      <c r="F68" s="54">
        <f t="shared" si="1"/>
        <v>9025.32</v>
      </c>
    </row>
    <row r="69" spans="1:6" x14ac:dyDescent="0.3">
      <c r="A69" s="177">
        <v>116</v>
      </c>
      <c r="B69" s="178">
        <v>175</v>
      </c>
      <c r="C69" s="179">
        <v>144</v>
      </c>
      <c r="D69" s="180">
        <f t="shared" si="0"/>
        <v>0</v>
      </c>
      <c r="E69" s="98">
        <v>0</v>
      </c>
      <c r="F69" s="54">
        <f t="shared" si="1"/>
        <v>0</v>
      </c>
    </row>
    <row r="70" spans="1:6" x14ac:dyDescent="0.3">
      <c r="A70" s="177">
        <v>116</v>
      </c>
      <c r="B70" s="178">
        <v>170</v>
      </c>
      <c r="C70" s="179">
        <v>144</v>
      </c>
      <c r="D70" s="180">
        <f t="shared" ref="D70:D133" si="2">F70</f>
        <v>13095.146400000001</v>
      </c>
      <c r="E70" s="98">
        <v>130.95146400000002</v>
      </c>
      <c r="F70" s="54">
        <f t="shared" ref="F70:F133" si="3">E70*100</f>
        <v>13095.146400000001</v>
      </c>
    </row>
    <row r="71" spans="1:6" x14ac:dyDescent="0.3">
      <c r="A71" s="177">
        <v>116</v>
      </c>
      <c r="B71" s="178">
        <v>144</v>
      </c>
      <c r="C71" s="179">
        <v>144</v>
      </c>
      <c r="D71" s="180">
        <f t="shared" si="2"/>
        <v>0</v>
      </c>
      <c r="E71" s="98">
        <v>0</v>
      </c>
      <c r="F71" s="54">
        <f t="shared" si="3"/>
        <v>0</v>
      </c>
    </row>
    <row r="72" spans="1:6" x14ac:dyDescent="0.3">
      <c r="A72" s="177">
        <v>116</v>
      </c>
      <c r="B72" s="178">
        <v>169</v>
      </c>
      <c r="C72" s="179">
        <v>144</v>
      </c>
      <c r="D72" s="180">
        <f t="shared" si="2"/>
        <v>0</v>
      </c>
      <c r="E72" s="98">
        <v>0</v>
      </c>
      <c r="F72" s="54">
        <f t="shared" si="3"/>
        <v>0</v>
      </c>
    </row>
    <row r="73" spans="1:6" x14ac:dyDescent="0.3">
      <c r="A73" s="177">
        <v>123</v>
      </c>
      <c r="B73" s="178">
        <v>58</v>
      </c>
      <c r="C73" s="179">
        <v>144</v>
      </c>
      <c r="D73" s="180">
        <f t="shared" si="2"/>
        <v>11066.364750000001</v>
      </c>
      <c r="E73" s="98">
        <v>110.66364750000001</v>
      </c>
      <c r="F73" s="54">
        <f t="shared" si="3"/>
        <v>11066.364750000001</v>
      </c>
    </row>
    <row r="74" spans="1:6" x14ac:dyDescent="0.3">
      <c r="A74" s="177">
        <v>123</v>
      </c>
      <c r="B74" s="178">
        <v>69</v>
      </c>
      <c r="C74" s="179">
        <v>144</v>
      </c>
      <c r="D74" s="180">
        <f t="shared" si="2"/>
        <v>17734.527449999998</v>
      </c>
      <c r="E74" s="98">
        <v>177.34527449999999</v>
      </c>
      <c r="F74" s="54">
        <f t="shared" si="3"/>
        <v>17734.527449999998</v>
      </c>
    </row>
    <row r="75" spans="1:6" x14ac:dyDescent="0.3">
      <c r="A75" s="177">
        <v>123</v>
      </c>
      <c r="B75" s="178">
        <v>81</v>
      </c>
      <c r="C75" s="179">
        <v>144</v>
      </c>
      <c r="D75" s="180">
        <f t="shared" si="2"/>
        <v>7134</v>
      </c>
      <c r="E75" s="98">
        <v>71.34</v>
      </c>
      <c r="F75" s="54">
        <f t="shared" si="3"/>
        <v>7134</v>
      </c>
    </row>
    <row r="76" spans="1:6" x14ac:dyDescent="0.3">
      <c r="A76" s="177">
        <v>123</v>
      </c>
      <c r="B76" s="178">
        <v>75</v>
      </c>
      <c r="C76" s="179">
        <v>144</v>
      </c>
      <c r="D76" s="180">
        <f t="shared" si="2"/>
        <v>24257.920500000004</v>
      </c>
      <c r="E76" s="98">
        <v>242.57920500000003</v>
      </c>
      <c r="F76" s="54">
        <f t="shared" si="3"/>
        <v>24257.920500000004</v>
      </c>
    </row>
    <row r="77" spans="1:6" x14ac:dyDescent="0.3">
      <c r="A77" s="177">
        <v>123</v>
      </c>
      <c r="B77" s="178">
        <v>76</v>
      </c>
      <c r="C77" s="179">
        <v>144</v>
      </c>
      <c r="D77" s="180">
        <f t="shared" si="2"/>
        <v>7134</v>
      </c>
      <c r="E77" s="98">
        <v>71.34</v>
      </c>
      <c r="F77" s="54">
        <f t="shared" si="3"/>
        <v>7134</v>
      </c>
    </row>
    <row r="78" spans="1:6" x14ac:dyDescent="0.3">
      <c r="A78" s="177">
        <v>123</v>
      </c>
      <c r="B78" s="178">
        <v>68</v>
      </c>
      <c r="C78" s="179">
        <v>144</v>
      </c>
      <c r="D78" s="180">
        <f t="shared" si="2"/>
        <v>35303.245500000005</v>
      </c>
      <c r="E78" s="98">
        <v>353.03245500000003</v>
      </c>
      <c r="F78" s="54">
        <f t="shared" si="3"/>
        <v>35303.245500000005</v>
      </c>
    </row>
    <row r="79" spans="1:6" x14ac:dyDescent="0.3">
      <c r="A79" s="177">
        <v>123</v>
      </c>
      <c r="B79" s="178">
        <v>36</v>
      </c>
      <c r="C79" s="179">
        <v>144</v>
      </c>
      <c r="D79" s="180">
        <f t="shared" si="2"/>
        <v>14059.90785</v>
      </c>
      <c r="E79" s="98">
        <v>140.59907849999999</v>
      </c>
      <c r="F79" s="54">
        <f t="shared" si="3"/>
        <v>14059.90785</v>
      </c>
    </row>
    <row r="80" spans="1:6" x14ac:dyDescent="0.3">
      <c r="A80" s="177">
        <v>123</v>
      </c>
      <c r="B80" s="178">
        <v>70</v>
      </c>
      <c r="C80" s="179">
        <v>144</v>
      </c>
      <c r="D80" s="180">
        <f t="shared" si="2"/>
        <v>15340.278899999998</v>
      </c>
      <c r="E80" s="98">
        <v>153.40278899999998</v>
      </c>
      <c r="F80" s="54">
        <f t="shared" si="3"/>
        <v>15340.278899999998</v>
      </c>
    </row>
    <row r="81" spans="1:6" x14ac:dyDescent="0.3">
      <c r="A81" s="177">
        <v>124</v>
      </c>
      <c r="B81" s="178">
        <v>32</v>
      </c>
      <c r="C81" s="179">
        <v>144</v>
      </c>
      <c r="D81" s="180">
        <f t="shared" si="2"/>
        <v>0</v>
      </c>
      <c r="E81" s="98">
        <v>0</v>
      </c>
      <c r="F81" s="54">
        <f t="shared" si="3"/>
        <v>0</v>
      </c>
    </row>
    <row r="82" spans="1:6" x14ac:dyDescent="0.3">
      <c r="A82" s="177">
        <v>124</v>
      </c>
      <c r="B82" s="178">
        <v>2</v>
      </c>
      <c r="C82" s="179">
        <v>144</v>
      </c>
      <c r="D82" s="180">
        <f t="shared" si="2"/>
        <v>0</v>
      </c>
      <c r="E82" s="98">
        <v>0</v>
      </c>
      <c r="F82" s="54">
        <f t="shared" si="3"/>
        <v>0</v>
      </c>
    </row>
    <row r="83" spans="1:6" x14ac:dyDescent="0.3">
      <c r="A83" s="177">
        <v>124</v>
      </c>
      <c r="B83" s="178">
        <v>19</v>
      </c>
      <c r="C83" s="179">
        <v>144</v>
      </c>
      <c r="D83" s="180">
        <f t="shared" si="2"/>
        <v>0</v>
      </c>
      <c r="E83" s="98">
        <v>0</v>
      </c>
      <c r="F83" s="54">
        <f t="shared" si="3"/>
        <v>0</v>
      </c>
    </row>
    <row r="84" spans="1:6" x14ac:dyDescent="0.3">
      <c r="A84" s="177">
        <v>124</v>
      </c>
      <c r="B84" s="178">
        <v>49</v>
      </c>
      <c r="C84" s="179">
        <v>144</v>
      </c>
      <c r="D84" s="180">
        <f t="shared" si="2"/>
        <v>0</v>
      </c>
      <c r="E84" s="98">
        <v>0</v>
      </c>
      <c r="F84" s="54">
        <f t="shared" si="3"/>
        <v>0</v>
      </c>
    </row>
    <row r="85" spans="1:6" x14ac:dyDescent="0.3">
      <c r="A85" s="177">
        <v>124</v>
      </c>
      <c r="B85" s="178">
        <v>40</v>
      </c>
      <c r="C85" s="179">
        <v>144</v>
      </c>
      <c r="D85" s="180">
        <f t="shared" si="2"/>
        <v>0</v>
      </c>
      <c r="E85" s="98">
        <v>0</v>
      </c>
      <c r="F85" s="54">
        <f t="shared" si="3"/>
        <v>0</v>
      </c>
    </row>
    <row r="86" spans="1:6" x14ac:dyDescent="0.3">
      <c r="A86" s="177">
        <v>124</v>
      </c>
      <c r="B86" s="178">
        <v>39</v>
      </c>
      <c r="C86" s="179">
        <v>144</v>
      </c>
      <c r="D86" s="180">
        <f t="shared" si="2"/>
        <v>0</v>
      </c>
      <c r="E86" s="98">
        <v>0</v>
      </c>
      <c r="F86" s="54">
        <f t="shared" si="3"/>
        <v>0</v>
      </c>
    </row>
    <row r="87" spans="1:6" x14ac:dyDescent="0.3">
      <c r="A87" s="177">
        <v>125</v>
      </c>
      <c r="B87" s="178">
        <v>38</v>
      </c>
      <c r="C87" s="179">
        <v>144</v>
      </c>
      <c r="D87" s="180">
        <f t="shared" si="2"/>
        <v>0</v>
      </c>
      <c r="E87" s="98">
        <v>0</v>
      </c>
      <c r="F87" s="54">
        <f t="shared" si="3"/>
        <v>0</v>
      </c>
    </row>
    <row r="88" spans="1:6" x14ac:dyDescent="0.3">
      <c r="A88" s="177">
        <v>125</v>
      </c>
      <c r="B88" s="178">
        <v>25</v>
      </c>
      <c r="C88" s="179">
        <v>144</v>
      </c>
      <c r="D88" s="180">
        <f t="shared" si="2"/>
        <v>0</v>
      </c>
      <c r="E88" s="98">
        <v>0</v>
      </c>
      <c r="F88" s="54">
        <f t="shared" si="3"/>
        <v>0</v>
      </c>
    </row>
    <row r="89" spans="1:6" x14ac:dyDescent="0.3">
      <c r="A89" s="177">
        <v>125</v>
      </c>
      <c r="B89" s="178">
        <v>54</v>
      </c>
      <c r="C89" s="179">
        <v>144</v>
      </c>
      <c r="D89" s="180">
        <f t="shared" si="2"/>
        <v>9542.5616999999984</v>
      </c>
      <c r="E89" s="98">
        <v>95.425616999999988</v>
      </c>
      <c r="F89" s="54">
        <f t="shared" si="3"/>
        <v>9542.5616999999984</v>
      </c>
    </row>
    <row r="90" spans="1:6" x14ac:dyDescent="0.3">
      <c r="A90" s="177">
        <v>125</v>
      </c>
      <c r="B90" s="178">
        <v>48</v>
      </c>
      <c r="C90" s="179">
        <v>144</v>
      </c>
      <c r="D90" s="180">
        <f t="shared" si="2"/>
        <v>0</v>
      </c>
      <c r="E90" s="98">
        <v>0</v>
      </c>
      <c r="F90" s="54">
        <f t="shared" si="3"/>
        <v>0</v>
      </c>
    </row>
    <row r="91" spans="1:6" x14ac:dyDescent="0.3">
      <c r="A91" s="177">
        <v>125</v>
      </c>
      <c r="B91" s="178">
        <v>58</v>
      </c>
      <c r="C91" s="179">
        <v>144</v>
      </c>
      <c r="D91" s="180">
        <f t="shared" si="2"/>
        <v>0</v>
      </c>
      <c r="E91" s="98">
        <v>0</v>
      </c>
      <c r="F91" s="54">
        <f t="shared" si="3"/>
        <v>0</v>
      </c>
    </row>
    <row r="92" spans="1:6" x14ac:dyDescent="0.3">
      <c r="A92" s="177">
        <v>125</v>
      </c>
      <c r="B92" s="178">
        <v>28</v>
      </c>
      <c r="C92" s="179">
        <v>144</v>
      </c>
      <c r="D92" s="180">
        <f t="shared" si="2"/>
        <v>0</v>
      </c>
      <c r="E92" s="98">
        <v>0</v>
      </c>
      <c r="F92" s="54">
        <f t="shared" si="3"/>
        <v>0</v>
      </c>
    </row>
    <row r="93" spans="1:6" x14ac:dyDescent="0.3">
      <c r="A93" s="177">
        <v>125</v>
      </c>
      <c r="B93" s="178">
        <v>55</v>
      </c>
      <c r="C93" s="179">
        <v>144</v>
      </c>
      <c r="D93" s="180">
        <f t="shared" si="2"/>
        <v>0</v>
      </c>
      <c r="E93" s="98">
        <v>0</v>
      </c>
      <c r="F93" s="54">
        <f t="shared" si="3"/>
        <v>0</v>
      </c>
    </row>
    <row r="94" spans="1:6" x14ac:dyDescent="0.3">
      <c r="A94" s="177">
        <v>126</v>
      </c>
      <c r="B94" s="178">
        <v>41</v>
      </c>
      <c r="C94" s="179">
        <v>144</v>
      </c>
      <c r="D94" s="180">
        <f t="shared" si="2"/>
        <v>3972.2399999999993</v>
      </c>
      <c r="E94" s="98">
        <v>39.722399999999993</v>
      </c>
      <c r="F94" s="54">
        <f t="shared" si="3"/>
        <v>3972.2399999999993</v>
      </c>
    </row>
    <row r="95" spans="1:6" x14ac:dyDescent="0.3">
      <c r="A95" s="177">
        <v>126</v>
      </c>
      <c r="B95" s="178">
        <v>56</v>
      </c>
      <c r="C95" s="179">
        <v>144</v>
      </c>
      <c r="D95" s="180">
        <f t="shared" si="2"/>
        <v>7698</v>
      </c>
      <c r="E95" s="98">
        <v>76.98</v>
      </c>
      <c r="F95" s="54">
        <f t="shared" si="3"/>
        <v>7698</v>
      </c>
    </row>
    <row r="96" spans="1:6" x14ac:dyDescent="0.3">
      <c r="A96" s="177">
        <v>126</v>
      </c>
      <c r="B96" s="178">
        <v>45</v>
      </c>
      <c r="C96" s="179">
        <v>144</v>
      </c>
      <c r="D96" s="180">
        <f t="shared" si="2"/>
        <v>3972.2399999999993</v>
      </c>
      <c r="E96" s="98">
        <v>39.722399999999993</v>
      </c>
      <c r="F96" s="54">
        <f t="shared" si="3"/>
        <v>3972.2399999999993</v>
      </c>
    </row>
    <row r="97" spans="1:6" x14ac:dyDescent="0.3">
      <c r="A97" s="177">
        <v>126</v>
      </c>
      <c r="B97" s="178">
        <v>37</v>
      </c>
      <c r="C97" s="179">
        <v>144</v>
      </c>
      <c r="D97" s="180">
        <f t="shared" si="2"/>
        <v>3972.2399999999993</v>
      </c>
      <c r="E97" s="98">
        <v>39.722399999999993</v>
      </c>
      <c r="F97" s="54">
        <f t="shared" si="3"/>
        <v>3972.2399999999993</v>
      </c>
    </row>
    <row r="98" spans="1:6" x14ac:dyDescent="0.3">
      <c r="A98" s="177">
        <v>126</v>
      </c>
      <c r="B98" s="178">
        <v>1</v>
      </c>
      <c r="C98" s="179">
        <v>144</v>
      </c>
      <c r="D98" s="180">
        <f t="shared" si="2"/>
        <v>3972.2399999999993</v>
      </c>
      <c r="E98" s="98">
        <v>39.722399999999993</v>
      </c>
      <c r="F98" s="54">
        <f t="shared" si="3"/>
        <v>3972.2399999999993</v>
      </c>
    </row>
    <row r="99" spans="1:6" x14ac:dyDescent="0.3">
      <c r="A99" s="177">
        <v>126</v>
      </c>
      <c r="B99" s="178">
        <v>28</v>
      </c>
      <c r="C99" s="179">
        <v>144</v>
      </c>
      <c r="D99" s="180">
        <f t="shared" si="2"/>
        <v>3972.2399999999993</v>
      </c>
      <c r="E99" s="98">
        <v>39.722399999999993</v>
      </c>
      <c r="F99" s="54">
        <f t="shared" si="3"/>
        <v>3972.2399999999993</v>
      </c>
    </row>
    <row r="100" spans="1:6" x14ac:dyDescent="0.3">
      <c r="A100" s="177">
        <v>126</v>
      </c>
      <c r="B100" s="178">
        <v>55</v>
      </c>
      <c r="C100" s="179">
        <v>144</v>
      </c>
      <c r="D100" s="180">
        <f t="shared" si="2"/>
        <v>3972.2399999999993</v>
      </c>
      <c r="E100" s="98">
        <v>39.722399999999993</v>
      </c>
      <c r="F100" s="54">
        <f t="shared" si="3"/>
        <v>3972.2399999999993</v>
      </c>
    </row>
    <row r="101" spans="1:6" x14ac:dyDescent="0.3">
      <c r="A101" s="177">
        <v>126</v>
      </c>
      <c r="B101" s="178">
        <v>46</v>
      </c>
      <c r="C101" s="179">
        <v>144</v>
      </c>
      <c r="D101" s="180">
        <f t="shared" si="2"/>
        <v>3972.2399999999993</v>
      </c>
      <c r="E101" s="98">
        <v>39.722399999999993</v>
      </c>
      <c r="F101" s="54">
        <f t="shared" si="3"/>
        <v>3972.2399999999993</v>
      </c>
    </row>
    <row r="102" spans="1:6" x14ac:dyDescent="0.3">
      <c r="A102" s="177">
        <v>127</v>
      </c>
      <c r="B102" s="178">
        <v>70</v>
      </c>
      <c r="C102" s="179">
        <v>144</v>
      </c>
      <c r="D102" s="180">
        <f t="shared" si="2"/>
        <v>23500</v>
      </c>
      <c r="E102" s="98">
        <v>235</v>
      </c>
      <c r="F102" s="54">
        <f t="shared" si="3"/>
        <v>23500</v>
      </c>
    </row>
    <row r="103" spans="1:6" x14ac:dyDescent="0.3">
      <c r="A103" s="177">
        <v>127</v>
      </c>
      <c r="B103" s="178">
        <v>79</v>
      </c>
      <c r="C103" s="179">
        <v>144</v>
      </c>
      <c r="D103" s="180">
        <f t="shared" si="2"/>
        <v>10920</v>
      </c>
      <c r="E103" s="98">
        <v>109.2</v>
      </c>
      <c r="F103" s="54">
        <f t="shared" si="3"/>
        <v>10920</v>
      </c>
    </row>
    <row r="104" spans="1:6" x14ac:dyDescent="0.3">
      <c r="A104" s="177">
        <v>127</v>
      </c>
      <c r="B104" s="178">
        <v>75</v>
      </c>
      <c r="C104" s="179">
        <v>144</v>
      </c>
      <c r="D104" s="180">
        <f t="shared" si="2"/>
        <v>9104.0399999999991</v>
      </c>
      <c r="E104" s="98">
        <v>91.040399999999991</v>
      </c>
      <c r="F104" s="54">
        <f t="shared" si="3"/>
        <v>9104.0399999999991</v>
      </c>
    </row>
    <row r="105" spans="1:6" x14ac:dyDescent="0.3">
      <c r="A105" s="177">
        <v>127</v>
      </c>
      <c r="B105" s="178">
        <v>80</v>
      </c>
      <c r="C105" s="179">
        <v>144</v>
      </c>
      <c r="D105" s="180">
        <f t="shared" si="2"/>
        <v>16711.924800000001</v>
      </c>
      <c r="E105" s="98">
        <v>167.119248</v>
      </c>
      <c r="F105" s="54">
        <f t="shared" si="3"/>
        <v>16711.924800000001</v>
      </c>
    </row>
    <row r="106" spans="1:6" x14ac:dyDescent="0.3">
      <c r="A106" s="177">
        <v>127</v>
      </c>
      <c r="B106" s="178">
        <v>82</v>
      </c>
      <c r="C106" s="179">
        <v>144</v>
      </c>
      <c r="D106" s="180">
        <f t="shared" si="2"/>
        <v>0</v>
      </c>
      <c r="E106" s="98">
        <v>0</v>
      </c>
      <c r="F106" s="54">
        <f t="shared" si="3"/>
        <v>0</v>
      </c>
    </row>
    <row r="107" spans="1:6" x14ac:dyDescent="0.3">
      <c r="A107" s="177">
        <v>139</v>
      </c>
      <c r="B107" s="178">
        <v>55</v>
      </c>
      <c r="C107" s="179">
        <v>144</v>
      </c>
      <c r="D107" s="180">
        <f t="shared" si="2"/>
        <v>0</v>
      </c>
      <c r="E107" s="98">
        <v>0</v>
      </c>
      <c r="F107" s="54">
        <f t="shared" si="3"/>
        <v>0</v>
      </c>
    </row>
    <row r="108" spans="1:6" x14ac:dyDescent="0.3">
      <c r="A108" s="177">
        <v>139</v>
      </c>
      <c r="B108" s="178">
        <v>43</v>
      </c>
      <c r="C108" s="179">
        <v>144</v>
      </c>
      <c r="D108" s="180">
        <f t="shared" si="2"/>
        <v>8490</v>
      </c>
      <c r="E108" s="98">
        <v>84.899999999999991</v>
      </c>
      <c r="F108" s="54">
        <f t="shared" si="3"/>
        <v>8490</v>
      </c>
    </row>
    <row r="109" spans="1:6" x14ac:dyDescent="0.3">
      <c r="A109" s="177">
        <v>139</v>
      </c>
      <c r="B109" s="178">
        <v>24</v>
      </c>
      <c r="C109" s="179">
        <v>144</v>
      </c>
      <c r="D109" s="180">
        <f t="shared" si="2"/>
        <v>9960</v>
      </c>
      <c r="E109" s="98">
        <v>99.6</v>
      </c>
      <c r="F109" s="54">
        <f t="shared" si="3"/>
        <v>9960</v>
      </c>
    </row>
    <row r="110" spans="1:6" x14ac:dyDescent="0.3">
      <c r="A110" s="177">
        <v>139</v>
      </c>
      <c r="B110" s="178">
        <v>54</v>
      </c>
      <c r="C110" s="179">
        <v>144</v>
      </c>
      <c r="D110" s="180">
        <f t="shared" si="2"/>
        <v>9551.4845999999998</v>
      </c>
      <c r="E110" s="98">
        <v>95.514845999999991</v>
      </c>
      <c r="F110" s="54">
        <f t="shared" si="3"/>
        <v>9551.4845999999998</v>
      </c>
    </row>
    <row r="111" spans="1:6" x14ac:dyDescent="0.3">
      <c r="A111" s="177">
        <v>139</v>
      </c>
      <c r="B111" s="178">
        <v>41</v>
      </c>
      <c r="C111" s="179">
        <v>144</v>
      </c>
      <c r="D111" s="180">
        <f t="shared" si="2"/>
        <v>9960</v>
      </c>
      <c r="E111" s="98">
        <v>99.6</v>
      </c>
      <c r="F111" s="54">
        <f t="shared" si="3"/>
        <v>9960</v>
      </c>
    </row>
    <row r="112" spans="1:6" x14ac:dyDescent="0.3">
      <c r="A112" s="177">
        <v>139</v>
      </c>
      <c r="B112" s="178">
        <v>50</v>
      </c>
      <c r="C112" s="179">
        <v>144</v>
      </c>
      <c r="D112" s="180">
        <f t="shared" si="2"/>
        <v>9960</v>
      </c>
      <c r="E112" s="98">
        <v>99.6</v>
      </c>
      <c r="F112" s="54">
        <f t="shared" si="3"/>
        <v>9960</v>
      </c>
    </row>
    <row r="113" spans="1:6" x14ac:dyDescent="0.3">
      <c r="A113" s="177">
        <v>139</v>
      </c>
      <c r="B113" s="178">
        <v>52</v>
      </c>
      <c r="C113" s="179">
        <v>144</v>
      </c>
      <c r="D113" s="180">
        <f t="shared" si="2"/>
        <v>0</v>
      </c>
      <c r="E113" s="98">
        <v>0</v>
      </c>
      <c r="F113" s="54">
        <f t="shared" si="3"/>
        <v>0</v>
      </c>
    </row>
    <row r="114" spans="1:6" x14ac:dyDescent="0.3">
      <c r="A114" s="177">
        <v>139</v>
      </c>
      <c r="B114" s="178">
        <v>51</v>
      </c>
      <c r="C114" s="179">
        <v>144</v>
      </c>
      <c r="D114" s="180">
        <f t="shared" si="2"/>
        <v>0</v>
      </c>
      <c r="E114" s="98">
        <v>0</v>
      </c>
      <c r="F114" s="54">
        <f t="shared" si="3"/>
        <v>0</v>
      </c>
    </row>
    <row r="115" spans="1:6" x14ac:dyDescent="0.3">
      <c r="A115" s="177">
        <v>139</v>
      </c>
      <c r="B115" s="178">
        <v>28</v>
      </c>
      <c r="C115" s="179">
        <v>144</v>
      </c>
      <c r="D115" s="180">
        <f t="shared" si="2"/>
        <v>0</v>
      </c>
      <c r="E115" s="98">
        <v>0</v>
      </c>
      <c r="F115" s="54">
        <f t="shared" si="3"/>
        <v>0</v>
      </c>
    </row>
    <row r="116" spans="1:6" x14ac:dyDescent="0.3">
      <c r="A116" s="177">
        <v>139</v>
      </c>
      <c r="B116" s="178">
        <v>49</v>
      </c>
      <c r="C116" s="179">
        <v>144</v>
      </c>
      <c r="D116" s="180">
        <f t="shared" si="2"/>
        <v>0</v>
      </c>
      <c r="E116" s="98">
        <v>0</v>
      </c>
      <c r="F116" s="54">
        <f t="shared" si="3"/>
        <v>0</v>
      </c>
    </row>
    <row r="117" spans="1:6" x14ac:dyDescent="0.3">
      <c r="A117" s="177">
        <v>139</v>
      </c>
      <c r="B117" s="178">
        <v>47</v>
      </c>
      <c r="C117" s="179">
        <v>144</v>
      </c>
      <c r="D117" s="180">
        <f t="shared" si="2"/>
        <v>9960</v>
      </c>
      <c r="E117" s="98">
        <v>99.6</v>
      </c>
      <c r="F117" s="54">
        <f t="shared" si="3"/>
        <v>9960</v>
      </c>
    </row>
    <row r="118" spans="1:6" x14ac:dyDescent="0.3">
      <c r="A118" s="177">
        <v>139</v>
      </c>
      <c r="B118" s="178">
        <v>53</v>
      </c>
      <c r="C118" s="179">
        <v>144</v>
      </c>
      <c r="D118" s="180">
        <f t="shared" si="2"/>
        <v>0</v>
      </c>
      <c r="E118" s="98">
        <v>0</v>
      </c>
      <c r="F118" s="54">
        <f t="shared" si="3"/>
        <v>0</v>
      </c>
    </row>
    <row r="119" spans="1:6" x14ac:dyDescent="0.3">
      <c r="A119" s="177">
        <v>144</v>
      </c>
      <c r="B119" s="178">
        <v>81</v>
      </c>
      <c r="C119" s="179">
        <v>144</v>
      </c>
      <c r="D119" s="180">
        <f t="shared" si="2"/>
        <v>0</v>
      </c>
      <c r="E119" s="98">
        <v>0</v>
      </c>
      <c r="F119" s="54">
        <f t="shared" si="3"/>
        <v>0</v>
      </c>
    </row>
    <row r="120" spans="1:6" x14ac:dyDescent="0.3">
      <c r="A120" s="177">
        <v>144</v>
      </c>
      <c r="B120" s="178">
        <v>71</v>
      </c>
      <c r="C120" s="179">
        <v>144</v>
      </c>
      <c r="D120" s="180">
        <f t="shared" si="2"/>
        <v>0</v>
      </c>
      <c r="E120" s="98">
        <v>0</v>
      </c>
      <c r="F120" s="54">
        <f t="shared" si="3"/>
        <v>0</v>
      </c>
    </row>
    <row r="121" spans="1:6" x14ac:dyDescent="0.3">
      <c r="A121" s="177">
        <v>144</v>
      </c>
      <c r="B121" s="178">
        <v>85</v>
      </c>
      <c r="C121" s="179">
        <v>144</v>
      </c>
      <c r="D121" s="180">
        <f t="shared" si="2"/>
        <v>0</v>
      </c>
      <c r="E121" s="98">
        <v>0</v>
      </c>
      <c r="F121" s="54">
        <f t="shared" si="3"/>
        <v>0</v>
      </c>
    </row>
    <row r="122" spans="1:6" x14ac:dyDescent="0.3">
      <c r="A122" s="177">
        <v>144</v>
      </c>
      <c r="B122" s="178">
        <v>35</v>
      </c>
      <c r="C122" s="179">
        <v>144</v>
      </c>
      <c r="D122" s="180">
        <f t="shared" si="2"/>
        <v>0</v>
      </c>
      <c r="E122" s="98">
        <v>0</v>
      </c>
      <c r="F122" s="54">
        <f t="shared" si="3"/>
        <v>0</v>
      </c>
    </row>
    <row r="123" spans="1:6" x14ac:dyDescent="0.3">
      <c r="A123" s="177">
        <v>144</v>
      </c>
      <c r="B123" s="178">
        <v>74</v>
      </c>
      <c r="C123" s="179">
        <v>144</v>
      </c>
      <c r="D123" s="180">
        <f t="shared" si="2"/>
        <v>11226.772800000001</v>
      </c>
      <c r="E123" s="98">
        <v>112.26772800000001</v>
      </c>
      <c r="F123" s="54">
        <f t="shared" si="3"/>
        <v>11226.772800000001</v>
      </c>
    </row>
    <row r="124" spans="1:6" x14ac:dyDescent="0.3">
      <c r="A124" s="177">
        <v>144</v>
      </c>
      <c r="B124" s="178">
        <v>88</v>
      </c>
      <c r="C124" s="179">
        <v>144</v>
      </c>
      <c r="D124" s="180">
        <f t="shared" si="2"/>
        <v>10158</v>
      </c>
      <c r="E124" s="98">
        <v>101.58</v>
      </c>
      <c r="F124" s="54">
        <f t="shared" si="3"/>
        <v>10158</v>
      </c>
    </row>
    <row r="125" spans="1:6" x14ac:dyDescent="0.3">
      <c r="A125" s="177">
        <v>154</v>
      </c>
      <c r="B125" s="178">
        <v>38</v>
      </c>
      <c r="C125" s="179">
        <v>144</v>
      </c>
      <c r="D125" s="180">
        <f t="shared" si="2"/>
        <v>0</v>
      </c>
      <c r="E125" s="98">
        <v>0</v>
      </c>
      <c r="F125" s="54">
        <f t="shared" si="3"/>
        <v>0</v>
      </c>
    </row>
    <row r="126" spans="1:6" x14ac:dyDescent="0.3">
      <c r="A126" s="177">
        <v>154</v>
      </c>
      <c r="B126" s="178">
        <v>43</v>
      </c>
      <c r="C126" s="179">
        <v>144</v>
      </c>
      <c r="D126" s="180">
        <f t="shared" si="2"/>
        <v>6831</v>
      </c>
      <c r="E126" s="98">
        <v>68.31</v>
      </c>
      <c r="F126" s="54">
        <f t="shared" si="3"/>
        <v>6831</v>
      </c>
    </row>
    <row r="127" spans="1:6" x14ac:dyDescent="0.3">
      <c r="A127" s="177">
        <v>154</v>
      </c>
      <c r="B127" s="178">
        <v>45</v>
      </c>
      <c r="C127" s="179">
        <v>144</v>
      </c>
      <c r="D127" s="180">
        <f t="shared" si="2"/>
        <v>17981.284799999998</v>
      </c>
      <c r="E127" s="98">
        <v>179.81284799999997</v>
      </c>
      <c r="F127" s="54">
        <f t="shared" si="3"/>
        <v>17981.284799999998</v>
      </c>
    </row>
    <row r="128" spans="1:6" x14ac:dyDescent="0.3">
      <c r="A128" s="177">
        <v>154</v>
      </c>
      <c r="B128" s="178">
        <v>28</v>
      </c>
      <c r="C128" s="179">
        <v>144</v>
      </c>
      <c r="D128" s="180">
        <f t="shared" si="2"/>
        <v>18317.484</v>
      </c>
      <c r="E128" s="98">
        <v>183.17484000000002</v>
      </c>
      <c r="F128" s="54">
        <f t="shared" si="3"/>
        <v>18317.484</v>
      </c>
    </row>
    <row r="129" spans="1:6" x14ac:dyDescent="0.3">
      <c r="A129" s="177">
        <v>154</v>
      </c>
      <c r="B129" s="178">
        <v>42</v>
      </c>
      <c r="C129" s="179">
        <v>144</v>
      </c>
      <c r="D129" s="180">
        <f t="shared" si="2"/>
        <v>0</v>
      </c>
      <c r="E129" s="98">
        <v>0</v>
      </c>
      <c r="F129" s="54">
        <f t="shared" si="3"/>
        <v>0</v>
      </c>
    </row>
    <row r="130" spans="1:6" x14ac:dyDescent="0.3">
      <c r="A130" s="177">
        <v>156</v>
      </c>
      <c r="B130" s="178">
        <v>76</v>
      </c>
      <c r="C130" s="179">
        <v>144</v>
      </c>
      <c r="D130" s="180">
        <f t="shared" si="2"/>
        <v>18747.724799999996</v>
      </c>
      <c r="E130" s="98">
        <v>187.47724799999997</v>
      </c>
      <c r="F130" s="54">
        <f t="shared" si="3"/>
        <v>18747.724799999996</v>
      </c>
    </row>
    <row r="131" spans="1:6" x14ac:dyDescent="0.3">
      <c r="A131" s="177">
        <v>156</v>
      </c>
      <c r="B131" s="178">
        <v>72</v>
      </c>
      <c r="C131" s="179">
        <v>144</v>
      </c>
      <c r="D131" s="180">
        <f t="shared" si="2"/>
        <v>16676.268</v>
      </c>
      <c r="E131" s="98">
        <v>166.76267999999999</v>
      </c>
      <c r="F131" s="54">
        <f t="shared" si="3"/>
        <v>16676.268</v>
      </c>
    </row>
    <row r="132" spans="1:6" x14ac:dyDescent="0.3">
      <c r="A132" s="177">
        <v>156</v>
      </c>
      <c r="B132" s="178">
        <v>78</v>
      </c>
      <c r="C132" s="179">
        <v>144</v>
      </c>
      <c r="D132" s="180">
        <f t="shared" si="2"/>
        <v>0</v>
      </c>
      <c r="E132" s="98">
        <v>0</v>
      </c>
      <c r="F132" s="54">
        <f t="shared" si="3"/>
        <v>0</v>
      </c>
    </row>
    <row r="133" spans="1:6" x14ac:dyDescent="0.3">
      <c r="A133" s="177">
        <v>156</v>
      </c>
      <c r="B133" s="178">
        <v>67</v>
      </c>
      <c r="C133" s="179">
        <v>144</v>
      </c>
      <c r="D133" s="180">
        <f t="shared" si="2"/>
        <v>0</v>
      </c>
      <c r="E133" s="98">
        <v>0</v>
      </c>
      <c r="F133" s="54">
        <f t="shared" si="3"/>
        <v>0</v>
      </c>
    </row>
    <row r="134" spans="1:6" x14ac:dyDescent="0.3">
      <c r="A134" s="177">
        <v>156</v>
      </c>
      <c r="B134" s="178">
        <v>81</v>
      </c>
      <c r="C134" s="179">
        <v>144</v>
      </c>
      <c r="D134" s="180">
        <f t="shared" ref="D134:D197" si="4">F134</f>
        <v>12381.633599999999</v>
      </c>
      <c r="E134" s="98">
        <v>123.81633599999999</v>
      </c>
      <c r="F134" s="54">
        <f t="shared" ref="F134:F197" si="5">E134*100</f>
        <v>12381.633599999999</v>
      </c>
    </row>
    <row r="135" spans="1:6" x14ac:dyDescent="0.3">
      <c r="A135" s="177">
        <v>156</v>
      </c>
      <c r="B135" s="178">
        <v>79</v>
      </c>
      <c r="C135" s="179">
        <v>144</v>
      </c>
      <c r="D135" s="180">
        <f t="shared" si="4"/>
        <v>18873.518399999997</v>
      </c>
      <c r="E135" s="98">
        <v>188.73518399999998</v>
      </c>
      <c r="F135" s="54">
        <f t="shared" si="5"/>
        <v>18873.518399999997</v>
      </c>
    </row>
    <row r="136" spans="1:6" x14ac:dyDescent="0.3">
      <c r="A136" s="177">
        <v>156</v>
      </c>
      <c r="B136" s="178">
        <v>75</v>
      </c>
      <c r="C136" s="179">
        <v>144</v>
      </c>
      <c r="D136" s="180">
        <f t="shared" si="4"/>
        <v>0</v>
      </c>
      <c r="E136" s="98">
        <v>0</v>
      </c>
      <c r="F136" s="54">
        <f t="shared" si="5"/>
        <v>0</v>
      </c>
    </row>
    <row r="137" spans="1:6" x14ac:dyDescent="0.3">
      <c r="A137" s="177">
        <v>156</v>
      </c>
      <c r="B137" s="178">
        <v>84</v>
      </c>
      <c r="C137" s="179">
        <v>144</v>
      </c>
      <c r="D137" s="180">
        <f t="shared" si="4"/>
        <v>7013.9519999999993</v>
      </c>
      <c r="E137" s="98">
        <v>70.13951999999999</v>
      </c>
      <c r="F137" s="54">
        <f t="shared" si="5"/>
        <v>7013.9519999999993</v>
      </c>
    </row>
    <row r="138" spans="1:6" x14ac:dyDescent="0.3">
      <c r="A138" s="177">
        <v>157</v>
      </c>
      <c r="B138" s="178">
        <v>14</v>
      </c>
      <c r="C138" s="179">
        <v>144</v>
      </c>
      <c r="D138" s="180">
        <f t="shared" si="4"/>
        <v>18305.531999999999</v>
      </c>
      <c r="E138" s="98">
        <v>183.05531999999999</v>
      </c>
      <c r="F138" s="54">
        <f t="shared" si="5"/>
        <v>18305.531999999999</v>
      </c>
    </row>
    <row r="139" spans="1:6" x14ac:dyDescent="0.3">
      <c r="A139" s="177">
        <v>157</v>
      </c>
      <c r="B139" s="178">
        <v>33</v>
      </c>
      <c r="C139" s="179">
        <v>144</v>
      </c>
      <c r="D139" s="180">
        <f t="shared" si="4"/>
        <v>0</v>
      </c>
      <c r="E139" s="98">
        <v>0</v>
      </c>
      <c r="F139" s="54">
        <f t="shared" si="5"/>
        <v>0</v>
      </c>
    </row>
    <row r="140" spans="1:6" x14ac:dyDescent="0.3">
      <c r="A140" s="177">
        <v>157</v>
      </c>
      <c r="B140" s="178">
        <v>34</v>
      </c>
      <c r="C140" s="179">
        <v>144</v>
      </c>
      <c r="D140" s="180">
        <f t="shared" si="4"/>
        <v>8447.9999999999982</v>
      </c>
      <c r="E140" s="98">
        <v>84.47999999999999</v>
      </c>
      <c r="F140" s="54">
        <f t="shared" si="5"/>
        <v>8447.9999999999982</v>
      </c>
    </row>
    <row r="141" spans="1:6" x14ac:dyDescent="0.3">
      <c r="A141" s="177">
        <v>157</v>
      </c>
      <c r="B141" s="178">
        <v>43</v>
      </c>
      <c r="C141" s="179">
        <v>144</v>
      </c>
      <c r="D141" s="180">
        <f t="shared" si="4"/>
        <v>12817.250400000001</v>
      </c>
      <c r="E141" s="98">
        <v>128.172504</v>
      </c>
      <c r="F141" s="54">
        <f t="shared" si="5"/>
        <v>12817.250400000001</v>
      </c>
    </row>
    <row r="142" spans="1:6" x14ac:dyDescent="0.3">
      <c r="A142" s="177">
        <v>157</v>
      </c>
      <c r="B142" s="178">
        <v>44</v>
      </c>
      <c r="C142" s="179">
        <v>144</v>
      </c>
      <c r="D142" s="180">
        <f t="shared" si="4"/>
        <v>8447.9999999999982</v>
      </c>
      <c r="E142" s="98">
        <v>84.47999999999999</v>
      </c>
      <c r="F142" s="54">
        <f t="shared" si="5"/>
        <v>8447.9999999999982</v>
      </c>
    </row>
    <row r="143" spans="1:6" x14ac:dyDescent="0.3">
      <c r="A143" s="177">
        <v>157</v>
      </c>
      <c r="B143" s="178">
        <v>45</v>
      </c>
      <c r="C143" s="179">
        <v>144</v>
      </c>
      <c r="D143" s="180">
        <f t="shared" si="4"/>
        <v>13555.224000000002</v>
      </c>
      <c r="E143" s="98">
        <v>135.55224000000001</v>
      </c>
      <c r="F143" s="54">
        <f t="shared" si="5"/>
        <v>13555.224000000002</v>
      </c>
    </row>
    <row r="144" spans="1:6" x14ac:dyDescent="0.3">
      <c r="A144" s="177">
        <v>157</v>
      </c>
      <c r="B144" s="178">
        <v>46</v>
      </c>
      <c r="C144" s="179">
        <v>144</v>
      </c>
      <c r="D144" s="180">
        <f t="shared" si="4"/>
        <v>8868</v>
      </c>
      <c r="E144" s="98">
        <v>88.679999999999993</v>
      </c>
      <c r="F144" s="54">
        <f t="shared" si="5"/>
        <v>8868</v>
      </c>
    </row>
    <row r="145" spans="1:6" x14ac:dyDescent="0.3">
      <c r="A145" s="177">
        <v>161</v>
      </c>
      <c r="B145" s="178">
        <v>51</v>
      </c>
      <c r="C145" s="179">
        <v>144</v>
      </c>
      <c r="D145" s="180">
        <f t="shared" si="4"/>
        <v>18394.807200000003</v>
      </c>
      <c r="E145" s="98">
        <v>183.94807200000002</v>
      </c>
      <c r="F145" s="54">
        <f t="shared" si="5"/>
        <v>18394.807200000003</v>
      </c>
    </row>
    <row r="146" spans="1:6" x14ac:dyDescent="0.3">
      <c r="A146" s="177">
        <v>161</v>
      </c>
      <c r="B146" s="178">
        <v>49</v>
      </c>
      <c r="C146" s="179">
        <v>144</v>
      </c>
      <c r="D146" s="180">
        <f t="shared" si="4"/>
        <v>17887.6728</v>
      </c>
      <c r="E146" s="98">
        <v>178.87672799999999</v>
      </c>
      <c r="F146" s="54">
        <f t="shared" si="5"/>
        <v>17887.6728</v>
      </c>
    </row>
    <row r="147" spans="1:6" x14ac:dyDescent="0.3">
      <c r="A147" s="177">
        <v>161</v>
      </c>
      <c r="B147" s="178">
        <v>45</v>
      </c>
      <c r="C147" s="179">
        <v>144</v>
      </c>
      <c r="D147" s="180">
        <f t="shared" si="4"/>
        <v>7709.9999999999991</v>
      </c>
      <c r="E147" s="98">
        <v>77.099999999999994</v>
      </c>
      <c r="F147" s="54">
        <f t="shared" si="5"/>
        <v>7709.9999999999991</v>
      </c>
    </row>
    <row r="148" spans="1:6" x14ac:dyDescent="0.3">
      <c r="A148" s="177">
        <v>161</v>
      </c>
      <c r="B148" s="178">
        <v>32</v>
      </c>
      <c r="C148" s="179">
        <v>144</v>
      </c>
      <c r="D148" s="180">
        <f t="shared" si="4"/>
        <v>24000.000000000004</v>
      </c>
      <c r="E148" s="98">
        <v>240.00000000000003</v>
      </c>
      <c r="F148" s="54">
        <f t="shared" si="5"/>
        <v>24000.000000000004</v>
      </c>
    </row>
    <row r="149" spans="1:6" x14ac:dyDescent="0.3">
      <c r="A149" s="177">
        <v>161</v>
      </c>
      <c r="B149" s="178">
        <v>52</v>
      </c>
      <c r="C149" s="179">
        <v>144</v>
      </c>
      <c r="D149" s="180">
        <f t="shared" si="4"/>
        <v>6533.7019999999993</v>
      </c>
      <c r="E149" s="98">
        <v>65.337019999999995</v>
      </c>
      <c r="F149" s="54">
        <f t="shared" si="5"/>
        <v>6533.7019999999993</v>
      </c>
    </row>
    <row r="150" spans="1:6" x14ac:dyDescent="0.3">
      <c r="A150" s="177">
        <v>161</v>
      </c>
      <c r="B150" s="178">
        <v>34</v>
      </c>
      <c r="C150" s="179">
        <v>144</v>
      </c>
      <c r="D150" s="180">
        <f t="shared" si="4"/>
        <v>0</v>
      </c>
      <c r="E150" s="98">
        <v>0</v>
      </c>
      <c r="F150" s="54">
        <f t="shared" si="5"/>
        <v>0</v>
      </c>
    </row>
    <row r="151" spans="1:6" x14ac:dyDescent="0.3">
      <c r="A151" s="177">
        <v>166</v>
      </c>
      <c r="B151" s="178">
        <v>34</v>
      </c>
      <c r="C151" s="179">
        <v>144</v>
      </c>
      <c r="D151" s="180">
        <f t="shared" si="4"/>
        <v>13921.2816</v>
      </c>
      <c r="E151" s="98">
        <v>139.212816</v>
      </c>
      <c r="F151" s="54">
        <f t="shared" si="5"/>
        <v>13921.2816</v>
      </c>
    </row>
    <row r="152" spans="1:6" x14ac:dyDescent="0.3">
      <c r="A152" s="177">
        <v>166</v>
      </c>
      <c r="B152" s="178">
        <v>1</v>
      </c>
      <c r="C152" s="179">
        <v>144</v>
      </c>
      <c r="D152" s="180">
        <f t="shared" si="4"/>
        <v>0</v>
      </c>
      <c r="E152" s="98">
        <v>0</v>
      </c>
      <c r="F152" s="54">
        <f t="shared" si="5"/>
        <v>0</v>
      </c>
    </row>
    <row r="153" spans="1:6" x14ac:dyDescent="0.3">
      <c r="A153" s="177">
        <v>166</v>
      </c>
      <c r="B153" s="178">
        <v>22</v>
      </c>
      <c r="C153" s="179">
        <v>144</v>
      </c>
      <c r="D153" s="180">
        <f t="shared" si="4"/>
        <v>0</v>
      </c>
      <c r="E153" s="98">
        <v>0</v>
      </c>
      <c r="F153" s="54">
        <f t="shared" si="5"/>
        <v>0</v>
      </c>
    </row>
    <row r="154" spans="1:6" x14ac:dyDescent="0.3">
      <c r="A154" s="177">
        <v>166</v>
      </c>
      <c r="B154" s="178">
        <v>39</v>
      </c>
      <c r="C154" s="179">
        <v>144</v>
      </c>
      <c r="D154" s="180">
        <f t="shared" si="4"/>
        <v>0</v>
      </c>
      <c r="E154" s="98">
        <v>0</v>
      </c>
      <c r="F154" s="54">
        <f t="shared" si="5"/>
        <v>0</v>
      </c>
    </row>
    <row r="155" spans="1:6" x14ac:dyDescent="0.3">
      <c r="A155" s="177">
        <v>166</v>
      </c>
      <c r="B155" s="178">
        <v>8</v>
      </c>
      <c r="C155" s="179">
        <v>144</v>
      </c>
      <c r="D155" s="180">
        <f t="shared" si="4"/>
        <v>0</v>
      </c>
      <c r="E155" s="98">
        <v>0</v>
      </c>
      <c r="F155" s="54">
        <f t="shared" si="5"/>
        <v>0</v>
      </c>
    </row>
    <row r="156" spans="1:6" x14ac:dyDescent="0.3">
      <c r="A156" s="177">
        <v>169</v>
      </c>
      <c r="B156" s="178">
        <v>35</v>
      </c>
      <c r="C156" s="179">
        <v>144</v>
      </c>
      <c r="D156" s="180">
        <f t="shared" si="4"/>
        <v>7884</v>
      </c>
      <c r="E156" s="98">
        <v>78.84</v>
      </c>
      <c r="F156" s="54">
        <f t="shared" si="5"/>
        <v>7884</v>
      </c>
    </row>
    <row r="157" spans="1:6" x14ac:dyDescent="0.3">
      <c r="A157" s="177">
        <v>169</v>
      </c>
      <c r="B157" s="178">
        <v>39</v>
      </c>
      <c r="C157" s="179">
        <v>144</v>
      </c>
      <c r="D157" s="180">
        <f t="shared" si="4"/>
        <v>0</v>
      </c>
      <c r="E157" s="98">
        <v>0</v>
      </c>
      <c r="F157" s="54">
        <f t="shared" si="5"/>
        <v>0</v>
      </c>
    </row>
    <row r="158" spans="1:6" x14ac:dyDescent="0.3">
      <c r="A158" s="177">
        <v>169</v>
      </c>
      <c r="B158" s="178">
        <v>16</v>
      </c>
      <c r="C158" s="179">
        <v>144</v>
      </c>
      <c r="D158" s="180">
        <f t="shared" si="4"/>
        <v>0</v>
      </c>
      <c r="E158" s="98">
        <v>0</v>
      </c>
      <c r="F158" s="54">
        <f t="shared" si="5"/>
        <v>0</v>
      </c>
    </row>
    <row r="159" spans="1:6" x14ac:dyDescent="0.3">
      <c r="A159" s="177">
        <v>169</v>
      </c>
      <c r="B159" s="178">
        <v>31</v>
      </c>
      <c r="C159" s="179">
        <v>144</v>
      </c>
      <c r="D159" s="180">
        <f t="shared" si="4"/>
        <v>0</v>
      </c>
      <c r="E159" s="98">
        <v>0</v>
      </c>
      <c r="F159" s="54">
        <f t="shared" si="5"/>
        <v>0</v>
      </c>
    </row>
    <row r="160" spans="1:6" x14ac:dyDescent="0.3">
      <c r="A160" s="177">
        <v>169</v>
      </c>
      <c r="B160" s="178">
        <v>7</v>
      </c>
      <c r="C160" s="179">
        <v>144</v>
      </c>
      <c r="D160" s="180">
        <f t="shared" si="4"/>
        <v>0</v>
      </c>
      <c r="E160" s="98">
        <v>0</v>
      </c>
      <c r="F160" s="54">
        <f t="shared" si="5"/>
        <v>0</v>
      </c>
    </row>
    <row r="161" spans="1:6" x14ac:dyDescent="0.3">
      <c r="A161" s="177">
        <v>169</v>
      </c>
      <c r="B161" s="178">
        <v>41</v>
      </c>
      <c r="C161" s="179">
        <v>144</v>
      </c>
      <c r="D161" s="180">
        <f t="shared" si="4"/>
        <v>0</v>
      </c>
      <c r="E161" s="98">
        <v>0</v>
      </c>
      <c r="F161" s="54">
        <f t="shared" si="5"/>
        <v>0</v>
      </c>
    </row>
    <row r="162" spans="1:6" x14ac:dyDescent="0.3">
      <c r="A162" s="177">
        <v>169</v>
      </c>
      <c r="B162" s="178">
        <v>37</v>
      </c>
      <c r="C162" s="179">
        <v>144</v>
      </c>
      <c r="D162" s="180">
        <f t="shared" si="4"/>
        <v>0</v>
      </c>
      <c r="E162" s="98">
        <v>0</v>
      </c>
      <c r="F162" s="54">
        <f t="shared" si="5"/>
        <v>0</v>
      </c>
    </row>
    <row r="163" spans="1:6" x14ac:dyDescent="0.3">
      <c r="A163" s="177">
        <v>169</v>
      </c>
      <c r="B163" s="178">
        <v>38</v>
      </c>
      <c r="C163" s="179">
        <v>144</v>
      </c>
      <c r="D163" s="180">
        <f t="shared" si="4"/>
        <v>0</v>
      </c>
      <c r="E163" s="98">
        <v>0</v>
      </c>
      <c r="F163" s="54">
        <f t="shared" si="5"/>
        <v>0</v>
      </c>
    </row>
    <row r="164" spans="1:6" x14ac:dyDescent="0.3">
      <c r="A164" s="177">
        <v>169</v>
      </c>
      <c r="B164" s="178">
        <v>1</v>
      </c>
      <c r="C164" s="179">
        <v>144</v>
      </c>
      <c r="D164" s="180">
        <f t="shared" si="4"/>
        <v>0</v>
      </c>
      <c r="E164" s="98">
        <v>0</v>
      </c>
      <c r="F164" s="54">
        <f t="shared" si="5"/>
        <v>0</v>
      </c>
    </row>
    <row r="165" spans="1:6" x14ac:dyDescent="0.3">
      <c r="A165" s="177">
        <v>173</v>
      </c>
      <c r="B165" s="178">
        <v>5</v>
      </c>
      <c r="C165" s="179">
        <v>144</v>
      </c>
      <c r="D165" s="180">
        <f t="shared" si="4"/>
        <v>0</v>
      </c>
      <c r="E165" s="98">
        <v>0</v>
      </c>
      <c r="F165" s="54">
        <f t="shared" si="5"/>
        <v>0</v>
      </c>
    </row>
    <row r="166" spans="1:6" x14ac:dyDescent="0.3">
      <c r="A166" s="177">
        <v>173</v>
      </c>
      <c r="B166" s="178">
        <v>26</v>
      </c>
      <c r="C166" s="179">
        <v>144</v>
      </c>
      <c r="D166" s="180">
        <f t="shared" si="4"/>
        <v>18284.755275</v>
      </c>
      <c r="E166" s="98">
        <v>182.84755275000001</v>
      </c>
      <c r="F166" s="54">
        <f t="shared" si="5"/>
        <v>18284.755275</v>
      </c>
    </row>
    <row r="167" spans="1:6" x14ac:dyDescent="0.3">
      <c r="A167" s="177">
        <v>173</v>
      </c>
      <c r="B167" s="178">
        <v>30</v>
      </c>
      <c r="C167" s="179">
        <v>144</v>
      </c>
      <c r="D167" s="180">
        <f t="shared" si="4"/>
        <v>8682</v>
      </c>
      <c r="E167" s="98">
        <v>86.82</v>
      </c>
      <c r="F167" s="54">
        <f t="shared" si="5"/>
        <v>8682</v>
      </c>
    </row>
    <row r="168" spans="1:6" x14ac:dyDescent="0.3">
      <c r="A168" s="177">
        <v>173</v>
      </c>
      <c r="B168" s="178">
        <v>34</v>
      </c>
      <c r="C168" s="179">
        <v>144</v>
      </c>
      <c r="D168" s="180">
        <f t="shared" si="4"/>
        <v>10612.284</v>
      </c>
      <c r="E168" s="98">
        <v>106.12284</v>
      </c>
      <c r="F168" s="54">
        <f t="shared" si="5"/>
        <v>10612.284</v>
      </c>
    </row>
    <row r="169" spans="1:6" x14ac:dyDescent="0.3">
      <c r="A169" s="177">
        <v>173</v>
      </c>
      <c r="B169" s="178">
        <v>35</v>
      </c>
      <c r="C169" s="179">
        <v>144</v>
      </c>
      <c r="D169" s="180">
        <f t="shared" si="4"/>
        <v>0</v>
      </c>
      <c r="E169" s="98">
        <v>0</v>
      </c>
      <c r="F169" s="54">
        <f t="shared" si="5"/>
        <v>0</v>
      </c>
    </row>
    <row r="170" spans="1:6" x14ac:dyDescent="0.3">
      <c r="A170" s="177">
        <v>173</v>
      </c>
      <c r="B170" s="178">
        <v>38</v>
      </c>
      <c r="C170" s="179">
        <v>144</v>
      </c>
      <c r="D170" s="180">
        <f t="shared" si="4"/>
        <v>14153.443200000002</v>
      </c>
      <c r="E170" s="98">
        <v>141.53443200000001</v>
      </c>
      <c r="F170" s="54">
        <f t="shared" si="5"/>
        <v>14153.443200000002</v>
      </c>
    </row>
    <row r="171" spans="1:6" x14ac:dyDescent="0.3">
      <c r="A171" s="177">
        <v>173</v>
      </c>
      <c r="B171" s="178">
        <v>41</v>
      </c>
      <c r="C171" s="179">
        <v>144</v>
      </c>
      <c r="D171" s="180">
        <f t="shared" si="4"/>
        <v>6852</v>
      </c>
      <c r="E171" s="98">
        <v>68.52</v>
      </c>
      <c r="F171" s="54">
        <f t="shared" si="5"/>
        <v>6852</v>
      </c>
    </row>
    <row r="172" spans="1:6" x14ac:dyDescent="0.3">
      <c r="A172" s="177">
        <v>175</v>
      </c>
      <c r="B172" s="178">
        <v>17</v>
      </c>
      <c r="C172" s="179">
        <v>144</v>
      </c>
      <c r="D172" s="180">
        <f t="shared" si="4"/>
        <v>6362.2199999999993</v>
      </c>
      <c r="E172" s="98">
        <v>63.622199999999992</v>
      </c>
      <c r="F172" s="54">
        <f t="shared" si="5"/>
        <v>6362.2199999999993</v>
      </c>
    </row>
    <row r="173" spans="1:6" x14ac:dyDescent="0.3">
      <c r="A173" s="177">
        <v>175</v>
      </c>
      <c r="B173" s="178">
        <v>13</v>
      </c>
      <c r="C173" s="179">
        <v>144</v>
      </c>
      <c r="D173" s="180">
        <f t="shared" si="4"/>
        <v>13529.999999999998</v>
      </c>
      <c r="E173" s="98">
        <v>135.29999999999998</v>
      </c>
      <c r="F173" s="54">
        <f t="shared" si="5"/>
        <v>13529.999999999998</v>
      </c>
    </row>
    <row r="174" spans="1:6" x14ac:dyDescent="0.3">
      <c r="A174" s="177">
        <v>175</v>
      </c>
      <c r="B174" s="178">
        <v>11</v>
      </c>
      <c r="C174" s="179">
        <v>144</v>
      </c>
      <c r="D174" s="180">
        <f t="shared" si="4"/>
        <v>23519.583450000006</v>
      </c>
      <c r="E174" s="98">
        <v>235.19583450000005</v>
      </c>
      <c r="F174" s="54">
        <f t="shared" si="5"/>
        <v>23519.583450000006</v>
      </c>
    </row>
    <row r="175" spans="1:6" x14ac:dyDescent="0.3">
      <c r="A175" s="177">
        <v>175</v>
      </c>
      <c r="B175" s="178">
        <v>8</v>
      </c>
      <c r="C175" s="179">
        <v>144</v>
      </c>
      <c r="D175" s="180">
        <f t="shared" si="4"/>
        <v>6362.2199999999993</v>
      </c>
      <c r="E175" s="98">
        <v>63.622199999999992</v>
      </c>
      <c r="F175" s="54">
        <f t="shared" si="5"/>
        <v>6362.2199999999993</v>
      </c>
    </row>
    <row r="176" spans="1:6" x14ac:dyDescent="0.3">
      <c r="A176" s="177">
        <v>175</v>
      </c>
      <c r="B176" s="178">
        <v>3</v>
      </c>
      <c r="C176" s="179">
        <v>144</v>
      </c>
      <c r="D176" s="180">
        <f t="shared" si="4"/>
        <v>14865.650099999997</v>
      </c>
      <c r="E176" s="98">
        <v>148.65650099999996</v>
      </c>
      <c r="F176" s="54">
        <f t="shared" si="5"/>
        <v>14865.650099999997</v>
      </c>
    </row>
    <row r="177" spans="1:6" x14ac:dyDescent="0.3">
      <c r="A177" s="177">
        <v>175</v>
      </c>
      <c r="B177" s="178">
        <v>9</v>
      </c>
      <c r="C177" s="179">
        <v>144</v>
      </c>
      <c r="D177" s="180">
        <f t="shared" si="4"/>
        <v>0</v>
      </c>
      <c r="E177" s="98">
        <v>0</v>
      </c>
      <c r="F177" s="54">
        <f t="shared" si="5"/>
        <v>0</v>
      </c>
    </row>
    <row r="178" spans="1:6" x14ac:dyDescent="0.3">
      <c r="A178" s="177">
        <v>175</v>
      </c>
      <c r="B178" s="178">
        <v>1</v>
      </c>
      <c r="C178" s="179">
        <v>144</v>
      </c>
      <c r="D178" s="180">
        <f t="shared" si="4"/>
        <v>9922</v>
      </c>
      <c r="E178" s="98">
        <v>99.22</v>
      </c>
      <c r="F178" s="54">
        <f t="shared" si="5"/>
        <v>9922</v>
      </c>
    </row>
    <row r="179" spans="1:6" x14ac:dyDescent="0.3">
      <c r="A179" s="177">
        <v>179</v>
      </c>
      <c r="B179" s="178">
        <v>1</v>
      </c>
      <c r="C179" s="179">
        <v>144</v>
      </c>
      <c r="D179" s="180">
        <f t="shared" si="4"/>
        <v>9104.0399999999991</v>
      </c>
      <c r="E179" s="98">
        <v>91.040399999999991</v>
      </c>
      <c r="F179" s="54">
        <f t="shared" si="5"/>
        <v>9104.0399999999991</v>
      </c>
    </row>
    <row r="180" spans="1:6" x14ac:dyDescent="0.3">
      <c r="A180" s="177">
        <v>179</v>
      </c>
      <c r="B180" s="178">
        <v>2</v>
      </c>
      <c r="C180" s="179">
        <v>144</v>
      </c>
      <c r="D180" s="180">
        <f t="shared" si="4"/>
        <v>0</v>
      </c>
      <c r="E180" s="98">
        <v>0</v>
      </c>
      <c r="F180" s="54">
        <f t="shared" si="5"/>
        <v>0</v>
      </c>
    </row>
    <row r="181" spans="1:6" x14ac:dyDescent="0.3">
      <c r="A181" s="177">
        <v>179</v>
      </c>
      <c r="B181" s="178">
        <v>3</v>
      </c>
      <c r="C181" s="179">
        <v>144</v>
      </c>
      <c r="D181" s="180">
        <f t="shared" si="4"/>
        <v>0</v>
      </c>
      <c r="E181" s="98">
        <v>0</v>
      </c>
      <c r="F181" s="54">
        <f t="shared" si="5"/>
        <v>0</v>
      </c>
    </row>
    <row r="182" spans="1:6" x14ac:dyDescent="0.3">
      <c r="A182" s="177">
        <v>179</v>
      </c>
      <c r="B182" s="178">
        <v>4</v>
      </c>
      <c r="C182" s="179">
        <v>144</v>
      </c>
      <c r="D182" s="180">
        <f t="shared" si="4"/>
        <v>9720</v>
      </c>
      <c r="E182" s="98">
        <v>97.2</v>
      </c>
      <c r="F182" s="54">
        <f t="shared" si="5"/>
        <v>9720</v>
      </c>
    </row>
    <row r="183" spans="1:6" x14ac:dyDescent="0.3">
      <c r="A183" s="177">
        <v>179</v>
      </c>
      <c r="B183" s="178">
        <v>16</v>
      </c>
      <c r="C183" s="179">
        <v>144</v>
      </c>
      <c r="D183" s="180">
        <f t="shared" si="4"/>
        <v>21764.004075000001</v>
      </c>
      <c r="E183" s="98">
        <v>217.64004075</v>
      </c>
      <c r="F183" s="54">
        <f t="shared" si="5"/>
        <v>21764.004075000001</v>
      </c>
    </row>
    <row r="184" spans="1:6" x14ac:dyDescent="0.3">
      <c r="A184" s="177">
        <v>179</v>
      </c>
      <c r="B184" s="178">
        <v>12</v>
      </c>
      <c r="C184" s="179">
        <v>144</v>
      </c>
      <c r="D184" s="180">
        <f t="shared" si="4"/>
        <v>9104.0399999999991</v>
      </c>
      <c r="E184" s="98">
        <v>91.040399999999991</v>
      </c>
      <c r="F184" s="54">
        <f t="shared" si="5"/>
        <v>9104.0399999999991</v>
      </c>
    </row>
    <row r="185" spans="1:6" x14ac:dyDescent="0.3">
      <c r="A185" s="177">
        <v>179</v>
      </c>
      <c r="B185" s="178">
        <v>18</v>
      </c>
      <c r="C185" s="179">
        <v>144</v>
      </c>
      <c r="D185" s="180">
        <f t="shared" si="4"/>
        <v>20711.401424999996</v>
      </c>
      <c r="E185" s="98">
        <v>207.11401424999997</v>
      </c>
      <c r="F185" s="54">
        <f t="shared" si="5"/>
        <v>20711.401424999996</v>
      </c>
    </row>
    <row r="186" spans="1:6" x14ac:dyDescent="0.3">
      <c r="A186" s="177">
        <v>181</v>
      </c>
      <c r="B186" s="178">
        <v>2</v>
      </c>
      <c r="C186" s="179">
        <v>144</v>
      </c>
      <c r="D186" s="180">
        <f t="shared" si="4"/>
        <v>24720</v>
      </c>
      <c r="E186" s="98">
        <v>247.2</v>
      </c>
      <c r="F186" s="54">
        <f t="shared" si="5"/>
        <v>24720</v>
      </c>
    </row>
    <row r="187" spans="1:6" x14ac:dyDescent="0.3">
      <c r="A187" s="177">
        <v>181</v>
      </c>
      <c r="B187" s="178">
        <v>33</v>
      </c>
      <c r="C187" s="179">
        <v>144</v>
      </c>
      <c r="D187" s="180">
        <f t="shared" si="4"/>
        <v>14980.000000000002</v>
      </c>
      <c r="E187" s="98">
        <v>149.80000000000001</v>
      </c>
      <c r="F187" s="54">
        <f t="shared" si="5"/>
        <v>14980.000000000002</v>
      </c>
    </row>
    <row r="188" spans="1:6" x14ac:dyDescent="0.3">
      <c r="A188" s="177">
        <v>181</v>
      </c>
      <c r="B188" s="178">
        <v>31</v>
      </c>
      <c r="C188" s="179">
        <v>144</v>
      </c>
      <c r="D188" s="180">
        <f t="shared" si="4"/>
        <v>6720</v>
      </c>
      <c r="E188" s="98">
        <v>67.2</v>
      </c>
      <c r="F188" s="54">
        <f t="shared" si="5"/>
        <v>6720</v>
      </c>
    </row>
    <row r="189" spans="1:6" x14ac:dyDescent="0.3">
      <c r="A189" s="177">
        <v>181</v>
      </c>
      <c r="B189" s="178">
        <v>12</v>
      </c>
      <c r="C189" s="179">
        <v>144</v>
      </c>
      <c r="D189" s="180">
        <f t="shared" si="4"/>
        <v>0</v>
      </c>
      <c r="E189" s="98">
        <v>0</v>
      </c>
      <c r="F189" s="54">
        <f t="shared" si="5"/>
        <v>0</v>
      </c>
    </row>
    <row r="190" spans="1:6" x14ac:dyDescent="0.3">
      <c r="A190" s="177">
        <v>181</v>
      </c>
      <c r="B190" s="178">
        <v>16</v>
      </c>
      <c r="C190" s="179">
        <v>144</v>
      </c>
      <c r="D190" s="180">
        <f t="shared" si="4"/>
        <v>27128.459399999996</v>
      </c>
      <c r="E190" s="98">
        <v>271.28459399999997</v>
      </c>
      <c r="F190" s="54">
        <f t="shared" si="5"/>
        <v>27128.459399999996</v>
      </c>
    </row>
    <row r="191" spans="1:6" x14ac:dyDescent="0.3">
      <c r="A191" s="177">
        <v>181</v>
      </c>
      <c r="B191" s="178">
        <v>18</v>
      </c>
      <c r="C191" s="179">
        <v>144</v>
      </c>
      <c r="D191" s="180">
        <f t="shared" si="4"/>
        <v>17014.212599999995</v>
      </c>
      <c r="E191" s="98">
        <v>170.14212599999996</v>
      </c>
      <c r="F191" s="54">
        <f t="shared" si="5"/>
        <v>17014.212599999995</v>
      </c>
    </row>
    <row r="192" spans="1:6" x14ac:dyDescent="0.3">
      <c r="A192" s="177">
        <v>181</v>
      </c>
      <c r="B192" s="178">
        <v>32</v>
      </c>
      <c r="C192" s="179">
        <v>144</v>
      </c>
      <c r="D192" s="180">
        <f t="shared" si="4"/>
        <v>6720</v>
      </c>
      <c r="E192" s="98">
        <v>67.2</v>
      </c>
      <c r="F192" s="54">
        <f t="shared" si="5"/>
        <v>6720</v>
      </c>
    </row>
    <row r="193" spans="1:6" x14ac:dyDescent="0.3">
      <c r="A193" s="177">
        <v>181</v>
      </c>
      <c r="B193" s="178">
        <v>1</v>
      </c>
      <c r="C193" s="179">
        <v>144</v>
      </c>
      <c r="D193" s="180">
        <f t="shared" si="4"/>
        <v>23690</v>
      </c>
      <c r="E193" s="98">
        <v>236.9</v>
      </c>
      <c r="F193" s="54">
        <f t="shared" si="5"/>
        <v>23690</v>
      </c>
    </row>
    <row r="194" spans="1:6" x14ac:dyDescent="0.3">
      <c r="A194" s="177">
        <v>181</v>
      </c>
      <c r="B194" s="178">
        <v>19</v>
      </c>
      <c r="C194" s="179">
        <v>144</v>
      </c>
      <c r="D194" s="180">
        <f t="shared" si="4"/>
        <v>0</v>
      </c>
      <c r="E194" s="98">
        <v>0</v>
      </c>
      <c r="F194" s="54">
        <f t="shared" si="5"/>
        <v>0</v>
      </c>
    </row>
    <row r="195" spans="1:6" x14ac:dyDescent="0.3">
      <c r="A195" s="177">
        <v>181</v>
      </c>
      <c r="B195" s="178">
        <v>13</v>
      </c>
      <c r="C195" s="179">
        <v>144</v>
      </c>
      <c r="D195" s="180">
        <f t="shared" si="4"/>
        <v>25922.561699999998</v>
      </c>
      <c r="E195" s="98">
        <v>259.225617</v>
      </c>
      <c r="F195" s="54">
        <f t="shared" si="5"/>
        <v>25922.561699999998</v>
      </c>
    </row>
    <row r="196" spans="1:6" x14ac:dyDescent="0.3">
      <c r="A196" s="177">
        <v>183</v>
      </c>
      <c r="B196" s="178">
        <v>14</v>
      </c>
      <c r="C196" s="179">
        <v>144</v>
      </c>
      <c r="D196" s="180">
        <f t="shared" si="4"/>
        <v>11147.667299999997</v>
      </c>
      <c r="E196" s="98">
        <v>111.47667299999998</v>
      </c>
      <c r="F196" s="54">
        <f t="shared" si="5"/>
        <v>11147.667299999997</v>
      </c>
    </row>
    <row r="197" spans="1:6" x14ac:dyDescent="0.3">
      <c r="A197" s="177">
        <v>183</v>
      </c>
      <c r="B197" s="178">
        <v>16</v>
      </c>
      <c r="C197" s="179">
        <v>144</v>
      </c>
      <c r="D197" s="180">
        <f t="shared" si="4"/>
        <v>0</v>
      </c>
      <c r="E197" s="98">
        <v>0</v>
      </c>
      <c r="F197" s="54">
        <f t="shared" si="5"/>
        <v>0</v>
      </c>
    </row>
    <row r="198" spans="1:6" x14ac:dyDescent="0.3">
      <c r="A198" s="177">
        <v>183</v>
      </c>
      <c r="B198" s="178">
        <v>8</v>
      </c>
      <c r="C198" s="179">
        <v>144</v>
      </c>
      <c r="D198" s="180">
        <f t="shared" ref="D198:D224" si="6">F198</f>
        <v>10716</v>
      </c>
      <c r="E198" s="98">
        <v>107.16</v>
      </c>
      <c r="F198" s="54">
        <f t="shared" ref="F198:F224" si="7">E198*100</f>
        <v>10716</v>
      </c>
    </row>
    <row r="199" spans="1:6" x14ac:dyDescent="0.3">
      <c r="A199" s="177">
        <v>183</v>
      </c>
      <c r="B199" s="178">
        <v>13</v>
      </c>
      <c r="C199" s="179">
        <v>144</v>
      </c>
      <c r="D199" s="180">
        <f t="shared" si="6"/>
        <v>0</v>
      </c>
      <c r="E199" s="98">
        <v>0</v>
      </c>
      <c r="F199" s="54">
        <f t="shared" si="7"/>
        <v>0</v>
      </c>
    </row>
    <row r="200" spans="1:6" x14ac:dyDescent="0.3">
      <c r="A200" s="177">
        <v>183</v>
      </c>
      <c r="B200" s="178">
        <v>1</v>
      </c>
      <c r="C200" s="179">
        <v>144</v>
      </c>
      <c r="D200" s="180">
        <f t="shared" si="6"/>
        <v>10716</v>
      </c>
      <c r="E200" s="98">
        <v>107.16</v>
      </c>
      <c r="F200" s="54">
        <f t="shared" si="7"/>
        <v>10716</v>
      </c>
    </row>
    <row r="201" spans="1:6" x14ac:dyDescent="0.3">
      <c r="A201" s="177">
        <v>183</v>
      </c>
      <c r="B201" s="178">
        <v>5</v>
      </c>
      <c r="C201" s="179">
        <v>144</v>
      </c>
      <c r="D201" s="180">
        <f t="shared" si="6"/>
        <v>11269.093499999999</v>
      </c>
      <c r="E201" s="98">
        <v>112.69093499999998</v>
      </c>
      <c r="F201" s="54">
        <f t="shared" si="7"/>
        <v>11269.093499999999</v>
      </c>
    </row>
    <row r="202" spans="1:6" x14ac:dyDescent="0.3">
      <c r="A202" s="177">
        <v>183</v>
      </c>
      <c r="B202" s="178">
        <v>15</v>
      </c>
      <c r="C202" s="179">
        <v>144</v>
      </c>
      <c r="D202" s="180">
        <f t="shared" si="6"/>
        <v>0</v>
      </c>
      <c r="E202" s="98">
        <v>0</v>
      </c>
      <c r="F202" s="54">
        <f t="shared" si="7"/>
        <v>0</v>
      </c>
    </row>
    <row r="203" spans="1:6" x14ac:dyDescent="0.3">
      <c r="A203" s="177">
        <v>183</v>
      </c>
      <c r="B203" s="178">
        <v>2</v>
      </c>
      <c r="C203" s="179">
        <v>144</v>
      </c>
      <c r="D203" s="180">
        <f t="shared" si="6"/>
        <v>9116.64</v>
      </c>
      <c r="E203" s="98">
        <v>91.166399999999996</v>
      </c>
      <c r="F203" s="54">
        <f t="shared" si="7"/>
        <v>9116.64</v>
      </c>
    </row>
    <row r="204" spans="1:6" x14ac:dyDescent="0.3">
      <c r="A204" s="177">
        <v>185</v>
      </c>
      <c r="B204" s="178">
        <v>6</v>
      </c>
      <c r="C204" s="179">
        <v>144</v>
      </c>
      <c r="D204" s="180">
        <f t="shared" si="6"/>
        <v>9182.0735999999997</v>
      </c>
      <c r="E204" s="98">
        <v>91.820735999999997</v>
      </c>
      <c r="F204" s="54">
        <f t="shared" si="7"/>
        <v>9182.0735999999997</v>
      </c>
    </row>
    <row r="205" spans="1:6" x14ac:dyDescent="0.3">
      <c r="A205" s="177">
        <v>185</v>
      </c>
      <c r="B205" s="178">
        <v>1</v>
      </c>
      <c r="C205" s="179">
        <v>144</v>
      </c>
      <c r="D205" s="180">
        <f t="shared" si="6"/>
        <v>0</v>
      </c>
      <c r="E205" s="98">
        <v>0</v>
      </c>
      <c r="F205" s="54">
        <f t="shared" si="7"/>
        <v>0</v>
      </c>
    </row>
    <row r="206" spans="1:6" x14ac:dyDescent="0.3">
      <c r="A206" s="177">
        <v>185</v>
      </c>
      <c r="B206" s="178">
        <v>3</v>
      </c>
      <c r="C206" s="179">
        <v>144</v>
      </c>
      <c r="D206" s="180">
        <f t="shared" si="6"/>
        <v>6330</v>
      </c>
      <c r="E206" s="98">
        <v>63.3</v>
      </c>
      <c r="F206" s="54">
        <f t="shared" si="7"/>
        <v>6330</v>
      </c>
    </row>
    <row r="207" spans="1:6" x14ac:dyDescent="0.3">
      <c r="A207" s="177">
        <v>185</v>
      </c>
      <c r="B207" s="178">
        <v>7</v>
      </c>
      <c r="C207" s="179">
        <v>144</v>
      </c>
      <c r="D207" s="180">
        <f t="shared" si="6"/>
        <v>0</v>
      </c>
      <c r="E207" s="98">
        <v>0</v>
      </c>
      <c r="F207" s="54">
        <f t="shared" si="7"/>
        <v>0</v>
      </c>
    </row>
    <row r="208" spans="1:6" x14ac:dyDescent="0.3">
      <c r="A208" s="177">
        <v>185</v>
      </c>
      <c r="B208" s="178">
        <v>2</v>
      </c>
      <c r="C208" s="179">
        <v>144</v>
      </c>
      <c r="D208" s="180">
        <f t="shared" si="6"/>
        <v>10930.869599999996</v>
      </c>
      <c r="E208" s="98">
        <v>109.30869599999997</v>
      </c>
      <c r="F208" s="54">
        <f t="shared" si="7"/>
        <v>10930.869599999996</v>
      </c>
    </row>
    <row r="209" spans="1:6" x14ac:dyDescent="0.3">
      <c r="A209" s="177">
        <v>185</v>
      </c>
      <c r="B209" s="178">
        <v>9</v>
      </c>
      <c r="C209" s="179">
        <v>144</v>
      </c>
      <c r="D209" s="180">
        <f t="shared" si="6"/>
        <v>6330</v>
      </c>
      <c r="E209" s="98">
        <v>63.3</v>
      </c>
      <c r="F209" s="54">
        <f t="shared" si="7"/>
        <v>6330</v>
      </c>
    </row>
    <row r="210" spans="1:6" x14ac:dyDescent="0.3">
      <c r="A210" s="177">
        <v>185</v>
      </c>
      <c r="B210" s="178">
        <v>10</v>
      </c>
      <c r="C210" s="179">
        <v>144</v>
      </c>
      <c r="D210" s="180">
        <f t="shared" si="6"/>
        <v>8688.4496999999992</v>
      </c>
      <c r="E210" s="98">
        <v>86.884496999999996</v>
      </c>
      <c r="F210" s="54">
        <f t="shared" si="7"/>
        <v>8688.4496999999992</v>
      </c>
    </row>
    <row r="211" spans="1:6" x14ac:dyDescent="0.3">
      <c r="A211" s="177">
        <v>185</v>
      </c>
      <c r="B211" s="178">
        <v>11</v>
      </c>
      <c r="C211" s="179">
        <v>144</v>
      </c>
      <c r="D211" s="180">
        <f t="shared" si="6"/>
        <v>8112.9530999999988</v>
      </c>
      <c r="E211" s="98">
        <v>81.129530999999986</v>
      </c>
      <c r="F211" s="54">
        <f t="shared" si="7"/>
        <v>8112.9530999999988</v>
      </c>
    </row>
    <row r="212" spans="1:6" x14ac:dyDescent="0.3">
      <c r="A212" s="177">
        <v>185</v>
      </c>
      <c r="B212" s="178">
        <v>4</v>
      </c>
      <c r="C212" s="179">
        <v>144</v>
      </c>
      <c r="D212" s="180">
        <f t="shared" si="6"/>
        <v>6330</v>
      </c>
      <c r="E212" s="98">
        <v>63.3</v>
      </c>
      <c r="F212" s="54">
        <f t="shared" si="7"/>
        <v>6330</v>
      </c>
    </row>
    <row r="213" spans="1:6" x14ac:dyDescent="0.3">
      <c r="A213" s="177">
        <v>185</v>
      </c>
      <c r="B213" s="178">
        <v>8</v>
      </c>
      <c r="C213" s="179">
        <v>144</v>
      </c>
      <c r="D213" s="180">
        <f t="shared" si="6"/>
        <v>12384.747899999998</v>
      </c>
      <c r="E213" s="98">
        <v>123.84747899999998</v>
      </c>
      <c r="F213" s="54">
        <f t="shared" si="7"/>
        <v>12384.747899999998</v>
      </c>
    </row>
    <row r="214" spans="1:6" x14ac:dyDescent="0.3">
      <c r="A214" s="177">
        <v>185</v>
      </c>
      <c r="B214" s="178">
        <v>5</v>
      </c>
      <c r="C214" s="179">
        <v>144</v>
      </c>
      <c r="D214" s="180">
        <f t="shared" si="6"/>
        <v>0</v>
      </c>
      <c r="E214" s="98">
        <v>0</v>
      </c>
      <c r="F214" s="54">
        <f t="shared" si="7"/>
        <v>0</v>
      </c>
    </row>
    <row r="215" spans="1:6" x14ac:dyDescent="0.3">
      <c r="A215" s="177">
        <v>200</v>
      </c>
      <c r="B215" s="178">
        <v>129</v>
      </c>
      <c r="C215" s="179">
        <v>144</v>
      </c>
      <c r="D215" s="180">
        <f t="shared" si="6"/>
        <v>10081.188599999999</v>
      </c>
      <c r="E215" s="98">
        <v>100.811886</v>
      </c>
      <c r="F215" s="54">
        <f t="shared" si="7"/>
        <v>10081.188599999999</v>
      </c>
    </row>
    <row r="216" spans="1:6" x14ac:dyDescent="0.3">
      <c r="A216" s="177">
        <v>200</v>
      </c>
      <c r="B216" s="178">
        <v>82</v>
      </c>
      <c r="C216" s="179">
        <v>144</v>
      </c>
      <c r="D216" s="180">
        <f t="shared" si="6"/>
        <v>7849.4366999999984</v>
      </c>
      <c r="E216" s="98">
        <v>78.494366999999983</v>
      </c>
      <c r="F216" s="54">
        <f t="shared" si="7"/>
        <v>7849.4366999999984</v>
      </c>
    </row>
    <row r="217" spans="1:6" x14ac:dyDescent="0.3">
      <c r="A217" s="177">
        <v>200</v>
      </c>
      <c r="B217" s="178">
        <v>132</v>
      </c>
      <c r="C217" s="179">
        <v>144</v>
      </c>
      <c r="D217" s="180">
        <f t="shared" si="6"/>
        <v>11279.635499999999</v>
      </c>
      <c r="E217" s="98">
        <v>112.79635499999999</v>
      </c>
      <c r="F217" s="54">
        <f t="shared" si="7"/>
        <v>11279.635499999999</v>
      </c>
    </row>
    <row r="218" spans="1:6" x14ac:dyDescent="0.3">
      <c r="A218" s="177">
        <v>200</v>
      </c>
      <c r="B218" s="178">
        <v>130</v>
      </c>
      <c r="C218" s="179">
        <v>144</v>
      </c>
      <c r="D218" s="180">
        <f t="shared" si="6"/>
        <v>6720</v>
      </c>
      <c r="E218" s="98">
        <v>67.2</v>
      </c>
      <c r="F218" s="54">
        <f t="shared" si="7"/>
        <v>6720</v>
      </c>
    </row>
    <row r="219" spans="1:6" x14ac:dyDescent="0.3">
      <c r="A219" s="177">
        <v>200</v>
      </c>
      <c r="B219" s="178">
        <v>133</v>
      </c>
      <c r="C219" s="179">
        <v>144</v>
      </c>
      <c r="D219" s="180">
        <f t="shared" si="6"/>
        <v>0</v>
      </c>
      <c r="E219" s="98">
        <v>0</v>
      </c>
      <c r="F219" s="54">
        <f t="shared" si="7"/>
        <v>0</v>
      </c>
    </row>
    <row r="220" spans="1:6" x14ac:dyDescent="0.3">
      <c r="A220" s="177">
        <v>200</v>
      </c>
      <c r="B220" s="178">
        <v>120</v>
      </c>
      <c r="C220" s="179">
        <v>144</v>
      </c>
      <c r="D220" s="180">
        <f t="shared" si="6"/>
        <v>7050</v>
      </c>
      <c r="E220" s="98">
        <v>70.5</v>
      </c>
      <c r="F220" s="54">
        <f t="shared" si="7"/>
        <v>7050</v>
      </c>
    </row>
    <row r="221" spans="1:6" x14ac:dyDescent="0.3">
      <c r="A221" s="177">
        <v>200</v>
      </c>
      <c r="B221" s="178">
        <v>74</v>
      </c>
      <c r="C221" s="179">
        <v>144</v>
      </c>
      <c r="D221" s="180">
        <f t="shared" si="6"/>
        <v>12310.865699999997</v>
      </c>
      <c r="E221" s="98">
        <v>123.10865699999997</v>
      </c>
      <c r="F221" s="54">
        <f t="shared" si="7"/>
        <v>12310.865699999997</v>
      </c>
    </row>
    <row r="222" spans="1:6" x14ac:dyDescent="0.3">
      <c r="A222" s="177">
        <v>200</v>
      </c>
      <c r="B222" s="178">
        <v>136</v>
      </c>
      <c r="C222" s="179">
        <v>144</v>
      </c>
      <c r="D222" s="180">
        <f t="shared" si="6"/>
        <v>5152</v>
      </c>
      <c r="E222" s="98">
        <v>51.52</v>
      </c>
      <c r="F222" s="54">
        <f t="shared" si="7"/>
        <v>5152</v>
      </c>
    </row>
    <row r="223" spans="1:6" x14ac:dyDescent="0.3">
      <c r="A223" s="177">
        <v>200</v>
      </c>
      <c r="B223" s="178">
        <v>128</v>
      </c>
      <c r="C223" s="179">
        <v>144</v>
      </c>
      <c r="D223" s="180">
        <f t="shared" si="6"/>
        <v>0</v>
      </c>
      <c r="E223" s="98">
        <v>0</v>
      </c>
      <c r="F223" s="54">
        <f t="shared" si="7"/>
        <v>0</v>
      </c>
    </row>
    <row r="224" spans="1:6" x14ac:dyDescent="0.3">
      <c r="A224" s="177">
        <v>200</v>
      </c>
      <c r="B224" s="178">
        <v>135</v>
      </c>
      <c r="C224" s="179">
        <v>144</v>
      </c>
      <c r="D224" s="180">
        <f t="shared" si="6"/>
        <v>5874.9999999999991</v>
      </c>
      <c r="E224" s="98">
        <v>58.749999999999993</v>
      </c>
      <c r="F224" s="54">
        <f t="shared" si="7"/>
        <v>5874.9999999999991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84"/>
  <sheetViews>
    <sheetView showGridLines="0" topLeftCell="A63" workbookViewId="0">
      <selection activeCell="A5" sqref="A5:D8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70" t="s">
        <v>706</v>
      </c>
      <c r="B1" s="171"/>
    </row>
    <row r="2" spans="1:6" x14ac:dyDescent="0.3">
      <c r="A2" s="170" t="s">
        <v>707</v>
      </c>
      <c r="B2" s="171"/>
    </row>
    <row r="3" spans="1:6" x14ac:dyDescent="0.3">
      <c r="A3" s="170"/>
      <c r="B3" s="171"/>
    </row>
    <row r="4" spans="1:6" x14ac:dyDescent="0.3">
      <c r="A4" s="172"/>
      <c r="B4" s="173"/>
      <c r="C4" s="174"/>
      <c r="D4" s="175"/>
      <c r="E4" s="176"/>
    </row>
    <row r="5" spans="1:6" x14ac:dyDescent="0.3">
      <c r="A5" s="177">
        <v>104</v>
      </c>
      <c r="B5" s="178">
        <v>33</v>
      </c>
      <c r="C5" s="179">
        <v>256</v>
      </c>
      <c r="D5" s="180">
        <f>F5</f>
        <v>3033</v>
      </c>
      <c r="E5" s="181">
        <v>30.33</v>
      </c>
      <c r="F5" s="54">
        <f>E5*100</f>
        <v>3033</v>
      </c>
    </row>
    <row r="6" spans="1:6" x14ac:dyDescent="0.3">
      <c r="A6" s="177">
        <v>104</v>
      </c>
      <c r="B6" s="178">
        <v>53</v>
      </c>
      <c r="C6" s="179">
        <v>256</v>
      </c>
      <c r="D6" s="180">
        <f t="shared" ref="D6:D69" si="0">F6</f>
        <v>3033</v>
      </c>
      <c r="E6" s="181">
        <v>30.33</v>
      </c>
      <c r="F6" s="54">
        <f t="shared" ref="F6:F69" si="1">E6*100</f>
        <v>3033</v>
      </c>
    </row>
    <row r="7" spans="1:6" x14ac:dyDescent="0.3">
      <c r="A7" s="177">
        <v>104</v>
      </c>
      <c r="B7" s="178">
        <v>41</v>
      </c>
      <c r="C7" s="179">
        <v>256</v>
      </c>
      <c r="D7" s="180">
        <f t="shared" si="0"/>
        <v>3033</v>
      </c>
      <c r="E7" s="181">
        <v>30.33</v>
      </c>
      <c r="F7" s="54">
        <f t="shared" si="1"/>
        <v>3033</v>
      </c>
    </row>
    <row r="8" spans="1:6" x14ac:dyDescent="0.3">
      <c r="A8" s="177">
        <v>123</v>
      </c>
      <c r="B8" s="178">
        <v>58</v>
      </c>
      <c r="C8" s="179">
        <v>256</v>
      </c>
      <c r="D8" s="180">
        <f t="shared" si="0"/>
        <v>6000</v>
      </c>
      <c r="E8" s="181">
        <v>60</v>
      </c>
      <c r="F8" s="54">
        <f t="shared" si="1"/>
        <v>6000</v>
      </c>
    </row>
    <row r="9" spans="1:6" x14ac:dyDescent="0.3">
      <c r="A9" s="177">
        <v>123</v>
      </c>
      <c r="B9" s="178">
        <v>69</v>
      </c>
      <c r="C9" s="179">
        <v>256</v>
      </c>
      <c r="D9" s="180">
        <f t="shared" si="0"/>
        <v>6000</v>
      </c>
      <c r="E9" s="181">
        <v>60</v>
      </c>
      <c r="F9" s="54">
        <f t="shared" si="1"/>
        <v>6000</v>
      </c>
    </row>
    <row r="10" spans="1:6" x14ac:dyDescent="0.3">
      <c r="A10" s="177">
        <v>123</v>
      </c>
      <c r="B10" s="178">
        <v>75</v>
      </c>
      <c r="C10" s="179">
        <v>256</v>
      </c>
      <c r="D10" s="180">
        <f t="shared" si="0"/>
        <v>6000</v>
      </c>
      <c r="E10" s="181">
        <v>60</v>
      </c>
      <c r="F10" s="54">
        <f t="shared" si="1"/>
        <v>6000</v>
      </c>
    </row>
    <row r="11" spans="1:6" x14ac:dyDescent="0.3">
      <c r="A11" s="177">
        <v>123</v>
      </c>
      <c r="B11" s="178">
        <v>76</v>
      </c>
      <c r="C11" s="179">
        <v>256</v>
      </c>
      <c r="D11" s="180">
        <f t="shared" si="0"/>
        <v>6000</v>
      </c>
      <c r="E11" s="181">
        <v>60</v>
      </c>
      <c r="F11" s="54">
        <f t="shared" si="1"/>
        <v>6000</v>
      </c>
    </row>
    <row r="12" spans="1:6" x14ac:dyDescent="0.3">
      <c r="A12" s="177">
        <v>123</v>
      </c>
      <c r="B12" s="178">
        <v>68</v>
      </c>
      <c r="C12" s="179">
        <v>256</v>
      </c>
      <c r="D12" s="180">
        <f t="shared" si="0"/>
        <v>6000</v>
      </c>
      <c r="E12" s="181">
        <v>60</v>
      </c>
      <c r="F12" s="54">
        <f t="shared" si="1"/>
        <v>6000</v>
      </c>
    </row>
    <row r="13" spans="1:6" x14ac:dyDescent="0.3">
      <c r="A13" s="177">
        <v>123</v>
      </c>
      <c r="B13" s="178">
        <v>36</v>
      </c>
      <c r="C13" s="179">
        <v>256</v>
      </c>
      <c r="D13" s="180">
        <f t="shared" si="0"/>
        <v>6000</v>
      </c>
      <c r="E13" s="181">
        <v>60</v>
      </c>
      <c r="F13" s="54">
        <f t="shared" si="1"/>
        <v>6000</v>
      </c>
    </row>
    <row r="14" spans="1:6" x14ac:dyDescent="0.3">
      <c r="A14" s="177">
        <v>123</v>
      </c>
      <c r="B14" s="178">
        <v>70</v>
      </c>
      <c r="C14" s="179">
        <v>256</v>
      </c>
      <c r="D14" s="180">
        <f t="shared" si="0"/>
        <v>6000</v>
      </c>
      <c r="E14" s="181">
        <v>60</v>
      </c>
      <c r="F14" s="54">
        <f t="shared" si="1"/>
        <v>6000</v>
      </c>
    </row>
    <row r="15" spans="1:6" x14ac:dyDescent="0.3">
      <c r="A15" s="177">
        <v>124</v>
      </c>
      <c r="B15" s="178">
        <v>32</v>
      </c>
      <c r="C15" s="179">
        <v>256</v>
      </c>
      <c r="D15" s="180">
        <f t="shared" si="0"/>
        <v>7314</v>
      </c>
      <c r="E15" s="181">
        <v>73.14</v>
      </c>
      <c r="F15" s="54">
        <f t="shared" si="1"/>
        <v>7314</v>
      </c>
    </row>
    <row r="16" spans="1:6" x14ac:dyDescent="0.3">
      <c r="A16" s="177">
        <v>124</v>
      </c>
      <c r="B16" s="178">
        <v>2</v>
      </c>
      <c r="C16" s="179">
        <v>256</v>
      </c>
      <c r="D16" s="180">
        <f t="shared" si="0"/>
        <v>7314</v>
      </c>
      <c r="E16" s="181">
        <v>73.14</v>
      </c>
      <c r="F16" s="54">
        <f t="shared" si="1"/>
        <v>7314</v>
      </c>
    </row>
    <row r="17" spans="1:6" x14ac:dyDescent="0.3">
      <c r="A17" s="177">
        <v>124</v>
      </c>
      <c r="B17" s="178">
        <v>19</v>
      </c>
      <c r="C17" s="179">
        <v>256</v>
      </c>
      <c r="D17" s="180">
        <f t="shared" si="0"/>
        <v>7314</v>
      </c>
      <c r="E17" s="181">
        <v>73.14</v>
      </c>
      <c r="F17" s="54">
        <f t="shared" si="1"/>
        <v>7314</v>
      </c>
    </row>
    <row r="18" spans="1:6" x14ac:dyDescent="0.3">
      <c r="A18" s="177">
        <v>124</v>
      </c>
      <c r="B18" s="178">
        <v>49</v>
      </c>
      <c r="C18" s="179">
        <v>256</v>
      </c>
      <c r="D18" s="180">
        <f t="shared" si="0"/>
        <v>7314</v>
      </c>
      <c r="E18" s="181">
        <v>73.14</v>
      </c>
      <c r="F18" s="54">
        <f t="shared" si="1"/>
        <v>7314</v>
      </c>
    </row>
    <row r="19" spans="1:6" x14ac:dyDescent="0.3">
      <c r="A19" s="177">
        <v>124</v>
      </c>
      <c r="B19" s="178">
        <v>40</v>
      </c>
      <c r="C19" s="179">
        <v>256</v>
      </c>
      <c r="D19" s="180">
        <f t="shared" si="0"/>
        <v>7314</v>
      </c>
      <c r="E19" s="181">
        <v>73.14</v>
      </c>
      <c r="F19" s="54">
        <f t="shared" si="1"/>
        <v>7314</v>
      </c>
    </row>
    <row r="20" spans="1:6" x14ac:dyDescent="0.3">
      <c r="A20" s="177">
        <v>124</v>
      </c>
      <c r="B20" s="178">
        <v>39</v>
      </c>
      <c r="C20" s="179">
        <v>256</v>
      </c>
      <c r="D20" s="180">
        <f t="shared" si="0"/>
        <v>7314</v>
      </c>
      <c r="E20" s="181">
        <v>73.14</v>
      </c>
      <c r="F20" s="54">
        <f t="shared" si="1"/>
        <v>7314</v>
      </c>
    </row>
    <row r="21" spans="1:6" x14ac:dyDescent="0.3">
      <c r="A21" s="177">
        <v>127</v>
      </c>
      <c r="B21" s="178">
        <v>70</v>
      </c>
      <c r="C21" s="179">
        <v>256</v>
      </c>
      <c r="D21" s="180">
        <f t="shared" si="0"/>
        <v>3900</v>
      </c>
      <c r="E21" s="181">
        <v>39</v>
      </c>
      <c r="F21" s="54">
        <f t="shared" si="1"/>
        <v>3900</v>
      </c>
    </row>
    <row r="22" spans="1:6" x14ac:dyDescent="0.3">
      <c r="A22" s="177">
        <v>127</v>
      </c>
      <c r="B22" s="178">
        <v>75</v>
      </c>
      <c r="C22" s="179">
        <v>256</v>
      </c>
      <c r="D22" s="180">
        <f t="shared" si="0"/>
        <v>3900</v>
      </c>
      <c r="E22" s="181">
        <v>39</v>
      </c>
      <c r="F22" s="54">
        <f t="shared" si="1"/>
        <v>3900</v>
      </c>
    </row>
    <row r="23" spans="1:6" x14ac:dyDescent="0.3">
      <c r="A23" s="177">
        <v>127</v>
      </c>
      <c r="B23" s="178">
        <v>80</v>
      </c>
      <c r="C23" s="179">
        <v>256</v>
      </c>
      <c r="D23" s="180">
        <f t="shared" si="0"/>
        <v>3900</v>
      </c>
      <c r="E23" s="181">
        <v>39</v>
      </c>
      <c r="F23" s="54">
        <f t="shared" si="1"/>
        <v>3900</v>
      </c>
    </row>
    <row r="24" spans="1:6" x14ac:dyDescent="0.3">
      <c r="A24" s="177">
        <v>161</v>
      </c>
      <c r="B24" s="178">
        <v>51</v>
      </c>
      <c r="C24" s="179">
        <v>256</v>
      </c>
      <c r="D24" s="180">
        <f t="shared" si="0"/>
        <v>4277</v>
      </c>
      <c r="E24" s="181">
        <v>42.77</v>
      </c>
      <c r="F24" s="54">
        <f t="shared" si="1"/>
        <v>4277</v>
      </c>
    </row>
    <row r="25" spans="1:6" x14ac:dyDescent="0.3">
      <c r="A25" s="177">
        <v>161</v>
      </c>
      <c r="B25" s="178">
        <v>49</v>
      </c>
      <c r="C25" s="179">
        <v>256</v>
      </c>
      <c r="D25" s="180">
        <f t="shared" si="0"/>
        <v>4277</v>
      </c>
      <c r="E25" s="181">
        <v>42.77</v>
      </c>
      <c r="F25" s="54">
        <f t="shared" si="1"/>
        <v>4277</v>
      </c>
    </row>
    <row r="26" spans="1:6" x14ac:dyDescent="0.3">
      <c r="A26" s="177">
        <v>161</v>
      </c>
      <c r="B26" s="178">
        <v>32</v>
      </c>
      <c r="C26" s="179">
        <v>256</v>
      </c>
      <c r="D26" s="180">
        <f t="shared" si="0"/>
        <v>4277</v>
      </c>
      <c r="E26" s="181">
        <v>42.77</v>
      </c>
      <c r="F26" s="54">
        <f t="shared" si="1"/>
        <v>4277</v>
      </c>
    </row>
    <row r="27" spans="1:6" x14ac:dyDescent="0.3">
      <c r="A27" s="177">
        <v>166</v>
      </c>
      <c r="B27" s="178">
        <v>34</v>
      </c>
      <c r="C27" s="179">
        <v>256</v>
      </c>
      <c r="D27" s="180">
        <f t="shared" si="0"/>
        <v>9100</v>
      </c>
      <c r="E27" s="181">
        <v>91</v>
      </c>
      <c r="F27" s="54">
        <f t="shared" si="1"/>
        <v>9100</v>
      </c>
    </row>
    <row r="28" spans="1:6" x14ac:dyDescent="0.3">
      <c r="A28" s="177">
        <v>166</v>
      </c>
      <c r="B28" s="178">
        <v>1</v>
      </c>
      <c r="C28" s="179">
        <v>256</v>
      </c>
      <c r="D28" s="180">
        <f t="shared" si="0"/>
        <v>28000</v>
      </c>
      <c r="E28" s="181">
        <v>280</v>
      </c>
      <c r="F28" s="54">
        <f t="shared" si="1"/>
        <v>28000</v>
      </c>
    </row>
    <row r="29" spans="1:6" x14ac:dyDescent="0.3">
      <c r="A29" s="177">
        <v>166</v>
      </c>
      <c r="B29" s="178">
        <v>8</v>
      </c>
      <c r="C29" s="179">
        <v>256</v>
      </c>
      <c r="D29" s="180">
        <f t="shared" si="0"/>
        <v>9100</v>
      </c>
      <c r="E29" s="181">
        <v>91</v>
      </c>
      <c r="F29" s="54">
        <f t="shared" si="1"/>
        <v>9100</v>
      </c>
    </row>
    <row r="30" spans="1:6" x14ac:dyDescent="0.3">
      <c r="A30" s="177">
        <v>169</v>
      </c>
      <c r="B30" s="178">
        <v>35</v>
      </c>
      <c r="C30" s="179">
        <v>256</v>
      </c>
      <c r="D30" s="180">
        <f t="shared" si="0"/>
        <v>6300</v>
      </c>
      <c r="E30" s="181">
        <v>63</v>
      </c>
      <c r="F30" s="54">
        <f t="shared" si="1"/>
        <v>6300</v>
      </c>
    </row>
    <row r="31" spans="1:6" x14ac:dyDescent="0.3">
      <c r="A31" s="177">
        <v>169</v>
      </c>
      <c r="B31" s="178">
        <v>39</v>
      </c>
      <c r="C31" s="179">
        <v>256</v>
      </c>
      <c r="D31" s="180">
        <f t="shared" si="0"/>
        <v>6300</v>
      </c>
      <c r="E31" s="181">
        <v>63</v>
      </c>
      <c r="F31" s="54">
        <f t="shared" si="1"/>
        <v>6300</v>
      </c>
    </row>
    <row r="32" spans="1:6" x14ac:dyDescent="0.3">
      <c r="A32" s="177">
        <v>169</v>
      </c>
      <c r="B32" s="178">
        <v>31</v>
      </c>
      <c r="C32" s="179">
        <v>256</v>
      </c>
      <c r="D32" s="180">
        <f t="shared" si="0"/>
        <v>6300</v>
      </c>
      <c r="E32" s="181">
        <v>63</v>
      </c>
      <c r="F32" s="54">
        <f t="shared" si="1"/>
        <v>6300</v>
      </c>
    </row>
    <row r="33" spans="1:6" x14ac:dyDescent="0.3">
      <c r="A33" s="177">
        <v>169</v>
      </c>
      <c r="B33" s="178">
        <v>7</v>
      </c>
      <c r="C33" s="179">
        <v>256</v>
      </c>
      <c r="D33" s="180">
        <f t="shared" si="0"/>
        <v>6300</v>
      </c>
      <c r="E33" s="181">
        <v>63</v>
      </c>
      <c r="F33" s="54">
        <f t="shared" si="1"/>
        <v>6300</v>
      </c>
    </row>
    <row r="34" spans="1:6" x14ac:dyDescent="0.3">
      <c r="A34" s="177">
        <v>169</v>
      </c>
      <c r="B34" s="178">
        <v>41</v>
      </c>
      <c r="C34" s="179">
        <v>256</v>
      </c>
      <c r="D34" s="180">
        <f t="shared" si="0"/>
        <v>6300</v>
      </c>
      <c r="E34" s="181">
        <v>63</v>
      </c>
      <c r="F34" s="54">
        <f t="shared" si="1"/>
        <v>6300</v>
      </c>
    </row>
    <row r="35" spans="1:6" x14ac:dyDescent="0.3">
      <c r="A35" s="177">
        <v>169</v>
      </c>
      <c r="B35" s="178">
        <v>37</v>
      </c>
      <c r="C35" s="179">
        <v>256</v>
      </c>
      <c r="D35" s="180">
        <f t="shared" si="0"/>
        <v>6300</v>
      </c>
      <c r="E35" s="181">
        <v>63</v>
      </c>
      <c r="F35" s="54">
        <f t="shared" si="1"/>
        <v>6300</v>
      </c>
    </row>
    <row r="36" spans="1:6" x14ac:dyDescent="0.3">
      <c r="A36" s="177">
        <v>169</v>
      </c>
      <c r="B36" s="178">
        <v>38</v>
      </c>
      <c r="C36" s="179">
        <v>256</v>
      </c>
      <c r="D36" s="180">
        <f t="shared" si="0"/>
        <v>6300</v>
      </c>
      <c r="E36" s="181">
        <v>63</v>
      </c>
      <c r="F36" s="54">
        <f t="shared" si="1"/>
        <v>6300</v>
      </c>
    </row>
    <row r="37" spans="1:6" x14ac:dyDescent="0.3">
      <c r="A37" s="177">
        <v>169</v>
      </c>
      <c r="B37" s="178">
        <v>1</v>
      </c>
      <c r="C37" s="179">
        <v>256</v>
      </c>
      <c r="D37" s="180">
        <f t="shared" si="0"/>
        <v>6300</v>
      </c>
      <c r="E37" s="181">
        <v>63</v>
      </c>
      <c r="F37" s="54">
        <f t="shared" si="1"/>
        <v>6300</v>
      </c>
    </row>
    <row r="38" spans="1:6" x14ac:dyDescent="0.3">
      <c r="A38" s="177">
        <v>179</v>
      </c>
      <c r="B38" s="178">
        <v>1</v>
      </c>
      <c r="C38" s="179">
        <v>256</v>
      </c>
      <c r="D38" s="180">
        <f t="shared" si="0"/>
        <v>3900</v>
      </c>
      <c r="E38" s="181">
        <v>39</v>
      </c>
      <c r="F38" s="54">
        <f t="shared" si="1"/>
        <v>3900</v>
      </c>
    </row>
    <row r="39" spans="1:6" x14ac:dyDescent="0.3">
      <c r="A39" s="177">
        <v>179</v>
      </c>
      <c r="B39" s="178">
        <v>2</v>
      </c>
      <c r="C39" s="179">
        <v>256</v>
      </c>
      <c r="D39" s="180">
        <f t="shared" si="0"/>
        <v>3900</v>
      </c>
      <c r="E39" s="181">
        <v>39</v>
      </c>
      <c r="F39" s="54">
        <f t="shared" si="1"/>
        <v>3900</v>
      </c>
    </row>
    <row r="40" spans="1:6" x14ac:dyDescent="0.3">
      <c r="A40" s="177">
        <v>179</v>
      </c>
      <c r="B40" s="178">
        <v>3</v>
      </c>
      <c r="C40" s="179">
        <v>256</v>
      </c>
      <c r="D40" s="180">
        <f t="shared" si="0"/>
        <v>3900</v>
      </c>
      <c r="E40" s="181">
        <v>39</v>
      </c>
      <c r="F40" s="54">
        <f t="shared" si="1"/>
        <v>3900</v>
      </c>
    </row>
    <row r="41" spans="1:6" x14ac:dyDescent="0.3">
      <c r="A41" s="177">
        <v>179</v>
      </c>
      <c r="B41" s="178">
        <v>4</v>
      </c>
      <c r="C41" s="179">
        <v>256</v>
      </c>
      <c r="D41" s="180">
        <f t="shared" si="0"/>
        <v>3900</v>
      </c>
      <c r="E41" s="181">
        <v>39</v>
      </c>
      <c r="F41" s="54">
        <f t="shared" si="1"/>
        <v>3900</v>
      </c>
    </row>
    <row r="42" spans="1:6" x14ac:dyDescent="0.3">
      <c r="A42" s="177">
        <v>179</v>
      </c>
      <c r="B42" s="178">
        <v>16</v>
      </c>
      <c r="C42" s="179">
        <v>256</v>
      </c>
      <c r="D42" s="180">
        <f t="shared" si="0"/>
        <v>3900</v>
      </c>
      <c r="E42" s="181">
        <v>39</v>
      </c>
      <c r="F42" s="54">
        <f t="shared" si="1"/>
        <v>3900</v>
      </c>
    </row>
    <row r="43" spans="1:6" x14ac:dyDescent="0.3">
      <c r="A43" s="177">
        <v>179</v>
      </c>
      <c r="B43" s="178">
        <v>12</v>
      </c>
      <c r="C43" s="179">
        <v>256</v>
      </c>
      <c r="D43" s="180">
        <f t="shared" si="0"/>
        <v>3900</v>
      </c>
      <c r="E43" s="181">
        <v>39</v>
      </c>
      <c r="F43" s="54">
        <f t="shared" si="1"/>
        <v>3900</v>
      </c>
    </row>
    <row r="44" spans="1:6" x14ac:dyDescent="0.3">
      <c r="A44" s="177">
        <v>179</v>
      </c>
      <c r="B44" s="178">
        <v>18</v>
      </c>
      <c r="C44" s="179">
        <v>256</v>
      </c>
      <c r="D44" s="180">
        <f t="shared" si="0"/>
        <v>3900</v>
      </c>
      <c r="E44" s="181">
        <v>39</v>
      </c>
      <c r="F44" s="54">
        <f t="shared" si="1"/>
        <v>3900</v>
      </c>
    </row>
    <row r="45" spans="1:6" x14ac:dyDescent="0.3">
      <c r="A45" s="177">
        <v>104</v>
      </c>
      <c r="B45" s="178">
        <v>33</v>
      </c>
      <c r="C45" s="179">
        <v>232</v>
      </c>
      <c r="D45" s="180">
        <f t="shared" si="0"/>
        <v>3033</v>
      </c>
      <c r="E45" s="181">
        <v>30.33</v>
      </c>
      <c r="F45" s="54">
        <f t="shared" si="1"/>
        <v>3033</v>
      </c>
    </row>
    <row r="46" spans="1:6" x14ac:dyDescent="0.3">
      <c r="A46" s="177">
        <v>104</v>
      </c>
      <c r="B46" s="178">
        <v>53</v>
      </c>
      <c r="C46" s="179">
        <v>232</v>
      </c>
      <c r="D46" s="180">
        <f t="shared" si="0"/>
        <v>3033</v>
      </c>
      <c r="E46" s="181">
        <v>30.33</v>
      </c>
      <c r="F46" s="54">
        <f t="shared" si="1"/>
        <v>3033</v>
      </c>
    </row>
    <row r="47" spans="1:6" x14ac:dyDescent="0.3">
      <c r="A47" s="177">
        <v>104</v>
      </c>
      <c r="B47" s="178">
        <v>41</v>
      </c>
      <c r="C47" s="179">
        <v>232</v>
      </c>
      <c r="D47" s="180">
        <f t="shared" si="0"/>
        <v>3033</v>
      </c>
      <c r="E47" s="181">
        <v>30.33</v>
      </c>
      <c r="F47" s="54">
        <f t="shared" si="1"/>
        <v>3033</v>
      </c>
    </row>
    <row r="48" spans="1:6" x14ac:dyDescent="0.3">
      <c r="A48" s="177">
        <v>123</v>
      </c>
      <c r="B48" s="178">
        <v>58</v>
      </c>
      <c r="C48" s="179">
        <v>232</v>
      </c>
      <c r="D48" s="180">
        <f t="shared" si="0"/>
        <v>6000</v>
      </c>
      <c r="E48" s="181">
        <v>60</v>
      </c>
      <c r="F48" s="54">
        <f t="shared" si="1"/>
        <v>6000</v>
      </c>
    </row>
    <row r="49" spans="1:6" x14ac:dyDescent="0.3">
      <c r="A49" s="177">
        <v>123</v>
      </c>
      <c r="B49" s="178">
        <v>69</v>
      </c>
      <c r="C49" s="179">
        <v>232</v>
      </c>
      <c r="D49" s="180">
        <f t="shared" si="0"/>
        <v>6000</v>
      </c>
      <c r="E49" s="181">
        <v>60</v>
      </c>
      <c r="F49" s="54">
        <f t="shared" si="1"/>
        <v>6000</v>
      </c>
    </row>
    <row r="50" spans="1:6" x14ac:dyDescent="0.3">
      <c r="A50" s="177">
        <v>123</v>
      </c>
      <c r="B50" s="178">
        <v>75</v>
      </c>
      <c r="C50" s="179">
        <v>232</v>
      </c>
      <c r="D50" s="180">
        <f t="shared" si="0"/>
        <v>6000</v>
      </c>
      <c r="E50" s="181">
        <v>60</v>
      </c>
      <c r="F50" s="54">
        <f t="shared" si="1"/>
        <v>6000</v>
      </c>
    </row>
    <row r="51" spans="1:6" x14ac:dyDescent="0.3">
      <c r="A51" s="177">
        <v>123</v>
      </c>
      <c r="B51" s="178">
        <v>76</v>
      </c>
      <c r="C51" s="179">
        <v>232</v>
      </c>
      <c r="D51" s="180">
        <f t="shared" si="0"/>
        <v>6000</v>
      </c>
      <c r="E51" s="181">
        <v>60</v>
      </c>
      <c r="F51" s="54">
        <f t="shared" si="1"/>
        <v>6000</v>
      </c>
    </row>
    <row r="52" spans="1:6" x14ac:dyDescent="0.3">
      <c r="A52" s="177">
        <v>123</v>
      </c>
      <c r="B52" s="178">
        <v>68</v>
      </c>
      <c r="C52" s="179">
        <v>232</v>
      </c>
      <c r="D52" s="180">
        <f t="shared" si="0"/>
        <v>6000</v>
      </c>
      <c r="E52" s="181">
        <v>60</v>
      </c>
      <c r="F52" s="54">
        <f t="shared" si="1"/>
        <v>6000</v>
      </c>
    </row>
    <row r="53" spans="1:6" x14ac:dyDescent="0.3">
      <c r="A53" s="177">
        <v>123</v>
      </c>
      <c r="B53" s="178">
        <v>36</v>
      </c>
      <c r="C53" s="179">
        <v>232</v>
      </c>
      <c r="D53" s="180">
        <f t="shared" si="0"/>
        <v>6000</v>
      </c>
      <c r="E53" s="181">
        <v>60</v>
      </c>
      <c r="F53" s="54">
        <f t="shared" si="1"/>
        <v>6000</v>
      </c>
    </row>
    <row r="54" spans="1:6" x14ac:dyDescent="0.3">
      <c r="A54" s="177">
        <v>123</v>
      </c>
      <c r="B54" s="178">
        <v>70</v>
      </c>
      <c r="C54" s="179">
        <v>232</v>
      </c>
      <c r="D54" s="180">
        <f t="shared" si="0"/>
        <v>6000</v>
      </c>
      <c r="E54" s="181">
        <v>60</v>
      </c>
      <c r="F54" s="54">
        <f t="shared" si="1"/>
        <v>6000</v>
      </c>
    </row>
    <row r="55" spans="1:6" x14ac:dyDescent="0.3">
      <c r="A55" s="177">
        <v>124</v>
      </c>
      <c r="B55" s="178">
        <v>32</v>
      </c>
      <c r="C55" s="179">
        <v>232</v>
      </c>
      <c r="D55" s="180">
        <f t="shared" si="0"/>
        <v>7314</v>
      </c>
      <c r="E55" s="181">
        <v>73.14</v>
      </c>
      <c r="F55" s="54">
        <f t="shared" si="1"/>
        <v>7314</v>
      </c>
    </row>
    <row r="56" spans="1:6" x14ac:dyDescent="0.3">
      <c r="A56" s="177">
        <v>124</v>
      </c>
      <c r="B56" s="178">
        <v>2</v>
      </c>
      <c r="C56" s="179">
        <v>232</v>
      </c>
      <c r="D56" s="180">
        <f t="shared" si="0"/>
        <v>7314</v>
      </c>
      <c r="E56" s="181">
        <v>73.14</v>
      </c>
      <c r="F56" s="54">
        <f t="shared" si="1"/>
        <v>7314</v>
      </c>
    </row>
    <row r="57" spans="1:6" x14ac:dyDescent="0.3">
      <c r="A57" s="177">
        <v>124</v>
      </c>
      <c r="B57" s="178">
        <v>19</v>
      </c>
      <c r="C57" s="179">
        <v>232</v>
      </c>
      <c r="D57" s="180">
        <f t="shared" si="0"/>
        <v>7314</v>
      </c>
      <c r="E57" s="181">
        <v>73.14</v>
      </c>
      <c r="F57" s="54">
        <f t="shared" si="1"/>
        <v>7314</v>
      </c>
    </row>
    <row r="58" spans="1:6" x14ac:dyDescent="0.3">
      <c r="A58" s="177">
        <v>124</v>
      </c>
      <c r="B58" s="178">
        <v>49</v>
      </c>
      <c r="C58" s="179">
        <v>232</v>
      </c>
      <c r="D58" s="180">
        <f t="shared" si="0"/>
        <v>7314</v>
      </c>
      <c r="E58" s="181">
        <v>73.14</v>
      </c>
      <c r="F58" s="54">
        <f t="shared" si="1"/>
        <v>7314</v>
      </c>
    </row>
    <row r="59" spans="1:6" x14ac:dyDescent="0.3">
      <c r="A59" s="177">
        <v>124</v>
      </c>
      <c r="B59" s="178">
        <v>40</v>
      </c>
      <c r="C59" s="179">
        <v>232</v>
      </c>
      <c r="D59" s="180">
        <f t="shared" si="0"/>
        <v>7314</v>
      </c>
      <c r="E59" s="181">
        <v>73.14</v>
      </c>
      <c r="F59" s="54">
        <f t="shared" si="1"/>
        <v>7314</v>
      </c>
    </row>
    <row r="60" spans="1:6" x14ac:dyDescent="0.3">
      <c r="A60" s="177">
        <v>124</v>
      </c>
      <c r="B60" s="178">
        <v>39</v>
      </c>
      <c r="C60" s="179">
        <v>232</v>
      </c>
      <c r="D60" s="180">
        <f t="shared" si="0"/>
        <v>7314</v>
      </c>
      <c r="E60" s="181">
        <v>73.14</v>
      </c>
      <c r="F60" s="54">
        <f t="shared" si="1"/>
        <v>7314</v>
      </c>
    </row>
    <row r="61" spans="1:6" x14ac:dyDescent="0.3">
      <c r="A61" s="177">
        <v>127</v>
      </c>
      <c r="B61" s="178">
        <v>70</v>
      </c>
      <c r="C61" s="179">
        <v>232</v>
      </c>
      <c r="D61" s="180">
        <f t="shared" si="0"/>
        <v>3900</v>
      </c>
      <c r="E61" s="181">
        <v>39</v>
      </c>
      <c r="F61" s="54">
        <f t="shared" si="1"/>
        <v>3900</v>
      </c>
    </row>
    <row r="62" spans="1:6" x14ac:dyDescent="0.3">
      <c r="A62" s="177">
        <v>127</v>
      </c>
      <c r="B62" s="178">
        <v>75</v>
      </c>
      <c r="C62" s="179">
        <v>232</v>
      </c>
      <c r="D62" s="180">
        <f t="shared" si="0"/>
        <v>3900</v>
      </c>
      <c r="E62" s="181">
        <v>39</v>
      </c>
      <c r="F62" s="54">
        <f t="shared" si="1"/>
        <v>3900</v>
      </c>
    </row>
    <row r="63" spans="1:6" x14ac:dyDescent="0.3">
      <c r="A63" s="177">
        <v>127</v>
      </c>
      <c r="B63" s="178">
        <v>80</v>
      </c>
      <c r="C63" s="179">
        <v>232</v>
      </c>
      <c r="D63" s="180">
        <f t="shared" si="0"/>
        <v>3900</v>
      </c>
      <c r="E63" s="181">
        <v>39</v>
      </c>
      <c r="F63" s="54">
        <f t="shared" si="1"/>
        <v>3900</v>
      </c>
    </row>
    <row r="64" spans="1:6" x14ac:dyDescent="0.3">
      <c r="A64" s="177">
        <v>161</v>
      </c>
      <c r="B64" s="178">
        <v>51</v>
      </c>
      <c r="C64" s="179">
        <v>232</v>
      </c>
      <c r="D64" s="180">
        <f t="shared" si="0"/>
        <v>4277</v>
      </c>
      <c r="E64" s="181">
        <v>42.77</v>
      </c>
      <c r="F64" s="54">
        <f t="shared" si="1"/>
        <v>4277</v>
      </c>
    </row>
    <row r="65" spans="1:6" x14ac:dyDescent="0.3">
      <c r="A65" s="177">
        <v>161</v>
      </c>
      <c r="B65" s="178">
        <v>49</v>
      </c>
      <c r="C65" s="179">
        <v>232</v>
      </c>
      <c r="D65" s="180">
        <f t="shared" si="0"/>
        <v>4277</v>
      </c>
      <c r="E65" s="181">
        <v>42.77</v>
      </c>
      <c r="F65" s="54">
        <f t="shared" si="1"/>
        <v>4277</v>
      </c>
    </row>
    <row r="66" spans="1:6" x14ac:dyDescent="0.3">
      <c r="A66" s="177">
        <v>161</v>
      </c>
      <c r="B66" s="178">
        <v>32</v>
      </c>
      <c r="C66" s="179">
        <v>232</v>
      </c>
      <c r="D66" s="180">
        <f t="shared" si="0"/>
        <v>4277</v>
      </c>
      <c r="E66" s="181">
        <v>42.77</v>
      </c>
      <c r="F66" s="54">
        <f t="shared" si="1"/>
        <v>4277</v>
      </c>
    </row>
    <row r="67" spans="1:6" x14ac:dyDescent="0.3">
      <c r="A67" s="177">
        <v>166</v>
      </c>
      <c r="B67" s="178">
        <v>34</v>
      </c>
      <c r="C67" s="179">
        <v>232</v>
      </c>
      <c r="D67" s="180">
        <f t="shared" si="0"/>
        <v>9100</v>
      </c>
      <c r="E67" s="181">
        <v>91</v>
      </c>
      <c r="F67" s="54">
        <f t="shared" si="1"/>
        <v>9100</v>
      </c>
    </row>
    <row r="68" spans="1:6" x14ac:dyDescent="0.3">
      <c r="A68" s="177">
        <v>166</v>
      </c>
      <c r="B68" s="178">
        <v>1</v>
      </c>
      <c r="C68" s="179">
        <v>232</v>
      </c>
      <c r="D68" s="180">
        <f t="shared" si="0"/>
        <v>28000</v>
      </c>
      <c r="E68" s="181">
        <v>280</v>
      </c>
      <c r="F68" s="54">
        <f t="shared" si="1"/>
        <v>28000</v>
      </c>
    </row>
    <row r="69" spans="1:6" x14ac:dyDescent="0.3">
      <c r="A69" s="177">
        <v>166</v>
      </c>
      <c r="B69" s="178">
        <v>8</v>
      </c>
      <c r="C69" s="179">
        <v>232</v>
      </c>
      <c r="D69" s="180">
        <f t="shared" si="0"/>
        <v>9100</v>
      </c>
      <c r="E69" s="181">
        <v>91</v>
      </c>
      <c r="F69" s="54">
        <f t="shared" si="1"/>
        <v>9100</v>
      </c>
    </row>
    <row r="70" spans="1:6" x14ac:dyDescent="0.3">
      <c r="A70" s="177">
        <v>169</v>
      </c>
      <c r="B70" s="178">
        <v>35</v>
      </c>
      <c r="C70" s="179">
        <v>232</v>
      </c>
      <c r="D70" s="180">
        <f t="shared" ref="D70:D84" si="2">F70</f>
        <v>6300</v>
      </c>
      <c r="E70" s="181">
        <v>63</v>
      </c>
      <c r="F70" s="54">
        <f t="shared" ref="F70:F84" si="3">E70*100</f>
        <v>6300</v>
      </c>
    </row>
    <row r="71" spans="1:6" x14ac:dyDescent="0.3">
      <c r="A71" s="177">
        <v>169</v>
      </c>
      <c r="B71" s="178">
        <v>39</v>
      </c>
      <c r="C71" s="179">
        <v>232</v>
      </c>
      <c r="D71" s="180">
        <f t="shared" si="2"/>
        <v>6300</v>
      </c>
      <c r="E71" s="181">
        <v>63</v>
      </c>
      <c r="F71" s="54">
        <f t="shared" si="3"/>
        <v>6300</v>
      </c>
    </row>
    <row r="72" spans="1:6" x14ac:dyDescent="0.3">
      <c r="A72" s="177">
        <v>169</v>
      </c>
      <c r="B72" s="178">
        <v>31</v>
      </c>
      <c r="C72" s="179">
        <v>232</v>
      </c>
      <c r="D72" s="180">
        <f t="shared" si="2"/>
        <v>6300</v>
      </c>
      <c r="E72" s="181">
        <v>63</v>
      </c>
      <c r="F72" s="54">
        <f t="shared" si="3"/>
        <v>6300</v>
      </c>
    </row>
    <row r="73" spans="1:6" x14ac:dyDescent="0.3">
      <c r="A73" s="177">
        <v>169</v>
      </c>
      <c r="B73" s="178">
        <v>7</v>
      </c>
      <c r="C73" s="179">
        <v>232</v>
      </c>
      <c r="D73" s="180">
        <f t="shared" si="2"/>
        <v>6300</v>
      </c>
      <c r="E73" s="181">
        <v>63</v>
      </c>
      <c r="F73" s="54">
        <f t="shared" si="3"/>
        <v>6300</v>
      </c>
    </row>
    <row r="74" spans="1:6" x14ac:dyDescent="0.3">
      <c r="A74" s="177">
        <v>169</v>
      </c>
      <c r="B74" s="178">
        <v>41</v>
      </c>
      <c r="C74" s="179">
        <v>232</v>
      </c>
      <c r="D74" s="180">
        <f t="shared" si="2"/>
        <v>6300</v>
      </c>
      <c r="E74" s="181">
        <v>63</v>
      </c>
      <c r="F74" s="54">
        <f t="shared" si="3"/>
        <v>6300</v>
      </c>
    </row>
    <row r="75" spans="1:6" x14ac:dyDescent="0.3">
      <c r="A75" s="177">
        <v>169</v>
      </c>
      <c r="B75" s="178">
        <v>37</v>
      </c>
      <c r="C75" s="179">
        <v>232</v>
      </c>
      <c r="D75" s="180">
        <f t="shared" si="2"/>
        <v>6300</v>
      </c>
      <c r="E75" s="181">
        <v>63</v>
      </c>
      <c r="F75" s="54">
        <f t="shared" si="3"/>
        <v>6300</v>
      </c>
    </row>
    <row r="76" spans="1:6" x14ac:dyDescent="0.3">
      <c r="A76" s="177">
        <v>169</v>
      </c>
      <c r="B76" s="178">
        <v>38</v>
      </c>
      <c r="C76" s="179">
        <v>232</v>
      </c>
      <c r="D76" s="180">
        <f t="shared" si="2"/>
        <v>6300</v>
      </c>
      <c r="E76" s="181">
        <v>63</v>
      </c>
      <c r="F76" s="54">
        <f t="shared" si="3"/>
        <v>6300</v>
      </c>
    </row>
    <row r="77" spans="1:6" x14ac:dyDescent="0.3">
      <c r="A77" s="177">
        <v>169</v>
      </c>
      <c r="B77" s="178">
        <v>1</v>
      </c>
      <c r="C77" s="179">
        <v>232</v>
      </c>
      <c r="D77" s="180">
        <f t="shared" si="2"/>
        <v>6300</v>
      </c>
      <c r="E77" s="181">
        <v>63</v>
      </c>
      <c r="F77" s="54">
        <f t="shared" si="3"/>
        <v>6300</v>
      </c>
    </row>
    <row r="78" spans="1:6" x14ac:dyDescent="0.3">
      <c r="A78" s="177">
        <v>179</v>
      </c>
      <c r="B78" s="178">
        <v>1</v>
      </c>
      <c r="C78" s="179">
        <v>232</v>
      </c>
      <c r="D78" s="180">
        <f t="shared" si="2"/>
        <v>3900</v>
      </c>
      <c r="E78" s="181">
        <v>39</v>
      </c>
      <c r="F78" s="54">
        <f t="shared" si="3"/>
        <v>3900</v>
      </c>
    </row>
    <row r="79" spans="1:6" x14ac:dyDescent="0.3">
      <c r="A79" s="177">
        <v>179</v>
      </c>
      <c r="B79" s="178">
        <v>2</v>
      </c>
      <c r="C79" s="179">
        <v>232</v>
      </c>
      <c r="D79" s="180">
        <f t="shared" si="2"/>
        <v>3900</v>
      </c>
      <c r="E79" s="181">
        <v>39</v>
      </c>
      <c r="F79" s="54">
        <f t="shared" si="3"/>
        <v>3900</v>
      </c>
    </row>
    <row r="80" spans="1:6" x14ac:dyDescent="0.3">
      <c r="A80" s="177">
        <v>179</v>
      </c>
      <c r="B80" s="178">
        <v>3</v>
      </c>
      <c r="C80" s="179">
        <v>232</v>
      </c>
      <c r="D80" s="180">
        <f t="shared" si="2"/>
        <v>3900</v>
      </c>
      <c r="E80" s="181">
        <v>39</v>
      </c>
      <c r="F80" s="54">
        <f t="shared" si="3"/>
        <v>3900</v>
      </c>
    </row>
    <row r="81" spans="1:6" x14ac:dyDescent="0.3">
      <c r="A81" s="177">
        <v>179</v>
      </c>
      <c r="B81" s="178">
        <v>4</v>
      </c>
      <c r="C81" s="179">
        <v>232</v>
      </c>
      <c r="D81" s="180">
        <f t="shared" si="2"/>
        <v>3900</v>
      </c>
      <c r="E81" s="181">
        <v>39</v>
      </c>
      <c r="F81" s="54">
        <f t="shared" si="3"/>
        <v>3900</v>
      </c>
    </row>
    <row r="82" spans="1:6" x14ac:dyDescent="0.3">
      <c r="A82" s="177">
        <v>179</v>
      </c>
      <c r="B82" s="178">
        <v>16</v>
      </c>
      <c r="C82" s="179">
        <v>232</v>
      </c>
      <c r="D82" s="180">
        <f t="shared" si="2"/>
        <v>3900</v>
      </c>
      <c r="E82" s="181">
        <v>39</v>
      </c>
      <c r="F82" s="54">
        <f t="shared" si="3"/>
        <v>3900</v>
      </c>
    </row>
    <row r="83" spans="1:6" x14ac:dyDescent="0.3">
      <c r="A83" s="177">
        <v>179</v>
      </c>
      <c r="B83" s="178">
        <v>12</v>
      </c>
      <c r="C83" s="179">
        <v>232</v>
      </c>
      <c r="D83" s="180">
        <f t="shared" si="2"/>
        <v>3900</v>
      </c>
      <c r="E83" s="181">
        <v>39</v>
      </c>
      <c r="F83" s="54">
        <f t="shared" si="3"/>
        <v>3900</v>
      </c>
    </row>
    <row r="84" spans="1:6" x14ac:dyDescent="0.3">
      <c r="A84" s="177">
        <v>179</v>
      </c>
      <c r="B84" s="178">
        <v>18</v>
      </c>
      <c r="C84" s="179">
        <v>232</v>
      </c>
      <c r="D84" s="180">
        <f t="shared" si="2"/>
        <v>3900</v>
      </c>
      <c r="E84" s="181">
        <v>39</v>
      </c>
      <c r="F84" s="54">
        <f t="shared" si="3"/>
        <v>3900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236"/>
  <sheetViews>
    <sheetView showGridLines="0" topLeftCell="A217" workbookViewId="0">
      <selection activeCell="A237" sqref="A237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70" t="s">
        <v>706</v>
      </c>
      <c r="B1" s="171"/>
    </row>
    <row r="2" spans="1:6" x14ac:dyDescent="0.3">
      <c r="A2" s="170" t="s">
        <v>707</v>
      </c>
      <c r="B2" s="171"/>
    </row>
    <row r="3" spans="1:6" x14ac:dyDescent="0.3">
      <c r="A3" s="170"/>
      <c r="B3" s="171"/>
    </row>
    <row r="4" spans="1:6" x14ac:dyDescent="0.3">
      <c r="A4" s="172"/>
      <c r="B4" s="173"/>
      <c r="C4" s="174"/>
      <c r="D4" s="175"/>
      <c r="E4" s="176"/>
    </row>
    <row r="5" spans="1:6" x14ac:dyDescent="0.3">
      <c r="A5" s="177">
        <v>62</v>
      </c>
      <c r="B5" s="178">
        <v>286</v>
      </c>
      <c r="C5" s="179">
        <v>133</v>
      </c>
      <c r="D5" s="180">
        <f>F5</f>
        <v>4100</v>
      </c>
      <c r="E5" s="181">
        <v>41</v>
      </c>
      <c r="F5" s="54">
        <f>E5*100</f>
        <v>4100</v>
      </c>
    </row>
    <row r="6" spans="1:6" x14ac:dyDescent="0.3">
      <c r="A6" s="177">
        <v>62</v>
      </c>
      <c r="B6" s="178">
        <v>325</v>
      </c>
      <c r="C6" s="179">
        <v>133</v>
      </c>
      <c r="D6" s="180">
        <f t="shared" ref="D6:D69" si="0">F6</f>
        <v>4100</v>
      </c>
      <c r="E6" s="181">
        <v>41</v>
      </c>
      <c r="F6" s="54">
        <f t="shared" ref="F6:F69" si="1">E6*100</f>
        <v>4100</v>
      </c>
    </row>
    <row r="7" spans="1:6" x14ac:dyDescent="0.3">
      <c r="A7" s="177">
        <v>62</v>
      </c>
      <c r="B7" s="178">
        <v>322</v>
      </c>
      <c r="C7" s="179">
        <v>133</v>
      </c>
      <c r="D7" s="180">
        <f t="shared" si="0"/>
        <v>4100</v>
      </c>
      <c r="E7" s="181">
        <v>41</v>
      </c>
      <c r="F7" s="54">
        <f t="shared" si="1"/>
        <v>4100</v>
      </c>
    </row>
    <row r="8" spans="1:6" x14ac:dyDescent="0.3">
      <c r="A8" s="177">
        <v>62</v>
      </c>
      <c r="B8" s="178">
        <v>316</v>
      </c>
      <c r="C8" s="179">
        <v>133</v>
      </c>
      <c r="D8" s="180">
        <f t="shared" si="0"/>
        <v>4100</v>
      </c>
      <c r="E8" s="181">
        <v>41</v>
      </c>
      <c r="F8" s="54">
        <f t="shared" si="1"/>
        <v>4100</v>
      </c>
    </row>
    <row r="9" spans="1:6" x14ac:dyDescent="0.3">
      <c r="A9" s="177">
        <v>62</v>
      </c>
      <c r="B9" s="178">
        <v>266</v>
      </c>
      <c r="C9" s="179">
        <v>133</v>
      </c>
      <c r="D9" s="180">
        <f t="shared" si="0"/>
        <v>4100</v>
      </c>
      <c r="E9" s="181">
        <v>41</v>
      </c>
      <c r="F9" s="54">
        <f t="shared" si="1"/>
        <v>4100</v>
      </c>
    </row>
    <row r="10" spans="1:6" x14ac:dyDescent="0.3">
      <c r="A10" s="177">
        <v>62</v>
      </c>
      <c r="B10" s="178">
        <v>326</v>
      </c>
      <c r="C10" s="179">
        <v>133</v>
      </c>
      <c r="D10" s="180">
        <f t="shared" si="0"/>
        <v>4100</v>
      </c>
      <c r="E10" s="181">
        <v>41</v>
      </c>
      <c r="F10" s="54">
        <f t="shared" si="1"/>
        <v>4100</v>
      </c>
    </row>
    <row r="11" spans="1:6" x14ac:dyDescent="0.3">
      <c r="A11" s="177">
        <v>62</v>
      </c>
      <c r="B11" s="178">
        <v>314</v>
      </c>
      <c r="C11" s="179">
        <v>133</v>
      </c>
      <c r="D11" s="180">
        <f t="shared" si="0"/>
        <v>4100</v>
      </c>
      <c r="E11" s="181">
        <v>41</v>
      </c>
      <c r="F11" s="54">
        <f t="shared" si="1"/>
        <v>4100</v>
      </c>
    </row>
    <row r="12" spans="1:6" x14ac:dyDescent="0.3">
      <c r="A12" s="177">
        <v>62</v>
      </c>
      <c r="B12" s="178">
        <v>303</v>
      </c>
      <c r="C12" s="179">
        <v>133</v>
      </c>
      <c r="D12" s="180">
        <f t="shared" si="0"/>
        <v>4100</v>
      </c>
      <c r="E12" s="181">
        <v>41</v>
      </c>
      <c r="F12" s="54">
        <f t="shared" si="1"/>
        <v>4100</v>
      </c>
    </row>
    <row r="13" spans="1:6" x14ac:dyDescent="0.3">
      <c r="A13" s="177">
        <v>62</v>
      </c>
      <c r="B13" s="178">
        <v>320</v>
      </c>
      <c r="C13" s="179">
        <v>133</v>
      </c>
      <c r="D13" s="180">
        <f t="shared" si="0"/>
        <v>4100</v>
      </c>
      <c r="E13" s="181">
        <v>41</v>
      </c>
      <c r="F13" s="54">
        <f t="shared" si="1"/>
        <v>4100</v>
      </c>
    </row>
    <row r="14" spans="1:6" x14ac:dyDescent="0.3">
      <c r="A14" s="177">
        <v>62</v>
      </c>
      <c r="B14" s="178">
        <v>289</v>
      </c>
      <c r="C14" s="179">
        <v>133</v>
      </c>
      <c r="D14" s="180">
        <f t="shared" si="0"/>
        <v>4100</v>
      </c>
      <c r="E14" s="181">
        <v>41</v>
      </c>
      <c r="F14" s="54">
        <f t="shared" si="1"/>
        <v>4100</v>
      </c>
    </row>
    <row r="15" spans="1:6" x14ac:dyDescent="0.3">
      <c r="A15" s="177">
        <v>93</v>
      </c>
      <c r="B15" s="178">
        <v>98</v>
      </c>
      <c r="C15" s="179">
        <v>133</v>
      </c>
      <c r="D15" s="180">
        <f t="shared" si="0"/>
        <v>1700</v>
      </c>
      <c r="E15" s="181">
        <v>17</v>
      </c>
      <c r="F15" s="54">
        <f t="shared" si="1"/>
        <v>1700</v>
      </c>
    </row>
    <row r="16" spans="1:6" x14ac:dyDescent="0.3">
      <c r="A16" s="177">
        <v>93</v>
      </c>
      <c r="B16" s="178">
        <v>70</v>
      </c>
      <c r="C16" s="179">
        <v>133</v>
      </c>
      <c r="D16" s="180">
        <f t="shared" si="0"/>
        <v>1700</v>
      </c>
      <c r="E16" s="181">
        <v>17</v>
      </c>
      <c r="F16" s="54">
        <f t="shared" si="1"/>
        <v>1700</v>
      </c>
    </row>
    <row r="17" spans="1:6" x14ac:dyDescent="0.3">
      <c r="A17" s="177">
        <v>93</v>
      </c>
      <c r="B17" s="178">
        <v>90</v>
      </c>
      <c r="C17" s="179">
        <v>133</v>
      </c>
      <c r="D17" s="180">
        <f t="shared" si="0"/>
        <v>1700</v>
      </c>
      <c r="E17" s="181">
        <v>17</v>
      </c>
      <c r="F17" s="54">
        <f t="shared" si="1"/>
        <v>1700</v>
      </c>
    </row>
    <row r="18" spans="1:6" x14ac:dyDescent="0.3">
      <c r="A18" s="177">
        <v>93</v>
      </c>
      <c r="B18" s="178">
        <v>92</v>
      </c>
      <c r="C18" s="179">
        <v>133</v>
      </c>
      <c r="D18" s="180">
        <f t="shared" si="0"/>
        <v>1700</v>
      </c>
      <c r="E18" s="181">
        <v>17</v>
      </c>
      <c r="F18" s="54">
        <f t="shared" si="1"/>
        <v>1700</v>
      </c>
    </row>
    <row r="19" spans="1:6" x14ac:dyDescent="0.3">
      <c r="A19" s="177">
        <v>93</v>
      </c>
      <c r="B19" s="178">
        <v>103</v>
      </c>
      <c r="C19" s="179">
        <v>133</v>
      </c>
      <c r="D19" s="180">
        <f t="shared" si="0"/>
        <v>3400</v>
      </c>
      <c r="E19" s="181">
        <v>34</v>
      </c>
      <c r="F19" s="54">
        <f t="shared" si="1"/>
        <v>3400</v>
      </c>
    </row>
    <row r="20" spans="1:6" x14ac:dyDescent="0.3">
      <c r="A20" s="177">
        <v>93</v>
      </c>
      <c r="B20" s="178">
        <v>95</v>
      </c>
      <c r="C20" s="179">
        <v>133</v>
      </c>
      <c r="D20" s="180">
        <f t="shared" si="0"/>
        <v>1700</v>
      </c>
      <c r="E20" s="181">
        <v>17</v>
      </c>
      <c r="F20" s="54">
        <f t="shared" si="1"/>
        <v>1700</v>
      </c>
    </row>
    <row r="21" spans="1:6" x14ac:dyDescent="0.3">
      <c r="A21" s="177">
        <v>93</v>
      </c>
      <c r="B21" s="178">
        <v>36</v>
      </c>
      <c r="C21" s="179">
        <v>133</v>
      </c>
      <c r="D21" s="180">
        <f t="shared" si="0"/>
        <v>1700</v>
      </c>
      <c r="E21" s="181">
        <v>17</v>
      </c>
      <c r="F21" s="54">
        <f t="shared" si="1"/>
        <v>1700</v>
      </c>
    </row>
    <row r="22" spans="1:6" x14ac:dyDescent="0.3">
      <c r="A22" s="177">
        <v>93</v>
      </c>
      <c r="B22" s="178">
        <v>79</v>
      </c>
      <c r="C22" s="179">
        <v>133</v>
      </c>
      <c r="D22" s="180">
        <f t="shared" si="0"/>
        <v>1700</v>
      </c>
      <c r="E22" s="181">
        <v>17</v>
      </c>
      <c r="F22" s="54">
        <f t="shared" si="1"/>
        <v>1700</v>
      </c>
    </row>
    <row r="23" spans="1:6" x14ac:dyDescent="0.3">
      <c r="A23" s="177">
        <v>93</v>
      </c>
      <c r="B23" s="178">
        <v>91</v>
      </c>
      <c r="C23" s="179">
        <v>133</v>
      </c>
      <c r="D23" s="180">
        <f t="shared" si="0"/>
        <v>1700</v>
      </c>
      <c r="E23" s="181">
        <v>17</v>
      </c>
      <c r="F23" s="54">
        <f t="shared" si="1"/>
        <v>1700</v>
      </c>
    </row>
    <row r="24" spans="1:6" x14ac:dyDescent="0.3">
      <c r="A24" s="177">
        <v>93</v>
      </c>
      <c r="B24" s="178">
        <v>102</v>
      </c>
      <c r="C24" s="179">
        <v>133</v>
      </c>
      <c r="D24" s="180">
        <f t="shared" si="0"/>
        <v>1700</v>
      </c>
      <c r="E24" s="181">
        <v>17</v>
      </c>
      <c r="F24" s="54">
        <f t="shared" si="1"/>
        <v>1700</v>
      </c>
    </row>
    <row r="25" spans="1:6" x14ac:dyDescent="0.3">
      <c r="A25" s="177">
        <v>93</v>
      </c>
      <c r="B25" s="178">
        <v>100</v>
      </c>
      <c r="C25" s="179">
        <v>133</v>
      </c>
      <c r="D25" s="180">
        <f t="shared" si="0"/>
        <v>1700</v>
      </c>
      <c r="E25" s="181">
        <v>17</v>
      </c>
      <c r="F25" s="54">
        <f t="shared" si="1"/>
        <v>1700</v>
      </c>
    </row>
    <row r="26" spans="1:6" x14ac:dyDescent="0.3">
      <c r="A26" s="177">
        <v>94</v>
      </c>
      <c r="B26" s="178">
        <v>3</v>
      </c>
      <c r="C26" s="179">
        <v>133</v>
      </c>
      <c r="D26" s="180">
        <f t="shared" si="0"/>
        <v>2200</v>
      </c>
      <c r="E26" s="181">
        <v>22</v>
      </c>
      <c r="F26" s="54">
        <f t="shared" si="1"/>
        <v>2200</v>
      </c>
    </row>
    <row r="27" spans="1:6" x14ac:dyDescent="0.3">
      <c r="A27" s="177">
        <v>94</v>
      </c>
      <c r="B27" s="178">
        <v>6</v>
      </c>
      <c r="C27" s="179">
        <v>133</v>
      </c>
      <c r="D27" s="180">
        <f t="shared" si="0"/>
        <v>2200</v>
      </c>
      <c r="E27" s="181">
        <v>22</v>
      </c>
      <c r="F27" s="54">
        <f t="shared" si="1"/>
        <v>2200</v>
      </c>
    </row>
    <row r="28" spans="1:6" x14ac:dyDescent="0.3">
      <c r="A28" s="177">
        <v>94</v>
      </c>
      <c r="B28" s="178">
        <v>55</v>
      </c>
      <c r="C28" s="179">
        <v>133</v>
      </c>
      <c r="D28" s="180">
        <f t="shared" si="0"/>
        <v>2200</v>
      </c>
      <c r="E28" s="181">
        <v>22</v>
      </c>
      <c r="F28" s="54">
        <f t="shared" si="1"/>
        <v>2200</v>
      </c>
    </row>
    <row r="29" spans="1:6" x14ac:dyDescent="0.3">
      <c r="A29" s="177">
        <v>94</v>
      </c>
      <c r="B29" s="178">
        <v>66</v>
      </c>
      <c r="C29" s="179">
        <v>133</v>
      </c>
      <c r="D29" s="180">
        <f t="shared" si="0"/>
        <v>2200</v>
      </c>
      <c r="E29" s="181">
        <v>22</v>
      </c>
      <c r="F29" s="54">
        <f t="shared" si="1"/>
        <v>2200</v>
      </c>
    </row>
    <row r="30" spans="1:6" x14ac:dyDescent="0.3">
      <c r="A30" s="177">
        <v>94</v>
      </c>
      <c r="B30" s="178">
        <v>68</v>
      </c>
      <c r="C30" s="179">
        <v>133</v>
      </c>
      <c r="D30" s="180">
        <f t="shared" si="0"/>
        <v>4700</v>
      </c>
      <c r="E30" s="181">
        <v>47</v>
      </c>
      <c r="F30" s="54">
        <f t="shared" si="1"/>
        <v>4700</v>
      </c>
    </row>
    <row r="31" spans="1:6" x14ac:dyDescent="0.3">
      <c r="A31" s="177">
        <v>95</v>
      </c>
      <c r="B31" s="178">
        <v>56</v>
      </c>
      <c r="C31" s="179">
        <v>133</v>
      </c>
      <c r="D31" s="180">
        <f t="shared" si="0"/>
        <v>4000</v>
      </c>
      <c r="E31" s="181">
        <v>40</v>
      </c>
      <c r="F31" s="54">
        <f t="shared" si="1"/>
        <v>4000</v>
      </c>
    </row>
    <row r="32" spans="1:6" x14ac:dyDescent="0.3">
      <c r="A32" s="177">
        <v>95</v>
      </c>
      <c r="B32" s="178">
        <v>59</v>
      </c>
      <c r="C32" s="179">
        <v>133</v>
      </c>
      <c r="D32" s="180">
        <f t="shared" si="0"/>
        <v>4000</v>
      </c>
      <c r="E32" s="181">
        <v>40</v>
      </c>
      <c r="F32" s="54">
        <f t="shared" si="1"/>
        <v>4000</v>
      </c>
    </row>
    <row r="33" spans="1:6" x14ac:dyDescent="0.3">
      <c r="A33" s="177">
        <v>95</v>
      </c>
      <c r="B33" s="178">
        <v>83</v>
      </c>
      <c r="C33" s="179">
        <v>133</v>
      </c>
      <c r="D33" s="180">
        <f t="shared" si="0"/>
        <v>4000</v>
      </c>
      <c r="E33" s="181">
        <v>40</v>
      </c>
      <c r="F33" s="54">
        <f t="shared" si="1"/>
        <v>4000</v>
      </c>
    </row>
    <row r="34" spans="1:6" x14ac:dyDescent="0.3">
      <c r="A34" s="177">
        <v>95</v>
      </c>
      <c r="B34" s="178">
        <v>84</v>
      </c>
      <c r="C34" s="179">
        <v>133</v>
      </c>
      <c r="D34" s="180">
        <f t="shared" si="0"/>
        <v>4000</v>
      </c>
      <c r="E34" s="181">
        <v>40</v>
      </c>
      <c r="F34" s="54">
        <f t="shared" si="1"/>
        <v>4000</v>
      </c>
    </row>
    <row r="35" spans="1:6" x14ac:dyDescent="0.3">
      <c r="A35" s="177">
        <v>95</v>
      </c>
      <c r="B35" s="178">
        <v>88</v>
      </c>
      <c r="C35" s="179">
        <v>133</v>
      </c>
      <c r="D35" s="180">
        <f t="shared" si="0"/>
        <v>4000</v>
      </c>
      <c r="E35" s="181">
        <v>40</v>
      </c>
      <c r="F35" s="54">
        <f t="shared" si="1"/>
        <v>4000</v>
      </c>
    </row>
    <row r="36" spans="1:6" x14ac:dyDescent="0.3">
      <c r="A36" s="177">
        <v>103</v>
      </c>
      <c r="B36" s="178">
        <v>184</v>
      </c>
      <c r="C36" s="179">
        <v>133</v>
      </c>
      <c r="D36" s="180">
        <f t="shared" si="0"/>
        <v>4000</v>
      </c>
      <c r="E36" s="181">
        <v>40</v>
      </c>
      <c r="F36" s="54">
        <f t="shared" si="1"/>
        <v>4000</v>
      </c>
    </row>
    <row r="37" spans="1:6" x14ac:dyDescent="0.3">
      <c r="A37" s="177">
        <v>103</v>
      </c>
      <c r="B37" s="178">
        <v>185</v>
      </c>
      <c r="C37" s="179">
        <v>133</v>
      </c>
      <c r="D37" s="180">
        <f t="shared" si="0"/>
        <v>4000</v>
      </c>
      <c r="E37" s="181">
        <v>40</v>
      </c>
      <c r="F37" s="54">
        <f t="shared" si="1"/>
        <v>4000</v>
      </c>
    </row>
    <row r="38" spans="1:6" x14ac:dyDescent="0.3">
      <c r="A38" s="177">
        <v>103</v>
      </c>
      <c r="B38" s="178">
        <v>187</v>
      </c>
      <c r="C38" s="179">
        <v>133</v>
      </c>
      <c r="D38" s="180">
        <f t="shared" si="0"/>
        <v>4000</v>
      </c>
      <c r="E38" s="181">
        <v>40</v>
      </c>
      <c r="F38" s="54">
        <f t="shared" si="1"/>
        <v>4000</v>
      </c>
    </row>
    <row r="39" spans="1:6" x14ac:dyDescent="0.3">
      <c r="A39" s="177">
        <v>103</v>
      </c>
      <c r="B39" s="178">
        <v>194</v>
      </c>
      <c r="C39" s="179">
        <v>133</v>
      </c>
      <c r="D39" s="180">
        <f t="shared" si="0"/>
        <v>4000</v>
      </c>
      <c r="E39" s="181">
        <v>40</v>
      </c>
      <c r="F39" s="54">
        <f t="shared" si="1"/>
        <v>4000</v>
      </c>
    </row>
    <row r="40" spans="1:6" x14ac:dyDescent="0.3">
      <c r="A40" s="177">
        <v>103</v>
      </c>
      <c r="B40" s="178">
        <v>199</v>
      </c>
      <c r="C40" s="179">
        <v>133</v>
      </c>
      <c r="D40" s="180">
        <f t="shared" si="0"/>
        <v>4000</v>
      </c>
      <c r="E40" s="181">
        <v>40</v>
      </c>
      <c r="F40" s="54">
        <f t="shared" si="1"/>
        <v>4000</v>
      </c>
    </row>
    <row r="41" spans="1:6" x14ac:dyDescent="0.3">
      <c r="A41" s="177">
        <v>103</v>
      </c>
      <c r="B41" s="178">
        <v>200</v>
      </c>
      <c r="C41" s="179">
        <v>133</v>
      </c>
      <c r="D41" s="180">
        <f t="shared" si="0"/>
        <v>4000</v>
      </c>
      <c r="E41" s="181">
        <v>40</v>
      </c>
      <c r="F41" s="54">
        <f t="shared" si="1"/>
        <v>4000</v>
      </c>
    </row>
    <row r="42" spans="1:6" x14ac:dyDescent="0.3">
      <c r="A42" s="177">
        <v>103</v>
      </c>
      <c r="B42" s="178">
        <v>202</v>
      </c>
      <c r="C42" s="179">
        <v>133</v>
      </c>
      <c r="D42" s="180">
        <f t="shared" si="0"/>
        <v>4000</v>
      </c>
      <c r="E42" s="181">
        <v>40</v>
      </c>
      <c r="F42" s="54">
        <f t="shared" si="1"/>
        <v>4000</v>
      </c>
    </row>
    <row r="43" spans="1:6" x14ac:dyDescent="0.3">
      <c r="A43" s="177">
        <v>105</v>
      </c>
      <c r="B43" s="178">
        <v>93</v>
      </c>
      <c r="C43" s="179">
        <v>133</v>
      </c>
      <c r="D43" s="180">
        <f t="shared" si="0"/>
        <v>3009</v>
      </c>
      <c r="E43" s="181">
        <v>30.09</v>
      </c>
      <c r="F43" s="54">
        <f t="shared" si="1"/>
        <v>3009</v>
      </c>
    </row>
    <row r="44" spans="1:6" x14ac:dyDescent="0.3">
      <c r="A44" s="177">
        <v>105</v>
      </c>
      <c r="B44" s="178">
        <v>100</v>
      </c>
      <c r="C44" s="179">
        <v>133</v>
      </c>
      <c r="D44" s="180">
        <f t="shared" si="0"/>
        <v>3009</v>
      </c>
      <c r="E44" s="181">
        <v>30.09</v>
      </c>
      <c r="F44" s="54">
        <f t="shared" si="1"/>
        <v>3009</v>
      </c>
    </row>
    <row r="45" spans="1:6" x14ac:dyDescent="0.3">
      <c r="A45" s="177">
        <v>105</v>
      </c>
      <c r="B45" s="178">
        <v>61</v>
      </c>
      <c r="C45" s="179">
        <v>133</v>
      </c>
      <c r="D45" s="180">
        <f t="shared" si="0"/>
        <v>3009</v>
      </c>
      <c r="E45" s="181">
        <v>30.09</v>
      </c>
      <c r="F45" s="54">
        <f t="shared" si="1"/>
        <v>3009</v>
      </c>
    </row>
    <row r="46" spans="1:6" x14ac:dyDescent="0.3">
      <c r="A46" s="177">
        <v>105</v>
      </c>
      <c r="B46" s="178">
        <v>84</v>
      </c>
      <c r="C46" s="179">
        <v>133</v>
      </c>
      <c r="D46" s="180">
        <f t="shared" si="0"/>
        <v>3009</v>
      </c>
      <c r="E46" s="181">
        <v>30.09</v>
      </c>
      <c r="F46" s="54">
        <f t="shared" si="1"/>
        <v>3009</v>
      </c>
    </row>
    <row r="47" spans="1:6" x14ac:dyDescent="0.3">
      <c r="A47" s="177">
        <v>105</v>
      </c>
      <c r="B47" s="178">
        <v>29</v>
      </c>
      <c r="C47" s="179">
        <v>133</v>
      </c>
      <c r="D47" s="180">
        <f t="shared" si="0"/>
        <v>3009</v>
      </c>
      <c r="E47" s="181">
        <v>30.09</v>
      </c>
      <c r="F47" s="54">
        <f t="shared" si="1"/>
        <v>3009</v>
      </c>
    </row>
    <row r="48" spans="1:6" x14ac:dyDescent="0.3">
      <c r="A48" s="177">
        <v>105</v>
      </c>
      <c r="B48" s="178">
        <v>95</v>
      </c>
      <c r="C48" s="179">
        <v>133</v>
      </c>
      <c r="D48" s="180">
        <f t="shared" si="0"/>
        <v>3009</v>
      </c>
      <c r="E48" s="181">
        <v>30.09</v>
      </c>
      <c r="F48" s="54">
        <f t="shared" si="1"/>
        <v>3009</v>
      </c>
    </row>
    <row r="49" spans="1:6" x14ac:dyDescent="0.3">
      <c r="A49" s="177">
        <v>105</v>
      </c>
      <c r="B49" s="178">
        <v>103</v>
      </c>
      <c r="C49" s="179">
        <v>133</v>
      </c>
      <c r="D49" s="180">
        <f t="shared" si="0"/>
        <v>3009</v>
      </c>
      <c r="E49" s="181">
        <v>30.09</v>
      </c>
      <c r="F49" s="54">
        <f t="shared" si="1"/>
        <v>3009</v>
      </c>
    </row>
    <row r="50" spans="1:6" x14ac:dyDescent="0.3">
      <c r="A50" s="177">
        <v>123</v>
      </c>
      <c r="B50" s="178">
        <v>58</v>
      </c>
      <c r="C50" s="179">
        <v>133</v>
      </c>
      <c r="D50" s="180">
        <f t="shared" si="0"/>
        <v>1500</v>
      </c>
      <c r="E50" s="181">
        <v>15</v>
      </c>
      <c r="F50" s="54">
        <f t="shared" si="1"/>
        <v>1500</v>
      </c>
    </row>
    <row r="51" spans="1:6" x14ac:dyDescent="0.3">
      <c r="A51" s="177">
        <v>123</v>
      </c>
      <c r="B51" s="178">
        <v>69</v>
      </c>
      <c r="C51" s="179">
        <v>133</v>
      </c>
      <c r="D51" s="180">
        <f t="shared" si="0"/>
        <v>1500</v>
      </c>
      <c r="E51" s="181">
        <v>15</v>
      </c>
      <c r="F51" s="54">
        <f t="shared" si="1"/>
        <v>1500</v>
      </c>
    </row>
    <row r="52" spans="1:6" x14ac:dyDescent="0.3">
      <c r="A52" s="177">
        <v>123</v>
      </c>
      <c r="B52" s="178">
        <v>81</v>
      </c>
      <c r="C52" s="179">
        <v>133</v>
      </c>
      <c r="D52" s="180">
        <f t="shared" si="0"/>
        <v>6859.9999999999991</v>
      </c>
      <c r="E52" s="181">
        <v>68.599999999999994</v>
      </c>
      <c r="F52" s="54">
        <f t="shared" si="1"/>
        <v>6859.9999999999991</v>
      </c>
    </row>
    <row r="53" spans="1:6" x14ac:dyDescent="0.3">
      <c r="A53" s="177">
        <v>123</v>
      </c>
      <c r="B53" s="178">
        <v>75</v>
      </c>
      <c r="C53" s="179">
        <v>133</v>
      </c>
      <c r="D53" s="180">
        <f t="shared" si="0"/>
        <v>1500</v>
      </c>
      <c r="E53" s="181">
        <v>15</v>
      </c>
      <c r="F53" s="54">
        <f t="shared" si="1"/>
        <v>1500</v>
      </c>
    </row>
    <row r="54" spans="1:6" x14ac:dyDescent="0.3">
      <c r="A54" s="177">
        <v>123</v>
      </c>
      <c r="B54" s="178">
        <v>76</v>
      </c>
      <c r="C54" s="179">
        <v>133</v>
      </c>
      <c r="D54" s="180">
        <f t="shared" si="0"/>
        <v>1500</v>
      </c>
      <c r="E54" s="181">
        <v>15</v>
      </c>
      <c r="F54" s="54">
        <f t="shared" si="1"/>
        <v>1500</v>
      </c>
    </row>
    <row r="55" spans="1:6" x14ac:dyDescent="0.3">
      <c r="A55" s="177">
        <v>123</v>
      </c>
      <c r="B55" s="178">
        <v>68</v>
      </c>
      <c r="C55" s="179">
        <v>133</v>
      </c>
      <c r="D55" s="180">
        <f t="shared" si="0"/>
        <v>1500</v>
      </c>
      <c r="E55" s="181">
        <v>15</v>
      </c>
      <c r="F55" s="54">
        <f t="shared" si="1"/>
        <v>1500</v>
      </c>
    </row>
    <row r="56" spans="1:6" x14ac:dyDescent="0.3">
      <c r="A56" s="177">
        <v>123</v>
      </c>
      <c r="B56" s="178">
        <v>36</v>
      </c>
      <c r="C56" s="179">
        <v>133</v>
      </c>
      <c r="D56" s="180">
        <f t="shared" si="0"/>
        <v>1500</v>
      </c>
      <c r="E56" s="181">
        <v>15</v>
      </c>
      <c r="F56" s="54">
        <f t="shared" si="1"/>
        <v>1500</v>
      </c>
    </row>
    <row r="57" spans="1:6" x14ac:dyDescent="0.3">
      <c r="A57" s="177">
        <v>123</v>
      </c>
      <c r="B57" s="178">
        <v>70</v>
      </c>
      <c r="C57" s="179">
        <v>133</v>
      </c>
      <c r="D57" s="180">
        <f t="shared" si="0"/>
        <v>1500</v>
      </c>
      <c r="E57" s="181">
        <v>15</v>
      </c>
      <c r="F57" s="54">
        <f t="shared" si="1"/>
        <v>1500</v>
      </c>
    </row>
    <row r="58" spans="1:6" x14ac:dyDescent="0.3">
      <c r="A58" s="177">
        <v>126</v>
      </c>
      <c r="B58" s="178">
        <v>41</v>
      </c>
      <c r="C58" s="179">
        <v>133</v>
      </c>
      <c r="D58" s="180">
        <f t="shared" si="0"/>
        <v>4100</v>
      </c>
      <c r="E58" s="181">
        <v>41</v>
      </c>
      <c r="F58" s="54">
        <f t="shared" si="1"/>
        <v>4100</v>
      </c>
    </row>
    <row r="59" spans="1:6" x14ac:dyDescent="0.3">
      <c r="A59" s="177">
        <v>126</v>
      </c>
      <c r="B59" s="178">
        <v>56</v>
      </c>
      <c r="C59" s="179">
        <v>133</v>
      </c>
      <c r="D59" s="180">
        <f t="shared" si="0"/>
        <v>2100</v>
      </c>
      <c r="E59" s="181">
        <v>21</v>
      </c>
      <c r="F59" s="54">
        <f t="shared" si="1"/>
        <v>2100</v>
      </c>
    </row>
    <row r="60" spans="1:6" x14ac:dyDescent="0.3">
      <c r="A60" s="177">
        <v>126</v>
      </c>
      <c r="B60" s="178">
        <v>45</v>
      </c>
      <c r="C60" s="179">
        <v>133</v>
      </c>
      <c r="D60" s="180">
        <f t="shared" si="0"/>
        <v>4100</v>
      </c>
      <c r="E60" s="181">
        <v>41</v>
      </c>
      <c r="F60" s="54">
        <f t="shared" si="1"/>
        <v>4100</v>
      </c>
    </row>
    <row r="61" spans="1:6" x14ac:dyDescent="0.3">
      <c r="A61" s="177">
        <v>126</v>
      </c>
      <c r="B61" s="178">
        <v>1</v>
      </c>
      <c r="C61" s="179">
        <v>133</v>
      </c>
      <c r="D61" s="180">
        <f t="shared" si="0"/>
        <v>4100</v>
      </c>
      <c r="E61" s="181">
        <v>41</v>
      </c>
      <c r="F61" s="54">
        <f t="shared" si="1"/>
        <v>4100</v>
      </c>
    </row>
    <row r="62" spans="1:6" x14ac:dyDescent="0.3">
      <c r="A62" s="177">
        <v>126</v>
      </c>
      <c r="B62" s="178">
        <v>28</v>
      </c>
      <c r="C62" s="179">
        <v>133</v>
      </c>
      <c r="D62" s="180">
        <f t="shared" si="0"/>
        <v>4100</v>
      </c>
      <c r="E62" s="181">
        <v>41</v>
      </c>
      <c r="F62" s="54">
        <f t="shared" si="1"/>
        <v>4100</v>
      </c>
    </row>
    <row r="63" spans="1:6" x14ac:dyDescent="0.3">
      <c r="A63" s="177">
        <v>126</v>
      </c>
      <c r="B63" s="178">
        <v>55</v>
      </c>
      <c r="C63" s="179">
        <v>133</v>
      </c>
      <c r="D63" s="180">
        <f t="shared" si="0"/>
        <v>4100</v>
      </c>
      <c r="E63" s="181">
        <v>41</v>
      </c>
      <c r="F63" s="54">
        <f t="shared" si="1"/>
        <v>4100</v>
      </c>
    </row>
    <row r="64" spans="1:6" x14ac:dyDescent="0.3">
      <c r="A64" s="177">
        <v>126</v>
      </c>
      <c r="B64" s="178">
        <v>46</v>
      </c>
      <c r="C64" s="179">
        <v>133</v>
      </c>
      <c r="D64" s="180">
        <f t="shared" si="0"/>
        <v>4100</v>
      </c>
      <c r="E64" s="181">
        <v>41</v>
      </c>
      <c r="F64" s="54">
        <f t="shared" si="1"/>
        <v>4100</v>
      </c>
    </row>
    <row r="65" spans="1:6" x14ac:dyDescent="0.3">
      <c r="A65" s="177">
        <v>127</v>
      </c>
      <c r="B65" s="178">
        <v>70</v>
      </c>
      <c r="C65" s="179">
        <v>133</v>
      </c>
      <c r="D65" s="180">
        <f t="shared" si="0"/>
        <v>2500</v>
      </c>
      <c r="E65" s="181">
        <v>25</v>
      </c>
      <c r="F65" s="54">
        <f t="shared" si="1"/>
        <v>2500</v>
      </c>
    </row>
    <row r="66" spans="1:6" x14ac:dyDescent="0.3">
      <c r="A66" s="177">
        <v>127</v>
      </c>
      <c r="B66" s="178">
        <v>75</v>
      </c>
      <c r="C66" s="179">
        <v>133</v>
      </c>
      <c r="D66" s="180">
        <f t="shared" si="0"/>
        <v>2500</v>
      </c>
      <c r="E66" s="181">
        <v>25</v>
      </c>
      <c r="F66" s="54">
        <f t="shared" si="1"/>
        <v>2500</v>
      </c>
    </row>
    <row r="67" spans="1:6" x14ac:dyDescent="0.3">
      <c r="A67" s="177">
        <v>127</v>
      </c>
      <c r="B67" s="178">
        <v>80</v>
      </c>
      <c r="C67" s="179">
        <v>133</v>
      </c>
      <c r="D67" s="180">
        <f t="shared" si="0"/>
        <v>2500</v>
      </c>
      <c r="E67" s="181">
        <v>25</v>
      </c>
      <c r="F67" s="54">
        <f t="shared" si="1"/>
        <v>2500</v>
      </c>
    </row>
    <row r="68" spans="1:6" x14ac:dyDescent="0.3">
      <c r="A68" s="177">
        <v>127</v>
      </c>
      <c r="B68" s="178">
        <v>82</v>
      </c>
      <c r="C68" s="179">
        <v>133</v>
      </c>
      <c r="D68" s="180">
        <f t="shared" si="0"/>
        <v>2600</v>
      </c>
      <c r="E68" s="181">
        <v>26</v>
      </c>
      <c r="F68" s="54">
        <f t="shared" si="1"/>
        <v>2600</v>
      </c>
    </row>
    <row r="69" spans="1:6" x14ac:dyDescent="0.3">
      <c r="A69" s="177">
        <v>139</v>
      </c>
      <c r="B69" s="178">
        <v>43</v>
      </c>
      <c r="C69" s="179">
        <v>133</v>
      </c>
      <c r="D69" s="180">
        <f t="shared" si="0"/>
        <v>3720.0000000000005</v>
      </c>
      <c r="E69" s="181">
        <v>37.200000000000003</v>
      </c>
      <c r="F69" s="54">
        <f t="shared" si="1"/>
        <v>3720.0000000000005</v>
      </c>
    </row>
    <row r="70" spans="1:6" x14ac:dyDescent="0.3">
      <c r="A70" s="177">
        <v>139</v>
      </c>
      <c r="B70" s="178">
        <v>24</v>
      </c>
      <c r="C70" s="179">
        <v>133</v>
      </c>
      <c r="D70" s="180">
        <f t="shared" ref="D70:D133" si="2">F70</f>
        <v>3720.0000000000005</v>
      </c>
      <c r="E70" s="181">
        <v>37.200000000000003</v>
      </c>
      <c r="F70" s="54">
        <f t="shared" ref="F70:F133" si="3">E70*100</f>
        <v>3720.0000000000005</v>
      </c>
    </row>
    <row r="71" spans="1:6" x14ac:dyDescent="0.3">
      <c r="A71" s="177">
        <v>139</v>
      </c>
      <c r="B71" s="178">
        <v>41</v>
      </c>
      <c r="C71" s="179">
        <v>133</v>
      </c>
      <c r="D71" s="180">
        <f t="shared" si="2"/>
        <v>3720.0000000000005</v>
      </c>
      <c r="E71" s="181">
        <v>37.200000000000003</v>
      </c>
      <c r="F71" s="54">
        <f t="shared" si="3"/>
        <v>3720.0000000000005</v>
      </c>
    </row>
    <row r="72" spans="1:6" x14ac:dyDescent="0.3">
      <c r="A72" s="177">
        <v>139</v>
      </c>
      <c r="B72" s="178">
        <v>52</v>
      </c>
      <c r="C72" s="179">
        <v>133</v>
      </c>
      <c r="D72" s="180">
        <f t="shared" si="2"/>
        <v>3720.0000000000005</v>
      </c>
      <c r="E72" s="181">
        <v>37.200000000000003</v>
      </c>
      <c r="F72" s="54">
        <f t="shared" si="3"/>
        <v>3720.0000000000005</v>
      </c>
    </row>
    <row r="73" spans="1:6" x14ac:dyDescent="0.3">
      <c r="A73" s="177">
        <v>139</v>
      </c>
      <c r="B73" s="178">
        <v>51</v>
      </c>
      <c r="C73" s="179">
        <v>133</v>
      </c>
      <c r="D73" s="180">
        <f t="shared" si="2"/>
        <v>3720.0000000000005</v>
      </c>
      <c r="E73" s="181">
        <v>37.200000000000003</v>
      </c>
      <c r="F73" s="54">
        <f t="shared" si="3"/>
        <v>3720.0000000000005</v>
      </c>
    </row>
    <row r="74" spans="1:6" x14ac:dyDescent="0.3">
      <c r="A74" s="177">
        <v>139</v>
      </c>
      <c r="B74" s="178">
        <v>28</v>
      </c>
      <c r="C74" s="179">
        <v>133</v>
      </c>
      <c r="D74" s="180">
        <f t="shared" si="2"/>
        <v>3720.0000000000005</v>
      </c>
      <c r="E74" s="181">
        <v>37.200000000000003</v>
      </c>
      <c r="F74" s="54">
        <f t="shared" si="3"/>
        <v>3720.0000000000005</v>
      </c>
    </row>
    <row r="75" spans="1:6" x14ac:dyDescent="0.3">
      <c r="A75" s="177">
        <v>139</v>
      </c>
      <c r="B75" s="178">
        <v>49</v>
      </c>
      <c r="C75" s="179">
        <v>133</v>
      </c>
      <c r="D75" s="180">
        <f t="shared" si="2"/>
        <v>3720.0000000000005</v>
      </c>
      <c r="E75" s="181">
        <v>37.200000000000003</v>
      </c>
      <c r="F75" s="54">
        <f t="shared" si="3"/>
        <v>3720.0000000000005</v>
      </c>
    </row>
    <row r="76" spans="1:6" x14ac:dyDescent="0.3">
      <c r="A76" s="177">
        <v>139</v>
      </c>
      <c r="B76" s="178">
        <v>47</v>
      </c>
      <c r="C76" s="179">
        <v>133</v>
      </c>
      <c r="D76" s="180">
        <f t="shared" si="2"/>
        <v>3720.0000000000005</v>
      </c>
      <c r="E76" s="181">
        <v>37.200000000000003</v>
      </c>
      <c r="F76" s="54">
        <f t="shared" si="3"/>
        <v>3720.0000000000005</v>
      </c>
    </row>
    <row r="77" spans="1:6" x14ac:dyDescent="0.3">
      <c r="A77" s="177">
        <v>144</v>
      </c>
      <c r="B77" s="178">
        <v>81</v>
      </c>
      <c r="C77" s="179">
        <v>133</v>
      </c>
      <c r="D77" s="180">
        <f t="shared" si="2"/>
        <v>2350</v>
      </c>
      <c r="E77" s="181">
        <v>23.5</v>
      </c>
      <c r="F77" s="54">
        <f t="shared" si="3"/>
        <v>2350</v>
      </c>
    </row>
    <row r="78" spans="1:6" x14ac:dyDescent="0.3">
      <c r="A78" s="177">
        <v>144</v>
      </c>
      <c r="B78" s="178">
        <v>71</v>
      </c>
      <c r="C78" s="179">
        <v>133</v>
      </c>
      <c r="D78" s="180">
        <f t="shared" si="2"/>
        <v>2350</v>
      </c>
      <c r="E78" s="181">
        <v>23.5</v>
      </c>
      <c r="F78" s="54">
        <f t="shared" si="3"/>
        <v>2350</v>
      </c>
    </row>
    <row r="79" spans="1:6" x14ac:dyDescent="0.3">
      <c r="A79" s="177">
        <v>144</v>
      </c>
      <c r="B79" s="178">
        <v>85</v>
      </c>
      <c r="C79" s="179">
        <v>133</v>
      </c>
      <c r="D79" s="180">
        <f t="shared" si="2"/>
        <v>2350</v>
      </c>
      <c r="E79" s="181">
        <v>23.5</v>
      </c>
      <c r="F79" s="54">
        <f t="shared" si="3"/>
        <v>2350</v>
      </c>
    </row>
    <row r="80" spans="1:6" x14ac:dyDescent="0.3">
      <c r="A80" s="177">
        <v>144</v>
      </c>
      <c r="B80" s="178">
        <v>35</v>
      </c>
      <c r="C80" s="179">
        <v>133</v>
      </c>
      <c r="D80" s="180">
        <f t="shared" si="2"/>
        <v>2350</v>
      </c>
      <c r="E80" s="181">
        <v>23.5</v>
      </c>
      <c r="F80" s="54">
        <f t="shared" si="3"/>
        <v>2350</v>
      </c>
    </row>
    <row r="81" spans="1:6" x14ac:dyDescent="0.3">
      <c r="A81" s="177">
        <v>144</v>
      </c>
      <c r="B81" s="178">
        <v>88</v>
      </c>
      <c r="C81" s="179">
        <v>133</v>
      </c>
      <c r="D81" s="180">
        <f t="shared" si="2"/>
        <v>2350</v>
      </c>
      <c r="E81" s="181">
        <v>23.5</v>
      </c>
      <c r="F81" s="54">
        <f t="shared" si="3"/>
        <v>2350</v>
      </c>
    </row>
    <row r="82" spans="1:6" x14ac:dyDescent="0.3">
      <c r="A82" s="177">
        <v>156</v>
      </c>
      <c r="B82" s="178">
        <v>76</v>
      </c>
      <c r="C82" s="179">
        <v>133</v>
      </c>
      <c r="D82" s="180">
        <f t="shared" si="2"/>
        <v>4000</v>
      </c>
      <c r="E82" s="181">
        <v>40</v>
      </c>
      <c r="F82" s="54">
        <f t="shared" si="3"/>
        <v>4000</v>
      </c>
    </row>
    <row r="83" spans="1:6" x14ac:dyDescent="0.3">
      <c r="A83" s="177">
        <v>156</v>
      </c>
      <c r="B83" s="178">
        <v>72</v>
      </c>
      <c r="C83" s="179">
        <v>133</v>
      </c>
      <c r="D83" s="180">
        <f t="shared" si="2"/>
        <v>4000</v>
      </c>
      <c r="E83" s="181">
        <v>40</v>
      </c>
      <c r="F83" s="54">
        <f t="shared" si="3"/>
        <v>4000</v>
      </c>
    </row>
    <row r="84" spans="1:6" x14ac:dyDescent="0.3">
      <c r="A84" s="177">
        <v>156</v>
      </c>
      <c r="B84" s="178">
        <v>78</v>
      </c>
      <c r="C84" s="179">
        <v>133</v>
      </c>
      <c r="D84" s="180">
        <f t="shared" si="2"/>
        <v>4000</v>
      </c>
      <c r="E84" s="181">
        <v>40</v>
      </c>
      <c r="F84" s="54">
        <f t="shared" si="3"/>
        <v>4000</v>
      </c>
    </row>
    <row r="85" spans="1:6" x14ac:dyDescent="0.3">
      <c r="A85" s="177">
        <v>156</v>
      </c>
      <c r="B85" s="178">
        <v>67</v>
      </c>
      <c r="C85" s="179">
        <v>133</v>
      </c>
      <c r="D85" s="180">
        <f t="shared" si="2"/>
        <v>4000</v>
      </c>
      <c r="E85" s="181">
        <v>40</v>
      </c>
      <c r="F85" s="54">
        <f t="shared" si="3"/>
        <v>4000</v>
      </c>
    </row>
    <row r="86" spans="1:6" x14ac:dyDescent="0.3">
      <c r="A86" s="177">
        <v>156</v>
      </c>
      <c r="B86" s="178">
        <v>81</v>
      </c>
      <c r="C86" s="179">
        <v>133</v>
      </c>
      <c r="D86" s="180">
        <f t="shared" si="2"/>
        <v>4000</v>
      </c>
      <c r="E86" s="181">
        <v>40</v>
      </c>
      <c r="F86" s="54">
        <f t="shared" si="3"/>
        <v>4000</v>
      </c>
    </row>
    <row r="87" spans="1:6" x14ac:dyDescent="0.3">
      <c r="A87" s="177">
        <v>156</v>
      </c>
      <c r="B87" s="178">
        <v>79</v>
      </c>
      <c r="C87" s="179">
        <v>133</v>
      </c>
      <c r="D87" s="180">
        <f t="shared" si="2"/>
        <v>4000</v>
      </c>
      <c r="E87" s="181">
        <v>40</v>
      </c>
      <c r="F87" s="54">
        <f t="shared" si="3"/>
        <v>4000</v>
      </c>
    </row>
    <row r="88" spans="1:6" x14ac:dyDescent="0.3">
      <c r="A88" s="177">
        <v>156</v>
      </c>
      <c r="B88" s="178">
        <v>75</v>
      </c>
      <c r="C88" s="179">
        <v>133</v>
      </c>
      <c r="D88" s="180">
        <f t="shared" si="2"/>
        <v>4000</v>
      </c>
      <c r="E88" s="181">
        <v>40</v>
      </c>
      <c r="F88" s="54">
        <f t="shared" si="3"/>
        <v>4000</v>
      </c>
    </row>
    <row r="89" spans="1:6" x14ac:dyDescent="0.3">
      <c r="A89" s="177">
        <v>156</v>
      </c>
      <c r="B89" s="178">
        <v>84</v>
      </c>
      <c r="C89" s="179">
        <v>133</v>
      </c>
      <c r="D89" s="180">
        <f t="shared" si="2"/>
        <v>3400</v>
      </c>
      <c r="E89" s="181">
        <v>34</v>
      </c>
      <c r="F89" s="54">
        <f t="shared" si="3"/>
        <v>3400</v>
      </c>
    </row>
    <row r="90" spans="1:6" x14ac:dyDescent="0.3">
      <c r="A90" s="177">
        <v>161</v>
      </c>
      <c r="B90" s="178">
        <v>51</v>
      </c>
      <c r="C90" s="179">
        <v>133</v>
      </c>
      <c r="D90" s="180">
        <f t="shared" si="2"/>
        <v>3009</v>
      </c>
      <c r="E90" s="181">
        <v>30.09</v>
      </c>
      <c r="F90" s="54">
        <f t="shared" si="3"/>
        <v>3009</v>
      </c>
    </row>
    <row r="91" spans="1:6" x14ac:dyDescent="0.3">
      <c r="A91" s="177">
        <v>161</v>
      </c>
      <c r="B91" s="178">
        <v>49</v>
      </c>
      <c r="C91" s="179">
        <v>133</v>
      </c>
      <c r="D91" s="180">
        <f t="shared" si="2"/>
        <v>3009</v>
      </c>
      <c r="E91" s="181">
        <v>30.09</v>
      </c>
      <c r="F91" s="54">
        <f t="shared" si="3"/>
        <v>3009</v>
      </c>
    </row>
    <row r="92" spans="1:6" x14ac:dyDescent="0.3">
      <c r="A92" s="177">
        <v>161</v>
      </c>
      <c r="B92" s="178">
        <v>32</v>
      </c>
      <c r="C92" s="179">
        <v>133</v>
      </c>
      <c r="D92" s="180">
        <f t="shared" si="2"/>
        <v>3009</v>
      </c>
      <c r="E92" s="181">
        <v>30.09</v>
      </c>
      <c r="F92" s="54">
        <f t="shared" si="3"/>
        <v>3009</v>
      </c>
    </row>
    <row r="93" spans="1:6" x14ac:dyDescent="0.3">
      <c r="A93" s="177">
        <v>161</v>
      </c>
      <c r="B93" s="178">
        <v>52</v>
      </c>
      <c r="C93" s="179">
        <v>133</v>
      </c>
      <c r="D93" s="180">
        <f t="shared" si="2"/>
        <v>2778</v>
      </c>
      <c r="E93" s="181">
        <v>27.78</v>
      </c>
      <c r="F93" s="54">
        <f t="shared" si="3"/>
        <v>2778</v>
      </c>
    </row>
    <row r="94" spans="1:6" x14ac:dyDescent="0.3">
      <c r="A94" s="177">
        <v>173</v>
      </c>
      <c r="B94" s="178">
        <v>30</v>
      </c>
      <c r="C94" s="179">
        <v>133</v>
      </c>
      <c r="D94" s="180">
        <f t="shared" si="2"/>
        <v>4000</v>
      </c>
      <c r="E94" s="181">
        <v>40</v>
      </c>
      <c r="F94" s="54">
        <f t="shared" si="3"/>
        <v>4000</v>
      </c>
    </row>
    <row r="95" spans="1:6" x14ac:dyDescent="0.3">
      <c r="A95" s="177">
        <v>173</v>
      </c>
      <c r="B95" s="178">
        <v>34</v>
      </c>
      <c r="C95" s="179">
        <v>133</v>
      </c>
      <c r="D95" s="180">
        <f t="shared" si="2"/>
        <v>4000</v>
      </c>
      <c r="E95" s="181">
        <v>40</v>
      </c>
      <c r="F95" s="54">
        <f t="shared" si="3"/>
        <v>4000</v>
      </c>
    </row>
    <row r="96" spans="1:6" x14ac:dyDescent="0.3">
      <c r="A96" s="177">
        <v>173</v>
      </c>
      <c r="B96" s="178">
        <v>35</v>
      </c>
      <c r="C96" s="179">
        <v>133</v>
      </c>
      <c r="D96" s="180">
        <f t="shared" si="2"/>
        <v>4000</v>
      </c>
      <c r="E96" s="181">
        <v>40</v>
      </c>
      <c r="F96" s="54">
        <f t="shared" si="3"/>
        <v>4000</v>
      </c>
    </row>
    <row r="97" spans="1:6" x14ac:dyDescent="0.3">
      <c r="A97" s="177">
        <v>173</v>
      </c>
      <c r="B97" s="178">
        <v>38</v>
      </c>
      <c r="C97" s="179">
        <v>133</v>
      </c>
      <c r="D97" s="180">
        <f t="shared" si="2"/>
        <v>4000</v>
      </c>
      <c r="E97" s="181">
        <v>40</v>
      </c>
      <c r="F97" s="54">
        <f t="shared" si="3"/>
        <v>4000</v>
      </c>
    </row>
    <row r="98" spans="1:6" x14ac:dyDescent="0.3">
      <c r="A98" s="177">
        <v>173</v>
      </c>
      <c r="B98" s="178">
        <v>41</v>
      </c>
      <c r="C98" s="179">
        <v>133</v>
      </c>
      <c r="D98" s="180">
        <f t="shared" si="2"/>
        <v>3400</v>
      </c>
      <c r="E98" s="181">
        <v>34</v>
      </c>
      <c r="F98" s="54">
        <f t="shared" si="3"/>
        <v>3400</v>
      </c>
    </row>
    <row r="99" spans="1:6" x14ac:dyDescent="0.3">
      <c r="A99" s="177">
        <v>175</v>
      </c>
      <c r="B99" s="178">
        <v>17</v>
      </c>
      <c r="C99" s="179">
        <v>133</v>
      </c>
      <c r="D99" s="180">
        <f t="shared" si="2"/>
        <v>42500</v>
      </c>
      <c r="E99" s="181">
        <v>425</v>
      </c>
      <c r="F99" s="54">
        <f t="shared" si="3"/>
        <v>42500</v>
      </c>
    </row>
    <row r="100" spans="1:6" x14ac:dyDescent="0.3">
      <c r="A100" s="177">
        <v>175</v>
      </c>
      <c r="B100" s="178">
        <v>13</v>
      </c>
      <c r="C100" s="179">
        <v>133</v>
      </c>
      <c r="D100" s="180">
        <f t="shared" si="2"/>
        <v>43600</v>
      </c>
      <c r="E100" s="181">
        <v>436</v>
      </c>
      <c r="F100" s="54">
        <f t="shared" si="3"/>
        <v>43600</v>
      </c>
    </row>
    <row r="101" spans="1:6" x14ac:dyDescent="0.3">
      <c r="A101" s="177">
        <v>175</v>
      </c>
      <c r="B101" s="178">
        <v>11</v>
      </c>
      <c r="C101" s="179">
        <v>133</v>
      </c>
      <c r="D101" s="180">
        <f t="shared" si="2"/>
        <v>41900</v>
      </c>
      <c r="E101" s="181">
        <v>419</v>
      </c>
      <c r="F101" s="54">
        <f t="shared" si="3"/>
        <v>41900</v>
      </c>
    </row>
    <row r="102" spans="1:6" x14ac:dyDescent="0.3">
      <c r="A102" s="177">
        <v>175</v>
      </c>
      <c r="B102" s="178">
        <v>8</v>
      </c>
      <c r="C102" s="179">
        <v>133</v>
      </c>
      <c r="D102" s="180">
        <f t="shared" si="2"/>
        <v>41900</v>
      </c>
      <c r="E102" s="181">
        <v>419</v>
      </c>
      <c r="F102" s="54">
        <f t="shared" si="3"/>
        <v>41900</v>
      </c>
    </row>
    <row r="103" spans="1:6" x14ac:dyDescent="0.3">
      <c r="A103" s="177">
        <v>175</v>
      </c>
      <c r="B103" s="178">
        <v>3</v>
      </c>
      <c r="C103" s="179">
        <v>133</v>
      </c>
      <c r="D103" s="180">
        <f t="shared" si="2"/>
        <v>41900</v>
      </c>
      <c r="E103" s="181">
        <v>419</v>
      </c>
      <c r="F103" s="54">
        <f t="shared" si="3"/>
        <v>41900</v>
      </c>
    </row>
    <row r="104" spans="1:6" x14ac:dyDescent="0.3">
      <c r="A104" s="177">
        <v>175</v>
      </c>
      <c r="B104" s="178">
        <v>9</v>
      </c>
      <c r="C104" s="179">
        <v>133</v>
      </c>
      <c r="D104" s="180">
        <f t="shared" si="2"/>
        <v>43600</v>
      </c>
      <c r="E104" s="181">
        <v>436</v>
      </c>
      <c r="F104" s="54">
        <f t="shared" si="3"/>
        <v>43600</v>
      </c>
    </row>
    <row r="105" spans="1:6" x14ac:dyDescent="0.3">
      <c r="A105" s="177">
        <v>175</v>
      </c>
      <c r="B105" s="178">
        <v>1</v>
      </c>
      <c r="C105" s="179">
        <v>133</v>
      </c>
      <c r="D105" s="180">
        <f t="shared" si="2"/>
        <v>41900</v>
      </c>
      <c r="E105" s="181">
        <v>419</v>
      </c>
      <c r="F105" s="54">
        <f t="shared" si="3"/>
        <v>41900</v>
      </c>
    </row>
    <row r="106" spans="1:6" x14ac:dyDescent="0.3">
      <c r="A106" s="177">
        <v>179</v>
      </c>
      <c r="B106" s="178">
        <v>1</v>
      </c>
      <c r="C106" s="179">
        <v>133</v>
      </c>
      <c r="D106" s="180">
        <f t="shared" si="2"/>
        <v>2500</v>
      </c>
      <c r="E106" s="181">
        <v>25</v>
      </c>
      <c r="F106" s="54">
        <f t="shared" si="3"/>
        <v>2500</v>
      </c>
    </row>
    <row r="107" spans="1:6" x14ac:dyDescent="0.3">
      <c r="A107" s="177">
        <v>179</v>
      </c>
      <c r="B107" s="178">
        <v>2</v>
      </c>
      <c r="C107" s="179">
        <v>133</v>
      </c>
      <c r="D107" s="180">
        <f t="shared" si="2"/>
        <v>2500</v>
      </c>
      <c r="E107" s="181">
        <v>25</v>
      </c>
      <c r="F107" s="54">
        <f t="shared" si="3"/>
        <v>2500</v>
      </c>
    </row>
    <row r="108" spans="1:6" x14ac:dyDescent="0.3">
      <c r="A108" s="177">
        <v>179</v>
      </c>
      <c r="B108" s="178">
        <v>3</v>
      </c>
      <c r="C108" s="179">
        <v>133</v>
      </c>
      <c r="D108" s="180">
        <f t="shared" si="2"/>
        <v>2500</v>
      </c>
      <c r="E108" s="181">
        <v>25</v>
      </c>
      <c r="F108" s="54">
        <f t="shared" si="3"/>
        <v>2500</v>
      </c>
    </row>
    <row r="109" spans="1:6" x14ac:dyDescent="0.3">
      <c r="A109" s="177">
        <v>179</v>
      </c>
      <c r="B109" s="178">
        <v>4</v>
      </c>
      <c r="C109" s="179">
        <v>133</v>
      </c>
      <c r="D109" s="180">
        <f t="shared" si="2"/>
        <v>2500</v>
      </c>
      <c r="E109" s="181">
        <v>25</v>
      </c>
      <c r="F109" s="54">
        <f t="shared" si="3"/>
        <v>2500</v>
      </c>
    </row>
    <row r="110" spans="1:6" x14ac:dyDescent="0.3">
      <c r="A110" s="177">
        <v>179</v>
      </c>
      <c r="B110" s="178">
        <v>16</v>
      </c>
      <c r="C110" s="179">
        <v>133</v>
      </c>
      <c r="D110" s="180">
        <f t="shared" si="2"/>
        <v>2500</v>
      </c>
      <c r="E110" s="181">
        <v>25</v>
      </c>
      <c r="F110" s="54">
        <f t="shared" si="3"/>
        <v>2500</v>
      </c>
    </row>
    <row r="111" spans="1:6" x14ac:dyDescent="0.3">
      <c r="A111" s="177">
        <v>179</v>
      </c>
      <c r="B111" s="178">
        <v>12</v>
      </c>
      <c r="C111" s="179">
        <v>133</v>
      </c>
      <c r="D111" s="180">
        <f t="shared" si="2"/>
        <v>2500</v>
      </c>
      <c r="E111" s="181">
        <v>25</v>
      </c>
      <c r="F111" s="54">
        <f t="shared" si="3"/>
        <v>2500</v>
      </c>
    </row>
    <row r="112" spans="1:6" x14ac:dyDescent="0.3">
      <c r="A112" s="177">
        <v>179</v>
      </c>
      <c r="B112" s="178">
        <v>18</v>
      </c>
      <c r="C112" s="179">
        <v>133</v>
      </c>
      <c r="D112" s="180">
        <f t="shared" si="2"/>
        <v>2500</v>
      </c>
      <c r="E112" s="181">
        <v>25</v>
      </c>
      <c r="F112" s="54">
        <f t="shared" si="3"/>
        <v>2500</v>
      </c>
    </row>
    <row r="113" spans="1:6" x14ac:dyDescent="0.3">
      <c r="A113" s="177">
        <v>181</v>
      </c>
      <c r="B113" s="178">
        <v>33</v>
      </c>
      <c r="C113" s="179">
        <v>133</v>
      </c>
      <c r="D113" s="180">
        <f t="shared" si="2"/>
        <v>16050</v>
      </c>
      <c r="E113" s="181">
        <v>160.5</v>
      </c>
      <c r="F113" s="54">
        <f t="shared" si="3"/>
        <v>16050</v>
      </c>
    </row>
    <row r="114" spans="1:6" x14ac:dyDescent="0.3">
      <c r="A114" s="177">
        <v>183</v>
      </c>
      <c r="B114" s="178">
        <v>14</v>
      </c>
      <c r="C114" s="179">
        <v>133</v>
      </c>
      <c r="D114" s="180">
        <f t="shared" si="2"/>
        <v>2800</v>
      </c>
      <c r="E114" s="181">
        <v>28</v>
      </c>
      <c r="F114" s="54">
        <f t="shared" si="3"/>
        <v>2800</v>
      </c>
    </row>
    <row r="115" spans="1:6" x14ac:dyDescent="0.3">
      <c r="A115" s="177">
        <v>183</v>
      </c>
      <c r="B115" s="178">
        <v>8</v>
      </c>
      <c r="C115" s="179">
        <v>133</v>
      </c>
      <c r="D115" s="180">
        <f t="shared" si="2"/>
        <v>2800</v>
      </c>
      <c r="E115" s="181">
        <v>28</v>
      </c>
      <c r="F115" s="54">
        <f t="shared" si="3"/>
        <v>2800</v>
      </c>
    </row>
    <row r="116" spans="1:6" x14ac:dyDescent="0.3">
      <c r="A116" s="177">
        <v>183</v>
      </c>
      <c r="B116" s="178">
        <v>13</v>
      </c>
      <c r="C116" s="179">
        <v>133</v>
      </c>
      <c r="D116" s="180">
        <f t="shared" si="2"/>
        <v>2800</v>
      </c>
      <c r="E116" s="181">
        <v>28</v>
      </c>
      <c r="F116" s="54">
        <f t="shared" si="3"/>
        <v>2800</v>
      </c>
    </row>
    <row r="117" spans="1:6" x14ac:dyDescent="0.3">
      <c r="A117" s="177">
        <v>183</v>
      </c>
      <c r="B117" s="178">
        <v>1</v>
      </c>
      <c r="C117" s="179">
        <v>133</v>
      </c>
      <c r="D117" s="180">
        <f t="shared" si="2"/>
        <v>2800</v>
      </c>
      <c r="E117" s="181">
        <v>28</v>
      </c>
      <c r="F117" s="54">
        <f t="shared" si="3"/>
        <v>2800</v>
      </c>
    </row>
    <row r="118" spans="1:6" x14ac:dyDescent="0.3">
      <c r="A118" s="177">
        <v>183</v>
      </c>
      <c r="B118" s="178">
        <v>15</v>
      </c>
      <c r="C118" s="179">
        <v>133</v>
      </c>
      <c r="D118" s="180">
        <f t="shared" si="2"/>
        <v>2800</v>
      </c>
      <c r="E118" s="181">
        <v>28</v>
      </c>
      <c r="F118" s="54">
        <f t="shared" si="3"/>
        <v>2800</v>
      </c>
    </row>
    <row r="119" spans="1:6" x14ac:dyDescent="0.3">
      <c r="A119" s="177">
        <v>200</v>
      </c>
      <c r="B119" s="178">
        <v>136</v>
      </c>
      <c r="C119" s="179">
        <v>133</v>
      </c>
      <c r="D119" s="180">
        <f t="shared" si="2"/>
        <v>10304</v>
      </c>
      <c r="E119" s="181">
        <v>103.04</v>
      </c>
      <c r="F119" s="54">
        <f t="shared" si="3"/>
        <v>10304</v>
      </c>
    </row>
    <row r="120" spans="1:6" x14ac:dyDescent="0.3">
      <c r="A120" s="177">
        <v>200</v>
      </c>
      <c r="B120" s="178">
        <v>135</v>
      </c>
      <c r="C120" s="179">
        <v>133</v>
      </c>
      <c r="D120" s="180">
        <f t="shared" si="2"/>
        <v>29624</v>
      </c>
      <c r="E120" s="181">
        <v>296.24</v>
      </c>
      <c r="F120" s="54">
        <f t="shared" si="3"/>
        <v>29624</v>
      </c>
    </row>
    <row r="121" spans="1:6" x14ac:dyDescent="0.3">
      <c r="A121" s="177">
        <v>62</v>
      </c>
      <c r="B121" s="178">
        <v>286</v>
      </c>
      <c r="C121" s="179">
        <v>315</v>
      </c>
      <c r="D121" s="180">
        <f t="shared" si="2"/>
        <v>4100</v>
      </c>
      <c r="E121" s="181">
        <v>41</v>
      </c>
      <c r="F121" s="54">
        <f t="shared" si="3"/>
        <v>4100</v>
      </c>
    </row>
    <row r="122" spans="1:6" x14ac:dyDescent="0.3">
      <c r="A122" s="177">
        <v>62</v>
      </c>
      <c r="B122" s="178">
        <v>325</v>
      </c>
      <c r="C122" s="179">
        <v>315</v>
      </c>
      <c r="D122" s="180">
        <f t="shared" si="2"/>
        <v>4100</v>
      </c>
      <c r="E122" s="181">
        <v>41</v>
      </c>
      <c r="F122" s="54">
        <f t="shared" si="3"/>
        <v>4100</v>
      </c>
    </row>
    <row r="123" spans="1:6" x14ac:dyDescent="0.3">
      <c r="A123" s="177">
        <v>62</v>
      </c>
      <c r="B123" s="178">
        <v>322</v>
      </c>
      <c r="C123" s="179">
        <v>315</v>
      </c>
      <c r="D123" s="180">
        <f t="shared" si="2"/>
        <v>4100</v>
      </c>
      <c r="E123" s="181">
        <v>41</v>
      </c>
      <c r="F123" s="54">
        <f t="shared" si="3"/>
        <v>4100</v>
      </c>
    </row>
    <row r="124" spans="1:6" x14ac:dyDescent="0.3">
      <c r="A124" s="177">
        <v>62</v>
      </c>
      <c r="B124" s="178">
        <v>316</v>
      </c>
      <c r="C124" s="179">
        <v>315</v>
      </c>
      <c r="D124" s="180">
        <f t="shared" si="2"/>
        <v>4100</v>
      </c>
      <c r="E124" s="181">
        <v>41</v>
      </c>
      <c r="F124" s="54">
        <f t="shared" si="3"/>
        <v>4100</v>
      </c>
    </row>
    <row r="125" spans="1:6" x14ac:dyDescent="0.3">
      <c r="A125" s="177">
        <v>62</v>
      </c>
      <c r="B125" s="178">
        <v>266</v>
      </c>
      <c r="C125" s="179">
        <v>315</v>
      </c>
      <c r="D125" s="180">
        <f t="shared" si="2"/>
        <v>4100</v>
      </c>
      <c r="E125" s="181">
        <v>41</v>
      </c>
      <c r="F125" s="54">
        <f t="shared" si="3"/>
        <v>4100</v>
      </c>
    </row>
    <row r="126" spans="1:6" x14ac:dyDescent="0.3">
      <c r="A126" s="177">
        <v>62</v>
      </c>
      <c r="B126" s="178">
        <v>326</v>
      </c>
      <c r="C126" s="179">
        <v>315</v>
      </c>
      <c r="D126" s="180">
        <f t="shared" si="2"/>
        <v>4100</v>
      </c>
      <c r="E126" s="181">
        <v>41</v>
      </c>
      <c r="F126" s="54">
        <f t="shared" si="3"/>
        <v>4100</v>
      </c>
    </row>
    <row r="127" spans="1:6" x14ac:dyDescent="0.3">
      <c r="A127" s="177">
        <v>62</v>
      </c>
      <c r="B127" s="178">
        <v>314</v>
      </c>
      <c r="C127" s="179">
        <v>315</v>
      </c>
      <c r="D127" s="180">
        <f t="shared" si="2"/>
        <v>4100</v>
      </c>
      <c r="E127" s="181">
        <v>41</v>
      </c>
      <c r="F127" s="54">
        <f t="shared" si="3"/>
        <v>4100</v>
      </c>
    </row>
    <row r="128" spans="1:6" x14ac:dyDescent="0.3">
      <c r="A128" s="177">
        <v>62</v>
      </c>
      <c r="B128" s="178">
        <v>303</v>
      </c>
      <c r="C128" s="179">
        <v>315</v>
      </c>
      <c r="D128" s="180">
        <f t="shared" si="2"/>
        <v>4100</v>
      </c>
      <c r="E128" s="181">
        <v>41</v>
      </c>
      <c r="F128" s="54">
        <f t="shared" si="3"/>
        <v>4100</v>
      </c>
    </row>
    <row r="129" spans="1:6" x14ac:dyDescent="0.3">
      <c r="A129" s="177">
        <v>62</v>
      </c>
      <c r="B129" s="178">
        <v>320</v>
      </c>
      <c r="C129" s="179">
        <v>315</v>
      </c>
      <c r="D129" s="180">
        <f t="shared" si="2"/>
        <v>4100</v>
      </c>
      <c r="E129" s="181">
        <v>41</v>
      </c>
      <c r="F129" s="54">
        <f t="shared" si="3"/>
        <v>4100</v>
      </c>
    </row>
    <row r="130" spans="1:6" x14ac:dyDescent="0.3">
      <c r="A130" s="177">
        <v>62</v>
      </c>
      <c r="B130" s="178">
        <v>289</v>
      </c>
      <c r="C130" s="179">
        <v>315</v>
      </c>
      <c r="D130" s="180">
        <f t="shared" si="2"/>
        <v>4100</v>
      </c>
      <c r="E130" s="181">
        <v>41</v>
      </c>
      <c r="F130" s="54">
        <f t="shared" si="3"/>
        <v>4100</v>
      </c>
    </row>
    <row r="131" spans="1:6" x14ac:dyDescent="0.3">
      <c r="A131" s="177">
        <v>93</v>
      </c>
      <c r="B131" s="178">
        <v>98</v>
      </c>
      <c r="C131" s="179">
        <v>315</v>
      </c>
      <c r="D131" s="180">
        <f t="shared" si="2"/>
        <v>1700</v>
      </c>
      <c r="E131" s="181">
        <v>17</v>
      </c>
      <c r="F131" s="54">
        <f t="shared" si="3"/>
        <v>1700</v>
      </c>
    </row>
    <row r="132" spans="1:6" x14ac:dyDescent="0.3">
      <c r="A132" s="177">
        <v>93</v>
      </c>
      <c r="B132" s="178">
        <v>70</v>
      </c>
      <c r="C132" s="179">
        <v>315</v>
      </c>
      <c r="D132" s="180">
        <f t="shared" si="2"/>
        <v>1700</v>
      </c>
      <c r="E132" s="181">
        <v>17</v>
      </c>
      <c r="F132" s="54">
        <f t="shared" si="3"/>
        <v>1700</v>
      </c>
    </row>
    <row r="133" spans="1:6" x14ac:dyDescent="0.3">
      <c r="A133" s="177">
        <v>93</v>
      </c>
      <c r="B133" s="178">
        <v>90</v>
      </c>
      <c r="C133" s="179">
        <v>315</v>
      </c>
      <c r="D133" s="180">
        <f t="shared" si="2"/>
        <v>1700</v>
      </c>
      <c r="E133" s="181">
        <v>17</v>
      </c>
      <c r="F133" s="54">
        <f t="shared" si="3"/>
        <v>1700</v>
      </c>
    </row>
    <row r="134" spans="1:6" x14ac:dyDescent="0.3">
      <c r="A134" s="177">
        <v>93</v>
      </c>
      <c r="B134" s="178">
        <v>92</v>
      </c>
      <c r="C134" s="179">
        <v>315</v>
      </c>
      <c r="D134" s="180">
        <f t="shared" ref="D134:D197" si="4">F134</f>
        <v>1700</v>
      </c>
      <c r="E134" s="181">
        <v>17</v>
      </c>
      <c r="F134" s="54">
        <f t="shared" ref="F134:F197" si="5">E134*100</f>
        <v>1700</v>
      </c>
    </row>
    <row r="135" spans="1:6" x14ac:dyDescent="0.3">
      <c r="A135" s="177">
        <v>93</v>
      </c>
      <c r="B135" s="178">
        <v>103</v>
      </c>
      <c r="C135" s="179">
        <v>315</v>
      </c>
      <c r="D135" s="180">
        <f t="shared" si="4"/>
        <v>3400</v>
      </c>
      <c r="E135" s="181">
        <v>34</v>
      </c>
      <c r="F135" s="54">
        <f t="shared" si="5"/>
        <v>3400</v>
      </c>
    </row>
    <row r="136" spans="1:6" x14ac:dyDescent="0.3">
      <c r="A136" s="177">
        <v>93</v>
      </c>
      <c r="B136" s="178">
        <v>95</v>
      </c>
      <c r="C136" s="179">
        <v>315</v>
      </c>
      <c r="D136" s="180">
        <f t="shared" si="4"/>
        <v>1700</v>
      </c>
      <c r="E136" s="181">
        <v>17</v>
      </c>
      <c r="F136" s="54">
        <f t="shared" si="5"/>
        <v>1700</v>
      </c>
    </row>
    <row r="137" spans="1:6" x14ac:dyDescent="0.3">
      <c r="A137" s="177">
        <v>93</v>
      </c>
      <c r="B137" s="178">
        <v>36</v>
      </c>
      <c r="C137" s="179">
        <v>315</v>
      </c>
      <c r="D137" s="180">
        <f t="shared" si="4"/>
        <v>1700</v>
      </c>
      <c r="E137" s="181">
        <v>17</v>
      </c>
      <c r="F137" s="54">
        <f t="shared" si="5"/>
        <v>1700</v>
      </c>
    </row>
    <row r="138" spans="1:6" x14ac:dyDescent="0.3">
      <c r="A138" s="177">
        <v>93</v>
      </c>
      <c r="B138" s="178">
        <v>79</v>
      </c>
      <c r="C138" s="179">
        <v>315</v>
      </c>
      <c r="D138" s="180">
        <f t="shared" si="4"/>
        <v>1700</v>
      </c>
      <c r="E138" s="181">
        <v>17</v>
      </c>
      <c r="F138" s="54">
        <f t="shared" si="5"/>
        <v>1700</v>
      </c>
    </row>
    <row r="139" spans="1:6" x14ac:dyDescent="0.3">
      <c r="A139" s="177">
        <v>93</v>
      </c>
      <c r="B139" s="178">
        <v>91</v>
      </c>
      <c r="C139" s="179">
        <v>315</v>
      </c>
      <c r="D139" s="180">
        <f t="shared" si="4"/>
        <v>1700</v>
      </c>
      <c r="E139" s="181">
        <v>17</v>
      </c>
      <c r="F139" s="54">
        <f t="shared" si="5"/>
        <v>1700</v>
      </c>
    </row>
    <row r="140" spans="1:6" x14ac:dyDescent="0.3">
      <c r="A140" s="177">
        <v>93</v>
      </c>
      <c r="B140" s="178">
        <v>102</v>
      </c>
      <c r="C140" s="179">
        <v>315</v>
      </c>
      <c r="D140" s="180">
        <f t="shared" si="4"/>
        <v>1700</v>
      </c>
      <c r="E140" s="181">
        <v>17</v>
      </c>
      <c r="F140" s="54">
        <f t="shared" si="5"/>
        <v>1700</v>
      </c>
    </row>
    <row r="141" spans="1:6" x14ac:dyDescent="0.3">
      <c r="A141" s="177">
        <v>93</v>
      </c>
      <c r="B141" s="178">
        <v>100</v>
      </c>
      <c r="C141" s="179">
        <v>315</v>
      </c>
      <c r="D141" s="180">
        <f t="shared" si="4"/>
        <v>1700</v>
      </c>
      <c r="E141" s="181">
        <v>17</v>
      </c>
      <c r="F141" s="54">
        <f t="shared" si="5"/>
        <v>1700</v>
      </c>
    </row>
    <row r="142" spans="1:6" x14ac:dyDescent="0.3">
      <c r="A142" s="177">
        <v>94</v>
      </c>
      <c r="B142" s="178">
        <v>3</v>
      </c>
      <c r="C142" s="179">
        <v>315</v>
      </c>
      <c r="D142" s="180">
        <f t="shared" si="4"/>
        <v>2200</v>
      </c>
      <c r="E142" s="181">
        <v>22</v>
      </c>
      <c r="F142" s="54">
        <f t="shared" si="5"/>
        <v>2200</v>
      </c>
    </row>
    <row r="143" spans="1:6" x14ac:dyDescent="0.3">
      <c r="A143" s="177">
        <v>94</v>
      </c>
      <c r="B143" s="178">
        <v>6</v>
      </c>
      <c r="C143" s="179">
        <v>315</v>
      </c>
      <c r="D143" s="180">
        <f t="shared" si="4"/>
        <v>2200</v>
      </c>
      <c r="E143" s="181">
        <v>22</v>
      </c>
      <c r="F143" s="54">
        <f t="shared" si="5"/>
        <v>2200</v>
      </c>
    </row>
    <row r="144" spans="1:6" x14ac:dyDescent="0.3">
      <c r="A144" s="177">
        <v>94</v>
      </c>
      <c r="B144" s="178">
        <v>55</v>
      </c>
      <c r="C144" s="179">
        <v>315</v>
      </c>
      <c r="D144" s="180">
        <f t="shared" si="4"/>
        <v>2200</v>
      </c>
      <c r="E144" s="181">
        <v>22</v>
      </c>
      <c r="F144" s="54">
        <f t="shared" si="5"/>
        <v>2200</v>
      </c>
    </row>
    <row r="145" spans="1:6" x14ac:dyDescent="0.3">
      <c r="A145" s="177">
        <v>94</v>
      </c>
      <c r="B145" s="178">
        <v>66</v>
      </c>
      <c r="C145" s="179">
        <v>315</v>
      </c>
      <c r="D145" s="180">
        <f t="shared" si="4"/>
        <v>2200</v>
      </c>
      <c r="E145" s="181">
        <v>22</v>
      </c>
      <c r="F145" s="54">
        <f t="shared" si="5"/>
        <v>2200</v>
      </c>
    </row>
    <row r="146" spans="1:6" x14ac:dyDescent="0.3">
      <c r="A146" s="177">
        <v>94</v>
      </c>
      <c r="B146" s="178">
        <v>68</v>
      </c>
      <c r="C146" s="179">
        <v>315</v>
      </c>
      <c r="D146" s="180">
        <f t="shared" si="4"/>
        <v>4700</v>
      </c>
      <c r="E146" s="181">
        <v>47</v>
      </c>
      <c r="F146" s="54">
        <f t="shared" si="5"/>
        <v>4700</v>
      </c>
    </row>
    <row r="147" spans="1:6" x14ac:dyDescent="0.3">
      <c r="A147" s="177">
        <v>95</v>
      </c>
      <c r="B147" s="178">
        <v>56</v>
      </c>
      <c r="C147" s="179">
        <v>315</v>
      </c>
      <c r="D147" s="180">
        <f t="shared" si="4"/>
        <v>4000</v>
      </c>
      <c r="E147" s="181">
        <v>40</v>
      </c>
      <c r="F147" s="54">
        <f t="shared" si="5"/>
        <v>4000</v>
      </c>
    </row>
    <row r="148" spans="1:6" x14ac:dyDescent="0.3">
      <c r="A148" s="177">
        <v>95</v>
      </c>
      <c r="B148" s="178">
        <v>59</v>
      </c>
      <c r="C148" s="179">
        <v>315</v>
      </c>
      <c r="D148" s="180">
        <f t="shared" si="4"/>
        <v>4000</v>
      </c>
      <c r="E148" s="181">
        <v>40</v>
      </c>
      <c r="F148" s="54">
        <f t="shared" si="5"/>
        <v>4000</v>
      </c>
    </row>
    <row r="149" spans="1:6" x14ac:dyDescent="0.3">
      <c r="A149" s="177">
        <v>95</v>
      </c>
      <c r="B149" s="178">
        <v>83</v>
      </c>
      <c r="C149" s="179">
        <v>315</v>
      </c>
      <c r="D149" s="180">
        <f t="shared" si="4"/>
        <v>4000</v>
      </c>
      <c r="E149" s="181">
        <v>40</v>
      </c>
      <c r="F149" s="54">
        <f t="shared" si="5"/>
        <v>4000</v>
      </c>
    </row>
    <row r="150" spans="1:6" x14ac:dyDescent="0.3">
      <c r="A150" s="177">
        <v>95</v>
      </c>
      <c r="B150" s="178">
        <v>84</v>
      </c>
      <c r="C150" s="179">
        <v>315</v>
      </c>
      <c r="D150" s="180">
        <f t="shared" si="4"/>
        <v>4000</v>
      </c>
      <c r="E150" s="181">
        <v>40</v>
      </c>
      <c r="F150" s="54">
        <f t="shared" si="5"/>
        <v>4000</v>
      </c>
    </row>
    <row r="151" spans="1:6" x14ac:dyDescent="0.3">
      <c r="A151" s="177">
        <v>95</v>
      </c>
      <c r="B151" s="178">
        <v>88</v>
      </c>
      <c r="C151" s="179">
        <v>315</v>
      </c>
      <c r="D151" s="180">
        <f t="shared" si="4"/>
        <v>4000</v>
      </c>
      <c r="E151" s="181">
        <v>40</v>
      </c>
      <c r="F151" s="54">
        <f t="shared" si="5"/>
        <v>4000</v>
      </c>
    </row>
    <row r="152" spans="1:6" x14ac:dyDescent="0.3">
      <c r="A152" s="177">
        <v>103</v>
      </c>
      <c r="B152" s="178">
        <v>184</v>
      </c>
      <c r="C152" s="179">
        <v>315</v>
      </c>
      <c r="D152" s="180">
        <f t="shared" si="4"/>
        <v>4000</v>
      </c>
      <c r="E152" s="181">
        <v>40</v>
      </c>
      <c r="F152" s="54">
        <f t="shared" si="5"/>
        <v>4000</v>
      </c>
    </row>
    <row r="153" spans="1:6" x14ac:dyDescent="0.3">
      <c r="A153" s="177">
        <v>103</v>
      </c>
      <c r="B153" s="178">
        <v>185</v>
      </c>
      <c r="C153" s="179">
        <v>315</v>
      </c>
      <c r="D153" s="180">
        <f t="shared" si="4"/>
        <v>4000</v>
      </c>
      <c r="E153" s="181">
        <v>40</v>
      </c>
      <c r="F153" s="54">
        <f t="shared" si="5"/>
        <v>4000</v>
      </c>
    </row>
    <row r="154" spans="1:6" x14ac:dyDescent="0.3">
      <c r="A154" s="177">
        <v>103</v>
      </c>
      <c r="B154" s="178">
        <v>187</v>
      </c>
      <c r="C154" s="179">
        <v>315</v>
      </c>
      <c r="D154" s="180">
        <f t="shared" si="4"/>
        <v>4000</v>
      </c>
      <c r="E154" s="181">
        <v>40</v>
      </c>
      <c r="F154" s="54">
        <f t="shared" si="5"/>
        <v>4000</v>
      </c>
    </row>
    <row r="155" spans="1:6" x14ac:dyDescent="0.3">
      <c r="A155" s="177">
        <v>103</v>
      </c>
      <c r="B155" s="178">
        <v>194</v>
      </c>
      <c r="C155" s="179">
        <v>315</v>
      </c>
      <c r="D155" s="180">
        <f t="shared" si="4"/>
        <v>4000</v>
      </c>
      <c r="E155" s="181">
        <v>40</v>
      </c>
      <c r="F155" s="54">
        <f t="shared" si="5"/>
        <v>4000</v>
      </c>
    </row>
    <row r="156" spans="1:6" x14ac:dyDescent="0.3">
      <c r="A156" s="177">
        <v>103</v>
      </c>
      <c r="B156" s="178">
        <v>199</v>
      </c>
      <c r="C156" s="179">
        <v>315</v>
      </c>
      <c r="D156" s="180">
        <f t="shared" si="4"/>
        <v>4000</v>
      </c>
      <c r="E156" s="181">
        <v>40</v>
      </c>
      <c r="F156" s="54">
        <f t="shared" si="5"/>
        <v>4000</v>
      </c>
    </row>
    <row r="157" spans="1:6" x14ac:dyDescent="0.3">
      <c r="A157" s="177">
        <v>103</v>
      </c>
      <c r="B157" s="178">
        <v>200</v>
      </c>
      <c r="C157" s="179">
        <v>315</v>
      </c>
      <c r="D157" s="180">
        <f t="shared" si="4"/>
        <v>4000</v>
      </c>
      <c r="E157" s="181">
        <v>40</v>
      </c>
      <c r="F157" s="54">
        <f t="shared" si="5"/>
        <v>4000</v>
      </c>
    </row>
    <row r="158" spans="1:6" x14ac:dyDescent="0.3">
      <c r="A158" s="177">
        <v>103</v>
      </c>
      <c r="B158" s="178">
        <v>202</v>
      </c>
      <c r="C158" s="179">
        <v>315</v>
      </c>
      <c r="D158" s="180">
        <f t="shared" si="4"/>
        <v>4000</v>
      </c>
      <c r="E158" s="181">
        <v>40</v>
      </c>
      <c r="F158" s="54">
        <f t="shared" si="5"/>
        <v>4000</v>
      </c>
    </row>
    <row r="159" spans="1:6" x14ac:dyDescent="0.3">
      <c r="A159" s="177">
        <v>105</v>
      </c>
      <c r="B159" s="178">
        <v>93</v>
      </c>
      <c r="C159" s="179">
        <v>315</v>
      </c>
      <c r="D159" s="180">
        <f t="shared" si="4"/>
        <v>3009</v>
      </c>
      <c r="E159" s="181">
        <v>30.09</v>
      </c>
      <c r="F159" s="54">
        <f t="shared" si="5"/>
        <v>3009</v>
      </c>
    </row>
    <row r="160" spans="1:6" x14ac:dyDescent="0.3">
      <c r="A160" s="177">
        <v>105</v>
      </c>
      <c r="B160" s="178">
        <v>100</v>
      </c>
      <c r="C160" s="179">
        <v>315</v>
      </c>
      <c r="D160" s="180">
        <f t="shared" si="4"/>
        <v>3009</v>
      </c>
      <c r="E160" s="181">
        <v>30.09</v>
      </c>
      <c r="F160" s="54">
        <f t="shared" si="5"/>
        <v>3009</v>
      </c>
    </row>
    <row r="161" spans="1:6" x14ac:dyDescent="0.3">
      <c r="A161" s="177">
        <v>105</v>
      </c>
      <c r="B161" s="178">
        <v>61</v>
      </c>
      <c r="C161" s="179">
        <v>315</v>
      </c>
      <c r="D161" s="180">
        <f t="shared" si="4"/>
        <v>3009</v>
      </c>
      <c r="E161" s="181">
        <v>30.09</v>
      </c>
      <c r="F161" s="54">
        <f t="shared" si="5"/>
        <v>3009</v>
      </c>
    </row>
    <row r="162" spans="1:6" x14ac:dyDescent="0.3">
      <c r="A162" s="177">
        <v>105</v>
      </c>
      <c r="B162" s="178">
        <v>84</v>
      </c>
      <c r="C162" s="179">
        <v>315</v>
      </c>
      <c r="D162" s="180">
        <f t="shared" si="4"/>
        <v>3009</v>
      </c>
      <c r="E162" s="181">
        <v>30.09</v>
      </c>
      <c r="F162" s="54">
        <f t="shared" si="5"/>
        <v>3009</v>
      </c>
    </row>
    <row r="163" spans="1:6" x14ac:dyDescent="0.3">
      <c r="A163" s="177">
        <v>105</v>
      </c>
      <c r="B163" s="178">
        <v>29</v>
      </c>
      <c r="C163" s="179">
        <v>315</v>
      </c>
      <c r="D163" s="180">
        <f t="shared" si="4"/>
        <v>3009</v>
      </c>
      <c r="E163" s="181">
        <v>30.09</v>
      </c>
      <c r="F163" s="54">
        <f t="shared" si="5"/>
        <v>3009</v>
      </c>
    </row>
    <row r="164" spans="1:6" x14ac:dyDescent="0.3">
      <c r="A164" s="177">
        <v>105</v>
      </c>
      <c r="B164" s="178">
        <v>95</v>
      </c>
      <c r="C164" s="179">
        <v>315</v>
      </c>
      <c r="D164" s="180">
        <f t="shared" si="4"/>
        <v>3009</v>
      </c>
      <c r="E164" s="181">
        <v>30.09</v>
      </c>
      <c r="F164" s="54">
        <f t="shared" si="5"/>
        <v>3009</v>
      </c>
    </row>
    <row r="165" spans="1:6" x14ac:dyDescent="0.3">
      <c r="A165" s="177">
        <v>105</v>
      </c>
      <c r="B165" s="178">
        <v>103</v>
      </c>
      <c r="C165" s="179">
        <v>315</v>
      </c>
      <c r="D165" s="180">
        <f t="shared" si="4"/>
        <v>3009</v>
      </c>
      <c r="E165" s="181">
        <v>30.09</v>
      </c>
      <c r="F165" s="54">
        <f t="shared" si="5"/>
        <v>3009</v>
      </c>
    </row>
    <row r="166" spans="1:6" x14ac:dyDescent="0.3">
      <c r="A166" s="177">
        <v>123</v>
      </c>
      <c r="B166" s="178">
        <v>58</v>
      </c>
      <c r="C166" s="179">
        <v>315</v>
      </c>
      <c r="D166" s="180">
        <f t="shared" si="4"/>
        <v>1500</v>
      </c>
      <c r="E166" s="181">
        <v>15</v>
      </c>
      <c r="F166" s="54">
        <f t="shared" si="5"/>
        <v>1500</v>
      </c>
    </row>
    <row r="167" spans="1:6" x14ac:dyDescent="0.3">
      <c r="A167" s="177">
        <v>123</v>
      </c>
      <c r="B167" s="178">
        <v>69</v>
      </c>
      <c r="C167" s="179">
        <v>315</v>
      </c>
      <c r="D167" s="180">
        <f t="shared" si="4"/>
        <v>1500</v>
      </c>
      <c r="E167" s="181">
        <v>15</v>
      </c>
      <c r="F167" s="54">
        <f t="shared" si="5"/>
        <v>1500</v>
      </c>
    </row>
    <row r="168" spans="1:6" x14ac:dyDescent="0.3">
      <c r="A168" s="177">
        <v>123</v>
      </c>
      <c r="B168" s="178">
        <v>81</v>
      </c>
      <c r="C168" s="179">
        <v>315</v>
      </c>
      <c r="D168" s="180">
        <f t="shared" si="4"/>
        <v>6859.9999999999991</v>
      </c>
      <c r="E168" s="181">
        <v>68.599999999999994</v>
      </c>
      <c r="F168" s="54">
        <f t="shared" si="5"/>
        <v>6859.9999999999991</v>
      </c>
    </row>
    <row r="169" spans="1:6" x14ac:dyDescent="0.3">
      <c r="A169" s="177">
        <v>123</v>
      </c>
      <c r="B169" s="178">
        <v>75</v>
      </c>
      <c r="C169" s="179">
        <v>315</v>
      </c>
      <c r="D169" s="180">
        <f t="shared" si="4"/>
        <v>1500</v>
      </c>
      <c r="E169" s="181">
        <v>15</v>
      </c>
      <c r="F169" s="54">
        <f t="shared" si="5"/>
        <v>1500</v>
      </c>
    </row>
    <row r="170" spans="1:6" x14ac:dyDescent="0.3">
      <c r="A170" s="177">
        <v>123</v>
      </c>
      <c r="B170" s="178">
        <v>76</v>
      </c>
      <c r="C170" s="179">
        <v>315</v>
      </c>
      <c r="D170" s="180">
        <f t="shared" si="4"/>
        <v>1500</v>
      </c>
      <c r="E170" s="181">
        <v>15</v>
      </c>
      <c r="F170" s="54">
        <f t="shared" si="5"/>
        <v>1500</v>
      </c>
    </row>
    <row r="171" spans="1:6" x14ac:dyDescent="0.3">
      <c r="A171" s="177">
        <v>123</v>
      </c>
      <c r="B171" s="178">
        <v>68</v>
      </c>
      <c r="C171" s="179">
        <v>315</v>
      </c>
      <c r="D171" s="180">
        <f t="shared" si="4"/>
        <v>1500</v>
      </c>
      <c r="E171" s="181">
        <v>15</v>
      </c>
      <c r="F171" s="54">
        <f t="shared" si="5"/>
        <v>1500</v>
      </c>
    </row>
    <row r="172" spans="1:6" x14ac:dyDescent="0.3">
      <c r="A172" s="177">
        <v>123</v>
      </c>
      <c r="B172" s="178">
        <v>36</v>
      </c>
      <c r="C172" s="179">
        <v>315</v>
      </c>
      <c r="D172" s="180">
        <f t="shared" si="4"/>
        <v>1500</v>
      </c>
      <c r="E172" s="181">
        <v>15</v>
      </c>
      <c r="F172" s="54">
        <f t="shared" si="5"/>
        <v>1500</v>
      </c>
    </row>
    <row r="173" spans="1:6" x14ac:dyDescent="0.3">
      <c r="A173" s="177">
        <v>123</v>
      </c>
      <c r="B173" s="178">
        <v>70</v>
      </c>
      <c r="C173" s="179">
        <v>315</v>
      </c>
      <c r="D173" s="180">
        <f t="shared" si="4"/>
        <v>1500</v>
      </c>
      <c r="E173" s="181">
        <v>15</v>
      </c>
      <c r="F173" s="54">
        <f t="shared" si="5"/>
        <v>1500</v>
      </c>
    </row>
    <row r="174" spans="1:6" x14ac:dyDescent="0.3">
      <c r="A174" s="177">
        <v>126</v>
      </c>
      <c r="B174" s="178">
        <v>41</v>
      </c>
      <c r="C174" s="179">
        <v>315</v>
      </c>
      <c r="D174" s="180">
        <f t="shared" si="4"/>
        <v>4100</v>
      </c>
      <c r="E174" s="181">
        <v>41</v>
      </c>
      <c r="F174" s="54">
        <f t="shared" si="5"/>
        <v>4100</v>
      </c>
    </row>
    <row r="175" spans="1:6" x14ac:dyDescent="0.3">
      <c r="A175" s="177">
        <v>126</v>
      </c>
      <c r="B175" s="178">
        <v>56</v>
      </c>
      <c r="C175" s="179">
        <v>315</v>
      </c>
      <c r="D175" s="180">
        <f t="shared" si="4"/>
        <v>2100</v>
      </c>
      <c r="E175" s="181">
        <v>21</v>
      </c>
      <c r="F175" s="54">
        <f t="shared" si="5"/>
        <v>2100</v>
      </c>
    </row>
    <row r="176" spans="1:6" x14ac:dyDescent="0.3">
      <c r="A176" s="177">
        <v>126</v>
      </c>
      <c r="B176" s="178">
        <v>45</v>
      </c>
      <c r="C176" s="179">
        <v>315</v>
      </c>
      <c r="D176" s="180">
        <f t="shared" si="4"/>
        <v>4100</v>
      </c>
      <c r="E176" s="181">
        <v>41</v>
      </c>
      <c r="F176" s="54">
        <f t="shared" si="5"/>
        <v>4100</v>
      </c>
    </row>
    <row r="177" spans="1:6" x14ac:dyDescent="0.3">
      <c r="A177" s="177">
        <v>126</v>
      </c>
      <c r="B177" s="178">
        <v>1</v>
      </c>
      <c r="C177" s="179">
        <v>315</v>
      </c>
      <c r="D177" s="180">
        <f t="shared" si="4"/>
        <v>4100</v>
      </c>
      <c r="E177" s="181">
        <v>41</v>
      </c>
      <c r="F177" s="54">
        <f t="shared" si="5"/>
        <v>4100</v>
      </c>
    </row>
    <row r="178" spans="1:6" x14ac:dyDescent="0.3">
      <c r="A178" s="177">
        <v>126</v>
      </c>
      <c r="B178" s="178">
        <v>28</v>
      </c>
      <c r="C178" s="179">
        <v>315</v>
      </c>
      <c r="D178" s="180">
        <f t="shared" si="4"/>
        <v>4100</v>
      </c>
      <c r="E178" s="181">
        <v>41</v>
      </c>
      <c r="F178" s="54">
        <f t="shared" si="5"/>
        <v>4100</v>
      </c>
    </row>
    <row r="179" spans="1:6" x14ac:dyDescent="0.3">
      <c r="A179" s="177">
        <v>126</v>
      </c>
      <c r="B179" s="178">
        <v>55</v>
      </c>
      <c r="C179" s="179">
        <v>315</v>
      </c>
      <c r="D179" s="180">
        <f t="shared" si="4"/>
        <v>4100</v>
      </c>
      <c r="E179" s="181">
        <v>41</v>
      </c>
      <c r="F179" s="54">
        <f t="shared" si="5"/>
        <v>4100</v>
      </c>
    </row>
    <row r="180" spans="1:6" x14ac:dyDescent="0.3">
      <c r="A180" s="177">
        <v>126</v>
      </c>
      <c r="B180" s="178">
        <v>46</v>
      </c>
      <c r="C180" s="179">
        <v>315</v>
      </c>
      <c r="D180" s="180">
        <f t="shared" si="4"/>
        <v>4100</v>
      </c>
      <c r="E180" s="181">
        <v>41</v>
      </c>
      <c r="F180" s="54">
        <f t="shared" si="5"/>
        <v>4100</v>
      </c>
    </row>
    <row r="181" spans="1:6" x14ac:dyDescent="0.3">
      <c r="A181" s="177">
        <v>127</v>
      </c>
      <c r="B181" s="178">
        <v>70</v>
      </c>
      <c r="C181" s="179">
        <v>315</v>
      </c>
      <c r="D181" s="180">
        <f t="shared" si="4"/>
        <v>2500</v>
      </c>
      <c r="E181" s="181">
        <v>25</v>
      </c>
      <c r="F181" s="54">
        <f t="shared" si="5"/>
        <v>2500</v>
      </c>
    </row>
    <row r="182" spans="1:6" x14ac:dyDescent="0.3">
      <c r="A182" s="177">
        <v>127</v>
      </c>
      <c r="B182" s="178">
        <v>75</v>
      </c>
      <c r="C182" s="179">
        <v>315</v>
      </c>
      <c r="D182" s="180">
        <f t="shared" si="4"/>
        <v>2500</v>
      </c>
      <c r="E182" s="181">
        <v>25</v>
      </c>
      <c r="F182" s="54">
        <f t="shared" si="5"/>
        <v>2500</v>
      </c>
    </row>
    <row r="183" spans="1:6" x14ac:dyDescent="0.3">
      <c r="A183" s="177">
        <v>127</v>
      </c>
      <c r="B183" s="178">
        <v>80</v>
      </c>
      <c r="C183" s="179">
        <v>315</v>
      </c>
      <c r="D183" s="180">
        <f t="shared" si="4"/>
        <v>2500</v>
      </c>
      <c r="E183" s="181">
        <v>25</v>
      </c>
      <c r="F183" s="54">
        <f t="shared" si="5"/>
        <v>2500</v>
      </c>
    </row>
    <row r="184" spans="1:6" x14ac:dyDescent="0.3">
      <c r="A184" s="177">
        <v>127</v>
      </c>
      <c r="B184" s="178">
        <v>82</v>
      </c>
      <c r="C184" s="179">
        <v>315</v>
      </c>
      <c r="D184" s="180">
        <f t="shared" si="4"/>
        <v>2600</v>
      </c>
      <c r="E184" s="181">
        <v>26</v>
      </c>
      <c r="F184" s="54">
        <f t="shared" si="5"/>
        <v>2600</v>
      </c>
    </row>
    <row r="185" spans="1:6" x14ac:dyDescent="0.3">
      <c r="A185" s="177">
        <v>139</v>
      </c>
      <c r="B185" s="178">
        <v>43</v>
      </c>
      <c r="C185" s="179">
        <v>315</v>
      </c>
      <c r="D185" s="180">
        <f t="shared" si="4"/>
        <v>3720.0000000000005</v>
      </c>
      <c r="E185" s="181">
        <v>37.200000000000003</v>
      </c>
      <c r="F185" s="54">
        <f t="shared" si="5"/>
        <v>3720.0000000000005</v>
      </c>
    </row>
    <row r="186" spans="1:6" x14ac:dyDescent="0.3">
      <c r="A186" s="177">
        <v>139</v>
      </c>
      <c r="B186" s="178">
        <v>24</v>
      </c>
      <c r="C186" s="179">
        <v>315</v>
      </c>
      <c r="D186" s="180">
        <f t="shared" si="4"/>
        <v>3720.0000000000005</v>
      </c>
      <c r="E186" s="181">
        <v>37.200000000000003</v>
      </c>
      <c r="F186" s="54">
        <f t="shared" si="5"/>
        <v>3720.0000000000005</v>
      </c>
    </row>
    <row r="187" spans="1:6" x14ac:dyDescent="0.3">
      <c r="A187" s="177">
        <v>139</v>
      </c>
      <c r="B187" s="178">
        <v>41</v>
      </c>
      <c r="C187" s="179">
        <v>315</v>
      </c>
      <c r="D187" s="180">
        <f t="shared" si="4"/>
        <v>3720.0000000000005</v>
      </c>
      <c r="E187" s="181">
        <v>37.200000000000003</v>
      </c>
      <c r="F187" s="54">
        <f t="shared" si="5"/>
        <v>3720.0000000000005</v>
      </c>
    </row>
    <row r="188" spans="1:6" x14ac:dyDescent="0.3">
      <c r="A188" s="177">
        <v>139</v>
      </c>
      <c r="B188" s="178">
        <v>52</v>
      </c>
      <c r="C188" s="179">
        <v>315</v>
      </c>
      <c r="D188" s="180">
        <f t="shared" si="4"/>
        <v>3720.0000000000005</v>
      </c>
      <c r="E188" s="181">
        <v>37.200000000000003</v>
      </c>
      <c r="F188" s="54">
        <f t="shared" si="5"/>
        <v>3720.0000000000005</v>
      </c>
    </row>
    <row r="189" spans="1:6" x14ac:dyDescent="0.3">
      <c r="A189" s="177">
        <v>139</v>
      </c>
      <c r="B189" s="178">
        <v>51</v>
      </c>
      <c r="C189" s="179">
        <v>315</v>
      </c>
      <c r="D189" s="180">
        <f t="shared" si="4"/>
        <v>3720.0000000000005</v>
      </c>
      <c r="E189" s="181">
        <v>37.200000000000003</v>
      </c>
      <c r="F189" s="54">
        <f t="shared" si="5"/>
        <v>3720.0000000000005</v>
      </c>
    </row>
    <row r="190" spans="1:6" x14ac:dyDescent="0.3">
      <c r="A190" s="177">
        <v>139</v>
      </c>
      <c r="B190" s="178">
        <v>28</v>
      </c>
      <c r="C190" s="179">
        <v>315</v>
      </c>
      <c r="D190" s="180">
        <f t="shared" si="4"/>
        <v>3720.0000000000005</v>
      </c>
      <c r="E190" s="181">
        <v>37.200000000000003</v>
      </c>
      <c r="F190" s="54">
        <f t="shared" si="5"/>
        <v>3720.0000000000005</v>
      </c>
    </row>
    <row r="191" spans="1:6" x14ac:dyDescent="0.3">
      <c r="A191" s="177">
        <v>139</v>
      </c>
      <c r="B191" s="178">
        <v>49</v>
      </c>
      <c r="C191" s="179">
        <v>315</v>
      </c>
      <c r="D191" s="180">
        <f t="shared" si="4"/>
        <v>3720.0000000000005</v>
      </c>
      <c r="E191" s="181">
        <v>37.200000000000003</v>
      </c>
      <c r="F191" s="54">
        <f t="shared" si="5"/>
        <v>3720.0000000000005</v>
      </c>
    </row>
    <row r="192" spans="1:6" x14ac:dyDescent="0.3">
      <c r="A192" s="177">
        <v>139</v>
      </c>
      <c r="B192" s="178">
        <v>47</v>
      </c>
      <c r="C192" s="179">
        <v>315</v>
      </c>
      <c r="D192" s="180">
        <f t="shared" si="4"/>
        <v>3720.0000000000005</v>
      </c>
      <c r="E192" s="181">
        <v>37.200000000000003</v>
      </c>
      <c r="F192" s="54">
        <f t="shared" si="5"/>
        <v>3720.0000000000005</v>
      </c>
    </row>
    <row r="193" spans="1:6" x14ac:dyDescent="0.3">
      <c r="A193" s="177">
        <v>144</v>
      </c>
      <c r="B193" s="178">
        <v>81</v>
      </c>
      <c r="C193" s="179">
        <v>315</v>
      </c>
      <c r="D193" s="180">
        <f t="shared" si="4"/>
        <v>2350</v>
      </c>
      <c r="E193" s="181">
        <v>23.5</v>
      </c>
      <c r="F193" s="54">
        <f t="shared" si="5"/>
        <v>2350</v>
      </c>
    </row>
    <row r="194" spans="1:6" x14ac:dyDescent="0.3">
      <c r="A194" s="177">
        <v>144</v>
      </c>
      <c r="B194" s="178">
        <v>71</v>
      </c>
      <c r="C194" s="179">
        <v>315</v>
      </c>
      <c r="D194" s="180">
        <f t="shared" si="4"/>
        <v>2350</v>
      </c>
      <c r="E194" s="181">
        <v>23.5</v>
      </c>
      <c r="F194" s="54">
        <f t="shared" si="5"/>
        <v>2350</v>
      </c>
    </row>
    <row r="195" spans="1:6" x14ac:dyDescent="0.3">
      <c r="A195" s="177">
        <v>144</v>
      </c>
      <c r="B195" s="178">
        <v>85</v>
      </c>
      <c r="C195" s="179">
        <v>315</v>
      </c>
      <c r="D195" s="180">
        <f t="shared" si="4"/>
        <v>2350</v>
      </c>
      <c r="E195" s="181">
        <v>23.5</v>
      </c>
      <c r="F195" s="54">
        <f t="shared" si="5"/>
        <v>2350</v>
      </c>
    </row>
    <row r="196" spans="1:6" x14ac:dyDescent="0.3">
      <c r="A196" s="177">
        <v>144</v>
      </c>
      <c r="B196" s="178">
        <v>35</v>
      </c>
      <c r="C196" s="179">
        <v>315</v>
      </c>
      <c r="D196" s="180">
        <f t="shared" si="4"/>
        <v>2350</v>
      </c>
      <c r="E196" s="181">
        <v>23.5</v>
      </c>
      <c r="F196" s="54">
        <f t="shared" si="5"/>
        <v>2350</v>
      </c>
    </row>
    <row r="197" spans="1:6" x14ac:dyDescent="0.3">
      <c r="A197" s="177">
        <v>144</v>
      </c>
      <c r="B197" s="178">
        <v>88</v>
      </c>
      <c r="C197" s="179">
        <v>315</v>
      </c>
      <c r="D197" s="180">
        <f t="shared" si="4"/>
        <v>2350</v>
      </c>
      <c r="E197" s="181">
        <v>23.5</v>
      </c>
      <c r="F197" s="54">
        <f t="shared" si="5"/>
        <v>2350</v>
      </c>
    </row>
    <row r="198" spans="1:6" x14ac:dyDescent="0.3">
      <c r="A198" s="177">
        <v>156</v>
      </c>
      <c r="B198" s="178">
        <v>76</v>
      </c>
      <c r="C198" s="179">
        <v>315</v>
      </c>
      <c r="D198" s="180">
        <f t="shared" ref="D198:D236" si="6">F198</f>
        <v>4000</v>
      </c>
      <c r="E198" s="181">
        <v>40</v>
      </c>
      <c r="F198" s="54">
        <f t="shared" ref="F198:F236" si="7">E198*100</f>
        <v>4000</v>
      </c>
    </row>
    <row r="199" spans="1:6" x14ac:dyDescent="0.3">
      <c r="A199" s="177">
        <v>156</v>
      </c>
      <c r="B199" s="178">
        <v>72</v>
      </c>
      <c r="C199" s="179">
        <v>315</v>
      </c>
      <c r="D199" s="180">
        <f t="shared" si="6"/>
        <v>4000</v>
      </c>
      <c r="E199" s="181">
        <v>40</v>
      </c>
      <c r="F199" s="54">
        <f t="shared" si="7"/>
        <v>4000</v>
      </c>
    </row>
    <row r="200" spans="1:6" x14ac:dyDescent="0.3">
      <c r="A200" s="177">
        <v>156</v>
      </c>
      <c r="B200" s="178">
        <v>78</v>
      </c>
      <c r="C200" s="179">
        <v>315</v>
      </c>
      <c r="D200" s="180">
        <f t="shared" si="6"/>
        <v>4000</v>
      </c>
      <c r="E200" s="181">
        <v>40</v>
      </c>
      <c r="F200" s="54">
        <f t="shared" si="7"/>
        <v>4000</v>
      </c>
    </row>
    <row r="201" spans="1:6" x14ac:dyDescent="0.3">
      <c r="A201" s="177">
        <v>156</v>
      </c>
      <c r="B201" s="178">
        <v>67</v>
      </c>
      <c r="C201" s="179">
        <v>315</v>
      </c>
      <c r="D201" s="180">
        <f t="shared" si="6"/>
        <v>4000</v>
      </c>
      <c r="E201" s="181">
        <v>40</v>
      </c>
      <c r="F201" s="54">
        <f t="shared" si="7"/>
        <v>4000</v>
      </c>
    </row>
    <row r="202" spans="1:6" x14ac:dyDescent="0.3">
      <c r="A202" s="177">
        <v>156</v>
      </c>
      <c r="B202" s="178">
        <v>81</v>
      </c>
      <c r="C202" s="179">
        <v>315</v>
      </c>
      <c r="D202" s="180">
        <f t="shared" si="6"/>
        <v>4000</v>
      </c>
      <c r="E202" s="181">
        <v>40</v>
      </c>
      <c r="F202" s="54">
        <f t="shared" si="7"/>
        <v>4000</v>
      </c>
    </row>
    <row r="203" spans="1:6" x14ac:dyDescent="0.3">
      <c r="A203" s="177">
        <v>156</v>
      </c>
      <c r="B203" s="178">
        <v>79</v>
      </c>
      <c r="C203" s="179">
        <v>315</v>
      </c>
      <c r="D203" s="180">
        <f t="shared" si="6"/>
        <v>4000</v>
      </c>
      <c r="E203" s="181">
        <v>40</v>
      </c>
      <c r="F203" s="54">
        <f t="shared" si="7"/>
        <v>4000</v>
      </c>
    </row>
    <row r="204" spans="1:6" x14ac:dyDescent="0.3">
      <c r="A204" s="177">
        <v>156</v>
      </c>
      <c r="B204" s="178">
        <v>75</v>
      </c>
      <c r="C204" s="179">
        <v>315</v>
      </c>
      <c r="D204" s="180">
        <f t="shared" si="6"/>
        <v>4000</v>
      </c>
      <c r="E204" s="181">
        <v>40</v>
      </c>
      <c r="F204" s="54">
        <f t="shared" si="7"/>
        <v>4000</v>
      </c>
    </row>
    <row r="205" spans="1:6" x14ac:dyDescent="0.3">
      <c r="A205" s="177">
        <v>156</v>
      </c>
      <c r="B205" s="178">
        <v>84</v>
      </c>
      <c r="C205" s="179">
        <v>315</v>
      </c>
      <c r="D205" s="180">
        <f t="shared" si="6"/>
        <v>3400</v>
      </c>
      <c r="E205" s="181">
        <v>34</v>
      </c>
      <c r="F205" s="54">
        <f t="shared" si="7"/>
        <v>3400</v>
      </c>
    </row>
    <row r="206" spans="1:6" x14ac:dyDescent="0.3">
      <c r="A206" s="177">
        <v>161</v>
      </c>
      <c r="B206" s="178">
        <v>51</v>
      </c>
      <c r="C206" s="179">
        <v>315</v>
      </c>
      <c r="D206" s="180">
        <f t="shared" si="6"/>
        <v>3009</v>
      </c>
      <c r="E206" s="181">
        <v>30.09</v>
      </c>
      <c r="F206" s="54">
        <f t="shared" si="7"/>
        <v>3009</v>
      </c>
    </row>
    <row r="207" spans="1:6" x14ac:dyDescent="0.3">
      <c r="A207" s="177">
        <v>161</v>
      </c>
      <c r="B207" s="178">
        <v>49</v>
      </c>
      <c r="C207" s="179">
        <v>315</v>
      </c>
      <c r="D207" s="180">
        <f t="shared" si="6"/>
        <v>3009</v>
      </c>
      <c r="E207" s="181">
        <v>30.09</v>
      </c>
      <c r="F207" s="54">
        <f t="shared" si="7"/>
        <v>3009</v>
      </c>
    </row>
    <row r="208" spans="1:6" x14ac:dyDescent="0.3">
      <c r="A208" s="177">
        <v>161</v>
      </c>
      <c r="B208" s="178">
        <v>32</v>
      </c>
      <c r="C208" s="179">
        <v>315</v>
      </c>
      <c r="D208" s="180">
        <f t="shared" si="6"/>
        <v>3009</v>
      </c>
      <c r="E208" s="181">
        <v>30.09</v>
      </c>
      <c r="F208" s="54">
        <f t="shared" si="7"/>
        <v>3009</v>
      </c>
    </row>
    <row r="209" spans="1:6" x14ac:dyDescent="0.3">
      <c r="A209" s="177">
        <v>161</v>
      </c>
      <c r="B209" s="178">
        <v>52</v>
      </c>
      <c r="C209" s="179">
        <v>315</v>
      </c>
      <c r="D209" s="180">
        <f t="shared" si="6"/>
        <v>2778</v>
      </c>
      <c r="E209" s="181">
        <v>27.78</v>
      </c>
      <c r="F209" s="54">
        <f t="shared" si="7"/>
        <v>2778</v>
      </c>
    </row>
    <row r="210" spans="1:6" x14ac:dyDescent="0.3">
      <c r="A210" s="177">
        <v>173</v>
      </c>
      <c r="B210" s="178">
        <v>30</v>
      </c>
      <c r="C210" s="179">
        <v>315</v>
      </c>
      <c r="D210" s="180">
        <f t="shared" si="6"/>
        <v>4000</v>
      </c>
      <c r="E210" s="181">
        <v>40</v>
      </c>
      <c r="F210" s="54">
        <f t="shared" si="7"/>
        <v>4000</v>
      </c>
    </row>
    <row r="211" spans="1:6" x14ac:dyDescent="0.3">
      <c r="A211" s="177">
        <v>173</v>
      </c>
      <c r="B211" s="178">
        <v>34</v>
      </c>
      <c r="C211" s="179">
        <v>315</v>
      </c>
      <c r="D211" s="180">
        <f t="shared" si="6"/>
        <v>4000</v>
      </c>
      <c r="E211" s="181">
        <v>40</v>
      </c>
      <c r="F211" s="54">
        <f t="shared" si="7"/>
        <v>4000</v>
      </c>
    </row>
    <row r="212" spans="1:6" x14ac:dyDescent="0.3">
      <c r="A212" s="177">
        <v>173</v>
      </c>
      <c r="B212" s="178">
        <v>35</v>
      </c>
      <c r="C212" s="179">
        <v>315</v>
      </c>
      <c r="D212" s="180">
        <f t="shared" si="6"/>
        <v>4000</v>
      </c>
      <c r="E212" s="181">
        <v>40</v>
      </c>
      <c r="F212" s="54">
        <f t="shared" si="7"/>
        <v>4000</v>
      </c>
    </row>
    <row r="213" spans="1:6" x14ac:dyDescent="0.3">
      <c r="A213" s="177">
        <v>173</v>
      </c>
      <c r="B213" s="178">
        <v>38</v>
      </c>
      <c r="C213" s="179">
        <v>315</v>
      </c>
      <c r="D213" s="180">
        <f t="shared" si="6"/>
        <v>4000</v>
      </c>
      <c r="E213" s="181">
        <v>40</v>
      </c>
      <c r="F213" s="54">
        <f t="shared" si="7"/>
        <v>4000</v>
      </c>
    </row>
    <row r="214" spans="1:6" x14ac:dyDescent="0.3">
      <c r="A214" s="177">
        <v>173</v>
      </c>
      <c r="B214" s="178">
        <v>41</v>
      </c>
      <c r="C214" s="179">
        <v>315</v>
      </c>
      <c r="D214" s="180">
        <f t="shared" si="6"/>
        <v>3400</v>
      </c>
      <c r="E214" s="181">
        <v>34</v>
      </c>
      <c r="F214" s="54">
        <f t="shared" si="7"/>
        <v>3400</v>
      </c>
    </row>
    <row r="215" spans="1:6" x14ac:dyDescent="0.3">
      <c r="A215" s="177">
        <v>175</v>
      </c>
      <c r="B215" s="178">
        <v>17</v>
      </c>
      <c r="C215" s="179">
        <v>315</v>
      </c>
      <c r="D215" s="180">
        <f t="shared" si="6"/>
        <v>42500</v>
      </c>
      <c r="E215" s="181">
        <v>425</v>
      </c>
      <c r="F215" s="54">
        <f t="shared" si="7"/>
        <v>42500</v>
      </c>
    </row>
    <row r="216" spans="1:6" x14ac:dyDescent="0.3">
      <c r="A216" s="177">
        <v>175</v>
      </c>
      <c r="B216" s="178">
        <v>13</v>
      </c>
      <c r="C216" s="179">
        <v>315</v>
      </c>
      <c r="D216" s="180">
        <f t="shared" si="6"/>
        <v>43600</v>
      </c>
      <c r="E216" s="181">
        <v>436</v>
      </c>
      <c r="F216" s="54">
        <f t="shared" si="7"/>
        <v>43600</v>
      </c>
    </row>
    <row r="217" spans="1:6" x14ac:dyDescent="0.3">
      <c r="A217" s="177">
        <v>175</v>
      </c>
      <c r="B217" s="178">
        <v>11</v>
      </c>
      <c r="C217" s="179">
        <v>315</v>
      </c>
      <c r="D217" s="180">
        <f t="shared" si="6"/>
        <v>41900</v>
      </c>
      <c r="E217" s="181">
        <v>419</v>
      </c>
      <c r="F217" s="54">
        <f t="shared" si="7"/>
        <v>41900</v>
      </c>
    </row>
    <row r="218" spans="1:6" x14ac:dyDescent="0.3">
      <c r="A218" s="177">
        <v>175</v>
      </c>
      <c r="B218" s="178">
        <v>8</v>
      </c>
      <c r="C218" s="179">
        <v>315</v>
      </c>
      <c r="D218" s="180">
        <f t="shared" si="6"/>
        <v>41900</v>
      </c>
      <c r="E218" s="181">
        <v>419</v>
      </c>
      <c r="F218" s="54">
        <f t="shared" si="7"/>
        <v>41900</v>
      </c>
    </row>
    <row r="219" spans="1:6" x14ac:dyDescent="0.3">
      <c r="A219" s="177">
        <v>175</v>
      </c>
      <c r="B219" s="178">
        <v>3</v>
      </c>
      <c r="C219" s="179">
        <v>315</v>
      </c>
      <c r="D219" s="180">
        <f t="shared" si="6"/>
        <v>41900</v>
      </c>
      <c r="E219" s="181">
        <v>419</v>
      </c>
      <c r="F219" s="54">
        <f t="shared" si="7"/>
        <v>41900</v>
      </c>
    </row>
    <row r="220" spans="1:6" x14ac:dyDescent="0.3">
      <c r="A220" s="177">
        <v>175</v>
      </c>
      <c r="B220" s="178">
        <v>9</v>
      </c>
      <c r="C220" s="179">
        <v>315</v>
      </c>
      <c r="D220" s="180">
        <f t="shared" si="6"/>
        <v>43600</v>
      </c>
      <c r="E220" s="181">
        <v>436</v>
      </c>
      <c r="F220" s="54">
        <f t="shared" si="7"/>
        <v>43600</v>
      </c>
    </row>
    <row r="221" spans="1:6" x14ac:dyDescent="0.3">
      <c r="A221" s="177">
        <v>175</v>
      </c>
      <c r="B221" s="178">
        <v>1</v>
      </c>
      <c r="C221" s="179">
        <v>315</v>
      </c>
      <c r="D221" s="180">
        <f t="shared" si="6"/>
        <v>41900</v>
      </c>
      <c r="E221" s="181">
        <v>419</v>
      </c>
      <c r="F221" s="54">
        <f t="shared" si="7"/>
        <v>41900</v>
      </c>
    </row>
    <row r="222" spans="1:6" x14ac:dyDescent="0.3">
      <c r="A222" s="177">
        <v>179</v>
      </c>
      <c r="B222" s="178">
        <v>1</v>
      </c>
      <c r="C222" s="179">
        <v>315</v>
      </c>
      <c r="D222" s="180">
        <f t="shared" si="6"/>
        <v>2500</v>
      </c>
      <c r="E222" s="181">
        <v>25</v>
      </c>
      <c r="F222" s="54">
        <f t="shared" si="7"/>
        <v>2500</v>
      </c>
    </row>
    <row r="223" spans="1:6" x14ac:dyDescent="0.3">
      <c r="A223" s="177">
        <v>179</v>
      </c>
      <c r="B223" s="178">
        <v>2</v>
      </c>
      <c r="C223" s="179">
        <v>315</v>
      </c>
      <c r="D223" s="180">
        <f t="shared" si="6"/>
        <v>2500</v>
      </c>
      <c r="E223" s="181">
        <v>25</v>
      </c>
      <c r="F223" s="54">
        <f t="shared" si="7"/>
        <v>2500</v>
      </c>
    </row>
    <row r="224" spans="1:6" x14ac:dyDescent="0.3">
      <c r="A224" s="177">
        <v>179</v>
      </c>
      <c r="B224" s="178">
        <v>3</v>
      </c>
      <c r="C224" s="179">
        <v>315</v>
      </c>
      <c r="D224" s="180">
        <f t="shared" si="6"/>
        <v>2500</v>
      </c>
      <c r="E224" s="181">
        <v>25</v>
      </c>
      <c r="F224" s="54">
        <f t="shared" si="7"/>
        <v>2500</v>
      </c>
    </row>
    <row r="225" spans="1:6" x14ac:dyDescent="0.3">
      <c r="A225" s="177">
        <v>179</v>
      </c>
      <c r="B225" s="178">
        <v>4</v>
      </c>
      <c r="C225" s="179">
        <v>315</v>
      </c>
      <c r="D225" s="180">
        <f t="shared" si="6"/>
        <v>2500</v>
      </c>
      <c r="E225" s="181">
        <v>25</v>
      </c>
      <c r="F225" s="54">
        <f t="shared" si="7"/>
        <v>2500</v>
      </c>
    </row>
    <row r="226" spans="1:6" x14ac:dyDescent="0.3">
      <c r="A226" s="177">
        <v>179</v>
      </c>
      <c r="B226" s="178">
        <v>16</v>
      </c>
      <c r="C226" s="179">
        <v>315</v>
      </c>
      <c r="D226" s="180">
        <f t="shared" si="6"/>
        <v>2500</v>
      </c>
      <c r="E226" s="181">
        <v>25</v>
      </c>
      <c r="F226" s="54">
        <f t="shared" si="7"/>
        <v>2500</v>
      </c>
    </row>
    <row r="227" spans="1:6" x14ac:dyDescent="0.3">
      <c r="A227" s="177">
        <v>179</v>
      </c>
      <c r="B227" s="178">
        <v>12</v>
      </c>
      <c r="C227" s="179">
        <v>315</v>
      </c>
      <c r="D227" s="180">
        <f t="shared" si="6"/>
        <v>2500</v>
      </c>
      <c r="E227" s="181">
        <v>25</v>
      </c>
      <c r="F227" s="54">
        <f t="shared" si="7"/>
        <v>2500</v>
      </c>
    </row>
    <row r="228" spans="1:6" x14ac:dyDescent="0.3">
      <c r="A228" s="177">
        <v>179</v>
      </c>
      <c r="B228" s="178">
        <v>18</v>
      </c>
      <c r="C228" s="179">
        <v>315</v>
      </c>
      <c r="D228" s="180">
        <f t="shared" si="6"/>
        <v>2500</v>
      </c>
      <c r="E228" s="181">
        <v>25</v>
      </c>
      <c r="F228" s="54">
        <f t="shared" si="7"/>
        <v>2500</v>
      </c>
    </row>
    <row r="229" spans="1:6" x14ac:dyDescent="0.3">
      <c r="A229" s="177">
        <v>181</v>
      </c>
      <c r="B229" s="178">
        <v>33</v>
      </c>
      <c r="C229" s="179">
        <v>315</v>
      </c>
      <c r="D229" s="180">
        <f t="shared" si="6"/>
        <v>16050</v>
      </c>
      <c r="E229" s="181">
        <v>160.5</v>
      </c>
      <c r="F229" s="54">
        <f t="shared" si="7"/>
        <v>16050</v>
      </c>
    </row>
    <row r="230" spans="1:6" x14ac:dyDescent="0.3">
      <c r="A230" s="177">
        <v>183</v>
      </c>
      <c r="B230" s="178">
        <v>14</v>
      </c>
      <c r="C230" s="179">
        <v>315</v>
      </c>
      <c r="D230" s="180">
        <f t="shared" si="6"/>
        <v>2800</v>
      </c>
      <c r="E230" s="181">
        <v>28</v>
      </c>
      <c r="F230" s="54">
        <f t="shared" si="7"/>
        <v>2800</v>
      </c>
    </row>
    <row r="231" spans="1:6" x14ac:dyDescent="0.3">
      <c r="A231" s="177">
        <v>183</v>
      </c>
      <c r="B231" s="178">
        <v>8</v>
      </c>
      <c r="C231" s="179">
        <v>315</v>
      </c>
      <c r="D231" s="180">
        <f t="shared" si="6"/>
        <v>2800</v>
      </c>
      <c r="E231" s="181">
        <v>28</v>
      </c>
      <c r="F231" s="54">
        <f t="shared" si="7"/>
        <v>2800</v>
      </c>
    </row>
    <row r="232" spans="1:6" x14ac:dyDescent="0.3">
      <c r="A232" s="177">
        <v>183</v>
      </c>
      <c r="B232" s="178">
        <v>13</v>
      </c>
      <c r="C232" s="179">
        <v>315</v>
      </c>
      <c r="D232" s="180">
        <f t="shared" si="6"/>
        <v>2800</v>
      </c>
      <c r="E232" s="181">
        <v>28</v>
      </c>
      <c r="F232" s="54">
        <f t="shared" si="7"/>
        <v>2800</v>
      </c>
    </row>
    <row r="233" spans="1:6" x14ac:dyDescent="0.3">
      <c r="A233" s="177">
        <v>183</v>
      </c>
      <c r="B233" s="178">
        <v>1</v>
      </c>
      <c r="C233" s="179">
        <v>315</v>
      </c>
      <c r="D233" s="180">
        <f t="shared" si="6"/>
        <v>2800</v>
      </c>
      <c r="E233" s="181">
        <v>28</v>
      </c>
      <c r="F233" s="54">
        <f t="shared" si="7"/>
        <v>2800</v>
      </c>
    </row>
    <row r="234" spans="1:6" x14ac:dyDescent="0.3">
      <c r="A234" s="177">
        <v>183</v>
      </c>
      <c r="B234" s="178">
        <v>15</v>
      </c>
      <c r="C234" s="179">
        <v>315</v>
      </c>
      <c r="D234" s="180">
        <f t="shared" si="6"/>
        <v>2800</v>
      </c>
      <c r="E234" s="181">
        <v>28</v>
      </c>
      <c r="F234" s="54">
        <f t="shared" si="7"/>
        <v>2800</v>
      </c>
    </row>
    <row r="235" spans="1:6" x14ac:dyDescent="0.3">
      <c r="A235" s="177">
        <v>200</v>
      </c>
      <c r="B235" s="178">
        <v>136</v>
      </c>
      <c r="C235" s="179">
        <v>315</v>
      </c>
      <c r="D235" s="180">
        <f t="shared" si="6"/>
        <v>10304</v>
      </c>
      <c r="E235" s="181">
        <v>103.04</v>
      </c>
      <c r="F235" s="54">
        <f t="shared" si="7"/>
        <v>10304</v>
      </c>
    </row>
    <row r="236" spans="1:6" x14ac:dyDescent="0.3">
      <c r="A236" s="177">
        <v>200</v>
      </c>
      <c r="B236" s="178">
        <v>135</v>
      </c>
      <c r="C236" s="179">
        <v>315</v>
      </c>
      <c r="D236" s="180">
        <f t="shared" si="6"/>
        <v>29624</v>
      </c>
      <c r="E236" s="181">
        <v>296.24</v>
      </c>
      <c r="F236" s="54">
        <f t="shared" si="7"/>
        <v>29624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118"/>
  <sheetViews>
    <sheetView showGridLines="0" topLeftCell="A97" workbookViewId="0">
      <selection activeCell="A119" sqref="A119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70" t="s">
        <v>706</v>
      </c>
      <c r="B1" s="171"/>
    </row>
    <row r="2" spans="1:6" x14ac:dyDescent="0.3">
      <c r="A2" s="170" t="s">
        <v>707</v>
      </c>
      <c r="B2" s="171"/>
    </row>
    <row r="3" spans="1:6" x14ac:dyDescent="0.3">
      <c r="A3" s="170"/>
      <c r="B3" s="171"/>
    </row>
    <row r="4" spans="1:6" x14ac:dyDescent="0.3">
      <c r="A4" s="172"/>
      <c r="B4" s="173"/>
      <c r="C4" s="174"/>
      <c r="D4" s="175"/>
      <c r="E4" s="176"/>
    </row>
    <row r="5" spans="1:6" x14ac:dyDescent="0.3">
      <c r="A5" s="177">
        <v>62</v>
      </c>
      <c r="B5" s="178">
        <v>286</v>
      </c>
      <c r="C5" s="179">
        <v>171</v>
      </c>
      <c r="D5" s="180">
        <f>F5</f>
        <v>48500</v>
      </c>
      <c r="E5" s="181">
        <v>485</v>
      </c>
      <c r="F5" s="54">
        <f>E5*100</f>
        <v>48500</v>
      </c>
    </row>
    <row r="6" spans="1:6" x14ac:dyDescent="0.3">
      <c r="A6" s="177">
        <v>62</v>
      </c>
      <c r="B6" s="178">
        <v>322</v>
      </c>
      <c r="C6" s="179">
        <v>171</v>
      </c>
      <c r="D6" s="180">
        <f t="shared" ref="D6:D69" si="0">F6</f>
        <v>48000</v>
      </c>
      <c r="E6" s="181">
        <v>480</v>
      </c>
      <c r="F6" s="54">
        <f t="shared" ref="F6:F69" si="1">E6*100</f>
        <v>48000</v>
      </c>
    </row>
    <row r="7" spans="1:6" x14ac:dyDescent="0.3">
      <c r="A7" s="177">
        <v>62</v>
      </c>
      <c r="B7" s="178">
        <v>282</v>
      </c>
      <c r="C7" s="179">
        <v>171</v>
      </c>
      <c r="D7" s="180">
        <f t="shared" si="0"/>
        <v>58000</v>
      </c>
      <c r="E7" s="181">
        <v>580</v>
      </c>
      <c r="F7" s="54">
        <f t="shared" si="1"/>
        <v>58000</v>
      </c>
    </row>
    <row r="8" spans="1:6" x14ac:dyDescent="0.3">
      <c r="A8" s="177">
        <v>62</v>
      </c>
      <c r="B8" s="178">
        <v>316</v>
      </c>
      <c r="C8" s="179">
        <v>171</v>
      </c>
      <c r="D8" s="180">
        <f t="shared" si="0"/>
        <v>48500</v>
      </c>
      <c r="E8" s="181">
        <v>485</v>
      </c>
      <c r="F8" s="54">
        <f t="shared" si="1"/>
        <v>48500</v>
      </c>
    </row>
    <row r="9" spans="1:6" x14ac:dyDescent="0.3">
      <c r="A9" s="177">
        <v>62</v>
      </c>
      <c r="B9" s="178">
        <v>323</v>
      </c>
      <c r="C9" s="179">
        <v>171</v>
      </c>
      <c r="D9" s="180">
        <f t="shared" si="0"/>
        <v>20000</v>
      </c>
      <c r="E9" s="181">
        <v>200</v>
      </c>
      <c r="F9" s="54">
        <f t="shared" si="1"/>
        <v>20000</v>
      </c>
    </row>
    <row r="10" spans="1:6" x14ac:dyDescent="0.3">
      <c r="A10" s="177">
        <v>62</v>
      </c>
      <c r="B10" s="178">
        <v>326</v>
      </c>
      <c r="C10" s="179">
        <v>171</v>
      </c>
      <c r="D10" s="180">
        <f t="shared" si="0"/>
        <v>20000</v>
      </c>
      <c r="E10" s="181">
        <v>200</v>
      </c>
      <c r="F10" s="54">
        <f t="shared" si="1"/>
        <v>20000</v>
      </c>
    </row>
    <row r="11" spans="1:6" x14ac:dyDescent="0.3">
      <c r="A11" s="177">
        <v>62</v>
      </c>
      <c r="B11" s="178">
        <v>303</v>
      </c>
      <c r="C11" s="179">
        <v>171</v>
      </c>
      <c r="D11" s="180">
        <f t="shared" si="0"/>
        <v>49000</v>
      </c>
      <c r="E11" s="181">
        <v>490</v>
      </c>
      <c r="F11" s="54">
        <f t="shared" si="1"/>
        <v>49000</v>
      </c>
    </row>
    <row r="12" spans="1:6" x14ac:dyDescent="0.3">
      <c r="A12" s="177">
        <v>62</v>
      </c>
      <c r="B12" s="178">
        <v>320</v>
      </c>
      <c r="C12" s="179">
        <v>171</v>
      </c>
      <c r="D12" s="180">
        <f t="shared" si="0"/>
        <v>48500</v>
      </c>
      <c r="E12" s="181">
        <v>485</v>
      </c>
      <c r="F12" s="54">
        <f t="shared" si="1"/>
        <v>48500</v>
      </c>
    </row>
    <row r="13" spans="1:6" x14ac:dyDescent="0.3">
      <c r="A13" s="177">
        <v>62</v>
      </c>
      <c r="B13" s="178">
        <v>289</v>
      </c>
      <c r="C13" s="179">
        <v>171</v>
      </c>
      <c r="D13" s="180">
        <f t="shared" si="0"/>
        <v>43500</v>
      </c>
      <c r="E13" s="181">
        <v>435</v>
      </c>
      <c r="F13" s="54">
        <f t="shared" si="1"/>
        <v>43500</v>
      </c>
    </row>
    <row r="14" spans="1:6" x14ac:dyDescent="0.3">
      <c r="A14" s="177">
        <v>105</v>
      </c>
      <c r="B14" s="178">
        <v>93</v>
      </c>
      <c r="C14" s="179">
        <v>171</v>
      </c>
      <c r="D14" s="180">
        <f t="shared" si="0"/>
        <v>63700</v>
      </c>
      <c r="E14" s="181">
        <v>637</v>
      </c>
      <c r="F14" s="54">
        <f t="shared" si="1"/>
        <v>63700</v>
      </c>
    </row>
    <row r="15" spans="1:6" x14ac:dyDescent="0.3">
      <c r="A15" s="177">
        <v>105</v>
      </c>
      <c r="B15" s="178">
        <v>68</v>
      </c>
      <c r="C15" s="179">
        <v>171</v>
      </c>
      <c r="D15" s="180">
        <f t="shared" si="0"/>
        <v>54340</v>
      </c>
      <c r="E15" s="181">
        <v>543.4</v>
      </c>
      <c r="F15" s="54">
        <f t="shared" si="1"/>
        <v>54340</v>
      </c>
    </row>
    <row r="16" spans="1:6" x14ac:dyDescent="0.3">
      <c r="A16" s="177">
        <v>105</v>
      </c>
      <c r="B16" s="178">
        <v>100</v>
      </c>
      <c r="C16" s="179">
        <v>171</v>
      </c>
      <c r="D16" s="180">
        <f t="shared" si="0"/>
        <v>20020</v>
      </c>
      <c r="E16" s="181">
        <v>200.2</v>
      </c>
      <c r="F16" s="54">
        <f t="shared" si="1"/>
        <v>20020</v>
      </c>
    </row>
    <row r="17" spans="1:6" x14ac:dyDescent="0.3">
      <c r="A17" s="177">
        <v>105</v>
      </c>
      <c r="B17" s="178">
        <v>84</v>
      </c>
      <c r="C17" s="179">
        <v>171</v>
      </c>
      <c r="D17" s="180">
        <f t="shared" si="0"/>
        <v>31000</v>
      </c>
      <c r="E17" s="181">
        <v>310</v>
      </c>
      <c r="F17" s="54">
        <f t="shared" si="1"/>
        <v>31000</v>
      </c>
    </row>
    <row r="18" spans="1:6" x14ac:dyDescent="0.3">
      <c r="A18" s="177">
        <v>105</v>
      </c>
      <c r="B18" s="178">
        <v>85</v>
      </c>
      <c r="C18" s="179">
        <v>171</v>
      </c>
      <c r="D18" s="180">
        <f t="shared" si="0"/>
        <v>19250</v>
      </c>
      <c r="E18" s="181">
        <v>192.5</v>
      </c>
      <c r="F18" s="54">
        <f t="shared" si="1"/>
        <v>19250</v>
      </c>
    </row>
    <row r="19" spans="1:6" x14ac:dyDescent="0.3">
      <c r="A19" s="177">
        <v>105</v>
      </c>
      <c r="B19" s="178">
        <v>29</v>
      </c>
      <c r="C19" s="179">
        <v>171</v>
      </c>
      <c r="D19" s="180">
        <f t="shared" si="0"/>
        <v>40040</v>
      </c>
      <c r="E19" s="181">
        <v>400.4</v>
      </c>
      <c r="F19" s="54">
        <f t="shared" si="1"/>
        <v>40040</v>
      </c>
    </row>
    <row r="20" spans="1:6" x14ac:dyDescent="0.3">
      <c r="A20" s="177">
        <v>105</v>
      </c>
      <c r="B20" s="178">
        <v>95</v>
      </c>
      <c r="C20" s="179">
        <v>171</v>
      </c>
      <c r="D20" s="180">
        <f t="shared" si="0"/>
        <v>44200</v>
      </c>
      <c r="E20" s="181">
        <v>442</v>
      </c>
      <c r="F20" s="54">
        <f t="shared" si="1"/>
        <v>44200</v>
      </c>
    </row>
    <row r="21" spans="1:6" x14ac:dyDescent="0.3">
      <c r="A21" s="177">
        <v>105</v>
      </c>
      <c r="B21" s="178">
        <v>103</v>
      </c>
      <c r="C21" s="179">
        <v>171</v>
      </c>
      <c r="D21" s="180">
        <f t="shared" si="0"/>
        <v>40250</v>
      </c>
      <c r="E21" s="181">
        <v>402.5</v>
      </c>
      <c r="F21" s="54">
        <f t="shared" si="1"/>
        <v>40250</v>
      </c>
    </row>
    <row r="22" spans="1:6" x14ac:dyDescent="0.3">
      <c r="A22" s="177">
        <v>123</v>
      </c>
      <c r="B22" s="178">
        <v>58</v>
      </c>
      <c r="C22" s="179">
        <v>171</v>
      </c>
      <c r="D22" s="180">
        <f t="shared" si="0"/>
        <v>49680</v>
      </c>
      <c r="E22" s="181">
        <v>496.8</v>
      </c>
      <c r="F22" s="54">
        <f t="shared" si="1"/>
        <v>49680</v>
      </c>
    </row>
    <row r="23" spans="1:6" x14ac:dyDescent="0.3">
      <c r="A23" s="177">
        <v>123</v>
      </c>
      <c r="B23" s="178">
        <v>69</v>
      </c>
      <c r="C23" s="179">
        <v>171</v>
      </c>
      <c r="D23" s="180">
        <f t="shared" si="0"/>
        <v>49680</v>
      </c>
      <c r="E23" s="181">
        <v>496.8</v>
      </c>
      <c r="F23" s="54">
        <f t="shared" si="1"/>
        <v>49680</v>
      </c>
    </row>
    <row r="24" spans="1:6" x14ac:dyDescent="0.3">
      <c r="A24" s="177">
        <v>123</v>
      </c>
      <c r="B24" s="178">
        <v>81</v>
      </c>
      <c r="C24" s="179">
        <v>171</v>
      </c>
      <c r="D24" s="180">
        <f t="shared" si="0"/>
        <v>36960</v>
      </c>
      <c r="E24" s="181">
        <v>369.6</v>
      </c>
      <c r="F24" s="54">
        <f t="shared" si="1"/>
        <v>36960</v>
      </c>
    </row>
    <row r="25" spans="1:6" x14ac:dyDescent="0.3">
      <c r="A25" s="177">
        <v>123</v>
      </c>
      <c r="B25" s="178">
        <v>75</v>
      </c>
      <c r="C25" s="179">
        <v>171</v>
      </c>
      <c r="D25" s="180">
        <f t="shared" si="0"/>
        <v>41280</v>
      </c>
      <c r="E25" s="181">
        <v>412.8</v>
      </c>
      <c r="F25" s="54">
        <f t="shared" si="1"/>
        <v>41280</v>
      </c>
    </row>
    <row r="26" spans="1:6" x14ac:dyDescent="0.3">
      <c r="A26" s="177">
        <v>123</v>
      </c>
      <c r="B26" s="178">
        <v>76</v>
      </c>
      <c r="C26" s="179">
        <v>171</v>
      </c>
      <c r="D26" s="180">
        <f t="shared" si="0"/>
        <v>19780</v>
      </c>
      <c r="E26" s="181">
        <v>197.8</v>
      </c>
      <c r="F26" s="54">
        <f t="shared" si="1"/>
        <v>19780</v>
      </c>
    </row>
    <row r="27" spans="1:6" x14ac:dyDescent="0.3">
      <c r="A27" s="177">
        <v>123</v>
      </c>
      <c r="B27" s="178">
        <v>68</v>
      </c>
      <c r="C27" s="179">
        <v>171</v>
      </c>
      <c r="D27" s="180">
        <f t="shared" si="0"/>
        <v>56160</v>
      </c>
      <c r="E27" s="181">
        <v>561.6</v>
      </c>
      <c r="F27" s="54">
        <f t="shared" si="1"/>
        <v>56160</v>
      </c>
    </row>
    <row r="28" spans="1:6" x14ac:dyDescent="0.3">
      <c r="A28" s="177">
        <v>123</v>
      </c>
      <c r="B28" s="178">
        <v>36</v>
      </c>
      <c r="C28" s="179">
        <v>171</v>
      </c>
      <c r="D28" s="180">
        <f t="shared" si="0"/>
        <v>51840</v>
      </c>
      <c r="E28" s="181">
        <v>518.4</v>
      </c>
      <c r="F28" s="54">
        <f t="shared" si="1"/>
        <v>51840</v>
      </c>
    </row>
    <row r="29" spans="1:6" x14ac:dyDescent="0.3">
      <c r="A29" s="177">
        <v>123</v>
      </c>
      <c r="B29" s="178">
        <v>70</v>
      </c>
      <c r="C29" s="179">
        <v>171</v>
      </c>
      <c r="D29" s="180">
        <f t="shared" si="0"/>
        <v>20640</v>
      </c>
      <c r="E29" s="181">
        <v>206.4</v>
      </c>
      <c r="F29" s="54">
        <f t="shared" si="1"/>
        <v>20640</v>
      </c>
    </row>
    <row r="30" spans="1:6" x14ac:dyDescent="0.3">
      <c r="A30" s="177">
        <v>139</v>
      </c>
      <c r="B30" s="178">
        <v>54</v>
      </c>
      <c r="C30" s="179">
        <v>171</v>
      </c>
      <c r="D30" s="180">
        <f t="shared" si="0"/>
        <v>26600</v>
      </c>
      <c r="E30" s="181">
        <v>266</v>
      </c>
      <c r="F30" s="54">
        <f t="shared" si="1"/>
        <v>26600</v>
      </c>
    </row>
    <row r="31" spans="1:6" x14ac:dyDescent="0.3">
      <c r="A31" s="177">
        <v>144</v>
      </c>
      <c r="B31" s="178">
        <v>74</v>
      </c>
      <c r="C31" s="179">
        <v>171</v>
      </c>
      <c r="D31" s="180">
        <f t="shared" si="0"/>
        <v>21840</v>
      </c>
      <c r="E31" s="181">
        <v>218.4</v>
      </c>
      <c r="F31" s="54">
        <f t="shared" si="1"/>
        <v>21840</v>
      </c>
    </row>
    <row r="32" spans="1:6" x14ac:dyDescent="0.3">
      <c r="A32" s="177">
        <v>144</v>
      </c>
      <c r="B32" s="178">
        <v>88</v>
      </c>
      <c r="C32" s="179">
        <v>171</v>
      </c>
      <c r="D32" s="180">
        <f t="shared" si="0"/>
        <v>22770</v>
      </c>
      <c r="E32" s="181">
        <v>227.7</v>
      </c>
      <c r="F32" s="54">
        <f t="shared" si="1"/>
        <v>22770</v>
      </c>
    </row>
    <row r="33" spans="1:6" x14ac:dyDescent="0.3">
      <c r="A33" s="177">
        <v>156</v>
      </c>
      <c r="B33" s="178">
        <v>84</v>
      </c>
      <c r="C33" s="179">
        <v>171</v>
      </c>
      <c r="D33" s="180">
        <f t="shared" si="0"/>
        <v>49128</v>
      </c>
      <c r="E33" s="181">
        <v>491.28</v>
      </c>
      <c r="F33" s="54">
        <f t="shared" si="1"/>
        <v>49128</v>
      </c>
    </row>
    <row r="34" spans="1:6" x14ac:dyDescent="0.3">
      <c r="A34" s="177">
        <v>157</v>
      </c>
      <c r="B34" s="178">
        <v>14</v>
      </c>
      <c r="C34" s="179">
        <v>171</v>
      </c>
      <c r="D34" s="180">
        <f t="shared" si="0"/>
        <v>21600</v>
      </c>
      <c r="E34" s="181">
        <v>216</v>
      </c>
      <c r="F34" s="54">
        <f t="shared" si="1"/>
        <v>21600</v>
      </c>
    </row>
    <row r="35" spans="1:6" x14ac:dyDescent="0.3">
      <c r="A35" s="177">
        <v>157</v>
      </c>
      <c r="B35" s="178">
        <v>34</v>
      </c>
      <c r="C35" s="179">
        <v>171</v>
      </c>
      <c r="D35" s="180">
        <f t="shared" si="0"/>
        <v>22500</v>
      </c>
      <c r="E35" s="181">
        <v>225</v>
      </c>
      <c r="F35" s="54">
        <f t="shared" si="1"/>
        <v>22500</v>
      </c>
    </row>
    <row r="36" spans="1:6" x14ac:dyDescent="0.3">
      <c r="A36" s="177">
        <v>157</v>
      </c>
      <c r="B36" s="178">
        <v>43</v>
      </c>
      <c r="C36" s="179">
        <v>171</v>
      </c>
      <c r="D36" s="180">
        <f t="shared" si="0"/>
        <v>21600</v>
      </c>
      <c r="E36" s="181">
        <v>216</v>
      </c>
      <c r="F36" s="54">
        <f t="shared" si="1"/>
        <v>21600</v>
      </c>
    </row>
    <row r="37" spans="1:6" x14ac:dyDescent="0.3">
      <c r="A37" s="177">
        <v>157</v>
      </c>
      <c r="B37" s="178">
        <v>44</v>
      </c>
      <c r="C37" s="179">
        <v>171</v>
      </c>
      <c r="D37" s="180">
        <f t="shared" si="0"/>
        <v>20700</v>
      </c>
      <c r="E37" s="181">
        <v>207</v>
      </c>
      <c r="F37" s="54">
        <f t="shared" si="1"/>
        <v>20700</v>
      </c>
    </row>
    <row r="38" spans="1:6" x14ac:dyDescent="0.3">
      <c r="A38" s="177">
        <v>157</v>
      </c>
      <c r="B38" s="178">
        <v>45</v>
      </c>
      <c r="C38" s="179">
        <v>171</v>
      </c>
      <c r="D38" s="180">
        <f t="shared" si="0"/>
        <v>20700</v>
      </c>
      <c r="E38" s="181">
        <v>207</v>
      </c>
      <c r="F38" s="54">
        <f t="shared" si="1"/>
        <v>20700</v>
      </c>
    </row>
    <row r="39" spans="1:6" x14ac:dyDescent="0.3">
      <c r="A39" s="177">
        <v>157</v>
      </c>
      <c r="B39" s="178">
        <v>46</v>
      </c>
      <c r="C39" s="179">
        <v>171</v>
      </c>
      <c r="D39" s="180">
        <f t="shared" si="0"/>
        <v>20700</v>
      </c>
      <c r="E39" s="181">
        <v>207</v>
      </c>
      <c r="F39" s="54">
        <f t="shared" si="1"/>
        <v>20700</v>
      </c>
    </row>
    <row r="40" spans="1:6" x14ac:dyDescent="0.3">
      <c r="A40" s="177">
        <v>161</v>
      </c>
      <c r="B40" s="178">
        <v>51</v>
      </c>
      <c r="C40" s="179">
        <v>171</v>
      </c>
      <c r="D40" s="180">
        <f t="shared" si="0"/>
        <v>50600</v>
      </c>
      <c r="E40" s="181">
        <v>506</v>
      </c>
      <c r="F40" s="54">
        <f t="shared" si="1"/>
        <v>50600</v>
      </c>
    </row>
    <row r="41" spans="1:6" x14ac:dyDescent="0.3">
      <c r="A41" s="177">
        <v>161</v>
      </c>
      <c r="B41" s="178">
        <v>49</v>
      </c>
      <c r="C41" s="179">
        <v>171</v>
      </c>
      <c r="D41" s="180">
        <f t="shared" si="0"/>
        <v>40250</v>
      </c>
      <c r="E41" s="181">
        <v>402.5</v>
      </c>
      <c r="F41" s="54">
        <f t="shared" si="1"/>
        <v>40250</v>
      </c>
    </row>
    <row r="42" spans="1:6" x14ac:dyDescent="0.3">
      <c r="A42" s="177">
        <v>161</v>
      </c>
      <c r="B42" s="178">
        <v>45</v>
      </c>
      <c r="C42" s="179">
        <v>171</v>
      </c>
      <c r="D42" s="180">
        <f t="shared" si="0"/>
        <v>22750</v>
      </c>
      <c r="E42" s="181">
        <v>227.5</v>
      </c>
      <c r="F42" s="54">
        <f t="shared" si="1"/>
        <v>22750</v>
      </c>
    </row>
    <row r="43" spans="1:6" x14ac:dyDescent="0.3">
      <c r="A43" s="177">
        <v>161</v>
      </c>
      <c r="B43" s="178">
        <v>32</v>
      </c>
      <c r="C43" s="179">
        <v>171</v>
      </c>
      <c r="D43" s="180">
        <f t="shared" si="0"/>
        <v>41860</v>
      </c>
      <c r="E43" s="181">
        <v>418.6</v>
      </c>
      <c r="F43" s="54">
        <f t="shared" si="1"/>
        <v>41860</v>
      </c>
    </row>
    <row r="44" spans="1:6" x14ac:dyDescent="0.3">
      <c r="A44" s="177">
        <v>161</v>
      </c>
      <c r="B44" s="178">
        <v>52</v>
      </c>
      <c r="C44" s="179">
        <v>171</v>
      </c>
      <c r="D44" s="180">
        <f t="shared" si="0"/>
        <v>22319</v>
      </c>
      <c r="E44" s="181">
        <v>223.19</v>
      </c>
      <c r="F44" s="54">
        <f t="shared" si="1"/>
        <v>22319</v>
      </c>
    </row>
    <row r="45" spans="1:6" x14ac:dyDescent="0.3">
      <c r="A45" s="177">
        <v>173</v>
      </c>
      <c r="B45" s="178">
        <v>41</v>
      </c>
      <c r="C45" s="179">
        <v>171</v>
      </c>
      <c r="D45" s="180">
        <f t="shared" si="0"/>
        <v>42370</v>
      </c>
      <c r="E45" s="181">
        <v>423.7</v>
      </c>
      <c r="F45" s="54">
        <f t="shared" si="1"/>
        <v>42370</v>
      </c>
    </row>
    <row r="46" spans="1:6" x14ac:dyDescent="0.3">
      <c r="A46" s="177">
        <v>181</v>
      </c>
      <c r="B46" s="178">
        <v>2</v>
      </c>
      <c r="C46" s="179">
        <v>171</v>
      </c>
      <c r="D46" s="180">
        <f t="shared" si="0"/>
        <v>24720</v>
      </c>
      <c r="E46" s="181">
        <v>247.2</v>
      </c>
      <c r="F46" s="54">
        <f t="shared" si="1"/>
        <v>24720</v>
      </c>
    </row>
    <row r="47" spans="1:6" x14ac:dyDescent="0.3">
      <c r="A47" s="177">
        <v>181</v>
      </c>
      <c r="B47" s="178">
        <v>33</v>
      </c>
      <c r="C47" s="179">
        <v>171</v>
      </c>
      <c r="D47" s="180">
        <f t="shared" si="0"/>
        <v>14980.000000000002</v>
      </c>
      <c r="E47" s="181">
        <v>149.80000000000001</v>
      </c>
      <c r="F47" s="54">
        <f t="shared" si="1"/>
        <v>14980.000000000002</v>
      </c>
    </row>
    <row r="48" spans="1:6" x14ac:dyDescent="0.3">
      <c r="A48" s="177">
        <v>181</v>
      </c>
      <c r="B48" s="178">
        <v>31</v>
      </c>
      <c r="C48" s="179">
        <v>171</v>
      </c>
      <c r="D48" s="180">
        <f t="shared" si="0"/>
        <v>21600</v>
      </c>
      <c r="E48" s="181">
        <v>216</v>
      </c>
      <c r="F48" s="54">
        <f t="shared" si="1"/>
        <v>21600</v>
      </c>
    </row>
    <row r="49" spans="1:6" x14ac:dyDescent="0.3">
      <c r="A49" s="177">
        <v>181</v>
      </c>
      <c r="B49" s="178">
        <v>16</v>
      </c>
      <c r="C49" s="179">
        <v>171</v>
      </c>
      <c r="D49" s="180">
        <f t="shared" si="0"/>
        <v>29250</v>
      </c>
      <c r="E49" s="181">
        <v>292.5</v>
      </c>
      <c r="F49" s="54">
        <f t="shared" si="1"/>
        <v>29250</v>
      </c>
    </row>
    <row r="50" spans="1:6" x14ac:dyDescent="0.3">
      <c r="A50" s="177">
        <v>181</v>
      </c>
      <c r="B50" s="178">
        <v>18</v>
      </c>
      <c r="C50" s="179">
        <v>171</v>
      </c>
      <c r="D50" s="180">
        <f t="shared" si="0"/>
        <v>21600</v>
      </c>
      <c r="E50" s="181">
        <v>216</v>
      </c>
      <c r="F50" s="54">
        <f t="shared" si="1"/>
        <v>21600</v>
      </c>
    </row>
    <row r="51" spans="1:6" x14ac:dyDescent="0.3">
      <c r="A51" s="177">
        <v>181</v>
      </c>
      <c r="B51" s="178">
        <v>32</v>
      </c>
      <c r="C51" s="179">
        <v>171</v>
      </c>
      <c r="D51" s="180">
        <f t="shared" si="0"/>
        <v>29250</v>
      </c>
      <c r="E51" s="181">
        <v>292.5</v>
      </c>
      <c r="F51" s="54">
        <f t="shared" si="1"/>
        <v>29250</v>
      </c>
    </row>
    <row r="52" spans="1:6" x14ac:dyDescent="0.3">
      <c r="A52" s="177">
        <v>181</v>
      </c>
      <c r="B52" s="178">
        <v>1</v>
      </c>
      <c r="C52" s="179">
        <v>171</v>
      </c>
      <c r="D52" s="180">
        <f t="shared" si="0"/>
        <v>23690</v>
      </c>
      <c r="E52" s="181">
        <v>236.9</v>
      </c>
      <c r="F52" s="54">
        <f t="shared" si="1"/>
        <v>23690</v>
      </c>
    </row>
    <row r="53" spans="1:6" x14ac:dyDescent="0.3">
      <c r="A53" s="177">
        <v>181</v>
      </c>
      <c r="B53" s="178">
        <v>13</v>
      </c>
      <c r="C53" s="179">
        <v>171</v>
      </c>
      <c r="D53" s="180">
        <f t="shared" si="0"/>
        <v>38180</v>
      </c>
      <c r="E53" s="181">
        <v>381.8</v>
      </c>
      <c r="F53" s="54">
        <f t="shared" si="1"/>
        <v>38180</v>
      </c>
    </row>
    <row r="54" spans="1:6" x14ac:dyDescent="0.3">
      <c r="A54" s="177">
        <v>200</v>
      </c>
      <c r="B54" s="178">
        <v>129</v>
      </c>
      <c r="C54" s="179">
        <v>171</v>
      </c>
      <c r="D54" s="180">
        <f t="shared" si="0"/>
        <v>46800</v>
      </c>
      <c r="E54" s="181">
        <v>468</v>
      </c>
      <c r="F54" s="54">
        <f t="shared" si="1"/>
        <v>46800</v>
      </c>
    </row>
    <row r="55" spans="1:6" x14ac:dyDescent="0.3">
      <c r="A55" s="177">
        <v>200</v>
      </c>
      <c r="B55" s="178">
        <v>82</v>
      </c>
      <c r="C55" s="179">
        <v>171</v>
      </c>
      <c r="D55" s="180">
        <f t="shared" si="0"/>
        <v>60840</v>
      </c>
      <c r="E55" s="181">
        <v>608.4</v>
      </c>
      <c r="F55" s="54">
        <f t="shared" si="1"/>
        <v>60840</v>
      </c>
    </row>
    <row r="56" spans="1:6" x14ac:dyDescent="0.3">
      <c r="A56" s="177">
        <v>200</v>
      </c>
      <c r="B56" s="178">
        <v>132</v>
      </c>
      <c r="C56" s="179">
        <v>171</v>
      </c>
      <c r="D56" s="180">
        <f t="shared" si="0"/>
        <v>46800</v>
      </c>
      <c r="E56" s="181">
        <v>468</v>
      </c>
      <c r="F56" s="54">
        <f t="shared" si="1"/>
        <v>46800</v>
      </c>
    </row>
    <row r="57" spans="1:6" x14ac:dyDescent="0.3">
      <c r="A57" s="177">
        <v>200</v>
      </c>
      <c r="B57" s="178">
        <v>130</v>
      </c>
      <c r="C57" s="179">
        <v>171</v>
      </c>
      <c r="D57" s="180">
        <f t="shared" si="0"/>
        <v>46800</v>
      </c>
      <c r="E57" s="181">
        <v>468</v>
      </c>
      <c r="F57" s="54">
        <f t="shared" si="1"/>
        <v>46800</v>
      </c>
    </row>
    <row r="58" spans="1:6" x14ac:dyDescent="0.3">
      <c r="A58" s="177">
        <v>200</v>
      </c>
      <c r="B58" s="178">
        <v>120</v>
      </c>
      <c r="C58" s="179">
        <v>171</v>
      </c>
      <c r="D58" s="180">
        <f t="shared" si="0"/>
        <v>23400</v>
      </c>
      <c r="E58" s="181">
        <v>234</v>
      </c>
      <c r="F58" s="54">
        <f t="shared" si="1"/>
        <v>23400</v>
      </c>
    </row>
    <row r="59" spans="1:6" x14ac:dyDescent="0.3">
      <c r="A59" s="177">
        <v>200</v>
      </c>
      <c r="B59" s="178">
        <v>74</v>
      </c>
      <c r="C59" s="179">
        <v>171</v>
      </c>
      <c r="D59" s="180">
        <f t="shared" si="0"/>
        <v>29250</v>
      </c>
      <c r="E59" s="181">
        <v>292.5</v>
      </c>
      <c r="F59" s="54">
        <f t="shared" si="1"/>
        <v>29250</v>
      </c>
    </row>
    <row r="60" spans="1:6" x14ac:dyDescent="0.3">
      <c r="A60" s="177">
        <v>200</v>
      </c>
      <c r="B60" s="178">
        <v>136</v>
      </c>
      <c r="C60" s="179">
        <v>171</v>
      </c>
      <c r="D60" s="180">
        <f t="shared" si="0"/>
        <v>20370</v>
      </c>
      <c r="E60" s="181">
        <v>203.7</v>
      </c>
      <c r="F60" s="54">
        <f t="shared" si="1"/>
        <v>20370</v>
      </c>
    </row>
    <row r="61" spans="1:6" x14ac:dyDescent="0.3">
      <c r="A61" s="177">
        <v>200</v>
      </c>
      <c r="B61" s="178">
        <v>135</v>
      </c>
      <c r="C61" s="179">
        <v>171</v>
      </c>
      <c r="D61" s="180">
        <f t="shared" si="0"/>
        <v>53625</v>
      </c>
      <c r="E61" s="181">
        <v>536.25</v>
      </c>
      <c r="F61" s="54">
        <f t="shared" si="1"/>
        <v>53625</v>
      </c>
    </row>
    <row r="62" spans="1:6" x14ac:dyDescent="0.3">
      <c r="A62" s="177">
        <v>62</v>
      </c>
      <c r="B62" s="178">
        <v>286</v>
      </c>
      <c r="C62" s="179">
        <v>314</v>
      </c>
      <c r="D62" s="180">
        <f t="shared" si="0"/>
        <v>48500</v>
      </c>
      <c r="E62" s="181">
        <v>485</v>
      </c>
      <c r="F62" s="54">
        <f t="shared" si="1"/>
        <v>48500</v>
      </c>
    </row>
    <row r="63" spans="1:6" x14ac:dyDescent="0.3">
      <c r="A63" s="177">
        <v>62</v>
      </c>
      <c r="B63" s="178">
        <v>322</v>
      </c>
      <c r="C63" s="179">
        <v>314</v>
      </c>
      <c r="D63" s="180">
        <f t="shared" si="0"/>
        <v>48000</v>
      </c>
      <c r="E63" s="181">
        <v>480</v>
      </c>
      <c r="F63" s="54">
        <f t="shared" si="1"/>
        <v>48000</v>
      </c>
    </row>
    <row r="64" spans="1:6" x14ac:dyDescent="0.3">
      <c r="A64" s="177">
        <v>62</v>
      </c>
      <c r="B64" s="178">
        <v>282</v>
      </c>
      <c r="C64" s="179">
        <v>314</v>
      </c>
      <c r="D64" s="180">
        <f t="shared" si="0"/>
        <v>58000</v>
      </c>
      <c r="E64" s="181">
        <v>580</v>
      </c>
      <c r="F64" s="54">
        <f t="shared" si="1"/>
        <v>58000</v>
      </c>
    </row>
    <row r="65" spans="1:6" x14ac:dyDescent="0.3">
      <c r="A65" s="177">
        <v>62</v>
      </c>
      <c r="B65" s="178">
        <v>316</v>
      </c>
      <c r="C65" s="179">
        <v>314</v>
      </c>
      <c r="D65" s="180">
        <f t="shared" si="0"/>
        <v>48500</v>
      </c>
      <c r="E65" s="181">
        <v>485</v>
      </c>
      <c r="F65" s="54">
        <f t="shared" si="1"/>
        <v>48500</v>
      </c>
    </row>
    <row r="66" spans="1:6" x14ac:dyDescent="0.3">
      <c r="A66" s="177">
        <v>62</v>
      </c>
      <c r="B66" s="178">
        <v>323</v>
      </c>
      <c r="C66" s="179">
        <v>314</v>
      </c>
      <c r="D66" s="180">
        <f t="shared" si="0"/>
        <v>20000</v>
      </c>
      <c r="E66" s="181">
        <v>200</v>
      </c>
      <c r="F66" s="54">
        <f t="shared" si="1"/>
        <v>20000</v>
      </c>
    </row>
    <row r="67" spans="1:6" x14ac:dyDescent="0.3">
      <c r="A67" s="177">
        <v>62</v>
      </c>
      <c r="B67" s="178">
        <v>326</v>
      </c>
      <c r="C67" s="179">
        <v>314</v>
      </c>
      <c r="D67" s="180">
        <f t="shared" si="0"/>
        <v>20000</v>
      </c>
      <c r="E67" s="181">
        <v>200</v>
      </c>
      <c r="F67" s="54">
        <f t="shared" si="1"/>
        <v>20000</v>
      </c>
    </row>
    <row r="68" spans="1:6" x14ac:dyDescent="0.3">
      <c r="A68" s="177">
        <v>62</v>
      </c>
      <c r="B68" s="178">
        <v>303</v>
      </c>
      <c r="C68" s="179">
        <v>314</v>
      </c>
      <c r="D68" s="180">
        <f t="shared" si="0"/>
        <v>49000</v>
      </c>
      <c r="E68" s="181">
        <v>490</v>
      </c>
      <c r="F68" s="54">
        <f t="shared" si="1"/>
        <v>49000</v>
      </c>
    </row>
    <row r="69" spans="1:6" x14ac:dyDescent="0.3">
      <c r="A69" s="177">
        <v>62</v>
      </c>
      <c r="B69" s="178">
        <v>320</v>
      </c>
      <c r="C69" s="179">
        <v>314</v>
      </c>
      <c r="D69" s="180">
        <f t="shared" si="0"/>
        <v>48500</v>
      </c>
      <c r="E69" s="181">
        <v>485</v>
      </c>
      <c r="F69" s="54">
        <f t="shared" si="1"/>
        <v>48500</v>
      </c>
    </row>
    <row r="70" spans="1:6" x14ac:dyDescent="0.3">
      <c r="A70" s="177">
        <v>62</v>
      </c>
      <c r="B70" s="178">
        <v>289</v>
      </c>
      <c r="C70" s="179">
        <v>314</v>
      </c>
      <c r="D70" s="180">
        <f t="shared" ref="D70:D118" si="2">F70</f>
        <v>43500</v>
      </c>
      <c r="E70" s="181">
        <v>435</v>
      </c>
      <c r="F70" s="54">
        <f t="shared" ref="F70:F118" si="3">E70*100</f>
        <v>43500</v>
      </c>
    </row>
    <row r="71" spans="1:6" x14ac:dyDescent="0.3">
      <c r="A71" s="177">
        <v>105</v>
      </c>
      <c r="B71" s="178">
        <v>93</v>
      </c>
      <c r="C71" s="179">
        <v>314</v>
      </c>
      <c r="D71" s="180">
        <f t="shared" si="2"/>
        <v>63700</v>
      </c>
      <c r="E71" s="181">
        <v>637</v>
      </c>
      <c r="F71" s="54">
        <f t="shared" si="3"/>
        <v>63700</v>
      </c>
    </row>
    <row r="72" spans="1:6" x14ac:dyDescent="0.3">
      <c r="A72" s="177">
        <v>105</v>
      </c>
      <c r="B72" s="178">
        <v>68</v>
      </c>
      <c r="C72" s="179">
        <v>314</v>
      </c>
      <c r="D72" s="180">
        <f t="shared" si="2"/>
        <v>54340</v>
      </c>
      <c r="E72" s="181">
        <v>543.4</v>
      </c>
      <c r="F72" s="54">
        <f t="shared" si="3"/>
        <v>54340</v>
      </c>
    </row>
    <row r="73" spans="1:6" x14ac:dyDescent="0.3">
      <c r="A73" s="177">
        <v>105</v>
      </c>
      <c r="B73" s="178">
        <v>100</v>
      </c>
      <c r="C73" s="179">
        <v>314</v>
      </c>
      <c r="D73" s="180">
        <f t="shared" si="2"/>
        <v>20020</v>
      </c>
      <c r="E73" s="181">
        <v>200.2</v>
      </c>
      <c r="F73" s="54">
        <f t="shared" si="3"/>
        <v>20020</v>
      </c>
    </row>
    <row r="74" spans="1:6" x14ac:dyDescent="0.3">
      <c r="A74" s="177">
        <v>105</v>
      </c>
      <c r="B74" s="178">
        <v>84</v>
      </c>
      <c r="C74" s="179">
        <v>314</v>
      </c>
      <c r="D74" s="180">
        <f t="shared" si="2"/>
        <v>31000</v>
      </c>
      <c r="E74" s="181">
        <v>310</v>
      </c>
      <c r="F74" s="54">
        <f t="shared" si="3"/>
        <v>31000</v>
      </c>
    </row>
    <row r="75" spans="1:6" x14ac:dyDescent="0.3">
      <c r="A75" s="177">
        <v>105</v>
      </c>
      <c r="B75" s="178">
        <v>85</v>
      </c>
      <c r="C75" s="179">
        <v>314</v>
      </c>
      <c r="D75" s="180">
        <f t="shared" si="2"/>
        <v>19250</v>
      </c>
      <c r="E75" s="181">
        <v>192.5</v>
      </c>
      <c r="F75" s="54">
        <f t="shared" si="3"/>
        <v>19250</v>
      </c>
    </row>
    <row r="76" spans="1:6" x14ac:dyDescent="0.3">
      <c r="A76" s="177">
        <v>105</v>
      </c>
      <c r="B76" s="178">
        <v>29</v>
      </c>
      <c r="C76" s="179">
        <v>314</v>
      </c>
      <c r="D76" s="180">
        <f t="shared" si="2"/>
        <v>40040</v>
      </c>
      <c r="E76" s="181">
        <v>400.4</v>
      </c>
      <c r="F76" s="54">
        <f t="shared" si="3"/>
        <v>40040</v>
      </c>
    </row>
    <row r="77" spans="1:6" x14ac:dyDescent="0.3">
      <c r="A77" s="177">
        <v>105</v>
      </c>
      <c r="B77" s="178">
        <v>95</v>
      </c>
      <c r="C77" s="179">
        <v>314</v>
      </c>
      <c r="D77" s="180">
        <f t="shared" si="2"/>
        <v>44200</v>
      </c>
      <c r="E77" s="181">
        <v>442</v>
      </c>
      <c r="F77" s="54">
        <f t="shared" si="3"/>
        <v>44200</v>
      </c>
    </row>
    <row r="78" spans="1:6" x14ac:dyDescent="0.3">
      <c r="A78" s="177">
        <v>105</v>
      </c>
      <c r="B78" s="178">
        <v>103</v>
      </c>
      <c r="C78" s="179">
        <v>314</v>
      </c>
      <c r="D78" s="180">
        <f t="shared" si="2"/>
        <v>40250</v>
      </c>
      <c r="E78" s="181">
        <v>402.5</v>
      </c>
      <c r="F78" s="54">
        <f t="shared" si="3"/>
        <v>40250</v>
      </c>
    </row>
    <row r="79" spans="1:6" x14ac:dyDescent="0.3">
      <c r="A79" s="177">
        <v>123</v>
      </c>
      <c r="B79" s="178">
        <v>58</v>
      </c>
      <c r="C79" s="179">
        <v>314</v>
      </c>
      <c r="D79" s="180">
        <f t="shared" si="2"/>
        <v>49680</v>
      </c>
      <c r="E79" s="181">
        <v>496.8</v>
      </c>
      <c r="F79" s="54">
        <f t="shared" si="3"/>
        <v>49680</v>
      </c>
    </row>
    <row r="80" spans="1:6" x14ac:dyDescent="0.3">
      <c r="A80" s="177">
        <v>123</v>
      </c>
      <c r="B80" s="178">
        <v>69</v>
      </c>
      <c r="C80" s="179">
        <v>314</v>
      </c>
      <c r="D80" s="180">
        <f t="shared" si="2"/>
        <v>49680</v>
      </c>
      <c r="E80" s="181">
        <v>496.8</v>
      </c>
      <c r="F80" s="54">
        <f t="shared" si="3"/>
        <v>49680</v>
      </c>
    </row>
    <row r="81" spans="1:6" x14ac:dyDescent="0.3">
      <c r="A81" s="177">
        <v>123</v>
      </c>
      <c r="B81" s="178">
        <v>81</v>
      </c>
      <c r="C81" s="179">
        <v>314</v>
      </c>
      <c r="D81" s="180">
        <f t="shared" si="2"/>
        <v>36960</v>
      </c>
      <c r="E81" s="181">
        <v>369.6</v>
      </c>
      <c r="F81" s="54">
        <f t="shared" si="3"/>
        <v>36960</v>
      </c>
    </row>
    <row r="82" spans="1:6" x14ac:dyDescent="0.3">
      <c r="A82" s="177">
        <v>123</v>
      </c>
      <c r="B82" s="178">
        <v>75</v>
      </c>
      <c r="C82" s="179">
        <v>314</v>
      </c>
      <c r="D82" s="180">
        <f t="shared" si="2"/>
        <v>41280</v>
      </c>
      <c r="E82" s="181">
        <v>412.8</v>
      </c>
      <c r="F82" s="54">
        <f t="shared" si="3"/>
        <v>41280</v>
      </c>
    </row>
    <row r="83" spans="1:6" x14ac:dyDescent="0.3">
      <c r="A83" s="177">
        <v>123</v>
      </c>
      <c r="B83" s="178">
        <v>76</v>
      </c>
      <c r="C83" s="179">
        <v>314</v>
      </c>
      <c r="D83" s="180">
        <f t="shared" si="2"/>
        <v>19780</v>
      </c>
      <c r="E83" s="181">
        <v>197.8</v>
      </c>
      <c r="F83" s="54">
        <f t="shared" si="3"/>
        <v>19780</v>
      </c>
    </row>
    <row r="84" spans="1:6" x14ac:dyDescent="0.3">
      <c r="A84" s="177">
        <v>123</v>
      </c>
      <c r="B84" s="178">
        <v>68</v>
      </c>
      <c r="C84" s="179">
        <v>314</v>
      </c>
      <c r="D84" s="180">
        <f t="shared" si="2"/>
        <v>56160</v>
      </c>
      <c r="E84" s="181">
        <v>561.6</v>
      </c>
      <c r="F84" s="54">
        <f t="shared" si="3"/>
        <v>56160</v>
      </c>
    </row>
    <row r="85" spans="1:6" x14ac:dyDescent="0.3">
      <c r="A85" s="177">
        <v>123</v>
      </c>
      <c r="B85" s="178">
        <v>36</v>
      </c>
      <c r="C85" s="179">
        <v>314</v>
      </c>
      <c r="D85" s="180">
        <f t="shared" si="2"/>
        <v>51840</v>
      </c>
      <c r="E85" s="181">
        <v>518.4</v>
      </c>
      <c r="F85" s="54">
        <f t="shared" si="3"/>
        <v>51840</v>
      </c>
    </row>
    <row r="86" spans="1:6" x14ac:dyDescent="0.3">
      <c r="A86" s="177">
        <v>123</v>
      </c>
      <c r="B86" s="178">
        <v>70</v>
      </c>
      <c r="C86" s="179">
        <v>314</v>
      </c>
      <c r="D86" s="180">
        <f t="shared" si="2"/>
        <v>20640</v>
      </c>
      <c r="E86" s="181">
        <v>206.4</v>
      </c>
      <c r="F86" s="54">
        <f t="shared" si="3"/>
        <v>20640</v>
      </c>
    </row>
    <row r="87" spans="1:6" x14ac:dyDescent="0.3">
      <c r="A87" s="177">
        <v>139</v>
      </c>
      <c r="B87" s="178">
        <v>54</v>
      </c>
      <c r="C87" s="179">
        <v>314</v>
      </c>
      <c r="D87" s="180">
        <f t="shared" si="2"/>
        <v>26600</v>
      </c>
      <c r="E87" s="181">
        <v>266</v>
      </c>
      <c r="F87" s="54">
        <f t="shared" si="3"/>
        <v>26600</v>
      </c>
    </row>
    <row r="88" spans="1:6" x14ac:dyDescent="0.3">
      <c r="A88" s="177">
        <v>144</v>
      </c>
      <c r="B88" s="178">
        <v>74</v>
      </c>
      <c r="C88" s="179">
        <v>314</v>
      </c>
      <c r="D88" s="180">
        <f t="shared" si="2"/>
        <v>21840</v>
      </c>
      <c r="E88" s="181">
        <v>218.4</v>
      </c>
      <c r="F88" s="54">
        <f t="shared" si="3"/>
        <v>21840</v>
      </c>
    </row>
    <row r="89" spans="1:6" x14ac:dyDescent="0.3">
      <c r="A89" s="177">
        <v>144</v>
      </c>
      <c r="B89" s="178">
        <v>88</v>
      </c>
      <c r="C89" s="179">
        <v>314</v>
      </c>
      <c r="D89" s="180">
        <f t="shared" si="2"/>
        <v>22770</v>
      </c>
      <c r="E89" s="181">
        <v>227.7</v>
      </c>
      <c r="F89" s="54">
        <f t="shared" si="3"/>
        <v>22770</v>
      </c>
    </row>
    <row r="90" spans="1:6" x14ac:dyDescent="0.3">
      <c r="A90" s="177">
        <v>156</v>
      </c>
      <c r="B90" s="178">
        <v>84</v>
      </c>
      <c r="C90" s="179">
        <v>314</v>
      </c>
      <c r="D90" s="180">
        <f t="shared" si="2"/>
        <v>49128</v>
      </c>
      <c r="E90" s="181">
        <v>491.28</v>
      </c>
      <c r="F90" s="54">
        <f t="shared" si="3"/>
        <v>49128</v>
      </c>
    </row>
    <row r="91" spans="1:6" x14ac:dyDescent="0.3">
      <c r="A91" s="177">
        <v>157</v>
      </c>
      <c r="B91" s="178">
        <v>14</v>
      </c>
      <c r="C91" s="179">
        <v>314</v>
      </c>
      <c r="D91" s="180">
        <f t="shared" si="2"/>
        <v>21600</v>
      </c>
      <c r="E91" s="181">
        <v>216</v>
      </c>
      <c r="F91" s="54">
        <f t="shared" si="3"/>
        <v>21600</v>
      </c>
    </row>
    <row r="92" spans="1:6" x14ac:dyDescent="0.3">
      <c r="A92" s="177">
        <v>157</v>
      </c>
      <c r="B92" s="178">
        <v>34</v>
      </c>
      <c r="C92" s="179">
        <v>314</v>
      </c>
      <c r="D92" s="180">
        <f t="shared" si="2"/>
        <v>22500</v>
      </c>
      <c r="E92" s="181">
        <v>225</v>
      </c>
      <c r="F92" s="54">
        <f t="shared" si="3"/>
        <v>22500</v>
      </c>
    </row>
    <row r="93" spans="1:6" x14ac:dyDescent="0.3">
      <c r="A93" s="177">
        <v>157</v>
      </c>
      <c r="B93" s="178">
        <v>43</v>
      </c>
      <c r="C93" s="179">
        <v>314</v>
      </c>
      <c r="D93" s="180">
        <f t="shared" si="2"/>
        <v>21600</v>
      </c>
      <c r="E93" s="181">
        <v>216</v>
      </c>
      <c r="F93" s="54">
        <f t="shared" si="3"/>
        <v>21600</v>
      </c>
    </row>
    <row r="94" spans="1:6" x14ac:dyDescent="0.3">
      <c r="A94" s="177">
        <v>157</v>
      </c>
      <c r="B94" s="178">
        <v>44</v>
      </c>
      <c r="C94" s="179">
        <v>314</v>
      </c>
      <c r="D94" s="180">
        <f t="shared" si="2"/>
        <v>20700</v>
      </c>
      <c r="E94" s="181">
        <v>207</v>
      </c>
      <c r="F94" s="54">
        <f t="shared" si="3"/>
        <v>20700</v>
      </c>
    </row>
    <row r="95" spans="1:6" x14ac:dyDescent="0.3">
      <c r="A95" s="177">
        <v>157</v>
      </c>
      <c r="B95" s="178">
        <v>45</v>
      </c>
      <c r="C95" s="179">
        <v>314</v>
      </c>
      <c r="D95" s="180">
        <f t="shared" si="2"/>
        <v>20700</v>
      </c>
      <c r="E95" s="181">
        <v>207</v>
      </c>
      <c r="F95" s="54">
        <f t="shared" si="3"/>
        <v>20700</v>
      </c>
    </row>
    <row r="96" spans="1:6" x14ac:dyDescent="0.3">
      <c r="A96" s="177">
        <v>157</v>
      </c>
      <c r="B96" s="178">
        <v>46</v>
      </c>
      <c r="C96" s="179">
        <v>314</v>
      </c>
      <c r="D96" s="180">
        <f t="shared" si="2"/>
        <v>20700</v>
      </c>
      <c r="E96" s="181">
        <v>207</v>
      </c>
      <c r="F96" s="54">
        <f t="shared" si="3"/>
        <v>20700</v>
      </c>
    </row>
    <row r="97" spans="1:6" x14ac:dyDescent="0.3">
      <c r="A97" s="177">
        <v>161</v>
      </c>
      <c r="B97" s="178">
        <v>51</v>
      </c>
      <c r="C97" s="179">
        <v>314</v>
      </c>
      <c r="D97" s="180">
        <f t="shared" si="2"/>
        <v>50600</v>
      </c>
      <c r="E97" s="181">
        <v>506</v>
      </c>
      <c r="F97" s="54">
        <f t="shared" si="3"/>
        <v>50600</v>
      </c>
    </row>
    <row r="98" spans="1:6" x14ac:dyDescent="0.3">
      <c r="A98" s="177">
        <v>161</v>
      </c>
      <c r="B98" s="178">
        <v>49</v>
      </c>
      <c r="C98" s="179">
        <v>314</v>
      </c>
      <c r="D98" s="180">
        <f t="shared" si="2"/>
        <v>40250</v>
      </c>
      <c r="E98" s="181">
        <v>402.5</v>
      </c>
      <c r="F98" s="54">
        <f t="shared" si="3"/>
        <v>40250</v>
      </c>
    </row>
    <row r="99" spans="1:6" x14ac:dyDescent="0.3">
      <c r="A99" s="177">
        <v>161</v>
      </c>
      <c r="B99" s="178">
        <v>45</v>
      </c>
      <c r="C99" s="179">
        <v>314</v>
      </c>
      <c r="D99" s="180">
        <f t="shared" si="2"/>
        <v>22750</v>
      </c>
      <c r="E99" s="181">
        <v>227.5</v>
      </c>
      <c r="F99" s="54">
        <f t="shared" si="3"/>
        <v>22750</v>
      </c>
    </row>
    <row r="100" spans="1:6" x14ac:dyDescent="0.3">
      <c r="A100" s="177">
        <v>161</v>
      </c>
      <c r="B100" s="178">
        <v>32</v>
      </c>
      <c r="C100" s="179">
        <v>314</v>
      </c>
      <c r="D100" s="180">
        <f t="shared" si="2"/>
        <v>41860</v>
      </c>
      <c r="E100" s="181">
        <v>418.6</v>
      </c>
      <c r="F100" s="54">
        <f t="shared" si="3"/>
        <v>41860</v>
      </c>
    </row>
    <row r="101" spans="1:6" x14ac:dyDescent="0.3">
      <c r="A101" s="177">
        <v>161</v>
      </c>
      <c r="B101" s="178">
        <v>52</v>
      </c>
      <c r="C101" s="179">
        <v>314</v>
      </c>
      <c r="D101" s="180">
        <f t="shared" si="2"/>
        <v>22319</v>
      </c>
      <c r="E101" s="181">
        <v>223.19</v>
      </c>
      <c r="F101" s="54">
        <f t="shared" si="3"/>
        <v>22319</v>
      </c>
    </row>
    <row r="102" spans="1:6" x14ac:dyDescent="0.3">
      <c r="A102" s="177">
        <v>173</v>
      </c>
      <c r="B102" s="178">
        <v>41</v>
      </c>
      <c r="C102" s="179">
        <v>314</v>
      </c>
      <c r="D102" s="180">
        <f t="shared" si="2"/>
        <v>42370</v>
      </c>
      <c r="E102" s="181">
        <v>423.7</v>
      </c>
      <c r="F102" s="54">
        <f t="shared" si="3"/>
        <v>42370</v>
      </c>
    </row>
    <row r="103" spans="1:6" x14ac:dyDescent="0.3">
      <c r="A103" s="177">
        <v>181</v>
      </c>
      <c r="B103" s="178">
        <v>2</v>
      </c>
      <c r="C103" s="179">
        <v>314</v>
      </c>
      <c r="D103" s="180">
        <f t="shared" si="2"/>
        <v>24720</v>
      </c>
      <c r="E103" s="181">
        <v>247.2</v>
      </c>
      <c r="F103" s="54">
        <f t="shared" si="3"/>
        <v>24720</v>
      </c>
    </row>
    <row r="104" spans="1:6" x14ac:dyDescent="0.3">
      <c r="A104" s="177">
        <v>181</v>
      </c>
      <c r="B104" s="178">
        <v>33</v>
      </c>
      <c r="C104" s="179">
        <v>314</v>
      </c>
      <c r="D104" s="180">
        <f t="shared" si="2"/>
        <v>14980.000000000002</v>
      </c>
      <c r="E104" s="181">
        <v>149.80000000000001</v>
      </c>
      <c r="F104" s="54">
        <f t="shared" si="3"/>
        <v>14980.000000000002</v>
      </c>
    </row>
    <row r="105" spans="1:6" x14ac:dyDescent="0.3">
      <c r="A105" s="177">
        <v>181</v>
      </c>
      <c r="B105" s="178">
        <v>31</v>
      </c>
      <c r="C105" s="179">
        <v>314</v>
      </c>
      <c r="D105" s="180">
        <f t="shared" si="2"/>
        <v>21600</v>
      </c>
      <c r="E105" s="181">
        <v>216</v>
      </c>
      <c r="F105" s="54">
        <f t="shared" si="3"/>
        <v>21600</v>
      </c>
    </row>
    <row r="106" spans="1:6" x14ac:dyDescent="0.3">
      <c r="A106" s="177">
        <v>181</v>
      </c>
      <c r="B106" s="178">
        <v>16</v>
      </c>
      <c r="C106" s="179">
        <v>314</v>
      </c>
      <c r="D106" s="180">
        <f t="shared" si="2"/>
        <v>29250</v>
      </c>
      <c r="E106" s="181">
        <v>292.5</v>
      </c>
      <c r="F106" s="54">
        <f t="shared" si="3"/>
        <v>29250</v>
      </c>
    </row>
    <row r="107" spans="1:6" x14ac:dyDescent="0.3">
      <c r="A107" s="177">
        <v>181</v>
      </c>
      <c r="B107" s="178">
        <v>18</v>
      </c>
      <c r="C107" s="179">
        <v>314</v>
      </c>
      <c r="D107" s="180">
        <f t="shared" si="2"/>
        <v>21600</v>
      </c>
      <c r="E107" s="181">
        <v>216</v>
      </c>
      <c r="F107" s="54">
        <f t="shared" si="3"/>
        <v>21600</v>
      </c>
    </row>
    <row r="108" spans="1:6" x14ac:dyDescent="0.3">
      <c r="A108" s="177">
        <v>181</v>
      </c>
      <c r="B108" s="178">
        <v>32</v>
      </c>
      <c r="C108" s="179">
        <v>314</v>
      </c>
      <c r="D108" s="180">
        <f t="shared" si="2"/>
        <v>29250</v>
      </c>
      <c r="E108" s="181">
        <v>292.5</v>
      </c>
      <c r="F108" s="54">
        <f t="shared" si="3"/>
        <v>29250</v>
      </c>
    </row>
    <row r="109" spans="1:6" x14ac:dyDescent="0.3">
      <c r="A109" s="177">
        <v>181</v>
      </c>
      <c r="B109" s="178">
        <v>1</v>
      </c>
      <c r="C109" s="179">
        <v>314</v>
      </c>
      <c r="D109" s="180">
        <f t="shared" si="2"/>
        <v>23690</v>
      </c>
      <c r="E109" s="181">
        <v>236.9</v>
      </c>
      <c r="F109" s="54">
        <f t="shared" si="3"/>
        <v>23690</v>
      </c>
    </row>
    <row r="110" spans="1:6" x14ac:dyDescent="0.3">
      <c r="A110" s="177">
        <v>181</v>
      </c>
      <c r="B110" s="178">
        <v>13</v>
      </c>
      <c r="C110" s="179">
        <v>314</v>
      </c>
      <c r="D110" s="180">
        <f t="shared" si="2"/>
        <v>38180</v>
      </c>
      <c r="E110" s="181">
        <v>381.8</v>
      </c>
      <c r="F110" s="54">
        <f t="shared" si="3"/>
        <v>38180</v>
      </c>
    </row>
    <row r="111" spans="1:6" x14ac:dyDescent="0.3">
      <c r="A111" s="177">
        <v>200</v>
      </c>
      <c r="B111" s="178">
        <v>129</v>
      </c>
      <c r="C111" s="179">
        <v>314</v>
      </c>
      <c r="D111" s="180">
        <f t="shared" si="2"/>
        <v>46800</v>
      </c>
      <c r="E111" s="181">
        <v>468</v>
      </c>
      <c r="F111" s="54">
        <f t="shared" si="3"/>
        <v>46800</v>
      </c>
    </row>
    <row r="112" spans="1:6" x14ac:dyDescent="0.3">
      <c r="A112" s="177">
        <v>200</v>
      </c>
      <c r="B112" s="178">
        <v>82</v>
      </c>
      <c r="C112" s="179">
        <v>314</v>
      </c>
      <c r="D112" s="180">
        <f t="shared" si="2"/>
        <v>60840</v>
      </c>
      <c r="E112" s="181">
        <v>608.4</v>
      </c>
      <c r="F112" s="54">
        <f t="shared" si="3"/>
        <v>60840</v>
      </c>
    </row>
    <row r="113" spans="1:6" x14ac:dyDescent="0.3">
      <c r="A113" s="177">
        <v>200</v>
      </c>
      <c r="B113" s="178">
        <v>132</v>
      </c>
      <c r="C113" s="179">
        <v>314</v>
      </c>
      <c r="D113" s="180">
        <f t="shared" si="2"/>
        <v>46800</v>
      </c>
      <c r="E113" s="181">
        <v>468</v>
      </c>
      <c r="F113" s="54">
        <f t="shared" si="3"/>
        <v>46800</v>
      </c>
    </row>
    <row r="114" spans="1:6" x14ac:dyDescent="0.3">
      <c r="A114" s="177">
        <v>200</v>
      </c>
      <c r="B114" s="178">
        <v>130</v>
      </c>
      <c r="C114" s="179">
        <v>314</v>
      </c>
      <c r="D114" s="180">
        <f t="shared" si="2"/>
        <v>46800</v>
      </c>
      <c r="E114" s="181">
        <v>468</v>
      </c>
      <c r="F114" s="54">
        <f t="shared" si="3"/>
        <v>46800</v>
      </c>
    </row>
    <row r="115" spans="1:6" x14ac:dyDescent="0.3">
      <c r="A115" s="177">
        <v>200</v>
      </c>
      <c r="B115" s="178">
        <v>120</v>
      </c>
      <c r="C115" s="179">
        <v>314</v>
      </c>
      <c r="D115" s="180">
        <f t="shared" si="2"/>
        <v>23400</v>
      </c>
      <c r="E115" s="181">
        <v>234</v>
      </c>
      <c r="F115" s="54">
        <f t="shared" si="3"/>
        <v>23400</v>
      </c>
    </row>
    <row r="116" spans="1:6" x14ac:dyDescent="0.3">
      <c r="A116" s="177">
        <v>200</v>
      </c>
      <c r="B116" s="178">
        <v>74</v>
      </c>
      <c r="C116" s="179">
        <v>314</v>
      </c>
      <c r="D116" s="180">
        <f t="shared" si="2"/>
        <v>29250</v>
      </c>
      <c r="E116" s="181">
        <v>292.5</v>
      </c>
      <c r="F116" s="54">
        <f t="shared" si="3"/>
        <v>29250</v>
      </c>
    </row>
    <row r="117" spans="1:6" x14ac:dyDescent="0.3">
      <c r="A117" s="177">
        <v>200</v>
      </c>
      <c r="B117" s="178">
        <v>136</v>
      </c>
      <c r="C117" s="179">
        <v>314</v>
      </c>
      <c r="D117" s="180">
        <f t="shared" si="2"/>
        <v>20370</v>
      </c>
      <c r="E117">
        <v>203.7</v>
      </c>
      <c r="F117" s="54">
        <f t="shared" si="3"/>
        <v>20370</v>
      </c>
    </row>
    <row r="118" spans="1:6" x14ac:dyDescent="0.3">
      <c r="A118" s="177">
        <v>200</v>
      </c>
      <c r="B118" s="178">
        <v>135</v>
      </c>
      <c r="C118" s="179">
        <v>314</v>
      </c>
      <c r="D118" s="180">
        <f t="shared" si="2"/>
        <v>53625</v>
      </c>
      <c r="E118">
        <v>536.25</v>
      </c>
      <c r="F118" s="54">
        <f t="shared" si="3"/>
        <v>53625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Base 06-2021</vt:lpstr>
      <vt:lpstr>Vendedores</vt:lpstr>
      <vt:lpstr>Gerentes</vt:lpstr>
      <vt:lpstr>Prêmio William</vt:lpstr>
      <vt:lpstr>Prêmio Clayton</vt:lpstr>
      <vt:lpstr>Abono_085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Carvalho de Avila</dc:creator>
  <cp:lastModifiedBy>Usuário do Windows</cp:lastModifiedBy>
  <cp:lastPrinted>2021-07-03T16:03:50Z</cp:lastPrinted>
  <dcterms:created xsi:type="dcterms:W3CDTF">2019-10-28T20:46:34Z</dcterms:created>
  <dcterms:modified xsi:type="dcterms:W3CDTF">2021-07-24T01:08:59Z</dcterms:modified>
</cp:coreProperties>
</file>