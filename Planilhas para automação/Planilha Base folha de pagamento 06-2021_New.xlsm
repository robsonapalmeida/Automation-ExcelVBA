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bson\Documents\Amanda\Planilhas para automação\"/>
    </mc:Choice>
  </mc:AlternateContent>
  <xr:revisionPtr revIDLastSave="0" documentId="13_ncr:1_{11207492-E86E-4295-8151-35C0C1AC099E}" xr6:coauthVersionLast="47" xr6:coauthVersionMax="47" xr10:uidLastSave="{00000000-0000-0000-0000-000000000000}"/>
  <bookViews>
    <workbookView xWindow="-108" yWindow="-108" windowWidth="23256" windowHeight="12720" xr2:uid="{76B6F969-15A1-4D35-8B2A-44E9CAFC87CF}"/>
  </bookViews>
  <sheets>
    <sheet name="Base 07-2021" sheetId="1" r:id="rId1"/>
    <sheet name="Vendedores" sheetId="2" r:id="rId2"/>
    <sheet name="Gerentes" sheetId="3" r:id="rId3"/>
    <sheet name="Abono 085" sheetId="6" r:id="rId4"/>
    <sheet name="Prêmio William" sheetId="4" r:id="rId5"/>
    <sheet name="Prêmio_Clayton" sheetId="5" r:id="rId6"/>
    <sheet name="Evento 085" sheetId="7" r:id="rId7"/>
    <sheet name="Evento 005" sheetId="8" r:id="rId8"/>
    <sheet name="Evento 078" sheetId="9" r:id="rId9"/>
    <sheet name="Evento 075" sheetId="10" r:id="rId10"/>
    <sheet name="Evento 233" sheetId="11" r:id="rId11"/>
    <sheet name="Evento 144" sheetId="12" r:id="rId12"/>
    <sheet name="Evento 256 232" sheetId="13" r:id="rId13"/>
    <sheet name="Evento 133 315" sheetId="14" r:id="rId14"/>
    <sheet name="Evento 171 314" sheetId="15" r:id="rId15"/>
    <sheet name="Inconsistências" sheetId="17" r:id="rId16"/>
    <sheet name="Parâmetros" sheetId="20" r:id="rId17"/>
  </sheets>
  <functionGroups builtInGroupCount="19"/>
  <externalReferences>
    <externalReference r:id="rId18"/>
    <externalReference r:id="rId19"/>
  </externalReferences>
  <definedNames>
    <definedName name="_xlnm._FilterDatabase" localSheetId="0" hidden="1">'Base 07-2021'!$A$2:$AJ$228</definedName>
    <definedName name="_xlnm._FilterDatabase" localSheetId="2" hidden="1">Gerentes!$B$3:$PA$32</definedName>
    <definedName name="_xlnm._FilterDatabase" localSheetId="4" hidden="1">'Prêmio William'!$A$4:$M$48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J27" i="1" l="1"/>
  <c r="AJ26" i="1"/>
  <c r="AJ25" i="1"/>
  <c r="AJ28" i="1" l="1"/>
  <c r="AK28" i="1" s="1"/>
  <c r="L32" i="3"/>
  <c r="J32" i="3"/>
  <c r="I32" i="3"/>
  <c r="H32" i="3"/>
  <c r="G32" i="3"/>
  <c r="F32" i="3"/>
  <c r="E32" i="3"/>
  <c r="K31" i="3"/>
  <c r="M31" i="3" s="1"/>
  <c r="K30" i="3"/>
  <c r="M30" i="3" s="1"/>
  <c r="K29" i="3"/>
  <c r="M29" i="3" s="1"/>
  <c r="K28" i="3"/>
  <c r="M28" i="3" s="1"/>
  <c r="K27" i="3"/>
  <c r="M27" i="3" s="1"/>
  <c r="K26" i="3"/>
  <c r="M26" i="3" s="1"/>
  <c r="K25" i="3"/>
  <c r="M25" i="3" s="1"/>
  <c r="K24" i="3"/>
  <c r="M24" i="3" s="1"/>
  <c r="K23" i="3"/>
  <c r="M23" i="3" s="1"/>
  <c r="K22" i="3"/>
  <c r="M22" i="3" s="1"/>
  <c r="K21" i="3"/>
  <c r="M21" i="3" s="1"/>
  <c r="K20" i="3"/>
  <c r="M20" i="3" s="1"/>
  <c r="K19" i="3"/>
  <c r="M19" i="3" s="1"/>
  <c r="K18" i="3"/>
  <c r="M18" i="3" s="1"/>
  <c r="K17" i="3"/>
  <c r="M17" i="3" s="1"/>
  <c r="K16" i="3"/>
  <c r="M16" i="3" s="1"/>
  <c r="K15" i="3"/>
  <c r="M15" i="3" s="1"/>
  <c r="K14" i="3"/>
  <c r="M14" i="3" s="1"/>
  <c r="K13" i="3"/>
  <c r="M13" i="3" s="1"/>
  <c r="K12" i="3"/>
  <c r="M12" i="3" s="1"/>
  <c r="K11" i="3"/>
  <c r="M11" i="3" s="1"/>
  <c r="K10" i="3"/>
  <c r="M10" i="3" s="1"/>
  <c r="K9" i="3"/>
  <c r="M9" i="3" s="1"/>
  <c r="K8" i="3"/>
  <c r="M8" i="3" s="1"/>
  <c r="K7" i="3"/>
  <c r="M7" i="3" s="1"/>
  <c r="K6" i="3"/>
  <c r="M6" i="3" s="1"/>
  <c r="K5" i="3"/>
  <c r="M5" i="3" s="1"/>
  <c r="K4" i="3"/>
  <c r="J479" i="2"/>
  <c r="J478" i="2"/>
  <c r="J477" i="2"/>
  <c r="J476" i="2"/>
  <c r="J475" i="2"/>
  <c r="J474" i="2"/>
  <c r="J473" i="2"/>
  <c r="J472" i="2"/>
  <c r="J471" i="2"/>
  <c r="J470" i="2"/>
  <c r="J469" i="2"/>
  <c r="J480" i="2" s="1"/>
  <c r="J463" i="2"/>
  <c r="J462" i="2"/>
  <c r="J461" i="2"/>
  <c r="J460" i="2"/>
  <c r="J459" i="2"/>
  <c r="J458" i="2"/>
  <c r="J457" i="2"/>
  <c r="J456" i="2"/>
  <c r="J455" i="2"/>
  <c r="J454" i="2"/>
  <c r="J453" i="2"/>
  <c r="J452" i="2"/>
  <c r="J451" i="2"/>
  <c r="J445" i="2"/>
  <c r="J444" i="2"/>
  <c r="J443" i="2"/>
  <c r="J442" i="2"/>
  <c r="J441" i="2"/>
  <c r="J440" i="2"/>
  <c r="J439" i="2"/>
  <c r="J438" i="2"/>
  <c r="J437" i="2"/>
  <c r="J436" i="2"/>
  <c r="J435" i="2"/>
  <c r="J434" i="2"/>
  <c r="J433" i="2"/>
  <c r="J427" i="2"/>
  <c r="J426" i="2"/>
  <c r="J425" i="2"/>
  <c r="J424" i="2"/>
  <c r="J423" i="2"/>
  <c r="J422" i="2"/>
  <c r="J421" i="2"/>
  <c r="J420" i="2"/>
  <c r="J419" i="2"/>
  <c r="J418" i="2"/>
  <c r="J417" i="2"/>
  <c r="J416" i="2"/>
  <c r="J415" i="2"/>
  <c r="J408" i="2"/>
  <c r="J407" i="2"/>
  <c r="J406" i="2"/>
  <c r="J405" i="2"/>
  <c r="J404" i="2"/>
  <c r="J403" i="2"/>
  <c r="J402" i="2"/>
  <c r="J401" i="2"/>
  <c r="J400" i="2"/>
  <c r="J399" i="2"/>
  <c r="J398" i="2"/>
  <c r="J392" i="2"/>
  <c r="J391" i="2"/>
  <c r="J390" i="2"/>
  <c r="J389" i="2"/>
  <c r="J388" i="2"/>
  <c r="J387" i="2"/>
  <c r="J386" i="2"/>
  <c r="J385" i="2"/>
  <c r="J384" i="2"/>
  <c r="J383" i="2"/>
  <c r="J382" i="2"/>
  <c r="J374" i="2"/>
  <c r="J373" i="2"/>
  <c r="J372" i="2"/>
  <c r="J371" i="2"/>
  <c r="J370" i="2"/>
  <c r="J369" i="2"/>
  <c r="J368" i="2"/>
  <c r="J367" i="2"/>
  <c r="J366" i="2"/>
  <c r="J365" i="2"/>
  <c r="J364" i="2"/>
  <c r="J375" i="2" s="1"/>
  <c r="J356" i="2"/>
  <c r="J355" i="2"/>
  <c r="J354" i="2"/>
  <c r="J353" i="2"/>
  <c r="J352" i="2"/>
  <c r="J351" i="2"/>
  <c r="J350" i="2"/>
  <c r="J349" i="2"/>
  <c r="J348" i="2"/>
  <c r="J347" i="2"/>
  <c r="J346" i="2"/>
  <c r="J337" i="2"/>
  <c r="J336" i="2"/>
  <c r="J335" i="2"/>
  <c r="J334" i="2"/>
  <c r="J333" i="2"/>
  <c r="J332" i="2"/>
  <c r="J331" i="2"/>
  <c r="J330" i="2"/>
  <c r="J329" i="2"/>
  <c r="J328" i="2"/>
  <c r="J327" i="2"/>
  <c r="J319" i="2"/>
  <c r="J318" i="2"/>
  <c r="J317" i="2"/>
  <c r="J316" i="2"/>
  <c r="J315" i="2"/>
  <c r="J314" i="2"/>
  <c r="J313" i="2"/>
  <c r="J312" i="2"/>
  <c r="J311" i="2"/>
  <c r="J310" i="2"/>
  <c r="J309" i="2"/>
  <c r="J302" i="2"/>
  <c r="J301" i="2"/>
  <c r="J300" i="2"/>
  <c r="J299" i="2"/>
  <c r="J298" i="2"/>
  <c r="J297" i="2"/>
  <c r="J296" i="2"/>
  <c r="J295" i="2"/>
  <c r="J294" i="2"/>
  <c r="J293" i="2"/>
  <c r="J292" i="2"/>
  <c r="J285" i="2"/>
  <c r="J284" i="2"/>
  <c r="J283" i="2"/>
  <c r="J282" i="2"/>
  <c r="J281" i="2"/>
  <c r="J280" i="2"/>
  <c r="J279" i="2"/>
  <c r="J278" i="2"/>
  <c r="J277" i="2"/>
  <c r="J276" i="2"/>
  <c r="J275" i="2"/>
  <c r="J268" i="2"/>
  <c r="J267" i="2"/>
  <c r="J266" i="2"/>
  <c r="J265" i="2"/>
  <c r="J264" i="2"/>
  <c r="J263" i="2"/>
  <c r="J262" i="2"/>
  <c r="J261" i="2"/>
  <c r="J260" i="2"/>
  <c r="J259" i="2"/>
  <c r="J258" i="2"/>
  <c r="J251" i="2"/>
  <c r="J250" i="2"/>
  <c r="J249" i="2"/>
  <c r="J248" i="2"/>
  <c r="J247" i="2"/>
  <c r="J246" i="2"/>
  <c r="J245" i="2"/>
  <c r="J244" i="2"/>
  <c r="J243" i="2"/>
  <c r="J242" i="2"/>
  <c r="J241" i="2"/>
  <c r="J234" i="2"/>
  <c r="J233" i="2"/>
  <c r="J232" i="2"/>
  <c r="J231" i="2"/>
  <c r="J230" i="2"/>
  <c r="J229" i="2"/>
  <c r="J228" i="2"/>
  <c r="J227" i="2"/>
  <c r="J226" i="2"/>
  <c r="J225" i="2"/>
  <c r="J224" i="2"/>
  <c r="J217" i="2"/>
  <c r="J216" i="2"/>
  <c r="J215" i="2"/>
  <c r="J214" i="2"/>
  <c r="J213" i="2"/>
  <c r="J212" i="2"/>
  <c r="J211" i="2"/>
  <c r="J210" i="2"/>
  <c r="J209" i="2"/>
  <c r="J208" i="2"/>
  <c r="J207" i="2"/>
  <c r="J200" i="2"/>
  <c r="J199" i="2"/>
  <c r="J198" i="2"/>
  <c r="J197" i="2"/>
  <c r="J196" i="2"/>
  <c r="J195" i="2"/>
  <c r="J194" i="2"/>
  <c r="J193" i="2"/>
  <c r="J192" i="2"/>
  <c r="J191" i="2"/>
  <c r="J190" i="2"/>
  <c r="J183" i="2"/>
  <c r="J182" i="2"/>
  <c r="J181" i="2"/>
  <c r="J180" i="2"/>
  <c r="J179" i="2"/>
  <c r="J178" i="2"/>
  <c r="J177" i="2"/>
  <c r="J176" i="2"/>
  <c r="J175" i="2"/>
  <c r="J174" i="2"/>
  <c r="J173" i="2"/>
  <c r="J166" i="2"/>
  <c r="J165" i="2"/>
  <c r="J164" i="2"/>
  <c r="J163" i="2"/>
  <c r="J162" i="2"/>
  <c r="J161" i="2"/>
  <c r="J160" i="2"/>
  <c r="J159" i="2"/>
  <c r="J158" i="2"/>
  <c r="J157" i="2"/>
  <c r="J156" i="2"/>
  <c r="J167" i="2" s="1"/>
  <c r="J149" i="2"/>
  <c r="J148" i="2"/>
  <c r="J147" i="2"/>
  <c r="J146" i="2"/>
  <c r="J145" i="2"/>
  <c r="J144" i="2"/>
  <c r="J143" i="2"/>
  <c r="J142" i="2"/>
  <c r="J141" i="2"/>
  <c r="J140" i="2"/>
  <c r="J139" i="2"/>
  <c r="J132" i="2"/>
  <c r="J131" i="2"/>
  <c r="J130" i="2"/>
  <c r="J129" i="2"/>
  <c r="J128" i="2"/>
  <c r="J127" i="2"/>
  <c r="J126" i="2"/>
  <c r="J125" i="2"/>
  <c r="J124" i="2"/>
  <c r="J123" i="2"/>
  <c r="J122" i="2"/>
  <c r="J115" i="2"/>
  <c r="J114" i="2"/>
  <c r="J113" i="2"/>
  <c r="J112" i="2"/>
  <c r="J111" i="2"/>
  <c r="J110" i="2"/>
  <c r="J109" i="2"/>
  <c r="J108" i="2"/>
  <c r="J107" i="2"/>
  <c r="J106" i="2"/>
  <c r="J105" i="2"/>
  <c r="J98" i="2"/>
  <c r="J97" i="2"/>
  <c r="J96" i="2"/>
  <c r="J95" i="2"/>
  <c r="J94" i="2"/>
  <c r="J93" i="2"/>
  <c r="J92" i="2"/>
  <c r="J91" i="2"/>
  <c r="J90" i="2"/>
  <c r="J89" i="2"/>
  <c r="J88" i="2"/>
  <c r="J81" i="2"/>
  <c r="J80" i="2"/>
  <c r="J79" i="2"/>
  <c r="J78" i="2"/>
  <c r="J77" i="2"/>
  <c r="J76" i="2"/>
  <c r="J75" i="2"/>
  <c r="J74" i="2"/>
  <c r="J73" i="2"/>
  <c r="J72" i="2"/>
  <c r="J71" i="2"/>
  <c r="J65" i="2"/>
  <c r="J64" i="2"/>
  <c r="J63" i="2"/>
  <c r="J62" i="2"/>
  <c r="J61" i="2"/>
  <c r="J60" i="2"/>
  <c r="J59" i="2"/>
  <c r="J58" i="2"/>
  <c r="J57" i="2"/>
  <c r="J56" i="2"/>
  <c r="J55" i="2"/>
  <c r="J48" i="2"/>
  <c r="J47" i="2"/>
  <c r="J46" i="2"/>
  <c r="J45" i="2"/>
  <c r="J44" i="2"/>
  <c r="J43" i="2"/>
  <c r="J42" i="2"/>
  <c r="J41" i="2"/>
  <c r="J40" i="2"/>
  <c r="J39" i="2"/>
  <c r="J38" i="2"/>
  <c r="J31" i="2"/>
  <c r="J30" i="2"/>
  <c r="J29" i="2"/>
  <c r="J28" i="2"/>
  <c r="J27" i="2"/>
  <c r="J26" i="2"/>
  <c r="J25" i="2"/>
  <c r="J24" i="2"/>
  <c r="J23" i="2"/>
  <c r="J22" i="2"/>
  <c r="J21" i="2"/>
  <c r="J15" i="2"/>
  <c r="J14" i="2"/>
  <c r="J13" i="2"/>
  <c r="J12" i="2"/>
  <c r="J11" i="2"/>
  <c r="J10" i="2"/>
  <c r="J9" i="2"/>
  <c r="J8" i="2"/>
  <c r="J7" i="2"/>
  <c r="J6" i="2"/>
  <c r="J5" i="2"/>
  <c r="J184" i="2" l="1"/>
  <c r="J393" i="2"/>
  <c r="J464" i="2"/>
  <c r="J150" i="2"/>
  <c r="J357" i="2"/>
  <c r="J116" i="2"/>
  <c r="J320" i="2"/>
  <c r="J338" i="2"/>
  <c r="J99" i="2"/>
  <c r="J303" i="2"/>
  <c r="J82" i="2"/>
  <c r="J286" i="2"/>
  <c r="J133" i="2"/>
  <c r="J66" i="2"/>
  <c r="J269" i="2"/>
  <c r="J32" i="2"/>
  <c r="J235" i="2"/>
  <c r="J49" i="2"/>
  <c r="J252" i="2"/>
  <c r="J16" i="2"/>
  <c r="J218" i="2"/>
  <c r="J428" i="2"/>
  <c r="J201" i="2"/>
  <c r="J409" i="2"/>
  <c r="J446" i="2"/>
  <c r="T4" i="1"/>
  <c r="T8" i="1"/>
  <c r="T12" i="1"/>
  <c r="T16" i="1"/>
  <c r="T20" i="1"/>
  <c r="T24" i="1"/>
  <c r="T28" i="1"/>
  <c r="T32" i="1"/>
  <c r="T36" i="1"/>
  <c r="T40" i="1"/>
  <c r="T44" i="1"/>
  <c r="T48" i="1"/>
  <c r="T52" i="1"/>
  <c r="T56" i="1"/>
  <c r="T60" i="1"/>
  <c r="T64" i="1"/>
  <c r="T68" i="1"/>
  <c r="T72" i="1"/>
  <c r="T76" i="1"/>
  <c r="T80" i="1"/>
  <c r="T84" i="1"/>
  <c r="T88" i="1"/>
  <c r="T92" i="1"/>
  <c r="T96" i="1"/>
  <c r="T100" i="1"/>
  <c r="T104" i="1"/>
  <c r="T108" i="1"/>
  <c r="T112" i="1"/>
  <c r="T116" i="1"/>
  <c r="T120" i="1"/>
  <c r="T124" i="1"/>
  <c r="T128" i="1"/>
  <c r="T132" i="1"/>
  <c r="T136" i="1"/>
  <c r="T140" i="1"/>
  <c r="T144" i="1"/>
  <c r="T148" i="1"/>
  <c r="T152" i="1"/>
  <c r="T156" i="1"/>
  <c r="T160" i="1"/>
  <c r="T164" i="1"/>
  <c r="T168" i="1"/>
  <c r="T172" i="1"/>
  <c r="T176" i="1"/>
  <c r="T180" i="1"/>
  <c r="T184" i="1"/>
  <c r="T188" i="1"/>
  <c r="T192" i="1"/>
  <c r="T196" i="1"/>
  <c r="T200" i="1"/>
  <c r="T204" i="1"/>
  <c r="T208" i="1"/>
  <c r="T212" i="1"/>
  <c r="T216" i="1"/>
  <c r="T220" i="1"/>
  <c r="T224" i="1"/>
  <c r="T228" i="1"/>
  <c r="S226" i="1"/>
  <c r="S222" i="1"/>
  <c r="S218" i="1"/>
  <c r="S214" i="1"/>
  <c r="S210" i="1"/>
  <c r="S206" i="1"/>
  <c r="S202" i="1"/>
  <c r="S198" i="1"/>
  <c r="S194" i="1"/>
  <c r="S190" i="1"/>
  <c r="S186" i="1"/>
  <c r="S182" i="1"/>
  <c r="S172" i="1"/>
  <c r="S168" i="1"/>
  <c r="S164" i="1"/>
  <c r="S160" i="1"/>
  <c r="S155" i="1"/>
  <c r="S151" i="1"/>
  <c r="S147" i="1"/>
  <c r="S143" i="1"/>
  <c r="S139" i="1"/>
  <c r="S135" i="1"/>
  <c r="S131" i="1"/>
  <c r="S127" i="1"/>
  <c r="S123" i="1"/>
  <c r="S119" i="1"/>
  <c r="S115" i="1"/>
  <c r="S108" i="1"/>
  <c r="T5" i="1"/>
  <c r="T9" i="1"/>
  <c r="T13" i="1"/>
  <c r="T17" i="1"/>
  <c r="T21" i="1"/>
  <c r="T25" i="1"/>
  <c r="T29" i="1"/>
  <c r="T33" i="1"/>
  <c r="T37" i="1"/>
  <c r="T41" i="1"/>
  <c r="T45" i="1"/>
  <c r="T49" i="1"/>
  <c r="T53" i="1"/>
  <c r="T57" i="1"/>
  <c r="T61" i="1"/>
  <c r="T65" i="1"/>
  <c r="T69" i="1"/>
  <c r="T73" i="1"/>
  <c r="T77" i="1"/>
  <c r="T81" i="1"/>
  <c r="T85" i="1"/>
  <c r="T89" i="1"/>
  <c r="T93" i="1"/>
  <c r="T97" i="1"/>
  <c r="T101" i="1"/>
  <c r="T105" i="1"/>
  <c r="T109" i="1"/>
  <c r="T113" i="1"/>
  <c r="T117" i="1"/>
  <c r="T121" i="1"/>
  <c r="T125" i="1"/>
  <c r="T129" i="1"/>
  <c r="T133" i="1"/>
  <c r="T137" i="1"/>
  <c r="T141" i="1"/>
  <c r="T145" i="1"/>
  <c r="T149" i="1"/>
  <c r="T153" i="1"/>
  <c r="T157" i="1"/>
  <c r="T161" i="1"/>
  <c r="T165" i="1"/>
  <c r="T169" i="1"/>
  <c r="T173" i="1"/>
  <c r="T177" i="1"/>
  <c r="T181" i="1"/>
  <c r="T185" i="1"/>
  <c r="T189" i="1"/>
  <c r="T193" i="1"/>
  <c r="T197" i="1"/>
  <c r="T201" i="1"/>
  <c r="T205" i="1"/>
  <c r="T209" i="1"/>
  <c r="T213" i="1"/>
  <c r="T217" i="1"/>
  <c r="T221" i="1"/>
  <c r="T225" i="1"/>
  <c r="T3" i="1"/>
  <c r="S225" i="1"/>
  <c r="S221" i="1"/>
  <c r="S217" i="1"/>
  <c r="S213" i="1"/>
  <c r="S209" i="1"/>
  <c r="S205" i="1"/>
  <c r="S201" i="1"/>
  <c r="S197" i="1"/>
  <c r="S193" i="1"/>
  <c r="S189" i="1"/>
  <c r="S185" i="1"/>
  <c r="S180" i="1"/>
  <c r="S171" i="1"/>
  <c r="S167" i="1"/>
  <c r="S163" i="1"/>
  <c r="S159" i="1"/>
  <c r="S154" i="1"/>
  <c r="S150" i="1"/>
  <c r="S146" i="1"/>
  <c r="S142" i="1"/>
  <c r="S138" i="1"/>
  <c r="T6" i="1"/>
  <c r="T10" i="1"/>
  <c r="T14" i="1"/>
  <c r="T18" i="1"/>
  <c r="T22" i="1"/>
  <c r="T26" i="1"/>
  <c r="T30" i="1"/>
  <c r="T34" i="1"/>
  <c r="T38" i="1"/>
  <c r="T42" i="1"/>
  <c r="T46" i="1"/>
  <c r="T50" i="1"/>
  <c r="T54" i="1"/>
  <c r="T58" i="1"/>
  <c r="T62" i="1"/>
  <c r="T66" i="1"/>
  <c r="T70" i="1"/>
  <c r="T74" i="1"/>
  <c r="T78" i="1"/>
  <c r="T82" i="1"/>
  <c r="T86" i="1"/>
  <c r="T90" i="1"/>
  <c r="T94" i="1"/>
  <c r="T98" i="1"/>
  <c r="T102" i="1"/>
  <c r="T106" i="1"/>
  <c r="T110" i="1"/>
  <c r="T114" i="1"/>
  <c r="T118" i="1"/>
  <c r="T122" i="1"/>
  <c r="T126" i="1"/>
  <c r="T130" i="1"/>
  <c r="T134" i="1"/>
  <c r="T138" i="1"/>
  <c r="T142" i="1"/>
  <c r="T146" i="1"/>
  <c r="T150" i="1"/>
  <c r="T154" i="1"/>
  <c r="T158" i="1"/>
  <c r="T162" i="1"/>
  <c r="T166" i="1"/>
  <c r="T170" i="1"/>
  <c r="T174" i="1"/>
  <c r="T178" i="1"/>
  <c r="T182" i="1"/>
  <c r="T186" i="1"/>
  <c r="T190" i="1"/>
  <c r="T194" i="1"/>
  <c r="T198" i="1"/>
  <c r="T202" i="1"/>
  <c r="T206" i="1"/>
  <c r="T210" i="1"/>
  <c r="T214" i="1"/>
  <c r="T218" i="1"/>
  <c r="T222" i="1"/>
  <c r="T226" i="1"/>
  <c r="S228" i="1"/>
  <c r="S224" i="1"/>
  <c r="S220" i="1"/>
  <c r="S216" i="1"/>
  <c r="S212" i="1"/>
  <c r="S208" i="1"/>
  <c r="S204" i="1"/>
  <c r="S200" i="1"/>
  <c r="S196" i="1"/>
  <c r="S192" i="1"/>
  <c r="S188" i="1"/>
  <c r="S184" i="1"/>
  <c r="S179" i="1"/>
  <c r="S170" i="1"/>
  <c r="S166" i="1"/>
  <c r="S162" i="1"/>
  <c r="S158" i="1"/>
  <c r="S153" i="1"/>
  <c r="S149" i="1"/>
  <c r="S145" i="1"/>
  <c r="S141" i="1"/>
  <c r="S137" i="1"/>
  <c r="S133" i="1"/>
  <c r="S129" i="1"/>
  <c r="S125" i="1"/>
  <c r="S121" i="1"/>
  <c r="S117" i="1"/>
  <c r="S111" i="1"/>
  <c r="S106" i="1"/>
  <c r="T7" i="1"/>
  <c r="T23" i="1"/>
  <c r="T39" i="1"/>
  <c r="T55" i="1"/>
  <c r="T71" i="1"/>
  <c r="T87" i="1"/>
  <c r="T103" i="1"/>
  <c r="T119" i="1"/>
  <c r="T135" i="1"/>
  <c r="T151" i="1"/>
  <c r="T167" i="1"/>
  <c r="T183" i="1"/>
  <c r="T199" i="1"/>
  <c r="T215" i="1"/>
  <c r="S227" i="1"/>
  <c r="S211" i="1"/>
  <c r="S195" i="1"/>
  <c r="S173" i="1"/>
  <c r="S156" i="1"/>
  <c r="S140" i="1"/>
  <c r="S130" i="1"/>
  <c r="S122" i="1"/>
  <c r="S112" i="1"/>
  <c r="S104" i="1"/>
  <c r="S100" i="1"/>
  <c r="S96" i="1"/>
  <c r="S92" i="1"/>
  <c r="S88" i="1"/>
  <c r="S84" i="1"/>
  <c r="S80" i="1"/>
  <c r="S76" i="1"/>
  <c r="S72" i="1"/>
  <c r="S68" i="1"/>
  <c r="S64" i="1"/>
  <c r="S60" i="1"/>
  <c r="S56" i="1"/>
  <c r="S52" i="1"/>
  <c r="S48" i="1"/>
  <c r="S44" i="1"/>
  <c r="S40" i="1"/>
  <c r="S36" i="1"/>
  <c r="S32" i="1"/>
  <c r="S28" i="1"/>
  <c r="S24" i="1"/>
  <c r="S20" i="1"/>
  <c r="S16" i="1"/>
  <c r="S12" i="1"/>
  <c r="S8" i="1"/>
  <c r="S3" i="1"/>
  <c r="R7" i="1"/>
  <c r="R11" i="1"/>
  <c r="R15" i="1"/>
  <c r="R19" i="1"/>
  <c r="R23" i="1"/>
  <c r="R27" i="1"/>
  <c r="R31" i="1"/>
  <c r="R35" i="1"/>
  <c r="R39" i="1"/>
  <c r="R43" i="1"/>
  <c r="R47" i="1"/>
  <c r="R51" i="1"/>
  <c r="R55" i="1"/>
  <c r="R59" i="1"/>
  <c r="R63" i="1"/>
  <c r="R67" i="1"/>
  <c r="R71" i="1"/>
  <c r="R75" i="1"/>
  <c r="R79" i="1"/>
  <c r="R83" i="1"/>
  <c r="R87" i="1"/>
  <c r="R91" i="1"/>
  <c r="R95" i="1"/>
  <c r="R99" i="1"/>
  <c r="R103" i="1"/>
  <c r="R107" i="1"/>
  <c r="R111" i="1"/>
  <c r="R115" i="1"/>
  <c r="R119" i="1"/>
  <c r="R123" i="1"/>
  <c r="R127" i="1"/>
  <c r="R131" i="1"/>
  <c r="R135" i="1"/>
  <c r="R139" i="1"/>
  <c r="R143" i="1"/>
  <c r="R147" i="1"/>
  <c r="R151" i="1"/>
  <c r="R155" i="1"/>
  <c r="R159" i="1"/>
  <c r="R163" i="1"/>
  <c r="R167" i="1"/>
  <c r="R171" i="1"/>
  <c r="R175" i="1"/>
  <c r="R179" i="1"/>
  <c r="R183" i="1"/>
  <c r="R187" i="1"/>
  <c r="R191" i="1"/>
  <c r="R195" i="1"/>
  <c r="R199" i="1"/>
  <c r="R203" i="1"/>
  <c r="R207" i="1"/>
  <c r="R211" i="1"/>
  <c r="R215" i="1"/>
  <c r="R219" i="1"/>
  <c r="R223" i="1"/>
  <c r="R227" i="1"/>
  <c r="T11" i="1"/>
  <c r="T27" i="1"/>
  <c r="T43" i="1"/>
  <c r="T59" i="1"/>
  <c r="T75" i="1"/>
  <c r="T91" i="1"/>
  <c r="T107" i="1"/>
  <c r="T123" i="1"/>
  <c r="T139" i="1"/>
  <c r="T155" i="1"/>
  <c r="T171" i="1"/>
  <c r="T187" i="1"/>
  <c r="T203" i="1"/>
  <c r="T219" i="1"/>
  <c r="S223" i="1"/>
  <c r="S207" i="1"/>
  <c r="S191" i="1"/>
  <c r="S169" i="1"/>
  <c r="S152" i="1"/>
  <c r="S136" i="1"/>
  <c r="S128" i="1"/>
  <c r="S120" i="1"/>
  <c r="S109" i="1"/>
  <c r="S103" i="1"/>
  <c r="S99" i="1"/>
  <c r="S95" i="1"/>
  <c r="S91" i="1"/>
  <c r="S87" i="1"/>
  <c r="S83" i="1"/>
  <c r="S79" i="1"/>
  <c r="S75" i="1"/>
  <c r="S71" i="1"/>
  <c r="S67" i="1"/>
  <c r="S63" i="1"/>
  <c r="S59" i="1"/>
  <c r="S55" i="1"/>
  <c r="S51" i="1"/>
  <c r="S47" i="1"/>
  <c r="S43" i="1"/>
  <c r="S39" i="1"/>
  <c r="S35" i="1"/>
  <c r="S31" i="1"/>
  <c r="S27" i="1"/>
  <c r="S23" i="1"/>
  <c r="S19" i="1"/>
  <c r="S15" i="1"/>
  <c r="S11" i="1"/>
  <c r="S7" i="1"/>
  <c r="R4" i="1"/>
  <c r="R8" i="1"/>
  <c r="R12" i="1"/>
  <c r="R16" i="1"/>
  <c r="R20" i="1"/>
  <c r="R24" i="1"/>
  <c r="R28" i="1"/>
  <c r="R32" i="1"/>
  <c r="R36" i="1"/>
  <c r="R40" i="1"/>
  <c r="R44" i="1"/>
  <c r="R48" i="1"/>
  <c r="R52" i="1"/>
  <c r="R56" i="1"/>
  <c r="R60" i="1"/>
  <c r="R64" i="1"/>
  <c r="R68" i="1"/>
  <c r="R72" i="1"/>
  <c r="R76" i="1"/>
  <c r="R80" i="1"/>
  <c r="R84" i="1"/>
  <c r="R88" i="1"/>
  <c r="R92" i="1"/>
  <c r="R96" i="1"/>
  <c r="R100" i="1"/>
  <c r="R104" i="1"/>
  <c r="R108" i="1"/>
  <c r="R112" i="1"/>
  <c r="R116" i="1"/>
  <c r="R120" i="1"/>
  <c r="R124" i="1"/>
  <c r="R128" i="1"/>
  <c r="R132" i="1"/>
  <c r="R136" i="1"/>
  <c r="R140" i="1"/>
  <c r="R144" i="1"/>
  <c r="R148" i="1"/>
  <c r="R228" i="1"/>
  <c r="R217" i="1"/>
  <c r="R206" i="1"/>
  <c r="R196" i="1"/>
  <c r="R185" i="1"/>
  <c r="R174" i="1"/>
  <c r="R164" i="1"/>
  <c r="R153" i="1"/>
  <c r="R130" i="1"/>
  <c r="R122" i="1"/>
  <c r="R106" i="1"/>
  <c r="R90" i="1"/>
  <c r="R74" i="1"/>
  <c r="R58" i="1"/>
  <c r="R42" i="1"/>
  <c r="R26" i="1"/>
  <c r="R10" i="1"/>
  <c r="S13" i="1"/>
  <c r="S21" i="1"/>
  <c r="S37" i="1"/>
  <c r="S53" i="1"/>
  <c r="S69" i="1"/>
  <c r="S85" i="1"/>
  <c r="S101" i="1"/>
  <c r="S132" i="1"/>
  <c r="S199" i="1"/>
  <c r="T195" i="1"/>
  <c r="T131" i="1"/>
  <c r="T35" i="1"/>
  <c r="R216" i="1"/>
  <c r="R210" i="1"/>
  <c r="R200" i="1"/>
  <c r="R184" i="1"/>
  <c r="R178" i="1"/>
  <c r="R168" i="1"/>
  <c r="R157" i="1"/>
  <c r="R145" i="1"/>
  <c r="R121" i="1"/>
  <c r="R113" i="1"/>
  <c r="R97" i="1"/>
  <c r="R81" i="1"/>
  <c r="R65" i="1"/>
  <c r="R41" i="1"/>
  <c r="R33" i="1"/>
  <c r="R17" i="1"/>
  <c r="S6" i="1"/>
  <c r="S22" i="1"/>
  <c r="S38" i="1"/>
  <c r="S62" i="1"/>
  <c r="S70" i="1"/>
  <c r="S86" i="1"/>
  <c r="S102" i="1"/>
  <c r="S165" i="1"/>
  <c r="T223" i="1"/>
  <c r="T191" i="1"/>
  <c r="T127" i="1"/>
  <c r="T63" i="1"/>
  <c r="R225" i="1"/>
  <c r="R6" i="1"/>
  <c r="S9" i="1"/>
  <c r="S17" i="1"/>
  <c r="S25" i="1"/>
  <c r="S33" i="1"/>
  <c r="S41" i="1"/>
  <c r="S49" i="1"/>
  <c r="S57" i="1"/>
  <c r="S65" i="1"/>
  <c r="S73" i="1"/>
  <c r="S81" i="1"/>
  <c r="S89" i="1"/>
  <c r="S97" i="1"/>
  <c r="S105" i="1"/>
  <c r="S124" i="1"/>
  <c r="S144" i="1"/>
  <c r="S183" i="1"/>
  <c r="S215" i="1"/>
  <c r="T211" i="1"/>
  <c r="T179" i="1"/>
  <c r="T147" i="1"/>
  <c r="T115" i="1"/>
  <c r="T83" i="1"/>
  <c r="T51" i="1"/>
  <c r="T19" i="1"/>
  <c r="R222" i="1"/>
  <c r="R212" i="1"/>
  <c r="R201" i="1"/>
  <c r="R190" i="1"/>
  <c r="R180" i="1"/>
  <c r="R169" i="1"/>
  <c r="R158" i="1"/>
  <c r="R146" i="1"/>
  <c r="R138" i="1"/>
  <c r="R114" i="1"/>
  <c r="R98" i="1"/>
  <c r="R82" i="1"/>
  <c r="R66" i="1"/>
  <c r="R50" i="1"/>
  <c r="R34" i="1"/>
  <c r="R18" i="1"/>
  <c r="S5" i="1"/>
  <c r="S29" i="1"/>
  <c r="S45" i="1"/>
  <c r="S61" i="1"/>
  <c r="S77" i="1"/>
  <c r="S93" i="1"/>
  <c r="S116" i="1"/>
  <c r="S161" i="1"/>
  <c r="T227" i="1"/>
  <c r="T163" i="1"/>
  <c r="T99" i="1"/>
  <c r="T67" i="1"/>
  <c r="R226" i="1"/>
  <c r="R221" i="1"/>
  <c r="R205" i="1"/>
  <c r="R194" i="1"/>
  <c r="R189" i="1"/>
  <c r="R173" i="1"/>
  <c r="R162" i="1"/>
  <c r="R152" i="1"/>
  <c r="R137" i="1"/>
  <c r="R129" i="1"/>
  <c r="R105" i="1"/>
  <c r="R89" i="1"/>
  <c r="R73" i="1"/>
  <c r="R57" i="1"/>
  <c r="R49" i="1"/>
  <c r="R25" i="1"/>
  <c r="R9" i="1"/>
  <c r="S14" i="1"/>
  <c r="S30" i="1"/>
  <c r="S46" i="1"/>
  <c r="S54" i="1"/>
  <c r="S78" i="1"/>
  <c r="S94" i="1"/>
  <c r="S118" i="1"/>
  <c r="S134" i="1"/>
  <c r="S203" i="1"/>
  <c r="T159" i="1"/>
  <c r="T95" i="1"/>
  <c r="T31" i="1"/>
  <c r="R220" i="1"/>
  <c r="R214" i="1"/>
  <c r="R209" i="1"/>
  <c r="R204" i="1"/>
  <c r="R198" i="1"/>
  <c r="R193" i="1"/>
  <c r="R188" i="1"/>
  <c r="R182" i="1"/>
  <c r="R177" i="1"/>
  <c r="R172" i="1"/>
  <c r="R166" i="1"/>
  <c r="R161" i="1"/>
  <c r="R156" i="1"/>
  <c r="R150" i="1"/>
  <c r="R142" i="1"/>
  <c r="R134" i="1"/>
  <c r="R126" i="1"/>
  <c r="R118" i="1"/>
  <c r="R110" i="1"/>
  <c r="R102" i="1"/>
  <c r="R94" i="1"/>
  <c r="R86" i="1"/>
  <c r="R78" i="1"/>
  <c r="R70" i="1"/>
  <c r="R62" i="1"/>
  <c r="R54" i="1"/>
  <c r="R46" i="1"/>
  <c r="R38" i="1"/>
  <c r="R30" i="1"/>
  <c r="R22" i="1"/>
  <c r="R14" i="1"/>
  <c r="R3" i="1"/>
  <c r="R224" i="1"/>
  <c r="R218" i="1"/>
  <c r="R213" i="1"/>
  <c r="R208" i="1"/>
  <c r="R202" i="1"/>
  <c r="R197" i="1"/>
  <c r="R192" i="1"/>
  <c r="R186" i="1"/>
  <c r="R181" i="1"/>
  <c r="R176" i="1"/>
  <c r="R170" i="1"/>
  <c r="R165" i="1"/>
  <c r="R160" i="1"/>
  <c r="R154" i="1"/>
  <c r="R149" i="1"/>
  <c r="R141" i="1"/>
  <c r="R133" i="1"/>
  <c r="R125" i="1"/>
  <c r="R117" i="1"/>
  <c r="R109" i="1"/>
  <c r="R101" i="1"/>
  <c r="R93" i="1"/>
  <c r="R85" i="1"/>
  <c r="R77" i="1"/>
  <c r="R69" i="1"/>
  <c r="R61" i="1"/>
  <c r="R53" i="1"/>
  <c r="R45" i="1"/>
  <c r="R37" i="1"/>
  <c r="R29" i="1"/>
  <c r="R21" i="1"/>
  <c r="R13" i="1"/>
  <c r="R5" i="1"/>
  <c r="S10" i="1"/>
  <c r="S18" i="1"/>
  <c r="S26" i="1"/>
  <c r="S34" i="1"/>
  <c r="S42" i="1"/>
  <c r="S50" i="1"/>
  <c r="S58" i="1"/>
  <c r="S66" i="1"/>
  <c r="S74" i="1"/>
  <c r="S82" i="1"/>
  <c r="S90" i="1"/>
  <c r="S98" i="1"/>
  <c r="S107" i="1"/>
  <c r="S126" i="1"/>
  <c r="S148" i="1"/>
  <c r="S187" i="1"/>
  <c r="S219" i="1"/>
  <c r="T207" i="1"/>
  <c r="T175" i="1"/>
  <c r="T143" i="1"/>
  <c r="T111" i="1"/>
  <c r="T79" i="1"/>
  <c r="T47" i="1"/>
  <c r="T15" i="1"/>
  <c r="Q97" i="1"/>
  <c r="Q100" i="1"/>
  <c r="Q95" i="1"/>
  <c r="Q91" i="1"/>
  <c r="Q79" i="1"/>
  <c r="Q67" i="1"/>
  <c r="Q55" i="1"/>
  <c r="Q35" i="1"/>
  <c r="Q23" i="1"/>
  <c r="Q11" i="1"/>
  <c r="Q224" i="1"/>
  <c r="Q204" i="1"/>
  <c r="Q192" i="1"/>
  <c r="Q180" i="1"/>
  <c r="Q168" i="1"/>
  <c r="Q156" i="1"/>
  <c r="Q144" i="1"/>
  <c r="Q132" i="1"/>
  <c r="Q120" i="1"/>
  <c r="Q108" i="1"/>
  <c r="Q94" i="1"/>
  <c r="Q90" i="1"/>
  <c r="Q86" i="1"/>
  <c r="Q82" i="1"/>
  <c r="Q78" i="1"/>
  <c r="Q74" i="1"/>
  <c r="Q70" i="1"/>
  <c r="Q66" i="1"/>
  <c r="Q62" i="1"/>
  <c r="Q58" i="1"/>
  <c r="Q54" i="1"/>
  <c r="Q50" i="1"/>
  <c r="Q46" i="1"/>
  <c r="Q42" i="1"/>
  <c r="Q38" i="1"/>
  <c r="Q34" i="1"/>
  <c r="Q30" i="1"/>
  <c r="Q26" i="1"/>
  <c r="Q22" i="1"/>
  <c r="Q18" i="1"/>
  <c r="Q14" i="1"/>
  <c r="Q10" i="1"/>
  <c r="Q6" i="1"/>
  <c r="Q227" i="1"/>
  <c r="Q223" i="1"/>
  <c r="Q219" i="1"/>
  <c r="Q215" i="1"/>
  <c r="Q211" i="1"/>
  <c r="Q207" i="1"/>
  <c r="Q203" i="1"/>
  <c r="Q199" i="1"/>
  <c r="Q195" i="1"/>
  <c r="Q191" i="1"/>
  <c r="Q187" i="1"/>
  <c r="Q183" i="1"/>
  <c r="Q179" i="1"/>
  <c r="Q175" i="1"/>
  <c r="Q171" i="1"/>
  <c r="Q167" i="1"/>
  <c r="Q163" i="1"/>
  <c r="Q159" i="1"/>
  <c r="Q155" i="1"/>
  <c r="Q151" i="1"/>
  <c r="Q147" i="1"/>
  <c r="Q143" i="1"/>
  <c r="Q139" i="1"/>
  <c r="Q135" i="1"/>
  <c r="Q131" i="1"/>
  <c r="Q127" i="1"/>
  <c r="Q123" i="1"/>
  <c r="Q119" i="1"/>
  <c r="Q115" i="1"/>
  <c r="Q111" i="1"/>
  <c r="Q107" i="1"/>
  <c r="Q103" i="1"/>
  <c r="Q99" i="1"/>
  <c r="Q87" i="1"/>
  <c r="Q75" i="1"/>
  <c r="Q63" i="1"/>
  <c r="Q51" i="1"/>
  <c r="Q43" i="1"/>
  <c r="Q31" i="1"/>
  <c r="Q19" i="1"/>
  <c r="Q7" i="1"/>
  <c r="Q216" i="1"/>
  <c r="Q208" i="1"/>
  <c r="Q200" i="1"/>
  <c r="Q184" i="1"/>
  <c r="Q172" i="1"/>
  <c r="Q160" i="1"/>
  <c r="Q152" i="1"/>
  <c r="Q140" i="1"/>
  <c r="Q124" i="1"/>
  <c r="Q116" i="1"/>
  <c r="Q104" i="1"/>
  <c r="Q3" i="1"/>
  <c r="Q93" i="1"/>
  <c r="Q89" i="1"/>
  <c r="Q85" i="1"/>
  <c r="Q81" i="1"/>
  <c r="Q77" i="1"/>
  <c r="Q73" i="1"/>
  <c r="Q69" i="1"/>
  <c r="Q65" i="1"/>
  <c r="Q61" i="1"/>
  <c r="Q57" i="1"/>
  <c r="Q53" i="1"/>
  <c r="Q49" i="1"/>
  <c r="Q45" i="1"/>
  <c r="Q41" i="1"/>
  <c r="Q37" i="1"/>
  <c r="Q33" i="1"/>
  <c r="Q29" i="1"/>
  <c r="Q25" i="1"/>
  <c r="Q21" i="1"/>
  <c r="Q17" i="1"/>
  <c r="Q13" i="1"/>
  <c r="Q9" i="1"/>
  <c r="Q5" i="1"/>
  <c r="Q226" i="1"/>
  <c r="Q222" i="1"/>
  <c r="Q218" i="1"/>
  <c r="Q214" i="1"/>
  <c r="Q210" i="1"/>
  <c r="Q206" i="1"/>
  <c r="Q202" i="1"/>
  <c r="Q198" i="1"/>
  <c r="Q194" i="1"/>
  <c r="Q190" i="1"/>
  <c r="Q186" i="1"/>
  <c r="Q182" i="1"/>
  <c r="Q178" i="1"/>
  <c r="Q174" i="1"/>
  <c r="Q170" i="1"/>
  <c r="Q166" i="1"/>
  <c r="Q162" i="1"/>
  <c r="Q158" i="1"/>
  <c r="Q154" i="1"/>
  <c r="Q150" i="1"/>
  <c r="Q146" i="1"/>
  <c r="Q142" i="1"/>
  <c r="Q138" i="1"/>
  <c r="Q134" i="1"/>
  <c r="Q130" i="1"/>
  <c r="Q126" i="1"/>
  <c r="Q122" i="1"/>
  <c r="Q118" i="1"/>
  <c r="Q114" i="1"/>
  <c r="Q110" i="1"/>
  <c r="Q106" i="1"/>
  <c r="Q102" i="1"/>
  <c r="Q98" i="1"/>
  <c r="Q83" i="1"/>
  <c r="Q71" i="1"/>
  <c r="Q59" i="1"/>
  <c r="Q47" i="1"/>
  <c r="Q39" i="1"/>
  <c r="Q27" i="1"/>
  <c r="Q15" i="1"/>
  <c r="Q228" i="1"/>
  <c r="Q220" i="1"/>
  <c r="Q212" i="1"/>
  <c r="Q196" i="1"/>
  <c r="Q188" i="1"/>
  <c r="Q176" i="1"/>
  <c r="Q164" i="1"/>
  <c r="Q148" i="1"/>
  <c r="Q136" i="1"/>
  <c r="Q128" i="1"/>
  <c r="Q112" i="1"/>
  <c r="Q96" i="1"/>
  <c r="Q92" i="1"/>
  <c r="Q88" i="1"/>
  <c r="Q84" i="1"/>
  <c r="Q80" i="1"/>
  <c r="Q76" i="1"/>
  <c r="Q72" i="1"/>
  <c r="Q68" i="1"/>
  <c r="Q64" i="1"/>
  <c r="Q60" i="1"/>
  <c r="Q56" i="1"/>
  <c r="Q52" i="1"/>
  <c r="Q48" i="1"/>
  <c r="Q44" i="1"/>
  <c r="Q40" i="1"/>
  <c r="Q36" i="1"/>
  <c r="Q32" i="1"/>
  <c r="Q28" i="1"/>
  <c r="Q24" i="1"/>
  <c r="Q20" i="1"/>
  <c r="Q16" i="1"/>
  <c r="Q12" i="1"/>
  <c r="Q8" i="1"/>
  <c r="Q4" i="1"/>
  <c r="Q225" i="1"/>
  <c r="Q221" i="1"/>
  <c r="Q217" i="1"/>
  <c r="Q213" i="1"/>
  <c r="Q209" i="1"/>
  <c r="Q205" i="1"/>
  <c r="Q201" i="1"/>
  <c r="Q197" i="1"/>
  <c r="Q193" i="1"/>
  <c r="Q189" i="1"/>
  <c r="Q185" i="1"/>
  <c r="Q181" i="1"/>
  <c r="Q177" i="1"/>
  <c r="Q173" i="1"/>
  <c r="Q169" i="1"/>
  <c r="Q165" i="1"/>
  <c r="Q161" i="1"/>
  <c r="Q157" i="1"/>
  <c r="Q153" i="1"/>
  <c r="Q149" i="1"/>
  <c r="Q145" i="1"/>
  <c r="Q141" i="1"/>
  <c r="Q137" i="1"/>
  <c r="Q133" i="1"/>
  <c r="Q129" i="1"/>
  <c r="Q125" i="1"/>
  <c r="Q121" i="1"/>
  <c r="Q117" i="1"/>
  <c r="Q113" i="1"/>
  <c r="Q109" i="1"/>
  <c r="Q105" i="1"/>
  <c r="Q101" i="1"/>
  <c r="K32" i="3"/>
  <c r="M32" i="3" s="1"/>
  <c r="M4" i="3"/>
  <c r="J484" i="2"/>
  <c r="J486" i="2" s="1"/>
  <c r="K48" i="4" l="1"/>
  <c r="K47" i="4"/>
  <c r="K46" i="4"/>
  <c r="K45" i="4"/>
  <c r="K44" i="4"/>
  <c r="K43" i="4"/>
  <c r="K42" i="4"/>
  <c r="K41" i="4"/>
  <c r="K40" i="4"/>
  <c r="K39" i="4"/>
  <c r="K38" i="4"/>
  <c r="K37" i="4"/>
  <c r="K36" i="4"/>
  <c r="K35" i="4"/>
  <c r="K34" i="4"/>
  <c r="K33" i="4"/>
  <c r="K32" i="4"/>
  <c r="K31" i="4"/>
  <c r="K30" i="4"/>
  <c r="K29" i="4"/>
  <c r="K28" i="4"/>
  <c r="K27" i="4"/>
  <c r="K26" i="4"/>
  <c r="K25" i="4"/>
  <c r="K24" i="4"/>
  <c r="K23" i="4"/>
  <c r="K22" i="4"/>
  <c r="K21" i="4"/>
  <c r="K20" i="4"/>
  <c r="K19" i="4"/>
  <c r="K18" i="4"/>
  <c r="K17" i="4"/>
  <c r="K16" i="4"/>
  <c r="K15" i="4"/>
  <c r="K14" i="4"/>
  <c r="K13" i="4"/>
  <c r="K12" i="4"/>
  <c r="K11" i="4"/>
  <c r="K10" i="4"/>
  <c r="K9" i="4"/>
  <c r="K8" i="4"/>
  <c r="K7" i="4"/>
  <c r="K6" i="4"/>
  <c r="K5" i="4"/>
  <c r="S174" i="1" l="1"/>
  <c r="S114" i="1" l="1"/>
  <c r="S177" i="1"/>
  <c r="S4" i="1"/>
  <c r="S157" i="1"/>
  <c r="S176" i="1"/>
  <c r="S110" i="1"/>
  <c r="S181" i="1"/>
  <c r="S175" i="1"/>
  <c r="S113" i="1"/>
  <c r="S178" i="1"/>
  <c r="F23" i="7" l="1"/>
  <c r="D23" i="7" s="1"/>
  <c r="F22" i="7"/>
  <c r="D22" i="7" s="1"/>
  <c r="F21" i="7"/>
  <c r="D21" i="7" s="1"/>
  <c r="F20" i="7"/>
  <c r="D20" i="7" s="1"/>
  <c r="F19" i="7"/>
  <c r="D19" i="7" s="1"/>
  <c r="F18" i="7"/>
  <c r="D18" i="7" s="1"/>
  <c r="F17" i="7"/>
  <c r="D17" i="7" s="1"/>
  <c r="F16" i="7"/>
  <c r="D16" i="7" s="1"/>
  <c r="F15" i="7"/>
  <c r="D15" i="7" s="1"/>
  <c r="F14" i="7"/>
  <c r="D14" i="7" s="1"/>
  <c r="F13" i="7"/>
  <c r="D13" i="7" s="1"/>
  <c r="F12" i="7"/>
  <c r="D12" i="7" s="1"/>
  <c r="F11" i="7"/>
  <c r="D11" i="7" s="1"/>
  <c r="F10" i="7"/>
  <c r="D10" i="7" s="1"/>
  <c r="F9" i="7"/>
  <c r="D9" i="7" s="1"/>
  <c r="F8" i="7"/>
  <c r="D8" i="7"/>
  <c r="F7" i="7"/>
  <c r="D7" i="7" s="1"/>
  <c r="F6" i="7"/>
  <c r="D6" i="7" s="1"/>
  <c r="F5" i="7"/>
  <c r="D5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Ana Paula Serinho</author>
  </authors>
  <commentList>
    <comment ref="E276" authorId="0" shapeId="0" xr:uid="{989B4D31-A818-4DB4-BB99-0C21F0792178}">
      <text>
        <r>
          <rPr>
            <b/>
            <sz val="9"/>
            <color indexed="81"/>
            <rFont val="Segoe UI"/>
            <family val="2"/>
          </rPr>
          <t>Ana Paula Serinho:</t>
        </r>
        <r>
          <rPr>
            <sz val="9"/>
            <color indexed="81"/>
            <rFont val="Segoe UI"/>
            <family val="2"/>
          </rPr>
          <t xml:space="preserve">
01/07 - 4899,95 nf 4609</t>
        </r>
      </text>
    </comment>
  </commentList>
</comments>
</file>

<file path=xl/sharedStrings.xml><?xml version="1.0" encoding="utf-8"?>
<sst xmlns="http://schemas.openxmlformats.org/spreadsheetml/2006/main" count="3037" uniqueCount="1187">
  <si>
    <t>Loja</t>
  </si>
  <si>
    <t>Código</t>
  </si>
  <si>
    <t>fCO</t>
  </si>
  <si>
    <t>Função</t>
  </si>
  <si>
    <t>CPF</t>
  </si>
  <si>
    <t>Admissão</t>
  </si>
  <si>
    <t>DIAS ATIVOS NA FOLHA</t>
  </si>
  <si>
    <t>Férias</t>
  </si>
  <si>
    <t>Total</t>
  </si>
  <si>
    <t>Salário Fixo</t>
  </si>
  <si>
    <t>Piso</t>
  </si>
  <si>
    <t>Quebra de Caixa</t>
  </si>
  <si>
    <t>Ajuda de Custo feriado - 256/232</t>
  </si>
  <si>
    <t>VT PAGO CARTÃO</t>
  </si>
  <si>
    <t>Total s/ variáveis</t>
  </si>
  <si>
    <t>COMISSÃO - 005</t>
  </si>
  <si>
    <t>DSR</t>
  </si>
  <si>
    <t>PRÊMIO COTA    078</t>
  </si>
  <si>
    <t>PRÊMIO COTA    075</t>
  </si>
  <si>
    <t>Total variáveis</t>
  </si>
  <si>
    <t>Complemento do Piso</t>
  </si>
  <si>
    <t>Abertura de Loja  233</t>
  </si>
  <si>
    <t>Prêmio Gincana</t>
  </si>
  <si>
    <t>62-286</t>
  </si>
  <si>
    <t>ALEF JUNIOR SOARES</t>
  </si>
  <si>
    <t xml:space="preserve">VENDEDOR(a)         </t>
  </si>
  <si>
    <t>471.603.208-67</t>
  </si>
  <si>
    <t>Ativo</t>
  </si>
  <si>
    <t>62-325</t>
  </si>
  <si>
    <t>BRUNO NASCIMENTO DE SOUSA</t>
  </si>
  <si>
    <t xml:space="preserve">ASSISTENTE DE LOJA  </t>
  </si>
  <si>
    <t>446.651.718-58</t>
  </si>
  <si>
    <t>62-106</t>
  </si>
  <si>
    <t>CLEBER MARTINS DOS SANTOS</t>
  </si>
  <si>
    <t>Vendedor de comércio</t>
  </si>
  <si>
    <t>304.785.988-40</t>
  </si>
  <si>
    <t>Sob Custódia do Inss</t>
  </si>
  <si>
    <t>62-322</t>
  </si>
  <si>
    <t>CRISTIAN YUSUKE SHIMOTO</t>
  </si>
  <si>
    <t>238.466.108-60</t>
  </si>
  <si>
    <t>62-282</t>
  </si>
  <si>
    <t>HIGOR ANDRE MORETTO</t>
  </si>
  <si>
    <t>416.952.008-45</t>
  </si>
  <si>
    <t>62-316</t>
  </si>
  <si>
    <t>JULIA MENDES ARAUJO</t>
  </si>
  <si>
    <t>472.709.038-40</t>
  </si>
  <si>
    <t>62-266</t>
  </si>
  <si>
    <t>MARCOS ANTONIO NOGUEIRA</t>
  </si>
  <si>
    <t xml:space="preserve">GERENTE DE LOJA     </t>
  </si>
  <si>
    <t>059.159.978-30</t>
  </si>
  <si>
    <t>62-323</t>
  </si>
  <si>
    <t>MAYSSA LAYLA CARDOSO DE OLIVEIRA</t>
  </si>
  <si>
    <t>529.046.548-01</t>
  </si>
  <si>
    <t>62-326</t>
  </si>
  <si>
    <t>RAFAELLA FREITAS DANTAS DOS SANTOS</t>
  </si>
  <si>
    <t>466.341.258-05</t>
  </si>
  <si>
    <t>62-314</t>
  </si>
  <si>
    <t>SAVIO KAYK SANTOS DE OLIVEIRA</t>
  </si>
  <si>
    <t>460.439.178-58</t>
  </si>
  <si>
    <t>62-303</t>
  </si>
  <si>
    <t>TACIANA APARECIDA MARQUES PERCEGUINI</t>
  </si>
  <si>
    <t>417.506.478-85</t>
  </si>
  <si>
    <t>62-320</t>
  </si>
  <si>
    <t>TIAGO OLIVEIRA DE SOUSA</t>
  </si>
  <si>
    <t>615.804.283-80</t>
  </si>
  <si>
    <t>62-289</t>
  </si>
  <si>
    <t>ZELITA MOREIRA SANTANA</t>
  </si>
  <si>
    <t>026.802.955-52</t>
  </si>
  <si>
    <t>93-98</t>
  </si>
  <si>
    <t>BERNARDO MARTINS MIRANDA</t>
  </si>
  <si>
    <t>116.287.717-04</t>
  </si>
  <si>
    <t>93-70</t>
  </si>
  <si>
    <t>GABRIEL DUARTE DA SILVA</t>
  </si>
  <si>
    <t>173.098.857-16</t>
  </si>
  <si>
    <t>93-90</t>
  </si>
  <si>
    <t>GUSTAVO DOS SANTOS DANTAS</t>
  </si>
  <si>
    <t>128.002.947-10</t>
  </si>
  <si>
    <t>93-92</t>
  </si>
  <si>
    <t>INGRID DOS SANTOS BRAGA</t>
  </si>
  <si>
    <t>179.961.057-82</t>
  </si>
  <si>
    <t>93-103</t>
  </si>
  <si>
    <t>LAIS SANTOS DE OLIVEIRA</t>
  </si>
  <si>
    <t>177.746.077-81</t>
  </si>
  <si>
    <t>93-95</t>
  </si>
  <si>
    <t>LUIZ EDUARDO MARCELINO DOS SANTOS</t>
  </si>
  <si>
    <t>154.191.327-29</t>
  </si>
  <si>
    <t>93-36</t>
  </si>
  <si>
    <t>LUIZ FERNANDO DE OLIVEIRA</t>
  </si>
  <si>
    <t>060.160.187-40</t>
  </si>
  <si>
    <t>93-79</t>
  </si>
  <si>
    <t>MATHEUS DOS SANTOS CHRISTO</t>
  </si>
  <si>
    <t>166.990.977-84</t>
  </si>
  <si>
    <t>93-91</t>
  </si>
  <si>
    <t>NATHALIA MATOS REIS DE FREITAS</t>
  </si>
  <si>
    <t>150.984.167-95</t>
  </si>
  <si>
    <t>93-102</t>
  </si>
  <si>
    <t>RAFAEL SANTOS DE SOUSA</t>
  </si>
  <si>
    <t>171.325.347-00</t>
  </si>
  <si>
    <t>93-100</t>
  </si>
  <si>
    <t>VITOR HUGO MACEDO</t>
  </si>
  <si>
    <t>108.743.787-37</t>
  </si>
  <si>
    <t>94-3</t>
  </si>
  <si>
    <t>ALLAN DA SILVA PONTES</t>
  </si>
  <si>
    <t>141.562.647-26</t>
  </si>
  <si>
    <t>94-6</t>
  </si>
  <si>
    <t>MARIA JAINE DA SILVA</t>
  </si>
  <si>
    <t>109.515.944-51</t>
  </si>
  <si>
    <t>RAPHAEL BORGES DE FARIAS</t>
  </si>
  <si>
    <t>94-55</t>
  </si>
  <si>
    <t>PATRICK TEIXEIRA CAMISAO</t>
  </si>
  <si>
    <t>160.448.307-56</t>
  </si>
  <si>
    <t>94-66</t>
  </si>
  <si>
    <t>ELIZA OLIVEIRA NUNES</t>
  </si>
  <si>
    <t>178.908.587-01</t>
  </si>
  <si>
    <t>94-68</t>
  </si>
  <si>
    <t>LUCAS SANTOS DE CARVALHO</t>
  </si>
  <si>
    <t>172.838.007-35</t>
  </si>
  <si>
    <t>95-56</t>
  </si>
  <si>
    <t>CAIO VIEIRA BARBOSA</t>
  </si>
  <si>
    <t>442.376.138-60</t>
  </si>
  <si>
    <t>95-59</t>
  </si>
  <si>
    <t>MARGARETH LEAL</t>
  </si>
  <si>
    <t>407.781.668-80</t>
  </si>
  <si>
    <t>95-80</t>
  </si>
  <si>
    <t>GRAZIELLY SANTOS SILVA</t>
  </si>
  <si>
    <t>467.257.158-00</t>
  </si>
  <si>
    <t>95-83</t>
  </si>
  <si>
    <t>CARLOS EDUARDO MARTINS DE LIMA</t>
  </si>
  <si>
    <t>312.469.698-07</t>
  </si>
  <si>
    <t>95-84</t>
  </si>
  <si>
    <t>GABRIEL ALFREDO JESUS DE PINHO</t>
  </si>
  <si>
    <t>491.663.158-75</t>
  </si>
  <si>
    <t>95-85</t>
  </si>
  <si>
    <t>TIAGO WAGNER FRANCO</t>
  </si>
  <si>
    <t>383.025.258-71</t>
  </si>
  <si>
    <t>95-88</t>
  </si>
  <si>
    <t>BRUNO SILVA CAPELLI</t>
  </si>
  <si>
    <t>366.421.178-24</t>
  </si>
  <si>
    <t>103-184</t>
  </si>
  <si>
    <t>VADILSON TEAGO DE SANTANA</t>
  </si>
  <si>
    <t>135.820.698-85</t>
  </si>
  <si>
    <t>103-185</t>
  </si>
  <si>
    <t>ANDRE FERNANDO OZUNA</t>
  </si>
  <si>
    <t>285.803.778-70</t>
  </si>
  <si>
    <t>103-187</t>
  </si>
  <si>
    <t>MARCELO FERNANDES DE SOUZA</t>
  </si>
  <si>
    <t>389.253.428-47</t>
  </si>
  <si>
    <t>103-193</t>
  </si>
  <si>
    <t>BRUNA DIAS RAMOS</t>
  </si>
  <si>
    <t>158.926.428-28</t>
  </si>
  <si>
    <t>103-194</t>
  </si>
  <si>
    <t>NICOLE MARIA FAZIO</t>
  </si>
  <si>
    <t>487.676.818-83</t>
  </si>
  <si>
    <t>103-199</t>
  </si>
  <si>
    <t>MARLON MIRANDA DE OLIVEIRA</t>
  </si>
  <si>
    <t>000.291.020-90</t>
  </si>
  <si>
    <t>103-200</t>
  </si>
  <si>
    <t>JENNYFER QUEIROZ DE ALMEIDA NASCIMENTO</t>
  </si>
  <si>
    <t>407.642.998-24</t>
  </si>
  <si>
    <t>103-202</t>
  </si>
  <si>
    <t>RONALDO PINHEIRO DE OLIVEIRA</t>
  </si>
  <si>
    <t>183.016.258-64</t>
  </si>
  <si>
    <t>104-52</t>
  </si>
  <si>
    <t>ADRIANA MONTEIRO MACEDO</t>
  </si>
  <si>
    <t>702.895.822-10</t>
  </si>
  <si>
    <t>104-49</t>
  </si>
  <si>
    <t>FRANCIANE DOS SANTOS MEDEIROS</t>
  </si>
  <si>
    <t>939.548.082-34</t>
  </si>
  <si>
    <t>104-33</t>
  </si>
  <si>
    <t>JEFFERSON GONCALVES DA SILVA</t>
  </si>
  <si>
    <t xml:space="preserve">VENDEDOR (a)        </t>
  </si>
  <si>
    <t>007.164.092-40</t>
  </si>
  <si>
    <t>104-45</t>
  </si>
  <si>
    <t>PATRICIA BRANDAO ANASTACIO</t>
  </si>
  <si>
    <t>013.989.272-95</t>
  </si>
  <si>
    <t>104-53</t>
  </si>
  <si>
    <t>PATRINY LORRANNA DOS SANTOS MOTA</t>
  </si>
  <si>
    <t>021.046.162-47</t>
  </si>
  <si>
    <t>104-41</t>
  </si>
  <si>
    <t>ROMEU PITER VERAS DOS SANTOS</t>
  </si>
  <si>
    <t>945.231.772-87</t>
  </si>
  <si>
    <t>105-93</t>
  </si>
  <si>
    <t>AMANDA LORENA VEIGA RODRIGUES DA SILVA</t>
  </si>
  <si>
    <t>036.781.370-08</t>
  </si>
  <si>
    <t>105-100</t>
  </si>
  <si>
    <t>FELIPE GONCALVES</t>
  </si>
  <si>
    <t>050.440.050-96</t>
  </si>
  <si>
    <t>105-61</t>
  </si>
  <si>
    <t>LUCIANO DA MOTA GONÇALVES</t>
  </si>
  <si>
    <t>001.104.960-00</t>
  </si>
  <si>
    <t>105-84</t>
  </si>
  <si>
    <t>MARCIEL FISCHBORN FERNANDES</t>
  </si>
  <si>
    <t>017.323.330-92</t>
  </si>
  <si>
    <t>105-85</t>
  </si>
  <si>
    <t>ROGER PASSAIA</t>
  </si>
  <si>
    <t>047.712.040-71</t>
  </si>
  <si>
    <t>105-29</t>
  </si>
  <si>
    <t>SUSAN SCHULTZ MOURA</t>
  </si>
  <si>
    <t>026.257.550-75</t>
  </si>
  <si>
    <t>105-95</t>
  </si>
  <si>
    <t>VICTOR GABRIEL ESTEFEN DE SOUZA</t>
  </si>
  <si>
    <t>037.604.160-98</t>
  </si>
  <si>
    <t>105-103</t>
  </si>
  <si>
    <t>VITORIA APARECIDA DA SILVA</t>
  </si>
  <si>
    <t>045.921.830-10</t>
  </si>
  <si>
    <t>116-143</t>
  </si>
  <si>
    <t>ALUISIO SANCHES MORAES</t>
  </si>
  <si>
    <t>327.400.998-94</t>
  </si>
  <si>
    <t>116-164</t>
  </si>
  <si>
    <t>DANIELLE DA SILVA CONCEICAO</t>
  </si>
  <si>
    <t>954.817.372-72</t>
  </si>
  <si>
    <t>116-148</t>
  </si>
  <si>
    <t>HUGO KENJI MIYAZAKI DIAS</t>
  </si>
  <si>
    <t>384.188.068-18</t>
  </si>
  <si>
    <t>116-146</t>
  </si>
  <si>
    <t>LEONARDO MAFRA RODRIGUES</t>
  </si>
  <si>
    <t>527.984.638-40</t>
  </si>
  <si>
    <t>116-175</t>
  </si>
  <si>
    <t>LUCAS ALVES</t>
  </si>
  <si>
    <t>228.904.388-56</t>
  </si>
  <si>
    <t>116-170</t>
  </si>
  <si>
    <t>MARIANA SOUZA RODRIGUES</t>
  </si>
  <si>
    <t>460.133.308-32</t>
  </si>
  <si>
    <t>116-144</t>
  </si>
  <si>
    <t>RAFAEL NOGUEIRA DE MORAES</t>
  </si>
  <si>
    <t>301.816.038-02</t>
  </si>
  <si>
    <t>116-169</t>
  </si>
  <si>
    <t>RENAN FERREIRA PIMENTEL</t>
  </si>
  <si>
    <t>404.103.638-04</t>
  </si>
  <si>
    <t>123-58</t>
  </si>
  <si>
    <t>GABRIELA DUARTE DOS SANTOS</t>
  </si>
  <si>
    <t>061.462.155-03</t>
  </si>
  <si>
    <t>123-69</t>
  </si>
  <si>
    <t>ISRAEL GUSTAVO DOS SANTOS GARCIA</t>
  </si>
  <si>
    <t>108.739.084-22</t>
  </si>
  <si>
    <t>123-81</t>
  </si>
  <si>
    <t>IVANA BONFIM REQUIAO</t>
  </si>
  <si>
    <t>034.529.405-00</t>
  </si>
  <si>
    <t>123-75</t>
  </si>
  <si>
    <t>JOÃO PEDRO CINTRA BAHIA</t>
  </si>
  <si>
    <t>861.221.485-80</t>
  </si>
  <si>
    <t>123-76</t>
  </si>
  <si>
    <t>LUCAS ARAUJO DE LIMA</t>
  </si>
  <si>
    <t>863.378.735-05</t>
  </si>
  <si>
    <t>123-68</t>
  </si>
  <si>
    <t>MARCELO ALVES DE SOUZA SANTOS</t>
  </si>
  <si>
    <t>041.739.405-56</t>
  </si>
  <si>
    <t>123-36</t>
  </si>
  <si>
    <t>UELDERMAN ALVES MIGUEZ COSTA</t>
  </si>
  <si>
    <t>029.972.815-39</t>
  </si>
  <si>
    <t>123-70</t>
  </si>
  <si>
    <t>WEBERTON SOUZA DA SILVA</t>
  </si>
  <si>
    <t>066.595.235-02</t>
  </si>
  <si>
    <t>124-2</t>
  </si>
  <si>
    <t>FLAVIANA DA SILVA</t>
  </si>
  <si>
    <t>017.660.263-11</t>
  </si>
  <si>
    <t>124-19</t>
  </si>
  <si>
    <t>RANDAL BATISTA MAIA</t>
  </si>
  <si>
    <t>057.107.003-55</t>
  </si>
  <si>
    <t>124-49</t>
  </si>
  <si>
    <t>RAPHAEL SILVA VIEIRA DA LUZ</t>
  </si>
  <si>
    <t>059.452.933-69</t>
  </si>
  <si>
    <t>124-40</t>
  </si>
  <si>
    <t>THEOGENES CALLOU LIMA</t>
  </si>
  <si>
    <t>061.232.043-00</t>
  </si>
  <si>
    <t>124-39</t>
  </si>
  <si>
    <t>THIAGO DOS SANTOS BATISTA</t>
  </si>
  <si>
    <t>065.842.673-77</t>
  </si>
  <si>
    <t>125-38</t>
  </si>
  <si>
    <t>AMANDA CAROLINE MARIANO DA SILVA</t>
  </si>
  <si>
    <t>022.617.843-92</t>
  </si>
  <si>
    <t>Em Auxilio Maternidade</t>
  </si>
  <si>
    <t>125-25</t>
  </si>
  <si>
    <t>HILTON DE SOUZA FERNANDES</t>
  </si>
  <si>
    <t>016.339.213-79</t>
  </si>
  <si>
    <t>125-54</t>
  </si>
  <si>
    <t>LUCAS PAZ PONTES</t>
  </si>
  <si>
    <t>622.829.353-22</t>
  </si>
  <si>
    <t>125-48</t>
  </si>
  <si>
    <t>LUIS CARLOS GARCIA SILVA</t>
  </si>
  <si>
    <t>013.431.263-55</t>
  </si>
  <si>
    <t>MAURICIO IBIAPINA SOARES NETO</t>
  </si>
  <si>
    <t>125-28</t>
  </si>
  <si>
    <t>PAULO HERMINO RIBEIRO DE SOUZA</t>
  </si>
  <si>
    <t>603.472.423-67</t>
  </si>
  <si>
    <t>125-55</t>
  </si>
  <si>
    <t>TIAGO ELOI FERNANDO</t>
  </si>
  <si>
    <t>603.375.873-02</t>
  </si>
  <si>
    <t>126-41</t>
  </si>
  <si>
    <t>ANTONIO FELIPE DE SOUZA SANTOS</t>
  </si>
  <si>
    <t>045.312.115-29</t>
  </si>
  <si>
    <t>126-56</t>
  </si>
  <si>
    <t>JOAO LUCAS LACERDA FLAVIO</t>
  </si>
  <si>
    <t>706.394.571-85</t>
  </si>
  <si>
    <t>126-45</t>
  </si>
  <si>
    <t>KAIO LIMA FRUTUOSO</t>
  </si>
  <si>
    <t>708.205.191-38</t>
  </si>
  <si>
    <t>126-37</t>
  </si>
  <si>
    <t>LUCAS DIAS SOUTO</t>
  </si>
  <si>
    <t>753.825.631-87</t>
  </si>
  <si>
    <t>126-1</t>
  </si>
  <si>
    <t>LUIZ CARLOS BATISTA INACIO</t>
  </si>
  <si>
    <t>993.224.391-49</t>
  </si>
  <si>
    <t>126-28</t>
  </si>
  <si>
    <t>PAULO RICARDO FERNANDES NOVAIS</t>
  </si>
  <si>
    <t>031.885.001-06</t>
  </si>
  <si>
    <t>126-55</t>
  </si>
  <si>
    <t>RAQUEL TEIXEIRA DA SILVA</t>
  </si>
  <si>
    <t>025.438.791-88</t>
  </si>
  <si>
    <t>126-46</t>
  </si>
  <si>
    <t>VINICIUS DOS SANTOS OLIVEIRA</t>
  </si>
  <si>
    <t>066.778.583-32</t>
  </si>
  <si>
    <t>127-70</t>
  </si>
  <si>
    <t>EDUARDA ZACARIAS DA SILVA</t>
  </si>
  <si>
    <t>468.989.148-63</t>
  </si>
  <si>
    <t>127-79</t>
  </si>
  <si>
    <t>GABRIEL VINICIUS VIANA TAVARES</t>
  </si>
  <si>
    <t>497.346.378-78</t>
  </si>
  <si>
    <t>127-75</t>
  </si>
  <si>
    <t>GABRIELA KETLEN RODRIGUES DE SOUZA</t>
  </si>
  <si>
    <t>501.722.828-45</t>
  </si>
  <si>
    <t>127-80</t>
  </si>
  <si>
    <t>LUCAS SIQUEIRA FRANCO</t>
  </si>
  <si>
    <t>439.691.338-90</t>
  </si>
  <si>
    <t>127-82</t>
  </si>
  <si>
    <t>PAULO HENRIQUE BARBIERI</t>
  </si>
  <si>
    <t>426.662.588-07</t>
  </si>
  <si>
    <t>139-55</t>
  </si>
  <si>
    <t>ANA JULIA LOMBARDI</t>
  </si>
  <si>
    <t>482.873.038-93</t>
  </si>
  <si>
    <t>139-24</t>
  </si>
  <si>
    <t>DAVID MARANDOLA</t>
  </si>
  <si>
    <t>307.523.568-79</t>
  </si>
  <si>
    <t>139-54</t>
  </si>
  <si>
    <t>JONATAS BALBINO DOS  SANTOS</t>
  </si>
  <si>
    <t>415.102.878-17</t>
  </si>
  <si>
    <t>139-41</t>
  </si>
  <si>
    <t>JULIANA CRISTINA CUNHA</t>
  </si>
  <si>
    <t>307.648.608-01</t>
  </si>
  <si>
    <t>139-50</t>
  </si>
  <si>
    <t>LUANA FERREIRA DA SILVA SOARES</t>
  </si>
  <si>
    <t>053.220.423-93</t>
  </si>
  <si>
    <t>139-52</t>
  </si>
  <si>
    <t>MARCELO PEREIRA DE OLIVEIRA</t>
  </si>
  <si>
    <t>153.754.388-10</t>
  </si>
  <si>
    <t>139-51</t>
  </si>
  <si>
    <t>MIRIA ALVES</t>
  </si>
  <si>
    <t>446.951.558-26</t>
  </si>
  <si>
    <t>139-28</t>
  </si>
  <si>
    <t>OSVALDO CARLOS CESAR</t>
  </si>
  <si>
    <t>396.069.228-55</t>
  </si>
  <si>
    <t>139-49</t>
  </si>
  <si>
    <t>RAVEL KAIQUE TIANO DA SILVA</t>
  </si>
  <si>
    <t>465.919.398-57</t>
  </si>
  <si>
    <t>139-53</t>
  </si>
  <si>
    <t>TIAGO INACIO DOMINGUES</t>
  </si>
  <si>
    <t>373.647.468-70</t>
  </si>
  <si>
    <t>144-81</t>
  </si>
  <si>
    <t>CARLA DAIANE DA SILVA</t>
  </si>
  <si>
    <t>061.950.663-62</t>
  </si>
  <si>
    <t>144-71</t>
  </si>
  <si>
    <t>CASSIA HELENA DE SOUZA CORREIA DA SILVA</t>
  </si>
  <si>
    <t>351.952.818-58</t>
  </si>
  <si>
    <t>144-85</t>
  </si>
  <si>
    <t>ELIZABETH SOUZA GOMES MELO SILVA BERALDO</t>
  </si>
  <si>
    <t>351.952.868-17</t>
  </si>
  <si>
    <t>144-35</t>
  </si>
  <si>
    <t>FERNANDO ROBERTO DE SOUZA</t>
  </si>
  <si>
    <t>310.780.058-93</t>
  </si>
  <si>
    <t>144-74</t>
  </si>
  <si>
    <t>JOSE HENRIQUE GONCALVES</t>
  </si>
  <si>
    <t>133.489.586-44</t>
  </si>
  <si>
    <t>144-88</t>
  </si>
  <si>
    <t>VALQUIRIA MELO DE SOUZA</t>
  </si>
  <si>
    <t>302.136.518-31</t>
  </si>
  <si>
    <t>154-38</t>
  </si>
  <si>
    <t>GILVAN DE LIMA FERREIRA</t>
  </si>
  <si>
    <t>047.334.784-96</t>
  </si>
  <si>
    <t>154-43</t>
  </si>
  <si>
    <t>MICHELINE QUIRINO DA SILVA</t>
  </si>
  <si>
    <t>047.832.294-14</t>
  </si>
  <si>
    <t>154-45</t>
  </si>
  <si>
    <t>RAFAEL BRUNO DA SILVA PEREIRA</t>
  </si>
  <si>
    <t>052.187.014-32</t>
  </si>
  <si>
    <t>154-28</t>
  </si>
  <si>
    <t>THAIS CARLA DA SILVA</t>
  </si>
  <si>
    <t>089.337.614-03</t>
  </si>
  <si>
    <t>154-42</t>
  </si>
  <si>
    <t>VALDEK GONCALVES JUNIOR</t>
  </si>
  <si>
    <t>012.818.324-13</t>
  </si>
  <si>
    <t>156-76</t>
  </si>
  <si>
    <t>DAIANE ELIAS FONTE</t>
  </si>
  <si>
    <t>366.633.188-29</t>
  </si>
  <si>
    <t>156-72</t>
  </si>
  <si>
    <t>DANILO TEIXEIRA</t>
  </si>
  <si>
    <t>393.300.068-84</t>
  </si>
  <si>
    <t>156-78</t>
  </si>
  <si>
    <t>GUSTAVO DA SILVA DIAS</t>
  </si>
  <si>
    <t>462.565.098-46</t>
  </si>
  <si>
    <t>156-67</t>
  </si>
  <si>
    <t>JAQUELINE GOMES FERNANDES</t>
  </si>
  <si>
    <t>465.800.178-05</t>
  </si>
  <si>
    <t>156-81</t>
  </si>
  <si>
    <t>LUCAS COSTA NERIS</t>
  </si>
  <si>
    <t>406.321.078-20</t>
  </si>
  <si>
    <t>156-79</t>
  </si>
  <si>
    <t>LUCAS DIAS NASCIMENTO</t>
  </si>
  <si>
    <t>462.462.528-50</t>
  </si>
  <si>
    <t>156-75</t>
  </si>
  <si>
    <t>RAFAEL DOS SANTOS GENARE DENIS</t>
  </si>
  <si>
    <t>357.754.148-29</t>
  </si>
  <si>
    <t>156-84</t>
  </si>
  <si>
    <t>TAIS PEREIRA DE PAULA</t>
  </si>
  <si>
    <t>401.549.458-03</t>
  </si>
  <si>
    <t>157-14</t>
  </si>
  <si>
    <t>JOELMA APARECIDA ZANCHINSKI DE MATTOS</t>
  </si>
  <si>
    <t>072.489.409-84</t>
  </si>
  <si>
    <t>157-33</t>
  </si>
  <si>
    <t>PEDRO MAGNO DOS SANTOS PEREIRA</t>
  </si>
  <si>
    <t>023.850.479-42</t>
  </si>
  <si>
    <t>157-34</t>
  </si>
  <si>
    <t>ALEX ADRES BARBARA</t>
  </si>
  <si>
    <t>095.268.949-95</t>
  </si>
  <si>
    <t>157-43</t>
  </si>
  <si>
    <t>JULIO CESAR RODRIGUES ROSA</t>
  </si>
  <si>
    <t>109.044.107-06</t>
  </si>
  <si>
    <t>157-44</t>
  </si>
  <si>
    <t>GABRIELE VILICZINSKI ZADOROSNY</t>
  </si>
  <si>
    <t>097.198.899-42</t>
  </si>
  <si>
    <t>157-45</t>
  </si>
  <si>
    <t>LUIZA PACHEGO GROLLI</t>
  </si>
  <si>
    <t>074.611.149-56</t>
  </si>
  <si>
    <t>157-46</t>
  </si>
  <si>
    <t>ALEXANDRO LIMA PASSOS</t>
  </si>
  <si>
    <t>073.153.439-54</t>
  </si>
  <si>
    <t>161-51</t>
  </si>
  <si>
    <t>CALEBE WODARSKI</t>
  </si>
  <si>
    <t>036.159.210-89</t>
  </si>
  <si>
    <t>161-49</t>
  </si>
  <si>
    <t>CAUE LUCAS GIL</t>
  </si>
  <si>
    <t>017.010.930-57</t>
  </si>
  <si>
    <t>161-45</t>
  </si>
  <si>
    <t>DANIELA DA SILVA CASTILHOS</t>
  </si>
  <si>
    <t>868.605.930-91</t>
  </si>
  <si>
    <t>161-32</t>
  </si>
  <si>
    <t>DEBORA RODRIGUES SILVA</t>
  </si>
  <si>
    <t>861.880.700-15</t>
  </si>
  <si>
    <t>161-52</t>
  </si>
  <si>
    <t>DOUGLAS ILHA MARTINS</t>
  </si>
  <si>
    <t>029.126.590-19</t>
  </si>
  <si>
    <t>166-34</t>
  </si>
  <si>
    <t>BRAULIO RIBEIRO MARQUEZ</t>
  </si>
  <si>
    <t>127.679.907-16</t>
  </si>
  <si>
    <t>166-1</t>
  </si>
  <si>
    <t>BRUNO HENRIQUE FIGUEIRA NOTARANGELI</t>
  </si>
  <si>
    <t>050.767.341-74</t>
  </si>
  <si>
    <t>CEILA DE OLIVEIRA RODRIGUES</t>
  </si>
  <si>
    <t>166-8</t>
  </si>
  <si>
    <t>MARIANA DE SOUZA ARAL</t>
  </si>
  <si>
    <t>059.153.461-46</t>
  </si>
  <si>
    <t>169-35</t>
  </si>
  <si>
    <t>BERLIS CAROLAYNE DAMASCENA  BOROWSKI</t>
  </si>
  <si>
    <t>107.202.289-30</t>
  </si>
  <si>
    <t>169-39</t>
  </si>
  <si>
    <t>JADI REIS</t>
  </si>
  <si>
    <t>138.361.579-93</t>
  </si>
  <si>
    <t>169-16</t>
  </si>
  <si>
    <t>JOSE FELIX SAMUEL RAGGIO ADORNO</t>
  </si>
  <si>
    <t>704.874.091-40</t>
  </si>
  <si>
    <t>169-31</t>
  </si>
  <si>
    <t>JOSE VITOR SILVA TROIAN</t>
  </si>
  <si>
    <t>083.524.149-17</t>
  </si>
  <si>
    <t>169-7</t>
  </si>
  <si>
    <t>LEONARDO CASTRO DA PAIXAO</t>
  </si>
  <si>
    <t>057.482.195-30</t>
  </si>
  <si>
    <t>169-41</t>
  </si>
  <si>
    <t>LUIZ ANTONIO SILVEIRA</t>
  </si>
  <si>
    <t>004.208.339-78</t>
  </si>
  <si>
    <t>169-37</t>
  </si>
  <si>
    <t>MATHEUS MARTINS VIEIRA</t>
  </si>
  <si>
    <t>015.074.470-60</t>
  </si>
  <si>
    <t>169-38</t>
  </si>
  <si>
    <t>RAFAEL GOVONI</t>
  </si>
  <si>
    <t>032.988.810-23</t>
  </si>
  <si>
    <t>169-1</t>
  </si>
  <si>
    <t>TATIANE MENDES NASCIMENTO</t>
  </si>
  <si>
    <t>076.301.986-04</t>
  </si>
  <si>
    <t>173-5</t>
  </si>
  <si>
    <t>FLAVIA TEIXEIRA GONDIM</t>
  </si>
  <si>
    <t>451.312.228-50</t>
  </si>
  <si>
    <t>173-26</t>
  </si>
  <si>
    <t>ANDRESSA RIBEIRO DOS SANTOS</t>
  </si>
  <si>
    <t>340.943.468-21</t>
  </si>
  <si>
    <t>173-30</t>
  </si>
  <si>
    <t>CAIO BRUNO DA SILVA FERREIRA</t>
  </si>
  <si>
    <t>424.306.458-07</t>
  </si>
  <si>
    <t>173-34</t>
  </si>
  <si>
    <t>LUCAS DOS SANTOS AMARO SILVA</t>
  </si>
  <si>
    <t>466.569.038-35</t>
  </si>
  <si>
    <t>173-35</t>
  </si>
  <si>
    <t>THIAGO HENRIQUE FRANÇA DA SILVA</t>
  </si>
  <si>
    <t>410.930.048-78</t>
  </si>
  <si>
    <t>173-38</t>
  </si>
  <si>
    <t>DAVISON DE JESUS SANTOS</t>
  </si>
  <si>
    <t>043.282.025-61</t>
  </si>
  <si>
    <t>173-41</t>
  </si>
  <si>
    <t>WALLESKY KLEBER TEIXEIRA DE ARAUJO</t>
  </si>
  <si>
    <t>427.139.818-75</t>
  </si>
  <si>
    <t>175-17</t>
  </si>
  <si>
    <t>ALISON MURILO ALENCAR DIAS</t>
  </si>
  <si>
    <t>061.080.931-88</t>
  </si>
  <si>
    <t>175-13</t>
  </si>
  <si>
    <t>BRUNO DOS SANTOS MARIANO BARBOSA</t>
  </si>
  <si>
    <t>069.196.861-63</t>
  </si>
  <si>
    <t>175-11</t>
  </si>
  <si>
    <t>IGOR MANOEL AMARO DA SILVA</t>
  </si>
  <si>
    <t>116.065.724-66</t>
  </si>
  <si>
    <t>175-8</t>
  </si>
  <si>
    <t>JANAINA INOCENCIO DA SILVA</t>
  </si>
  <si>
    <t>056.879.891-02</t>
  </si>
  <si>
    <t>175-3</t>
  </si>
  <si>
    <t>LARISSA FONTENELE BARROS</t>
  </si>
  <si>
    <t>033.104.201-08</t>
  </si>
  <si>
    <t>175-9</t>
  </si>
  <si>
    <t>MARCOS HENRIQUE FARIAS</t>
  </si>
  <si>
    <t>047.846.921-77</t>
  </si>
  <si>
    <t>175-1</t>
  </si>
  <si>
    <t>WALLACY BELTRAO DA COSTA</t>
  </si>
  <si>
    <t>080.241.671-31</t>
  </si>
  <si>
    <t>179-1</t>
  </si>
  <si>
    <t>ANA CAROLINA LOURENCO</t>
  </si>
  <si>
    <t>481.068.428-86</t>
  </si>
  <si>
    <t>179-2</t>
  </si>
  <si>
    <t>ANA PAULA CONCEICAO GONCALVES</t>
  </si>
  <si>
    <t>426.370.468-13</t>
  </si>
  <si>
    <t>179-3</t>
  </si>
  <si>
    <t>DIEGO GONCALVES LOPES</t>
  </si>
  <si>
    <t>358.962.898-71</t>
  </si>
  <si>
    <t>179-4</t>
  </si>
  <si>
    <t>ENRIQUE VAZQUEZ GARCIA</t>
  </si>
  <si>
    <t>241.671.628-06</t>
  </si>
  <si>
    <t>179-16</t>
  </si>
  <si>
    <t>JONATHAN GOMES</t>
  </si>
  <si>
    <t>369.156.498-40</t>
  </si>
  <si>
    <t>179-12</t>
  </si>
  <si>
    <t>UILLIAM PEREIRA SANTOS</t>
  </si>
  <si>
    <t>407.804.618-51</t>
  </si>
  <si>
    <t>179-18</t>
  </si>
  <si>
    <t>WANDERLEY SILVEIRA JUNIOR</t>
  </si>
  <si>
    <t>400.104.248-73</t>
  </si>
  <si>
    <t>181-2</t>
  </si>
  <si>
    <t>ALEF FERNANDES ARAUJO MARTINS</t>
  </si>
  <si>
    <t>126.597.756-99</t>
  </si>
  <si>
    <t>181-33</t>
  </si>
  <si>
    <t>ALEX GASPAR DE MACEDO</t>
  </si>
  <si>
    <t>114.661.066-11</t>
  </si>
  <si>
    <t>181-31</t>
  </si>
  <si>
    <t>DAVI ALVES SILVEIRA</t>
  </si>
  <si>
    <t>157.426.586-56</t>
  </si>
  <si>
    <t>181-12</t>
  </si>
  <si>
    <t>ELOIZA ROCHAEL DIAS DE ASSIS</t>
  </si>
  <si>
    <t>074.016.926-27</t>
  </si>
  <si>
    <t>181-16</t>
  </si>
  <si>
    <t>GERMANO ROSENTHAL CAETANO BELFORT</t>
  </si>
  <si>
    <t>129.517.856-74</t>
  </si>
  <si>
    <t>181-32</t>
  </si>
  <si>
    <t>LARISSA ELIZABETH CENDON ROSA</t>
  </si>
  <si>
    <t>021.296.486-06</t>
  </si>
  <si>
    <t>181-1</t>
  </si>
  <si>
    <t>RODRIGO PARANHOS DIAS</t>
  </si>
  <si>
    <t>859.064.096-53</t>
  </si>
  <si>
    <t>181-13</t>
  </si>
  <si>
    <t>TULIO CESAR DE ALMEIDA</t>
  </si>
  <si>
    <t>118.274.336-63</t>
  </si>
  <si>
    <t>183-14</t>
  </si>
  <si>
    <t>ARLANICSON FONSECA JUNIOR</t>
  </si>
  <si>
    <t>430.570.188-07</t>
  </si>
  <si>
    <t>183-16</t>
  </si>
  <si>
    <t>EMERSON TADASHI CAXIAS TAJI</t>
  </si>
  <si>
    <t>027.637.442-81</t>
  </si>
  <si>
    <t>183-8</t>
  </si>
  <si>
    <t>HIAGO RODRIGUES DE MIRANDA</t>
  </si>
  <si>
    <t>499.167.838-29</t>
  </si>
  <si>
    <t>179-19</t>
  </si>
  <si>
    <t>JULIO SALDANHA LIMA</t>
  </si>
  <si>
    <t>372.275.048-24</t>
  </si>
  <si>
    <t>183-1</t>
  </si>
  <si>
    <t>KAROLINE SIQUEIRA DE AGUIAR MONTEIRO</t>
  </si>
  <si>
    <t>431.040.318-27</t>
  </si>
  <si>
    <t>183-5</t>
  </si>
  <si>
    <t>RAPHAEL HENRIQUE SILVA DOS SANTOS FERREIRA</t>
  </si>
  <si>
    <t>228.342.208-67</t>
  </si>
  <si>
    <t>183-15</t>
  </si>
  <si>
    <t>VINICIUS MOREIRA COSSI</t>
  </si>
  <si>
    <t>432.629.078-12</t>
  </si>
  <si>
    <t>183-2</t>
  </si>
  <si>
    <t>VITOR RODRIGO JACINTO</t>
  </si>
  <si>
    <t>450.376.228-16</t>
  </si>
  <si>
    <t>185-6</t>
  </si>
  <si>
    <t>ABRAAO PEREIRA DA SILVA</t>
  </si>
  <si>
    <t>088.131.514-11</t>
  </si>
  <si>
    <t>185-1</t>
  </si>
  <si>
    <t>CARMECITA HELENA DA SILVA</t>
  </si>
  <si>
    <t>038.834.524-16</t>
  </si>
  <si>
    <t>185-3</t>
  </si>
  <si>
    <t>EDRISIO DE LUCENA ALVES</t>
  </si>
  <si>
    <t>078.476.544-82</t>
  </si>
  <si>
    <t>185-7</t>
  </si>
  <si>
    <t>FELIPE PAULINO DA SILVA</t>
  </si>
  <si>
    <t>090.889.214-40</t>
  </si>
  <si>
    <t>185-2</t>
  </si>
  <si>
    <t>HELOISA VITORIA CINTRA DE ARAUJO</t>
  </si>
  <si>
    <t>128.929.414-31</t>
  </si>
  <si>
    <t>185-9</t>
  </si>
  <si>
    <t>JAMILE INGRID SOUSA DA SILVA</t>
  </si>
  <si>
    <t>611.063.163-98</t>
  </si>
  <si>
    <t>185-10</t>
  </si>
  <si>
    <t>JEFFERSON FRANCISCO ANDRADE PRAZERES</t>
  </si>
  <si>
    <t>059.205.604-01</t>
  </si>
  <si>
    <t>185-11</t>
  </si>
  <si>
    <t>MONALISA FREITAS DO NASCIMENTO</t>
  </si>
  <si>
    <t>077.859.204-94</t>
  </si>
  <si>
    <t>185-4</t>
  </si>
  <si>
    <t>NAIANA MONTE DOS SANTOS</t>
  </si>
  <si>
    <t>127.224.754-64</t>
  </si>
  <si>
    <t>185-8</t>
  </si>
  <si>
    <t>URSULA NATACHA SOBRAL</t>
  </si>
  <si>
    <t>056.596.594-89</t>
  </si>
  <si>
    <t>185-5</t>
  </si>
  <si>
    <t>WAGNER LEANDRO PINHEIRO DE FARIAS</t>
  </si>
  <si>
    <t>055.148.534-54</t>
  </si>
  <si>
    <t>200-129</t>
  </si>
  <si>
    <t>CLEITON MOISES DOS SANTOS</t>
  </si>
  <si>
    <t>079.471.906-66</t>
  </si>
  <si>
    <t>200-82</t>
  </si>
  <si>
    <t>DEBORAH EVELYN GONÇALVES DOS SANTOS</t>
  </si>
  <si>
    <t>103.234.896-80</t>
  </si>
  <si>
    <t>200-132</t>
  </si>
  <si>
    <t>ERICK ANGEL NAVES MARTINS</t>
  </si>
  <si>
    <t>099.217.546-10</t>
  </si>
  <si>
    <t>200-130</t>
  </si>
  <si>
    <t>GABRIEL MARTINS DE  FREITAS  SANTOS</t>
  </si>
  <si>
    <t>147.617.746-57</t>
  </si>
  <si>
    <t>200-133</t>
  </si>
  <si>
    <t>HANNA APARECIDA BARBOSA DIAS</t>
  </si>
  <si>
    <t>135.471.056-84</t>
  </si>
  <si>
    <t>200-120</t>
  </si>
  <si>
    <t>HUCHARLY REIS DO NASCIMENTO</t>
  </si>
  <si>
    <t>701.207.096-00</t>
  </si>
  <si>
    <t>200-74</t>
  </si>
  <si>
    <t>LORRANA GABRIELA ROCHA DE MIRANDA</t>
  </si>
  <si>
    <t>127.154.116-50</t>
  </si>
  <si>
    <t>200-136</t>
  </si>
  <si>
    <t>PAULO ROBERTO MEDINA PINHEIRO</t>
  </si>
  <si>
    <t>072.345.606-29</t>
  </si>
  <si>
    <t>200-128</t>
  </si>
  <si>
    <t>RAFAEL IDEVALDO DE ALMEIDA</t>
  </si>
  <si>
    <t>054.079.756-10</t>
  </si>
  <si>
    <t>RENATA MAYRA DE LIMA E SILVA</t>
  </si>
  <si>
    <t>Cod</t>
  </si>
  <si>
    <t>Vendedor</t>
  </si>
  <si>
    <t>PDV</t>
  </si>
  <si>
    <t>Não Presencial</t>
  </si>
  <si>
    <t>Social Selling</t>
  </si>
  <si>
    <t>Cupom</t>
  </si>
  <si>
    <t>Pick Up</t>
  </si>
  <si>
    <t>Total Vendas</t>
  </si>
  <si>
    <t>Meta Vend</t>
  </si>
  <si>
    <t>% Ating</t>
  </si>
  <si>
    <t>Meta Loja</t>
  </si>
  <si>
    <t>Comissão</t>
  </si>
  <si>
    <t>Prêmio</t>
  </si>
  <si>
    <t xml:space="preserve">ZELITA MOREIRA </t>
  </si>
  <si>
    <t>00314 - SAVIO KAYK SANTOS DE OLIVEIRA</t>
  </si>
  <si>
    <t>TIAGO OLIVEIRA DE SOUZA</t>
  </si>
  <si>
    <t>00322 - CRISTIAN YUSUKE SHIMOTO</t>
  </si>
  <si>
    <t>Shipping</t>
  </si>
  <si>
    <t xml:space="preserve">00100 - VITOR HUGO MACEDO           </t>
  </si>
  <si>
    <t>00003 - ALLAN DA SILVA PONTES</t>
  </si>
  <si>
    <t xml:space="preserve">MARGARETH LEAL </t>
  </si>
  <si>
    <t xml:space="preserve">GABRIEL A.FREDO JESUS DE PINHO </t>
  </si>
  <si>
    <t>00056 - CAIO VIEIRA BARBOSA</t>
  </si>
  <si>
    <t xml:space="preserve">MARCELO FERNANDES DE SOUZA </t>
  </si>
  <si>
    <t>00193 - BRUNA DIAS RAMOS</t>
  </si>
  <si>
    <t>00194 - NICOLE MARIA FAZIO</t>
  </si>
  <si>
    <t xml:space="preserve">00199 - MARLON MIRANDA DE OLIVEIRA </t>
  </si>
  <si>
    <t>LUCIANO DA MOTA GONCALVES</t>
  </si>
  <si>
    <t>00085 - ROGER PASSAIA</t>
  </si>
  <si>
    <t>00170 - MARIANA SOUZA RODRIGUES</t>
  </si>
  <si>
    <t xml:space="preserve">00175 - LUCAS ALVES </t>
  </si>
  <si>
    <t xml:space="preserve">GERENTE </t>
  </si>
  <si>
    <t>JOAO PEDRO CINTRA BAHIA</t>
  </si>
  <si>
    <t>LOJA</t>
  </si>
  <si>
    <t xml:space="preserve">LOJA </t>
  </si>
  <si>
    <t>00054 - LUCAS PAZ PONTES</t>
  </si>
  <si>
    <t>00055 - TIAGO ELOI FERNANDO</t>
  </si>
  <si>
    <t xml:space="preserve">PAULO RICARDO FERNANDES MOVAIS </t>
  </si>
  <si>
    <t>LUCAS DIAS SOLTO</t>
  </si>
  <si>
    <t>00045 - KAIO LIMA FRUTUOSO</t>
  </si>
  <si>
    <t>00055 - RAQUEL TEIXEIRA</t>
  </si>
  <si>
    <t>00071 - CASSIA HELENA DE SOUZA CORREIA DA SILVA</t>
  </si>
  <si>
    <t>00088 - VALQUIRIA MELO DA SILVA</t>
  </si>
  <si>
    <t>TAHIS CARLA DA SILVA</t>
  </si>
  <si>
    <t>00045 - RAFAEL BRUNO DA SILVA PEREIRA</t>
  </si>
  <si>
    <t>00079- LUCAS DIAS NASCIMENTO</t>
  </si>
  <si>
    <t>00043 - JULIO CESAR RODRIGUES ROSA</t>
  </si>
  <si>
    <t>00045 - LUIZA PACHEGO GROLLI</t>
  </si>
  <si>
    <t>00046 - ALEXANDRO LIMA PASSOS</t>
  </si>
  <si>
    <t>CAUE LCUAS GIL</t>
  </si>
  <si>
    <t>00039 - JHONNY LUCAS COCIAN CARVALHO</t>
  </si>
  <si>
    <t>00031 - JOSE VITOR SILVA TROIAN</t>
  </si>
  <si>
    <t>00037 - MATHEUS MARTINS VIEIRA</t>
  </si>
  <si>
    <t>00038 - RAFAEL GOVONI</t>
  </si>
  <si>
    <t xml:space="preserve">JOSE FELIX </t>
  </si>
  <si>
    <t xml:space="preserve">LUCAS DOS SANTOS AMARO SILVA </t>
  </si>
  <si>
    <t>THIAGO HENRIQUE FRANCA DA SILVA</t>
  </si>
  <si>
    <t>00038 - DAVISON DE JESUS SANTOS</t>
  </si>
  <si>
    <t>LARISSA FONTENELLE BARROS</t>
  </si>
  <si>
    <t>00002 - ANA PAULA CONCEICAO GONCALVES</t>
  </si>
  <si>
    <t>00003 - DIEGO GONCALVES LOPES</t>
  </si>
  <si>
    <t>00004 - ENRIQUE VAZQUEZ GARCIA</t>
  </si>
  <si>
    <t>00016 - JONATHAN GOMES</t>
  </si>
  <si>
    <t>00001 - RODRIGO PARANHOS DIAS</t>
  </si>
  <si>
    <t>00002 - ALEF FERNANDES ARAUJO MARTINS</t>
  </si>
  <si>
    <t xml:space="preserve">00013 - TULIO CESAR DE ALMEIDA       </t>
  </si>
  <si>
    <t>00016 - GERMANO ROSENTHAL CAETANO BELFORT</t>
  </si>
  <si>
    <t>00018 - GILSON SANTOS MOTA JUNIOR</t>
  </si>
  <si>
    <t>00019 - SILMARA ROCHA</t>
  </si>
  <si>
    <t>00001 - KAROLINE SIQUEIRA DE AGUIAR MONTEIRO</t>
  </si>
  <si>
    <t>00005 -  RAPHAEL HENRIQUE SILVA</t>
  </si>
  <si>
    <t>DEBOHAH EVELYN GONCALVES DOS SANTOS</t>
  </si>
  <si>
    <t>00132 - ERICK ANGEL NAVES MARTINS</t>
  </si>
  <si>
    <t>Total New Balance</t>
  </si>
  <si>
    <t>Cod Loja</t>
  </si>
  <si>
    <t>Supervisores</t>
  </si>
  <si>
    <t>Venda PDV</t>
  </si>
  <si>
    <t>SocialSelling</t>
  </si>
  <si>
    <t>Meta Mês</t>
  </si>
  <si>
    <t>Atingimento Meta</t>
  </si>
  <si>
    <t>OUTLET PREMIUM SÃO PAULO</t>
  </si>
  <si>
    <t>William</t>
  </si>
  <si>
    <t>OUTLET PREMIUM RIO DE JANEIRO</t>
  </si>
  <si>
    <t>RIO DESIGN BARRA</t>
  </si>
  <si>
    <t>SHOPPING ELDORADO</t>
  </si>
  <si>
    <t>Clayton</t>
  </si>
  <si>
    <t>SHOPPING CIDADE SÃO PAULO</t>
  </si>
  <si>
    <t>PONTA NEGRA SHOPPING</t>
  </si>
  <si>
    <t>I FASHION OUTLET</t>
  </si>
  <si>
    <t>MORUMBI SHOPPING</t>
  </si>
  <si>
    <t>OUTLET PREMIUM SALVADOR</t>
  </si>
  <si>
    <t>RIOMAR SHOPPING</t>
  </si>
  <si>
    <t>OFF FASHION FORTALEZA</t>
  </si>
  <si>
    <t>FLAMBOYANT SHOPPING</t>
  </si>
  <si>
    <t>PARQUE SHOPPING MAIA</t>
  </si>
  <si>
    <t>OUTLET CATARINA FASHION</t>
  </si>
  <si>
    <t>IGUATEMI CAMPINAS</t>
  </si>
  <si>
    <t>SHOPPING RIOMAR</t>
  </si>
  <si>
    <t>JK IGUATEMI</t>
  </si>
  <si>
    <t>PARKSHOPPINGBARIGUI</t>
  </si>
  <si>
    <t>IGUATEMI PORTO ALEGRE</t>
  </si>
  <si>
    <t>SHOPPING CAMPO GRANDE</t>
  </si>
  <si>
    <t>I FASHION OUTLET SANTA CATARINA</t>
  </si>
  <si>
    <t>SHOPPING TAMBORE</t>
  </si>
  <si>
    <t>OUTLET PREMIUM BRASILIA</t>
  </si>
  <si>
    <t>OUTLET SOMARCAS OUTLET GUARULHOS</t>
  </si>
  <si>
    <t>OUTLET CONTAGEM</t>
  </si>
  <si>
    <t>OUTLET MOGI</t>
  </si>
  <si>
    <t>OUTLET RECIFE</t>
  </si>
  <si>
    <t>OUTLET BH SHOPPING</t>
  </si>
  <si>
    <t>PLANILHA DE REMUNERAÇÃO GERENTE DE LOJA - NB</t>
  </si>
  <si>
    <t>N°</t>
  </si>
  <si>
    <t>NOME</t>
  </si>
  <si>
    <t>VENDEDOR</t>
  </si>
  <si>
    <t>VALORES ABERTURA /COTA/SUPER</t>
  </si>
  <si>
    <t>SHOPPING</t>
  </si>
  <si>
    <t>CARGO</t>
  </si>
  <si>
    <t xml:space="preserve">NOME </t>
  </si>
  <si>
    <t>% DE COMISSÃO MÊS</t>
  </si>
  <si>
    <t>BONUS MENSAL</t>
  </si>
  <si>
    <t xml:space="preserve">ABERTURA DE LOJA </t>
  </si>
  <si>
    <t>PREMIO 100%</t>
  </si>
  <si>
    <t>PREMIO 110%</t>
  </si>
  <si>
    <t>COBERTURA GERENCIAL</t>
  </si>
  <si>
    <t>TOTAL</t>
  </si>
  <si>
    <t xml:space="preserve">Abertura / 100% / 110% </t>
  </si>
  <si>
    <t xml:space="preserve">OBSERVAÇÕES </t>
  </si>
  <si>
    <t>ITUPEVA</t>
  </si>
  <si>
    <t>GERENTE</t>
  </si>
  <si>
    <t xml:space="preserve">MARCOS NOGUEIRA </t>
  </si>
  <si>
    <t>COMISSÃO+PREMIO</t>
  </si>
  <si>
    <t>VR</t>
  </si>
  <si>
    <t xml:space="preserve">ALEF JUNIOR SORES </t>
  </si>
  <si>
    <t>400,00 / 200,00 / 200,00</t>
  </si>
  <si>
    <t>ZELITA</t>
  </si>
  <si>
    <t>ASSISTENTE</t>
  </si>
  <si>
    <t>TASSIANA</t>
  </si>
  <si>
    <t>DUQUE</t>
  </si>
  <si>
    <t>GUSTAVO</t>
  </si>
  <si>
    <t>LUIZ FERNANDO</t>
  </si>
  <si>
    <t>NATHALIA</t>
  </si>
  <si>
    <t>RIO BARRA</t>
  </si>
  <si>
    <t>ALLAN</t>
  </si>
  <si>
    <t>3,2% / 3,7% / 4,1% / 4,5%</t>
  </si>
  <si>
    <t>200,00 / 150,00 / 150,00</t>
  </si>
  <si>
    <t>JAINE</t>
  </si>
  <si>
    <t>MORUMBI</t>
  </si>
  <si>
    <t xml:space="preserve">SANCHES </t>
  </si>
  <si>
    <t xml:space="preserve">RENAN </t>
  </si>
  <si>
    <t xml:space="preserve">LEONARDO </t>
  </si>
  <si>
    <t>CAMAÇARI</t>
  </si>
  <si>
    <t xml:space="preserve">MARCELO </t>
  </si>
  <si>
    <t>3,5% / 3,8% / 4,1% / 4,4%</t>
  </si>
  <si>
    <t>300,00 / 200,00 / 200,00</t>
  </si>
  <si>
    <t>WEBERTON SOUZA SILVA</t>
  </si>
  <si>
    <t>RIO MAR FORT</t>
  </si>
  <si>
    <t>RANDAL</t>
  </si>
  <si>
    <t>OUTLET FORTALEZA</t>
  </si>
  <si>
    <t>HILTON</t>
  </si>
  <si>
    <t>HERMINIO</t>
  </si>
  <si>
    <t>CATARINA</t>
  </si>
  <si>
    <t>JULIANA CUNHA</t>
  </si>
  <si>
    <t>CAMPINAS</t>
  </si>
  <si>
    <t>FERNANDO</t>
  </si>
  <si>
    <t>CASSIA HELENA DE SOUZA CORREIA</t>
  </si>
  <si>
    <t>300,00 / 150,00 / 150,00</t>
  </si>
  <si>
    <t>JK</t>
  </si>
  <si>
    <t>RAFAEL</t>
  </si>
  <si>
    <t>JAQUELINE</t>
  </si>
  <si>
    <t>DANILO</t>
  </si>
  <si>
    <t>TAMBORÉ</t>
  </si>
  <si>
    <t>THIAGO</t>
  </si>
  <si>
    <t>SÓ MARCAS CONTA</t>
  </si>
  <si>
    <t xml:space="preserve">ELOISA </t>
  </si>
  <si>
    <t>ALEF</t>
  </si>
  <si>
    <t>BH</t>
  </si>
  <si>
    <t xml:space="preserve">LORRANA </t>
  </si>
  <si>
    <t>Em treinamento</t>
  </si>
  <si>
    <t>VR 1</t>
  </si>
  <si>
    <t>VR 2</t>
  </si>
  <si>
    <t>OBSERVAÇÃO</t>
  </si>
  <si>
    <t>NOME 1</t>
  </si>
  <si>
    <t>NOME 2</t>
  </si>
  <si>
    <t>ELDORADO</t>
  </si>
  <si>
    <t>CAIO VIEIRA</t>
  </si>
  <si>
    <t>CIDADE SP</t>
  </si>
  <si>
    <t>PONTA NEGRA</t>
  </si>
  <si>
    <t>NOVO HAMBURGO</t>
  </si>
  <si>
    <t>AMANDA LORENA VEIGA</t>
  </si>
  <si>
    <t>FLAMBOYANT</t>
  </si>
  <si>
    <t>GUARULHOS MAIA</t>
  </si>
  <si>
    <t>GABRIELA KETLEN</t>
  </si>
  <si>
    <t>RIO MAR RECIFE</t>
  </si>
  <si>
    <t>BARIGUI</t>
  </si>
  <si>
    <t>IGUATEMI POA</t>
  </si>
  <si>
    <t>CAMPO GRANDE</t>
  </si>
  <si>
    <t>TIJUCAS</t>
  </si>
  <si>
    <t>ALEXANIA</t>
  </si>
  <si>
    <t>BRUNO DOS SANTOS MARIANO</t>
  </si>
  <si>
    <t>2,8% / 3,3% /3,7% / 4,1%</t>
  </si>
  <si>
    <t>BRUNO DOS SANTOS MARIANO - COBERTURA GERENTE R$ 1000,00</t>
  </si>
  <si>
    <t>SÓ MARCAS GRU</t>
  </si>
  <si>
    <t>2,3% / 3,3% /3,4%</t>
  </si>
  <si>
    <t>MOGI</t>
  </si>
  <si>
    <t>KAROLINE SIQUEIRA</t>
  </si>
  <si>
    <t>RECIFE</t>
  </si>
  <si>
    <t>URSULA SOBRAL</t>
  </si>
  <si>
    <t>Nome</t>
  </si>
  <si>
    <t>Maio</t>
  </si>
  <si>
    <t>Abono</t>
  </si>
  <si>
    <t>EM NEGRITO FOI IMPORTADO DA PLANILHA</t>
  </si>
  <si>
    <r>
      <t xml:space="preserve">EM </t>
    </r>
    <r>
      <rPr>
        <b/>
        <sz val="10"/>
        <color indexed="10"/>
        <rFont val="Arial"/>
        <family val="2"/>
      </rPr>
      <t>VERMELHO</t>
    </r>
    <r>
      <rPr>
        <b/>
        <sz val="10"/>
        <rFont val="Arial"/>
        <family val="2"/>
      </rPr>
      <t xml:space="preserve"> É AS INFORMAÇÕES A SEREM IMPORTADAS PARA FOLHA</t>
    </r>
  </si>
  <si>
    <t>Descrição do Erro</t>
  </si>
  <si>
    <t>078</t>
  </si>
  <si>
    <t>144</t>
  </si>
  <si>
    <t>314</t>
  </si>
  <si>
    <t>005</t>
  </si>
  <si>
    <t>075</t>
  </si>
  <si>
    <t>VT PAGO DINHEIRO 171/314</t>
  </si>
  <si>
    <t>VR Dinheiro 133/315</t>
  </si>
  <si>
    <t>Coluna U foi zerada. Motivo:Coluna U, utiliza as Celulas S e T, uma das duas não é um valor, verifique  62-325 Linha-4 Pasta Base</t>
  </si>
  <si>
    <t>Julho</t>
  </si>
  <si>
    <t>62-327</t>
  </si>
  <si>
    <t>PRISCILA SANTANA DE JESUS</t>
  </si>
  <si>
    <t>049.252.505-66</t>
  </si>
  <si>
    <t>Contrato Suspenso</t>
  </si>
  <si>
    <t>94-69</t>
  </si>
  <si>
    <t>RAYSSA RANGEL DA SILVA BORGES DA FONSECA</t>
  </si>
  <si>
    <t>166.826.527-39</t>
  </si>
  <si>
    <t>94-70</t>
  </si>
  <si>
    <t>PAULO ALEXANDRE ARAUJO VARGAS</t>
  </si>
  <si>
    <t>929.155.400-63</t>
  </si>
  <si>
    <t>103-203</t>
  </si>
  <si>
    <t>WELLINGTON VINICIUS PEREIRA DE OLIVEIRA</t>
  </si>
  <si>
    <t>230.005.878-29</t>
  </si>
  <si>
    <t>ARY JORGE MENDONCA RODRIGUES</t>
  </si>
  <si>
    <t>737.268.772-15</t>
  </si>
  <si>
    <t>105-104</t>
  </si>
  <si>
    <t>EDUARDA RAFAELA  CUNHA DA COSTA</t>
  </si>
  <si>
    <t>045.594.250-19</t>
  </si>
  <si>
    <t>125-60</t>
  </si>
  <si>
    <t>GUILHERME VITOR LOURENCO</t>
  </si>
  <si>
    <t>620.660.143-97</t>
  </si>
  <si>
    <t>125-61</t>
  </si>
  <si>
    <t>ANA KARINE TEIXEIRA VITAL</t>
  </si>
  <si>
    <t>990.787.163-04</t>
  </si>
  <si>
    <t>139-46</t>
  </si>
  <si>
    <t>INAIAH CAMPOS DE OLIVEIRA</t>
  </si>
  <si>
    <t>440.380.288-52</t>
  </si>
  <si>
    <t>161-53</t>
  </si>
  <si>
    <t>HENRIQUE PEDROSO VIECELI</t>
  </si>
  <si>
    <t>846.364.400-72</t>
  </si>
  <si>
    <t>166-42</t>
  </si>
  <si>
    <t>THALISSON DE MORAES TEIXEIRA</t>
  </si>
  <si>
    <t>055.326.671-36</t>
  </si>
  <si>
    <t>166-43</t>
  </si>
  <si>
    <t>PEDRO SILVEIRA TROCHE</t>
  </si>
  <si>
    <t>036.380.331-98</t>
  </si>
  <si>
    <t>173-42</t>
  </si>
  <si>
    <t>JULIA MARANGONI NINOT</t>
  </si>
  <si>
    <t>442.706.888-07</t>
  </si>
  <si>
    <t>175-18</t>
  </si>
  <si>
    <t>TIAGO DO AMARAL TELES</t>
  </si>
  <si>
    <t>027.555.431-75</t>
  </si>
  <si>
    <t>181-34</t>
  </si>
  <si>
    <t>GUILHERME LUIZ DE ALMEIDA</t>
  </si>
  <si>
    <t>130.309.706-04</t>
  </si>
  <si>
    <t>181-35</t>
  </si>
  <si>
    <t>MATHEUS HENRIQUE COSTA MEDEIROS</t>
  </si>
  <si>
    <t>129.260.716-55</t>
  </si>
  <si>
    <t>181-36</t>
  </si>
  <si>
    <t>JOAO CARLOS BELTRAO DA SILVA VIANA</t>
  </si>
  <si>
    <t>070.181.796-88</t>
  </si>
  <si>
    <t>200-137</t>
  </si>
  <si>
    <t>ITALO LIBERATO SILVA</t>
  </si>
  <si>
    <t>118.886.266-90</t>
  </si>
  <si>
    <t>001</t>
  </si>
  <si>
    <t>Total VT</t>
  </si>
  <si>
    <t>Desconto VT 144</t>
  </si>
  <si>
    <t>Cobertura Gerencial 310</t>
  </si>
  <si>
    <t>Paulo Alexandre</t>
  </si>
  <si>
    <t>PAGAR SOBRE O GARANTIDO PROPORCIONAL AOS DIAS TRABALHADO</t>
  </si>
  <si>
    <t>GABRIELA DUARTE</t>
  </si>
  <si>
    <t xml:space="preserve">REF A COMISSÃO GERENCIAL DE 1,6% + DSR </t>
  </si>
  <si>
    <t>THIAGO S BATISTA</t>
  </si>
  <si>
    <t>ABERTURA DE LOJA</t>
  </si>
  <si>
    <t>GABRIEL JESUS</t>
  </si>
  <si>
    <t>1,3% + DSR</t>
  </si>
  <si>
    <t>MARLON MIRANDA</t>
  </si>
  <si>
    <t>1,1% + DSR</t>
  </si>
  <si>
    <t xml:space="preserve">FRANCIANE </t>
  </si>
  <si>
    <t>PATRINNY LORRANNA DOS SANTOS</t>
  </si>
  <si>
    <t>LUCIANO</t>
  </si>
  <si>
    <t>1,2% + DSR</t>
  </si>
  <si>
    <t>LUIZ CARLOS</t>
  </si>
  <si>
    <t>EDUARDA</t>
  </si>
  <si>
    <t>1,6% + DSR</t>
  </si>
  <si>
    <t>LUCAS SIQUEIRA</t>
  </si>
  <si>
    <t>1,4% + DSR</t>
  </si>
  <si>
    <t>GILVAN DE LIMA</t>
  </si>
  <si>
    <t>PEDRO MAGNO</t>
  </si>
  <si>
    <t>DEBORA RODRIGUES</t>
  </si>
  <si>
    <t>1,5% + DSR</t>
  </si>
  <si>
    <t>BRUNO NOTARANGELI</t>
  </si>
  <si>
    <t>JOSÉ RAGGIO</t>
  </si>
  <si>
    <t>MARCOS</t>
  </si>
  <si>
    <t>JANAINA INOCENCIO</t>
  </si>
  <si>
    <t>JULIO SALDANHA</t>
  </si>
  <si>
    <t>0,90% + DSR</t>
  </si>
  <si>
    <t>KAROLINE SIQUEIRA - COBERTURA GERENTE R$ 4100,00</t>
  </si>
  <si>
    <t>CARMENCITA</t>
  </si>
  <si>
    <t>5.446,20</t>
  </si>
  <si>
    <t>2.935,01</t>
  </si>
  <si>
    <t>3.682,02</t>
  </si>
  <si>
    <t>4.397,46</t>
  </si>
  <si>
    <t>3.609,35</t>
  </si>
  <si>
    <t>3.981,59</t>
  </si>
  <si>
    <t>5.722,33</t>
  </si>
  <si>
    <t>4.633,48</t>
  </si>
  <si>
    <t>3.534,40</t>
  </si>
  <si>
    <t>5.197,15</t>
  </si>
  <si>
    <t>2.571,72</t>
  </si>
  <si>
    <t>5.224,42</t>
  </si>
  <si>
    <t>3.663,70</t>
  </si>
  <si>
    <t>2.000,00</t>
  </si>
  <si>
    <t>5.217,29</t>
  </si>
  <si>
    <t>5.545,40</t>
  </si>
  <si>
    <t>4.116,34</t>
  </si>
  <si>
    <t>4.623,40</t>
  </si>
  <si>
    <t>5.861,43</t>
  </si>
  <si>
    <t>4.309,29</t>
  </si>
  <si>
    <t>5.088,53</t>
  </si>
  <si>
    <t>4.111,07</t>
  </si>
  <si>
    <t>8.255,55</t>
  </si>
  <si>
    <t>3.801,83</t>
  </si>
  <si>
    <t>3.885,12</t>
  </si>
  <si>
    <t>7.992,46</t>
  </si>
  <si>
    <t>104-57</t>
  </si>
  <si>
    <t>DESLIGADO</t>
  </si>
  <si>
    <t xml:space="preserve">ASSISTENTE DE LOJA   </t>
  </si>
  <si>
    <t xml:space="preserve">Comissao </t>
  </si>
  <si>
    <t>Premio</t>
  </si>
  <si>
    <t>062</t>
  </si>
  <si>
    <t>266</t>
  </si>
  <si>
    <t>282</t>
  </si>
  <si>
    <t>286</t>
  </si>
  <si>
    <t>289</t>
  </si>
  <si>
    <t>320</t>
  </si>
  <si>
    <t>322</t>
  </si>
  <si>
    <t>327</t>
  </si>
  <si>
    <t>093</t>
  </si>
  <si>
    <t>036</t>
  </si>
  <si>
    <t>070</t>
  </si>
  <si>
    <t>090</t>
  </si>
  <si>
    <t>091</t>
  </si>
  <si>
    <t>095</t>
  </si>
  <si>
    <t>098</t>
  </si>
  <si>
    <t>100</t>
  </si>
  <si>
    <t>094</t>
  </si>
  <si>
    <t>034</t>
  </si>
  <si>
    <t>94-34</t>
  </si>
  <si>
    <t>055</t>
  </si>
  <si>
    <t>068</t>
  </si>
  <si>
    <t>069</t>
  </si>
  <si>
    <t>RAYSA RANGEL</t>
  </si>
  <si>
    <t>059</t>
  </si>
  <si>
    <t>084</t>
  </si>
  <si>
    <t>085</t>
  </si>
  <si>
    <t>088</t>
  </si>
  <si>
    <t>103</t>
  </si>
  <si>
    <t>187</t>
  </si>
  <si>
    <t>193</t>
  </si>
  <si>
    <t>194</t>
  </si>
  <si>
    <t>199</t>
  </si>
  <si>
    <t>202</t>
  </si>
  <si>
    <t>104</t>
  </si>
  <si>
    <t>033</t>
  </si>
  <si>
    <t>041</t>
  </si>
  <si>
    <t>049</t>
  </si>
  <si>
    <t>053</t>
  </si>
  <si>
    <t>057</t>
  </si>
  <si>
    <t>ARY JORGE MENDONÇA RODRIGUES</t>
  </si>
  <si>
    <t>105</t>
  </si>
  <si>
    <t>061</t>
  </si>
  <si>
    <t>EDUARDA RAFAELA CUNHA DA COSTA</t>
  </si>
  <si>
    <t>116</t>
  </si>
  <si>
    <t>143</t>
  </si>
  <si>
    <t>148</t>
  </si>
  <si>
    <t>164</t>
  </si>
  <si>
    <t>169</t>
  </si>
  <si>
    <t>170</t>
  </si>
  <si>
    <t>175</t>
  </si>
  <si>
    <t>123</t>
  </si>
  <si>
    <t>020</t>
  </si>
  <si>
    <t>123-20</t>
  </si>
  <si>
    <t>058</t>
  </si>
  <si>
    <t>081</t>
  </si>
  <si>
    <t>124</t>
  </si>
  <si>
    <t>124-1</t>
  </si>
  <si>
    <t>039</t>
  </si>
  <si>
    <t>040</t>
  </si>
  <si>
    <t>125</t>
  </si>
  <si>
    <t>125-1</t>
  </si>
  <si>
    <t>028</t>
  </si>
  <si>
    <t>048</t>
  </si>
  <si>
    <t>054</t>
  </si>
  <si>
    <t>125-58</t>
  </si>
  <si>
    <t>126</t>
  </si>
  <si>
    <t>037</t>
  </si>
  <si>
    <t>045</t>
  </si>
  <si>
    <t>046</t>
  </si>
  <si>
    <t>126-2</t>
  </si>
  <si>
    <t>127</t>
  </si>
  <si>
    <t>079</t>
  </si>
  <si>
    <t>080</t>
  </si>
  <si>
    <t>082</t>
  </si>
  <si>
    <t>139</t>
  </si>
  <si>
    <t>024</t>
  </si>
  <si>
    <t>051</t>
  </si>
  <si>
    <t>JONATAS BALBINO DOS SANTOS</t>
  </si>
  <si>
    <t>799</t>
  </si>
  <si>
    <t>139-799</t>
  </si>
  <si>
    <t>035</t>
  </si>
  <si>
    <t>071</t>
  </si>
  <si>
    <t>074</t>
  </si>
  <si>
    <t>154</t>
  </si>
  <si>
    <t>038</t>
  </si>
  <si>
    <t>042</t>
  </si>
  <si>
    <t>156</t>
  </si>
  <si>
    <t>067</t>
  </si>
  <si>
    <t>072</t>
  </si>
  <si>
    <t>076</t>
  </si>
  <si>
    <t>156-1</t>
  </si>
  <si>
    <t>157</t>
  </si>
  <si>
    <t>014</t>
  </si>
  <si>
    <t>043</t>
  </si>
  <si>
    <t>161</t>
  </si>
  <si>
    <t>032</t>
  </si>
  <si>
    <t>047</t>
  </si>
  <si>
    <t>161-47</t>
  </si>
  <si>
    <t>052</t>
  </si>
  <si>
    <t>166</t>
  </si>
  <si>
    <t>008</t>
  </si>
  <si>
    <t>022</t>
  </si>
  <si>
    <t>166-22</t>
  </si>
  <si>
    <t>166-39</t>
  </si>
  <si>
    <t>THALISSON DE MORAES</t>
  </si>
  <si>
    <t>007</t>
  </si>
  <si>
    <t>031</t>
  </si>
  <si>
    <t>099</t>
  </si>
  <si>
    <t>169-99</t>
  </si>
  <si>
    <t>173</t>
  </si>
  <si>
    <t>026</t>
  </si>
  <si>
    <t>003</t>
  </si>
  <si>
    <t>013</t>
  </si>
  <si>
    <t>018</t>
  </si>
  <si>
    <t>777</t>
  </si>
  <si>
    <t>175-777</t>
  </si>
  <si>
    <t>179</t>
  </si>
  <si>
    <t>002</t>
  </si>
  <si>
    <t>004</t>
  </si>
  <si>
    <t>016</t>
  </si>
  <si>
    <t>179-57</t>
  </si>
  <si>
    <t>181</t>
  </si>
  <si>
    <t>012</t>
  </si>
  <si>
    <t>181-18</t>
  </si>
  <si>
    <t>019</t>
  </si>
  <si>
    <t>181-19</t>
  </si>
  <si>
    <t>181-37</t>
  </si>
  <si>
    <t>181-777</t>
  </si>
  <si>
    <t>183</t>
  </si>
  <si>
    <t>HIAGO RDRIGUES DE MIRANDA</t>
  </si>
  <si>
    <t>015</t>
  </si>
  <si>
    <t>183-777</t>
  </si>
  <si>
    <t>185</t>
  </si>
  <si>
    <t>006</t>
  </si>
  <si>
    <t>010</t>
  </si>
  <si>
    <t>011</t>
  </si>
  <si>
    <t>200</t>
  </si>
  <si>
    <t>128</t>
  </si>
  <si>
    <t>129</t>
  </si>
  <si>
    <t>132</t>
  </si>
  <si>
    <t>135</t>
  </si>
  <si>
    <t>200-135</t>
  </si>
  <si>
    <t>137</t>
  </si>
  <si>
    <t>3.823,60</t>
  </si>
  <si>
    <t>4.298,51</t>
  </si>
  <si>
    <t>2.858,03</t>
  </si>
  <si>
    <t>140.777,04</t>
  </si>
  <si>
    <t>Valor</t>
  </si>
  <si>
    <t>Nome Parâmetro</t>
  </si>
  <si>
    <t>Data base geração</t>
  </si>
  <si>
    <t>6.452,20</t>
  </si>
  <si>
    <t>4.814,46</t>
  </si>
  <si>
    <t>2.294,20</t>
  </si>
  <si>
    <t>(11)97575-4938</t>
  </si>
  <si>
    <t>0062</t>
  </si>
  <si>
    <t>00286</t>
  </si>
  <si>
    <t>000000391186</t>
  </si>
  <si>
    <t>000000040000</t>
  </si>
  <si>
    <t>000000069855</t>
  </si>
  <si>
    <t>233</t>
  </si>
  <si>
    <t>000000029339</t>
  </si>
  <si>
    <t>171</t>
  </si>
  <si>
    <t>000000050444</t>
  </si>
  <si>
    <t>00325</t>
  </si>
  <si>
    <t>000000009454</t>
  </si>
  <si>
    <t>Alerta - Vendedor não encontrado na planilha vendas.xlsm 62-106 Linha-5 Pasta Base</t>
  </si>
  <si>
    <t>00106</t>
  </si>
  <si>
    <t>000000400000</t>
  </si>
  <si>
    <t>000000000000</t>
  </si>
  <si>
    <t>00322</t>
  </si>
  <si>
    <t>000000211434</t>
  </si>
  <si>
    <t>000000015858</t>
  </si>
  <si>
    <t>000000050440</t>
  </si>
  <si>
    <t>00282</t>
  </si>
  <si>
    <t>000000096134</t>
  </si>
  <si>
    <t>133</t>
  </si>
  <si>
    <t>000000004100</t>
  </si>
  <si>
    <t>315</t>
  </si>
  <si>
    <t>00316</t>
  </si>
  <si>
    <t>000000321172</t>
  </si>
  <si>
    <t>000000057352</t>
  </si>
  <si>
    <t>00266</t>
  </si>
  <si>
    <t>000000645220</t>
  </si>
  <si>
    <t>000000200000</t>
  </si>
  <si>
    <t>00323</t>
  </si>
  <si>
    <t>Alerta - Vendedor não encontrado na planilha vendas.xlsm 62-327 Linha-11 Pasta Base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</si>
</sst>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&quot;$&quot;\ #,##0.00"/>
    <numFmt numFmtId="167" formatCode="0.0%"/>
    <numFmt numFmtId="168" formatCode="0000"/>
    <numFmt numFmtId="169" formatCode="00000"/>
    <numFmt numFmtId="170" formatCode="000"/>
    <numFmt numFmtId="171" formatCode="000000000000"/>
    <numFmt numFmtId="172" formatCode="mm/yyyy"/>
  </numFmts>
  <fonts count="3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00"/>
      <name val="Calibri"/>
      <family val="2"/>
      <scheme val="minor"/>
    </font>
    <font>
      <b/>
      <sz val="9"/>
      <color rgb="FF000000"/>
      <name val="Calibri"/>
      <family val="2"/>
      <scheme val="minor"/>
    </font>
    <font>
      <sz val="9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0"/>
      <name val="Arial"/>
      <family val="2"/>
    </font>
    <font>
      <b/>
      <sz val="10"/>
      <color rgb="FFFF0000"/>
      <name val="Arial"/>
      <family val="2"/>
    </font>
    <font>
      <b/>
      <sz val="10"/>
      <name val="Arial"/>
      <family val="2"/>
    </font>
    <font>
      <sz val="10"/>
      <color rgb="FFFF0000"/>
      <name val="Arial"/>
      <family val="2"/>
    </font>
    <font>
      <b/>
      <sz val="10"/>
      <color theme="1"/>
      <name val="Arial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u/>
      <sz val="15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name val="Arial"/>
      <family val="2"/>
    </font>
    <font>
      <b/>
      <sz val="11"/>
      <name val="Calibri"/>
      <family val="2"/>
    </font>
    <font>
      <sz val="10"/>
      <name val="Arial"/>
      <family val="2"/>
      <charset val="1"/>
    </font>
    <font>
      <b/>
      <sz val="9"/>
      <name val="Arial"/>
      <family val="2"/>
    </font>
    <font>
      <sz val="12"/>
      <color indexed="8"/>
      <name val="Calibri"/>
      <family val="2"/>
      <charset val="1"/>
    </font>
    <font>
      <sz val="12"/>
      <color indexed="8"/>
      <name val="Calibri"/>
      <family val="2"/>
    </font>
    <font>
      <sz val="11"/>
      <color rgb="FF000000"/>
      <name val="Calibri"/>
      <family val="2"/>
    </font>
    <font>
      <b/>
      <sz val="11"/>
      <color theme="1"/>
      <name val="Arial"/>
      <family val="2"/>
    </font>
    <font>
      <b/>
      <sz val="11"/>
      <color rgb="FF000000"/>
      <name val="Calibri"/>
      <family val="2"/>
    </font>
    <font>
      <sz val="9"/>
      <name val="Calibri Light"/>
      <family val="2"/>
      <scheme val="major"/>
    </font>
    <font>
      <sz val="11"/>
      <name val="Calibri"/>
      <family val="2"/>
      <scheme val="minor"/>
    </font>
    <font>
      <b/>
      <sz val="10"/>
      <color indexed="10"/>
      <name val="Arial"/>
      <family val="2"/>
    </font>
    <font>
      <b/>
      <sz val="9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9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FF0000"/>
      <name val="Calibri"/>
      <family val="2"/>
    </font>
    <font>
      <b/>
      <sz val="9"/>
      <color rgb="FFFF0000"/>
      <name val="Arial"/>
      <family val="2"/>
    </font>
    <font>
      <b/>
      <sz val="11"/>
      <color rgb="FFFF0000"/>
      <name val="Arial"/>
      <family val="2"/>
    </font>
    <font>
      <sz val="11"/>
      <color theme="0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99CC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92D050"/>
        <bgColor rgb="FFFFFFFF"/>
      </patternFill>
    </fill>
    <fill>
      <patternFill patternType="solid">
        <fgColor rgb="FF92D050"/>
        <bgColor rgb="FFFFFF00"/>
      </patternFill>
    </fill>
    <fill>
      <patternFill patternType="solid">
        <fgColor theme="2"/>
        <bgColor rgb="FFFFFF00"/>
      </patternFill>
    </fill>
    <fill>
      <patternFill patternType="solid">
        <fgColor indexed="1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4472BA"/>
        <bgColor indexed="64"/>
      </patternFill>
    </fill>
    <fill>
      <patternFill patternType="solid">
        <fgColor theme="0" tint="-0.49998474074526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/>
      <top/>
      <bottom/>
      <diagonal/>
    </border>
  </borders>
  <cellStyleXfs count="11">
    <xf numFmtId="0" fontId="0" fillId="0" borderId="0"/>
    <xf numFmtId="0" fontId="20" fillId="0" borderId="0"/>
    <xf numFmtId="0" fontId="8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22" fillId="0" borderId="0"/>
    <xf numFmtId="0" fontId="23" fillId="0" borderId="0"/>
    <xf numFmtId="0" fontId="24" fillId="0" borderId="0"/>
    <xf numFmtId="0" fontId="8" fillId="0" borderId="0"/>
  </cellStyleXfs>
  <cellXfs count="273">
    <xf numFmtId="0" fontId="0" fillId="0" borderId="0" xfId="0"/>
    <xf numFmtId="0" fontId="16" fillId="0" borderId="4" xfId="0" applyFont="1" applyBorder="1" applyAlignment="1">
      <alignment horizontal="center" wrapText="1"/>
    </xf>
    <xf numFmtId="0" fontId="2" fillId="2" borderId="0" xfId="0" applyFont="1" applyFill="1" applyAlignment="1">
      <alignment horizontal="center"/>
    </xf>
    <xf numFmtId="0" fontId="2" fillId="0" borderId="0" xfId="0" applyFont="1"/>
    <xf numFmtId="0" fontId="2" fillId="0" borderId="1" xfId="0" applyFont="1" applyBorder="1" applyAlignment="1">
      <alignment horizontal="center"/>
    </xf>
    <xf numFmtId="1" fontId="3" fillId="9" borderId="1" xfId="0" applyNumberFormat="1" applyFont="1" applyFill="1" applyBorder="1" applyAlignment="1">
      <alignment horizontal="center"/>
    </xf>
    <xf numFmtId="165" fontId="4" fillId="9" borderId="1" xfId="3" applyFont="1" applyFill="1" applyBorder="1"/>
    <xf numFmtId="165" fontId="3" fillId="9" borderId="1" xfId="3" applyFont="1" applyFill="1" applyBorder="1"/>
    <xf numFmtId="0" fontId="3" fillId="9" borderId="1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5" fillId="0" borderId="1" xfId="0" applyFont="1" applyBorder="1" applyAlignment="1">
      <alignment horizontal="center"/>
    </xf>
    <xf numFmtId="2" fontId="5" fillId="0" borderId="1" xfId="0" applyNumberFormat="1" applyFont="1" applyBorder="1" applyAlignment="1">
      <alignment horizontal="center"/>
    </xf>
    <xf numFmtId="49" fontId="5" fillId="0" borderId="1" xfId="0" applyNumberFormat="1" applyFont="1" applyBorder="1"/>
    <xf numFmtId="49" fontId="5" fillId="0" borderId="1" xfId="0" applyNumberFormat="1" applyFont="1" applyBorder="1" applyAlignment="1">
      <alignment horizontal="center"/>
    </xf>
    <xf numFmtId="14" fontId="5" fillId="0" borderId="1" xfId="0" applyNumberFormat="1" applyFont="1" applyBorder="1" applyAlignment="1">
      <alignment horizontal="center"/>
    </xf>
    <xf numFmtId="49" fontId="5" fillId="0" borderId="0" xfId="0" applyNumberFormat="1" applyFont="1" applyAlignment="1">
      <alignment horizontal="center"/>
    </xf>
    <xf numFmtId="0" fontId="5" fillId="0" borderId="0" xfId="0" applyFont="1"/>
    <xf numFmtId="0" fontId="5" fillId="0" borderId="1" xfId="0" applyFont="1" applyBorder="1"/>
    <xf numFmtId="0" fontId="8" fillId="0" borderId="0" xfId="0" applyFont="1"/>
    <xf numFmtId="0" fontId="8" fillId="0" borderId="0" xfId="0" applyFont="1" applyAlignment="1">
      <alignment horizontal="center"/>
    </xf>
    <xf numFmtId="0" fontId="9" fillId="10" borderId="3" xfId="0" applyFont="1" applyFill="1" applyBorder="1"/>
    <xf numFmtId="0" fontId="9" fillId="10" borderId="3" xfId="0" applyFont="1" applyFill="1" applyBorder="1" applyAlignment="1">
      <alignment horizontal="center"/>
    </xf>
    <xf numFmtId="0" fontId="8" fillId="0" borderId="3" xfId="0" applyFont="1" applyBorder="1"/>
    <xf numFmtId="0" fontId="10" fillId="11" borderId="3" xfId="0" applyFont="1" applyFill="1" applyBorder="1" applyAlignment="1">
      <alignment horizontal="center"/>
    </xf>
    <xf numFmtId="0" fontId="8" fillId="0" borderId="0" xfId="0" quotePrefix="1" applyFont="1"/>
    <xf numFmtId="4" fontId="8" fillId="0" borderId="0" xfId="0" applyNumberFormat="1" applyFont="1" applyAlignment="1">
      <alignment horizontal="center"/>
    </xf>
    <xf numFmtId="10" fontId="8" fillId="0" borderId="0" xfId="0" applyNumberFormat="1" applyFont="1" applyAlignment="1">
      <alignment horizontal="center"/>
    </xf>
    <xf numFmtId="0" fontId="8" fillId="12" borderId="0" xfId="0" applyFont="1" applyFill="1"/>
    <xf numFmtId="0" fontId="8" fillId="12" borderId="0" xfId="0" applyFont="1" applyFill="1" applyAlignment="1">
      <alignment horizontal="center"/>
    </xf>
    <xf numFmtId="4" fontId="8" fillId="12" borderId="0" xfId="0" applyNumberFormat="1" applyFont="1" applyFill="1" applyAlignment="1">
      <alignment horizontal="center"/>
    </xf>
    <xf numFmtId="0" fontId="12" fillId="0" borderId="0" xfId="0" quotePrefix="1" applyFont="1"/>
    <xf numFmtId="0" fontId="6" fillId="0" borderId="0" xfId="2" applyFont="1" applyAlignment="1">
      <alignment horizontal="center" vertical="center" wrapText="1"/>
    </xf>
    <xf numFmtId="0" fontId="6" fillId="0" borderId="0" xfId="2" applyFont="1" applyAlignment="1">
      <alignment horizontal="left" vertical="center" wrapText="1"/>
    </xf>
    <xf numFmtId="4" fontId="12" fillId="0" borderId="0" xfId="0" applyNumberFormat="1" applyFont="1" applyAlignment="1">
      <alignment horizontal="center"/>
    </xf>
    <xf numFmtId="0" fontId="12" fillId="0" borderId="0" xfId="0" applyFont="1"/>
    <xf numFmtId="10" fontId="12" fillId="0" borderId="0" xfId="0" applyNumberFormat="1" applyFont="1" applyAlignment="1">
      <alignment horizontal="center"/>
    </xf>
    <xf numFmtId="0" fontId="8" fillId="0" borderId="0" xfId="2" quotePrefix="1" applyAlignment="1">
      <alignment horizontal="center" vertical="center" wrapText="1"/>
    </xf>
    <xf numFmtId="165" fontId="8" fillId="0" borderId="0" xfId="3" applyFont="1"/>
    <xf numFmtId="4" fontId="0" fillId="0" borderId="0" xfId="0" applyNumberFormat="1" applyAlignment="1">
      <alignment horizontal="center"/>
    </xf>
    <xf numFmtId="0" fontId="13" fillId="13" borderId="0" xfId="0" applyFont="1" applyFill="1"/>
    <xf numFmtId="0" fontId="13" fillId="13" borderId="0" xfId="0" applyFont="1" applyFill="1" applyAlignment="1">
      <alignment horizontal="center"/>
    </xf>
    <xf numFmtId="4" fontId="13" fillId="13" borderId="0" xfId="0" applyNumberFormat="1" applyFont="1" applyFill="1" applyAlignment="1">
      <alignment horizontal="center"/>
    </xf>
    <xf numFmtId="0" fontId="1" fillId="14" borderId="1" xfId="5" applyFill="1" applyBorder="1"/>
    <xf numFmtId="0" fontId="1" fillId="14" borderId="1" xfId="5" applyFill="1" applyBorder="1" applyAlignment="1">
      <alignment horizontal="center"/>
    </xf>
    <xf numFmtId="0" fontId="1" fillId="0" borderId="0" xfId="5"/>
    <xf numFmtId="4" fontId="1" fillId="0" borderId="0" xfId="5" applyNumberFormat="1"/>
    <xf numFmtId="4" fontId="1" fillId="0" borderId="0" xfId="5" applyNumberFormat="1" applyAlignment="1">
      <alignment horizontal="center"/>
    </xf>
    <xf numFmtId="4" fontId="7" fillId="0" borderId="0" xfId="5" applyNumberFormat="1" applyFont="1" applyAlignment="1">
      <alignment horizontal="center"/>
    </xf>
    <xf numFmtId="165" fontId="1" fillId="0" borderId="0" xfId="3" applyFont="1"/>
    <xf numFmtId="0" fontId="1" fillId="0" borderId="0" xfId="5" quotePrefix="1"/>
    <xf numFmtId="0" fontId="7" fillId="15" borderId="0" xfId="5" applyFont="1" applyFill="1"/>
    <xf numFmtId="0" fontId="1" fillId="15" borderId="0" xfId="5" applyFill="1"/>
    <xf numFmtId="4" fontId="1" fillId="15" borderId="0" xfId="5" applyNumberFormat="1" applyFill="1"/>
    <xf numFmtId="4" fontId="7" fillId="15" borderId="0" xfId="5" applyNumberFormat="1" applyFont="1" applyFill="1" applyAlignment="1">
      <alignment horizontal="center"/>
    </xf>
    <xf numFmtId="10" fontId="7" fillId="15" borderId="0" xfId="6" applyNumberFormat="1" applyFont="1" applyFill="1" applyAlignment="1">
      <alignment horizontal="center"/>
    </xf>
    <xf numFmtId="14" fontId="1" fillId="0" borderId="0" xfId="5" applyNumberFormat="1"/>
    <xf numFmtId="0" fontId="0" fillId="0" borderId="0" xfId="0" applyAlignment="1">
      <alignment horizontal="center"/>
    </xf>
    <xf numFmtId="166" fontId="0" fillId="0" borderId="0" xfId="0" applyNumberFormat="1"/>
    <xf numFmtId="166" fontId="7" fillId="8" borderId="1" xfId="0" applyNumberFormat="1" applyFont="1" applyFill="1" applyBorder="1" applyAlignment="1">
      <alignment horizontal="center"/>
    </xf>
    <xf numFmtId="164" fontId="7" fillId="8" borderId="1" xfId="4" applyFont="1" applyFill="1" applyBorder="1" applyAlignment="1">
      <alignment horizontal="center"/>
    </xf>
    <xf numFmtId="0" fontId="7" fillId="8" borderId="1" xfId="0" applyFont="1" applyFill="1" applyBorder="1" applyAlignment="1">
      <alignment horizontal="center" vertical="center"/>
    </xf>
    <xf numFmtId="0" fontId="0" fillId="8" borderId="5" xfId="0" applyFill="1" applyBorder="1" applyAlignment="1">
      <alignment horizontal="center"/>
    </xf>
    <xf numFmtId="0" fontId="17" fillId="5" borderId="1" xfId="0" applyFont="1" applyFill="1" applyBorder="1" applyAlignment="1">
      <alignment horizontal="center" vertical="center" wrapText="1"/>
    </xf>
    <xf numFmtId="0" fontId="18" fillId="5" borderId="1" xfId="0" applyFont="1" applyFill="1" applyBorder="1" applyAlignment="1">
      <alignment horizontal="center" vertical="center" wrapText="1"/>
    </xf>
    <xf numFmtId="166" fontId="17" fillId="5" borderId="1" xfId="0" applyNumberFormat="1" applyFont="1" applyFill="1" applyBorder="1" applyAlignment="1">
      <alignment horizontal="center" vertical="center" wrapText="1"/>
    </xf>
    <xf numFmtId="164" fontId="17" fillId="5" borderId="1" xfId="4" applyFont="1" applyFill="1" applyBorder="1" applyAlignment="1">
      <alignment horizontal="center" vertical="center" wrapText="1"/>
    </xf>
    <xf numFmtId="0" fontId="17" fillId="5" borderId="1" xfId="0" applyFont="1" applyFill="1" applyBorder="1"/>
    <xf numFmtId="0" fontId="0" fillId="0" borderId="0" xfId="0" applyAlignment="1">
      <alignment horizontal="center" vertical="center" wrapText="1"/>
    </xf>
    <xf numFmtId="0" fontId="17" fillId="16" borderId="1" xfId="0" applyFont="1" applyFill="1" applyBorder="1" applyAlignment="1">
      <alignment horizontal="center" vertical="center" wrapText="1"/>
    </xf>
    <xf numFmtId="0" fontId="17" fillId="5" borderId="1" xfId="0" applyFont="1" applyFill="1" applyBorder="1" applyAlignment="1">
      <alignment horizontal="center"/>
    </xf>
    <xf numFmtId="0" fontId="19" fillId="17" borderId="1" xfId="5" applyFont="1" applyFill="1" applyBorder="1" applyAlignment="1">
      <alignment horizontal="center" vertical="center"/>
    </xf>
    <xf numFmtId="0" fontId="18" fillId="5" borderId="1" xfId="0" applyFont="1" applyFill="1" applyBorder="1" applyAlignment="1">
      <alignment horizontal="center"/>
    </xf>
    <xf numFmtId="167" fontId="18" fillId="5" borderId="1" xfId="0" applyNumberFormat="1" applyFont="1" applyFill="1" applyBorder="1" applyAlignment="1">
      <alignment horizontal="center"/>
    </xf>
    <xf numFmtId="167" fontId="17" fillId="5" borderId="1" xfId="0" applyNumberFormat="1" applyFont="1" applyFill="1" applyBorder="1" applyAlignment="1">
      <alignment horizontal="center" vertical="center"/>
    </xf>
    <xf numFmtId="166" fontId="17" fillId="5" borderId="1" xfId="0" applyNumberFormat="1" applyFont="1" applyFill="1" applyBorder="1" applyAlignment="1">
      <alignment horizontal="center" vertical="center"/>
    </xf>
    <xf numFmtId="164" fontId="17" fillId="5" borderId="1" xfId="4" applyFont="1" applyFill="1" applyBorder="1" applyAlignment="1">
      <alignment horizontal="center" vertical="center"/>
    </xf>
    <xf numFmtId="0" fontId="17" fillId="5" borderId="1" xfId="0" applyFont="1" applyFill="1" applyBorder="1" applyAlignment="1">
      <alignment horizontal="center" vertical="center"/>
    </xf>
    <xf numFmtId="0" fontId="18" fillId="5" borderId="1" xfId="0" quotePrefix="1" applyFont="1" applyFill="1" applyBorder="1" applyAlignment="1">
      <alignment horizontal="center"/>
    </xf>
    <xf numFmtId="0" fontId="21" fillId="5" borderId="1" xfId="1" applyFont="1" applyFill="1" applyBorder="1" applyAlignment="1">
      <alignment horizontal="center" vertical="center"/>
    </xf>
    <xf numFmtId="3" fontId="21" fillId="5" borderId="1" xfId="7" applyNumberFormat="1" applyFont="1" applyFill="1" applyBorder="1" applyAlignment="1">
      <alignment horizontal="center" vertical="top"/>
    </xf>
    <xf numFmtId="0" fontId="21" fillId="5" borderId="1" xfId="2" applyFont="1" applyFill="1" applyBorder="1" applyAlignment="1">
      <alignment horizontal="center" vertical="center"/>
    </xf>
    <xf numFmtId="3" fontId="21" fillId="5" borderId="1" xfId="8" applyNumberFormat="1" applyFont="1" applyFill="1" applyBorder="1" applyAlignment="1">
      <alignment horizontal="center" vertical="top"/>
    </xf>
    <xf numFmtId="49" fontId="21" fillId="5" borderId="1" xfId="7" applyNumberFormat="1" applyFont="1" applyFill="1" applyBorder="1" applyAlignment="1">
      <alignment horizontal="center" vertical="top"/>
    </xf>
    <xf numFmtId="49" fontId="21" fillId="5" borderId="1" xfId="1" applyNumberFormat="1" applyFont="1" applyFill="1" applyBorder="1" applyAlignment="1">
      <alignment horizontal="center" vertical="center"/>
    </xf>
    <xf numFmtId="0" fontId="19" fillId="18" borderId="1" xfId="9" applyFont="1" applyFill="1" applyBorder="1" applyAlignment="1">
      <alignment horizontal="center" vertical="center"/>
    </xf>
    <xf numFmtId="3" fontId="21" fillId="5" borderId="1" xfId="8" applyNumberFormat="1" applyFont="1" applyFill="1" applyBorder="1" applyAlignment="1" applyProtection="1">
      <alignment horizontal="center"/>
      <protection locked="0"/>
    </xf>
    <xf numFmtId="166" fontId="17" fillId="5" borderId="1" xfId="4" applyNumberFormat="1" applyFont="1" applyFill="1" applyBorder="1" applyAlignment="1">
      <alignment horizontal="center" vertical="center"/>
    </xf>
    <xf numFmtId="0" fontId="19" fillId="16" borderId="1" xfId="5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wrapText="1"/>
    </xf>
    <xf numFmtId="0" fontId="25" fillId="0" borderId="1" xfId="0" applyFont="1" applyBorder="1" applyAlignment="1">
      <alignment horizontal="center" wrapText="1"/>
    </xf>
    <xf numFmtId="166" fontId="7" fillId="5" borderId="1" xfId="0" applyNumberFormat="1" applyFont="1" applyFill="1" applyBorder="1" applyAlignment="1">
      <alignment horizontal="center" wrapText="1"/>
    </xf>
    <xf numFmtId="0" fontId="7" fillId="5" borderId="1" xfId="0" applyFont="1" applyFill="1" applyBorder="1" applyAlignment="1">
      <alignment horizontal="center" wrapText="1"/>
    </xf>
    <xf numFmtId="0" fontId="26" fillId="19" borderId="1" xfId="5" applyFont="1" applyFill="1" applyBorder="1" applyAlignment="1">
      <alignment horizontal="center"/>
    </xf>
    <xf numFmtId="167" fontId="2" fillId="5" borderId="1" xfId="0" applyNumberFormat="1" applyFont="1" applyFill="1" applyBorder="1" applyAlignment="1">
      <alignment horizontal="center"/>
    </xf>
    <xf numFmtId="167" fontId="2" fillId="0" borderId="1" xfId="0" applyNumberFormat="1" applyFont="1" applyBorder="1" applyAlignment="1">
      <alignment horizontal="center"/>
    </xf>
    <xf numFmtId="166" fontId="0" fillId="5" borderId="1" xfId="0" applyNumberFormat="1" applyFill="1" applyBorder="1" applyAlignment="1">
      <alignment horizontal="center"/>
    </xf>
    <xf numFmtId="166" fontId="2" fillId="5" borderId="1" xfId="0" applyNumberFormat="1" applyFont="1" applyFill="1" applyBorder="1" applyAlignment="1">
      <alignment horizontal="center"/>
    </xf>
    <xf numFmtId="0" fontId="7" fillId="5" borderId="1" xfId="0" applyFont="1" applyFill="1" applyBorder="1" applyAlignment="1">
      <alignment horizontal="center"/>
    </xf>
    <xf numFmtId="0" fontId="2" fillId="5" borderId="2" xfId="0" applyFont="1" applyFill="1" applyBorder="1" applyAlignment="1">
      <alignment horizontal="center"/>
    </xf>
    <xf numFmtId="3" fontId="5" fillId="5" borderId="1" xfId="10" applyNumberFormat="1" applyFont="1" applyFill="1" applyBorder="1" applyAlignment="1" applyProtection="1">
      <alignment horizontal="center"/>
      <protection locked="0"/>
    </xf>
    <xf numFmtId="0" fontId="2" fillId="5" borderId="1" xfId="2" applyFont="1" applyFill="1" applyBorder="1" applyAlignment="1">
      <alignment horizontal="center" wrapText="1"/>
    </xf>
    <xf numFmtId="166" fontId="7" fillId="5" borderId="1" xfId="0" applyNumberFormat="1" applyFont="1" applyFill="1" applyBorder="1" applyAlignment="1">
      <alignment horizontal="center"/>
    </xf>
    <xf numFmtId="3" fontId="5" fillId="5" borderId="6" xfId="7" applyNumberFormat="1" applyFont="1" applyFill="1" applyBorder="1" applyAlignment="1" applyProtection="1">
      <alignment horizontal="center"/>
      <protection locked="0"/>
    </xf>
    <xf numFmtId="3" fontId="5" fillId="5" borderId="1" xfId="7" applyNumberFormat="1" applyFont="1" applyFill="1" applyBorder="1" applyAlignment="1" applyProtection="1">
      <alignment horizontal="center"/>
      <protection locked="0"/>
    </xf>
    <xf numFmtId="3" fontId="5" fillId="5" borderId="1" xfId="8" applyNumberFormat="1" applyFont="1" applyFill="1" applyBorder="1" applyAlignment="1" applyProtection="1">
      <alignment horizontal="center"/>
      <protection locked="0"/>
    </xf>
    <xf numFmtId="0" fontId="27" fillId="0" borderId="1" xfId="2" applyFont="1" applyBorder="1" applyAlignment="1">
      <alignment horizontal="center" wrapText="1"/>
    </xf>
    <xf numFmtId="167" fontId="2" fillId="0" borderId="2" xfId="0" applyNumberFormat="1" applyFont="1" applyBorder="1" applyAlignment="1">
      <alignment horizontal="center"/>
    </xf>
    <xf numFmtId="0" fontId="26" fillId="19" borderId="7" xfId="9" applyFont="1" applyFill="1" applyBorder="1" applyAlignment="1">
      <alignment horizontal="center"/>
    </xf>
    <xf numFmtId="0" fontId="26" fillId="19" borderId="8" xfId="9" applyFont="1" applyFill="1" applyBorder="1" applyAlignment="1">
      <alignment horizontal="center"/>
    </xf>
    <xf numFmtId="0" fontId="17" fillId="4" borderId="1" xfId="0" applyFont="1" applyFill="1" applyBorder="1" applyAlignment="1">
      <alignment horizontal="center" vertical="center"/>
    </xf>
    <xf numFmtId="165" fontId="17" fillId="4" borderId="1" xfId="3" applyFont="1" applyFill="1" applyBorder="1" applyAlignment="1">
      <alignment horizontal="center" vertical="center"/>
    </xf>
    <xf numFmtId="0" fontId="28" fillId="0" borderId="0" xfId="0" applyFont="1"/>
    <xf numFmtId="0" fontId="28" fillId="0" borderId="1" xfId="0" applyFont="1" applyBorder="1" applyAlignment="1">
      <alignment horizontal="center"/>
    </xf>
    <xf numFmtId="2" fontId="28" fillId="0" borderId="1" xfId="0" applyNumberFormat="1" applyFont="1" applyBorder="1" applyAlignment="1">
      <alignment horizontal="center"/>
    </xf>
    <xf numFmtId="49" fontId="28" fillId="0" borderId="1" xfId="0" applyNumberFormat="1" applyFont="1" applyBorder="1" applyAlignment="1">
      <alignment horizontal="left"/>
    </xf>
    <xf numFmtId="49" fontId="28" fillId="0" borderId="1" xfId="0" applyNumberFormat="1" applyFont="1" applyBorder="1"/>
    <xf numFmtId="49" fontId="28" fillId="0" borderId="1" xfId="0" applyNumberFormat="1" applyFont="1" applyBorder="1" applyAlignment="1">
      <alignment horizontal="center"/>
    </xf>
    <xf numFmtId="14" fontId="28" fillId="0" borderId="1" xfId="0" applyNumberFormat="1" applyFont="1" applyBorder="1" applyAlignment="1">
      <alignment horizontal="center"/>
    </xf>
    <xf numFmtId="165" fontId="28" fillId="0" borderId="1" xfId="3" applyFont="1" applyBorder="1"/>
    <xf numFmtId="2" fontId="11" fillId="0" borderId="0" xfId="0" applyNumberFormat="1" applyFont="1"/>
    <xf numFmtId="0" fontId="0" fillId="0" borderId="0" xfId="0" applyAlignment="1">
      <alignment horizontal="right"/>
    </xf>
    <xf numFmtId="168" fontId="0" fillId="20" borderId="0" xfId="0" applyNumberFormat="1" applyFill="1"/>
    <xf numFmtId="169" fontId="0" fillId="20" borderId="0" xfId="0" applyNumberFormat="1" applyFill="1" applyAlignment="1">
      <alignment horizontal="right"/>
    </xf>
    <xf numFmtId="170" fontId="0" fillId="20" borderId="0" xfId="0" applyNumberFormat="1" applyFill="1" applyAlignment="1">
      <alignment horizontal="center"/>
    </xf>
    <xf numFmtId="2" fontId="0" fillId="20" borderId="0" xfId="0" applyNumberFormat="1" applyFill="1"/>
    <xf numFmtId="164" fontId="1" fillId="0" borderId="0" xfId="4" applyFont="1" applyProtection="1"/>
    <xf numFmtId="168" fontId="11" fillId="0" borderId="0" xfId="0" applyNumberFormat="1" applyFont="1"/>
    <xf numFmtId="169" fontId="11" fillId="0" borderId="0" xfId="0" applyNumberFormat="1" applyFont="1" applyAlignment="1">
      <alignment horizontal="right"/>
    </xf>
    <xf numFmtId="170" fontId="8" fillId="0" borderId="0" xfId="0" applyNumberFormat="1" applyFont="1" applyAlignment="1">
      <alignment horizontal="center"/>
    </xf>
    <xf numFmtId="171" fontId="0" fillId="0" borderId="0" xfId="0" applyNumberFormat="1"/>
    <xf numFmtId="164" fontId="11" fillId="0" borderId="0" xfId="4" applyFont="1" applyProtection="1"/>
    <xf numFmtId="49" fontId="0" fillId="0" borderId="0" xfId="0" applyNumberFormat="1"/>
    <xf numFmtId="0" fontId="9" fillId="21" borderId="0" xfId="0" applyFont="1" applyFill="1" applyAlignment="1">
      <alignment horizontal="center" vertical="center"/>
    </xf>
    <xf numFmtId="49" fontId="1" fillId="0" borderId="0" xfId="3" applyNumberFormat="1" applyFont="1"/>
    <xf numFmtId="0" fontId="7" fillId="8" borderId="1" xfId="0" applyFont="1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30" fillId="3" borderId="1" xfId="0" applyFont="1" applyFill="1" applyBorder="1" applyAlignment="1">
      <alignment horizontal="center" vertical="center"/>
    </xf>
    <xf numFmtId="0" fontId="30" fillId="4" borderId="1" xfId="0" applyFont="1" applyFill="1" applyBorder="1" applyAlignment="1">
      <alignment horizontal="center" vertical="center"/>
    </xf>
    <xf numFmtId="0" fontId="30" fillId="4" borderId="1" xfId="0" applyFont="1" applyFill="1" applyBorder="1" applyAlignment="1">
      <alignment horizontal="center"/>
    </xf>
    <xf numFmtId="0" fontId="30" fillId="5" borderId="0" xfId="0" applyFont="1" applyFill="1" applyAlignment="1">
      <alignment horizontal="center" vertical="center"/>
    </xf>
    <xf numFmtId="0" fontId="30" fillId="6" borderId="1" xfId="0" applyFont="1" applyFill="1" applyBorder="1" applyAlignment="1">
      <alignment horizontal="center" vertical="center" wrapText="1"/>
    </xf>
    <xf numFmtId="0" fontId="30" fillId="7" borderId="1" xfId="0" applyFont="1" applyFill="1" applyBorder="1" applyAlignment="1">
      <alignment horizontal="center" vertical="center" wrapText="1"/>
    </xf>
    <xf numFmtId="164" fontId="30" fillId="6" borderId="1" xfId="0" applyNumberFormat="1" applyFont="1" applyFill="1" applyBorder="1" applyAlignment="1">
      <alignment horizontal="center" vertical="center" wrapText="1"/>
    </xf>
    <xf numFmtId="164" fontId="30" fillId="4" borderId="1" xfId="0" applyNumberFormat="1" applyFont="1" applyFill="1" applyBorder="1" applyAlignment="1">
      <alignment horizontal="center" vertical="center" wrapText="1"/>
    </xf>
    <xf numFmtId="164" fontId="30" fillId="8" borderId="1" xfId="0" applyNumberFormat="1" applyFont="1" applyFill="1" applyBorder="1" applyAlignment="1">
      <alignment horizontal="center" vertical="center" wrapText="1"/>
    </xf>
    <xf numFmtId="165" fontId="30" fillId="0" borderId="2" xfId="3" applyFont="1" applyFill="1" applyBorder="1" applyAlignment="1">
      <alignment horizontal="center" vertical="center" wrapText="1"/>
    </xf>
    <xf numFmtId="9" fontId="30" fillId="4" borderId="2" xfId="3" applyNumberFormat="1" applyFont="1" applyFill="1" applyBorder="1" applyAlignment="1">
      <alignment horizontal="center" vertical="center" wrapText="1"/>
    </xf>
    <xf numFmtId="165" fontId="30" fillId="8" borderId="2" xfId="3" applyFont="1" applyFill="1" applyBorder="1" applyAlignment="1">
      <alignment horizontal="center" vertical="center" wrapText="1"/>
    </xf>
    <xf numFmtId="0" fontId="30" fillId="6" borderId="2" xfId="0" applyFont="1" applyFill="1" applyBorder="1" applyAlignment="1">
      <alignment horizontal="center" vertical="center" wrapText="1"/>
    </xf>
    <xf numFmtId="0" fontId="30" fillId="8" borderId="1" xfId="0" applyFont="1" applyFill="1" applyBorder="1" applyAlignment="1">
      <alignment horizontal="center" vertical="center" wrapText="1"/>
    </xf>
    <xf numFmtId="0" fontId="30" fillId="0" borderId="1" xfId="0" applyFont="1" applyBorder="1" applyAlignment="1">
      <alignment horizontal="center" vertical="center" wrapText="1"/>
    </xf>
    <xf numFmtId="0" fontId="30" fillId="4" borderId="1" xfId="0" applyFont="1" applyFill="1" applyBorder="1" applyAlignment="1">
      <alignment horizontal="center" vertical="center" wrapText="1"/>
    </xf>
    <xf numFmtId="164" fontId="5" fillId="0" borderId="1" xfId="0" applyNumberFormat="1" applyFont="1" applyBorder="1"/>
    <xf numFmtId="164" fontId="5" fillId="0" borderId="0" xfId="0" applyNumberFormat="1" applyFont="1"/>
    <xf numFmtId="164" fontId="5" fillId="0" borderId="1" xfId="0" applyNumberFormat="1" applyFont="1" applyBorder="1" applyAlignment="1">
      <alignment horizontal="center"/>
    </xf>
    <xf numFmtId="49" fontId="5" fillId="5" borderId="1" xfId="0" applyNumberFormat="1" applyFont="1" applyFill="1" applyBorder="1"/>
    <xf numFmtId="49" fontId="5" fillId="5" borderId="1" xfId="0" applyNumberFormat="1" applyFont="1" applyFill="1" applyBorder="1" applyAlignment="1">
      <alignment horizontal="center"/>
    </xf>
    <xf numFmtId="14" fontId="5" fillId="5" borderId="1" xfId="0" applyNumberFormat="1" applyFont="1" applyFill="1" applyBorder="1" applyAlignment="1">
      <alignment horizontal="center"/>
    </xf>
    <xf numFmtId="0" fontId="5" fillId="5" borderId="1" xfId="0" applyFont="1" applyFill="1" applyBorder="1" applyAlignment="1">
      <alignment horizontal="center"/>
    </xf>
    <xf numFmtId="2" fontId="5" fillId="5" borderId="1" xfId="0" applyNumberFormat="1" applyFont="1" applyFill="1" applyBorder="1" applyAlignment="1">
      <alignment horizontal="center"/>
    </xf>
    <xf numFmtId="49" fontId="5" fillId="5" borderId="0" xfId="0" applyNumberFormat="1" applyFont="1" applyFill="1" applyAlignment="1">
      <alignment horizontal="center"/>
    </xf>
    <xf numFmtId="0" fontId="5" fillId="5" borderId="0" xfId="0" applyFont="1" applyFill="1"/>
    <xf numFmtId="0" fontId="5" fillId="8" borderId="0" xfId="0" applyFont="1" applyFill="1"/>
    <xf numFmtId="49" fontId="5" fillId="8" borderId="0" xfId="0" applyNumberFormat="1" applyFont="1" applyFill="1" applyAlignment="1">
      <alignment horizontal="center"/>
    </xf>
    <xf numFmtId="0" fontId="5" fillId="0" borderId="0" xfId="0" applyFont="1" applyAlignment="1">
      <alignment horizontal="center"/>
    </xf>
    <xf numFmtId="0" fontId="5" fillId="5" borderId="0" xfId="0" applyFont="1" applyFill="1" applyAlignment="1">
      <alignment horizontal="center"/>
    </xf>
    <xf numFmtId="164" fontId="5" fillId="0" borderId="1" xfId="0" applyNumberFormat="1" applyFont="1" applyFill="1" applyBorder="1" applyAlignment="1">
      <alignment horizontal="center"/>
    </xf>
    <xf numFmtId="164" fontId="5" fillId="0" borderId="1" xfId="0" applyNumberFormat="1" applyFont="1" applyFill="1" applyBorder="1"/>
    <xf numFmtId="164" fontId="5" fillId="0" borderId="0" xfId="0" applyNumberFormat="1" applyFont="1" applyFill="1"/>
    <xf numFmtId="0" fontId="5" fillId="0" borderId="1" xfId="0" applyFont="1" applyFill="1" applyBorder="1" applyAlignment="1">
      <alignment horizontal="center"/>
    </xf>
    <xf numFmtId="2" fontId="5" fillId="0" borderId="1" xfId="0" applyNumberFormat="1" applyFont="1" applyFill="1" applyBorder="1" applyAlignment="1">
      <alignment horizontal="center"/>
    </xf>
    <xf numFmtId="49" fontId="5" fillId="0" borderId="1" xfId="0" applyNumberFormat="1" applyFont="1" applyFill="1" applyBorder="1"/>
    <xf numFmtId="49" fontId="5" fillId="0" borderId="1" xfId="0" applyNumberFormat="1" applyFont="1" applyFill="1" applyBorder="1" applyAlignment="1">
      <alignment horizontal="center"/>
    </xf>
    <xf numFmtId="14" fontId="5" fillId="0" borderId="1" xfId="0" applyNumberFormat="1" applyFont="1" applyFill="1" applyBorder="1" applyAlignment="1">
      <alignment horizontal="center"/>
    </xf>
    <xf numFmtId="165" fontId="3" fillId="9" borderId="9" xfId="3" applyFont="1" applyFill="1" applyBorder="1"/>
    <xf numFmtId="164" fontId="5" fillId="0" borderId="9" xfId="0" applyNumberFormat="1" applyFont="1" applyBorder="1"/>
    <xf numFmtId="164" fontId="0" fillId="0" borderId="0" xfId="4" applyFont="1"/>
    <xf numFmtId="0" fontId="0" fillId="0" borderId="1" xfId="0" applyBorder="1" applyAlignment="1">
      <alignment horizontal="center"/>
    </xf>
    <xf numFmtId="166" fontId="0" fillId="5" borderId="1" xfId="0" applyNumberFormat="1" applyFill="1" applyBorder="1" applyAlignment="1">
      <alignment horizontal="center" wrapText="1"/>
    </xf>
    <xf numFmtId="0" fontId="2" fillId="5" borderId="10" xfId="0" applyFont="1" applyFill="1" applyBorder="1" applyAlignment="1">
      <alignment horizontal="center"/>
    </xf>
    <xf numFmtId="3" fontId="5" fillId="5" borderId="5" xfId="10" applyNumberFormat="1" applyFont="1" applyFill="1" applyBorder="1" applyAlignment="1" applyProtection="1">
      <alignment horizontal="center"/>
      <protection locked="0"/>
    </xf>
    <xf numFmtId="0" fontId="2" fillId="0" borderId="1" xfId="2" applyFont="1" applyBorder="1" applyAlignment="1">
      <alignment horizontal="center" wrapText="1"/>
    </xf>
    <xf numFmtId="0" fontId="2" fillId="5" borderId="5" xfId="0" applyFont="1" applyFill="1" applyBorder="1" applyAlignment="1">
      <alignment horizontal="center"/>
    </xf>
    <xf numFmtId="0" fontId="26" fillId="19" borderId="11" xfId="9" applyFont="1" applyFill="1" applyBorder="1" applyAlignment="1">
      <alignment horizontal="center"/>
    </xf>
    <xf numFmtId="165" fontId="31" fillId="22" borderId="9" xfId="3" applyFont="1" applyFill="1" applyBorder="1"/>
    <xf numFmtId="1" fontId="31" fillId="22" borderId="1" xfId="0" applyNumberFormat="1" applyFont="1" applyFill="1" applyBorder="1" applyAlignment="1">
      <alignment horizontal="center"/>
    </xf>
    <xf numFmtId="165" fontId="31" fillId="22" borderId="1" xfId="3" applyFont="1" applyFill="1" applyBorder="1"/>
    <xf numFmtId="0" fontId="5" fillId="8" borderId="1" xfId="0" applyFont="1" applyFill="1" applyBorder="1" applyAlignment="1">
      <alignment horizontal="center"/>
    </xf>
    <xf numFmtId="2" fontId="5" fillId="8" borderId="1" xfId="0" applyNumberFormat="1" applyFont="1" applyFill="1" applyBorder="1" applyAlignment="1">
      <alignment horizontal="center"/>
    </xf>
    <xf numFmtId="49" fontId="5" fillId="8" borderId="1" xfId="0" applyNumberFormat="1" applyFont="1" applyFill="1" applyBorder="1"/>
    <xf numFmtId="49" fontId="5" fillId="8" borderId="1" xfId="0" applyNumberFormat="1" applyFont="1" applyFill="1" applyBorder="1" applyAlignment="1">
      <alignment horizontal="center"/>
    </xf>
    <xf numFmtId="14" fontId="5" fillId="8" borderId="1" xfId="0" applyNumberFormat="1" applyFont="1" applyFill="1" applyBorder="1" applyAlignment="1">
      <alignment horizontal="center"/>
    </xf>
    <xf numFmtId="164" fontId="5" fillId="8" borderId="1" xfId="0" applyNumberFormat="1" applyFont="1" applyFill="1" applyBorder="1" applyAlignment="1">
      <alignment horizontal="center"/>
    </xf>
    <xf numFmtId="164" fontId="5" fillId="8" borderId="1" xfId="0" applyNumberFormat="1" applyFont="1" applyFill="1" applyBorder="1"/>
    <xf numFmtId="0" fontId="32" fillId="0" borderId="1" xfId="0" applyFont="1" applyBorder="1" applyAlignment="1">
      <alignment horizontal="center"/>
    </xf>
    <xf numFmtId="2" fontId="32" fillId="0" borderId="1" xfId="0" applyNumberFormat="1" applyFont="1" applyBorder="1" applyAlignment="1">
      <alignment horizontal="center"/>
    </xf>
    <xf numFmtId="49" fontId="32" fillId="0" borderId="1" xfId="0" applyNumberFormat="1" applyFont="1" applyBorder="1"/>
    <xf numFmtId="49" fontId="32" fillId="0" borderId="1" xfId="0" applyNumberFormat="1" applyFont="1" applyBorder="1" applyAlignment="1">
      <alignment horizontal="center"/>
    </xf>
    <xf numFmtId="14" fontId="32" fillId="0" borderId="1" xfId="0" applyNumberFormat="1" applyFont="1" applyBorder="1" applyAlignment="1">
      <alignment horizontal="center"/>
    </xf>
    <xf numFmtId="49" fontId="32" fillId="0" borderId="0" xfId="0" applyNumberFormat="1" applyFont="1" applyAlignment="1">
      <alignment horizontal="center"/>
    </xf>
    <xf numFmtId="164" fontId="32" fillId="0" borderId="1" xfId="0" applyNumberFormat="1" applyFont="1" applyFill="1" applyBorder="1" applyAlignment="1">
      <alignment horizontal="center"/>
    </xf>
    <xf numFmtId="164" fontId="32" fillId="0" borderId="1" xfId="0" applyNumberFormat="1" applyFont="1" applyFill="1" applyBorder="1"/>
    <xf numFmtId="164" fontId="32" fillId="0" borderId="1" xfId="0" applyNumberFormat="1" applyFont="1" applyBorder="1"/>
    <xf numFmtId="0" fontId="32" fillId="0" borderId="0" xfId="0" applyFont="1"/>
    <xf numFmtId="164" fontId="32" fillId="0" borderId="1" xfId="0" applyNumberFormat="1" applyFont="1" applyBorder="1"/>
    <xf numFmtId="2" fontId="8" fillId="0" borderId="0" xfId="0" applyNumberFormat="1" applyFont="1"/>
    <xf numFmtId="165" fontId="0" fillId="0" borderId="0" xfId="3" applyFont="1"/>
    <xf numFmtId="0" fontId="0" fillId="0" borderId="0" xfId="2" applyFont="1" applyAlignment="1">
      <alignment horizontal="center" vertical="center" wrapText="1"/>
    </xf>
    <xf numFmtId="0" fontId="0" fillId="0" borderId="0" xfId="2" applyFont="1" applyAlignment="1">
      <alignment horizontal="left" vertical="center" wrapText="1"/>
    </xf>
    <xf numFmtId="0" fontId="0" fillId="0" borderId="0" xfId="2" quotePrefix="1" applyFont="1" applyAlignment="1">
      <alignment horizontal="center" vertical="center" wrapText="1"/>
    </xf>
    <xf numFmtId="10" fontId="0" fillId="0" borderId="0" xfId="6" applyNumberFormat="1" applyFont="1" applyAlignment="1">
      <alignment horizontal="center"/>
    </xf>
    <xf numFmtId="165" fontId="1" fillId="0" borderId="0" xfId="3"/>
    <xf numFmtId="165" fontId="8" fillId="14" borderId="0" xfId="3" applyFont="1" applyFill="1"/>
    <xf numFmtId="165" fontId="5" fillId="0" borderId="1" xfId="3" applyFont="1" applyBorder="1"/>
    <xf numFmtId="165" fontId="5" fillId="5" borderId="1" xfId="3" applyFont="1" applyFill="1" applyBorder="1"/>
    <xf numFmtId="165" fontId="5" fillId="8" borderId="1" xfId="3" applyFont="1" applyFill="1" applyBorder="1"/>
    <xf numFmtId="165" fontId="5" fillId="0" borderId="1" xfId="3" applyFont="1" applyFill="1" applyBorder="1"/>
    <xf numFmtId="165" fontId="32" fillId="0" borderId="1" xfId="3" applyFont="1" applyBorder="1"/>
    <xf numFmtId="165" fontId="5" fillId="0" borderId="0" xfId="3" applyFont="1"/>
    <xf numFmtId="165" fontId="4" fillId="9" borderId="9" xfId="3" applyFont="1" applyFill="1" applyBorder="1"/>
    <xf numFmtId="165" fontId="5" fillId="0" borderId="9" xfId="3" applyFont="1" applyBorder="1"/>
    <xf numFmtId="165" fontId="5" fillId="5" borderId="0" xfId="3" applyFont="1" applyFill="1"/>
    <xf numFmtId="165" fontId="5" fillId="8" borderId="0" xfId="3" applyFont="1" applyFill="1"/>
    <xf numFmtId="165" fontId="32" fillId="0" borderId="0" xfId="3" applyFont="1"/>
    <xf numFmtId="0" fontId="6" fillId="0" borderId="0" xfId="0" applyFont="1"/>
    <xf numFmtId="165" fontId="6" fillId="0" borderId="0" xfId="3" applyFont="1"/>
    <xf numFmtId="49" fontId="32" fillId="5" borderId="1" xfId="0" applyNumberFormat="1" applyFont="1" applyFill="1" applyBorder="1"/>
    <xf numFmtId="49" fontId="32" fillId="5" borderId="1" xfId="0" applyNumberFormat="1" applyFont="1" applyFill="1" applyBorder="1" applyAlignment="1">
      <alignment horizontal="center"/>
    </xf>
    <xf numFmtId="14" fontId="32" fillId="5" borderId="1" xfId="0" applyNumberFormat="1" applyFont="1" applyFill="1" applyBorder="1" applyAlignment="1">
      <alignment horizontal="center"/>
    </xf>
    <xf numFmtId="164" fontId="32" fillId="0" borderId="1" xfId="0" applyNumberFormat="1" applyFont="1" applyBorder="1" applyAlignment="1">
      <alignment horizontal="center"/>
    </xf>
    <xf numFmtId="0" fontId="6" fillId="0" borderId="0" xfId="5" applyFont="1"/>
    <xf numFmtId="4" fontId="6" fillId="0" borderId="0" xfId="5" applyNumberFormat="1" applyFont="1"/>
    <xf numFmtId="4" fontId="33" fillId="0" borderId="0" xfId="5" applyNumberFormat="1" applyFont="1" applyAlignment="1">
      <alignment horizontal="center"/>
    </xf>
    <xf numFmtId="4" fontId="6" fillId="0" borderId="0" xfId="5" applyNumberFormat="1" applyFont="1" applyAlignment="1">
      <alignment horizontal="center"/>
    </xf>
    <xf numFmtId="10" fontId="6" fillId="0" borderId="0" xfId="6" applyNumberFormat="1" applyFont="1" applyAlignment="1">
      <alignment horizontal="center"/>
    </xf>
    <xf numFmtId="0" fontId="32" fillId="5" borderId="0" xfId="0" applyFont="1" applyFill="1"/>
    <xf numFmtId="0" fontId="34" fillId="17" borderId="1" xfId="5" applyFont="1" applyFill="1" applyBorder="1" applyAlignment="1">
      <alignment horizontal="center" vertical="center"/>
    </xf>
    <xf numFmtId="0" fontId="33" fillId="5" borderId="1" xfId="0" applyFont="1" applyFill="1" applyBorder="1" applyAlignment="1">
      <alignment horizontal="center"/>
    </xf>
    <xf numFmtId="0" fontId="35" fillId="5" borderId="1" xfId="1" applyFont="1" applyFill="1" applyBorder="1" applyAlignment="1">
      <alignment horizontal="center" vertical="center"/>
    </xf>
    <xf numFmtId="167" fontId="36" fillId="5" borderId="1" xfId="0" applyNumberFormat="1" applyFont="1" applyFill="1" applyBorder="1" applyAlignment="1">
      <alignment horizontal="center"/>
    </xf>
    <xf numFmtId="166" fontId="33" fillId="5" borderId="1" xfId="0" applyNumberFormat="1" applyFont="1" applyFill="1" applyBorder="1" applyAlignment="1">
      <alignment horizontal="center" vertical="center"/>
    </xf>
    <xf numFmtId="164" fontId="33" fillId="5" borderId="1" xfId="4" applyFont="1" applyFill="1" applyBorder="1" applyAlignment="1">
      <alignment horizontal="center" vertical="center"/>
    </xf>
    <xf numFmtId="166" fontId="33" fillId="5" borderId="1" xfId="0" applyNumberFormat="1" applyFont="1" applyFill="1" applyBorder="1" applyAlignment="1">
      <alignment horizontal="center" vertical="center" wrapText="1"/>
    </xf>
    <xf numFmtId="0" fontId="33" fillId="5" borderId="1" xfId="0" applyFont="1" applyFill="1" applyBorder="1" applyAlignment="1">
      <alignment horizontal="center" vertical="center"/>
    </xf>
    <xf numFmtId="0" fontId="33" fillId="5" borderId="1" xfId="0" applyFont="1" applyFill="1" applyBorder="1"/>
    <xf numFmtId="0" fontId="36" fillId="5" borderId="1" xfId="0" applyFont="1" applyFill="1" applyBorder="1" applyAlignment="1">
      <alignment horizontal="center"/>
    </xf>
    <xf numFmtId="0" fontId="36" fillId="5" borderId="1" xfId="0" applyFont="1" applyFill="1" applyBorder="1" applyAlignment="1">
      <alignment horizontal="center" vertical="center" wrapText="1"/>
    </xf>
    <xf numFmtId="0" fontId="32" fillId="5" borderId="1" xfId="0" applyFont="1" applyFill="1" applyBorder="1" applyAlignment="1">
      <alignment horizontal="center"/>
    </xf>
    <xf numFmtId="2" fontId="32" fillId="5" borderId="1" xfId="0" applyNumberFormat="1" applyFont="1" applyFill="1" applyBorder="1" applyAlignment="1">
      <alignment horizontal="center"/>
    </xf>
    <xf numFmtId="49" fontId="32" fillId="5" borderId="0" xfId="0" applyNumberFormat="1" applyFont="1" applyFill="1" applyAlignment="1">
      <alignment horizontal="center"/>
    </xf>
    <xf numFmtId="165" fontId="32" fillId="5" borderId="0" xfId="3" applyFont="1" applyFill="1"/>
    <xf numFmtId="165" fontId="32" fillId="5" borderId="1" xfId="3" applyFont="1" applyFill="1" applyBorder="1"/>
    <xf numFmtId="0" fontId="12" fillId="0" borderId="0" xfId="0" quotePrefix="1" applyFont="1" applyFill="1"/>
    <xf numFmtId="0" fontId="6" fillId="0" borderId="0" xfId="2" applyFont="1" applyFill="1" applyAlignment="1">
      <alignment horizontal="center" vertical="center" wrapText="1"/>
    </xf>
    <xf numFmtId="0" fontId="6" fillId="0" borderId="0" xfId="2" applyFont="1" applyFill="1" applyAlignment="1">
      <alignment horizontal="left" vertical="center" wrapText="1"/>
    </xf>
    <xf numFmtId="4" fontId="12" fillId="0" borderId="0" xfId="0" applyNumberFormat="1" applyFont="1" applyFill="1" applyAlignment="1">
      <alignment horizontal="center"/>
    </xf>
    <xf numFmtId="0" fontId="12" fillId="0" borderId="0" xfId="0" applyFont="1" applyFill="1"/>
    <xf numFmtId="10" fontId="12" fillId="0" borderId="0" xfId="0" applyNumberFormat="1" applyFont="1" applyFill="1" applyAlignment="1">
      <alignment horizontal="center"/>
    </xf>
    <xf numFmtId="0" fontId="6" fillId="0" borderId="0" xfId="0" applyFont="1" applyFill="1"/>
    <xf numFmtId="165" fontId="6" fillId="0" borderId="0" xfId="3" applyFont="1" applyFill="1"/>
    <xf numFmtId="0" fontId="4" fillId="9" borderId="1" xfId="3" applyNumberFormat="1" applyFont="1" applyFill="1" applyBorder="1"/>
    <xf numFmtId="0" fontId="31" fillId="22" borderId="1" xfId="3" applyNumberFormat="1" applyFont="1" applyFill="1" applyBorder="1"/>
    <xf numFmtId="0" fontId="37" fillId="23" borderId="0" xfId="0" applyFont="1" applyFill="1"/>
    <xf numFmtId="172" fontId="0" fillId="0" borderId="0" xfId="0" applyNumberFormat="1"/>
    <xf numFmtId="165" fontId="5" fillId="0" borderId="0" xfId="0" applyNumberFormat="1" applyFont="1"/>
    <xf numFmtId="165" fontId="32" fillId="5" borderId="0" xfId="0" applyNumberFormat="1" applyFont="1" applyFill="1"/>
    <xf numFmtId="165" fontId="32" fillId="0" borderId="0" xfId="0" applyNumberFormat="1" applyFont="1"/>
    <xf numFmtId="0" fontId="16" fillId="0" borderId="0" xfId="0" applyFont="1" applyAlignment="1">
      <alignment horizontal="center" wrapText="1"/>
    </xf>
    <xf numFmtId="0" fontId="7" fillId="8" borderId="1" xfId="0" applyFont="1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1" fontId="4" fillId="9" borderId="1" xfId="0" applyNumberFormat="1" applyFont="1" applyFill="1" applyBorder="1" applyAlignment="1">
      <alignment horizontal="center"/>
    </xf>
    <xf numFmtId="0" fontId="4" fillId="9" borderId="1" xfId="0" applyFont="1" applyFill="1" applyBorder="1" applyAlignment="1">
      <alignment horizontal="center"/>
    </xf>
    <xf numFmtId="165" fontId="4" fillId="9" borderId="0" xfId="3" applyFont="1" applyFill="1" applyBorder="1"/>
  </cellXfs>
  <cellStyles count="11">
    <cellStyle name="Comma" xfId="3" builtinId="3"/>
    <cellStyle name="Currency" xfId="4" builtinId="4"/>
    <cellStyle name="Excel Built-in Normal" xfId="7" xr:uid="{97C66852-0BE9-4B48-BDC3-8CCFA6FF9454}"/>
    <cellStyle name="Excel Built-in Normal 2" xfId="8" xr:uid="{803AB1E3-14E5-460C-9247-7C7E9CB51B47}"/>
    <cellStyle name="Normal" xfId="0" builtinId="0"/>
    <cellStyle name="Normal 2" xfId="5" xr:uid="{9B45DB24-A0A4-4310-9224-95546FFF785E}"/>
    <cellStyle name="Normal 3" xfId="9" xr:uid="{3032A356-5782-4738-8D04-F5DB884921A0}"/>
    <cellStyle name="Normal 9" xfId="10" xr:uid="{7DF27A82-9B8D-4E33-8497-747B52B39961}"/>
    <cellStyle name="Porcentagem 2" xfId="6" xr:uid="{4D97D3E7-CB33-40B2-810B-C833BA25CEA7}"/>
    <cellStyle name="RowLevel_3" xfId="1" builtinId="1" iLevel="2"/>
    <cellStyle name="RowLevel_4" xfId="2" builtinId="1" iLevel="3"/>
  </cellStyles>
  <dxfs count="39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35053A22-8589-11D1-B16A-00C0F0283628}" ax:license="9368265E-85FE-11d1-8BE3-0000F8754DA1" ax:persistence="persistPropertyBag">
  <ax:ocxPr ax:name="_ExtentX" ax:value="123148"/>
  <ax:ocxPr ax:name="_ExtentY" ax:value="11642"/>
  <ax:ocxPr ax:name="_Version" ax:value="393216"/>
  <ax:ocxPr ax:name="Appearance" ax:value="0"/>
  <ax:ocxPr ax:name="Max" ax:value="228"/>
</ax:ocx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152400</xdr:colOff>
      <xdr:row>0</xdr:row>
      <xdr:rowOff>123825</xdr:rowOff>
    </xdr:from>
    <xdr:to>
      <xdr:col>17</xdr:col>
      <xdr:colOff>19050</xdr:colOff>
      <xdr:row>0</xdr:row>
      <xdr:rowOff>561974</xdr:rowOff>
    </xdr:to>
    <xdr:sp macro="[0]!Sheet1.CalcPla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235440" y="123825"/>
          <a:ext cx="3981450" cy="438149"/>
        </a:xfrm>
        <a:prstGeom prst="roundRect">
          <a:avLst/>
        </a:prstGeom>
        <a:solidFill>
          <a:schemeClr val="tx1"/>
        </a:solidFill>
        <a:ln cap="rnd">
          <a:solidFill>
            <a:schemeClr val="bg2">
              <a:lumMod val="50000"/>
            </a:schemeClr>
          </a:solidFill>
          <a:round/>
        </a:ln>
        <a:effectLst>
          <a:glow rad="25400">
            <a:schemeClr val="accent1">
              <a:alpha val="40000"/>
            </a:schemeClr>
          </a:glow>
          <a:outerShdw algn="ctr" rotWithShape="0">
            <a:srgbClr val="000000">
              <a:alpha val="31000"/>
            </a:srgbClr>
          </a:outerShdw>
          <a:softEdge rad="0"/>
        </a:effectLst>
        <a:scene3d>
          <a:camera prst="orthographicFront">
            <a:rot lat="0" lon="0" rev="0"/>
          </a:camera>
          <a:lightRig rig="threePt" dir="t"/>
        </a:scene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</a:rPr>
            <a:t>Executa</a:t>
          </a:r>
          <a:r>
            <a:rPr lang="en-US" sz="1400" b="1"/>
            <a:t> </a:t>
          </a:r>
          <a:r>
            <a:rPr lang="en-US" sz="1400" b="1">
              <a:solidFill>
                <a:schemeClr val="bg1"/>
              </a:solidFill>
            </a:rPr>
            <a:t>Apuração</a:t>
          </a:r>
          <a:r>
            <a:rPr lang="en-US" sz="1400" b="1" baseline="0"/>
            <a:t> de colunas </a:t>
          </a:r>
          <a:r>
            <a:rPr lang="en-US" sz="1400" b="1" baseline="0">
              <a:solidFill>
                <a:schemeClr val="bg1"/>
              </a:solidFill>
            </a:rPr>
            <a:t>e grava eventos</a:t>
          </a:r>
        </a:p>
      </xdr:txBody>
    </xdr:sp>
    <xdr:clientData/>
  </xdr:twoCellAnchor>
  <xdr:twoCellAnchor>
    <xdr:from>
      <xdr:col>6</xdr:col>
      <xdr:colOff>200025</xdr:colOff>
      <xdr:row>0</xdr:row>
      <xdr:rowOff>95250</xdr:rowOff>
    </xdr:from>
    <xdr:to>
      <xdr:col>9</xdr:col>
      <xdr:colOff>657225</xdr:colOff>
      <xdr:row>0</xdr:row>
      <xdr:rowOff>742950</xdr:rowOff>
    </xdr:to>
    <xdr:sp macro="[0]!Sheet1.Limp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341745" y="95250"/>
          <a:ext cx="2712720" cy="647700"/>
        </a:xfrm>
        <a:prstGeom prst="round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/>
            <a:t>Limpa Celulas as serem gravas de</a:t>
          </a:r>
          <a:r>
            <a:rPr lang="en-US" sz="1400" b="1" baseline="0"/>
            <a:t> modo automático</a:t>
          </a:r>
          <a:endParaRPr lang="en-US" sz="14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601980</xdr:rowOff>
        </xdr:from>
        <xdr:to>
          <xdr:col>16</xdr:col>
          <xdr:colOff>38100</xdr:colOff>
          <xdr:row>0</xdr:row>
          <xdr:rowOff>906780</xdr:rowOff>
        </xdr:to>
        <xdr:sp macro="" textlink="">
          <xdr:nvSpPr>
            <xdr:cNvPr id="1026" name="ProgressBar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RH\DEPARTAMENTO%20PESSOAL\2021\07.JULHO\NB\Folha%20de%20pagamento\Movimento\Planilha%20Base%20folha%20de%20pagamento%20-%2007-202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RH\DEPARTAMENTO%20PESSOAL\2021\06.%20JUNHO\NB\Folha%20de%20Pagamento\Movimento\Planilha%20Base%20folha%20de%20pagamento%2006-202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ilha1"/>
    </sheetNames>
    <sheetDataSet>
      <sheetData sheetId="0">
        <row r="1">
          <cell r="D1" t="str">
            <v>Nome</v>
          </cell>
          <cell r="E1" t="str">
            <v>Função</v>
          </cell>
          <cell r="F1" t="str">
            <v>CPF</v>
          </cell>
          <cell r="G1" t="str">
            <v>Admissão</v>
          </cell>
          <cell r="H1" t="str">
            <v>Julho</v>
          </cell>
          <cell r="J1" t="str">
            <v>DIAS ATIVOS NA FOLHA</v>
          </cell>
          <cell r="K1" t="str">
            <v>Férias</v>
          </cell>
          <cell r="L1" t="str">
            <v>Total</v>
          </cell>
          <cell r="N1" t="str">
            <v>Salário Fixo</v>
          </cell>
          <cell r="O1" t="str">
            <v>Piso</v>
          </cell>
          <cell r="P1" t="str">
            <v>Quebra de Caixa</v>
          </cell>
          <cell r="Q1" t="str">
            <v>Ajuda de Custo feriado</v>
          </cell>
          <cell r="R1" t="str">
            <v>VR Dinheiro</v>
          </cell>
          <cell r="S1" t="str">
            <v>VT PAGO CARTÃO</v>
          </cell>
          <cell r="T1" t="str">
            <v>VT PAGO DINHEIRO</v>
          </cell>
        </row>
        <row r="2">
          <cell r="C2" t="str">
            <v>62-106</v>
          </cell>
          <cell r="D2" t="str">
            <v>CLEBER MARTINS DOS SANTOS</v>
          </cell>
          <cell r="E2" t="str">
            <v>Vendedor de comércio</v>
          </cell>
          <cell r="F2" t="str">
            <v>304.785.988-40</v>
          </cell>
          <cell r="G2">
            <v>40868</v>
          </cell>
          <cell r="H2" t="str">
            <v>Sob Custódia do Inss</v>
          </cell>
          <cell r="N2">
            <v>1406</v>
          </cell>
        </row>
        <row r="3">
          <cell r="C3" t="str">
            <v>62-266</v>
          </cell>
          <cell r="D3" t="str">
            <v>MARCOS ANTONIO NOGUEIRA</v>
          </cell>
          <cell r="E3" t="str">
            <v xml:space="preserve">GERENTE DE LOJA     </v>
          </cell>
          <cell r="F3" t="str">
            <v>059.159.978-30</v>
          </cell>
          <cell r="G3">
            <v>42333</v>
          </cell>
          <cell r="H3" t="str">
            <v>Ativo</v>
          </cell>
          <cell r="N3">
            <v>0</v>
          </cell>
          <cell r="O3">
            <v>4692.6000000000004</v>
          </cell>
        </row>
        <row r="4">
          <cell r="C4" t="str">
            <v>62-282</v>
          </cell>
          <cell r="D4" t="str">
            <v>HIGOR ANDRE MORETTO</v>
          </cell>
          <cell r="E4" t="str">
            <v xml:space="preserve">VENDEDOR(a)         </v>
          </cell>
          <cell r="F4" t="str">
            <v>416.952.008-45</v>
          </cell>
          <cell r="G4">
            <v>42529</v>
          </cell>
          <cell r="H4" t="str">
            <v>Ativo</v>
          </cell>
          <cell r="N4">
            <v>0</v>
          </cell>
          <cell r="O4">
            <v>1719</v>
          </cell>
          <cell r="R4">
            <v>41</v>
          </cell>
        </row>
        <row r="5">
          <cell r="C5" t="str">
            <v>62-286</v>
          </cell>
          <cell r="D5" t="str">
            <v>ALEF JUNIOR SOARES</v>
          </cell>
          <cell r="E5" t="str">
            <v xml:space="preserve">VENDEDOR(a)         </v>
          </cell>
          <cell r="F5" t="str">
            <v>471.603.208-67</v>
          </cell>
          <cell r="G5">
            <v>42685</v>
          </cell>
          <cell r="H5" t="str">
            <v>Ativo</v>
          </cell>
          <cell r="N5">
            <v>0</v>
          </cell>
          <cell r="O5">
            <v>1719</v>
          </cell>
          <cell r="T5">
            <v>504.44</v>
          </cell>
        </row>
        <row r="6">
          <cell r="C6" t="str">
            <v>62-289</v>
          </cell>
          <cell r="D6" t="str">
            <v>ZELITA MOREIRA SANTANA</v>
          </cell>
          <cell r="E6" t="str">
            <v xml:space="preserve">VENDEDOR(a)         </v>
          </cell>
          <cell r="F6" t="str">
            <v>026.802.955-52</v>
          </cell>
          <cell r="G6">
            <v>42695</v>
          </cell>
          <cell r="H6" t="str">
            <v>Ativo</v>
          </cell>
          <cell r="N6">
            <v>0</v>
          </cell>
          <cell r="O6">
            <v>1719</v>
          </cell>
          <cell r="T6">
            <v>533</v>
          </cell>
        </row>
        <row r="7">
          <cell r="C7" t="str">
            <v>62-303</v>
          </cell>
          <cell r="D7" t="str">
            <v>TACIANA APARECIDA MARQUES PERCEGUINI</v>
          </cell>
          <cell r="E7" t="str">
            <v xml:space="preserve">ASSISTENTE DE LOJA  </v>
          </cell>
          <cell r="F7" t="str">
            <v>417.506.478-85</v>
          </cell>
          <cell r="G7">
            <v>43336</v>
          </cell>
          <cell r="H7" t="str">
            <v>Ativo</v>
          </cell>
          <cell r="N7">
            <v>1575.67</v>
          </cell>
          <cell r="P7">
            <v>97</v>
          </cell>
          <cell r="T7">
            <v>588</v>
          </cell>
        </row>
        <row r="8">
          <cell r="C8" t="str">
            <v>62-314</v>
          </cell>
          <cell r="D8" t="str">
            <v>SAVIO KAYK SANTOS DE OLIVEIRA</v>
          </cell>
          <cell r="E8" t="str">
            <v xml:space="preserve">VENDEDOR(a)         </v>
          </cell>
          <cell r="F8" t="str">
            <v>460.439.178-58</v>
          </cell>
          <cell r="G8">
            <v>43714</v>
          </cell>
          <cell r="H8" t="str">
            <v>Ativo</v>
          </cell>
          <cell r="N8">
            <v>0</v>
          </cell>
          <cell r="O8">
            <v>1719</v>
          </cell>
        </row>
        <row r="9">
          <cell r="C9" t="str">
            <v>62-316</v>
          </cell>
          <cell r="D9" t="str">
            <v>JULIA MENDES ARAUJO</v>
          </cell>
          <cell r="E9" t="str">
            <v xml:space="preserve">VENDEDOR(a)         </v>
          </cell>
          <cell r="F9" t="str">
            <v>472.709.038-40</v>
          </cell>
          <cell r="G9">
            <v>43752</v>
          </cell>
          <cell r="H9" t="str">
            <v>Ativo</v>
          </cell>
          <cell r="N9">
            <v>0</v>
          </cell>
          <cell r="O9">
            <v>1719</v>
          </cell>
        </row>
        <row r="10">
          <cell r="C10" t="str">
            <v>62-320</v>
          </cell>
          <cell r="D10" t="str">
            <v>TIAGO OLIVEIRA DE SOUSA</v>
          </cell>
          <cell r="E10" t="str">
            <v xml:space="preserve">VENDEDOR(a)         </v>
          </cell>
          <cell r="F10" t="str">
            <v>615.804.283-80</v>
          </cell>
          <cell r="G10">
            <v>43810</v>
          </cell>
          <cell r="H10" t="str">
            <v>Ativo</v>
          </cell>
          <cell r="N10">
            <v>0</v>
          </cell>
          <cell r="O10">
            <v>1719</v>
          </cell>
          <cell r="T10">
            <v>504.4</v>
          </cell>
        </row>
        <row r="11">
          <cell r="C11" t="str">
            <v>62-322</v>
          </cell>
          <cell r="D11" t="str">
            <v>CRISTIAN YUSUKE SHIMOTO</v>
          </cell>
          <cell r="E11" t="str">
            <v xml:space="preserve">VENDEDOR(a)         </v>
          </cell>
          <cell r="F11" t="str">
            <v>238.466.108-60</v>
          </cell>
          <cell r="G11">
            <v>44113</v>
          </cell>
          <cell r="H11" t="str">
            <v>Ativo</v>
          </cell>
          <cell r="N11">
            <v>0</v>
          </cell>
          <cell r="O11">
            <v>1719</v>
          </cell>
          <cell r="T11">
            <v>504.4</v>
          </cell>
        </row>
        <row r="12">
          <cell r="C12" t="str">
            <v>62-323</v>
          </cell>
          <cell r="D12" t="str">
            <v>MAYSSA LAYLA CARDOSO DE OLIVEIRA</v>
          </cell>
          <cell r="E12" t="str">
            <v xml:space="preserve">ASSISTENTE DE LOJA  </v>
          </cell>
          <cell r="F12" t="str">
            <v>529.046.548-01</v>
          </cell>
          <cell r="G12">
            <v>44152</v>
          </cell>
          <cell r="H12" t="str">
            <v>Ativo</v>
          </cell>
          <cell r="N12">
            <v>1575.67</v>
          </cell>
          <cell r="P12">
            <v>97</v>
          </cell>
        </row>
        <row r="13">
          <cell r="C13" t="str">
            <v>62-325</v>
          </cell>
          <cell r="D13" t="str">
            <v>BRUNO NASCIMENTO DE SOUSA</v>
          </cell>
          <cell r="E13" t="str">
            <v xml:space="preserve">ASSISTENTE DE LOJA  </v>
          </cell>
          <cell r="F13" t="str">
            <v>446.651.718-58</v>
          </cell>
          <cell r="G13">
            <v>44174</v>
          </cell>
          <cell r="H13" t="str">
            <v>Ativo</v>
          </cell>
          <cell r="N13">
            <v>1575.67</v>
          </cell>
          <cell r="P13">
            <v>97</v>
          </cell>
        </row>
        <row r="14">
          <cell r="C14" t="str">
            <v>62-326</v>
          </cell>
          <cell r="D14" t="str">
            <v>RAFAELLA FREITAS DANTAS DOS SANTOS</v>
          </cell>
          <cell r="E14" t="str">
            <v xml:space="preserve">ASSISTENTE DE LOJA  </v>
          </cell>
          <cell r="F14" t="str">
            <v>466.341.258-05</v>
          </cell>
          <cell r="G14">
            <v>44221</v>
          </cell>
          <cell r="H14" t="str">
            <v>Ativo</v>
          </cell>
          <cell r="N14">
            <v>1575.67</v>
          </cell>
          <cell r="P14">
            <v>97</v>
          </cell>
          <cell r="T14">
            <v>208</v>
          </cell>
        </row>
        <row r="15">
          <cell r="C15" t="str">
            <v>62-327</v>
          </cell>
          <cell r="D15" t="str">
            <v>PRISCILA SANTANA DE JESUS</v>
          </cell>
          <cell r="E15" t="str">
            <v xml:space="preserve">VENDEDOR(a)         </v>
          </cell>
          <cell r="F15" t="str">
            <v>049.252.505-66</v>
          </cell>
          <cell r="G15">
            <v>44384</v>
          </cell>
          <cell r="H15" t="str">
            <v>Ativo</v>
          </cell>
          <cell r="N15">
            <v>0</v>
          </cell>
          <cell r="O15">
            <v>1719</v>
          </cell>
          <cell r="R15">
            <v>76</v>
          </cell>
          <cell r="T15">
            <v>200</v>
          </cell>
        </row>
        <row r="16">
          <cell r="C16" t="str">
            <v>93-98</v>
          </cell>
          <cell r="D16" t="str">
            <v>BERNARDO MARTINS MIRANDA</v>
          </cell>
          <cell r="E16" t="str">
            <v xml:space="preserve">VENDEDOR(a)         </v>
          </cell>
          <cell r="F16" t="str">
            <v>116.287.717-04</v>
          </cell>
          <cell r="G16">
            <v>44085</v>
          </cell>
          <cell r="H16" t="str">
            <v>Ativo</v>
          </cell>
          <cell r="N16">
            <v>0</v>
          </cell>
          <cell r="O16">
            <v>1425.75</v>
          </cell>
          <cell r="S16">
            <v>212.5</v>
          </cell>
        </row>
        <row r="17">
          <cell r="C17" t="str">
            <v>93-70</v>
          </cell>
          <cell r="D17" t="str">
            <v>GABRIEL DUARTE DA SILVA</v>
          </cell>
          <cell r="E17" t="str">
            <v xml:space="preserve">VENDEDOR(a)         </v>
          </cell>
          <cell r="F17" t="str">
            <v>173.098.857-16</v>
          </cell>
          <cell r="G17">
            <v>43070</v>
          </cell>
          <cell r="H17" t="str">
            <v>Ativo</v>
          </cell>
          <cell r="N17">
            <v>0</v>
          </cell>
          <cell r="O17">
            <v>1425.75</v>
          </cell>
          <cell r="S17">
            <v>225</v>
          </cell>
        </row>
        <row r="18">
          <cell r="C18" t="str">
            <v>93-90</v>
          </cell>
          <cell r="D18" t="str">
            <v>GUSTAVO DOS SANTOS DANTAS</v>
          </cell>
          <cell r="E18" t="str">
            <v xml:space="preserve">GERENTE DE LOJA     </v>
          </cell>
          <cell r="F18" t="str">
            <v>128.002.947-10</v>
          </cell>
          <cell r="G18">
            <v>43713</v>
          </cell>
          <cell r="H18" t="str">
            <v>Ativo</v>
          </cell>
          <cell r="N18">
            <v>0</v>
          </cell>
          <cell r="O18">
            <v>4998.1899999999996</v>
          </cell>
          <cell r="S18">
            <v>534.29999999999995</v>
          </cell>
        </row>
        <row r="19">
          <cell r="C19" t="str">
            <v>93-92</v>
          </cell>
          <cell r="D19" t="str">
            <v>INGRID DOS SANTOS BRAGA</v>
          </cell>
          <cell r="E19" t="str">
            <v xml:space="preserve">ASSISTENTE DE LOJA  </v>
          </cell>
          <cell r="F19" t="str">
            <v>179.961.057-82</v>
          </cell>
          <cell r="G19">
            <v>43770</v>
          </cell>
          <cell r="H19" t="str">
            <v>Ativo</v>
          </cell>
          <cell r="N19">
            <v>1389.75</v>
          </cell>
          <cell r="P19">
            <v>138.97</v>
          </cell>
        </row>
        <row r="20">
          <cell r="C20" t="str">
            <v>93-103</v>
          </cell>
          <cell r="D20" t="str">
            <v>LAIS SANTOS DE OLIVEIRA</v>
          </cell>
          <cell r="E20" t="str">
            <v xml:space="preserve">ASSISTENTE DE LOJA  </v>
          </cell>
          <cell r="F20" t="str">
            <v>177.746.077-81</v>
          </cell>
          <cell r="G20">
            <v>44369</v>
          </cell>
          <cell r="H20" t="str">
            <v>Ativo</v>
          </cell>
          <cell r="N20">
            <v>1389.75</v>
          </cell>
          <cell r="P20">
            <v>138.97</v>
          </cell>
          <cell r="S20">
            <v>225</v>
          </cell>
        </row>
        <row r="21">
          <cell r="C21" t="str">
            <v>93-95</v>
          </cell>
          <cell r="D21" t="str">
            <v>LUIZ EDUARDO MARCELINO DOS SANTOS</v>
          </cell>
          <cell r="E21" t="str">
            <v xml:space="preserve">VENDEDOR(a)         </v>
          </cell>
          <cell r="F21" t="str">
            <v>154.191.327-29</v>
          </cell>
          <cell r="G21">
            <v>43787</v>
          </cell>
          <cell r="H21" t="str">
            <v>Ativo</v>
          </cell>
          <cell r="N21">
            <v>0</v>
          </cell>
          <cell r="O21">
            <v>1425.75</v>
          </cell>
        </row>
        <row r="22">
          <cell r="C22" t="str">
            <v>93-36</v>
          </cell>
          <cell r="D22" t="str">
            <v>LUIZ FERNANDO DE OLIVEIRA</v>
          </cell>
          <cell r="E22" t="str">
            <v xml:space="preserve">VENDEDOR(a)         </v>
          </cell>
          <cell r="F22" t="str">
            <v>060.160.187-40</v>
          </cell>
          <cell r="G22">
            <v>42482</v>
          </cell>
          <cell r="H22" t="str">
            <v>Ativo</v>
          </cell>
          <cell r="N22">
            <v>0</v>
          </cell>
          <cell r="O22">
            <v>1425.75</v>
          </cell>
          <cell r="S22">
            <v>444.6</v>
          </cell>
        </row>
        <row r="23">
          <cell r="C23" t="str">
            <v>93-79</v>
          </cell>
          <cell r="D23" t="str">
            <v>MATHEUS DOS SANTOS CHRISTO</v>
          </cell>
          <cell r="E23" t="str">
            <v xml:space="preserve">VENDEDOR(a)         </v>
          </cell>
          <cell r="F23" t="str">
            <v>166.990.977-84</v>
          </cell>
          <cell r="G23">
            <v>43425</v>
          </cell>
          <cell r="H23" t="str">
            <v>Ativo</v>
          </cell>
          <cell r="N23">
            <v>0</v>
          </cell>
          <cell r="O23">
            <v>1425.75</v>
          </cell>
        </row>
        <row r="24">
          <cell r="C24" t="str">
            <v>93-91</v>
          </cell>
          <cell r="D24" t="str">
            <v>NATHALIA MATOS REIS DE FREITAS</v>
          </cell>
          <cell r="E24" t="str">
            <v xml:space="preserve">VENDEDOR(a)         </v>
          </cell>
          <cell r="F24" t="str">
            <v>150.984.167-95</v>
          </cell>
          <cell r="G24">
            <v>43740</v>
          </cell>
          <cell r="H24" t="str">
            <v>Ativo</v>
          </cell>
          <cell r="N24">
            <v>0</v>
          </cell>
          <cell r="O24">
            <v>1425.75</v>
          </cell>
        </row>
        <row r="25">
          <cell r="C25" t="str">
            <v>93-102</v>
          </cell>
          <cell r="D25" t="str">
            <v>RAFAEL SANTOS DE SOUSA</v>
          </cell>
          <cell r="E25" t="str">
            <v xml:space="preserve">ASSISTENTE DE LOJA  </v>
          </cell>
          <cell r="F25" t="str">
            <v>171.325.347-00</v>
          </cell>
          <cell r="G25">
            <v>44152</v>
          </cell>
          <cell r="H25" t="str">
            <v>Ativo</v>
          </cell>
          <cell r="N25">
            <v>1389.75</v>
          </cell>
          <cell r="P25">
            <v>138.97</v>
          </cell>
          <cell r="S25">
            <v>418.6</v>
          </cell>
        </row>
        <row r="26">
          <cell r="C26" t="str">
            <v>93-100</v>
          </cell>
          <cell r="D26" t="str">
            <v>VITOR HUGO MACEDO</v>
          </cell>
          <cell r="E26" t="str">
            <v xml:space="preserve">VENDEDOR(a)         </v>
          </cell>
          <cell r="F26" t="str">
            <v>108.743.787-37</v>
          </cell>
          <cell r="G26">
            <v>44152</v>
          </cell>
          <cell r="H26" t="str">
            <v>Ativo</v>
          </cell>
          <cell r="N26">
            <v>0</v>
          </cell>
          <cell r="O26">
            <v>1425.75</v>
          </cell>
          <cell r="S26">
            <v>379.6</v>
          </cell>
        </row>
        <row r="27">
          <cell r="C27" t="str">
            <v>94-3</v>
          </cell>
          <cell r="D27" t="str">
            <v>ALLAN DA SILVA PONTES</v>
          </cell>
          <cell r="E27" t="str">
            <v xml:space="preserve">VENDEDOR(a)         </v>
          </cell>
          <cell r="F27" t="str">
            <v>141.562.647-26</v>
          </cell>
          <cell r="G27">
            <v>42320</v>
          </cell>
          <cell r="H27" t="str">
            <v>Ativo</v>
          </cell>
          <cell r="N27">
            <v>0</v>
          </cell>
          <cell r="O27">
            <v>1370</v>
          </cell>
          <cell r="S27">
            <v>210.6</v>
          </cell>
        </row>
        <row r="28">
          <cell r="C28" t="str">
            <v>94-66</v>
          </cell>
          <cell r="D28" t="str">
            <v>ELIZA OLIVEIRA NUNES</v>
          </cell>
          <cell r="E28" t="str">
            <v xml:space="preserve">VENDEDOR(a)         </v>
          </cell>
          <cell r="F28" t="str">
            <v>178.908.587-01</v>
          </cell>
          <cell r="G28">
            <v>44257</v>
          </cell>
          <cell r="H28" t="str">
            <v>Contrato Suspenso</v>
          </cell>
          <cell r="N28">
            <v>0</v>
          </cell>
          <cell r="O28">
            <v>1370</v>
          </cell>
        </row>
        <row r="29">
          <cell r="C29" t="str">
            <v>94-68</v>
          </cell>
          <cell r="D29" t="str">
            <v>LUCAS SANTOS DE CARVALHO</v>
          </cell>
          <cell r="E29" t="str">
            <v xml:space="preserve">VENDEDOR(a)         </v>
          </cell>
          <cell r="F29" t="str">
            <v>172.838.007-35</v>
          </cell>
          <cell r="G29">
            <v>44359</v>
          </cell>
          <cell r="H29" t="str">
            <v>Ativo</v>
          </cell>
          <cell r="N29">
            <v>0</v>
          </cell>
          <cell r="O29">
            <v>1370</v>
          </cell>
          <cell r="S29">
            <v>202.5</v>
          </cell>
        </row>
        <row r="30">
          <cell r="C30" t="str">
            <v>94-6</v>
          </cell>
          <cell r="D30" t="str">
            <v>MARIA JAINE DA SILVA</v>
          </cell>
          <cell r="E30" t="str">
            <v xml:space="preserve">ASSISTENTE DE LOJA  </v>
          </cell>
          <cell r="F30" t="str">
            <v>109.515.944-51</v>
          </cell>
          <cell r="G30">
            <v>42320</v>
          </cell>
          <cell r="H30" t="str">
            <v>Ativo</v>
          </cell>
          <cell r="N30">
            <v>1335.01</v>
          </cell>
          <cell r="P30">
            <v>57</v>
          </cell>
          <cell r="S30">
            <v>210.6</v>
          </cell>
        </row>
        <row r="31">
          <cell r="C31" t="str">
            <v>94-55</v>
          </cell>
          <cell r="D31" t="str">
            <v>PATRICK TEIXEIRA CAMISAO</v>
          </cell>
          <cell r="E31" t="str">
            <v xml:space="preserve">VENDEDOR(a)         </v>
          </cell>
          <cell r="F31" t="str">
            <v>160.448.307-56</v>
          </cell>
          <cell r="G31">
            <v>43787</v>
          </cell>
          <cell r="H31" t="str">
            <v>Ativo</v>
          </cell>
          <cell r="N31">
            <v>0</v>
          </cell>
          <cell r="O31">
            <v>1370</v>
          </cell>
          <cell r="S31">
            <v>210.6</v>
          </cell>
        </row>
        <row r="32">
          <cell r="C32" t="str">
            <v>94-70</v>
          </cell>
          <cell r="D32" t="str">
            <v>PAULO ALEXANDRE ARAUJO VARGAS</v>
          </cell>
          <cell r="E32" t="str">
            <v xml:space="preserve">GERENTE DE LOJA     </v>
          </cell>
          <cell r="F32" t="str">
            <v>929.155.400-63</v>
          </cell>
          <cell r="G32">
            <v>44399</v>
          </cell>
          <cell r="H32" t="str">
            <v>Ativo</v>
          </cell>
          <cell r="N32">
            <v>0</v>
          </cell>
          <cell r="O32">
            <v>4000</v>
          </cell>
          <cell r="R32">
            <v>114.5</v>
          </cell>
          <cell r="T32">
            <v>153.9</v>
          </cell>
        </row>
        <row r="33">
          <cell r="C33" t="str">
            <v>94-69</v>
          </cell>
          <cell r="D33" t="str">
            <v>RAYSSA RANGEL DA SILVA BORGES DA FONSECA</v>
          </cell>
          <cell r="E33" t="str">
            <v xml:space="preserve">VENDEDOR(a)         </v>
          </cell>
          <cell r="F33" t="str">
            <v>166.826.527-39</v>
          </cell>
          <cell r="G33">
            <v>44391</v>
          </cell>
          <cell r="H33" t="str">
            <v>Ativo</v>
          </cell>
          <cell r="N33">
            <v>0</v>
          </cell>
          <cell r="O33">
            <v>1370</v>
          </cell>
          <cell r="R33">
            <v>89.5</v>
          </cell>
          <cell r="T33">
            <v>137.69999999999999</v>
          </cell>
        </row>
        <row r="34">
          <cell r="C34" t="str">
            <v>95-88</v>
          </cell>
          <cell r="D34" t="str">
            <v>BRUNO SILVA CAPELLI</v>
          </cell>
          <cell r="E34" t="str">
            <v xml:space="preserve">VENDEDOR(a)         </v>
          </cell>
          <cell r="F34" t="str">
            <v>366.421.178-24</v>
          </cell>
          <cell r="G34">
            <v>44256</v>
          </cell>
          <cell r="H34" t="str">
            <v>Ativo</v>
          </cell>
          <cell r="N34">
            <v>0</v>
          </cell>
          <cell r="O34">
            <v>1087.3499999999999</v>
          </cell>
        </row>
        <row r="35">
          <cell r="C35" t="str">
            <v>95-56</v>
          </cell>
          <cell r="D35" t="str">
            <v>CAIO VIEIRA BARBOSA</v>
          </cell>
          <cell r="E35" t="str">
            <v xml:space="preserve">VENDEDOR(a)         </v>
          </cell>
          <cell r="F35" t="str">
            <v>442.376.138-60</v>
          </cell>
          <cell r="G35">
            <v>43165</v>
          </cell>
          <cell r="H35" t="str">
            <v>Ativo</v>
          </cell>
          <cell r="N35">
            <v>0</v>
          </cell>
          <cell r="O35">
            <v>1807.35</v>
          </cell>
          <cell r="S35">
            <v>241.5</v>
          </cell>
        </row>
        <row r="36">
          <cell r="C36" t="str">
            <v>95-83</v>
          </cell>
          <cell r="D36" t="str">
            <v>CARLOS EDUARDO MARTINS DE LIMA</v>
          </cell>
          <cell r="E36" t="str">
            <v xml:space="preserve">ASSISTENTE DE LOJA  </v>
          </cell>
          <cell r="F36" t="str">
            <v>312.469.698-07</v>
          </cell>
          <cell r="G36">
            <v>44152</v>
          </cell>
          <cell r="H36" t="str">
            <v>Ativo</v>
          </cell>
          <cell r="N36">
            <v>1504.22</v>
          </cell>
          <cell r="P36">
            <v>70.41</v>
          </cell>
          <cell r="S36">
            <v>462</v>
          </cell>
        </row>
        <row r="37">
          <cell r="C37" t="str">
            <v>95-84</v>
          </cell>
          <cell r="D37" t="str">
            <v>GABRIEL ALFREDO JESUS DE PINHO</v>
          </cell>
          <cell r="E37" t="str">
            <v xml:space="preserve">GERENTE DE LOJA     </v>
          </cell>
          <cell r="F37" t="str">
            <v>491.663.158-75</v>
          </cell>
          <cell r="G37">
            <v>43475</v>
          </cell>
          <cell r="H37" t="str">
            <v>Ativo</v>
          </cell>
          <cell r="N37">
            <v>0</v>
          </cell>
          <cell r="O37">
            <v>4117.6000000000004</v>
          </cell>
        </row>
        <row r="38">
          <cell r="C38" t="str">
            <v>95-80</v>
          </cell>
          <cell r="D38" t="str">
            <v>GRAZIELLY SANTOS SILVA</v>
          </cell>
          <cell r="E38" t="str">
            <v xml:space="preserve">ASSISTENTE DE LOJA  </v>
          </cell>
          <cell r="F38" t="str">
            <v>467.257.158-00</v>
          </cell>
          <cell r="G38">
            <v>44064</v>
          </cell>
          <cell r="H38" t="str">
            <v>Ativo</v>
          </cell>
          <cell r="N38">
            <v>1504.22</v>
          </cell>
          <cell r="P38">
            <v>70.41</v>
          </cell>
          <cell r="S38">
            <v>211.2</v>
          </cell>
        </row>
        <row r="39">
          <cell r="C39" t="str">
            <v>95-59</v>
          </cell>
          <cell r="D39" t="str">
            <v>MARGARETH LEAL</v>
          </cell>
          <cell r="E39" t="str">
            <v xml:space="preserve">VENDEDOR(a)         </v>
          </cell>
          <cell r="F39" t="str">
            <v>407.781.668-80</v>
          </cell>
          <cell r="G39">
            <v>43213</v>
          </cell>
          <cell r="H39" t="str">
            <v>Ativo</v>
          </cell>
          <cell r="N39">
            <v>0</v>
          </cell>
          <cell r="O39">
            <v>1807.35</v>
          </cell>
          <cell r="S39">
            <v>462</v>
          </cell>
        </row>
        <row r="40">
          <cell r="C40" t="str">
            <v>95-85</v>
          </cell>
          <cell r="D40" t="str">
            <v>TIAGO WAGNER FRANCO</v>
          </cell>
          <cell r="E40" t="str">
            <v xml:space="preserve">VENDEDOR(a)         </v>
          </cell>
          <cell r="F40" t="str">
            <v>383.025.258-71</v>
          </cell>
          <cell r="G40">
            <v>44181</v>
          </cell>
          <cell r="H40" t="str">
            <v>Ativo</v>
          </cell>
          <cell r="N40">
            <v>0</v>
          </cell>
          <cell r="O40">
            <v>1807.35</v>
          </cell>
          <cell r="S40">
            <v>340</v>
          </cell>
        </row>
        <row r="41">
          <cell r="C41" t="str">
            <v>103-185</v>
          </cell>
          <cell r="D41" t="str">
            <v>ANDRE FERNANDO OZUNA</v>
          </cell>
          <cell r="E41" t="str">
            <v xml:space="preserve">VENDEDOR(a)         </v>
          </cell>
          <cell r="F41" t="str">
            <v>285.803.778-70</v>
          </cell>
          <cell r="G41">
            <v>43782</v>
          </cell>
          <cell r="H41" t="str">
            <v>Ativo</v>
          </cell>
          <cell r="N41">
            <v>0</v>
          </cell>
          <cell r="O41">
            <v>1807.35</v>
          </cell>
          <cell r="S41">
            <v>491.5</v>
          </cell>
        </row>
        <row r="42">
          <cell r="C42" t="str">
            <v>103-193</v>
          </cell>
          <cell r="D42" t="str">
            <v>BRUNA DIAS RAMOS</v>
          </cell>
          <cell r="E42" t="str">
            <v xml:space="preserve">VENDEDOR(a)         </v>
          </cell>
          <cell r="F42" t="str">
            <v>158.926.428-28</v>
          </cell>
          <cell r="G42">
            <v>44121</v>
          </cell>
          <cell r="H42" t="str">
            <v>Ativo</v>
          </cell>
          <cell r="N42">
            <v>0</v>
          </cell>
          <cell r="O42">
            <v>1807.35</v>
          </cell>
        </row>
        <row r="43">
          <cell r="C43" t="str">
            <v>103-200</v>
          </cell>
          <cell r="D43" t="str">
            <v>JENNYFER QUEIROZ DE ALMEIDA NASCIMENTO</v>
          </cell>
          <cell r="E43" t="str">
            <v xml:space="preserve">ASSISTENTE DE LOJA  </v>
          </cell>
          <cell r="F43" t="str">
            <v>407.642.998-24</v>
          </cell>
          <cell r="G43">
            <v>44180</v>
          </cell>
          <cell r="H43" t="str">
            <v>Ativo</v>
          </cell>
          <cell r="N43">
            <v>1504.22</v>
          </cell>
          <cell r="P43">
            <v>70.41</v>
          </cell>
          <cell r="S43">
            <v>462</v>
          </cell>
        </row>
        <row r="44">
          <cell r="C44" t="str">
            <v>103-187</v>
          </cell>
          <cell r="D44" t="str">
            <v>MARCELO FERNANDES DE SOUZA</v>
          </cell>
          <cell r="E44" t="str">
            <v xml:space="preserve">VENDEDOR(a)         </v>
          </cell>
          <cell r="F44" t="str">
            <v>389.253.428-47</v>
          </cell>
          <cell r="G44">
            <v>43815</v>
          </cell>
          <cell r="H44" t="str">
            <v>Ativo</v>
          </cell>
          <cell r="N44">
            <v>0</v>
          </cell>
          <cell r="O44">
            <v>1807.35</v>
          </cell>
          <cell r="S44">
            <v>462</v>
          </cell>
        </row>
        <row r="45">
          <cell r="C45" t="str">
            <v>103-199</v>
          </cell>
          <cell r="D45" t="str">
            <v>MARLON MIRANDA DE OLIVEIRA</v>
          </cell>
          <cell r="E45" t="str">
            <v xml:space="preserve">GERENTE DE LOJA     </v>
          </cell>
          <cell r="F45" t="str">
            <v>000.291.020-90</v>
          </cell>
          <cell r="G45">
            <v>43284</v>
          </cell>
          <cell r="H45" t="str">
            <v>Ativo</v>
          </cell>
          <cell r="N45">
            <v>0</v>
          </cell>
          <cell r="O45">
            <v>4282.3</v>
          </cell>
          <cell r="S45">
            <v>480.48</v>
          </cell>
        </row>
        <row r="46">
          <cell r="C46" t="str">
            <v>103-194</v>
          </cell>
          <cell r="D46" t="str">
            <v>NICOLE MARIA FAZIO</v>
          </cell>
          <cell r="E46" t="str">
            <v xml:space="preserve">VENDEDOR(a)         </v>
          </cell>
          <cell r="F46" t="str">
            <v>487.676.818-83</v>
          </cell>
          <cell r="G46">
            <v>44121</v>
          </cell>
          <cell r="H46" t="str">
            <v>Ativo</v>
          </cell>
          <cell r="N46">
            <v>0</v>
          </cell>
          <cell r="O46">
            <v>1807.35</v>
          </cell>
          <cell r="S46">
            <v>462</v>
          </cell>
        </row>
        <row r="47">
          <cell r="C47" t="str">
            <v>103-202</v>
          </cell>
          <cell r="D47" t="str">
            <v>RONALDO PINHEIRO DE OLIVEIRA</v>
          </cell>
          <cell r="E47" t="str">
            <v xml:space="preserve">VENDEDOR(a)         </v>
          </cell>
          <cell r="F47" t="str">
            <v>183.016.258-64</v>
          </cell>
          <cell r="G47">
            <v>44228</v>
          </cell>
          <cell r="H47" t="str">
            <v>Ativo</v>
          </cell>
          <cell r="N47">
            <v>0</v>
          </cell>
          <cell r="O47">
            <v>1807.35</v>
          </cell>
          <cell r="S47">
            <v>443.52</v>
          </cell>
        </row>
        <row r="48">
          <cell r="C48" t="str">
            <v>103-184</v>
          </cell>
          <cell r="D48" t="str">
            <v>VADILSON TEAGO DE SANTANA</v>
          </cell>
          <cell r="E48" t="str">
            <v xml:space="preserve">ASSISTENTE DE LOJA  </v>
          </cell>
          <cell r="F48" t="str">
            <v>135.820.698-85</v>
          </cell>
          <cell r="G48">
            <v>43782</v>
          </cell>
          <cell r="H48" t="str">
            <v>Ativo</v>
          </cell>
          <cell r="N48">
            <v>1504.22</v>
          </cell>
          <cell r="P48">
            <v>70.41</v>
          </cell>
          <cell r="S48">
            <v>251.16</v>
          </cell>
        </row>
        <row r="49">
          <cell r="C49" t="str">
            <v>103-203</v>
          </cell>
          <cell r="D49" t="str">
            <v>WELLINGTON VINICIUS PEREIRA DE OLIVEIRA</v>
          </cell>
          <cell r="E49" t="str">
            <v xml:space="preserve">VENDEDOR(a)         </v>
          </cell>
          <cell r="F49" t="str">
            <v>230.005.878-29</v>
          </cell>
          <cell r="G49">
            <v>44398</v>
          </cell>
          <cell r="H49" t="str">
            <v>Ativo</v>
          </cell>
          <cell r="N49">
            <v>0</v>
          </cell>
          <cell r="O49">
            <v>1807.35</v>
          </cell>
          <cell r="R49">
            <v>17</v>
          </cell>
          <cell r="S49">
            <v>203.28</v>
          </cell>
        </row>
        <row r="50">
          <cell r="C50" t="str">
            <v>104-52</v>
          </cell>
          <cell r="D50" t="str">
            <v>ADRIANA MONTEIRO MACEDO</v>
          </cell>
          <cell r="E50" t="str">
            <v xml:space="preserve">ASSISTENTE DE LOJA  </v>
          </cell>
          <cell r="F50" t="str">
            <v>702.895.822-10</v>
          </cell>
          <cell r="G50">
            <v>44117</v>
          </cell>
          <cell r="H50" t="str">
            <v>Ativo</v>
          </cell>
          <cell r="N50">
            <v>1155</v>
          </cell>
          <cell r="P50">
            <v>115.5</v>
          </cell>
          <cell r="S50">
            <v>197.6</v>
          </cell>
        </row>
        <row r="51">
          <cell r="C51" t="str">
            <v>104-49</v>
          </cell>
          <cell r="D51" t="str">
            <v>FRANCIANE DOS SANTOS MEDEIROS</v>
          </cell>
          <cell r="E51" t="str">
            <v xml:space="preserve">GERENTE DE LOJA     </v>
          </cell>
          <cell r="F51" t="str">
            <v>939.548.082-34</v>
          </cell>
          <cell r="G51">
            <v>43549</v>
          </cell>
          <cell r="H51" t="str">
            <v>Ativo</v>
          </cell>
          <cell r="N51">
            <v>0</v>
          </cell>
          <cell r="O51">
            <v>4612.5</v>
          </cell>
        </row>
        <row r="52">
          <cell r="C52" t="str">
            <v>104-33</v>
          </cell>
          <cell r="D52" t="str">
            <v>JEFFERSON GONCALVES DA SILVA</v>
          </cell>
          <cell r="E52" t="str">
            <v xml:space="preserve">VENDEDOR (a)        </v>
          </cell>
          <cell r="F52" t="str">
            <v>007.164.092-40</v>
          </cell>
          <cell r="G52">
            <v>42705</v>
          </cell>
          <cell r="H52" t="str">
            <v>Ativo</v>
          </cell>
          <cell r="N52">
            <v>1155</v>
          </cell>
          <cell r="O52">
            <v>1155</v>
          </cell>
        </row>
        <row r="53">
          <cell r="C53" t="str">
            <v>104-45</v>
          </cell>
          <cell r="D53" t="str">
            <v>PATRICIA BRANDAO ANASTACIO</v>
          </cell>
          <cell r="E53" t="str">
            <v xml:space="preserve">ASSISTENTE DE LOJA  </v>
          </cell>
          <cell r="F53" t="str">
            <v>013.989.272-95</v>
          </cell>
          <cell r="G53">
            <v>43441</v>
          </cell>
          <cell r="H53" t="str">
            <v>Ativo</v>
          </cell>
          <cell r="N53">
            <v>1155</v>
          </cell>
          <cell r="O53">
            <v>1155</v>
          </cell>
          <cell r="P53">
            <v>115.5</v>
          </cell>
        </row>
        <row r="54">
          <cell r="C54" t="str">
            <v>104-53</v>
          </cell>
          <cell r="D54" t="str">
            <v>PATRINY LORRANNA DOS SANTOS MOTA</v>
          </cell>
          <cell r="E54" t="str">
            <v xml:space="preserve">VENDEDOR(a)         </v>
          </cell>
          <cell r="F54" t="str">
            <v>021.046.162-47</v>
          </cell>
          <cell r="G54">
            <v>44132</v>
          </cell>
          <cell r="H54" t="str">
            <v>Ativo</v>
          </cell>
          <cell r="N54">
            <v>1155</v>
          </cell>
          <cell r="O54">
            <v>1155</v>
          </cell>
          <cell r="S54">
            <v>197.6</v>
          </cell>
        </row>
        <row r="55">
          <cell r="C55" t="str">
            <v>104-41</v>
          </cell>
          <cell r="D55" t="str">
            <v>ROMEU PITER VERAS DOS SANTOS</v>
          </cell>
          <cell r="E55" t="str">
            <v xml:space="preserve">VENDEDOR(a)         </v>
          </cell>
          <cell r="F55" t="str">
            <v>945.231.772-87</v>
          </cell>
          <cell r="G55">
            <v>43070</v>
          </cell>
          <cell r="H55" t="str">
            <v>Ativo</v>
          </cell>
          <cell r="N55">
            <v>1155</v>
          </cell>
          <cell r="O55">
            <v>1155</v>
          </cell>
        </row>
        <row r="56">
          <cell r="C56" t="str">
            <v>105-93</v>
          </cell>
          <cell r="D56" t="str">
            <v>AMANDA LORENA VEIGA RODRIGUES DA SILVA</v>
          </cell>
          <cell r="E56" t="str">
            <v xml:space="preserve">VENDEDOR(a)         </v>
          </cell>
          <cell r="F56" t="str">
            <v>036.781.370-08</v>
          </cell>
          <cell r="G56">
            <v>43735</v>
          </cell>
          <cell r="H56" t="str">
            <v>Ativo</v>
          </cell>
          <cell r="N56">
            <v>0</v>
          </cell>
          <cell r="O56">
            <v>1495</v>
          </cell>
          <cell r="T56">
            <v>637</v>
          </cell>
        </row>
        <row r="57">
          <cell r="C57" t="str">
            <v>105-104</v>
          </cell>
          <cell r="D57" t="str">
            <v>EDUARDA RAFAELA  CUNHA DA COSTA</v>
          </cell>
          <cell r="E57" t="str">
            <v xml:space="preserve">VENDEDOR(a)         </v>
          </cell>
          <cell r="F57" t="str">
            <v>045.594.250-19</v>
          </cell>
          <cell r="G57">
            <v>44380</v>
          </cell>
          <cell r="H57" t="str">
            <v>Ativo</v>
          </cell>
          <cell r="N57">
            <v>0</v>
          </cell>
          <cell r="O57">
            <v>1495</v>
          </cell>
          <cell r="R57">
            <v>78.599999999999994</v>
          </cell>
        </row>
        <row r="58">
          <cell r="C58" t="str">
            <v>105-100</v>
          </cell>
          <cell r="D58" t="str">
            <v>FELIPE GONCALVES</v>
          </cell>
          <cell r="E58" t="str">
            <v xml:space="preserve">ASSISTENTE DE LOJA  </v>
          </cell>
          <cell r="F58" t="str">
            <v>050.440.050-96</v>
          </cell>
          <cell r="G58">
            <v>44148</v>
          </cell>
          <cell r="H58" t="str">
            <v>Ativo</v>
          </cell>
          <cell r="N58">
            <v>1377.6</v>
          </cell>
          <cell r="P58">
            <v>220.27</v>
          </cell>
          <cell r="T58">
            <v>200.2</v>
          </cell>
        </row>
        <row r="59">
          <cell r="C59" t="str">
            <v>105-61</v>
          </cell>
          <cell r="D59" t="str">
            <v>LUCIANO DA MOTA GONÇALVES</v>
          </cell>
          <cell r="E59" t="str">
            <v xml:space="preserve">GERENTE DE LOJA     </v>
          </cell>
          <cell r="F59" t="str">
            <v>001.104.960-00</v>
          </cell>
          <cell r="G59">
            <v>42893</v>
          </cell>
          <cell r="H59" t="str">
            <v>Ativo</v>
          </cell>
          <cell r="N59">
            <v>0</v>
          </cell>
          <cell r="O59">
            <v>4816.24</v>
          </cell>
        </row>
        <row r="60">
          <cell r="C60" t="str">
            <v>105-84</v>
          </cell>
          <cell r="D60" t="str">
            <v>MARCIEL FISCHBORN FERNANDES</v>
          </cell>
          <cell r="E60" t="str">
            <v xml:space="preserve">VENDEDOR(a)         </v>
          </cell>
          <cell r="F60" t="str">
            <v>017.323.330-92</v>
          </cell>
          <cell r="G60">
            <v>43347</v>
          </cell>
          <cell r="H60" t="str">
            <v>Ativo</v>
          </cell>
          <cell r="N60">
            <v>0</v>
          </cell>
          <cell r="O60">
            <v>1495</v>
          </cell>
          <cell r="T60">
            <v>439.4</v>
          </cell>
        </row>
        <row r="61">
          <cell r="C61" t="str">
            <v>105-85</v>
          </cell>
          <cell r="D61" t="str">
            <v>ROGER PASSAIA</v>
          </cell>
          <cell r="E61" t="str">
            <v xml:space="preserve">VENDEDOR(a)         </v>
          </cell>
          <cell r="F61" t="str">
            <v>047.712.040-71</v>
          </cell>
          <cell r="G61">
            <v>43411</v>
          </cell>
          <cell r="H61" t="str">
            <v>Ativo</v>
          </cell>
          <cell r="N61">
            <v>0</v>
          </cell>
          <cell r="O61">
            <v>1495</v>
          </cell>
          <cell r="T61">
            <v>200.2</v>
          </cell>
        </row>
        <row r="62">
          <cell r="C62" t="str">
            <v>105-29</v>
          </cell>
          <cell r="D62" t="str">
            <v>SUSAN SCHULTZ MOURA</v>
          </cell>
          <cell r="E62" t="str">
            <v xml:space="preserve">ASSISTENTE DE LOJA  </v>
          </cell>
          <cell r="F62" t="str">
            <v>026.257.550-75</v>
          </cell>
          <cell r="G62">
            <v>42167</v>
          </cell>
          <cell r="H62" t="str">
            <v>Ativo</v>
          </cell>
          <cell r="N62">
            <v>1468.46</v>
          </cell>
          <cell r="P62">
            <v>220.27</v>
          </cell>
          <cell r="T62">
            <v>200.2</v>
          </cell>
        </row>
        <row r="63">
          <cell r="C63" t="str">
            <v>105-95</v>
          </cell>
          <cell r="D63" t="str">
            <v>VICTOR GABRIEL ESTEFEN DE SOUZA</v>
          </cell>
          <cell r="E63" t="str">
            <v xml:space="preserve">VENDEDOR(a)         </v>
          </cell>
          <cell r="F63" t="str">
            <v>037.604.160-98</v>
          </cell>
          <cell r="G63">
            <v>43759</v>
          </cell>
          <cell r="H63" t="str">
            <v>Ativo</v>
          </cell>
          <cell r="N63">
            <v>0</v>
          </cell>
          <cell r="O63">
            <v>1495</v>
          </cell>
        </row>
        <row r="64">
          <cell r="C64" t="str">
            <v>105-103</v>
          </cell>
          <cell r="D64" t="str">
            <v>VITORIA APARECIDA DA SILVA</v>
          </cell>
          <cell r="E64" t="str">
            <v xml:space="preserve">VENDEDOR(a)         </v>
          </cell>
          <cell r="F64" t="str">
            <v>045.921.830-10</v>
          </cell>
          <cell r="G64">
            <v>44236</v>
          </cell>
          <cell r="H64" t="str">
            <v>Ativo</v>
          </cell>
          <cell r="N64">
            <v>0</v>
          </cell>
          <cell r="O64">
            <v>1495</v>
          </cell>
          <cell r="T64">
            <v>418.6</v>
          </cell>
        </row>
        <row r="65">
          <cell r="C65" t="str">
            <v>116-143</v>
          </cell>
          <cell r="D65" t="str">
            <v>ALUISIO SANCHES MORAES</v>
          </cell>
          <cell r="E65" t="str">
            <v xml:space="preserve">GERENTE DE LOJA     </v>
          </cell>
          <cell r="F65" t="str">
            <v>327.400.998-94</v>
          </cell>
          <cell r="G65">
            <v>43405</v>
          </cell>
          <cell r="H65" t="str">
            <v>Ativo</v>
          </cell>
          <cell r="N65">
            <v>0</v>
          </cell>
          <cell r="O65">
            <v>4817.59</v>
          </cell>
        </row>
        <row r="66">
          <cell r="C66" t="str">
            <v>116-164</v>
          </cell>
          <cell r="D66" t="str">
            <v>DANIELLE DA SILVA CONCEICAO</v>
          </cell>
          <cell r="E66" t="str">
            <v xml:space="preserve">VENDEDOR(a)         </v>
          </cell>
          <cell r="F66" t="str">
            <v>954.817.372-72</v>
          </cell>
          <cell r="G66">
            <v>43717</v>
          </cell>
          <cell r="H66" t="str">
            <v>Ativo</v>
          </cell>
          <cell r="N66">
            <v>0</v>
          </cell>
          <cell r="O66">
            <v>1807.35</v>
          </cell>
          <cell r="S66">
            <v>480.48</v>
          </cell>
        </row>
        <row r="67">
          <cell r="C67" t="str">
            <v>116-148</v>
          </cell>
          <cell r="D67" t="str">
            <v>HUGO KENJI MIYAZAKI DIAS</v>
          </cell>
          <cell r="E67" t="str">
            <v xml:space="preserve">VENDEDOR(a)         </v>
          </cell>
          <cell r="F67" t="str">
            <v>384.188.068-18</v>
          </cell>
          <cell r="G67">
            <v>43437</v>
          </cell>
          <cell r="H67" t="str">
            <v>Ativo</v>
          </cell>
          <cell r="N67">
            <v>0</v>
          </cell>
          <cell r="O67">
            <v>1807.35</v>
          </cell>
          <cell r="R67">
            <v>40</v>
          </cell>
          <cell r="S67">
            <v>480.48</v>
          </cell>
        </row>
        <row r="68">
          <cell r="C68" t="str">
            <v>116-146</v>
          </cell>
          <cell r="D68" t="str">
            <v>LEONARDO MAFRA RODRIGUES</v>
          </cell>
          <cell r="E68" t="str">
            <v xml:space="preserve">ASSISTENTE DE LOJA  </v>
          </cell>
          <cell r="F68" t="str">
            <v>527.984.638-40</v>
          </cell>
          <cell r="G68">
            <v>43431</v>
          </cell>
          <cell r="H68" t="str">
            <v>Ativo</v>
          </cell>
          <cell r="N68">
            <v>1504.22</v>
          </cell>
          <cell r="P68">
            <v>70.41</v>
          </cell>
          <cell r="R68">
            <v>40</v>
          </cell>
          <cell r="S68">
            <v>295.68</v>
          </cell>
        </row>
        <row r="69">
          <cell r="C69" t="str">
            <v>116-175</v>
          </cell>
          <cell r="D69" t="str">
            <v>LUCAS ALVES</v>
          </cell>
          <cell r="E69" t="str">
            <v xml:space="preserve">VENDEDOR(a)         </v>
          </cell>
          <cell r="F69" t="str">
            <v>228.904.388-56</v>
          </cell>
          <cell r="G69">
            <v>44092</v>
          </cell>
          <cell r="H69" t="str">
            <v>Ativo</v>
          </cell>
          <cell r="N69">
            <v>0</v>
          </cell>
          <cell r="O69">
            <v>1807.35</v>
          </cell>
          <cell r="R69">
            <v>40</v>
          </cell>
        </row>
        <row r="70">
          <cell r="C70" t="str">
            <v>116-170</v>
          </cell>
          <cell r="D70" t="str">
            <v>MARIANA SOUZA RODRIGUES</v>
          </cell>
          <cell r="E70" t="str">
            <v xml:space="preserve">VENDEDOR(a)         </v>
          </cell>
          <cell r="F70" t="str">
            <v>460.133.308-32</v>
          </cell>
          <cell r="G70">
            <v>44079</v>
          </cell>
          <cell r="H70" t="str">
            <v>Ativo</v>
          </cell>
          <cell r="N70">
            <v>0</v>
          </cell>
          <cell r="O70">
            <v>1807.35</v>
          </cell>
          <cell r="S70">
            <v>462.8</v>
          </cell>
        </row>
        <row r="71">
          <cell r="C71" t="str">
            <v>116-144</v>
          </cell>
          <cell r="D71" t="str">
            <v>RAFAEL NOGUEIRA DE MORAES</v>
          </cell>
          <cell r="E71" t="str">
            <v xml:space="preserve">VENDEDOR(a)         </v>
          </cell>
          <cell r="F71" t="str">
            <v>301.816.038-02</v>
          </cell>
          <cell r="G71">
            <v>43412</v>
          </cell>
          <cell r="H71" t="str">
            <v>Ativo</v>
          </cell>
          <cell r="N71">
            <v>0</v>
          </cell>
          <cell r="O71">
            <v>1807.35</v>
          </cell>
          <cell r="R71">
            <v>40</v>
          </cell>
        </row>
        <row r="72">
          <cell r="C72" t="str">
            <v>116-169</v>
          </cell>
          <cell r="D72" t="str">
            <v>RENAN FERREIRA PIMENTEL</v>
          </cell>
          <cell r="E72" t="str">
            <v xml:space="preserve">VENDEDOR(a)         </v>
          </cell>
          <cell r="F72" t="str">
            <v>404.103.638-04</v>
          </cell>
          <cell r="G72">
            <v>41720</v>
          </cell>
          <cell r="H72" t="str">
            <v>Ativo</v>
          </cell>
          <cell r="N72">
            <v>0</v>
          </cell>
          <cell r="O72">
            <v>1807.35</v>
          </cell>
          <cell r="R72">
            <v>40</v>
          </cell>
        </row>
        <row r="73">
          <cell r="C73" t="str">
            <v>123-58</v>
          </cell>
          <cell r="D73" t="str">
            <v>GABRIELA DUARTE DOS SANTOS</v>
          </cell>
          <cell r="E73" t="str">
            <v xml:space="preserve">VENDEDOR(a)         </v>
          </cell>
          <cell r="F73" t="str">
            <v>061.462.155-03</v>
          </cell>
          <cell r="G73">
            <v>43252</v>
          </cell>
          <cell r="H73" t="str">
            <v>Ativo</v>
          </cell>
          <cell r="N73">
            <v>0</v>
          </cell>
          <cell r="O73">
            <v>1189</v>
          </cell>
        </row>
        <row r="74">
          <cell r="C74" t="str">
            <v>123-69</v>
          </cell>
          <cell r="D74" t="str">
            <v>ISRAEL GUSTAVO DOS SANTOS GARCIA</v>
          </cell>
          <cell r="E74" t="str">
            <v xml:space="preserve">VENDEDOR(a)         </v>
          </cell>
          <cell r="F74" t="str">
            <v>108.739.084-22</v>
          </cell>
          <cell r="G74">
            <v>43573</v>
          </cell>
          <cell r="H74" t="str">
            <v>Ativo</v>
          </cell>
          <cell r="N74">
            <v>0</v>
          </cell>
          <cell r="O74">
            <v>1189</v>
          </cell>
          <cell r="T74">
            <v>561.6</v>
          </cell>
        </row>
        <row r="75">
          <cell r="C75" t="str">
            <v>123-81</v>
          </cell>
          <cell r="D75" t="str">
            <v>IVANA BONFIM REQUIAO</v>
          </cell>
          <cell r="E75" t="str">
            <v xml:space="preserve">VENDEDOR(a)         </v>
          </cell>
          <cell r="F75" t="str">
            <v>034.529.405-00</v>
          </cell>
          <cell r="G75">
            <v>44371</v>
          </cell>
          <cell r="H75" t="str">
            <v>Ativo</v>
          </cell>
          <cell r="N75">
            <v>0</v>
          </cell>
          <cell r="O75">
            <v>1189</v>
          </cell>
          <cell r="T75">
            <v>246.4</v>
          </cell>
        </row>
        <row r="76">
          <cell r="C76" t="str">
            <v>123-75</v>
          </cell>
          <cell r="D76" t="str">
            <v>JOÃO PEDRO CINTRA BAHIA</v>
          </cell>
          <cell r="E76" t="str">
            <v xml:space="preserve">VENDEDOR(a)         </v>
          </cell>
          <cell r="F76" t="str">
            <v>861.221.485-80</v>
          </cell>
          <cell r="G76">
            <v>43808</v>
          </cell>
          <cell r="H76" t="str">
            <v>Ativo</v>
          </cell>
          <cell r="N76">
            <v>0</v>
          </cell>
          <cell r="O76">
            <v>1189</v>
          </cell>
          <cell r="T76">
            <v>447.2</v>
          </cell>
        </row>
        <row r="77">
          <cell r="C77" t="str">
            <v>123-76</v>
          </cell>
          <cell r="D77" t="str">
            <v>LUCAS ARAUJO DE LIMA</v>
          </cell>
          <cell r="E77" t="str">
            <v xml:space="preserve">ASSISTENTE DE LOJA  </v>
          </cell>
          <cell r="F77" t="str">
            <v>863.378.735-05</v>
          </cell>
          <cell r="G77">
            <v>44084</v>
          </cell>
          <cell r="H77" t="str">
            <v>Ativo</v>
          </cell>
          <cell r="N77">
            <v>1189</v>
          </cell>
          <cell r="P77">
            <v>118.9</v>
          </cell>
          <cell r="T77">
            <v>223.6</v>
          </cell>
        </row>
        <row r="78">
          <cell r="C78" t="str">
            <v>123-68</v>
          </cell>
          <cell r="D78" t="str">
            <v>MARCELO ALVES DE SOUZA SANTOS</v>
          </cell>
          <cell r="E78" t="str">
            <v xml:space="preserve">GERENTE DE LOJA     </v>
          </cell>
          <cell r="F78" t="str">
            <v>041.739.405-56</v>
          </cell>
          <cell r="G78">
            <v>43560</v>
          </cell>
          <cell r="H78" t="str">
            <v>Ativo</v>
          </cell>
          <cell r="N78">
            <v>0</v>
          </cell>
          <cell r="O78">
            <v>4676.3999999999996</v>
          </cell>
        </row>
        <row r="79">
          <cell r="C79" t="str">
            <v>123-36</v>
          </cell>
          <cell r="D79" t="str">
            <v>UELDERMAN ALVES MIGUEZ COSTA</v>
          </cell>
          <cell r="E79" t="str">
            <v xml:space="preserve">VENDEDOR(a)         </v>
          </cell>
          <cell r="F79" t="str">
            <v>029.972.815-39</v>
          </cell>
          <cell r="G79">
            <v>42564</v>
          </cell>
          <cell r="H79" t="str">
            <v>Ativo</v>
          </cell>
          <cell r="N79">
            <v>0</v>
          </cell>
          <cell r="O79">
            <v>1189</v>
          </cell>
        </row>
        <row r="80">
          <cell r="C80" t="str">
            <v>123-70</v>
          </cell>
          <cell r="D80" t="str">
            <v>WEBERTON SOUZA DA SILVA</v>
          </cell>
          <cell r="E80" t="str">
            <v xml:space="preserve">VENDEDOR(a)         </v>
          </cell>
          <cell r="F80" t="str">
            <v>066.595.235-02</v>
          </cell>
          <cell r="G80">
            <v>43718</v>
          </cell>
          <cell r="H80" t="str">
            <v>Ativo</v>
          </cell>
          <cell r="N80">
            <v>0</v>
          </cell>
          <cell r="O80">
            <v>1189</v>
          </cell>
          <cell r="T80">
            <v>223.6</v>
          </cell>
        </row>
        <row r="81">
          <cell r="C81" t="str">
            <v>124-2</v>
          </cell>
          <cell r="D81" t="str">
            <v>FLAVIANA DA SILVA</v>
          </cell>
          <cell r="E81" t="str">
            <v xml:space="preserve">VENDEDOR(a)         </v>
          </cell>
          <cell r="F81" t="str">
            <v>017.660.263-11</v>
          </cell>
          <cell r="G81">
            <v>41929</v>
          </cell>
          <cell r="H81" t="str">
            <v>Ativo</v>
          </cell>
          <cell r="N81">
            <v>0</v>
          </cell>
          <cell r="O81">
            <v>1214.54</v>
          </cell>
        </row>
        <row r="82">
          <cell r="C82" t="str">
            <v>124-19</v>
          </cell>
          <cell r="D82" t="str">
            <v>RANDAL BATISTA MAIA</v>
          </cell>
          <cell r="E82" t="str">
            <v xml:space="preserve">ASSISTENTE DE LOJA  </v>
          </cell>
          <cell r="F82" t="str">
            <v>057.107.003-55</v>
          </cell>
          <cell r="G82">
            <v>42082</v>
          </cell>
          <cell r="H82" t="str">
            <v>Ativo</v>
          </cell>
          <cell r="N82">
            <v>1420.42</v>
          </cell>
          <cell r="P82">
            <v>142.04</v>
          </cell>
        </row>
        <row r="83">
          <cell r="C83" t="str">
            <v>124-49</v>
          </cell>
          <cell r="D83" t="str">
            <v>RAPHAEL SILVA VIEIRA DA LUZ</v>
          </cell>
          <cell r="E83" t="str">
            <v xml:space="preserve">VENDEDOR(a)         </v>
          </cell>
          <cell r="F83" t="str">
            <v>059.452.933-69</v>
          </cell>
          <cell r="G83">
            <v>44166</v>
          </cell>
          <cell r="H83" t="str">
            <v>Ativo</v>
          </cell>
          <cell r="N83">
            <v>0</v>
          </cell>
          <cell r="O83">
            <v>1214.54</v>
          </cell>
        </row>
        <row r="84">
          <cell r="C84" t="str">
            <v>124-40</v>
          </cell>
          <cell r="D84" t="str">
            <v>THEOGENES CALLOU LIMA</v>
          </cell>
          <cell r="E84" t="str">
            <v xml:space="preserve">VENDEDOR(a)         </v>
          </cell>
          <cell r="F84" t="str">
            <v>061.232.043-00</v>
          </cell>
          <cell r="G84">
            <v>42980</v>
          </cell>
          <cell r="H84" t="str">
            <v>Ativo</v>
          </cell>
          <cell r="N84">
            <v>0</v>
          </cell>
          <cell r="O84">
            <v>1214.54</v>
          </cell>
        </row>
        <row r="85">
          <cell r="C85" t="str">
            <v>124-39</v>
          </cell>
          <cell r="D85" t="str">
            <v>THIAGO DOS SANTOS BATISTA</v>
          </cell>
          <cell r="E85" t="str">
            <v xml:space="preserve">VENDEDOR(a)         </v>
          </cell>
          <cell r="F85" t="str">
            <v>065.842.673-77</v>
          </cell>
          <cell r="G85">
            <v>42956</v>
          </cell>
          <cell r="H85" t="str">
            <v>Ativo</v>
          </cell>
          <cell r="N85">
            <v>0</v>
          </cell>
          <cell r="O85">
            <v>1214.54</v>
          </cell>
        </row>
        <row r="86">
          <cell r="C86" t="str">
            <v>125-38</v>
          </cell>
          <cell r="D86" t="str">
            <v>AMANDA CAROLINE MARIANO DA SILVA</v>
          </cell>
          <cell r="E86" t="str">
            <v xml:space="preserve">VENDEDOR(a)         </v>
          </cell>
          <cell r="F86" t="str">
            <v>022.617.843-92</v>
          </cell>
          <cell r="G86">
            <v>43245</v>
          </cell>
          <cell r="H86" t="str">
            <v>Em Auxilio Maternidade</v>
          </cell>
          <cell r="N86">
            <v>0</v>
          </cell>
          <cell r="O86">
            <v>1172.5999999999999</v>
          </cell>
        </row>
        <row r="87">
          <cell r="C87" t="str">
            <v>125-61</v>
          </cell>
          <cell r="D87" t="str">
            <v>ANA KARINE TEIXEIRA VITAL</v>
          </cell>
          <cell r="E87" t="str">
            <v xml:space="preserve">VENDEDOR(a)         </v>
          </cell>
          <cell r="F87" t="str">
            <v>990.787.163-04</v>
          </cell>
          <cell r="G87">
            <v>44394</v>
          </cell>
          <cell r="H87" t="str">
            <v>Ativo</v>
          </cell>
          <cell r="N87">
            <v>0</v>
          </cell>
          <cell r="O87">
            <v>1172.5999999999999</v>
          </cell>
          <cell r="R87">
            <v>145.80000000000001</v>
          </cell>
          <cell r="T87">
            <v>220</v>
          </cell>
        </row>
        <row r="88">
          <cell r="C88" t="str">
            <v>125-60</v>
          </cell>
          <cell r="D88" t="str">
            <v>GUILHERME VITOR LOURENCO</v>
          </cell>
          <cell r="E88" t="str">
            <v xml:space="preserve">ASSISTENTE DE LOJA  </v>
          </cell>
          <cell r="F88" t="str">
            <v>620.660.143-97</v>
          </cell>
          <cell r="G88">
            <v>44385</v>
          </cell>
          <cell r="H88" t="str">
            <v>Ativo</v>
          </cell>
          <cell r="N88">
            <v>1172.5999999999999</v>
          </cell>
          <cell r="P88">
            <v>293.14999999999998</v>
          </cell>
          <cell r="R88">
            <v>194.4</v>
          </cell>
          <cell r="T88">
            <v>340.4</v>
          </cell>
        </row>
        <row r="89">
          <cell r="C89" t="str">
            <v>125-25</v>
          </cell>
          <cell r="D89" t="str">
            <v>HILTON DE SOUZA FERNANDES</v>
          </cell>
          <cell r="E89" t="str">
            <v xml:space="preserve">GERENTE DE LOJA     </v>
          </cell>
          <cell r="F89" t="str">
            <v>016.339.213-79</v>
          </cell>
          <cell r="G89">
            <v>41996</v>
          </cell>
          <cell r="H89" t="str">
            <v>Ativo</v>
          </cell>
          <cell r="N89">
            <v>0</v>
          </cell>
          <cell r="O89">
            <v>4500</v>
          </cell>
        </row>
        <row r="90">
          <cell r="C90" t="str">
            <v>125-54</v>
          </cell>
          <cell r="D90" t="str">
            <v>LUCAS PAZ PONTES</v>
          </cell>
          <cell r="E90" t="str">
            <v xml:space="preserve">VENDEDOR(a)         </v>
          </cell>
          <cell r="F90" t="str">
            <v>622.829.353-22</v>
          </cell>
          <cell r="G90">
            <v>43900</v>
          </cell>
          <cell r="H90" t="str">
            <v>Ativo</v>
          </cell>
          <cell r="N90">
            <v>0</v>
          </cell>
          <cell r="O90">
            <v>1172.5999999999999</v>
          </cell>
          <cell r="S90">
            <v>355</v>
          </cell>
        </row>
        <row r="91">
          <cell r="C91" t="str">
            <v>125-48</v>
          </cell>
          <cell r="D91" t="str">
            <v>LUIS CARLOS GARCIA SILVA</v>
          </cell>
          <cell r="E91" t="str">
            <v xml:space="preserve">VENDEDOR(a)         </v>
          </cell>
          <cell r="F91" t="str">
            <v>013.431.263-55</v>
          </cell>
          <cell r="G91">
            <v>43787</v>
          </cell>
          <cell r="H91" t="str">
            <v>Ativo</v>
          </cell>
          <cell r="N91">
            <v>0</v>
          </cell>
          <cell r="O91">
            <v>1172.5999999999999</v>
          </cell>
        </row>
        <row r="92">
          <cell r="C92" t="str">
            <v>125-28</v>
          </cell>
          <cell r="D92" t="str">
            <v>PAULO HERMINO RIBEIRO DE SOUZA</v>
          </cell>
          <cell r="E92" t="str">
            <v xml:space="preserve">VENDEDOR(a)         </v>
          </cell>
          <cell r="F92" t="str">
            <v>603.472.423-67</v>
          </cell>
          <cell r="G92">
            <v>42710</v>
          </cell>
          <cell r="H92" t="str">
            <v>Ativo</v>
          </cell>
          <cell r="N92">
            <v>0</v>
          </cell>
          <cell r="O92">
            <v>1172.5999999999999</v>
          </cell>
        </row>
        <row r="93">
          <cell r="C93" t="str">
            <v>125-55</v>
          </cell>
          <cell r="D93" t="str">
            <v>TIAGO ELOI FERNANDO</v>
          </cell>
          <cell r="E93" t="str">
            <v xml:space="preserve">VENDEDOR(a)         </v>
          </cell>
          <cell r="F93" t="str">
            <v>603.375.873-02</v>
          </cell>
          <cell r="G93">
            <v>44099</v>
          </cell>
          <cell r="H93" t="str">
            <v>Ativo</v>
          </cell>
          <cell r="N93">
            <v>0</v>
          </cell>
          <cell r="O93">
            <v>1172.5999999999999</v>
          </cell>
        </row>
        <row r="94">
          <cell r="C94" t="str">
            <v>126-41</v>
          </cell>
          <cell r="D94" t="str">
            <v>ANTONIO FELIPE DE SOUZA SANTOS</v>
          </cell>
          <cell r="E94" t="str">
            <v xml:space="preserve">VENDEDOR(a)         </v>
          </cell>
          <cell r="F94" t="str">
            <v>045.312.115-29</v>
          </cell>
          <cell r="G94">
            <v>43160</v>
          </cell>
          <cell r="H94" t="str">
            <v>Ativo</v>
          </cell>
          <cell r="N94">
            <v>662.04</v>
          </cell>
          <cell r="O94">
            <v>1315</v>
          </cell>
          <cell r="S94">
            <v>223.6</v>
          </cell>
        </row>
        <row r="95">
          <cell r="C95" t="str">
            <v>126-56</v>
          </cell>
          <cell r="D95" t="str">
            <v>JOAO LUCAS LACERDA FLAVIO</v>
          </cell>
          <cell r="E95" t="str">
            <v xml:space="preserve">ASSISTENTE DE LOJA  </v>
          </cell>
          <cell r="F95" t="str">
            <v>706.394.571-85</v>
          </cell>
          <cell r="G95">
            <v>44183</v>
          </cell>
          <cell r="H95" t="str">
            <v>Ativo</v>
          </cell>
          <cell r="N95">
            <v>1283</v>
          </cell>
          <cell r="P95">
            <v>158</v>
          </cell>
          <cell r="S95">
            <v>215</v>
          </cell>
        </row>
        <row r="96">
          <cell r="C96" t="str">
            <v>126-45</v>
          </cell>
          <cell r="D96" t="str">
            <v>KAIO LIMA FRUTUOSO</v>
          </cell>
          <cell r="E96" t="str">
            <v xml:space="preserve">VENDEDOR(a)         </v>
          </cell>
          <cell r="F96" t="str">
            <v>708.205.191-38</v>
          </cell>
          <cell r="G96">
            <v>43431</v>
          </cell>
          <cell r="H96" t="str">
            <v>Ativo</v>
          </cell>
          <cell r="N96">
            <v>662.04</v>
          </cell>
          <cell r="O96">
            <v>1315</v>
          </cell>
          <cell r="S96">
            <v>215</v>
          </cell>
        </row>
        <row r="97">
          <cell r="C97" t="str">
            <v>126-37</v>
          </cell>
          <cell r="D97" t="str">
            <v>LUCAS DIAS SOUTO</v>
          </cell>
          <cell r="E97" t="str">
            <v xml:space="preserve">VENDEDOR(a)         </v>
          </cell>
          <cell r="F97" t="str">
            <v>753.825.631-87</v>
          </cell>
          <cell r="G97">
            <v>43047</v>
          </cell>
          <cell r="H97" t="str">
            <v>Ativo</v>
          </cell>
          <cell r="N97">
            <v>662.04</v>
          </cell>
          <cell r="O97">
            <v>1315</v>
          </cell>
          <cell r="S97">
            <v>215</v>
          </cell>
        </row>
        <row r="98">
          <cell r="C98" t="str">
            <v>126-1</v>
          </cell>
          <cell r="D98" t="str">
            <v>LUIZ CARLOS BATISTA INACIO</v>
          </cell>
          <cell r="E98" t="str">
            <v xml:space="preserve">GERENTE DE LOJA     </v>
          </cell>
          <cell r="F98" t="str">
            <v>993.224.391-49</v>
          </cell>
          <cell r="G98">
            <v>41946</v>
          </cell>
          <cell r="H98" t="str">
            <v>Ativo</v>
          </cell>
          <cell r="N98">
            <v>662.04</v>
          </cell>
          <cell r="O98">
            <v>4000</v>
          </cell>
          <cell r="S98">
            <v>120.4</v>
          </cell>
        </row>
        <row r="99">
          <cell r="C99" t="str">
            <v>126-28</v>
          </cell>
          <cell r="D99" t="str">
            <v>PAULO RICARDO FERNANDES NOVAIS</v>
          </cell>
          <cell r="E99" t="str">
            <v xml:space="preserve">VENDEDOR(a)         </v>
          </cell>
          <cell r="F99" t="str">
            <v>031.885.001-06</v>
          </cell>
          <cell r="G99">
            <v>42669</v>
          </cell>
          <cell r="H99" t="str">
            <v>Ativo</v>
          </cell>
          <cell r="N99">
            <v>662.04</v>
          </cell>
          <cell r="O99">
            <v>1315</v>
          </cell>
          <cell r="S99">
            <v>215</v>
          </cell>
        </row>
        <row r="100">
          <cell r="C100" t="str">
            <v>126-55</v>
          </cell>
          <cell r="D100" t="str">
            <v>RAQUEL TEIXEIRA DA SILVA</v>
          </cell>
          <cell r="E100" t="str">
            <v xml:space="preserve">VENDEDOR(a)         </v>
          </cell>
          <cell r="F100" t="str">
            <v>025.438.791-88</v>
          </cell>
          <cell r="G100">
            <v>44152</v>
          </cell>
          <cell r="H100" t="str">
            <v>Ativo</v>
          </cell>
          <cell r="N100">
            <v>662.04</v>
          </cell>
          <cell r="O100">
            <v>1315</v>
          </cell>
          <cell r="S100">
            <v>215</v>
          </cell>
        </row>
        <row r="101">
          <cell r="C101" t="str">
            <v>126-46</v>
          </cell>
          <cell r="D101" t="str">
            <v>VINICIUS DOS SANTOS OLIVEIRA</v>
          </cell>
          <cell r="E101" t="str">
            <v xml:space="preserve">VENDEDOR(a)         </v>
          </cell>
          <cell r="F101" t="str">
            <v>066.778.583-32</v>
          </cell>
          <cell r="G101">
            <v>43438</v>
          </cell>
          <cell r="H101" t="str">
            <v>Ativo</v>
          </cell>
          <cell r="N101">
            <v>662.04</v>
          </cell>
          <cell r="O101">
            <v>1315</v>
          </cell>
          <cell r="S101">
            <v>206.4</v>
          </cell>
        </row>
        <row r="102">
          <cell r="C102" t="str">
            <v>127-70</v>
          </cell>
          <cell r="D102" t="str">
            <v>EDUARDA ZACARIAS DA SILVA</v>
          </cell>
          <cell r="E102" t="str">
            <v xml:space="preserve">GERENTE DE LOJA     </v>
          </cell>
          <cell r="F102" t="str">
            <v>468.989.148-63</v>
          </cell>
          <cell r="G102">
            <v>43770</v>
          </cell>
          <cell r="H102" t="str">
            <v>Ativo</v>
          </cell>
          <cell r="N102">
            <v>0</v>
          </cell>
          <cell r="O102">
            <v>4195.6000000000004</v>
          </cell>
          <cell r="Q102">
            <v>41</v>
          </cell>
        </row>
        <row r="103">
          <cell r="C103" t="str">
            <v>127-79</v>
          </cell>
          <cell r="D103" t="str">
            <v>GABRIEL VINICIUS VIANA TAVARES</v>
          </cell>
          <cell r="E103" t="str">
            <v xml:space="preserve">VENDEDOR(a)         </v>
          </cell>
          <cell r="F103" t="str">
            <v>497.346.378-78</v>
          </cell>
          <cell r="G103">
            <v>44221</v>
          </cell>
          <cell r="H103" t="str">
            <v>Ativo</v>
          </cell>
          <cell r="N103">
            <v>0</v>
          </cell>
          <cell r="O103">
            <v>1909</v>
          </cell>
          <cell r="S103">
            <v>222.5</v>
          </cell>
        </row>
        <row r="104">
          <cell r="C104" t="str">
            <v>127-75</v>
          </cell>
          <cell r="D104" t="str">
            <v>GABRIELA KETLEN RODRIGUES DE SOUZA</v>
          </cell>
          <cell r="E104" t="str">
            <v xml:space="preserve">ASSISTENTE DE LOJA  </v>
          </cell>
          <cell r="F104" t="str">
            <v>501.722.828-45</v>
          </cell>
          <cell r="G104">
            <v>44152</v>
          </cell>
          <cell r="H104" t="str">
            <v>Ativo</v>
          </cell>
          <cell r="N104">
            <v>1591</v>
          </cell>
          <cell r="P104">
            <v>87</v>
          </cell>
          <cell r="S104">
            <v>225.6</v>
          </cell>
        </row>
        <row r="105">
          <cell r="C105" t="str">
            <v>127-80</v>
          </cell>
          <cell r="D105" t="str">
            <v>LUCAS SIQUEIRA FRANCO</v>
          </cell>
          <cell r="E105" t="str">
            <v xml:space="preserve">VENDEDOR(a)         </v>
          </cell>
          <cell r="F105" t="str">
            <v>439.691.338-90</v>
          </cell>
          <cell r="G105">
            <v>44221</v>
          </cell>
          <cell r="H105" t="str">
            <v>Ativo</v>
          </cell>
          <cell r="N105">
            <v>0</v>
          </cell>
          <cell r="O105">
            <v>1909</v>
          </cell>
          <cell r="Q105">
            <v>41</v>
          </cell>
          <cell r="S105">
            <v>245</v>
          </cell>
        </row>
        <row r="106">
          <cell r="C106" t="str">
            <v>127-82</v>
          </cell>
          <cell r="D106" t="str">
            <v>PAULO HENRIQUE BARBIERI</v>
          </cell>
          <cell r="E106" t="str">
            <v xml:space="preserve">VENDEDOR(a)         </v>
          </cell>
          <cell r="F106" t="str">
            <v>426.662.588-07</v>
          </cell>
          <cell r="G106">
            <v>44371</v>
          </cell>
          <cell r="H106" t="str">
            <v>Ativo</v>
          </cell>
          <cell r="N106">
            <v>0</v>
          </cell>
          <cell r="O106">
            <v>1909</v>
          </cell>
          <cell r="Q106">
            <v>41</v>
          </cell>
        </row>
        <row r="107">
          <cell r="C107" t="str">
            <v>139-55</v>
          </cell>
          <cell r="D107" t="str">
            <v>ANA JULIA LOMBARDI</v>
          </cell>
          <cell r="E107" t="str">
            <v xml:space="preserve">VENDEDOR(a)         </v>
          </cell>
          <cell r="F107" t="str">
            <v>482.873.038-93</v>
          </cell>
          <cell r="G107">
            <v>44363</v>
          </cell>
          <cell r="H107" t="str">
            <v>Ativo</v>
          </cell>
          <cell r="N107">
            <v>0</v>
          </cell>
          <cell r="O107">
            <v>1660</v>
          </cell>
          <cell r="R107">
            <v>37.200000000000003</v>
          </cell>
        </row>
        <row r="108">
          <cell r="C108" t="str">
            <v>139-24</v>
          </cell>
          <cell r="D108" t="str">
            <v>DAVID MARANDOLA</v>
          </cell>
          <cell r="E108" t="str">
            <v xml:space="preserve">VENDEDOR(a)         </v>
          </cell>
          <cell r="F108" t="str">
            <v>307.523.568-79</v>
          </cell>
          <cell r="G108">
            <v>43501</v>
          </cell>
          <cell r="H108" t="str">
            <v>Ativo</v>
          </cell>
          <cell r="N108">
            <v>0</v>
          </cell>
          <cell r="O108">
            <v>1660</v>
          </cell>
          <cell r="R108">
            <v>37.200000000000003</v>
          </cell>
        </row>
        <row r="109">
          <cell r="C109" t="str">
            <v>139-46</v>
          </cell>
          <cell r="D109" t="str">
            <v>INAIAH CAMPOS DE OLIVEIRA</v>
          </cell>
          <cell r="E109" t="str">
            <v xml:space="preserve">VENDEDOR(a)         </v>
          </cell>
          <cell r="F109" t="str">
            <v>440.380.288-52</v>
          </cell>
          <cell r="G109">
            <v>44169</v>
          </cell>
          <cell r="H109" t="str">
            <v>Ativo</v>
          </cell>
          <cell r="N109">
            <v>0</v>
          </cell>
          <cell r="O109">
            <v>1660</v>
          </cell>
        </row>
        <row r="110">
          <cell r="C110" t="str">
            <v>139-54</v>
          </cell>
          <cell r="D110" t="str">
            <v>JONATAS BALBINO DOS  SANTOS</v>
          </cell>
          <cell r="E110" t="str">
            <v xml:space="preserve">VENDEDOR(a)         </v>
          </cell>
          <cell r="F110" t="str">
            <v>415.102.878-17</v>
          </cell>
          <cell r="G110">
            <v>44358</v>
          </cell>
          <cell r="H110" t="str">
            <v>Ativo</v>
          </cell>
          <cell r="N110">
            <v>0</v>
          </cell>
          <cell r="O110">
            <v>1660</v>
          </cell>
          <cell r="R110">
            <v>37.200000000000003</v>
          </cell>
        </row>
        <row r="111">
          <cell r="C111" t="str">
            <v>139-41</v>
          </cell>
          <cell r="D111" t="str">
            <v>JULIANA CRISTINA CUNHA</v>
          </cell>
          <cell r="E111" t="str">
            <v xml:space="preserve">VENDEDOR(a)         </v>
          </cell>
          <cell r="F111" t="str">
            <v>307.648.608-01</v>
          </cell>
          <cell r="G111">
            <v>44085</v>
          </cell>
          <cell r="H111" t="str">
            <v>Ativo</v>
          </cell>
          <cell r="N111">
            <v>0</v>
          </cell>
          <cell r="O111">
            <v>1660</v>
          </cell>
          <cell r="R111">
            <v>37.200000000000003</v>
          </cell>
        </row>
        <row r="112">
          <cell r="C112" t="str">
            <v>139-50</v>
          </cell>
          <cell r="D112" t="str">
            <v>LUANA FERREIRA DA SILVA SOARES</v>
          </cell>
          <cell r="E112" t="str">
            <v xml:space="preserve">VENDEDOR(a)         </v>
          </cell>
          <cell r="F112" t="str">
            <v>053.220.423-93</v>
          </cell>
          <cell r="G112">
            <v>44256</v>
          </cell>
          <cell r="H112" t="str">
            <v>Sob Custódia do Inss</v>
          </cell>
          <cell r="N112">
            <v>0</v>
          </cell>
          <cell r="O112">
            <v>1660</v>
          </cell>
        </row>
        <row r="113">
          <cell r="C113" t="str">
            <v>139-52</v>
          </cell>
          <cell r="D113" t="str">
            <v>MARCELO PEREIRA DE OLIVEIRA</v>
          </cell>
          <cell r="E113" t="str">
            <v xml:space="preserve">GERENTE DE LOJA     </v>
          </cell>
          <cell r="F113" t="str">
            <v>153.754.388-10</v>
          </cell>
          <cell r="G113">
            <v>44257</v>
          </cell>
          <cell r="H113" t="str">
            <v>Ativo</v>
          </cell>
          <cell r="N113">
            <v>0</v>
          </cell>
          <cell r="O113">
            <v>5000</v>
          </cell>
          <cell r="R113">
            <v>37.200000000000003</v>
          </cell>
        </row>
        <row r="114">
          <cell r="C114" t="str">
            <v>139-51</v>
          </cell>
          <cell r="D114" t="str">
            <v>MIRIA ALVES</v>
          </cell>
          <cell r="E114" t="str">
            <v xml:space="preserve">VENDEDOR(a)         </v>
          </cell>
          <cell r="F114" t="str">
            <v>446.951.558-26</v>
          </cell>
          <cell r="G114">
            <v>44256</v>
          </cell>
          <cell r="H114" t="str">
            <v>Ativo</v>
          </cell>
          <cell r="N114">
            <v>0</v>
          </cell>
          <cell r="O114">
            <v>1660</v>
          </cell>
          <cell r="R114">
            <v>37.200000000000003</v>
          </cell>
        </row>
        <row r="115">
          <cell r="C115" t="str">
            <v>139-28</v>
          </cell>
          <cell r="D115" t="str">
            <v>OSVALDO CARLOS CESAR</v>
          </cell>
          <cell r="E115" t="str">
            <v xml:space="preserve">VENDEDOR(a)         </v>
          </cell>
          <cell r="F115" t="str">
            <v>396.069.228-55</v>
          </cell>
          <cell r="G115">
            <v>43623</v>
          </cell>
          <cell r="H115" t="str">
            <v>Ativo</v>
          </cell>
          <cell r="N115">
            <v>0</v>
          </cell>
          <cell r="O115">
            <v>1660</v>
          </cell>
        </row>
        <row r="116">
          <cell r="C116" t="str">
            <v>139-49</v>
          </cell>
          <cell r="D116" t="str">
            <v>RAVEL KAIQUE TIANO DA SILVA</v>
          </cell>
          <cell r="E116" t="str">
            <v xml:space="preserve">ASSISTENTE DE LOJA  </v>
          </cell>
          <cell r="F116" t="str">
            <v>465.919.398-57</v>
          </cell>
          <cell r="G116">
            <v>44169</v>
          </cell>
          <cell r="H116" t="str">
            <v>Ativo</v>
          </cell>
          <cell r="N116">
            <v>1415</v>
          </cell>
          <cell r="P116">
            <v>71</v>
          </cell>
          <cell r="R116">
            <v>37.200000000000003</v>
          </cell>
        </row>
        <row r="117">
          <cell r="C117" t="str">
            <v>139-53</v>
          </cell>
          <cell r="D117" t="str">
            <v>TIAGO INACIO DOMINGUES</v>
          </cell>
          <cell r="E117" t="str">
            <v xml:space="preserve">ASSISTENTE DE LOJA  </v>
          </cell>
          <cell r="F117" t="str">
            <v>373.647.468-70</v>
          </cell>
          <cell r="G117">
            <v>44356</v>
          </cell>
          <cell r="H117" t="str">
            <v>Ativo</v>
          </cell>
          <cell r="N117">
            <v>1415</v>
          </cell>
          <cell r="P117">
            <v>71</v>
          </cell>
          <cell r="R117">
            <v>37.200000000000003</v>
          </cell>
        </row>
        <row r="118">
          <cell r="C118" t="str">
            <v>144-81</v>
          </cell>
          <cell r="D118" t="str">
            <v>CARLA DAIANE DA SILVA</v>
          </cell>
          <cell r="E118" t="str">
            <v xml:space="preserve">VENDEDOR(a)         </v>
          </cell>
          <cell r="F118" t="str">
            <v>061.950.663-62</v>
          </cell>
          <cell r="G118">
            <v>43864</v>
          </cell>
          <cell r="H118" t="str">
            <v>Ativo</v>
          </cell>
          <cell r="N118">
            <v>0</v>
          </cell>
          <cell r="O118">
            <v>1693</v>
          </cell>
          <cell r="R118">
            <v>23.5</v>
          </cell>
        </row>
        <row r="119">
          <cell r="C119" t="str">
            <v>144-71</v>
          </cell>
          <cell r="D119" t="str">
            <v>CASSIA HELENA DE SOUZA CORREIA DA SILVA</v>
          </cell>
          <cell r="E119" t="str">
            <v xml:space="preserve">VENDEDOR(a)         </v>
          </cell>
          <cell r="F119" t="str">
            <v>351.952.818-58</v>
          </cell>
          <cell r="G119">
            <v>43509</v>
          </cell>
          <cell r="H119" t="str">
            <v>Ativo</v>
          </cell>
          <cell r="N119">
            <v>0</v>
          </cell>
          <cell r="O119">
            <v>1693</v>
          </cell>
          <cell r="R119">
            <v>23.5</v>
          </cell>
        </row>
        <row r="120">
          <cell r="C120" t="str">
            <v>144-85</v>
          </cell>
          <cell r="D120" t="str">
            <v>ELIZABETH SOUZA GOMES MELO SILVA BERALDO</v>
          </cell>
          <cell r="E120" t="str">
            <v xml:space="preserve">ASSISTENTE DE LOJA  </v>
          </cell>
          <cell r="F120" t="str">
            <v>351.952.868-17</v>
          </cell>
          <cell r="G120">
            <v>44155</v>
          </cell>
          <cell r="H120" t="str">
            <v>Ativo</v>
          </cell>
          <cell r="N120">
            <v>1449</v>
          </cell>
          <cell r="P120">
            <v>74.5</v>
          </cell>
        </row>
        <row r="121">
          <cell r="C121" t="str">
            <v>144-35</v>
          </cell>
          <cell r="D121" t="str">
            <v>FERNANDO ROBERTO DE SOUZA</v>
          </cell>
          <cell r="E121" t="str">
            <v xml:space="preserve">GERENTE DE LOJA     </v>
          </cell>
          <cell r="F121" t="str">
            <v>310.780.058-93</v>
          </cell>
          <cell r="G121">
            <v>42545</v>
          </cell>
          <cell r="H121" t="str">
            <v>Ativo</v>
          </cell>
          <cell r="N121">
            <v>0</v>
          </cell>
          <cell r="O121">
            <v>4500</v>
          </cell>
          <cell r="R121">
            <v>23.5</v>
          </cell>
        </row>
        <row r="122">
          <cell r="C122" t="str">
            <v>144-74</v>
          </cell>
          <cell r="D122" t="str">
            <v>JOSE HENRIQUE GONCALVES</v>
          </cell>
          <cell r="E122" t="str">
            <v xml:space="preserve">VENDEDOR(a)         </v>
          </cell>
          <cell r="F122" t="str">
            <v>133.489.586-44</v>
          </cell>
          <cell r="G122">
            <v>43559</v>
          </cell>
          <cell r="H122" t="str">
            <v>Ativo</v>
          </cell>
          <cell r="N122">
            <v>0</v>
          </cell>
          <cell r="O122">
            <v>1693</v>
          </cell>
          <cell r="R122">
            <v>23.5</v>
          </cell>
          <cell r="T122">
            <v>257.39999999999998</v>
          </cell>
        </row>
        <row r="123">
          <cell r="C123" t="str">
            <v>144-88</v>
          </cell>
          <cell r="D123" t="str">
            <v>VALQUIRIA MELO DE SOUZA</v>
          </cell>
          <cell r="E123" t="str">
            <v xml:space="preserve">VENDEDOR(a)         </v>
          </cell>
          <cell r="F123" t="str">
            <v>302.136.518-31</v>
          </cell>
          <cell r="G123">
            <v>44166</v>
          </cell>
          <cell r="H123" t="str">
            <v>Ativo</v>
          </cell>
          <cell r="N123">
            <v>0</v>
          </cell>
          <cell r="O123">
            <v>1693</v>
          </cell>
          <cell r="R123">
            <v>23.5</v>
          </cell>
          <cell r="T123">
            <v>257.39999999999998</v>
          </cell>
        </row>
        <row r="124">
          <cell r="C124" t="str">
            <v>154-38</v>
          </cell>
          <cell r="D124" t="str">
            <v>GILVAN DE LIMA FERREIRA</v>
          </cell>
          <cell r="E124" t="str">
            <v xml:space="preserve">VENDEDOR(a)         </v>
          </cell>
          <cell r="F124" t="str">
            <v>047.334.784-96</v>
          </cell>
          <cell r="G124">
            <v>43679</v>
          </cell>
          <cell r="H124" t="str">
            <v>Ativo</v>
          </cell>
          <cell r="N124">
            <v>0</v>
          </cell>
          <cell r="O124">
            <v>1240</v>
          </cell>
          <cell r="Q124">
            <v>36.9</v>
          </cell>
        </row>
        <row r="125">
          <cell r="C125" t="str">
            <v>154-43</v>
          </cell>
          <cell r="D125" t="str">
            <v>MICHELINE QUIRINO DA SILVA</v>
          </cell>
          <cell r="E125" t="str">
            <v xml:space="preserve">ASSISTENTE DE LOJA  </v>
          </cell>
          <cell r="F125" t="str">
            <v>047.832.294-14</v>
          </cell>
          <cell r="G125">
            <v>44097</v>
          </cell>
          <cell r="H125" t="str">
            <v>Ativo</v>
          </cell>
          <cell r="N125">
            <v>1240</v>
          </cell>
          <cell r="P125">
            <v>124</v>
          </cell>
          <cell r="S125">
            <v>422.5</v>
          </cell>
        </row>
        <row r="126">
          <cell r="C126" t="str">
            <v>154-45</v>
          </cell>
          <cell r="D126" t="str">
            <v>RAFAEL BRUNO DA SILVA PEREIRA</v>
          </cell>
          <cell r="E126" t="str">
            <v xml:space="preserve">VENDEDOR(a)         </v>
          </cell>
          <cell r="F126" t="str">
            <v>052.187.014-32</v>
          </cell>
          <cell r="G126">
            <v>44152</v>
          </cell>
          <cell r="H126" t="str">
            <v>Ativo</v>
          </cell>
          <cell r="N126">
            <v>0</v>
          </cell>
          <cell r="O126">
            <v>1240</v>
          </cell>
          <cell r="Q126">
            <v>36.9</v>
          </cell>
          <cell r="S126">
            <v>187.5</v>
          </cell>
        </row>
        <row r="127">
          <cell r="C127" t="str">
            <v>154-28</v>
          </cell>
          <cell r="D127" t="str">
            <v>THAIS CARLA DA SILVA</v>
          </cell>
          <cell r="E127" t="str">
            <v xml:space="preserve">VENDEDOR(a)         </v>
          </cell>
          <cell r="F127" t="str">
            <v>089.337.614-03</v>
          </cell>
          <cell r="G127">
            <v>42789</v>
          </cell>
          <cell r="H127" t="str">
            <v>Ativo</v>
          </cell>
          <cell r="N127">
            <v>0</v>
          </cell>
          <cell r="O127">
            <v>1240</v>
          </cell>
          <cell r="Q127">
            <v>36.9</v>
          </cell>
          <cell r="S127">
            <v>375</v>
          </cell>
        </row>
        <row r="128">
          <cell r="C128" t="str">
            <v>154-42</v>
          </cell>
          <cell r="D128" t="str">
            <v>VALDEK GONCALVES JUNIOR</v>
          </cell>
          <cell r="E128" t="str">
            <v xml:space="preserve">VENDEDOR(a)         </v>
          </cell>
          <cell r="F128" t="str">
            <v>012.818.324-13</v>
          </cell>
          <cell r="G128">
            <v>43787</v>
          </cell>
          <cell r="H128" t="str">
            <v>Ativo</v>
          </cell>
          <cell r="N128">
            <v>0</v>
          </cell>
          <cell r="O128">
            <v>1240</v>
          </cell>
          <cell r="Q128">
            <v>36.9</v>
          </cell>
        </row>
        <row r="129">
          <cell r="C129" t="str">
            <v>156-76</v>
          </cell>
          <cell r="D129" t="str">
            <v>DAIANE ELIAS FONTE</v>
          </cell>
          <cell r="E129" t="str">
            <v xml:space="preserve">VENDEDOR(a)         </v>
          </cell>
          <cell r="F129" t="str">
            <v>366.633.188-29</v>
          </cell>
          <cell r="G129">
            <v>43901</v>
          </cell>
          <cell r="H129" t="str">
            <v>Ativo</v>
          </cell>
          <cell r="N129">
            <v>0</v>
          </cell>
          <cell r="O129">
            <v>1807.35</v>
          </cell>
          <cell r="S129">
            <v>462</v>
          </cell>
        </row>
        <row r="130">
          <cell r="C130" t="str">
            <v>156-72</v>
          </cell>
          <cell r="D130" t="str">
            <v>DANILO TEIXEIRA</v>
          </cell>
          <cell r="E130" t="str">
            <v xml:space="preserve">VENDEDOR(a)         </v>
          </cell>
          <cell r="F130" t="str">
            <v>393.300.068-84</v>
          </cell>
          <cell r="G130">
            <v>43852</v>
          </cell>
          <cell r="H130" t="str">
            <v>Ativo</v>
          </cell>
          <cell r="N130">
            <v>0</v>
          </cell>
          <cell r="O130">
            <v>1807.35</v>
          </cell>
          <cell r="S130">
            <v>480.48</v>
          </cell>
        </row>
        <row r="131">
          <cell r="C131" t="str">
            <v>156-78</v>
          </cell>
          <cell r="D131" t="str">
            <v>GUSTAVO DA SILVA DIAS</v>
          </cell>
          <cell r="E131" t="str">
            <v xml:space="preserve">VENDEDOR(a)         </v>
          </cell>
          <cell r="F131" t="str">
            <v>462.565.098-46</v>
          </cell>
          <cell r="G131">
            <v>43902</v>
          </cell>
          <cell r="H131" t="str">
            <v>Ativo</v>
          </cell>
          <cell r="N131">
            <v>0</v>
          </cell>
          <cell r="O131">
            <v>1807.35</v>
          </cell>
          <cell r="S131">
            <v>462.8</v>
          </cell>
        </row>
        <row r="132">
          <cell r="C132" t="str">
            <v>156-67</v>
          </cell>
          <cell r="D132" t="str">
            <v>JAQUELINE GOMES FERNANDES</v>
          </cell>
          <cell r="E132" t="str">
            <v xml:space="preserve">VENDEDOR(a)         </v>
          </cell>
          <cell r="F132" t="str">
            <v>465.800.178-05</v>
          </cell>
          <cell r="G132">
            <v>43759</v>
          </cell>
          <cell r="H132" t="str">
            <v>Ativo</v>
          </cell>
          <cell r="N132">
            <v>0</v>
          </cell>
          <cell r="O132">
            <v>1807.35</v>
          </cell>
        </row>
        <row r="133">
          <cell r="C133" t="str">
            <v>156-81</v>
          </cell>
          <cell r="D133" t="str">
            <v>LUCAS COSTA NERIS</v>
          </cell>
          <cell r="E133" t="str">
            <v xml:space="preserve">VENDEDOR(a)         </v>
          </cell>
          <cell r="F133" t="str">
            <v>406.321.078-20</v>
          </cell>
          <cell r="G133">
            <v>44152</v>
          </cell>
          <cell r="H133" t="str">
            <v>Ativo</v>
          </cell>
          <cell r="N133">
            <v>0</v>
          </cell>
          <cell r="O133">
            <v>1807.35</v>
          </cell>
          <cell r="S133">
            <v>462</v>
          </cell>
        </row>
        <row r="134">
          <cell r="C134" t="str">
            <v>156-79</v>
          </cell>
          <cell r="D134" t="str">
            <v>LUCAS DIAS NASCIMENTO</v>
          </cell>
          <cell r="E134" t="str">
            <v xml:space="preserve">VENDEDOR(a)         </v>
          </cell>
          <cell r="F134" t="str">
            <v>462.462.528-50</v>
          </cell>
          <cell r="G134">
            <v>44145</v>
          </cell>
          <cell r="H134" t="str">
            <v>Ativo</v>
          </cell>
          <cell r="N134">
            <v>0</v>
          </cell>
          <cell r="O134">
            <v>1807.35</v>
          </cell>
          <cell r="S134">
            <v>462</v>
          </cell>
        </row>
        <row r="135">
          <cell r="C135" t="str">
            <v>156-75</v>
          </cell>
          <cell r="D135" t="str">
            <v>RAFAEL DOS SANTOS GENARE DENIS</v>
          </cell>
          <cell r="E135" t="str">
            <v xml:space="preserve">GERENTE DE LOJA     </v>
          </cell>
          <cell r="F135" t="str">
            <v>357.754.148-29</v>
          </cell>
          <cell r="G135">
            <v>43889</v>
          </cell>
          <cell r="H135" t="str">
            <v>Ativo</v>
          </cell>
          <cell r="N135">
            <v>0</v>
          </cell>
          <cell r="O135">
            <v>4817.59</v>
          </cell>
        </row>
        <row r="136">
          <cell r="C136" t="str">
            <v>156-84</v>
          </cell>
          <cell r="D136" t="str">
            <v>TAIS PEREIRA DE PAULA</v>
          </cell>
          <cell r="E136" t="str">
            <v xml:space="preserve">ASSISTENTE DE LOJA  </v>
          </cell>
          <cell r="F136" t="str">
            <v>401.549.458-03</v>
          </cell>
          <cell r="G136">
            <v>44354</v>
          </cell>
          <cell r="H136" t="str">
            <v>Ativo</v>
          </cell>
          <cell r="N136">
            <v>1461.24</v>
          </cell>
          <cell r="P136">
            <v>68.400000000000006</v>
          </cell>
          <cell r="S136">
            <v>754.5</v>
          </cell>
        </row>
        <row r="137">
          <cell r="C137" t="str">
            <v>157-34</v>
          </cell>
          <cell r="D137" t="str">
            <v>ALEX ADRES BARBARA</v>
          </cell>
          <cell r="E137" t="str">
            <v xml:space="preserve">ASSISTENTE DE LOJA  </v>
          </cell>
          <cell r="F137" t="str">
            <v>095.268.949-95</v>
          </cell>
          <cell r="G137">
            <v>43728</v>
          </cell>
          <cell r="H137" t="str">
            <v>Ativo</v>
          </cell>
          <cell r="N137">
            <v>1414</v>
          </cell>
          <cell r="P137">
            <v>141.4</v>
          </cell>
          <cell r="T137">
            <v>234</v>
          </cell>
        </row>
        <row r="138">
          <cell r="C138" t="str">
            <v>157-46</v>
          </cell>
          <cell r="D138" t="str">
            <v>ALEXANDRO LIMA PASSOS</v>
          </cell>
          <cell r="E138" t="str">
            <v xml:space="preserve">VENDEDOR(a)         </v>
          </cell>
          <cell r="F138" t="str">
            <v>073.153.439-54</v>
          </cell>
          <cell r="G138">
            <v>44179</v>
          </cell>
          <cell r="H138" t="str">
            <v>Ativo</v>
          </cell>
          <cell r="N138">
            <v>0</v>
          </cell>
          <cell r="O138">
            <v>1515</v>
          </cell>
        </row>
        <row r="139">
          <cell r="C139" t="str">
            <v>157-44</v>
          </cell>
          <cell r="D139" t="str">
            <v>GABRIELE VILICZINSKI ZADOROSNY</v>
          </cell>
          <cell r="E139" t="str">
            <v xml:space="preserve">ASSISTENTE DE LOJA  </v>
          </cell>
          <cell r="F139" t="str">
            <v>097.198.899-42</v>
          </cell>
          <cell r="G139">
            <v>44152</v>
          </cell>
          <cell r="H139" t="str">
            <v>Ativo</v>
          </cell>
          <cell r="N139">
            <v>1414</v>
          </cell>
          <cell r="P139">
            <v>141.4</v>
          </cell>
          <cell r="T139">
            <v>234</v>
          </cell>
        </row>
        <row r="140">
          <cell r="C140" t="str">
            <v>157-14</v>
          </cell>
          <cell r="D140" t="str">
            <v>JOELMA APARECIDA ZANCHINSKI DE MATTOS</v>
          </cell>
          <cell r="E140" t="str">
            <v xml:space="preserve">VENDEDOR(a)         </v>
          </cell>
          <cell r="F140" t="str">
            <v>072.489.409-84</v>
          </cell>
          <cell r="G140">
            <v>42684</v>
          </cell>
          <cell r="H140" t="str">
            <v>Ativo</v>
          </cell>
          <cell r="N140">
            <v>0</v>
          </cell>
          <cell r="O140">
            <v>1515</v>
          </cell>
        </row>
        <row r="141">
          <cell r="C141" t="str">
            <v>157-43</v>
          </cell>
          <cell r="D141" t="str">
            <v>JULIO CESAR RODRIGUES ROSA</v>
          </cell>
          <cell r="E141" t="str">
            <v xml:space="preserve">VENDEDOR(a)         </v>
          </cell>
          <cell r="F141" t="str">
            <v>109.044.107-06</v>
          </cell>
          <cell r="G141">
            <v>44086</v>
          </cell>
          <cell r="H141" t="str">
            <v>Ativo</v>
          </cell>
          <cell r="N141">
            <v>0</v>
          </cell>
          <cell r="O141">
            <v>1515</v>
          </cell>
          <cell r="T141">
            <v>234</v>
          </cell>
        </row>
        <row r="142">
          <cell r="C142" t="str">
            <v>157-45</v>
          </cell>
          <cell r="D142" t="str">
            <v>LUIZA PACHEGO GROLLI</v>
          </cell>
          <cell r="E142" t="str">
            <v xml:space="preserve">VENDEDOR(a)         </v>
          </cell>
          <cell r="F142" t="str">
            <v>074.611.149-56</v>
          </cell>
          <cell r="G142">
            <v>44155</v>
          </cell>
          <cell r="H142" t="str">
            <v>Ativo</v>
          </cell>
          <cell r="N142">
            <v>0</v>
          </cell>
          <cell r="O142">
            <v>1515</v>
          </cell>
          <cell r="T142">
            <v>234</v>
          </cell>
        </row>
        <row r="143">
          <cell r="C143" t="str">
            <v>157-33</v>
          </cell>
          <cell r="D143" t="str">
            <v>PEDRO MAGNO DOS SANTOS PEREIRA</v>
          </cell>
          <cell r="E143" t="str">
            <v xml:space="preserve">GERENTE DE LOJA     </v>
          </cell>
          <cell r="F143" t="str">
            <v>023.850.479-42</v>
          </cell>
          <cell r="G143">
            <v>43693</v>
          </cell>
          <cell r="H143" t="str">
            <v>Ativo</v>
          </cell>
          <cell r="N143">
            <v>0</v>
          </cell>
          <cell r="O143">
            <v>4610.7</v>
          </cell>
        </row>
        <row r="144">
          <cell r="C144" t="str">
            <v>161-51</v>
          </cell>
          <cell r="D144" t="str">
            <v>CALEBE WODARSKI</v>
          </cell>
          <cell r="E144" t="str">
            <v xml:space="preserve">VENDEDOR(a)         </v>
          </cell>
          <cell r="F144" t="str">
            <v>036.159.210-89</v>
          </cell>
          <cell r="G144">
            <v>44342</v>
          </cell>
          <cell r="H144" t="str">
            <v>Ativo</v>
          </cell>
          <cell r="N144">
            <v>0</v>
          </cell>
          <cell r="O144">
            <v>1420.37</v>
          </cell>
          <cell r="T144">
            <v>572</v>
          </cell>
        </row>
        <row r="145">
          <cell r="C145" t="str">
            <v>161-49</v>
          </cell>
          <cell r="D145" t="str">
            <v>CAUE LUCAS GIL</v>
          </cell>
          <cell r="E145" t="str">
            <v xml:space="preserve">VENDEDOR(a)         </v>
          </cell>
          <cell r="F145" t="str">
            <v>017.010.930-57</v>
          </cell>
          <cell r="G145">
            <v>44287</v>
          </cell>
          <cell r="H145" t="str">
            <v>Ativo</v>
          </cell>
          <cell r="N145">
            <v>0</v>
          </cell>
          <cell r="O145">
            <v>1420.37</v>
          </cell>
        </row>
        <row r="146">
          <cell r="C146" t="str">
            <v>161-45</v>
          </cell>
          <cell r="D146" t="str">
            <v>DANIELA DA SILVA CASTILHOS</v>
          </cell>
          <cell r="E146" t="str">
            <v xml:space="preserve">ASSISTENTE DE LOJA  </v>
          </cell>
          <cell r="F146" t="str">
            <v>868.605.930-91</v>
          </cell>
          <cell r="G146">
            <v>44154</v>
          </cell>
          <cell r="H146" t="str">
            <v>Ativo</v>
          </cell>
          <cell r="N146">
            <v>1285</v>
          </cell>
          <cell r="P146">
            <v>128.5</v>
          </cell>
          <cell r="T146">
            <v>236.6</v>
          </cell>
        </row>
        <row r="147">
          <cell r="C147" t="str">
            <v>161-32</v>
          </cell>
          <cell r="D147" t="str">
            <v>DEBORA RODRIGUES SILVA</v>
          </cell>
          <cell r="E147" t="str">
            <v xml:space="preserve">GERENTE DE LOJA     </v>
          </cell>
          <cell r="F147" t="str">
            <v>861.880.700-15</v>
          </cell>
          <cell r="G147">
            <v>43491</v>
          </cell>
          <cell r="H147" t="str">
            <v>Ativo</v>
          </cell>
          <cell r="N147">
            <v>0</v>
          </cell>
          <cell r="O147">
            <v>4102</v>
          </cell>
        </row>
        <row r="148">
          <cell r="C148" t="str">
            <v>161-52</v>
          </cell>
          <cell r="D148" t="str">
            <v>DOUGLAS ILHA MARTINS</v>
          </cell>
          <cell r="E148" t="str">
            <v xml:space="preserve">VENDEDOR(a)         </v>
          </cell>
          <cell r="F148" t="str">
            <v>029.126.590-19</v>
          </cell>
          <cell r="G148">
            <v>44355</v>
          </cell>
          <cell r="H148" t="str">
            <v>Ativo</v>
          </cell>
          <cell r="N148">
            <v>0</v>
          </cell>
          <cell r="O148">
            <v>1420.37</v>
          </cell>
          <cell r="T148">
            <v>354.9</v>
          </cell>
        </row>
        <row r="149">
          <cell r="C149" t="str">
            <v>161-53</v>
          </cell>
          <cell r="D149" t="str">
            <v>HENRIQUE PEDROSO VIECELI</v>
          </cell>
          <cell r="E149" t="str">
            <v xml:space="preserve">VENDEDOR(a)         </v>
          </cell>
          <cell r="F149" t="str">
            <v>846.364.400-72</v>
          </cell>
          <cell r="G149">
            <v>44398</v>
          </cell>
          <cell r="H149" t="str">
            <v>Ativo</v>
          </cell>
          <cell r="N149">
            <v>0</v>
          </cell>
          <cell r="O149">
            <v>1420.37</v>
          </cell>
          <cell r="R149">
            <v>13.87</v>
          </cell>
          <cell r="S149">
            <v>105.6</v>
          </cell>
        </row>
        <row r="150">
          <cell r="C150" t="str">
            <v>166-34</v>
          </cell>
          <cell r="D150" t="str">
            <v>BRAULIO RIBEIRO MARQUEZ</v>
          </cell>
          <cell r="E150" t="str">
            <v xml:space="preserve">VENDEDOR(a)         </v>
          </cell>
          <cell r="F150" t="str">
            <v>127.679.907-16</v>
          </cell>
          <cell r="G150">
            <v>43794</v>
          </cell>
          <cell r="H150" t="str">
            <v>Ativo</v>
          </cell>
          <cell r="N150">
            <v>1300</v>
          </cell>
          <cell r="O150" t="str">
            <v>001</v>
          </cell>
        </row>
        <row r="151">
          <cell r="C151" t="str">
            <v>166-1</v>
          </cell>
          <cell r="D151" t="str">
            <v>BRUNO HENRIQUE FIGUEIRA NOTARANGELI</v>
          </cell>
          <cell r="E151" t="str">
            <v xml:space="preserve">GERENTE DE LOJA     </v>
          </cell>
          <cell r="F151" t="str">
            <v>050.767.341-74</v>
          </cell>
          <cell r="G151">
            <v>43069</v>
          </cell>
          <cell r="H151" t="str">
            <v>Ativo</v>
          </cell>
          <cell r="N151">
            <v>0</v>
          </cell>
          <cell r="O151">
            <v>4000</v>
          </cell>
        </row>
        <row r="152">
          <cell r="C152" t="str">
            <v>166-8</v>
          </cell>
          <cell r="D152" t="str">
            <v>MARIANA DE SOUZA ARAL</v>
          </cell>
          <cell r="E152" t="str">
            <v xml:space="preserve">VENDEDOR(a)         </v>
          </cell>
          <cell r="F152" t="str">
            <v>059.153.461-46</v>
          </cell>
          <cell r="G152">
            <v>43069</v>
          </cell>
          <cell r="H152" t="str">
            <v>Ativo</v>
          </cell>
          <cell r="N152">
            <v>1300</v>
          </cell>
          <cell r="O152" t="str">
            <v>001</v>
          </cell>
        </row>
        <row r="153">
          <cell r="C153" t="str">
            <v>166-43</v>
          </cell>
          <cell r="D153" t="str">
            <v>PEDRO SILVEIRA TROCHE</v>
          </cell>
          <cell r="E153" t="str">
            <v xml:space="preserve">VENDEDOR(a)         </v>
          </cell>
          <cell r="F153" t="str">
            <v>036.380.331-98</v>
          </cell>
          <cell r="G153">
            <v>44399</v>
          </cell>
          <cell r="H153" t="str">
            <v>Ativo</v>
          </cell>
          <cell r="N153">
            <v>1300</v>
          </cell>
          <cell r="O153" t="str">
            <v>001</v>
          </cell>
          <cell r="R153">
            <v>90</v>
          </cell>
        </row>
        <row r="154">
          <cell r="C154" t="str">
            <v>166-42</v>
          </cell>
          <cell r="D154" t="str">
            <v>THALISSON DE MORAES TEIXEIRA</v>
          </cell>
          <cell r="E154" t="str">
            <v xml:space="preserve">VENDEDOR(a)         </v>
          </cell>
          <cell r="F154" t="str">
            <v>055.326.671-36</v>
          </cell>
          <cell r="G154">
            <v>44398</v>
          </cell>
          <cell r="H154" t="str">
            <v>Ativo</v>
          </cell>
          <cell r="N154">
            <v>1300</v>
          </cell>
          <cell r="O154" t="str">
            <v>001</v>
          </cell>
          <cell r="R154">
            <v>110</v>
          </cell>
        </row>
        <row r="155">
          <cell r="C155" t="str">
            <v>169-35</v>
          </cell>
          <cell r="D155" t="str">
            <v>BERLIS CAROLAYNE DAMASCENA  BOROWSKI</v>
          </cell>
          <cell r="E155" t="str">
            <v xml:space="preserve">ASSISTENTE DE LOJA  </v>
          </cell>
          <cell r="F155" t="str">
            <v>107.202.289-30</v>
          </cell>
          <cell r="G155">
            <v>44035</v>
          </cell>
          <cell r="H155" t="str">
            <v>Ativo</v>
          </cell>
          <cell r="N155">
            <v>1314</v>
          </cell>
          <cell r="P155">
            <v>262.8</v>
          </cell>
        </row>
        <row r="156">
          <cell r="C156" t="str">
            <v>169-42</v>
          </cell>
          <cell r="D156" t="str">
            <v>DIOGENES SILVA SOARES</v>
          </cell>
          <cell r="E156" t="str">
            <v xml:space="preserve">VENDEDOR(a)         </v>
          </cell>
          <cell r="F156" t="str">
            <v>072.873.605-51</v>
          </cell>
          <cell r="G156">
            <v>44410</v>
          </cell>
          <cell r="H156" t="str">
            <v>Ativo</v>
          </cell>
          <cell r="N156">
            <v>0</v>
          </cell>
          <cell r="O156">
            <v>1314</v>
          </cell>
        </row>
        <row r="157">
          <cell r="C157" t="str">
            <v>169-39</v>
          </cell>
          <cell r="D157" t="str">
            <v>JADI REIS</v>
          </cell>
          <cell r="E157" t="str">
            <v xml:space="preserve">ASSISTENTE DE LOJA  </v>
          </cell>
          <cell r="F157" t="str">
            <v>138.361.579-93</v>
          </cell>
          <cell r="G157">
            <v>44152</v>
          </cell>
          <cell r="H157" t="str">
            <v>Ativo</v>
          </cell>
          <cell r="N157">
            <v>1314</v>
          </cell>
          <cell r="P157">
            <v>262.8</v>
          </cell>
        </row>
        <row r="158">
          <cell r="C158" t="str">
            <v>169-16</v>
          </cell>
          <cell r="D158" t="str">
            <v>JOSE FELIX SAMUEL RAGGIO ADORNO</v>
          </cell>
          <cell r="E158" t="str">
            <v xml:space="preserve">GERENTE DE LOJA     </v>
          </cell>
          <cell r="F158" t="str">
            <v>704.874.091-40</v>
          </cell>
          <cell r="G158">
            <v>42626</v>
          </cell>
          <cell r="H158" t="str">
            <v>Ativo</v>
          </cell>
          <cell r="N158">
            <v>0</v>
          </cell>
          <cell r="O158">
            <v>5665</v>
          </cell>
        </row>
        <row r="159">
          <cell r="C159" t="str">
            <v>169-31</v>
          </cell>
          <cell r="D159" t="str">
            <v>JOSE VITOR SILVA TROIAN</v>
          </cell>
          <cell r="E159" t="str">
            <v xml:space="preserve">VENDEDOR(a)         </v>
          </cell>
          <cell r="F159" t="str">
            <v>083.524.149-17</v>
          </cell>
          <cell r="G159">
            <v>43781</v>
          </cell>
          <cell r="H159" t="str">
            <v>Ativo</v>
          </cell>
          <cell r="N159">
            <v>0</v>
          </cell>
          <cell r="O159">
            <v>1314</v>
          </cell>
        </row>
        <row r="160">
          <cell r="C160" t="str">
            <v>169-7</v>
          </cell>
          <cell r="D160" t="str">
            <v>LEONARDO CASTRO DA PAIXAO</v>
          </cell>
          <cell r="E160" t="str">
            <v xml:space="preserve">VENDEDOR(a)         </v>
          </cell>
          <cell r="F160" t="str">
            <v>057.482.195-30</v>
          </cell>
          <cell r="G160">
            <v>43442</v>
          </cell>
          <cell r="H160" t="str">
            <v>Ativo</v>
          </cell>
          <cell r="N160">
            <v>0</v>
          </cell>
          <cell r="O160">
            <v>1314</v>
          </cell>
        </row>
        <row r="161">
          <cell r="C161" t="str">
            <v>169-41</v>
          </cell>
          <cell r="D161" t="str">
            <v>LUIZ ANTONIO SILVEIRA</v>
          </cell>
          <cell r="E161" t="str">
            <v xml:space="preserve">VENDEDOR(a)         </v>
          </cell>
          <cell r="F161" t="str">
            <v>004.208.339-78</v>
          </cell>
          <cell r="G161">
            <v>44221</v>
          </cell>
          <cell r="H161" t="str">
            <v>Ativo</v>
          </cell>
          <cell r="N161">
            <v>0</v>
          </cell>
          <cell r="O161">
            <v>1314</v>
          </cell>
        </row>
        <row r="162">
          <cell r="C162" t="str">
            <v>169-37</v>
          </cell>
          <cell r="D162" t="str">
            <v>MATHEUS MARTINS VIEIRA</v>
          </cell>
          <cell r="E162" t="str">
            <v xml:space="preserve">VENDEDOR(a)         </v>
          </cell>
          <cell r="F162" t="str">
            <v>015.074.470-60</v>
          </cell>
          <cell r="G162">
            <v>44095</v>
          </cell>
          <cell r="H162" t="str">
            <v>Ativo</v>
          </cell>
          <cell r="N162">
            <v>0</v>
          </cell>
          <cell r="O162">
            <v>1314</v>
          </cell>
        </row>
        <row r="163">
          <cell r="C163" t="str">
            <v>169-38</v>
          </cell>
          <cell r="D163" t="str">
            <v>RAFAEL GOVONI</v>
          </cell>
          <cell r="E163" t="str">
            <v xml:space="preserve">VENDEDOR(a)         </v>
          </cell>
          <cell r="F163" t="str">
            <v>032.988.810-23</v>
          </cell>
          <cell r="G163">
            <v>44153</v>
          </cell>
          <cell r="H163" t="str">
            <v>Ativo</v>
          </cell>
          <cell r="N163">
            <v>0</v>
          </cell>
          <cell r="O163">
            <v>1314</v>
          </cell>
        </row>
        <row r="164">
          <cell r="C164" t="str">
            <v>169-1</v>
          </cell>
          <cell r="D164" t="str">
            <v>TATIANE MENDES NASCIMENTO</v>
          </cell>
          <cell r="E164" t="str">
            <v xml:space="preserve">VENDEDOR(a)         </v>
          </cell>
          <cell r="F164" t="str">
            <v>076.301.986-04</v>
          </cell>
          <cell r="G164">
            <v>43442</v>
          </cell>
          <cell r="H164" t="str">
            <v>Ativo</v>
          </cell>
          <cell r="N164">
            <v>0</v>
          </cell>
          <cell r="O164">
            <v>1314</v>
          </cell>
        </row>
        <row r="165">
          <cell r="C165" t="str">
            <v>173-26</v>
          </cell>
          <cell r="D165" t="str">
            <v>ANDRESSA RIBEIRO DOS SANTOS</v>
          </cell>
          <cell r="E165" t="str">
            <v xml:space="preserve">VENDEDOR(a)         </v>
          </cell>
          <cell r="F165" t="str">
            <v>340.943.468-21</v>
          </cell>
          <cell r="G165">
            <v>43791</v>
          </cell>
          <cell r="H165" t="str">
            <v>Ativo</v>
          </cell>
          <cell r="N165">
            <v>0</v>
          </cell>
          <cell r="O165">
            <v>1713</v>
          </cell>
          <cell r="S165">
            <v>384.8</v>
          </cell>
        </row>
        <row r="166">
          <cell r="C166" t="str">
            <v>173-30</v>
          </cell>
          <cell r="D166" t="str">
            <v>CAIO BRUNO DA SILVA FERREIRA</v>
          </cell>
          <cell r="E166" t="str">
            <v xml:space="preserve">ASSISTENTE DE LOJA  </v>
          </cell>
          <cell r="F166" t="str">
            <v>424.306.458-07</v>
          </cell>
          <cell r="G166">
            <v>43791</v>
          </cell>
          <cell r="H166" t="str">
            <v>Ativo</v>
          </cell>
          <cell r="N166">
            <v>1447</v>
          </cell>
          <cell r="P166">
            <v>80</v>
          </cell>
        </row>
        <row r="167">
          <cell r="C167" t="str">
            <v>173-38</v>
          </cell>
          <cell r="D167" t="str">
            <v>DAVISON DE JESUS SANTOS</v>
          </cell>
          <cell r="E167" t="str">
            <v xml:space="preserve">VENDEDOR(a)         </v>
          </cell>
          <cell r="F167" t="str">
            <v>043.282.025-61</v>
          </cell>
          <cell r="G167">
            <v>44152</v>
          </cell>
          <cell r="H167" t="str">
            <v>Ativo</v>
          </cell>
          <cell r="N167">
            <v>0</v>
          </cell>
          <cell r="O167">
            <v>1713</v>
          </cell>
          <cell r="S167">
            <v>234</v>
          </cell>
        </row>
        <row r="168">
          <cell r="C168" t="str">
            <v>173-5</v>
          </cell>
          <cell r="D168" t="str">
            <v>FLAVIA TEIXEIRA GONDIM</v>
          </cell>
          <cell r="E168" t="str">
            <v xml:space="preserve">VENDEDOR(a)         </v>
          </cell>
          <cell r="F168" t="str">
            <v>451.312.228-50</v>
          </cell>
          <cell r="G168">
            <v>43427</v>
          </cell>
          <cell r="H168" t="str">
            <v>Sob Custódia do Inss</v>
          </cell>
          <cell r="N168">
            <v>0</v>
          </cell>
        </row>
        <row r="169">
          <cell r="C169" t="str">
            <v>173-42</v>
          </cell>
          <cell r="D169" t="str">
            <v>JULIA MARANGONI NINOT</v>
          </cell>
          <cell r="E169" t="str">
            <v xml:space="preserve">VENDEDOR(a)         </v>
          </cell>
          <cell r="F169" t="str">
            <v>442.706.888-07</v>
          </cell>
          <cell r="G169">
            <v>44384</v>
          </cell>
          <cell r="H169" t="str">
            <v>Ativo</v>
          </cell>
          <cell r="N169">
            <v>0</v>
          </cell>
          <cell r="O169">
            <v>1713</v>
          </cell>
          <cell r="R169">
            <v>34</v>
          </cell>
        </row>
        <row r="170">
          <cell r="C170" t="str">
            <v>173-34</v>
          </cell>
          <cell r="D170" t="str">
            <v>LUCAS DOS SANTOS AMARO SILVA</v>
          </cell>
          <cell r="E170" t="str">
            <v xml:space="preserve">VENDEDOR(a)         </v>
          </cell>
          <cell r="F170" t="str">
            <v>466.569.038-35</v>
          </cell>
          <cell r="G170">
            <v>43899</v>
          </cell>
          <cell r="H170" t="str">
            <v>Ativo</v>
          </cell>
          <cell r="N170">
            <v>0</v>
          </cell>
          <cell r="O170">
            <v>1713</v>
          </cell>
          <cell r="S170">
            <v>620.36</v>
          </cell>
        </row>
        <row r="171">
          <cell r="C171" t="str">
            <v>173-35</v>
          </cell>
          <cell r="D171" t="str">
            <v>THIAGO HENRIQUE FRANÇA DA SILVA</v>
          </cell>
          <cell r="E171" t="str">
            <v xml:space="preserve">GERENTE DE LOJA     </v>
          </cell>
          <cell r="F171" t="str">
            <v>410.930.048-78</v>
          </cell>
          <cell r="G171">
            <v>42531</v>
          </cell>
          <cell r="H171" t="str">
            <v>Ativo</v>
          </cell>
          <cell r="N171">
            <v>0</v>
          </cell>
          <cell r="O171">
            <v>4500</v>
          </cell>
        </row>
        <row r="172">
          <cell r="C172" t="str">
            <v>173-41</v>
          </cell>
          <cell r="D172" t="str">
            <v>WALLESKY KLEBER TEIXEIRA DE ARAUJO</v>
          </cell>
          <cell r="E172" t="str">
            <v xml:space="preserve">VENDEDOR(a)         </v>
          </cell>
          <cell r="F172" t="str">
            <v>427.139.818-75</v>
          </cell>
          <cell r="G172">
            <v>44358</v>
          </cell>
          <cell r="H172" t="str">
            <v>Ativo</v>
          </cell>
          <cell r="N172">
            <v>0</v>
          </cell>
          <cell r="O172">
            <v>1713</v>
          </cell>
          <cell r="S172">
            <v>332.5</v>
          </cell>
        </row>
        <row r="173">
          <cell r="C173" t="str">
            <v>175-17</v>
          </cell>
          <cell r="D173" t="str">
            <v>ALISON MURILO ALENCAR DIAS</v>
          </cell>
          <cell r="E173" t="str">
            <v xml:space="preserve">ASSISTENTE DE LOJA  </v>
          </cell>
          <cell r="F173" t="str">
            <v>061.080.931-88</v>
          </cell>
          <cell r="G173">
            <v>44153</v>
          </cell>
          <cell r="H173" t="str">
            <v>Ativo</v>
          </cell>
          <cell r="N173">
            <v>1060.3699999999999</v>
          </cell>
          <cell r="P173">
            <v>158</v>
          </cell>
          <cell r="R173">
            <v>425</v>
          </cell>
        </row>
        <row r="174">
          <cell r="C174" t="str">
            <v>175-13</v>
          </cell>
          <cell r="D174" t="str">
            <v>BRUNO DOS SANTOS MARIANO BARBOSA</v>
          </cell>
          <cell r="E174" t="str">
            <v xml:space="preserve">VENDEDOR(a)         </v>
          </cell>
          <cell r="F174" t="str">
            <v>069.196.861-63</v>
          </cell>
          <cell r="G174">
            <v>43782</v>
          </cell>
          <cell r="H174" t="str">
            <v>Ativo</v>
          </cell>
          <cell r="N174">
            <v>998</v>
          </cell>
          <cell r="O174">
            <v>1257</v>
          </cell>
          <cell r="R174">
            <v>425</v>
          </cell>
        </row>
        <row r="175">
          <cell r="C175" t="str">
            <v>175-11</v>
          </cell>
          <cell r="D175" t="str">
            <v>IGOR MANOEL AMARO DA SILVA</v>
          </cell>
          <cell r="E175" t="str">
            <v xml:space="preserve">VENDEDOR(a)         </v>
          </cell>
          <cell r="F175" t="str">
            <v>116.065.724-66</v>
          </cell>
          <cell r="G175">
            <v>43782</v>
          </cell>
          <cell r="H175" t="str">
            <v>Ativo</v>
          </cell>
          <cell r="N175">
            <v>998</v>
          </cell>
          <cell r="O175">
            <v>1257</v>
          </cell>
        </row>
        <row r="176">
          <cell r="C176" t="str">
            <v>175-8</v>
          </cell>
          <cell r="D176" t="str">
            <v>JANAINA INOCENCIO DA SILVA</v>
          </cell>
          <cell r="E176" t="str">
            <v xml:space="preserve">ASSISTENTE DE LOJA  </v>
          </cell>
          <cell r="F176" t="str">
            <v>056.879.891-02</v>
          </cell>
          <cell r="G176">
            <v>43782</v>
          </cell>
          <cell r="H176" t="str">
            <v>Ativo</v>
          </cell>
          <cell r="N176">
            <v>1060.3699999999999</v>
          </cell>
          <cell r="P176">
            <v>158</v>
          </cell>
          <cell r="R176">
            <v>425</v>
          </cell>
        </row>
        <row r="177">
          <cell r="C177" t="str">
            <v>175-3</v>
          </cell>
          <cell r="D177" t="str">
            <v>LARISSA FONTENELE BARROS</v>
          </cell>
          <cell r="E177" t="str">
            <v xml:space="preserve">VENDEDOR(a)         </v>
          </cell>
          <cell r="F177" t="str">
            <v>033.104.201-08</v>
          </cell>
          <cell r="G177">
            <v>43782</v>
          </cell>
          <cell r="H177" t="str">
            <v>Ativo</v>
          </cell>
          <cell r="N177">
            <v>998</v>
          </cell>
          <cell r="O177">
            <v>1257</v>
          </cell>
          <cell r="R177">
            <v>425</v>
          </cell>
        </row>
        <row r="178">
          <cell r="C178" t="str">
            <v>175-9</v>
          </cell>
          <cell r="D178" t="str">
            <v>MARCOS HENRIQUE FARIAS</v>
          </cell>
          <cell r="E178" t="str">
            <v xml:space="preserve">GERENTE DE LOJA     </v>
          </cell>
          <cell r="F178" t="str">
            <v>047.846.921-77</v>
          </cell>
          <cell r="G178">
            <v>43782</v>
          </cell>
          <cell r="H178" t="str">
            <v>Ativo</v>
          </cell>
          <cell r="N178">
            <v>0</v>
          </cell>
          <cell r="O178">
            <v>4000</v>
          </cell>
          <cell r="R178">
            <v>425</v>
          </cell>
        </row>
        <row r="179">
          <cell r="C179" t="str">
            <v>175-18</v>
          </cell>
          <cell r="D179" t="str">
            <v>TIAGO DO AMARAL TELES</v>
          </cell>
          <cell r="E179" t="str">
            <v xml:space="preserve">VENDEDOR(a)         </v>
          </cell>
          <cell r="F179" t="str">
            <v>027.555.431-75</v>
          </cell>
          <cell r="G179">
            <v>44385</v>
          </cell>
          <cell r="H179" t="str">
            <v>Ativo</v>
          </cell>
          <cell r="N179">
            <v>998</v>
          </cell>
          <cell r="O179">
            <v>1257</v>
          </cell>
          <cell r="R179">
            <v>253</v>
          </cell>
        </row>
        <row r="180">
          <cell r="C180" t="str">
            <v>175-1</v>
          </cell>
          <cell r="D180" t="str">
            <v>WALLACY BELTRAO DA COSTA</v>
          </cell>
          <cell r="E180" t="str">
            <v xml:space="preserve">VENDEDOR(a)         </v>
          </cell>
          <cell r="F180" t="str">
            <v>080.241.671-31</v>
          </cell>
          <cell r="G180">
            <v>43782</v>
          </cell>
          <cell r="H180" t="str">
            <v>Ativo</v>
          </cell>
          <cell r="N180">
            <v>998</v>
          </cell>
          <cell r="O180">
            <v>1257</v>
          </cell>
        </row>
        <row r="181">
          <cell r="C181" t="str">
            <v>179-1</v>
          </cell>
          <cell r="D181" t="str">
            <v>ANA CAROLINA LOURENCO</v>
          </cell>
          <cell r="E181" t="str">
            <v xml:space="preserve">ASSISTENTE DE LOJA  </v>
          </cell>
          <cell r="F181" t="str">
            <v>481.068.428-86</v>
          </cell>
          <cell r="G181">
            <v>44033</v>
          </cell>
          <cell r="H181" t="str">
            <v>Ativo</v>
          </cell>
          <cell r="N181">
            <v>1591</v>
          </cell>
          <cell r="P181">
            <v>87</v>
          </cell>
          <cell r="Q181">
            <v>41</v>
          </cell>
          <cell r="S181">
            <v>353.6</v>
          </cell>
        </row>
        <row r="182">
          <cell r="C182" t="str">
            <v>179-2</v>
          </cell>
          <cell r="D182" t="str">
            <v>ANA PAULA CONCEICAO GONCALVES</v>
          </cell>
          <cell r="E182" t="str">
            <v xml:space="preserve">VENDEDOR(a)         </v>
          </cell>
          <cell r="F182" t="str">
            <v>426.370.468-13</v>
          </cell>
          <cell r="G182">
            <v>44033</v>
          </cell>
          <cell r="H182" t="str">
            <v>Ativo</v>
          </cell>
          <cell r="N182">
            <v>0</v>
          </cell>
          <cell r="O182">
            <v>1909</v>
          </cell>
          <cell r="Q182">
            <v>41</v>
          </cell>
        </row>
        <row r="183">
          <cell r="C183" t="str">
            <v>179-3</v>
          </cell>
          <cell r="D183" t="str">
            <v>DIEGO GONCALVES LOPES</v>
          </cell>
          <cell r="E183" t="str">
            <v xml:space="preserve">VENDEDOR(a)         </v>
          </cell>
          <cell r="F183" t="str">
            <v>358.962.898-71</v>
          </cell>
          <cell r="G183">
            <v>44033</v>
          </cell>
          <cell r="H183" t="str">
            <v>Ativo</v>
          </cell>
          <cell r="N183">
            <v>0</v>
          </cell>
          <cell r="O183">
            <v>1909</v>
          </cell>
          <cell r="Q183">
            <v>41</v>
          </cell>
        </row>
        <row r="184">
          <cell r="C184" t="str">
            <v>179-4</v>
          </cell>
          <cell r="D184" t="str">
            <v>ENRIQUE VAZQUEZ GARCIA</v>
          </cell>
          <cell r="E184" t="str">
            <v xml:space="preserve">VENDEDOR(a)         </v>
          </cell>
          <cell r="F184" t="str">
            <v>241.671.628-06</v>
          </cell>
          <cell r="G184">
            <v>44034</v>
          </cell>
          <cell r="H184" t="str">
            <v>Ativo</v>
          </cell>
          <cell r="N184">
            <v>0</v>
          </cell>
          <cell r="O184">
            <v>1909</v>
          </cell>
          <cell r="Q184">
            <v>41</v>
          </cell>
          <cell r="S184">
            <v>353.6</v>
          </cell>
        </row>
        <row r="185">
          <cell r="C185" t="str">
            <v>179-16</v>
          </cell>
          <cell r="D185" t="str">
            <v>JONATHAN GOMES</v>
          </cell>
          <cell r="E185" t="str">
            <v xml:space="preserve">VENDEDOR(a)         </v>
          </cell>
          <cell r="F185" t="str">
            <v>369.156.498-40</v>
          </cell>
          <cell r="G185">
            <v>44183</v>
          </cell>
          <cell r="H185" t="str">
            <v>Ativo</v>
          </cell>
          <cell r="N185">
            <v>0</v>
          </cell>
          <cell r="O185">
            <v>1909</v>
          </cell>
          <cell r="Q185">
            <v>41</v>
          </cell>
          <cell r="S185">
            <v>256.88</v>
          </cell>
        </row>
        <row r="186">
          <cell r="C186" t="str">
            <v>179-19</v>
          </cell>
          <cell r="D186" t="str">
            <v>JULIO SALDANHA LIMA</v>
          </cell>
          <cell r="E186" t="str">
            <v xml:space="preserve">GERENTE DE LOJA     </v>
          </cell>
          <cell r="F186" t="str">
            <v>372.275.048-24</v>
          </cell>
          <cell r="G186">
            <v>43364</v>
          </cell>
          <cell r="H186" t="str">
            <v>Ativo</v>
          </cell>
          <cell r="N186">
            <v>0</v>
          </cell>
          <cell r="O186">
            <v>4389</v>
          </cell>
          <cell r="Q186">
            <v>41</v>
          </cell>
        </row>
        <row r="187">
          <cell r="C187" t="str">
            <v>179-12</v>
          </cell>
          <cell r="D187" t="str">
            <v>UILLIAM PEREIRA SANTOS</v>
          </cell>
          <cell r="E187" t="str">
            <v xml:space="preserve">ASSISTENTE DE LOJA  </v>
          </cell>
          <cell r="F187" t="str">
            <v>407.804.618-51</v>
          </cell>
          <cell r="G187">
            <v>44121</v>
          </cell>
          <cell r="H187" t="str">
            <v>Ativo</v>
          </cell>
          <cell r="N187">
            <v>1591</v>
          </cell>
          <cell r="P187">
            <v>87</v>
          </cell>
          <cell r="Q187">
            <v>41</v>
          </cell>
          <cell r="S187">
            <v>392.6</v>
          </cell>
        </row>
        <row r="188">
          <cell r="C188" t="str">
            <v>179-18</v>
          </cell>
          <cell r="D188" t="str">
            <v>WANDERLEY SILVEIRA JUNIOR</v>
          </cell>
          <cell r="E188" t="str">
            <v xml:space="preserve">VENDEDOR(a)         </v>
          </cell>
          <cell r="F188" t="str">
            <v>400.104.248-73</v>
          </cell>
          <cell r="G188">
            <v>44342</v>
          </cell>
          <cell r="H188" t="str">
            <v>Ativo</v>
          </cell>
          <cell r="N188">
            <v>0</v>
          </cell>
          <cell r="O188">
            <v>1909</v>
          </cell>
          <cell r="Q188">
            <v>41</v>
          </cell>
          <cell r="S188">
            <v>405.6</v>
          </cell>
        </row>
        <row r="189">
          <cell r="C189" t="str">
            <v>181-2</v>
          </cell>
          <cell r="D189" t="str">
            <v>ALEF FERNANDES ARAUJO MARTINS</v>
          </cell>
          <cell r="E189" t="str">
            <v xml:space="preserve">VENDEDOR(a)         </v>
          </cell>
          <cell r="F189" t="str">
            <v>126.597.756-99</v>
          </cell>
          <cell r="G189">
            <v>44078</v>
          </cell>
          <cell r="H189" t="str">
            <v>Ativo</v>
          </cell>
          <cell r="N189">
            <v>0</v>
          </cell>
          <cell r="O189">
            <v>1103.92</v>
          </cell>
          <cell r="T189">
            <v>234</v>
          </cell>
        </row>
        <row r="190">
          <cell r="C190" t="str">
            <v>181-33</v>
          </cell>
          <cell r="D190" t="str">
            <v>ALEX GASPAR DE MACEDO</v>
          </cell>
          <cell r="E190" t="str">
            <v xml:space="preserve">VENDEDOR(a)         </v>
          </cell>
          <cell r="F190" t="str">
            <v>114.661.066-11</v>
          </cell>
          <cell r="G190">
            <v>44348</v>
          </cell>
          <cell r="H190" t="str">
            <v>Ativo</v>
          </cell>
          <cell r="N190">
            <v>0</v>
          </cell>
          <cell r="O190">
            <v>1103.92</v>
          </cell>
          <cell r="T190">
            <v>304.2</v>
          </cell>
        </row>
        <row r="191">
          <cell r="C191" t="str">
            <v>181-31</v>
          </cell>
          <cell r="D191" t="str">
            <v>DAVI ALVES SILVEIRA</v>
          </cell>
          <cell r="E191" t="str">
            <v xml:space="preserve">ASSISTENTE DE LOJA  </v>
          </cell>
          <cell r="F191" t="str">
            <v>157.426.586-56</v>
          </cell>
          <cell r="G191">
            <v>44153</v>
          </cell>
          <cell r="H191" t="str">
            <v>Ativo</v>
          </cell>
          <cell r="N191">
            <v>1120</v>
          </cell>
          <cell r="P191">
            <v>89.33</v>
          </cell>
          <cell r="T191">
            <v>99</v>
          </cell>
        </row>
        <row r="192">
          <cell r="C192" t="str">
            <v>181-12</v>
          </cell>
          <cell r="D192" t="str">
            <v>ELOIZA ROCHAEL DIAS DE ASSIS</v>
          </cell>
          <cell r="E192" t="str">
            <v xml:space="preserve">GERENTE DE LOJA     </v>
          </cell>
          <cell r="F192" t="str">
            <v>074.016.926-27</v>
          </cell>
          <cell r="G192">
            <v>41611</v>
          </cell>
          <cell r="H192" t="str">
            <v>Ativo</v>
          </cell>
          <cell r="N192">
            <v>0</v>
          </cell>
          <cell r="O192">
            <v>4500</v>
          </cell>
        </row>
        <row r="193">
          <cell r="C193" t="str">
            <v>181-16</v>
          </cell>
          <cell r="D193" t="str">
            <v>GERMANO ROSENTHAL CAETANO BELFORT</v>
          </cell>
          <cell r="E193" t="str">
            <v xml:space="preserve">VENDEDOR(a)         </v>
          </cell>
          <cell r="F193" t="str">
            <v>129.517.856-74</v>
          </cell>
          <cell r="G193">
            <v>44127</v>
          </cell>
          <cell r="H193" t="str">
            <v>Ativo</v>
          </cell>
          <cell r="N193">
            <v>0</v>
          </cell>
          <cell r="O193">
            <v>1103.92</v>
          </cell>
          <cell r="T193">
            <v>304.2</v>
          </cell>
        </row>
        <row r="194">
          <cell r="C194" t="str">
            <v>181-34</v>
          </cell>
          <cell r="D194" t="str">
            <v>GUILHERME LUIZ DE ALMEIDA</v>
          </cell>
          <cell r="E194" t="str">
            <v xml:space="preserve">VENDEDOR(a)         </v>
          </cell>
          <cell r="F194" t="str">
            <v>130.309.706-04</v>
          </cell>
          <cell r="G194">
            <v>44385</v>
          </cell>
          <cell r="H194" t="str">
            <v>Ativo</v>
          </cell>
          <cell r="N194">
            <v>0</v>
          </cell>
          <cell r="O194">
            <v>1103.92</v>
          </cell>
          <cell r="T194">
            <v>166</v>
          </cell>
        </row>
        <row r="195">
          <cell r="C195" t="str">
            <v>181-36</v>
          </cell>
          <cell r="D195" t="str">
            <v>JOAO CARLOS BELTRAO DA SILVA VIANA</v>
          </cell>
          <cell r="E195" t="str">
            <v xml:space="preserve">VENDEDOR(a)         </v>
          </cell>
          <cell r="F195" t="str">
            <v>070.181.796-88</v>
          </cell>
          <cell r="G195">
            <v>44390</v>
          </cell>
          <cell r="H195" t="str">
            <v>Ativo</v>
          </cell>
          <cell r="N195">
            <v>0</v>
          </cell>
          <cell r="O195">
            <v>1103.92</v>
          </cell>
        </row>
        <row r="196">
          <cell r="C196" t="str">
            <v>181-32</v>
          </cell>
          <cell r="D196" t="str">
            <v>LARISSA ELIZABETH CENDON ROSA</v>
          </cell>
          <cell r="E196" t="str">
            <v xml:space="preserve">ASSISTENTE DE LOJA  </v>
          </cell>
          <cell r="F196" t="str">
            <v>021.296.486-06</v>
          </cell>
          <cell r="G196">
            <v>44320</v>
          </cell>
          <cell r="H196" t="str">
            <v>Ativo</v>
          </cell>
          <cell r="N196">
            <v>1120</v>
          </cell>
          <cell r="P196">
            <v>89.33</v>
          </cell>
          <cell r="T196">
            <v>304.2</v>
          </cell>
        </row>
        <row r="197">
          <cell r="C197" t="str">
            <v>181-35</v>
          </cell>
          <cell r="D197" t="str">
            <v>MATHEUS HENRIQUE COSTA MEDEIROS</v>
          </cell>
          <cell r="E197" t="str">
            <v xml:space="preserve">ASSISTENTE DE LOJA  </v>
          </cell>
          <cell r="F197" t="str">
            <v>129.260.716-55</v>
          </cell>
          <cell r="G197">
            <v>44385</v>
          </cell>
          <cell r="H197" t="str">
            <v>Ativo</v>
          </cell>
          <cell r="N197">
            <v>1120</v>
          </cell>
          <cell r="P197">
            <v>89.33</v>
          </cell>
        </row>
        <row r="198">
          <cell r="C198" t="str">
            <v>181-1</v>
          </cell>
          <cell r="D198" t="str">
            <v>RODRIGO PARANHOS DIAS</v>
          </cell>
          <cell r="E198" t="str">
            <v xml:space="preserve">VENDEDOR(a)         </v>
          </cell>
          <cell r="F198" t="str">
            <v>859.064.096-53</v>
          </cell>
          <cell r="G198">
            <v>44078</v>
          </cell>
          <cell r="H198" t="str">
            <v>Ativo</v>
          </cell>
          <cell r="N198">
            <v>0</v>
          </cell>
          <cell r="O198">
            <v>1103.92</v>
          </cell>
          <cell r="T198">
            <v>267.8</v>
          </cell>
        </row>
        <row r="199">
          <cell r="C199" t="str">
            <v>181-13</v>
          </cell>
          <cell r="D199" t="str">
            <v>TULIO CESAR DE ALMEIDA</v>
          </cell>
          <cell r="E199" t="str">
            <v xml:space="preserve">VENDEDOR(a)         </v>
          </cell>
          <cell r="F199" t="str">
            <v>118.274.336-63</v>
          </cell>
          <cell r="G199">
            <v>43476</v>
          </cell>
          <cell r="H199" t="str">
            <v>Ativo</v>
          </cell>
          <cell r="N199">
            <v>0</v>
          </cell>
          <cell r="O199">
            <v>1103.92</v>
          </cell>
          <cell r="T199">
            <v>418.6</v>
          </cell>
        </row>
        <row r="200">
          <cell r="C200" t="str">
            <v>183-14</v>
          </cell>
          <cell r="D200" t="str">
            <v>ARLANICSON FONSECA JUNIOR</v>
          </cell>
          <cell r="E200" t="str">
            <v xml:space="preserve">VENDEDOR(a)         </v>
          </cell>
          <cell r="F200" t="str">
            <v>430.570.188-07</v>
          </cell>
          <cell r="G200">
            <v>44342</v>
          </cell>
          <cell r="H200" t="str">
            <v>Ativo</v>
          </cell>
          <cell r="N200">
            <v>0</v>
          </cell>
          <cell r="O200">
            <v>1786</v>
          </cell>
          <cell r="R200">
            <v>28</v>
          </cell>
          <cell r="S200">
            <v>260</v>
          </cell>
        </row>
        <row r="201">
          <cell r="C201" t="str">
            <v>183-16</v>
          </cell>
          <cell r="D201" t="str">
            <v>EMERSON TADASHI CAXIAS TAJI</v>
          </cell>
          <cell r="E201" t="str">
            <v xml:space="preserve">VENDEDOR(a)         </v>
          </cell>
          <cell r="F201" t="str">
            <v>027.637.442-81</v>
          </cell>
          <cell r="G201">
            <v>44358</v>
          </cell>
          <cell r="H201" t="str">
            <v>Ativo</v>
          </cell>
          <cell r="N201">
            <v>0</v>
          </cell>
          <cell r="O201">
            <v>1786</v>
          </cell>
          <cell r="R201">
            <v>28</v>
          </cell>
        </row>
        <row r="202">
          <cell r="C202" t="str">
            <v>183-8</v>
          </cell>
          <cell r="D202" t="str">
            <v>HIAGO RODRIGUES DE MIRANDA</v>
          </cell>
          <cell r="E202" t="str">
            <v xml:space="preserve">VENDEDOR(a)         </v>
          </cell>
          <cell r="F202" t="str">
            <v>499.167.838-29</v>
          </cell>
          <cell r="G202">
            <v>44148</v>
          </cell>
          <cell r="H202" t="str">
            <v>Ativo</v>
          </cell>
          <cell r="N202">
            <v>0</v>
          </cell>
          <cell r="O202">
            <v>1786</v>
          </cell>
          <cell r="R202">
            <v>28</v>
          </cell>
        </row>
        <row r="203">
          <cell r="C203" t="str">
            <v>183-1</v>
          </cell>
          <cell r="D203" t="str">
            <v>KAROLINE SIQUEIRA DE AGUIAR MONTEIRO</v>
          </cell>
          <cell r="E203" t="str">
            <v xml:space="preserve">VENDEDOR(a)         </v>
          </cell>
          <cell r="F203" t="str">
            <v>431.040.318-27</v>
          </cell>
          <cell r="G203">
            <v>44146</v>
          </cell>
          <cell r="H203" t="str">
            <v>Ativo</v>
          </cell>
          <cell r="N203">
            <v>0</v>
          </cell>
          <cell r="O203">
            <v>1786</v>
          </cell>
          <cell r="R203">
            <v>28</v>
          </cell>
          <cell r="S203">
            <v>234</v>
          </cell>
        </row>
        <row r="204">
          <cell r="C204" t="str">
            <v>183-5</v>
          </cell>
          <cell r="D204" t="str">
            <v>RAPHAEL HENRIQUE SILVA DOS SANTOS FERREIRA</v>
          </cell>
          <cell r="E204" t="str">
            <v xml:space="preserve">VENDEDOR(a)         </v>
          </cell>
          <cell r="F204" t="str">
            <v>228.342.208-67</v>
          </cell>
          <cell r="G204">
            <v>44147</v>
          </cell>
          <cell r="H204" t="str">
            <v>Ativo</v>
          </cell>
          <cell r="N204">
            <v>0</v>
          </cell>
          <cell r="O204">
            <v>1786</v>
          </cell>
          <cell r="R204">
            <v>28</v>
          </cell>
          <cell r="S204">
            <v>225</v>
          </cell>
        </row>
        <row r="205">
          <cell r="C205" t="str">
            <v>183-15</v>
          </cell>
          <cell r="D205" t="str">
            <v>VINICIUS MOREIRA COSSI</v>
          </cell>
          <cell r="E205" t="str">
            <v xml:space="preserve">VENDEDOR(a)         </v>
          </cell>
          <cell r="F205" t="str">
            <v>432.629.078-12</v>
          </cell>
          <cell r="G205">
            <v>44342</v>
          </cell>
          <cell r="H205" t="str">
            <v>Ativo</v>
          </cell>
          <cell r="N205">
            <v>0</v>
          </cell>
          <cell r="O205">
            <v>1786</v>
          </cell>
          <cell r="R205">
            <v>28</v>
          </cell>
        </row>
        <row r="206">
          <cell r="C206" t="str">
            <v>183-2</v>
          </cell>
          <cell r="D206" t="str">
            <v>VITOR RODRIGO JACINTO</v>
          </cell>
          <cell r="E206" t="str">
            <v xml:space="preserve">ASSISTENTE DE LOJA  </v>
          </cell>
          <cell r="F206" t="str">
            <v>450.376.228-16</v>
          </cell>
          <cell r="G206">
            <v>44146</v>
          </cell>
          <cell r="H206" t="str">
            <v>Ativo</v>
          </cell>
          <cell r="N206">
            <v>1519.44</v>
          </cell>
          <cell r="P206">
            <v>82</v>
          </cell>
        </row>
        <row r="207">
          <cell r="C207" t="str">
            <v>185-6</v>
          </cell>
          <cell r="D207" t="str">
            <v>ABRAAO PEREIRA DA SILVA</v>
          </cell>
          <cell r="E207" t="str">
            <v xml:space="preserve">VENDEDOR(a)         </v>
          </cell>
          <cell r="F207" t="str">
            <v>088.131.514-11</v>
          </cell>
          <cell r="G207">
            <v>44293</v>
          </cell>
          <cell r="H207" t="str">
            <v>Ativo</v>
          </cell>
          <cell r="N207">
            <v>0</v>
          </cell>
          <cell r="O207">
            <v>1055</v>
          </cell>
          <cell r="S207">
            <v>187.5</v>
          </cell>
        </row>
        <row r="208">
          <cell r="C208" t="str">
            <v>185-1</v>
          </cell>
          <cell r="D208" t="str">
            <v>CARMECITA HELENA DA SILVA</v>
          </cell>
          <cell r="E208" t="str">
            <v xml:space="preserve">GERENTE DE LOJA     </v>
          </cell>
          <cell r="F208" t="str">
            <v>038.834.524-16</v>
          </cell>
          <cell r="G208">
            <v>44273</v>
          </cell>
          <cell r="H208" t="str">
            <v>Ativo</v>
          </cell>
          <cell r="N208">
            <v>0</v>
          </cell>
          <cell r="O208">
            <v>4000</v>
          </cell>
        </row>
        <row r="209">
          <cell r="C209" t="str">
            <v>185-3</v>
          </cell>
          <cell r="D209" t="str">
            <v>EDRISIO DE LUCENA ALVES</v>
          </cell>
          <cell r="E209" t="str">
            <v xml:space="preserve">ASSISTENTE DE OJA   </v>
          </cell>
          <cell r="F209" t="str">
            <v>078.476.544-82</v>
          </cell>
          <cell r="G209">
            <v>44287</v>
          </cell>
          <cell r="H209" t="str">
            <v>Ativo</v>
          </cell>
          <cell r="N209">
            <v>1055</v>
          </cell>
          <cell r="P209">
            <v>5</v>
          </cell>
          <cell r="S209">
            <v>235</v>
          </cell>
        </row>
        <row r="210">
          <cell r="C210" t="str">
            <v>185-7</v>
          </cell>
          <cell r="D210" t="str">
            <v>FELIPE PAULINO DA SILVA</v>
          </cell>
          <cell r="E210" t="str">
            <v xml:space="preserve">VENDEDOR(a)         </v>
          </cell>
          <cell r="F210" t="str">
            <v>090.889.214-40</v>
          </cell>
          <cell r="G210">
            <v>44293</v>
          </cell>
          <cell r="H210" t="str">
            <v>Ativo</v>
          </cell>
          <cell r="N210">
            <v>0</v>
          </cell>
          <cell r="O210">
            <v>1055</v>
          </cell>
        </row>
        <row r="211">
          <cell r="C211" t="str">
            <v>185-2</v>
          </cell>
          <cell r="D211" t="str">
            <v>HELOISA VITORIA CINTRA DE ARAUJO</v>
          </cell>
          <cell r="E211" t="str">
            <v xml:space="preserve">VENDEDOR(a)         </v>
          </cell>
          <cell r="F211" t="str">
            <v>128.929.414-31</v>
          </cell>
          <cell r="G211">
            <v>44287</v>
          </cell>
          <cell r="H211" t="str">
            <v>Ativo</v>
          </cell>
          <cell r="N211">
            <v>0</v>
          </cell>
          <cell r="O211">
            <v>1055</v>
          </cell>
          <cell r="S211">
            <v>187.5</v>
          </cell>
        </row>
        <row r="212">
          <cell r="C212" t="str">
            <v>185-9</v>
          </cell>
          <cell r="D212" t="str">
            <v>JAMILE INGRID SOUSA DA SILVA</v>
          </cell>
          <cell r="E212" t="str">
            <v xml:space="preserve">ASSISTENTE DE OJA   </v>
          </cell>
          <cell r="F212" t="str">
            <v>611.063.163-98</v>
          </cell>
          <cell r="G212">
            <v>44303</v>
          </cell>
          <cell r="H212" t="str">
            <v>Ativo</v>
          </cell>
          <cell r="N212">
            <v>1055</v>
          </cell>
          <cell r="P212">
            <v>5</v>
          </cell>
          <cell r="S212">
            <v>375</v>
          </cell>
        </row>
        <row r="213">
          <cell r="C213" t="str">
            <v>185-10</v>
          </cell>
          <cell r="D213" t="str">
            <v>JEFFERSON FRANCISCO ANDRADE PRAZERES</v>
          </cell>
          <cell r="E213" t="str">
            <v xml:space="preserve">VENDEDOR(a)         </v>
          </cell>
          <cell r="F213" t="str">
            <v>059.205.604-01</v>
          </cell>
          <cell r="G213">
            <v>44303</v>
          </cell>
          <cell r="H213" t="str">
            <v>Ativo</v>
          </cell>
          <cell r="N213">
            <v>0</v>
          </cell>
          <cell r="O213">
            <v>1055</v>
          </cell>
          <cell r="S213">
            <v>187.5</v>
          </cell>
        </row>
        <row r="214">
          <cell r="C214" t="str">
            <v>185-11</v>
          </cell>
          <cell r="D214" t="str">
            <v>MONALISA FREITAS DO NASCIMENTO</v>
          </cell>
          <cell r="E214" t="str">
            <v xml:space="preserve">VENDEDOR(a)         </v>
          </cell>
          <cell r="F214" t="str">
            <v>077.859.204-94</v>
          </cell>
          <cell r="G214">
            <v>44303</v>
          </cell>
          <cell r="H214" t="str">
            <v>Ativo</v>
          </cell>
          <cell r="N214">
            <v>0</v>
          </cell>
          <cell r="O214">
            <v>1055</v>
          </cell>
          <cell r="S214">
            <v>187.5</v>
          </cell>
        </row>
        <row r="215">
          <cell r="C215" t="str">
            <v>185-4</v>
          </cell>
          <cell r="D215" t="str">
            <v>NAIANA MONTE DOS SANTOS</v>
          </cell>
          <cell r="E215" t="str">
            <v xml:space="preserve">ASSISTENTE DE OJA   </v>
          </cell>
          <cell r="F215" t="str">
            <v>127.224.754-64</v>
          </cell>
          <cell r="G215">
            <v>44287</v>
          </cell>
          <cell r="H215" t="str">
            <v>Ativo</v>
          </cell>
          <cell r="N215">
            <v>1055</v>
          </cell>
          <cell r="P215">
            <v>5</v>
          </cell>
          <cell r="S215">
            <v>187.5</v>
          </cell>
        </row>
        <row r="216">
          <cell r="C216" t="str">
            <v>185-8</v>
          </cell>
          <cell r="D216" t="str">
            <v>URSULA NATACHA SOBRAL</v>
          </cell>
          <cell r="E216" t="str">
            <v xml:space="preserve">VENDEDOR(a)         </v>
          </cell>
          <cell r="F216" t="str">
            <v>056.596.594-89</v>
          </cell>
          <cell r="G216">
            <v>44293</v>
          </cell>
          <cell r="H216" t="str">
            <v>Ativo</v>
          </cell>
          <cell r="N216">
            <v>0</v>
          </cell>
          <cell r="O216">
            <v>1055</v>
          </cell>
          <cell r="S216">
            <v>187.5</v>
          </cell>
        </row>
        <row r="217">
          <cell r="C217" t="str">
            <v>185-5</v>
          </cell>
          <cell r="D217" t="str">
            <v>WAGNER LEANDRO PINHEIRO DE FARIAS</v>
          </cell>
          <cell r="E217" t="str">
            <v xml:space="preserve">VENDEDOR(a)         </v>
          </cell>
          <cell r="F217" t="str">
            <v>055.148.534-54</v>
          </cell>
          <cell r="G217">
            <v>44287</v>
          </cell>
          <cell r="H217" t="str">
            <v>Ativo</v>
          </cell>
          <cell r="N217">
            <v>0</v>
          </cell>
          <cell r="O217">
            <v>1055</v>
          </cell>
        </row>
        <row r="218">
          <cell r="C218" t="str">
            <v>200-129</v>
          </cell>
          <cell r="D218" t="str">
            <v>CLEITON MOISES DOS SANTOS</v>
          </cell>
          <cell r="E218" t="str">
            <v xml:space="preserve">VENDEDOR(a)         </v>
          </cell>
          <cell r="F218" t="str">
            <v>079.471.906-66</v>
          </cell>
          <cell r="G218">
            <v>44090</v>
          </cell>
          <cell r="H218" t="str">
            <v>Ativo</v>
          </cell>
          <cell r="N218">
            <v>0</v>
          </cell>
          <cell r="O218">
            <v>1266.07</v>
          </cell>
          <cell r="T218">
            <v>450</v>
          </cell>
        </row>
        <row r="219">
          <cell r="C219" t="str">
            <v>200-82</v>
          </cell>
          <cell r="D219" t="str">
            <v>DEBORAH EVELYN GONÇALVES DOS SANTOS</v>
          </cell>
          <cell r="E219" t="str">
            <v xml:space="preserve">VENDEDOR(a)         </v>
          </cell>
          <cell r="F219" t="str">
            <v>103.234.896-80</v>
          </cell>
          <cell r="G219">
            <v>42965</v>
          </cell>
          <cell r="H219" t="str">
            <v>Ativo</v>
          </cell>
          <cell r="N219">
            <v>0</v>
          </cell>
          <cell r="O219">
            <v>1266.07</v>
          </cell>
          <cell r="T219">
            <v>585</v>
          </cell>
        </row>
        <row r="220">
          <cell r="C220" t="str">
            <v>200-132</v>
          </cell>
          <cell r="D220" t="str">
            <v>ERICK ANGEL NAVES MARTINS</v>
          </cell>
          <cell r="E220" t="str">
            <v xml:space="preserve">VENDEDOR(a)         </v>
          </cell>
          <cell r="F220" t="str">
            <v>099.217.546-10</v>
          </cell>
          <cell r="G220">
            <v>44152</v>
          </cell>
          <cell r="H220" t="str">
            <v>Ativo</v>
          </cell>
          <cell r="N220">
            <v>0</v>
          </cell>
          <cell r="O220">
            <v>1266.07</v>
          </cell>
          <cell r="T220">
            <v>450</v>
          </cell>
        </row>
        <row r="221">
          <cell r="C221" t="str">
            <v>200-130</v>
          </cell>
          <cell r="D221" t="str">
            <v>GABRIEL MARTINS DE  FREITAS  SANTOS</v>
          </cell>
          <cell r="E221" t="str">
            <v xml:space="preserve">ASSISTENTE DE LOJA  </v>
          </cell>
          <cell r="F221" t="str">
            <v>147.617.746-57</v>
          </cell>
          <cell r="G221">
            <v>44147</v>
          </cell>
          <cell r="H221" t="str">
            <v>Ativo</v>
          </cell>
          <cell r="N221">
            <v>1131.54</v>
          </cell>
          <cell r="P221">
            <v>135</v>
          </cell>
          <cell r="T221">
            <v>450</v>
          </cell>
        </row>
        <row r="222">
          <cell r="C222" t="str">
            <v>200-133</v>
          </cell>
          <cell r="D222" t="str">
            <v>HANNA APARECIDA BARBOSA DIAS</v>
          </cell>
          <cell r="E222" t="str">
            <v xml:space="preserve">ASSISTENTE DE LOJA  </v>
          </cell>
          <cell r="F222" t="str">
            <v>135.471.056-84</v>
          </cell>
          <cell r="G222">
            <v>44155</v>
          </cell>
          <cell r="H222" t="str">
            <v>Contrato Suspenso</v>
          </cell>
          <cell r="N222">
            <v>1131.54</v>
          </cell>
        </row>
        <row r="223">
          <cell r="C223" t="str">
            <v>200-120</v>
          </cell>
          <cell r="D223" t="str">
            <v>HUCHARLY REIS DO NASCIMENTO</v>
          </cell>
          <cell r="E223" t="str">
            <v xml:space="preserve">VENDEDOR(a)         </v>
          </cell>
          <cell r="F223" t="str">
            <v>701.207.096-00</v>
          </cell>
          <cell r="G223">
            <v>43721</v>
          </cell>
          <cell r="H223" t="str">
            <v>Ativo</v>
          </cell>
          <cell r="N223">
            <v>0</v>
          </cell>
          <cell r="O223">
            <v>1266.07</v>
          </cell>
        </row>
        <row r="224">
          <cell r="C224" t="str">
            <v>200-137</v>
          </cell>
          <cell r="D224" t="str">
            <v>ITALO LIBERATO SILVA</v>
          </cell>
          <cell r="E224" t="str">
            <v xml:space="preserve">VENDEDOR(a)         </v>
          </cell>
          <cell r="F224" t="str">
            <v>118.886.266-90</v>
          </cell>
          <cell r="G224">
            <v>44398</v>
          </cell>
          <cell r="H224" t="str">
            <v>Ativo</v>
          </cell>
          <cell r="N224">
            <v>0</v>
          </cell>
          <cell r="O224">
            <v>1266.07</v>
          </cell>
          <cell r="R224">
            <v>141.68</v>
          </cell>
          <cell r="S224">
            <v>198</v>
          </cell>
        </row>
        <row r="225">
          <cell r="C225" t="str">
            <v>200-74</v>
          </cell>
          <cell r="D225" t="str">
            <v>LORRANA GABRIELA ROCHA DE MIRANDA</v>
          </cell>
          <cell r="E225" t="str">
            <v xml:space="preserve">VENDEDOR(a)         </v>
          </cell>
          <cell r="F225" t="str">
            <v>127.154.116-50</v>
          </cell>
          <cell r="G225">
            <v>42830</v>
          </cell>
          <cell r="H225" t="str">
            <v>Ativo</v>
          </cell>
          <cell r="N225">
            <v>0</v>
          </cell>
          <cell r="O225">
            <v>1266.07</v>
          </cell>
        </row>
        <row r="226">
          <cell r="C226" t="str">
            <v>200-136</v>
          </cell>
          <cell r="D226" t="str">
            <v>PAULO ROBERTO MEDINA PINHEIRO</v>
          </cell>
          <cell r="E226" t="str">
            <v xml:space="preserve">ASSISTENTE DE LOJA  </v>
          </cell>
          <cell r="F226" t="str">
            <v>072.345.606-29</v>
          </cell>
          <cell r="G226">
            <v>44355</v>
          </cell>
          <cell r="H226" t="str">
            <v>Ativo</v>
          </cell>
          <cell r="N226">
            <v>1131.54</v>
          </cell>
          <cell r="P226">
            <v>135</v>
          </cell>
          <cell r="T226">
            <v>487.5</v>
          </cell>
        </row>
        <row r="227">
          <cell r="C227" t="str">
            <v>200-128</v>
          </cell>
          <cell r="D227" t="str">
            <v>RAFAEL IDEVALDO DE ALMEIDA</v>
          </cell>
          <cell r="E227" t="str">
            <v xml:space="preserve">GERENTE DE LOJA     </v>
          </cell>
          <cell r="F227" t="str">
            <v>054.079.756-10</v>
          </cell>
          <cell r="G227">
            <v>44075</v>
          </cell>
          <cell r="H227" t="str">
            <v>Ativo</v>
          </cell>
          <cell r="N227">
            <v>0</v>
          </cell>
          <cell r="O227">
            <v>1266.07</v>
          </cell>
        </row>
        <row r="228">
          <cell r="C228" t="str">
            <v>220-57</v>
          </cell>
          <cell r="D228" t="str">
            <v>ARY JORGE MENDONCA RODRIGUES</v>
          </cell>
          <cell r="E228" t="str">
            <v xml:space="preserve">VENDEDOR(a)         </v>
          </cell>
          <cell r="F228" t="str">
            <v>737.268.772-15</v>
          </cell>
          <cell r="G228">
            <v>44378</v>
          </cell>
          <cell r="H228" t="str">
            <v>Ativo</v>
          </cell>
          <cell r="N228">
            <v>1155</v>
          </cell>
          <cell r="O228">
            <v>1155</v>
          </cell>
          <cell r="R228">
            <v>356.4</v>
          </cell>
          <cell r="T228">
            <v>220.4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 06-2021"/>
      <sheetName val="Vendedores"/>
      <sheetName val="Gerentes"/>
      <sheetName val="Prêmio William"/>
      <sheetName val="Prêmio Clayton"/>
      <sheetName val="Abono_085"/>
      <sheetName val="Evento 085"/>
      <sheetName val="Evento 005"/>
      <sheetName val="Evento 078"/>
      <sheetName val="Evento 075"/>
      <sheetName val="Evento 233"/>
      <sheetName val="Evento 144"/>
      <sheetName val="Evento 256 232"/>
      <sheetName val="Evento 133 315"/>
      <sheetName val="Evento 171 314"/>
    </sheetNames>
    <sheetDataSet>
      <sheetData sheetId="0">
        <row r="1">
          <cell r="D1" t="str">
            <v>Nome</v>
          </cell>
          <cell r="E1" t="str">
            <v>Função</v>
          </cell>
          <cell r="F1" t="str">
            <v>CPF</v>
          </cell>
          <cell r="G1" t="str">
            <v>Admissão</v>
          </cell>
          <cell r="H1" t="str">
            <v>Junho</v>
          </cell>
          <cell r="J1" t="str">
            <v>DIAS ATIVOS NA FOLHA</v>
          </cell>
          <cell r="K1" t="str">
            <v>Férias</v>
          </cell>
          <cell r="L1" t="str">
            <v>Total</v>
          </cell>
          <cell r="N1" t="str">
            <v>Salário Fixo</v>
          </cell>
          <cell r="O1" t="str">
            <v>Piso</v>
          </cell>
          <cell r="P1" t="str">
            <v>Quebra de Caixa</v>
          </cell>
          <cell r="Q1" t="str">
            <v>Ajuda de Custo feriado</v>
          </cell>
          <cell r="R1" t="str">
            <v>VR Dinheiro</v>
          </cell>
          <cell r="S1" t="str">
            <v>VT PAGO CARTÃO</v>
          </cell>
          <cell r="T1" t="str">
            <v>VT PAGO DINHEIRO</v>
          </cell>
        </row>
        <row r="2">
          <cell r="C2" t="str">
            <v>62-286</v>
          </cell>
          <cell r="D2" t="str">
            <v>ALEF JUNIOR SOARES</v>
          </cell>
          <cell r="E2" t="str">
            <v xml:space="preserve">VENDEDOR(a)         </v>
          </cell>
          <cell r="F2" t="str">
            <v>471.603.208-67</v>
          </cell>
          <cell r="G2">
            <v>42685</v>
          </cell>
          <cell r="H2" t="str">
            <v>Ativo</v>
          </cell>
          <cell r="J2">
            <v>30</v>
          </cell>
          <cell r="K2">
            <v>0</v>
          </cell>
          <cell r="L2">
            <v>30</v>
          </cell>
          <cell r="N2">
            <v>0</v>
          </cell>
          <cell r="O2">
            <v>1719</v>
          </cell>
          <cell r="R2">
            <v>41</v>
          </cell>
          <cell r="T2">
            <v>485</v>
          </cell>
        </row>
        <row r="3">
          <cell r="C3" t="str">
            <v>62-325</v>
          </cell>
          <cell r="D3" t="str">
            <v>BRUNO NASCIMENTO DE SOUSA</v>
          </cell>
          <cell r="E3" t="str">
            <v xml:space="preserve">ASSISTENTE DE LOJA  </v>
          </cell>
          <cell r="F3" t="str">
            <v>446.651.718-58</v>
          </cell>
          <cell r="G3">
            <v>44174</v>
          </cell>
          <cell r="H3" t="str">
            <v>Ativo</v>
          </cell>
          <cell r="J3">
            <v>30</v>
          </cell>
          <cell r="K3">
            <v>0</v>
          </cell>
          <cell r="L3">
            <v>30</v>
          </cell>
          <cell r="N3">
            <v>1575.67</v>
          </cell>
          <cell r="O3">
            <v>0</v>
          </cell>
          <cell r="P3">
            <v>97</v>
          </cell>
          <cell r="R3">
            <v>41</v>
          </cell>
          <cell r="S3" t="str">
            <v>Fretado</v>
          </cell>
        </row>
        <row r="4">
          <cell r="C4" t="str">
            <v>62-106</v>
          </cell>
          <cell r="D4" t="str">
            <v>CLEBER MARTINS DOS SANTOS</v>
          </cell>
          <cell r="E4" t="str">
            <v>Vendedor de comércio</v>
          </cell>
          <cell r="F4" t="str">
            <v>304.785.988-40</v>
          </cell>
          <cell r="G4">
            <v>40868</v>
          </cell>
          <cell r="H4" t="str">
            <v>Sob Custódia do Inss</v>
          </cell>
          <cell r="J4">
            <v>30</v>
          </cell>
          <cell r="K4">
            <v>0</v>
          </cell>
          <cell r="L4">
            <v>30</v>
          </cell>
          <cell r="N4">
            <v>1406</v>
          </cell>
          <cell r="O4">
            <v>0</v>
          </cell>
          <cell r="S4">
            <v>0</v>
          </cell>
        </row>
        <row r="5">
          <cell r="C5" t="str">
            <v>62-322</v>
          </cell>
          <cell r="D5" t="str">
            <v>CRISTIAN YUSUKE SHIMOTO</v>
          </cell>
          <cell r="E5" t="str">
            <v xml:space="preserve">VENDEDOR(a)         </v>
          </cell>
          <cell r="F5" t="str">
            <v>238.466.108-60</v>
          </cell>
          <cell r="G5">
            <v>44113</v>
          </cell>
          <cell r="H5" t="str">
            <v>Ativo</v>
          </cell>
          <cell r="J5">
            <v>30</v>
          </cell>
          <cell r="K5">
            <v>0</v>
          </cell>
          <cell r="L5">
            <v>30</v>
          </cell>
          <cell r="N5">
            <v>0</v>
          </cell>
          <cell r="O5">
            <v>1719</v>
          </cell>
          <cell r="R5">
            <v>41</v>
          </cell>
          <cell r="T5">
            <v>480</v>
          </cell>
        </row>
        <row r="6">
          <cell r="C6" t="str">
            <v>62-282</v>
          </cell>
          <cell r="D6" t="str">
            <v>HIGOR ANDRE MORETTO</v>
          </cell>
          <cell r="E6" t="str">
            <v xml:space="preserve">VENDEDOR(a)         </v>
          </cell>
          <cell r="F6" t="str">
            <v>416.952.008-45</v>
          </cell>
          <cell r="G6">
            <v>42529</v>
          </cell>
          <cell r="H6" t="str">
            <v>Ativo</v>
          </cell>
          <cell r="J6">
            <v>30</v>
          </cell>
          <cell r="K6">
            <v>0</v>
          </cell>
          <cell r="L6">
            <v>30</v>
          </cell>
          <cell r="N6">
            <v>0</v>
          </cell>
          <cell r="O6">
            <v>1719</v>
          </cell>
          <cell r="T6">
            <v>580</v>
          </cell>
        </row>
        <row r="7">
          <cell r="C7" t="str">
            <v>62-316</v>
          </cell>
          <cell r="D7" t="str">
            <v>JULIA MENDES ARAUJO</v>
          </cell>
          <cell r="E7" t="str">
            <v xml:space="preserve">VENDEDOR(a)         </v>
          </cell>
          <cell r="F7" t="str">
            <v>472.709.038-40</v>
          </cell>
          <cell r="G7">
            <v>43752</v>
          </cell>
          <cell r="H7" t="str">
            <v>Ativo</v>
          </cell>
          <cell r="J7">
            <v>30</v>
          </cell>
          <cell r="K7">
            <v>0</v>
          </cell>
          <cell r="L7">
            <v>30</v>
          </cell>
          <cell r="N7">
            <v>0</v>
          </cell>
          <cell r="O7">
            <v>1719</v>
          </cell>
          <cell r="R7">
            <v>41</v>
          </cell>
          <cell r="T7">
            <v>485</v>
          </cell>
        </row>
        <row r="8">
          <cell r="C8" t="str">
            <v>62-266</v>
          </cell>
          <cell r="D8" t="str">
            <v>MARCOS ANTONIO NOGUEIRA</v>
          </cell>
          <cell r="E8" t="str">
            <v xml:space="preserve">GERENTE DE LOJA     </v>
          </cell>
          <cell r="F8" t="str">
            <v>059.159.978-30</v>
          </cell>
          <cell r="G8">
            <v>42333</v>
          </cell>
          <cell r="H8" t="str">
            <v>Ativo</v>
          </cell>
          <cell r="J8">
            <v>30</v>
          </cell>
          <cell r="K8">
            <v>0</v>
          </cell>
          <cell r="L8">
            <v>30</v>
          </cell>
          <cell r="N8">
            <v>0</v>
          </cell>
          <cell r="O8">
            <v>4692.6000000000004</v>
          </cell>
          <cell r="R8">
            <v>41</v>
          </cell>
          <cell r="S8">
            <v>0</v>
          </cell>
        </row>
        <row r="9">
          <cell r="C9" t="str">
            <v>62-323</v>
          </cell>
          <cell r="D9" t="str">
            <v>MAYSSA LAYLA CARDOSO DE OLIVEIRA</v>
          </cell>
          <cell r="E9" t="str">
            <v xml:space="preserve">ASSISTENTE DE LOJA  </v>
          </cell>
          <cell r="F9" t="str">
            <v>529.046.548-01</v>
          </cell>
          <cell r="G9">
            <v>44152</v>
          </cell>
          <cell r="H9" t="str">
            <v>Ativo</v>
          </cell>
          <cell r="J9">
            <v>30</v>
          </cell>
          <cell r="K9">
            <v>0</v>
          </cell>
          <cell r="L9">
            <v>30</v>
          </cell>
          <cell r="N9">
            <v>1575.67</v>
          </cell>
          <cell r="O9">
            <v>0</v>
          </cell>
          <cell r="P9">
            <v>97</v>
          </cell>
          <cell r="T9">
            <v>200</v>
          </cell>
        </row>
        <row r="10">
          <cell r="C10" t="str">
            <v>62-326</v>
          </cell>
          <cell r="D10" t="str">
            <v>RAFAELLA FREITAS DANTAS DOS SANTOS</v>
          </cell>
          <cell r="E10" t="str">
            <v xml:space="preserve">ASSISTENTE DE LOJA  </v>
          </cell>
          <cell r="F10" t="str">
            <v>466.341.258-05</v>
          </cell>
          <cell r="G10">
            <v>44221</v>
          </cell>
          <cell r="H10" t="str">
            <v>Ativo</v>
          </cell>
          <cell r="J10">
            <v>30</v>
          </cell>
          <cell r="K10">
            <v>0</v>
          </cell>
          <cell r="L10">
            <v>30</v>
          </cell>
          <cell r="N10">
            <v>1575.67</v>
          </cell>
          <cell r="O10">
            <v>0</v>
          </cell>
          <cell r="P10">
            <v>97</v>
          </cell>
          <cell r="R10">
            <v>41</v>
          </cell>
          <cell r="T10">
            <v>200</v>
          </cell>
        </row>
        <row r="11">
          <cell r="C11" t="str">
            <v>62-314</v>
          </cell>
          <cell r="D11" t="str">
            <v>SAVIO KAYK SANTOS DE OLIVEIRA</v>
          </cell>
          <cell r="E11" t="str">
            <v xml:space="preserve">VENDEDOR(a)         </v>
          </cell>
          <cell r="F11" t="str">
            <v>460.439.178-58</v>
          </cell>
          <cell r="G11">
            <v>43714</v>
          </cell>
          <cell r="H11" t="str">
            <v>Ativo</v>
          </cell>
          <cell r="J11">
            <v>30</v>
          </cell>
          <cell r="K11">
            <v>0</v>
          </cell>
          <cell r="L11">
            <v>30</v>
          </cell>
          <cell r="N11">
            <v>0</v>
          </cell>
          <cell r="O11">
            <v>1719</v>
          </cell>
          <cell r="R11">
            <v>41</v>
          </cell>
          <cell r="S11">
            <v>0</v>
          </cell>
        </row>
        <row r="12">
          <cell r="C12" t="str">
            <v>62-303</v>
          </cell>
          <cell r="D12" t="str">
            <v>TACIANA APARECIDA MARQUES PERCEGUINI</v>
          </cell>
          <cell r="E12" t="str">
            <v xml:space="preserve">ASSISTENTE DE LOJA  </v>
          </cell>
          <cell r="F12" t="str">
            <v>417.506.478-85</v>
          </cell>
          <cell r="G12">
            <v>43336</v>
          </cell>
          <cell r="H12" t="str">
            <v>Ativo</v>
          </cell>
          <cell r="J12">
            <v>30</v>
          </cell>
          <cell r="K12">
            <v>0</v>
          </cell>
          <cell r="L12">
            <v>30</v>
          </cell>
          <cell r="N12">
            <v>1575.67</v>
          </cell>
          <cell r="O12">
            <v>0</v>
          </cell>
          <cell r="P12">
            <v>97</v>
          </cell>
          <cell r="R12">
            <v>41</v>
          </cell>
          <cell r="T12">
            <v>490</v>
          </cell>
        </row>
        <row r="13">
          <cell r="C13" t="str">
            <v>62-320</v>
          </cell>
          <cell r="D13" t="str">
            <v>TIAGO OLIVEIRA DE SOUSA</v>
          </cell>
          <cell r="E13" t="str">
            <v xml:space="preserve">VENDEDOR(a)         </v>
          </cell>
          <cell r="F13" t="str">
            <v>615.804.283-80</v>
          </cell>
          <cell r="G13">
            <v>43810</v>
          </cell>
          <cell r="H13" t="str">
            <v>Ativo</v>
          </cell>
          <cell r="J13">
            <v>30</v>
          </cell>
          <cell r="K13">
            <v>0</v>
          </cell>
          <cell r="L13">
            <v>30</v>
          </cell>
          <cell r="N13">
            <v>0</v>
          </cell>
          <cell r="O13">
            <v>1719</v>
          </cell>
          <cell r="R13">
            <v>41</v>
          </cell>
          <cell r="T13">
            <v>485</v>
          </cell>
        </row>
        <row r="14">
          <cell r="C14" t="str">
            <v>62-289</v>
          </cell>
          <cell r="D14" t="str">
            <v>ZELITA MOREIRA SANTANA</v>
          </cell>
          <cell r="E14" t="str">
            <v xml:space="preserve">VENDEDOR(a)         </v>
          </cell>
          <cell r="F14" t="str">
            <v>026.802.955-52</v>
          </cell>
          <cell r="G14">
            <v>42695</v>
          </cell>
          <cell r="H14" t="str">
            <v>Ativo</v>
          </cell>
          <cell r="J14">
            <v>30</v>
          </cell>
          <cell r="K14">
            <v>0</v>
          </cell>
          <cell r="L14">
            <v>30</v>
          </cell>
          <cell r="N14">
            <v>0</v>
          </cell>
          <cell r="O14">
            <v>1719</v>
          </cell>
          <cell r="R14">
            <v>41</v>
          </cell>
          <cell r="T14">
            <v>435</v>
          </cell>
        </row>
        <row r="15">
          <cell r="C15" t="str">
            <v>93-98</v>
          </cell>
          <cell r="D15" t="str">
            <v>BERNARDO MARTINS MIRANDA</v>
          </cell>
          <cell r="E15" t="str">
            <v xml:space="preserve">VENDEDOR(a)         </v>
          </cell>
          <cell r="F15" t="str">
            <v>116.287.717-04</v>
          </cell>
          <cell r="G15">
            <v>44085</v>
          </cell>
          <cell r="H15" t="str">
            <v>Ativo</v>
          </cell>
          <cell r="J15">
            <v>30</v>
          </cell>
          <cell r="K15">
            <v>0</v>
          </cell>
          <cell r="L15">
            <v>30</v>
          </cell>
          <cell r="N15">
            <v>0</v>
          </cell>
          <cell r="O15">
            <v>1389.75</v>
          </cell>
          <cell r="R15">
            <v>17</v>
          </cell>
          <cell r="S15">
            <v>212.5</v>
          </cell>
        </row>
        <row r="16">
          <cell r="C16" t="str">
            <v>93-70</v>
          </cell>
          <cell r="D16" t="str">
            <v>GABRIEL DUARTE DA SILVA</v>
          </cell>
          <cell r="E16" t="str">
            <v xml:space="preserve">VENDEDOR(a)         </v>
          </cell>
          <cell r="F16" t="str">
            <v>173.098.857-16</v>
          </cell>
          <cell r="G16">
            <v>43070</v>
          </cell>
          <cell r="H16" t="str">
            <v>Ativo</v>
          </cell>
          <cell r="J16">
            <v>30</v>
          </cell>
          <cell r="K16">
            <v>0</v>
          </cell>
          <cell r="L16">
            <v>30</v>
          </cell>
          <cell r="N16">
            <v>0</v>
          </cell>
          <cell r="O16">
            <v>1389.75</v>
          </cell>
          <cell r="R16">
            <v>17</v>
          </cell>
          <cell r="S16">
            <v>216</v>
          </cell>
        </row>
        <row r="17">
          <cell r="C17" t="str">
            <v>93-90</v>
          </cell>
          <cell r="D17" t="str">
            <v>GUSTAVO DOS SANTOS DANTAS</v>
          </cell>
          <cell r="E17" t="str">
            <v xml:space="preserve">GERENTE DE LOJA     </v>
          </cell>
          <cell r="F17" t="str">
            <v>128.002.947-10</v>
          </cell>
          <cell r="G17">
            <v>43713</v>
          </cell>
          <cell r="H17" t="str">
            <v>Ativo</v>
          </cell>
          <cell r="J17">
            <v>30</v>
          </cell>
          <cell r="K17">
            <v>0</v>
          </cell>
          <cell r="L17">
            <v>30</v>
          </cell>
          <cell r="N17">
            <v>0</v>
          </cell>
          <cell r="O17">
            <v>4998.1899999999996</v>
          </cell>
          <cell r="R17">
            <v>17</v>
          </cell>
          <cell r="S17">
            <v>513.75</v>
          </cell>
        </row>
        <row r="18">
          <cell r="C18" t="str">
            <v>93-92</v>
          </cell>
          <cell r="D18" t="str">
            <v>INGRID DOS SANTOS BRAGA</v>
          </cell>
          <cell r="E18" t="str">
            <v xml:space="preserve">ASSISTENTE DE LOJA  </v>
          </cell>
          <cell r="F18" t="str">
            <v>179.961.057-82</v>
          </cell>
          <cell r="G18">
            <v>43770</v>
          </cell>
          <cell r="H18" t="str">
            <v>Ativo</v>
          </cell>
          <cell r="J18">
            <v>14</v>
          </cell>
          <cell r="K18">
            <v>0</v>
          </cell>
          <cell r="L18">
            <v>14</v>
          </cell>
          <cell r="N18">
            <v>1389.75</v>
          </cell>
          <cell r="O18">
            <v>0</v>
          </cell>
          <cell r="P18">
            <v>138.97499999999999</v>
          </cell>
          <cell r="R18">
            <v>17</v>
          </cell>
          <cell r="S18">
            <v>204</v>
          </cell>
        </row>
        <row r="19">
          <cell r="C19" t="str">
            <v>93-103</v>
          </cell>
          <cell r="D19" t="str">
            <v>LAIS SANTOS DE OLIVEIRA</v>
          </cell>
          <cell r="E19" t="str">
            <v xml:space="preserve">ASSISTENTE DE LOJA  </v>
          </cell>
          <cell r="F19" t="str">
            <v>177.746.077-81</v>
          </cell>
          <cell r="G19">
            <v>44369</v>
          </cell>
          <cell r="H19" t="str">
            <v>Ativo</v>
          </cell>
          <cell r="J19">
            <v>9</v>
          </cell>
          <cell r="K19">
            <v>0</v>
          </cell>
          <cell r="L19">
            <v>9</v>
          </cell>
          <cell r="N19">
            <v>1389.75</v>
          </cell>
          <cell r="O19">
            <v>0</v>
          </cell>
          <cell r="P19">
            <v>138.97499999999999</v>
          </cell>
          <cell r="R19">
            <v>34</v>
          </cell>
          <cell r="S19">
            <v>91.8</v>
          </cell>
        </row>
        <row r="20">
          <cell r="C20" t="str">
            <v>93-95</v>
          </cell>
          <cell r="D20" t="str">
            <v>LUIZ EDUARDO MARCELINO DOS SANTOS</v>
          </cell>
          <cell r="E20" t="str">
            <v xml:space="preserve">VENDEDOR(a)         </v>
          </cell>
          <cell r="F20" t="str">
            <v>154.191.327-29</v>
          </cell>
          <cell r="G20">
            <v>43787</v>
          </cell>
          <cell r="H20" t="str">
            <v>Ativo</v>
          </cell>
          <cell r="J20">
            <v>30</v>
          </cell>
          <cell r="K20">
            <v>0</v>
          </cell>
          <cell r="L20">
            <v>30</v>
          </cell>
          <cell r="N20">
            <v>0</v>
          </cell>
          <cell r="O20">
            <v>1389.75</v>
          </cell>
          <cell r="R20">
            <v>17</v>
          </cell>
          <cell r="S20">
            <v>0</v>
          </cell>
        </row>
        <row r="21">
          <cell r="C21" t="str">
            <v>93-36</v>
          </cell>
          <cell r="D21" t="str">
            <v>LUIZ FERNANDO DE OLIVEIRA</v>
          </cell>
          <cell r="E21" t="str">
            <v xml:space="preserve">VENDEDOR(a)         </v>
          </cell>
          <cell r="F21" t="str">
            <v>060.160.187-40</v>
          </cell>
          <cell r="G21">
            <v>42482</v>
          </cell>
          <cell r="H21" t="str">
            <v>Ativo</v>
          </cell>
          <cell r="J21">
            <v>30</v>
          </cell>
          <cell r="K21">
            <v>0</v>
          </cell>
          <cell r="L21">
            <v>30</v>
          </cell>
          <cell r="N21">
            <v>0</v>
          </cell>
          <cell r="O21">
            <v>1389.75</v>
          </cell>
          <cell r="R21">
            <v>17</v>
          </cell>
          <cell r="S21">
            <v>427.5</v>
          </cell>
        </row>
        <row r="22">
          <cell r="C22" t="str">
            <v>93-79</v>
          </cell>
          <cell r="D22" t="str">
            <v>MATHEUS DOS SANTOS CHRISTO</v>
          </cell>
          <cell r="E22" t="str">
            <v xml:space="preserve">VENDEDOR(a)         </v>
          </cell>
          <cell r="F22" t="str">
            <v>166.990.977-84</v>
          </cell>
          <cell r="G22">
            <v>43425</v>
          </cell>
          <cell r="H22" t="str">
            <v>Ativo</v>
          </cell>
          <cell r="J22">
            <v>30</v>
          </cell>
          <cell r="K22">
            <v>0</v>
          </cell>
          <cell r="L22">
            <v>30</v>
          </cell>
          <cell r="N22">
            <v>0</v>
          </cell>
          <cell r="O22">
            <v>1389.75</v>
          </cell>
          <cell r="R22">
            <v>17</v>
          </cell>
          <cell r="S22">
            <v>216</v>
          </cell>
        </row>
        <row r="23">
          <cell r="C23" t="str">
            <v>93-91</v>
          </cell>
          <cell r="D23" t="str">
            <v>NATHALIA MATOS REIS DE FREITAS</v>
          </cell>
          <cell r="E23" t="str">
            <v xml:space="preserve">VENDEDOR(a)         </v>
          </cell>
          <cell r="F23" t="str">
            <v>150.984.167-95</v>
          </cell>
          <cell r="G23">
            <v>43740</v>
          </cell>
          <cell r="H23" t="str">
            <v>Ativo</v>
          </cell>
          <cell r="J23">
            <v>30</v>
          </cell>
          <cell r="K23">
            <v>0</v>
          </cell>
          <cell r="L23">
            <v>30</v>
          </cell>
          <cell r="N23">
            <v>0</v>
          </cell>
          <cell r="O23">
            <v>1389.75</v>
          </cell>
          <cell r="R23">
            <v>17</v>
          </cell>
          <cell r="S23">
            <v>557.5</v>
          </cell>
        </row>
        <row r="24">
          <cell r="C24" t="str">
            <v>93-102</v>
          </cell>
          <cell r="D24" t="str">
            <v>RAFAEL SANTOS DE SOUSA</v>
          </cell>
          <cell r="E24" t="str">
            <v xml:space="preserve">ASSISTENTE DE LOJA  </v>
          </cell>
          <cell r="F24" t="str">
            <v>171.325.347-00</v>
          </cell>
          <cell r="G24">
            <v>44152</v>
          </cell>
          <cell r="H24" t="str">
            <v>Ativo</v>
          </cell>
          <cell r="J24">
            <v>30</v>
          </cell>
          <cell r="K24">
            <v>0</v>
          </cell>
          <cell r="L24">
            <v>30</v>
          </cell>
          <cell r="N24">
            <v>1389.75</v>
          </cell>
          <cell r="O24">
            <v>0</v>
          </cell>
          <cell r="P24">
            <v>138.97499999999999</v>
          </cell>
          <cell r="R24">
            <v>17</v>
          </cell>
          <cell r="S24">
            <v>386.4</v>
          </cell>
        </row>
        <row r="25">
          <cell r="C25" t="str">
            <v>93-100</v>
          </cell>
          <cell r="D25" t="str">
            <v>VITOR HUGO MACEDO</v>
          </cell>
          <cell r="E25" t="str">
            <v xml:space="preserve">VENDEDOR(a)         </v>
          </cell>
          <cell r="F25" t="str">
            <v>108.743.787-37</v>
          </cell>
          <cell r="G25">
            <v>44152</v>
          </cell>
          <cell r="H25" t="str">
            <v>Ativo</v>
          </cell>
          <cell r="J25">
            <v>30</v>
          </cell>
          <cell r="K25">
            <v>0</v>
          </cell>
          <cell r="L25">
            <v>30</v>
          </cell>
          <cell r="N25">
            <v>0</v>
          </cell>
          <cell r="O25">
            <v>1389.75</v>
          </cell>
          <cell r="R25">
            <v>17</v>
          </cell>
          <cell r="S25">
            <v>365</v>
          </cell>
        </row>
        <row r="26">
          <cell r="C26" t="str">
            <v>94-3</v>
          </cell>
          <cell r="D26" t="str">
            <v>ALLAN DA SILVA PONTES</v>
          </cell>
          <cell r="E26" t="str">
            <v xml:space="preserve">VENDEDOR(a)         </v>
          </cell>
          <cell r="F26" t="str">
            <v>141.562.647-26</v>
          </cell>
          <cell r="G26">
            <v>42320</v>
          </cell>
          <cell r="H26" t="str">
            <v>Ativo</v>
          </cell>
          <cell r="J26">
            <v>30</v>
          </cell>
          <cell r="K26">
            <v>0</v>
          </cell>
          <cell r="L26">
            <v>30</v>
          </cell>
          <cell r="N26">
            <v>0</v>
          </cell>
          <cell r="O26">
            <v>1370</v>
          </cell>
          <cell r="R26">
            <v>22</v>
          </cell>
          <cell r="S26">
            <v>210.6</v>
          </cell>
        </row>
        <row r="27">
          <cell r="C27" t="str">
            <v>94-6</v>
          </cell>
          <cell r="D27" t="str">
            <v>MARIA JAINE DA SILVA</v>
          </cell>
          <cell r="E27" t="str">
            <v xml:space="preserve">ASSISTENTE DE LOJA  </v>
          </cell>
          <cell r="F27" t="str">
            <v>109.515.944-51</v>
          </cell>
          <cell r="G27">
            <v>42320</v>
          </cell>
          <cell r="H27" t="str">
            <v>Ativo</v>
          </cell>
          <cell r="J27">
            <v>30</v>
          </cell>
          <cell r="K27">
            <v>0</v>
          </cell>
          <cell r="L27">
            <v>30</v>
          </cell>
          <cell r="N27">
            <v>1335.01</v>
          </cell>
          <cell r="O27">
            <v>0</v>
          </cell>
          <cell r="P27">
            <v>57</v>
          </cell>
          <cell r="R27">
            <v>22</v>
          </cell>
          <cell r="S27">
            <v>202.5</v>
          </cell>
        </row>
        <row r="28">
          <cell r="C28" t="str">
            <v>94-34</v>
          </cell>
          <cell r="D28" t="str">
            <v>RAPHAEL BORGES DE FARIAS</v>
          </cell>
          <cell r="E28" t="str">
            <v xml:space="preserve">GERENTE DE LOJA     </v>
          </cell>
          <cell r="F28" t="str">
            <v>059.845.167-64</v>
          </cell>
          <cell r="G28">
            <v>42903</v>
          </cell>
          <cell r="H28" t="str">
            <v>Ativo</v>
          </cell>
          <cell r="J28">
            <v>22</v>
          </cell>
          <cell r="K28">
            <v>8</v>
          </cell>
          <cell r="L28">
            <v>30</v>
          </cell>
          <cell r="N28">
            <v>0</v>
          </cell>
          <cell r="O28">
            <v>3500</v>
          </cell>
          <cell r="S28">
            <v>162</v>
          </cell>
        </row>
        <row r="29">
          <cell r="C29" t="str">
            <v>94-55</v>
          </cell>
          <cell r="D29" t="str">
            <v>PATRICK TEIXEIRA CAMISAO</v>
          </cell>
          <cell r="E29" t="str">
            <v xml:space="preserve">VENDEDOR(a)         </v>
          </cell>
          <cell r="F29" t="str">
            <v>160.448.307-56</v>
          </cell>
          <cell r="G29">
            <v>43787</v>
          </cell>
          <cell r="H29" t="str">
            <v>Ativo</v>
          </cell>
          <cell r="J29">
            <v>30</v>
          </cell>
          <cell r="K29">
            <v>0</v>
          </cell>
          <cell r="L29">
            <v>30</v>
          </cell>
          <cell r="N29">
            <v>0</v>
          </cell>
          <cell r="O29">
            <v>1370</v>
          </cell>
          <cell r="R29">
            <v>22</v>
          </cell>
          <cell r="S29">
            <v>202.5</v>
          </cell>
        </row>
        <row r="30">
          <cell r="C30" t="str">
            <v>94-66</v>
          </cell>
          <cell r="D30" t="str">
            <v>ELIZA OLIVEIRA NUNES</v>
          </cell>
          <cell r="E30" t="str">
            <v xml:space="preserve">VENDEDOR(a)         </v>
          </cell>
          <cell r="F30" t="str">
            <v>178.908.587-01</v>
          </cell>
          <cell r="G30">
            <v>44257</v>
          </cell>
          <cell r="H30" t="str">
            <v>Contrato Suspenso - MP 936</v>
          </cell>
          <cell r="J30">
            <v>30</v>
          </cell>
          <cell r="K30">
            <v>0</v>
          </cell>
          <cell r="L30">
            <v>30</v>
          </cell>
          <cell r="N30">
            <v>0</v>
          </cell>
          <cell r="O30">
            <v>1370</v>
          </cell>
          <cell r="R30">
            <v>22</v>
          </cell>
          <cell r="S30">
            <v>210.6</v>
          </cell>
        </row>
        <row r="31">
          <cell r="C31" t="str">
            <v>94-68</v>
          </cell>
          <cell r="D31" t="str">
            <v>LUCAS SANTOS DE CARVALHO</v>
          </cell>
          <cell r="E31" t="str">
            <v xml:space="preserve">VENDEDOR(a)         </v>
          </cell>
          <cell r="F31" t="str">
            <v>172.838.007-35</v>
          </cell>
          <cell r="G31">
            <v>44359</v>
          </cell>
          <cell r="H31" t="str">
            <v>Ativo</v>
          </cell>
          <cell r="J31">
            <v>19</v>
          </cell>
          <cell r="K31">
            <v>0</v>
          </cell>
          <cell r="L31">
            <v>19</v>
          </cell>
          <cell r="N31">
            <v>0</v>
          </cell>
          <cell r="O31">
            <v>1370</v>
          </cell>
          <cell r="R31">
            <v>47</v>
          </cell>
          <cell r="S31">
            <v>145.80000000000001</v>
          </cell>
        </row>
        <row r="32">
          <cell r="C32" t="str">
            <v>95-56</v>
          </cell>
          <cell r="D32" t="str">
            <v>CAIO VIEIRA BARBOSA</v>
          </cell>
          <cell r="E32" t="str">
            <v xml:space="preserve">VENDEDOR(a)         </v>
          </cell>
          <cell r="F32" t="str">
            <v>442.376.138-60</v>
          </cell>
          <cell r="G32">
            <v>43165</v>
          </cell>
          <cell r="H32" t="str">
            <v>Ativo</v>
          </cell>
          <cell r="J32">
            <v>30</v>
          </cell>
          <cell r="K32">
            <v>0</v>
          </cell>
          <cell r="L32">
            <v>30</v>
          </cell>
          <cell r="N32">
            <v>0</v>
          </cell>
          <cell r="O32">
            <v>1807.35</v>
          </cell>
          <cell r="R32">
            <v>40</v>
          </cell>
          <cell r="S32">
            <v>231.84</v>
          </cell>
        </row>
        <row r="33">
          <cell r="C33" t="str">
            <v>95-59</v>
          </cell>
          <cell r="D33" t="str">
            <v>MARGARETH LEAL</v>
          </cell>
          <cell r="E33" t="str">
            <v xml:space="preserve">VENDEDOR(a)         </v>
          </cell>
          <cell r="F33" t="str">
            <v>407.781.668-80</v>
          </cell>
          <cell r="G33">
            <v>43213</v>
          </cell>
          <cell r="H33" t="str">
            <v>Ativo</v>
          </cell>
          <cell r="J33">
            <v>30</v>
          </cell>
          <cell r="K33">
            <v>0</v>
          </cell>
          <cell r="L33">
            <v>30</v>
          </cell>
          <cell r="N33">
            <v>0</v>
          </cell>
          <cell r="O33">
            <v>1807.35</v>
          </cell>
          <cell r="R33">
            <v>40</v>
          </cell>
          <cell r="S33">
            <v>425.04</v>
          </cell>
        </row>
        <row r="34">
          <cell r="C34" t="str">
            <v>95-80</v>
          </cell>
          <cell r="D34" t="str">
            <v>GRAZIELLY SANTOS SILVA</v>
          </cell>
          <cell r="E34" t="str">
            <v xml:space="preserve">ASSISTENTE DE LOJA  </v>
          </cell>
          <cell r="F34" t="str">
            <v>467.257.158-00</v>
          </cell>
          <cell r="G34">
            <v>44064</v>
          </cell>
          <cell r="H34" t="str">
            <v>Ativo</v>
          </cell>
          <cell r="J34">
            <v>30</v>
          </cell>
          <cell r="K34">
            <v>0</v>
          </cell>
          <cell r="L34">
            <v>30</v>
          </cell>
          <cell r="N34">
            <v>1504.22</v>
          </cell>
          <cell r="O34">
            <v>0</v>
          </cell>
          <cell r="P34">
            <v>70.41</v>
          </cell>
          <cell r="S34">
            <v>211.2</v>
          </cell>
        </row>
        <row r="35">
          <cell r="C35" t="str">
            <v>95-83</v>
          </cell>
          <cell r="D35" t="str">
            <v>CARLOS EDUARDO MARTINS DE LIMA</v>
          </cell>
          <cell r="E35" t="str">
            <v xml:space="preserve">ASSISTENTE DE LOJA  </v>
          </cell>
          <cell r="F35" t="str">
            <v>312.469.698-07</v>
          </cell>
          <cell r="G35">
            <v>44152</v>
          </cell>
          <cell r="H35" t="str">
            <v>Ativo</v>
          </cell>
          <cell r="J35">
            <v>30</v>
          </cell>
          <cell r="K35">
            <v>0</v>
          </cell>
          <cell r="L35">
            <v>30</v>
          </cell>
          <cell r="N35">
            <v>1504.22</v>
          </cell>
          <cell r="O35">
            <v>0</v>
          </cell>
          <cell r="P35">
            <v>70.41</v>
          </cell>
          <cell r="R35">
            <v>40</v>
          </cell>
          <cell r="S35">
            <v>443.52</v>
          </cell>
        </row>
        <row r="36">
          <cell r="C36" t="str">
            <v>95-84</v>
          </cell>
          <cell r="D36" t="str">
            <v>GABRIEL ALFREDO JESUS DE PINHO</v>
          </cell>
          <cell r="E36" t="str">
            <v xml:space="preserve">GERENTE DE LOJA     </v>
          </cell>
          <cell r="F36" t="str">
            <v>491.663.158-75</v>
          </cell>
          <cell r="G36">
            <v>43475</v>
          </cell>
          <cell r="H36" t="str">
            <v>Ativo</v>
          </cell>
          <cell r="J36">
            <v>30</v>
          </cell>
          <cell r="K36">
            <v>0</v>
          </cell>
          <cell r="L36">
            <v>30</v>
          </cell>
          <cell r="N36">
            <v>0</v>
          </cell>
          <cell r="O36">
            <v>4117.6000000000004</v>
          </cell>
          <cell r="R36">
            <v>40</v>
          </cell>
          <cell r="S36">
            <v>0</v>
          </cell>
        </row>
        <row r="37">
          <cell r="C37" t="str">
            <v>95-85</v>
          </cell>
          <cell r="D37" t="str">
            <v>TIAGO WAGNER FRANCO</v>
          </cell>
          <cell r="E37" t="str">
            <v xml:space="preserve">VENDEDOR(a)         </v>
          </cell>
          <cell r="F37" t="str">
            <v>383.025.258-71</v>
          </cell>
          <cell r="G37">
            <v>44181</v>
          </cell>
          <cell r="H37" t="str">
            <v>Ativo</v>
          </cell>
          <cell r="J37">
            <v>30</v>
          </cell>
          <cell r="K37">
            <v>0</v>
          </cell>
          <cell r="L37">
            <v>30</v>
          </cell>
          <cell r="N37">
            <v>0</v>
          </cell>
          <cell r="O37">
            <v>1807.35</v>
          </cell>
          <cell r="S37">
            <v>340</v>
          </cell>
        </row>
        <row r="38">
          <cell r="C38" t="str">
            <v>95-88</v>
          </cell>
          <cell r="D38" t="str">
            <v>BRUNO SILVA CAPELLI</v>
          </cell>
          <cell r="E38" t="str">
            <v xml:space="preserve">VENDEDOR(a)         </v>
          </cell>
          <cell r="F38" t="str">
            <v>366.421.178-24</v>
          </cell>
          <cell r="G38">
            <v>44256</v>
          </cell>
          <cell r="H38" t="str">
            <v>Ativo</v>
          </cell>
          <cell r="J38">
            <v>30</v>
          </cell>
          <cell r="K38">
            <v>0</v>
          </cell>
          <cell r="L38">
            <v>30</v>
          </cell>
          <cell r="N38">
            <v>0</v>
          </cell>
          <cell r="O38">
            <v>1807.35</v>
          </cell>
          <cell r="R38">
            <v>40</v>
          </cell>
          <cell r="S38">
            <v>0</v>
          </cell>
        </row>
        <row r="39">
          <cell r="C39" t="str">
            <v>103-184</v>
          </cell>
          <cell r="D39" t="str">
            <v>VADILSON TEAGO DE SANTANA</v>
          </cell>
          <cell r="E39" t="str">
            <v xml:space="preserve">ASSISTENTE DE LOJA  </v>
          </cell>
          <cell r="F39" t="str">
            <v>135.820.698-85</v>
          </cell>
          <cell r="G39">
            <v>43782</v>
          </cell>
          <cell r="H39" t="str">
            <v>Ativo</v>
          </cell>
          <cell r="J39">
            <v>30</v>
          </cell>
          <cell r="K39">
            <v>0</v>
          </cell>
          <cell r="L39">
            <v>30</v>
          </cell>
          <cell r="N39">
            <v>1504.22</v>
          </cell>
          <cell r="O39">
            <v>0</v>
          </cell>
          <cell r="P39">
            <v>70.41</v>
          </cell>
          <cell r="R39">
            <v>40</v>
          </cell>
          <cell r="S39">
            <v>222.18</v>
          </cell>
        </row>
        <row r="40">
          <cell r="C40" t="str">
            <v>103-185</v>
          </cell>
          <cell r="D40" t="str">
            <v>ANDRE FERNANDO OZUNA</v>
          </cell>
          <cell r="E40" t="str">
            <v xml:space="preserve">VENDEDOR(a)         </v>
          </cell>
          <cell r="F40" t="str">
            <v>285.803.778-70</v>
          </cell>
          <cell r="G40">
            <v>43782</v>
          </cell>
          <cell r="H40" t="str">
            <v>Ativo</v>
          </cell>
          <cell r="J40">
            <v>30</v>
          </cell>
          <cell r="K40">
            <v>0</v>
          </cell>
          <cell r="L40">
            <v>30</v>
          </cell>
          <cell r="N40">
            <v>0</v>
          </cell>
          <cell r="O40">
            <v>1807.35</v>
          </cell>
          <cell r="R40">
            <v>40</v>
          </cell>
          <cell r="S40">
            <v>452.18</v>
          </cell>
        </row>
        <row r="41">
          <cell r="C41" t="str">
            <v>103-187</v>
          </cell>
          <cell r="D41" t="str">
            <v>MARCELO FERNANDES DE SOUZA</v>
          </cell>
          <cell r="E41" t="str">
            <v xml:space="preserve">VENDEDOR(a)         </v>
          </cell>
          <cell r="F41" t="str">
            <v>389.253.428-47</v>
          </cell>
          <cell r="G41">
            <v>43815</v>
          </cell>
          <cell r="H41" t="str">
            <v>Ativo</v>
          </cell>
          <cell r="J41">
            <v>30</v>
          </cell>
          <cell r="K41">
            <v>0</v>
          </cell>
          <cell r="L41">
            <v>30</v>
          </cell>
          <cell r="N41">
            <v>0</v>
          </cell>
          <cell r="O41">
            <v>1807.35</v>
          </cell>
          <cell r="R41">
            <v>40</v>
          </cell>
          <cell r="S41">
            <v>425.04</v>
          </cell>
        </row>
        <row r="42">
          <cell r="C42" t="str">
            <v>103-193</v>
          </cell>
          <cell r="D42" t="str">
            <v>BRUNA DIAS RAMOS</v>
          </cell>
          <cell r="E42" t="str">
            <v xml:space="preserve">VENDEDOR(a)         </v>
          </cell>
          <cell r="F42" t="str">
            <v>158.926.428-28</v>
          </cell>
          <cell r="G42">
            <v>44121</v>
          </cell>
          <cell r="H42" t="str">
            <v>Ativo</v>
          </cell>
          <cell r="J42">
            <v>30</v>
          </cell>
          <cell r="K42">
            <v>0</v>
          </cell>
          <cell r="L42">
            <v>30</v>
          </cell>
          <cell r="N42">
            <v>0</v>
          </cell>
          <cell r="O42">
            <v>1807.35</v>
          </cell>
          <cell r="S42">
            <v>0</v>
          </cell>
        </row>
        <row r="43">
          <cell r="C43" t="str">
            <v>103-194</v>
          </cell>
          <cell r="D43" t="str">
            <v>NICOLE MARIA FAZIO</v>
          </cell>
          <cell r="E43" t="str">
            <v xml:space="preserve">VENDEDOR(a)         </v>
          </cell>
          <cell r="F43" t="str">
            <v>487.676.818-83</v>
          </cell>
          <cell r="G43">
            <v>44121</v>
          </cell>
          <cell r="H43" t="str">
            <v>Ativo</v>
          </cell>
          <cell r="J43">
            <v>30</v>
          </cell>
          <cell r="K43">
            <v>0</v>
          </cell>
          <cell r="L43">
            <v>30</v>
          </cell>
          <cell r="N43">
            <v>0</v>
          </cell>
          <cell r="O43">
            <v>1807.35</v>
          </cell>
          <cell r="R43">
            <v>40</v>
          </cell>
          <cell r="S43">
            <v>425.04</v>
          </cell>
        </row>
        <row r="44">
          <cell r="C44" t="str">
            <v>103-199</v>
          </cell>
          <cell r="D44" t="str">
            <v>MARLON MIRANDA DE OLIVEIRA</v>
          </cell>
          <cell r="E44" t="str">
            <v xml:space="preserve">GERENTE DE LOJA     </v>
          </cell>
          <cell r="F44" t="str">
            <v>000.291.020-90</v>
          </cell>
          <cell r="G44">
            <v>43284</v>
          </cell>
          <cell r="H44" t="str">
            <v>Ativo</v>
          </cell>
          <cell r="J44">
            <v>30</v>
          </cell>
          <cell r="K44">
            <v>0</v>
          </cell>
          <cell r="L44">
            <v>30</v>
          </cell>
          <cell r="N44">
            <v>0</v>
          </cell>
          <cell r="O44">
            <v>4282.3</v>
          </cell>
          <cell r="R44">
            <v>40</v>
          </cell>
          <cell r="S44">
            <v>443.52</v>
          </cell>
        </row>
        <row r="45">
          <cell r="C45" t="str">
            <v>103-200</v>
          </cell>
          <cell r="D45" t="str">
            <v>JENNYFER QUEIROZ DE ALMEIDA NASCIMENTO</v>
          </cell>
          <cell r="E45" t="str">
            <v xml:space="preserve">ASSISTENTE DE LOJA  </v>
          </cell>
          <cell r="F45" t="str">
            <v>407.642.998-24</v>
          </cell>
          <cell r="G45">
            <v>44180</v>
          </cell>
          <cell r="H45" t="str">
            <v>Ativo</v>
          </cell>
          <cell r="J45">
            <v>30</v>
          </cell>
          <cell r="K45">
            <v>0</v>
          </cell>
          <cell r="L45">
            <v>30</v>
          </cell>
          <cell r="N45">
            <v>1504.22</v>
          </cell>
          <cell r="O45">
            <v>0</v>
          </cell>
          <cell r="P45">
            <v>70.41</v>
          </cell>
          <cell r="R45">
            <v>40</v>
          </cell>
          <cell r="S45">
            <v>0</v>
          </cell>
        </row>
        <row r="46">
          <cell r="C46" t="str">
            <v>103-202</v>
          </cell>
          <cell r="D46" t="str">
            <v>RONALDO PINHEIRO DE OLIVEIRA</v>
          </cell>
          <cell r="E46" t="str">
            <v xml:space="preserve">VENDEDOR(a)         </v>
          </cell>
          <cell r="F46" t="str">
            <v>183.016.258-64</v>
          </cell>
          <cell r="G46">
            <v>44228</v>
          </cell>
          <cell r="H46" t="str">
            <v>Ativo</v>
          </cell>
          <cell r="J46">
            <v>30</v>
          </cell>
          <cell r="K46">
            <v>0</v>
          </cell>
          <cell r="L46">
            <v>30</v>
          </cell>
          <cell r="N46">
            <v>0</v>
          </cell>
          <cell r="O46">
            <v>1807.35</v>
          </cell>
          <cell r="R46">
            <v>40</v>
          </cell>
          <cell r="S46">
            <v>443.52</v>
          </cell>
        </row>
        <row r="47">
          <cell r="C47" t="str">
            <v>104-52</v>
          </cell>
          <cell r="D47" t="str">
            <v>ADRIANA MONTEIRO MACEDO</v>
          </cell>
          <cell r="E47" t="str">
            <v xml:space="preserve">ASSISTENTE DE LOJA  </v>
          </cell>
          <cell r="F47" t="str">
            <v>702.895.822-10</v>
          </cell>
          <cell r="G47">
            <v>44117</v>
          </cell>
          <cell r="H47" t="str">
            <v>Ativo</v>
          </cell>
          <cell r="J47">
            <v>30</v>
          </cell>
          <cell r="K47">
            <v>0</v>
          </cell>
          <cell r="L47">
            <v>30</v>
          </cell>
          <cell r="N47">
            <v>1155</v>
          </cell>
          <cell r="O47">
            <v>0</v>
          </cell>
          <cell r="P47">
            <v>115.5</v>
          </cell>
          <cell r="S47">
            <v>197.6</v>
          </cell>
        </row>
        <row r="48">
          <cell r="C48" t="str">
            <v>104-49</v>
          </cell>
          <cell r="D48" t="str">
            <v>FRANCIANE DOS SANTOS MEDEIROS</v>
          </cell>
          <cell r="E48" t="str">
            <v xml:space="preserve">GERENTE DE LOJA     </v>
          </cell>
          <cell r="F48" t="str">
            <v>939.548.082-34</v>
          </cell>
          <cell r="G48">
            <v>43549</v>
          </cell>
          <cell r="H48" t="str">
            <v>Ativo</v>
          </cell>
          <cell r="J48">
            <v>30</v>
          </cell>
          <cell r="K48">
            <v>0</v>
          </cell>
          <cell r="L48">
            <v>30</v>
          </cell>
          <cell r="N48">
            <v>0</v>
          </cell>
          <cell r="O48">
            <v>4612.5</v>
          </cell>
          <cell r="S48">
            <v>0</v>
          </cell>
        </row>
        <row r="49">
          <cell r="C49" t="str">
            <v>104-33</v>
          </cell>
          <cell r="D49" t="str">
            <v>JEFFERSON GONCALVES DA SILVA</v>
          </cell>
          <cell r="E49" t="str">
            <v xml:space="preserve">VENDEDOR (a)        </v>
          </cell>
          <cell r="F49" t="str">
            <v>007.164.092-40</v>
          </cell>
          <cell r="G49">
            <v>42705</v>
          </cell>
          <cell r="H49" t="str">
            <v>Ativo</v>
          </cell>
          <cell r="J49">
            <v>30</v>
          </cell>
          <cell r="K49">
            <v>0</v>
          </cell>
          <cell r="L49">
            <v>30</v>
          </cell>
          <cell r="N49">
            <v>0</v>
          </cell>
          <cell r="O49">
            <v>1155</v>
          </cell>
          <cell r="Q49">
            <v>30.33</v>
          </cell>
          <cell r="S49">
            <v>0</v>
          </cell>
        </row>
        <row r="50">
          <cell r="C50" t="str">
            <v>104-45</v>
          </cell>
          <cell r="D50" t="str">
            <v>PATRICIA BRANDAO ANASTACIO</v>
          </cell>
          <cell r="E50" t="str">
            <v xml:space="preserve">ASSISTENTE DE LOJA  </v>
          </cell>
          <cell r="F50" t="str">
            <v>013.989.272-95</v>
          </cell>
          <cell r="G50">
            <v>43441</v>
          </cell>
          <cell r="H50" t="str">
            <v>Ativo</v>
          </cell>
          <cell r="J50">
            <v>30</v>
          </cell>
          <cell r="K50">
            <v>0</v>
          </cell>
          <cell r="L50">
            <v>30</v>
          </cell>
          <cell r="N50">
            <v>1155</v>
          </cell>
          <cell r="O50">
            <v>0</v>
          </cell>
          <cell r="P50">
            <v>115.5</v>
          </cell>
          <cell r="S50">
            <v>0</v>
          </cell>
        </row>
        <row r="51">
          <cell r="C51" t="str">
            <v>104-53</v>
          </cell>
          <cell r="D51" t="str">
            <v>PATRINY LORRANNA DOS SANTOS MOTA</v>
          </cell>
          <cell r="E51" t="str">
            <v xml:space="preserve">VENDEDOR(a)         </v>
          </cell>
          <cell r="F51" t="str">
            <v>021.046.162-47</v>
          </cell>
          <cell r="G51">
            <v>44132</v>
          </cell>
          <cell r="H51" t="str">
            <v>Ativo</v>
          </cell>
          <cell r="J51">
            <v>30</v>
          </cell>
          <cell r="K51">
            <v>0</v>
          </cell>
          <cell r="L51">
            <v>30</v>
          </cell>
          <cell r="N51">
            <v>0</v>
          </cell>
          <cell r="O51">
            <v>1155</v>
          </cell>
          <cell r="Q51">
            <v>30.33</v>
          </cell>
          <cell r="S51">
            <v>197.6</v>
          </cell>
        </row>
        <row r="52">
          <cell r="C52" t="str">
            <v>104-41</v>
          </cell>
          <cell r="D52" t="str">
            <v>ROMEU PITER VERAS DOS SANTOS</v>
          </cell>
          <cell r="E52" t="str">
            <v xml:space="preserve">VENDEDOR(a)         </v>
          </cell>
          <cell r="F52" t="str">
            <v>945.231.772-87</v>
          </cell>
          <cell r="G52">
            <v>43070</v>
          </cell>
          <cell r="H52" t="str">
            <v>Ativo</v>
          </cell>
          <cell r="J52">
            <v>30</v>
          </cell>
          <cell r="K52">
            <v>0</v>
          </cell>
          <cell r="L52">
            <v>30</v>
          </cell>
          <cell r="N52">
            <v>0</v>
          </cell>
          <cell r="O52">
            <v>1155</v>
          </cell>
          <cell r="Q52">
            <v>30.33</v>
          </cell>
          <cell r="S52">
            <v>0</v>
          </cell>
        </row>
        <row r="53">
          <cell r="C53" t="str">
            <v>105-93</v>
          </cell>
          <cell r="D53" t="str">
            <v>AMANDA LORENA VEIGA RODRIGUES DA SILVA</v>
          </cell>
          <cell r="E53" t="str">
            <v xml:space="preserve">VENDEDOR(a)         </v>
          </cell>
          <cell r="F53" t="str">
            <v>036.781.370-08</v>
          </cell>
          <cell r="G53">
            <v>43735</v>
          </cell>
          <cell r="H53" t="str">
            <v>Ativo</v>
          </cell>
          <cell r="J53">
            <v>30</v>
          </cell>
          <cell r="K53">
            <v>0</v>
          </cell>
          <cell r="L53">
            <v>30</v>
          </cell>
          <cell r="N53">
            <v>0</v>
          </cell>
          <cell r="O53">
            <v>1495</v>
          </cell>
          <cell r="R53">
            <v>30.09</v>
          </cell>
          <cell r="T53">
            <v>637</v>
          </cell>
        </row>
        <row r="54">
          <cell r="C54" t="str">
            <v>105-68</v>
          </cell>
          <cell r="D54" t="str">
            <v>CLAUCIO PITTHAN BERGHAHN</v>
          </cell>
          <cell r="E54" t="str">
            <v xml:space="preserve">VENDEDOR(a)         </v>
          </cell>
          <cell r="F54" t="str">
            <v>013.307.420-01</v>
          </cell>
          <cell r="G54">
            <v>42692</v>
          </cell>
          <cell r="H54" t="str">
            <v>Ativo</v>
          </cell>
          <cell r="J54">
            <v>30</v>
          </cell>
          <cell r="K54">
            <v>0</v>
          </cell>
          <cell r="L54">
            <v>30</v>
          </cell>
          <cell r="N54">
            <v>0</v>
          </cell>
          <cell r="O54">
            <v>1495</v>
          </cell>
          <cell r="T54">
            <v>543.4</v>
          </cell>
        </row>
        <row r="55">
          <cell r="C55" t="str">
            <v>105-100</v>
          </cell>
          <cell r="D55" t="str">
            <v>FELIPE GONCALVES</v>
          </cell>
          <cell r="E55" t="str">
            <v xml:space="preserve">ASSISTENTE DE LOJA  </v>
          </cell>
          <cell r="F55" t="str">
            <v>050.440.050-96</v>
          </cell>
          <cell r="G55">
            <v>44148</v>
          </cell>
          <cell r="H55" t="str">
            <v>Ativo</v>
          </cell>
          <cell r="J55">
            <v>30</v>
          </cell>
          <cell r="K55">
            <v>0</v>
          </cell>
          <cell r="L55">
            <v>30</v>
          </cell>
          <cell r="N55">
            <v>1377.6</v>
          </cell>
          <cell r="O55">
            <v>0</v>
          </cell>
          <cell r="P55">
            <v>137.76</v>
          </cell>
          <cell r="R55">
            <v>30.09</v>
          </cell>
          <cell r="T55">
            <v>200.2</v>
          </cell>
        </row>
        <row r="56">
          <cell r="C56" t="str">
            <v>105-61</v>
          </cell>
          <cell r="D56" t="str">
            <v>LUCIANO DA MOTA GONÇALVES</v>
          </cell>
          <cell r="E56" t="str">
            <v xml:space="preserve">GERENTE DE LOJA     </v>
          </cell>
          <cell r="F56" t="str">
            <v>001.104.960-00</v>
          </cell>
          <cell r="G56">
            <v>42893</v>
          </cell>
          <cell r="H56" t="str">
            <v>Ativo</v>
          </cell>
          <cell r="J56">
            <v>30</v>
          </cell>
          <cell r="K56">
            <v>0</v>
          </cell>
          <cell r="L56">
            <v>30</v>
          </cell>
          <cell r="N56">
            <v>0</v>
          </cell>
          <cell r="O56">
            <v>4635.8999999999996</v>
          </cell>
          <cell r="R56">
            <v>30.09</v>
          </cell>
          <cell r="S56">
            <v>0</v>
          </cell>
        </row>
        <row r="57">
          <cell r="C57" t="str">
            <v>105-84</v>
          </cell>
          <cell r="D57" t="str">
            <v>MARCIEL FISCHBORN FERNANDES</v>
          </cell>
          <cell r="E57" t="str">
            <v xml:space="preserve">VENDEDOR(a)         </v>
          </cell>
          <cell r="F57" t="str">
            <v>017.323.330-92</v>
          </cell>
          <cell r="G57">
            <v>43347</v>
          </cell>
          <cell r="H57" t="str">
            <v>Ativo</v>
          </cell>
          <cell r="J57">
            <v>30</v>
          </cell>
          <cell r="K57">
            <v>0</v>
          </cell>
          <cell r="L57">
            <v>30</v>
          </cell>
          <cell r="N57">
            <v>0</v>
          </cell>
          <cell r="O57">
            <v>1495</v>
          </cell>
          <cell r="R57">
            <v>30.09</v>
          </cell>
          <cell r="T57">
            <v>310</v>
          </cell>
        </row>
        <row r="58">
          <cell r="C58" t="str">
            <v>105-85</v>
          </cell>
          <cell r="D58" t="str">
            <v>ROGER PASSAIA</v>
          </cell>
          <cell r="E58" t="str">
            <v xml:space="preserve">VENDEDOR(a)         </v>
          </cell>
          <cell r="F58" t="str">
            <v>047.712.040-71</v>
          </cell>
          <cell r="G58">
            <v>43411</v>
          </cell>
          <cell r="H58" t="str">
            <v>Ativo</v>
          </cell>
          <cell r="J58">
            <v>30</v>
          </cell>
          <cell r="K58">
            <v>0</v>
          </cell>
          <cell r="L58">
            <v>30</v>
          </cell>
          <cell r="N58">
            <v>0</v>
          </cell>
          <cell r="O58">
            <v>1495</v>
          </cell>
          <cell r="T58">
            <v>192.5</v>
          </cell>
        </row>
        <row r="59">
          <cell r="C59" t="str">
            <v>105-29</v>
          </cell>
          <cell r="D59" t="str">
            <v>SUSAN SCHULTZ MOURA</v>
          </cell>
          <cell r="E59" t="str">
            <v xml:space="preserve">ASSISTENTE DE LOJA  </v>
          </cell>
          <cell r="F59" t="str">
            <v>026.257.550-75</v>
          </cell>
          <cell r="G59">
            <v>42167</v>
          </cell>
          <cell r="H59" t="str">
            <v>Ativo</v>
          </cell>
          <cell r="J59">
            <v>30</v>
          </cell>
          <cell r="K59">
            <v>0</v>
          </cell>
          <cell r="L59">
            <v>30</v>
          </cell>
          <cell r="N59">
            <v>1468.46</v>
          </cell>
          <cell r="O59">
            <v>0</v>
          </cell>
          <cell r="P59">
            <v>146.846</v>
          </cell>
          <cell r="R59">
            <v>30.09</v>
          </cell>
          <cell r="T59">
            <v>400.4</v>
          </cell>
        </row>
        <row r="60">
          <cell r="C60" t="str">
            <v>105-95</v>
          </cell>
          <cell r="D60" t="str">
            <v>VICTOR GABRIEL ESTEFEN DE SOUZA</v>
          </cell>
          <cell r="E60" t="str">
            <v xml:space="preserve">VENDEDOR(a)         </v>
          </cell>
          <cell r="F60" t="str">
            <v>037.604.160-98</v>
          </cell>
          <cell r="G60">
            <v>43759</v>
          </cell>
          <cell r="H60" t="str">
            <v>Ativo</v>
          </cell>
          <cell r="J60">
            <v>30</v>
          </cell>
          <cell r="K60">
            <v>0</v>
          </cell>
          <cell r="L60">
            <v>30</v>
          </cell>
          <cell r="N60">
            <v>0</v>
          </cell>
          <cell r="O60">
            <v>1495</v>
          </cell>
          <cell r="R60">
            <v>30.09</v>
          </cell>
          <cell r="T60">
            <v>442</v>
          </cell>
        </row>
        <row r="61">
          <cell r="C61" t="str">
            <v>105-103</v>
          </cell>
          <cell r="D61" t="str">
            <v>VITORIA APARECIDA DA SILVA</v>
          </cell>
          <cell r="E61" t="str">
            <v xml:space="preserve">VENDEDOR(a)         </v>
          </cell>
          <cell r="F61" t="str">
            <v>045.921.830-10</v>
          </cell>
          <cell r="G61">
            <v>44236</v>
          </cell>
          <cell r="H61" t="str">
            <v>Ativo</v>
          </cell>
          <cell r="J61">
            <v>30</v>
          </cell>
          <cell r="K61">
            <v>0</v>
          </cell>
          <cell r="L61">
            <v>30</v>
          </cell>
          <cell r="N61">
            <v>0</v>
          </cell>
          <cell r="O61">
            <v>1495</v>
          </cell>
          <cell r="R61">
            <v>30.09</v>
          </cell>
          <cell r="T61">
            <v>402.5</v>
          </cell>
        </row>
        <row r="62">
          <cell r="C62" t="str">
            <v>116-143</v>
          </cell>
          <cell r="D62" t="str">
            <v>ALUISIO SANCHES MORAES</v>
          </cell>
          <cell r="E62" t="str">
            <v xml:space="preserve">GERENTE DE LOJA     </v>
          </cell>
          <cell r="F62" t="str">
            <v>327.400.998-94</v>
          </cell>
          <cell r="G62">
            <v>43405</v>
          </cell>
          <cell r="H62" t="str">
            <v>Ativo</v>
          </cell>
          <cell r="J62">
            <v>30</v>
          </cell>
          <cell r="K62">
            <v>0</v>
          </cell>
          <cell r="L62">
            <v>30</v>
          </cell>
          <cell r="N62">
            <v>0</v>
          </cell>
          <cell r="O62">
            <v>4680</v>
          </cell>
          <cell r="S62">
            <v>0</v>
          </cell>
        </row>
        <row r="63">
          <cell r="C63" t="str">
            <v>116-164</v>
          </cell>
          <cell r="D63" t="str">
            <v>DANIELLE DA SILVA CONCEICAO</v>
          </cell>
          <cell r="E63" t="str">
            <v xml:space="preserve">VENDEDOR(a)         </v>
          </cell>
          <cell r="F63" t="str">
            <v>954.817.372-72</v>
          </cell>
          <cell r="G63">
            <v>43717</v>
          </cell>
          <cell r="H63" t="str">
            <v>Ativo</v>
          </cell>
          <cell r="J63">
            <v>30</v>
          </cell>
          <cell r="K63">
            <v>0</v>
          </cell>
          <cell r="L63">
            <v>30</v>
          </cell>
          <cell r="N63">
            <v>0</v>
          </cell>
          <cell r="O63">
            <v>1755.73</v>
          </cell>
          <cell r="S63">
            <v>561.6</v>
          </cell>
        </row>
        <row r="64">
          <cell r="C64" t="str">
            <v>116-148</v>
          </cell>
          <cell r="D64" t="str">
            <v>HUGO KENJI MIYAZAKI DIAS</v>
          </cell>
          <cell r="E64" t="str">
            <v xml:space="preserve">VENDEDOR(a)         </v>
          </cell>
          <cell r="F64" t="str">
            <v>384.188.068-18</v>
          </cell>
          <cell r="G64">
            <v>43437</v>
          </cell>
          <cell r="H64" t="str">
            <v>Ativo</v>
          </cell>
          <cell r="J64">
            <v>30</v>
          </cell>
          <cell r="K64">
            <v>0</v>
          </cell>
          <cell r="L64">
            <v>30</v>
          </cell>
          <cell r="N64">
            <v>0</v>
          </cell>
          <cell r="O64">
            <v>1755.73</v>
          </cell>
          <cell r="S64">
            <v>425.04</v>
          </cell>
        </row>
        <row r="65">
          <cell r="C65" t="str">
            <v>116-146</v>
          </cell>
          <cell r="D65" t="str">
            <v>LEONARDO MAFRA RODRIGUES</v>
          </cell>
          <cell r="E65" t="str">
            <v xml:space="preserve">ASSISTENTE DE LOJA  </v>
          </cell>
          <cell r="F65" t="str">
            <v>527.984.638-40</v>
          </cell>
          <cell r="G65">
            <v>43431</v>
          </cell>
          <cell r="H65" t="str">
            <v>Ativo</v>
          </cell>
          <cell r="J65">
            <v>0</v>
          </cell>
          <cell r="K65">
            <v>30</v>
          </cell>
          <cell r="L65">
            <v>30</v>
          </cell>
          <cell r="N65">
            <v>1504.22</v>
          </cell>
          <cell r="O65">
            <v>0</v>
          </cell>
          <cell r="P65">
            <v>68.400000000000006</v>
          </cell>
          <cell r="S65">
            <v>425.04</v>
          </cell>
        </row>
        <row r="66">
          <cell r="C66" t="str">
            <v>116-175</v>
          </cell>
          <cell r="D66" t="str">
            <v>LUCAS ALVES</v>
          </cell>
          <cell r="E66" t="str">
            <v xml:space="preserve">VENDEDOR(a)         </v>
          </cell>
          <cell r="F66" t="str">
            <v>228.904.388-56</v>
          </cell>
          <cell r="G66">
            <v>44092</v>
          </cell>
          <cell r="H66" t="str">
            <v>Ativo</v>
          </cell>
          <cell r="J66">
            <v>30</v>
          </cell>
          <cell r="K66">
            <v>0</v>
          </cell>
          <cell r="L66">
            <v>30</v>
          </cell>
          <cell r="N66">
            <v>0</v>
          </cell>
          <cell r="O66">
            <v>1755.73</v>
          </cell>
          <cell r="S66">
            <v>0</v>
          </cell>
        </row>
        <row r="67">
          <cell r="C67" t="str">
            <v>116-170</v>
          </cell>
          <cell r="D67" t="str">
            <v>MARIANA SOUZA RODRIGUES</v>
          </cell>
          <cell r="E67" t="str">
            <v xml:space="preserve">VENDEDOR(a)         </v>
          </cell>
          <cell r="F67" t="str">
            <v>460.133.308-32</v>
          </cell>
          <cell r="G67">
            <v>44079</v>
          </cell>
          <cell r="H67" t="str">
            <v>Ativo</v>
          </cell>
          <cell r="J67">
            <v>30</v>
          </cell>
          <cell r="K67">
            <v>0</v>
          </cell>
          <cell r="L67">
            <v>30</v>
          </cell>
          <cell r="N67">
            <v>0</v>
          </cell>
          <cell r="O67">
            <v>1755.73</v>
          </cell>
          <cell r="S67">
            <v>427.2</v>
          </cell>
        </row>
        <row r="68">
          <cell r="C68" t="str">
            <v>116-144</v>
          </cell>
          <cell r="D68" t="str">
            <v>RAFAEL NOGUEIRA DE MORAES</v>
          </cell>
          <cell r="E68" t="str">
            <v xml:space="preserve">VENDEDOR(a)         </v>
          </cell>
          <cell r="F68" t="str">
            <v>301.816.038-02</v>
          </cell>
          <cell r="G68">
            <v>43412</v>
          </cell>
          <cell r="H68" t="str">
            <v>Ativo</v>
          </cell>
          <cell r="J68">
            <v>30</v>
          </cell>
          <cell r="K68">
            <v>0</v>
          </cell>
          <cell r="L68">
            <v>30</v>
          </cell>
          <cell r="N68">
            <v>0</v>
          </cell>
          <cell r="O68">
            <v>1755.73</v>
          </cell>
          <cell r="S68">
            <v>0</v>
          </cell>
        </row>
        <row r="69">
          <cell r="C69" t="str">
            <v>116-169</v>
          </cell>
          <cell r="D69" t="str">
            <v>RENAN FERREIRA PIMENTEL</v>
          </cell>
          <cell r="E69" t="str">
            <v xml:space="preserve">VENDEDOR(a)         </v>
          </cell>
          <cell r="F69" t="str">
            <v>404.103.638-04</v>
          </cell>
          <cell r="G69">
            <v>41720</v>
          </cell>
          <cell r="H69" t="str">
            <v>Ativo</v>
          </cell>
          <cell r="J69">
            <v>30</v>
          </cell>
          <cell r="K69">
            <v>0</v>
          </cell>
          <cell r="L69">
            <v>30</v>
          </cell>
          <cell r="N69">
            <v>0</v>
          </cell>
          <cell r="O69">
            <v>1755.73</v>
          </cell>
          <cell r="S69">
            <v>0</v>
          </cell>
        </row>
        <row r="70">
          <cell r="C70" t="str">
            <v>123-58</v>
          </cell>
          <cell r="D70" t="str">
            <v>GABRIELA DUARTE DOS SANTOS</v>
          </cell>
          <cell r="E70" t="str">
            <v xml:space="preserve">VENDEDOR(a)         </v>
          </cell>
          <cell r="F70" t="str">
            <v>061.462.155-03</v>
          </cell>
          <cell r="G70">
            <v>43252</v>
          </cell>
          <cell r="H70" t="str">
            <v>Ativo</v>
          </cell>
          <cell r="J70">
            <v>30</v>
          </cell>
          <cell r="K70">
            <v>0</v>
          </cell>
          <cell r="L70">
            <v>30</v>
          </cell>
          <cell r="N70">
            <v>0</v>
          </cell>
          <cell r="O70">
            <v>1189</v>
          </cell>
          <cell r="Q70">
            <v>60</v>
          </cell>
          <cell r="R70">
            <v>15</v>
          </cell>
          <cell r="T70">
            <v>496.8</v>
          </cell>
        </row>
        <row r="71">
          <cell r="C71" t="str">
            <v>123-69</v>
          </cell>
          <cell r="D71" t="str">
            <v>ISRAEL GUSTAVO DOS SANTOS GARCIA</v>
          </cell>
          <cell r="E71" t="str">
            <v xml:space="preserve">VENDEDOR(a)         </v>
          </cell>
          <cell r="F71" t="str">
            <v>108.739.084-22</v>
          </cell>
          <cell r="G71">
            <v>43573</v>
          </cell>
          <cell r="H71" t="str">
            <v>Ativo</v>
          </cell>
          <cell r="J71">
            <v>30</v>
          </cell>
          <cell r="K71">
            <v>0</v>
          </cell>
          <cell r="L71">
            <v>30</v>
          </cell>
          <cell r="N71">
            <v>0</v>
          </cell>
          <cell r="O71">
            <v>1189</v>
          </cell>
          <cell r="Q71">
            <v>60</v>
          </cell>
          <cell r="R71">
            <v>15</v>
          </cell>
          <cell r="T71">
            <v>496.8</v>
          </cell>
        </row>
        <row r="72">
          <cell r="C72" t="str">
            <v>123-81</v>
          </cell>
          <cell r="D72" t="str">
            <v>IVANA BONFIM REQUIAO</v>
          </cell>
          <cell r="E72" t="str">
            <v xml:space="preserve">VENDEDOR(a)         </v>
          </cell>
          <cell r="F72" t="str">
            <v>034.529.405-00</v>
          </cell>
          <cell r="G72">
            <v>44371</v>
          </cell>
          <cell r="H72" t="str">
            <v>Ativo</v>
          </cell>
          <cell r="J72">
            <v>30</v>
          </cell>
          <cell r="K72">
            <v>0</v>
          </cell>
          <cell r="L72">
            <v>30</v>
          </cell>
          <cell r="N72">
            <v>0</v>
          </cell>
          <cell r="O72">
            <v>1189</v>
          </cell>
          <cell r="R72">
            <v>68.599999999999994</v>
          </cell>
          <cell r="T72">
            <v>369.6</v>
          </cell>
        </row>
        <row r="73">
          <cell r="C73" t="str">
            <v>123-75</v>
          </cell>
          <cell r="D73" t="str">
            <v>JOÃO PEDRO CINTRA BAHIA</v>
          </cell>
          <cell r="E73" t="str">
            <v xml:space="preserve">VENDEDOR(a)         </v>
          </cell>
          <cell r="F73" t="str">
            <v>861.221.485-80</v>
          </cell>
          <cell r="G73">
            <v>43808</v>
          </cell>
          <cell r="H73" t="str">
            <v>Ativo</v>
          </cell>
          <cell r="J73">
            <v>30</v>
          </cell>
          <cell r="K73">
            <v>0</v>
          </cell>
          <cell r="L73">
            <v>30</v>
          </cell>
          <cell r="N73">
            <v>0</v>
          </cell>
          <cell r="O73">
            <v>1189</v>
          </cell>
          <cell r="Q73">
            <v>60</v>
          </cell>
          <cell r="R73">
            <v>15</v>
          </cell>
          <cell r="T73">
            <v>412.8</v>
          </cell>
        </row>
        <row r="74">
          <cell r="C74" t="str">
            <v>123-76</v>
          </cell>
          <cell r="D74" t="str">
            <v>LUCAS ARAUJO DE LIMA</v>
          </cell>
          <cell r="E74" t="str">
            <v xml:space="preserve">ASSISTENTE DE LOJA  </v>
          </cell>
          <cell r="F74" t="str">
            <v>863.378.735-05</v>
          </cell>
          <cell r="G74">
            <v>44084</v>
          </cell>
          <cell r="H74" t="str">
            <v>Ativo</v>
          </cell>
          <cell r="J74">
            <v>30</v>
          </cell>
          <cell r="K74">
            <v>0</v>
          </cell>
          <cell r="L74">
            <v>30</v>
          </cell>
          <cell r="N74">
            <v>1189</v>
          </cell>
          <cell r="O74">
            <v>0</v>
          </cell>
          <cell r="P74">
            <v>118.9</v>
          </cell>
          <cell r="Q74">
            <v>60</v>
          </cell>
          <cell r="R74">
            <v>15</v>
          </cell>
          <cell r="T74">
            <v>197.8</v>
          </cell>
        </row>
        <row r="75">
          <cell r="C75" t="str">
            <v>123-68</v>
          </cell>
          <cell r="D75" t="str">
            <v>MARCELO ALVES DE SOUZA SANTOS</v>
          </cell>
          <cell r="E75" t="str">
            <v xml:space="preserve">GERENTE DE LOJA     </v>
          </cell>
          <cell r="F75" t="str">
            <v>041.739.405-56</v>
          </cell>
          <cell r="G75">
            <v>43560</v>
          </cell>
          <cell r="H75" t="str">
            <v>Ativo</v>
          </cell>
          <cell r="J75">
            <v>30</v>
          </cell>
          <cell r="K75">
            <v>0</v>
          </cell>
          <cell r="L75">
            <v>30</v>
          </cell>
          <cell r="N75">
            <v>0</v>
          </cell>
          <cell r="O75">
            <v>4676.3999999999996</v>
          </cell>
          <cell r="Q75">
            <v>60</v>
          </cell>
          <cell r="R75">
            <v>15</v>
          </cell>
          <cell r="T75">
            <v>561.6</v>
          </cell>
        </row>
        <row r="76">
          <cell r="C76" t="str">
            <v>123-36</v>
          </cell>
          <cell r="D76" t="str">
            <v>UELDERMAN ALVES MIGUEZ COSTA</v>
          </cell>
          <cell r="E76" t="str">
            <v xml:space="preserve">VENDEDOR(a)         </v>
          </cell>
          <cell r="F76" t="str">
            <v>029.972.815-39</v>
          </cell>
          <cell r="G76">
            <v>42564</v>
          </cell>
          <cell r="H76" t="str">
            <v>Ativo</v>
          </cell>
          <cell r="J76">
            <v>30</v>
          </cell>
          <cell r="K76">
            <v>0</v>
          </cell>
          <cell r="L76">
            <v>30</v>
          </cell>
          <cell r="N76">
            <v>0</v>
          </cell>
          <cell r="O76">
            <v>1189</v>
          </cell>
          <cell r="Q76">
            <v>60</v>
          </cell>
          <cell r="R76">
            <v>15</v>
          </cell>
          <cell r="T76">
            <v>518.4</v>
          </cell>
        </row>
        <row r="77">
          <cell r="C77" t="str">
            <v>123-70</v>
          </cell>
          <cell r="D77" t="str">
            <v>WEBERTON SOUZA DA SILVA</v>
          </cell>
          <cell r="E77" t="str">
            <v xml:space="preserve">VENDEDOR(a)         </v>
          </cell>
          <cell r="F77" t="str">
            <v>066.595.235-02</v>
          </cell>
          <cell r="G77">
            <v>43718</v>
          </cell>
          <cell r="H77" t="str">
            <v>Ativo</v>
          </cell>
          <cell r="J77">
            <v>30</v>
          </cell>
          <cell r="K77">
            <v>0</v>
          </cell>
          <cell r="L77">
            <v>30</v>
          </cell>
          <cell r="N77">
            <v>0</v>
          </cell>
          <cell r="O77">
            <v>1189</v>
          </cell>
          <cell r="Q77">
            <v>60</v>
          </cell>
          <cell r="R77">
            <v>15</v>
          </cell>
          <cell r="T77">
            <v>206.4</v>
          </cell>
        </row>
        <row r="78">
          <cell r="C78" t="str">
            <v>124-32</v>
          </cell>
          <cell r="D78" t="str">
            <v>DOUGLAS ALBUQUERQUE BRASIL JUNIOR</v>
          </cell>
          <cell r="E78" t="str">
            <v xml:space="preserve">GERENTE DE LOJA     </v>
          </cell>
          <cell r="F78" t="str">
            <v>949.017.162-04</v>
          </cell>
          <cell r="G78">
            <v>42681</v>
          </cell>
          <cell r="H78" t="str">
            <v>Ativo</v>
          </cell>
          <cell r="J78">
            <v>30</v>
          </cell>
          <cell r="K78">
            <v>0</v>
          </cell>
          <cell r="L78">
            <v>30</v>
          </cell>
          <cell r="N78">
            <v>0</v>
          </cell>
          <cell r="O78">
            <v>5272.5</v>
          </cell>
          <cell r="Q78">
            <v>73.14</v>
          </cell>
          <cell r="S78">
            <v>0</v>
          </cell>
        </row>
        <row r="79">
          <cell r="C79" t="str">
            <v>124-2</v>
          </cell>
          <cell r="D79" t="str">
            <v>FLAVIANA DA SILVA</v>
          </cell>
          <cell r="E79" t="str">
            <v xml:space="preserve">VENDEDOR(a)         </v>
          </cell>
          <cell r="F79" t="str">
            <v>017.660.263-11</v>
          </cell>
          <cell r="G79">
            <v>41929</v>
          </cell>
          <cell r="H79" t="str">
            <v>Ativo</v>
          </cell>
          <cell r="J79">
            <v>30</v>
          </cell>
          <cell r="K79">
            <v>0</v>
          </cell>
          <cell r="L79">
            <v>30</v>
          </cell>
          <cell r="N79">
            <v>0</v>
          </cell>
          <cell r="O79">
            <v>1214.54</v>
          </cell>
          <cell r="Q79">
            <v>73.14</v>
          </cell>
          <cell r="S79">
            <v>0</v>
          </cell>
        </row>
        <row r="80">
          <cell r="C80" t="str">
            <v>124-19</v>
          </cell>
          <cell r="D80" t="str">
            <v>RANDAL BATISTA MAIA</v>
          </cell>
          <cell r="E80" t="str">
            <v xml:space="preserve">ASSISTENTE DE LOJA  </v>
          </cell>
          <cell r="F80" t="str">
            <v>057.107.003-55</v>
          </cell>
          <cell r="G80">
            <v>42082</v>
          </cell>
          <cell r="H80" t="str">
            <v>Ativo</v>
          </cell>
          <cell r="J80">
            <v>30</v>
          </cell>
          <cell r="K80">
            <v>0</v>
          </cell>
          <cell r="L80">
            <v>30</v>
          </cell>
          <cell r="N80">
            <v>1420.42</v>
          </cell>
          <cell r="O80">
            <v>0</v>
          </cell>
          <cell r="P80">
            <v>142.042</v>
          </cell>
          <cell r="Q80">
            <v>73.14</v>
          </cell>
          <cell r="S80">
            <v>0</v>
          </cell>
        </row>
        <row r="81">
          <cell r="C81" t="str">
            <v>124-49</v>
          </cell>
          <cell r="D81" t="str">
            <v>RAPHAEL SILVA VIEIRA DA LUZ</v>
          </cell>
          <cell r="E81" t="str">
            <v xml:space="preserve">VENDEDOR(a)         </v>
          </cell>
          <cell r="F81" t="str">
            <v>059.452.933-69</v>
          </cell>
          <cell r="G81">
            <v>44166</v>
          </cell>
          <cell r="H81" t="str">
            <v>Ativo</v>
          </cell>
          <cell r="J81">
            <v>30</v>
          </cell>
          <cell r="K81">
            <v>0</v>
          </cell>
          <cell r="L81">
            <v>30</v>
          </cell>
          <cell r="N81">
            <v>0</v>
          </cell>
          <cell r="O81">
            <v>1214.54</v>
          </cell>
          <cell r="Q81">
            <v>73.14</v>
          </cell>
          <cell r="S81">
            <v>0</v>
          </cell>
        </row>
        <row r="82">
          <cell r="C82" t="str">
            <v>124-40</v>
          </cell>
          <cell r="D82" t="str">
            <v>THEOGENES CALLOU LIMA</v>
          </cell>
          <cell r="E82" t="str">
            <v xml:space="preserve">VENDEDOR(a)         </v>
          </cell>
          <cell r="F82" t="str">
            <v>061.232.043-00</v>
          </cell>
          <cell r="G82">
            <v>42980</v>
          </cell>
          <cell r="H82" t="str">
            <v>Ativo</v>
          </cell>
          <cell r="J82">
            <v>30</v>
          </cell>
          <cell r="K82">
            <v>0</v>
          </cell>
          <cell r="L82">
            <v>30</v>
          </cell>
          <cell r="N82">
            <v>0</v>
          </cell>
          <cell r="O82">
            <v>1214.54</v>
          </cell>
          <cell r="Q82">
            <v>73.14</v>
          </cell>
          <cell r="S82">
            <v>0</v>
          </cell>
        </row>
        <row r="83">
          <cell r="C83" t="str">
            <v>124-39</v>
          </cell>
          <cell r="D83" t="str">
            <v>THIAGO DOS SANTOS BATISTA</v>
          </cell>
          <cell r="E83" t="str">
            <v xml:space="preserve">VENDEDOR(a)         </v>
          </cell>
          <cell r="F83" t="str">
            <v>065.842.673-77</v>
          </cell>
          <cell r="G83">
            <v>42956</v>
          </cell>
          <cell r="H83" t="str">
            <v>Ativo</v>
          </cell>
          <cell r="J83">
            <v>30</v>
          </cell>
          <cell r="K83">
            <v>0</v>
          </cell>
          <cell r="L83">
            <v>30</v>
          </cell>
          <cell r="N83">
            <v>0</v>
          </cell>
          <cell r="O83">
            <v>1214.54</v>
          </cell>
          <cell r="Q83">
            <v>73.14</v>
          </cell>
          <cell r="S83">
            <v>0</v>
          </cell>
        </row>
        <row r="84">
          <cell r="C84" t="str">
            <v>125-38</v>
          </cell>
          <cell r="D84" t="str">
            <v>AMANDA CAROLINE MARIANO DA SILVA</v>
          </cell>
          <cell r="E84" t="str">
            <v xml:space="preserve">VENDEDOR(a)         </v>
          </cell>
          <cell r="F84" t="str">
            <v>022.617.843-92</v>
          </cell>
          <cell r="G84">
            <v>43245</v>
          </cell>
          <cell r="H84" t="str">
            <v>Em Auxilio Maternidade</v>
          </cell>
          <cell r="J84">
            <v>30</v>
          </cell>
          <cell r="K84">
            <v>0</v>
          </cell>
          <cell r="L84">
            <v>30</v>
          </cell>
          <cell r="N84">
            <v>0</v>
          </cell>
          <cell r="O84">
            <v>1112</v>
          </cell>
          <cell r="S84">
            <v>0</v>
          </cell>
        </row>
        <row r="85">
          <cell r="C85" t="str">
            <v>125-25</v>
          </cell>
          <cell r="D85" t="str">
            <v>HILTON DE SOUZA FERNANDES</v>
          </cell>
          <cell r="E85" t="str">
            <v xml:space="preserve">GERENTE DE LOJA     </v>
          </cell>
          <cell r="F85" t="str">
            <v>016.339.213-79</v>
          </cell>
          <cell r="G85">
            <v>41996</v>
          </cell>
          <cell r="H85" t="str">
            <v>Ativo</v>
          </cell>
          <cell r="J85">
            <v>30</v>
          </cell>
          <cell r="K85">
            <v>0</v>
          </cell>
          <cell r="L85">
            <v>30</v>
          </cell>
          <cell r="N85">
            <v>0</v>
          </cell>
          <cell r="O85">
            <v>4500</v>
          </cell>
          <cell r="S85">
            <v>0</v>
          </cell>
        </row>
        <row r="86">
          <cell r="C86" t="str">
            <v>125-54</v>
          </cell>
          <cell r="D86" t="str">
            <v>LUCAS PAZ PONTES</v>
          </cell>
          <cell r="E86" t="str">
            <v xml:space="preserve">VENDEDOR(a)         </v>
          </cell>
          <cell r="F86" t="str">
            <v>622.829.353-22</v>
          </cell>
          <cell r="G86">
            <v>43900</v>
          </cell>
          <cell r="H86" t="str">
            <v>Ativo</v>
          </cell>
          <cell r="J86">
            <v>30</v>
          </cell>
          <cell r="K86">
            <v>0</v>
          </cell>
          <cell r="L86">
            <v>30</v>
          </cell>
          <cell r="N86">
            <v>0</v>
          </cell>
          <cell r="O86">
            <v>1112</v>
          </cell>
          <cell r="S86">
            <v>340.8</v>
          </cell>
        </row>
        <row r="87">
          <cell r="C87" t="str">
            <v>125-48</v>
          </cell>
          <cell r="D87" t="str">
            <v>LUIS CARLOS GARCIA SILVA</v>
          </cell>
          <cell r="E87" t="str">
            <v xml:space="preserve">VENDEDOR(a)         </v>
          </cell>
          <cell r="F87" t="str">
            <v>013.431.263-55</v>
          </cell>
          <cell r="G87">
            <v>43787</v>
          </cell>
          <cell r="H87" t="str">
            <v>Ativo</v>
          </cell>
          <cell r="J87">
            <v>0</v>
          </cell>
          <cell r="K87">
            <v>30</v>
          </cell>
          <cell r="L87">
            <v>30</v>
          </cell>
          <cell r="N87">
            <v>0</v>
          </cell>
          <cell r="O87">
            <v>1112</v>
          </cell>
          <cell r="S87">
            <v>0</v>
          </cell>
        </row>
        <row r="88">
          <cell r="C88" t="str">
            <v>125-58</v>
          </cell>
          <cell r="D88" t="str">
            <v>MAURICIO IBIAPINA SOARES NETO</v>
          </cell>
          <cell r="E88" t="str">
            <v xml:space="preserve">VENDEDOR(a)         </v>
          </cell>
          <cell r="F88" t="str">
            <v>046.023.193-60</v>
          </cell>
          <cell r="G88">
            <v>44158</v>
          </cell>
          <cell r="H88" t="str">
            <v>Ativo</v>
          </cell>
          <cell r="J88">
            <v>30</v>
          </cell>
          <cell r="K88">
            <v>0</v>
          </cell>
          <cell r="L88">
            <v>30</v>
          </cell>
          <cell r="N88">
            <v>0</v>
          </cell>
          <cell r="O88">
            <v>1112</v>
          </cell>
          <cell r="S88">
            <v>0</v>
          </cell>
        </row>
        <row r="89">
          <cell r="C89" t="str">
            <v>125-28</v>
          </cell>
          <cell r="D89" t="str">
            <v>PAULO HERMINO RIBEIRO DE SOUZA</v>
          </cell>
          <cell r="E89" t="str">
            <v xml:space="preserve">VENDEDOR(a)         </v>
          </cell>
          <cell r="F89" t="str">
            <v>603.472.423-67</v>
          </cell>
          <cell r="G89">
            <v>42710</v>
          </cell>
          <cell r="H89" t="str">
            <v>Ativo</v>
          </cell>
          <cell r="J89">
            <v>30</v>
          </cell>
          <cell r="K89">
            <v>0</v>
          </cell>
          <cell r="L89">
            <v>30</v>
          </cell>
          <cell r="N89">
            <v>0</v>
          </cell>
          <cell r="O89">
            <v>1112</v>
          </cell>
          <cell r="S89">
            <v>0</v>
          </cell>
        </row>
        <row r="90">
          <cell r="C90" t="str">
            <v>125-55</v>
          </cell>
          <cell r="D90" t="str">
            <v>TIAGO ELOI FERNANDO</v>
          </cell>
          <cell r="E90" t="str">
            <v xml:space="preserve">VENDEDOR(a)         </v>
          </cell>
          <cell r="F90" t="str">
            <v>603.375.873-02</v>
          </cell>
          <cell r="G90">
            <v>44099</v>
          </cell>
          <cell r="H90" t="str">
            <v>Ativo</v>
          </cell>
          <cell r="J90">
            <v>30</v>
          </cell>
          <cell r="K90">
            <v>0</v>
          </cell>
          <cell r="L90">
            <v>30</v>
          </cell>
          <cell r="N90">
            <v>0</v>
          </cell>
          <cell r="O90">
            <v>1112</v>
          </cell>
          <cell r="S90">
            <v>0</v>
          </cell>
        </row>
        <row r="91">
          <cell r="C91" t="str">
            <v>126-41</v>
          </cell>
          <cell r="D91" t="str">
            <v>ANTONIO FELIPE DE SOUZA SANTOS</v>
          </cell>
          <cell r="E91" t="str">
            <v xml:space="preserve">VENDEDOR(a)         </v>
          </cell>
          <cell r="F91" t="str">
            <v>045.312.115-29</v>
          </cell>
          <cell r="G91">
            <v>43160</v>
          </cell>
          <cell r="H91" t="str">
            <v>Ativo</v>
          </cell>
          <cell r="J91">
            <v>30</v>
          </cell>
          <cell r="K91">
            <v>0</v>
          </cell>
          <cell r="L91">
            <v>30</v>
          </cell>
          <cell r="N91">
            <v>662.04</v>
          </cell>
          <cell r="O91">
            <v>1315</v>
          </cell>
          <cell r="R91">
            <v>41</v>
          </cell>
          <cell r="S91">
            <v>206.4</v>
          </cell>
        </row>
        <row r="92">
          <cell r="C92" t="str">
            <v>126-56</v>
          </cell>
          <cell r="D92" t="str">
            <v>JOAO LUCAS LACERDA FLAVIO</v>
          </cell>
          <cell r="E92" t="str">
            <v xml:space="preserve">ASSISTENTE DE LOJA  </v>
          </cell>
          <cell r="F92" t="str">
            <v>706.394.571-85</v>
          </cell>
          <cell r="G92">
            <v>44183</v>
          </cell>
          <cell r="H92" t="str">
            <v>Ativo</v>
          </cell>
          <cell r="J92">
            <v>30</v>
          </cell>
          <cell r="K92">
            <v>0</v>
          </cell>
          <cell r="L92">
            <v>30</v>
          </cell>
          <cell r="N92">
            <v>1283</v>
          </cell>
          <cell r="O92">
            <v>0</v>
          </cell>
          <cell r="P92">
            <v>158</v>
          </cell>
          <cell r="R92">
            <v>21</v>
          </cell>
          <cell r="S92">
            <v>215</v>
          </cell>
        </row>
        <row r="93">
          <cell r="C93" t="str">
            <v>126-45</v>
          </cell>
          <cell r="D93" t="str">
            <v>KAIO LIMA FRUTUOSO</v>
          </cell>
          <cell r="E93" t="str">
            <v xml:space="preserve">VENDEDOR(a)         </v>
          </cell>
          <cell r="F93" t="str">
            <v>708.205.191-38</v>
          </cell>
          <cell r="G93">
            <v>43431</v>
          </cell>
          <cell r="H93" t="str">
            <v>Ativo</v>
          </cell>
          <cell r="J93">
            <v>30</v>
          </cell>
          <cell r="K93">
            <v>0</v>
          </cell>
          <cell r="L93">
            <v>30</v>
          </cell>
          <cell r="N93">
            <v>662.04</v>
          </cell>
          <cell r="O93">
            <v>1315</v>
          </cell>
          <cell r="R93">
            <v>41</v>
          </cell>
          <cell r="S93">
            <v>206.4</v>
          </cell>
        </row>
        <row r="94">
          <cell r="C94" t="str">
            <v>126-37</v>
          </cell>
          <cell r="D94" t="str">
            <v>LUCAS DIAS SOUTO</v>
          </cell>
          <cell r="E94" t="str">
            <v xml:space="preserve">VENDEDOR(a)         </v>
          </cell>
          <cell r="F94" t="str">
            <v>753.825.631-87</v>
          </cell>
          <cell r="G94">
            <v>43047</v>
          </cell>
          <cell r="H94" t="str">
            <v>Ativo</v>
          </cell>
          <cell r="J94">
            <v>30</v>
          </cell>
          <cell r="K94">
            <v>0</v>
          </cell>
          <cell r="L94">
            <v>30</v>
          </cell>
          <cell r="N94">
            <v>662.04</v>
          </cell>
          <cell r="O94">
            <v>1315</v>
          </cell>
          <cell r="S94">
            <v>215</v>
          </cell>
        </row>
        <row r="95">
          <cell r="C95" t="str">
            <v>126-1</v>
          </cell>
          <cell r="D95" t="str">
            <v>LUIZ CARLOS BATISTA INACIO</v>
          </cell>
          <cell r="E95" t="str">
            <v xml:space="preserve">GERENTE DE LOJA     </v>
          </cell>
          <cell r="F95" t="str">
            <v>993.224.391-49</v>
          </cell>
          <cell r="G95">
            <v>41946</v>
          </cell>
          <cell r="H95" t="str">
            <v>Ativo</v>
          </cell>
          <cell r="J95">
            <v>30</v>
          </cell>
          <cell r="K95">
            <v>0</v>
          </cell>
          <cell r="L95">
            <v>30</v>
          </cell>
          <cell r="N95">
            <v>662.04</v>
          </cell>
          <cell r="O95">
            <v>4000</v>
          </cell>
          <cell r="R95">
            <v>41</v>
          </cell>
          <cell r="S95">
            <v>215</v>
          </cell>
        </row>
        <row r="96">
          <cell r="C96" t="str">
            <v>126-28</v>
          </cell>
          <cell r="D96" t="str">
            <v>PAULO RICARDO FERNANDES NOVAIS</v>
          </cell>
          <cell r="E96" t="str">
            <v xml:space="preserve">VENDEDOR(a)         </v>
          </cell>
          <cell r="F96" t="str">
            <v>031.885.001-06</v>
          </cell>
          <cell r="G96">
            <v>42669</v>
          </cell>
          <cell r="H96" t="str">
            <v>Ativo</v>
          </cell>
          <cell r="J96">
            <v>30</v>
          </cell>
          <cell r="K96">
            <v>0</v>
          </cell>
          <cell r="L96">
            <v>30</v>
          </cell>
          <cell r="N96">
            <v>662.04</v>
          </cell>
          <cell r="O96">
            <v>1315</v>
          </cell>
          <cell r="R96">
            <v>41</v>
          </cell>
          <cell r="S96">
            <v>197.8</v>
          </cell>
        </row>
        <row r="97">
          <cell r="C97" t="str">
            <v>126-55</v>
          </cell>
          <cell r="D97" t="str">
            <v>RAQUEL TEIXEIRA DA SILVA</v>
          </cell>
          <cell r="E97" t="str">
            <v xml:space="preserve">VENDEDOR(a)         </v>
          </cell>
          <cell r="F97" t="str">
            <v>025.438.791-88</v>
          </cell>
          <cell r="G97">
            <v>44152</v>
          </cell>
          <cell r="H97" t="str">
            <v>Ativo</v>
          </cell>
          <cell r="J97">
            <v>30</v>
          </cell>
          <cell r="K97">
            <v>0</v>
          </cell>
          <cell r="L97">
            <v>30</v>
          </cell>
          <cell r="N97">
            <v>662.04</v>
          </cell>
          <cell r="O97">
            <v>1315</v>
          </cell>
          <cell r="R97">
            <v>41</v>
          </cell>
          <cell r="S97">
            <v>215</v>
          </cell>
        </row>
        <row r="98">
          <cell r="C98" t="str">
            <v>126-46</v>
          </cell>
          <cell r="D98" t="str">
            <v>VINICIUS DOS SANTOS OLIVEIRA</v>
          </cell>
          <cell r="E98" t="str">
            <v xml:space="preserve">VENDEDOR(a)         </v>
          </cell>
          <cell r="F98" t="str">
            <v>066.778.583-32</v>
          </cell>
          <cell r="G98">
            <v>43438</v>
          </cell>
          <cell r="H98" t="str">
            <v>Ativo</v>
          </cell>
          <cell r="J98">
            <v>30</v>
          </cell>
          <cell r="K98">
            <v>0</v>
          </cell>
          <cell r="L98">
            <v>30</v>
          </cell>
          <cell r="N98">
            <v>662.04</v>
          </cell>
          <cell r="O98">
            <v>1315</v>
          </cell>
          <cell r="R98">
            <v>41</v>
          </cell>
          <cell r="S98">
            <v>206.4</v>
          </cell>
        </row>
        <row r="99">
          <cell r="C99" t="str">
            <v>127-70</v>
          </cell>
          <cell r="D99" t="str">
            <v>EDUARDA ZACARIAS DA SILVA</v>
          </cell>
          <cell r="E99" t="str">
            <v xml:space="preserve">GERENTE DE LOJA     </v>
          </cell>
          <cell r="F99" t="str">
            <v>468.989.148-63</v>
          </cell>
          <cell r="G99">
            <v>43770</v>
          </cell>
          <cell r="H99" t="str">
            <v>Ativo</v>
          </cell>
          <cell r="J99">
            <v>30</v>
          </cell>
          <cell r="K99">
            <v>0</v>
          </cell>
          <cell r="L99">
            <v>30</v>
          </cell>
          <cell r="N99">
            <v>0</v>
          </cell>
          <cell r="O99">
            <v>4195.6000000000004</v>
          </cell>
          <cell r="Q99">
            <v>39</v>
          </cell>
          <cell r="R99">
            <v>25</v>
          </cell>
          <cell r="S99">
            <v>235</v>
          </cell>
        </row>
        <row r="100">
          <cell r="C100" t="str">
            <v>127-79</v>
          </cell>
          <cell r="D100" t="str">
            <v>GABRIEL VINICIUS VIANA TAVARES</v>
          </cell>
          <cell r="E100" t="str">
            <v xml:space="preserve">VENDEDOR(a)         </v>
          </cell>
          <cell r="F100" t="str">
            <v>497.346.378-78</v>
          </cell>
          <cell r="G100">
            <v>44221</v>
          </cell>
          <cell r="H100" t="str">
            <v>Ativo</v>
          </cell>
          <cell r="J100">
            <v>30</v>
          </cell>
          <cell r="K100">
            <v>0</v>
          </cell>
          <cell r="L100">
            <v>30</v>
          </cell>
          <cell r="N100">
            <v>0</v>
          </cell>
          <cell r="O100">
            <v>1909</v>
          </cell>
          <cell r="S100">
            <v>204.7</v>
          </cell>
        </row>
        <row r="101">
          <cell r="C101" t="str">
            <v>127-75</v>
          </cell>
          <cell r="D101" t="str">
            <v>GABRIELA KETLEN RODRIGUES DE SOUZA</v>
          </cell>
          <cell r="E101" t="str">
            <v xml:space="preserve">ASSISTENTE DE LOJA  </v>
          </cell>
          <cell r="F101" t="str">
            <v>501.722.828-45</v>
          </cell>
          <cell r="G101">
            <v>44152</v>
          </cell>
          <cell r="H101" t="str">
            <v>Ativo</v>
          </cell>
          <cell r="J101">
            <v>30</v>
          </cell>
          <cell r="K101">
            <v>0</v>
          </cell>
          <cell r="L101">
            <v>30</v>
          </cell>
          <cell r="N101">
            <v>1591</v>
          </cell>
          <cell r="O101">
            <v>0</v>
          </cell>
          <cell r="P101">
            <v>87</v>
          </cell>
          <cell r="Q101">
            <v>39</v>
          </cell>
          <cell r="R101">
            <v>25</v>
          </cell>
          <cell r="S101">
            <v>225.6</v>
          </cell>
        </row>
        <row r="102">
          <cell r="C102" t="str">
            <v>127-80</v>
          </cell>
          <cell r="D102" t="str">
            <v>LUCAS SIQUEIRA FRANCO</v>
          </cell>
          <cell r="E102" t="str">
            <v xml:space="preserve">VENDEDOR(a)         </v>
          </cell>
          <cell r="F102" t="str">
            <v>439.691.338-90</v>
          </cell>
          <cell r="G102">
            <v>44221</v>
          </cell>
          <cell r="H102" t="str">
            <v>Ativo</v>
          </cell>
          <cell r="J102">
            <v>30</v>
          </cell>
          <cell r="K102">
            <v>0</v>
          </cell>
          <cell r="L102">
            <v>30</v>
          </cell>
          <cell r="N102">
            <v>0</v>
          </cell>
          <cell r="O102">
            <v>1909</v>
          </cell>
          <cell r="Q102">
            <v>39</v>
          </cell>
          <cell r="R102">
            <v>25</v>
          </cell>
          <cell r="S102">
            <v>225.4</v>
          </cell>
        </row>
        <row r="103">
          <cell r="C103" t="str">
            <v>127-82</v>
          </cell>
          <cell r="D103" t="str">
            <v>PAULO HENRIQUE BARBIERI</v>
          </cell>
          <cell r="E103" t="str">
            <v xml:space="preserve">VENDEDOR(a)         </v>
          </cell>
          <cell r="F103" t="str">
            <v>426.662.588-07</v>
          </cell>
          <cell r="G103">
            <v>44371</v>
          </cell>
          <cell r="H103" t="str">
            <v>Ativo</v>
          </cell>
          <cell r="J103">
            <v>30</v>
          </cell>
          <cell r="K103">
            <v>0</v>
          </cell>
          <cell r="L103">
            <v>30</v>
          </cell>
          <cell r="N103">
            <v>0</v>
          </cell>
          <cell r="O103">
            <v>1909</v>
          </cell>
          <cell r="R103">
            <v>26</v>
          </cell>
          <cell r="S103">
            <v>0</v>
          </cell>
        </row>
        <row r="104">
          <cell r="C104" t="str">
            <v>139-55</v>
          </cell>
          <cell r="D104" t="str">
            <v>ANA JULIA LOMBARDI</v>
          </cell>
          <cell r="E104" t="str">
            <v xml:space="preserve">VENDEDOR(a)         </v>
          </cell>
          <cell r="F104" t="str">
            <v>482.873.038-93</v>
          </cell>
          <cell r="G104">
            <v>44363</v>
          </cell>
          <cell r="H104" t="str">
            <v>Ativo</v>
          </cell>
          <cell r="J104">
            <v>15</v>
          </cell>
          <cell r="K104">
            <v>0</v>
          </cell>
          <cell r="L104">
            <v>15</v>
          </cell>
          <cell r="N104">
            <v>0</v>
          </cell>
          <cell r="O104">
            <v>1660</v>
          </cell>
          <cell r="S104">
            <v>0</v>
          </cell>
        </row>
        <row r="105">
          <cell r="C105" t="str">
            <v>139-43</v>
          </cell>
          <cell r="D105" t="str">
            <v>BRUNA RODRIGUES</v>
          </cell>
          <cell r="E105" t="str">
            <v xml:space="preserve">ASSISTENTE DE LOJA  </v>
          </cell>
          <cell r="F105" t="str">
            <v>384.404.768-92</v>
          </cell>
          <cell r="G105">
            <v>44152</v>
          </cell>
          <cell r="H105" t="str">
            <v>Ativo</v>
          </cell>
          <cell r="J105">
            <v>30</v>
          </cell>
          <cell r="K105">
            <v>0</v>
          </cell>
          <cell r="L105">
            <v>30</v>
          </cell>
          <cell r="N105">
            <v>1415</v>
          </cell>
          <cell r="O105">
            <v>0</v>
          </cell>
          <cell r="P105">
            <v>71</v>
          </cell>
          <cell r="R105">
            <v>37.200000000000003</v>
          </cell>
          <cell r="S105" t="str">
            <v>FRETADO</v>
          </cell>
        </row>
        <row r="106">
          <cell r="C106" t="str">
            <v>139-24</v>
          </cell>
          <cell r="D106" t="str">
            <v>DAVID MARANDOLA</v>
          </cell>
          <cell r="E106" t="str">
            <v xml:space="preserve">VENDEDOR(a)         </v>
          </cell>
          <cell r="F106" t="str">
            <v>307.523.568-79</v>
          </cell>
          <cell r="G106">
            <v>43501</v>
          </cell>
          <cell r="H106" t="str">
            <v>Ativo</v>
          </cell>
          <cell r="J106">
            <v>30</v>
          </cell>
          <cell r="K106">
            <v>0</v>
          </cell>
          <cell r="L106">
            <v>30</v>
          </cell>
          <cell r="N106">
            <v>0</v>
          </cell>
          <cell r="O106">
            <v>1660</v>
          </cell>
          <cell r="R106">
            <v>37.200000000000003</v>
          </cell>
          <cell r="S106" t="str">
            <v>FRETADO</v>
          </cell>
        </row>
        <row r="107">
          <cell r="C107" t="str">
            <v>139-54</v>
          </cell>
          <cell r="D107" t="str">
            <v>JONATAS BALBINO DOS  SANTOS</v>
          </cell>
          <cell r="E107" t="str">
            <v xml:space="preserve">VENDEDOR(a)         </v>
          </cell>
          <cell r="F107" t="str">
            <v>415.102.878-17</v>
          </cell>
          <cell r="G107">
            <v>44358</v>
          </cell>
          <cell r="H107" t="str">
            <v>Ativo</v>
          </cell>
          <cell r="J107">
            <v>20</v>
          </cell>
          <cell r="K107">
            <v>0</v>
          </cell>
          <cell r="L107">
            <v>20</v>
          </cell>
          <cell r="N107">
            <v>0</v>
          </cell>
          <cell r="O107">
            <v>1660</v>
          </cell>
          <cell r="T107">
            <v>266</v>
          </cell>
        </row>
        <row r="108">
          <cell r="C108" t="str">
            <v>139-41</v>
          </cell>
          <cell r="D108" t="str">
            <v>JULIANA CRISTINA CUNHA</v>
          </cell>
          <cell r="E108" t="str">
            <v xml:space="preserve">VENDEDOR(a)         </v>
          </cell>
          <cell r="F108" t="str">
            <v>307.648.608-01</v>
          </cell>
          <cell r="G108">
            <v>44085</v>
          </cell>
          <cell r="H108" t="str">
            <v>Ativo</v>
          </cell>
          <cell r="J108">
            <v>30</v>
          </cell>
          <cell r="K108">
            <v>0</v>
          </cell>
          <cell r="L108">
            <v>30</v>
          </cell>
          <cell r="N108">
            <v>0</v>
          </cell>
          <cell r="O108">
            <v>1660</v>
          </cell>
          <cell r="R108">
            <v>37.200000000000003</v>
          </cell>
          <cell r="S108" t="str">
            <v>FRETADO</v>
          </cell>
        </row>
        <row r="109">
          <cell r="C109" t="str">
            <v>139-50</v>
          </cell>
          <cell r="D109" t="str">
            <v>LUANA FERREIRA DA SILVA SOARES</v>
          </cell>
          <cell r="E109" t="str">
            <v xml:space="preserve">VENDEDOR(a)         </v>
          </cell>
          <cell r="F109" t="str">
            <v>053.220.423-93</v>
          </cell>
          <cell r="G109">
            <v>44256</v>
          </cell>
          <cell r="H109" t="str">
            <v>Sob Custódia do Inss</v>
          </cell>
          <cell r="J109">
            <v>30</v>
          </cell>
          <cell r="K109">
            <v>0</v>
          </cell>
          <cell r="L109">
            <v>30</v>
          </cell>
          <cell r="N109">
            <v>0</v>
          </cell>
          <cell r="O109">
            <v>1660</v>
          </cell>
          <cell r="S109" t="str">
            <v>FRETADO</v>
          </cell>
        </row>
        <row r="110">
          <cell r="C110" t="str">
            <v>139-52</v>
          </cell>
          <cell r="D110" t="str">
            <v>MARCELO PEREIRA DE OLIVEIRA</v>
          </cell>
          <cell r="E110" t="str">
            <v xml:space="preserve">GERENTE DE LOJA     </v>
          </cell>
          <cell r="F110" t="str">
            <v>153.754.388-10</v>
          </cell>
          <cell r="G110">
            <v>44257</v>
          </cell>
          <cell r="H110" t="str">
            <v>Ativo</v>
          </cell>
          <cell r="J110">
            <v>30</v>
          </cell>
          <cell r="K110">
            <v>0</v>
          </cell>
          <cell r="L110">
            <v>30</v>
          </cell>
          <cell r="N110">
            <v>0</v>
          </cell>
          <cell r="O110">
            <v>5000</v>
          </cell>
          <cell r="R110">
            <v>37.200000000000003</v>
          </cell>
          <cell r="S110">
            <v>0</v>
          </cell>
        </row>
        <row r="111">
          <cell r="C111" t="str">
            <v>139-51</v>
          </cell>
          <cell r="D111" t="str">
            <v>MIRIA ALVES</v>
          </cell>
          <cell r="E111" t="str">
            <v xml:space="preserve">VENDEDOR(a)         </v>
          </cell>
          <cell r="F111" t="str">
            <v>446.951.558-26</v>
          </cell>
          <cell r="G111">
            <v>44256</v>
          </cell>
          <cell r="H111" t="str">
            <v>Ativo</v>
          </cell>
          <cell r="J111">
            <v>30</v>
          </cell>
          <cell r="K111">
            <v>0</v>
          </cell>
          <cell r="L111">
            <v>30</v>
          </cell>
          <cell r="N111">
            <v>0</v>
          </cell>
          <cell r="O111">
            <v>1660</v>
          </cell>
          <cell r="R111">
            <v>37.200000000000003</v>
          </cell>
          <cell r="S111">
            <v>0</v>
          </cell>
        </row>
        <row r="112">
          <cell r="C112" t="str">
            <v>139-28</v>
          </cell>
          <cell r="D112" t="str">
            <v>OSVALDO CARLOS CESAR</v>
          </cell>
          <cell r="E112" t="str">
            <v xml:space="preserve">VENDEDOR(a)         </v>
          </cell>
          <cell r="F112" t="str">
            <v>396.069.228-55</v>
          </cell>
          <cell r="G112">
            <v>43623</v>
          </cell>
          <cell r="H112" t="str">
            <v>Ativo</v>
          </cell>
          <cell r="J112">
            <v>30</v>
          </cell>
          <cell r="K112">
            <v>0</v>
          </cell>
          <cell r="L112">
            <v>30</v>
          </cell>
          <cell r="N112">
            <v>0</v>
          </cell>
          <cell r="O112">
            <v>1660</v>
          </cell>
          <cell r="R112">
            <v>37.200000000000003</v>
          </cell>
          <cell r="S112">
            <v>0</v>
          </cell>
        </row>
        <row r="113">
          <cell r="C113" t="str">
            <v>139-49</v>
          </cell>
          <cell r="D113" t="str">
            <v>RAVEL KAIQUE TIANO DA SILVA</v>
          </cell>
          <cell r="E113" t="str">
            <v xml:space="preserve">ASSISTENTE DE LOJA  </v>
          </cell>
          <cell r="F113" t="str">
            <v>465.919.398-57</v>
          </cell>
          <cell r="G113">
            <v>44169</v>
          </cell>
          <cell r="H113" t="str">
            <v>Ativo</v>
          </cell>
          <cell r="J113">
            <v>30</v>
          </cell>
          <cell r="K113">
            <v>0</v>
          </cell>
          <cell r="L113">
            <v>30</v>
          </cell>
          <cell r="N113">
            <v>1415</v>
          </cell>
          <cell r="O113">
            <v>0</v>
          </cell>
          <cell r="P113">
            <v>71</v>
          </cell>
          <cell r="R113">
            <v>37.200000000000003</v>
          </cell>
          <cell r="S113">
            <v>0</v>
          </cell>
        </row>
        <row r="114">
          <cell r="C114" t="str">
            <v>139-47</v>
          </cell>
          <cell r="D114" t="str">
            <v>RENATO CORREA DA FONSECA</v>
          </cell>
          <cell r="E114" t="str">
            <v xml:space="preserve">VENDEDOR(a)         </v>
          </cell>
          <cell r="F114" t="str">
            <v>303.281.088-47</v>
          </cell>
          <cell r="G114">
            <v>44169</v>
          </cell>
          <cell r="H114" t="str">
            <v>Ativo</v>
          </cell>
          <cell r="J114">
            <v>30</v>
          </cell>
          <cell r="K114">
            <v>0</v>
          </cell>
          <cell r="L114">
            <v>30</v>
          </cell>
          <cell r="N114">
            <v>0</v>
          </cell>
          <cell r="O114">
            <v>1660</v>
          </cell>
          <cell r="R114">
            <v>37.200000000000003</v>
          </cell>
          <cell r="S114">
            <v>220</v>
          </cell>
        </row>
        <row r="115">
          <cell r="C115" t="str">
            <v>139-53</v>
          </cell>
          <cell r="D115" t="str">
            <v>TIAGO INACIO DOMINGUES</v>
          </cell>
          <cell r="E115" t="str">
            <v xml:space="preserve">ASSISTENTE DE LOJA  </v>
          </cell>
          <cell r="F115" t="str">
            <v>373.647.468-70</v>
          </cell>
          <cell r="G115">
            <v>44356</v>
          </cell>
          <cell r="H115" t="str">
            <v>Ativo</v>
          </cell>
          <cell r="J115">
            <v>22</v>
          </cell>
          <cell r="K115">
            <v>0</v>
          </cell>
          <cell r="L115">
            <v>22</v>
          </cell>
          <cell r="N115">
            <v>1415</v>
          </cell>
          <cell r="O115">
            <v>0</v>
          </cell>
          <cell r="P115">
            <v>71</v>
          </cell>
          <cell r="S115">
            <v>0</v>
          </cell>
        </row>
        <row r="116">
          <cell r="C116" t="str">
            <v>144-81</v>
          </cell>
          <cell r="D116" t="str">
            <v>CARLA DAIANE DA SILVA</v>
          </cell>
          <cell r="E116" t="str">
            <v xml:space="preserve">VENDEDOR(a)         </v>
          </cell>
          <cell r="F116" t="str">
            <v>061.950.663-62</v>
          </cell>
          <cell r="G116">
            <v>43864</v>
          </cell>
          <cell r="H116" t="str">
            <v>Ativo</v>
          </cell>
          <cell r="J116">
            <v>30</v>
          </cell>
          <cell r="K116">
            <v>0</v>
          </cell>
          <cell r="L116">
            <v>30</v>
          </cell>
          <cell r="N116">
            <v>0</v>
          </cell>
          <cell r="O116">
            <v>1693</v>
          </cell>
          <cell r="R116">
            <v>23.5</v>
          </cell>
          <cell r="S116">
            <v>0</v>
          </cell>
        </row>
        <row r="117">
          <cell r="C117" t="str">
            <v>144-71</v>
          </cell>
          <cell r="D117" t="str">
            <v>CASSIA HELENA DE SOUZA CORREIA DA SILVA</v>
          </cell>
          <cell r="E117" t="str">
            <v xml:space="preserve">VENDEDOR(a)         </v>
          </cell>
          <cell r="F117" t="str">
            <v>351.952.818-58</v>
          </cell>
          <cell r="G117">
            <v>43509</v>
          </cell>
          <cell r="H117" t="str">
            <v>Ativo</v>
          </cell>
          <cell r="J117">
            <v>30</v>
          </cell>
          <cell r="K117">
            <v>0</v>
          </cell>
          <cell r="L117">
            <v>30</v>
          </cell>
          <cell r="N117">
            <v>0</v>
          </cell>
          <cell r="O117">
            <v>1693</v>
          </cell>
          <cell r="R117">
            <v>23.5</v>
          </cell>
          <cell r="S117">
            <v>0</v>
          </cell>
        </row>
        <row r="118">
          <cell r="C118" t="str">
            <v>144-85</v>
          </cell>
          <cell r="D118" t="str">
            <v>ELIZABETH SOUZA GOMES MELO SILVA BERALDO</v>
          </cell>
          <cell r="E118" t="str">
            <v xml:space="preserve">ASSISTENTE DE LOJA  </v>
          </cell>
          <cell r="F118" t="str">
            <v>351.952.868-17</v>
          </cell>
          <cell r="G118">
            <v>44155</v>
          </cell>
          <cell r="H118" t="str">
            <v>Ativo</v>
          </cell>
          <cell r="J118">
            <v>30</v>
          </cell>
          <cell r="K118">
            <v>0</v>
          </cell>
          <cell r="L118">
            <v>30</v>
          </cell>
          <cell r="N118">
            <v>1449</v>
          </cell>
          <cell r="O118">
            <v>0</v>
          </cell>
          <cell r="P118">
            <v>74.5</v>
          </cell>
          <cell r="R118">
            <v>23.5</v>
          </cell>
          <cell r="S118">
            <v>0</v>
          </cell>
        </row>
        <row r="119">
          <cell r="C119" t="str">
            <v>144-35</v>
          </cell>
          <cell r="D119" t="str">
            <v>FERNANDO ROBERTO DE SOUZA</v>
          </cell>
          <cell r="E119" t="str">
            <v xml:space="preserve">GERENTE DE LOJA     </v>
          </cell>
          <cell r="F119" t="str">
            <v>310.780.058-93</v>
          </cell>
          <cell r="G119">
            <v>42545</v>
          </cell>
          <cell r="H119" t="str">
            <v>Ativo</v>
          </cell>
          <cell r="J119">
            <v>30</v>
          </cell>
          <cell r="K119">
            <v>0</v>
          </cell>
          <cell r="L119">
            <v>30</v>
          </cell>
          <cell r="N119">
            <v>0</v>
          </cell>
          <cell r="O119">
            <v>4500</v>
          </cell>
          <cell r="R119">
            <v>23.5</v>
          </cell>
          <cell r="S119">
            <v>0</v>
          </cell>
        </row>
        <row r="120">
          <cell r="C120" t="str">
            <v>144-74</v>
          </cell>
          <cell r="D120" t="str">
            <v>JOSE HENRIQUE GONCALVES</v>
          </cell>
          <cell r="E120" t="str">
            <v xml:space="preserve">VENDEDOR(a)         </v>
          </cell>
          <cell r="F120" t="str">
            <v>133.489.586-44</v>
          </cell>
          <cell r="G120">
            <v>43559</v>
          </cell>
          <cell r="H120" t="str">
            <v>Ativo</v>
          </cell>
          <cell r="J120">
            <v>30</v>
          </cell>
          <cell r="K120">
            <v>0</v>
          </cell>
          <cell r="L120">
            <v>30</v>
          </cell>
          <cell r="N120">
            <v>0</v>
          </cell>
          <cell r="O120">
            <v>1693</v>
          </cell>
          <cell r="T120">
            <v>218.4</v>
          </cell>
        </row>
        <row r="121">
          <cell r="C121" t="str">
            <v>144-88</v>
          </cell>
          <cell r="D121" t="str">
            <v>VALQUIRIA MELO DE SOUZA</v>
          </cell>
          <cell r="E121" t="str">
            <v xml:space="preserve">VENDEDOR(a)         </v>
          </cell>
          <cell r="F121" t="str">
            <v>302.136.518-31</v>
          </cell>
          <cell r="G121">
            <v>44166</v>
          </cell>
          <cell r="H121" t="str">
            <v>Ativo</v>
          </cell>
          <cell r="J121">
            <v>30</v>
          </cell>
          <cell r="K121">
            <v>0</v>
          </cell>
          <cell r="L121">
            <v>30</v>
          </cell>
          <cell r="N121">
            <v>0</v>
          </cell>
          <cell r="O121">
            <v>1693</v>
          </cell>
          <cell r="R121">
            <v>23.5</v>
          </cell>
          <cell r="T121">
            <v>227.7</v>
          </cell>
        </row>
        <row r="122">
          <cell r="C122" t="str">
            <v>154-38</v>
          </cell>
          <cell r="D122" t="str">
            <v>GILVAN DE LIMA FERREIRA</v>
          </cell>
          <cell r="E122" t="str">
            <v xml:space="preserve">VENDEDOR(a)         </v>
          </cell>
          <cell r="F122" t="str">
            <v>047.334.784-96</v>
          </cell>
          <cell r="G122">
            <v>43679</v>
          </cell>
          <cell r="H122" t="str">
            <v>Ativo</v>
          </cell>
          <cell r="J122">
            <v>30</v>
          </cell>
          <cell r="K122">
            <v>0</v>
          </cell>
          <cell r="L122">
            <v>30</v>
          </cell>
          <cell r="N122">
            <v>0</v>
          </cell>
          <cell r="O122">
            <v>1240</v>
          </cell>
          <cell r="S122">
            <v>0</v>
          </cell>
        </row>
        <row r="123">
          <cell r="C123" t="str">
            <v>154-43</v>
          </cell>
          <cell r="D123" t="str">
            <v>MICHELINE QUIRINO DA SILVA</v>
          </cell>
          <cell r="E123" t="str">
            <v xml:space="preserve">ASSISTENTE DE LOJA  </v>
          </cell>
          <cell r="F123" t="str">
            <v>047.832.294-14</v>
          </cell>
          <cell r="G123">
            <v>44097</v>
          </cell>
          <cell r="H123" t="str">
            <v>Ativo</v>
          </cell>
          <cell r="J123">
            <v>30</v>
          </cell>
          <cell r="K123">
            <v>0</v>
          </cell>
          <cell r="L123">
            <v>30</v>
          </cell>
          <cell r="N123">
            <v>1240</v>
          </cell>
          <cell r="O123">
            <v>0</v>
          </cell>
          <cell r="P123">
            <v>124</v>
          </cell>
          <cell r="S123">
            <v>422.5</v>
          </cell>
        </row>
        <row r="124">
          <cell r="C124" t="str">
            <v>154-45</v>
          </cell>
          <cell r="D124" t="str">
            <v>RAFAEL BRUNO DA SILVA PEREIRA</v>
          </cell>
          <cell r="E124" t="str">
            <v xml:space="preserve">VENDEDOR(a)         </v>
          </cell>
          <cell r="F124" t="str">
            <v>052.187.014-32</v>
          </cell>
          <cell r="G124">
            <v>44152</v>
          </cell>
          <cell r="H124" t="str">
            <v>Ativo</v>
          </cell>
          <cell r="J124">
            <v>30</v>
          </cell>
          <cell r="K124">
            <v>0</v>
          </cell>
          <cell r="L124">
            <v>30</v>
          </cell>
          <cell r="N124">
            <v>0</v>
          </cell>
          <cell r="O124">
            <v>1240</v>
          </cell>
          <cell r="S124">
            <v>187.5</v>
          </cell>
        </row>
        <row r="125">
          <cell r="C125" t="str">
            <v>154-28</v>
          </cell>
          <cell r="D125" t="str">
            <v>THAIS CARLA DA SILVA</v>
          </cell>
          <cell r="E125" t="str">
            <v xml:space="preserve">VENDEDOR(a)         </v>
          </cell>
          <cell r="F125" t="str">
            <v>089.337.614-03</v>
          </cell>
          <cell r="G125">
            <v>42789</v>
          </cell>
          <cell r="H125" t="str">
            <v>Ativo</v>
          </cell>
          <cell r="J125">
            <v>30</v>
          </cell>
          <cell r="K125">
            <v>0</v>
          </cell>
          <cell r="L125">
            <v>30</v>
          </cell>
          <cell r="N125">
            <v>0</v>
          </cell>
          <cell r="O125">
            <v>1240</v>
          </cell>
          <cell r="S125">
            <v>375</v>
          </cell>
        </row>
        <row r="126">
          <cell r="C126" t="str">
            <v>154-42</v>
          </cell>
          <cell r="D126" t="str">
            <v>VALDEK GONCALVES JUNIOR</v>
          </cell>
          <cell r="E126" t="str">
            <v xml:space="preserve">VENDEDOR(a)         </v>
          </cell>
          <cell r="F126" t="str">
            <v>012.818.324-13</v>
          </cell>
          <cell r="G126">
            <v>43787</v>
          </cell>
          <cell r="H126" t="str">
            <v>Ativo</v>
          </cell>
          <cell r="J126">
            <v>30</v>
          </cell>
          <cell r="K126">
            <v>0</v>
          </cell>
          <cell r="L126">
            <v>30</v>
          </cell>
          <cell r="N126">
            <v>0</v>
          </cell>
          <cell r="O126">
            <v>1240</v>
          </cell>
          <cell r="S126">
            <v>0</v>
          </cell>
        </row>
        <row r="127">
          <cell r="C127" t="str">
            <v>156-76</v>
          </cell>
          <cell r="D127" t="str">
            <v>DAIANE ELIAS FONTE</v>
          </cell>
          <cell r="E127" t="str">
            <v xml:space="preserve">VENDEDOR(a)         </v>
          </cell>
          <cell r="F127" t="str">
            <v>366.633.188-29</v>
          </cell>
          <cell r="G127">
            <v>43901</v>
          </cell>
          <cell r="H127" t="str">
            <v>Ativo</v>
          </cell>
          <cell r="J127">
            <v>30</v>
          </cell>
          <cell r="K127">
            <v>0</v>
          </cell>
          <cell r="L127">
            <v>30</v>
          </cell>
          <cell r="N127">
            <v>0</v>
          </cell>
          <cell r="O127">
            <v>1807.35</v>
          </cell>
          <cell r="R127">
            <v>40</v>
          </cell>
          <cell r="S127">
            <v>443.52</v>
          </cell>
        </row>
        <row r="128">
          <cell r="C128" t="str">
            <v>156-72</v>
          </cell>
          <cell r="D128" t="str">
            <v>DANILO TEIXEIRA</v>
          </cell>
          <cell r="E128" t="str">
            <v xml:space="preserve">VENDEDOR(a)         </v>
          </cell>
          <cell r="F128" t="str">
            <v>393.300.068-84</v>
          </cell>
          <cell r="G128">
            <v>43852</v>
          </cell>
          <cell r="H128" t="str">
            <v>Ativo</v>
          </cell>
          <cell r="J128">
            <v>30</v>
          </cell>
          <cell r="K128">
            <v>0</v>
          </cell>
          <cell r="L128">
            <v>30</v>
          </cell>
          <cell r="N128">
            <v>0</v>
          </cell>
          <cell r="O128">
            <v>1807.35</v>
          </cell>
          <cell r="R128">
            <v>40</v>
          </cell>
          <cell r="S128">
            <v>443.52</v>
          </cell>
        </row>
        <row r="129">
          <cell r="C129" t="str">
            <v>156-78</v>
          </cell>
          <cell r="D129" t="str">
            <v>GUSTAVO DA SILVA DIAS</v>
          </cell>
          <cell r="E129" t="str">
            <v xml:space="preserve">VENDEDOR(a)         </v>
          </cell>
          <cell r="F129" t="str">
            <v>462.565.098-46</v>
          </cell>
          <cell r="G129">
            <v>43902</v>
          </cell>
          <cell r="H129" t="str">
            <v>Ativo</v>
          </cell>
          <cell r="J129">
            <v>30</v>
          </cell>
          <cell r="K129">
            <v>0</v>
          </cell>
          <cell r="L129">
            <v>30</v>
          </cell>
          <cell r="N129">
            <v>0</v>
          </cell>
          <cell r="O129">
            <v>1807.35</v>
          </cell>
          <cell r="R129">
            <v>40</v>
          </cell>
          <cell r="S129">
            <v>0</v>
          </cell>
        </row>
        <row r="130">
          <cell r="C130" t="str">
            <v>156-67</v>
          </cell>
          <cell r="D130" t="str">
            <v>JAQUELINE GOMES FERNANDES</v>
          </cell>
          <cell r="E130" t="str">
            <v xml:space="preserve">VENDEDOR(a)         </v>
          </cell>
          <cell r="F130" t="str">
            <v>465.800.178-05</v>
          </cell>
          <cell r="G130">
            <v>43759</v>
          </cell>
          <cell r="H130" t="str">
            <v>Ativo</v>
          </cell>
          <cell r="J130">
            <v>30</v>
          </cell>
          <cell r="K130">
            <v>0</v>
          </cell>
          <cell r="L130">
            <v>30</v>
          </cell>
          <cell r="N130">
            <v>0</v>
          </cell>
          <cell r="O130">
            <v>1807.35</v>
          </cell>
          <cell r="R130">
            <v>40</v>
          </cell>
          <cell r="S130">
            <v>0</v>
          </cell>
        </row>
        <row r="131">
          <cell r="C131" t="str">
            <v>156-81</v>
          </cell>
          <cell r="D131" t="str">
            <v>LUCAS COSTA NERIS</v>
          </cell>
          <cell r="E131" t="str">
            <v xml:space="preserve">VENDEDOR(a)         </v>
          </cell>
          <cell r="F131" t="str">
            <v>406.321.078-20</v>
          </cell>
          <cell r="G131">
            <v>44152</v>
          </cell>
          <cell r="H131" t="str">
            <v>Ativo</v>
          </cell>
          <cell r="J131">
            <v>30</v>
          </cell>
          <cell r="K131">
            <v>0</v>
          </cell>
          <cell r="L131">
            <v>30</v>
          </cell>
          <cell r="O131">
            <v>1807.35</v>
          </cell>
          <cell r="R131">
            <v>40</v>
          </cell>
          <cell r="S131">
            <v>443.52</v>
          </cell>
        </row>
        <row r="132">
          <cell r="C132" t="str">
            <v>156-79</v>
          </cell>
          <cell r="D132" t="str">
            <v>LUCAS DIAS NASCIMENTO</v>
          </cell>
          <cell r="E132" t="str">
            <v xml:space="preserve">VENDEDOR(a)         </v>
          </cell>
          <cell r="F132" t="str">
            <v>462.462.528-50</v>
          </cell>
          <cell r="G132">
            <v>44145</v>
          </cell>
          <cell r="H132" t="str">
            <v>Ativo</v>
          </cell>
          <cell r="J132">
            <v>30</v>
          </cell>
          <cell r="K132">
            <v>0</v>
          </cell>
          <cell r="L132">
            <v>30</v>
          </cell>
          <cell r="N132">
            <v>0</v>
          </cell>
          <cell r="O132">
            <v>1807.35</v>
          </cell>
          <cell r="R132">
            <v>40</v>
          </cell>
          <cell r="S132">
            <v>443.52</v>
          </cell>
        </row>
        <row r="133">
          <cell r="C133" t="str">
            <v>156-75</v>
          </cell>
          <cell r="D133" t="str">
            <v>RAFAEL DOS SANTOS GENARE DENIS</v>
          </cell>
          <cell r="E133" t="str">
            <v xml:space="preserve">GERENTE DE LOJA     </v>
          </cell>
          <cell r="F133" t="str">
            <v>357.754.148-29</v>
          </cell>
          <cell r="G133">
            <v>43889</v>
          </cell>
          <cell r="H133" t="str">
            <v>Ativo</v>
          </cell>
          <cell r="J133">
            <v>30</v>
          </cell>
          <cell r="K133">
            <v>0</v>
          </cell>
          <cell r="L133">
            <v>30</v>
          </cell>
          <cell r="N133">
            <v>0</v>
          </cell>
          <cell r="O133">
            <v>4817.59</v>
          </cell>
          <cell r="R133">
            <v>40</v>
          </cell>
          <cell r="S133">
            <v>0</v>
          </cell>
        </row>
        <row r="134">
          <cell r="C134" t="str">
            <v>156-84</v>
          </cell>
          <cell r="D134" t="str">
            <v>TAIS PEREIRA DE PAULA</v>
          </cell>
          <cell r="E134" t="str">
            <v xml:space="preserve">ASSISTENTE DE LOJA  </v>
          </cell>
          <cell r="F134" t="str">
            <v>401.549.458-03</v>
          </cell>
          <cell r="G134">
            <v>44354</v>
          </cell>
          <cell r="H134" t="str">
            <v>Ativo</v>
          </cell>
          <cell r="J134">
            <v>24</v>
          </cell>
          <cell r="K134">
            <v>0</v>
          </cell>
          <cell r="L134">
            <v>24</v>
          </cell>
          <cell r="N134">
            <v>1461.24</v>
          </cell>
          <cell r="O134">
            <v>0</v>
          </cell>
          <cell r="P134">
            <v>68.400000000000006</v>
          </cell>
          <cell r="R134">
            <v>34</v>
          </cell>
          <cell r="T134">
            <v>491.28</v>
          </cell>
        </row>
        <row r="135">
          <cell r="C135" t="str">
            <v>157-14</v>
          </cell>
          <cell r="D135" t="str">
            <v>JOELMA APARECIDA ZANCHINSKI DE MATTOS</v>
          </cell>
          <cell r="E135" t="str">
            <v xml:space="preserve">VENDEDOR(a)         </v>
          </cell>
          <cell r="F135" t="str">
            <v>072.489.409-84</v>
          </cell>
          <cell r="G135">
            <v>42684</v>
          </cell>
          <cell r="H135" t="str">
            <v>Ativo</v>
          </cell>
          <cell r="J135">
            <v>30</v>
          </cell>
          <cell r="K135">
            <v>0</v>
          </cell>
          <cell r="L135">
            <v>30</v>
          </cell>
          <cell r="N135">
            <v>0</v>
          </cell>
          <cell r="O135">
            <v>1478</v>
          </cell>
          <cell r="T135">
            <v>216</v>
          </cell>
        </row>
        <row r="136">
          <cell r="C136" t="str">
            <v>157-33</v>
          </cell>
          <cell r="D136" t="str">
            <v>PEDRO MAGNO DOS SANTOS PEREIRA</v>
          </cell>
          <cell r="E136" t="str">
            <v xml:space="preserve">GERENTE DE LOJA     </v>
          </cell>
          <cell r="F136" t="str">
            <v>023.850.479-42</v>
          </cell>
          <cell r="G136">
            <v>43693</v>
          </cell>
          <cell r="H136" t="str">
            <v>Ativo</v>
          </cell>
          <cell r="J136">
            <v>6</v>
          </cell>
          <cell r="K136" t="str">
            <v>24</v>
          </cell>
          <cell r="L136">
            <v>6</v>
          </cell>
          <cell r="N136">
            <v>0</v>
          </cell>
          <cell r="O136">
            <v>4500</v>
          </cell>
          <cell r="S136">
            <v>0</v>
          </cell>
        </row>
        <row r="137">
          <cell r="C137" t="str">
            <v>157-34</v>
          </cell>
          <cell r="D137" t="str">
            <v>ALEX ADRES BARBARA</v>
          </cell>
          <cell r="E137" t="str">
            <v xml:space="preserve">ASSISTENTE DE LOJA  </v>
          </cell>
          <cell r="F137" t="str">
            <v>095.268.949-95</v>
          </cell>
          <cell r="G137">
            <v>43728</v>
          </cell>
          <cell r="H137" t="str">
            <v>Ativo</v>
          </cell>
          <cell r="J137">
            <v>30</v>
          </cell>
          <cell r="K137">
            <v>0</v>
          </cell>
          <cell r="L137">
            <v>30</v>
          </cell>
          <cell r="N137">
            <v>1408</v>
          </cell>
          <cell r="O137">
            <v>0</v>
          </cell>
          <cell r="P137">
            <v>140.80000000000001</v>
          </cell>
          <cell r="T137">
            <v>225</v>
          </cell>
        </row>
        <row r="138">
          <cell r="C138" t="str">
            <v>157-43</v>
          </cell>
          <cell r="D138" t="str">
            <v>JULIO CESAR RODRIGUES ROSA</v>
          </cell>
          <cell r="E138" t="str">
            <v xml:space="preserve">VENDEDOR(a)         </v>
          </cell>
          <cell r="F138" t="str">
            <v>109.044.107-06</v>
          </cell>
          <cell r="G138">
            <v>44086</v>
          </cell>
          <cell r="H138" t="str">
            <v>Ativo</v>
          </cell>
          <cell r="J138">
            <v>30</v>
          </cell>
          <cell r="K138">
            <v>0</v>
          </cell>
          <cell r="L138">
            <v>30</v>
          </cell>
          <cell r="N138">
            <v>0</v>
          </cell>
          <cell r="O138">
            <v>1478</v>
          </cell>
          <cell r="T138">
            <v>216</v>
          </cell>
        </row>
        <row r="139">
          <cell r="C139" t="str">
            <v>157-44</v>
          </cell>
          <cell r="D139" t="str">
            <v>GABRIELE VILICZINSKI ZADOROSNY</v>
          </cell>
          <cell r="E139" t="str">
            <v xml:space="preserve">ASSISTENTE DE LOJA  </v>
          </cell>
          <cell r="F139" t="str">
            <v>097.198.899-42</v>
          </cell>
          <cell r="G139">
            <v>44152</v>
          </cell>
          <cell r="H139" t="str">
            <v>Ativo</v>
          </cell>
          <cell r="J139">
            <v>30</v>
          </cell>
          <cell r="K139">
            <v>0</v>
          </cell>
          <cell r="L139">
            <v>30</v>
          </cell>
          <cell r="N139">
            <v>1408</v>
          </cell>
          <cell r="O139">
            <v>0</v>
          </cell>
          <cell r="P139">
            <v>140.80000000000001</v>
          </cell>
          <cell r="T139">
            <v>207</v>
          </cell>
        </row>
        <row r="140">
          <cell r="C140" t="str">
            <v>157-45</v>
          </cell>
          <cell r="D140" t="str">
            <v>LUIZA PACHEGO GROLLI</v>
          </cell>
          <cell r="E140" t="str">
            <v xml:space="preserve">VENDEDOR(a)         </v>
          </cell>
          <cell r="F140" t="str">
            <v>074.611.149-56</v>
          </cell>
          <cell r="G140">
            <v>44155</v>
          </cell>
          <cell r="H140" t="str">
            <v>Ativo</v>
          </cell>
          <cell r="J140">
            <v>30</v>
          </cell>
          <cell r="K140">
            <v>0</v>
          </cell>
          <cell r="L140">
            <v>30</v>
          </cell>
          <cell r="N140">
            <v>0</v>
          </cell>
          <cell r="O140">
            <v>1478</v>
          </cell>
          <cell r="T140">
            <v>207</v>
          </cell>
        </row>
        <row r="141">
          <cell r="C141" t="str">
            <v>157-46</v>
          </cell>
          <cell r="D141" t="str">
            <v>ALEXANDRO LIMA PASSOS</v>
          </cell>
          <cell r="E141" t="str">
            <v xml:space="preserve">VENDEDOR(a)         </v>
          </cell>
          <cell r="F141" t="str">
            <v>073.153.439-54</v>
          </cell>
          <cell r="G141">
            <v>44179</v>
          </cell>
          <cell r="H141" t="str">
            <v>Ativo</v>
          </cell>
          <cell r="J141">
            <v>30</v>
          </cell>
          <cell r="K141">
            <v>0</v>
          </cell>
          <cell r="L141">
            <v>30</v>
          </cell>
          <cell r="N141">
            <v>0</v>
          </cell>
          <cell r="O141">
            <v>1478</v>
          </cell>
          <cell r="T141">
            <v>207</v>
          </cell>
        </row>
        <row r="142">
          <cell r="C142" t="str">
            <v>161-51</v>
          </cell>
          <cell r="D142" t="str">
            <v>CALEBE WODARSKI</v>
          </cell>
          <cell r="E142" t="str">
            <v xml:space="preserve">VENDEDOR(a)         </v>
          </cell>
          <cell r="F142" t="str">
            <v>036.159.210-89</v>
          </cell>
          <cell r="G142">
            <v>44342</v>
          </cell>
          <cell r="H142" t="str">
            <v>Ativo</v>
          </cell>
          <cell r="J142">
            <v>30</v>
          </cell>
          <cell r="K142">
            <v>0</v>
          </cell>
          <cell r="L142">
            <v>30</v>
          </cell>
          <cell r="N142">
            <v>0</v>
          </cell>
          <cell r="O142">
            <v>1420.37</v>
          </cell>
          <cell r="Q142">
            <v>42.77</v>
          </cell>
          <cell r="R142">
            <v>30.09</v>
          </cell>
          <cell r="T142">
            <v>506</v>
          </cell>
        </row>
        <row r="143">
          <cell r="C143" t="str">
            <v>161-49</v>
          </cell>
          <cell r="D143" t="str">
            <v>CAUE LUCAS GIL</v>
          </cell>
          <cell r="E143" t="str">
            <v xml:space="preserve">VENDEDOR(a)         </v>
          </cell>
          <cell r="F143" t="str">
            <v>017.010.930-57</v>
          </cell>
          <cell r="G143">
            <v>44287</v>
          </cell>
          <cell r="H143" t="str">
            <v>Ativo</v>
          </cell>
          <cell r="J143">
            <v>30</v>
          </cell>
          <cell r="K143">
            <v>0</v>
          </cell>
          <cell r="L143">
            <v>30</v>
          </cell>
          <cell r="N143">
            <v>0</v>
          </cell>
          <cell r="O143">
            <v>1420.37</v>
          </cell>
          <cell r="Q143">
            <v>42.77</v>
          </cell>
          <cell r="R143">
            <v>30.09</v>
          </cell>
          <cell r="T143">
            <v>402.5</v>
          </cell>
        </row>
        <row r="144">
          <cell r="C144" t="str">
            <v>161-45</v>
          </cell>
          <cell r="D144" t="str">
            <v>DANIELA DA SILVA CASTILHOS</v>
          </cell>
          <cell r="E144" t="str">
            <v xml:space="preserve">ASSISTENTE DE LOJA  </v>
          </cell>
          <cell r="F144" t="str">
            <v>868.605.930-91</v>
          </cell>
          <cell r="G144">
            <v>44154</v>
          </cell>
          <cell r="H144" t="str">
            <v>Ativo</v>
          </cell>
          <cell r="J144">
            <v>30</v>
          </cell>
          <cell r="K144">
            <v>0</v>
          </cell>
          <cell r="L144">
            <v>30</v>
          </cell>
          <cell r="N144">
            <v>1285</v>
          </cell>
          <cell r="O144">
            <v>0</v>
          </cell>
          <cell r="P144">
            <v>128.5</v>
          </cell>
          <cell r="T144">
            <v>227.5</v>
          </cell>
        </row>
        <row r="145">
          <cell r="C145" t="str">
            <v>161-32</v>
          </cell>
          <cell r="D145" t="str">
            <v>DEBORA RODRIGUES SILVA</v>
          </cell>
          <cell r="E145" t="str">
            <v xml:space="preserve">GERENTE DE LOJA     </v>
          </cell>
          <cell r="F145" t="str">
            <v>861.880.700-15</v>
          </cell>
          <cell r="G145">
            <v>43491</v>
          </cell>
          <cell r="H145" t="str">
            <v>Ativo</v>
          </cell>
          <cell r="J145">
            <v>30</v>
          </cell>
          <cell r="K145">
            <v>0</v>
          </cell>
          <cell r="L145">
            <v>30</v>
          </cell>
          <cell r="N145">
            <v>0</v>
          </cell>
          <cell r="O145">
            <v>4000</v>
          </cell>
          <cell r="Q145">
            <v>42.77</v>
          </cell>
          <cell r="R145">
            <v>30.09</v>
          </cell>
          <cell r="T145">
            <v>418.6</v>
          </cell>
        </row>
        <row r="146">
          <cell r="C146" t="str">
            <v>161-52</v>
          </cell>
          <cell r="D146" t="str">
            <v>DOUGLAS ILHA MARTINS</v>
          </cell>
          <cell r="E146" t="str">
            <v xml:space="preserve">VENDEDOR(a)         </v>
          </cell>
          <cell r="F146" t="str">
            <v>029.126.590-19</v>
          </cell>
          <cell r="G146">
            <v>44355</v>
          </cell>
          <cell r="H146" t="str">
            <v>Ativo</v>
          </cell>
          <cell r="J146">
            <v>23</v>
          </cell>
          <cell r="K146">
            <v>0</v>
          </cell>
          <cell r="L146">
            <v>23</v>
          </cell>
          <cell r="N146">
            <v>0</v>
          </cell>
          <cell r="O146">
            <v>1420.37</v>
          </cell>
          <cell r="R146">
            <v>27.78</v>
          </cell>
          <cell r="T146">
            <v>223.19</v>
          </cell>
        </row>
        <row r="147">
          <cell r="C147" t="str">
            <v>161-34</v>
          </cell>
          <cell r="D147" t="str">
            <v>MARLLON ARAUJO DA SILVA</v>
          </cell>
          <cell r="E147" t="str">
            <v xml:space="preserve">VENDEDOR(a)         </v>
          </cell>
          <cell r="F147" t="str">
            <v>850.836.150-53</v>
          </cell>
          <cell r="G147">
            <v>43521</v>
          </cell>
          <cell r="H147" t="str">
            <v>Sob Custódia do Inss</v>
          </cell>
          <cell r="J147">
            <v>30</v>
          </cell>
          <cell r="K147">
            <v>0</v>
          </cell>
          <cell r="L147">
            <v>30</v>
          </cell>
          <cell r="N147">
            <v>0</v>
          </cell>
          <cell r="O147">
            <v>1420.37</v>
          </cell>
          <cell r="S147">
            <v>0</v>
          </cell>
        </row>
        <row r="148">
          <cell r="C148" t="str">
            <v>166-34</v>
          </cell>
          <cell r="D148" t="str">
            <v>BRAULIO RIBEIRO MARQUEZ</v>
          </cell>
          <cell r="E148" t="str">
            <v xml:space="preserve">VENDEDOR(a)         </v>
          </cell>
          <cell r="F148" t="str">
            <v>127.679.907-16</v>
          </cell>
          <cell r="G148">
            <v>43794</v>
          </cell>
          <cell r="H148" t="str">
            <v>Ativo</v>
          </cell>
          <cell r="J148">
            <v>30</v>
          </cell>
          <cell r="K148">
            <v>0</v>
          </cell>
          <cell r="L148">
            <v>30</v>
          </cell>
          <cell r="N148">
            <v>0</v>
          </cell>
          <cell r="O148">
            <v>1300</v>
          </cell>
          <cell r="Q148">
            <v>91</v>
          </cell>
          <cell r="S148">
            <v>193.2</v>
          </cell>
        </row>
        <row r="149">
          <cell r="C149" t="str">
            <v>166-1</v>
          </cell>
          <cell r="D149" t="str">
            <v>BRUNO HENRIQUE FIGUEIRA NOTARANGELI</v>
          </cell>
          <cell r="E149" t="str">
            <v xml:space="preserve">GERENTE DE LOJA     </v>
          </cell>
          <cell r="F149" t="str">
            <v>050.767.341-74</v>
          </cell>
          <cell r="G149">
            <v>43069</v>
          </cell>
          <cell r="H149" t="str">
            <v>Ativo</v>
          </cell>
          <cell r="J149">
            <v>30</v>
          </cell>
          <cell r="K149">
            <v>0</v>
          </cell>
          <cell r="L149">
            <v>30</v>
          </cell>
          <cell r="N149">
            <v>0</v>
          </cell>
          <cell r="O149">
            <v>4000</v>
          </cell>
          <cell r="Q149">
            <v>280</v>
          </cell>
          <cell r="S149">
            <v>0</v>
          </cell>
        </row>
        <row r="150">
          <cell r="C150" t="str">
            <v>166-22</v>
          </cell>
          <cell r="D150" t="str">
            <v>CEILA DE OLIVEIRA RODRIGUES</v>
          </cell>
          <cell r="E150" t="str">
            <v xml:space="preserve">VENDEDOR(a)         </v>
          </cell>
          <cell r="F150" t="str">
            <v>984.766.101-49</v>
          </cell>
          <cell r="G150">
            <v>43426</v>
          </cell>
          <cell r="H150" t="str">
            <v>Ativo</v>
          </cell>
          <cell r="J150">
            <v>30</v>
          </cell>
          <cell r="K150">
            <v>0</v>
          </cell>
          <cell r="L150">
            <v>30</v>
          </cell>
          <cell r="N150">
            <v>0</v>
          </cell>
          <cell r="O150">
            <v>1300</v>
          </cell>
          <cell r="S150">
            <v>0</v>
          </cell>
        </row>
        <row r="151">
          <cell r="C151" t="str">
            <v>166-39</v>
          </cell>
          <cell r="D151" t="str">
            <v>JHONNY LUCAS COCIAN CARVALHO</v>
          </cell>
          <cell r="E151" t="str">
            <v xml:space="preserve">VENDEDOR(a)         </v>
          </cell>
          <cell r="F151" t="str">
            <v>064.991.751-02</v>
          </cell>
          <cell r="G151">
            <v>44153</v>
          </cell>
          <cell r="H151" t="str">
            <v>Ativo</v>
          </cell>
          <cell r="J151">
            <v>30</v>
          </cell>
          <cell r="K151">
            <v>0</v>
          </cell>
          <cell r="L151">
            <v>30</v>
          </cell>
          <cell r="N151">
            <v>0</v>
          </cell>
          <cell r="O151">
            <v>1300</v>
          </cell>
          <cell r="S151">
            <v>0</v>
          </cell>
        </row>
        <row r="152">
          <cell r="C152" t="str">
            <v>166-8</v>
          </cell>
          <cell r="D152" t="str">
            <v>MARIANA DE SOUZA ARAL</v>
          </cell>
          <cell r="E152" t="str">
            <v xml:space="preserve">VENDEDOR(a)         </v>
          </cell>
          <cell r="F152" t="str">
            <v>059.153.461-46</v>
          </cell>
          <cell r="G152">
            <v>43069</v>
          </cell>
          <cell r="H152" t="str">
            <v>Ativo</v>
          </cell>
          <cell r="J152">
            <v>30</v>
          </cell>
          <cell r="K152">
            <v>0</v>
          </cell>
          <cell r="L152">
            <v>30</v>
          </cell>
          <cell r="N152">
            <v>0</v>
          </cell>
          <cell r="O152">
            <v>1300</v>
          </cell>
          <cell r="Q152">
            <v>91</v>
          </cell>
          <cell r="S152">
            <v>0</v>
          </cell>
        </row>
        <row r="153">
          <cell r="C153" t="str">
            <v>169-35</v>
          </cell>
          <cell r="D153" t="str">
            <v>BERLIS CAROLAYNE DAMASCENA  BOROWSKI</v>
          </cell>
          <cell r="E153" t="str">
            <v xml:space="preserve">ASSISTENTE DE LOJA  </v>
          </cell>
          <cell r="F153" t="str">
            <v>107.202.289-30</v>
          </cell>
          <cell r="G153">
            <v>44035</v>
          </cell>
          <cell r="H153" t="str">
            <v>Ativo</v>
          </cell>
          <cell r="J153">
            <v>30</v>
          </cell>
          <cell r="K153">
            <v>0</v>
          </cell>
          <cell r="L153">
            <v>30</v>
          </cell>
          <cell r="N153">
            <v>1314</v>
          </cell>
          <cell r="O153">
            <v>0</v>
          </cell>
          <cell r="P153">
            <v>262.8</v>
          </cell>
          <cell r="Q153">
            <v>63</v>
          </cell>
          <cell r="S153" t="str">
            <v>Fretado</v>
          </cell>
        </row>
        <row r="154">
          <cell r="C154" t="str">
            <v>169-39</v>
          </cell>
          <cell r="D154" t="str">
            <v>JADI REIS</v>
          </cell>
          <cell r="E154" t="str">
            <v xml:space="preserve">ASSISTENTE DE LOJA  </v>
          </cell>
          <cell r="F154" t="str">
            <v>138.361.579-93</v>
          </cell>
          <cell r="G154">
            <v>44152</v>
          </cell>
          <cell r="H154" t="str">
            <v>Ativo</v>
          </cell>
          <cell r="J154">
            <v>30</v>
          </cell>
          <cell r="K154">
            <v>0</v>
          </cell>
          <cell r="L154">
            <v>30</v>
          </cell>
          <cell r="N154">
            <v>1314</v>
          </cell>
          <cell r="O154">
            <v>0</v>
          </cell>
          <cell r="P154">
            <v>262.8</v>
          </cell>
          <cell r="Q154">
            <v>63</v>
          </cell>
          <cell r="S154">
            <v>0</v>
          </cell>
        </row>
        <row r="155">
          <cell r="C155" t="str">
            <v>169-16</v>
          </cell>
          <cell r="D155" t="str">
            <v>JOSE FELIX SAMUEL RAGGIO ADORNO</v>
          </cell>
          <cell r="E155" t="str">
            <v xml:space="preserve">GERENTE DE LOJA     </v>
          </cell>
          <cell r="F155" t="str">
            <v>704.874.091-40</v>
          </cell>
          <cell r="G155">
            <v>42626</v>
          </cell>
          <cell r="H155" t="str">
            <v>Ativo</v>
          </cell>
          <cell r="J155">
            <v>30</v>
          </cell>
          <cell r="K155">
            <v>0</v>
          </cell>
          <cell r="L155">
            <v>30</v>
          </cell>
          <cell r="N155">
            <v>0</v>
          </cell>
          <cell r="O155">
            <v>5665</v>
          </cell>
          <cell r="S155">
            <v>0</v>
          </cell>
        </row>
        <row r="156">
          <cell r="C156" t="str">
            <v>169-31</v>
          </cell>
          <cell r="D156" t="str">
            <v>JOSE VITOR SILVA TROIAN</v>
          </cell>
          <cell r="E156" t="str">
            <v xml:space="preserve">VENDEDOR(a)         </v>
          </cell>
          <cell r="F156" t="str">
            <v>083.524.149-17</v>
          </cell>
          <cell r="G156">
            <v>43781</v>
          </cell>
          <cell r="H156" t="str">
            <v>Ativo</v>
          </cell>
          <cell r="J156">
            <v>30</v>
          </cell>
          <cell r="K156">
            <v>0</v>
          </cell>
          <cell r="L156">
            <v>30</v>
          </cell>
          <cell r="N156">
            <v>0</v>
          </cell>
          <cell r="O156">
            <v>1314</v>
          </cell>
          <cell r="Q156">
            <v>63</v>
          </cell>
          <cell r="S156">
            <v>0</v>
          </cell>
        </row>
        <row r="157">
          <cell r="C157" t="str">
            <v>169-7</v>
          </cell>
          <cell r="D157" t="str">
            <v>LEONARDO CASTRO DA PAIXAO</v>
          </cell>
          <cell r="E157" t="str">
            <v xml:space="preserve">VENDEDOR(a)         </v>
          </cell>
          <cell r="F157" t="str">
            <v>057.482.195-30</v>
          </cell>
          <cell r="G157">
            <v>43442</v>
          </cell>
          <cell r="H157" t="str">
            <v>Ativo</v>
          </cell>
          <cell r="J157">
            <v>30</v>
          </cell>
          <cell r="K157">
            <v>0</v>
          </cell>
          <cell r="L157">
            <v>30</v>
          </cell>
          <cell r="N157">
            <v>0</v>
          </cell>
          <cell r="O157">
            <v>1314</v>
          </cell>
          <cell r="Q157">
            <v>63</v>
          </cell>
          <cell r="S157">
            <v>0</v>
          </cell>
        </row>
        <row r="158">
          <cell r="C158" t="str">
            <v>169-41</v>
          </cell>
          <cell r="D158" t="str">
            <v>LUIZ ANTONIO SILVEIRA</v>
          </cell>
          <cell r="E158" t="str">
            <v xml:space="preserve">VENDEDOR(a)         </v>
          </cell>
          <cell r="F158" t="str">
            <v>004.208.339-78</v>
          </cell>
          <cell r="G158">
            <v>44221</v>
          </cell>
          <cell r="H158" t="str">
            <v>Ativo</v>
          </cell>
          <cell r="J158">
            <v>30</v>
          </cell>
          <cell r="K158">
            <v>0</v>
          </cell>
          <cell r="L158">
            <v>30</v>
          </cell>
          <cell r="N158">
            <v>0</v>
          </cell>
          <cell r="O158">
            <v>1314</v>
          </cell>
          <cell r="Q158">
            <v>63</v>
          </cell>
          <cell r="S158">
            <v>0</v>
          </cell>
        </row>
        <row r="159">
          <cell r="C159" t="str">
            <v>169-37</v>
          </cell>
          <cell r="D159" t="str">
            <v>MATHEUS MARTINS VIEIRA</v>
          </cell>
          <cell r="E159" t="str">
            <v xml:space="preserve">VENDEDOR(a)         </v>
          </cell>
          <cell r="F159" t="str">
            <v>015.074.470-60</v>
          </cell>
          <cell r="G159">
            <v>44095</v>
          </cell>
          <cell r="H159" t="str">
            <v>Ativo</v>
          </cell>
          <cell r="J159">
            <v>30</v>
          </cell>
          <cell r="K159">
            <v>0</v>
          </cell>
          <cell r="L159">
            <v>30</v>
          </cell>
          <cell r="N159">
            <v>0</v>
          </cell>
          <cell r="O159">
            <v>1314</v>
          </cell>
          <cell r="Q159">
            <v>63</v>
          </cell>
          <cell r="S159">
            <v>0</v>
          </cell>
        </row>
        <row r="160">
          <cell r="C160" t="str">
            <v>169-38</v>
          </cell>
          <cell r="D160" t="str">
            <v>RAFAEL GOVONI</v>
          </cell>
          <cell r="E160" t="str">
            <v xml:space="preserve">VENDEDOR(a)         </v>
          </cell>
          <cell r="F160" t="str">
            <v>032.988.810-23</v>
          </cell>
          <cell r="G160">
            <v>44153</v>
          </cell>
          <cell r="H160" t="str">
            <v>Ativo</v>
          </cell>
          <cell r="J160">
            <v>30</v>
          </cell>
          <cell r="K160">
            <v>0</v>
          </cell>
          <cell r="L160">
            <v>30</v>
          </cell>
          <cell r="N160">
            <v>0</v>
          </cell>
          <cell r="O160">
            <v>1314</v>
          </cell>
          <cell r="Q160">
            <v>63</v>
          </cell>
          <cell r="S160">
            <v>0</v>
          </cell>
        </row>
        <row r="161">
          <cell r="C161" t="str">
            <v>169-1</v>
          </cell>
          <cell r="D161" t="str">
            <v>TATIANE MENDES NASCIMENTO</v>
          </cell>
          <cell r="E161" t="str">
            <v xml:space="preserve">VENDEDOR(a)         </v>
          </cell>
          <cell r="F161" t="str">
            <v>076.301.986-04</v>
          </cell>
          <cell r="G161">
            <v>43442</v>
          </cell>
          <cell r="H161" t="str">
            <v>Ativo</v>
          </cell>
          <cell r="J161">
            <v>30</v>
          </cell>
          <cell r="K161">
            <v>0</v>
          </cell>
          <cell r="L161">
            <v>30</v>
          </cell>
          <cell r="N161">
            <v>0</v>
          </cell>
          <cell r="O161">
            <v>1314</v>
          </cell>
          <cell r="Q161">
            <v>63</v>
          </cell>
          <cell r="S161">
            <v>0</v>
          </cell>
        </row>
        <row r="162">
          <cell r="C162" t="str">
            <v>173-5</v>
          </cell>
          <cell r="D162" t="str">
            <v>FLAVIA TEIXEIRA GONDIM</v>
          </cell>
          <cell r="E162" t="str">
            <v xml:space="preserve">VENDEDOR(a)         </v>
          </cell>
          <cell r="F162" t="str">
            <v>451.312.228-50</v>
          </cell>
          <cell r="G162">
            <v>43427</v>
          </cell>
          <cell r="H162" t="str">
            <v>Sob Custódia do Inss</v>
          </cell>
          <cell r="J162">
            <v>30</v>
          </cell>
          <cell r="K162">
            <v>0</v>
          </cell>
          <cell r="L162">
            <v>30</v>
          </cell>
          <cell r="N162">
            <v>0</v>
          </cell>
          <cell r="O162">
            <v>0</v>
          </cell>
          <cell r="S162">
            <v>0</v>
          </cell>
        </row>
        <row r="163">
          <cell r="C163" t="str">
            <v>173-26</v>
          </cell>
          <cell r="D163" t="str">
            <v>ANDRESSA RIBEIRO DOS SANTOS</v>
          </cell>
          <cell r="E163" t="str">
            <v xml:space="preserve">VENDEDOR(a)         </v>
          </cell>
          <cell r="F163" t="str">
            <v>340.943.468-21</v>
          </cell>
          <cell r="G163">
            <v>43791</v>
          </cell>
          <cell r="H163" t="str">
            <v>Ativo</v>
          </cell>
          <cell r="J163">
            <v>30</v>
          </cell>
          <cell r="K163">
            <v>0</v>
          </cell>
          <cell r="L163">
            <v>30</v>
          </cell>
          <cell r="N163">
            <v>0</v>
          </cell>
          <cell r="O163">
            <v>1713</v>
          </cell>
          <cell r="S163">
            <v>355.2</v>
          </cell>
        </row>
        <row r="164">
          <cell r="C164" t="str">
            <v>173-30</v>
          </cell>
          <cell r="D164" t="str">
            <v>CAIO BRUNO DA SILVA FERREIRA</v>
          </cell>
          <cell r="E164" t="str">
            <v xml:space="preserve">ASSISTENTE DE LOJA  </v>
          </cell>
          <cell r="F164" t="str">
            <v>424.306.458-07</v>
          </cell>
          <cell r="G164">
            <v>43791</v>
          </cell>
          <cell r="H164" t="str">
            <v>Ativo</v>
          </cell>
          <cell r="J164">
            <v>30</v>
          </cell>
          <cell r="K164">
            <v>0</v>
          </cell>
          <cell r="L164">
            <v>30</v>
          </cell>
          <cell r="N164">
            <v>1447</v>
          </cell>
          <cell r="O164">
            <v>0</v>
          </cell>
          <cell r="P164">
            <v>80</v>
          </cell>
          <cell r="R164">
            <v>40</v>
          </cell>
          <cell r="S164">
            <v>264</v>
          </cell>
        </row>
        <row r="165">
          <cell r="C165" t="str">
            <v>173-34</v>
          </cell>
          <cell r="D165" t="str">
            <v>LUCAS DOS SANTOS AMARO SILVA</v>
          </cell>
          <cell r="E165" t="str">
            <v xml:space="preserve">VENDEDOR(a)         </v>
          </cell>
          <cell r="F165" t="str">
            <v>466.569.038-35</v>
          </cell>
          <cell r="G165">
            <v>43899</v>
          </cell>
          <cell r="H165" t="str">
            <v>Ativo</v>
          </cell>
          <cell r="J165">
            <v>30</v>
          </cell>
          <cell r="K165">
            <v>0</v>
          </cell>
          <cell r="L165">
            <v>30</v>
          </cell>
          <cell r="N165">
            <v>0</v>
          </cell>
          <cell r="O165">
            <v>1713</v>
          </cell>
          <cell r="R165">
            <v>40</v>
          </cell>
          <cell r="S165">
            <v>572.64</v>
          </cell>
        </row>
        <row r="166">
          <cell r="C166" t="str">
            <v>173-35</v>
          </cell>
          <cell r="D166" t="str">
            <v>THIAGO HENRIQUE FRANÇA DA SILVA</v>
          </cell>
          <cell r="E166" t="str">
            <v xml:space="preserve">GERENTE DE LOJA     </v>
          </cell>
          <cell r="F166" t="str">
            <v>410.930.048-78</v>
          </cell>
          <cell r="G166">
            <v>42531</v>
          </cell>
          <cell r="H166" t="str">
            <v>Ativo</v>
          </cell>
          <cell r="J166">
            <v>30</v>
          </cell>
          <cell r="K166">
            <v>0</v>
          </cell>
          <cell r="L166">
            <v>30</v>
          </cell>
          <cell r="N166">
            <v>0</v>
          </cell>
          <cell r="O166">
            <v>4500</v>
          </cell>
          <cell r="R166">
            <v>40</v>
          </cell>
          <cell r="S166">
            <v>0</v>
          </cell>
        </row>
        <row r="167">
          <cell r="C167" t="str">
            <v>173-38</v>
          </cell>
          <cell r="D167" t="str">
            <v>DAVISON DE JESUS SANTOS</v>
          </cell>
          <cell r="E167" t="str">
            <v xml:space="preserve">VENDEDOR(a)         </v>
          </cell>
          <cell r="F167" t="str">
            <v>043.282.025-61</v>
          </cell>
          <cell r="G167">
            <v>44152</v>
          </cell>
          <cell r="H167" t="str">
            <v>Ativo</v>
          </cell>
          <cell r="J167">
            <v>30</v>
          </cell>
          <cell r="K167">
            <v>0</v>
          </cell>
          <cell r="L167">
            <v>30</v>
          </cell>
          <cell r="N167">
            <v>0</v>
          </cell>
          <cell r="O167">
            <v>1713</v>
          </cell>
          <cell r="R167">
            <v>40</v>
          </cell>
          <cell r="S167">
            <v>216</v>
          </cell>
        </row>
        <row r="168">
          <cell r="C168" t="str">
            <v>173-41</v>
          </cell>
          <cell r="D168" t="str">
            <v>WALLESKY KLEBER TEIXEIRA DE ARAUJO</v>
          </cell>
          <cell r="E168" t="str">
            <v xml:space="preserve">VENDEDOR(a)         </v>
          </cell>
          <cell r="F168" t="str">
            <v>427.139.818-75</v>
          </cell>
          <cell r="G168">
            <v>44358</v>
          </cell>
          <cell r="H168" t="str">
            <v>Ativo</v>
          </cell>
          <cell r="J168">
            <v>20</v>
          </cell>
          <cell r="K168">
            <v>0</v>
          </cell>
          <cell r="L168">
            <v>20</v>
          </cell>
          <cell r="N168">
            <v>0</v>
          </cell>
          <cell r="O168">
            <v>1713</v>
          </cell>
          <cell r="R168">
            <v>34</v>
          </cell>
          <cell r="T168">
            <v>423.7</v>
          </cell>
        </row>
        <row r="169">
          <cell r="C169" t="str">
            <v>175-17</v>
          </cell>
          <cell r="D169" t="str">
            <v>ALISON MURILO ALENCAR DIAS</v>
          </cell>
          <cell r="E169" t="str">
            <v xml:space="preserve">ASSISTENTE DE LOJA  </v>
          </cell>
          <cell r="F169" t="str">
            <v>061.080.931-88</v>
          </cell>
          <cell r="G169">
            <v>44153</v>
          </cell>
          <cell r="H169" t="str">
            <v>Ativo</v>
          </cell>
          <cell r="J169">
            <v>30</v>
          </cell>
          <cell r="K169">
            <v>0</v>
          </cell>
          <cell r="L169">
            <v>30</v>
          </cell>
          <cell r="N169">
            <v>1060.3699999999999</v>
          </cell>
          <cell r="O169">
            <v>0</v>
          </cell>
          <cell r="P169">
            <v>158</v>
          </cell>
          <cell r="R169">
            <v>425</v>
          </cell>
          <cell r="S169" t="str">
            <v>Fretado</v>
          </cell>
        </row>
        <row r="170">
          <cell r="C170" t="str">
            <v>175-13</v>
          </cell>
          <cell r="D170" t="str">
            <v>BRUNO DOS SANTOS MARIANO BARBOSA</v>
          </cell>
          <cell r="E170" t="str">
            <v xml:space="preserve">VENDEDOR(a)         </v>
          </cell>
          <cell r="F170" t="str">
            <v>069.196.861-63</v>
          </cell>
          <cell r="G170">
            <v>43782</v>
          </cell>
          <cell r="H170" t="str">
            <v>Ativo</v>
          </cell>
          <cell r="J170">
            <v>30</v>
          </cell>
          <cell r="K170">
            <v>0</v>
          </cell>
          <cell r="L170">
            <v>30</v>
          </cell>
          <cell r="N170">
            <v>998</v>
          </cell>
          <cell r="O170">
            <v>1257</v>
          </cell>
          <cell r="R170">
            <v>436</v>
          </cell>
          <cell r="S170" t="str">
            <v>Fretado</v>
          </cell>
        </row>
        <row r="171">
          <cell r="C171" t="str">
            <v>175-11</v>
          </cell>
          <cell r="D171" t="str">
            <v>IGOR MANOEL AMARO DA SILVA</v>
          </cell>
          <cell r="E171" t="str">
            <v xml:space="preserve">VENDEDOR(a)         </v>
          </cell>
          <cell r="F171" t="str">
            <v>116.065.724-66</v>
          </cell>
          <cell r="G171">
            <v>43782</v>
          </cell>
          <cell r="H171" t="str">
            <v>Ativo</v>
          </cell>
          <cell r="J171">
            <v>30</v>
          </cell>
          <cell r="K171">
            <v>0</v>
          </cell>
          <cell r="L171">
            <v>30</v>
          </cell>
          <cell r="N171">
            <v>998</v>
          </cell>
          <cell r="O171">
            <v>1257</v>
          </cell>
          <cell r="R171">
            <v>419</v>
          </cell>
          <cell r="S171" t="str">
            <v>Fretado</v>
          </cell>
        </row>
        <row r="172">
          <cell r="C172" t="str">
            <v>175-8</v>
          </cell>
          <cell r="D172" t="str">
            <v>JANAINA INOCENCIO DA SILVA</v>
          </cell>
          <cell r="E172" t="str">
            <v xml:space="preserve">ASSISTENTE DE LOJA  </v>
          </cell>
          <cell r="F172" t="str">
            <v>056.879.891-02</v>
          </cell>
          <cell r="G172">
            <v>43782</v>
          </cell>
          <cell r="H172" t="str">
            <v>Ativo</v>
          </cell>
          <cell r="J172">
            <v>30</v>
          </cell>
          <cell r="K172">
            <v>0</v>
          </cell>
          <cell r="L172">
            <v>30</v>
          </cell>
          <cell r="N172">
            <v>1060.3699999999999</v>
          </cell>
          <cell r="O172">
            <v>0</v>
          </cell>
          <cell r="P172">
            <v>158</v>
          </cell>
          <cell r="R172">
            <v>419</v>
          </cell>
          <cell r="S172" t="str">
            <v>Fretado</v>
          </cell>
        </row>
        <row r="173">
          <cell r="C173" t="str">
            <v>175-3</v>
          </cell>
          <cell r="D173" t="str">
            <v>LARISSA FONTENELE BARROS</v>
          </cell>
          <cell r="E173" t="str">
            <v xml:space="preserve">VENDEDOR(a)         </v>
          </cell>
          <cell r="F173" t="str">
            <v>033.104.201-08</v>
          </cell>
          <cell r="G173">
            <v>43782</v>
          </cell>
          <cell r="H173" t="str">
            <v>Ativo</v>
          </cell>
          <cell r="J173">
            <v>30</v>
          </cell>
          <cell r="K173">
            <v>0</v>
          </cell>
          <cell r="L173">
            <v>30</v>
          </cell>
          <cell r="N173">
            <v>998</v>
          </cell>
          <cell r="O173">
            <v>1257</v>
          </cell>
          <cell r="R173">
            <v>419</v>
          </cell>
          <cell r="S173" t="str">
            <v>Fretado</v>
          </cell>
        </row>
        <row r="174">
          <cell r="C174" t="str">
            <v>175-9</v>
          </cell>
          <cell r="D174" t="str">
            <v>MARCOS HENRIQUE FARIAS</v>
          </cell>
          <cell r="E174" t="str">
            <v xml:space="preserve">GERENTE DE LOJA     </v>
          </cell>
          <cell r="F174" t="str">
            <v>047.846.921-77</v>
          </cell>
          <cell r="G174">
            <v>43782</v>
          </cell>
          <cell r="H174" t="str">
            <v>Ativo</v>
          </cell>
          <cell r="J174">
            <v>30</v>
          </cell>
          <cell r="K174">
            <v>0</v>
          </cell>
          <cell r="L174">
            <v>30</v>
          </cell>
          <cell r="N174">
            <v>0</v>
          </cell>
          <cell r="O174">
            <v>4000</v>
          </cell>
          <cell r="R174">
            <v>436</v>
          </cell>
          <cell r="S174">
            <v>0</v>
          </cell>
        </row>
        <row r="175">
          <cell r="C175" t="str">
            <v>175-1</v>
          </cell>
          <cell r="D175" t="str">
            <v>WALLACY BELTRAO DA COSTA</v>
          </cell>
          <cell r="E175" t="str">
            <v xml:space="preserve">VENDEDOR(a)         </v>
          </cell>
          <cell r="F175" t="str">
            <v>080.241.671-31</v>
          </cell>
          <cell r="G175">
            <v>43782</v>
          </cell>
          <cell r="H175" t="str">
            <v>Ativo</v>
          </cell>
          <cell r="J175">
            <v>22</v>
          </cell>
          <cell r="K175" t="str">
            <v>8</v>
          </cell>
          <cell r="L175">
            <v>22</v>
          </cell>
          <cell r="N175">
            <v>998</v>
          </cell>
          <cell r="O175">
            <v>1257</v>
          </cell>
          <cell r="R175">
            <v>419</v>
          </cell>
          <cell r="S175" t="str">
            <v>Fretado</v>
          </cell>
        </row>
        <row r="176">
          <cell r="C176" t="str">
            <v>179-1</v>
          </cell>
          <cell r="D176" t="str">
            <v>ANA CAROLINA LOURENCO</v>
          </cell>
          <cell r="E176" t="str">
            <v xml:space="preserve">ASSISTENTE DE LOJA  </v>
          </cell>
          <cell r="F176" t="str">
            <v>481.068.428-86</v>
          </cell>
          <cell r="G176">
            <v>44033</v>
          </cell>
          <cell r="H176" t="str">
            <v>Ativo</v>
          </cell>
          <cell r="J176">
            <v>30</v>
          </cell>
          <cell r="K176">
            <v>0</v>
          </cell>
          <cell r="L176">
            <v>30</v>
          </cell>
          <cell r="N176">
            <v>1591</v>
          </cell>
          <cell r="O176">
            <v>0</v>
          </cell>
          <cell r="P176">
            <v>87</v>
          </cell>
          <cell r="Q176">
            <v>39</v>
          </cell>
          <cell r="R176">
            <v>25</v>
          </cell>
          <cell r="S176">
            <v>326.39999999999998</v>
          </cell>
        </row>
        <row r="177">
          <cell r="C177" t="str">
            <v>179-2</v>
          </cell>
          <cell r="D177" t="str">
            <v>ANA PAULA CONCEICAO GONCALVES</v>
          </cell>
          <cell r="E177" t="str">
            <v xml:space="preserve">VENDEDOR(a)         </v>
          </cell>
          <cell r="F177" t="str">
            <v>426.370.468-13</v>
          </cell>
          <cell r="G177">
            <v>44033</v>
          </cell>
          <cell r="H177" t="str">
            <v>Ativo</v>
          </cell>
          <cell r="J177">
            <v>30</v>
          </cell>
          <cell r="K177">
            <v>0</v>
          </cell>
          <cell r="L177">
            <v>30</v>
          </cell>
          <cell r="N177">
            <v>0</v>
          </cell>
          <cell r="O177">
            <v>1909</v>
          </cell>
          <cell r="Q177">
            <v>39</v>
          </cell>
          <cell r="R177">
            <v>25</v>
          </cell>
          <cell r="S177">
            <v>0</v>
          </cell>
        </row>
        <row r="178">
          <cell r="C178" t="str">
            <v>179-3</v>
          </cell>
          <cell r="D178" t="str">
            <v>DIEGO GONCALVES LOPES</v>
          </cell>
          <cell r="E178" t="str">
            <v xml:space="preserve">VENDEDOR(a)         </v>
          </cell>
          <cell r="F178" t="str">
            <v>358.962.898-71</v>
          </cell>
          <cell r="G178">
            <v>44033</v>
          </cell>
          <cell r="H178" t="str">
            <v>Ativo</v>
          </cell>
          <cell r="J178">
            <v>30</v>
          </cell>
          <cell r="K178">
            <v>0</v>
          </cell>
          <cell r="L178">
            <v>30</v>
          </cell>
          <cell r="N178">
            <v>0</v>
          </cell>
          <cell r="O178">
            <v>1909</v>
          </cell>
          <cell r="Q178">
            <v>39</v>
          </cell>
          <cell r="R178">
            <v>25</v>
          </cell>
          <cell r="S178">
            <v>0</v>
          </cell>
        </row>
        <row r="179">
          <cell r="C179" t="str">
            <v>179-4</v>
          </cell>
          <cell r="D179" t="str">
            <v>ENRIQUE VAZQUEZ GARCIA</v>
          </cell>
          <cell r="E179" t="str">
            <v xml:space="preserve">VENDEDOR(a)         </v>
          </cell>
          <cell r="F179" t="str">
            <v>241.671.628-06</v>
          </cell>
          <cell r="G179">
            <v>44034</v>
          </cell>
          <cell r="H179" t="str">
            <v>Ativo</v>
          </cell>
          <cell r="J179">
            <v>30</v>
          </cell>
          <cell r="K179">
            <v>0</v>
          </cell>
          <cell r="L179">
            <v>30</v>
          </cell>
          <cell r="N179">
            <v>0</v>
          </cell>
          <cell r="O179">
            <v>1909</v>
          </cell>
          <cell r="Q179">
            <v>39</v>
          </cell>
          <cell r="R179">
            <v>25</v>
          </cell>
          <cell r="S179">
            <v>312.8</v>
          </cell>
        </row>
        <row r="180">
          <cell r="C180" t="str">
            <v>179-16</v>
          </cell>
          <cell r="D180" t="str">
            <v>JONATHAN GOMES</v>
          </cell>
          <cell r="E180" t="str">
            <v xml:space="preserve">VENDEDOR(a)         </v>
          </cell>
          <cell r="F180" t="str">
            <v>369.156.498-40</v>
          </cell>
          <cell r="G180">
            <v>44183</v>
          </cell>
          <cell r="H180" t="str">
            <v>Ativo</v>
          </cell>
          <cell r="J180">
            <v>30</v>
          </cell>
          <cell r="K180">
            <v>0</v>
          </cell>
          <cell r="L180">
            <v>30</v>
          </cell>
          <cell r="N180">
            <v>0</v>
          </cell>
          <cell r="O180">
            <v>1909</v>
          </cell>
          <cell r="Q180">
            <v>39</v>
          </cell>
          <cell r="R180">
            <v>25</v>
          </cell>
          <cell r="S180">
            <v>237.12</v>
          </cell>
        </row>
        <row r="181">
          <cell r="C181" t="str">
            <v>179-12</v>
          </cell>
          <cell r="D181" t="str">
            <v>UILLIAM PEREIRA SANTOS</v>
          </cell>
          <cell r="E181" t="str">
            <v xml:space="preserve">ASSISTENTE DE LOJA  </v>
          </cell>
          <cell r="F181" t="str">
            <v>407.804.618-51</v>
          </cell>
          <cell r="G181">
            <v>44121</v>
          </cell>
          <cell r="H181" t="str">
            <v>Ativo</v>
          </cell>
          <cell r="J181">
            <v>30</v>
          </cell>
          <cell r="K181">
            <v>0</v>
          </cell>
          <cell r="L181">
            <v>30</v>
          </cell>
          <cell r="N181">
            <v>1591</v>
          </cell>
          <cell r="O181">
            <v>0</v>
          </cell>
          <cell r="P181">
            <v>87</v>
          </cell>
          <cell r="Q181">
            <v>39</v>
          </cell>
          <cell r="R181">
            <v>25</v>
          </cell>
          <cell r="S181">
            <v>347.3</v>
          </cell>
        </row>
        <row r="182">
          <cell r="C182" t="str">
            <v>179-18</v>
          </cell>
          <cell r="D182" t="str">
            <v>WANDERLEY SILVEIRA JUNIOR</v>
          </cell>
          <cell r="E182" t="str">
            <v xml:space="preserve">VENDEDOR(a)         </v>
          </cell>
          <cell r="F182" t="str">
            <v>400.104.248-73</v>
          </cell>
          <cell r="G182">
            <v>44342</v>
          </cell>
          <cell r="H182" t="str">
            <v>Ativo</v>
          </cell>
          <cell r="J182">
            <v>30</v>
          </cell>
          <cell r="K182">
            <v>0</v>
          </cell>
          <cell r="L182">
            <v>30</v>
          </cell>
          <cell r="N182">
            <v>0</v>
          </cell>
          <cell r="O182">
            <v>1909</v>
          </cell>
          <cell r="Q182">
            <v>39</v>
          </cell>
          <cell r="R182">
            <v>25</v>
          </cell>
          <cell r="S182">
            <v>639.6</v>
          </cell>
        </row>
        <row r="183">
          <cell r="C183" t="str">
            <v>181-2</v>
          </cell>
          <cell r="D183" t="str">
            <v>ALEF FERNANDES ARAUJO MARTINS</v>
          </cell>
          <cell r="E183" t="str">
            <v xml:space="preserve">VENDEDOR(a)         </v>
          </cell>
          <cell r="F183" t="str">
            <v>126.597.756-99</v>
          </cell>
          <cell r="G183">
            <v>44078</v>
          </cell>
          <cell r="H183" t="str">
            <v>Ativo</v>
          </cell>
          <cell r="J183">
            <v>30</v>
          </cell>
          <cell r="K183">
            <v>0</v>
          </cell>
          <cell r="L183">
            <v>30</v>
          </cell>
          <cell r="N183">
            <v>0</v>
          </cell>
          <cell r="O183">
            <v>1103.92</v>
          </cell>
          <cell r="T183">
            <v>247.2</v>
          </cell>
        </row>
        <row r="184">
          <cell r="C184" t="str">
            <v>181-33</v>
          </cell>
          <cell r="D184" t="str">
            <v>ALEX GASPAR DE MACEDO</v>
          </cell>
          <cell r="E184" t="str">
            <v xml:space="preserve">VENDEDOR(a)         </v>
          </cell>
          <cell r="F184" t="str">
            <v>114.661.066-11</v>
          </cell>
          <cell r="G184">
            <v>44348</v>
          </cell>
          <cell r="H184" t="str">
            <v>Ativo</v>
          </cell>
          <cell r="J184">
            <v>30</v>
          </cell>
          <cell r="K184">
            <v>0</v>
          </cell>
          <cell r="L184">
            <v>30</v>
          </cell>
          <cell r="N184">
            <v>0</v>
          </cell>
          <cell r="O184">
            <v>1103.92</v>
          </cell>
          <cell r="R184">
            <v>160.5</v>
          </cell>
          <cell r="T184">
            <v>149.80000000000001</v>
          </cell>
        </row>
        <row r="185">
          <cell r="C185" t="str">
            <v>181-31</v>
          </cell>
          <cell r="D185" t="str">
            <v>DAVI ALVES SILVEIRA</v>
          </cell>
          <cell r="E185" t="str">
            <v xml:space="preserve">ASSISTENTE DE LOJA  </v>
          </cell>
          <cell r="F185" t="str">
            <v>157.426.586-56</v>
          </cell>
          <cell r="G185">
            <v>44153</v>
          </cell>
          <cell r="H185" t="str">
            <v>Ativo</v>
          </cell>
          <cell r="J185">
            <v>30</v>
          </cell>
          <cell r="K185">
            <v>0</v>
          </cell>
          <cell r="L185">
            <v>30</v>
          </cell>
          <cell r="N185">
            <v>1120</v>
          </cell>
          <cell r="O185">
            <v>0</v>
          </cell>
          <cell r="P185">
            <v>89.33</v>
          </cell>
          <cell r="T185">
            <v>216</v>
          </cell>
        </row>
        <row r="186">
          <cell r="C186" t="str">
            <v>181-12</v>
          </cell>
          <cell r="D186" t="str">
            <v>ELOIZA ROCHAEL DIAS DE ASSIS</v>
          </cell>
          <cell r="E186" t="str">
            <v xml:space="preserve">GERENTE DE LOJA     </v>
          </cell>
          <cell r="F186" t="str">
            <v>074.016.926-27</v>
          </cell>
          <cell r="G186">
            <v>41611</v>
          </cell>
          <cell r="H186" t="str">
            <v>Ativo</v>
          </cell>
          <cell r="J186">
            <v>30</v>
          </cell>
          <cell r="K186">
            <v>0</v>
          </cell>
          <cell r="L186">
            <v>30</v>
          </cell>
          <cell r="N186">
            <v>0</v>
          </cell>
          <cell r="O186">
            <v>4500</v>
          </cell>
          <cell r="S186">
            <v>0</v>
          </cell>
        </row>
        <row r="187">
          <cell r="C187" t="str">
            <v>181-16</v>
          </cell>
          <cell r="D187" t="str">
            <v>GERMANO ROSENTHAL CAETANO BELFORT</v>
          </cell>
          <cell r="E187" t="str">
            <v xml:space="preserve">VENDEDOR(a)         </v>
          </cell>
          <cell r="F187" t="str">
            <v>129.517.856-74</v>
          </cell>
          <cell r="G187">
            <v>44127</v>
          </cell>
          <cell r="H187" t="str">
            <v>Ativo</v>
          </cell>
          <cell r="J187">
            <v>30</v>
          </cell>
          <cell r="K187">
            <v>0</v>
          </cell>
          <cell r="L187">
            <v>30</v>
          </cell>
          <cell r="N187">
            <v>0</v>
          </cell>
          <cell r="O187">
            <v>1103.92</v>
          </cell>
          <cell r="T187">
            <v>292.5</v>
          </cell>
        </row>
        <row r="188">
          <cell r="C188" t="str">
            <v>181-18</v>
          </cell>
          <cell r="D188" t="str">
            <v>GILSON SANTOS MOTA JUNIOR</v>
          </cell>
          <cell r="E188" t="str">
            <v xml:space="preserve">VENDEDOR(a)         </v>
          </cell>
          <cell r="F188" t="str">
            <v>110.793.406-02</v>
          </cell>
          <cell r="G188">
            <v>44128</v>
          </cell>
          <cell r="H188" t="str">
            <v>Ativo</v>
          </cell>
          <cell r="J188">
            <v>30</v>
          </cell>
          <cell r="K188">
            <v>0</v>
          </cell>
          <cell r="L188">
            <v>30</v>
          </cell>
          <cell r="N188">
            <v>0</v>
          </cell>
          <cell r="O188">
            <v>1103.92</v>
          </cell>
          <cell r="T188">
            <v>216</v>
          </cell>
        </row>
        <row r="189">
          <cell r="C189" t="str">
            <v>181-32</v>
          </cell>
          <cell r="D189" t="str">
            <v>LARISSA ELIZABETH CENDON ROSA</v>
          </cell>
          <cell r="E189" t="str">
            <v xml:space="preserve">ASSISTENTE DE LOJA  </v>
          </cell>
          <cell r="F189" t="str">
            <v>021.296.486-06</v>
          </cell>
          <cell r="G189">
            <v>44320</v>
          </cell>
          <cell r="H189" t="str">
            <v>Ativo</v>
          </cell>
          <cell r="J189">
            <v>30</v>
          </cell>
          <cell r="K189">
            <v>0</v>
          </cell>
          <cell r="L189">
            <v>30</v>
          </cell>
          <cell r="N189">
            <v>1120</v>
          </cell>
          <cell r="O189">
            <v>0</v>
          </cell>
          <cell r="P189">
            <v>89.33</v>
          </cell>
          <cell r="T189">
            <v>292.5</v>
          </cell>
        </row>
        <row r="190">
          <cell r="C190" t="str">
            <v>181-1</v>
          </cell>
          <cell r="D190" t="str">
            <v>RODRIGO PARANHOS DIAS</v>
          </cell>
          <cell r="E190" t="str">
            <v xml:space="preserve">VENDEDOR(a)         </v>
          </cell>
          <cell r="F190" t="str">
            <v>859.064.096-53</v>
          </cell>
          <cell r="G190">
            <v>44078</v>
          </cell>
          <cell r="H190" t="str">
            <v>Ativo</v>
          </cell>
          <cell r="J190">
            <v>30</v>
          </cell>
          <cell r="K190">
            <v>0</v>
          </cell>
          <cell r="L190">
            <v>30</v>
          </cell>
          <cell r="N190">
            <v>0</v>
          </cell>
          <cell r="O190">
            <v>1103.92</v>
          </cell>
          <cell r="T190">
            <v>236.9</v>
          </cell>
        </row>
        <row r="191">
          <cell r="C191" t="str">
            <v>181-19</v>
          </cell>
          <cell r="D191" t="str">
            <v>SILMARA ROCHA</v>
          </cell>
          <cell r="E191" t="str">
            <v xml:space="preserve">VENDEDOR(a)         </v>
          </cell>
          <cell r="F191" t="str">
            <v>071.912.826-90</v>
          </cell>
          <cell r="G191">
            <v>44138</v>
          </cell>
          <cell r="H191" t="str">
            <v>Ativo</v>
          </cell>
          <cell r="J191">
            <v>30</v>
          </cell>
          <cell r="K191">
            <v>0</v>
          </cell>
          <cell r="L191">
            <v>30</v>
          </cell>
          <cell r="N191">
            <v>0</v>
          </cell>
          <cell r="O191">
            <v>1103.92</v>
          </cell>
          <cell r="S191">
            <v>0</v>
          </cell>
        </row>
        <row r="192">
          <cell r="C192" t="str">
            <v>181-13</v>
          </cell>
          <cell r="D192" t="str">
            <v>TULIO CESAR DE ALMEIDA</v>
          </cell>
          <cell r="E192" t="str">
            <v xml:space="preserve">VENDEDOR(a)         </v>
          </cell>
          <cell r="F192" t="str">
            <v>118.274.336-63</v>
          </cell>
          <cell r="G192">
            <v>43476</v>
          </cell>
          <cell r="H192" t="str">
            <v>Ativo</v>
          </cell>
          <cell r="J192">
            <v>30</v>
          </cell>
          <cell r="K192">
            <v>0</v>
          </cell>
          <cell r="L192">
            <v>30</v>
          </cell>
          <cell r="N192">
            <v>0</v>
          </cell>
          <cell r="O192">
            <v>1103.92</v>
          </cell>
          <cell r="T192">
            <v>381.8</v>
          </cell>
        </row>
        <row r="193">
          <cell r="C193" t="str">
            <v>183-14</v>
          </cell>
          <cell r="D193" t="str">
            <v>ARLANICSON FONSECA JUNIOR</v>
          </cell>
          <cell r="E193" t="str">
            <v xml:space="preserve">VENDEDOR(a)         </v>
          </cell>
          <cell r="F193" t="str">
            <v>430.570.188-07</v>
          </cell>
          <cell r="G193">
            <v>44342</v>
          </cell>
          <cell r="H193" t="str">
            <v>Ativo</v>
          </cell>
          <cell r="J193">
            <v>30</v>
          </cell>
          <cell r="K193">
            <v>0</v>
          </cell>
          <cell r="L193">
            <v>30</v>
          </cell>
          <cell r="N193">
            <v>0</v>
          </cell>
          <cell r="O193">
            <v>1786</v>
          </cell>
          <cell r="R193">
            <v>28</v>
          </cell>
          <cell r="S193">
            <v>499.2</v>
          </cell>
        </row>
        <row r="194">
          <cell r="C194" t="str">
            <v>183-16</v>
          </cell>
          <cell r="D194" t="str">
            <v>EMERSON TADASHI CAXIAS TAJI</v>
          </cell>
          <cell r="E194" t="str">
            <v xml:space="preserve">VENDEDOR(a)         </v>
          </cell>
          <cell r="F194" t="str">
            <v>027.637.442-81</v>
          </cell>
          <cell r="G194">
            <v>44358</v>
          </cell>
          <cell r="H194" t="str">
            <v>Ativo</v>
          </cell>
          <cell r="J194">
            <v>20</v>
          </cell>
          <cell r="K194">
            <v>0</v>
          </cell>
          <cell r="L194">
            <v>20</v>
          </cell>
          <cell r="N194">
            <v>0</v>
          </cell>
          <cell r="O194">
            <v>1786</v>
          </cell>
          <cell r="S194">
            <v>0</v>
          </cell>
        </row>
        <row r="195">
          <cell r="C195" t="str">
            <v>183-8</v>
          </cell>
          <cell r="D195" t="str">
            <v>HIAGO RODRIGUES DE MIRANDA</v>
          </cell>
          <cell r="E195" t="str">
            <v xml:space="preserve">VENDEDOR(a)         </v>
          </cell>
          <cell r="F195" t="str">
            <v>499.167.838-29</v>
          </cell>
          <cell r="G195">
            <v>44148</v>
          </cell>
          <cell r="H195" t="str">
            <v>Ativo</v>
          </cell>
          <cell r="J195">
            <v>30</v>
          </cell>
          <cell r="K195">
            <v>0</v>
          </cell>
          <cell r="L195">
            <v>30</v>
          </cell>
          <cell r="N195">
            <v>0</v>
          </cell>
          <cell r="O195">
            <v>1786</v>
          </cell>
          <cell r="R195">
            <v>28</v>
          </cell>
          <cell r="S195" t="str">
            <v>Fretado</v>
          </cell>
        </row>
        <row r="196">
          <cell r="C196" t="str">
            <v>179-19</v>
          </cell>
          <cell r="D196" t="str">
            <v>JULIO SALDANHA LIMA</v>
          </cell>
          <cell r="E196" t="str">
            <v xml:space="preserve">GERENTE DE LOJA     </v>
          </cell>
          <cell r="F196" t="str">
            <v>372.275.048-24</v>
          </cell>
          <cell r="G196">
            <v>43364</v>
          </cell>
          <cell r="H196" t="str">
            <v>Ativo</v>
          </cell>
          <cell r="J196">
            <v>30</v>
          </cell>
          <cell r="K196">
            <v>0</v>
          </cell>
          <cell r="L196">
            <v>30</v>
          </cell>
          <cell r="N196">
            <v>0</v>
          </cell>
          <cell r="O196">
            <v>4180</v>
          </cell>
          <cell r="R196">
            <v>28</v>
          </cell>
          <cell r="S196">
            <v>0</v>
          </cell>
        </row>
        <row r="197">
          <cell r="C197" t="str">
            <v>183-1</v>
          </cell>
          <cell r="D197" t="str">
            <v>KAROLINE SIQUEIRA DE AGUIAR MONTEIRO</v>
          </cell>
          <cell r="E197" t="str">
            <v xml:space="preserve">VENDEDOR(a)         </v>
          </cell>
          <cell r="F197" t="str">
            <v>431.040.318-27</v>
          </cell>
          <cell r="G197">
            <v>44146</v>
          </cell>
          <cell r="H197" t="str">
            <v>Ativo</v>
          </cell>
          <cell r="J197">
            <v>30</v>
          </cell>
          <cell r="K197">
            <v>0</v>
          </cell>
          <cell r="L197">
            <v>30</v>
          </cell>
          <cell r="N197">
            <v>0</v>
          </cell>
          <cell r="O197">
            <v>1786</v>
          </cell>
          <cell r="R197">
            <v>28</v>
          </cell>
          <cell r="S197">
            <v>216</v>
          </cell>
        </row>
        <row r="198">
          <cell r="C198" t="str">
            <v>183-5</v>
          </cell>
          <cell r="D198" t="str">
            <v>RAPHAEL HENRIQUE SILVA DOS SANTOS FERREIRA</v>
          </cell>
          <cell r="E198" t="str">
            <v xml:space="preserve">VENDEDOR(a)         </v>
          </cell>
          <cell r="F198" t="str">
            <v>228.342.208-67</v>
          </cell>
          <cell r="G198">
            <v>44147</v>
          </cell>
          <cell r="H198" t="str">
            <v>Ativo</v>
          </cell>
          <cell r="J198">
            <v>30</v>
          </cell>
          <cell r="K198">
            <v>0</v>
          </cell>
          <cell r="L198">
            <v>30</v>
          </cell>
          <cell r="N198">
            <v>0</v>
          </cell>
          <cell r="O198">
            <v>1786</v>
          </cell>
          <cell r="S198">
            <v>216</v>
          </cell>
        </row>
        <row r="199">
          <cell r="C199" t="str">
            <v>183-15</v>
          </cell>
          <cell r="D199" t="str">
            <v>VINICIUS MOREIRA COSSI</v>
          </cell>
          <cell r="E199" t="str">
            <v xml:space="preserve">VENDEDOR(a)         </v>
          </cell>
          <cell r="F199" t="str">
            <v>432.629.078-12</v>
          </cell>
          <cell r="G199">
            <v>44342</v>
          </cell>
          <cell r="H199" t="str">
            <v>Ativo</v>
          </cell>
          <cell r="J199">
            <v>30</v>
          </cell>
          <cell r="K199">
            <v>0</v>
          </cell>
          <cell r="L199">
            <v>30</v>
          </cell>
          <cell r="N199">
            <v>0</v>
          </cell>
          <cell r="O199">
            <v>1786</v>
          </cell>
          <cell r="R199">
            <v>28</v>
          </cell>
          <cell r="S199">
            <v>0</v>
          </cell>
        </row>
        <row r="200">
          <cell r="C200" t="str">
            <v>183-2</v>
          </cell>
          <cell r="D200" t="str">
            <v>VITOR RODRIGO JACINTO</v>
          </cell>
          <cell r="E200" t="str">
            <v xml:space="preserve">ASSISTENTE DE LOJA  </v>
          </cell>
          <cell r="F200" t="str">
            <v>450.376.228-16</v>
          </cell>
          <cell r="G200">
            <v>44146</v>
          </cell>
          <cell r="H200" t="str">
            <v>Sob Custódia do Inss</v>
          </cell>
          <cell r="J200">
            <v>30</v>
          </cell>
          <cell r="K200">
            <v>0</v>
          </cell>
          <cell r="L200">
            <v>30</v>
          </cell>
          <cell r="N200">
            <v>1519.44</v>
          </cell>
          <cell r="O200">
            <v>0</v>
          </cell>
          <cell r="P200">
            <v>82</v>
          </cell>
          <cell r="S200">
            <v>216</v>
          </cell>
        </row>
        <row r="201">
          <cell r="C201" t="str">
            <v>185-6</v>
          </cell>
          <cell r="D201" t="str">
            <v>ABRAAO PEREIRA DA SILVA</v>
          </cell>
          <cell r="E201" t="str">
            <v xml:space="preserve">VENDEDOR(a)         </v>
          </cell>
          <cell r="F201" t="str">
            <v>088.131.514-11</v>
          </cell>
          <cell r="G201">
            <v>44293</v>
          </cell>
          <cell r="H201" t="str">
            <v>Ativo</v>
          </cell>
          <cell r="J201">
            <v>30</v>
          </cell>
          <cell r="K201">
            <v>0</v>
          </cell>
          <cell r="L201">
            <v>30</v>
          </cell>
          <cell r="N201">
            <v>0</v>
          </cell>
          <cell r="O201">
            <v>1055</v>
          </cell>
          <cell r="S201">
            <v>180</v>
          </cell>
        </row>
        <row r="202">
          <cell r="C202" t="str">
            <v>185-1</v>
          </cell>
          <cell r="D202" t="str">
            <v>CARMECITA HELENA DA SILVA</v>
          </cell>
          <cell r="E202" t="str">
            <v xml:space="preserve">GERENTE DE LOJA     </v>
          </cell>
          <cell r="F202" t="str">
            <v>038.834.524-16</v>
          </cell>
          <cell r="G202">
            <v>44273</v>
          </cell>
          <cell r="H202" t="str">
            <v>Ativo</v>
          </cell>
          <cell r="J202">
            <v>30</v>
          </cell>
          <cell r="K202">
            <v>0</v>
          </cell>
          <cell r="L202">
            <v>30</v>
          </cell>
          <cell r="N202">
            <v>0</v>
          </cell>
          <cell r="O202">
            <v>4000</v>
          </cell>
          <cell r="S202">
            <v>0</v>
          </cell>
        </row>
        <row r="203">
          <cell r="C203" t="str">
            <v>185-3</v>
          </cell>
          <cell r="D203" t="str">
            <v>EDRISIO DE LUCENA ALVES</v>
          </cell>
          <cell r="E203" t="str">
            <v xml:space="preserve">ASSISTENTE DE OJA   </v>
          </cell>
          <cell r="F203" t="str">
            <v>078.476.544-82</v>
          </cell>
          <cell r="G203">
            <v>44287</v>
          </cell>
          <cell r="H203" t="str">
            <v>Ativo</v>
          </cell>
          <cell r="J203">
            <v>30</v>
          </cell>
          <cell r="K203">
            <v>0</v>
          </cell>
          <cell r="L203">
            <v>30</v>
          </cell>
          <cell r="N203">
            <v>1055</v>
          </cell>
          <cell r="O203">
            <v>0</v>
          </cell>
          <cell r="S203">
            <v>235</v>
          </cell>
        </row>
        <row r="204">
          <cell r="C204" t="str">
            <v>185-7</v>
          </cell>
          <cell r="D204" t="str">
            <v>FELIPE PAULINO DA SILVA</v>
          </cell>
          <cell r="E204" t="str">
            <v xml:space="preserve">VENDEDOR(a)         </v>
          </cell>
          <cell r="F204" t="str">
            <v>090.889.214-40</v>
          </cell>
          <cell r="G204">
            <v>44293</v>
          </cell>
          <cell r="H204" t="str">
            <v>Ativo</v>
          </cell>
          <cell r="J204">
            <v>30</v>
          </cell>
          <cell r="K204">
            <v>0</v>
          </cell>
          <cell r="L204">
            <v>30</v>
          </cell>
          <cell r="N204">
            <v>0</v>
          </cell>
          <cell r="O204">
            <v>1055</v>
          </cell>
          <cell r="S204">
            <v>0</v>
          </cell>
        </row>
        <row r="205">
          <cell r="C205" t="str">
            <v>185-2</v>
          </cell>
          <cell r="D205" t="str">
            <v>HELOISA VITORIA CINTRA DE ARAUJO</v>
          </cell>
          <cell r="E205" t="str">
            <v xml:space="preserve">VENDEDOR(a)         </v>
          </cell>
          <cell r="F205" t="str">
            <v>128.929.414-31</v>
          </cell>
          <cell r="G205">
            <v>44287</v>
          </cell>
          <cell r="H205" t="str">
            <v>Ativo</v>
          </cell>
          <cell r="J205">
            <v>30</v>
          </cell>
          <cell r="K205">
            <v>0</v>
          </cell>
          <cell r="L205">
            <v>30</v>
          </cell>
          <cell r="N205">
            <v>0</v>
          </cell>
          <cell r="O205">
            <v>1055</v>
          </cell>
          <cell r="S205">
            <v>187.5</v>
          </cell>
        </row>
        <row r="206">
          <cell r="C206" t="str">
            <v>185-9</v>
          </cell>
          <cell r="D206" t="str">
            <v>JAMILE INGRID SOUSA DA SILVA</v>
          </cell>
          <cell r="E206" t="str">
            <v xml:space="preserve">ASSISTENTE DE OJA   </v>
          </cell>
          <cell r="F206" t="str">
            <v>611.063.163-98</v>
          </cell>
          <cell r="G206">
            <v>44303</v>
          </cell>
          <cell r="H206" t="str">
            <v>Ativo</v>
          </cell>
          <cell r="J206">
            <v>30</v>
          </cell>
          <cell r="K206">
            <v>0</v>
          </cell>
          <cell r="L206">
            <v>30</v>
          </cell>
          <cell r="N206">
            <v>1055</v>
          </cell>
          <cell r="O206">
            <v>0</v>
          </cell>
          <cell r="S206">
            <v>360</v>
          </cell>
        </row>
        <row r="207">
          <cell r="C207" t="str">
            <v>185-10</v>
          </cell>
          <cell r="D207" t="str">
            <v>JEFFERSON FRANCISCO ANDRADE PRAZERES</v>
          </cell>
          <cell r="E207" t="str">
            <v xml:space="preserve">VENDEDOR(a)         </v>
          </cell>
          <cell r="F207" t="str">
            <v>059.205.604-01</v>
          </cell>
          <cell r="G207">
            <v>44303</v>
          </cell>
          <cell r="H207" t="str">
            <v>Ativo</v>
          </cell>
          <cell r="J207">
            <v>30</v>
          </cell>
          <cell r="K207">
            <v>0</v>
          </cell>
          <cell r="L207">
            <v>30</v>
          </cell>
          <cell r="N207">
            <v>0</v>
          </cell>
          <cell r="O207">
            <v>1055</v>
          </cell>
          <cell r="S207">
            <v>187.5</v>
          </cell>
        </row>
        <row r="208">
          <cell r="C208" t="str">
            <v>185-11</v>
          </cell>
          <cell r="D208" t="str">
            <v>MONALISA FREITAS DO NASCIMENTO</v>
          </cell>
          <cell r="E208" t="str">
            <v xml:space="preserve">VENDEDOR(a)         </v>
          </cell>
          <cell r="F208" t="str">
            <v>077.859.204-94</v>
          </cell>
          <cell r="G208">
            <v>44303</v>
          </cell>
          <cell r="H208" t="str">
            <v>Ativo</v>
          </cell>
          <cell r="J208">
            <v>30</v>
          </cell>
          <cell r="K208">
            <v>0</v>
          </cell>
          <cell r="L208">
            <v>30</v>
          </cell>
          <cell r="N208">
            <v>0</v>
          </cell>
          <cell r="O208">
            <v>1055</v>
          </cell>
          <cell r="S208">
            <v>195</v>
          </cell>
        </row>
        <row r="209">
          <cell r="C209" t="str">
            <v>185-4</v>
          </cell>
          <cell r="D209" t="str">
            <v>NAIANA MONTE DOS SANTOS</v>
          </cell>
          <cell r="E209" t="str">
            <v xml:space="preserve">ASSISTENTE DE OJA   </v>
          </cell>
          <cell r="F209" t="str">
            <v>127.224.754-64</v>
          </cell>
          <cell r="G209">
            <v>44287</v>
          </cell>
          <cell r="H209" t="str">
            <v>Ativo</v>
          </cell>
          <cell r="J209">
            <v>30</v>
          </cell>
          <cell r="K209">
            <v>0</v>
          </cell>
          <cell r="L209">
            <v>30</v>
          </cell>
          <cell r="N209">
            <v>1055</v>
          </cell>
          <cell r="O209">
            <v>0</v>
          </cell>
          <cell r="S209">
            <v>187.5</v>
          </cell>
        </row>
        <row r="210">
          <cell r="C210" t="str">
            <v>185-8</v>
          </cell>
          <cell r="D210" t="str">
            <v>URSULA NATACHA SOBRAL</v>
          </cell>
          <cell r="E210" t="str">
            <v xml:space="preserve">VENDEDOR(a)         </v>
          </cell>
          <cell r="F210" t="str">
            <v>056.596.594-89</v>
          </cell>
          <cell r="G210">
            <v>44293</v>
          </cell>
          <cell r="H210" t="str">
            <v>Ativo</v>
          </cell>
          <cell r="J210">
            <v>30</v>
          </cell>
          <cell r="K210">
            <v>0</v>
          </cell>
          <cell r="L210">
            <v>30</v>
          </cell>
          <cell r="N210">
            <v>0</v>
          </cell>
          <cell r="O210">
            <v>1055</v>
          </cell>
          <cell r="S210">
            <v>180</v>
          </cell>
        </row>
        <row r="211">
          <cell r="C211" t="str">
            <v>185-5</v>
          </cell>
          <cell r="D211" t="str">
            <v>WAGNER LEANDRO PINHEIRO DE FARIAS</v>
          </cell>
          <cell r="E211" t="str">
            <v xml:space="preserve">VENDEDOR(a)         </v>
          </cell>
          <cell r="F211" t="str">
            <v>055.148.534-54</v>
          </cell>
          <cell r="G211">
            <v>44287</v>
          </cell>
          <cell r="H211" t="str">
            <v>Ativo</v>
          </cell>
          <cell r="J211">
            <v>30</v>
          </cell>
          <cell r="K211">
            <v>0</v>
          </cell>
          <cell r="L211">
            <v>30</v>
          </cell>
          <cell r="N211">
            <v>0</v>
          </cell>
          <cell r="O211">
            <v>1055</v>
          </cell>
          <cell r="S211">
            <v>0</v>
          </cell>
        </row>
        <row r="212">
          <cell r="C212" t="str">
            <v>200-129</v>
          </cell>
          <cell r="D212" t="str">
            <v>CLEITON MOISES DOS SANTOS</v>
          </cell>
          <cell r="E212" t="str">
            <v xml:space="preserve">VENDEDOR(a)         </v>
          </cell>
          <cell r="F212" t="str">
            <v>079.471.906-66</v>
          </cell>
          <cell r="G212">
            <v>44090</v>
          </cell>
          <cell r="H212" t="str">
            <v>Ativo</v>
          </cell>
          <cell r="J212">
            <v>30</v>
          </cell>
          <cell r="K212">
            <v>0</v>
          </cell>
          <cell r="L212">
            <v>30</v>
          </cell>
          <cell r="N212">
            <v>0</v>
          </cell>
          <cell r="O212">
            <v>1266.07</v>
          </cell>
          <cell r="T212">
            <v>468</v>
          </cell>
        </row>
        <row r="213">
          <cell r="C213" t="str">
            <v>200-82</v>
          </cell>
          <cell r="D213" t="str">
            <v>DEBORAH EVELYN GONÇALVES DOS SANTOS</v>
          </cell>
          <cell r="E213" t="str">
            <v xml:space="preserve">VENDEDOR(a)         </v>
          </cell>
          <cell r="F213" t="str">
            <v>103.234.896-80</v>
          </cell>
          <cell r="G213">
            <v>42965</v>
          </cell>
          <cell r="H213" t="str">
            <v>Ativo</v>
          </cell>
          <cell r="J213">
            <v>30</v>
          </cell>
          <cell r="K213">
            <v>0</v>
          </cell>
          <cell r="L213">
            <v>30</v>
          </cell>
          <cell r="N213">
            <v>0</v>
          </cell>
          <cell r="O213">
            <v>1266.07</v>
          </cell>
          <cell r="T213">
            <v>608.4</v>
          </cell>
        </row>
        <row r="214">
          <cell r="C214" t="str">
            <v>200-132</v>
          </cell>
          <cell r="D214" t="str">
            <v>ERICK ANGEL NAVES MARTINS</v>
          </cell>
          <cell r="E214" t="str">
            <v xml:space="preserve">VENDEDOR(a)         </v>
          </cell>
          <cell r="F214" t="str">
            <v>099.217.546-10</v>
          </cell>
          <cell r="G214">
            <v>44152</v>
          </cell>
          <cell r="H214" t="str">
            <v>Ativo</v>
          </cell>
          <cell r="J214">
            <v>30</v>
          </cell>
          <cell r="K214">
            <v>0</v>
          </cell>
          <cell r="L214">
            <v>30</v>
          </cell>
          <cell r="N214">
            <v>0</v>
          </cell>
          <cell r="O214">
            <v>1266.07</v>
          </cell>
          <cell r="T214">
            <v>468</v>
          </cell>
        </row>
        <row r="215">
          <cell r="C215" t="str">
            <v>200-130</v>
          </cell>
          <cell r="D215" t="str">
            <v>GABRIEL MARTINS DE  FREITAS  SANTOS</v>
          </cell>
          <cell r="E215" t="str">
            <v xml:space="preserve">ASSISTENTE DE LOJA  </v>
          </cell>
          <cell r="F215" t="str">
            <v>147.617.746-57</v>
          </cell>
          <cell r="G215">
            <v>44147</v>
          </cell>
          <cell r="H215" t="str">
            <v>Ativo</v>
          </cell>
          <cell r="J215">
            <v>30</v>
          </cell>
          <cell r="K215">
            <v>0</v>
          </cell>
          <cell r="L215">
            <v>30</v>
          </cell>
          <cell r="N215">
            <v>1131.54</v>
          </cell>
          <cell r="O215">
            <v>0</v>
          </cell>
          <cell r="P215">
            <v>135</v>
          </cell>
          <cell r="T215">
            <v>468</v>
          </cell>
        </row>
        <row r="216">
          <cell r="C216" t="str">
            <v>200-133</v>
          </cell>
          <cell r="D216" t="str">
            <v>HANNA APARECIDA BARBOSA DIAS</v>
          </cell>
          <cell r="E216" t="str">
            <v xml:space="preserve">ASSISTENTE DE LOJA  </v>
          </cell>
          <cell r="F216" t="str">
            <v>135.471.056-84</v>
          </cell>
          <cell r="G216">
            <v>44155</v>
          </cell>
          <cell r="H216" t="str">
            <v>Contrato Suspenso - MP 936</v>
          </cell>
          <cell r="J216">
            <v>30</v>
          </cell>
          <cell r="K216">
            <v>0</v>
          </cell>
          <cell r="L216">
            <v>30</v>
          </cell>
          <cell r="N216">
            <v>1131.54</v>
          </cell>
          <cell r="O216">
            <v>0</v>
          </cell>
          <cell r="P216">
            <v>135</v>
          </cell>
          <cell r="S216">
            <v>0</v>
          </cell>
        </row>
        <row r="217">
          <cell r="C217" t="str">
            <v>200-120</v>
          </cell>
          <cell r="D217" t="str">
            <v>HUCHARLY REIS DO NASCIMENTO</v>
          </cell>
          <cell r="E217" t="str">
            <v xml:space="preserve">VENDEDOR(a)         </v>
          </cell>
          <cell r="F217" t="str">
            <v>701.207.096-00</v>
          </cell>
          <cell r="G217">
            <v>43721</v>
          </cell>
          <cell r="H217" t="str">
            <v>Ativo</v>
          </cell>
          <cell r="J217">
            <v>30</v>
          </cell>
          <cell r="K217">
            <v>0</v>
          </cell>
          <cell r="L217">
            <v>30</v>
          </cell>
          <cell r="N217">
            <v>0</v>
          </cell>
          <cell r="O217">
            <v>1266.07</v>
          </cell>
          <cell r="T217">
            <v>234</v>
          </cell>
        </row>
        <row r="218">
          <cell r="C218" t="str">
            <v>200-74</v>
          </cell>
          <cell r="D218" t="str">
            <v>LORRANA GABRIELA ROCHA DE MIRANDA</v>
          </cell>
          <cell r="E218" t="str">
            <v xml:space="preserve">VENDEDOR(a)         </v>
          </cell>
          <cell r="F218" t="str">
            <v>127.154.116-50</v>
          </cell>
          <cell r="G218">
            <v>42830</v>
          </cell>
          <cell r="H218" t="str">
            <v>Ativo</v>
          </cell>
          <cell r="J218">
            <v>30</v>
          </cell>
          <cell r="K218">
            <v>0</v>
          </cell>
          <cell r="L218">
            <v>30</v>
          </cell>
          <cell r="N218">
            <v>0</v>
          </cell>
          <cell r="O218">
            <v>1266.07</v>
          </cell>
          <cell r="T218">
            <v>292.5</v>
          </cell>
        </row>
        <row r="219">
          <cell r="C219" t="str">
            <v>200-136</v>
          </cell>
          <cell r="D219" t="str">
            <v>PAULO ROBERTO MEDINA PINHEIRO</v>
          </cell>
          <cell r="E219" t="str">
            <v xml:space="preserve">ASSISTENTE DE LOJA  </v>
          </cell>
          <cell r="F219" t="str">
            <v>072.345.606-29</v>
          </cell>
          <cell r="G219">
            <v>44355</v>
          </cell>
          <cell r="H219" t="str">
            <v>Ativo</v>
          </cell>
          <cell r="J219">
            <v>23</v>
          </cell>
          <cell r="K219">
            <v>0</v>
          </cell>
          <cell r="L219">
            <v>23</v>
          </cell>
          <cell r="N219">
            <v>1131.54</v>
          </cell>
          <cell r="O219">
            <v>0</v>
          </cell>
          <cell r="P219">
            <v>135</v>
          </cell>
          <cell r="R219">
            <v>103.04</v>
          </cell>
          <cell r="T219">
            <v>203.7</v>
          </cell>
        </row>
        <row r="220">
          <cell r="C220" t="str">
            <v>200-128</v>
          </cell>
          <cell r="D220" t="str">
            <v>RAFAEL IDEVALDO DE ALMEIDA</v>
          </cell>
          <cell r="E220" t="str">
            <v xml:space="preserve">GERENTE DE LOJA     </v>
          </cell>
          <cell r="F220" t="str">
            <v>054.079.756-10</v>
          </cell>
          <cell r="G220">
            <v>44075</v>
          </cell>
          <cell r="H220" t="str">
            <v>Ativo</v>
          </cell>
          <cell r="J220">
            <v>30</v>
          </cell>
          <cell r="K220">
            <v>0</v>
          </cell>
          <cell r="L220">
            <v>30</v>
          </cell>
          <cell r="N220">
            <v>0</v>
          </cell>
          <cell r="O220">
            <v>4569.3</v>
          </cell>
          <cell r="S220">
            <v>0</v>
          </cell>
        </row>
        <row r="221">
          <cell r="C221" t="str">
            <v>200-135</v>
          </cell>
          <cell r="D221" t="str">
            <v>RENATA MAYRA DE LIMA E SILVA</v>
          </cell>
          <cell r="E221" t="str">
            <v xml:space="preserve">VENDEDOR(a)         </v>
          </cell>
          <cell r="F221" t="str">
            <v>109.620.456-83</v>
          </cell>
          <cell r="G221">
            <v>44352</v>
          </cell>
          <cell r="H221" t="str">
            <v>Ativo</v>
          </cell>
          <cell r="J221">
            <v>25</v>
          </cell>
          <cell r="K221">
            <v>0</v>
          </cell>
          <cell r="L221">
            <v>25</v>
          </cell>
          <cell r="N221">
            <v>0</v>
          </cell>
          <cell r="O221">
            <v>1266.07</v>
          </cell>
          <cell r="R221">
            <v>296.24</v>
          </cell>
          <cell r="T221">
            <v>536.25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558F9-590A-43A2-B597-B05613F57062}">
  <sheetPr codeName="Sheet1"/>
  <dimension ref="A1:AL232"/>
  <sheetViews>
    <sheetView showGridLines="0" tabSelected="1" zoomScaleNormal="100" workbookViewId="0">
      <selection activeCell="G11" sqref="G11"/>
    </sheetView>
  </sheetViews>
  <sheetFormatPr defaultColWidth="9.109375" defaultRowHeight="12" x14ac:dyDescent="0.25"/>
  <cols>
    <col min="1" max="1" width="8.6640625" style="164" customWidth="1"/>
    <col min="2" max="3" width="9.88671875" style="164" customWidth="1"/>
    <col min="4" max="4" width="31" style="16" customWidth="1"/>
    <col min="5" max="5" width="18.33203125" style="16" bestFit="1" customWidth="1"/>
    <col min="6" max="6" width="13" style="164" customWidth="1"/>
    <col min="7" max="7" width="10" style="164" customWidth="1"/>
    <col min="8" max="8" width="25" style="164" customWidth="1"/>
    <col min="9" max="9" width="3.44140625" style="164" customWidth="1"/>
    <col min="10" max="10" width="10" style="164" customWidth="1"/>
    <col min="11" max="11" width="7.44140625" style="164" customWidth="1"/>
    <col min="12" max="12" width="7.109375" style="165" customWidth="1"/>
    <col min="13" max="13" width="2.44140625" style="164" customWidth="1"/>
    <col min="14" max="14" width="14.33203125" style="153" customWidth="1"/>
    <col min="15" max="15" width="11.33203125" style="153" customWidth="1"/>
    <col min="16" max="16" width="9.6640625" style="153" customWidth="1"/>
    <col min="17" max="18" width="9.109375" style="153" customWidth="1"/>
    <col min="19" max="19" width="12.44140625" style="153" customWidth="1"/>
    <col min="20" max="20" width="11.5546875" style="153" customWidth="1"/>
    <col min="21" max="21" width="10.6640625" style="16" customWidth="1"/>
    <col min="22" max="23" width="9.109375" style="16" customWidth="1"/>
    <col min="24" max="24" width="2" style="16" customWidth="1"/>
    <col min="25" max="25" width="15" style="16" customWidth="1"/>
    <col min="26" max="26" width="1.88671875" style="16" customWidth="1"/>
    <col min="27" max="27" width="12.44140625" style="16" bestFit="1" customWidth="1"/>
    <col min="28" max="30" width="9.109375" style="16"/>
    <col min="31" max="31" width="10.88671875" style="16" bestFit="1" customWidth="1"/>
    <col min="32" max="32" width="12.44140625" style="16" bestFit="1" customWidth="1"/>
    <col min="33" max="34" width="9.109375" style="16"/>
    <col min="35" max="35" width="10.33203125" style="16" bestFit="1" customWidth="1"/>
    <col min="36" max="36" width="10.109375" style="16" bestFit="1" customWidth="1"/>
    <col min="37" max="16384" width="9.109375" style="16"/>
  </cols>
  <sheetData>
    <row r="1" spans="1:38" s="3" customFormat="1" ht="79.2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</row>
    <row r="2" spans="1:38" ht="43.5" customHeight="1" x14ac:dyDescent="0.25">
      <c r="A2" s="136" t="s">
        <v>0</v>
      </c>
      <c r="B2" s="137" t="s">
        <v>1</v>
      </c>
      <c r="C2" s="137"/>
      <c r="D2" s="137" t="s">
        <v>2</v>
      </c>
      <c r="E2" s="138" t="s">
        <v>3</v>
      </c>
      <c r="F2" s="137" t="s">
        <v>4</v>
      </c>
      <c r="G2" s="137" t="s">
        <v>5</v>
      </c>
      <c r="H2" s="137" t="s">
        <v>880</v>
      </c>
      <c r="I2" s="139"/>
      <c r="J2" s="140" t="s">
        <v>6</v>
      </c>
      <c r="K2" s="141" t="s">
        <v>7</v>
      </c>
      <c r="L2" s="137" t="s">
        <v>8</v>
      </c>
      <c r="M2" s="15"/>
      <c r="N2" s="142" t="s">
        <v>9</v>
      </c>
      <c r="O2" s="142" t="s">
        <v>10</v>
      </c>
      <c r="P2" s="143" t="s">
        <v>11</v>
      </c>
      <c r="Q2" s="144" t="s">
        <v>12</v>
      </c>
      <c r="R2" s="144" t="s">
        <v>878</v>
      </c>
      <c r="S2" s="143" t="s">
        <v>13</v>
      </c>
      <c r="T2" s="144" t="s">
        <v>877</v>
      </c>
      <c r="U2" s="145" t="s">
        <v>936</v>
      </c>
      <c r="V2" s="146">
        <v>0.06</v>
      </c>
      <c r="W2" s="147" t="s">
        <v>937</v>
      </c>
      <c r="Y2" s="148" t="s">
        <v>14</v>
      </c>
      <c r="AA2" s="150" t="s">
        <v>15</v>
      </c>
      <c r="AB2" s="150" t="s">
        <v>16</v>
      </c>
      <c r="AC2" s="149" t="s">
        <v>17</v>
      </c>
      <c r="AD2" s="150" t="s">
        <v>18</v>
      </c>
      <c r="AE2" s="151" t="s">
        <v>19</v>
      </c>
      <c r="AF2" s="140" t="s">
        <v>20</v>
      </c>
      <c r="AG2" s="149" t="s">
        <v>21</v>
      </c>
      <c r="AH2" s="149" t="s">
        <v>22</v>
      </c>
      <c r="AI2" s="149" t="s">
        <v>938</v>
      </c>
    </row>
    <row r="3" spans="1:38" x14ac:dyDescent="0.25">
      <c r="A3" s="10">
        <v>62</v>
      </c>
      <c r="B3" s="10">
        <v>286</v>
      </c>
      <c r="C3" s="11" t="s">
        <v>23</v>
      </c>
      <c r="D3" s="12" t="s">
        <v>24</v>
      </c>
      <c r="E3" s="12" t="s">
        <v>25</v>
      </c>
      <c r="F3" s="13" t="s">
        <v>26</v>
      </c>
      <c r="G3" s="14">
        <v>42685</v>
      </c>
      <c r="H3" s="13" t="s">
        <v>27</v>
      </c>
      <c r="I3" s="15"/>
      <c r="J3" s="185">
        <v>30</v>
      </c>
      <c r="K3" s="5">
        <v>0</v>
      </c>
      <c r="L3" s="185">
        <v>30</v>
      </c>
      <c r="M3" s="15"/>
      <c r="N3" s="154">
        <v>0</v>
      </c>
      <c r="O3" s="154">
        <v>1719</v>
      </c>
      <c r="P3" s="152"/>
      <c r="Q3" s="213">
        <f>IFERROR(VLOOKUP(C3,[1]Planilha1!$C$1:$Q$65536,15,0),0)</f>
        <v>0</v>
      </c>
      <c r="R3" s="213">
        <f>IFERROR(VLOOKUP(C3,[1]Planilha1!$C$1:$R$65536,16,0),0)</f>
        <v>0</v>
      </c>
      <c r="S3" s="213">
        <f>IFERROR(VLOOKUP(C3,[1]Planilha1!$C$1:$S$65536,17,0),0)</f>
        <v>0</v>
      </c>
      <c r="T3" s="213">
        <f>IFERROR(VLOOKUP(C3,[1]Planilha1!$C$1:$T$65536,18,0),0)</f>
        <v>504.44</v>
      </c>
      <c r="U3" s="186">
        <v>504.44</v>
      </c>
      <c r="V3" s="261">
        <v>293.38978199999997</v>
      </c>
      <c r="W3" s="186">
        <v>293.38978199999997</v>
      </c>
      <c r="X3" s="218"/>
      <c r="Y3" s="186">
        <v>1719</v>
      </c>
      <c r="AA3" s="184">
        <v>3911.8637599999997</v>
      </c>
      <c r="AB3" s="184">
        <v>977.96593999999993</v>
      </c>
      <c r="AC3" s="174">
        <v>400</v>
      </c>
      <c r="AD3" s="184">
        <v>698.54709999999989</v>
      </c>
      <c r="AE3" s="184">
        <v>5988.3767999999991</v>
      </c>
      <c r="AF3" s="219">
        <v>0</v>
      </c>
      <c r="AG3" s="174">
        <v>400</v>
      </c>
      <c r="AH3" s="220"/>
      <c r="AI3" s="175"/>
    </row>
    <row r="4" spans="1:38" x14ac:dyDescent="0.25">
      <c r="A4" s="10">
        <v>62</v>
      </c>
      <c r="B4" s="10">
        <v>325</v>
      </c>
      <c r="C4" s="11" t="s">
        <v>28</v>
      </c>
      <c r="D4" s="12" t="s">
        <v>29</v>
      </c>
      <c r="E4" s="12" t="s">
        <v>30</v>
      </c>
      <c r="F4" s="13" t="s">
        <v>31</v>
      </c>
      <c r="G4" s="14">
        <v>44174</v>
      </c>
      <c r="H4" s="13" t="s">
        <v>27</v>
      </c>
      <c r="I4" s="15"/>
      <c r="J4" s="185">
        <v>30</v>
      </c>
      <c r="K4" s="5">
        <v>0</v>
      </c>
      <c r="L4" s="185">
        <v>30</v>
      </c>
      <c r="M4" s="15"/>
      <c r="N4" s="154">
        <v>1575.67</v>
      </c>
      <c r="O4" s="154"/>
      <c r="P4" s="152">
        <v>97</v>
      </c>
      <c r="Q4" s="213">
        <f>IFERROR(VLOOKUP(C4,[1]Planilha1!$C$1:$Q$65536,15,0),0)</f>
        <v>0</v>
      </c>
      <c r="R4" s="213">
        <f>IFERROR(VLOOKUP(C4,[1]Planilha1!$C$1:$R$65536,16,0),0)</f>
        <v>0</v>
      </c>
      <c r="S4" s="152" t="str">
        <f>IFERROR(VLOOKUP(C4,'[2]Base 06-2021'!$C$1:$T$65536,17,0),0)</f>
        <v>Fretado</v>
      </c>
      <c r="T4" s="213">
        <f>IFERROR(VLOOKUP(C4,[1]Planilha1!$C$1:$T$65536,18,0),0)</f>
        <v>0</v>
      </c>
      <c r="U4" s="186">
        <v>0</v>
      </c>
      <c r="V4" s="261">
        <v>94.540199999999999</v>
      </c>
      <c r="W4" s="186">
        <v>94.540199999999999</v>
      </c>
      <c r="X4" s="218"/>
      <c r="Y4" s="186">
        <v>1575.67</v>
      </c>
      <c r="AA4" s="6"/>
      <c r="AB4" s="6"/>
      <c r="AC4" s="7"/>
      <c r="AD4" s="6"/>
      <c r="AE4" s="6">
        <v>0</v>
      </c>
      <c r="AF4" s="186">
        <v>1575.67</v>
      </c>
      <c r="AG4" s="7"/>
      <c r="AH4" s="213"/>
      <c r="AI4" s="152"/>
      <c r="AL4" s="16" t="s">
        <v>1154</v>
      </c>
    </row>
    <row r="5" spans="1:38" x14ac:dyDescent="0.25">
      <c r="A5" s="10">
        <v>62</v>
      </c>
      <c r="B5" s="10">
        <v>106</v>
      </c>
      <c r="C5" s="11" t="s">
        <v>32</v>
      </c>
      <c r="D5" s="12" t="s">
        <v>33</v>
      </c>
      <c r="E5" s="12" t="s">
        <v>34</v>
      </c>
      <c r="F5" s="13" t="s">
        <v>35</v>
      </c>
      <c r="G5" s="14">
        <v>40868</v>
      </c>
      <c r="H5" s="13" t="s">
        <v>36</v>
      </c>
      <c r="I5" s="15"/>
      <c r="J5" s="185">
        <v>18</v>
      </c>
      <c r="K5" s="5">
        <v>6</v>
      </c>
      <c r="L5" s="185">
        <v>24</v>
      </c>
      <c r="M5" s="139"/>
      <c r="N5" s="166">
        <v>1406</v>
      </c>
      <c r="O5" s="166"/>
      <c r="P5" s="167"/>
      <c r="Q5" s="213">
        <f>IFERROR(VLOOKUP(C5,[1]Planilha1!$C$1:$Q$65536,15,0),0)</f>
        <v>0</v>
      </c>
      <c r="R5" s="213">
        <f>IFERROR(VLOOKUP(C5,[1]Planilha1!$C$1:$R$65536,16,0),0)</f>
        <v>0</v>
      </c>
      <c r="S5" s="213">
        <f>IFERROR(VLOOKUP(C5,[1]Planilha1!$C$1:$S$65536,17,0),0)</f>
        <v>0</v>
      </c>
      <c r="T5" s="213">
        <f>IFERROR(VLOOKUP(C5,[1]Planilha1!$C$1:$T$65536,18,0),0)</f>
        <v>0</v>
      </c>
      <c r="U5" s="186">
        <v>0</v>
      </c>
      <c r="V5" s="261">
        <v>0</v>
      </c>
      <c r="W5" s="186">
        <v>0</v>
      </c>
      <c r="X5" s="218"/>
      <c r="Y5" s="186">
        <v>843.6</v>
      </c>
      <c r="AA5" s="6"/>
      <c r="AB5" s="6"/>
      <c r="AC5" s="7">
        <v>4000</v>
      </c>
      <c r="AD5" s="6"/>
      <c r="AE5" s="186">
        <v>4000</v>
      </c>
      <c r="AF5" s="6">
        <v>0</v>
      </c>
      <c r="AG5" s="7"/>
      <c r="AH5" s="213"/>
      <c r="AI5" s="152"/>
      <c r="AJ5" s="153"/>
    </row>
    <row r="6" spans="1:38" x14ac:dyDescent="0.25">
      <c r="A6" s="10">
        <v>62</v>
      </c>
      <c r="B6" s="10">
        <v>322</v>
      </c>
      <c r="C6" s="11" t="s">
        <v>37</v>
      </c>
      <c r="D6" s="12" t="s">
        <v>38</v>
      </c>
      <c r="E6" s="12" t="s">
        <v>25</v>
      </c>
      <c r="F6" s="13" t="s">
        <v>39</v>
      </c>
      <c r="G6" s="14">
        <v>44113</v>
      </c>
      <c r="H6" s="13" t="s">
        <v>27</v>
      </c>
      <c r="I6" s="15"/>
      <c r="J6" s="185">
        <v>30</v>
      </c>
      <c r="K6" s="5">
        <v>0</v>
      </c>
      <c r="L6" s="185">
        <v>30</v>
      </c>
      <c r="M6" s="15"/>
      <c r="N6" s="154">
        <v>0</v>
      </c>
      <c r="O6" s="154">
        <v>1719</v>
      </c>
      <c r="P6" s="152"/>
      <c r="Q6" s="213">
        <f>IFERROR(VLOOKUP(C6,[1]Planilha1!$C$1:$Q$65536,15,0),0)</f>
        <v>0</v>
      </c>
      <c r="R6" s="213">
        <f>IFERROR(VLOOKUP(C6,[1]Planilha1!$C$1:$R$65536,16,0),0)</f>
        <v>0</v>
      </c>
      <c r="S6" s="213">
        <f>IFERROR(VLOOKUP(C6,[1]Planilha1!$C$1:$S$65536,17,0),0)</f>
        <v>0</v>
      </c>
      <c r="T6" s="213">
        <f>IFERROR(VLOOKUP(C6,[1]Planilha1!$C$1:$T$65536,18,0),0)</f>
        <v>504.4</v>
      </c>
      <c r="U6" s="186">
        <v>504.4</v>
      </c>
      <c r="V6" s="261">
        <v>158.57580899999996</v>
      </c>
      <c r="W6" s="186">
        <v>158.57580899999996</v>
      </c>
      <c r="X6" s="218"/>
      <c r="Y6" s="186">
        <v>1719</v>
      </c>
      <c r="AA6" s="186">
        <v>2114.3441199999997</v>
      </c>
      <c r="AB6" s="186">
        <v>528.58602999999994</v>
      </c>
      <c r="AC6" s="7"/>
      <c r="AD6" s="6"/>
      <c r="AE6" s="186">
        <v>2642.9301499999997</v>
      </c>
      <c r="AF6" s="6">
        <v>0</v>
      </c>
      <c r="AG6" s="7"/>
      <c r="AH6" s="213"/>
      <c r="AI6" s="152"/>
    </row>
    <row r="7" spans="1:38" x14ac:dyDescent="0.25">
      <c r="A7" s="10">
        <v>62</v>
      </c>
      <c r="B7" s="10">
        <v>282</v>
      </c>
      <c r="C7" s="11" t="s">
        <v>40</v>
      </c>
      <c r="D7" s="12" t="s">
        <v>41</v>
      </c>
      <c r="E7" s="12" t="s">
        <v>25</v>
      </c>
      <c r="F7" s="13" t="s">
        <v>42</v>
      </c>
      <c r="G7" s="14">
        <v>42529</v>
      </c>
      <c r="H7" s="13" t="s">
        <v>27</v>
      </c>
      <c r="I7" s="15"/>
      <c r="J7" s="185">
        <v>30</v>
      </c>
      <c r="K7" s="5">
        <v>0</v>
      </c>
      <c r="L7" s="185">
        <v>30</v>
      </c>
      <c r="M7" s="15"/>
      <c r="N7" s="154">
        <v>0</v>
      </c>
      <c r="O7" s="154">
        <v>1719</v>
      </c>
      <c r="P7" s="152"/>
      <c r="Q7" s="213">
        <f>IFERROR(VLOOKUP(C7,[1]Planilha1!$C$1:$Q$65536,15,0),0)</f>
        <v>0</v>
      </c>
      <c r="R7" s="213">
        <f>IFERROR(VLOOKUP(C7,[1]Planilha1!$C$1:$R$65536,16,0),0)</f>
        <v>41</v>
      </c>
      <c r="S7" s="213">
        <f>IFERROR(VLOOKUP(C7,[1]Planilha1!$C$1:$S$65536,17,0),0)</f>
        <v>0</v>
      </c>
      <c r="T7" s="213">
        <f>IFERROR(VLOOKUP(C7,[1]Planilha1!$C$1:$T$65536,18,0),0)</f>
        <v>0</v>
      </c>
      <c r="U7" s="186">
        <v>0</v>
      </c>
      <c r="V7" s="261">
        <v>103.14</v>
      </c>
      <c r="W7" s="186">
        <v>0</v>
      </c>
      <c r="X7" s="218"/>
      <c r="Y7" s="186">
        <v>1719</v>
      </c>
      <c r="AA7" s="186">
        <v>961.3374399999999</v>
      </c>
      <c r="AB7" s="186">
        <v>240.33435999999998</v>
      </c>
      <c r="AC7" s="7"/>
      <c r="AD7" s="6"/>
      <c r="AE7" s="186">
        <v>1201.6717999999998</v>
      </c>
      <c r="AF7" s="186">
        <v>517.32820000000015</v>
      </c>
      <c r="AG7" s="7"/>
      <c r="AH7" s="213"/>
      <c r="AI7" s="152"/>
    </row>
    <row r="8" spans="1:38" x14ac:dyDescent="0.25">
      <c r="A8" s="10">
        <v>62</v>
      </c>
      <c r="B8" s="10">
        <v>316</v>
      </c>
      <c r="C8" s="11" t="s">
        <v>43</v>
      </c>
      <c r="D8" s="12" t="s">
        <v>44</v>
      </c>
      <c r="E8" s="12" t="s">
        <v>25</v>
      </c>
      <c r="F8" s="13" t="s">
        <v>45</v>
      </c>
      <c r="G8" s="14">
        <v>43752</v>
      </c>
      <c r="H8" s="13" t="s">
        <v>27</v>
      </c>
      <c r="I8" s="15"/>
      <c r="J8" s="185">
        <v>-30</v>
      </c>
      <c r="K8" s="5">
        <v>30</v>
      </c>
      <c r="L8" s="185">
        <v>0</v>
      </c>
      <c r="M8" s="15"/>
      <c r="N8" s="154">
        <v>0</v>
      </c>
      <c r="O8" s="154">
        <v>1719</v>
      </c>
      <c r="P8" s="152"/>
      <c r="Q8" s="213">
        <f>IFERROR(VLOOKUP(C8,[1]Planilha1!$C$1:$Q$65536,15,0),0)</f>
        <v>0</v>
      </c>
      <c r="R8" s="213">
        <f>IFERROR(VLOOKUP(C8,[1]Planilha1!$C$1:$R$65536,16,0),0)</f>
        <v>0</v>
      </c>
      <c r="S8" s="213">
        <f>IFERROR(VLOOKUP(C8,[1]Planilha1!$C$1:$S$65536,17,0),0)</f>
        <v>0</v>
      </c>
      <c r="T8" s="213">
        <f>IFERROR(VLOOKUP(C8,[1]Planilha1!$C$1:$T$65536,18,0),0)</f>
        <v>0</v>
      </c>
      <c r="U8" s="186">
        <v>0</v>
      </c>
      <c r="V8" s="261">
        <v>240.87894599999996</v>
      </c>
      <c r="W8" s="186">
        <v>0</v>
      </c>
      <c r="X8" s="218"/>
      <c r="Y8" s="186">
        <v>-1719</v>
      </c>
      <c r="AA8" s="186">
        <v>3211.7192799999998</v>
      </c>
      <c r="AB8" s="186">
        <v>802.92981999999995</v>
      </c>
      <c r="AC8" s="7"/>
      <c r="AD8" s="186">
        <v>573.5213</v>
      </c>
      <c r="AE8" s="186">
        <v>4588.1704</v>
      </c>
      <c r="AF8" s="6">
        <v>0</v>
      </c>
      <c r="AG8" s="7"/>
      <c r="AH8" s="213"/>
      <c r="AI8" s="152"/>
    </row>
    <row r="9" spans="1:38" x14ac:dyDescent="0.25">
      <c r="A9" s="10">
        <v>62</v>
      </c>
      <c r="B9" s="10">
        <v>266</v>
      </c>
      <c r="C9" s="11" t="s">
        <v>46</v>
      </c>
      <c r="D9" s="12" t="s">
        <v>47</v>
      </c>
      <c r="E9" s="12" t="s">
        <v>48</v>
      </c>
      <c r="F9" s="13" t="s">
        <v>49</v>
      </c>
      <c r="G9" s="14">
        <v>42333</v>
      </c>
      <c r="H9" s="13" t="s">
        <v>27</v>
      </c>
      <c r="I9" s="15"/>
      <c r="J9" s="185">
        <v>14</v>
      </c>
      <c r="K9" s="5">
        <v>8</v>
      </c>
      <c r="L9" s="185">
        <v>22</v>
      </c>
      <c r="M9" s="15"/>
      <c r="N9" s="166">
        <v>0</v>
      </c>
      <c r="O9" s="166">
        <v>4692.6000000000004</v>
      </c>
      <c r="P9" s="167"/>
      <c r="Q9" s="213">
        <f>IFERROR(VLOOKUP(C9,[1]Planilha1!$C$1:$Q$65536,15,0),0)</f>
        <v>0</v>
      </c>
      <c r="R9" s="213">
        <f>IFERROR(VLOOKUP(C9,[1]Planilha1!$C$1:$R$65536,16,0),0)</f>
        <v>0</v>
      </c>
      <c r="S9" s="213">
        <f>IFERROR(VLOOKUP(C9,[1]Planilha1!$C$1:$S$65536,17,0),0)</f>
        <v>0</v>
      </c>
      <c r="T9" s="213">
        <f>IFERROR(VLOOKUP(C9,[1]Planilha1!$C$1:$T$65536,18,0),0)</f>
        <v>0</v>
      </c>
      <c r="U9" s="186">
        <v>0</v>
      </c>
      <c r="V9" s="261">
        <v>483.91499999999996</v>
      </c>
      <c r="W9" s="186">
        <v>0</v>
      </c>
      <c r="X9" s="218"/>
      <c r="Y9" s="186">
        <v>2189.88</v>
      </c>
      <c r="AA9" s="186" t="s">
        <v>1151</v>
      </c>
      <c r="AB9" s="186">
        <v>1613.05</v>
      </c>
      <c r="AC9" s="7"/>
      <c r="AD9" s="186">
        <v>2000</v>
      </c>
      <c r="AE9" s="186">
        <v>10065.25</v>
      </c>
      <c r="AF9" s="6">
        <v>0</v>
      </c>
      <c r="AG9" s="7"/>
      <c r="AH9" s="213"/>
      <c r="AI9" s="152"/>
    </row>
    <row r="10" spans="1:38" x14ac:dyDescent="0.25">
      <c r="A10" s="10">
        <v>62</v>
      </c>
      <c r="B10" s="10">
        <v>323</v>
      </c>
      <c r="C10" s="11" t="s">
        <v>50</v>
      </c>
      <c r="D10" s="12" t="s">
        <v>51</v>
      </c>
      <c r="E10" s="12" t="s">
        <v>30</v>
      </c>
      <c r="F10" s="13" t="s">
        <v>52</v>
      </c>
      <c r="G10" s="14">
        <v>44152</v>
      </c>
      <c r="H10" s="13" t="s">
        <v>27</v>
      </c>
      <c r="I10" s="15"/>
      <c r="J10" s="185">
        <v>30</v>
      </c>
      <c r="K10" s="5">
        <v>0</v>
      </c>
      <c r="L10" s="185">
        <v>30</v>
      </c>
      <c r="M10" s="15"/>
      <c r="N10" s="154">
        <v>1575.67</v>
      </c>
      <c r="O10" s="154"/>
      <c r="P10" s="152">
        <v>97</v>
      </c>
      <c r="Q10" s="213">
        <f>IFERROR(VLOOKUP(C10,[1]Planilha1!$C$1:$Q$65536,15,0),0)</f>
        <v>0</v>
      </c>
      <c r="R10" s="213">
        <f>IFERROR(VLOOKUP(C10,[1]Planilha1!$C$1:$R$65536,16,0),0)</f>
        <v>0</v>
      </c>
      <c r="S10" s="213">
        <f>IFERROR(VLOOKUP(C10,[1]Planilha1!$C$1:$S$65536,17,0),0)</f>
        <v>0</v>
      </c>
      <c r="T10" s="213">
        <f>IFERROR(VLOOKUP(C10,[1]Planilha1!$C$1:$T$65536,18,0),0)</f>
        <v>0</v>
      </c>
      <c r="U10" s="186">
        <v>0</v>
      </c>
      <c r="V10" s="261">
        <v>94.540199999999999</v>
      </c>
      <c r="W10" s="186">
        <v>0</v>
      </c>
      <c r="X10" s="218"/>
      <c r="Y10" s="186">
        <v>1575.67</v>
      </c>
      <c r="AA10" s="6"/>
      <c r="AB10" s="6"/>
      <c r="AC10" s="7"/>
      <c r="AD10" s="6"/>
      <c r="AE10" s="6">
        <v>0</v>
      </c>
      <c r="AF10" s="186">
        <v>1575.67</v>
      </c>
      <c r="AG10" s="7"/>
      <c r="AH10" s="213"/>
      <c r="AI10" s="152"/>
    </row>
    <row r="11" spans="1:38" x14ac:dyDescent="0.25">
      <c r="A11" s="10">
        <v>62</v>
      </c>
      <c r="B11" s="10">
        <v>327</v>
      </c>
      <c r="C11" s="11" t="s">
        <v>881</v>
      </c>
      <c r="D11" s="155" t="s">
        <v>882</v>
      </c>
      <c r="E11" s="155" t="s">
        <v>25</v>
      </c>
      <c r="F11" s="156" t="s">
        <v>883</v>
      </c>
      <c r="G11" s="157">
        <v>44384</v>
      </c>
      <c r="H11" s="156" t="s">
        <v>27</v>
      </c>
      <c r="I11" s="15"/>
      <c r="J11" s="185">
        <v>24</v>
      </c>
      <c r="K11" s="5">
        <v>0</v>
      </c>
      <c r="L11" s="185">
        <v>24</v>
      </c>
      <c r="M11" s="15"/>
      <c r="N11" s="154">
        <v>0</v>
      </c>
      <c r="O11" s="154">
        <v>1719</v>
      </c>
      <c r="P11" s="152"/>
      <c r="Q11" s="213">
        <f>IFERROR(VLOOKUP(C11,[1]Planilha1!$C$1:$Q$65536,15,0),0)</f>
        <v>0</v>
      </c>
      <c r="R11" s="213">
        <f>IFERROR(VLOOKUP(C11,[1]Planilha1!$C$1:$R$65536,16,0),0)</f>
        <v>76</v>
      </c>
      <c r="S11" s="213">
        <f>IFERROR(VLOOKUP(C11,[1]Planilha1!$C$1:$S$65536,17,0),0)</f>
        <v>0</v>
      </c>
      <c r="T11" s="213">
        <f>IFERROR(VLOOKUP(C11,[1]Planilha1!$C$1:$T$65536,18,0),0)</f>
        <v>200</v>
      </c>
      <c r="U11" s="186">
        <v>200</v>
      </c>
      <c r="V11" s="261">
        <v>103.14</v>
      </c>
      <c r="W11" s="186">
        <v>103.14</v>
      </c>
      <c r="X11" s="218"/>
      <c r="Y11" s="186">
        <v>1375.1999999999998</v>
      </c>
      <c r="AA11" s="6"/>
      <c r="AB11" s="6"/>
      <c r="AC11" s="7"/>
      <c r="AD11" s="6"/>
      <c r="AE11" s="6">
        <v>0</v>
      </c>
      <c r="AF11" s="186">
        <v>1375.1999999999998</v>
      </c>
      <c r="AG11" s="7"/>
      <c r="AH11" s="213"/>
      <c r="AI11" s="152"/>
    </row>
    <row r="12" spans="1:38" x14ac:dyDescent="0.25">
      <c r="A12" s="10">
        <v>62</v>
      </c>
      <c r="B12" s="10">
        <v>326</v>
      </c>
      <c r="C12" s="11" t="s">
        <v>53</v>
      </c>
      <c r="D12" s="12" t="s">
        <v>54</v>
      </c>
      <c r="E12" s="12" t="s">
        <v>30</v>
      </c>
      <c r="F12" s="13" t="s">
        <v>55</v>
      </c>
      <c r="G12" s="14">
        <v>44221</v>
      </c>
      <c r="H12" s="13" t="s">
        <v>27</v>
      </c>
      <c r="I12" s="15"/>
      <c r="J12" s="185">
        <v>30</v>
      </c>
      <c r="K12" s="5">
        <v>0</v>
      </c>
      <c r="L12" s="185">
        <v>30</v>
      </c>
      <c r="M12" s="15"/>
      <c r="N12" s="154">
        <v>1575.67</v>
      </c>
      <c r="O12" s="154"/>
      <c r="P12" s="152">
        <v>97</v>
      </c>
      <c r="Q12" s="213">
        <f>IFERROR(VLOOKUP(C12,[1]Planilha1!$C$1:$Q$65536,15,0),0)</f>
        <v>0</v>
      </c>
      <c r="R12" s="213">
        <f>IFERROR(VLOOKUP(C12,[1]Planilha1!$C$1:$R$65536,16,0),0)</f>
        <v>0</v>
      </c>
      <c r="S12" s="213">
        <f>IFERROR(VLOOKUP(C12,[1]Planilha1!$C$1:$S$65536,17,0),0)</f>
        <v>0</v>
      </c>
      <c r="T12" s="213">
        <f>IFERROR(VLOOKUP(C12,[1]Planilha1!$C$1:$T$65536,18,0),0)</f>
        <v>208</v>
      </c>
      <c r="U12" s="186">
        <v>208</v>
      </c>
      <c r="V12" s="261">
        <v>94.540199999999999</v>
      </c>
      <c r="W12" s="186">
        <v>94.540199999999999</v>
      </c>
      <c r="X12" s="218"/>
      <c r="Y12" s="186">
        <v>1575.67</v>
      </c>
      <c r="AA12" s="6"/>
      <c r="AB12" s="6"/>
      <c r="AC12" s="7"/>
      <c r="AD12" s="6"/>
      <c r="AE12" s="6">
        <v>0</v>
      </c>
      <c r="AF12" s="186">
        <v>1575.67</v>
      </c>
      <c r="AG12" s="7"/>
      <c r="AH12" s="213"/>
      <c r="AI12" s="152"/>
    </row>
    <row r="13" spans="1:38" x14ac:dyDescent="0.25">
      <c r="A13" s="10">
        <v>62</v>
      </c>
      <c r="B13" s="10">
        <v>314</v>
      </c>
      <c r="C13" s="11" t="s">
        <v>56</v>
      </c>
      <c r="D13" s="12" t="s">
        <v>57</v>
      </c>
      <c r="E13" s="12" t="s">
        <v>25</v>
      </c>
      <c r="F13" s="13" t="s">
        <v>58</v>
      </c>
      <c r="G13" s="14">
        <v>43714</v>
      </c>
      <c r="H13" s="13" t="s">
        <v>27</v>
      </c>
      <c r="I13" s="15"/>
      <c r="J13" s="185">
        <v>30</v>
      </c>
      <c r="K13" s="5">
        <v>0</v>
      </c>
      <c r="L13" s="185">
        <v>30</v>
      </c>
      <c r="M13" s="15"/>
      <c r="N13" s="154">
        <v>0</v>
      </c>
      <c r="O13" s="154">
        <v>1719</v>
      </c>
      <c r="P13" s="152"/>
      <c r="Q13" s="213">
        <f>IFERROR(VLOOKUP(C13,[1]Planilha1!$C$1:$Q$65536,15,0),0)</f>
        <v>0</v>
      </c>
      <c r="R13" s="213">
        <f>IFERROR(VLOOKUP(C13,[1]Planilha1!$C$1:$R$65536,16,0),0)</f>
        <v>0</v>
      </c>
      <c r="S13" s="213">
        <f>IFERROR(VLOOKUP(C13,[1]Planilha1!$C$1:$S$65536,17,0),0)</f>
        <v>0</v>
      </c>
      <c r="T13" s="213">
        <f>IFERROR(VLOOKUP(C13,[1]Planilha1!$C$1:$T$65536,18,0),0)</f>
        <v>0</v>
      </c>
      <c r="U13" s="186">
        <v>0</v>
      </c>
      <c r="V13" s="261">
        <v>103.14</v>
      </c>
      <c r="W13" s="186">
        <v>0</v>
      </c>
      <c r="X13" s="218"/>
      <c r="Y13" s="186">
        <v>1719</v>
      </c>
      <c r="AA13" s="6"/>
      <c r="AB13" s="6"/>
      <c r="AC13" s="7"/>
      <c r="AD13" s="6"/>
      <c r="AE13" s="6">
        <v>0</v>
      </c>
      <c r="AF13" s="186">
        <v>1719</v>
      </c>
      <c r="AG13" s="7"/>
      <c r="AH13" s="213"/>
      <c r="AI13" s="152"/>
    </row>
    <row r="14" spans="1:38" x14ac:dyDescent="0.25">
      <c r="A14" s="10">
        <v>62</v>
      </c>
      <c r="B14" s="10">
        <v>303</v>
      </c>
      <c r="C14" s="11" t="s">
        <v>59</v>
      </c>
      <c r="D14" s="12" t="s">
        <v>60</v>
      </c>
      <c r="E14" s="12" t="s">
        <v>30</v>
      </c>
      <c r="F14" s="13" t="s">
        <v>61</v>
      </c>
      <c r="G14" s="14">
        <v>43336</v>
      </c>
      <c r="H14" s="13" t="s">
        <v>27</v>
      </c>
      <c r="I14" s="15"/>
      <c r="J14" s="185">
        <v>-30</v>
      </c>
      <c r="K14" s="5">
        <v>30</v>
      </c>
      <c r="L14" s="185">
        <v>0</v>
      </c>
      <c r="M14" s="15"/>
      <c r="N14" s="154">
        <v>1575.67</v>
      </c>
      <c r="O14" s="154"/>
      <c r="P14" s="152">
        <v>97</v>
      </c>
      <c r="Q14" s="213">
        <f>IFERROR(VLOOKUP(C14,[1]Planilha1!$C$1:$Q$65536,15,0),0)</f>
        <v>0</v>
      </c>
      <c r="R14" s="213">
        <f>IFERROR(VLOOKUP(C14,[1]Planilha1!$C$1:$R$65536,16,0),0)</f>
        <v>0</v>
      </c>
      <c r="S14" s="213">
        <f>IFERROR(VLOOKUP(C14,[1]Planilha1!$C$1:$S$65536,17,0),0)</f>
        <v>0</v>
      </c>
      <c r="T14" s="213">
        <f>IFERROR(VLOOKUP(C14,[1]Planilha1!$C$1:$T$65536,18,0),0)</f>
        <v>588</v>
      </c>
      <c r="U14" s="186">
        <v>588</v>
      </c>
      <c r="V14" s="260">
        <v>0</v>
      </c>
      <c r="W14" s="186">
        <v>0</v>
      </c>
      <c r="X14" s="218"/>
      <c r="Y14" s="186">
        <v>-1575.67</v>
      </c>
      <c r="AA14" s="6"/>
      <c r="AB14" s="6"/>
      <c r="AC14" s="7">
        <v>200</v>
      </c>
      <c r="AD14" s="6"/>
      <c r="AE14" s="186">
        <v>200</v>
      </c>
      <c r="AF14" s="6">
        <v>0</v>
      </c>
      <c r="AG14" s="7"/>
      <c r="AH14" s="213"/>
      <c r="AI14" s="152"/>
    </row>
    <row r="15" spans="1:38" x14ac:dyDescent="0.25">
      <c r="A15" s="10">
        <v>62</v>
      </c>
      <c r="B15" s="10">
        <v>320</v>
      </c>
      <c r="C15" s="11" t="s">
        <v>62</v>
      </c>
      <c r="D15" s="12" t="s">
        <v>63</v>
      </c>
      <c r="E15" s="12" t="s">
        <v>25</v>
      </c>
      <c r="F15" s="13" t="s">
        <v>64</v>
      </c>
      <c r="G15" s="14">
        <v>43810</v>
      </c>
      <c r="H15" s="13" t="s">
        <v>27</v>
      </c>
      <c r="I15" s="15"/>
      <c r="J15" s="185">
        <v>30</v>
      </c>
      <c r="K15" s="5">
        <v>0</v>
      </c>
      <c r="L15" s="185">
        <v>30</v>
      </c>
      <c r="M15" s="15"/>
      <c r="N15" s="154">
        <v>0</v>
      </c>
      <c r="O15" s="154">
        <v>1719</v>
      </c>
      <c r="P15" s="152"/>
      <c r="Q15" s="213">
        <f>IFERROR(VLOOKUP(C15,[1]Planilha1!$C$1:$Q$65536,15,0),0)</f>
        <v>0</v>
      </c>
      <c r="R15" s="213">
        <f>IFERROR(VLOOKUP(C15,[1]Planilha1!$C$1:$R$65536,16,0),0)</f>
        <v>0</v>
      </c>
      <c r="S15" s="213">
        <f>IFERROR(VLOOKUP(C15,[1]Planilha1!$C$1:$S$65536,17,0),0)</f>
        <v>0</v>
      </c>
      <c r="T15" s="213">
        <f>IFERROR(VLOOKUP(C15,[1]Planilha1!$C$1:$T$65536,18,0),0)</f>
        <v>504.4</v>
      </c>
      <c r="U15" s="186">
        <v>504.4</v>
      </c>
      <c r="V15" s="261">
        <v>234.86326500000001</v>
      </c>
      <c r="W15" s="186">
        <v>234.86326500000001</v>
      </c>
      <c r="X15" s="218"/>
      <c r="Y15" s="186">
        <v>1719</v>
      </c>
      <c r="AA15" s="186">
        <v>3131.5102000000002</v>
      </c>
      <c r="AB15" s="186">
        <v>782.87755000000004</v>
      </c>
      <c r="AC15" s="7"/>
      <c r="AD15" s="186">
        <v>559.19825000000003</v>
      </c>
      <c r="AE15" s="186">
        <v>4473.5860000000002</v>
      </c>
      <c r="AF15" s="6">
        <v>0</v>
      </c>
      <c r="AG15" s="7"/>
      <c r="AH15" s="213"/>
      <c r="AI15" s="152"/>
    </row>
    <row r="16" spans="1:38" x14ac:dyDescent="0.25">
      <c r="A16" s="10">
        <v>62</v>
      </c>
      <c r="B16" s="10">
        <v>289</v>
      </c>
      <c r="C16" s="11" t="s">
        <v>65</v>
      </c>
      <c r="D16" s="12" t="s">
        <v>66</v>
      </c>
      <c r="E16" s="12" t="s">
        <v>25</v>
      </c>
      <c r="F16" s="13" t="s">
        <v>67</v>
      </c>
      <c r="G16" s="14">
        <v>42695</v>
      </c>
      <c r="H16" s="13" t="s">
        <v>27</v>
      </c>
      <c r="I16" s="15"/>
      <c r="J16" s="185">
        <v>30</v>
      </c>
      <c r="K16" s="5">
        <v>0</v>
      </c>
      <c r="L16" s="185">
        <v>30</v>
      </c>
      <c r="M16" s="15"/>
      <c r="N16" s="154">
        <v>0</v>
      </c>
      <c r="O16" s="154">
        <v>1719</v>
      </c>
      <c r="P16" s="152"/>
      <c r="Q16" s="213">
        <f>IFERROR(VLOOKUP(C16,[1]Planilha1!$C$1:$Q$65536,15,0),0)</f>
        <v>0</v>
      </c>
      <c r="R16" s="213">
        <f>IFERROR(VLOOKUP(C16,[1]Planilha1!$C$1:$R$65536,16,0),0)</f>
        <v>0</v>
      </c>
      <c r="S16" s="213">
        <f>IFERROR(VLOOKUP(C16,[1]Planilha1!$C$1:$S$65536,17,0),0)</f>
        <v>0</v>
      </c>
      <c r="T16" s="213">
        <f>IFERROR(VLOOKUP(C16,[1]Planilha1!$C$1:$T$65536,18,0),0)</f>
        <v>533</v>
      </c>
      <c r="U16" s="186">
        <v>533</v>
      </c>
      <c r="V16" s="261">
        <v>266.83135500000003</v>
      </c>
      <c r="W16" s="186">
        <v>266.83135500000003</v>
      </c>
      <c r="X16" s="218"/>
      <c r="Y16" s="186">
        <v>1719</v>
      </c>
      <c r="AA16" s="186">
        <v>3557.7514000000001</v>
      </c>
      <c r="AB16" s="186">
        <v>889.43785000000003</v>
      </c>
      <c r="AC16" s="7">
        <v>400</v>
      </c>
      <c r="AD16" s="186">
        <v>635.31275000000005</v>
      </c>
      <c r="AE16" s="186">
        <v>5482.5020000000004</v>
      </c>
      <c r="AF16" s="6">
        <v>0</v>
      </c>
      <c r="AG16" s="7">
        <v>400</v>
      </c>
      <c r="AH16" s="213"/>
      <c r="AI16" s="152"/>
    </row>
    <row r="17" spans="1:37" s="203" customFormat="1" x14ac:dyDescent="0.25">
      <c r="A17" s="194">
        <v>93</v>
      </c>
      <c r="B17" s="194">
        <v>98</v>
      </c>
      <c r="C17" s="195" t="s">
        <v>68</v>
      </c>
      <c r="D17" s="226" t="s">
        <v>69</v>
      </c>
      <c r="E17" s="226" t="s">
        <v>25</v>
      </c>
      <c r="F17" s="227" t="s">
        <v>70</v>
      </c>
      <c r="G17" s="228">
        <v>44085</v>
      </c>
      <c r="H17" s="227" t="s">
        <v>27</v>
      </c>
      <c r="I17" s="199"/>
      <c r="J17" s="185">
        <v>30</v>
      </c>
      <c r="K17" s="5">
        <v>0</v>
      </c>
      <c r="L17" s="185">
        <v>30</v>
      </c>
      <c r="M17" s="199"/>
      <c r="N17" s="229">
        <v>0</v>
      </c>
      <c r="O17" s="229">
        <v>1425.75</v>
      </c>
      <c r="P17" s="202"/>
      <c r="Q17" s="217">
        <f>IFERROR(VLOOKUP(C17,[1]Planilha1!$C$1:$Q$65536,15,0),0)</f>
        <v>0</v>
      </c>
      <c r="R17" s="217">
        <f>IFERROR(VLOOKUP(C17,[1]Planilha1!$C$1:$R$65536,16,0),0)</f>
        <v>0</v>
      </c>
      <c r="S17" s="217">
        <f>IFERROR(VLOOKUP(C17,[1]Planilha1!$C$1:$S$65536,17,0),0)</f>
        <v>212.5</v>
      </c>
      <c r="T17" s="213">
        <f>IFERROR(VLOOKUP(C17,[1]Planilha1!$C$1:$T$65536,18,0),0)</f>
        <v>0</v>
      </c>
      <c r="U17" s="186">
        <v>212.5</v>
      </c>
      <c r="V17" s="261">
        <v>149.44826399999999</v>
      </c>
      <c r="W17" s="186">
        <v>149.44826399999999</v>
      </c>
      <c r="X17" s="223"/>
      <c r="Y17" s="186">
        <v>1425.75</v>
      </c>
      <c r="AA17" s="186">
        <v>1992.6435199999999</v>
      </c>
      <c r="AB17" s="186">
        <v>498.16087999999996</v>
      </c>
      <c r="AC17" s="7"/>
      <c r="AD17" s="186">
        <v>355.82920000000001</v>
      </c>
      <c r="AE17" s="186">
        <v>2846.6336000000001</v>
      </c>
      <c r="AF17" s="6">
        <v>0</v>
      </c>
      <c r="AG17" s="7"/>
      <c r="AH17" s="217"/>
      <c r="AI17" s="204"/>
    </row>
    <row r="18" spans="1:37" s="203" customFormat="1" x14ac:dyDescent="0.25">
      <c r="A18" s="194">
        <v>93</v>
      </c>
      <c r="B18" s="194">
        <v>70</v>
      </c>
      <c r="C18" s="195" t="s">
        <v>71</v>
      </c>
      <c r="D18" s="226" t="s">
        <v>72</v>
      </c>
      <c r="E18" s="226" t="s">
        <v>25</v>
      </c>
      <c r="F18" s="227" t="s">
        <v>73</v>
      </c>
      <c r="G18" s="228">
        <v>43070</v>
      </c>
      <c r="H18" s="227" t="s">
        <v>27</v>
      </c>
      <c r="I18" s="199"/>
      <c r="J18" s="185">
        <v>30</v>
      </c>
      <c r="K18" s="5">
        <v>0</v>
      </c>
      <c r="L18" s="185">
        <v>30</v>
      </c>
      <c r="M18" s="199"/>
      <c r="N18" s="229">
        <v>0</v>
      </c>
      <c r="O18" s="229">
        <v>1425.75</v>
      </c>
      <c r="P18" s="202"/>
      <c r="Q18" s="217">
        <f>IFERROR(VLOOKUP(C18,[1]Planilha1!$C$1:$Q$65536,15,0),0)</f>
        <v>0</v>
      </c>
      <c r="R18" s="217">
        <f>IFERROR(VLOOKUP(C18,[1]Planilha1!$C$1:$R$65536,16,0),0)</f>
        <v>0</v>
      </c>
      <c r="S18" s="217">
        <f>IFERROR(VLOOKUP(C18,[1]Planilha1!$C$1:$S$65536,17,0),0)</f>
        <v>225</v>
      </c>
      <c r="T18" s="213">
        <f>IFERROR(VLOOKUP(C18,[1]Planilha1!$C$1:$T$65536,18,0),0)</f>
        <v>0</v>
      </c>
      <c r="U18" s="186">
        <v>225</v>
      </c>
      <c r="V18" s="261">
        <v>120.43884299999999</v>
      </c>
      <c r="W18" s="186">
        <v>120.43884299999999</v>
      </c>
      <c r="X18" s="223"/>
      <c r="Y18" s="186">
        <v>1425.75</v>
      </c>
      <c r="AA18" s="186">
        <v>1605.85124</v>
      </c>
      <c r="AB18" s="186">
        <v>401.46280999999999</v>
      </c>
      <c r="AC18" s="7"/>
      <c r="AD18" s="6"/>
      <c r="AE18" s="186">
        <v>2007.31405</v>
      </c>
      <c r="AF18" s="6">
        <v>0</v>
      </c>
      <c r="AG18" s="7"/>
      <c r="AH18" s="217"/>
      <c r="AI18" s="204"/>
    </row>
    <row r="19" spans="1:37" s="235" customFormat="1" x14ac:dyDescent="0.25">
      <c r="A19" s="194">
        <v>93</v>
      </c>
      <c r="B19" s="194">
        <v>90</v>
      </c>
      <c r="C19" s="195" t="s">
        <v>74</v>
      </c>
      <c r="D19" s="226" t="s">
        <v>75</v>
      </c>
      <c r="E19" s="226" t="s">
        <v>48</v>
      </c>
      <c r="F19" s="227" t="s">
        <v>76</v>
      </c>
      <c r="G19" s="228">
        <v>43713</v>
      </c>
      <c r="H19" s="227" t="s">
        <v>27</v>
      </c>
      <c r="I19" s="199"/>
      <c r="J19" s="185">
        <v>30</v>
      </c>
      <c r="K19" s="5">
        <v>0</v>
      </c>
      <c r="L19" s="185">
        <v>30</v>
      </c>
      <c r="M19" s="199"/>
      <c r="N19" s="229">
        <v>0</v>
      </c>
      <c r="O19" s="229">
        <v>4998.1899999999996</v>
      </c>
      <c r="P19" s="202"/>
      <c r="Q19" s="217">
        <f>IFERROR(VLOOKUP(C19,[1]Planilha1!$C$1:$Q$65536,15,0),0)</f>
        <v>0</v>
      </c>
      <c r="R19" s="217">
        <f>IFERROR(VLOOKUP(C19,[1]Planilha1!$C$1:$R$65536,16,0),0)</f>
        <v>0</v>
      </c>
      <c r="S19" s="217">
        <f>IFERROR(VLOOKUP(C19,[1]Planilha1!$C$1:$S$65536,17,0),0)</f>
        <v>534.29999999999995</v>
      </c>
      <c r="T19" s="213">
        <f>IFERROR(VLOOKUP(C19,[1]Planilha1!$C$1:$T$65536,18,0),0)</f>
        <v>0</v>
      </c>
      <c r="U19" s="186">
        <v>534.29999999999995</v>
      </c>
      <c r="V19" s="261">
        <v>361.08449999999999</v>
      </c>
      <c r="W19" s="186">
        <v>361.08449999999999</v>
      </c>
      <c r="X19" s="223"/>
      <c r="Y19" s="186">
        <v>4998.1899999999996</v>
      </c>
      <c r="Z19" s="203"/>
      <c r="AA19" s="186" t="s">
        <v>1152</v>
      </c>
      <c r="AB19" s="186">
        <v>1203.615</v>
      </c>
      <c r="AC19" s="7"/>
      <c r="AD19" s="186">
        <v>2000</v>
      </c>
      <c r="AE19" s="186">
        <v>8018.0749999999998</v>
      </c>
      <c r="AF19" s="6">
        <v>0</v>
      </c>
      <c r="AG19" s="7"/>
      <c r="AH19" s="217"/>
      <c r="AI19" s="217"/>
      <c r="AJ19" s="203"/>
    </row>
    <row r="20" spans="1:37" s="203" customFormat="1" x14ac:dyDescent="0.25">
      <c r="A20" s="194">
        <v>93</v>
      </c>
      <c r="B20" s="194">
        <v>92</v>
      </c>
      <c r="C20" s="195" t="s">
        <v>77</v>
      </c>
      <c r="D20" s="226" t="s">
        <v>78</v>
      </c>
      <c r="E20" s="226" t="s">
        <v>30</v>
      </c>
      <c r="F20" s="227" t="s">
        <v>79</v>
      </c>
      <c r="G20" s="228">
        <v>43770</v>
      </c>
      <c r="H20" s="227" t="s">
        <v>27</v>
      </c>
      <c r="I20" s="199"/>
      <c r="J20" s="185">
        <v>30</v>
      </c>
      <c r="K20" s="5">
        <v>0</v>
      </c>
      <c r="L20" s="185">
        <v>30</v>
      </c>
      <c r="M20" s="199"/>
      <c r="N20" s="229">
        <v>1389.75</v>
      </c>
      <c r="O20" s="229"/>
      <c r="P20" s="202">
        <v>138.97</v>
      </c>
      <c r="Q20" s="217">
        <f>IFERROR(VLOOKUP(C20,[1]Planilha1!$C$1:$Q$65536,15,0),0)</f>
        <v>0</v>
      </c>
      <c r="R20" s="217">
        <f>IFERROR(VLOOKUP(C20,[1]Planilha1!$C$1:$R$65536,16,0),0)</f>
        <v>0</v>
      </c>
      <c r="S20" s="217">
        <f>IFERROR(VLOOKUP(C20,[1]Planilha1!$C$1:$S$65536,17,0),0)</f>
        <v>0</v>
      </c>
      <c r="T20" s="213">
        <f>IFERROR(VLOOKUP(C20,[1]Planilha1!$C$1:$T$65536,18,0),0)</f>
        <v>0</v>
      </c>
      <c r="U20" s="186">
        <v>0</v>
      </c>
      <c r="V20" s="261">
        <v>83.384999999999991</v>
      </c>
      <c r="W20" s="186">
        <v>0</v>
      </c>
      <c r="X20" s="223"/>
      <c r="Y20" s="186">
        <v>1389.75</v>
      </c>
      <c r="AA20" s="6"/>
      <c r="AB20" s="6"/>
      <c r="AC20" s="7"/>
      <c r="AD20" s="6"/>
      <c r="AE20" s="6">
        <v>0</v>
      </c>
      <c r="AF20" s="186">
        <v>1389.75</v>
      </c>
      <c r="AG20" s="7"/>
      <c r="AH20" s="217"/>
      <c r="AI20" s="217"/>
    </row>
    <row r="21" spans="1:37" s="235" customFormat="1" x14ac:dyDescent="0.25">
      <c r="A21" s="194">
        <v>93</v>
      </c>
      <c r="B21" s="194">
        <v>103</v>
      </c>
      <c r="C21" s="195" t="s">
        <v>80</v>
      </c>
      <c r="D21" s="196" t="s">
        <v>81</v>
      </c>
      <c r="E21" s="196" t="s">
        <v>30</v>
      </c>
      <c r="F21" s="197" t="s">
        <v>82</v>
      </c>
      <c r="G21" s="198">
        <v>44369</v>
      </c>
      <c r="H21" s="197" t="s">
        <v>27</v>
      </c>
      <c r="I21" s="199"/>
      <c r="J21" s="185">
        <v>30</v>
      </c>
      <c r="K21" s="5">
        <v>0</v>
      </c>
      <c r="L21" s="185">
        <v>30</v>
      </c>
      <c r="M21" s="199"/>
      <c r="N21" s="229">
        <v>1389.75</v>
      </c>
      <c r="O21" s="229"/>
      <c r="P21" s="202">
        <v>138.97</v>
      </c>
      <c r="Q21" s="217">
        <f>IFERROR(VLOOKUP(C21,[1]Planilha1!$C$1:$Q$65536,15,0),0)</f>
        <v>0</v>
      </c>
      <c r="R21" s="217">
        <f>IFERROR(VLOOKUP(C21,[1]Planilha1!$C$1:$R$65536,16,0),0)</f>
        <v>0</v>
      </c>
      <c r="S21" s="217">
        <f>IFERROR(VLOOKUP(C21,[1]Planilha1!$C$1:$S$65536,17,0),0)</f>
        <v>225</v>
      </c>
      <c r="T21" s="213">
        <f>IFERROR(VLOOKUP(C21,[1]Planilha1!$C$1:$T$65536,18,0),0)</f>
        <v>0</v>
      </c>
      <c r="U21" s="186">
        <v>225</v>
      </c>
      <c r="V21" s="261">
        <v>83.384999999999991</v>
      </c>
      <c r="W21" s="186">
        <v>83.384999999999991</v>
      </c>
      <c r="X21" s="223"/>
      <c r="Y21" s="186">
        <v>1389.75</v>
      </c>
      <c r="Z21" s="203"/>
      <c r="AA21" s="6"/>
      <c r="AB21" s="6"/>
      <c r="AC21" s="7"/>
      <c r="AD21" s="6"/>
      <c r="AE21" s="6">
        <v>0</v>
      </c>
      <c r="AF21" s="186">
        <v>1389.75</v>
      </c>
      <c r="AG21" s="7"/>
      <c r="AH21" s="217"/>
      <c r="AI21" s="217"/>
      <c r="AJ21" s="203"/>
    </row>
    <row r="22" spans="1:37" s="203" customFormat="1" x14ac:dyDescent="0.25">
      <c r="A22" s="194">
        <v>93</v>
      </c>
      <c r="B22" s="194">
        <v>95</v>
      </c>
      <c r="C22" s="195" t="s">
        <v>83</v>
      </c>
      <c r="D22" s="226" t="s">
        <v>84</v>
      </c>
      <c r="E22" s="226" t="s">
        <v>25</v>
      </c>
      <c r="F22" s="227" t="s">
        <v>85</v>
      </c>
      <c r="G22" s="228">
        <v>43787</v>
      </c>
      <c r="H22" s="227" t="s">
        <v>27</v>
      </c>
      <c r="I22" s="199"/>
      <c r="J22" s="185">
        <v>30</v>
      </c>
      <c r="K22" s="5">
        <v>0</v>
      </c>
      <c r="L22" s="185">
        <v>30</v>
      </c>
      <c r="M22" s="199"/>
      <c r="N22" s="229">
        <v>0</v>
      </c>
      <c r="O22" s="229">
        <v>1425.75</v>
      </c>
      <c r="P22" s="202"/>
      <c r="Q22" s="217">
        <f>IFERROR(VLOOKUP(C22,[1]Planilha1!$C$1:$Q$65536,15,0),0)</f>
        <v>0</v>
      </c>
      <c r="R22" s="217">
        <f>IFERROR(VLOOKUP(C22,[1]Planilha1!$C$1:$R$65536,16,0),0)</f>
        <v>0</v>
      </c>
      <c r="S22" s="217">
        <f>IFERROR(VLOOKUP(C22,[1]Planilha1!$C$1:$S$65536,17,0),0)</f>
        <v>0</v>
      </c>
      <c r="T22" s="213">
        <f>IFERROR(VLOOKUP(C22,[1]Planilha1!$C$1:$T$65536,18,0),0)</f>
        <v>0</v>
      </c>
      <c r="U22" s="186">
        <v>0</v>
      </c>
      <c r="V22" s="261">
        <v>149.93918099999999</v>
      </c>
      <c r="W22" s="186">
        <v>0</v>
      </c>
      <c r="X22" s="223"/>
      <c r="Y22" s="186">
        <v>1425.75</v>
      </c>
      <c r="AA22" s="186">
        <v>1999.1890800000001</v>
      </c>
      <c r="AB22" s="186">
        <v>499.79727000000003</v>
      </c>
      <c r="AC22" s="7"/>
      <c r="AD22" s="186">
        <v>356.99805000000003</v>
      </c>
      <c r="AE22" s="186">
        <v>2855.9844000000003</v>
      </c>
      <c r="AF22" s="6">
        <v>0</v>
      </c>
      <c r="AG22" s="7"/>
      <c r="AH22" s="217"/>
      <c r="AI22" s="217"/>
    </row>
    <row r="23" spans="1:37" s="203" customFormat="1" x14ac:dyDescent="0.25">
      <c r="A23" s="194">
        <v>93</v>
      </c>
      <c r="B23" s="194">
        <v>36</v>
      </c>
      <c r="C23" s="195" t="s">
        <v>86</v>
      </c>
      <c r="D23" s="226" t="s">
        <v>87</v>
      </c>
      <c r="E23" s="226" t="s">
        <v>25</v>
      </c>
      <c r="F23" s="227" t="s">
        <v>88</v>
      </c>
      <c r="G23" s="228">
        <v>42482</v>
      </c>
      <c r="H23" s="227" t="s">
        <v>27</v>
      </c>
      <c r="I23" s="199"/>
      <c r="J23" s="185">
        <v>30</v>
      </c>
      <c r="K23" s="5">
        <v>0</v>
      </c>
      <c r="L23" s="185">
        <v>30</v>
      </c>
      <c r="M23" s="199"/>
      <c r="N23" s="229">
        <v>0</v>
      </c>
      <c r="O23" s="229">
        <v>1425.75</v>
      </c>
      <c r="P23" s="202"/>
      <c r="Q23" s="217">
        <f>IFERROR(VLOOKUP(C23,[1]Planilha1!$C$1:$Q$65536,15,0),0)</f>
        <v>0</v>
      </c>
      <c r="R23" s="217">
        <f>IFERROR(VLOOKUP(C23,[1]Planilha1!$C$1:$R$65536,16,0),0)</f>
        <v>0</v>
      </c>
      <c r="S23" s="217">
        <f>IFERROR(VLOOKUP(C23,[1]Planilha1!$C$1:$S$65536,17,0),0)</f>
        <v>444.6</v>
      </c>
      <c r="T23" s="213">
        <f>IFERROR(VLOOKUP(C23,[1]Planilha1!$C$1:$T$65536,18,0),0)</f>
        <v>0</v>
      </c>
      <c r="U23" s="186">
        <v>444.6</v>
      </c>
      <c r="V23" s="261">
        <v>149.96097900000001</v>
      </c>
      <c r="W23" s="186">
        <v>149.96097900000001</v>
      </c>
      <c r="X23" s="223"/>
      <c r="Y23" s="186">
        <v>1425.75</v>
      </c>
      <c r="AA23" s="186">
        <v>1999.4797200000003</v>
      </c>
      <c r="AB23" s="186">
        <v>499.86993000000007</v>
      </c>
      <c r="AC23" s="7">
        <v>400</v>
      </c>
      <c r="AD23" s="186">
        <v>357.04995000000002</v>
      </c>
      <c r="AE23" s="186">
        <v>3256.3996000000002</v>
      </c>
      <c r="AF23" s="6">
        <v>0</v>
      </c>
      <c r="AG23" s="7">
        <v>400</v>
      </c>
      <c r="AH23" s="217"/>
      <c r="AI23" s="217"/>
    </row>
    <row r="24" spans="1:37" s="203" customFormat="1" x14ac:dyDescent="0.25">
      <c r="A24" s="247">
        <v>93</v>
      </c>
      <c r="B24" s="247">
        <v>79</v>
      </c>
      <c r="C24" s="248" t="s">
        <v>89</v>
      </c>
      <c r="D24" s="226" t="s">
        <v>90</v>
      </c>
      <c r="E24" s="226" t="s">
        <v>25</v>
      </c>
      <c r="F24" s="227" t="s">
        <v>91</v>
      </c>
      <c r="G24" s="228">
        <v>43425</v>
      </c>
      <c r="H24" s="227" t="s">
        <v>27</v>
      </c>
      <c r="I24" s="249"/>
      <c r="J24" s="185">
        <v>-30</v>
      </c>
      <c r="K24" s="5">
        <v>30</v>
      </c>
      <c r="L24" s="185">
        <v>0</v>
      </c>
      <c r="M24" s="249"/>
      <c r="N24" s="229">
        <v>0</v>
      </c>
      <c r="O24" s="229">
        <v>1425.75</v>
      </c>
      <c r="P24" s="202"/>
      <c r="Q24" s="213">
        <f>IFERROR(VLOOKUP(C24,[1]Planilha1!$C$1:$Q$65536,15,0),0)</f>
        <v>0</v>
      </c>
      <c r="R24" s="213">
        <f>IFERROR(VLOOKUP(C24,[1]Planilha1!$C$1:$R$65536,16,0),0)</f>
        <v>0</v>
      </c>
      <c r="S24" s="213">
        <f>IFERROR(VLOOKUP(C24,[1]Planilha1!$C$1:$S$65536,17,0),0)</f>
        <v>0</v>
      </c>
      <c r="T24" s="213">
        <f>IFERROR(VLOOKUP(C24,[1]Planilha1!$C$1:$T$65536,18,0),0)</f>
        <v>0</v>
      </c>
      <c r="U24" s="186">
        <v>0</v>
      </c>
      <c r="V24" s="261">
        <v>139.33882199999999</v>
      </c>
      <c r="W24" s="186">
        <v>0</v>
      </c>
      <c r="X24" s="250"/>
      <c r="Y24" s="186">
        <v>-1425.75</v>
      </c>
      <c r="AA24" s="186">
        <v>1857.8509600000002</v>
      </c>
      <c r="AB24" s="186">
        <v>464.46274000000005</v>
      </c>
      <c r="AC24" s="7"/>
      <c r="AD24" s="6"/>
      <c r="AE24" s="186">
        <v>2322.3137000000002</v>
      </c>
      <c r="AF24" s="6">
        <v>0</v>
      </c>
      <c r="AG24" s="7"/>
      <c r="AH24" s="251"/>
      <c r="AI24" s="251"/>
      <c r="AJ24" s="235"/>
    </row>
    <row r="25" spans="1:37" s="203" customFormat="1" x14ac:dyDescent="0.25">
      <c r="A25" s="194">
        <v>93</v>
      </c>
      <c r="B25" s="194">
        <v>91</v>
      </c>
      <c r="C25" s="195" t="s">
        <v>92</v>
      </c>
      <c r="D25" s="226" t="s">
        <v>93</v>
      </c>
      <c r="E25" s="226" t="s">
        <v>25</v>
      </c>
      <c r="F25" s="227" t="s">
        <v>94</v>
      </c>
      <c r="G25" s="228">
        <v>43740</v>
      </c>
      <c r="H25" s="227" t="s">
        <v>27</v>
      </c>
      <c r="I25" s="199"/>
      <c r="J25" s="185">
        <v>30</v>
      </c>
      <c r="K25" s="5">
        <v>0</v>
      </c>
      <c r="L25" s="185">
        <v>30</v>
      </c>
      <c r="M25" s="199"/>
      <c r="N25" s="229">
        <v>0</v>
      </c>
      <c r="O25" s="229">
        <v>1425.75</v>
      </c>
      <c r="P25" s="202"/>
      <c r="Q25" s="217">
        <f>IFERROR(VLOOKUP(C25,[1]Planilha1!$C$1:$Q$65536,15,0),0)</f>
        <v>0</v>
      </c>
      <c r="R25" s="217">
        <f>IFERROR(VLOOKUP(C25,[1]Planilha1!$C$1:$R$65536,16,0),0)</f>
        <v>0</v>
      </c>
      <c r="S25" s="217">
        <f>IFERROR(VLOOKUP(C25,[1]Planilha1!$C$1:$S$65536,17,0),0)</f>
        <v>0</v>
      </c>
      <c r="T25" s="213">
        <f>IFERROR(VLOOKUP(C25,[1]Planilha1!$C$1:$T$65536,18,0),0)</f>
        <v>0</v>
      </c>
      <c r="U25" s="186">
        <v>0</v>
      </c>
      <c r="V25" s="261">
        <v>150.38486399999996</v>
      </c>
      <c r="W25" s="186">
        <v>0</v>
      </c>
      <c r="X25" s="223"/>
      <c r="Y25" s="186">
        <v>1425.75</v>
      </c>
      <c r="AA25" s="186">
        <v>2005.1315199999999</v>
      </c>
      <c r="AB25" s="186">
        <v>501.28287999999998</v>
      </c>
      <c r="AC25" s="7">
        <v>400</v>
      </c>
      <c r="AD25" s="186">
        <v>358.05919999999998</v>
      </c>
      <c r="AE25" s="186">
        <v>3264.4735999999998</v>
      </c>
      <c r="AF25" s="6">
        <v>0</v>
      </c>
      <c r="AG25" s="7">
        <v>400</v>
      </c>
      <c r="AH25" s="217"/>
      <c r="AI25" s="217"/>
      <c r="AJ25" s="265" t="str">
        <f>AA33</f>
        <v>2.294,20</v>
      </c>
    </row>
    <row r="26" spans="1:37" s="203" customFormat="1" x14ac:dyDescent="0.25">
      <c r="A26" s="194">
        <v>93</v>
      </c>
      <c r="B26" s="194">
        <v>102</v>
      </c>
      <c r="C26" s="195" t="s">
        <v>95</v>
      </c>
      <c r="D26" s="226" t="s">
        <v>96</v>
      </c>
      <c r="E26" s="226" t="s">
        <v>30</v>
      </c>
      <c r="F26" s="227" t="s">
        <v>97</v>
      </c>
      <c r="G26" s="228">
        <v>44152</v>
      </c>
      <c r="H26" s="227" t="s">
        <v>27</v>
      </c>
      <c r="I26" s="199"/>
      <c r="J26" s="185">
        <v>30</v>
      </c>
      <c r="K26" s="5">
        <v>0</v>
      </c>
      <c r="L26" s="185">
        <v>30</v>
      </c>
      <c r="M26" s="199"/>
      <c r="N26" s="229">
        <v>1389.75</v>
      </c>
      <c r="O26" s="229"/>
      <c r="P26" s="202">
        <v>138.97</v>
      </c>
      <c r="Q26" s="217">
        <f>IFERROR(VLOOKUP(C26,[1]Planilha1!$C$1:$Q$65536,15,0),0)</f>
        <v>0</v>
      </c>
      <c r="R26" s="217">
        <f>IFERROR(VLOOKUP(C26,[1]Planilha1!$C$1:$R$65536,16,0),0)</f>
        <v>0</v>
      </c>
      <c r="S26" s="217">
        <f>IFERROR(VLOOKUP(C26,[1]Planilha1!$C$1:$S$65536,17,0),0)</f>
        <v>418.6</v>
      </c>
      <c r="T26" s="213">
        <f>IFERROR(VLOOKUP(C26,[1]Planilha1!$C$1:$T$65536,18,0),0)</f>
        <v>0</v>
      </c>
      <c r="U26" s="186">
        <v>418.6</v>
      </c>
      <c r="V26" s="261">
        <v>83.384999999999991</v>
      </c>
      <c r="W26" s="186">
        <v>83.384999999999991</v>
      </c>
      <c r="X26" s="223"/>
      <c r="Y26" s="186">
        <v>1389.75</v>
      </c>
      <c r="AA26" s="6"/>
      <c r="AB26" s="6"/>
      <c r="AC26" s="7"/>
      <c r="AD26" s="6"/>
      <c r="AE26" s="6">
        <v>0</v>
      </c>
      <c r="AF26" s="186">
        <v>1389.75</v>
      </c>
      <c r="AG26" s="7"/>
      <c r="AH26" s="217"/>
      <c r="AI26" s="217"/>
      <c r="AJ26" s="266">
        <f>AB33</f>
        <v>573.54999999999995</v>
      </c>
    </row>
    <row r="27" spans="1:37" s="203" customFormat="1" x14ac:dyDescent="0.25">
      <c r="A27" s="194">
        <v>93</v>
      </c>
      <c r="B27" s="194">
        <v>100</v>
      </c>
      <c r="C27" s="195" t="s">
        <v>98</v>
      </c>
      <c r="D27" s="226" t="s">
        <v>99</v>
      </c>
      <c r="E27" s="226" t="s">
        <v>25</v>
      </c>
      <c r="F27" s="227" t="s">
        <v>100</v>
      </c>
      <c r="G27" s="228">
        <v>44152</v>
      </c>
      <c r="H27" s="227" t="s">
        <v>27</v>
      </c>
      <c r="I27" s="199"/>
      <c r="J27" s="185">
        <v>30</v>
      </c>
      <c r="K27" s="5">
        <v>0</v>
      </c>
      <c r="L27" s="185">
        <v>30</v>
      </c>
      <c r="M27" s="199"/>
      <c r="N27" s="229">
        <v>0</v>
      </c>
      <c r="O27" s="229">
        <v>1425.75</v>
      </c>
      <c r="P27" s="202"/>
      <c r="Q27" s="217">
        <f>IFERROR(VLOOKUP(C27,[1]Planilha1!$C$1:$Q$65536,15,0),0)</f>
        <v>0</v>
      </c>
      <c r="R27" s="217">
        <f>IFERROR(VLOOKUP(C27,[1]Planilha1!$C$1:$R$65536,16,0),0)</f>
        <v>0</v>
      </c>
      <c r="S27" s="217">
        <f>IFERROR(VLOOKUP(C27,[1]Planilha1!$C$1:$S$65536,17,0),0)</f>
        <v>379.6</v>
      </c>
      <c r="T27" s="213">
        <f>IFERROR(VLOOKUP(C27,[1]Planilha1!$C$1:$T$65536,18,0),0)</f>
        <v>0</v>
      </c>
      <c r="U27" s="186">
        <v>379.6</v>
      </c>
      <c r="V27" s="261">
        <v>150.66846899999999</v>
      </c>
      <c r="W27" s="186">
        <v>150.66846899999999</v>
      </c>
      <c r="X27" s="223"/>
      <c r="Y27" s="186">
        <v>1425.75</v>
      </c>
      <c r="AA27" s="186">
        <v>2008.91292</v>
      </c>
      <c r="AB27" s="186">
        <v>502.22823</v>
      </c>
      <c r="AC27" s="7"/>
      <c r="AD27" s="186">
        <v>358.73444999999998</v>
      </c>
      <c r="AE27" s="186">
        <v>2869.8755999999998</v>
      </c>
      <c r="AF27" s="6">
        <v>0</v>
      </c>
      <c r="AG27" s="7"/>
      <c r="AH27" s="217"/>
      <c r="AI27" s="217"/>
      <c r="AJ27" s="266">
        <f>AF33</f>
        <v>0</v>
      </c>
    </row>
    <row r="28" spans="1:37" x14ac:dyDescent="0.25">
      <c r="A28" s="10">
        <v>94</v>
      </c>
      <c r="B28" s="10">
        <v>3</v>
      </c>
      <c r="C28" s="11" t="s">
        <v>101</v>
      </c>
      <c r="D28" s="12" t="s">
        <v>102</v>
      </c>
      <c r="E28" s="12" t="s">
        <v>25</v>
      </c>
      <c r="F28" s="13" t="s">
        <v>103</v>
      </c>
      <c r="G28" s="14">
        <v>42320</v>
      </c>
      <c r="H28" s="13" t="s">
        <v>27</v>
      </c>
      <c r="I28" s="15"/>
      <c r="J28" s="185">
        <v>30</v>
      </c>
      <c r="K28" s="5">
        <v>0</v>
      </c>
      <c r="L28" s="185">
        <v>30</v>
      </c>
      <c r="M28" s="15"/>
      <c r="N28" s="154">
        <v>0</v>
      </c>
      <c r="O28" s="154">
        <v>1370</v>
      </c>
      <c r="P28" s="152"/>
      <c r="Q28" s="213">
        <f>IFERROR(VLOOKUP(C28,[1]Planilha1!$C$1:$Q$65536,15,0),0)</f>
        <v>0</v>
      </c>
      <c r="R28" s="213">
        <f>IFERROR(VLOOKUP(C28,[1]Planilha1!$C$1:$R$65536,16,0),0)</f>
        <v>0</v>
      </c>
      <c r="S28" s="213">
        <f>IFERROR(VLOOKUP(C28,[1]Planilha1!$C$1:$S$65536,17,0),0)</f>
        <v>210.6</v>
      </c>
      <c r="T28" s="213">
        <f>IFERROR(VLOOKUP(C28,[1]Planilha1!$C$1:$T$65536,18,0),0)</f>
        <v>0</v>
      </c>
      <c r="U28" s="186">
        <v>210.6</v>
      </c>
      <c r="V28" s="261">
        <v>73.2</v>
      </c>
      <c r="W28" s="186">
        <v>82.2</v>
      </c>
      <c r="X28" s="218"/>
      <c r="Y28" s="186">
        <v>1370</v>
      </c>
      <c r="AA28" s="6"/>
      <c r="AB28" s="6"/>
      <c r="AC28" s="7">
        <v>150</v>
      </c>
      <c r="AD28" s="6"/>
      <c r="AE28" s="186">
        <v>150</v>
      </c>
      <c r="AF28" s="186">
        <v>1220</v>
      </c>
      <c r="AG28" s="7">
        <v>200</v>
      </c>
      <c r="AH28" s="213"/>
      <c r="AI28" s="213">
        <v>500</v>
      </c>
      <c r="AJ28" s="264">
        <f>SUM(AJ25:AJ27)</f>
        <v>573.54999999999995</v>
      </c>
      <c r="AK28" s="264">
        <f>AJ28*(0.06)</f>
        <v>34.412999999999997</v>
      </c>
    </row>
    <row r="29" spans="1:37" x14ac:dyDescent="0.25">
      <c r="A29" s="10">
        <v>94</v>
      </c>
      <c r="B29" s="10">
        <v>66</v>
      </c>
      <c r="C29" s="11" t="s">
        <v>111</v>
      </c>
      <c r="D29" s="12" t="s">
        <v>112</v>
      </c>
      <c r="E29" s="12" t="s">
        <v>25</v>
      </c>
      <c r="F29" s="13" t="s">
        <v>113</v>
      </c>
      <c r="G29" s="14">
        <v>44257</v>
      </c>
      <c r="H29" s="13" t="s">
        <v>884</v>
      </c>
      <c r="I29" s="15"/>
      <c r="J29" s="185">
        <v>30</v>
      </c>
      <c r="K29" s="5">
        <v>0</v>
      </c>
      <c r="L29" s="185">
        <v>30</v>
      </c>
      <c r="M29" s="15"/>
      <c r="N29" s="166">
        <v>0</v>
      </c>
      <c r="O29" s="166">
        <v>1370</v>
      </c>
      <c r="P29" s="167"/>
      <c r="Q29" s="213">
        <f>IFERROR(VLOOKUP(C29,[1]Planilha1!$C$1:$Q$65536,15,0),0)</f>
        <v>0</v>
      </c>
      <c r="R29" s="213">
        <f>IFERROR(VLOOKUP(C29,[1]Planilha1!$C$1:$R$65536,16,0),0)</f>
        <v>0</v>
      </c>
      <c r="S29" s="213">
        <f>IFERROR(VLOOKUP(C29,[1]Planilha1!$C$1:$S$65536,17,0),0)</f>
        <v>0</v>
      </c>
      <c r="T29" s="213">
        <f>IFERROR(VLOOKUP(C29,[1]Planilha1!$C$1:$T$65536,18,0),0)</f>
        <v>0</v>
      </c>
      <c r="U29" s="186">
        <v>0</v>
      </c>
      <c r="V29" s="261">
        <v>82.2</v>
      </c>
      <c r="W29" s="186">
        <v>0</v>
      </c>
      <c r="X29" s="218"/>
      <c r="Y29" s="186">
        <v>1370</v>
      </c>
      <c r="AA29" s="186">
        <v>1024.19328</v>
      </c>
      <c r="AB29" s="186">
        <v>256.04831999999999</v>
      </c>
      <c r="AC29" s="7"/>
      <c r="AD29" s="6"/>
      <c r="AE29" s="186">
        <v>1280.2415999999998</v>
      </c>
      <c r="AF29" s="186">
        <v>89.758400000000165</v>
      </c>
      <c r="AG29" s="7"/>
      <c r="AH29" s="213"/>
      <c r="AI29" s="213"/>
    </row>
    <row r="30" spans="1:37" x14ac:dyDescent="0.25">
      <c r="A30" s="10">
        <v>94</v>
      </c>
      <c r="B30" s="10">
        <v>68</v>
      </c>
      <c r="C30" s="11" t="s">
        <v>114</v>
      </c>
      <c r="D30" s="12" t="s">
        <v>115</v>
      </c>
      <c r="E30" s="12" t="s">
        <v>25</v>
      </c>
      <c r="F30" s="13" t="s">
        <v>116</v>
      </c>
      <c r="G30" s="14">
        <v>44359</v>
      </c>
      <c r="H30" s="13" t="s">
        <v>27</v>
      </c>
      <c r="I30" s="15"/>
      <c r="J30" s="185">
        <v>30</v>
      </c>
      <c r="K30" s="5">
        <v>0</v>
      </c>
      <c r="L30" s="185">
        <v>30</v>
      </c>
      <c r="M30" s="15"/>
      <c r="N30" s="154">
        <v>0</v>
      </c>
      <c r="O30" s="154">
        <v>1370</v>
      </c>
      <c r="P30" s="152"/>
      <c r="Q30" s="213">
        <f>IFERROR(VLOOKUP(C30,[1]Planilha1!$C$1:$Q$65536,15,0),0)</f>
        <v>0</v>
      </c>
      <c r="R30" s="213">
        <f>IFERROR(VLOOKUP(C30,[1]Planilha1!$C$1:$R$65536,16,0),0)</f>
        <v>0</v>
      </c>
      <c r="S30" s="213">
        <f>IFERROR(VLOOKUP(C30,[1]Planilha1!$C$1:$S$65536,17,0),0)</f>
        <v>202.5</v>
      </c>
      <c r="T30" s="213">
        <f>IFERROR(VLOOKUP(C30,[1]Planilha1!$C$1:$T$65536,18,0),0)</f>
        <v>0</v>
      </c>
      <c r="U30" s="186">
        <v>202.5</v>
      </c>
      <c r="V30" s="261">
        <v>82.2</v>
      </c>
      <c r="W30" s="186">
        <v>82.2</v>
      </c>
      <c r="X30" s="218"/>
      <c r="Y30" s="186">
        <v>1370</v>
      </c>
      <c r="AA30" s="186">
        <v>428.19776000000002</v>
      </c>
      <c r="AB30" s="186">
        <v>107.04944</v>
      </c>
      <c r="AC30" s="7"/>
      <c r="AD30" s="6"/>
      <c r="AE30" s="186">
        <v>535.24720000000002</v>
      </c>
      <c r="AF30" s="186">
        <v>834.75279999999998</v>
      </c>
      <c r="AG30" s="7"/>
      <c r="AH30" s="213"/>
      <c r="AI30" s="213"/>
    </row>
    <row r="31" spans="1:37" x14ac:dyDescent="0.25">
      <c r="A31" s="10">
        <v>94</v>
      </c>
      <c r="B31" s="10">
        <v>6</v>
      </c>
      <c r="C31" s="11" t="s">
        <v>104</v>
      </c>
      <c r="D31" s="12" t="s">
        <v>105</v>
      </c>
      <c r="E31" s="12" t="s">
        <v>30</v>
      </c>
      <c r="F31" s="13" t="s">
        <v>106</v>
      </c>
      <c r="G31" s="14">
        <v>42320</v>
      </c>
      <c r="H31" s="13" t="s">
        <v>27</v>
      </c>
      <c r="I31" s="15"/>
      <c r="J31" s="185">
        <v>14</v>
      </c>
      <c r="K31" s="8">
        <v>8</v>
      </c>
      <c r="L31" s="185">
        <v>22</v>
      </c>
      <c r="M31" s="15"/>
      <c r="N31" s="166">
        <v>1335.01</v>
      </c>
      <c r="O31" s="166"/>
      <c r="P31" s="167">
        <v>57</v>
      </c>
      <c r="Q31" s="213">
        <f>IFERROR(VLOOKUP(C31,[1]Planilha1!$C$1:$Q$65536,15,0),0)</f>
        <v>0</v>
      </c>
      <c r="R31" s="213">
        <f>IFERROR(VLOOKUP(C31,[1]Planilha1!$C$1:$R$65536,16,0),0)</f>
        <v>0</v>
      </c>
      <c r="S31" s="213">
        <f>IFERROR(VLOOKUP(C31,[1]Planilha1!$C$1:$S$65536,17,0),0)</f>
        <v>210.6</v>
      </c>
      <c r="T31" s="213">
        <f>IFERROR(VLOOKUP(C31,[1]Planilha1!$C$1:$T$65536,18,0),0)</f>
        <v>0</v>
      </c>
      <c r="U31" s="186">
        <v>210.6</v>
      </c>
      <c r="V31" s="261">
        <v>28.380279999999996</v>
      </c>
      <c r="W31" s="186">
        <v>37.380279999999992</v>
      </c>
      <c r="X31" s="218"/>
      <c r="Y31" s="186">
        <v>623.00466666666659</v>
      </c>
      <c r="AA31" s="6"/>
      <c r="AB31" s="6"/>
      <c r="AC31" s="7">
        <v>150</v>
      </c>
      <c r="AD31" s="6"/>
      <c r="AE31" s="186">
        <v>150</v>
      </c>
      <c r="AF31" s="186">
        <v>473.00466666666659</v>
      </c>
      <c r="AG31" s="7">
        <v>200</v>
      </c>
      <c r="AH31" s="213"/>
      <c r="AI31" s="213">
        <v>500</v>
      </c>
    </row>
    <row r="32" spans="1:37" x14ac:dyDescent="0.25">
      <c r="A32" s="10">
        <v>94</v>
      </c>
      <c r="B32" s="10">
        <v>55</v>
      </c>
      <c r="C32" s="11" t="s">
        <v>108</v>
      </c>
      <c r="D32" s="12" t="s">
        <v>109</v>
      </c>
      <c r="E32" s="12" t="s">
        <v>25</v>
      </c>
      <c r="F32" s="13" t="s">
        <v>110</v>
      </c>
      <c r="G32" s="14">
        <v>43787</v>
      </c>
      <c r="H32" s="13" t="s">
        <v>27</v>
      </c>
      <c r="I32" s="15"/>
      <c r="J32" s="185">
        <v>22</v>
      </c>
      <c r="K32" s="5">
        <v>4</v>
      </c>
      <c r="L32" s="185">
        <v>26</v>
      </c>
      <c r="M32" s="15"/>
      <c r="N32" s="166">
        <v>0</v>
      </c>
      <c r="O32" s="166">
        <v>1370</v>
      </c>
      <c r="P32" s="167"/>
      <c r="Q32" s="213">
        <f>IFERROR(VLOOKUP(C32,[1]Planilha1!$C$1:$Q$65536,15,0),0)</f>
        <v>0</v>
      </c>
      <c r="R32" s="213">
        <f>IFERROR(VLOOKUP(C32,[1]Planilha1!$C$1:$R$65536,16,0),0)</f>
        <v>0</v>
      </c>
      <c r="S32" s="213">
        <f>IFERROR(VLOOKUP(C32,[1]Planilha1!$C$1:$S$65536,17,0),0)</f>
        <v>210.6</v>
      </c>
      <c r="T32" s="213">
        <f>IFERROR(VLOOKUP(C32,[1]Planilha1!$C$1:$T$65536,18,0),0)</f>
        <v>0</v>
      </c>
      <c r="U32" s="186">
        <v>210.6</v>
      </c>
      <c r="V32" s="261">
        <v>79.017479999999992</v>
      </c>
      <c r="W32" s="186">
        <v>79.017479999999992</v>
      </c>
      <c r="X32" s="218"/>
      <c r="Y32" s="186">
        <v>1004.6666666666666</v>
      </c>
      <c r="AA32" s="186">
        <v>1053.5663999999999</v>
      </c>
      <c r="AB32" s="186">
        <v>263.39159999999998</v>
      </c>
      <c r="AC32" s="7"/>
      <c r="AD32" s="6"/>
      <c r="AE32" s="186">
        <v>1316.9579999999999</v>
      </c>
      <c r="AF32" s="6">
        <v>0</v>
      </c>
      <c r="AG32" s="7"/>
      <c r="AH32" s="213"/>
      <c r="AI32" s="213"/>
    </row>
    <row r="33" spans="1:36" x14ac:dyDescent="0.25">
      <c r="A33" s="10">
        <v>94</v>
      </c>
      <c r="B33" s="10">
        <v>70</v>
      </c>
      <c r="C33" s="11" t="s">
        <v>888</v>
      </c>
      <c r="D33" s="12" t="s">
        <v>889</v>
      </c>
      <c r="E33" s="12" t="s">
        <v>48</v>
      </c>
      <c r="F33" s="13" t="s">
        <v>890</v>
      </c>
      <c r="G33" s="14">
        <v>44399</v>
      </c>
      <c r="H33" s="13" t="s">
        <v>27</v>
      </c>
      <c r="I33" s="15"/>
      <c r="J33" s="5">
        <v>9</v>
      </c>
      <c r="K33" s="5">
        <v>0</v>
      </c>
      <c r="L33" s="270">
        <v>9</v>
      </c>
      <c r="M33" s="15"/>
      <c r="N33" s="154">
        <v>0</v>
      </c>
      <c r="O33" s="154">
        <v>1370</v>
      </c>
      <c r="P33" s="152"/>
      <c r="Q33" s="213">
        <f>IFERROR(VLOOKUP(C33,[1]Planilha1!$C$1:$Q$65536,15,0),0)</f>
        <v>0</v>
      </c>
      <c r="R33" s="213">
        <f>IFERROR(VLOOKUP(C33,[1]Planilha1!$C$1:$R$65536,16,0),0)</f>
        <v>114.5</v>
      </c>
      <c r="S33" s="213">
        <f>IFERROR(VLOOKUP(C33,[1]Planilha1!$C$1:$S$65536,17,0),0)</f>
        <v>0</v>
      </c>
      <c r="T33" s="213">
        <f>IFERROR(VLOOKUP(C33,[1]Planilha1!$C$1:$T$65536,18,0),0)</f>
        <v>153.9</v>
      </c>
      <c r="U33" s="6"/>
      <c r="V33" s="260">
        <v>172.065</v>
      </c>
      <c r="W33" s="6">
        <v>0</v>
      </c>
      <c r="X33" s="218"/>
      <c r="Y33" s="6">
        <v>411</v>
      </c>
      <c r="AA33" s="186" t="s">
        <v>1153</v>
      </c>
      <c r="AB33" s="186">
        <v>573.54999999999995</v>
      </c>
      <c r="AC33" s="7">
        <v>0</v>
      </c>
      <c r="AD33" s="186">
        <v>2000</v>
      </c>
      <c r="AE33" s="6">
        <v>4867.75</v>
      </c>
      <c r="AF33" s="6">
        <v>0</v>
      </c>
      <c r="AG33" s="7"/>
      <c r="AH33" s="213"/>
      <c r="AI33" s="213"/>
      <c r="AJ33" s="264"/>
    </row>
    <row r="34" spans="1:36" x14ac:dyDescent="0.25">
      <c r="A34" s="10">
        <v>94</v>
      </c>
      <c r="B34" s="10">
        <v>69</v>
      </c>
      <c r="C34" s="11" t="s">
        <v>885</v>
      </c>
      <c r="D34" s="12" t="s">
        <v>886</v>
      </c>
      <c r="E34" s="12" t="s">
        <v>25</v>
      </c>
      <c r="F34" s="13" t="s">
        <v>887</v>
      </c>
      <c r="G34" s="14">
        <v>44391</v>
      </c>
      <c r="H34" s="13" t="s">
        <v>27</v>
      </c>
      <c r="I34" s="15"/>
      <c r="J34" s="5">
        <v>30</v>
      </c>
      <c r="K34" s="5">
        <v>0</v>
      </c>
      <c r="L34" s="270"/>
      <c r="M34" s="15"/>
      <c r="N34" s="154">
        <v>0</v>
      </c>
      <c r="O34" s="154">
        <v>1370</v>
      </c>
      <c r="P34" s="152"/>
      <c r="Q34" s="213">
        <f>IFERROR(VLOOKUP(C34,[1]Planilha1!$C$1:$Q$65536,15,0),0)</f>
        <v>0</v>
      </c>
      <c r="R34" s="213">
        <f>IFERROR(VLOOKUP(C34,[1]Planilha1!$C$1:$R$65536,16,0),0)</f>
        <v>89.5</v>
      </c>
      <c r="S34" s="213">
        <f>IFERROR(VLOOKUP(C34,[1]Planilha1!$C$1:$S$65536,17,0),0)</f>
        <v>0</v>
      </c>
      <c r="T34" s="213">
        <f>IFERROR(VLOOKUP(C34,[1]Planilha1!$C$1:$T$65536,18,0),0)</f>
        <v>137.69999999999999</v>
      </c>
      <c r="U34" s="6"/>
      <c r="V34" s="260"/>
      <c r="W34" s="6"/>
      <c r="X34" s="218"/>
      <c r="Y34" s="6"/>
      <c r="AA34" s="6"/>
      <c r="AB34" s="6"/>
      <c r="AC34" s="7"/>
      <c r="AD34" s="6"/>
      <c r="AE34" s="6"/>
      <c r="AF34" s="6"/>
      <c r="AG34" s="7"/>
      <c r="AH34" s="213"/>
      <c r="AI34" s="213"/>
    </row>
    <row r="35" spans="1:36" x14ac:dyDescent="0.25">
      <c r="A35" s="10">
        <v>95</v>
      </c>
      <c r="B35" s="10">
        <v>88</v>
      </c>
      <c r="C35" s="11" t="s">
        <v>135</v>
      </c>
      <c r="D35" s="12" t="s">
        <v>136</v>
      </c>
      <c r="E35" s="12" t="s">
        <v>25</v>
      </c>
      <c r="F35" s="13" t="s">
        <v>137</v>
      </c>
      <c r="G35" s="14">
        <v>44256</v>
      </c>
      <c r="H35" s="13" t="s">
        <v>27</v>
      </c>
      <c r="I35" s="15"/>
      <c r="J35" s="5">
        <v>30</v>
      </c>
      <c r="K35" s="5">
        <v>0</v>
      </c>
      <c r="L35" s="270"/>
      <c r="M35" s="15"/>
      <c r="N35" s="154">
        <v>0</v>
      </c>
      <c r="O35" s="154">
        <v>1087.3499999999999</v>
      </c>
      <c r="P35" s="152"/>
      <c r="Q35" s="213">
        <f>IFERROR(VLOOKUP(C35,[1]Planilha1!$C$1:$Q$65536,15,0),0)</f>
        <v>0</v>
      </c>
      <c r="R35" s="213">
        <f>IFERROR(VLOOKUP(C35,[1]Planilha1!$C$1:$R$65536,16,0),0)</f>
        <v>0</v>
      </c>
      <c r="S35" s="213">
        <f>IFERROR(VLOOKUP(C35,[1]Planilha1!$C$1:$S$65536,17,0),0)</f>
        <v>0</v>
      </c>
      <c r="T35" s="213">
        <f>IFERROR(VLOOKUP(C35,[1]Planilha1!$C$1:$T$65536,18,0),0)</f>
        <v>0</v>
      </c>
      <c r="U35" s="6"/>
      <c r="V35" s="260"/>
      <c r="W35" s="6"/>
      <c r="X35" s="218"/>
      <c r="Y35" s="6"/>
      <c r="AA35" s="6"/>
      <c r="AB35" s="6"/>
      <c r="AC35" s="7"/>
      <c r="AD35" s="6"/>
      <c r="AE35" s="6"/>
      <c r="AF35" s="6"/>
      <c r="AG35" s="7"/>
      <c r="AH35" s="213"/>
      <c r="AI35" s="213"/>
    </row>
    <row r="36" spans="1:36" x14ac:dyDescent="0.25">
      <c r="A36" s="10">
        <v>95</v>
      </c>
      <c r="B36" s="10">
        <v>56</v>
      </c>
      <c r="C36" s="11" t="s">
        <v>117</v>
      </c>
      <c r="D36" s="12" t="s">
        <v>118</v>
      </c>
      <c r="E36" s="12" t="s">
        <v>25</v>
      </c>
      <c r="F36" s="13" t="s">
        <v>119</v>
      </c>
      <c r="G36" s="14">
        <v>43165</v>
      </c>
      <c r="H36" s="13" t="s">
        <v>27</v>
      </c>
      <c r="I36" s="15"/>
      <c r="J36" s="5">
        <v>30</v>
      </c>
      <c r="K36" s="5">
        <v>0</v>
      </c>
      <c r="L36" s="270"/>
      <c r="M36" s="15"/>
      <c r="N36" s="154">
        <v>0</v>
      </c>
      <c r="O36" s="154">
        <v>1807.35</v>
      </c>
      <c r="P36" s="152"/>
      <c r="Q36" s="213">
        <f>IFERROR(VLOOKUP(C36,[1]Planilha1!$C$1:$Q$65536,15,0),0)</f>
        <v>0</v>
      </c>
      <c r="R36" s="213">
        <f>IFERROR(VLOOKUP(C36,[1]Planilha1!$C$1:$R$65536,16,0),0)</f>
        <v>0</v>
      </c>
      <c r="S36" s="213">
        <f>IFERROR(VLOOKUP(C36,[1]Planilha1!$C$1:$S$65536,17,0),0)</f>
        <v>241.5</v>
      </c>
      <c r="T36" s="213">
        <f>IFERROR(VLOOKUP(C36,[1]Planilha1!$C$1:$T$65536,18,0),0)</f>
        <v>0</v>
      </c>
      <c r="U36" s="6"/>
      <c r="V36" s="260"/>
      <c r="W36" s="6"/>
      <c r="X36" s="218"/>
      <c r="Y36" s="6"/>
      <c r="AA36" s="6"/>
      <c r="AB36" s="6"/>
      <c r="AC36" s="7">
        <v>300</v>
      </c>
      <c r="AD36" s="6"/>
      <c r="AE36" s="6"/>
      <c r="AF36" s="6"/>
      <c r="AG36" s="7">
        <v>300</v>
      </c>
      <c r="AH36" s="213"/>
      <c r="AI36" s="213"/>
    </row>
    <row r="37" spans="1:36" x14ac:dyDescent="0.25">
      <c r="A37" s="10">
        <v>95</v>
      </c>
      <c r="B37" s="10">
        <v>83</v>
      </c>
      <c r="C37" s="11" t="s">
        <v>126</v>
      </c>
      <c r="D37" s="12" t="s">
        <v>127</v>
      </c>
      <c r="E37" s="12" t="s">
        <v>30</v>
      </c>
      <c r="F37" s="13" t="s">
        <v>128</v>
      </c>
      <c r="G37" s="14">
        <v>44152</v>
      </c>
      <c r="H37" s="13" t="s">
        <v>27</v>
      </c>
      <c r="I37" s="15"/>
      <c r="J37" s="5">
        <v>30</v>
      </c>
      <c r="K37" s="5">
        <v>0</v>
      </c>
      <c r="L37" s="270"/>
      <c r="M37" s="15"/>
      <c r="N37" s="154">
        <v>1504.22</v>
      </c>
      <c r="O37" s="154"/>
      <c r="P37" s="152">
        <v>70.41</v>
      </c>
      <c r="Q37" s="213">
        <f>IFERROR(VLOOKUP(C37,[1]Planilha1!$C$1:$Q$65536,15,0),0)</f>
        <v>0</v>
      </c>
      <c r="R37" s="213">
        <f>IFERROR(VLOOKUP(C37,[1]Planilha1!$C$1:$R$65536,16,0),0)</f>
        <v>0</v>
      </c>
      <c r="S37" s="213">
        <f>IFERROR(VLOOKUP(C37,[1]Planilha1!$C$1:$S$65536,17,0),0)</f>
        <v>462</v>
      </c>
      <c r="T37" s="213">
        <f>IFERROR(VLOOKUP(C37,[1]Planilha1!$C$1:$T$65536,18,0),0)</f>
        <v>0</v>
      </c>
      <c r="U37" s="6"/>
      <c r="V37" s="260"/>
      <c r="W37" s="6"/>
      <c r="X37" s="218"/>
      <c r="Y37" s="6"/>
      <c r="AA37" s="6"/>
      <c r="AB37" s="6"/>
      <c r="AC37" s="7"/>
      <c r="AD37" s="6"/>
      <c r="AE37" s="6"/>
      <c r="AF37" s="6"/>
      <c r="AG37" s="7"/>
      <c r="AH37" s="213"/>
      <c r="AI37" s="213"/>
    </row>
    <row r="38" spans="1:36" x14ac:dyDescent="0.25">
      <c r="A38" s="10">
        <v>95</v>
      </c>
      <c r="B38" s="10">
        <v>84</v>
      </c>
      <c r="C38" s="11" t="s">
        <v>129</v>
      </c>
      <c r="D38" s="12" t="s">
        <v>130</v>
      </c>
      <c r="E38" s="12" t="s">
        <v>48</v>
      </c>
      <c r="F38" s="13" t="s">
        <v>131</v>
      </c>
      <c r="G38" s="14">
        <v>43475</v>
      </c>
      <c r="H38" s="13" t="s">
        <v>27</v>
      </c>
      <c r="I38" s="15"/>
      <c r="J38" s="5">
        <v>30</v>
      </c>
      <c r="K38" s="5">
        <v>0</v>
      </c>
      <c r="L38" s="270"/>
      <c r="M38" s="15"/>
      <c r="N38" s="154">
        <v>0</v>
      </c>
      <c r="O38" s="154">
        <v>4117.6000000000004</v>
      </c>
      <c r="P38" s="152"/>
      <c r="Q38" s="213">
        <f>IFERROR(VLOOKUP(C38,[1]Planilha1!$C$1:$Q$65536,15,0),0)</f>
        <v>0</v>
      </c>
      <c r="R38" s="213">
        <f>IFERROR(VLOOKUP(C38,[1]Planilha1!$C$1:$R$65536,16,0),0)</f>
        <v>0</v>
      </c>
      <c r="S38" s="213">
        <f>IFERROR(VLOOKUP(C38,[1]Planilha1!$C$1:$S$65536,17,0),0)</f>
        <v>0</v>
      </c>
      <c r="T38" s="213">
        <f>IFERROR(VLOOKUP(C38,[1]Planilha1!$C$1:$T$65536,18,0),0)</f>
        <v>0</v>
      </c>
      <c r="U38" s="6"/>
      <c r="V38" s="260"/>
      <c r="W38" s="6"/>
      <c r="X38" s="218"/>
      <c r="Y38" s="6"/>
      <c r="AA38" s="6"/>
      <c r="AB38" s="6"/>
      <c r="AC38" s="7"/>
      <c r="AD38" s="6"/>
      <c r="AE38" s="6"/>
      <c r="AF38" s="6"/>
      <c r="AG38" s="7"/>
      <c r="AH38" s="213"/>
      <c r="AI38" s="213"/>
    </row>
    <row r="39" spans="1:36" x14ac:dyDescent="0.25">
      <c r="A39" s="10">
        <v>95</v>
      </c>
      <c r="B39" s="10">
        <v>80</v>
      </c>
      <c r="C39" s="11" t="s">
        <v>123</v>
      </c>
      <c r="D39" s="12" t="s">
        <v>124</v>
      </c>
      <c r="E39" s="12" t="s">
        <v>30</v>
      </c>
      <c r="F39" s="13" t="s">
        <v>125</v>
      </c>
      <c r="G39" s="14">
        <v>44064</v>
      </c>
      <c r="H39" s="13" t="s">
        <v>27</v>
      </c>
      <c r="I39" s="15"/>
      <c r="J39" s="5">
        <v>30</v>
      </c>
      <c r="K39" s="5">
        <v>0</v>
      </c>
      <c r="L39" s="270"/>
      <c r="M39" s="15"/>
      <c r="N39" s="154">
        <v>1504.22</v>
      </c>
      <c r="O39" s="154"/>
      <c r="P39" s="152">
        <v>70.41</v>
      </c>
      <c r="Q39" s="213">
        <f>IFERROR(VLOOKUP(C39,[1]Planilha1!$C$1:$Q$65536,15,0),0)</f>
        <v>0</v>
      </c>
      <c r="R39" s="213">
        <f>IFERROR(VLOOKUP(C39,[1]Planilha1!$C$1:$R$65536,16,0),0)</f>
        <v>0</v>
      </c>
      <c r="S39" s="213">
        <f>IFERROR(VLOOKUP(C39,[1]Planilha1!$C$1:$S$65536,17,0),0)</f>
        <v>211.2</v>
      </c>
      <c r="T39" s="213">
        <f>IFERROR(VLOOKUP(C39,[1]Planilha1!$C$1:$T$65536,18,0),0)</f>
        <v>0</v>
      </c>
      <c r="U39" s="6"/>
      <c r="V39" s="260"/>
      <c r="W39" s="6"/>
      <c r="X39" s="218"/>
      <c r="Y39" s="6"/>
      <c r="AA39" s="6"/>
      <c r="AB39" s="6"/>
      <c r="AC39" s="7"/>
      <c r="AD39" s="6"/>
      <c r="AE39" s="6"/>
      <c r="AF39" s="6"/>
      <c r="AG39" s="7"/>
      <c r="AH39" s="213"/>
      <c r="AI39" s="213"/>
    </row>
    <row r="40" spans="1:36" x14ac:dyDescent="0.25">
      <c r="A40" s="10">
        <v>95</v>
      </c>
      <c r="B40" s="10">
        <v>59</v>
      </c>
      <c r="C40" s="11" t="s">
        <v>120</v>
      </c>
      <c r="D40" s="12" t="s">
        <v>121</v>
      </c>
      <c r="E40" s="12" t="s">
        <v>25</v>
      </c>
      <c r="F40" s="13" t="s">
        <v>122</v>
      </c>
      <c r="G40" s="14">
        <v>43213</v>
      </c>
      <c r="H40" s="13" t="s">
        <v>27</v>
      </c>
      <c r="I40" s="15"/>
      <c r="J40" s="5">
        <v>30</v>
      </c>
      <c r="K40" s="5">
        <v>0</v>
      </c>
      <c r="L40" s="270"/>
      <c r="M40" s="15"/>
      <c r="N40" s="154">
        <v>0</v>
      </c>
      <c r="O40" s="154">
        <v>1807.35</v>
      </c>
      <c r="P40" s="152"/>
      <c r="Q40" s="213">
        <f>IFERROR(VLOOKUP(C40,[1]Planilha1!$C$1:$Q$65536,15,0),0)</f>
        <v>0</v>
      </c>
      <c r="R40" s="213">
        <f>IFERROR(VLOOKUP(C40,[1]Planilha1!$C$1:$R$65536,16,0),0)</f>
        <v>0</v>
      </c>
      <c r="S40" s="213">
        <f>IFERROR(VLOOKUP(C40,[1]Planilha1!$C$1:$S$65536,17,0),0)</f>
        <v>462</v>
      </c>
      <c r="T40" s="213">
        <f>IFERROR(VLOOKUP(C40,[1]Planilha1!$C$1:$T$65536,18,0),0)</f>
        <v>0</v>
      </c>
      <c r="U40" s="6"/>
      <c r="V40" s="260"/>
      <c r="W40" s="6"/>
      <c r="X40" s="218"/>
      <c r="Y40" s="6"/>
      <c r="AA40" s="6"/>
      <c r="AB40" s="6"/>
      <c r="AC40" s="7"/>
      <c r="AD40" s="6"/>
      <c r="AE40" s="6"/>
      <c r="AF40" s="6"/>
      <c r="AG40" s="7"/>
      <c r="AH40" s="213"/>
      <c r="AI40" s="213"/>
    </row>
    <row r="41" spans="1:36" x14ac:dyDescent="0.25">
      <c r="A41" s="10">
        <v>95</v>
      </c>
      <c r="B41" s="10">
        <v>85</v>
      </c>
      <c r="C41" s="11" t="s">
        <v>132</v>
      </c>
      <c r="D41" s="12" t="s">
        <v>133</v>
      </c>
      <c r="E41" s="12" t="s">
        <v>25</v>
      </c>
      <c r="F41" s="13" t="s">
        <v>134</v>
      </c>
      <c r="G41" s="14">
        <v>44181</v>
      </c>
      <c r="H41" s="13" t="s">
        <v>27</v>
      </c>
      <c r="I41" s="15"/>
      <c r="J41" s="5">
        <v>30</v>
      </c>
      <c r="K41" s="5">
        <v>0</v>
      </c>
      <c r="L41" s="270"/>
      <c r="M41" s="15"/>
      <c r="N41" s="154">
        <v>0</v>
      </c>
      <c r="O41" s="154">
        <v>1807.35</v>
      </c>
      <c r="P41" s="152"/>
      <c r="Q41" s="213">
        <f>IFERROR(VLOOKUP(C41,[1]Planilha1!$C$1:$Q$65536,15,0),0)</f>
        <v>0</v>
      </c>
      <c r="R41" s="213">
        <f>IFERROR(VLOOKUP(C41,[1]Planilha1!$C$1:$R$65536,16,0),0)</f>
        <v>0</v>
      </c>
      <c r="S41" s="213">
        <f>IFERROR(VLOOKUP(C41,[1]Planilha1!$C$1:$S$65536,17,0),0)</f>
        <v>340</v>
      </c>
      <c r="T41" s="213">
        <f>IFERROR(VLOOKUP(C41,[1]Planilha1!$C$1:$T$65536,18,0),0)</f>
        <v>0</v>
      </c>
      <c r="U41" s="6"/>
      <c r="V41" s="260"/>
      <c r="W41" s="6"/>
      <c r="X41" s="218"/>
      <c r="Y41" s="6"/>
      <c r="AA41" s="6"/>
      <c r="AB41" s="6"/>
      <c r="AC41" s="7"/>
      <c r="AD41" s="6"/>
      <c r="AE41" s="6"/>
      <c r="AF41" s="6"/>
      <c r="AG41" s="7"/>
      <c r="AH41" s="213"/>
      <c r="AI41" s="213"/>
    </row>
    <row r="42" spans="1:36" s="162" customFormat="1" x14ac:dyDescent="0.25">
      <c r="A42" s="187">
        <v>103</v>
      </c>
      <c r="B42" s="187">
        <v>185</v>
      </c>
      <c r="C42" s="188" t="s">
        <v>141</v>
      </c>
      <c r="D42" s="189" t="s">
        <v>142</v>
      </c>
      <c r="E42" s="189" t="s">
        <v>25</v>
      </c>
      <c r="F42" s="190" t="s">
        <v>143</v>
      </c>
      <c r="G42" s="191">
        <v>43782</v>
      </c>
      <c r="H42" s="190" t="s">
        <v>27</v>
      </c>
      <c r="I42" s="163"/>
      <c r="J42" s="5">
        <v>30</v>
      </c>
      <c r="K42" s="5">
        <v>0</v>
      </c>
      <c r="L42" s="270"/>
      <c r="M42" s="163"/>
      <c r="N42" s="192">
        <v>0</v>
      </c>
      <c r="O42" s="192">
        <v>1807.35</v>
      </c>
      <c r="P42" s="193"/>
      <c r="Q42" s="213">
        <f>IFERROR(VLOOKUP(C42,[1]Planilha1!$C$1:$Q$65536,15,0),0)</f>
        <v>0</v>
      </c>
      <c r="R42" s="213">
        <f>IFERROR(VLOOKUP(C42,[1]Planilha1!$C$1:$R$65536,16,0),0)</f>
        <v>0</v>
      </c>
      <c r="S42" s="213">
        <f>IFERROR(VLOOKUP(C42,[1]Planilha1!$C$1:$S$65536,17,0),0)</f>
        <v>491.5</v>
      </c>
      <c r="T42" s="213">
        <f>IFERROR(VLOOKUP(C42,[1]Planilha1!$C$1:$T$65536,18,0),0)</f>
        <v>0</v>
      </c>
      <c r="U42" s="6"/>
      <c r="V42" s="260"/>
      <c r="W42" s="6"/>
      <c r="X42" s="222"/>
      <c r="Y42" s="6"/>
      <c r="AA42" s="6"/>
      <c r="AB42" s="6"/>
      <c r="AC42" s="7"/>
      <c r="AD42" s="6"/>
      <c r="AE42" s="6"/>
      <c r="AF42" s="6"/>
      <c r="AG42" s="7"/>
      <c r="AH42" s="215"/>
      <c r="AI42" s="215"/>
    </row>
    <row r="43" spans="1:36" x14ac:dyDescent="0.25">
      <c r="A43" s="10">
        <v>103</v>
      </c>
      <c r="B43" s="10">
        <v>193</v>
      </c>
      <c r="C43" s="11" t="s">
        <v>147</v>
      </c>
      <c r="D43" s="12" t="s">
        <v>148</v>
      </c>
      <c r="E43" s="12" t="s">
        <v>25</v>
      </c>
      <c r="F43" s="13" t="s">
        <v>149</v>
      </c>
      <c r="G43" s="14">
        <v>44121</v>
      </c>
      <c r="H43" s="13" t="s">
        <v>27</v>
      </c>
      <c r="I43" s="15"/>
      <c r="J43" s="5">
        <v>30</v>
      </c>
      <c r="K43" s="5">
        <v>0</v>
      </c>
      <c r="L43" s="270"/>
      <c r="M43" s="15"/>
      <c r="N43" s="154">
        <v>0</v>
      </c>
      <c r="O43" s="154">
        <v>1807.35</v>
      </c>
      <c r="P43" s="152"/>
      <c r="Q43" s="213">
        <f>IFERROR(VLOOKUP(C43,[1]Planilha1!$C$1:$Q$65536,15,0),0)</f>
        <v>0</v>
      </c>
      <c r="R43" s="213">
        <f>IFERROR(VLOOKUP(C43,[1]Planilha1!$C$1:$R$65536,16,0),0)</f>
        <v>0</v>
      </c>
      <c r="S43" s="213">
        <f>IFERROR(VLOOKUP(C43,[1]Planilha1!$C$1:$S$65536,17,0),0)</f>
        <v>0</v>
      </c>
      <c r="T43" s="213">
        <f>IFERROR(VLOOKUP(C43,[1]Planilha1!$C$1:$T$65536,18,0),0)</f>
        <v>0</v>
      </c>
      <c r="U43" s="6"/>
      <c r="V43" s="260"/>
      <c r="W43" s="6"/>
      <c r="X43" s="218"/>
      <c r="Y43" s="6"/>
      <c r="AA43" s="6"/>
      <c r="AB43" s="6"/>
      <c r="AC43" s="7">
        <v>400</v>
      </c>
      <c r="AD43" s="6"/>
      <c r="AE43" s="6"/>
      <c r="AF43" s="6"/>
      <c r="AG43" s="7">
        <v>400</v>
      </c>
      <c r="AH43" s="213"/>
      <c r="AI43" s="213"/>
    </row>
    <row r="44" spans="1:36" x14ac:dyDescent="0.25">
      <c r="A44" s="10">
        <v>103</v>
      </c>
      <c r="B44" s="10">
        <v>200</v>
      </c>
      <c r="C44" s="11" t="s">
        <v>156</v>
      </c>
      <c r="D44" s="12" t="s">
        <v>157</v>
      </c>
      <c r="E44" s="12" t="s">
        <v>30</v>
      </c>
      <c r="F44" s="13" t="s">
        <v>158</v>
      </c>
      <c r="G44" s="14">
        <v>44180</v>
      </c>
      <c r="H44" s="13" t="s">
        <v>27</v>
      </c>
      <c r="I44" s="15"/>
      <c r="J44" s="5">
        <v>30</v>
      </c>
      <c r="K44" s="5">
        <v>0</v>
      </c>
      <c r="L44" s="270"/>
      <c r="M44" s="15"/>
      <c r="N44" s="154">
        <v>1504.22</v>
      </c>
      <c r="O44" s="154"/>
      <c r="P44" s="152">
        <v>70.41</v>
      </c>
      <c r="Q44" s="213">
        <f>IFERROR(VLOOKUP(C44,[1]Planilha1!$C$1:$Q$65536,15,0),0)</f>
        <v>0</v>
      </c>
      <c r="R44" s="213">
        <f>IFERROR(VLOOKUP(C44,[1]Planilha1!$C$1:$R$65536,16,0),0)</f>
        <v>0</v>
      </c>
      <c r="S44" s="213">
        <f>IFERROR(VLOOKUP(C44,[1]Planilha1!$C$1:$S$65536,17,0),0)</f>
        <v>462</v>
      </c>
      <c r="T44" s="213">
        <f>IFERROR(VLOOKUP(C44,[1]Planilha1!$C$1:$T$65536,18,0),0)</f>
        <v>0</v>
      </c>
      <c r="U44" s="6"/>
      <c r="V44" s="260"/>
      <c r="W44" s="6"/>
      <c r="X44" s="218"/>
      <c r="Y44" s="6"/>
      <c r="AA44" s="6"/>
      <c r="AB44" s="6"/>
      <c r="AC44" s="7"/>
      <c r="AD44" s="6"/>
      <c r="AE44" s="6"/>
      <c r="AF44" s="6"/>
      <c r="AG44" s="7"/>
      <c r="AH44" s="213"/>
      <c r="AI44" s="213"/>
    </row>
    <row r="45" spans="1:36" x14ac:dyDescent="0.25">
      <c r="A45" s="10">
        <v>103</v>
      </c>
      <c r="B45" s="10">
        <v>187</v>
      </c>
      <c r="C45" s="11" t="s">
        <v>144</v>
      </c>
      <c r="D45" s="12" t="s">
        <v>145</v>
      </c>
      <c r="E45" s="12" t="s">
        <v>25</v>
      </c>
      <c r="F45" s="13" t="s">
        <v>146</v>
      </c>
      <c r="G45" s="14">
        <v>43815</v>
      </c>
      <c r="H45" s="13" t="s">
        <v>27</v>
      </c>
      <c r="I45" s="15"/>
      <c r="J45" s="5">
        <v>30</v>
      </c>
      <c r="K45" s="5">
        <v>0</v>
      </c>
      <c r="L45" s="270"/>
      <c r="M45" s="15"/>
      <c r="N45" s="154">
        <v>0</v>
      </c>
      <c r="O45" s="154">
        <v>1807.35</v>
      </c>
      <c r="P45" s="152"/>
      <c r="Q45" s="213">
        <f>IFERROR(VLOOKUP(C45,[1]Planilha1!$C$1:$Q$65536,15,0),0)</f>
        <v>0</v>
      </c>
      <c r="R45" s="213">
        <f>IFERROR(VLOOKUP(C45,[1]Planilha1!$C$1:$R$65536,16,0),0)</f>
        <v>0</v>
      </c>
      <c r="S45" s="213">
        <f>IFERROR(VLOOKUP(C45,[1]Planilha1!$C$1:$S$65536,17,0),0)</f>
        <v>462</v>
      </c>
      <c r="T45" s="213">
        <f>IFERROR(VLOOKUP(C45,[1]Planilha1!$C$1:$T$65536,18,0),0)</f>
        <v>0</v>
      </c>
      <c r="U45" s="6"/>
      <c r="V45" s="260"/>
      <c r="W45" s="6"/>
      <c r="X45" s="218"/>
      <c r="Y45" s="6"/>
      <c r="AA45" s="6"/>
      <c r="AB45" s="6"/>
      <c r="AC45" s="7"/>
      <c r="AD45" s="6"/>
      <c r="AE45" s="6"/>
      <c r="AF45" s="6"/>
      <c r="AG45" s="7"/>
      <c r="AH45" s="213"/>
      <c r="AI45" s="213"/>
    </row>
    <row r="46" spans="1:36" x14ac:dyDescent="0.25">
      <c r="A46" s="10">
        <v>103</v>
      </c>
      <c r="B46" s="10">
        <v>199</v>
      </c>
      <c r="C46" s="11" t="s">
        <v>153</v>
      </c>
      <c r="D46" s="12" t="s">
        <v>154</v>
      </c>
      <c r="E46" s="12" t="s">
        <v>48</v>
      </c>
      <c r="F46" s="13" t="s">
        <v>155</v>
      </c>
      <c r="G46" s="14">
        <v>43284</v>
      </c>
      <c r="H46" s="13" t="s">
        <v>27</v>
      </c>
      <c r="I46" s="15"/>
      <c r="J46" s="5">
        <v>30</v>
      </c>
      <c r="K46" s="5">
        <v>0</v>
      </c>
      <c r="L46" s="270"/>
      <c r="M46" s="15"/>
      <c r="N46" s="154">
        <v>0</v>
      </c>
      <c r="O46" s="154">
        <v>4282.3</v>
      </c>
      <c r="P46" s="152"/>
      <c r="Q46" s="213">
        <f>IFERROR(VLOOKUP(C46,[1]Planilha1!$C$1:$Q$65536,15,0),0)</f>
        <v>0</v>
      </c>
      <c r="R46" s="213">
        <f>IFERROR(VLOOKUP(C46,[1]Planilha1!$C$1:$R$65536,16,0),0)</f>
        <v>0</v>
      </c>
      <c r="S46" s="213">
        <f>IFERROR(VLOOKUP(C46,[1]Planilha1!$C$1:$S$65536,17,0),0)</f>
        <v>480.48</v>
      </c>
      <c r="T46" s="213">
        <f>IFERROR(VLOOKUP(C46,[1]Planilha1!$C$1:$T$65536,18,0),0)</f>
        <v>0</v>
      </c>
      <c r="U46" s="6"/>
      <c r="V46" s="260"/>
      <c r="W46" s="6"/>
      <c r="X46" s="218"/>
      <c r="Y46" s="6"/>
      <c r="AA46" s="6"/>
      <c r="AB46" s="6"/>
      <c r="AC46" s="7"/>
      <c r="AD46" s="6"/>
      <c r="AE46" s="6"/>
      <c r="AF46" s="6"/>
      <c r="AG46" s="7"/>
      <c r="AH46" s="213"/>
      <c r="AI46" s="213"/>
    </row>
    <row r="47" spans="1:36" x14ac:dyDescent="0.25">
      <c r="A47" s="10">
        <v>103</v>
      </c>
      <c r="B47" s="10">
        <v>194</v>
      </c>
      <c r="C47" s="11" t="s">
        <v>150</v>
      </c>
      <c r="D47" s="12" t="s">
        <v>151</v>
      </c>
      <c r="E47" s="12" t="s">
        <v>25</v>
      </c>
      <c r="F47" s="13" t="s">
        <v>152</v>
      </c>
      <c r="G47" s="14">
        <v>44121</v>
      </c>
      <c r="H47" s="13" t="s">
        <v>27</v>
      </c>
      <c r="I47" s="15"/>
      <c r="J47" s="5">
        <v>30</v>
      </c>
      <c r="K47" s="5">
        <v>0</v>
      </c>
      <c r="L47" s="270"/>
      <c r="M47" s="15"/>
      <c r="N47" s="154">
        <v>0</v>
      </c>
      <c r="O47" s="154">
        <v>1807.35</v>
      </c>
      <c r="P47" s="152"/>
      <c r="Q47" s="213">
        <f>IFERROR(VLOOKUP(C47,[1]Planilha1!$C$1:$Q$65536,15,0),0)</f>
        <v>0</v>
      </c>
      <c r="R47" s="213">
        <f>IFERROR(VLOOKUP(C47,[1]Planilha1!$C$1:$R$65536,16,0),0)</f>
        <v>0</v>
      </c>
      <c r="S47" s="213">
        <f>IFERROR(VLOOKUP(C47,[1]Planilha1!$C$1:$S$65536,17,0),0)</f>
        <v>462</v>
      </c>
      <c r="T47" s="213">
        <f>IFERROR(VLOOKUP(C47,[1]Planilha1!$C$1:$T$65536,18,0),0)</f>
        <v>0</v>
      </c>
      <c r="U47" s="6"/>
      <c r="V47" s="260"/>
      <c r="W47" s="6"/>
      <c r="X47" s="218"/>
      <c r="Y47" s="6"/>
      <c r="AA47" s="6"/>
      <c r="AB47" s="6"/>
      <c r="AC47" s="7"/>
      <c r="AD47" s="6"/>
      <c r="AE47" s="6"/>
      <c r="AF47" s="6"/>
      <c r="AG47" s="7"/>
      <c r="AH47" s="213"/>
      <c r="AI47" s="213"/>
    </row>
    <row r="48" spans="1:36" x14ac:dyDescent="0.25">
      <c r="A48" s="10">
        <v>103</v>
      </c>
      <c r="B48" s="10">
        <v>202</v>
      </c>
      <c r="C48" s="11" t="s">
        <v>159</v>
      </c>
      <c r="D48" s="12" t="s">
        <v>160</v>
      </c>
      <c r="E48" s="12" t="s">
        <v>25</v>
      </c>
      <c r="F48" s="13" t="s">
        <v>161</v>
      </c>
      <c r="G48" s="14">
        <v>44228</v>
      </c>
      <c r="H48" s="13" t="s">
        <v>27</v>
      </c>
      <c r="I48" s="15"/>
      <c r="J48" s="5">
        <v>30</v>
      </c>
      <c r="K48" s="5">
        <v>0</v>
      </c>
      <c r="L48" s="270"/>
      <c r="M48" s="15"/>
      <c r="N48" s="154">
        <v>0</v>
      </c>
      <c r="O48" s="154">
        <v>1807.35</v>
      </c>
      <c r="P48" s="152"/>
      <c r="Q48" s="213">
        <f>IFERROR(VLOOKUP(C48,[1]Planilha1!$C$1:$Q$65536,15,0),0)</f>
        <v>0</v>
      </c>
      <c r="R48" s="213">
        <f>IFERROR(VLOOKUP(C48,[1]Planilha1!$C$1:$R$65536,16,0),0)</f>
        <v>0</v>
      </c>
      <c r="S48" s="213">
        <f>IFERROR(VLOOKUP(C48,[1]Planilha1!$C$1:$S$65536,17,0),0)</f>
        <v>443.52</v>
      </c>
      <c r="T48" s="213">
        <f>IFERROR(VLOOKUP(C48,[1]Planilha1!$C$1:$T$65536,18,0),0)</f>
        <v>0</v>
      </c>
      <c r="U48" s="6"/>
      <c r="V48" s="260"/>
      <c r="W48" s="6"/>
      <c r="X48" s="218"/>
      <c r="Y48" s="6"/>
      <c r="AA48" s="6"/>
      <c r="AB48" s="6"/>
      <c r="AC48" s="7"/>
      <c r="AD48" s="6"/>
      <c r="AE48" s="6"/>
      <c r="AF48" s="6"/>
      <c r="AG48" s="7"/>
      <c r="AH48" s="213"/>
      <c r="AI48" s="213"/>
    </row>
    <row r="49" spans="1:35" x14ac:dyDescent="0.25">
      <c r="A49" s="10">
        <v>103</v>
      </c>
      <c r="B49" s="10">
        <v>184</v>
      </c>
      <c r="C49" s="11" t="s">
        <v>138</v>
      </c>
      <c r="D49" s="12" t="s">
        <v>139</v>
      </c>
      <c r="E49" s="12" t="s">
        <v>30</v>
      </c>
      <c r="F49" s="13" t="s">
        <v>140</v>
      </c>
      <c r="G49" s="14">
        <v>43782</v>
      </c>
      <c r="H49" s="13" t="s">
        <v>27</v>
      </c>
      <c r="I49" s="15"/>
      <c r="J49" s="5">
        <v>30</v>
      </c>
      <c r="K49" s="5">
        <v>0</v>
      </c>
      <c r="L49" s="270"/>
      <c r="M49" s="15"/>
      <c r="N49" s="154">
        <v>1504.22</v>
      </c>
      <c r="O49" s="154"/>
      <c r="P49" s="152">
        <v>70.41</v>
      </c>
      <c r="Q49" s="213">
        <f>IFERROR(VLOOKUP(C49,[1]Planilha1!$C$1:$Q$65536,15,0),0)</f>
        <v>0</v>
      </c>
      <c r="R49" s="213">
        <f>IFERROR(VLOOKUP(C49,[1]Planilha1!$C$1:$R$65536,16,0),0)</f>
        <v>0</v>
      </c>
      <c r="S49" s="213">
        <f>IFERROR(VLOOKUP(C49,[1]Planilha1!$C$1:$S$65536,17,0),0)</f>
        <v>251.16</v>
      </c>
      <c r="T49" s="213">
        <f>IFERROR(VLOOKUP(C49,[1]Planilha1!$C$1:$T$65536,18,0),0)</f>
        <v>0</v>
      </c>
      <c r="U49" s="6"/>
      <c r="V49" s="260"/>
      <c r="W49" s="6"/>
      <c r="X49" s="218"/>
      <c r="Y49" s="6"/>
      <c r="AA49" s="6"/>
      <c r="AB49" s="6"/>
      <c r="AC49" s="7"/>
      <c r="AD49" s="6"/>
      <c r="AE49" s="6"/>
      <c r="AF49" s="6"/>
      <c r="AG49" s="7"/>
      <c r="AH49" s="213"/>
      <c r="AI49" s="213"/>
    </row>
    <row r="50" spans="1:35" x14ac:dyDescent="0.25">
      <c r="A50" s="10">
        <v>103</v>
      </c>
      <c r="B50" s="10">
        <v>203</v>
      </c>
      <c r="C50" s="11" t="s">
        <v>891</v>
      </c>
      <c r="D50" s="12" t="s">
        <v>892</v>
      </c>
      <c r="E50" s="12" t="s">
        <v>25</v>
      </c>
      <c r="F50" s="13" t="s">
        <v>893</v>
      </c>
      <c r="G50" s="14">
        <v>44398</v>
      </c>
      <c r="H50" s="13" t="s">
        <v>27</v>
      </c>
      <c r="I50" s="15"/>
      <c r="J50" s="5">
        <v>30</v>
      </c>
      <c r="K50" s="5">
        <v>0</v>
      </c>
      <c r="L50" s="270"/>
      <c r="M50" s="15"/>
      <c r="N50" s="154">
        <v>0</v>
      </c>
      <c r="O50" s="154">
        <v>1807.35</v>
      </c>
      <c r="P50" s="152"/>
      <c r="Q50" s="213">
        <f>IFERROR(VLOOKUP(C50,[1]Planilha1!$C$1:$Q$65536,15,0),0)</f>
        <v>0</v>
      </c>
      <c r="R50" s="213">
        <f>IFERROR(VLOOKUP(C50,[1]Planilha1!$C$1:$R$65536,16,0),0)</f>
        <v>17</v>
      </c>
      <c r="S50" s="213">
        <f>IFERROR(VLOOKUP(C50,[1]Planilha1!$C$1:$S$65536,17,0),0)</f>
        <v>203.28</v>
      </c>
      <c r="T50" s="213">
        <f>IFERROR(VLOOKUP(C50,[1]Planilha1!$C$1:$T$65536,18,0),0)</f>
        <v>0</v>
      </c>
      <c r="U50" s="6"/>
      <c r="V50" s="260"/>
      <c r="W50" s="6"/>
      <c r="X50" s="218"/>
      <c r="Y50" s="6"/>
      <c r="AA50" s="6"/>
      <c r="AB50" s="6"/>
      <c r="AC50" s="7"/>
      <c r="AD50" s="6"/>
      <c r="AE50" s="6"/>
      <c r="AF50" s="6"/>
      <c r="AG50" s="7"/>
      <c r="AH50" s="213"/>
      <c r="AI50" s="213"/>
    </row>
    <row r="51" spans="1:35" x14ac:dyDescent="0.25">
      <c r="A51" s="10">
        <v>104</v>
      </c>
      <c r="B51" s="10">
        <v>52</v>
      </c>
      <c r="C51" s="11" t="s">
        <v>162</v>
      </c>
      <c r="D51" s="12" t="s">
        <v>163</v>
      </c>
      <c r="E51" s="12" t="s">
        <v>30</v>
      </c>
      <c r="F51" s="13" t="s">
        <v>164</v>
      </c>
      <c r="G51" s="14">
        <v>44117</v>
      </c>
      <c r="H51" s="13" t="s">
        <v>27</v>
      </c>
      <c r="I51" s="15"/>
      <c r="J51" s="5">
        <v>30</v>
      </c>
      <c r="K51" s="5">
        <v>0</v>
      </c>
      <c r="L51" s="270"/>
      <c r="M51" s="15"/>
      <c r="N51" s="166">
        <v>1155</v>
      </c>
      <c r="O51" s="166"/>
      <c r="P51" s="167">
        <v>115.5</v>
      </c>
      <c r="Q51" s="213">
        <f>IFERROR(VLOOKUP(C51,[1]Planilha1!$C$1:$Q$65536,15,0),0)</f>
        <v>0</v>
      </c>
      <c r="R51" s="213">
        <f>IFERROR(VLOOKUP(C51,[1]Planilha1!$C$1:$R$65536,16,0),0)</f>
        <v>0</v>
      </c>
      <c r="S51" s="213">
        <f>IFERROR(VLOOKUP(C51,[1]Planilha1!$C$1:$S$65536,17,0),0)</f>
        <v>197.6</v>
      </c>
      <c r="T51" s="213">
        <f>IFERROR(VLOOKUP(C51,[1]Planilha1!$C$1:$T$65536,18,0),0)</f>
        <v>0</v>
      </c>
      <c r="U51" s="6"/>
      <c r="V51" s="260"/>
      <c r="W51" s="6"/>
      <c r="X51" s="218"/>
      <c r="Y51" s="6"/>
      <c r="AA51" s="6"/>
      <c r="AB51" s="6"/>
      <c r="AC51" s="7"/>
      <c r="AD51" s="6"/>
      <c r="AE51" s="6"/>
      <c r="AF51" s="6"/>
      <c r="AG51" s="7"/>
      <c r="AH51" s="213"/>
      <c r="AI51" s="213"/>
    </row>
    <row r="52" spans="1:35" x14ac:dyDescent="0.25">
      <c r="A52" s="10">
        <v>104</v>
      </c>
      <c r="B52" s="10">
        <v>57</v>
      </c>
      <c r="C52" s="11" t="s">
        <v>996</v>
      </c>
      <c r="D52" s="12" t="s">
        <v>894</v>
      </c>
      <c r="E52" s="12" t="s">
        <v>25</v>
      </c>
      <c r="F52" s="13" t="s">
        <v>895</v>
      </c>
      <c r="G52" s="14">
        <v>44378</v>
      </c>
      <c r="H52" s="172" t="s">
        <v>27</v>
      </c>
      <c r="I52" s="15"/>
      <c r="J52" s="5">
        <v>30</v>
      </c>
      <c r="K52" s="5">
        <v>0</v>
      </c>
      <c r="L52" s="270"/>
      <c r="M52" s="15"/>
      <c r="N52" s="166">
        <v>1155</v>
      </c>
      <c r="O52" s="166">
        <v>1155</v>
      </c>
      <c r="P52" s="167"/>
      <c r="Q52" s="213">
        <f>IFERROR(VLOOKUP(C52,[1]Planilha1!$C$1:$Q$65536,15,0),0)</f>
        <v>0</v>
      </c>
      <c r="R52" s="213">
        <f>IFERROR(VLOOKUP(C52,[1]Planilha1!$C$1:$R$65536,16,0),0)</f>
        <v>0</v>
      </c>
      <c r="S52" s="213">
        <f>IFERROR(VLOOKUP(C52,[1]Planilha1!$C$1:$S$65536,17,0),0)</f>
        <v>0</v>
      </c>
      <c r="T52" s="213">
        <f>IFERROR(VLOOKUP(C52,[1]Planilha1!$C$1:$T$65536,18,0),0)</f>
        <v>0</v>
      </c>
      <c r="U52" s="6"/>
      <c r="V52" s="260"/>
      <c r="W52" s="6"/>
      <c r="X52" s="218"/>
      <c r="Y52" s="6"/>
      <c r="AA52" s="6"/>
      <c r="AB52" s="6"/>
      <c r="AC52" s="7"/>
      <c r="AD52" s="6"/>
      <c r="AE52" s="6"/>
      <c r="AF52" s="6"/>
      <c r="AG52" s="7"/>
      <c r="AH52" s="213"/>
      <c r="AI52" s="213"/>
    </row>
    <row r="53" spans="1:35" x14ac:dyDescent="0.25">
      <c r="A53" s="10">
        <v>104</v>
      </c>
      <c r="B53" s="10">
        <v>49</v>
      </c>
      <c r="C53" s="11" t="s">
        <v>165</v>
      </c>
      <c r="D53" s="12" t="s">
        <v>166</v>
      </c>
      <c r="E53" s="12" t="s">
        <v>48</v>
      </c>
      <c r="F53" s="13" t="s">
        <v>167</v>
      </c>
      <c r="G53" s="14">
        <v>43549</v>
      </c>
      <c r="H53" s="13" t="s">
        <v>27</v>
      </c>
      <c r="I53" s="15"/>
      <c r="J53" s="5">
        <v>30</v>
      </c>
      <c r="K53" s="5">
        <v>0</v>
      </c>
      <c r="L53" s="270"/>
      <c r="M53" s="15"/>
      <c r="N53" s="166">
        <v>0</v>
      </c>
      <c r="O53" s="166">
        <v>4612.5</v>
      </c>
      <c r="P53" s="167"/>
      <c r="Q53" s="213">
        <f>IFERROR(VLOOKUP(C53,[1]Planilha1!$C$1:$Q$65536,15,0),0)</f>
        <v>0</v>
      </c>
      <c r="R53" s="213">
        <f>IFERROR(VLOOKUP(C53,[1]Planilha1!$C$1:$R$65536,16,0),0)</f>
        <v>0</v>
      </c>
      <c r="S53" s="213">
        <f>IFERROR(VLOOKUP(C53,[1]Planilha1!$C$1:$S$65536,17,0),0)</f>
        <v>0</v>
      </c>
      <c r="T53" s="213">
        <f>IFERROR(VLOOKUP(C53,[1]Planilha1!$C$1:$T$65536,18,0),0)</f>
        <v>0</v>
      </c>
      <c r="U53" s="6"/>
      <c r="V53" s="260"/>
      <c r="W53" s="6"/>
      <c r="X53" s="218"/>
      <c r="Y53" s="6"/>
      <c r="AA53" s="6"/>
      <c r="AB53" s="6"/>
      <c r="AC53" s="7"/>
      <c r="AD53" s="6"/>
      <c r="AE53" s="6"/>
      <c r="AF53" s="6"/>
      <c r="AG53" s="7"/>
      <c r="AH53" s="213"/>
      <c r="AI53" s="213"/>
    </row>
    <row r="54" spans="1:35" x14ac:dyDescent="0.25">
      <c r="A54" s="10">
        <v>104</v>
      </c>
      <c r="B54" s="10">
        <v>33</v>
      </c>
      <c r="C54" s="11" t="s">
        <v>168</v>
      </c>
      <c r="D54" s="12" t="s">
        <v>169</v>
      </c>
      <c r="E54" s="12" t="s">
        <v>170</v>
      </c>
      <c r="F54" s="13" t="s">
        <v>171</v>
      </c>
      <c r="G54" s="14">
        <v>42705</v>
      </c>
      <c r="H54" s="13" t="s">
        <v>27</v>
      </c>
      <c r="I54" s="15"/>
      <c r="J54" s="5">
        <v>30</v>
      </c>
      <c r="K54" s="5">
        <v>0</v>
      </c>
      <c r="L54" s="270"/>
      <c r="M54" s="15"/>
      <c r="N54" s="166">
        <v>1155</v>
      </c>
      <c r="O54" s="166">
        <v>1155</v>
      </c>
      <c r="P54" s="167"/>
      <c r="Q54" s="213">
        <f>IFERROR(VLOOKUP(C54,[1]Planilha1!$C$1:$Q$65536,15,0),0)</f>
        <v>0</v>
      </c>
      <c r="R54" s="213">
        <f>IFERROR(VLOOKUP(C54,[1]Planilha1!$C$1:$R$65536,16,0),0)</f>
        <v>0</v>
      </c>
      <c r="S54" s="213">
        <f>IFERROR(VLOOKUP(C54,[1]Planilha1!$C$1:$S$65536,17,0),0)</f>
        <v>0</v>
      </c>
      <c r="T54" s="213">
        <f>IFERROR(VLOOKUP(C54,[1]Planilha1!$C$1:$T$65536,18,0),0)</f>
        <v>0</v>
      </c>
      <c r="U54" s="6"/>
      <c r="V54" s="260"/>
      <c r="W54" s="6"/>
      <c r="X54" s="218"/>
      <c r="Y54" s="6"/>
      <c r="AA54" s="6"/>
      <c r="AB54" s="6"/>
      <c r="AC54" s="7"/>
      <c r="AD54" s="6"/>
      <c r="AE54" s="6"/>
      <c r="AF54" s="6"/>
      <c r="AG54" s="7">
        <v>300</v>
      </c>
      <c r="AH54" s="213"/>
      <c r="AI54" s="213"/>
    </row>
    <row r="55" spans="1:35" x14ac:dyDescent="0.25">
      <c r="A55" s="10">
        <v>104</v>
      </c>
      <c r="B55" s="10">
        <v>45</v>
      </c>
      <c r="C55" s="11" t="s">
        <v>172</v>
      </c>
      <c r="D55" s="12" t="s">
        <v>173</v>
      </c>
      <c r="E55" s="12" t="s">
        <v>30</v>
      </c>
      <c r="F55" s="13" t="s">
        <v>174</v>
      </c>
      <c r="G55" s="14">
        <v>43441</v>
      </c>
      <c r="H55" s="13" t="s">
        <v>27</v>
      </c>
      <c r="I55" s="15"/>
      <c r="J55" s="5">
        <v>30</v>
      </c>
      <c r="K55" s="5">
        <v>0</v>
      </c>
      <c r="L55" s="270"/>
      <c r="M55" s="15"/>
      <c r="N55" s="166">
        <v>1155</v>
      </c>
      <c r="O55" s="166">
        <v>1155</v>
      </c>
      <c r="P55" s="167">
        <v>115.5</v>
      </c>
      <c r="Q55" s="213">
        <f>IFERROR(VLOOKUP(C55,[1]Planilha1!$C$1:$Q$65536,15,0),0)</f>
        <v>0</v>
      </c>
      <c r="R55" s="213">
        <f>IFERROR(VLOOKUP(C55,[1]Planilha1!$C$1:$R$65536,16,0),0)</f>
        <v>0</v>
      </c>
      <c r="S55" s="213">
        <f>IFERROR(VLOOKUP(C55,[1]Planilha1!$C$1:$S$65536,17,0),0)</f>
        <v>0</v>
      </c>
      <c r="T55" s="213">
        <f>IFERROR(VLOOKUP(C55,[1]Planilha1!$C$1:$T$65536,18,0),0)</f>
        <v>0</v>
      </c>
      <c r="U55" s="6"/>
      <c r="V55" s="260"/>
      <c r="W55" s="6"/>
      <c r="X55" s="218"/>
      <c r="Y55" s="6"/>
      <c r="AA55" s="6"/>
      <c r="AB55" s="6"/>
      <c r="AC55" s="7"/>
      <c r="AD55" s="6"/>
      <c r="AE55" s="6"/>
      <c r="AF55" s="6"/>
      <c r="AG55" s="7"/>
      <c r="AH55" s="213"/>
      <c r="AI55" s="213"/>
    </row>
    <row r="56" spans="1:35" x14ac:dyDescent="0.25">
      <c r="A56" s="10">
        <v>104</v>
      </c>
      <c r="B56" s="10">
        <v>53</v>
      </c>
      <c r="C56" s="11" t="s">
        <v>175</v>
      </c>
      <c r="D56" s="12" t="s">
        <v>176</v>
      </c>
      <c r="E56" s="12" t="s">
        <v>25</v>
      </c>
      <c r="F56" s="13" t="s">
        <v>177</v>
      </c>
      <c r="G56" s="14">
        <v>44132</v>
      </c>
      <c r="H56" s="13" t="s">
        <v>27</v>
      </c>
      <c r="I56" s="15"/>
      <c r="J56" s="5">
        <v>30</v>
      </c>
      <c r="K56" s="5">
        <v>0</v>
      </c>
      <c r="L56" s="270"/>
      <c r="M56" s="15"/>
      <c r="N56" s="166">
        <v>1155</v>
      </c>
      <c r="O56" s="166">
        <v>1155</v>
      </c>
      <c r="P56" s="167"/>
      <c r="Q56" s="213">
        <f>IFERROR(VLOOKUP(C56,[1]Planilha1!$C$1:$Q$65536,15,0),0)</f>
        <v>0</v>
      </c>
      <c r="R56" s="213">
        <f>IFERROR(VLOOKUP(C56,[1]Planilha1!$C$1:$R$65536,16,0),0)</f>
        <v>0</v>
      </c>
      <c r="S56" s="213">
        <f>IFERROR(VLOOKUP(C56,[1]Planilha1!$C$1:$S$65536,17,0),0)</f>
        <v>197.6</v>
      </c>
      <c r="T56" s="213">
        <f>IFERROR(VLOOKUP(C56,[1]Planilha1!$C$1:$T$65536,18,0),0)</f>
        <v>0</v>
      </c>
      <c r="U56" s="6"/>
      <c r="V56" s="260"/>
      <c r="W56" s="6"/>
      <c r="X56" s="218"/>
      <c r="Y56" s="6"/>
      <c r="AA56" s="6"/>
      <c r="AB56" s="6"/>
      <c r="AC56" s="7"/>
      <c r="AD56" s="6"/>
      <c r="AE56" s="6"/>
      <c r="AF56" s="6"/>
      <c r="AG56" s="7">
        <v>300</v>
      </c>
      <c r="AH56" s="213"/>
      <c r="AI56" s="213"/>
    </row>
    <row r="57" spans="1:35" x14ac:dyDescent="0.25">
      <c r="A57" s="10">
        <v>104</v>
      </c>
      <c r="B57" s="10">
        <v>41</v>
      </c>
      <c r="C57" s="11" t="s">
        <v>178</v>
      </c>
      <c r="D57" s="12" t="s">
        <v>179</v>
      </c>
      <c r="E57" s="12" t="s">
        <v>25</v>
      </c>
      <c r="F57" s="13" t="s">
        <v>180</v>
      </c>
      <c r="G57" s="14">
        <v>43070</v>
      </c>
      <c r="H57" s="13" t="s">
        <v>27</v>
      </c>
      <c r="I57" s="15"/>
      <c r="J57" s="5">
        <v>30</v>
      </c>
      <c r="K57" s="5">
        <v>0</v>
      </c>
      <c r="L57" s="270"/>
      <c r="M57" s="15"/>
      <c r="N57" s="166">
        <v>1155</v>
      </c>
      <c r="O57" s="166">
        <v>1155</v>
      </c>
      <c r="P57" s="167"/>
      <c r="Q57" s="213">
        <f>IFERROR(VLOOKUP(C57,[1]Planilha1!$C$1:$Q$65536,15,0),0)</f>
        <v>0</v>
      </c>
      <c r="R57" s="213">
        <f>IFERROR(VLOOKUP(C57,[1]Planilha1!$C$1:$R$65536,16,0),0)</f>
        <v>0</v>
      </c>
      <c r="S57" s="213">
        <f>IFERROR(VLOOKUP(C57,[1]Planilha1!$C$1:$S$65536,17,0),0)</f>
        <v>0</v>
      </c>
      <c r="T57" s="213">
        <f>IFERROR(VLOOKUP(C57,[1]Planilha1!$C$1:$T$65536,18,0),0)</f>
        <v>0</v>
      </c>
      <c r="U57" s="6"/>
      <c r="V57" s="260"/>
      <c r="W57" s="6"/>
      <c r="X57" s="218"/>
      <c r="Y57" s="6"/>
      <c r="AA57" s="6"/>
      <c r="AB57" s="6"/>
      <c r="AC57" s="7"/>
      <c r="AD57" s="6"/>
      <c r="AE57" s="6"/>
      <c r="AF57" s="6"/>
      <c r="AG57" s="7"/>
      <c r="AH57" s="213"/>
      <c r="AI57" s="213"/>
    </row>
    <row r="58" spans="1:35" x14ac:dyDescent="0.25">
      <c r="A58" s="10">
        <v>105</v>
      </c>
      <c r="B58" s="10">
        <v>93</v>
      </c>
      <c r="C58" s="11" t="s">
        <v>181</v>
      </c>
      <c r="D58" s="12" t="s">
        <v>182</v>
      </c>
      <c r="E58" s="12" t="s">
        <v>25</v>
      </c>
      <c r="F58" s="13" t="s">
        <v>183</v>
      </c>
      <c r="G58" s="14">
        <v>43735</v>
      </c>
      <c r="H58" s="172" t="s">
        <v>27</v>
      </c>
      <c r="I58" s="15"/>
      <c r="J58" s="5">
        <v>30</v>
      </c>
      <c r="K58" s="5">
        <v>0</v>
      </c>
      <c r="L58" s="270"/>
      <c r="M58" s="15"/>
      <c r="N58" s="154">
        <v>0</v>
      </c>
      <c r="O58" s="154">
        <v>1495</v>
      </c>
      <c r="P58" s="152"/>
      <c r="Q58" s="213">
        <f>IFERROR(VLOOKUP(C58,[1]Planilha1!$C$1:$Q$65536,15,0),0)</f>
        <v>0</v>
      </c>
      <c r="R58" s="213">
        <f>IFERROR(VLOOKUP(C58,[1]Planilha1!$C$1:$R$65536,16,0),0)</f>
        <v>0</v>
      </c>
      <c r="S58" s="213">
        <f>IFERROR(VLOOKUP(C58,[1]Planilha1!$C$1:$S$65536,17,0),0)</f>
        <v>0</v>
      </c>
      <c r="T58" s="213">
        <f>IFERROR(VLOOKUP(C58,[1]Planilha1!$C$1:$T$65536,18,0),0)</f>
        <v>637</v>
      </c>
      <c r="U58" s="6"/>
      <c r="V58" s="260"/>
      <c r="W58" s="6"/>
      <c r="X58" s="218"/>
      <c r="Y58" s="6"/>
      <c r="AA58" s="6"/>
      <c r="AB58" s="6"/>
      <c r="AC58" s="7"/>
      <c r="AD58" s="6"/>
      <c r="AE58" s="6"/>
      <c r="AF58" s="6"/>
      <c r="AG58" s="7">
        <v>300</v>
      </c>
      <c r="AH58" s="213"/>
      <c r="AI58" s="213"/>
    </row>
    <row r="59" spans="1:35" x14ac:dyDescent="0.25">
      <c r="A59" s="10">
        <v>105</v>
      </c>
      <c r="B59" s="10">
        <v>104</v>
      </c>
      <c r="C59" s="11" t="s">
        <v>896</v>
      </c>
      <c r="D59" s="12" t="s">
        <v>897</v>
      </c>
      <c r="E59" s="12" t="s">
        <v>25</v>
      </c>
      <c r="F59" s="13" t="s">
        <v>898</v>
      </c>
      <c r="G59" s="14">
        <v>44380</v>
      </c>
      <c r="H59" s="172" t="s">
        <v>27</v>
      </c>
      <c r="I59" s="15"/>
      <c r="J59" s="5">
        <v>10</v>
      </c>
      <c r="K59" s="8">
        <v>10</v>
      </c>
      <c r="L59" s="270"/>
      <c r="M59" s="15"/>
      <c r="N59" s="154">
        <v>0</v>
      </c>
      <c r="O59" s="154">
        <v>1495</v>
      </c>
      <c r="P59" s="152"/>
      <c r="Q59" s="213">
        <f>IFERROR(VLOOKUP(C59,[1]Planilha1!$C$1:$Q$65536,15,0),0)</f>
        <v>0</v>
      </c>
      <c r="R59" s="213">
        <f>IFERROR(VLOOKUP(C59,[1]Planilha1!$C$1:$R$65536,16,0),0)</f>
        <v>78.599999999999994</v>
      </c>
      <c r="S59" s="213">
        <f>IFERROR(VLOOKUP(C59,[1]Planilha1!$C$1:$S$65536,17,0),0)</f>
        <v>0</v>
      </c>
      <c r="T59" s="213">
        <f>IFERROR(VLOOKUP(C59,[1]Planilha1!$C$1:$T$65536,18,0),0)</f>
        <v>0</v>
      </c>
      <c r="U59" s="6"/>
      <c r="V59" s="260"/>
      <c r="W59" s="6"/>
      <c r="X59" s="218"/>
      <c r="Y59" s="6"/>
      <c r="AA59" s="6"/>
      <c r="AB59" s="6"/>
      <c r="AC59" s="7"/>
      <c r="AD59" s="6"/>
      <c r="AE59" s="6"/>
      <c r="AF59" s="6"/>
      <c r="AG59" s="7"/>
      <c r="AH59" s="213"/>
      <c r="AI59" s="213"/>
    </row>
    <row r="60" spans="1:35" x14ac:dyDescent="0.25">
      <c r="A60" s="10">
        <v>105</v>
      </c>
      <c r="B60" s="10">
        <v>100</v>
      </c>
      <c r="C60" s="11" t="s">
        <v>184</v>
      </c>
      <c r="D60" s="12" t="s">
        <v>185</v>
      </c>
      <c r="E60" s="12" t="s">
        <v>30</v>
      </c>
      <c r="F60" s="13" t="s">
        <v>186</v>
      </c>
      <c r="G60" s="14">
        <v>44148</v>
      </c>
      <c r="H60" s="172" t="s">
        <v>27</v>
      </c>
      <c r="I60" s="15"/>
      <c r="J60" s="5">
        <v>30</v>
      </c>
      <c r="K60" s="5">
        <v>0</v>
      </c>
      <c r="L60" s="270"/>
      <c r="M60" s="15"/>
      <c r="N60" s="154">
        <v>1377.6</v>
      </c>
      <c r="O60" s="154"/>
      <c r="P60" s="152">
        <v>220.27</v>
      </c>
      <c r="Q60" s="213">
        <f>IFERROR(VLOOKUP(C60,[1]Planilha1!$C$1:$Q$65536,15,0),0)</f>
        <v>0</v>
      </c>
      <c r="R60" s="213">
        <f>IFERROR(VLOOKUP(C60,[1]Planilha1!$C$1:$R$65536,16,0),0)</f>
        <v>0</v>
      </c>
      <c r="S60" s="213">
        <f>IFERROR(VLOOKUP(C60,[1]Planilha1!$C$1:$S$65536,17,0),0)</f>
        <v>0</v>
      </c>
      <c r="T60" s="213">
        <f>IFERROR(VLOOKUP(C60,[1]Planilha1!$C$1:$T$65536,18,0),0)</f>
        <v>200.2</v>
      </c>
      <c r="U60" s="6"/>
      <c r="V60" s="260"/>
      <c r="W60" s="6"/>
      <c r="X60" s="218"/>
      <c r="Y60" s="6"/>
      <c r="AA60" s="6"/>
      <c r="AB60" s="6"/>
      <c r="AC60" s="7"/>
      <c r="AD60" s="6"/>
      <c r="AE60" s="6"/>
      <c r="AF60" s="6"/>
      <c r="AG60" s="7"/>
      <c r="AH60" s="213"/>
      <c r="AI60" s="213"/>
    </row>
    <row r="61" spans="1:35" x14ac:dyDescent="0.25">
      <c r="A61" s="10">
        <v>105</v>
      </c>
      <c r="B61" s="10">
        <v>61</v>
      </c>
      <c r="C61" s="11" t="s">
        <v>187</v>
      </c>
      <c r="D61" s="12" t="s">
        <v>188</v>
      </c>
      <c r="E61" s="12" t="s">
        <v>48</v>
      </c>
      <c r="F61" s="13" t="s">
        <v>189</v>
      </c>
      <c r="G61" s="14">
        <v>42893</v>
      </c>
      <c r="H61" s="172" t="s">
        <v>27</v>
      </c>
      <c r="I61" s="15"/>
      <c r="J61" s="5">
        <v>30</v>
      </c>
      <c r="K61" s="5">
        <v>0</v>
      </c>
      <c r="L61" s="270"/>
      <c r="M61" s="15"/>
      <c r="N61" s="166">
        <v>0</v>
      </c>
      <c r="O61" s="166">
        <v>4816.24</v>
      </c>
      <c r="P61" s="167"/>
      <c r="Q61" s="213">
        <f>IFERROR(VLOOKUP(C61,[1]Planilha1!$C$1:$Q$65536,15,0),0)</f>
        <v>0</v>
      </c>
      <c r="R61" s="213">
        <f>IFERROR(VLOOKUP(C61,[1]Planilha1!$C$1:$R$65536,16,0),0)</f>
        <v>0</v>
      </c>
      <c r="S61" s="213">
        <f>IFERROR(VLOOKUP(C61,[1]Planilha1!$C$1:$S$65536,17,0),0)</f>
        <v>0</v>
      </c>
      <c r="T61" s="213">
        <f>IFERROR(VLOOKUP(C61,[1]Planilha1!$C$1:$T$65536,18,0),0)</f>
        <v>0</v>
      </c>
      <c r="U61" s="6"/>
      <c r="V61" s="260"/>
      <c r="W61" s="6"/>
      <c r="X61" s="218"/>
      <c r="Y61" s="6"/>
      <c r="AA61" s="6"/>
      <c r="AB61" s="6"/>
      <c r="AC61" s="7"/>
      <c r="AD61" s="6"/>
      <c r="AE61" s="6"/>
      <c r="AF61" s="6"/>
      <c r="AG61" s="7"/>
      <c r="AH61" s="213"/>
      <c r="AI61" s="213"/>
    </row>
    <row r="62" spans="1:35" x14ac:dyDescent="0.25">
      <c r="A62" s="10">
        <v>105</v>
      </c>
      <c r="B62" s="10">
        <v>84</v>
      </c>
      <c r="C62" s="11" t="s">
        <v>190</v>
      </c>
      <c r="D62" s="12" t="s">
        <v>191</v>
      </c>
      <c r="E62" s="12" t="s">
        <v>25</v>
      </c>
      <c r="F62" s="13" t="s">
        <v>192</v>
      </c>
      <c r="G62" s="14">
        <v>43347</v>
      </c>
      <c r="H62" s="172" t="s">
        <v>27</v>
      </c>
      <c r="I62" s="15"/>
      <c r="J62" s="5">
        <v>30</v>
      </c>
      <c r="K62" s="5">
        <v>0</v>
      </c>
      <c r="L62" s="270"/>
      <c r="M62" s="15"/>
      <c r="N62" s="166">
        <v>0</v>
      </c>
      <c r="O62" s="166">
        <v>1495</v>
      </c>
      <c r="P62" s="167"/>
      <c r="Q62" s="213">
        <f>IFERROR(VLOOKUP(C62,[1]Planilha1!$C$1:$Q$65536,15,0),0)</f>
        <v>0</v>
      </c>
      <c r="R62" s="213">
        <f>IFERROR(VLOOKUP(C62,[1]Planilha1!$C$1:$R$65536,16,0),0)</f>
        <v>0</v>
      </c>
      <c r="S62" s="213">
        <f>IFERROR(VLOOKUP(C62,[1]Planilha1!$C$1:$S$65536,17,0),0)</f>
        <v>0</v>
      </c>
      <c r="T62" s="213">
        <f>IFERROR(VLOOKUP(C62,[1]Planilha1!$C$1:$T$65536,18,0),0)</f>
        <v>439.4</v>
      </c>
      <c r="U62" s="6"/>
      <c r="V62" s="260"/>
      <c r="W62" s="6"/>
      <c r="X62" s="218"/>
      <c r="Y62" s="6"/>
      <c r="AA62" s="6"/>
      <c r="AB62" s="6"/>
      <c r="AC62" s="7"/>
      <c r="AD62" s="6"/>
      <c r="AE62" s="6"/>
      <c r="AF62" s="6"/>
      <c r="AG62" s="7">
        <v>300</v>
      </c>
      <c r="AH62" s="213"/>
      <c r="AI62" s="213"/>
    </row>
    <row r="63" spans="1:35" x14ac:dyDescent="0.25">
      <c r="A63" s="10">
        <v>105</v>
      </c>
      <c r="B63" s="10">
        <v>85</v>
      </c>
      <c r="C63" s="11" t="s">
        <v>193</v>
      </c>
      <c r="D63" s="12" t="s">
        <v>194</v>
      </c>
      <c r="E63" s="12" t="s">
        <v>25</v>
      </c>
      <c r="F63" s="13" t="s">
        <v>195</v>
      </c>
      <c r="G63" s="14">
        <v>43411</v>
      </c>
      <c r="H63" s="172" t="s">
        <v>27</v>
      </c>
      <c r="I63" s="15"/>
      <c r="J63" s="5">
        <v>22</v>
      </c>
      <c r="K63" s="5">
        <v>4</v>
      </c>
      <c r="L63" s="270"/>
      <c r="M63" s="15"/>
      <c r="N63" s="166">
        <v>0</v>
      </c>
      <c r="O63" s="166">
        <v>1495</v>
      </c>
      <c r="P63" s="167"/>
      <c r="Q63" s="213">
        <f>IFERROR(VLOOKUP(C63,[1]Planilha1!$C$1:$Q$65536,15,0),0)</f>
        <v>0</v>
      </c>
      <c r="R63" s="213">
        <f>IFERROR(VLOOKUP(C63,[1]Planilha1!$C$1:$R$65536,16,0),0)</f>
        <v>0</v>
      </c>
      <c r="S63" s="213">
        <f>IFERROR(VLOOKUP(C63,[1]Planilha1!$C$1:$S$65536,17,0),0)</f>
        <v>0</v>
      </c>
      <c r="T63" s="213">
        <f>IFERROR(VLOOKUP(C63,[1]Planilha1!$C$1:$T$65536,18,0),0)</f>
        <v>200.2</v>
      </c>
      <c r="U63" s="6"/>
      <c r="V63" s="260"/>
      <c r="W63" s="6"/>
      <c r="X63" s="218"/>
      <c r="Y63" s="6"/>
      <c r="AA63" s="6"/>
      <c r="AB63" s="6"/>
      <c r="AC63" s="7"/>
      <c r="AD63" s="6"/>
      <c r="AE63" s="6"/>
      <c r="AF63" s="6"/>
      <c r="AG63" s="7"/>
      <c r="AH63" s="213"/>
      <c r="AI63" s="213"/>
    </row>
    <row r="64" spans="1:35" x14ac:dyDescent="0.25">
      <c r="A64" s="10">
        <v>105</v>
      </c>
      <c r="B64" s="10">
        <v>29</v>
      </c>
      <c r="C64" s="11" t="s">
        <v>196</v>
      </c>
      <c r="D64" s="12" t="s">
        <v>197</v>
      </c>
      <c r="E64" s="12" t="s">
        <v>30</v>
      </c>
      <c r="F64" s="13" t="s">
        <v>198</v>
      </c>
      <c r="G64" s="14">
        <v>42167</v>
      </c>
      <c r="H64" s="172" t="s">
        <v>27</v>
      </c>
      <c r="I64" s="15"/>
      <c r="J64" s="5">
        <v>30</v>
      </c>
      <c r="K64" s="5">
        <v>0</v>
      </c>
      <c r="L64" s="270"/>
      <c r="M64" s="15"/>
      <c r="N64" s="166">
        <v>1468.46</v>
      </c>
      <c r="O64" s="166"/>
      <c r="P64" s="167">
        <v>220.27</v>
      </c>
      <c r="Q64" s="213">
        <f>IFERROR(VLOOKUP(C64,[1]Planilha1!$C$1:$Q$65536,15,0),0)</f>
        <v>0</v>
      </c>
      <c r="R64" s="213">
        <f>IFERROR(VLOOKUP(C64,[1]Planilha1!$C$1:$R$65536,16,0),0)</f>
        <v>0</v>
      </c>
      <c r="S64" s="213">
        <f>IFERROR(VLOOKUP(C64,[1]Planilha1!$C$1:$S$65536,17,0),0)</f>
        <v>0</v>
      </c>
      <c r="T64" s="213">
        <f>IFERROR(VLOOKUP(C64,[1]Planilha1!$C$1:$T$65536,18,0),0)</f>
        <v>200.2</v>
      </c>
      <c r="U64" s="6"/>
      <c r="V64" s="260"/>
      <c r="W64" s="6"/>
      <c r="X64" s="218"/>
      <c r="Y64" s="6"/>
      <c r="AA64" s="6"/>
      <c r="AB64" s="6"/>
      <c r="AC64" s="7"/>
      <c r="AD64" s="6"/>
      <c r="AE64" s="6"/>
      <c r="AF64" s="6"/>
      <c r="AG64" s="7"/>
      <c r="AH64" s="213"/>
      <c r="AI64" s="213"/>
    </row>
    <row r="65" spans="1:36" x14ac:dyDescent="0.25">
      <c r="A65" s="10">
        <v>105</v>
      </c>
      <c r="B65" s="10">
        <v>95</v>
      </c>
      <c r="C65" s="11" t="s">
        <v>199</v>
      </c>
      <c r="D65" s="12" t="s">
        <v>200</v>
      </c>
      <c r="E65" s="12" t="s">
        <v>25</v>
      </c>
      <c r="F65" s="13" t="s">
        <v>201</v>
      </c>
      <c r="G65" s="14">
        <v>43759</v>
      </c>
      <c r="H65" s="172" t="s">
        <v>27</v>
      </c>
      <c r="I65" s="15"/>
      <c r="J65" s="5">
        <v>-30</v>
      </c>
      <c r="K65" s="5">
        <v>30</v>
      </c>
      <c r="L65" s="270"/>
      <c r="M65" s="15"/>
      <c r="N65" s="154">
        <v>0</v>
      </c>
      <c r="O65" s="154">
        <v>1495</v>
      </c>
      <c r="P65" s="152"/>
      <c r="Q65" s="213">
        <f>IFERROR(VLOOKUP(C65,[1]Planilha1!$C$1:$Q$65536,15,0),0)</f>
        <v>0</v>
      </c>
      <c r="R65" s="213">
        <f>IFERROR(VLOOKUP(C65,[1]Planilha1!$C$1:$R$65536,16,0),0)</f>
        <v>0</v>
      </c>
      <c r="S65" s="213">
        <f>IFERROR(VLOOKUP(C65,[1]Planilha1!$C$1:$S$65536,17,0),0)</f>
        <v>0</v>
      </c>
      <c r="T65" s="213">
        <f>IFERROR(VLOOKUP(C65,[1]Planilha1!$C$1:$T$65536,18,0),0)</f>
        <v>0</v>
      </c>
      <c r="U65" s="6"/>
      <c r="V65" s="260"/>
      <c r="W65" s="6"/>
      <c r="X65" s="218"/>
      <c r="Y65" s="6"/>
      <c r="AA65" s="6"/>
      <c r="AB65" s="6"/>
      <c r="AC65" s="7"/>
      <c r="AD65" s="6"/>
      <c r="AE65" s="6"/>
      <c r="AF65" s="6"/>
      <c r="AG65" s="7"/>
      <c r="AH65" s="213"/>
      <c r="AI65" s="213"/>
    </row>
    <row r="66" spans="1:36" x14ac:dyDescent="0.25">
      <c r="A66" s="10">
        <v>105</v>
      </c>
      <c r="B66" s="10">
        <v>103</v>
      </c>
      <c r="C66" s="11" t="s">
        <v>202</v>
      </c>
      <c r="D66" s="12" t="s">
        <v>203</v>
      </c>
      <c r="E66" s="12" t="s">
        <v>25</v>
      </c>
      <c r="F66" s="13" t="s">
        <v>204</v>
      </c>
      <c r="G66" s="14">
        <v>44236</v>
      </c>
      <c r="H66" s="172" t="s">
        <v>27</v>
      </c>
      <c r="I66" s="15"/>
      <c r="J66" s="5">
        <v>22</v>
      </c>
      <c r="K66" s="5">
        <v>0</v>
      </c>
      <c r="L66" s="270"/>
      <c r="M66" s="15"/>
      <c r="N66" s="154">
        <v>0</v>
      </c>
      <c r="O66" s="154">
        <v>1495</v>
      </c>
      <c r="P66" s="152"/>
      <c r="Q66" s="213">
        <f>IFERROR(VLOOKUP(C66,[1]Planilha1!$C$1:$Q$65536,15,0),0)</f>
        <v>0</v>
      </c>
      <c r="R66" s="213">
        <f>IFERROR(VLOOKUP(C66,[1]Planilha1!$C$1:$R$65536,16,0),0)</f>
        <v>0</v>
      </c>
      <c r="S66" s="213">
        <f>IFERROR(VLOOKUP(C66,[1]Planilha1!$C$1:$S$65536,17,0),0)</f>
        <v>0</v>
      </c>
      <c r="T66" s="213">
        <f>IFERROR(VLOOKUP(C66,[1]Planilha1!$C$1:$T$65536,18,0),0)</f>
        <v>418.6</v>
      </c>
      <c r="U66" s="6"/>
      <c r="V66" s="260"/>
      <c r="W66" s="6"/>
      <c r="X66" s="218"/>
      <c r="Y66" s="6"/>
      <c r="AA66" s="6"/>
      <c r="AB66" s="6"/>
      <c r="AC66" s="7"/>
      <c r="AD66" s="6"/>
      <c r="AE66" s="6"/>
      <c r="AF66" s="6"/>
      <c r="AG66" s="7"/>
      <c r="AH66" s="213"/>
      <c r="AI66" s="213"/>
    </row>
    <row r="67" spans="1:36" x14ac:dyDescent="0.25">
      <c r="A67" s="10">
        <v>116</v>
      </c>
      <c r="B67" s="10">
        <v>143</v>
      </c>
      <c r="C67" s="11" t="s">
        <v>205</v>
      </c>
      <c r="D67" s="12" t="s">
        <v>206</v>
      </c>
      <c r="E67" s="12" t="s">
        <v>48</v>
      </c>
      <c r="F67" s="13" t="s">
        <v>207</v>
      </c>
      <c r="G67" s="14">
        <v>43405</v>
      </c>
      <c r="H67" s="172" t="s">
        <v>27</v>
      </c>
      <c r="I67" s="15"/>
      <c r="J67" s="5">
        <v>30</v>
      </c>
      <c r="K67" s="5">
        <v>0</v>
      </c>
      <c r="L67" s="270"/>
      <c r="M67" s="15"/>
      <c r="N67" s="154">
        <v>0</v>
      </c>
      <c r="O67" s="154">
        <v>4817.59</v>
      </c>
      <c r="P67" s="152"/>
      <c r="Q67" s="213">
        <f>IFERROR(VLOOKUP(C67,[1]Planilha1!$C$1:$Q$65536,15,0),0)</f>
        <v>0</v>
      </c>
      <c r="R67" s="213">
        <f>IFERROR(VLOOKUP(C67,[1]Planilha1!$C$1:$R$65536,16,0),0)</f>
        <v>0</v>
      </c>
      <c r="S67" s="213">
        <f>IFERROR(VLOOKUP(C67,[1]Planilha1!$C$1:$S$65536,17,0),0)</f>
        <v>0</v>
      </c>
      <c r="T67" s="213">
        <f>IFERROR(VLOOKUP(C67,[1]Planilha1!$C$1:$T$65536,18,0),0)</f>
        <v>0</v>
      </c>
      <c r="U67" s="6"/>
      <c r="V67" s="260"/>
      <c r="W67" s="6"/>
      <c r="X67" s="218"/>
      <c r="Y67" s="6"/>
      <c r="AA67" s="6"/>
      <c r="AB67" s="6"/>
      <c r="AC67" s="7"/>
      <c r="AD67" s="6"/>
      <c r="AE67" s="6"/>
      <c r="AF67" s="6"/>
      <c r="AG67" s="7"/>
      <c r="AH67" s="213"/>
      <c r="AI67" s="213"/>
    </row>
    <row r="68" spans="1:36" x14ac:dyDescent="0.25">
      <c r="A68" s="10">
        <v>116</v>
      </c>
      <c r="B68" s="10">
        <v>164</v>
      </c>
      <c r="C68" s="11" t="s">
        <v>208</v>
      </c>
      <c r="D68" s="12" t="s">
        <v>209</v>
      </c>
      <c r="E68" s="12" t="s">
        <v>25</v>
      </c>
      <c r="F68" s="13" t="s">
        <v>210</v>
      </c>
      <c r="G68" s="14">
        <v>43717</v>
      </c>
      <c r="H68" s="172" t="s">
        <v>27</v>
      </c>
      <c r="I68" s="15"/>
      <c r="J68" s="5">
        <v>30</v>
      </c>
      <c r="K68" s="5">
        <v>0</v>
      </c>
      <c r="L68" s="270"/>
      <c r="M68" s="15"/>
      <c r="N68" s="154">
        <v>0</v>
      </c>
      <c r="O68" s="154">
        <v>1807.35</v>
      </c>
      <c r="P68" s="152"/>
      <c r="Q68" s="213">
        <f>IFERROR(VLOOKUP(C68,[1]Planilha1!$C$1:$Q$65536,15,0),0)</f>
        <v>0</v>
      </c>
      <c r="R68" s="213">
        <f>IFERROR(VLOOKUP(C68,[1]Planilha1!$C$1:$R$65536,16,0),0)</f>
        <v>0</v>
      </c>
      <c r="S68" s="213">
        <f>IFERROR(VLOOKUP(C68,[1]Planilha1!$C$1:$S$65536,17,0),0)</f>
        <v>480.48</v>
      </c>
      <c r="T68" s="213">
        <f>IFERROR(VLOOKUP(C68,[1]Planilha1!$C$1:$T$65536,18,0),0)</f>
        <v>0</v>
      </c>
      <c r="U68" s="6"/>
      <c r="V68" s="260"/>
      <c r="W68" s="6"/>
      <c r="X68" s="218"/>
      <c r="Y68" s="6"/>
      <c r="AA68" s="6"/>
      <c r="AB68" s="6"/>
      <c r="AC68" s="7"/>
      <c r="AD68" s="6"/>
      <c r="AE68" s="6"/>
      <c r="AF68" s="6"/>
      <c r="AG68" s="7"/>
      <c r="AH68" s="213"/>
      <c r="AI68" s="213"/>
    </row>
    <row r="69" spans="1:36" x14ac:dyDescent="0.25">
      <c r="A69" s="10">
        <v>116</v>
      </c>
      <c r="B69" s="10">
        <v>148</v>
      </c>
      <c r="C69" s="11" t="s">
        <v>211</v>
      </c>
      <c r="D69" s="12" t="s">
        <v>212</v>
      </c>
      <c r="E69" s="12" t="s">
        <v>25</v>
      </c>
      <c r="F69" s="13" t="s">
        <v>213</v>
      </c>
      <c r="G69" s="14">
        <v>43437</v>
      </c>
      <c r="H69" s="172" t="s">
        <v>27</v>
      </c>
      <c r="I69" s="15"/>
      <c r="J69" s="5">
        <v>30</v>
      </c>
      <c r="K69" s="5">
        <v>0</v>
      </c>
      <c r="L69" s="270"/>
      <c r="M69" s="15"/>
      <c r="N69" s="154">
        <v>0</v>
      </c>
      <c r="O69" s="154">
        <v>1807.35</v>
      </c>
      <c r="P69" s="152"/>
      <c r="Q69" s="213">
        <f>IFERROR(VLOOKUP(C69,[1]Planilha1!$C$1:$Q$65536,15,0),0)</f>
        <v>0</v>
      </c>
      <c r="R69" s="213">
        <f>IFERROR(VLOOKUP(C69,[1]Planilha1!$C$1:$R$65536,16,0),0)</f>
        <v>40</v>
      </c>
      <c r="S69" s="213">
        <f>IFERROR(VLOOKUP(C69,[1]Planilha1!$C$1:$S$65536,17,0),0)</f>
        <v>480.48</v>
      </c>
      <c r="T69" s="213">
        <f>IFERROR(VLOOKUP(C69,[1]Planilha1!$C$1:$T$65536,18,0),0)</f>
        <v>0</v>
      </c>
      <c r="U69" s="6"/>
      <c r="V69" s="260"/>
      <c r="W69" s="6"/>
      <c r="X69" s="218"/>
      <c r="Y69" s="6"/>
      <c r="AA69" s="6"/>
      <c r="AB69" s="6"/>
      <c r="AC69" s="7">
        <v>400</v>
      </c>
      <c r="AD69" s="6"/>
      <c r="AE69" s="6"/>
      <c r="AF69" s="6"/>
      <c r="AG69" s="7">
        <v>400</v>
      </c>
      <c r="AH69" s="213"/>
      <c r="AI69" s="213"/>
    </row>
    <row r="70" spans="1:36" x14ac:dyDescent="0.25">
      <c r="A70" s="10">
        <v>116</v>
      </c>
      <c r="B70" s="10">
        <v>146</v>
      </c>
      <c r="C70" s="11" t="s">
        <v>214</v>
      </c>
      <c r="D70" s="12" t="s">
        <v>215</v>
      </c>
      <c r="E70" s="12" t="s">
        <v>30</v>
      </c>
      <c r="F70" s="13" t="s">
        <v>216</v>
      </c>
      <c r="G70" s="14">
        <v>43431</v>
      </c>
      <c r="H70" s="172" t="s">
        <v>27</v>
      </c>
      <c r="I70" s="15"/>
      <c r="J70" s="5">
        <v>-6</v>
      </c>
      <c r="K70" s="5">
        <v>18</v>
      </c>
      <c r="L70" s="270"/>
      <c r="M70" s="15"/>
      <c r="N70" s="154">
        <v>1504.22</v>
      </c>
      <c r="O70" s="154"/>
      <c r="P70" s="152">
        <v>70.41</v>
      </c>
      <c r="Q70" s="213">
        <f>IFERROR(VLOOKUP(C70,[1]Planilha1!$C$1:$Q$65536,15,0),0)</f>
        <v>0</v>
      </c>
      <c r="R70" s="213">
        <f>IFERROR(VLOOKUP(C70,[1]Planilha1!$C$1:$R$65536,16,0),0)</f>
        <v>40</v>
      </c>
      <c r="S70" s="213">
        <f>IFERROR(VLOOKUP(C70,[1]Planilha1!$C$1:$S$65536,17,0),0)</f>
        <v>295.68</v>
      </c>
      <c r="T70" s="213">
        <f>IFERROR(VLOOKUP(C70,[1]Planilha1!$C$1:$T$65536,18,0),0)</f>
        <v>0</v>
      </c>
      <c r="U70" s="6"/>
      <c r="V70" s="260"/>
      <c r="W70" s="6"/>
      <c r="X70" s="218"/>
      <c r="Y70" s="6"/>
      <c r="AA70" s="6"/>
      <c r="AB70" s="6"/>
      <c r="AC70" s="7"/>
      <c r="AD70" s="6"/>
      <c r="AE70" s="6"/>
      <c r="AF70" s="6"/>
      <c r="AG70" s="7"/>
      <c r="AH70" s="213"/>
      <c r="AI70" s="213"/>
    </row>
    <row r="71" spans="1:36" x14ac:dyDescent="0.25">
      <c r="A71" s="10">
        <v>116</v>
      </c>
      <c r="B71" s="10">
        <v>175</v>
      </c>
      <c r="C71" s="11" t="s">
        <v>217</v>
      </c>
      <c r="D71" s="12" t="s">
        <v>218</v>
      </c>
      <c r="E71" s="12" t="s">
        <v>25</v>
      </c>
      <c r="F71" s="13" t="s">
        <v>219</v>
      </c>
      <c r="G71" s="14">
        <v>44092</v>
      </c>
      <c r="H71" s="172" t="s">
        <v>27</v>
      </c>
      <c r="I71" s="15"/>
      <c r="J71" s="5">
        <v>30</v>
      </c>
      <c r="K71" s="5">
        <v>0</v>
      </c>
      <c r="L71" s="270"/>
      <c r="M71" s="15"/>
      <c r="N71" s="154">
        <v>0</v>
      </c>
      <c r="O71" s="154">
        <v>1807.35</v>
      </c>
      <c r="P71" s="152"/>
      <c r="Q71" s="213">
        <f>IFERROR(VLOOKUP(C71,[1]Planilha1!$C$1:$Q$65536,15,0),0)</f>
        <v>0</v>
      </c>
      <c r="R71" s="213">
        <f>IFERROR(VLOOKUP(C71,[1]Planilha1!$C$1:$R$65536,16,0),0)</f>
        <v>40</v>
      </c>
      <c r="S71" s="213">
        <f>IFERROR(VLOOKUP(C71,[1]Planilha1!$C$1:$S$65536,17,0),0)</f>
        <v>0</v>
      </c>
      <c r="T71" s="213">
        <f>IFERROR(VLOOKUP(C71,[1]Planilha1!$C$1:$T$65536,18,0),0)</f>
        <v>0</v>
      </c>
      <c r="U71" s="6"/>
      <c r="V71" s="260"/>
      <c r="W71" s="6"/>
      <c r="X71" s="218"/>
      <c r="Y71" s="6"/>
      <c r="AA71" s="6"/>
      <c r="AB71" s="6"/>
      <c r="AC71" s="7"/>
      <c r="AD71" s="6"/>
      <c r="AE71" s="6"/>
      <c r="AF71" s="6"/>
      <c r="AG71" s="7"/>
      <c r="AH71" s="213"/>
      <c r="AI71" s="213"/>
    </row>
    <row r="72" spans="1:36" x14ac:dyDescent="0.25">
      <c r="A72" s="10">
        <v>116</v>
      </c>
      <c r="B72" s="10">
        <v>170</v>
      </c>
      <c r="C72" s="11" t="s">
        <v>220</v>
      </c>
      <c r="D72" s="12" t="s">
        <v>221</v>
      </c>
      <c r="E72" s="12" t="s">
        <v>25</v>
      </c>
      <c r="F72" s="13" t="s">
        <v>222</v>
      </c>
      <c r="G72" s="14">
        <v>44079</v>
      </c>
      <c r="H72" s="172" t="s">
        <v>27</v>
      </c>
      <c r="I72" s="15"/>
      <c r="J72" s="5">
        <v>30</v>
      </c>
      <c r="K72" s="5">
        <v>0</v>
      </c>
      <c r="L72" s="270"/>
      <c r="M72" s="15"/>
      <c r="N72" s="154">
        <v>0</v>
      </c>
      <c r="O72" s="154">
        <v>1807.35</v>
      </c>
      <c r="P72" s="152"/>
      <c r="Q72" s="213">
        <f>IFERROR(VLOOKUP(C72,[1]Planilha1!$C$1:$Q$65536,15,0),0)</f>
        <v>0</v>
      </c>
      <c r="R72" s="213">
        <f>IFERROR(VLOOKUP(C72,[1]Planilha1!$C$1:$R$65536,16,0),0)</f>
        <v>0</v>
      </c>
      <c r="S72" s="213">
        <f>IFERROR(VLOOKUP(C72,[1]Planilha1!$C$1:$S$65536,17,0),0)</f>
        <v>462.8</v>
      </c>
      <c r="T72" s="213">
        <f>IFERROR(VLOOKUP(C72,[1]Planilha1!$C$1:$T$65536,18,0),0)</f>
        <v>0</v>
      </c>
      <c r="U72" s="6"/>
      <c r="V72" s="260"/>
      <c r="W72" s="6"/>
      <c r="X72" s="218"/>
      <c r="Y72" s="6"/>
      <c r="AA72" s="6"/>
      <c r="AB72" s="6"/>
      <c r="AC72" s="7"/>
      <c r="AD72" s="6"/>
      <c r="AE72" s="6"/>
      <c r="AF72" s="6"/>
      <c r="AG72" s="7"/>
      <c r="AH72" s="213"/>
      <c r="AI72" s="213"/>
    </row>
    <row r="73" spans="1:36" x14ac:dyDescent="0.25">
      <c r="A73" s="10">
        <v>116</v>
      </c>
      <c r="B73" s="10">
        <v>144</v>
      </c>
      <c r="C73" s="11" t="s">
        <v>223</v>
      </c>
      <c r="D73" s="12" t="s">
        <v>224</v>
      </c>
      <c r="E73" s="12" t="s">
        <v>25</v>
      </c>
      <c r="F73" s="13" t="s">
        <v>225</v>
      </c>
      <c r="G73" s="14">
        <v>43412</v>
      </c>
      <c r="H73" s="172" t="s">
        <v>27</v>
      </c>
      <c r="I73" s="15"/>
      <c r="J73" s="5">
        <v>30</v>
      </c>
      <c r="K73" s="5">
        <v>0</v>
      </c>
      <c r="L73" s="270"/>
      <c r="M73" s="15"/>
      <c r="N73" s="154">
        <v>0</v>
      </c>
      <c r="O73" s="154">
        <v>1807.35</v>
      </c>
      <c r="P73" s="152"/>
      <c r="Q73" s="213">
        <f>IFERROR(VLOOKUP(C73,[1]Planilha1!$C$1:$Q$65536,15,0),0)</f>
        <v>0</v>
      </c>
      <c r="R73" s="213">
        <f>IFERROR(VLOOKUP(C73,[1]Planilha1!$C$1:$R$65536,16,0),0)</f>
        <v>40</v>
      </c>
      <c r="S73" s="213">
        <f>IFERROR(VLOOKUP(C73,[1]Planilha1!$C$1:$S$65536,17,0),0)</f>
        <v>0</v>
      </c>
      <c r="T73" s="213">
        <f>IFERROR(VLOOKUP(C73,[1]Planilha1!$C$1:$T$65536,18,0),0)</f>
        <v>0</v>
      </c>
      <c r="U73" s="6"/>
      <c r="V73" s="260"/>
      <c r="W73" s="6"/>
      <c r="X73" s="218"/>
      <c r="Y73" s="6"/>
      <c r="AA73" s="6"/>
      <c r="AB73" s="6"/>
      <c r="AC73" s="7"/>
      <c r="AD73" s="6"/>
      <c r="AE73" s="6"/>
      <c r="AF73" s="6"/>
      <c r="AG73" s="7"/>
      <c r="AH73" s="213"/>
      <c r="AI73" s="213"/>
    </row>
    <row r="74" spans="1:36" x14ac:dyDescent="0.25">
      <c r="A74" s="10">
        <v>116</v>
      </c>
      <c r="B74" s="10">
        <v>169</v>
      </c>
      <c r="C74" s="11" t="s">
        <v>226</v>
      </c>
      <c r="D74" s="12" t="s">
        <v>227</v>
      </c>
      <c r="E74" s="12" t="s">
        <v>25</v>
      </c>
      <c r="F74" s="13" t="s">
        <v>228</v>
      </c>
      <c r="G74" s="14">
        <v>41720</v>
      </c>
      <c r="H74" s="172" t="s">
        <v>27</v>
      </c>
      <c r="I74" s="15"/>
      <c r="J74" s="5">
        <v>30</v>
      </c>
      <c r="K74" s="5">
        <v>0</v>
      </c>
      <c r="L74" s="270"/>
      <c r="M74" s="15"/>
      <c r="N74" s="154">
        <v>0</v>
      </c>
      <c r="O74" s="154">
        <v>1807.35</v>
      </c>
      <c r="P74" s="152"/>
      <c r="Q74" s="213">
        <f>IFERROR(VLOOKUP(C74,[1]Planilha1!$C$1:$Q$65536,15,0),0)</f>
        <v>0</v>
      </c>
      <c r="R74" s="213">
        <f>IFERROR(VLOOKUP(C74,[1]Planilha1!$C$1:$R$65536,16,0),0)</f>
        <v>40</v>
      </c>
      <c r="S74" s="213">
        <f>IFERROR(VLOOKUP(C74,[1]Planilha1!$C$1:$S$65536,17,0),0)</f>
        <v>0</v>
      </c>
      <c r="T74" s="213">
        <f>IFERROR(VLOOKUP(C74,[1]Planilha1!$C$1:$T$65536,18,0),0)</f>
        <v>0</v>
      </c>
      <c r="U74" s="6"/>
      <c r="V74" s="260"/>
      <c r="W74" s="6"/>
      <c r="X74" s="218"/>
      <c r="Y74" s="6"/>
      <c r="AA74" s="6"/>
      <c r="AB74" s="6"/>
      <c r="AC74" s="7">
        <v>400</v>
      </c>
      <c r="AD74" s="6"/>
      <c r="AE74" s="6"/>
      <c r="AF74" s="6"/>
      <c r="AG74" s="7">
        <v>400</v>
      </c>
      <c r="AH74" s="213"/>
      <c r="AI74" s="213"/>
    </row>
    <row r="75" spans="1:36" x14ac:dyDescent="0.25">
      <c r="A75" s="10">
        <v>123</v>
      </c>
      <c r="B75" s="10">
        <v>58</v>
      </c>
      <c r="C75" s="11" t="s">
        <v>229</v>
      </c>
      <c r="D75" s="12" t="s">
        <v>230</v>
      </c>
      <c r="E75" s="12" t="s">
        <v>25</v>
      </c>
      <c r="F75" s="13" t="s">
        <v>231</v>
      </c>
      <c r="G75" s="14">
        <v>43252</v>
      </c>
      <c r="H75" s="172" t="s">
        <v>27</v>
      </c>
      <c r="I75" s="15"/>
      <c r="J75" s="5">
        <v>30</v>
      </c>
      <c r="K75" s="5">
        <v>0</v>
      </c>
      <c r="L75" s="270"/>
      <c r="M75" s="15"/>
      <c r="N75" s="154">
        <v>0</v>
      </c>
      <c r="O75" s="154">
        <v>1189</v>
      </c>
      <c r="P75" s="152"/>
      <c r="Q75" s="213">
        <f>IFERROR(VLOOKUP(C75,[1]Planilha1!$C$1:$Q$65536,15,0),0)</f>
        <v>0</v>
      </c>
      <c r="R75" s="213">
        <f>IFERROR(VLOOKUP(C75,[1]Planilha1!$C$1:$R$65536,16,0),0)</f>
        <v>0</v>
      </c>
      <c r="S75" s="213">
        <f>IFERROR(VLOOKUP(C75,[1]Planilha1!$C$1:$S$65536,17,0),0)</f>
        <v>0</v>
      </c>
      <c r="T75" s="213">
        <f>IFERROR(VLOOKUP(C75,[1]Planilha1!$C$1:$T$65536,18,0),0)</f>
        <v>0</v>
      </c>
      <c r="U75" s="6"/>
      <c r="V75" s="260"/>
      <c r="W75" s="6"/>
      <c r="X75" s="218"/>
      <c r="Y75" s="6"/>
      <c r="AA75" s="6"/>
      <c r="AB75" s="6"/>
      <c r="AC75" s="7">
        <v>400</v>
      </c>
      <c r="AD75" s="6"/>
      <c r="AE75" s="6"/>
      <c r="AF75" s="6"/>
      <c r="AG75" s="7">
        <v>300</v>
      </c>
      <c r="AH75" s="213"/>
      <c r="AI75" s="213"/>
    </row>
    <row r="76" spans="1:36" x14ac:dyDescent="0.25">
      <c r="A76" s="10">
        <v>123</v>
      </c>
      <c r="B76" s="10">
        <v>69</v>
      </c>
      <c r="C76" s="11" t="s">
        <v>232</v>
      </c>
      <c r="D76" s="12" t="s">
        <v>233</v>
      </c>
      <c r="E76" s="12" t="s">
        <v>25</v>
      </c>
      <c r="F76" s="13" t="s">
        <v>234</v>
      </c>
      <c r="G76" s="14">
        <v>43573</v>
      </c>
      <c r="H76" s="172" t="s">
        <v>27</v>
      </c>
      <c r="I76" s="15"/>
      <c r="J76" s="5">
        <v>30</v>
      </c>
      <c r="K76" s="5">
        <v>0</v>
      </c>
      <c r="L76" s="270"/>
      <c r="M76" s="15"/>
      <c r="N76" s="154">
        <v>0</v>
      </c>
      <c r="O76" s="154">
        <v>1189</v>
      </c>
      <c r="P76" s="152"/>
      <c r="Q76" s="213">
        <f>IFERROR(VLOOKUP(C76,[1]Planilha1!$C$1:$Q$65536,15,0),0)</f>
        <v>0</v>
      </c>
      <c r="R76" s="213">
        <f>IFERROR(VLOOKUP(C76,[1]Planilha1!$C$1:$R$65536,16,0),0)</f>
        <v>0</v>
      </c>
      <c r="S76" s="213">
        <f>IFERROR(VLOOKUP(C76,[1]Planilha1!$C$1:$S$65536,17,0),0)</f>
        <v>0</v>
      </c>
      <c r="T76" s="213">
        <f>IFERROR(VLOOKUP(C76,[1]Planilha1!$C$1:$T$65536,18,0),0)</f>
        <v>561.6</v>
      </c>
      <c r="U76" s="6"/>
      <c r="V76" s="260"/>
      <c r="W76" s="6"/>
      <c r="X76" s="218"/>
      <c r="Y76" s="6"/>
      <c r="AA76" s="6"/>
      <c r="AB76" s="6"/>
      <c r="AC76" s="7"/>
      <c r="AD76" s="6"/>
      <c r="AE76" s="6"/>
      <c r="AF76" s="6"/>
      <c r="AG76" s="7"/>
      <c r="AH76" s="213"/>
      <c r="AI76" s="213"/>
    </row>
    <row r="77" spans="1:36" x14ac:dyDescent="0.25">
      <c r="A77" s="10">
        <v>123</v>
      </c>
      <c r="B77" s="10">
        <v>81</v>
      </c>
      <c r="C77" s="11" t="s">
        <v>235</v>
      </c>
      <c r="D77" s="12" t="s">
        <v>236</v>
      </c>
      <c r="E77" s="12" t="s">
        <v>25</v>
      </c>
      <c r="F77" s="13" t="s">
        <v>237</v>
      </c>
      <c r="G77" s="14">
        <v>44371</v>
      </c>
      <c r="H77" s="172" t="s">
        <v>27</v>
      </c>
      <c r="I77" s="15"/>
      <c r="J77" s="5">
        <v>30</v>
      </c>
      <c r="K77" s="5">
        <v>0</v>
      </c>
      <c r="L77" s="270"/>
      <c r="M77" s="15"/>
      <c r="N77" s="154">
        <v>0</v>
      </c>
      <c r="O77" s="154">
        <v>1189</v>
      </c>
      <c r="P77" s="152"/>
      <c r="Q77" s="213">
        <f>IFERROR(VLOOKUP(C77,[1]Planilha1!$C$1:$Q$65536,15,0),0)</f>
        <v>0</v>
      </c>
      <c r="R77" s="213">
        <f>IFERROR(VLOOKUP(C77,[1]Planilha1!$C$1:$R$65536,16,0),0)</f>
        <v>0</v>
      </c>
      <c r="S77" s="213">
        <f>IFERROR(VLOOKUP(C77,[1]Planilha1!$C$1:$S$65536,17,0),0)</f>
        <v>0</v>
      </c>
      <c r="T77" s="213">
        <f>IFERROR(VLOOKUP(C77,[1]Planilha1!$C$1:$T$65536,18,0),0)</f>
        <v>246.4</v>
      </c>
      <c r="U77" s="6"/>
      <c r="V77" s="260"/>
      <c r="W77" s="6"/>
      <c r="X77" s="218"/>
      <c r="Y77" s="6"/>
      <c r="AA77" s="6"/>
      <c r="AB77" s="6"/>
      <c r="AC77" s="7"/>
      <c r="AD77" s="6"/>
      <c r="AE77" s="6"/>
      <c r="AF77" s="6"/>
      <c r="AG77" s="7"/>
      <c r="AH77" s="213"/>
      <c r="AI77" s="213"/>
    </row>
    <row r="78" spans="1:36" x14ac:dyDescent="0.25">
      <c r="A78" s="10">
        <v>123</v>
      </c>
      <c r="B78" s="10">
        <v>75</v>
      </c>
      <c r="C78" s="11" t="s">
        <v>238</v>
      </c>
      <c r="D78" s="12" t="s">
        <v>239</v>
      </c>
      <c r="E78" s="12" t="s">
        <v>25</v>
      </c>
      <c r="F78" s="13" t="s">
        <v>240</v>
      </c>
      <c r="G78" s="14">
        <v>43808</v>
      </c>
      <c r="H78" s="172" t="s">
        <v>27</v>
      </c>
      <c r="I78" s="15"/>
      <c r="J78" s="5">
        <v>30</v>
      </c>
      <c r="K78" s="5">
        <v>0</v>
      </c>
      <c r="L78" s="270"/>
      <c r="M78" s="15"/>
      <c r="N78" s="154">
        <v>0</v>
      </c>
      <c r="O78" s="154">
        <v>1189</v>
      </c>
      <c r="P78" s="152"/>
      <c r="Q78" s="213">
        <f>IFERROR(VLOOKUP(C78,[1]Planilha1!$C$1:$Q$65536,15,0),0)</f>
        <v>0</v>
      </c>
      <c r="R78" s="213">
        <f>IFERROR(VLOOKUP(C78,[1]Planilha1!$C$1:$R$65536,16,0),0)</f>
        <v>0</v>
      </c>
      <c r="S78" s="213">
        <f>IFERROR(VLOOKUP(C78,[1]Planilha1!$C$1:$S$65536,17,0),0)</f>
        <v>0</v>
      </c>
      <c r="T78" s="213">
        <f>IFERROR(VLOOKUP(C78,[1]Planilha1!$C$1:$T$65536,18,0),0)</f>
        <v>447.2</v>
      </c>
      <c r="U78" s="6"/>
      <c r="V78" s="260"/>
      <c r="W78" s="6"/>
      <c r="X78" s="218"/>
      <c r="Y78" s="6"/>
      <c r="AA78" s="6"/>
      <c r="AB78" s="6"/>
      <c r="AC78" s="7"/>
      <c r="AD78" s="6"/>
      <c r="AE78" s="6"/>
      <c r="AF78" s="6"/>
      <c r="AG78" s="7"/>
      <c r="AH78" s="213"/>
      <c r="AI78" s="213"/>
    </row>
    <row r="79" spans="1:36" x14ac:dyDescent="0.25">
      <c r="A79" s="10">
        <v>123</v>
      </c>
      <c r="B79" s="10">
        <v>76</v>
      </c>
      <c r="C79" s="11" t="s">
        <v>241</v>
      </c>
      <c r="D79" s="12" t="s">
        <v>242</v>
      </c>
      <c r="E79" s="12" t="s">
        <v>30</v>
      </c>
      <c r="F79" s="13" t="s">
        <v>243</v>
      </c>
      <c r="G79" s="14">
        <v>44084</v>
      </c>
      <c r="H79" s="172" t="s">
        <v>27</v>
      </c>
      <c r="I79" s="15"/>
      <c r="J79" s="5">
        <v>30</v>
      </c>
      <c r="K79" s="5">
        <v>0</v>
      </c>
      <c r="L79" s="270"/>
      <c r="M79" s="15"/>
      <c r="N79" s="154">
        <v>1189</v>
      </c>
      <c r="O79" s="154"/>
      <c r="P79" s="152">
        <v>118.9</v>
      </c>
      <c r="Q79" s="213">
        <f>IFERROR(VLOOKUP(C79,[1]Planilha1!$C$1:$Q$65536,15,0),0)</f>
        <v>0</v>
      </c>
      <c r="R79" s="213">
        <f>IFERROR(VLOOKUP(C79,[1]Planilha1!$C$1:$R$65536,16,0),0)</f>
        <v>0</v>
      </c>
      <c r="S79" s="213">
        <f>IFERROR(VLOOKUP(C79,[1]Planilha1!$C$1:$S$65536,17,0),0)</f>
        <v>0</v>
      </c>
      <c r="T79" s="213">
        <f>IFERROR(VLOOKUP(C79,[1]Planilha1!$C$1:$T$65536,18,0),0)</f>
        <v>223.6</v>
      </c>
      <c r="U79" s="6"/>
      <c r="V79" s="260"/>
      <c r="W79" s="6"/>
      <c r="X79" s="218"/>
      <c r="Y79" s="6"/>
      <c r="AA79" s="6"/>
      <c r="AB79" s="6"/>
      <c r="AC79" s="7"/>
      <c r="AD79" s="6"/>
      <c r="AE79" s="6"/>
      <c r="AF79" s="6"/>
      <c r="AG79" s="7"/>
      <c r="AH79" s="213"/>
      <c r="AI79" s="213"/>
      <c r="AJ79" s="161"/>
    </row>
    <row r="80" spans="1:36" x14ac:dyDescent="0.25">
      <c r="A80" s="10">
        <v>123</v>
      </c>
      <c r="B80" s="10">
        <v>68</v>
      </c>
      <c r="C80" s="11" t="s">
        <v>244</v>
      </c>
      <c r="D80" s="12" t="s">
        <v>245</v>
      </c>
      <c r="E80" s="12" t="s">
        <v>48</v>
      </c>
      <c r="F80" s="13" t="s">
        <v>246</v>
      </c>
      <c r="G80" s="14">
        <v>43560</v>
      </c>
      <c r="H80" s="172" t="s">
        <v>27</v>
      </c>
      <c r="I80" s="15"/>
      <c r="J80" s="5">
        <v>30</v>
      </c>
      <c r="K80" s="5">
        <v>0</v>
      </c>
      <c r="L80" s="270"/>
      <c r="M80" s="15"/>
      <c r="N80" s="154">
        <v>0</v>
      </c>
      <c r="O80" s="154">
        <v>4676.3999999999996</v>
      </c>
      <c r="P80" s="152"/>
      <c r="Q80" s="213">
        <f>IFERROR(VLOOKUP(C80,[1]Planilha1!$C$1:$Q$65536,15,0),0)</f>
        <v>0</v>
      </c>
      <c r="R80" s="213">
        <f>IFERROR(VLOOKUP(C80,[1]Planilha1!$C$1:$R$65536,16,0),0)</f>
        <v>0</v>
      </c>
      <c r="S80" s="213">
        <f>IFERROR(VLOOKUP(C80,[1]Planilha1!$C$1:$S$65536,17,0),0)</f>
        <v>0</v>
      </c>
      <c r="T80" s="213">
        <f>IFERROR(VLOOKUP(C80,[1]Planilha1!$C$1:$T$65536,18,0),0)</f>
        <v>0</v>
      </c>
      <c r="U80" s="6"/>
      <c r="V80" s="260"/>
      <c r="W80" s="6"/>
      <c r="X80" s="218"/>
      <c r="Y80" s="6"/>
      <c r="AA80" s="6"/>
      <c r="AB80" s="6"/>
      <c r="AC80" s="7"/>
      <c r="AD80" s="6"/>
      <c r="AE80" s="6"/>
      <c r="AF80" s="6"/>
      <c r="AG80" s="7"/>
      <c r="AH80" s="213"/>
      <c r="AI80" s="213"/>
    </row>
    <row r="81" spans="1:36" s="161" customFormat="1" x14ac:dyDescent="0.25">
      <c r="A81" s="10">
        <v>123</v>
      </c>
      <c r="B81" s="10">
        <v>36</v>
      </c>
      <c r="C81" s="11" t="s">
        <v>247</v>
      </c>
      <c r="D81" s="12" t="s">
        <v>248</v>
      </c>
      <c r="E81" s="12" t="s">
        <v>25</v>
      </c>
      <c r="F81" s="13" t="s">
        <v>249</v>
      </c>
      <c r="G81" s="14">
        <v>42564</v>
      </c>
      <c r="H81" s="172" t="s">
        <v>27</v>
      </c>
      <c r="I81" s="15"/>
      <c r="J81" s="5">
        <v>-30</v>
      </c>
      <c r="K81" s="5">
        <v>30</v>
      </c>
      <c r="L81" s="270"/>
      <c r="M81" s="15"/>
      <c r="N81" s="154">
        <v>0</v>
      </c>
      <c r="O81" s="154">
        <v>1189</v>
      </c>
      <c r="P81" s="152"/>
      <c r="Q81" s="213">
        <f>IFERROR(VLOOKUP(C81,[1]Planilha1!$C$1:$Q$65536,15,0),0)</f>
        <v>0</v>
      </c>
      <c r="R81" s="213">
        <f>IFERROR(VLOOKUP(C81,[1]Planilha1!$C$1:$R$65536,16,0),0)</f>
        <v>0</v>
      </c>
      <c r="S81" s="213">
        <f>IFERROR(VLOOKUP(C81,[1]Planilha1!$C$1:$S$65536,17,0),0)</f>
        <v>0</v>
      </c>
      <c r="T81" s="213">
        <f>IFERROR(VLOOKUP(C81,[1]Planilha1!$C$1:$T$65536,18,0),0)</f>
        <v>0</v>
      </c>
      <c r="U81" s="6"/>
      <c r="V81" s="260"/>
      <c r="W81" s="6"/>
      <c r="X81" s="218"/>
      <c r="Y81" s="6"/>
      <c r="Z81" s="16"/>
      <c r="AA81" s="6"/>
      <c r="AB81" s="6"/>
      <c r="AC81" s="7"/>
      <c r="AD81" s="6"/>
      <c r="AE81" s="6"/>
      <c r="AF81" s="6"/>
      <c r="AG81" s="7"/>
      <c r="AH81" s="213"/>
      <c r="AI81" s="213"/>
      <c r="AJ81" s="16"/>
    </row>
    <row r="82" spans="1:36" x14ac:dyDescent="0.25">
      <c r="A82" s="158">
        <v>123</v>
      </c>
      <c r="B82" s="158">
        <v>70</v>
      </c>
      <c r="C82" s="159" t="s">
        <v>250</v>
      </c>
      <c r="D82" s="155" t="s">
        <v>251</v>
      </c>
      <c r="E82" s="155" t="s">
        <v>25</v>
      </c>
      <c r="F82" s="156" t="s">
        <v>252</v>
      </c>
      <c r="G82" s="157">
        <v>43718</v>
      </c>
      <c r="H82" s="172" t="s">
        <v>27</v>
      </c>
      <c r="I82" s="160"/>
      <c r="J82" s="5">
        <v>30</v>
      </c>
      <c r="K82" s="5">
        <v>0</v>
      </c>
      <c r="L82" s="270"/>
      <c r="M82" s="160"/>
      <c r="N82" s="154">
        <v>0</v>
      </c>
      <c r="O82" s="154">
        <v>1189</v>
      </c>
      <c r="P82" s="152"/>
      <c r="Q82" s="213">
        <f>IFERROR(VLOOKUP(C82,[1]Planilha1!$C$1:$Q$65536,15,0),0)</f>
        <v>0</v>
      </c>
      <c r="R82" s="213">
        <f>IFERROR(VLOOKUP(C82,[1]Planilha1!$C$1:$R$65536,16,0),0)</f>
        <v>0</v>
      </c>
      <c r="S82" s="213">
        <f>IFERROR(VLOOKUP(C82,[1]Planilha1!$C$1:$S$65536,17,0),0)</f>
        <v>0</v>
      </c>
      <c r="T82" s="213">
        <f>IFERROR(VLOOKUP(C82,[1]Planilha1!$C$1:$T$65536,18,0),0)</f>
        <v>223.6</v>
      </c>
      <c r="U82" s="6"/>
      <c r="V82" s="260"/>
      <c r="W82" s="6"/>
      <c r="X82" s="221"/>
      <c r="Y82" s="6"/>
      <c r="AA82" s="6"/>
      <c r="AB82" s="6"/>
      <c r="AC82" s="7">
        <v>400</v>
      </c>
      <c r="AD82" s="6"/>
      <c r="AE82" s="6"/>
      <c r="AF82" s="6"/>
      <c r="AG82" s="7">
        <v>300</v>
      </c>
      <c r="AH82" s="214"/>
      <c r="AI82" s="213"/>
    </row>
    <row r="83" spans="1:36" x14ac:dyDescent="0.25">
      <c r="A83" s="10">
        <v>124</v>
      </c>
      <c r="B83" s="10">
        <v>2</v>
      </c>
      <c r="C83" s="11" t="s">
        <v>253</v>
      </c>
      <c r="D83" s="12" t="s">
        <v>254</v>
      </c>
      <c r="E83" s="12" t="s">
        <v>25</v>
      </c>
      <c r="F83" s="13" t="s">
        <v>255</v>
      </c>
      <c r="G83" s="14">
        <v>41929</v>
      </c>
      <c r="H83" s="172" t="s">
        <v>27</v>
      </c>
      <c r="I83" s="15"/>
      <c r="J83" s="5">
        <v>30</v>
      </c>
      <c r="K83" s="5">
        <v>0</v>
      </c>
      <c r="L83" s="270"/>
      <c r="M83" s="15"/>
      <c r="N83" s="154">
        <v>0</v>
      </c>
      <c r="O83" s="154">
        <v>1214.54</v>
      </c>
      <c r="P83" s="152"/>
      <c r="Q83" s="213">
        <f>IFERROR(VLOOKUP(C83,[1]Planilha1!$C$1:$Q$65536,15,0),0)</f>
        <v>0</v>
      </c>
      <c r="R83" s="213">
        <f>IFERROR(VLOOKUP(C83,[1]Planilha1!$C$1:$R$65536,16,0),0)</f>
        <v>0</v>
      </c>
      <c r="S83" s="213">
        <f>IFERROR(VLOOKUP(C83,[1]Planilha1!$C$1:$S$65536,17,0),0)</f>
        <v>0</v>
      </c>
      <c r="T83" s="213">
        <f>IFERROR(VLOOKUP(C83,[1]Planilha1!$C$1:$T$65536,18,0),0)</f>
        <v>0</v>
      </c>
      <c r="U83" s="6"/>
      <c r="V83" s="260"/>
      <c r="W83" s="6"/>
      <c r="X83" s="218"/>
      <c r="Y83" s="6"/>
      <c r="AA83" s="6"/>
      <c r="AB83" s="6"/>
      <c r="AC83" s="7"/>
      <c r="AD83" s="6"/>
      <c r="AE83" s="6"/>
      <c r="AF83" s="6"/>
      <c r="AG83" s="7"/>
      <c r="AH83" s="213"/>
      <c r="AI83" s="213"/>
    </row>
    <row r="84" spans="1:36" x14ac:dyDescent="0.25">
      <c r="A84" s="10">
        <v>124</v>
      </c>
      <c r="B84" s="10">
        <v>19</v>
      </c>
      <c r="C84" s="11" t="s">
        <v>256</v>
      </c>
      <c r="D84" s="12" t="s">
        <v>257</v>
      </c>
      <c r="E84" s="12" t="s">
        <v>30</v>
      </c>
      <c r="F84" s="13" t="s">
        <v>258</v>
      </c>
      <c r="G84" s="14">
        <v>42082</v>
      </c>
      <c r="H84" s="172" t="s">
        <v>27</v>
      </c>
      <c r="I84" s="15"/>
      <c r="J84" s="5">
        <v>30</v>
      </c>
      <c r="K84" s="5">
        <v>0</v>
      </c>
      <c r="L84" s="270"/>
      <c r="M84" s="15"/>
      <c r="N84" s="154">
        <v>1420.42</v>
      </c>
      <c r="O84" s="154"/>
      <c r="P84" s="152">
        <v>142.04</v>
      </c>
      <c r="Q84" s="213">
        <f>IFERROR(VLOOKUP(C84,[1]Planilha1!$C$1:$Q$65536,15,0),0)</f>
        <v>0</v>
      </c>
      <c r="R84" s="213">
        <f>IFERROR(VLOOKUP(C84,[1]Planilha1!$C$1:$R$65536,16,0),0)</f>
        <v>0</v>
      </c>
      <c r="S84" s="213">
        <f>IFERROR(VLOOKUP(C84,[1]Planilha1!$C$1:$S$65536,17,0),0)</f>
        <v>0</v>
      </c>
      <c r="T84" s="213">
        <f>IFERROR(VLOOKUP(C84,[1]Planilha1!$C$1:$T$65536,18,0),0)</f>
        <v>0</v>
      </c>
      <c r="U84" s="6"/>
      <c r="V84" s="260"/>
      <c r="W84" s="6"/>
      <c r="X84" s="218"/>
      <c r="Y84" s="6"/>
      <c r="AA84" s="6"/>
      <c r="AB84" s="6"/>
      <c r="AC84" s="7"/>
      <c r="AD84" s="6"/>
      <c r="AE84" s="6"/>
      <c r="AF84" s="6"/>
      <c r="AG84" s="7">
        <v>100</v>
      </c>
      <c r="AH84" s="213"/>
      <c r="AI84" s="213"/>
    </row>
    <row r="85" spans="1:36" x14ac:dyDescent="0.25">
      <c r="A85" s="169">
        <v>124</v>
      </c>
      <c r="B85" s="169">
        <v>49</v>
      </c>
      <c r="C85" s="170" t="s">
        <v>259</v>
      </c>
      <c r="D85" s="171" t="s">
        <v>260</v>
      </c>
      <c r="E85" s="171" t="s">
        <v>25</v>
      </c>
      <c r="F85" s="172" t="s">
        <v>261</v>
      </c>
      <c r="G85" s="173">
        <v>44166</v>
      </c>
      <c r="H85" s="172" t="s">
        <v>27</v>
      </c>
      <c r="I85" s="15"/>
      <c r="J85" s="5">
        <v>30</v>
      </c>
      <c r="K85" s="5">
        <v>0</v>
      </c>
      <c r="L85" s="270"/>
      <c r="M85" s="15"/>
      <c r="N85" s="166">
        <v>0</v>
      </c>
      <c r="O85" s="166">
        <v>1214.54</v>
      </c>
      <c r="P85" s="167"/>
      <c r="Q85" s="213">
        <f>IFERROR(VLOOKUP(C85,[1]Planilha1!$C$1:$Q$65536,15,0),0)</f>
        <v>0</v>
      </c>
      <c r="R85" s="213">
        <f>IFERROR(VLOOKUP(C85,[1]Planilha1!$C$1:$R$65536,16,0),0)</f>
        <v>0</v>
      </c>
      <c r="S85" s="213">
        <f>IFERROR(VLOOKUP(C85,[1]Planilha1!$C$1:$S$65536,17,0),0)</f>
        <v>0</v>
      </c>
      <c r="T85" s="213">
        <f>IFERROR(VLOOKUP(C85,[1]Planilha1!$C$1:$T$65536,18,0),0)</f>
        <v>0</v>
      </c>
      <c r="U85" s="6"/>
      <c r="V85" s="260"/>
      <c r="W85" s="6"/>
      <c r="X85" s="218"/>
      <c r="Y85" s="6"/>
      <c r="AA85" s="6"/>
      <c r="AB85" s="6"/>
      <c r="AC85" s="7"/>
      <c r="AD85" s="6"/>
      <c r="AE85" s="6"/>
      <c r="AF85" s="6"/>
      <c r="AG85" s="7"/>
      <c r="AH85" s="213"/>
      <c r="AI85" s="213"/>
    </row>
    <row r="86" spans="1:36" x14ac:dyDescent="0.25">
      <c r="A86" s="169">
        <v>124</v>
      </c>
      <c r="B86" s="169">
        <v>40</v>
      </c>
      <c r="C86" s="170" t="s">
        <v>262</v>
      </c>
      <c r="D86" s="171" t="s">
        <v>263</v>
      </c>
      <c r="E86" s="171" t="s">
        <v>25</v>
      </c>
      <c r="F86" s="172" t="s">
        <v>264</v>
      </c>
      <c r="G86" s="173">
        <v>42980</v>
      </c>
      <c r="H86" s="172" t="s">
        <v>27</v>
      </c>
      <c r="I86" s="15"/>
      <c r="J86" s="5">
        <v>30</v>
      </c>
      <c r="K86" s="5">
        <v>0</v>
      </c>
      <c r="L86" s="270"/>
      <c r="M86" s="15"/>
      <c r="N86" s="166">
        <v>0</v>
      </c>
      <c r="O86" s="166">
        <v>1214.54</v>
      </c>
      <c r="P86" s="167"/>
      <c r="Q86" s="213">
        <f>IFERROR(VLOOKUP(C86,[1]Planilha1!$C$1:$Q$65536,15,0),0)</f>
        <v>0</v>
      </c>
      <c r="R86" s="213">
        <f>IFERROR(VLOOKUP(C86,[1]Planilha1!$C$1:$R$65536,16,0),0)</f>
        <v>0</v>
      </c>
      <c r="S86" s="213">
        <f>IFERROR(VLOOKUP(C86,[1]Planilha1!$C$1:$S$65536,17,0),0)</f>
        <v>0</v>
      </c>
      <c r="T86" s="213">
        <f>IFERROR(VLOOKUP(C86,[1]Planilha1!$C$1:$T$65536,18,0),0)</f>
        <v>0</v>
      </c>
      <c r="U86" s="6"/>
      <c r="V86" s="260"/>
      <c r="W86" s="6"/>
      <c r="X86" s="218"/>
      <c r="Y86" s="6"/>
      <c r="AA86" s="6"/>
      <c r="AB86" s="6"/>
      <c r="AC86" s="7"/>
      <c r="AD86" s="6"/>
      <c r="AE86" s="6"/>
      <c r="AF86" s="6"/>
      <c r="AG86" s="7"/>
      <c r="AH86" s="213"/>
      <c r="AI86" s="213"/>
    </row>
    <row r="87" spans="1:36" x14ac:dyDescent="0.25">
      <c r="A87" s="10">
        <v>124</v>
      </c>
      <c r="B87" s="10">
        <v>39</v>
      </c>
      <c r="C87" s="11" t="s">
        <v>265</v>
      </c>
      <c r="D87" s="12" t="s">
        <v>266</v>
      </c>
      <c r="E87" s="12" t="s">
        <v>25</v>
      </c>
      <c r="F87" s="13" t="s">
        <v>267</v>
      </c>
      <c r="G87" s="14">
        <v>42956</v>
      </c>
      <c r="H87" s="172" t="s">
        <v>27</v>
      </c>
      <c r="I87" s="15"/>
      <c r="J87" s="5">
        <v>30</v>
      </c>
      <c r="K87" s="5">
        <v>0</v>
      </c>
      <c r="L87" s="270"/>
      <c r="M87" s="15"/>
      <c r="N87" s="166">
        <v>0</v>
      </c>
      <c r="O87" s="166">
        <v>1214.54</v>
      </c>
      <c r="P87" s="167"/>
      <c r="Q87" s="213">
        <f>IFERROR(VLOOKUP(C87,[1]Planilha1!$C$1:$Q$65536,15,0),0)</f>
        <v>0</v>
      </c>
      <c r="R87" s="213">
        <f>IFERROR(VLOOKUP(C87,[1]Planilha1!$C$1:$R$65536,16,0),0)</f>
        <v>0</v>
      </c>
      <c r="S87" s="213">
        <f>IFERROR(VLOOKUP(C87,[1]Planilha1!$C$1:$S$65536,17,0),0)</f>
        <v>0</v>
      </c>
      <c r="T87" s="213">
        <f>IFERROR(VLOOKUP(C87,[1]Planilha1!$C$1:$T$65536,18,0),0)</f>
        <v>0</v>
      </c>
      <c r="U87" s="6"/>
      <c r="V87" s="260"/>
      <c r="W87" s="6"/>
      <c r="X87" s="218"/>
      <c r="Y87" s="6"/>
      <c r="AA87" s="6"/>
      <c r="AB87" s="6"/>
      <c r="AC87" s="7">
        <v>200</v>
      </c>
      <c r="AD87" s="6"/>
      <c r="AE87" s="6"/>
      <c r="AF87" s="6"/>
      <c r="AG87" s="7">
        <v>200</v>
      </c>
      <c r="AH87" s="213"/>
      <c r="AI87" s="213"/>
    </row>
    <row r="88" spans="1:36" x14ac:dyDescent="0.25">
      <c r="A88" s="169">
        <v>125</v>
      </c>
      <c r="B88" s="169">
        <v>38</v>
      </c>
      <c r="C88" s="170" t="s">
        <v>268</v>
      </c>
      <c r="D88" s="171" t="s">
        <v>269</v>
      </c>
      <c r="E88" s="171" t="s">
        <v>25</v>
      </c>
      <c r="F88" s="172" t="s">
        <v>270</v>
      </c>
      <c r="G88" s="173">
        <v>43245</v>
      </c>
      <c r="H88" s="172" t="s">
        <v>271</v>
      </c>
      <c r="I88" s="15"/>
      <c r="J88" s="5">
        <v>30</v>
      </c>
      <c r="K88" s="5">
        <v>0</v>
      </c>
      <c r="L88" s="270"/>
      <c r="M88" s="15"/>
      <c r="N88" s="166">
        <v>0</v>
      </c>
      <c r="O88" s="166">
        <v>1172.5999999999999</v>
      </c>
      <c r="P88" s="167"/>
      <c r="Q88" s="213">
        <f>IFERROR(VLOOKUP(C88,[1]Planilha1!$C$1:$Q$65536,15,0),0)</f>
        <v>0</v>
      </c>
      <c r="R88" s="213">
        <f>IFERROR(VLOOKUP(C88,[1]Planilha1!$C$1:$R$65536,16,0),0)</f>
        <v>0</v>
      </c>
      <c r="S88" s="213">
        <f>IFERROR(VLOOKUP(C88,[1]Planilha1!$C$1:$S$65536,17,0),0)</f>
        <v>0</v>
      </c>
      <c r="T88" s="213">
        <f>IFERROR(VLOOKUP(C88,[1]Planilha1!$C$1:$T$65536,18,0),0)</f>
        <v>0</v>
      </c>
      <c r="U88" s="6"/>
      <c r="V88" s="260"/>
      <c r="W88" s="6"/>
      <c r="X88" s="218"/>
      <c r="Y88" s="6"/>
      <c r="AA88" s="6"/>
      <c r="AB88" s="6"/>
      <c r="AC88" s="7"/>
      <c r="AD88" s="6"/>
      <c r="AE88" s="6"/>
      <c r="AF88" s="6"/>
      <c r="AG88" s="7"/>
      <c r="AH88" s="213"/>
      <c r="AI88" s="213"/>
    </row>
    <row r="89" spans="1:36" x14ac:dyDescent="0.25">
      <c r="A89" s="169">
        <v>125</v>
      </c>
      <c r="B89" s="169">
        <v>61</v>
      </c>
      <c r="C89" s="170" t="s">
        <v>902</v>
      </c>
      <c r="D89" s="171" t="s">
        <v>903</v>
      </c>
      <c r="E89" s="171" t="s">
        <v>25</v>
      </c>
      <c r="F89" s="172" t="s">
        <v>904</v>
      </c>
      <c r="G89" s="173">
        <v>44394</v>
      </c>
      <c r="H89" s="172" t="s">
        <v>27</v>
      </c>
      <c r="I89" s="15"/>
      <c r="J89" s="5">
        <v>30</v>
      </c>
      <c r="K89" s="5">
        <v>0</v>
      </c>
      <c r="L89" s="270"/>
      <c r="M89" s="15"/>
      <c r="N89" s="166">
        <v>0</v>
      </c>
      <c r="O89" s="166">
        <v>1172.5999999999999</v>
      </c>
      <c r="P89" s="167"/>
      <c r="Q89" s="213">
        <f>IFERROR(VLOOKUP(C89,[1]Planilha1!$C$1:$Q$65536,15,0),0)</f>
        <v>0</v>
      </c>
      <c r="R89" s="213">
        <f>IFERROR(VLOOKUP(C89,[1]Planilha1!$C$1:$R$65536,16,0),0)</f>
        <v>145.80000000000001</v>
      </c>
      <c r="S89" s="213">
        <f>IFERROR(VLOOKUP(C89,[1]Planilha1!$C$1:$S$65536,17,0),0)</f>
        <v>0</v>
      </c>
      <c r="T89" s="213">
        <f>IFERROR(VLOOKUP(C89,[1]Planilha1!$C$1:$T$65536,18,0),0)</f>
        <v>220</v>
      </c>
      <c r="U89" s="6"/>
      <c r="V89" s="260"/>
      <c r="W89" s="6"/>
      <c r="X89" s="218"/>
      <c r="Y89" s="6"/>
      <c r="AA89" s="6"/>
      <c r="AB89" s="6"/>
      <c r="AC89" s="7"/>
      <c r="AD89" s="6"/>
      <c r="AE89" s="6"/>
      <c r="AF89" s="6"/>
      <c r="AG89" s="7"/>
      <c r="AH89" s="213"/>
      <c r="AI89" s="213"/>
    </row>
    <row r="90" spans="1:36" x14ac:dyDescent="0.25">
      <c r="A90" s="169">
        <v>125</v>
      </c>
      <c r="B90" s="169">
        <v>60</v>
      </c>
      <c r="C90" s="170" t="s">
        <v>899</v>
      </c>
      <c r="D90" s="171" t="s">
        <v>900</v>
      </c>
      <c r="E90" s="171" t="s">
        <v>30</v>
      </c>
      <c r="F90" s="172" t="s">
        <v>901</v>
      </c>
      <c r="G90" s="173">
        <v>44385</v>
      </c>
      <c r="H90" s="172" t="s">
        <v>27</v>
      </c>
      <c r="I90" s="15"/>
      <c r="J90" s="5">
        <v>30</v>
      </c>
      <c r="K90" s="5">
        <v>0</v>
      </c>
      <c r="L90" s="270"/>
      <c r="M90" s="15"/>
      <c r="N90" s="166">
        <v>1172.5999999999999</v>
      </c>
      <c r="O90" s="166"/>
      <c r="P90" s="167">
        <v>293.14999999999998</v>
      </c>
      <c r="Q90" s="213">
        <f>IFERROR(VLOOKUP(C90,[1]Planilha1!$C$1:$Q$65536,15,0),0)</f>
        <v>0</v>
      </c>
      <c r="R90" s="213">
        <f>IFERROR(VLOOKUP(C90,[1]Planilha1!$C$1:$R$65536,16,0),0)</f>
        <v>194.4</v>
      </c>
      <c r="S90" s="213">
        <f>IFERROR(VLOOKUP(C90,[1]Planilha1!$C$1:$S$65536,17,0),0)</f>
        <v>0</v>
      </c>
      <c r="T90" s="213">
        <f>IFERROR(VLOOKUP(C90,[1]Planilha1!$C$1:$T$65536,18,0),0)</f>
        <v>340.4</v>
      </c>
      <c r="U90" s="6"/>
      <c r="V90" s="260"/>
      <c r="W90" s="6"/>
      <c r="X90" s="218"/>
      <c r="Y90" s="6"/>
      <c r="AA90" s="6"/>
      <c r="AB90" s="6"/>
      <c r="AC90" s="7"/>
      <c r="AD90" s="6"/>
      <c r="AE90" s="6"/>
      <c r="AF90" s="6"/>
      <c r="AG90" s="7"/>
      <c r="AH90" s="213"/>
      <c r="AI90" s="213"/>
    </row>
    <row r="91" spans="1:36" x14ac:dyDescent="0.25">
      <c r="A91" s="169">
        <v>125</v>
      </c>
      <c r="B91" s="169">
        <v>25</v>
      </c>
      <c r="C91" s="170" t="s">
        <v>272</v>
      </c>
      <c r="D91" s="171" t="s">
        <v>273</v>
      </c>
      <c r="E91" s="171" t="s">
        <v>48</v>
      </c>
      <c r="F91" s="172" t="s">
        <v>274</v>
      </c>
      <c r="G91" s="173">
        <v>41996</v>
      </c>
      <c r="H91" s="172" t="s">
        <v>27</v>
      </c>
      <c r="I91" s="15"/>
      <c r="J91" s="5">
        <v>30</v>
      </c>
      <c r="K91" s="8">
        <v>0</v>
      </c>
      <c r="L91" s="270"/>
      <c r="M91" s="15"/>
      <c r="N91" s="166">
        <v>0</v>
      </c>
      <c r="O91" s="166">
        <v>4500</v>
      </c>
      <c r="P91" s="167"/>
      <c r="Q91" s="213">
        <f>IFERROR(VLOOKUP(C91,[1]Planilha1!$C$1:$Q$65536,15,0),0)</f>
        <v>0</v>
      </c>
      <c r="R91" s="213">
        <f>IFERROR(VLOOKUP(C91,[1]Planilha1!$C$1:$R$65536,16,0),0)</f>
        <v>0</v>
      </c>
      <c r="S91" s="213">
        <f>IFERROR(VLOOKUP(C91,[1]Planilha1!$C$1:$S$65536,17,0),0)</f>
        <v>0</v>
      </c>
      <c r="T91" s="213">
        <f>IFERROR(VLOOKUP(C91,[1]Planilha1!$C$1:$T$65536,18,0),0)</f>
        <v>0</v>
      </c>
      <c r="U91" s="6"/>
      <c r="V91" s="260"/>
      <c r="W91" s="6"/>
      <c r="X91" s="218"/>
      <c r="Y91" s="6"/>
      <c r="AA91" s="6"/>
      <c r="AB91" s="6"/>
      <c r="AC91" s="7"/>
      <c r="AD91" s="6"/>
      <c r="AE91" s="6"/>
      <c r="AF91" s="6"/>
      <c r="AG91" s="7"/>
      <c r="AH91" s="213"/>
      <c r="AI91" s="213"/>
    </row>
    <row r="92" spans="1:36" x14ac:dyDescent="0.25">
      <c r="A92" s="169">
        <v>125</v>
      </c>
      <c r="B92" s="169">
        <v>54</v>
      </c>
      <c r="C92" s="170" t="s">
        <v>275</v>
      </c>
      <c r="D92" s="171" t="s">
        <v>276</v>
      </c>
      <c r="E92" s="171" t="s">
        <v>25</v>
      </c>
      <c r="F92" s="172" t="s">
        <v>277</v>
      </c>
      <c r="G92" s="173">
        <v>43900</v>
      </c>
      <c r="H92" s="172" t="s">
        <v>27</v>
      </c>
      <c r="I92" s="15"/>
      <c r="J92" s="5">
        <v>30</v>
      </c>
      <c r="K92" s="5">
        <v>0</v>
      </c>
      <c r="L92" s="270"/>
      <c r="M92" s="15"/>
      <c r="N92" s="166">
        <v>0</v>
      </c>
      <c r="O92" s="166">
        <v>1172.5999999999999</v>
      </c>
      <c r="P92" s="167"/>
      <c r="Q92" s="213">
        <f>IFERROR(VLOOKUP(C92,[1]Planilha1!$C$1:$Q$65536,15,0),0)</f>
        <v>0</v>
      </c>
      <c r="R92" s="213">
        <f>IFERROR(VLOOKUP(C92,[1]Planilha1!$C$1:$R$65536,16,0),0)</f>
        <v>0</v>
      </c>
      <c r="S92" s="213">
        <f>IFERROR(VLOOKUP(C92,[1]Planilha1!$C$1:$S$65536,17,0),0)</f>
        <v>355</v>
      </c>
      <c r="T92" s="213">
        <f>IFERROR(VLOOKUP(C92,[1]Planilha1!$C$1:$T$65536,18,0),0)</f>
        <v>0</v>
      </c>
      <c r="U92" s="6"/>
      <c r="V92" s="260"/>
      <c r="W92" s="6"/>
      <c r="X92" s="218"/>
      <c r="Y92" s="6"/>
      <c r="AA92" s="6"/>
      <c r="AB92" s="6"/>
      <c r="AC92" s="7"/>
      <c r="AD92" s="6"/>
      <c r="AE92" s="6"/>
      <c r="AF92" s="6"/>
      <c r="AG92" s="7"/>
      <c r="AH92" s="213"/>
      <c r="AI92" s="213"/>
    </row>
    <row r="93" spans="1:36" x14ac:dyDescent="0.25">
      <c r="A93" s="169">
        <v>125</v>
      </c>
      <c r="B93" s="169">
        <v>48</v>
      </c>
      <c r="C93" s="170" t="s">
        <v>278</v>
      </c>
      <c r="D93" s="171" t="s">
        <v>279</v>
      </c>
      <c r="E93" s="171" t="s">
        <v>25</v>
      </c>
      <c r="F93" s="172" t="s">
        <v>280</v>
      </c>
      <c r="G93" s="173">
        <v>43787</v>
      </c>
      <c r="H93" s="172" t="s">
        <v>27</v>
      </c>
      <c r="I93" s="15"/>
      <c r="J93" s="5">
        <v>-106</v>
      </c>
      <c r="K93" s="5">
        <v>68</v>
      </c>
      <c r="L93" s="270"/>
      <c r="M93" s="15"/>
      <c r="N93" s="166">
        <v>0</v>
      </c>
      <c r="O93" s="166">
        <v>1172.5999999999999</v>
      </c>
      <c r="P93" s="167"/>
      <c r="Q93" s="213">
        <f>IFERROR(VLOOKUP(C93,[1]Planilha1!$C$1:$Q$65536,15,0),0)</f>
        <v>0</v>
      </c>
      <c r="R93" s="213">
        <f>IFERROR(VLOOKUP(C93,[1]Planilha1!$C$1:$R$65536,16,0),0)</f>
        <v>0</v>
      </c>
      <c r="S93" s="213">
        <f>IFERROR(VLOOKUP(C93,[1]Planilha1!$C$1:$S$65536,17,0),0)</f>
        <v>0</v>
      </c>
      <c r="T93" s="213">
        <f>IFERROR(VLOOKUP(C93,[1]Planilha1!$C$1:$T$65536,18,0),0)</f>
        <v>0</v>
      </c>
      <c r="U93" s="6"/>
      <c r="V93" s="260"/>
      <c r="W93" s="6"/>
      <c r="X93" s="218"/>
      <c r="Y93" s="6"/>
      <c r="AA93" s="6"/>
      <c r="AB93" s="6"/>
      <c r="AC93" s="7"/>
      <c r="AD93" s="6"/>
      <c r="AE93" s="6"/>
      <c r="AF93" s="6"/>
      <c r="AG93" s="7"/>
      <c r="AH93" s="213"/>
      <c r="AI93" s="213"/>
    </row>
    <row r="94" spans="1:36" x14ac:dyDescent="0.25">
      <c r="A94" s="169">
        <v>125</v>
      </c>
      <c r="B94" s="169">
        <v>28</v>
      </c>
      <c r="C94" s="170" t="s">
        <v>282</v>
      </c>
      <c r="D94" s="171" t="s">
        <v>283</v>
      </c>
      <c r="E94" s="171" t="s">
        <v>25</v>
      </c>
      <c r="F94" s="172" t="s">
        <v>284</v>
      </c>
      <c r="G94" s="173">
        <v>42710</v>
      </c>
      <c r="H94" s="172" t="s">
        <v>27</v>
      </c>
      <c r="I94" s="15"/>
      <c r="J94" s="5">
        <v>30</v>
      </c>
      <c r="K94" s="5">
        <v>0</v>
      </c>
      <c r="L94" s="270"/>
      <c r="M94" s="15"/>
      <c r="N94" s="166">
        <v>0</v>
      </c>
      <c r="O94" s="166">
        <v>1172.5999999999999</v>
      </c>
      <c r="P94" s="167"/>
      <c r="Q94" s="213">
        <f>IFERROR(VLOOKUP(C94,[1]Planilha1!$C$1:$Q$65536,15,0),0)</f>
        <v>0</v>
      </c>
      <c r="R94" s="213">
        <f>IFERROR(VLOOKUP(C94,[1]Planilha1!$C$1:$R$65536,16,0),0)</f>
        <v>0</v>
      </c>
      <c r="S94" s="213">
        <f>IFERROR(VLOOKUP(C94,[1]Planilha1!$C$1:$S$65536,17,0),0)</f>
        <v>0</v>
      </c>
      <c r="T94" s="213">
        <f>IFERROR(VLOOKUP(C94,[1]Planilha1!$C$1:$T$65536,18,0),0)</f>
        <v>0</v>
      </c>
      <c r="U94" s="6"/>
      <c r="V94" s="260"/>
      <c r="W94" s="6"/>
      <c r="X94" s="218"/>
      <c r="Y94" s="6"/>
      <c r="AA94" s="6"/>
      <c r="AB94" s="6"/>
      <c r="AC94" s="7">
        <v>400</v>
      </c>
      <c r="AD94" s="6"/>
      <c r="AE94" s="6"/>
      <c r="AF94" s="6"/>
      <c r="AG94" s="7">
        <v>300</v>
      </c>
      <c r="AH94" s="213"/>
      <c r="AI94" s="213"/>
    </row>
    <row r="95" spans="1:36" x14ac:dyDescent="0.25">
      <c r="A95" s="169">
        <v>125</v>
      </c>
      <c r="B95" s="169">
        <v>55</v>
      </c>
      <c r="C95" s="170" t="s">
        <v>285</v>
      </c>
      <c r="D95" s="171" t="s">
        <v>286</v>
      </c>
      <c r="E95" s="171" t="s">
        <v>25</v>
      </c>
      <c r="F95" s="172" t="s">
        <v>287</v>
      </c>
      <c r="G95" s="173">
        <v>44099</v>
      </c>
      <c r="H95" s="172" t="s">
        <v>27</v>
      </c>
      <c r="I95" s="15"/>
      <c r="J95" s="5">
        <v>30</v>
      </c>
      <c r="K95" s="5">
        <v>0</v>
      </c>
      <c r="L95" s="270"/>
      <c r="M95" s="15"/>
      <c r="N95" s="166">
        <v>0</v>
      </c>
      <c r="O95" s="166">
        <v>1172.5999999999999</v>
      </c>
      <c r="P95" s="167"/>
      <c r="Q95" s="213">
        <f>IFERROR(VLOOKUP(C95,[1]Planilha1!$C$1:$Q$65536,15,0),0)</f>
        <v>0</v>
      </c>
      <c r="R95" s="213">
        <f>IFERROR(VLOOKUP(C95,[1]Planilha1!$C$1:$R$65536,16,0),0)</f>
        <v>0</v>
      </c>
      <c r="S95" s="213">
        <f>IFERROR(VLOOKUP(C95,[1]Planilha1!$C$1:$S$65536,17,0),0)</f>
        <v>0</v>
      </c>
      <c r="T95" s="213">
        <f>IFERROR(VLOOKUP(C95,[1]Planilha1!$C$1:$T$65536,18,0),0)</f>
        <v>0</v>
      </c>
      <c r="U95" s="6"/>
      <c r="V95" s="260"/>
      <c r="W95" s="6"/>
      <c r="X95" s="218"/>
      <c r="Y95" s="6"/>
      <c r="AA95" s="6"/>
      <c r="AB95" s="6"/>
      <c r="AC95" s="7"/>
      <c r="AD95" s="6"/>
      <c r="AE95" s="6"/>
      <c r="AF95" s="6"/>
      <c r="AG95" s="7"/>
      <c r="AH95" s="213"/>
      <c r="AI95" s="213"/>
    </row>
    <row r="96" spans="1:36" x14ac:dyDescent="0.25">
      <c r="A96" s="169">
        <v>126</v>
      </c>
      <c r="B96" s="169">
        <v>41</v>
      </c>
      <c r="C96" s="170" t="s">
        <v>288</v>
      </c>
      <c r="D96" s="171" t="s">
        <v>289</v>
      </c>
      <c r="E96" s="171" t="s">
        <v>25</v>
      </c>
      <c r="F96" s="172" t="s">
        <v>290</v>
      </c>
      <c r="G96" s="173">
        <v>43160</v>
      </c>
      <c r="H96" s="172" t="s">
        <v>27</v>
      </c>
      <c r="I96" s="15"/>
      <c r="J96" s="5">
        <v>30</v>
      </c>
      <c r="K96" s="5">
        <v>0</v>
      </c>
      <c r="L96" s="270"/>
      <c r="M96" s="15"/>
      <c r="N96" s="166">
        <v>662.04</v>
      </c>
      <c r="O96" s="166">
        <v>1315</v>
      </c>
      <c r="P96" s="167"/>
      <c r="Q96" s="213">
        <f>IFERROR(VLOOKUP(C96,[1]Planilha1!$C$1:$Q$65536,15,0),0)</f>
        <v>0</v>
      </c>
      <c r="R96" s="213">
        <f>IFERROR(VLOOKUP(C96,[1]Planilha1!$C$1:$R$65536,16,0),0)</f>
        <v>0</v>
      </c>
      <c r="S96" s="213">
        <f>IFERROR(VLOOKUP(C96,[1]Planilha1!$C$1:$S$65536,17,0),0)</f>
        <v>223.6</v>
      </c>
      <c r="T96" s="213">
        <f>IFERROR(VLOOKUP(C96,[1]Planilha1!$C$1:$T$65536,18,0),0)</f>
        <v>0</v>
      </c>
      <c r="U96" s="6"/>
      <c r="V96" s="260"/>
      <c r="W96" s="6"/>
      <c r="X96" s="218"/>
      <c r="Y96" s="6"/>
      <c r="AA96" s="6"/>
      <c r="AB96" s="6"/>
      <c r="AC96" s="7"/>
      <c r="AD96" s="6"/>
      <c r="AE96" s="6"/>
      <c r="AF96" s="6"/>
      <c r="AG96" s="7"/>
      <c r="AH96" s="213"/>
      <c r="AI96" s="213"/>
    </row>
    <row r="97" spans="1:35" x14ac:dyDescent="0.25">
      <c r="A97" s="169">
        <v>126</v>
      </c>
      <c r="B97" s="169">
        <v>56</v>
      </c>
      <c r="C97" s="170" t="s">
        <v>291</v>
      </c>
      <c r="D97" s="171" t="s">
        <v>292</v>
      </c>
      <c r="E97" s="171" t="s">
        <v>30</v>
      </c>
      <c r="F97" s="172" t="s">
        <v>293</v>
      </c>
      <c r="G97" s="173">
        <v>44183</v>
      </c>
      <c r="H97" s="172" t="s">
        <v>27</v>
      </c>
      <c r="I97" s="15"/>
      <c r="J97" s="5">
        <v>30</v>
      </c>
      <c r="K97" s="5">
        <v>0</v>
      </c>
      <c r="L97" s="270"/>
      <c r="M97" s="15"/>
      <c r="N97" s="166">
        <v>1283</v>
      </c>
      <c r="O97" s="166"/>
      <c r="P97" s="167">
        <v>158</v>
      </c>
      <c r="Q97" s="213">
        <f>IFERROR(VLOOKUP(C97,[1]Planilha1!$C$1:$Q$65536,15,0),0)</f>
        <v>0</v>
      </c>
      <c r="R97" s="213">
        <f>IFERROR(VLOOKUP(C97,[1]Planilha1!$C$1:$R$65536,16,0),0)</f>
        <v>0</v>
      </c>
      <c r="S97" s="213">
        <f>IFERROR(VLOOKUP(C97,[1]Planilha1!$C$1:$S$65536,17,0),0)</f>
        <v>215</v>
      </c>
      <c r="T97" s="213">
        <f>IFERROR(VLOOKUP(C97,[1]Planilha1!$C$1:$T$65536,18,0),0)</f>
        <v>0</v>
      </c>
      <c r="U97" s="6"/>
      <c r="V97" s="260"/>
      <c r="W97" s="6"/>
      <c r="X97" s="218"/>
      <c r="Y97" s="6"/>
      <c r="AA97" s="6"/>
      <c r="AB97" s="6"/>
      <c r="AC97" s="7"/>
      <c r="AD97" s="6"/>
      <c r="AE97" s="6"/>
      <c r="AF97" s="6"/>
      <c r="AG97" s="7"/>
      <c r="AH97" s="213"/>
      <c r="AI97" s="213"/>
    </row>
    <row r="98" spans="1:35" x14ac:dyDescent="0.25">
      <c r="A98" s="169">
        <v>126</v>
      </c>
      <c r="B98" s="169">
        <v>45</v>
      </c>
      <c r="C98" s="170" t="s">
        <v>294</v>
      </c>
      <c r="D98" s="171" t="s">
        <v>295</v>
      </c>
      <c r="E98" s="171" t="s">
        <v>25</v>
      </c>
      <c r="F98" s="172" t="s">
        <v>296</v>
      </c>
      <c r="G98" s="173">
        <v>43431</v>
      </c>
      <c r="H98" s="172" t="s">
        <v>27</v>
      </c>
      <c r="I98" s="15"/>
      <c r="J98" s="5">
        <v>30</v>
      </c>
      <c r="K98" s="5">
        <v>0</v>
      </c>
      <c r="L98" s="270"/>
      <c r="M98" s="15"/>
      <c r="N98" s="166">
        <v>662.04</v>
      </c>
      <c r="O98" s="166">
        <v>1315</v>
      </c>
      <c r="P98" s="167"/>
      <c r="Q98" s="213">
        <f>IFERROR(VLOOKUP(C98,[1]Planilha1!$C$1:$Q$65536,15,0),0)</f>
        <v>0</v>
      </c>
      <c r="R98" s="213">
        <f>IFERROR(VLOOKUP(C98,[1]Planilha1!$C$1:$R$65536,16,0),0)</f>
        <v>0</v>
      </c>
      <c r="S98" s="213">
        <f>IFERROR(VLOOKUP(C98,[1]Planilha1!$C$1:$S$65536,17,0),0)</f>
        <v>215</v>
      </c>
      <c r="T98" s="213">
        <f>IFERROR(VLOOKUP(C98,[1]Planilha1!$C$1:$T$65536,18,0),0)</f>
        <v>0</v>
      </c>
      <c r="U98" s="6"/>
      <c r="V98" s="260"/>
      <c r="W98" s="6"/>
      <c r="X98" s="218"/>
      <c r="Y98" s="6"/>
      <c r="AA98" s="6"/>
      <c r="AB98" s="6"/>
      <c r="AC98" s="7"/>
      <c r="AD98" s="6"/>
      <c r="AE98" s="6"/>
      <c r="AF98" s="6"/>
      <c r="AG98" s="7"/>
      <c r="AH98" s="213"/>
      <c r="AI98" s="213"/>
    </row>
    <row r="99" spans="1:35" x14ac:dyDescent="0.25">
      <c r="A99" s="169">
        <v>126</v>
      </c>
      <c r="B99" s="169">
        <v>37</v>
      </c>
      <c r="C99" s="170" t="s">
        <v>297</v>
      </c>
      <c r="D99" s="171" t="s">
        <v>298</v>
      </c>
      <c r="E99" s="171" t="s">
        <v>25</v>
      </c>
      <c r="F99" s="172" t="s">
        <v>299</v>
      </c>
      <c r="G99" s="173">
        <v>43047</v>
      </c>
      <c r="H99" s="172" t="s">
        <v>27</v>
      </c>
      <c r="I99" s="15"/>
      <c r="J99" s="5">
        <v>30</v>
      </c>
      <c r="K99" s="5">
        <v>0</v>
      </c>
      <c r="L99" s="270"/>
      <c r="M99" s="15"/>
      <c r="N99" s="166">
        <v>662.04</v>
      </c>
      <c r="O99" s="166">
        <v>1315</v>
      </c>
      <c r="P99" s="167"/>
      <c r="Q99" s="213">
        <f>IFERROR(VLOOKUP(C99,[1]Planilha1!$C$1:$Q$65536,15,0),0)</f>
        <v>0</v>
      </c>
      <c r="R99" s="213">
        <f>IFERROR(VLOOKUP(C99,[1]Planilha1!$C$1:$R$65536,16,0),0)</f>
        <v>0</v>
      </c>
      <c r="S99" s="213">
        <f>IFERROR(VLOOKUP(C99,[1]Planilha1!$C$1:$S$65536,17,0),0)</f>
        <v>215</v>
      </c>
      <c r="T99" s="213">
        <f>IFERROR(VLOOKUP(C99,[1]Planilha1!$C$1:$T$65536,18,0),0)</f>
        <v>0</v>
      </c>
      <c r="U99" s="6"/>
      <c r="V99" s="260"/>
      <c r="W99" s="6"/>
      <c r="X99" s="218"/>
      <c r="Y99" s="6"/>
      <c r="AA99" s="6"/>
      <c r="AB99" s="6"/>
      <c r="AC99" s="7">
        <v>400</v>
      </c>
      <c r="AD99" s="6"/>
      <c r="AE99" s="6"/>
      <c r="AF99" s="6"/>
      <c r="AG99" s="7">
        <v>300</v>
      </c>
      <c r="AH99" s="213"/>
      <c r="AI99" s="213"/>
    </row>
    <row r="100" spans="1:35" x14ac:dyDescent="0.25">
      <c r="A100" s="169">
        <v>126</v>
      </c>
      <c r="B100" s="169">
        <v>1</v>
      </c>
      <c r="C100" s="170" t="s">
        <v>300</v>
      </c>
      <c r="D100" s="171" t="s">
        <v>301</v>
      </c>
      <c r="E100" s="171" t="s">
        <v>48</v>
      </c>
      <c r="F100" s="172" t="s">
        <v>302</v>
      </c>
      <c r="G100" s="173">
        <v>41946</v>
      </c>
      <c r="H100" s="172" t="s">
        <v>27</v>
      </c>
      <c r="I100" s="15"/>
      <c r="J100" s="5">
        <v>0</v>
      </c>
      <c r="K100" s="5">
        <v>15</v>
      </c>
      <c r="L100" s="270"/>
      <c r="M100" s="15"/>
      <c r="N100" s="166">
        <v>662.04</v>
      </c>
      <c r="O100" s="166">
        <v>4000</v>
      </c>
      <c r="P100" s="167"/>
      <c r="Q100" s="213">
        <f>IFERROR(VLOOKUP(C100,[1]Planilha1!$C$1:$Q$65536,15,0),0)</f>
        <v>0</v>
      </c>
      <c r="R100" s="213">
        <f>IFERROR(VLOOKUP(C100,[1]Planilha1!$C$1:$R$65536,16,0),0)</f>
        <v>0</v>
      </c>
      <c r="S100" s="213">
        <f>IFERROR(VLOOKUP(C100,[1]Planilha1!$C$1:$S$65536,17,0),0)</f>
        <v>120.4</v>
      </c>
      <c r="T100" s="213">
        <f>IFERROR(VLOOKUP(C100,[1]Planilha1!$C$1:$T$65536,18,0),0)</f>
        <v>0</v>
      </c>
      <c r="U100" s="6"/>
      <c r="V100" s="260"/>
      <c r="W100" s="6"/>
      <c r="X100" s="218"/>
      <c r="Y100" s="6"/>
      <c r="AA100" s="6"/>
      <c r="AB100" s="6"/>
      <c r="AC100" s="7"/>
      <c r="AD100" s="6"/>
      <c r="AE100" s="6"/>
      <c r="AF100" s="6"/>
      <c r="AG100" s="7"/>
      <c r="AH100" s="213"/>
      <c r="AI100" s="213"/>
    </row>
    <row r="101" spans="1:35" x14ac:dyDescent="0.25">
      <c r="A101" s="169">
        <v>126</v>
      </c>
      <c r="B101" s="169">
        <v>28</v>
      </c>
      <c r="C101" s="170" t="s">
        <v>303</v>
      </c>
      <c r="D101" s="171" t="s">
        <v>304</v>
      </c>
      <c r="E101" s="171" t="s">
        <v>25</v>
      </c>
      <c r="F101" s="172" t="s">
        <v>305</v>
      </c>
      <c r="G101" s="173">
        <v>42669</v>
      </c>
      <c r="H101" s="172" t="s">
        <v>27</v>
      </c>
      <c r="I101" s="15"/>
      <c r="J101" s="5">
        <v>30</v>
      </c>
      <c r="K101" s="5">
        <v>0</v>
      </c>
      <c r="L101" s="270"/>
      <c r="M101" s="15"/>
      <c r="N101" s="166">
        <v>662.04</v>
      </c>
      <c r="O101" s="166">
        <v>1315</v>
      </c>
      <c r="P101" s="167"/>
      <c r="Q101" s="213">
        <f>IFERROR(VLOOKUP(C101,[1]Planilha1!$C$1:$Q$65536,15,0),0)</f>
        <v>0</v>
      </c>
      <c r="R101" s="213">
        <f>IFERROR(VLOOKUP(C101,[1]Planilha1!$C$1:$R$65536,16,0),0)</f>
        <v>0</v>
      </c>
      <c r="S101" s="213">
        <f>IFERROR(VLOOKUP(C101,[1]Planilha1!$C$1:$S$65536,17,0),0)</f>
        <v>215</v>
      </c>
      <c r="T101" s="213">
        <f>IFERROR(VLOOKUP(C101,[1]Planilha1!$C$1:$T$65536,18,0),0)</f>
        <v>0</v>
      </c>
      <c r="U101" s="6"/>
      <c r="V101" s="260"/>
      <c r="W101" s="6"/>
      <c r="X101" s="218"/>
      <c r="Y101" s="6"/>
      <c r="AA101" s="6"/>
      <c r="AB101" s="6"/>
      <c r="AC101" s="7">
        <v>400</v>
      </c>
      <c r="AD101" s="6"/>
      <c r="AE101" s="6"/>
      <c r="AF101" s="6"/>
      <c r="AG101" s="7">
        <v>300</v>
      </c>
      <c r="AH101" s="213"/>
      <c r="AI101" s="213"/>
    </row>
    <row r="102" spans="1:35" x14ac:dyDescent="0.25">
      <c r="A102" s="169">
        <v>126</v>
      </c>
      <c r="B102" s="169">
        <v>55</v>
      </c>
      <c r="C102" s="170" t="s">
        <v>306</v>
      </c>
      <c r="D102" s="171" t="s">
        <v>307</v>
      </c>
      <c r="E102" s="171" t="s">
        <v>25</v>
      </c>
      <c r="F102" s="172" t="s">
        <v>308</v>
      </c>
      <c r="G102" s="173">
        <v>44152</v>
      </c>
      <c r="H102" s="172" t="s">
        <v>27</v>
      </c>
      <c r="I102" s="15"/>
      <c r="J102" s="5">
        <v>30</v>
      </c>
      <c r="K102" s="5">
        <v>0</v>
      </c>
      <c r="L102" s="270"/>
      <c r="M102" s="15"/>
      <c r="N102" s="166">
        <v>662.04</v>
      </c>
      <c r="O102" s="166">
        <v>1315</v>
      </c>
      <c r="P102" s="167"/>
      <c r="Q102" s="213">
        <f>IFERROR(VLOOKUP(C102,[1]Planilha1!$C$1:$Q$65536,15,0),0)</f>
        <v>0</v>
      </c>
      <c r="R102" s="213">
        <f>IFERROR(VLOOKUP(C102,[1]Planilha1!$C$1:$R$65536,16,0),0)</f>
        <v>0</v>
      </c>
      <c r="S102" s="213">
        <f>IFERROR(VLOOKUP(C102,[1]Planilha1!$C$1:$S$65536,17,0),0)</f>
        <v>215</v>
      </c>
      <c r="T102" s="213">
        <f>IFERROR(VLOOKUP(C102,[1]Planilha1!$C$1:$T$65536,18,0),0)</f>
        <v>0</v>
      </c>
      <c r="U102" s="6"/>
      <c r="V102" s="260"/>
      <c r="W102" s="6"/>
      <c r="X102" s="218"/>
      <c r="Y102" s="6"/>
      <c r="AA102" s="6"/>
      <c r="AB102" s="6"/>
      <c r="AC102" s="7"/>
      <c r="AD102" s="6"/>
      <c r="AE102" s="6"/>
      <c r="AF102" s="6"/>
      <c r="AG102" s="7"/>
      <c r="AH102" s="213"/>
      <c r="AI102" s="213"/>
    </row>
    <row r="103" spans="1:35" x14ac:dyDescent="0.25">
      <c r="A103" s="169">
        <v>126</v>
      </c>
      <c r="B103" s="169">
        <v>46</v>
      </c>
      <c r="C103" s="170" t="s">
        <v>309</v>
      </c>
      <c r="D103" s="171" t="s">
        <v>310</v>
      </c>
      <c r="E103" s="171" t="s">
        <v>25</v>
      </c>
      <c r="F103" s="172" t="s">
        <v>311</v>
      </c>
      <c r="G103" s="173">
        <v>43438</v>
      </c>
      <c r="H103" s="172" t="s">
        <v>27</v>
      </c>
      <c r="I103" s="15"/>
      <c r="J103" s="5">
        <v>30</v>
      </c>
      <c r="K103" s="5">
        <v>0</v>
      </c>
      <c r="L103" s="270"/>
      <c r="M103" s="15"/>
      <c r="N103" s="166">
        <v>662.04</v>
      </c>
      <c r="O103" s="166">
        <v>1315</v>
      </c>
      <c r="P103" s="167"/>
      <c r="Q103" s="213">
        <f>IFERROR(VLOOKUP(C103,[1]Planilha1!$C$1:$Q$65536,15,0),0)</f>
        <v>0</v>
      </c>
      <c r="R103" s="213">
        <f>IFERROR(VLOOKUP(C103,[1]Planilha1!$C$1:$R$65536,16,0),0)</f>
        <v>0</v>
      </c>
      <c r="S103" s="213">
        <f>IFERROR(VLOOKUP(C103,[1]Planilha1!$C$1:$S$65536,17,0),0)</f>
        <v>206.4</v>
      </c>
      <c r="T103" s="213">
        <f>IFERROR(VLOOKUP(C103,[1]Planilha1!$C$1:$T$65536,18,0),0)</f>
        <v>0</v>
      </c>
      <c r="U103" s="6"/>
      <c r="V103" s="260"/>
      <c r="W103" s="6"/>
      <c r="X103" s="218"/>
      <c r="Y103" s="6"/>
      <c r="AA103" s="6"/>
      <c r="AB103" s="6"/>
      <c r="AC103" s="7"/>
      <c r="AD103" s="6"/>
      <c r="AE103" s="6"/>
      <c r="AF103" s="6"/>
      <c r="AG103" s="7"/>
      <c r="AH103" s="213"/>
      <c r="AI103" s="213"/>
    </row>
    <row r="104" spans="1:35" x14ac:dyDescent="0.25">
      <c r="A104" s="169">
        <v>127</v>
      </c>
      <c r="B104" s="169">
        <v>70</v>
      </c>
      <c r="C104" s="170" t="s">
        <v>312</v>
      </c>
      <c r="D104" s="171" t="s">
        <v>313</v>
      </c>
      <c r="E104" s="171" t="s">
        <v>48</v>
      </c>
      <c r="F104" s="172" t="s">
        <v>314</v>
      </c>
      <c r="G104" s="173">
        <v>43770</v>
      </c>
      <c r="H104" s="172" t="s">
        <v>27</v>
      </c>
      <c r="I104" s="15"/>
      <c r="J104" s="5">
        <v>30</v>
      </c>
      <c r="K104" s="5">
        <v>0</v>
      </c>
      <c r="L104" s="270"/>
      <c r="M104" s="15"/>
      <c r="N104" s="166">
        <v>0</v>
      </c>
      <c r="O104" s="166">
        <v>4195.6000000000004</v>
      </c>
      <c r="P104" s="167"/>
      <c r="Q104" s="213">
        <f>IFERROR(VLOOKUP(C104,[1]Planilha1!$C$1:$Q$65536,15,0),0)</f>
        <v>41</v>
      </c>
      <c r="R104" s="213">
        <f>IFERROR(VLOOKUP(C104,[1]Planilha1!$C$1:$R$65536,16,0),0)</f>
        <v>0</v>
      </c>
      <c r="S104" s="213">
        <f>IFERROR(VLOOKUP(C104,[1]Planilha1!$C$1:$S$65536,17,0),0)</f>
        <v>0</v>
      </c>
      <c r="T104" s="213">
        <f>IFERROR(VLOOKUP(C104,[1]Planilha1!$C$1:$T$65536,18,0),0)</f>
        <v>0</v>
      </c>
      <c r="U104" s="6"/>
      <c r="V104" s="260"/>
      <c r="W104" s="6"/>
      <c r="X104" s="218"/>
      <c r="Y104" s="6"/>
      <c r="AA104" s="6"/>
      <c r="AB104" s="6"/>
      <c r="AC104" s="7"/>
      <c r="AD104" s="6"/>
      <c r="AE104" s="6"/>
      <c r="AF104" s="6"/>
      <c r="AG104" s="7"/>
      <c r="AH104" s="213"/>
      <c r="AI104" s="213"/>
    </row>
    <row r="105" spans="1:35" x14ac:dyDescent="0.25">
      <c r="A105" s="169">
        <v>127</v>
      </c>
      <c r="B105" s="169">
        <v>79</v>
      </c>
      <c r="C105" s="170" t="s">
        <v>315</v>
      </c>
      <c r="D105" s="171" t="s">
        <v>316</v>
      </c>
      <c r="E105" s="171" t="s">
        <v>25</v>
      </c>
      <c r="F105" s="172" t="s">
        <v>317</v>
      </c>
      <c r="G105" s="173">
        <v>44221</v>
      </c>
      <c r="H105" s="172" t="s">
        <v>27</v>
      </c>
      <c r="I105" s="15"/>
      <c r="J105" s="5">
        <v>30</v>
      </c>
      <c r="K105" s="5">
        <v>0</v>
      </c>
      <c r="L105" s="270"/>
      <c r="M105" s="15"/>
      <c r="N105" s="166">
        <v>0</v>
      </c>
      <c r="O105" s="166">
        <v>1909</v>
      </c>
      <c r="P105" s="167"/>
      <c r="Q105" s="213">
        <f>IFERROR(VLOOKUP(C105,[1]Planilha1!$C$1:$Q$65536,15,0),0)</f>
        <v>0</v>
      </c>
      <c r="R105" s="213">
        <f>IFERROR(VLOOKUP(C105,[1]Planilha1!$C$1:$R$65536,16,0),0)</f>
        <v>0</v>
      </c>
      <c r="S105" s="213">
        <f>IFERROR(VLOOKUP(C105,[1]Planilha1!$C$1:$S$65536,17,0),0)</f>
        <v>222.5</v>
      </c>
      <c r="T105" s="213">
        <f>IFERROR(VLOOKUP(C105,[1]Planilha1!$C$1:$T$65536,18,0),0)</f>
        <v>0</v>
      </c>
      <c r="U105" s="6"/>
      <c r="V105" s="260"/>
      <c r="W105" s="6"/>
      <c r="X105" s="218"/>
      <c r="Y105" s="6"/>
      <c r="AA105" s="6"/>
      <c r="AB105" s="6"/>
      <c r="AC105" s="7"/>
      <c r="AD105" s="6"/>
      <c r="AE105" s="6"/>
      <c r="AF105" s="6"/>
      <c r="AG105" s="7"/>
      <c r="AH105" s="213"/>
      <c r="AI105" s="213"/>
    </row>
    <row r="106" spans="1:35" x14ac:dyDescent="0.25">
      <c r="A106" s="169">
        <v>127</v>
      </c>
      <c r="B106" s="169">
        <v>75</v>
      </c>
      <c r="C106" s="170" t="s">
        <v>318</v>
      </c>
      <c r="D106" s="171" t="s">
        <v>319</v>
      </c>
      <c r="E106" s="171" t="s">
        <v>30</v>
      </c>
      <c r="F106" s="172" t="s">
        <v>320</v>
      </c>
      <c r="G106" s="173">
        <v>44152</v>
      </c>
      <c r="H106" s="172" t="s">
        <v>27</v>
      </c>
      <c r="I106" s="15"/>
      <c r="J106" s="5">
        <v>30</v>
      </c>
      <c r="K106" s="5">
        <v>0</v>
      </c>
      <c r="L106" s="270"/>
      <c r="M106" s="15"/>
      <c r="N106" s="166">
        <v>1591</v>
      </c>
      <c r="O106" s="166"/>
      <c r="P106" s="167">
        <v>87</v>
      </c>
      <c r="Q106" s="213">
        <f>IFERROR(VLOOKUP(C106,[1]Planilha1!$C$1:$Q$65536,15,0),0)</f>
        <v>0</v>
      </c>
      <c r="R106" s="213">
        <f>IFERROR(VLOOKUP(C106,[1]Planilha1!$C$1:$R$65536,16,0),0)</f>
        <v>0</v>
      </c>
      <c r="S106" s="213">
        <f>IFERROR(VLOOKUP(C106,[1]Planilha1!$C$1:$S$65536,17,0),0)</f>
        <v>225.6</v>
      </c>
      <c r="T106" s="213">
        <f>IFERROR(VLOOKUP(C106,[1]Planilha1!$C$1:$T$65536,18,0),0)</f>
        <v>0</v>
      </c>
      <c r="U106" s="6"/>
      <c r="V106" s="260"/>
      <c r="W106" s="6"/>
      <c r="X106" s="218"/>
      <c r="Y106" s="6"/>
      <c r="AA106" s="6"/>
      <c r="AB106" s="6"/>
      <c r="AC106" s="7">
        <v>150</v>
      </c>
      <c r="AD106" s="6"/>
      <c r="AE106" s="6"/>
      <c r="AF106" s="6"/>
      <c r="AG106" s="7">
        <v>300</v>
      </c>
      <c r="AH106" s="213"/>
      <c r="AI106" s="213"/>
    </row>
    <row r="107" spans="1:35" x14ac:dyDescent="0.25">
      <c r="A107" s="169">
        <v>127</v>
      </c>
      <c r="B107" s="169">
        <v>80</v>
      </c>
      <c r="C107" s="170" t="s">
        <v>321</v>
      </c>
      <c r="D107" s="171" t="s">
        <v>322</v>
      </c>
      <c r="E107" s="171" t="s">
        <v>25</v>
      </c>
      <c r="F107" s="172" t="s">
        <v>323</v>
      </c>
      <c r="G107" s="173">
        <v>44221</v>
      </c>
      <c r="H107" s="172" t="s">
        <v>27</v>
      </c>
      <c r="I107" s="15"/>
      <c r="J107" s="5">
        <v>30</v>
      </c>
      <c r="K107" s="5">
        <v>0</v>
      </c>
      <c r="L107" s="270"/>
      <c r="M107" s="15"/>
      <c r="N107" s="166">
        <v>0</v>
      </c>
      <c r="O107" s="166">
        <v>1909</v>
      </c>
      <c r="P107" s="167"/>
      <c r="Q107" s="213">
        <f>IFERROR(VLOOKUP(C107,[1]Planilha1!$C$1:$Q$65536,15,0),0)</f>
        <v>41</v>
      </c>
      <c r="R107" s="213">
        <f>IFERROR(VLOOKUP(C107,[1]Planilha1!$C$1:$R$65536,16,0),0)</f>
        <v>0</v>
      </c>
      <c r="S107" s="213">
        <f>IFERROR(VLOOKUP(C107,[1]Planilha1!$C$1:$S$65536,17,0),0)</f>
        <v>245</v>
      </c>
      <c r="T107" s="213">
        <f>IFERROR(VLOOKUP(C107,[1]Planilha1!$C$1:$T$65536,18,0),0)</f>
        <v>0</v>
      </c>
      <c r="U107" s="6"/>
      <c r="V107" s="260"/>
      <c r="W107" s="6"/>
      <c r="X107" s="218"/>
      <c r="Y107" s="6"/>
      <c r="AA107" s="6"/>
      <c r="AB107" s="6"/>
      <c r="AC107" s="7">
        <v>150</v>
      </c>
      <c r="AD107" s="6"/>
      <c r="AE107" s="6"/>
      <c r="AF107" s="6"/>
      <c r="AG107" s="7">
        <v>300</v>
      </c>
      <c r="AH107" s="213"/>
      <c r="AI107" s="213"/>
    </row>
    <row r="108" spans="1:35" x14ac:dyDescent="0.25">
      <c r="A108" s="169">
        <v>127</v>
      </c>
      <c r="B108" s="169">
        <v>82</v>
      </c>
      <c r="C108" s="170" t="s">
        <v>324</v>
      </c>
      <c r="D108" s="171" t="s">
        <v>325</v>
      </c>
      <c r="E108" s="171" t="s">
        <v>25</v>
      </c>
      <c r="F108" s="172" t="s">
        <v>326</v>
      </c>
      <c r="G108" s="173">
        <v>44371</v>
      </c>
      <c r="H108" s="172" t="s">
        <v>27</v>
      </c>
      <c r="I108" s="15"/>
      <c r="J108" s="5">
        <v>30</v>
      </c>
      <c r="K108" s="5">
        <v>0</v>
      </c>
      <c r="L108" s="270"/>
      <c r="M108" s="15"/>
      <c r="N108" s="166">
        <v>0</v>
      </c>
      <c r="O108" s="166">
        <v>1909</v>
      </c>
      <c r="P108" s="167"/>
      <c r="Q108" s="213">
        <f>IFERROR(VLOOKUP(C108,[1]Planilha1!$C$1:$Q$65536,15,0),0)</f>
        <v>41</v>
      </c>
      <c r="R108" s="213">
        <f>IFERROR(VLOOKUP(C108,[1]Planilha1!$C$1:$R$65536,16,0),0)</f>
        <v>0</v>
      </c>
      <c r="S108" s="213">
        <f>IFERROR(VLOOKUP(C108,[1]Planilha1!$C$1:$S$65536,17,0),0)</f>
        <v>0</v>
      </c>
      <c r="T108" s="213">
        <f>IFERROR(VLOOKUP(C108,[1]Planilha1!$C$1:$T$65536,18,0),0)</f>
        <v>0</v>
      </c>
      <c r="U108" s="6"/>
      <c r="V108" s="260"/>
      <c r="W108" s="6"/>
      <c r="X108" s="218"/>
      <c r="Y108" s="6"/>
      <c r="AA108" s="6"/>
      <c r="AB108" s="6"/>
      <c r="AC108" s="7"/>
      <c r="AD108" s="6"/>
      <c r="AE108" s="6"/>
      <c r="AF108" s="6"/>
      <c r="AG108" s="7"/>
      <c r="AH108" s="213"/>
      <c r="AI108" s="213"/>
    </row>
    <row r="109" spans="1:35" x14ac:dyDescent="0.25">
      <c r="A109" s="169">
        <v>139</v>
      </c>
      <c r="B109" s="169">
        <v>55</v>
      </c>
      <c r="C109" s="170" t="s">
        <v>327</v>
      </c>
      <c r="D109" s="171" t="s">
        <v>328</v>
      </c>
      <c r="E109" s="171" t="s">
        <v>25</v>
      </c>
      <c r="F109" s="172" t="s">
        <v>329</v>
      </c>
      <c r="G109" s="173">
        <v>44363</v>
      </c>
      <c r="H109" s="172" t="s">
        <v>27</v>
      </c>
      <c r="I109" s="15"/>
      <c r="J109" s="5">
        <v>30</v>
      </c>
      <c r="K109" s="5">
        <v>0</v>
      </c>
      <c r="L109" s="270"/>
      <c r="M109" s="15"/>
      <c r="N109" s="166">
        <v>0</v>
      </c>
      <c r="O109" s="166">
        <v>1660</v>
      </c>
      <c r="P109" s="167"/>
      <c r="Q109" s="213">
        <f>IFERROR(VLOOKUP(C109,[1]Planilha1!$C$1:$Q$65536,15,0),0)</f>
        <v>0</v>
      </c>
      <c r="R109" s="213">
        <f>IFERROR(VLOOKUP(C109,[1]Planilha1!$C$1:$R$65536,16,0),0)</f>
        <v>37.200000000000003</v>
      </c>
      <c r="S109" s="213">
        <f>IFERROR(VLOOKUP(C109,[1]Planilha1!$C$1:$S$65536,17,0),0)</f>
        <v>0</v>
      </c>
      <c r="T109" s="213">
        <f>IFERROR(VLOOKUP(C109,[1]Planilha1!$C$1:$T$65536,18,0),0)</f>
        <v>0</v>
      </c>
      <c r="U109" s="6"/>
      <c r="V109" s="260"/>
      <c r="W109" s="6"/>
      <c r="X109" s="218"/>
      <c r="Y109" s="6"/>
      <c r="AA109" s="6"/>
      <c r="AB109" s="6"/>
      <c r="AC109" s="7"/>
      <c r="AD109" s="6"/>
      <c r="AE109" s="6"/>
      <c r="AF109" s="6"/>
      <c r="AG109" s="7"/>
      <c r="AH109" s="213"/>
      <c r="AI109" s="213"/>
    </row>
    <row r="110" spans="1:35" x14ac:dyDescent="0.25">
      <c r="A110" s="169">
        <v>139</v>
      </c>
      <c r="B110" s="169">
        <v>24</v>
      </c>
      <c r="C110" s="170" t="s">
        <v>330</v>
      </c>
      <c r="D110" s="171" t="s">
        <v>331</v>
      </c>
      <c r="E110" s="171" t="s">
        <v>25</v>
      </c>
      <c r="F110" s="172" t="s">
        <v>332</v>
      </c>
      <c r="G110" s="173">
        <v>43501</v>
      </c>
      <c r="H110" s="172" t="s">
        <v>27</v>
      </c>
      <c r="I110" s="15"/>
      <c r="J110" s="5">
        <v>30</v>
      </c>
      <c r="K110" s="5">
        <v>0</v>
      </c>
      <c r="L110" s="270"/>
      <c r="M110" s="15"/>
      <c r="N110" s="166">
        <v>0</v>
      </c>
      <c r="O110" s="166">
        <v>1660</v>
      </c>
      <c r="P110" s="167"/>
      <c r="Q110" s="213">
        <f>IFERROR(VLOOKUP(C110,[1]Planilha1!$C$1:$Q$65536,15,0),0)</f>
        <v>0</v>
      </c>
      <c r="R110" s="213">
        <f>IFERROR(VLOOKUP(C110,[1]Planilha1!$C$1:$R$65536,16,0),0)</f>
        <v>37.200000000000003</v>
      </c>
      <c r="S110" s="152" t="str">
        <f>IFERROR(VLOOKUP(C110,'[2]Base 06-2021'!$C$1:$T$65536,17,0),0)</f>
        <v>FRETADO</v>
      </c>
      <c r="T110" s="213">
        <f>IFERROR(VLOOKUP(C110,[1]Planilha1!$C$1:$T$65536,18,0),0)</f>
        <v>0</v>
      </c>
      <c r="U110" s="6"/>
      <c r="V110" s="260"/>
      <c r="W110" s="6"/>
      <c r="X110" s="218"/>
      <c r="Y110" s="6"/>
      <c r="AA110" s="6"/>
      <c r="AB110" s="6"/>
      <c r="AC110" s="7">
        <v>400</v>
      </c>
      <c r="AD110" s="6"/>
      <c r="AE110" s="6"/>
      <c r="AF110" s="6"/>
      <c r="AG110" s="7">
        <v>400</v>
      </c>
      <c r="AH110" s="213"/>
      <c r="AI110" s="213"/>
    </row>
    <row r="111" spans="1:35" s="162" customFormat="1" x14ac:dyDescent="0.25">
      <c r="A111" s="187">
        <v>139</v>
      </c>
      <c r="B111" s="187">
        <v>46</v>
      </c>
      <c r="C111" s="188" t="s">
        <v>905</v>
      </c>
      <c r="D111" s="189" t="s">
        <v>906</v>
      </c>
      <c r="E111" s="189" t="s">
        <v>25</v>
      </c>
      <c r="F111" s="190" t="s">
        <v>907</v>
      </c>
      <c r="G111" s="191">
        <v>44169</v>
      </c>
      <c r="H111" s="190" t="s">
        <v>884</v>
      </c>
      <c r="I111" s="163"/>
      <c r="J111" s="5">
        <v>30</v>
      </c>
      <c r="K111" s="5">
        <v>0</v>
      </c>
      <c r="L111" s="270"/>
      <c r="M111" s="163"/>
      <c r="N111" s="192">
        <v>0</v>
      </c>
      <c r="O111" s="192">
        <v>1660</v>
      </c>
      <c r="P111" s="193"/>
      <c r="Q111" s="213">
        <f>IFERROR(VLOOKUP(C111,[1]Planilha1!$C$1:$Q$65536,15,0),0)</f>
        <v>0</v>
      </c>
      <c r="R111" s="213">
        <f>IFERROR(VLOOKUP(C111,[1]Planilha1!$C$1:$R$65536,16,0),0)</f>
        <v>0</v>
      </c>
      <c r="S111" s="213">
        <f>IFERROR(VLOOKUP(C111,[1]Planilha1!$C$1:$S$65536,17,0),0)</f>
        <v>0</v>
      </c>
      <c r="T111" s="213">
        <f>IFERROR(VLOOKUP(C111,[1]Planilha1!$C$1:$T$65536,18,0),0)</f>
        <v>0</v>
      </c>
      <c r="U111" s="6"/>
      <c r="V111" s="260"/>
      <c r="W111" s="6"/>
      <c r="X111" s="222"/>
      <c r="Y111" s="6"/>
      <c r="AA111" s="6"/>
      <c r="AB111" s="6"/>
      <c r="AC111" s="7"/>
      <c r="AD111" s="6"/>
      <c r="AE111" s="6"/>
      <c r="AF111" s="6"/>
      <c r="AG111" s="7"/>
      <c r="AH111" s="215"/>
      <c r="AI111" s="215"/>
    </row>
    <row r="112" spans="1:35" x14ac:dyDescent="0.25">
      <c r="A112" s="169">
        <v>139</v>
      </c>
      <c r="B112" s="169">
        <v>54</v>
      </c>
      <c r="C112" s="170" t="s">
        <v>333</v>
      </c>
      <c r="D112" s="171" t="s">
        <v>334</v>
      </c>
      <c r="E112" s="171" t="s">
        <v>25</v>
      </c>
      <c r="F112" s="172" t="s">
        <v>335</v>
      </c>
      <c r="G112" s="173">
        <v>44358</v>
      </c>
      <c r="H112" s="172" t="s">
        <v>27</v>
      </c>
      <c r="I112" s="15"/>
      <c r="J112" s="5">
        <v>30</v>
      </c>
      <c r="K112" s="5">
        <v>0</v>
      </c>
      <c r="L112" s="270"/>
      <c r="M112" s="15"/>
      <c r="N112" s="166">
        <v>0</v>
      </c>
      <c r="O112" s="166">
        <v>1660</v>
      </c>
      <c r="P112" s="167"/>
      <c r="Q112" s="213">
        <f>IFERROR(VLOOKUP(C112,[1]Planilha1!$C$1:$Q$65536,15,0),0)</f>
        <v>0</v>
      </c>
      <c r="R112" s="213">
        <f>IFERROR(VLOOKUP(C112,[1]Planilha1!$C$1:$R$65536,16,0),0)</f>
        <v>37.200000000000003</v>
      </c>
      <c r="S112" s="213">
        <f>IFERROR(VLOOKUP(C112,[1]Planilha1!$C$1:$S$65536,17,0),0)</f>
        <v>0</v>
      </c>
      <c r="T112" s="213">
        <f>IFERROR(VLOOKUP(C112,[1]Planilha1!$C$1:$T$65536,18,0),0)</f>
        <v>0</v>
      </c>
      <c r="U112" s="6"/>
      <c r="V112" s="260"/>
      <c r="W112" s="6"/>
      <c r="X112" s="218"/>
      <c r="Y112" s="6"/>
      <c r="AA112" s="6"/>
      <c r="AB112" s="6"/>
      <c r="AC112" s="7"/>
      <c r="AD112" s="6"/>
      <c r="AE112" s="6"/>
      <c r="AF112" s="6"/>
      <c r="AG112" s="7"/>
      <c r="AH112" s="213"/>
      <c r="AI112" s="213"/>
    </row>
    <row r="113" spans="1:35" x14ac:dyDescent="0.25">
      <c r="A113" s="169">
        <v>139</v>
      </c>
      <c r="B113" s="169">
        <v>41</v>
      </c>
      <c r="C113" s="170" t="s">
        <v>336</v>
      </c>
      <c r="D113" s="171" t="s">
        <v>337</v>
      </c>
      <c r="E113" s="171" t="s">
        <v>25</v>
      </c>
      <c r="F113" s="172" t="s">
        <v>338</v>
      </c>
      <c r="G113" s="173">
        <v>44085</v>
      </c>
      <c r="H113" s="172" t="s">
        <v>27</v>
      </c>
      <c r="I113" s="15"/>
      <c r="J113" s="5">
        <v>30</v>
      </c>
      <c r="K113" s="5">
        <v>0</v>
      </c>
      <c r="L113" s="270"/>
      <c r="M113" s="15"/>
      <c r="N113" s="166">
        <v>0</v>
      </c>
      <c r="O113" s="166">
        <v>1660</v>
      </c>
      <c r="P113" s="167"/>
      <c r="Q113" s="213">
        <f>IFERROR(VLOOKUP(C113,[1]Planilha1!$C$1:$Q$65536,15,0),0)</f>
        <v>0</v>
      </c>
      <c r="R113" s="213">
        <f>IFERROR(VLOOKUP(C113,[1]Planilha1!$C$1:$R$65536,16,0),0)</f>
        <v>37.200000000000003</v>
      </c>
      <c r="S113" s="152" t="str">
        <f>IFERROR(VLOOKUP(C113,'[2]Base 06-2021'!$C$1:$T$65536,17,0),0)</f>
        <v>FRETADO</v>
      </c>
      <c r="T113" s="213">
        <f>IFERROR(VLOOKUP(C113,[1]Planilha1!$C$1:$T$65536,18,0),0)</f>
        <v>0</v>
      </c>
      <c r="U113" s="6"/>
      <c r="V113" s="260"/>
      <c r="W113" s="6"/>
      <c r="X113" s="218"/>
      <c r="Y113" s="6"/>
      <c r="AA113" s="6"/>
      <c r="AB113" s="6"/>
      <c r="AC113" s="7">
        <v>400</v>
      </c>
      <c r="AD113" s="6"/>
      <c r="AE113" s="6"/>
      <c r="AF113" s="6"/>
      <c r="AG113" s="7">
        <v>400</v>
      </c>
      <c r="AH113" s="213"/>
      <c r="AI113" s="213"/>
    </row>
    <row r="114" spans="1:35" x14ac:dyDescent="0.25">
      <c r="A114" s="169">
        <v>139</v>
      </c>
      <c r="B114" s="169">
        <v>50</v>
      </c>
      <c r="C114" s="170" t="s">
        <v>339</v>
      </c>
      <c r="D114" s="171" t="s">
        <v>340</v>
      </c>
      <c r="E114" s="171" t="s">
        <v>25</v>
      </c>
      <c r="F114" s="172" t="s">
        <v>341</v>
      </c>
      <c r="G114" s="173">
        <v>44256</v>
      </c>
      <c r="H114" s="172" t="s">
        <v>36</v>
      </c>
      <c r="I114" s="15"/>
      <c r="J114" s="5">
        <v>30</v>
      </c>
      <c r="K114" s="5">
        <v>0</v>
      </c>
      <c r="L114" s="270"/>
      <c r="M114" s="15"/>
      <c r="N114" s="166">
        <v>0</v>
      </c>
      <c r="O114" s="166">
        <v>1660</v>
      </c>
      <c r="P114" s="167"/>
      <c r="Q114" s="213">
        <f>IFERROR(VLOOKUP(C114,[1]Planilha1!$C$1:$Q$65536,15,0),0)</f>
        <v>0</v>
      </c>
      <c r="R114" s="213">
        <f>IFERROR(VLOOKUP(C114,[1]Planilha1!$C$1:$R$65536,16,0),0)</f>
        <v>0</v>
      </c>
      <c r="S114" s="152" t="str">
        <f>IFERROR(VLOOKUP(C114,'[2]Base 06-2021'!$C$1:$T$65536,17,0),0)</f>
        <v>FRETADO</v>
      </c>
      <c r="T114" s="213">
        <f>IFERROR(VLOOKUP(C114,[1]Planilha1!$C$1:$T$65536,18,0),0)</f>
        <v>0</v>
      </c>
      <c r="U114" s="6"/>
      <c r="V114" s="260"/>
      <c r="W114" s="6"/>
      <c r="X114" s="218"/>
      <c r="Y114" s="6"/>
      <c r="AA114" s="6"/>
      <c r="AB114" s="6"/>
      <c r="AC114" s="7"/>
      <c r="AD114" s="6"/>
      <c r="AE114" s="6"/>
      <c r="AF114" s="6"/>
      <c r="AG114" s="7"/>
      <c r="AH114" s="213"/>
      <c r="AI114" s="213"/>
    </row>
    <row r="115" spans="1:35" x14ac:dyDescent="0.25">
      <c r="A115" s="169">
        <v>139</v>
      </c>
      <c r="B115" s="169">
        <v>52</v>
      </c>
      <c r="C115" s="170" t="s">
        <v>342</v>
      </c>
      <c r="D115" s="171" t="s">
        <v>343</v>
      </c>
      <c r="E115" s="171" t="s">
        <v>48</v>
      </c>
      <c r="F115" s="172" t="s">
        <v>344</v>
      </c>
      <c r="G115" s="173">
        <v>44257</v>
      </c>
      <c r="H115" s="172" t="s">
        <v>27</v>
      </c>
      <c r="I115" s="15"/>
      <c r="J115" s="5">
        <v>30</v>
      </c>
      <c r="K115" s="5">
        <v>0</v>
      </c>
      <c r="L115" s="270"/>
      <c r="M115" s="15"/>
      <c r="N115" s="166">
        <v>0</v>
      </c>
      <c r="O115" s="166">
        <v>5000</v>
      </c>
      <c r="P115" s="167"/>
      <c r="Q115" s="213">
        <f>IFERROR(VLOOKUP(C115,[1]Planilha1!$C$1:$Q$65536,15,0),0)</f>
        <v>0</v>
      </c>
      <c r="R115" s="213">
        <f>IFERROR(VLOOKUP(C115,[1]Planilha1!$C$1:$R$65536,16,0),0)</f>
        <v>37.200000000000003</v>
      </c>
      <c r="S115" s="213">
        <f>IFERROR(VLOOKUP(C115,[1]Planilha1!$C$1:$S$65536,17,0),0)</f>
        <v>0</v>
      </c>
      <c r="T115" s="213">
        <f>IFERROR(VLOOKUP(C115,[1]Planilha1!$C$1:$T$65536,18,0),0)</f>
        <v>0</v>
      </c>
      <c r="U115" s="6"/>
      <c r="V115" s="260"/>
      <c r="W115" s="6"/>
      <c r="X115" s="218"/>
      <c r="Y115" s="6"/>
      <c r="AA115" s="6"/>
      <c r="AB115" s="6"/>
      <c r="AC115" s="7"/>
      <c r="AD115" s="6"/>
      <c r="AE115" s="6"/>
      <c r="AF115" s="6"/>
      <c r="AG115" s="7"/>
      <c r="AH115" s="213"/>
      <c r="AI115" s="213"/>
    </row>
    <row r="116" spans="1:35" x14ac:dyDescent="0.25">
      <c r="A116" s="169">
        <v>139</v>
      </c>
      <c r="B116" s="169">
        <v>51</v>
      </c>
      <c r="C116" s="170" t="s">
        <v>345</v>
      </c>
      <c r="D116" s="171" t="s">
        <v>346</v>
      </c>
      <c r="E116" s="171" t="s">
        <v>25</v>
      </c>
      <c r="F116" s="172" t="s">
        <v>347</v>
      </c>
      <c r="G116" s="173">
        <v>44256</v>
      </c>
      <c r="H116" s="172" t="s">
        <v>27</v>
      </c>
      <c r="I116" s="15"/>
      <c r="J116" s="5">
        <v>30</v>
      </c>
      <c r="K116" s="5">
        <v>0</v>
      </c>
      <c r="L116" s="270"/>
      <c r="M116" s="15"/>
      <c r="N116" s="166">
        <v>0</v>
      </c>
      <c r="O116" s="166">
        <v>1660</v>
      </c>
      <c r="P116" s="167"/>
      <c r="Q116" s="213">
        <f>IFERROR(VLOOKUP(C116,[1]Planilha1!$C$1:$Q$65536,15,0),0)</f>
        <v>0</v>
      </c>
      <c r="R116" s="213">
        <f>IFERROR(VLOOKUP(C116,[1]Planilha1!$C$1:$R$65536,16,0),0)</f>
        <v>37.200000000000003</v>
      </c>
      <c r="S116" s="213">
        <f>IFERROR(VLOOKUP(C116,[1]Planilha1!$C$1:$S$65536,17,0),0)</f>
        <v>0</v>
      </c>
      <c r="T116" s="213">
        <f>IFERROR(VLOOKUP(C116,[1]Planilha1!$C$1:$T$65536,18,0),0)</f>
        <v>0</v>
      </c>
      <c r="U116" s="6"/>
      <c r="V116" s="260"/>
      <c r="W116" s="6"/>
      <c r="X116" s="218"/>
      <c r="Y116" s="6"/>
      <c r="AA116" s="6"/>
      <c r="AB116" s="6"/>
      <c r="AC116" s="7"/>
      <c r="AD116" s="6"/>
      <c r="AE116" s="6"/>
      <c r="AF116" s="6"/>
      <c r="AG116" s="7"/>
      <c r="AH116" s="213"/>
      <c r="AI116" s="213"/>
    </row>
    <row r="117" spans="1:35" x14ac:dyDescent="0.25">
      <c r="A117" s="169">
        <v>139</v>
      </c>
      <c r="B117" s="169">
        <v>28</v>
      </c>
      <c r="C117" s="170" t="s">
        <v>348</v>
      </c>
      <c r="D117" s="171" t="s">
        <v>349</v>
      </c>
      <c r="E117" s="171" t="s">
        <v>25</v>
      </c>
      <c r="F117" s="172" t="s">
        <v>350</v>
      </c>
      <c r="G117" s="173">
        <v>43623</v>
      </c>
      <c r="H117" s="172" t="s">
        <v>27</v>
      </c>
      <c r="I117" s="15"/>
      <c r="J117" s="5">
        <v>30</v>
      </c>
      <c r="K117" s="5">
        <v>0</v>
      </c>
      <c r="L117" s="270"/>
      <c r="M117" s="15"/>
      <c r="N117" s="166">
        <v>0</v>
      </c>
      <c r="O117" s="166">
        <v>1660</v>
      </c>
      <c r="P117" s="167"/>
      <c r="Q117" s="213">
        <f>IFERROR(VLOOKUP(C117,[1]Planilha1!$C$1:$Q$65536,15,0),0)</f>
        <v>0</v>
      </c>
      <c r="R117" s="213">
        <f>IFERROR(VLOOKUP(C117,[1]Planilha1!$C$1:$R$65536,16,0),0)</f>
        <v>0</v>
      </c>
      <c r="S117" s="213">
        <f>IFERROR(VLOOKUP(C117,[1]Planilha1!$C$1:$S$65536,17,0),0)</f>
        <v>0</v>
      </c>
      <c r="T117" s="213">
        <f>IFERROR(VLOOKUP(C117,[1]Planilha1!$C$1:$T$65536,18,0),0)</f>
        <v>0</v>
      </c>
      <c r="U117" s="6"/>
      <c r="V117" s="260"/>
      <c r="W117" s="6"/>
      <c r="X117" s="218"/>
      <c r="Y117" s="6"/>
      <c r="AA117" s="6"/>
      <c r="AB117" s="6"/>
      <c r="AC117" s="7"/>
      <c r="AD117" s="6"/>
      <c r="AE117" s="6"/>
      <c r="AF117" s="6"/>
      <c r="AG117" s="7"/>
      <c r="AH117" s="213"/>
      <c r="AI117" s="213"/>
    </row>
    <row r="118" spans="1:35" x14ac:dyDescent="0.25">
      <c r="A118" s="169">
        <v>139</v>
      </c>
      <c r="B118" s="169">
        <v>49</v>
      </c>
      <c r="C118" s="170" t="s">
        <v>351</v>
      </c>
      <c r="D118" s="171" t="s">
        <v>352</v>
      </c>
      <c r="E118" s="171" t="s">
        <v>30</v>
      </c>
      <c r="F118" s="172" t="s">
        <v>353</v>
      </c>
      <c r="G118" s="173">
        <v>44169</v>
      </c>
      <c r="H118" s="172" t="s">
        <v>27</v>
      </c>
      <c r="I118" s="15"/>
      <c r="J118" s="5">
        <v>30</v>
      </c>
      <c r="K118" s="5">
        <v>0</v>
      </c>
      <c r="L118" s="270"/>
      <c r="M118" s="15"/>
      <c r="N118" s="166">
        <v>1415</v>
      </c>
      <c r="O118" s="166"/>
      <c r="P118" s="167">
        <v>71</v>
      </c>
      <c r="Q118" s="213">
        <f>IFERROR(VLOOKUP(C118,[1]Planilha1!$C$1:$Q$65536,15,0),0)</f>
        <v>0</v>
      </c>
      <c r="R118" s="213">
        <f>IFERROR(VLOOKUP(C118,[1]Planilha1!$C$1:$R$65536,16,0),0)</f>
        <v>37.200000000000003</v>
      </c>
      <c r="S118" s="213">
        <f>IFERROR(VLOOKUP(C118,[1]Planilha1!$C$1:$S$65536,17,0),0)</f>
        <v>0</v>
      </c>
      <c r="T118" s="213">
        <f>IFERROR(VLOOKUP(C118,[1]Planilha1!$C$1:$T$65536,18,0),0)</f>
        <v>0</v>
      </c>
      <c r="U118" s="6"/>
      <c r="V118" s="260"/>
      <c r="W118" s="6"/>
      <c r="X118" s="218"/>
      <c r="Y118" s="6"/>
      <c r="AA118" s="6"/>
      <c r="AB118" s="6"/>
      <c r="AC118" s="7"/>
      <c r="AD118" s="6"/>
      <c r="AE118" s="6"/>
      <c r="AF118" s="6"/>
      <c r="AG118" s="7"/>
      <c r="AH118" s="213"/>
      <c r="AI118" s="213"/>
    </row>
    <row r="119" spans="1:35" x14ac:dyDescent="0.25">
      <c r="A119" s="169">
        <v>139</v>
      </c>
      <c r="B119" s="169">
        <v>53</v>
      </c>
      <c r="C119" s="170" t="s">
        <v>354</v>
      </c>
      <c r="D119" s="171" t="s">
        <v>355</v>
      </c>
      <c r="E119" s="171" t="s">
        <v>30</v>
      </c>
      <c r="F119" s="172" t="s">
        <v>356</v>
      </c>
      <c r="G119" s="173">
        <v>44356</v>
      </c>
      <c r="H119" s="172" t="s">
        <v>27</v>
      </c>
      <c r="I119" s="15"/>
      <c r="J119" s="5">
        <v>-30</v>
      </c>
      <c r="K119" s="5">
        <v>30</v>
      </c>
      <c r="L119" s="270"/>
      <c r="M119" s="15"/>
      <c r="N119" s="166">
        <v>1415</v>
      </c>
      <c r="O119" s="166"/>
      <c r="P119" s="167">
        <v>71</v>
      </c>
      <c r="Q119" s="213">
        <f>IFERROR(VLOOKUP(C119,[1]Planilha1!$C$1:$Q$65536,15,0),0)</f>
        <v>0</v>
      </c>
      <c r="R119" s="213">
        <f>IFERROR(VLOOKUP(C119,[1]Planilha1!$C$1:$R$65536,16,0),0)</f>
        <v>37.200000000000003</v>
      </c>
      <c r="S119" s="213">
        <f>IFERROR(VLOOKUP(C119,[1]Planilha1!$C$1:$S$65536,17,0),0)</f>
        <v>0</v>
      </c>
      <c r="T119" s="213">
        <f>IFERROR(VLOOKUP(C119,[1]Planilha1!$C$1:$T$65536,18,0),0)</f>
        <v>0</v>
      </c>
      <c r="U119" s="6"/>
      <c r="V119" s="260"/>
      <c r="W119" s="6"/>
      <c r="X119" s="218"/>
      <c r="Y119" s="6"/>
      <c r="AA119" s="6"/>
      <c r="AB119" s="6"/>
      <c r="AC119" s="7"/>
      <c r="AD119" s="6"/>
      <c r="AE119" s="6"/>
      <c r="AF119" s="6"/>
      <c r="AG119" s="7"/>
      <c r="AH119" s="213"/>
      <c r="AI119" s="213"/>
    </row>
    <row r="120" spans="1:35" x14ac:dyDescent="0.25">
      <c r="A120" s="169">
        <v>144</v>
      </c>
      <c r="B120" s="169">
        <v>81</v>
      </c>
      <c r="C120" s="170" t="s">
        <v>357</v>
      </c>
      <c r="D120" s="171" t="s">
        <v>358</v>
      </c>
      <c r="E120" s="171" t="s">
        <v>25</v>
      </c>
      <c r="F120" s="172" t="s">
        <v>359</v>
      </c>
      <c r="G120" s="173">
        <v>43864</v>
      </c>
      <c r="H120" s="172" t="s">
        <v>27</v>
      </c>
      <c r="I120" s="15"/>
      <c r="J120" s="5">
        <v>-2</v>
      </c>
      <c r="K120" s="5">
        <v>16</v>
      </c>
      <c r="L120" s="270"/>
      <c r="M120" s="15"/>
      <c r="N120" s="166">
        <v>0</v>
      </c>
      <c r="O120" s="166">
        <v>1693</v>
      </c>
      <c r="P120" s="167"/>
      <c r="Q120" s="213">
        <f>IFERROR(VLOOKUP(C120,[1]Planilha1!$C$1:$Q$65536,15,0),0)</f>
        <v>0</v>
      </c>
      <c r="R120" s="213">
        <f>IFERROR(VLOOKUP(C120,[1]Planilha1!$C$1:$R$65536,16,0),0)</f>
        <v>23.5</v>
      </c>
      <c r="S120" s="213">
        <f>IFERROR(VLOOKUP(C120,[1]Planilha1!$C$1:$S$65536,17,0),0)</f>
        <v>0</v>
      </c>
      <c r="T120" s="213">
        <f>IFERROR(VLOOKUP(C120,[1]Planilha1!$C$1:$T$65536,18,0),0)</f>
        <v>0</v>
      </c>
      <c r="U120" s="6"/>
      <c r="V120" s="260"/>
      <c r="W120" s="6"/>
      <c r="X120" s="218"/>
      <c r="Y120" s="6"/>
      <c r="AA120" s="6"/>
      <c r="AB120" s="6"/>
      <c r="AC120" s="7">
        <v>140</v>
      </c>
      <c r="AD120" s="6"/>
      <c r="AE120" s="6"/>
      <c r="AF120" s="6"/>
      <c r="AG120" s="7">
        <v>140</v>
      </c>
      <c r="AH120" s="213"/>
      <c r="AI120" s="213"/>
    </row>
    <row r="121" spans="1:35" x14ac:dyDescent="0.25">
      <c r="A121" s="169">
        <v>144</v>
      </c>
      <c r="B121" s="169">
        <v>71</v>
      </c>
      <c r="C121" s="170" t="s">
        <v>360</v>
      </c>
      <c r="D121" s="171" t="s">
        <v>361</v>
      </c>
      <c r="E121" s="171" t="s">
        <v>25</v>
      </c>
      <c r="F121" s="172" t="s">
        <v>362</v>
      </c>
      <c r="G121" s="173">
        <v>43509</v>
      </c>
      <c r="H121" s="172" t="s">
        <v>27</v>
      </c>
      <c r="I121" s="15"/>
      <c r="J121" s="5">
        <v>30</v>
      </c>
      <c r="K121" s="5">
        <v>0</v>
      </c>
      <c r="L121" s="270"/>
      <c r="M121" s="15"/>
      <c r="N121" s="166">
        <v>0</v>
      </c>
      <c r="O121" s="166">
        <v>1693</v>
      </c>
      <c r="P121" s="167"/>
      <c r="Q121" s="213">
        <f>IFERROR(VLOOKUP(C121,[1]Planilha1!$C$1:$Q$65536,15,0),0)</f>
        <v>0</v>
      </c>
      <c r="R121" s="213">
        <f>IFERROR(VLOOKUP(C121,[1]Planilha1!$C$1:$R$65536,16,0),0)</f>
        <v>23.5</v>
      </c>
      <c r="S121" s="213">
        <f>IFERROR(VLOOKUP(C121,[1]Planilha1!$C$1:$S$65536,17,0),0)</f>
        <v>0</v>
      </c>
      <c r="T121" s="213">
        <f>IFERROR(VLOOKUP(C121,[1]Planilha1!$C$1:$T$65536,18,0),0)</f>
        <v>0</v>
      </c>
      <c r="U121" s="6"/>
      <c r="V121" s="260"/>
      <c r="W121" s="6"/>
      <c r="X121" s="218"/>
      <c r="Y121" s="6"/>
      <c r="AA121" s="6"/>
      <c r="AB121" s="6"/>
      <c r="AC121" s="7">
        <v>300</v>
      </c>
      <c r="AD121" s="6"/>
      <c r="AE121" s="6"/>
      <c r="AF121" s="6"/>
      <c r="AG121" s="7">
        <v>300</v>
      </c>
      <c r="AH121" s="213"/>
      <c r="AI121" s="213"/>
    </row>
    <row r="122" spans="1:35" x14ac:dyDescent="0.25">
      <c r="A122" s="169">
        <v>144</v>
      </c>
      <c r="B122" s="169">
        <v>85</v>
      </c>
      <c r="C122" s="170" t="s">
        <v>363</v>
      </c>
      <c r="D122" s="171" t="s">
        <v>364</v>
      </c>
      <c r="E122" s="171" t="s">
        <v>30</v>
      </c>
      <c r="F122" s="172" t="s">
        <v>365</v>
      </c>
      <c r="G122" s="173">
        <v>44155</v>
      </c>
      <c r="H122" s="172" t="s">
        <v>27</v>
      </c>
      <c r="I122" s="15"/>
      <c r="J122" s="5">
        <v>30</v>
      </c>
      <c r="K122" s="5">
        <v>0</v>
      </c>
      <c r="L122" s="270"/>
      <c r="M122" s="15"/>
      <c r="N122" s="166">
        <v>1449</v>
      </c>
      <c r="O122" s="166"/>
      <c r="P122" s="167">
        <v>74.5</v>
      </c>
      <c r="Q122" s="213">
        <f>IFERROR(VLOOKUP(C122,[1]Planilha1!$C$1:$Q$65536,15,0),0)</f>
        <v>0</v>
      </c>
      <c r="R122" s="213">
        <f>IFERROR(VLOOKUP(C122,[1]Planilha1!$C$1:$R$65536,16,0),0)</f>
        <v>0</v>
      </c>
      <c r="S122" s="213">
        <f>IFERROR(VLOOKUP(C122,[1]Planilha1!$C$1:$S$65536,17,0),0)</f>
        <v>0</v>
      </c>
      <c r="T122" s="213">
        <f>IFERROR(VLOOKUP(C122,[1]Planilha1!$C$1:$T$65536,18,0),0)</f>
        <v>0</v>
      </c>
      <c r="U122" s="6"/>
      <c r="V122" s="260"/>
      <c r="W122" s="6"/>
      <c r="X122" s="218"/>
      <c r="Y122" s="6"/>
      <c r="AA122" s="6"/>
      <c r="AB122" s="6"/>
      <c r="AC122" s="7"/>
      <c r="AD122" s="6"/>
      <c r="AE122" s="6"/>
      <c r="AF122" s="6"/>
      <c r="AG122" s="7"/>
      <c r="AH122" s="213"/>
      <c r="AI122" s="213"/>
    </row>
    <row r="123" spans="1:35" x14ac:dyDescent="0.25">
      <c r="A123" s="169">
        <v>144</v>
      </c>
      <c r="B123" s="169">
        <v>35</v>
      </c>
      <c r="C123" s="170" t="s">
        <v>366</v>
      </c>
      <c r="D123" s="171" t="s">
        <v>367</v>
      </c>
      <c r="E123" s="171" t="s">
        <v>48</v>
      </c>
      <c r="F123" s="172" t="s">
        <v>368</v>
      </c>
      <c r="G123" s="173">
        <v>42545</v>
      </c>
      <c r="H123" s="172" t="s">
        <v>27</v>
      </c>
      <c r="I123" s="15"/>
      <c r="J123" s="5">
        <v>30</v>
      </c>
      <c r="K123" s="5">
        <v>0</v>
      </c>
      <c r="L123" s="270"/>
      <c r="M123" s="15"/>
      <c r="N123" s="166">
        <v>0</v>
      </c>
      <c r="O123" s="166">
        <v>4500</v>
      </c>
      <c r="P123" s="167"/>
      <c r="Q123" s="213">
        <f>IFERROR(VLOOKUP(C123,[1]Planilha1!$C$1:$Q$65536,15,0),0)</f>
        <v>0</v>
      </c>
      <c r="R123" s="213">
        <f>IFERROR(VLOOKUP(C123,[1]Planilha1!$C$1:$R$65536,16,0),0)</f>
        <v>23.5</v>
      </c>
      <c r="S123" s="213">
        <f>IFERROR(VLOOKUP(C123,[1]Planilha1!$C$1:$S$65536,17,0),0)</f>
        <v>0</v>
      </c>
      <c r="T123" s="213">
        <f>IFERROR(VLOOKUP(C123,[1]Planilha1!$C$1:$T$65536,18,0),0)</f>
        <v>0</v>
      </c>
      <c r="U123" s="6"/>
      <c r="V123" s="260"/>
      <c r="W123" s="6"/>
      <c r="X123" s="218"/>
      <c r="Y123" s="6"/>
      <c r="AA123" s="6"/>
      <c r="AB123" s="6"/>
      <c r="AC123" s="7"/>
      <c r="AD123" s="6"/>
      <c r="AE123" s="6"/>
      <c r="AF123" s="6"/>
      <c r="AG123" s="7"/>
      <c r="AH123" s="213"/>
      <c r="AI123" s="213"/>
    </row>
    <row r="124" spans="1:35" x14ac:dyDescent="0.25">
      <c r="A124" s="169">
        <v>144</v>
      </c>
      <c r="B124" s="169">
        <v>74</v>
      </c>
      <c r="C124" s="170" t="s">
        <v>369</v>
      </c>
      <c r="D124" s="171" t="s">
        <v>370</v>
      </c>
      <c r="E124" s="171" t="s">
        <v>25</v>
      </c>
      <c r="F124" s="172" t="s">
        <v>371</v>
      </c>
      <c r="G124" s="173">
        <v>43559</v>
      </c>
      <c r="H124" s="172" t="s">
        <v>27</v>
      </c>
      <c r="I124" s="15"/>
      <c r="J124" s="5">
        <v>30</v>
      </c>
      <c r="K124" s="5">
        <v>0</v>
      </c>
      <c r="L124" s="270"/>
      <c r="M124" s="15"/>
      <c r="N124" s="166">
        <v>0</v>
      </c>
      <c r="O124" s="166">
        <v>1693</v>
      </c>
      <c r="P124" s="167"/>
      <c r="Q124" s="213">
        <f>IFERROR(VLOOKUP(C124,[1]Planilha1!$C$1:$Q$65536,15,0),0)</f>
        <v>0</v>
      </c>
      <c r="R124" s="213">
        <f>IFERROR(VLOOKUP(C124,[1]Planilha1!$C$1:$R$65536,16,0),0)</f>
        <v>23.5</v>
      </c>
      <c r="S124" s="213">
        <f>IFERROR(VLOOKUP(C124,[1]Planilha1!$C$1:$S$65536,17,0),0)</f>
        <v>0</v>
      </c>
      <c r="T124" s="213">
        <f>IFERROR(VLOOKUP(C124,[1]Planilha1!$C$1:$T$65536,18,0),0)</f>
        <v>257.39999999999998</v>
      </c>
      <c r="U124" s="6"/>
      <c r="V124" s="260"/>
      <c r="W124" s="6"/>
      <c r="X124" s="218"/>
      <c r="Y124" s="6"/>
      <c r="AA124" s="6"/>
      <c r="AB124" s="6"/>
      <c r="AC124" s="7"/>
      <c r="AD124" s="6"/>
      <c r="AE124" s="6"/>
      <c r="AF124" s="6"/>
      <c r="AG124" s="7"/>
      <c r="AH124" s="213"/>
      <c r="AI124" s="213"/>
    </row>
    <row r="125" spans="1:35" x14ac:dyDescent="0.25">
      <c r="A125" s="169">
        <v>144</v>
      </c>
      <c r="B125" s="169">
        <v>88</v>
      </c>
      <c r="C125" s="170" t="s">
        <v>372</v>
      </c>
      <c r="D125" s="171" t="s">
        <v>373</v>
      </c>
      <c r="E125" s="171" t="s">
        <v>25</v>
      </c>
      <c r="F125" s="172" t="s">
        <v>374</v>
      </c>
      <c r="G125" s="173">
        <v>44166</v>
      </c>
      <c r="H125" s="172" t="s">
        <v>27</v>
      </c>
      <c r="I125" s="15"/>
      <c r="J125" s="5">
        <v>30</v>
      </c>
      <c r="K125" s="5">
        <v>0</v>
      </c>
      <c r="L125" s="270"/>
      <c r="M125" s="15"/>
      <c r="N125" s="166">
        <v>0</v>
      </c>
      <c r="O125" s="166">
        <v>1693</v>
      </c>
      <c r="P125" s="167"/>
      <c r="Q125" s="213">
        <f>IFERROR(VLOOKUP(C125,[1]Planilha1!$C$1:$Q$65536,15,0),0)</f>
        <v>0</v>
      </c>
      <c r="R125" s="213">
        <f>IFERROR(VLOOKUP(C125,[1]Planilha1!$C$1:$R$65536,16,0),0)</f>
        <v>23.5</v>
      </c>
      <c r="S125" s="213">
        <f>IFERROR(VLOOKUP(C125,[1]Planilha1!$C$1:$S$65536,17,0),0)</f>
        <v>0</v>
      </c>
      <c r="T125" s="213">
        <f>IFERROR(VLOOKUP(C125,[1]Planilha1!$C$1:$T$65536,18,0),0)</f>
        <v>257.39999999999998</v>
      </c>
      <c r="U125" s="6"/>
      <c r="V125" s="260"/>
      <c r="W125" s="6"/>
      <c r="X125" s="218"/>
      <c r="Y125" s="6"/>
      <c r="AA125" s="6"/>
      <c r="AB125" s="6"/>
      <c r="AC125" s="7"/>
      <c r="AD125" s="6"/>
      <c r="AE125" s="6"/>
      <c r="AF125" s="6"/>
      <c r="AG125" s="7"/>
      <c r="AH125" s="213"/>
      <c r="AI125" s="213"/>
    </row>
    <row r="126" spans="1:35" x14ac:dyDescent="0.25">
      <c r="A126" s="169">
        <v>154</v>
      </c>
      <c r="B126" s="169">
        <v>38</v>
      </c>
      <c r="C126" s="170" t="s">
        <v>375</v>
      </c>
      <c r="D126" s="171" t="s">
        <v>376</v>
      </c>
      <c r="E126" s="171" t="s">
        <v>25</v>
      </c>
      <c r="F126" s="172" t="s">
        <v>377</v>
      </c>
      <c r="G126" s="173">
        <v>43679</v>
      </c>
      <c r="H126" s="172" t="s">
        <v>27</v>
      </c>
      <c r="I126" s="15"/>
      <c r="J126" s="5">
        <v>-48</v>
      </c>
      <c r="K126" s="5">
        <v>39</v>
      </c>
      <c r="L126" s="270"/>
      <c r="M126" s="15"/>
      <c r="N126" s="166">
        <v>0</v>
      </c>
      <c r="O126" s="166">
        <v>1240</v>
      </c>
      <c r="P126" s="167"/>
      <c r="Q126" s="213">
        <f>IFERROR(VLOOKUP(C126,[1]Planilha1!$C$1:$Q$65536,15,0),0)</f>
        <v>36.9</v>
      </c>
      <c r="R126" s="213">
        <f>IFERROR(VLOOKUP(C126,[1]Planilha1!$C$1:$R$65536,16,0),0)</f>
        <v>0</v>
      </c>
      <c r="S126" s="213">
        <f>IFERROR(VLOOKUP(C126,[1]Planilha1!$C$1:$S$65536,17,0),0)</f>
        <v>0</v>
      </c>
      <c r="T126" s="213">
        <f>IFERROR(VLOOKUP(C126,[1]Planilha1!$C$1:$T$65536,18,0),0)</f>
        <v>0</v>
      </c>
      <c r="U126" s="6"/>
      <c r="V126" s="260"/>
      <c r="W126" s="6"/>
      <c r="X126" s="218"/>
      <c r="Y126" s="6"/>
      <c r="AA126" s="6"/>
      <c r="AB126" s="6"/>
      <c r="AC126" s="7">
        <v>300</v>
      </c>
      <c r="AD126" s="6"/>
      <c r="AE126" s="6"/>
      <c r="AF126" s="6"/>
      <c r="AG126" s="7">
        <v>300</v>
      </c>
      <c r="AH126" s="213"/>
      <c r="AI126" s="213"/>
    </row>
    <row r="127" spans="1:35" x14ac:dyDescent="0.25">
      <c r="A127" s="169">
        <v>154</v>
      </c>
      <c r="B127" s="169">
        <v>43</v>
      </c>
      <c r="C127" s="170" t="s">
        <v>378</v>
      </c>
      <c r="D127" s="171" t="s">
        <v>379</v>
      </c>
      <c r="E127" s="171" t="s">
        <v>30</v>
      </c>
      <c r="F127" s="172" t="s">
        <v>380</v>
      </c>
      <c r="G127" s="173">
        <v>44097</v>
      </c>
      <c r="H127" s="172" t="s">
        <v>27</v>
      </c>
      <c r="I127" s="15"/>
      <c r="J127" s="5">
        <v>30</v>
      </c>
      <c r="K127" s="5">
        <v>0</v>
      </c>
      <c r="L127" s="270"/>
      <c r="M127" s="15"/>
      <c r="N127" s="166">
        <v>1240</v>
      </c>
      <c r="O127" s="166"/>
      <c r="P127" s="167">
        <v>124</v>
      </c>
      <c r="Q127" s="213">
        <f>IFERROR(VLOOKUP(C127,[1]Planilha1!$C$1:$Q$65536,15,0),0)</f>
        <v>0</v>
      </c>
      <c r="R127" s="213">
        <f>IFERROR(VLOOKUP(C127,[1]Planilha1!$C$1:$R$65536,16,0),0)</f>
        <v>0</v>
      </c>
      <c r="S127" s="213">
        <f>IFERROR(VLOOKUP(C127,[1]Planilha1!$C$1:$S$65536,17,0),0)</f>
        <v>422.5</v>
      </c>
      <c r="T127" s="213">
        <f>IFERROR(VLOOKUP(C127,[1]Planilha1!$C$1:$T$65536,18,0),0)</f>
        <v>0</v>
      </c>
      <c r="U127" s="6"/>
      <c r="V127" s="260"/>
      <c r="W127" s="6"/>
      <c r="X127" s="218"/>
      <c r="Y127" s="6"/>
      <c r="AA127" s="6"/>
      <c r="AB127" s="6"/>
      <c r="AC127" s="7"/>
      <c r="AD127" s="6"/>
      <c r="AE127" s="6"/>
      <c r="AF127" s="6"/>
      <c r="AG127" s="7"/>
      <c r="AH127" s="213"/>
      <c r="AI127" s="213"/>
    </row>
    <row r="128" spans="1:35" x14ac:dyDescent="0.25">
      <c r="A128" s="169">
        <v>154</v>
      </c>
      <c r="B128" s="169">
        <v>45</v>
      </c>
      <c r="C128" s="170" t="s">
        <v>381</v>
      </c>
      <c r="D128" s="171" t="s">
        <v>382</v>
      </c>
      <c r="E128" s="171" t="s">
        <v>25</v>
      </c>
      <c r="F128" s="172" t="s">
        <v>383</v>
      </c>
      <c r="G128" s="173">
        <v>44152</v>
      </c>
      <c r="H128" s="172" t="s">
        <v>27</v>
      </c>
      <c r="I128" s="15"/>
      <c r="J128" s="5">
        <v>30</v>
      </c>
      <c r="K128" s="5">
        <v>0</v>
      </c>
      <c r="L128" s="270"/>
      <c r="M128" s="15"/>
      <c r="N128" s="166">
        <v>0</v>
      </c>
      <c r="O128" s="166">
        <v>1240</v>
      </c>
      <c r="P128" s="167"/>
      <c r="Q128" s="213">
        <f>IFERROR(VLOOKUP(C128,[1]Planilha1!$C$1:$Q$65536,15,0),0)</f>
        <v>36.9</v>
      </c>
      <c r="R128" s="213">
        <f>IFERROR(VLOOKUP(C128,[1]Planilha1!$C$1:$R$65536,16,0),0)</f>
        <v>0</v>
      </c>
      <c r="S128" s="213">
        <f>IFERROR(VLOOKUP(C128,[1]Planilha1!$C$1:$S$65536,17,0),0)</f>
        <v>187.5</v>
      </c>
      <c r="T128" s="213">
        <f>IFERROR(VLOOKUP(C128,[1]Planilha1!$C$1:$T$65536,18,0),0)</f>
        <v>0</v>
      </c>
      <c r="U128" s="6"/>
      <c r="V128" s="260"/>
      <c r="W128" s="6"/>
      <c r="X128" s="218"/>
      <c r="Y128" s="6"/>
      <c r="AA128" s="6"/>
      <c r="AB128" s="6"/>
      <c r="AC128" s="7"/>
      <c r="AD128" s="6"/>
      <c r="AE128" s="6"/>
      <c r="AF128" s="6"/>
      <c r="AG128" s="7"/>
      <c r="AH128" s="213"/>
      <c r="AI128" s="213"/>
    </row>
    <row r="129" spans="1:35" x14ac:dyDescent="0.25">
      <c r="A129" s="169">
        <v>154</v>
      </c>
      <c r="B129" s="169">
        <v>28</v>
      </c>
      <c r="C129" s="170" t="s">
        <v>384</v>
      </c>
      <c r="D129" s="171" t="s">
        <v>385</v>
      </c>
      <c r="E129" s="171" t="s">
        <v>25</v>
      </c>
      <c r="F129" s="172" t="s">
        <v>386</v>
      </c>
      <c r="G129" s="173">
        <v>42789</v>
      </c>
      <c r="H129" s="172" t="s">
        <v>27</v>
      </c>
      <c r="I129" s="15"/>
      <c r="J129" s="5">
        <v>30</v>
      </c>
      <c r="K129" s="5">
        <v>0</v>
      </c>
      <c r="L129" s="270"/>
      <c r="M129" s="15"/>
      <c r="N129" s="166">
        <v>0</v>
      </c>
      <c r="O129" s="166">
        <v>1240</v>
      </c>
      <c r="P129" s="167"/>
      <c r="Q129" s="213">
        <f>IFERROR(VLOOKUP(C129,[1]Planilha1!$C$1:$Q$65536,15,0),0)</f>
        <v>36.9</v>
      </c>
      <c r="R129" s="213">
        <f>IFERROR(VLOOKUP(C129,[1]Planilha1!$C$1:$R$65536,16,0),0)</f>
        <v>0</v>
      </c>
      <c r="S129" s="213">
        <f>IFERROR(VLOOKUP(C129,[1]Planilha1!$C$1:$S$65536,17,0),0)</f>
        <v>375</v>
      </c>
      <c r="T129" s="213">
        <f>IFERROR(VLOOKUP(C129,[1]Planilha1!$C$1:$T$65536,18,0),0)</f>
        <v>0</v>
      </c>
      <c r="U129" s="6"/>
      <c r="V129" s="260"/>
      <c r="W129" s="6"/>
      <c r="X129" s="218"/>
      <c r="Y129" s="6"/>
      <c r="AA129" s="6"/>
      <c r="AB129" s="6"/>
      <c r="AC129" s="7" t="s">
        <v>983</v>
      </c>
      <c r="AD129" s="6"/>
      <c r="AE129" s="6"/>
      <c r="AF129" s="6"/>
      <c r="AG129" s="7"/>
      <c r="AH129" s="213"/>
      <c r="AI129" s="213"/>
    </row>
    <row r="130" spans="1:35" x14ac:dyDescent="0.25">
      <c r="A130" s="169">
        <v>154</v>
      </c>
      <c r="B130" s="169">
        <v>42</v>
      </c>
      <c r="C130" s="170" t="s">
        <v>387</v>
      </c>
      <c r="D130" s="171" t="s">
        <v>388</v>
      </c>
      <c r="E130" s="171" t="s">
        <v>25</v>
      </c>
      <c r="F130" s="172" t="s">
        <v>389</v>
      </c>
      <c r="G130" s="173">
        <v>43787</v>
      </c>
      <c r="H130" s="172" t="s">
        <v>27</v>
      </c>
      <c r="I130" s="15"/>
      <c r="J130" s="5">
        <v>30</v>
      </c>
      <c r="K130" s="5">
        <v>0</v>
      </c>
      <c r="L130" s="270"/>
      <c r="M130" s="15"/>
      <c r="N130" s="166">
        <v>0</v>
      </c>
      <c r="O130" s="166">
        <v>1240</v>
      </c>
      <c r="P130" s="167"/>
      <c r="Q130" s="213">
        <f>IFERROR(VLOOKUP(C130,[1]Planilha1!$C$1:$Q$65536,15,0),0)</f>
        <v>36.9</v>
      </c>
      <c r="R130" s="213">
        <f>IFERROR(VLOOKUP(C130,[1]Planilha1!$C$1:$R$65536,16,0),0)</f>
        <v>0</v>
      </c>
      <c r="S130" s="213">
        <f>IFERROR(VLOOKUP(C130,[1]Planilha1!$C$1:$S$65536,17,0),0)</f>
        <v>0</v>
      </c>
      <c r="T130" s="213">
        <f>IFERROR(VLOOKUP(C130,[1]Planilha1!$C$1:$T$65536,18,0),0)</f>
        <v>0</v>
      </c>
      <c r="U130" s="6"/>
      <c r="V130" s="260"/>
      <c r="W130" s="6"/>
      <c r="X130" s="218"/>
      <c r="Y130" s="6"/>
      <c r="AA130" s="6"/>
      <c r="AB130" s="6"/>
      <c r="AC130" s="7"/>
      <c r="AD130" s="6"/>
      <c r="AE130" s="6"/>
      <c r="AF130" s="6"/>
      <c r="AG130" s="7"/>
      <c r="AH130" s="213"/>
      <c r="AI130" s="213"/>
    </row>
    <row r="131" spans="1:35" x14ac:dyDescent="0.25">
      <c r="A131" s="169">
        <v>156</v>
      </c>
      <c r="B131" s="169">
        <v>76</v>
      </c>
      <c r="C131" s="170" t="s">
        <v>390</v>
      </c>
      <c r="D131" s="171" t="s">
        <v>391</v>
      </c>
      <c r="E131" s="171" t="s">
        <v>25</v>
      </c>
      <c r="F131" s="172" t="s">
        <v>392</v>
      </c>
      <c r="G131" s="173">
        <v>43901</v>
      </c>
      <c r="H131" s="172" t="s">
        <v>27</v>
      </c>
      <c r="I131" s="15"/>
      <c r="J131" s="5">
        <v>30</v>
      </c>
      <c r="K131" s="5">
        <v>0</v>
      </c>
      <c r="L131" s="270"/>
      <c r="M131" s="15"/>
      <c r="N131" s="166">
        <v>0</v>
      </c>
      <c r="O131" s="166">
        <v>1807.35</v>
      </c>
      <c r="P131" s="167"/>
      <c r="Q131" s="213">
        <f>IFERROR(VLOOKUP(C131,[1]Planilha1!$C$1:$Q$65536,15,0),0)</f>
        <v>0</v>
      </c>
      <c r="R131" s="213">
        <f>IFERROR(VLOOKUP(C131,[1]Planilha1!$C$1:$R$65536,16,0),0)</f>
        <v>0</v>
      </c>
      <c r="S131" s="213">
        <f>IFERROR(VLOOKUP(C131,[1]Planilha1!$C$1:$S$65536,17,0),0)</f>
        <v>462</v>
      </c>
      <c r="T131" s="213">
        <f>IFERROR(VLOOKUP(C131,[1]Planilha1!$C$1:$T$65536,18,0),0)</f>
        <v>0</v>
      </c>
      <c r="U131" s="6"/>
      <c r="V131" s="260"/>
      <c r="W131" s="6"/>
      <c r="X131" s="218"/>
      <c r="Y131" s="6"/>
      <c r="AA131" s="6"/>
      <c r="AB131" s="6"/>
      <c r="AC131" s="7"/>
      <c r="AD131" s="6"/>
      <c r="AE131" s="6"/>
      <c r="AF131" s="6"/>
      <c r="AG131" s="7"/>
      <c r="AH131" s="213"/>
      <c r="AI131" s="213"/>
    </row>
    <row r="132" spans="1:35" x14ac:dyDescent="0.25">
      <c r="A132" s="169">
        <v>156</v>
      </c>
      <c r="B132" s="169">
        <v>72</v>
      </c>
      <c r="C132" s="170" t="s">
        <v>393</v>
      </c>
      <c r="D132" s="171" t="s">
        <v>394</v>
      </c>
      <c r="E132" s="171" t="s">
        <v>25</v>
      </c>
      <c r="F132" s="172" t="s">
        <v>395</v>
      </c>
      <c r="G132" s="173">
        <v>43852</v>
      </c>
      <c r="H132" s="172" t="s">
        <v>27</v>
      </c>
      <c r="I132" s="15"/>
      <c r="J132" s="5">
        <v>30</v>
      </c>
      <c r="K132" s="5">
        <v>0</v>
      </c>
      <c r="L132" s="270"/>
      <c r="M132" s="15"/>
      <c r="N132" s="166">
        <v>0</v>
      </c>
      <c r="O132" s="166">
        <v>1807.35</v>
      </c>
      <c r="P132" s="167"/>
      <c r="Q132" s="213">
        <f>IFERROR(VLOOKUP(C132,[1]Planilha1!$C$1:$Q$65536,15,0),0)</f>
        <v>0</v>
      </c>
      <c r="R132" s="213">
        <f>IFERROR(VLOOKUP(C132,[1]Planilha1!$C$1:$R$65536,16,0),0)</f>
        <v>0</v>
      </c>
      <c r="S132" s="213">
        <f>IFERROR(VLOOKUP(C132,[1]Planilha1!$C$1:$S$65536,17,0),0)</f>
        <v>480.48</v>
      </c>
      <c r="T132" s="213">
        <f>IFERROR(VLOOKUP(C132,[1]Planilha1!$C$1:$T$65536,18,0),0)</f>
        <v>0</v>
      </c>
      <c r="U132" s="6"/>
      <c r="V132" s="260"/>
      <c r="W132" s="6"/>
      <c r="X132" s="218"/>
      <c r="Y132" s="6"/>
      <c r="AA132" s="6"/>
      <c r="AB132" s="6"/>
      <c r="AC132" s="7">
        <v>400</v>
      </c>
      <c r="AD132" s="6"/>
      <c r="AE132" s="6"/>
      <c r="AF132" s="6"/>
      <c r="AG132" s="7">
        <v>300</v>
      </c>
      <c r="AH132" s="213"/>
      <c r="AI132" s="213"/>
    </row>
    <row r="133" spans="1:35" x14ac:dyDescent="0.25">
      <c r="A133" s="169">
        <v>156</v>
      </c>
      <c r="B133" s="169">
        <v>78</v>
      </c>
      <c r="C133" s="170" t="s">
        <v>396</v>
      </c>
      <c r="D133" s="171" t="s">
        <v>397</v>
      </c>
      <c r="E133" s="171" t="s">
        <v>25</v>
      </c>
      <c r="F133" s="172" t="s">
        <v>398</v>
      </c>
      <c r="G133" s="173">
        <v>43902</v>
      </c>
      <c r="H133" s="172" t="s">
        <v>27</v>
      </c>
      <c r="I133" s="15"/>
      <c r="J133" s="5">
        <v>30</v>
      </c>
      <c r="K133" s="5">
        <v>0</v>
      </c>
      <c r="L133" s="270"/>
      <c r="M133" s="15"/>
      <c r="N133" s="166">
        <v>0</v>
      </c>
      <c r="O133" s="166">
        <v>1807.35</v>
      </c>
      <c r="P133" s="167"/>
      <c r="Q133" s="213">
        <f>IFERROR(VLOOKUP(C133,[1]Planilha1!$C$1:$Q$65536,15,0),0)</f>
        <v>0</v>
      </c>
      <c r="R133" s="213">
        <f>IFERROR(VLOOKUP(C133,[1]Planilha1!$C$1:$R$65536,16,0),0)</f>
        <v>0</v>
      </c>
      <c r="S133" s="213">
        <f>IFERROR(VLOOKUP(C133,[1]Planilha1!$C$1:$S$65536,17,0),0)</f>
        <v>462.8</v>
      </c>
      <c r="T133" s="213">
        <f>IFERROR(VLOOKUP(C133,[1]Planilha1!$C$1:$T$65536,18,0),0)</f>
        <v>0</v>
      </c>
      <c r="U133" s="6"/>
      <c r="V133" s="260"/>
      <c r="W133" s="6"/>
      <c r="X133" s="218"/>
      <c r="Y133" s="6"/>
      <c r="AA133" s="6"/>
      <c r="AB133" s="6"/>
      <c r="AC133" s="7"/>
      <c r="AD133" s="6"/>
      <c r="AE133" s="6"/>
      <c r="AF133" s="6"/>
      <c r="AG133" s="7"/>
      <c r="AH133" s="213"/>
      <c r="AI133" s="213"/>
    </row>
    <row r="134" spans="1:35" x14ac:dyDescent="0.25">
      <c r="A134" s="169">
        <v>156</v>
      </c>
      <c r="B134" s="169">
        <v>67</v>
      </c>
      <c r="C134" s="170" t="s">
        <v>399</v>
      </c>
      <c r="D134" s="171" t="s">
        <v>400</v>
      </c>
      <c r="E134" s="171" t="s">
        <v>25</v>
      </c>
      <c r="F134" s="172" t="s">
        <v>401</v>
      </c>
      <c r="G134" s="173">
        <v>43759</v>
      </c>
      <c r="H134" s="172" t="s">
        <v>27</v>
      </c>
      <c r="I134" s="15"/>
      <c r="J134" s="5">
        <v>30</v>
      </c>
      <c r="K134" s="5">
        <v>0</v>
      </c>
      <c r="L134" s="270"/>
      <c r="M134" s="15"/>
      <c r="N134" s="166">
        <v>0</v>
      </c>
      <c r="O134" s="166">
        <v>1807.35</v>
      </c>
      <c r="P134" s="167"/>
      <c r="Q134" s="213">
        <f>IFERROR(VLOOKUP(C134,[1]Planilha1!$C$1:$Q$65536,15,0),0)</f>
        <v>0</v>
      </c>
      <c r="R134" s="213">
        <f>IFERROR(VLOOKUP(C134,[1]Planilha1!$C$1:$R$65536,16,0),0)</f>
        <v>0</v>
      </c>
      <c r="S134" s="213">
        <f>IFERROR(VLOOKUP(C134,[1]Planilha1!$C$1:$S$65536,17,0),0)</f>
        <v>0</v>
      </c>
      <c r="T134" s="213">
        <f>IFERROR(VLOOKUP(C134,[1]Planilha1!$C$1:$T$65536,18,0),0)</f>
        <v>0</v>
      </c>
      <c r="U134" s="6"/>
      <c r="V134" s="260"/>
      <c r="W134" s="6"/>
      <c r="X134" s="218"/>
      <c r="Y134" s="6"/>
      <c r="AA134" s="6"/>
      <c r="AB134" s="6"/>
      <c r="AC134" s="7">
        <v>400</v>
      </c>
      <c r="AD134" s="6"/>
      <c r="AE134" s="6"/>
      <c r="AF134" s="6"/>
      <c r="AG134" s="7">
        <v>300</v>
      </c>
      <c r="AH134" s="213"/>
      <c r="AI134" s="213"/>
    </row>
    <row r="135" spans="1:35" x14ac:dyDescent="0.25">
      <c r="A135" s="169">
        <v>156</v>
      </c>
      <c r="B135" s="169">
        <v>81</v>
      </c>
      <c r="C135" s="170" t="s">
        <v>402</v>
      </c>
      <c r="D135" s="171" t="s">
        <v>403</v>
      </c>
      <c r="E135" s="171" t="s">
        <v>25</v>
      </c>
      <c r="F135" s="172" t="s">
        <v>404</v>
      </c>
      <c r="G135" s="173">
        <v>44152</v>
      </c>
      <c r="H135" s="172" t="s">
        <v>27</v>
      </c>
      <c r="I135" s="15"/>
      <c r="J135" s="5">
        <v>30</v>
      </c>
      <c r="K135" s="5">
        <v>0</v>
      </c>
      <c r="L135" s="270"/>
      <c r="M135" s="15"/>
      <c r="N135" s="166">
        <v>0</v>
      </c>
      <c r="O135" s="166">
        <v>1807.35</v>
      </c>
      <c r="P135" s="167"/>
      <c r="Q135" s="213">
        <f>IFERROR(VLOOKUP(C135,[1]Planilha1!$C$1:$Q$65536,15,0),0)</f>
        <v>0</v>
      </c>
      <c r="R135" s="213">
        <f>IFERROR(VLOOKUP(C135,[1]Planilha1!$C$1:$R$65536,16,0),0)</f>
        <v>0</v>
      </c>
      <c r="S135" s="213">
        <f>IFERROR(VLOOKUP(C135,[1]Planilha1!$C$1:$S$65536,17,0),0)</f>
        <v>462</v>
      </c>
      <c r="T135" s="213">
        <f>IFERROR(VLOOKUP(C135,[1]Planilha1!$C$1:$T$65536,18,0),0)</f>
        <v>0</v>
      </c>
      <c r="U135" s="6"/>
      <c r="V135" s="260"/>
      <c r="W135" s="6"/>
      <c r="X135" s="218"/>
      <c r="Y135" s="6"/>
      <c r="AA135" s="6"/>
      <c r="AB135" s="6"/>
      <c r="AC135" s="7"/>
      <c r="AD135" s="6"/>
      <c r="AE135" s="6"/>
      <c r="AF135" s="6"/>
      <c r="AG135" s="7"/>
      <c r="AH135" s="213"/>
      <c r="AI135" s="213"/>
    </row>
    <row r="136" spans="1:35" x14ac:dyDescent="0.25">
      <c r="A136" s="169">
        <v>156</v>
      </c>
      <c r="B136" s="169">
        <v>79</v>
      </c>
      <c r="C136" s="170" t="s">
        <v>405</v>
      </c>
      <c r="D136" s="171" t="s">
        <v>406</v>
      </c>
      <c r="E136" s="171" t="s">
        <v>25</v>
      </c>
      <c r="F136" s="172" t="s">
        <v>407</v>
      </c>
      <c r="G136" s="173">
        <v>44145</v>
      </c>
      <c r="H136" s="172" t="s">
        <v>27</v>
      </c>
      <c r="I136" s="15"/>
      <c r="J136" s="5">
        <v>30</v>
      </c>
      <c r="K136" s="5">
        <v>0</v>
      </c>
      <c r="L136" s="270"/>
      <c r="M136" s="15"/>
      <c r="N136" s="166">
        <v>0</v>
      </c>
      <c r="O136" s="166">
        <v>1807.35</v>
      </c>
      <c r="P136" s="167"/>
      <c r="Q136" s="213">
        <f>IFERROR(VLOOKUP(C136,[1]Planilha1!$C$1:$Q$65536,15,0),0)</f>
        <v>0</v>
      </c>
      <c r="R136" s="213">
        <f>IFERROR(VLOOKUP(C136,[1]Planilha1!$C$1:$R$65536,16,0),0)</f>
        <v>0</v>
      </c>
      <c r="S136" s="213">
        <f>IFERROR(VLOOKUP(C136,[1]Planilha1!$C$1:$S$65536,17,0),0)</f>
        <v>462</v>
      </c>
      <c r="T136" s="213">
        <f>IFERROR(VLOOKUP(C136,[1]Planilha1!$C$1:$T$65536,18,0),0)</f>
        <v>0</v>
      </c>
      <c r="U136" s="6"/>
      <c r="V136" s="260"/>
      <c r="W136" s="6"/>
      <c r="X136" s="218"/>
      <c r="Y136" s="6"/>
      <c r="AA136" s="6"/>
      <c r="AB136" s="6"/>
      <c r="AC136" s="7"/>
      <c r="AD136" s="6"/>
      <c r="AE136" s="6"/>
      <c r="AF136" s="6"/>
      <c r="AG136" s="7"/>
      <c r="AH136" s="213"/>
      <c r="AI136" s="213"/>
    </row>
    <row r="137" spans="1:35" x14ac:dyDescent="0.25">
      <c r="A137" s="169">
        <v>156</v>
      </c>
      <c r="B137" s="169">
        <v>75</v>
      </c>
      <c r="C137" s="170" t="s">
        <v>408</v>
      </c>
      <c r="D137" s="171" t="s">
        <v>409</v>
      </c>
      <c r="E137" s="171" t="s">
        <v>48</v>
      </c>
      <c r="F137" s="172" t="s">
        <v>410</v>
      </c>
      <c r="G137" s="173">
        <v>43889</v>
      </c>
      <c r="H137" s="172" t="s">
        <v>27</v>
      </c>
      <c r="I137" s="15"/>
      <c r="J137" s="5">
        <v>30</v>
      </c>
      <c r="K137" s="5">
        <v>0</v>
      </c>
      <c r="L137" s="270"/>
      <c r="M137" s="15"/>
      <c r="N137" s="166">
        <v>0</v>
      </c>
      <c r="O137" s="166">
        <v>4817.59</v>
      </c>
      <c r="P137" s="167"/>
      <c r="Q137" s="213">
        <f>IFERROR(VLOOKUP(C137,[1]Planilha1!$C$1:$Q$65536,15,0),0)</f>
        <v>0</v>
      </c>
      <c r="R137" s="213">
        <f>IFERROR(VLOOKUP(C137,[1]Planilha1!$C$1:$R$65536,16,0),0)</f>
        <v>0</v>
      </c>
      <c r="S137" s="213">
        <f>IFERROR(VLOOKUP(C137,[1]Planilha1!$C$1:$S$65536,17,0),0)</f>
        <v>0</v>
      </c>
      <c r="T137" s="213">
        <f>IFERROR(VLOOKUP(C137,[1]Planilha1!$C$1:$T$65536,18,0),0)</f>
        <v>0</v>
      </c>
      <c r="U137" s="6"/>
      <c r="V137" s="260"/>
      <c r="W137" s="6"/>
      <c r="X137" s="218"/>
      <c r="Y137" s="6"/>
      <c r="AA137" s="6"/>
      <c r="AB137" s="6"/>
      <c r="AC137" s="7"/>
      <c r="AD137" s="6"/>
      <c r="AE137" s="6"/>
      <c r="AF137" s="6"/>
      <c r="AG137" s="7"/>
      <c r="AH137" s="213"/>
      <c r="AI137" s="213"/>
    </row>
    <row r="138" spans="1:35" x14ac:dyDescent="0.25">
      <c r="A138" s="169">
        <v>156</v>
      </c>
      <c r="B138" s="169">
        <v>84</v>
      </c>
      <c r="C138" s="170" t="s">
        <v>411</v>
      </c>
      <c r="D138" s="171" t="s">
        <v>412</v>
      </c>
      <c r="E138" s="171" t="s">
        <v>30</v>
      </c>
      <c r="F138" s="172" t="s">
        <v>413</v>
      </c>
      <c r="G138" s="173">
        <v>44354</v>
      </c>
      <c r="H138" s="172" t="s">
        <v>27</v>
      </c>
      <c r="I138" s="15"/>
      <c r="J138" s="5">
        <v>30</v>
      </c>
      <c r="K138" s="5">
        <v>0</v>
      </c>
      <c r="L138" s="270"/>
      <c r="M138" s="15"/>
      <c r="N138" s="166">
        <v>1461.24</v>
      </c>
      <c r="O138" s="166"/>
      <c r="P138" s="167">
        <v>68.400000000000006</v>
      </c>
      <c r="Q138" s="213">
        <f>IFERROR(VLOOKUP(C138,[1]Planilha1!$C$1:$Q$65536,15,0),0)</f>
        <v>0</v>
      </c>
      <c r="R138" s="213">
        <f>IFERROR(VLOOKUP(C138,[1]Planilha1!$C$1:$R$65536,16,0),0)</f>
        <v>0</v>
      </c>
      <c r="S138" s="213">
        <f>IFERROR(VLOOKUP(C138,[1]Planilha1!$C$1:$S$65536,17,0),0)</f>
        <v>754.5</v>
      </c>
      <c r="T138" s="213">
        <f>IFERROR(VLOOKUP(C138,[1]Planilha1!$C$1:$T$65536,18,0),0)</f>
        <v>0</v>
      </c>
      <c r="U138" s="6"/>
      <c r="V138" s="260"/>
      <c r="W138" s="6"/>
      <c r="X138" s="218"/>
      <c r="Y138" s="6"/>
      <c r="AA138" s="6"/>
      <c r="AB138" s="6"/>
      <c r="AC138" s="7"/>
      <c r="AD138" s="6"/>
      <c r="AE138" s="6"/>
      <c r="AF138" s="6"/>
      <c r="AG138" s="7"/>
      <c r="AH138" s="213"/>
      <c r="AI138" s="213"/>
    </row>
    <row r="139" spans="1:35" x14ac:dyDescent="0.25">
      <c r="A139" s="169">
        <v>157</v>
      </c>
      <c r="B139" s="169">
        <v>34</v>
      </c>
      <c r="C139" s="170" t="s">
        <v>420</v>
      </c>
      <c r="D139" s="171" t="s">
        <v>421</v>
      </c>
      <c r="E139" s="171" t="s">
        <v>30</v>
      </c>
      <c r="F139" s="172" t="s">
        <v>422</v>
      </c>
      <c r="G139" s="173">
        <v>43728</v>
      </c>
      <c r="H139" s="172" t="s">
        <v>27</v>
      </c>
      <c r="I139" s="15"/>
      <c r="J139" s="5">
        <v>30</v>
      </c>
      <c r="K139" s="5">
        <v>0</v>
      </c>
      <c r="L139" s="270"/>
      <c r="M139" s="15"/>
      <c r="N139" s="166">
        <v>1414</v>
      </c>
      <c r="O139" s="166"/>
      <c r="P139" s="167">
        <v>141.4</v>
      </c>
      <c r="Q139" s="213">
        <f>IFERROR(VLOOKUP(C139,[1]Planilha1!$C$1:$Q$65536,15,0),0)</f>
        <v>0</v>
      </c>
      <c r="R139" s="213">
        <f>IFERROR(VLOOKUP(C139,[1]Planilha1!$C$1:$R$65536,16,0),0)</f>
        <v>0</v>
      </c>
      <c r="S139" s="213">
        <f>IFERROR(VLOOKUP(C139,[1]Planilha1!$C$1:$S$65536,17,0),0)</f>
        <v>0</v>
      </c>
      <c r="T139" s="213">
        <f>IFERROR(VLOOKUP(C139,[1]Planilha1!$C$1:$T$65536,18,0),0)</f>
        <v>234</v>
      </c>
      <c r="U139" s="6"/>
      <c r="V139" s="260"/>
      <c r="W139" s="6"/>
      <c r="X139" s="218"/>
      <c r="Y139" s="6"/>
      <c r="AA139" s="6"/>
      <c r="AB139" s="6"/>
      <c r="AC139" s="7"/>
      <c r="AD139" s="6"/>
      <c r="AE139" s="6"/>
      <c r="AF139" s="6"/>
      <c r="AG139" s="7"/>
      <c r="AH139" s="213"/>
      <c r="AI139" s="213"/>
    </row>
    <row r="140" spans="1:35" x14ac:dyDescent="0.25">
      <c r="A140" s="169">
        <v>157</v>
      </c>
      <c r="B140" s="169">
        <v>46</v>
      </c>
      <c r="C140" s="170" t="s">
        <v>432</v>
      </c>
      <c r="D140" s="171" t="s">
        <v>433</v>
      </c>
      <c r="E140" s="171" t="s">
        <v>25</v>
      </c>
      <c r="F140" s="172" t="s">
        <v>434</v>
      </c>
      <c r="G140" s="173">
        <v>44179</v>
      </c>
      <c r="H140" s="172" t="s">
        <v>27</v>
      </c>
      <c r="I140" s="15"/>
      <c r="J140" s="5">
        <v>30</v>
      </c>
      <c r="K140" s="5">
        <v>0</v>
      </c>
      <c r="L140" s="270"/>
      <c r="M140" s="15"/>
      <c r="N140" s="166">
        <v>0</v>
      </c>
      <c r="O140" s="166">
        <v>1515</v>
      </c>
      <c r="P140" s="167"/>
      <c r="Q140" s="213">
        <f>IFERROR(VLOOKUP(C140,[1]Planilha1!$C$1:$Q$65536,15,0),0)</f>
        <v>0</v>
      </c>
      <c r="R140" s="213">
        <f>IFERROR(VLOOKUP(C140,[1]Planilha1!$C$1:$R$65536,16,0),0)</f>
        <v>0</v>
      </c>
      <c r="S140" s="213">
        <f>IFERROR(VLOOKUP(C140,[1]Planilha1!$C$1:$S$65536,17,0),0)</f>
        <v>0</v>
      </c>
      <c r="T140" s="213">
        <f>IFERROR(VLOOKUP(C140,[1]Planilha1!$C$1:$T$65536,18,0),0)</f>
        <v>0</v>
      </c>
      <c r="U140" s="6"/>
      <c r="V140" s="260"/>
      <c r="W140" s="6"/>
      <c r="X140" s="218"/>
      <c r="Y140" s="6"/>
      <c r="AA140" s="6"/>
      <c r="AB140" s="6"/>
      <c r="AC140" s="7"/>
      <c r="AD140" s="6"/>
      <c r="AE140" s="6"/>
      <c r="AF140" s="6"/>
      <c r="AG140" s="7"/>
      <c r="AH140" s="213"/>
      <c r="AI140" s="213"/>
    </row>
    <row r="141" spans="1:35" x14ac:dyDescent="0.25">
      <c r="A141" s="169">
        <v>157</v>
      </c>
      <c r="B141" s="169">
        <v>44</v>
      </c>
      <c r="C141" s="170" t="s">
        <v>426</v>
      </c>
      <c r="D141" s="171" t="s">
        <v>427</v>
      </c>
      <c r="E141" s="171" t="s">
        <v>30</v>
      </c>
      <c r="F141" s="172" t="s">
        <v>428</v>
      </c>
      <c r="G141" s="173">
        <v>44152</v>
      </c>
      <c r="H141" s="172" t="s">
        <v>27</v>
      </c>
      <c r="I141" s="15"/>
      <c r="J141" s="5">
        <v>30</v>
      </c>
      <c r="K141" s="5">
        <v>0</v>
      </c>
      <c r="L141" s="270"/>
      <c r="M141" s="15"/>
      <c r="N141" s="166">
        <v>1414</v>
      </c>
      <c r="O141" s="166"/>
      <c r="P141" s="167">
        <v>141.4</v>
      </c>
      <c r="Q141" s="213">
        <f>IFERROR(VLOOKUP(C141,[1]Planilha1!$C$1:$Q$65536,15,0),0)</f>
        <v>0</v>
      </c>
      <c r="R141" s="213">
        <f>IFERROR(VLOOKUP(C141,[1]Planilha1!$C$1:$R$65536,16,0),0)</f>
        <v>0</v>
      </c>
      <c r="S141" s="213">
        <f>IFERROR(VLOOKUP(C141,[1]Planilha1!$C$1:$S$65536,17,0),0)</f>
        <v>0</v>
      </c>
      <c r="T141" s="213">
        <f>IFERROR(VLOOKUP(C141,[1]Planilha1!$C$1:$T$65536,18,0),0)</f>
        <v>234</v>
      </c>
      <c r="U141" s="6"/>
      <c r="V141" s="260"/>
      <c r="W141" s="6"/>
      <c r="X141" s="218"/>
      <c r="Y141" s="6"/>
      <c r="AA141" s="6"/>
      <c r="AB141" s="6"/>
      <c r="AC141" s="7"/>
      <c r="AD141" s="6"/>
      <c r="AE141" s="6"/>
      <c r="AF141" s="6"/>
      <c r="AG141" s="7"/>
      <c r="AH141" s="213"/>
      <c r="AI141" s="213"/>
    </row>
    <row r="142" spans="1:35" x14ac:dyDescent="0.25">
      <c r="A142" s="169">
        <v>157</v>
      </c>
      <c r="B142" s="169">
        <v>14</v>
      </c>
      <c r="C142" s="170" t="s">
        <v>414</v>
      </c>
      <c r="D142" s="171" t="s">
        <v>415</v>
      </c>
      <c r="E142" s="171" t="s">
        <v>25</v>
      </c>
      <c r="F142" s="172" t="s">
        <v>416</v>
      </c>
      <c r="G142" s="173">
        <v>42684</v>
      </c>
      <c r="H142" s="172" t="s">
        <v>27</v>
      </c>
      <c r="I142" s="15"/>
      <c r="J142" s="5">
        <v>30</v>
      </c>
      <c r="K142" s="5">
        <v>0</v>
      </c>
      <c r="L142" s="270"/>
      <c r="M142" s="15"/>
      <c r="N142" s="166">
        <v>0</v>
      </c>
      <c r="O142" s="166">
        <v>1515</v>
      </c>
      <c r="P142" s="167"/>
      <c r="Q142" s="213">
        <f>IFERROR(VLOOKUP(C142,[1]Planilha1!$C$1:$Q$65536,15,0),0)</f>
        <v>0</v>
      </c>
      <c r="R142" s="213">
        <f>IFERROR(VLOOKUP(C142,[1]Planilha1!$C$1:$R$65536,16,0),0)</f>
        <v>0</v>
      </c>
      <c r="S142" s="213">
        <f>IFERROR(VLOOKUP(C142,[1]Planilha1!$C$1:$S$65536,17,0),0)</f>
        <v>0</v>
      </c>
      <c r="T142" s="213">
        <f>IFERROR(VLOOKUP(C142,[1]Planilha1!$C$1:$T$65536,18,0),0)</f>
        <v>0</v>
      </c>
      <c r="U142" s="6"/>
      <c r="V142" s="260"/>
      <c r="W142" s="6"/>
      <c r="X142" s="218"/>
      <c r="Y142" s="6"/>
      <c r="AA142" s="6"/>
      <c r="AB142" s="6"/>
      <c r="AC142" s="7">
        <v>300</v>
      </c>
      <c r="AD142" s="6"/>
      <c r="AE142" s="6"/>
      <c r="AF142" s="6"/>
      <c r="AG142" s="7">
        <v>300</v>
      </c>
      <c r="AH142" s="213"/>
      <c r="AI142" s="213"/>
    </row>
    <row r="143" spans="1:35" x14ac:dyDescent="0.25">
      <c r="A143" s="169">
        <v>157</v>
      </c>
      <c r="B143" s="169">
        <v>43</v>
      </c>
      <c r="C143" s="170" t="s">
        <v>423</v>
      </c>
      <c r="D143" s="171" t="s">
        <v>424</v>
      </c>
      <c r="E143" s="171" t="s">
        <v>25</v>
      </c>
      <c r="F143" s="172" t="s">
        <v>425</v>
      </c>
      <c r="G143" s="173">
        <v>44086</v>
      </c>
      <c r="H143" s="172" t="s">
        <v>27</v>
      </c>
      <c r="I143" s="15"/>
      <c r="J143" s="5">
        <v>30</v>
      </c>
      <c r="K143" s="5">
        <v>0</v>
      </c>
      <c r="L143" s="270"/>
      <c r="M143" s="15"/>
      <c r="N143" s="166">
        <v>0</v>
      </c>
      <c r="O143" s="166">
        <v>1515</v>
      </c>
      <c r="P143" s="167"/>
      <c r="Q143" s="213">
        <f>IFERROR(VLOOKUP(C143,[1]Planilha1!$C$1:$Q$65536,15,0),0)</f>
        <v>0</v>
      </c>
      <c r="R143" s="213">
        <f>IFERROR(VLOOKUP(C143,[1]Planilha1!$C$1:$R$65536,16,0),0)</f>
        <v>0</v>
      </c>
      <c r="S143" s="213">
        <f>IFERROR(VLOOKUP(C143,[1]Planilha1!$C$1:$S$65536,17,0),0)</f>
        <v>0</v>
      </c>
      <c r="T143" s="213">
        <f>IFERROR(VLOOKUP(C143,[1]Planilha1!$C$1:$T$65536,18,0),0)</f>
        <v>234</v>
      </c>
      <c r="U143" s="6"/>
      <c r="V143" s="260"/>
      <c r="W143" s="6"/>
      <c r="X143" s="218"/>
      <c r="Y143" s="6"/>
      <c r="AA143" s="6"/>
      <c r="AB143" s="6"/>
      <c r="AC143" s="7"/>
      <c r="AD143" s="6"/>
      <c r="AE143" s="6"/>
      <c r="AF143" s="6"/>
      <c r="AG143" s="7"/>
      <c r="AH143" s="213"/>
      <c r="AI143" s="213"/>
    </row>
    <row r="144" spans="1:35" s="162" customFormat="1" x14ac:dyDescent="0.25">
      <c r="A144" s="169">
        <v>157</v>
      </c>
      <c r="B144" s="169">
        <v>45</v>
      </c>
      <c r="C144" s="170" t="s">
        <v>429</v>
      </c>
      <c r="D144" s="171" t="s">
        <v>430</v>
      </c>
      <c r="E144" s="171" t="s">
        <v>25</v>
      </c>
      <c r="F144" s="172" t="s">
        <v>431</v>
      </c>
      <c r="G144" s="173">
        <v>44155</v>
      </c>
      <c r="H144" s="172" t="s">
        <v>27</v>
      </c>
      <c r="I144" s="15"/>
      <c r="J144" s="5">
        <v>30</v>
      </c>
      <c r="K144" s="5">
        <v>0</v>
      </c>
      <c r="L144" s="270"/>
      <c r="M144" s="15"/>
      <c r="N144" s="166">
        <v>0</v>
      </c>
      <c r="O144" s="166">
        <v>1515</v>
      </c>
      <c r="P144" s="167"/>
      <c r="Q144" s="213">
        <f>IFERROR(VLOOKUP(C144,[1]Planilha1!$C$1:$Q$65536,15,0),0)</f>
        <v>0</v>
      </c>
      <c r="R144" s="213">
        <f>IFERROR(VLOOKUP(C144,[1]Planilha1!$C$1:$R$65536,16,0),0)</f>
        <v>0</v>
      </c>
      <c r="S144" s="213">
        <f>IFERROR(VLOOKUP(C144,[1]Planilha1!$C$1:$S$65536,17,0),0)</f>
        <v>0</v>
      </c>
      <c r="T144" s="213">
        <f>IFERROR(VLOOKUP(C144,[1]Planilha1!$C$1:$T$65536,18,0),0)</f>
        <v>234</v>
      </c>
      <c r="U144" s="6"/>
      <c r="V144" s="260"/>
      <c r="W144" s="6"/>
      <c r="X144" s="218"/>
      <c r="Y144" s="6"/>
      <c r="Z144" s="16"/>
      <c r="AA144" s="6"/>
      <c r="AB144" s="6"/>
      <c r="AC144" s="7"/>
      <c r="AD144" s="6"/>
      <c r="AE144" s="6"/>
      <c r="AF144" s="6"/>
      <c r="AG144" s="7"/>
      <c r="AH144" s="213"/>
      <c r="AI144" s="213"/>
    </row>
    <row r="145" spans="1:35" x14ac:dyDescent="0.25">
      <c r="A145" s="169">
        <v>157</v>
      </c>
      <c r="B145" s="169">
        <v>33</v>
      </c>
      <c r="C145" s="170" t="s">
        <v>417</v>
      </c>
      <c r="D145" s="171" t="s">
        <v>418</v>
      </c>
      <c r="E145" s="171" t="s">
        <v>48</v>
      </c>
      <c r="F145" s="172" t="s">
        <v>419</v>
      </c>
      <c r="G145" s="173">
        <v>43693</v>
      </c>
      <c r="H145" s="172" t="s">
        <v>27</v>
      </c>
      <c r="I145" s="15"/>
      <c r="J145" s="5">
        <v>-82</v>
      </c>
      <c r="K145" s="5">
        <v>56</v>
      </c>
      <c r="L145" s="270"/>
      <c r="M145" s="15"/>
      <c r="N145" s="166">
        <v>0</v>
      </c>
      <c r="O145" s="166">
        <v>4610.7</v>
      </c>
      <c r="P145" s="167"/>
      <c r="Q145" s="213">
        <f>IFERROR(VLOOKUP(C145,[1]Planilha1!$C$1:$Q$65536,15,0),0)</f>
        <v>0</v>
      </c>
      <c r="R145" s="213">
        <f>IFERROR(VLOOKUP(C145,[1]Planilha1!$C$1:$R$65536,16,0),0)</f>
        <v>0</v>
      </c>
      <c r="S145" s="213">
        <f>IFERROR(VLOOKUP(C145,[1]Planilha1!$C$1:$S$65536,17,0),0)</f>
        <v>0</v>
      </c>
      <c r="T145" s="213">
        <f>IFERROR(VLOOKUP(C145,[1]Planilha1!$C$1:$T$65536,18,0),0)</f>
        <v>0</v>
      </c>
      <c r="U145" s="6"/>
      <c r="V145" s="260"/>
      <c r="W145" s="6"/>
      <c r="X145" s="218"/>
      <c r="Y145" s="6"/>
      <c r="AA145" s="6"/>
      <c r="AB145" s="6"/>
      <c r="AC145" s="7"/>
      <c r="AD145" s="6"/>
      <c r="AE145" s="6"/>
      <c r="AF145" s="6"/>
      <c r="AG145" s="7"/>
      <c r="AH145" s="213"/>
      <c r="AI145" s="213"/>
    </row>
    <row r="146" spans="1:35" x14ac:dyDescent="0.25">
      <c r="A146" s="169">
        <v>161</v>
      </c>
      <c r="B146" s="169">
        <v>51</v>
      </c>
      <c r="C146" s="170" t="s">
        <v>435</v>
      </c>
      <c r="D146" s="171" t="s">
        <v>436</v>
      </c>
      <c r="E146" s="171" t="s">
        <v>25</v>
      </c>
      <c r="F146" s="172" t="s">
        <v>437</v>
      </c>
      <c r="G146" s="173">
        <v>44342</v>
      </c>
      <c r="H146" s="172" t="s">
        <v>27</v>
      </c>
      <c r="I146" s="15"/>
      <c r="J146" s="5">
        <v>30</v>
      </c>
      <c r="K146" s="5">
        <v>0</v>
      </c>
      <c r="L146" s="270"/>
      <c r="M146" s="15"/>
      <c r="N146" s="166">
        <v>0</v>
      </c>
      <c r="O146" s="166">
        <v>1420.37</v>
      </c>
      <c r="P146" s="167"/>
      <c r="Q146" s="213">
        <f>IFERROR(VLOOKUP(C146,[1]Planilha1!$C$1:$Q$65536,15,0),0)</f>
        <v>0</v>
      </c>
      <c r="R146" s="213">
        <f>IFERROR(VLOOKUP(C146,[1]Planilha1!$C$1:$R$65536,16,0),0)</f>
        <v>0</v>
      </c>
      <c r="S146" s="213">
        <f>IFERROR(VLOOKUP(C146,[1]Planilha1!$C$1:$S$65536,17,0),0)</f>
        <v>0</v>
      </c>
      <c r="T146" s="213">
        <f>IFERROR(VLOOKUP(C146,[1]Planilha1!$C$1:$T$65536,18,0),0)</f>
        <v>572</v>
      </c>
      <c r="U146" s="6"/>
      <c r="V146" s="260"/>
      <c r="W146" s="6"/>
      <c r="X146" s="218"/>
      <c r="Y146" s="6"/>
      <c r="AA146" s="6"/>
      <c r="AB146" s="6"/>
      <c r="AC146" s="7">
        <v>300</v>
      </c>
      <c r="AD146" s="6"/>
      <c r="AE146" s="6"/>
      <c r="AF146" s="6"/>
      <c r="AG146" s="7">
        <v>300</v>
      </c>
      <c r="AH146" s="213"/>
      <c r="AI146" s="213"/>
    </row>
    <row r="147" spans="1:35" x14ac:dyDescent="0.25">
      <c r="A147" s="169">
        <v>161</v>
      </c>
      <c r="B147" s="169">
        <v>49</v>
      </c>
      <c r="C147" s="170" t="s">
        <v>438</v>
      </c>
      <c r="D147" s="171" t="s">
        <v>439</v>
      </c>
      <c r="E147" s="171" t="s">
        <v>25</v>
      </c>
      <c r="F147" s="172" t="s">
        <v>440</v>
      </c>
      <c r="G147" s="173">
        <v>44287</v>
      </c>
      <c r="H147" s="172" t="s">
        <v>27</v>
      </c>
      <c r="I147" s="163"/>
      <c r="J147" s="5">
        <v>30</v>
      </c>
      <c r="K147" s="5">
        <v>0</v>
      </c>
      <c r="L147" s="270"/>
      <c r="M147" s="163"/>
      <c r="N147" s="166">
        <v>0</v>
      </c>
      <c r="O147" s="166">
        <v>1420.37</v>
      </c>
      <c r="P147" s="167"/>
      <c r="Q147" s="213">
        <f>IFERROR(VLOOKUP(C147,[1]Planilha1!$C$1:$Q$65536,15,0),0)</f>
        <v>0</v>
      </c>
      <c r="R147" s="213">
        <f>IFERROR(VLOOKUP(C147,[1]Planilha1!$C$1:$R$65536,16,0),0)</f>
        <v>0</v>
      </c>
      <c r="S147" s="213">
        <f>IFERROR(VLOOKUP(C147,[1]Planilha1!$C$1:$S$65536,17,0),0)</f>
        <v>0</v>
      </c>
      <c r="T147" s="213">
        <f>IFERROR(VLOOKUP(C147,[1]Planilha1!$C$1:$T$65536,18,0),0)</f>
        <v>0</v>
      </c>
      <c r="U147" s="6"/>
      <c r="V147" s="260"/>
      <c r="W147" s="6"/>
      <c r="X147" s="222"/>
      <c r="Y147" s="6"/>
      <c r="AA147" s="6"/>
      <c r="AB147" s="6"/>
      <c r="AC147" s="7"/>
      <c r="AD147" s="6"/>
      <c r="AE147" s="6"/>
      <c r="AF147" s="6"/>
      <c r="AG147" s="7"/>
      <c r="AH147" s="216"/>
      <c r="AI147" s="213"/>
    </row>
    <row r="148" spans="1:35" x14ac:dyDescent="0.25">
      <c r="A148" s="169">
        <v>161</v>
      </c>
      <c r="B148" s="169">
        <v>45</v>
      </c>
      <c r="C148" s="170" t="s">
        <v>441</v>
      </c>
      <c r="D148" s="171" t="s">
        <v>442</v>
      </c>
      <c r="E148" s="171" t="s">
        <v>30</v>
      </c>
      <c r="F148" s="172" t="s">
        <v>443</v>
      </c>
      <c r="G148" s="173">
        <v>44154</v>
      </c>
      <c r="H148" s="172" t="s">
        <v>27</v>
      </c>
      <c r="I148" s="15"/>
      <c r="J148" s="5">
        <v>30</v>
      </c>
      <c r="K148" s="5">
        <v>0</v>
      </c>
      <c r="L148" s="270"/>
      <c r="M148" s="15"/>
      <c r="N148" s="166">
        <v>1285</v>
      </c>
      <c r="O148" s="166"/>
      <c r="P148" s="167">
        <v>128.5</v>
      </c>
      <c r="Q148" s="213">
        <f>IFERROR(VLOOKUP(C148,[1]Planilha1!$C$1:$Q$65536,15,0),0)</f>
        <v>0</v>
      </c>
      <c r="R148" s="213">
        <f>IFERROR(VLOOKUP(C148,[1]Planilha1!$C$1:$R$65536,16,0),0)</f>
        <v>0</v>
      </c>
      <c r="S148" s="213">
        <f>IFERROR(VLOOKUP(C148,[1]Planilha1!$C$1:$S$65536,17,0),0)</f>
        <v>0</v>
      </c>
      <c r="T148" s="213">
        <f>IFERROR(VLOOKUP(C148,[1]Planilha1!$C$1:$T$65536,18,0),0)</f>
        <v>236.6</v>
      </c>
      <c r="U148" s="6"/>
      <c r="V148" s="260"/>
      <c r="W148" s="6"/>
      <c r="X148" s="218"/>
      <c r="Y148" s="6"/>
      <c r="AA148" s="6"/>
      <c r="AB148" s="6"/>
      <c r="AC148" s="7"/>
      <c r="AD148" s="6"/>
      <c r="AE148" s="6"/>
      <c r="AF148" s="6"/>
      <c r="AG148" s="7"/>
      <c r="AH148" s="213"/>
      <c r="AI148" s="213"/>
    </row>
    <row r="149" spans="1:35" x14ac:dyDescent="0.25">
      <c r="A149" s="169">
        <v>161</v>
      </c>
      <c r="B149" s="169">
        <v>32</v>
      </c>
      <c r="C149" s="170" t="s">
        <v>444</v>
      </c>
      <c r="D149" s="171" t="s">
        <v>445</v>
      </c>
      <c r="E149" s="171" t="s">
        <v>48</v>
      </c>
      <c r="F149" s="172" t="s">
        <v>446</v>
      </c>
      <c r="G149" s="173">
        <v>43491</v>
      </c>
      <c r="H149" s="172" t="s">
        <v>27</v>
      </c>
      <c r="I149" s="15"/>
      <c r="J149" s="5">
        <v>30</v>
      </c>
      <c r="K149" s="5">
        <v>0</v>
      </c>
      <c r="L149" s="270"/>
      <c r="M149" s="15"/>
      <c r="N149" s="166">
        <v>0</v>
      </c>
      <c r="O149" s="166">
        <v>4102</v>
      </c>
      <c r="P149" s="167"/>
      <c r="Q149" s="213">
        <f>IFERROR(VLOOKUP(C149,[1]Planilha1!$C$1:$Q$65536,15,0),0)</f>
        <v>0</v>
      </c>
      <c r="R149" s="213">
        <f>IFERROR(VLOOKUP(C149,[1]Planilha1!$C$1:$R$65536,16,0),0)</f>
        <v>0</v>
      </c>
      <c r="S149" s="213">
        <f>IFERROR(VLOOKUP(C149,[1]Planilha1!$C$1:$S$65536,17,0),0)</f>
        <v>0</v>
      </c>
      <c r="T149" s="213">
        <f>IFERROR(VLOOKUP(C149,[1]Planilha1!$C$1:$T$65536,18,0),0)</f>
        <v>0</v>
      </c>
      <c r="U149" s="6"/>
      <c r="V149" s="260"/>
      <c r="W149" s="6"/>
      <c r="X149" s="218"/>
      <c r="Y149" s="6"/>
      <c r="AA149" s="6"/>
      <c r="AB149" s="6"/>
      <c r="AC149" s="7"/>
      <c r="AD149" s="6"/>
      <c r="AE149" s="6"/>
      <c r="AF149" s="6"/>
      <c r="AG149" s="7"/>
      <c r="AH149" s="213"/>
      <c r="AI149" s="213"/>
    </row>
    <row r="150" spans="1:35" x14ac:dyDescent="0.25">
      <c r="A150" s="169">
        <v>161</v>
      </c>
      <c r="B150" s="169">
        <v>52</v>
      </c>
      <c r="C150" s="170" t="s">
        <v>447</v>
      </c>
      <c r="D150" s="171" t="s">
        <v>448</v>
      </c>
      <c r="E150" s="171" t="s">
        <v>25</v>
      </c>
      <c r="F150" s="172" t="s">
        <v>449</v>
      </c>
      <c r="G150" s="173">
        <v>44355</v>
      </c>
      <c r="H150" s="172" t="s">
        <v>27</v>
      </c>
      <c r="I150" s="15"/>
      <c r="J150" s="5">
        <v>30</v>
      </c>
      <c r="K150" s="5">
        <v>0</v>
      </c>
      <c r="L150" s="270"/>
      <c r="M150" s="15"/>
      <c r="N150" s="166">
        <v>0</v>
      </c>
      <c r="O150" s="166">
        <v>1420.37</v>
      </c>
      <c r="P150" s="167"/>
      <c r="Q150" s="213">
        <f>IFERROR(VLOOKUP(C150,[1]Planilha1!$C$1:$Q$65536,15,0),0)</f>
        <v>0</v>
      </c>
      <c r="R150" s="213">
        <f>IFERROR(VLOOKUP(C150,[1]Planilha1!$C$1:$R$65536,16,0),0)</f>
        <v>0</v>
      </c>
      <c r="S150" s="213">
        <f>IFERROR(VLOOKUP(C150,[1]Planilha1!$C$1:$S$65536,17,0),0)</f>
        <v>0</v>
      </c>
      <c r="T150" s="213">
        <f>IFERROR(VLOOKUP(C150,[1]Planilha1!$C$1:$T$65536,18,0),0)</f>
        <v>354.9</v>
      </c>
      <c r="U150" s="6"/>
      <c r="V150" s="260"/>
      <c r="W150" s="6"/>
      <c r="X150" s="218"/>
      <c r="Y150" s="6"/>
      <c r="AA150" s="6"/>
      <c r="AB150" s="6"/>
      <c r="AC150" s="7"/>
      <c r="AD150" s="6"/>
      <c r="AE150" s="6"/>
      <c r="AF150" s="6"/>
      <c r="AG150" s="7"/>
      <c r="AH150" s="213"/>
      <c r="AI150" s="213"/>
    </row>
    <row r="151" spans="1:35" x14ac:dyDescent="0.25">
      <c r="A151" s="169">
        <v>161</v>
      </c>
      <c r="B151" s="169">
        <v>53</v>
      </c>
      <c r="C151" s="170" t="s">
        <v>908</v>
      </c>
      <c r="D151" s="171" t="s">
        <v>909</v>
      </c>
      <c r="E151" s="171" t="s">
        <v>25</v>
      </c>
      <c r="F151" s="172" t="s">
        <v>910</v>
      </c>
      <c r="G151" s="173">
        <v>44398</v>
      </c>
      <c r="H151" s="172" t="s">
        <v>27</v>
      </c>
      <c r="I151" s="15"/>
      <c r="J151" s="5">
        <v>30</v>
      </c>
      <c r="K151" s="5">
        <v>0</v>
      </c>
      <c r="L151" s="270"/>
      <c r="M151" s="15"/>
      <c r="N151" s="166">
        <v>0</v>
      </c>
      <c r="O151" s="166">
        <v>1420.37</v>
      </c>
      <c r="P151" s="167"/>
      <c r="Q151" s="213">
        <f>IFERROR(VLOOKUP(C151,[1]Planilha1!$C$1:$Q$65536,15,0),0)</f>
        <v>0</v>
      </c>
      <c r="R151" s="213">
        <f>IFERROR(VLOOKUP(C151,[1]Planilha1!$C$1:$R$65536,16,0),0)</f>
        <v>13.87</v>
      </c>
      <c r="S151" s="213">
        <f>IFERROR(VLOOKUP(C151,[1]Planilha1!$C$1:$S$65536,17,0),0)</f>
        <v>105.6</v>
      </c>
      <c r="T151" s="213">
        <f>IFERROR(VLOOKUP(C151,[1]Planilha1!$C$1:$T$65536,18,0),0)</f>
        <v>0</v>
      </c>
      <c r="U151" s="6"/>
      <c r="V151" s="260"/>
      <c r="W151" s="6"/>
      <c r="X151" s="218"/>
      <c r="Y151" s="6"/>
      <c r="AA151" s="6"/>
      <c r="AB151" s="6"/>
      <c r="AC151" s="7"/>
      <c r="AD151" s="6"/>
      <c r="AE151" s="6"/>
      <c r="AF151" s="6"/>
      <c r="AG151" s="7"/>
      <c r="AH151" s="213"/>
      <c r="AI151" s="213"/>
    </row>
    <row r="152" spans="1:35" x14ac:dyDescent="0.25">
      <c r="A152" s="169">
        <v>166</v>
      </c>
      <c r="B152" s="169">
        <v>34</v>
      </c>
      <c r="C152" s="170" t="s">
        <v>450</v>
      </c>
      <c r="D152" s="171" t="s">
        <v>451</v>
      </c>
      <c r="E152" s="171" t="s">
        <v>25</v>
      </c>
      <c r="F152" s="172" t="s">
        <v>452</v>
      </c>
      <c r="G152" s="173">
        <v>43794</v>
      </c>
      <c r="H152" s="172" t="s">
        <v>27</v>
      </c>
      <c r="I152" s="15"/>
      <c r="J152" s="5">
        <v>30</v>
      </c>
      <c r="K152" s="5">
        <v>0</v>
      </c>
      <c r="L152" s="270"/>
      <c r="M152" s="15"/>
      <c r="N152" s="166">
        <v>1300</v>
      </c>
      <c r="O152" s="166" t="s">
        <v>935</v>
      </c>
      <c r="P152" s="167"/>
      <c r="Q152" s="213">
        <f>IFERROR(VLOOKUP(C152,[1]Planilha1!$C$1:$Q$65536,15,0),0)</f>
        <v>0</v>
      </c>
      <c r="R152" s="213">
        <f>IFERROR(VLOOKUP(C152,[1]Planilha1!$C$1:$R$65536,16,0),0)</f>
        <v>0</v>
      </c>
      <c r="S152" s="213">
        <f>IFERROR(VLOOKUP(C152,[1]Planilha1!$C$1:$S$65536,17,0),0)</f>
        <v>0</v>
      </c>
      <c r="T152" s="213">
        <f>IFERROR(VLOOKUP(C152,[1]Planilha1!$C$1:$T$65536,18,0),0)</f>
        <v>0</v>
      </c>
      <c r="U152" s="6"/>
      <c r="V152" s="260"/>
      <c r="W152" s="6"/>
      <c r="X152" s="218"/>
      <c r="Y152" s="6"/>
      <c r="AA152" s="6"/>
      <c r="AB152" s="6"/>
      <c r="AC152" s="7"/>
      <c r="AD152" s="6"/>
      <c r="AE152" s="6"/>
      <c r="AF152" s="6"/>
      <c r="AG152" s="7"/>
      <c r="AH152" s="213"/>
      <c r="AI152" s="213"/>
    </row>
    <row r="153" spans="1:35" x14ac:dyDescent="0.25">
      <c r="A153" s="169">
        <v>166</v>
      </c>
      <c r="B153" s="169">
        <v>1</v>
      </c>
      <c r="C153" s="170" t="s">
        <v>453</v>
      </c>
      <c r="D153" s="171" t="s">
        <v>454</v>
      </c>
      <c r="E153" s="171" t="s">
        <v>48</v>
      </c>
      <c r="F153" s="172" t="s">
        <v>455</v>
      </c>
      <c r="G153" s="173">
        <v>43069</v>
      </c>
      <c r="H153" s="172" t="s">
        <v>27</v>
      </c>
      <c r="I153" s="15"/>
      <c r="J153" s="5">
        <v>30</v>
      </c>
      <c r="K153" s="5">
        <v>0</v>
      </c>
      <c r="L153" s="270"/>
      <c r="M153" s="15"/>
      <c r="N153" s="166">
        <v>0</v>
      </c>
      <c r="O153" s="166">
        <v>4000</v>
      </c>
      <c r="P153" s="167"/>
      <c r="Q153" s="213">
        <f>IFERROR(VLOOKUP(C153,[1]Planilha1!$C$1:$Q$65536,15,0),0)</f>
        <v>0</v>
      </c>
      <c r="R153" s="213">
        <f>IFERROR(VLOOKUP(C153,[1]Planilha1!$C$1:$R$65536,16,0),0)</f>
        <v>0</v>
      </c>
      <c r="S153" s="213">
        <f>IFERROR(VLOOKUP(C153,[1]Planilha1!$C$1:$S$65536,17,0),0)</f>
        <v>0</v>
      </c>
      <c r="T153" s="213">
        <f>IFERROR(VLOOKUP(C153,[1]Planilha1!$C$1:$T$65536,18,0),0)</f>
        <v>0</v>
      </c>
      <c r="U153" s="6"/>
      <c r="V153" s="260"/>
      <c r="W153" s="6"/>
      <c r="X153" s="218"/>
      <c r="Y153" s="6"/>
      <c r="AA153" s="6"/>
      <c r="AB153" s="6"/>
      <c r="AC153" s="7"/>
      <c r="AD153" s="6"/>
      <c r="AE153" s="6"/>
      <c r="AF153" s="6"/>
      <c r="AG153" s="7"/>
      <c r="AH153" s="213"/>
      <c r="AI153" s="213"/>
    </row>
    <row r="154" spans="1:35" x14ac:dyDescent="0.25">
      <c r="A154" s="169">
        <v>166</v>
      </c>
      <c r="B154" s="169">
        <v>8</v>
      </c>
      <c r="C154" s="170" t="s">
        <v>457</v>
      </c>
      <c r="D154" s="171" t="s">
        <v>458</v>
      </c>
      <c r="E154" s="171" t="s">
        <v>25</v>
      </c>
      <c r="F154" s="172" t="s">
        <v>459</v>
      </c>
      <c r="G154" s="173">
        <v>43069</v>
      </c>
      <c r="H154" s="172" t="s">
        <v>27</v>
      </c>
      <c r="I154" s="15"/>
      <c r="J154" s="5">
        <v>30</v>
      </c>
      <c r="K154" s="5">
        <v>0</v>
      </c>
      <c r="L154" s="270"/>
      <c r="M154" s="15"/>
      <c r="N154" s="166">
        <v>1300</v>
      </c>
      <c r="O154" s="166" t="s">
        <v>935</v>
      </c>
      <c r="P154" s="167"/>
      <c r="Q154" s="213">
        <f>IFERROR(VLOOKUP(C154,[1]Planilha1!$C$1:$Q$65536,15,0),0)</f>
        <v>0</v>
      </c>
      <c r="R154" s="213">
        <f>IFERROR(VLOOKUP(C154,[1]Planilha1!$C$1:$R$65536,16,0),0)</f>
        <v>0</v>
      </c>
      <c r="S154" s="213">
        <f>IFERROR(VLOOKUP(C154,[1]Planilha1!$C$1:$S$65536,17,0),0)</f>
        <v>0</v>
      </c>
      <c r="T154" s="213">
        <f>IFERROR(VLOOKUP(C154,[1]Planilha1!$C$1:$T$65536,18,0),0)</f>
        <v>0</v>
      </c>
      <c r="U154" s="6"/>
      <c r="V154" s="260"/>
      <c r="W154" s="6"/>
      <c r="X154" s="218"/>
      <c r="Y154" s="6"/>
      <c r="AA154" s="6"/>
      <c r="AB154" s="6"/>
      <c r="AC154" s="7">
        <v>300</v>
      </c>
      <c r="AD154" s="6"/>
      <c r="AE154" s="6"/>
      <c r="AF154" s="6"/>
      <c r="AG154" s="7">
        <v>300</v>
      </c>
      <c r="AH154" s="213"/>
      <c r="AI154" s="213"/>
    </row>
    <row r="155" spans="1:35" x14ac:dyDescent="0.25">
      <c r="A155" s="169">
        <v>166</v>
      </c>
      <c r="B155" s="169">
        <v>43</v>
      </c>
      <c r="C155" s="170" t="s">
        <v>914</v>
      </c>
      <c r="D155" s="171" t="s">
        <v>915</v>
      </c>
      <c r="E155" s="171" t="s">
        <v>25</v>
      </c>
      <c r="F155" s="172" t="s">
        <v>916</v>
      </c>
      <c r="G155" s="173">
        <v>44399</v>
      </c>
      <c r="H155" s="172" t="s">
        <v>27</v>
      </c>
      <c r="I155" s="15"/>
      <c r="J155" s="5">
        <v>30</v>
      </c>
      <c r="K155" s="5">
        <v>0</v>
      </c>
      <c r="L155" s="270"/>
      <c r="M155" s="15"/>
      <c r="N155" s="166">
        <v>1300</v>
      </c>
      <c r="O155" s="166" t="s">
        <v>935</v>
      </c>
      <c r="P155" s="167"/>
      <c r="Q155" s="213">
        <f>IFERROR(VLOOKUP(C155,[1]Planilha1!$C$1:$Q$65536,15,0),0)</f>
        <v>0</v>
      </c>
      <c r="R155" s="213">
        <f>IFERROR(VLOOKUP(C155,[1]Planilha1!$C$1:$R$65536,16,0),0)</f>
        <v>90</v>
      </c>
      <c r="S155" s="213">
        <f>IFERROR(VLOOKUP(C155,[1]Planilha1!$C$1:$S$65536,17,0),0)</f>
        <v>0</v>
      </c>
      <c r="T155" s="213">
        <f>IFERROR(VLOOKUP(C155,[1]Planilha1!$C$1:$T$65536,18,0),0)</f>
        <v>0</v>
      </c>
      <c r="U155" s="6"/>
      <c r="V155" s="260"/>
      <c r="W155" s="6"/>
      <c r="X155" s="218"/>
      <c r="Y155" s="6"/>
      <c r="AA155" s="6"/>
      <c r="AB155" s="6"/>
      <c r="AC155" s="7"/>
      <c r="AD155" s="6"/>
      <c r="AE155" s="6"/>
      <c r="AF155" s="6"/>
      <c r="AG155" s="7"/>
      <c r="AH155" s="213"/>
      <c r="AI155" s="213"/>
    </row>
    <row r="156" spans="1:35" x14ac:dyDescent="0.25">
      <c r="A156" s="169">
        <v>166</v>
      </c>
      <c r="B156" s="169">
        <v>42</v>
      </c>
      <c r="C156" s="170" t="s">
        <v>911</v>
      </c>
      <c r="D156" s="171" t="s">
        <v>912</v>
      </c>
      <c r="E156" s="171" t="s">
        <v>25</v>
      </c>
      <c r="F156" s="172" t="s">
        <v>913</v>
      </c>
      <c r="G156" s="173">
        <v>44398</v>
      </c>
      <c r="H156" s="172" t="s">
        <v>27</v>
      </c>
      <c r="I156" s="15"/>
      <c r="J156" s="5">
        <v>30</v>
      </c>
      <c r="K156" s="5">
        <v>0</v>
      </c>
      <c r="L156" s="270"/>
      <c r="M156" s="15"/>
      <c r="N156" s="166">
        <v>1300</v>
      </c>
      <c r="O156" s="166" t="s">
        <v>935</v>
      </c>
      <c r="P156" s="167"/>
      <c r="Q156" s="213">
        <f>IFERROR(VLOOKUP(C156,[1]Planilha1!$C$1:$Q$65536,15,0),0)</f>
        <v>0</v>
      </c>
      <c r="R156" s="213">
        <f>IFERROR(VLOOKUP(C156,[1]Planilha1!$C$1:$R$65536,16,0),0)</f>
        <v>110</v>
      </c>
      <c r="S156" s="213">
        <f>IFERROR(VLOOKUP(C156,[1]Planilha1!$C$1:$S$65536,17,0),0)</f>
        <v>0</v>
      </c>
      <c r="T156" s="213">
        <f>IFERROR(VLOOKUP(C156,[1]Planilha1!$C$1:$T$65536,18,0),0)</f>
        <v>0</v>
      </c>
      <c r="U156" s="6"/>
      <c r="V156" s="260"/>
      <c r="W156" s="6"/>
      <c r="X156" s="218"/>
      <c r="Y156" s="6"/>
      <c r="AA156" s="6"/>
      <c r="AB156" s="6"/>
      <c r="AC156" s="7"/>
      <c r="AD156" s="6"/>
      <c r="AE156" s="6"/>
      <c r="AF156" s="6"/>
      <c r="AG156" s="7"/>
      <c r="AH156" s="213"/>
      <c r="AI156" s="213"/>
    </row>
    <row r="157" spans="1:35" x14ac:dyDescent="0.25">
      <c r="A157" s="169">
        <v>169</v>
      </c>
      <c r="B157" s="169">
        <v>35</v>
      </c>
      <c r="C157" s="170" t="s">
        <v>460</v>
      </c>
      <c r="D157" s="171" t="s">
        <v>461</v>
      </c>
      <c r="E157" s="171" t="s">
        <v>30</v>
      </c>
      <c r="F157" s="172" t="s">
        <v>462</v>
      </c>
      <c r="G157" s="173">
        <v>44035</v>
      </c>
      <c r="H157" s="172" t="s">
        <v>27</v>
      </c>
      <c r="I157" s="15"/>
      <c r="J157" s="5">
        <v>30</v>
      </c>
      <c r="K157" s="5">
        <v>0</v>
      </c>
      <c r="L157" s="270"/>
      <c r="M157" s="15"/>
      <c r="N157" s="166">
        <v>1314</v>
      </c>
      <c r="O157" s="166"/>
      <c r="P157" s="167">
        <v>262.8</v>
      </c>
      <c r="Q157" s="213">
        <f>IFERROR(VLOOKUP(C157,[1]Planilha1!$C$1:$Q$65536,15,0),0)</f>
        <v>0</v>
      </c>
      <c r="R157" s="213">
        <f>IFERROR(VLOOKUP(C157,[1]Planilha1!$C$1:$R$65536,16,0),0)</f>
        <v>0</v>
      </c>
      <c r="S157" s="152" t="str">
        <f>IFERROR(VLOOKUP(C157,'[2]Base 06-2021'!$C$1:$T$65536,17,0),0)</f>
        <v>Fretado</v>
      </c>
      <c r="T157" s="213">
        <f>IFERROR(VLOOKUP(C157,[1]Planilha1!$C$1:$T$65536,18,0),0)</f>
        <v>0</v>
      </c>
      <c r="U157" s="6"/>
      <c r="V157" s="260"/>
      <c r="W157" s="6"/>
      <c r="X157" s="218"/>
      <c r="Y157" s="6"/>
      <c r="AA157" s="6"/>
      <c r="AB157" s="6"/>
      <c r="AC157" s="7"/>
      <c r="AD157" s="6"/>
      <c r="AE157" s="6"/>
      <c r="AF157" s="6"/>
      <c r="AG157" s="7"/>
      <c r="AH157" s="213"/>
      <c r="AI157" s="213"/>
    </row>
    <row r="158" spans="1:35" x14ac:dyDescent="0.25">
      <c r="A158" s="169">
        <v>169</v>
      </c>
      <c r="B158" s="169">
        <v>39</v>
      </c>
      <c r="C158" s="170" t="s">
        <v>463</v>
      </c>
      <c r="D158" s="171" t="s">
        <v>464</v>
      </c>
      <c r="E158" s="171" t="s">
        <v>30</v>
      </c>
      <c r="F158" s="172" t="s">
        <v>465</v>
      </c>
      <c r="G158" s="173">
        <v>44152</v>
      </c>
      <c r="H158" s="172" t="s">
        <v>27</v>
      </c>
      <c r="I158" s="15"/>
      <c r="J158" s="5">
        <v>30</v>
      </c>
      <c r="K158" s="5">
        <v>0</v>
      </c>
      <c r="L158" s="270"/>
      <c r="M158" s="15"/>
      <c r="N158" s="166">
        <v>1314</v>
      </c>
      <c r="O158" s="166"/>
      <c r="P158" s="167">
        <v>262.8</v>
      </c>
      <c r="Q158" s="213">
        <f>IFERROR(VLOOKUP(C158,[1]Planilha1!$C$1:$Q$65536,15,0),0)</f>
        <v>0</v>
      </c>
      <c r="R158" s="213">
        <f>IFERROR(VLOOKUP(C158,[1]Planilha1!$C$1:$R$65536,16,0),0)</f>
        <v>0</v>
      </c>
      <c r="S158" s="213">
        <f>IFERROR(VLOOKUP(C158,[1]Planilha1!$C$1:$S$65536,17,0),0)</f>
        <v>0</v>
      </c>
      <c r="T158" s="213">
        <f>IFERROR(VLOOKUP(C158,[1]Planilha1!$C$1:$T$65536,18,0),0)</f>
        <v>0</v>
      </c>
      <c r="U158" s="6"/>
      <c r="V158" s="260"/>
      <c r="W158" s="6"/>
      <c r="X158" s="218"/>
      <c r="Y158" s="6"/>
      <c r="AA158" s="6"/>
      <c r="AB158" s="6"/>
      <c r="AC158" s="7"/>
      <c r="AD158" s="6"/>
      <c r="AE158" s="6"/>
      <c r="AF158" s="6"/>
      <c r="AG158" s="7"/>
      <c r="AH158" s="213"/>
      <c r="AI158" s="213"/>
    </row>
    <row r="159" spans="1:35" x14ac:dyDescent="0.25">
      <c r="A159" s="169">
        <v>169</v>
      </c>
      <c r="B159" s="169">
        <v>16</v>
      </c>
      <c r="C159" s="170" t="s">
        <v>466</v>
      </c>
      <c r="D159" s="171" t="s">
        <v>467</v>
      </c>
      <c r="E159" s="171" t="s">
        <v>48</v>
      </c>
      <c r="F159" s="172" t="s">
        <v>468</v>
      </c>
      <c r="G159" s="173">
        <v>42626</v>
      </c>
      <c r="H159" s="172" t="s">
        <v>27</v>
      </c>
      <c r="I159" s="15"/>
      <c r="J159" s="5">
        <v>30</v>
      </c>
      <c r="K159" s="5">
        <v>0</v>
      </c>
      <c r="L159" s="270"/>
      <c r="M159" s="15"/>
      <c r="N159" s="166">
        <v>0</v>
      </c>
      <c r="O159" s="166">
        <v>5665</v>
      </c>
      <c r="P159" s="167"/>
      <c r="Q159" s="213">
        <f>IFERROR(VLOOKUP(C159,[1]Planilha1!$C$1:$Q$65536,15,0),0)</f>
        <v>0</v>
      </c>
      <c r="R159" s="213">
        <f>IFERROR(VLOOKUP(C159,[1]Planilha1!$C$1:$R$65536,16,0),0)</f>
        <v>0</v>
      </c>
      <c r="S159" s="213">
        <f>IFERROR(VLOOKUP(C159,[1]Planilha1!$C$1:$S$65536,17,0),0)</f>
        <v>0</v>
      </c>
      <c r="T159" s="213">
        <f>IFERROR(VLOOKUP(C159,[1]Planilha1!$C$1:$T$65536,18,0),0)</f>
        <v>0</v>
      </c>
      <c r="U159" s="6"/>
      <c r="V159" s="260"/>
      <c r="W159" s="6"/>
      <c r="X159" s="218"/>
      <c r="Y159" s="6"/>
      <c r="AA159" s="6"/>
      <c r="AB159" s="6"/>
      <c r="AC159" s="7"/>
      <c r="AD159" s="6"/>
      <c r="AE159" s="6"/>
      <c r="AF159" s="6"/>
      <c r="AG159" s="7"/>
      <c r="AH159" s="213"/>
      <c r="AI159" s="213"/>
    </row>
    <row r="160" spans="1:35" x14ac:dyDescent="0.25">
      <c r="A160" s="169">
        <v>169</v>
      </c>
      <c r="B160" s="169">
        <v>31</v>
      </c>
      <c r="C160" s="170" t="s">
        <v>469</v>
      </c>
      <c r="D160" s="171" t="s">
        <v>470</v>
      </c>
      <c r="E160" s="171" t="s">
        <v>25</v>
      </c>
      <c r="F160" s="172" t="s">
        <v>471</v>
      </c>
      <c r="G160" s="173">
        <v>43781</v>
      </c>
      <c r="H160" s="172" t="s">
        <v>27</v>
      </c>
      <c r="I160" s="15"/>
      <c r="J160" s="5">
        <v>30</v>
      </c>
      <c r="K160" s="5">
        <v>0</v>
      </c>
      <c r="L160" s="270"/>
      <c r="M160" s="15"/>
      <c r="N160" s="166">
        <v>0</v>
      </c>
      <c r="O160" s="166">
        <v>1314</v>
      </c>
      <c r="P160" s="167"/>
      <c r="Q160" s="213">
        <f>IFERROR(VLOOKUP(C160,[1]Planilha1!$C$1:$Q$65536,15,0),0)</f>
        <v>0</v>
      </c>
      <c r="R160" s="213">
        <f>IFERROR(VLOOKUP(C160,[1]Planilha1!$C$1:$R$65536,16,0),0)</f>
        <v>0</v>
      </c>
      <c r="S160" s="213">
        <f>IFERROR(VLOOKUP(C160,[1]Planilha1!$C$1:$S$65536,17,0),0)</f>
        <v>0</v>
      </c>
      <c r="T160" s="213">
        <f>IFERROR(VLOOKUP(C160,[1]Planilha1!$C$1:$T$65536,18,0),0)</f>
        <v>0</v>
      </c>
      <c r="U160" s="6"/>
      <c r="V160" s="260"/>
      <c r="W160" s="6"/>
      <c r="X160" s="218"/>
      <c r="Y160" s="6"/>
      <c r="AA160" s="6"/>
      <c r="AB160" s="6"/>
      <c r="AC160" s="7"/>
      <c r="AD160" s="6"/>
      <c r="AE160" s="6"/>
      <c r="AF160" s="6"/>
      <c r="AG160" s="7"/>
      <c r="AH160" s="213"/>
      <c r="AI160" s="213"/>
    </row>
    <row r="161" spans="1:36" x14ac:dyDescent="0.25">
      <c r="A161" s="169">
        <v>169</v>
      </c>
      <c r="B161" s="169">
        <v>7</v>
      </c>
      <c r="C161" s="170" t="s">
        <v>472</v>
      </c>
      <c r="D161" s="171" t="s">
        <v>473</v>
      </c>
      <c r="E161" s="171" t="s">
        <v>25</v>
      </c>
      <c r="F161" s="172" t="s">
        <v>474</v>
      </c>
      <c r="G161" s="173">
        <v>43442</v>
      </c>
      <c r="H161" s="172" t="s">
        <v>27</v>
      </c>
      <c r="I161" s="15"/>
      <c r="J161" s="5">
        <v>30</v>
      </c>
      <c r="K161" s="5">
        <v>0</v>
      </c>
      <c r="L161" s="270"/>
      <c r="M161" s="15"/>
      <c r="N161" s="166">
        <v>0</v>
      </c>
      <c r="O161" s="166">
        <v>1314</v>
      </c>
      <c r="P161" s="167"/>
      <c r="Q161" s="213">
        <f>IFERROR(VLOOKUP(C161,[1]Planilha1!$C$1:$Q$65536,15,0),0)</f>
        <v>0</v>
      </c>
      <c r="R161" s="213">
        <f>IFERROR(VLOOKUP(C161,[1]Planilha1!$C$1:$R$65536,16,0),0)</f>
        <v>0</v>
      </c>
      <c r="S161" s="213">
        <f>IFERROR(VLOOKUP(C161,[1]Planilha1!$C$1:$S$65536,17,0),0)</f>
        <v>0</v>
      </c>
      <c r="T161" s="213">
        <f>IFERROR(VLOOKUP(C161,[1]Planilha1!$C$1:$T$65536,18,0),0)</f>
        <v>0</v>
      </c>
      <c r="U161" s="6"/>
      <c r="V161" s="260"/>
      <c r="W161" s="6"/>
      <c r="X161" s="218"/>
      <c r="Y161" s="6"/>
      <c r="AA161" s="6"/>
      <c r="AB161" s="6"/>
      <c r="AC161" s="7"/>
      <c r="AD161" s="6"/>
      <c r="AE161" s="6"/>
      <c r="AF161" s="6"/>
      <c r="AG161" s="7"/>
      <c r="AH161" s="213"/>
      <c r="AI161" s="213"/>
    </row>
    <row r="162" spans="1:36" s="162" customFormat="1" x14ac:dyDescent="0.25">
      <c r="A162" s="169">
        <v>169</v>
      </c>
      <c r="B162" s="169">
        <v>41</v>
      </c>
      <c r="C162" s="170" t="s">
        <v>475</v>
      </c>
      <c r="D162" s="171" t="s">
        <v>476</v>
      </c>
      <c r="E162" s="171" t="s">
        <v>25</v>
      </c>
      <c r="F162" s="172" t="s">
        <v>477</v>
      </c>
      <c r="G162" s="173">
        <v>44221</v>
      </c>
      <c r="H162" s="172" t="s">
        <v>27</v>
      </c>
      <c r="I162" s="15"/>
      <c r="J162" s="5">
        <v>30</v>
      </c>
      <c r="K162" s="5">
        <v>0</v>
      </c>
      <c r="L162" s="270"/>
      <c r="M162" s="15"/>
      <c r="N162" s="166">
        <v>0</v>
      </c>
      <c r="O162" s="166">
        <v>1314</v>
      </c>
      <c r="P162" s="167"/>
      <c r="Q162" s="213">
        <f>IFERROR(VLOOKUP(C162,[1]Planilha1!$C$1:$Q$65536,15,0),0)</f>
        <v>0</v>
      </c>
      <c r="R162" s="213">
        <f>IFERROR(VLOOKUP(C162,[1]Planilha1!$C$1:$R$65536,16,0),0)</f>
        <v>0</v>
      </c>
      <c r="S162" s="213">
        <f>IFERROR(VLOOKUP(C162,[1]Planilha1!$C$1:$S$65536,17,0),0)</f>
        <v>0</v>
      </c>
      <c r="T162" s="213">
        <f>IFERROR(VLOOKUP(C162,[1]Planilha1!$C$1:$T$65536,18,0),0)</f>
        <v>0</v>
      </c>
      <c r="U162" s="6"/>
      <c r="V162" s="260"/>
      <c r="W162" s="6"/>
      <c r="X162" s="218"/>
      <c r="Y162" s="6"/>
      <c r="Z162" s="16"/>
      <c r="AA162" s="6"/>
      <c r="AB162" s="6"/>
      <c r="AC162" s="7"/>
      <c r="AD162" s="6"/>
      <c r="AE162" s="6"/>
      <c r="AF162" s="6"/>
      <c r="AG162" s="7"/>
      <c r="AH162" s="213"/>
      <c r="AI162" s="213"/>
      <c r="AJ162" s="16"/>
    </row>
    <row r="163" spans="1:36" x14ac:dyDescent="0.25">
      <c r="A163" s="169">
        <v>169</v>
      </c>
      <c r="B163" s="169">
        <v>37</v>
      </c>
      <c r="C163" s="170" t="s">
        <v>478</v>
      </c>
      <c r="D163" s="171" t="s">
        <v>479</v>
      </c>
      <c r="E163" s="171" t="s">
        <v>25</v>
      </c>
      <c r="F163" s="172" t="s">
        <v>480</v>
      </c>
      <c r="G163" s="173">
        <v>44095</v>
      </c>
      <c r="H163" s="172" t="s">
        <v>27</v>
      </c>
      <c r="I163" s="15"/>
      <c r="J163" s="5">
        <v>30</v>
      </c>
      <c r="K163" s="5">
        <v>0</v>
      </c>
      <c r="L163" s="270"/>
      <c r="M163" s="15"/>
      <c r="N163" s="166">
        <v>0</v>
      </c>
      <c r="O163" s="166">
        <v>1314</v>
      </c>
      <c r="P163" s="167"/>
      <c r="Q163" s="213">
        <f>IFERROR(VLOOKUP(C163,[1]Planilha1!$C$1:$Q$65536,15,0),0)</f>
        <v>0</v>
      </c>
      <c r="R163" s="213">
        <f>IFERROR(VLOOKUP(C163,[1]Planilha1!$C$1:$R$65536,16,0),0)</f>
        <v>0</v>
      </c>
      <c r="S163" s="213">
        <f>IFERROR(VLOOKUP(C163,[1]Planilha1!$C$1:$S$65536,17,0),0)</f>
        <v>0</v>
      </c>
      <c r="T163" s="213">
        <f>IFERROR(VLOOKUP(C163,[1]Planilha1!$C$1:$T$65536,18,0),0)</f>
        <v>0</v>
      </c>
      <c r="U163" s="6"/>
      <c r="V163" s="260"/>
      <c r="W163" s="6"/>
      <c r="X163" s="218"/>
      <c r="Y163" s="6"/>
      <c r="AA163" s="6"/>
      <c r="AB163" s="6"/>
      <c r="AC163" s="7">
        <v>400</v>
      </c>
      <c r="AD163" s="6"/>
      <c r="AE163" s="6"/>
      <c r="AF163" s="6"/>
      <c r="AG163" s="7">
        <v>400</v>
      </c>
      <c r="AH163" s="213"/>
      <c r="AI163" s="213"/>
    </row>
    <row r="164" spans="1:36" x14ac:dyDescent="0.25">
      <c r="A164" s="169">
        <v>169</v>
      </c>
      <c r="B164" s="169">
        <v>38</v>
      </c>
      <c r="C164" s="170" t="s">
        <v>481</v>
      </c>
      <c r="D164" s="171" t="s">
        <v>482</v>
      </c>
      <c r="E164" s="171" t="s">
        <v>25</v>
      </c>
      <c r="F164" s="172" t="s">
        <v>483</v>
      </c>
      <c r="G164" s="173">
        <v>44153</v>
      </c>
      <c r="H164" s="172" t="s">
        <v>27</v>
      </c>
      <c r="I164" s="15"/>
      <c r="J164" s="5">
        <v>30</v>
      </c>
      <c r="K164" s="5">
        <v>0</v>
      </c>
      <c r="L164" s="270"/>
      <c r="M164" s="15"/>
      <c r="N164" s="166">
        <v>0</v>
      </c>
      <c r="O164" s="166">
        <v>1314</v>
      </c>
      <c r="P164" s="167"/>
      <c r="Q164" s="213">
        <f>IFERROR(VLOOKUP(C164,[1]Planilha1!$C$1:$Q$65536,15,0),0)</f>
        <v>0</v>
      </c>
      <c r="R164" s="213">
        <f>IFERROR(VLOOKUP(C164,[1]Planilha1!$C$1:$R$65536,16,0),0)</f>
        <v>0</v>
      </c>
      <c r="S164" s="213">
        <f>IFERROR(VLOOKUP(C164,[1]Planilha1!$C$1:$S$65536,17,0),0)</f>
        <v>0</v>
      </c>
      <c r="T164" s="213">
        <f>IFERROR(VLOOKUP(C164,[1]Planilha1!$C$1:$T$65536,18,0),0)</f>
        <v>0</v>
      </c>
      <c r="U164" s="6"/>
      <c r="V164" s="260"/>
      <c r="W164" s="6"/>
      <c r="X164" s="222"/>
      <c r="Y164" s="6"/>
      <c r="AA164" s="6"/>
      <c r="AB164" s="6"/>
      <c r="AC164" s="7"/>
      <c r="AD164" s="6"/>
      <c r="AE164" s="6"/>
      <c r="AF164" s="6"/>
      <c r="AG164" s="7"/>
      <c r="AH164" s="215"/>
      <c r="AI164" s="213"/>
      <c r="AJ164" s="162"/>
    </row>
    <row r="165" spans="1:36" x14ac:dyDescent="0.25">
      <c r="A165" s="169">
        <v>169</v>
      </c>
      <c r="B165" s="169">
        <v>1</v>
      </c>
      <c r="C165" s="170" t="s">
        <v>484</v>
      </c>
      <c r="D165" s="171" t="s">
        <v>485</v>
      </c>
      <c r="E165" s="171" t="s">
        <v>25</v>
      </c>
      <c r="F165" s="172" t="s">
        <v>486</v>
      </c>
      <c r="G165" s="173">
        <v>43442</v>
      </c>
      <c r="H165" s="172" t="s">
        <v>27</v>
      </c>
      <c r="I165" s="15"/>
      <c r="J165" s="5">
        <v>30</v>
      </c>
      <c r="K165" s="5">
        <v>0</v>
      </c>
      <c r="L165" s="270"/>
      <c r="M165" s="15"/>
      <c r="N165" s="166">
        <v>0</v>
      </c>
      <c r="O165" s="166">
        <v>1314</v>
      </c>
      <c r="P165" s="167"/>
      <c r="Q165" s="213">
        <f>IFERROR(VLOOKUP(C165,[1]Planilha1!$C$1:$Q$65536,15,0),0)</f>
        <v>0</v>
      </c>
      <c r="R165" s="213">
        <f>IFERROR(VLOOKUP(C165,[1]Planilha1!$C$1:$R$65536,16,0),0)</f>
        <v>0</v>
      </c>
      <c r="S165" s="213">
        <f>IFERROR(VLOOKUP(C165,[1]Planilha1!$C$1:$S$65536,17,0),0)</f>
        <v>0</v>
      </c>
      <c r="T165" s="213">
        <f>IFERROR(VLOOKUP(C165,[1]Planilha1!$C$1:$T$65536,18,0),0)</f>
        <v>0</v>
      </c>
      <c r="U165" s="6"/>
      <c r="V165" s="260"/>
      <c r="W165" s="6"/>
      <c r="X165" s="218"/>
      <c r="Y165" s="6"/>
      <c r="AA165" s="6"/>
      <c r="AB165" s="6"/>
      <c r="AC165" s="7">
        <v>400</v>
      </c>
      <c r="AD165" s="6"/>
      <c r="AE165" s="6"/>
      <c r="AF165" s="6"/>
      <c r="AG165" s="7">
        <v>400</v>
      </c>
      <c r="AH165" s="213"/>
      <c r="AI165" s="213"/>
    </row>
    <row r="166" spans="1:36" x14ac:dyDescent="0.25">
      <c r="A166" s="169">
        <v>173</v>
      </c>
      <c r="B166" s="169">
        <v>26</v>
      </c>
      <c r="C166" s="170" t="s">
        <v>490</v>
      </c>
      <c r="D166" s="171" t="s">
        <v>491</v>
      </c>
      <c r="E166" s="171" t="s">
        <v>25</v>
      </c>
      <c r="F166" s="172" t="s">
        <v>492</v>
      </c>
      <c r="G166" s="173">
        <v>43791</v>
      </c>
      <c r="H166" s="172" t="s">
        <v>27</v>
      </c>
      <c r="I166" s="15"/>
      <c r="J166" s="5">
        <v>30</v>
      </c>
      <c r="K166" s="5">
        <v>0</v>
      </c>
      <c r="L166" s="270"/>
      <c r="M166" s="15"/>
      <c r="N166" s="166">
        <v>0</v>
      </c>
      <c r="O166" s="166">
        <v>1713</v>
      </c>
      <c r="P166" s="167"/>
      <c r="Q166" s="213">
        <f>IFERROR(VLOOKUP(C166,[1]Planilha1!$C$1:$Q$65536,15,0),0)</f>
        <v>0</v>
      </c>
      <c r="R166" s="213">
        <f>IFERROR(VLOOKUP(C166,[1]Planilha1!$C$1:$R$65536,16,0),0)</f>
        <v>0</v>
      </c>
      <c r="S166" s="213">
        <f>IFERROR(VLOOKUP(C166,[1]Planilha1!$C$1:$S$65536,17,0),0)</f>
        <v>384.8</v>
      </c>
      <c r="T166" s="213">
        <f>IFERROR(VLOOKUP(C166,[1]Planilha1!$C$1:$T$65536,18,0),0)</f>
        <v>0</v>
      </c>
      <c r="U166" s="6"/>
      <c r="V166" s="260"/>
      <c r="W166" s="6"/>
      <c r="X166" s="218"/>
      <c r="Y166" s="6"/>
      <c r="AA166" s="6"/>
      <c r="AB166" s="6"/>
      <c r="AC166" s="7">
        <v>200</v>
      </c>
      <c r="AD166" s="6"/>
      <c r="AE166" s="6"/>
      <c r="AF166" s="6"/>
      <c r="AG166" s="7">
        <v>400</v>
      </c>
      <c r="AH166" s="213"/>
      <c r="AI166" s="213"/>
    </row>
    <row r="167" spans="1:36" x14ac:dyDescent="0.25">
      <c r="A167" s="169">
        <v>173</v>
      </c>
      <c r="B167" s="169">
        <v>30</v>
      </c>
      <c r="C167" s="170" t="s">
        <v>493</v>
      </c>
      <c r="D167" s="171" t="s">
        <v>494</v>
      </c>
      <c r="E167" s="171" t="s">
        <v>30</v>
      </c>
      <c r="F167" s="172" t="s">
        <v>495</v>
      </c>
      <c r="G167" s="173">
        <v>43791</v>
      </c>
      <c r="H167" s="172" t="s">
        <v>27</v>
      </c>
      <c r="I167" s="15"/>
      <c r="J167" s="5">
        <v>-30</v>
      </c>
      <c r="K167" s="5">
        <v>30</v>
      </c>
      <c r="L167" s="270"/>
      <c r="M167" s="15"/>
      <c r="N167" s="166">
        <v>1447</v>
      </c>
      <c r="O167" s="166"/>
      <c r="P167" s="167">
        <v>80</v>
      </c>
      <c r="Q167" s="213">
        <f>IFERROR(VLOOKUP(C167,[1]Planilha1!$C$1:$Q$65536,15,0),0)</f>
        <v>0</v>
      </c>
      <c r="R167" s="213">
        <f>IFERROR(VLOOKUP(C167,[1]Planilha1!$C$1:$R$65536,16,0),0)</f>
        <v>0</v>
      </c>
      <c r="S167" s="213">
        <f>IFERROR(VLOOKUP(C167,[1]Planilha1!$C$1:$S$65536,17,0),0)</f>
        <v>0</v>
      </c>
      <c r="T167" s="213">
        <f>IFERROR(VLOOKUP(C167,[1]Planilha1!$C$1:$T$65536,18,0),0)</f>
        <v>0</v>
      </c>
      <c r="U167" s="6"/>
      <c r="V167" s="260"/>
      <c r="W167" s="6"/>
      <c r="X167" s="218"/>
      <c r="Y167" s="6"/>
      <c r="AA167" s="6"/>
      <c r="AB167" s="6"/>
      <c r="AC167" s="7"/>
      <c r="AD167" s="6"/>
      <c r="AE167" s="6"/>
      <c r="AF167" s="6"/>
      <c r="AG167" s="7"/>
      <c r="AH167" s="213"/>
      <c r="AI167" s="213"/>
    </row>
    <row r="168" spans="1:36" x14ac:dyDescent="0.25">
      <c r="A168" s="169">
        <v>173</v>
      </c>
      <c r="B168" s="169">
        <v>38</v>
      </c>
      <c r="C168" s="170" t="s">
        <v>502</v>
      </c>
      <c r="D168" s="171" t="s">
        <v>503</v>
      </c>
      <c r="E168" s="171" t="s">
        <v>25</v>
      </c>
      <c r="F168" s="172" t="s">
        <v>504</v>
      </c>
      <c r="G168" s="173">
        <v>44152</v>
      </c>
      <c r="H168" s="172" t="s">
        <v>27</v>
      </c>
      <c r="I168" s="15"/>
      <c r="J168" s="5">
        <v>30</v>
      </c>
      <c r="K168" s="5">
        <v>0</v>
      </c>
      <c r="L168" s="270"/>
      <c r="M168" s="15"/>
      <c r="N168" s="166">
        <v>0</v>
      </c>
      <c r="O168" s="166">
        <v>1713</v>
      </c>
      <c r="P168" s="167"/>
      <c r="Q168" s="213">
        <f>IFERROR(VLOOKUP(C168,[1]Planilha1!$C$1:$Q$65536,15,0),0)</f>
        <v>0</v>
      </c>
      <c r="R168" s="213">
        <f>IFERROR(VLOOKUP(C168,[1]Planilha1!$C$1:$R$65536,16,0),0)</f>
        <v>0</v>
      </c>
      <c r="S168" s="213">
        <f>IFERROR(VLOOKUP(C168,[1]Planilha1!$C$1:$S$65536,17,0),0)</f>
        <v>234</v>
      </c>
      <c r="T168" s="213">
        <f>IFERROR(VLOOKUP(C168,[1]Planilha1!$C$1:$T$65536,18,0),0)</f>
        <v>0</v>
      </c>
      <c r="U168" s="6"/>
      <c r="V168" s="260"/>
      <c r="W168" s="6"/>
      <c r="X168" s="218"/>
      <c r="Y168" s="6"/>
      <c r="AA168" s="6"/>
      <c r="AB168" s="6"/>
      <c r="AC168" s="7"/>
      <c r="AD168" s="6"/>
      <c r="AE168" s="6"/>
      <c r="AF168" s="6"/>
      <c r="AG168" s="7"/>
      <c r="AH168" s="213"/>
      <c r="AI168" s="213"/>
    </row>
    <row r="169" spans="1:36" x14ac:dyDescent="0.25">
      <c r="A169" s="169">
        <v>173</v>
      </c>
      <c r="B169" s="169">
        <v>5</v>
      </c>
      <c r="C169" s="170" t="s">
        <v>487</v>
      </c>
      <c r="D169" s="171" t="s">
        <v>488</v>
      </c>
      <c r="E169" s="171" t="s">
        <v>25</v>
      </c>
      <c r="F169" s="172" t="s">
        <v>489</v>
      </c>
      <c r="G169" s="173">
        <v>43427</v>
      </c>
      <c r="H169" s="172" t="s">
        <v>36</v>
      </c>
      <c r="I169" s="15"/>
      <c r="J169" s="5">
        <v>30</v>
      </c>
      <c r="K169" s="5">
        <v>0</v>
      </c>
      <c r="L169" s="270"/>
      <c r="M169" s="15"/>
      <c r="N169" s="166">
        <v>0</v>
      </c>
      <c r="O169" s="166"/>
      <c r="P169" s="167"/>
      <c r="Q169" s="213">
        <f>IFERROR(VLOOKUP(C169,[1]Planilha1!$C$1:$Q$65536,15,0),0)</f>
        <v>0</v>
      </c>
      <c r="R169" s="213">
        <f>IFERROR(VLOOKUP(C169,[1]Planilha1!$C$1:$R$65536,16,0),0)</f>
        <v>0</v>
      </c>
      <c r="S169" s="213">
        <f>IFERROR(VLOOKUP(C169,[1]Planilha1!$C$1:$S$65536,17,0),0)</f>
        <v>0</v>
      </c>
      <c r="T169" s="213">
        <f>IFERROR(VLOOKUP(C169,[1]Planilha1!$C$1:$T$65536,18,0),0)</f>
        <v>0</v>
      </c>
      <c r="U169" s="6"/>
      <c r="V169" s="260"/>
      <c r="W169" s="6"/>
      <c r="X169" s="218"/>
      <c r="Y169" s="6"/>
      <c r="AA169" s="6"/>
      <c r="AB169" s="6"/>
      <c r="AC169" s="7"/>
      <c r="AD169" s="6"/>
      <c r="AE169" s="6"/>
      <c r="AF169" s="6"/>
      <c r="AG169" s="7"/>
      <c r="AH169" s="213"/>
      <c r="AI169" s="213"/>
    </row>
    <row r="170" spans="1:36" x14ac:dyDescent="0.25">
      <c r="A170" s="169">
        <v>173</v>
      </c>
      <c r="B170" s="169">
        <v>42</v>
      </c>
      <c r="C170" s="170" t="s">
        <v>917</v>
      </c>
      <c r="D170" s="171" t="s">
        <v>918</v>
      </c>
      <c r="E170" s="171" t="s">
        <v>25</v>
      </c>
      <c r="F170" s="172" t="s">
        <v>919</v>
      </c>
      <c r="G170" s="173">
        <v>44384</v>
      </c>
      <c r="H170" s="172" t="s">
        <v>27</v>
      </c>
      <c r="I170" s="15"/>
      <c r="J170" s="5">
        <v>30</v>
      </c>
      <c r="K170" s="5">
        <v>0</v>
      </c>
      <c r="L170" s="270"/>
      <c r="M170" s="15"/>
      <c r="N170" s="166">
        <v>0</v>
      </c>
      <c r="O170" s="166">
        <v>1713</v>
      </c>
      <c r="P170" s="167"/>
      <c r="Q170" s="213">
        <f>IFERROR(VLOOKUP(C170,[1]Planilha1!$C$1:$Q$65536,15,0),0)</f>
        <v>0</v>
      </c>
      <c r="R170" s="213">
        <f>IFERROR(VLOOKUP(C170,[1]Planilha1!$C$1:$R$65536,16,0),0)</f>
        <v>34</v>
      </c>
      <c r="S170" s="213">
        <f>IFERROR(VLOOKUP(C170,[1]Planilha1!$C$1:$S$65536,17,0),0)</f>
        <v>0</v>
      </c>
      <c r="T170" s="213">
        <f>IFERROR(VLOOKUP(C170,[1]Planilha1!$C$1:$T$65536,18,0),0)</f>
        <v>0</v>
      </c>
      <c r="U170" s="6"/>
      <c r="V170" s="260"/>
      <c r="W170" s="6"/>
      <c r="X170" s="218"/>
      <c r="Y170" s="6"/>
      <c r="AA170" s="6"/>
      <c r="AB170" s="6"/>
      <c r="AC170" s="7"/>
      <c r="AD170" s="6"/>
      <c r="AE170" s="6"/>
      <c r="AF170" s="6"/>
      <c r="AG170" s="7"/>
      <c r="AH170" s="213"/>
      <c r="AI170" s="213"/>
    </row>
    <row r="171" spans="1:36" x14ac:dyDescent="0.25">
      <c r="A171" s="169">
        <v>173</v>
      </c>
      <c r="B171" s="169">
        <v>34</v>
      </c>
      <c r="C171" s="170" t="s">
        <v>496</v>
      </c>
      <c r="D171" s="171" t="s">
        <v>497</v>
      </c>
      <c r="E171" s="171" t="s">
        <v>25</v>
      </c>
      <c r="F171" s="172" t="s">
        <v>498</v>
      </c>
      <c r="G171" s="173">
        <v>43899</v>
      </c>
      <c r="H171" s="172" t="s">
        <v>27</v>
      </c>
      <c r="I171" s="15"/>
      <c r="J171" s="5">
        <v>30</v>
      </c>
      <c r="K171" s="5">
        <v>0</v>
      </c>
      <c r="L171" s="270"/>
      <c r="M171" s="15"/>
      <c r="N171" s="166">
        <v>0</v>
      </c>
      <c r="O171" s="166">
        <v>1713</v>
      </c>
      <c r="P171" s="167"/>
      <c r="Q171" s="213">
        <f>IFERROR(VLOOKUP(C171,[1]Planilha1!$C$1:$Q$65536,15,0),0)</f>
        <v>0</v>
      </c>
      <c r="R171" s="213">
        <f>IFERROR(VLOOKUP(C171,[1]Planilha1!$C$1:$R$65536,16,0),0)</f>
        <v>0</v>
      </c>
      <c r="S171" s="213">
        <f>IFERROR(VLOOKUP(C171,[1]Planilha1!$C$1:$S$65536,17,0),0)</f>
        <v>620.36</v>
      </c>
      <c r="T171" s="213">
        <f>IFERROR(VLOOKUP(C171,[1]Planilha1!$C$1:$T$65536,18,0),0)</f>
        <v>0</v>
      </c>
      <c r="U171" s="6"/>
      <c r="V171" s="260"/>
      <c r="W171" s="6"/>
      <c r="X171" s="218"/>
      <c r="Y171" s="6"/>
      <c r="AA171" s="6"/>
      <c r="AB171" s="6"/>
      <c r="AC171" s="7"/>
      <c r="AD171" s="6"/>
      <c r="AE171" s="6"/>
      <c r="AF171" s="6"/>
      <c r="AG171" s="7"/>
      <c r="AH171" s="213"/>
      <c r="AI171" s="213"/>
    </row>
    <row r="172" spans="1:36" x14ac:dyDescent="0.25">
      <c r="A172" s="169">
        <v>173</v>
      </c>
      <c r="B172" s="169">
        <v>35</v>
      </c>
      <c r="C172" s="170" t="s">
        <v>499</v>
      </c>
      <c r="D172" s="171" t="s">
        <v>500</v>
      </c>
      <c r="E172" s="171" t="s">
        <v>48</v>
      </c>
      <c r="F172" s="172" t="s">
        <v>501</v>
      </c>
      <c r="G172" s="173">
        <v>42531</v>
      </c>
      <c r="H172" s="172" t="s">
        <v>27</v>
      </c>
      <c r="I172" s="15"/>
      <c r="J172" s="5">
        <v>30</v>
      </c>
      <c r="K172" s="5">
        <v>0</v>
      </c>
      <c r="L172" s="270"/>
      <c r="M172" s="15"/>
      <c r="N172" s="166">
        <v>0</v>
      </c>
      <c r="O172" s="166">
        <v>4500</v>
      </c>
      <c r="P172" s="167"/>
      <c r="Q172" s="213">
        <f>IFERROR(VLOOKUP(C172,[1]Planilha1!$C$1:$Q$65536,15,0),0)</f>
        <v>0</v>
      </c>
      <c r="R172" s="213">
        <f>IFERROR(VLOOKUP(C172,[1]Planilha1!$C$1:$R$65536,16,0),0)</f>
        <v>0</v>
      </c>
      <c r="S172" s="213">
        <f>IFERROR(VLOOKUP(C172,[1]Planilha1!$C$1:$S$65536,17,0),0)</f>
        <v>0</v>
      </c>
      <c r="T172" s="213">
        <f>IFERROR(VLOOKUP(C172,[1]Planilha1!$C$1:$T$65536,18,0),0)</f>
        <v>0</v>
      </c>
      <c r="U172" s="6"/>
      <c r="V172" s="260"/>
      <c r="W172" s="6"/>
      <c r="X172" s="218"/>
      <c r="Y172" s="6"/>
      <c r="AA172" s="6"/>
      <c r="AB172" s="6"/>
      <c r="AC172" s="7"/>
      <c r="AD172" s="6"/>
      <c r="AE172" s="6"/>
      <c r="AF172" s="6"/>
      <c r="AG172" s="7"/>
      <c r="AH172" s="213"/>
      <c r="AI172" s="213"/>
    </row>
    <row r="173" spans="1:36" x14ac:dyDescent="0.25">
      <c r="A173" s="169">
        <v>173</v>
      </c>
      <c r="B173" s="169">
        <v>41</v>
      </c>
      <c r="C173" s="170" t="s">
        <v>505</v>
      </c>
      <c r="D173" s="171" t="s">
        <v>506</v>
      </c>
      <c r="E173" s="171" t="s">
        <v>25</v>
      </c>
      <c r="F173" s="172" t="s">
        <v>507</v>
      </c>
      <c r="G173" s="173">
        <v>44358</v>
      </c>
      <c r="H173" s="172" t="s">
        <v>27</v>
      </c>
      <c r="I173" s="15"/>
      <c r="J173" s="5">
        <v>30</v>
      </c>
      <c r="K173" s="5">
        <v>0</v>
      </c>
      <c r="L173" s="270"/>
      <c r="M173" s="15"/>
      <c r="N173" s="166">
        <v>0</v>
      </c>
      <c r="O173" s="166">
        <v>1713</v>
      </c>
      <c r="P173" s="167"/>
      <c r="Q173" s="213">
        <f>IFERROR(VLOOKUP(C173,[1]Planilha1!$C$1:$Q$65536,15,0),0)</f>
        <v>0</v>
      </c>
      <c r="R173" s="213">
        <f>IFERROR(VLOOKUP(C173,[1]Planilha1!$C$1:$R$65536,16,0),0)</f>
        <v>0</v>
      </c>
      <c r="S173" s="213">
        <f>IFERROR(VLOOKUP(C173,[1]Planilha1!$C$1:$S$65536,17,0),0)</f>
        <v>332.5</v>
      </c>
      <c r="T173" s="213">
        <f>IFERROR(VLOOKUP(C173,[1]Planilha1!$C$1:$T$65536,18,0),0)</f>
        <v>0</v>
      </c>
      <c r="U173" s="6"/>
      <c r="V173" s="260"/>
      <c r="W173" s="6"/>
      <c r="X173" s="218"/>
      <c r="Y173" s="6"/>
      <c r="AA173" s="6"/>
      <c r="AB173" s="6"/>
      <c r="AC173" s="7"/>
      <c r="AD173" s="6"/>
      <c r="AE173" s="6"/>
      <c r="AF173" s="6"/>
      <c r="AG173" s="7"/>
      <c r="AH173" s="213"/>
      <c r="AI173" s="213"/>
    </row>
    <row r="174" spans="1:36" x14ac:dyDescent="0.25">
      <c r="A174" s="10">
        <v>175</v>
      </c>
      <c r="B174" s="10">
        <v>17</v>
      </c>
      <c r="C174" s="11" t="s">
        <v>508</v>
      </c>
      <c r="D174" s="12" t="s">
        <v>509</v>
      </c>
      <c r="E174" s="12" t="s">
        <v>30</v>
      </c>
      <c r="F174" s="13" t="s">
        <v>510</v>
      </c>
      <c r="G174" s="14">
        <v>44153</v>
      </c>
      <c r="H174" s="172" t="s">
        <v>27</v>
      </c>
      <c r="I174" s="15"/>
      <c r="J174" s="5">
        <v>30</v>
      </c>
      <c r="K174" s="5">
        <v>0</v>
      </c>
      <c r="L174" s="270"/>
      <c r="M174" s="15"/>
      <c r="N174" s="154">
        <v>1060.3699999999999</v>
      </c>
      <c r="O174" s="154"/>
      <c r="P174" s="152">
        <v>158</v>
      </c>
      <c r="Q174" s="213">
        <f>IFERROR(VLOOKUP(C174,[1]Planilha1!$C$1:$Q$65536,15,0),0)</f>
        <v>0</v>
      </c>
      <c r="R174" s="213">
        <f>IFERROR(VLOOKUP(C174,[1]Planilha1!$C$1:$R$65536,16,0),0)</f>
        <v>425</v>
      </c>
      <c r="S174" s="152" t="str">
        <f>IFERROR(VLOOKUP(C174,'[2]Base 06-2021'!$C$1:$T$65536,17,0),0)</f>
        <v>Fretado</v>
      </c>
      <c r="T174" s="213">
        <f>IFERROR(VLOOKUP(C174,[1]Planilha1!$C$1:$T$65536,18,0),0)</f>
        <v>0</v>
      </c>
      <c r="U174" s="6"/>
      <c r="V174" s="260"/>
      <c r="W174" s="6"/>
      <c r="X174" s="218"/>
      <c r="Y174" s="6"/>
      <c r="AA174" s="6"/>
      <c r="AB174" s="6"/>
      <c r="AC174" s="7"/>
      <c r="AD174" s="6"/>
      <c r="AE174" s="6"/>
      <c r="AF174" s="6"/>
      <c r="AG174" s="7"/>
      <c r="AH174" s="213"/>
      <c r="AI174" s="213"/>
    </row>
    <row r="175" spans="1:36" x14ac:dyDescent="0.25">
      <c r="A175" s="10">
        <v>175</v>
      </c>
      <c r="B175" s="10">
        <v>13</v>
      </c>
      <c r="C175" s="11" t="s">
        <v>511</v>
      </c>
      <c r="D175" s="12" t="s">
        <v>512</v>
      </c>
      <c r="E175" s="12" t="s">
        <v>25</v>
      </c>
      <c r="F175" s="13" t="s">
        <v>513</v>
      </c>
      <c r="G175" s="14">
        <v>43782</v>
      </c>
      <c r="H175" s="172" t="s">
        <v>27</v>
      </c>
      <c r="I175" s="15"/>
      <c r="J175" s="5">
        <v>30</v>
      </c>
      <c r="K175" s="5">
        <v>0</v>
      </c>
      <c r="L175" s="270"/>
      <c r="M175" s="15"/>
      <c r="N175" s="154">
        <v>998</v>
      </c>
      <c r="O175" s="154">
        <v>1257</v>
      </c>
      <c r="P175" s="152"/>
      <c r="Q175" s="213">
        <f>IFERROR(VLOOKUP(C175,[1]Planilha1!$C$1:$Q$65536,15,0),0)</f>
        <v>0</v>
      </c>
      <c r="R175" s="213">
        <f>IFERROR(VLOOKUP(C175,[1]Planilha1!$C$1:$R$65536,16,0),0)</f>
        <v>425</v>
      </c>
      <c r="S175" s="152" t="str">
        <f>IFERROR(VLOOKUP(C175,'[2]Base 06-2021'!$C$1:$T$65536,17,0),0)</f>
        <v>Fretado</v>
      </c>
      <c r="T175" s="213">
        <f>IFERROR(VLOOKUP(C175,[1]Planilha1!$C$1:$T$65536,18,0),0)</f>
        <v>0</v>
      </c>
      <c r="U175" s="6"/>
      <c r="V175" s="260"/>
      <c r="W175" s="6"/>
      <c r="X175" s="218"/>
      <c r="Y175" s="6"/>
      <c r="AA175" s="6"/>
      <c r="AB175" s="6"/>
      <c r="AC175" s="7">
        <v>400</v>
      </c>
      <c r="AD175" s="6"/>
      <c r="AE175" s="6"/>
      <c r="AF175" s="6"/>
      <c r="AG175" s="7">
        <v>400</v>
      </c>
      <c r="AH175" s="213"/>
      <c r="AI175" s="213"/>
    </row>
    <row r="176" spans="1:36" x14ac:dyDescent="0.25">
      <c r="A176" s="169">
        <v>175</v>
      </c>
      <c r="B176" s="169">
        <v>11</v>
      </c>
      <c r="C176" s="170" t="s">
        <v>514</v>
      </c>
      <c r="D176" s="171" t="s">
        <v>515</v>
      </c>
      <c r="E176" s="171" t="s">
        <v>25</v>
      </c>
      <c r="F176" s="172" t="s">
        <v>516</v>
      </c>
      <c r="G176" s="173">
        <v>43782</v>
      </c>
      <c r="H176" s="172" t="s">
        <v>27</v>
      </c>
      <c r="I176" s="15"/>
      <c r="J176" s="5">
        <v>-30</v>
      </c>
      <c r="K176" s="5">
        <v>30</v>
      </c>
      <c r="L176" s="270"/>
      <c r="M176" s="15"/>
      <c r="N176" s="154">
        <v>998</v>
      </c>
      <c r="O176" s="154">
        <v>1257</v>
      </c>
      <c r="P176" s="152"/>
      <c r="Q176" s="213">
        <f>IFERROR(VLOOKUP(C176,[1]Planilha1!$C$1:$Q$65536,15,0),0)</f>
        <v>0</v>
      </c>
      <c r="R176" s="213">
        <f>IFERROR(VLOOKUP(C176,[1]Planilha1!$C$1:$R$65536,16,0),0)</f>
        <v>0</v>
      </c>
      <c r="S176" s="152" t="str">
        <f>IFERROR(VLOOKUP(C176,'[2]Base 06-2021'!$C$1:$T$65536,17,0),0)</f>
        <v>Fretado</v>
      </c>
      <c r="T176" s="213">
        <f>IFERROR(VLOOKUP(C176,[1]Planilha1!$C$1:$T$65536,18,0),0)</f>
        <v>0</v>
      </c>
      <c r="U176" s="6"/>
      <c r="V176" s="260"/>
      <c r="W176" s="6"/>
      <c r="X176" s="218"/>
      <c r="Y176" s="6"/>
      <c r="AA176" s="6"/>
      <c r="AB176" s="6"/>
      <c r="AC176" s="7"/>
      <c r="AD176" s="6"/>
      <c r="AE176" s="6"/>
      <c r="AF176" s="6"/>
      <c r="AG176" s="7"/>
      <c r="AH176" s="213"/>
      <c r="AI176" s="213"/>
    </row>
    <row r="177" spans="1:35" x14ac:dyDescent="0.25">
      <c r="A177" s="169">
        <v>175</v>
      </c>
      <c r="B177" s="169">
        <v>8</v>
      </c>
      <c r="C177" s="170" t="s">
        <v>517</v>
      </c>
      <c r="D177" s="171" t="s">
        <v>518</v>
      </c>
      <c r="E177" s="171" t="s">
        <v>30</v>
      </c>
      <c r="F177" s="172" t="s">
        <v>519</v>
      </c>
      <c r="G177" s="173">
        <v>43782</v>
      </c>
      <c r="H177" s="172" t="s">
        <v>27</v>
      </c>
      <c r="I177" s="15"/>
      <c r="J177" s="5">
        <v>30</v>
      </c>
      <c r="K177" s="5">
        <v>0</v>
      </c>
      <c r="L177" s="270"/>
      <c r="M177" s="15"/>
      <c r="N177" s="166">
        <v>1060.3699999999999</v>
      </c>
      <c r="O177" s="166"/>
      <c r="P177" s="167">
        <v>158</v>
      </c>
      <c r="Q177" s="213">
        <f>IFERROR(VLOOKUP(C177,[1]Planilha1!$C$1:$Q$65536,15,0),0)</f>
        <v>0</v>
      </c>
      <c r="R177" s="213">
        <f>IFERROR(VLOOKUP(C177,[1]Planilha1!$C$1:$R$65536,16,0),0)</f>
        <v>425</v>
      </c>
      <c r="S177" s="152" t="str">
        <f>IFERROR(VLOOKUP(C177,'[2]Base 06-2021'!$C$1:$T$65536,17,0),0)</f>
        <v>Fretado</v>
      </c>
      <c r="T177" s="213">
        <f>IFERROR(VLOOKUP(C177,[1]Planilha1!$C$1:$T$65536,18,0),0)</f>
        <v>0</v>
      </c>
      <c r="U177" s="6"/>
      <c r="V177" s="260"/>
      <c r="W177" s="6"/>
      <c r="X177" s="218"/>
      <c r="Y177" s="6"/>
      <c r="AA177" s="6"/>
      <c r="AB177" s="6"/>
      <c r="AC177" s="7">
        <v>400</v>
      </c>
      <c r="AD177" s="6"/>
      <c r="AE177" s="6"/>
      <c r="AF177" s="6"/>
      <c r="AG177" s="7">
        <v>400</v>
      </c>
      <c r="AH177" s="213"/>
      <c r="AI177" s="213"/>
    </row>
    <row r="178" spans="1:35" x14ac:dyDescent="0.25">
      <c r="A178" s="169">
        <v>175</v>
      </c>
      <c r="B178" s="169">
        <v>3</v>
      </c>
      <c r="C178" s="170" t="s">
        <v>520</v>
      </c>
      <c r="D178" s="171" t="s">
        <v>521</v>
      </c>
      <c r="E178" s="171" t="s">
        <v>25</v>
      </c>
      <c r="F178" s="172" t="s">
        <v>522</v>
      </c>
      <c r="G178" s="173">
        <v>43782</v>
      </c>
      <c r="H178" s="172" t="s">
        <v>27</v>
      </c>
      <c r="I178" s="15"/>
      <c r="J178" s="5">
        <v>30</v>
      </c>
      <c r="K178" s="5">
        <v>0</v>
      </c>
      <c r="L178" s="270"/>
      <c r="M178" s="15"/>
      <c r="N178" s="166">
        <v>998</v>
      </c>
      <c r="O178" s="166">
        <v>1257</v>
      </c>
      <c r="P178" s="167"/>
      <c r="Q178" s="213">
        <f>IFERROR(VLOOKUP(C178,[1]Planilha1!$C$1:$Q$65536,15,0),0)</f>
        <v>0</v>
      </c>
      <c r="R178" s="213">
        <f>IFERROR(VLOOKUP(C178,[1]Planilha1!$C$1:$R$65536,16,0),0)</f>
        <v>425</v>
      </c>
      <c r="S178" s="152" t="str">
        <f>IFERROR(VLOOKUP(C178,'[2]Base 06-2021'!$C$1:$T$65536,17,0),0)</f>
        <v>Fretado</v>
      </c>
      <c r="T178" s="213">
        <f>IFERROR(VLOOKUP(C178,[1]Planilha1!$C$1:$T$65536,18,0),0)</f>
        <v>0</v>
      </c>
      <c r="U178" s="6"/>
      <c r="V178" s="260"/>
      <c r="W178" s="6"/>
      <c r="X178" s="218"/>
      <c r="Y178" s="6"/>
      <c r="AA178" s="6"/>
      <c r="AB178" s="6"/>
      <c r="AC178" s="7"/>
      <c r="AD178" s="6"/>
      <c r="AE178" s="6"/>
      <c r="AF178" s="6"/>
      <c r="AG178" s="7"/>
      <c r="AH178" s="213"/>
      <c r="AI178" s="213"/>
    </row>
    <row r="179" spans="1:35" x14ac:dyDescent="0.25">
      <c r="A179" s="169">
        <v>175</v>
      </c>
      <c r="B179" s="169">
        <v>9</v>
      </c>
      <c r="C179" s="170" t="s">
        <v>523</v>
      </c>
      <c r="D179" s="171" t="s">
        <v>524</v>
      </c>
      <c r="E179" s="171" t="s">
        <v>48</v>
      </c>
      <c r="F179" s="172" t="s">
        <v>525</v>
      </c>
      <c r="G179" s="173">
        <v>43782</v>
      </c>
      <c r="H179" s="172" t="s">
        <v>27</v>
      </c>
      <c r="I179" s="15"/>
      <c r="J179" s="5">
        <v>30</v>
      </c>
      <c r="K179" s="5">
        <v>0</v>
      </c>
      <c r="L179" s="270"/>
      <c r="M179" s="15"/>
      <c r="N179" s="154">
        <v>0</v>
      </c>
      <c r="O179" s="154">
        <v>4000</v>
      </c>
      <c r="P179" s="152"/>
      <c r="Q179" s="213">
        <f>IFERROR(VLOOKUP(C179,[1]Planilha1!$C$1:$Q$65536,15,0),0)</f>
        <v>0</v>
      </c>
      <c r="R179" s="213">
        <f>IFERROR(VLOOKUP(C179,[1]Planilha1!$C$1:$R$65536,16,0),0)</f>
        <v>425</v>
      </c>
      <c r="S179" s="213">
        <f>IFERROR(VLOOKUP(C179,[1]Planilha1!$C$1:$S$65536,17,0),0)</f>
        <v>0</v>
      </c>
      <c r="T179" s="213">
        <f>IFERROR(VLOOKUP(C179,[1]Planilha1!$C$1:$T$65536,18,0),0)</f>
        <v>0</v>
      </c>
      <c r="U179" s="6"/>
      <c r="V179" s="260"/>
      <c r="W179" s="6"/>
      <c r="X179" s="218"/>
      <c r="Y179" s="6"/>
      <c r="AA179" s="6"/>
      <c r="AB179" s="6"/>
      <c r="AC179" s="7"/>
      <c r="AD179" s="6"/>
      <c r="AE179" s="6"/>
      <c r="AF179" s="6"/>
      <c r="AG179" s="7"/>
      <c r="AH179" s="213"/>
      <c r="AI179" s="213"/>
    </row>
    <row r="180" spans="1:35" x14ac:dyDescent="0.25">
      <c r="A180" s="10">
        <v>175</v>
      </c>
      <c r="B180" s="10">
        <v>18</v>
      </c>
      <c r="C180" s="11" t="s">
        <v>920</v>
      </c>
      <c r="D180" s="12" t="s">
        <v>921</v>
      </c>
      <c r="E180" s="12" t="s">
        <v>25</v>
      </c>
      <c r="F180" s="13" t="s">
        <v>922</v>
      </c>
      <c r="G180" s="14">
        <v>44385</v>
      </c>
      <c r="H180" s="172" t="s">
        <v>27</v>
      </c>
      <c r="I180" s="15"/>
      <c r="J180" s="5">
        <v>30</v>
      </c>
      <c r="K180" s="5">
        <v>0</v>
      </c>
      <c r="L180" s="270"/>
      <c r="M180" s="15"/>
      <c r="N180" s="154">
        <v>998</v>
      </c>
      <c r="O180" s="154">
        <v>1257</v>
      </c>
      <c r="P180" s="152"/>
      <c r="Q180" s="213">
        <f>IFERROR(VLOOKUP(C180,[1]Planilha1!$C$1:$Q$65536,15,0),0)</f>
        <v>0</v>
      </c>
      <c r="R180" s="213">
        <f>IFERROR(VLOOKUP(C180,[1]Planilha1!$C$1:$R$65536,16,0),0)</f>
        <v>253</v>
      </c>
      <c r="S180" s="213">
        <f>IFERROR(VLOOKUP(C180,[1]Planilha1!$C$1:$S$65536,17,0),0)</f>
        <v>0</v>
      </c>
      <c r="T180" s="213">
        <f>IFERROR(VLOOKUP(C180,[1]Planilha1!$C$1:$T$65536,18,0),0)</f>
        <v>0</v>
      </c>
      <c r="U180" s="6"/>
      <c r="V180" s="260"/>
      <c r="W180" s="6"/>
      <c r="X180" s="218"/>
      <c r="Y180" s="6"/>
      <c r="AA180" s="6"/>
      <c r="AB180" s="6"/>
      <c r="AC180" s="7"/>
      <c r="AD180" s="6"/>
      <c r="AE180" s="6"/>
      <c r="AF180" s="6"/>
      <c r="AG180" s="7"/>
      <c r="AH180" s="213"/>
      <c r="AI180" s="213"/>
    </row>
    <row r="181" spans="1:35" x14ac:dyDescent="0.25">
      <c r="A181" s="169">
        <v>175</v>
      </c>
      <c r="B181" s="169">
        <v>1</v>
      </c>
      <c r="C181" s="170" t="s">
        <v>526</v>
      </c>
      <c r="D181" s="171" t="s">
        <v>527</v>
      </c>
      <c r="E181" s="171" t="s">
        <v>25</v>
      </c>
      <c r="F181" s="172" t="s">
        <v>528</v>
      </c>
      <c r="G181" s="173">
        <v>43782</v>
      </c>
      <c r="H181" s="172" t="s">
        <v>27</v>
      </c>
      <c r="I181" s="15"/>
      <c r="J181" s="5">
        <v>-58</v>
      </c>
      <c r="K181" s="5">
        <v>44</v>
      </c>
      <c r="L181" s="270"/>
      <c r="M181" s="15"/>
      <c r="N181" s="166">
        <v>998</v>
      </c>
      <c r="O181" s="166">
        <v>1257</v>
      </c>
      <c r="P181" s="167"/>
      <c r="Q181" s="213">
        <f>IFERROR(VLOOKUP(C181,[1]Planilha1!$C$1:$Q$65536,15,0),0)</f>
        <v>0</v>
      </c>
      <c r="R181" s="213">
        <f>IFERROR(VLOOKUP(C181,[1]Planilha1!$C$1:$R$65536,16,0),0)</f>
        <v>0</v>
      </c>
      <c r="S181" s="152" t="str">
        <f>IFERROR(VLOOKUP(C181,'[2]Base 06-2021'!$C$1:$T$65536,17,0),0)</f>
        <v>Fretado</v>
      </c>
      <c r="T181" s="213">
        <f>IFERROR(VLOOKUP(C181,[1]Planilha1!$C$1:$T$65536,18,0),0)</f>
        <v>0</v>
      </c>
      <c r="U181" s="6"/>
      <c r="V181" s="260"/>
      <c r="W181" s="6"/>
      <c r="X181" s="218"/>
      <c r="Y181" s="6"/>
      <c r="AA181" s="6"/>
      <c r="AB181" s="6"/>
      <c r="AC181" s="7"/>
      <c r="AD181" s="6"/>
      <c r="AE181" s="6"/>
      <c r="AF181" s="6"/>
      <c r="AG181" s="7"/>
      <c r="AH181" s="213"/>
      <c r="AI181" s="213"/>
    </row>
    <row r="182" spans="1:35" x14ac:dyDescent="0.25">
      <c r="A182" s="10">
        <v>179</v>
      </c>
      <c r="B182" s="10">
        <v>1</v>
      </c>
      <c r="C182" s="11" t="s">
        <v>529</v>
      </c>
      <c r="D182" s="12" t="s">
        <v>530</v>
      </c>
      <c r="E182" s="12" t="s">
        <v>30</v>
      </c>
      <c r="F182" s="13" t="s">
        <v>531</v>
      </c>
      <c r="G182" s="14">
        <v>44033</v>
      </c>
      <c r="H182" s="172" t="s">
        <v>27</v>
      </c>
      <c r="I182" s="15"/>
      <c r="J182" s="5">
        <v>30</v>
      </c>
      <c r="K182" s="5">
        <v>0</v>
      </c>
      <c r="L182" s="270"/>
      <c r="M182" s="15"/>
      <c r="N182" s="154">
        <v>1591</v>
      </c>
      <c r="O182" s="154"/>
      <c r="P182" s="152">
        <v>87</v>
      </c>
      <c r="Q182" s="213">
        <f>IFERROR(VLOOKUP(C182,[1]Planilha1!$C$1:$Q$65536,15,0),0)</f>
        <v>41</v>
      </c>
      <c r="R182" s="213">
        <f>IFERROR(VLOOKUP(C182,[1]Planilha1!$C$1:$R$65536,16,0),0)</f>
        <v>0</v>
      </c>
      <c r="S182" s="213">
        <f>IFERROR(VLOOKUP(C182,[1]Planilha1!$C$1:$S$65536,17,0),0)</f>
        <v>353.6</v>
      </c>
      <c r="T182" s="213">
        <f>IFERROR(VLOOKUP(C182,[1]Planilha1!$C$1:$T$65536,18,0),0)</f>
        <v>0</v>
      </c>
      <c r="U182" s="6"/>
      <c r="V182" s="260"/>
      <c r="W182" s="6"/>
      <c r="X182" s="218"/>
      <c r="Y182" s="6"/>
      <c r="AA182" s="6"/>
      <c r="AB182" s="6"/>
      <c r="AC182" s="7"/>
      <c r="AD182" s="6"/>
      <c r="AE182" s="6"/>
      <c r="AF182" s="6"/>
      <c r="AG182" s="7"/>
      <c r="AH182" s="213"/>
      <c r="AI182" s="213"/>
    </row>
    <row r="183" spans="1:35" x14ac:dyDescent="0.25">
      <c r="A183" s="10">
        <v>179</v>
      </c>
      <c r="B183" s="10">
        <v>2</v>
      </c>
      <c r="C183" s="11" t="s">
        <v>532</v>
      </c>
      <c r="D183" s="12" t="s">
        <v>533</v>
      </c>
      <c r="E183" s="12" t="s">
        <v>25</v>
      </c>
      <c r="F183" s="13" t="s">
        <v>534</v>
      </c>
      <c r="G183" s="14">
        <v>44033</v>
      </c>
      <c r="H183" s="172" t="s">
        <v>27</v>
      </c>
      <c r="I183" s="15"/>
      <c r="J183" s="5">
        <v>30</v>
      </c>
      <c r="K183" s="5">
        <v>0</v>
      </c>
      <c r="L183" s="270"/>
      <c r="M183" s="15"/>
      <c r="N183" s="154">
        <v>0</v>
      </c>
      <c r="O183" s="154">
        <v>1909</v>
      </c>
      <c r="P183" s="152"/>
      <c r="Q183" s="213">
        <f>IFERROR(VLOOKUP(C183,[1]Planilha1!$C$1:$Q$65536,15,0),0)</f>
        <v>41</v>
      </c>
      <c r="R183" s="213">
        <f>IFERROR(VLOOKUP(C183,[1]Planilha1!$C$1:$R$65536,16,0),0)</f>
        <v>0</v>
      </c>
      <c r="S183" s="213">
        <f>IFERROR(VLOOKUP(C183,[1]Planilha1!$C$1:$S$65536,17,0),0)</f>
        <v>0</v>
      </c>
      <c r="T183" s="213">
        <f>IFERROR(VLOOKUP(C183,[1]Planilha1!$C$1:$T$65536,18,0),0)</f>
        <v>0</v>
      </c>
      <c r="U183" s="6"/>
      <c r="V183" s="260"/>
      <c r="W183" s="6"/>
      <c r="X183" s="218"/>
      <c r="Y183" s="6"/>
      <c r="AA183" s="6"/>
      <c r="AB183" s="6"/>
      <c r="AC183" s="7"/>
      <c r="AD183" s="6"/>
      <c r="AE183" s="6"/>
      <c r="AF183" s="6"/>
      <c r="AG183" s="7"/>
      <c r="AH183" s="213"/>
      <c r="AI183" s="213"/>
    </row>
    <row r="184" spans="1:35" x14ac:dyDescent="0.25">
      <c r="A184" s="10">
        <v>179</v>
      </c>
      <c r="B184" s="10">
        <v>3</v>
      </c>
      <c r="C184" s="11" t="s">
        <v>535</v>
      </c>
      <c r="D184" s="12" t="s">
        <v>536</v>
      </c>
      <c r="E184" s="12" t="s">
        <v>25</v>
      </c>
      <c r="F184" s="13" t="s">
        <v>537</v>
      </c>
      <c r="G184" s="14">
        <v>44033</v>
      </c>
      <c r="H184" s="172" t="s">
        <v>27</v>
      </c>
      <c r="I184" s="15"/>
      <c r="J184" s="5">
        <v>30</v>
      </c>
      <c r="K184" s="5">
        <v>0</v>
      </c>
      <c r="L184" s="270"/>
      <c r="M184" s="15"/>
      <c r="N184" s="154">
        <v>0</v>
      </c>
      <c r="O184" s="154">
        <v>1909</v>
      </c>
      <c r="P184" s="152"/>
      <c r="Q184" s="213">
        <f>IFERROR(VLOOKUP(C184,[1]Planilha1!$C$1:$Q$65536,15,0),0)</f>
        <v>41</v>
      </c>
      <c r="R184" s="213">
        <f>IFERROR(VLOOKUP(C184,[1]Planilha1!$C$1:$R$65536,16,0),0)</f>
        <v>0</v>
      </c>
      <c r="S184" s="213">
        <f>IFERROR(VLOOKUP(C184,[1]Planilha1!$C$1:$S$65536,17,0),0)</f>
        <v>0</v>
      </c>
      <c r="T184" s="213">
        <f>IFERROR(VLOOKUP(C184,[1]Planilha1!$C$1:$T$65536,18,0),0)</f>
        <v>0</v>
      </c>
      <c r="U184" s="6"/>
      <c r="V184" s="260"/>
      <c r="W184" s="6"/>
      <c r="X184" s="218"/>
      <c r="Y184" s="6"/>
      <c r="AA184" s="6"/>
      <c r="AB184" s="6"/>
      <c r="AC184" s="7">
        <v>400</v>
      </c>
      <c r="AD184" s="6"/>
      <c r="AE184" s="6"/>
      <c r="AF184" s="6"/>
      <c r="AG184" s="7">
        <v>400</v>
      </c>
      <c r="AH184" s="213"/>
      <c r="AI184" s="213"/>
    </row>
    <row r="185" spans="1:35" x14ac:dyDescent="0.25">
      <c r="A185" s="10">
        <v>179</v>
      </c>
      <c r="B185" s="10">
        <v>4</v>
      </c>
      <c r="C185" s="11" t="s">
        <v>538</v>
      </c>
      <c r="D185" s="12" t="s">
        <v>539</v>
      </c>
      <c r="E185" s="12" t="s">
        <v>25</v>
      </c>
      <c r="F185" s="13" t="s">
        <v>540</v>
      </c>
      <c r="G185" s="14">
        <v>44034</v>
      </c>
      <c r="H185" s="172" t="s">
        <v>27</v>
      </c>
      <c r="I185" s="15"/>
      <c r="J185" s="5">
        <v>30</v>
      </c>
      <c r="K185" s="5">
        <v>0</v>
      </c>
      <c r="L185" s="270"/>
      <c r="M185" s="15"/>
      <c r="N185" s="154">
        <v>0</v>
      </c>
      <c r="O185" s="154">
        <v>1909</v>
      </c>
      <c r="P185" s="152"/>
      <c r="Q185" s="213">
        <f>IFERROR(VLOOKUP(C185,[1]Planilha1!$C$1:$Q$65536,15,0),0)</f>
        <v>41</v>
      </c>
      <c r="R185" s="213">
        <f>IFERROR(VLOOKUP(C185,[1]Planilha1!$C$1:$R$65536,16,0),0)</f>
        <v>0</v>
      </c>
      <c r="S185" s="213">
        <f>IFERROR(VLOOKUP(C185,[1]Planilha1!$C$1:$S$65536,17,0),0)</f>
        <v>353.6</v>
      </c>
      <c r="T185" s="213">
        <f>IFERROR(VLOOKUP(C185,[1]Planilha1!$C$1:$T$65536,18,0),0)</f>
        <v>0</v>
      </c>
      <c r="U185" s="6"/>
      <c r="V185" s="260"/>
      <c r="W185" s="6"/>
      <c r="X185" s="218"/>
      <c r="Y185" s="6"/>
      <c r="AA185" s="6"/>
      <c r="AB185" s="6"/>
      <c r="AC185" s="7">
        <v>400</v>
      </c>
      <c r="AD185" s="6"/>
      <c r="AE185" s="6"/>
      <c r="AF185" s="6"/>
      <c r="AG185" s="7">
        <v>400</v>
      </c>
      <c r="AH185" s="213"/>
      <c r="AI185" s="213"/>
    </row>
    <row r="186" spans="1:35" x14ac:dyDescent="0.25">
      <c r="A186" s="10">
        <v>179</v>
      </c>
      <c r="B186" s="10">
        <v>16</v>
      </c>
      <c r="C186" s="11" t="s">
        <v>541</v>
      </c>
      <c r="D186" s="12" t="s">
        <v>542</v>
      </c>
      <c r="E186" s="12" t="s">
        <v>25</v>
      </c>
      <c r="F186" s="13" t="s">
        <v>543</v>
      </c>
      <c r="G186" s="14">
        <v>44183</v>
      </c>
      <c r="H186" s="172" t="s">
        <v>27</v>
      </c>
      <c r="I186" s="15"/>
      <c r="J186" s="5">
        <v>30</v>
      </c>
      <c r="K186" s="5">
        <v>0</v>
      </c>
      <c r="L186" s="270"/>
      <c r="M186" s="15"/>
      <c r="N186" s="154">
        <v>0</v>
      </c>
      <c r="O186" s="154">
        <v>1909</v>
      </c>
      <c r="P186" s="152"/>
      <c r="Q186" s="213">
        <f>IFERROR(VLOOKUP(C186,[1]Planilha1!$C$1:$Q$65536,15,0),0)</f>
        <v>41</v>
      </c>
      <c r="R186" s="213">
        <f>IFERROR(VLOOKUP(C186,[1]Planilha1!$C$1:$R$65536,16,0),0)</f>
        <v>0</v>
      </c>
      <c r="S186" s="213">
        <f>IFERROR(VLOOKUP(C186,[1]Planilha1!$C$1:$S$65536,17,0),0)</f>
        <v>256.88</v>
      </c>
      <c r="T186" s="213">
        <f>IFERROR(VLOOKUP(C186,[1]Planilha1!$C$1:$T$65536,18,0),0)</f>
        <v>0</v>
      </c>
      <c r="U186" s="6"/>
      <c r="V186" s="260"/>
      <c r="W186" s="6"/>
      <c r="X186" s="218"/>
      <c r="Y186" s="6"/>
      <c r="AA186" s="6"/>
      <c r="AB186" s="6"/>
      <c r="AC186" s="7"/>
      <c r="AD186" s="6"/>
      <c r="AE186" s="6"/>
      <c r="AF186" s="6"/>
      <c r="AG186" s="7"/>
      <c r="AH186" s="213"/>
      <c r="AI186" s="213"/>
    </row>
    <row r="187" spans="1:35" x14ac:dyDescent="0.25">
      <c r="A187" s="10">
        <v>179</v>
      </c>
      <c r="B187" s="10">
        <v>19</v>
      </c>
      <c r="C187" s="11" t="s">
        <v>583</v>
      </c>
      <c r="D187" s="12" t="s">
        <v>584</v>
      </c>
      <c r="E187" s="12" t="s">
        <v>48</v>
      </c>
      <c r="F187" s="13" t="s">
        <v>585</v>
      </c>
      <c r="G187" s="14">
        <v>43364</v>
      </c>
      <c r="H187" s="13" t="s">
        <v>27</v>
      </c>
      <c r="I187" s="15"/>
      <c r="J187" s="5">
        <v>30</v>
      </c>
      <c r="K187" s="5">
        <v>0</v>
      </c>
      <c r="L187" s="270"/>
      <c r="M187" s="15"/>
      <c r="N187" s="154">
        <v>0</v>
      </c>
      <c r="O187" s="154">
        <v>4389</v>
      </c>
      <c r="P187" s="152"/>
      <c r="Q187" s="213">
        <f>IFERROR(VLOOKUP(C187,[1]Planilha1!$C$1:$Q$65536,15,0),0)</f>
        <v>41</v>
      </c>
      <c r="R187" s="213">
        <f>IFERROR(VLOOKUP(C187,[1]Planilha1!$C$1:$R$65536,16,0),0)</f>
        <v>0</v>
      </c>
      <c r="S187" s="213">
        <f>IFERROR(VLOOKUP(C187,[1]Planilha1!$C$1:$S$65536,17,0),0)</f>
        <v>0</v>
      </c>
      <c r="T187" s="213">
        <f>IFERROR(VLOOKUP(C187,[1]Planilha1!$C$1:$T$65536,18,0),0)</f>
        <v>0</v>
      </c>
      <c r="U187" s="6"/>
      <c r="V187" s="260"/>
      <c r="W187" s="6"/>
      <c r="X187" s="218"/>
      <c r="Y187" s="6"/>
      <c r="AA187" s="6"/>
      <c r="AB187" s="6"/>
      <c r="AC187" s="7"/>
      <c r="AD187" s="6"/>
      <c r="AE187" s="6"/>
      <c r="AF187" s="6"/>
      <c r="AG187" s="7"/>
      <c r="AH187" s="213"/>
      <c r="AI187" s="213"/>
    </row>
    <row r="188" spans="1:35" x14ac:dyDescent="0.25">
      <c r="A188" s="10">
        <v>179</v>
      </c>
      <c r="B188" s="10">
        <v>12</v>
      </c>
      <c r="C188" s="11" t="s">
        <v>544</v>
      </c>
      <c r="D188" s="12" t="s">
        <v>545</v>
      </c>
      <c r="E188" s="12" t="s">
        <v>30</v>
      </c>
      <c r="F188" s="13" t="s">
        <v>546</v>
      </c>
      <c r="G188" s="14">
        <v>44121</v>
      </c>
      <c r="H188" s="172" t="s">
        <v>27</v>
      </c>
      <c r="I188" s="15"/>
      <c r="J188" s="5">
        <v>30</v>
      </c>
      <c r="K188" s="5">
        <v>0</v>
      </c>
      <c r="L188" s="270"/>
      <c r="M188" s="15"/>
      <c r="N188" s="154">
        <v>1591</v>
      </c>
      <c r="O188" s="154"/>
      <c r="P188" s="152">
        <v>87</v>
      </c>
      <c r="Q188" s="213">
        <f>IFERROR(VLOOKUP(C188,[1]Planilha1!$C$1:$Q$65536,15,0),0)</f>
        <v>41</v>
      </c>
      <c r="R188" s="213">
        <f>IFERROR(VLOOKUP(C188,[1]Planilha1!$C$1:$R$65536,16,0),0)</f>
        <v>0</v>
      </c>
      <c r="S188" s="213">
        <f>IFERROR(VLOOKUP(C188,[1]Planilha1!$C$1:$S$65536,17,0),0)</f>
        <v>392.6</v>
      </c>
      <c r="T188" s="213">
        <f>IFERROR(VLOOKUP(C188,[1]Planilha1!$C$1:$T$65536,18,0),0)</f>
        <v>0</v>
      </c>
      <c r="U188" s="6"/>
      <c r="V188" s="260"/>
      <c r="W188" s="6"/>
      <c r="X188" s="218"/>
      <c r="Y188" s="6"/>
      <c r="AA188" s="6"/>
      <c r="AB188" s="6"/>
      <c r="AC188" s="7"/>
      <c r="AD188" s="6"/>
      <c r="AE188" s="6"/>
      <c r="AF188" s="6"/>
      <c r="AG188" s="7"/>
      <c r="AH188" s="213"/>
      <c r="AI188" s="213"/>
    </row>
    <row r="189" spans="1:35" x14ac:dyDescent="0.25">
      <c r="A189" s="10">
        <v>179</v>
      </c>
      <c r="B189" s="10">
        <v>18</v>
      </c>
      <c r="C189" s="11" t="s">
        <v>547</v>
      </c>
      <c r="D189" s="12" t="s">
        <v>548</v>
      </c>
      <c r="E189" s="12" t="s">
        <v>25</v>
      </c>
      <c r="F189" s="13" t="s">
        <v>549</v>
      </c>
      <c r="G189" s="14">
        <v>44342</v>
      </c>
      <c r="H189" s="13" t="s">
        <v>27</v>
      </c>
      <c r="I189" s="15"/>
      <c r="J189" s="5">
        <v>30</v>
      </c>
      <c r="K189" s="5">
        <v>0</v>
      </c>
      <c r="L189" s="270"/>
      <c r="M189" s="15"/>
      <c r="N189" s="154">
        <v>0</v>
      </c>
      <c r="O189" s="154">
        <v>1909</v>
      </c>
      <c r="P189" s="152"/>
      <c r="Q189" s="213">
        <f>IFERROR(VLOOKUP(C189,[1]Planilha1!$C$1:$Q$65536,15,0),0)</f>
        <v>41</v>
      </c>
      <c r="R189" s="213">
        <f>IFERROR(VLOOKUP(C189,[1]Planilha1!$C$1:$R$65536,16,0),0)</f>
        <v>0</v>
      </c>
      <c r="S189" s="213">
        <f>IFERROR(VLOOKUP(C189,[1]Planilha1!$C$1:$S$65536,17,0),0)</f>
        <v>405.6</v>
      </c>
      <c r="T189" s="213">
        <f>IFERROR(VLOOKUP(C189,[1]Planilha1!$C$1:$T$65536,18,0),0)</f>
        <v>0</v>
      </c>
      <c r="U189" s="6"/>
      <c r="V189" s="260"/>
      <c r="W189" s="6"/>
      <c r="X189" s="218"/>
      <c r="Y189" s="6"/>
      <c r="AA189" s="6"/>
      <c r="AB189" s="6"/>
      <c r="AC189" s="7"/>
      <c r="AD189" s="6"/>
      <c r="AE189" s="6"/>
      <c r="AF189" s="6"/>
      <c r="AG189" s="7"/>
      <c r="AH189" s="213"/>
      <c r="AI189" s="213"/>
    </row>
    <row r="190" spans="1:35" x14ac:dyDescent="0.25">
      <c r="A190" s="10">
        <v>181</v>
      </c>
      <c r="B190" s="10">
        <v>2</v>
      </c>
      <c r="C190" s="11" t="s">
        <v>550</v>
      </c>
      <c r="D190" s="12" t="s">
        <v>551</v>
      </c>
      <c r="E190" s="12" t="s">
        <v>25</v>
      </c>
      <c r="F190" s="13" t="s">
        <v>552</v>
      </c>
      <c r="G190" s="14">
        <v>44078</v>
      </c>
      <c r="H190" s="13" t="s">
        <v>27</v>
      </c>
      <c r="I190" s="15"/>
      <c r="J190" s="5">
        <v>30</v>
      </c>
      <c r="K190" s="5">
        <v>0</v>
      </c>
      <c r="L190" s="270"/>
      <c r="M190" s="15"/>
      <c r="N190" s="154">
        <v>0</v>
      </c>
      <c r="O190" s="154">
        <v>1103.92</v>
      </c>
      <c r="P190" s="152"/>
      <c r="Q190" s="213">
        <f>IFERROR(VLOOKUP(C190,[1]Planilha1!$C$1:$Q$65536,15,0),0)</f>
        <v>0</v>
      </c>
      <c r="R190" s="213">
        <f>IFERROR(VLOOKUP(C190,[1]Planilha1!$C$1:$R$65536,16,0),0)</f>
        <v>0</v>
      </c>
      <c r="S190" s="213">
        <f>IFERROR(VLOOKUP(C190,[1]Planilha1!$C$1:$S$65536,17,0),0)</f>
        <v>0</v>
      </c>
      <c r="T190" s="213">
        <f>IFERROR(VLOOKUP(C190,[1]Planilha1!$C$1:$T$65536,18,0),0)</f>
        <v>234</v>
      </c>
      <c r="U190" s="6"/>
      <c r="V190" s="260"/>
      <c r="W190" s="6"/>
      <c r="X190" s="218"/>
      <c r="Y190" s="6"/>
      <c r="AA190" s="6"/>
      <c r="AB190" s="6"/>
      <c r="AC190" s="7">
        <v>400</v>
      </c>
      <c r="AD190" s="6"/>
      <c r="AE190" s="6"/>
      <c r="AF190" s="6"/>
      <c r="AG190" s="7">
        <v>400</v>
      </c>
      <c r="AH190" s="213"/>
      <c r="AI190" s="213"/>
    </row>
    <row r="191" spans="1:35" x14ac:dyDescent="0.25">
      <c r="A191" s="10">
        <v>181</v>
      </c>
      <c r="B191" s="10">
        <v>33</v>
      </c>
      <c r="C191" s="11" t="s">
        <v>553</v>
      </c>
      <c r="D191" s="12" t="s">
        <v>554</v>
      </c>
      <c r="E191" s="12" t="s">
        <v>25</v>
      </c>
      <c r="F191" s="13" t="s">
        <v>555</v>
      </c>
      <c r="G191" s="14">
        <v>44348</v>
      </c>
      <c r="H191" s="13" t="s">
        <v>27</v>
      </c>
      <c r="I191" s="15"/>
      <c r="J191" s="5">
        <v>30</v>
      </c>
      <c r="K191" s="5">
        <v>0</v>
      </c>
      <c r="L191" s="270"/>
      <c r="M191" s="15"/>
      <c r="N191" s="154">
        <v>0</v>
      </c>
      <c r="O191" s="154">
        <v>1103.92</v>
      </c>
      <c r="P191" s="152"/>
      <c r="Q191" s="213">
        <f>IFERROR(VLOOKUP(C191,[1]Planilha1!$C$1:$Q$65536,15,0),0)</f>
        <v>0</v>
      </c>
      <c r="R191" s="213">
        <f>IFERROR(VLOOKUP(C191,[1]Planilha1!$C$1:$R$65536,16,0),0)</f>
        <v>0</v>
      </c>
      <c r="S191" s="213">
        <f>IFERROR(VLOOKUP(C191,[1]Planilha1!$C$1:$S$65536,17,0),0)</f>
        <v>0</v>
      </c>
      <c r="T191" s="213">
        <f>IFERROR(VLOOKUP(C191,[1]Planilha1!$C$1:$T$65536,18,0),0)</f>
        <v>304.2</v>
      </c>
      <c r="U191" s="6"/>
      <c r="V191" s="260"/>
      <c r="W191" s="6"/>
      <c r="X191" s="218"/>
      <c r="Y191" s="6"/>
      <c r="AA191" s="6"/>
      <c r="AB191" s="6"/>
      <c r="AC191" s="7"/>
      <c r="AD191" s="6"/>
      <c r="AE191" s="6"/>
      <c r="AF191" s="6"/>
      <c r="AG191" s="7"/>
      <c r="AH191" s="213"/>
      <c r="AI191" s="213"/>
    </row>
    <row r="192" spans="1:35" x14ac:dyDescent="0.25">
      <c r="A192" s="10">
        <v>181</v>
      </c>
      <c r="B192" s="10">
        <v>31</v>
      </c>
      <c r="C192" s="11" t="s">
        <v>556</v>
      </c>
      <c r="D192" s="12" t="s">
        <v>557</v>
      </c>
      <c r="E192" s="12" t="s">
        <v>30</v>
      </c>
      <c r="F192" s="13" t="s">
        <v>558</v>
      </c>
      <c r="G192" s="14">
        <v>44153</v>
      </c>
      <c r="H192" s="13" t="s">
        <v>27</v>
      </c>
      <c r="I192" s="15"/>
      <c r="J192" s="5">
        <v>30</v>
      </c>
      <c r="K192" s="5">
        <v>0</v>
      </c>
      <c r="L192" s="270"/>
      <c r="M192" s="15"/>
      <c r="N192" s="154">
        <v>1120</v>
      </c>
      <c r="O192" s="154"/>
      <c r="P192" s="152">
        <v>89.33</v>
      </c>
      <c r="Q192" s="213">
        <f>IFERROR(VLOOKUP(C192,[1]Planilha1!$C$1:$Q$65536,15,0),0)</f>
        <v>0</v>
      </c>
      <c r="R192" s="213">
        <f>IFERROR(VLOOKUP(C192,[1]Planilha1!$C$1:$R$65536,16,0),0)</f>
        <v>0</v>
      </c>
      <c r="S192" s="213">
        <f>IFERROR(VLOOKUP(C192,[1]Planilha1!$C$1:$S$65536,17,0),0)</f>
        <v>0</v>
      </c>
      <c r="T192" s="213">
        <f>IFERROR(VLOOKUP(C192,[1]Planilha1!$C$1:$T$65536,18,0),0)</f>
        <v>99</v>
      </c>
      <c r="U192" s="6"/>
      <c r="V192" s="260"/>
      <c r="W192" s="6"/>
      <c r="X192" s="218"/>
      <c r="Y192" s="6"/>
      <c r="AA192" s="6"/>
      <c r="AB192" s="6"/>
      <c r="AC192" s="7"/>
      <c r="AD192" s="6"/>
      <c r="AE192" s="6"/>
      <c r="AF192" s="6"/>
      <c r="AG192" s="7"/>
      <c r="AH192" s="213"/>
      <c r="AI192" s="213"/>
    </row>
    <row r="193" spans="1:35" x14ac:dyDescent="0.25">
      <c r="A193" s="10">
        <v>181</v>
      </c>
      <c r="B193" s="10">
        <v>12</v>
      </c>
      <c r="C193" s="11" t="s">
        <v>559</v>
      </c>
      <c r="D193" s="12" t="s">
        <v>560</v>
      </c>
      <c r="E193" s="12" t="s">
        <v>48</v>
      </c>
      <c r="F193" s="13" t="s">
        <v>561</v>
      </c>
      <c r="G193" s="14">
        <v>41611</v>
      </c>
      <c r="H193" s="13" t="s">
        <v>27</v>
      </c>
      <c r="I193" s="15"/>
      <c r="J193" s="5">
        <v>30</v>
      </c>
      <c r="K193" s="5">
        <v>0</v>
      </c>
      <c r="L193" s="270"/>
      <c r="M193" s="15"/>
      <c r="N193" s="154">
        <v>0</v>
      </c>
      <c r="O193" s="154">
        <v>4500</v>
      </c>
      <c r="P193" s="152"/>
      <c r="Q193" s="213">
        <f>IFERROR(VLOOKUP(C193,[1]Planilha1!$C$1:$Q$65536,15,0),0)</f>
        <v>0</v>
      </c>
      <c r="R193" s="213">
        <f>IFERROR(VLOOKUP(C193,[1]Planilha1!$C$1:$R$65536,16,0),0)</f>
        <v>0</v>
      </c>
      <c r="S193" s="213">
        <f>IFERROR(VLOOKUP(C193,[1]Planilha1!$C$1:$S$65536,17,0),0)</f>
        <v>0</v>
      </c>
      <c r="T193" s="213">
        <f>IFERROR(VLOOKUP(C193,[1]Planilha1!$C$1:$T$65536,18,0),0)</f>
        <v>0</v>
      </c>
      <c r="U193" s="6"/>
      <c r="V193" s="260"/>
      <c r="W193" s="6"/>
      <c r="X193" s="218"/>
      <c r="Y193" s="6"/>
      <c r="AA193" s="6"/>
      <c r="AB193" s="6"/>
      <c r="AC193" s="7"/>
      <c r="AD193" s="6"/>
      <c r="AE193" s="6"/>
      <c r="AF193" s="6"/>
      <c r="AG193" s="7"/>
      <c r="AH193" s="213"/>
      <c r="AI193" s="213"/>
    </row>
    <row r="194" spans="1:35" x14ac:dyDescent="0.25">
      <c r="A194" s="10">
        <v>181</v>
      </c>
      <c r="B194" s="10">
        <v>16</v>
      </c>
      <c r="C194" s="11" t="s">
        <v>562</v>
      </c>
      <c r="D194" s="12" t="s">
        <v>563</v>
      </c>
      <c r="E194" s="12" t="s">
        <v>25</v>
      </c>
      <c r="F194" s="13" t="s">
        <v>564</v>
      </c>
      <c r="G194" s="14">
        <v>44127</v>
      </c>
      <c r="H194" s="13" t="s">
        <v>27</v>
      </c>
      <c r="I194" s="15"/>
      <c r="J194" s="5">
        <v>30</v>
      </c>
      <c r="K194" s="5">
        <v>0</v>
      </c>
      <c r="L194" s="270"/>
      <c r="M194" s="15"/>
      <c r="N194" s="154">
        <v>0</v>
      </c>
      <c r="O194" s="154">
        <v>1103.92</v>
      </c>
      <c r="P194" s="152"/>
      <c r="Q194" s="213">
        <f>IFERROR(VLOOKUP(C194,[1]Planilha1!$C$1:$Q$65536,15,0),0)</f>
        <v>0</v>
      </c>
      <c r="R194" s="213">
        <f>IFERROR(VLOOKUP(C194,[1]Planilha1!$C$1:$R$65536,16,0),0)</f>
        <v>0</v>
      </c>
      <c r="S194" s="213">
        <f>IFERROR(VLOOKUP(C194,[1]Planilha1!$C$1:$S$65536,17,0),0)</f>
        <v>0</v>
      </c>
      <c r="T194" s="213">
        <f>IFERROR(VLOOKUP(C194,[1]Planilha1!$C$1:$T$65536,18,0),0)</f>
        <v>304.2</v>
      </c>
      <c r="U194" s="6"/>
      <c r="V194" s="260"/>
      <c r="W194" s="6"/>
      <c r="X194" s="218"/>
      <c r="Y194" s="6"/>
      <c r="AA194" s="6"/>
      <c r="AB194" s="6"/>
      <c r="AC194" s="7"/>
      <c r="AD194" s="6"/>
      <c r="AE194" s="6"/>
      <c r="AF194" s="6"/>
      <c r="AG194" s="7"/>
      <c r="AH194" s="213"/>
      <c r="AI194" s="213"/>
    </row>
    <row r="195" spans="1:35" x14ac:dyDescent="0.25">
      <c r="A195" s="10">
        <v>181</v>
      </c>
      <c r="B195" s="10">
        <v>34</v>
      </c>
      <c r="C195" s="11" t="s">
        <v>923</v>
      </c>
      <c r="D195" s="12" t="s">
        <v>924</v>
      </c>
      <c r="E195" s="12" t="s">
        <v>25</v>
      </c>
      <c r="F195" s="13" t="s">
        <v>925</v>
      </c>
      <c r="G195" s="14">
        <v>44385</v>
      </c>
      <c r="H195" s="13" t="s">
        <v>27</v>
      </c>
      <c r="I195" s="15"/>
      <c r="J195" s="5">
        <v>30</v>
      </c>
      <c r="K195" s="5">
        <v>0</v>
      </c>
      <c r="L195" s="270"/>
      <c r="M195" s="15"/>
      <c r="N195" s="154">
        <v>0</v>
      </c>
      <c r="O195" s="154">
        <v>1103.92</v>
      </c>
      <c r="P195" s="152"/>
      <c r="Q195" s="213">
        <f>IFERROR(VLOOKUP(C195,[1]Planilha1!$C$1:$Q$65536,15,0),0)</f>
        <v>0</v>
      </c>
      <c r="R195" s="213">
        <f>IFERROR(VLOOKUP(C195,[1]Planilha1!$C$1:$R$65536,16,0),0)</f>
        <v>0</v>
      </c>
      <c r="S195" s="213">
        <f>IFERROR(VLOOKUP(C195,[1]Planilha1!$C$1:$S$65536,17,0),0)</f>
        <v>0</v>
      </c>
      <c r="T195" s="213">
        <f>IFERROR(VLOOKUP(C195,[1]Planilha1!$C$1:$T$65536,18,0),0)</f>
        <v>166</v>
      </c>
      <c r="U195" s="6"/>
      <c r="V195" s="260"/>
      <c r="W195" s="6"/>
      <c r="X195" s="218"/>
      <c r="Y195" s="6"/>
      <c r="AA195" s="6"/>
      <c r="AB195" s="6"/>
      <c r="AC195" s="7"/>
      <c r="AD195" s="6"/>
      <c r="AE195" s="6"/>
      <c r="AF195" s="6"/>
      <c r="AG195" s="7"/>
      <c r="AH195" s="213"/>
      <c r="AI195" s="213"/>
    </row>
    <row r="196" spans="1:35" x14ac:dyDescent="0.25">
      <c r="A196" s="10">
        <v>181</v>
      </c>
      <c r="B196" s="10">
        <v>36</v>
      </c>
      <c r="C196" s="11" t="s">
        <v>929</v>
      </c>
      <c r="D196" s="12" t="s">
        <v>930</v>
      </c>
      <c r="E196" s="12" t="s">
        <v>25</v>
      </c>
      <c r="F196" s="13" t="s">
        <v>931</v>
      </c>
      <c r="G196" s="14">
        <v>44390</v>
      </c>
      <c r="H196" s="13" t="s">
        <v>27</v>
      </c>
      <c r="I196" s="15"/>
      <c r="J196" s="5">
        <v>30</v>
      </c>
      <c r="K196" s="5">
        <v>0</v>
      </c>
      <c r="L196" s="270"/>
      <c r="M196" s="15"/>
      <c r="N196" s="154">
        <v>0</v>
      </c>
      <c r="O196" s="154">
        <v>1103.92</v>
      </c>
      <c r="P196" s="152"/>
      <c r="Q196" s="213">
        <f>IFERROR(VLOOKUP(C196,[1]Planilha1!$C$1:$Q$65536,15,0),0)</f>
        <v>0</v>
      </c>
      <c r="R196" s="213">
        <f>IFERROR(VLOOKUP(C196,[1]Planilha1!$C$1:$R$65536,16,0),0)</f>
        <v>0</v>
      </c>
      <c r="S196" s="213">
        <f>IFERROR(VLOOKUP(C196,[1]Planilha1!$C$1:$S$65536,17,0),0)</f>
        <v>0</v>
      </c>
      <c r="T196" s="213">
        <f>IFERROR(VLOOKUP(C196,[1]Planilha1!$C$1:$T$65536,18,0),0)</f>
        <v>0</v>
      </c>
      <c r="U196" s="6"/>
      <c r="V196" s="260"/>
      <c r="W196" s="6"/>
      <c r="X196" s="218"/>
      <c r="Y196" s="6"/>
      <c r="AA196" s="6"/>
      <c r="AB196" s="6"/>
      <c r="AC196" s="7"/>
      <c r="AD196" s="6"/>
      <c r="AE196" s="6"/>
      <c r="AF196" s="6"/>
      <c r="AG196" s="7"/>
      <c r="AH196" s="213"/>
      <c r="AI196" s="213"/>
    </row>
    <row r="197" spans="1:35" x14ac:dyDescent="0.25">
      <c r="A197" s="10">
        <v>181</v>
      </c>
      <c r="B197" s="10">
        <v>32</v>
      </c>
      <c r="C197" s="11" t="s">
        <v>565</v>
      </c>
      <c r="D197" s="12" t="s">
        <v>566</v>
      </c>
      <c r="E197" s="12" t="s">
        <v>30</v>
      </c>
      <c r="F197" s="13" t="s">
        <v>567</v>
      </c>
      <c r="G197" s="14">
        <v>44320</v>
      </c>
      <c r="H197" s="13" t="s">
        <v>27</v>
      </c>
      <c r="I197" s="15"/>
      <c r="J197" s="5">
        <v>30</v>
      </c>
      <c r="K197" s="5">
        <v>0</v>
      </c>
      <c r="L197" s="270"/>
      <c r="M197" s="15"/>
      <c r="N197" s="154">
        <v>1120</v>
      </c>
      <c r="O197" s="154"/>
      <c r="P197" s="152">
        <v>89.33</v>
      </c>
      <c r="Q197" s="213">
        <f>IFERROR(VLOOKUP(C197,[1]Planilha1!$C$1:$Q$65536,15,0),0)</f>
        <v>0</v>
      </c>
      <c r="R197" s="213">
        <f>IFERROR(VLOOKUP(C197,[1]Planilha1!$C$1:$R$65536,16,0),0)</f>
        <v>0</v>
      </c>
      <c r="S197" s="213">
        <f>IFERROR(VLOOKUP(C197,[1]Planilha1!$C$1:$S$65536,17,0),0)</f>
        <v>0</v>
      </c>
      <c r="T197" s="213">
        <f>IFERROR(VLOOKUP(C197,[1]Planilha1!$C$1:$T$65536,18,0),0)</f>
        <v>304.2</v>
      </c>
      <c r="U197" s="6"/>
      <c r="V197" s="260"/>
      <c r="W197" s="6"/>
      <c r="X197" s="218"/>
      <c r="Y197" s="6"/>
      <c r="AA197" s="6"/>
      <c r="AB197" s="6"/>
      <c r="AC197" s="7"/>
      <c r="AD197" s="6"/>
      <c r="AE197" s="6"/>
      <c r="AF197" s="6"/>
      <c r="AG197" s="7"/>
      <c r="AH197" s="213"/>
      <c r="AI197" s="213"/>
    </row>
    <row r="198" spans="1:35" x14ac:dyDescent="0.25">
      <c r="A198" s="10">
        <v>181</v>
      </c>
      <c r="B198" s="10">
        <v>35</v>
      </c>
      <c r="C198" s="11" t="s">
        <v>926</v>
      </c>
      <c r="D198" s="12" t="s">
        <v>927</v>
      </c>
      <c r="E198" s="12" t="s">
        <v>30</v>
      </c>
      <c r="F198" s="13" t="s">
        <v>928</v>
      </c>
      <c r="G198" s="14">
        <v>44385</v>
      </c>
      <c r="H198" s="13" t="s">
        <v>27</v>
      </c>
      <c r="I198" s="15"/>
      <c r="J198" s="5">
        <v>30</v>
      </c>
      <c r="K198" s="5">
        <v>0</v>
      </c>
      <c r="L198" s="270"/>
      <c r="M198" s="15"/>
      <c r="N198" s="154">
        <v>1120</v>
      </c>
      <c r="O198" s="154"/>
      <c r="P198" s="152">
        <v>89.33</v>
      </c>
      <c r="Q198" s="213">
        <f>IFERROR(VLOOKUP(C198,[1]Planilha1!$C$1:$Q$65536,15,0),0)</f>
        <v>0</v>
      </c>
      <c r="R198" s="213">
        <f>IFERROR(VLOOKUP(C198,[1]Planilha1!$C$1:$R$65536,16,0),0)</f>
        <v>0</v>
      </c>
      <c r="S198" s="213">
        <f>IFERROR(VLOOKUP(C198,[1]Planilha1!$C$1:$S$65536,17,0),0)</f>
        <v>0</v>
      </c>
      <c r="T198" s="213">
        <f>IFERROR(VLOOKUP(C198,[1]Planilha1!$C$1:$T$65536,18,0),0)</f>
        <v>0</v>
      </c>
      <c r="U198" s="6"/>
      <c r="V198" s="260"/>
      <c r="W198" s="6"/>
      <c r="X198" s="218"/>
      <c r="Y198" s="6"/>
      <c r="AA198" s="6"/>
      <c r="AB198" s="6"/>
      <c r="AC198" s="7"/>
      <c r="AD198" s="6"/>
      <c r="AE198" s="6"/>
      <c r="AF198" s="6"/>
      <c r="AG198" s="7"/>
      <c r="AH198" s="213"/>
      <c r="AI198" s="213"/>
    </row>
    <row r="199" spans="1:35" x14ac:dyDescent="0.25">
      <c r="A199" s="10">
        <v>181</v>
      </c>
      <c r="B199" s="10">
        <v>1</v>
      </c>
      <c r="C199" s="11" t="s">
        <v>568</v>
      </c>
      <c r="D199" s="12" t="s">
        <v>569</v>
      </c>
      <c r="E199" s="12" t="s">
        <v>25</v>
      </c>
      <c r="F199" s="13" t="s">
        <v>570</v>
      </c>
      <c r="G199" s="14">
        <v>44078</v>
      </c>
      <c r="H199" s="13" t="s">
        <v>27</v>
      </c>
      <c r="I199" s="15"/>
      <c r="J199" s="5">
        <v>30</v>
      </c>
      <c r="K199" s="5">
        <v>0</v>
      </c>
      <c r="L199" s="270"/>
      <c r="M199" s="15"/>
      <c r="N199" s="154">
        <v>0</v>
      </c>
      <c r="O199" s="154">
        <v>1103.92</v>
      </c>
      <c r="P199" s="152"/>
      <c r="Q199" s="213">
        <f>IFERROR(VLOOKUP(C199,[1]Planilha1!$C$1:$Q$65536,15,0),0)</f>
        <v>0</v>
      </c>
      <c r="R199" s="213">
        <f>IFERROR(VLOOKUP(C199,[1]Planilha1!$C$1:$R$65536,16,0),0)</f>
        <v>0</v>
      </c>
      <c r="S199" s="213">
        <f>IFERROR(VLOOKUP(C199,[1]Planilha1!$C$1:$S$65536,17,0),0)</f>
        <v>0</v>
      </c>
      <c r="T199" s="213">
        <f>IFERROR(VLOOKUP(C199,[1]Planilha1!$C$1:$T$65536,18,0),0)</f>
        <v>267.8</v>
      </c>
      <c r="U199" s="6"/>
      <c r="V199" s="260"/>
      <c r="W199" s="6"/>
      <c r="X199" s="218"/>
      <c r="Y199" s="6"/>
      <c r="AA199" s="6"/>
      <c r="AB199" s="6"/>
      <c r="AC199" s="7"/>
      <c r="AD199" s="6"/>
      <c r="AE199" s="6"/>
      <c r="AF199" s="6"/>
      <c r="AG199" s="7"/>
      <c r="AH199" s="213"/>
      <c r="AI199" s="213"/>
    </row>
    <row r="200" spans="1:35" x14ac:dyDescent="0.25">
      <c r="A200" s="10">
        <v>181</v>
      </c>
      <c r="B200" s="10">
        <v>13</v>
      </c>
      <c r="C200" s="11" t="s">
        <v>571</v>
      </c>
      <c r="D200" s="12" t="s">
        <v>572</v>
      </c>
      <c r="E200" s="12" t="s">
        <v>25</v>
      </c>
      <c r="F200" s="13" t="s">
        <v>573</v>
      </c>
      <c r="G200" s="14">
        <v>43476</v>
      </c>
      <c r="H200" s="13" t="s">
        <v>27</v>
      </c>
      <c r="I200" s="15"/>
      <c r="J200" s="5">
        <v>30</v>
      </c>
      <c r="K200" s="5">
        <v>0</v>
      </c>
      <c r="L200" s="270"/>
      <c r="M200" s="15"/>
      <c r="N200" s="154">
        <v>0</v>
      </c>
      <c r="O200" s="154">
        <v>1103.92</v>
      </c>
      <c r="P200" s="152"/>
      <c r="Q200" s="213">
        <f>IFERROR(VLOOKUP(C200,[1]Planilha1!$C$1:$Q$65536,15,0),0)</f>
        <v>0</v>
      </c>
      <c r="R200" s="213">
        <f>IFERROR(VLOOKUP(C200,[1]Planilha1!$C$1:$R$65536,16,0),0)</f>
        <v>0</v>
      </c>
      <c r="S200" s="213">
        <f>IFERROR(VLOOKUP(C200,[1]Planilha1!$C$1:$S$65536,17,0),0)</f>
        <v>0</v>
      </c>
      <c r="T200" s="213">
        <f>IFERROR(VLOOKUP(C200,[1]Planilha1!$C$1:$T$65536,18,0),0)</f>
        <v>418.6</v>
      </c>
      <c r="U200" s="6"/>
      <c r="V200" s="260"/>
      <c r="W200" s="6"/>
      <c r="X200" s="218"/>
      <c r="Y200" s="6"/>
      <c r="AA200" s="6"/>
      <c r="AB200" s="6"/>
      <c r="AC200" s="7">
        <v>400</v>
      </c>
      <c r="AD200" s="6"/>
      <c r="AE200" s="6"/>
      <c r="AF200" s="6"/>
      <c r="AG200" s="7">
        <v>400</v>
      </c>
      <c r="AH200" s="213"/>
      <c r="AI200" s="213"/>
    </row>
    <row r="201" spans="1:35" x14ac:dyDescent="0.25">
      <c r="A201" s="10">
        <v>183</v>
      </c>
      <c r="B201" s="10">
        <v>14</v>
      </c>
      <c r="C201" s="11" t="s">
        <v>574</v>
      </c>
      <c r="D201" s="12" t="s">
        <v>575</v>
      </c>
      <c r="E201" s="12" t="s">
        <v>25</v>
      </c>
      <c r="F201" s="13" t="s">
        <v>576</v>
      </c>
      <c r="G201" s="14">
        <v>44342</v>
      </c>
      <c r="H201" s="13" t="s">
        <v>27</v>
      </c>
      <c r="I201" s="15"/>
      <c r="J201" s="5">
        <v>30</v>
      </c>
      <c r="K201" s="5">
        <v>0</v>
      </c>
      <c r="L201" s="270"/>
      <c r="M201" s="15"/>
      <c r="N201" s="154">
        <v>0</v>
      </c>
      <c r="O201" s="154">
        <v>1786</v>
      </c>
      <c r="P201" s="152"/>
      <c r="Q201" s="213">
        <f>IFERROR(VLOOKUP(C201,[1]Planilha1!$C$1:$Q$65536,15,0),0)</f>
        <v>0</v>
      </c>
      <c r="R201" s="213">
        <f>IFERROR(VLOOKUP(C201,[1]Planilha1!$C$1:$R$65536,16,0),0)</f>
        <v>28</v>
      </c>
      <c r="S201" s="213">
        <f>IFERROR(VLOOKUP(C201,[1]Planilha1!$C$1:$S$65536,17,0),0)</f>
        <v>260</v>
      </c>
      <c r="T201" s="213">
        <f>IFERROR(VLOOKUP(C201,[1]Planilha1!$C$1:$T$65536,18,0),0)</f>
        <v>0</v>
      </c>
      <c r="U201" s="6"/>
      <c r="V201" s="260"/>
      <c r="W201" s="6"/>
      <c r="X201" s="218"/>
      <c r="Y201" s="6"/>
      <c r="AA201" s="6"/>
      <c r="AB201" s="6"/>
      <c r="AC201" s="7"/>
      <c r="AD201" s="6"/>
      <c r="AE201" s="6"/>
      <c r="AF201" s="6"/>
      <c r="AG201" s="7"/>
      <c r="AH201" s="213"/>
      <c r="AI201" s="213"/>
    </row>
    <row r="202" spans="1:35" x14ac:dyDescent="0.25">
      <c r="A202" s="10">
        <v>183</v>
      </c>
      <c r="B202" s="10">
        <v>16</v>
      </c>
      <c r="C202" s="11" t="s">
        <v>577</v>
      </c>
      <c r="D202" s="12" t="s">
        <v>578</v>
      </c>
      <c r="E202" s="12" t="s">
        <v>25</v>
      </c>
      <c r="F202" s="13" t="s">
        <v>579</v>
      </c>
      <c r="G202" s="14">
        <v>44358</v>
      </c>
      <c r="H202" s="13" t="s">
        <v>27</v>
      </c>
      <c r="I202" s="15"/>
      <c r="J202" s="5">
        <v>30</v>
      </c>
      <c r="K202" s="5">
        <v>0</v>
      </c>
      <c r="L202" s="270"/>
      <c r="M202" s="15"/>
      <c r="N202" s="154">
        <v>0</v>
      </c>
      <c r="O202" s="154">
        <v>1786</v>
      </c>
      <c r="P202" s="152"/>
      <c r="Q202" s="213">
        <f>IFERROR(VLOOKUP(C202,[1]Planilha1!$C$1:$Q$65536,15,0),0)</f>
        <v>0</v>
      </c>
      <c r="R202" s="213">
        <f>IFERROR(VLOOKUP(C202,[1]Planilha1!$C$1:$R$65536,16,0),0)</f>
        <v>28</v>
      </c>
      <c r="S202" s="213">
        <f>IFERROR(VLOOKUP(C202,[1]Planilha1!$C$1:$S$65536,17,0),0)</f>
        <v>0</v>
      </c>
      <c r="T202" s="213">
        <f>IFERROR(VLOOKUP(C202,[1]Planilha1!$C$1:$T$65536,18,0),0)</f>
        <v>0</v>
      </c>
      <c r="U202" s="6"/>
      <c r="V202" s="260"/>
      <c r="W202" s="6"/>
      <c r="X202" s="218"/>
      <c r="Y202" s="6"/>
      <c r="AA202" s="6"/>
      <c r="AB202" s="6"/>
      <c r="AC202" s="7"/>
      <c r="AD202" s="6"/>
      <c r="AE202" s="6"/>
      <c r="AF202" s="6"/>
      <c r="AG202" s="7"/>
      <c r="AH202" s="213"/>
      <c r="AI202" s="213"/>
    </row>
    <row r="203" spans="1:35" x14ac:dyDescent="0.25">
      <c r="A203" s="10">
        <v>183</v>
      </c>
      <c r="B203" s="10">
        <v>8</v>
      </c>
      <c r="C203" s="11" t="s">
        <v>580</v>
      </c>
      <c r="D203" s="12" t="s">
        <v>581</v>
      </c>
      <c r="E203" s="12" t="s">
        <v>25</v>
      </c>
      <c r="F203" s="13" t="s">
        <v>582</v>
      </c>
      <c r="G203" s="14">
        <v>44148</v>
      </c>
      <c r="H203" s="13" t="s">
        <v>27</v>
      </c>
      <c r="I203" s="15"/>
      <c r="J203" s="5">
        <v>30</v>
      </c>
      <c r="K203" s="5">
        <v>0</v>
      </c>
      <c r="L203" s="270"/>
      <c r="M203" s="15"/>
      <c r="N203" s="154">
        <v>0</v>
      </c>
      <c r="O203" s="154">
        <v>1786</v>
      </c>
      <c r="P203" s="152"/>
      <c r="Q203" s="213">
        <f>IFERROR(VLOOKUP(C203,[1]Planilha1!$C$1:$Q$65536,15,0),0)</f>
        <v>0</v>
      </c>
      <c r="R203" s="213">
        <f>IFERROR(VLOOKUP(C203,[1]Planilha1!$C$1:$R$65536,16,0),0)</f>
        <v>28</v>
      </c>
      <c r="S203" s="213">
        <f>IFERROR(VLOOKUP(C203,[1]Planilha1!$C$1:$S$65536,17,0),0)</f>
        <v>0</v>
      </c>
      <c r="T203" s="213">
        <f>IFERROR(VLOOKUP(C203,[1]Planilha1!$C$1:$T$65536,18,0),0)</f>
        <v>0</v>
      </c>
      <c r="U203" s="6"/>
      <c r="V203" s="260"/>
      <c r="W203" s="6"/>
      <c r="X203" s="218"/>
      <c r="Y203" s="6"/>
      <c r="AA203" s="6"/>
      <c r="AB203" s="6"/>
      <c r="AC203" s="7"/>
      <c r="AD203" s="6"/>
      <c r="AE203" s="6"/>
      <c r="AF203" s="6"/>
      <c r="AG203" s="7"/>
      <c r="AH203" s="213"/>
      <c r="AI203" s="213"/>
    </row>
    <row r="204" spans="1:35" x14ac:dyDescent="0.25">
      <c r="A204" s="10">
        <v>183</v>
      </c>
      <c r="B204" s="10">
        <v>1</v>
      </c>
      <c r="C204" s="11" t="s">
        <v>586</v>
      </c>
      <c r="D204" s="12" t="s">
        <v>587</v>
      </c>
      <c r="E204" s="12" t="s">
        <v>25</v>
      </c>
      <c r="F204" s="13" t="s">
        <v>588</v>
      </c>
      <c r="G204" s="14">
        <v>44146</v>
      </c>
      <c r="H204" s="13" t="s">
        <v>27</v>
      </c>
      <c r="I204" s="15"/>
      <c r="J204" s="5">
        <v>30</v>
      </c>
      <c r="K204" s="5">
        <v>0</v>
      </c>
      <c r="L204" s="270"/>
      <c r="M204" s="15"/>
      <c r="N204" s="154">
        <v>0</v>
      </c>
      <c r="O204" s="154">
        <v>1786</v>
      </c>
      <c r="P204" s="152"/>
      <c r="Q204" s="213">
        <f>IFERROR(VLOOKUP(C204,[1]Planilha1!$C$1:$Q$65536,15,0),0)</f>
        <v>0</v>
      </c>
      <c r="R204" s="213">
        <f>IFERROR(VLOOKUP(C204,[1]Planilha1!$C$1:$R$65536,16,0),0)</f>
        <v>28</v>
      </c>
      <c r="S204" s="213">
        <f>IFERROR(VLOOKUP(C204,[1]Planilha1!$C$1:$S$65536,17,0),0)</f>
        <v>234</v>
      </c>
      <c r="T204" s="213">
        <f>IFERROR(VLOOKUP(C204,[1]Planilha1!$C$1:$T$65536,18,0),0)</f>
        <v>0</v>
      </c>
      <c r="U204" s="6"/>
      <c r="V204" s="260"/>
      <c r="W204" s="6"/>
      <c r="X204" s="218"/>
      <c r="Y204" s="6"/>
      <c r="AA204" s="6"/>
      <c r="AB204" s="6"/>
      <c r="AC204" s="7"/>
      <c r="AD204" s="6"/>
      <c r="AE204" s="6"/>
      <c r="AF204" s="6"/>
      <c r="AG204" s="7"/>
      <c r="AH204" s="213"/>
      <c r="AI204" s="213"/>
    </row>
    <row r="205" spans="1:35" x14ac:dyDescent="0.25">
      <c r="A205" s="10">
        <v>183</v>
      </c>
      <c r="B205" s="10">
        <v>5</v>
      </c>
      <c r="C205" s="11" t="s">
        <v>589</v>
      </c>
      <c r="D205" s="12" t="s">
        <v>590</v>
      </c>
      <c r="E205" s="12" t="s">
        <v>25</v>
      </c>
      <c r="F205" s="13" t="s">
        <v>591</v>
      </c>
      <c r="G205" s="14">
        <v>44147</v>
      </c>
      <c r="H205" s="13" t="s">
        <v>27</v>
      </c>
      <c r="I205" s="15"/>
      <c r="J205" s="5">
        <v>30</v>
      </c>
      <c r="K205" s="5">
        <v>0</v>
      </c>
      <c r="L205" s="270"/>
      <c r="M205" s="15"/>
      <c r="N205" s="154">
        <v>0</v>
      </c>
      <c r="O205" s="154">
        <v>1786</v>
      </c>
      <c r="P205" s="152"/>
      <c r="Q205" s="213">
        <f>IFERROR(VLOOKUP(C205,[1]Planilha1!$C$1:$Q$65536,15,0),0)</f>
        <v>0</v>
      </c>
      <c r="R205" s="213">
        <f>IFERROR(VLOOKUP(C205,[1]Planilha1!$C$1:$R$65536,16,0),0)</f>
        <v>28</v>
      </c>
      <c r="S205" s="213">
        <f>IFERROR(VLOOKUP(C205,[1]Planilha1!$C$1:$S$65536,17,0),0)</f>
        <v>225</v>
      </c>
      <c r="T205" s="213">
        <f>IFERROR(VLOOKUP(C205,[1]Planilha1!$C$1:$T$65536,18,0),0)</f>
        <v>0</v>
      </c>
      <c r="U205" s="6"/>
      <c r="V205" s="260"/>
      <c r="W205" s="6"/>
      <c r="X205" s="218"/>
      <c r="Y205" s="6"/>
      <c r="AA205" s="6"/>
      <c r="AB205" s="6"/>
      <c r="AC205" s="7"/>
      <c r="AD205" s="6"/>
      <c r="AE205" s="6"/>
      <c r="AF205" s="6"/>
      <c r="AG205" s="7"/>
      <c r="AH205" s="213"/>
      <c r="AI205" s="213"/>
    </row>
    <row r="206" spans="1:35" x14ac:dyDescent="0.25">
      <c r="A206" s="10">
        <v>183</v>
      </c>
      <c r="B206" s="10">
        <v>15</v>
      </c>
      <c r="C206" s="11" t="s">
        <v>592</v>
      </c>
      <c r="D206" s="12" t="s">
        <v>593</v>
      </c>
      <c r="E206" s="12" t="s">
        <v>25</v>
      </c>
      <c r="F206" s="13" t="s">
        <v>594</v>
      </c>
      <c r="G206" s="14">
        <v>44342</v>
      </c>
      <c r="H206" s="13" t="s">
        <v>27</v>
      </c>
      <c r="I206" s="15"/>
      <c r="J206" s="5">
        <v>30</v>
      </c>
      <c r="K206" s="5">
        <v>0</v>
      </c>
      <c r="L206" s="270"/>
      <c r="M206" s="15"/>
      <c r="N206" s="154">
        <v>0</v>
      </c>
      <c r="O206" s="154">
        <v>1786</v>
      </c>
      <c r="P206" s="152"/>
      <c r="Q206" s="213">
        <f>IFERROR(VLOOKUP(C206,[1]Planilha1!$C$1:$Q$65536,15,0),0)</f>
        <v>0</v>
      </c>
      <c r="R206" s="213">
        <f>IFERROR(VLOOKUP(C206,[1]Planilha1!$C$1:$R$65536,16,0),0)</f>
        <v>28</v>
      </c>
      <c r="S206" s="213">
        <f>IFERROR(VLOOKUP(C206,[1]Planilha1!$C$1:$S$65536,17,0),0)</f>
        <v>0</v>
      </c>
      <c r="T206" s="213">
        <f>IFERROR(VLOOKUP(C206,[1]Planilha1!$C$1:$T$65536,18,0),0)</f>
        <v>0</v>
      </c>
      <c r="U206" s="6"/>
      <c r="V206" s="260"/>
      <c r="W206" s="6"/>
      <c r="X206" s="218"/>
      <c r="Y206" s="6"/>
      <c r="AA206" s="6"/>
      <c r="AB206" s="6"/>
      <c r="AC206" s="7"/>
      <c r="AD206" s="6"/>
      <c r="AE206" s="6"/>
      <c r="AF206" s="6"/>
      <c r="AG206" s="7"/>
      <c r="AH206" s="213"/>
      <c r="AI206" s="213"/>
    </row>
    <row r="207" spans="1:35" x14ac:dyDescent="0.25">
      <c r="A207" s="10">
        <v>183</v>
      </c>
      <c r="B207" s="10">
        <v>2</v>
      </c>
      <c r="C207" s="11" t="s">
        <v>595</v>
      </c>
      <c r="D207" s="12" t="s">
        <v>596</v>
      </c>
      <c r="E207" s="12" t="s">
        <v>30</v>
      </c>
      <c r="F207" s="13" t="s">
        <v>597</v>
      </c>
      <c r="G207" s="14">
        <v>44146</v>
      </c>
      <c r="H207" s="13" t="s">
        <v>27</v>
      </c>
      <c r="I207" s="15"/>
      <c r="J207" s="5">
        <v>30</v>
      </c>
      <c r="K207" s="5">
        <v>0</v>
      </c>
      <c r="L207" s="270"/>
      <c r="M207" s="15"/>
      <c r="N207" s="154">
        <v>1519.44</v>
      </c>
      <c r="O207" s="154"/>
      <c r="P207" s="152">
        <v>82</v>
      </c>
      <c r="Q207" s="213">
        <f>IFERROR(VLOOKUP(C207,[1]Planilha1!$C$1:$Q$65536,15,0),0)</f>
        <v>0</v>
      </c>
      <c r="R207" s="213">
        <f>IFERROR(VLOOKUP(C207,[1]Planilha1!$C$1:$R$65536,16,0),0)</f>
        <v>0</v>
      </c>
      <c r="S207" s="213">
        <f>IFERROR(VLOOKUP(C207,[1]Planilha1!$C$1:$S$65536,17,0),0)</f>
        <v>0</v>
      </c>
      <c r="T207" s="213">
        <f>IFERROR(VLOOKUP(C207,[1]Planilha1!$C$1:$T$65536,18,0),0)</f>
        <v>0</v>
      </c>
      <c r="U207" s="6"/>
      <c r="V207" s="260"/>
      <c r="W207" s="6"/>
      <c r="X207" s="218"/>
      <c r="Y207" s="6"/>
      <c r="AA207" s="6"/>
      <c r="AB207" s="6"/>
      <c r="AC207" s="7"/>
      <c r="AD207" s="6"/>
      <c r="AE207" s="6"/>
      <c r="AF207" s="6"/>
      <c r="AG207" s="7"/>
      <c r="AH207" s="213"/>
      <c r="AI207" s="213"/>
    </row>
    <row r="208" spans="1:35" x14ac:dyDescent="0.25">
      <c r="A208" s="10">
        <v>185</v>
      </c>
      <c r="B208" s="10">
        <v>6</v>
      </c>
      <c r="C208" s="11" t="s">
        <v>598</v>
      </c>
      <c r="D208" s="12" t="s">
        <v>599</v>
      </c>
      <c r="E208" s="12" t="s">
        <v>25</v>
      </c>
      <c r="F208" s="13" t="s">
        <v>600</v>
      </c>
      <c r="G208" s="14">
        <v>44293</v>
      </c>
      <c r="H208" s="13" t="s">
        <v>27</v>
      </c>
      <c r="I208" s="15"/>
      <c r="J208" s="5">
        <v>30</v>
      </c>
      <c r="K208" s="5">
        <v>0</v>
      </c>
      <c r="L208" s="270"/>
      <c r="M208" s="15"/>
      <c r="N208" s="154">
        <v>0</v>
      </c>
      <c r="O208" s="154">
        <v>1055</v>
      </c>
      <c r="P208" s="152"/>
      <c r="Q208" s="213">
        <f>IFERROR(VLOOKUP(C208,[1]Planilha1!$C$1:$Q$65536,15,0),0)</f>
        <v>0</v>
      </c>
      <c r="R208" s="213">
        <f>IFERROR(VLOOKUP(C208,[1]Planilha1!$C$1:$R$65536,16,0),0)</f>
        <v>0</v>
      </c>
      <c r="S208" s="213">
        <f>IFERROR(VLOOKUP(C208,[1]Planilha1!$C$1:$S$65536,17,0),0)</f>
        <v>187.5</v>
      </c>
      <c r="T208" s="213">
        <f>IFERROR(VLOOKUP(C208,[1]Planilha1!$C$1:$T$65536,18,0),0)</f>
        <v>0</v>
      </c>
      <c r="U208" s="6"/>
      <c r="V208" s="260"/>
      <c r="W208" s="6"/>
      <c r="X208" s="218"/>
      <c r="Y208" s="6"/>
      <c r="AA208" s="6"/>
      <c r="AB208" s="6"/>
      <c r="AC208" s="7"/>
      <c r="AD208" s="6"/>
      <c r="AE208" s="6"/>
      <c r="AF208" s="6"/>
      <c r="AG208" s="7"/>
      <c r="AH208" s="213"/>
      <c r="AI208" s="213"/>
    </row>
    <row r="209" spans="1:35" x14ac:dyDescent="0.25">
      <c r="A209" s="10">
        <v>185</v>
      </c>
      <c r="B209" s="10">
        <v>1</v>
      </c>
      <c r="C209" s="11" t="s">
        <v>601</v>
      </c>
      <c r="D209" s="12" t="s">
        <v>602</v>
      </c>
      <c r="E209" s="12" t="s">
        <v>48</v>
      </c>
      <c r="F209" s="13" t="s">
        <v>603</v>
      </c>
      <c r="G209" s="14">
        <v>44273</v>
      </c>
      <c r="H209" s="13" t="s">
        <v>27</v>
      </c>
      <c r="I209" s="15"/>
      <c r="J209" s="5">
        <v>30</v>
      </c>
      <c r="K209" s="5">
        <v>0</v>
      </c>
      <c r="L209" s="270"/>
      <c r="M209" s="15"/>
      <c r="N209" s="154">
        <v>0</v>
      </c>
      <c r="O209" s="154">
        <v>4000</v>
      </c>
      <c r="P209" s="152"/>
      <c r="Q209" s="213">
        <f>IFERROR(VLOOKUP(C209,[1]Planilha1!$C$1:$Q$65536,15,0),0)</f>
        <v>0</v>
      </c>
      <c r="R209" s="213">
        <f>IFERROR(VLOOKUP(C209,[1]Planilha1!$C$1:$R$65536,16,0),0)</f>
        <v>0</v>
      </c>
      <c r="S209" s="213">
        <f>IFERROR(VLOOKUP(C209,[1]Planilha1!$C$1:$S$65536,17,0),0)</f>
        <v>0</v>
      </c>
      <c r="T209" s="213">
        <f>IFERROR(VLOOKUP(C209,[1]Planilha1!$C$1:$T$65536,18,0),0)</f>
        <v>0</v>
      </c>
      <c r="U209" s="6"/>
      <c r="V209" s="260"/>
      <c r="W209" s="6"/>
      <c r="X209" s="218"/>
      <c r="Y209" s="6"/>
      <c r="AA209" s="6"/>
      <c r="AB209" s="6"/>
      <c r="AC209" s="7"/>
      <c r="AD209" s="6"/>
      <c r="AE209" s="6"/>
      <c r="AF209" s="6"/>
      <c r="AG209" s="7"/>
      <c r="AH209" s="213"/>
      <c r="AI209" s="213"/>
    </row>
    <row r="210" spans="1:35" x14ac:dyDescent="0.25">
      <c r="A210" s="10">
        <v>185</v>
      </c>
      <c r="B210" s="10">
        <v>3</v>
      </c>
      <c r="C210" s="11" t="s">
        <v>604</v>
      </c>
      <c r="D210" s="12" t="s">
        <v>605</v>
      </c>
      <c r="E210" s="12" t="s">
        <v>998</v>
      </c>
      <c r="F210" s="13" t="s">
        <v>606</v>
      </c>
      <c r="G210" s="14">
        <v>44287</v>
      </c>
      <c r="H210" s="13" t="s">
        <v>27</v>
      </c>
      <c r="I210" s="15"/>
      <c r="J210" s="5">
        <v>30</v>
      </c>
      <c r="K210" s="5">
        <v>0</v>
      </c>
      <c r="L210" s="270"/>
      <c r="M210" s="15"/>
      <c r="N210" s="154">
        <v>1055</v>
      </c>
      <c r="O210" s="154"/>
      <c r="P210" s="152">
        <v>5</v>
      </c>
      <c r="Q210" s="213">
        <f>IFERROR(VLOOKUP(C210,[1]Planilha1!$C$1:$Q$65536,15,0),0)</f>
        <v>0</v>
      </c>
      <c r="R210" s="213">
        <f>IFERROR(VLOOKUP(C210,[1]Planilha1!$C$1:$R$65536,16,0),0)</f>
        <v>0</v>
      </c>
      <c r="S210" s="213">
        <f>IFERROR(VLOOKUP(C210,[1]Planilha1!$C$1:$S$65536,17,0),0)</f>
        <v>235</v>
      </c>
      <c r="T210" s="213">
        <f>IFERROR(VLOOKUP(C210,[1]Planilha1!$C$1:$T$65536,18,0),0)</f>
        <v>0</v>
      </c>
      <c r="U210" s="6"/>
      <c r="V210" s="260"/>
      <c r="W210" s="6"/>
      <c r="X210" s="218"/>
      <c r="Y210" s="6"/>
      <c r="AA210" s="6"/>
      <c r="AB210" s="6"/>
      <c r="AC210" s="7"/>
      <c r="AD210" s="6"/>
      <c r="AE210" s="6"/>
      <c r="AF210" s="6"/>
      <c r="AG210" s="7"/>
      <c r="AH210" s="213"/>
      <c r="AI210" s="213"/>
    </row>
    <row r="211" spans="1:35" x14ac:dyDescent="0.25">
      <c r="A211" s="10">
        <v>185</v>
      </c>
      <c r="B211" s="10">
        <v>7</v>
      </c>
      <c r="C211" s="11" t="s">
        <v>607</v>
      </c>
      <c r="D211" s="12" t="s">
        <v>608</v>
      </c>
      <c r="E211" s="12" t="s">
        <v>25</v>
      </c>
      <c r="F211" s="13" t="s">
        <v>609</v>
      </c>
      <c r="G211" s="14">
        <v>44293</v>
      </c>
      <c r="H211" s="13" t="s">
        <v>27</v>
      </c>
      <c r="I211" s="15"/>
      <c r="J211" s="5">
        <v>30</v>
      </c>
      <c r="K211" s="5">
        <v>0</v>
      </c>
      <c r="L211" s="270"/>
      <c r="M211" s="15"/>
      <c r="N211" s="154">
        <v>0</v>
      </c>
      <c r="O211" s="154">
        <v>1055</v>
      </c>
      <c r="P211" s="152"/>
      <c r="Q211" s="213">
        <f>IFERROR(VLOOKUP(C211,[1]Planilha1!$C$1:$Q$65536,15,0),0)</f>
        <v>0</v>
      </c>
      <c r="R211" s="213">
        <f>IFERROR(VLOOKUP(C211,[1]Planilha1!$C$1:$R$65536,16,0),0)</f>
        <v>0</v>
      </c>
      <c r="S211" s="213">
        <f>IFERROR(VLOOKUP(C211,[1]Planilha1!$C$1:$S$65536,17,0),0)</f>
        <v>0</v>
      </c>
      <c r="T211" s="213">
        <f>IFERROR(VLOOKUP(C211,[1]Planilha1!$C$1:$T$65536,18,0),0)</f>
        <v>0</v>
      </c>
      <c r="U211" s="6"/>
      <c r="V211" s="260"/>
      <c r="W211" s="6"/>
      <c r="X211" s="218"/>
      <c r="Y211" s="6"/>
      <c r="AA211" s="6"/>
      <c r="AB211" s="6"/>
      <c r="AC211" s="7"/>
      <c r="AD211" s="6"/>
      <c r="AE211" s="6"/>
      <c r="AF211" s="6"/>
      <c r="AG211" s="7"/>
      <c r="AH211" s="213"/>
      <c r="AI211" s="213"/>
    </row>
    <row r="212" spans="1:35" x14ac:dyDescent="0.25">
      <c r="A212" s="10">
        <v>185</v>
      </c>
      <c r="B212" s="10">
        <v>2</v>
      </c>
      <c r="C212" s="11" t="s">
        <v>610</v>
      </c>
      <c r="D212" s="12" t="s">
        <v>611</v>
      </c>
      <c r="E212" s="12" t="s">
        <v>25</v>
      </c>
      <c r="F212" s="13" t="s">
        <v>612</v>
      </c>
      <c r="G212" s="14">
        <v>44287</v>
      </c>
      <c r="H212" s="13" t="s">
        <v>27</v>
      </c>
      <c r="I212" s="15"/>
      <c r="J212" s="5">
        <v>30</v>
      </c>
      <c r="K212" s="5">
        <v>0</v>
      </c>
      <c r="L212" s="270"/>
      <c r="M212" s="15"/>
      <c r="N212" s="154">
        <v>0</v>
      </c>
      <c r="O212" s="154">
        <v>1055</v>
      </c>
      <c r="P212" s="152"/>
      <c r="Q212" s="213">
        <f>IFERROR(VLOOKUP(C212,[1]Planilha1!$C$1:$Q$65536,15,0),0)</f>
        <v>0</v>
      </c>
      <c r="R212" s="213">
        <f>IFERROR(VLOOKUP(C212,[1]Planilha1!$C$1:$R$65536,16,0),0)</f>
        <v>0</v>
      </c>
      <c r="S212" s="213">
        <f>IFERROR(VLOOKUP(C212,[1]Planilha1!$C$1:$S$65536,17,0),0)</f>
        <v>187.5</v>
      </c>
      <c r="T212" s="213">
        <f>IFERROR(VLOOKUP(C212,[1]Planilha1!$C$1:$T$65536,18,0),0)</f>
        <v>0</v>
      </c>
      <c r="U212" s="6"/>
      <c r="V212" s="260"/>
      <c r="W212" s="6"/>
      <c r="X212" s="218"/>
      <c r="Y212" s="6"/>
      <c r="AA212" s="6"/>
      <c r="AB212" s="6"/>
      <c r="AC212" s="7"/>
      <c r="AD212" s="6"/>
      <c r="AE212" s="6"/>
      <c r="AF212" s="6"/>
      <c r="AG212" s="7"/>
      <c r="AH212" s="213"/>
      <c r="AI212" s="213"/>
    </row>
    <row r="213" spans="1:35" x14ac:dyDescent="0.25">
      <c r="A213" s="10">
        <v>185</v>
      </c>
      <c r="B213" s="10">
        <v>9</v>
      </c>
      <c r="C213" s="11" t="s">
        <v>613</v>
      </c>
      <c r="D213" s="12" t="s">
        <v>614</v>
      </c>
      <c r="E213" s="12" t="s">
        <v>998</v>
      </c>
      <c r="F213" s="13" t="s">
        <v>615</v>
      </c>
      <c r="G213" s="14">
        <v>44303</v>
      </c>
      <c r="H213" s="13" t="s">
        <v>27</v>
      </c>
      <c r="I213" s="15"/>
      <c r="J213" s="5">
        <v>30</v>
      </c>
      <c r="K213" s="5">
        <v>0</v>
      </c>
      <c r="L213" s="270"/>
      <c r="M213" s="15"/>
      <c r="N213" s="154">
        <v>1055</v>
      </c>
      <c r="O213" s="154"/>
      <c r="P213" s="152">
        <v>5</v>
      </c>
      <c r="Q213" s="213">
        <f>IFERROR(VLOOKUP(C213,[1]Planilha1!$C$1:$Q$65536,15,0),0)</f>
        <v>0</v>
      </c>
      <c r="R213" s="213">
        <f>IFERROR(VLOOKUP(C213,[1]Planilha1!$C$1:$R$65536,16,0),0)</f>
        <v>0</v>
      </c>
      <c r="S213" s="213">
        <f>IFERROR(VLOOKUP(C213,[1]Planilha1!$C$1:$S$65536,17,0),0)</f>
        <v>375</v>
      </c>
      <c r="T213" s="213">
        <f>IFERROR(VLOOKUP(C213,[1]Planilha1!$C$1:$T$65536,18,0),0)</f>
        <v>0</v>
      </c>
      <c r="U213" s="6"/>
      <c r="V213" s="260"/>
      <c r="W213" s="6"/>
      <c r="X213" s="218"/>
      <c r="Y213" s="6"/>
      <c r="AA213" s="6"/>
      <c r="AB213" s="6"/>
      <c r="AC213" s="7"/>
      <c r="AD213" s="6"/>
      <c r="AE213" s="6"/>
      <c r="AF213" s="6"/>
      <c r="AG213" s="7"/>
      <c r="AH213" s="213"/>
      <c r="AI213" s="213"/>
    </row>
    <row r="214" spans="1:35" x14ac:dyDescent="0.25">
      <c r="A214" s="10">
        <v>185</v>
      </c>
      <c r="B214" s="10">
        <v>10</v>
      </c>
      <c r="C214" s="11" t="s">
        <v>616</v>
      </c>
      <c r="D214" s="12" t="s">
        <v>617</v>
      </c>
      <c r="E214" s="12" t="s">
        <v>25</v>
      </c>
      <c r="F214" s="13" t="s">
        <v>618</v>
      </c>
      <c r="G214" s="14">
        <v>44303</v>
      </c>
      <c r="H214" s="13" t="s">
        <v>27</v>
      </c>
      <c r="I214" s="15"/>
      <c r="J214" s="5">
        <v>30</v>
      </c>
      <c r="K214" s="5">
        <v>0</v>
      </c>
      <c r="L214" s="270"/>
      <c r="M214" s="15"/>
      <c r="N214" s="154">
        <v>0</v>
      </c>
      <c r="O214" s="154">
        <v>1055</v>
      </c>
      <c r="P214" s="152"/>
      <c r="Q214" s="213">
        <f>IFERROR(VLOOKUP(C214,[1]Planilha1!$C$1:$Q$65536,15,0),0)</f>
        <v>0</v>
      </c>
      <c r="R214" s="213">
        <f>IFERROR(VLOOKUP(C214,[1]Planilha1!$C$1:$R$65536,16,0),0)</f>
        <v>0</v>
      </c>
      <c r="S214" s="213">
        <f>IFERROR(VLOOKUP(C214,[1]Planilha1!$C$1:$S$65536,17,0),0)</f>
        <v>187.5</v>
      </c>
      <c r="T214" s="213">
        <f>IFERROR(VLOOKUP(C214,[1]Planilha1!$C$1:$T$65536,18,0),0)</f>
        <v>0</v>
      </c>
      <c r="U214" s="6"/>
      <c r="V214" s="260"/>
      <c r="W214" s="6"/>
      <c r="X214" s="218"/>
      <c r="Y214" s="6"/>
      <c r="AA214" s="6"/>
      <c r="AB214" s="6"/>
      <c r="AC214" s="7"/>
      <c r="AD214" s="6"/>
      <c r="AE214" s="6"/>
      <c r="AF214" s="6"/>
      <c r="AG214" s="7"/>
      <c r="AH214" s="213"/>
      <c r="AI214" s="213"/>
    </row>
    <row r="215" spans="1:35" x14ac:dyDescent="0.25">
      <c r="A215" s="10">
        <v>185</v>
      </c>
      <c r="B215" s="10">
        <v>11</v>
      </c>
      <c r="C215" s="11" t="s">
        <v>619</v>
      </c>
      <c r="D215" s="12" t="s">
        <v>620</v>
      </c>
      <c r="E215" s="12" t="s">
        <v>25</v>
      </c>
      <c r="F215" s="13" t="s">
        <v>621</v>
      </c>
      <c r="G215" s="14">
        <v>44303</v>
      </c>
      <c r="H215" s="13" t="s">
        <v>27</v>
      </c>
      <c r="I215" s="15"/>
      <c r="J215" s="5">
        <v>30</v>
      </c>
      <c r="K215" s="5">
        <v>0</v>
      </c>
      <c r="L215" s="270"/>
      <c r="M215" s="15"/>
      <c r="N215" s="154">
        <v>0</v>
      </c>
      <c r="O215" s="154">
        <v>1055</v>
      </c>
      <c r="P215" s="152"/>
      <c r="Q215" s="213">
        <f>IFERROR(VLOOKUP(C215,[1]Planilha1!$C$1:$Q$65536,15,0),0)</f>
        <v>0</v>
      </c>
      <c r="R215" s="213">
        <f>IFERROR(VLOOKUP(C215,[1]Planilha1!$C$1:$R$65536,16,0),0)</f>
        <v>0</v>
      </c>
      <c r="S215" s="213">
        <f>IFERROR(VLOOKUP(C215,[1]Planilha1!$C$1:$S$65536,17,0),0)</f>
        <v>187.5</v>
      </c>
      <c r="T215" s="213">
        <f>IFERROR(VLOOKUP(C215,[1]Planilha1!$C$1:$T$65536,18,0),0)</f>
        <v>0</v>
      </c>
      <c r="U215" s="6"/>
      <c r="V215" s="260"/>
      <c r="W215" s="6"/>
      <c r="X215" s="218"/>
      <c r="Y215" s="6"/>
      <c r="AA215" s="6"/>
      <c r="AB215" s="6"/>
      <c r="AC215" s="7"/>
      <c r="AD215" s="6"/>
      <c r="AE215" s="6"/>
      <c r="AF215" s="6"/>
      <c r="AG215" s="7"/>
      <c r="AH215" s="213"/>
      <c r="AI215" s="213"/>
    </row>
    <row r="216" spans="1:35" x14ac:dyDescent="0.25">
      <c r="A216" s="10">
        <v>185</v>
      </c>
      <c r="B216" s="10">
        <v>4</v>
      </c>
      <c r="C216" s="11" t="s">
        <v>622</v>
      </c>
      <c r="D216" s="12" t="s">
        <v>623</v>
      </c>
      <c r="E216" s="12" t="s">
        <v>998</v>
      </c>
      <c r="F216" s="13" t="s">
        <v>624</v>
      </c>
      <c r="G216" s="14">
        <v>44287</v>
      </c>
      <c r="H216" s="13" t="s">
        <v>27</v>
      </c>
      <c r="I216" s="15"/>
      <c r="J216" s="5">
        <v>30</v>
      </c>
      <c r="K216" s="5">
        <v>0</v>
      </c>
      <c r="L216" s="270"/>
      <c r="M216" s="15"/>
      <c r="N216" s="154">
        <v>1055</v>
      </c>
      <c r="O216" s="154"/>
      <c r="P216" s="152">
        <v>5</v>
      </c>
      <c r="Q216" s="213">
        <f>IFERROR(VLOOKUP(C216,[1]Planilha1!$C$1:$Q$65536,15,0),0)</f>
        <v>0</v>
      </c>
      <c r="R216" s="213">
        <f>IFERROR(VLOOKUP(C216,[1]Planilha1!$C$1:$R$65536,16,0),0)</f>
        <v>0</v>
      </c>
      <c r="S216" s="213">
        <f>IFERROR(VLOOKUP(C216,[1]Planilha1!$C$1:$S$65536,17,0),0)</f>
        <v>187.5</v>
      </c>
      <c r="T216" s="213">
        <f>IFERROR(VLOOKUP(C216,[1]Planilha1!$C$1:$T$65536,18,0),0)</f>
        <v>0</v>
      </c>
      <c r="U216" s="6"/>
      <c r="V216" s="260"/>
      <c r="W216" s="6"/>
      <c r="X216" s="218"/>
      <c r="Y216" s="6"/>
      <c r="AA216" s="6"/>
      <c r="AB216" s="6"/>
      <c r="AC216" s="7"/>
      <c r="AD216" s="6"/>
      <c r="AE216" s="6"/>
      <c r="AF216" s="6"/>
      <c r="AG216" s="7"/>
      <c r="AH216" s="213"/>
      <c r="AI216" s="213"/>
    </row>
    <row r="217" spans="1:35" x14ac:dyDescent="0.25">
      <c r="A217" s="10">
        <v>185</v>
      </c>
      <c r="B217" s="10">
        <v>8</v>
      </c>
      <c r="C217" s="11" t="s">
        <v>625</v>
      </c>
      <c r="D217" s="12" t="s">
        <v>626</v>
      </c>
      <c r="E217" s="12" t="s">
        <v>25</v>
      </c>
      <c r="F217" s="13" t="s">
        <v>627</v>
      </c>
      <c r="G217" s="14">
        <v>44293</v>
      </c>
      <c r="H217" s="13" t="s">
        <v>27</v>
      </c>
      <c r="I217" s="15"/>
      <c r="J217" s="5">
        <v>30</v>
      </c>
      <c r="K217" s="5">
        <v>0</v>
      </c>
      <c r="L217" s="270"/>
      <c r="M217" s="15"/>
      <c r="N217" s="154">
        <v>0</v>
      </c>
      <c r="O217" s="154">
        <v>1055</v>
      </c>
      <c r="P217" s="152"/>
      <c r="Q217" s="213">
        <f>IFERROR(VLOOKUP(C217,[1]Planilha1!$C$1:$Q$65536,15,0),0)</f>
        <v>0</v>
      </c>
      <c r="R217" s="213">
        <f>IFERROR(VLOOKUP(C217,[1]Planilha1!$C$1:$R$65536,16,0),0)</f>
        <v>0</v>
      </c>
      <c r="S217" s="213">
        <f>IFERROR(VLOOKUP(C217,[1]Planilha1!$C$1:$S$65536,17,0),0)</f>
        <v>187.5</v>
      </c>
      <c r="T217" s="213">
        <f>IFERROR(VLOOKUP(C217,[1]Planilha1!$C$1:$T$65536,18,0),0)</f>
        <v>0</v>
      </c>
      <c r="U217" s="6"/>
      <c r="V217" s="260"/>
      <c r="W217" s="6"/>
      <c r="X217" s="218"/>
      <c r="Y217" s="6"/>
      <c r="AA217" s="6"/>
      <c r="AB217" s="6"/>
      <c r="AC217" s="7">
        <v>200</v>
      </c>
      <c r="AD217" s="6"/>
      <c r="AE217" s="6"/>
      <c r="AF217" s="6"/>
      <c r="AG217" s="7">
        <v>400</v>
      </c>
      <c r="AH217" s="213"/>
      <c r="AI217" s="213"/>
    </row>
    <row r="218" spans="1:35" x14ac:dyDescent="0.25">
      <c r="A218" s="10">
        <v>185</v>
      </c>
      <c r="B218" s="10">
        <v>5</v>
      </c>
      <c r="C218" s="11" t="s">
        <v>628</v>
      </c>
      <c r="D218" s="12" t="s">
        <v>629</v>
      </c>
      <c r="E218" s="12" t="s">
        <v>25</v>
      </c>
      <c r="F218" s="13" t="s">
        <v>630</v>
      </c>
      <c r="G218" s="14">
        <v>44287</v>
      </c>
      <c r="H218" s="13" t="s">
        <v>27</v>
      </c>
      <c r="I218" s="15"/>
      <c r="J218" s="5">
        <v>30</v>
      </c>
      <c r="K218" s="5">
        <v>0</v>
      </c>
      <c r="L218" s="270"/>
      <c r="M218" s="15"/>
      <c r="N218" s="154">
        <v>0</v>
      </c>
      <c r="O218" s="154">
        <v>1055</v>
      </c>
      <c r="P218" s="152"/>
      <c r="Q218" s="213">
        <f>IFERROR(VLOOKUP(C218,[1]Planilha1!$C$1:$Q$65536,15,0),0)</f>
        <v>0</v>
      </c>
      <c r="R218" s="213">
        <f>IFERROR(VLOOKUP(C218,[1]Planilha1!$C$1:$R$65536,16,0),0)</f>
        <v>0</v>
      </c>
      <c r="S218" s="213">
        <f>IFERROR(VLOOKUP(C218,[1]Planilha1!$C$1:$S$65536,17,0),0)</f>
        <v>0</v>
      </c>
      <c r="T218" s="213">
        <f>IFERROR(VLOOKUP(C218,[1]Planilha1!$C$1:$T$65536,18,0),0)</f>
        <v>0</v>
      </c>
      <c r="U218" s="6"/>
      <c r="V218" s="260"/>
      <c r="W218" s="6"/>
      <c r="X218" s="218"/>
      <c r="Y218" s="6"/>
      <c r="AA218" s="6"/>
      <c r="AB218" s="6"/>
      <c r="AC218" s="7"/>
      <c r="AD218" s="6"/>
      <c r="AE218" s="6"/>
      <c r="AF218" s="6"/>
      <c r="AG218" s="7"/>
      <c r="AH218" s="213"/>
      <c r="AI218" s="213"/>
    </row>
    <row r="219" spans="1:35" x14ac:dyDescent="0.25">
      <c r="A219" s="10">
        <v>200</v>
      </c>
      <c r="B219" s="10">
        <v>129</v>
      </c>
      <c r="C219" s="10" t="s">
        <v>631</v>
      </c>
      <c r="D219" s="17" t="s">
        <v>632</v>
      </c>
      <c r="E219" s="17" t="s">
        <v>25</v>
      </c>
      <c r="F219" s="10" t="s">
        <v>633</v>
      </c>
      <c r="G219" s="14">
        <v>44090</v>
      </c>
      <c r="H219" s="10" t="s">
        <v>27</v>
      </c>
      <c r="J219" s="8">
        <v>30</v>
      </c>
      <c r="K219" s="8"/>
      <c r="L219" s="271"/>
      <c r="N219" s="166">
        <v>0</v>
      </c>
      <c r="O219" s="166">
        <v>1266.07</v>
      </c>
      <c r="P219" s="167"/>
      <c r="Q219" s="213">
        <f>IFERROR(VLOOKUP(C219,[1]Planilha1!$C$1:$Q$65536,15,0),0)</f>
        <v>0</v>
      </c>
      <c r="R219" s="213">
        <f>IFERROR(VLOOKUP(C219,[1]Planilha1!$C$1:$R$65536,16,0),0)</f>
        <v>0</v>
      </c>
      <c r="S219" s="213">
        <f>IFERROR(VLOOKUP(C219,[1]Planilha1!$C$1:$S$65536,17,0),0)</f>
        <v>0</v>
      </c>
      <c r="T219" s="213">
        <f>IFERROR(VLOOKUP(C219,[1]Planilha1!$C$1:$T$65536,18,0),0)</f>
        <v>450</v>
      </c>
      <c r="U219" s="6"/>
      <c r="V219" s="260"/>
      <c r="W219" s="6"/>
      <c r="X219" s="218"/>
      <c r="Y219" s="6"/>
      <c r="AA219" s="6"/>
      <c r="AB219" s="6"/>
      <c r="AC219" s="7"/>
      <c r="AD219" s="6"/>
      <c r="AE219" s="6"/>
      <c r="AF219" s="6"/>
      <c r="AG219" s="7"/>
      <c r="AH219" s="213"/>
      <c r="AI219" s="213"/>
    </row>
    <row r="220" spans="1:35" x14ac:dyDescent="0.25">
      <c r="A220" s="10">
        <v>200</v>
      </c>
      <c r="B220" s="10">
        <v>82</v>
      </c>
      <c r="C220" s="11" t="s">
        <v>634</v>
      </c>
      <c r="D220" s="12" t="s">
        <v>635</v>
      </c>
      <c r="E220" s="12" t="s">
        <v>25</v>
      </c>
      <c r="F220" s="13" t="s">
        <v>636</v>
      </c>
      <c r="G220" s="14">
        <v>42965</v>
      </c>
      <c r="H220" s="13" t="s">
        <v>27</v>
      </c>
      <c r="I220" s="15"/>
      <c r="J220" s="5">
        <v>30</v>
      </c>
      <c r="K220" s="5">
        <v>0</v>
      </c>
      <c r="L220" s="270"/>
      <c r="M220" s="15"/>
      <c r="N220" s="166">
        <v>0</v>
      </c>
      <c r="O220" s="166">
        <v>1266.07</v>
      </c>
      <c r="P220" s="167"/>
      <c r="Q220" s="213">
        <f>IFERROR(VLOOKUP(C220,[1]Planilha1!$C$1:$Q$65536,15,0),0)</f>
        <v>0</v>
      </c>
      <c r="R220" s="213">
        <f>IFERROR(VLOOKUP(C220,[1]Planilha1!$C$1:$R$65536,16,0),0)</f>
        <v>0</v>
      </c>
      <c r="S220" s="213">
        <f>IFERROR(VLOOKUP(C220,[1]Planilha1!$C$1:$S$65536,17,0),0)</f>
        <v>0</v>
      </c>
      <c r="T220" s="213">
        <f>IFERROR(VLOOKUP(C220,[1]Planilha1!$C$1:$T$65536,18,0),0)</f>
        <v>585</v>
      </c>
      <c r="U220" s="6"/>
      <c r="V220" s="260"/>
      <c r="W220" s="6"/>
      <c r="X220" s="218"/>
      <c r="Y220" s="6"/>
      <c r="AA220" s="6"/>
      <c r="AB220" s="6"/>
      <c r="AC220" s="7"/>
      <c r="AD220" s="6"/>
      <c r="AE220" s="6"/>
      <c r="AF220" s="6"/>
      <c r="AG220" s="7"/>
      <c r="AH220" s="213"/>
      <c r="AI220" s="213"/>
    </row>
    <row r="221" spans="1:35" x14ac:dyDescent="0.25">
      <c r="A221" s="10">
        <v>200</v>
      </c>
      <c r="B221" s="10">
        <v>132</v>
      </c>
      <c r="C221" s="10" t="s">
        <v>637</v>
      </c>
      <c r="D221" s="17" t="s">
        <v>638</v>
      </c>
      <c r="E221" s="17" t="s">
        <v>25</v>
      </c>
      <c r="F221" s="10" t="s">
        <v>639</v>
      </c>
      <c r="G221" s="14">
        <v>44152</v>
      </c>
      <c r="H221" s="10" t="s">
        <v>27</v>
      </c>
      <c r="J221" s="8">
        <v>30</v>
      </c>
      <c r="K221" s="8"/>
      <c r="L221" s="271"/>
      <c r="N221" s="166">
        <v>0</v>
      </c>
      <c r="O221" s="166">
        <v>1266.07</v>
      </c>
      <c r="P221" s="167"/>
      <c r="Q221" s="213">
        <f>IFERROR(VLOOKUP(C221,[1]Planilha1!$C$1:$Q$65536,15,0),0)</f>
        <v>0</v>
      </c>
      <c r="R221" s="213">
        <f>IFERROR(VLOOKUP(C221,[1]Planilha1!$C$1:$R$65536,16,0),0)</f>
        <v>0</v>
      </c>
      <c r="S221" s="213">
        <f>IFERROR(VLOOKUP(C221,[1]Planilha1!$C$1:$S$65536,17,0),0)</f>
        <v>0</v>
      </c>
      <c r="T221" s="213">
        <f>IFERROR(VLOOKUP(C221,[1]Planilha1!$C$1:$T$65536,18,0),0)</f>
        <v>450</v>
      </c>
      <c r="U221" s="6"/>
      <c r="V221" s="260"/>
      <c r="W221" s="6"/>
      <c r="X221" s="218"/>
      <c r="Y221" s="272"/>
      <c r="AA221" s="6"/>
      <c r="AB221" s="6"/>
      <c r="AC221" s="7"/>
      <c r="AD221" s="6"/>
      <c r="AE221" s="6"/>
      <c r="AF221" s="6"/>
      <c r="AG221" s="7"/>
      <c r="AH221" s="213"/>
      <c r="AI221" s="213"/>
    </row>
    <row r="222" spans="1:35" x14ac:dyDescent="0.25">
      <c r="A222" s="10">
        <v>200</v>
      </c>
      <c r="B222" s="10">
        <v>130</v>
      </c>
      <c r="C222" s="10" t="s">
        <v>640</v>
      </c>
      <c r="D222" s="17" t="s">
        <v>641</v>
      </c>
      <c r="E222" s="17" t="s">
        <v>30</v>
      </c>
      <c r="F222" s="10" t="s">
        <v>642</v>
      </c>
      <c r="G222" s="14">
        <v>44147</v>
      </c>
      <c r="H222" s="10" t="s">
        <v>27</v>
      </c>
      <c r="J222" s="8">
        <v>30</v>
      </c>
      <c r="K222" s="8"/>
      <c r="L222" s="271"/>
      <c r="N222" s="166">
        <v>1131.54</v>
      </c>
      <c r="O222" s="166"/>
      <c r="P222" s="167">
        <v>135</v>
      </c>
      <c r="Q222" s="213">
        <f>IFERROR(VLOOKUP(C222,[1]Planilha1!$C$1:$Q$65536,15,0),0)</f>
        <v>0</v>
      </c>
      <c r="R222" s="213">
        <f>IFERROR(VLOOKUP(C222,[1]Planilha1!$C$1:$R$65536,16,0),0)</f>
        <v>0</v>
      </c>
      <c r="S222" s="213">
        <f>IFERROR(VLOOKUP(C222,[1]Planilha1!$C$1:$S$65536,17,0),0)</f>
        <v>0</v>
      </c>
      <c r="T222" s="213">
        <f>IFERROR(VLOOKUP(C222,[1]Planilha1!$C$1:$T$65536,18,0),0)</f>
        <v>450</v>
      </c>
      <c r="U222" s="6"/>
      <c r="V222" s="260"/>
      <c r="W222" s="6"/>
      <c r="X222" s="218"/>
      <c r="Y222" s="272"/>
      <c r="AA222" s="7"/>
      <c r="AB222" s="7"/>
      <c r="AC222" s="7"/>
      <c r="AD222" s="7"/>
      <c r="AE222" s="7"/>
      <c r="AF222" s="6"/>
      <c r="AG222" s="7"/>
      <c r="AH222" s="213"/>
      <c r="AI222" s="213"/>
    </row>
    <row r="223" spans="1:35" x14ac:dyDescent="0.25">
      <c r="A223" s="10">
        <v>200</v>
      </c>
      <c r="B223" s="10">
        <v>133</v>
      </c>
      <c r="C223" s="10" t="s">
        <v>643</v>
      </c>
      <c r="D223" s="17" t="s">
        <v>644</v>
      </c>
      <c r="E223" s="17" t="s">
        <v>30</v>
      </c>
      <c r="F223" s="10" t="s">
        <v>645</v>
      </c>
      <c r="G223" s="14">
        <v>44155</v>
      </c>
      <c r="H223" s="10" t="s">
        <v>884</v>
      </c>
      <c r="J223" s="8">
        <v>30</v>
      </c>
      <c r="K223" s="8"/>
      <c r="L223" s="271"/>
      <c r="N223" s="166">
        <v>1131.54</v>
      </c>
      <c r="O223" s="166"/>
      <c r="P223" s="167"/>
      <c r="Q223" s="213">
        <f>IFERROR(VLOOKUP(C223,[1]Planilha1!$C$1:$Q$65536,15,0),0)</f>
        <v>0</v>
      </c>
      <c r="R223" s="213">
        <f>IFERROR(VLOOKUP(C223,[1]Planilha1!$C$1:$R$65536,16,0),0)</f>
        <v>0</v>
      </c>
      <c r="S223" s="213">
        <f>IFERROR(VLOOKUP(C223,[1]Planilha1!$C$1:$S$65536,17,0),0)</f>
        <v>0</v>
      </c>
      <c r="T223" s="213">
        <f>IFERROR(VLOOKUP(C223,[1]Planilha1!$C$1:$T$65536,18,0),0)</f>
        <v>0</v>
      </c>
      <c r="U223" s="6"/>
      <c r="V223" s="260"/>
      <c r="W223" s="6"/>
      <c r="X223" s="218"/>
      <c r="Y223" s="272"/>
      <c r="AA223" s="7"/>
      <c r="AB223" s="7"/>
      <c r="AC223" s="7"/>
      <c r="AD223" s="7"/>
      <c r="AE223" s="7"/>
      <c r="AF223" s="6"/>
      <c r="AG223" s="7"/>
      <c r="AH223" s="213"/>
      <c r="AI223" s="213"/>
    </row>
    <row r="224" spans="1:35" s="203" customFormat="1" x14ac:dyDescent="0.25">
      <c r="A224" s="194">
        <v>200</v>
      </c>
      <c r="B224" s="194">
        <v>120</v>
      </c>
      <c r="C224" s="195" t="s">
        <v>646</v>
      </c>
      <c r="D224" s="196" t="s">
        <v>647</v>
      </c>
      <c r="E224" s="196" t="s">
        <v>25</v>
      </c>
      <c r="F224" s="197" t="s">
        <v>648</v>
      </c>
      <c r="G224" s="198">
        <v>43721</v>
      </c>
      <c r="H224" s="197" t="s">
        <v>997</v>
      </c>
      <c r="I224" s="199"/>
      <c r="J224" s="5">
        <v>30</v>
      </c>
      <c r="K224" s="5">
        <v>0</v>
      </c>
      <c r="L224" s="270"/>
      <c r="M224" s="199"/>
      <c r="N224" s="200">
        <v>0</v>
      </c>
      <c r="O224" s="200">
        <v>1266.07</v>
      </c>
      <c r="P224" s="201"/>
      <c r="Q224" s="213">
        <f>IFERROR(VLOOKUP(C224,[1]Planilha1!$C$1:$Q$65536,15,0),0)</f>
        <v>0</v>
      </c>
      <c r="R224" s="213">
        <f>IFERROR(VLOOKUP(C224,[1]Planilha1!$C$1:$R$65536,16,0),0)</f>
        <v>0</v>
      </c>
      <c r="S224" s="213">
        <f>IFERROR(VLOOKUP(C224,[1]Planilha1!$C$1:$S$65536,17,0),0)</f>
        <v>0</v>
      </c>
      <c r="T224" s="213">
        <f>IFERROR(VLOOKUP(C224,[1]Planilha1!$C$1:$T$65536,18,0),0)</f>
        <v>0</v>
      </c>
      <c r="U224" s="6"/>
      <c r="V224" s="260"/>
      <c r="W224" s="6"/>
      <c r="X224" s="223"/>
      <c r="Y224" s="272"/>
      <c r="AA224" s="6"/>
      <c r="AB224" s="6"/>
      <c r="AC224" s="7"/>
      <c r="AD224" s="6"/>
      <c r="AE224" s="6"/>
      <c r="AF224" s="6"/>
      <c r="AG224" s="7"/>
      <c r="AH224" s="217"/>
      <c r="AI224" s="217"/>
    </row>
    <row r="225" spans="1:35" x14ac:dyDescent="0.25">
      <c r="A225" s="10">
        <v>200</v>
      </c>
      <c r="B225" s="10">
        <v>137</v>
      </c>
      <c r="C225" s="10" t="s">
        <v>932</v>
      </c>
      <c r="D225" s="17" t="s">
        <v>933</v>
      </c>
      <c r="E225" s="17" t="s">
        <v>25</v>
      </c>
      <c r="F225" s="10" t="s">
        <v>934</v>
      </c>
      <c r="G225" s="14">
        <v>44398</v>
      </c>
      <c r="H225" s="10" t="s">
        <v>27</v>
      </c>
      <c r="J225" s="8">
        <v>30</v>
      </c>
      <c r="K225" s="8"/>
      <c r="L225" s="271"/>
      <c r="N225" s="166">
        <v>0</v>
      </c>
      <c r="O225" s="166">
        <v>1266.07</v>
      </c>
      <c r="P225" s="167"/>
      <c r="Q225" s="213">
        <f>IFERROR(VLOOKUP(C225,[1]Planilha1!$C$1:$Q$65536,15,0),0)</f>
        <v>0</v>
      </c>
      <c r="R225" s="213">
        <f>IFERROR(VLOOKUP(C225,[1]Planilha1!$C$1:$R$65536,16,0),0)</f>
        <v>141.68</v>
      </c>
      <c r="S225" s="213">
        <f>IFERROR(VLOOKUP(C225,[1]Planilha1!$C$1:$S$65536,17,0),0)</f>
        <v>198</v>
      </c>
      <c r="T225" s="213">
        <f>IFERROR(VLOOKUP(C225,[1]Planilha1!$C$1:$T$65536,18,0),0)</f>
        <v>0</v>
      </c>
      <c r="U225" s="6"/>
      <c r="V225" s="260"/>
      <c r="W225" s="6"/>
      <c r="X225" s="218"/>
      <c r="Y225" s="272"/>
      <c r="AA225" s="6"/>
      <c r="AB225" s="6"/>
      <c r="AC225" s="7"/>
      <c r="AD225" s="7"/>
      <c r="AE225" s="6"/>
      <c r="AF225" s="6"/>
      <c r="AG225" s="7"/>
      <c r="AH225" s="213"/>
      <c r="AI225" s="213"/>
    </row>
    <row r="226" spans="1:35" x14ac:dyDescent="0.25">
      <c r="A226" s="10">
        <v>200</v>
      </c>
      <c r="B226" s="10">
        <v>74</v>
      </c>
      <c r="C226" s="11" t="s">
        <v>649</v>
      </c>
      <c r="D226" s="12" t="s">
        <v>650</v>
      </c>
      <c r="E226" s="12" t="s">
        <v>25</v>
      </c>
      <c r="F226" s="13" t="s">
        <v>651</v>
      </c>
      <c r="G226" s="14">
        <v>42830</v>
      </c>
      <c r="H226" s="13" t="s">
        <v>27</v>
      </c>
      <c r="I226" s="15"/>
      <c r="J226" s="5">
        <v>30</v>
      </c>
      <c r="K226" s="5">
        <v>0</v>
      </c>
      <c r="L226" s="270"/>
      <c r="M226" s="15"/>
      <c r="N226" s="166">
        <v>0</v>
      </c>
      <c r="O226" s="166">
        <v>1266.07</v>
      </c>
      <c r="P226" s="167"/>
      <c r="Q226" s="213">
        <f>IFERROR(VLOOKUP(C226,[1]Planilha1!$C$1:$Q$65536,15,0),0)</f>
        <v>0</v>
      </c>
      <c r="R226" s="213">
        <f>IFERROR(VLOOKUP(C226,[1]Planilha1!$C$1:$R$65536,16,0),0)</f>
        <v>0</v>
      </c>
      <c r="S226" s="213">
        <f>IFERROR(VLOOKUP(C226,[1]Planilha1!$C$1:$S$65536,17,0),0)</f>
        <v>0</v>
      </c>
      <c r="T226" s="213">
        <f>IFERROR(VLOOKUP(C226,[1]Planilha1!$C$1:$T$65536,18,0),0)</f>
        <v>0</v>
      </c>
      <c r="U226" s="6"/>
      <c r="V226" s="260"/>
      <c r="W226" s="6"/>
      <c r="X226" s="218"/>
      <c r="Y226" s="272"/>
      <c r="AA226" s="6"/>
      <c r="AB226" s="6"/>
      <c r="AC226" s="7">
        <v>150</v>
      </c>
      <c r="AD226" s="6"/>
      <c r="AE226" s="6"/>
      <c r="AF226" s="6"/>
      <c r="AG226" s="7">
        <v>150</v>
      </c>
      <c r="AH226" s="213"/>
      <c r="AI226" s="213">
        <v>390</v>
      </c>
    </row>
    <row r="227" spans="1:35" x14ac:dyDescent="0.25">
      <c r="A227" s="10">
        <v>200</v>
      </c>
      <c r="B227" s="10">
        <v>136</v>
      </c>
      <c r="C227" s="10" t="s">
        <v>652</v>
      </c>
      <c r="D227" s="17" t="s">
        <v>653</v>
      </c>
      <c r="E227" s="17" t="s">
        <v>30</v>
      </c>
      <c r="F227" s="10" t="s">
        <v>654</v>
      </c>
      <c r="G227" s="14">
        <v>44355</v>
      </c>
      <c r="H227" s="10" t="s">
        <v>27</v>
      </c>
      <c r="J227" s="8">
        <v>30</v>
      </c>
      <c r="K227" s="8"/>
      <c r="L227" s="271"/>
      <c r="N227" s="166">
        <v>1131.54</v>
      </c>
      <c r="O227" s="166"/>
      <c r="P227" s="167">
        <v>135</v>
      </c>
      <c r="Q227" s="213">
        <f>IFERROR(VLOOKUP(C227,[1]Planilha1!$C$1:$Q$65536,15,0),0)</f>
        <v>0</v>
      </c>
      <c r="R227" s="213">
        <f>IFERROR(VLOOKUP(C227,[1]Planilha1!$C$1:$R$65536,16,0),0)</f>
        <v>0</v>
      </c>
      <c r="S227" s="213">
        <f>IFERROR(VLOOKUP(C227,[1]Planilha1!$C$1:$S$65536,17,0),0)</f>
        <v>0</v>
      </c>
      <c r="T227" s="213">
        <f>IFERROR(VLOOKUP(C227,[1]Planilha1!$C$1:$T$65536,18,0),0)</f>
        <v>487.5</v>
      </c>
      <c r="U227" s="6"/>
      <c r="V227" s="260"/>
      <c r="W227" s="6"/>
      <c r="X227" s="218"/>
      <c r="Y227" s="272"/>
      <c r="AA227" s="7"/>
      <c r="AB227" s="7"/>
      <c r="AC227" s="7"/>
      <c r="AD227" s="7"/>
      <c r="AE227" s="7"/>
      <c r="AF227" s="6"/>
      <c r="AG227" s="7"/>
      <c r="AH227" s="213"/>
      <c r="AI227" s="213"/>
    </row>
    <row r="228" spans="1:35" x14ac:dyDescent="0.25">
      <c r="A228" s="10">
        <v>200</v>
      </c>
      <c r="B228" s="10">
        <v>128</v>
      </c>
      <c r="C228" s="10" t="s">
        <v>655</v>
      </c>
      <c r="D228" s="17" t="s">
        <v>656</v>
      </c>
      <c r="E228" s="17" t="s">
        <v>48</v>
      </c>
      <c r="F228" s="10" t="s">
        <v>657</v>
      </c>
      <c r="G228" s="14">
        <v>44075</v>
      </c>
      <c r="H228" s="10" t="s">
        <v>27</v>
      </c>
      <c r="J228" s="8">
        <v>30</v>
      </c>
      <c r="K228" s="8"/>
      <c r="L228" s="271"/>
      <c r="N228" s="166">
        <v>0</v>
      </c>
      <c r="O228" s="166">
        <v>1266.07</v>
      </c>
      <c r="P228" s="167"/>
      <c r="Q228" s="213">
        <f>IFERROR(VLOOKUP(C228,[1]Planilha1!$C$1:$Q$65536,15,0),0)</f>
        <v>0</v>
      </c>
      <c r="R228" s="213">
        <f>IFERROR(VLOOKUP(C228,[1]Planilha1!$C$1:$R$65536,16,0),0)</f>
        <v>0</v>
      </c>
      <c r="S228" s="213">
        <f>IFERROR(VLOOKUP(C228,[1]Planilha1!$C$1:$S$65536,17,0),0)</f>
        <v>0</v>
      </c>
      <c r="T228" s="213">
        <f>IFERROR(VLOOKUP(C228,[1]Planilha1!$C$1:$T$65536,18,0),0)</f>
        <v>0</v>
      </c>
      <c r="U228" s="6"/>
      <c r="V228" s="260"/>
      <c r="W228" s="6"/>
      <c r="X228" s="218"/>
      <c r="Y228" s="272"/>
      <c r="AA228" s="6"/>
      <c r="AB228" s="6"/>
      <c r="AC228" s="7"/>
      <c r="AD228" s="6"/>
      <c r="AE228" s="6"/>
      <c r="AF228" s="6"/>
      <c r="AG228" s="7"/>
      <c r="AH228" s="213"/>
      <c r="AI228" s="213"/>
    </row>
    <row r="229" spans="1:35" x14ac:dyDescent="0.25">
      <c r="N229" s="168"/>
      <c r="O229" s="168"/>
      <c r="P229" s="168"/>
      <c r="Q229" s="168"/>
      <c r="R229" s="168"/>
      <c r="S229" s="168"/>
      <c r="T229" s="168"/>
      <c r="AA229" s="218"/>
      <c r="AB229" s="218"/>
      <c r="AC229" s="218"/>
      <c r="AD229" s="218"/>
      <c r="AE229" s="218"/>
      <c r="AF229" s="218"/>
      <c r="AG229" s="218"/>
      <c r="AH229" s="218"/>
      <c r="AI229" s="218"/>
    </row>
    <row r="230" spans="1:35" x14ac:dyDescent="0.25">
      <c r="N230" s="168"/>
      <c r="O230" s="168"/>
      <c r="P230" s="168"/>
      <c r="Q230" s="168"/>
      <c r="R230" s="168"/>
      <c r="S230" s="168"/>
      <c r="T230" s="168"/>
      <c r="AA230" s="218"/>
      <c r="AB230" s="218"/>
      <c r="AC230" s="218"/>
      <c r="AD230" s="218"/>
      <c r="AE230" s="218"/>
      <c r="AF230" s="218"/>
      <c r="AG230" s="218"/>
      <c r="AH230" s="218"/>
      <c r="AI230" s="218"/>
    </row>
    <row r="231" spans="1:35" x14ac:dyDescent="0.25">
      <c r="N231" s="168"/>
      <c r="O231" s="168"/>
      <c r="P231" s="168"/>
      <c r="Q231" s="168"/>
      <c r="R231" s="168"/>
      <c r="S231" s="168"/>
      <c r="T231" s="168"/>
      <c r="AA231" s="218"/>
      <c r="AB231" s="218"/>
      <c r="AC231" s="218"/>
      <c r="AD231" s="218"/>
      <c r="AE231" s="218"/>
      <c r="AF231" s="218"/>
      <c r="AG231" s="218"/>
      <c r="AH231" s="218"/>
      <c r="AI231" s="218"/>
    </row>
    <row r="232" spans="1:35" x14ac:dyDescent="0.25">
      <c r="N232" s="168"/>
      <c r="O232" s="168"/>
      <c r="P232" s="168"/>
      <c r="Q232" s="168"/>
      <c r="R232" s="168"/>
      <c r="S232" s="168"/>
      <c r="T232" s="168"/>
      <c r="AA232" s="218"/>
      <c r="AB232" s="218"/>
      <c r="AC232" s="218"/>
      <c r="AD232" s="218"/>
      <c r="AE232" s="218"/>
      <c r="AF232" s="218"/>
      <c r="AG232" s="218"/>
      <c r="AH232" s="218"/>
      <c r="AI232" s="218"/>
    </row>
  </sheetData>
  <autoFilter ref="A2:AJ228" xr:uid="{639558F9-590A-43A2-B597-B05613F57062}">
    <sortState xmlns:xlrd2="http://schemas.microsoft.com/office/spreadsheetml/2017/richdata2" ref="A28:AJ228">
      <sortCondition ref="A2:A228"/>
    </sortState>
  </autoFilter>
  <dataConsolidate/>
  <mergeCells count="1">
    <mergeCell ref="A1:AH1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ProgressBar1">
          <controlPr defaultSize="0" autoLine="0" autoPict="0" r:id="rId5">
            <anchor moveWithCells="1">
              <from>
                <xdr:col>11</xdr:col>
                <xdr:colOff>38100</xdr:colOff>
                <xdr:row>0</xdr:row>
                <xdr:rowOff>601980</xdr:rowOff>
              </from>
              <to>
                <xdr:col>16</xdr:col>
                <xdr:colOff>38100</xdr:colOff>
                <xdr:row>0</xdr:row>
                <xdr:rowOff>906780</xdr:rowOff>
              </to>
            </anchor>
          </controlPr>
        </control>
      </mc:Choice>
      <mc:Fallback>
        <control shapeId="1026" r:id="rId4" name="ProgressBar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46727E-6922-4FB0-A8A8-205551F5285A}">
  <sheetPr codeName="Sheet2"/>
  <dimension ref="A1:PA658"/>
  <sheetViews>
    <sheetView showGridLines="0" topLeftCell="A253" workbookViewId="0">
      <selection activeCell="A27" sqref="A27:XFD27"/>
    </sheetView>
  </sheetViews>
  <sheetFormatPr defaultRowHeight="13.2" x14ac:dyDescent="0.25"/>
  <cols>
    <col min="1" max="1" width="16.44140625" style="18" customWidth="1"/>
    <col min="2" max="2" width="7.33203125" style="19" customWidth="1"/>
    <col min="3" max="3" width="35.109375" style="18" customWidth="1"/>
    <col min="4" max="9" width="14.88671875" style="25" hidden="1" customWidth="1"/>
    <col min="10" max="10" width="14.88671875" style="25" customWidth="1"/>
    <col min="11" max="11" width="1.33203125" style="18" customWidth="1"/>
    <col min="12" max="12" width="11.6640625" style="18" bestFit="1" customWidth="1"/>
    <col min="13" max="13" width="9.109375" style="18"/>
    <col min="14" max="14" width="1.33203125" style="18" customWidth="1"/>
    <col min="15" max="15" width="12.6640625" style="18" bestFit="1" customWidth="1"/>
    <col min="16" max="16" width="9.109375" style="205"/>
    <col min="17" max="17" width="12" style="37" bestFit="1" customWidth="1"/>
    <col min="18" max="18" width="10" style="37" bestFit="1" customWidth="1"/>
    <col min="19" max="19" width="8.6640625" style="37" bestFit="1" customWidth="1"/>
    <col min="20" max="256" width="9.109375" style="18"/>
    <col min="257" max="257" width="4.88671875" style="18" customWidth="1"/>
    <col min="258" max="258" width="7.33203125" style="18" customWidth="1"/>
    <col min="259" max="259" width="35.109375" style="18" customWidth="1"/>
    <col min="260" max="266" width="14.88671875" style="18" customWidth="1"/>
    <col min="267" max="267" width="1.33203125" style="18" customWidth="1"/>
    <col min="268" max="268" width="11.6640625" style="18" bestFit="1" customWidth="1"/>
    <col min="269" max="269" width="9.109375" style="18"/>
    <col min="270" max="270" width="1.33203125" style="18" customWidth="1"/>
    <col min="271" max="271" width="12.6640625" style="18" bestFit="1" customWidth="1"/>
    <col min="272" max="512" width="9.109375" style="18"/>
    <col min="513" max="513" width="4.88671875" style="18" customWidth="1"/>
    <col min="514" max="514" width="7.33203125" style="18" customWidth="1"/>
    <col min="515" max="515" width="35.109375" style="18" customWidth="1"/>
    <col min="516" max="522" width="14.88671875" style="18" customWidth="1"/>
    <col min="523" max="523" width="1.33203125" style="18" customWidth="1"/>
    <col min="524" max="524" width="11.6640625" style="18" bestFit="1" customWidth="1"/>
    <col min="525" max="525" width="9.109375" style="18"/>
    <col min="526" max="526" width="1.33203125" style="18" customWidth="1"/>
    <col min="527" max="527" width="12.6640625" style="18" bestFit="1" customWidth="1"/>
    <col min="528" max="768" width="9.109375" style="18"/>
    <col min="769" max="769" width="4.88671875" style="18" customWidth="1"/>
    <col min="770" max="770" width="7.33203125" style="18" customWidth="1"/>
    <col min="771" max="771" width="35.109375" style="18" customWidth="1"/>
    <col min="772" max="778" width="14.88671875" style="18" customWidth="1"/>
    <col min="779" max="779" width="1.33203125" style="18" customWidth="1"/>
    <col min="780" max="780" width="11.6640625" style="18" bestFit="1" customWidth="1"/>
    <col min="781" max="781" width="9.109375" style="18"/>
    <col min="782" max="782" width="1.33203125" style="18" customWidth="1"/>
    <col min="783" max="783" width="12.6640625" style="18" bestFit="1" customWidth="1"/>
    <col min="784" max="1024" width="9.109375" style="18"/>
    <col min="1025" max="1025" width="4.88671875" style="18" customWidth="1"/>
    <col min="1026" max="1026" width="7.33203125" style="18" customWidth="1"/>
    <col min="1027" max="1027" width="35.109375" style="18" customWidth="1"/>
    <col min="1028" max="1034" width="14.88671875" style="18" customWidth="1"/>
    <col min="1035" max="1035" width="1.33203125" style="18" customWidth="1"/>
    <col min="1036" max="1036" width="11.6640625" style="18" bestFit="1" customWidth="1"/>
    <col min="1037" max="1037" width="9.109375" style="18"/>
    <col min="1038" max="1038" width="1.33203125" style="18" customWidth="1"/>
    <col min="1039" max="1039" width="12.6640625" style="18" bestFit="1" customWidth="1"/>
    <col min="1040" max="1280" width="9.109375" style="18"/>
    <col min="1281" max="1281" width="4.88671875" style="18" customWidth="1"/>
    <col min="1282" max="1282" width="7.33203125" style="18" customWidth="1"/>
    <col min="1283" max="1283" width="35.109375" style="18" customWidth="1"/>
    <col min="1284" max="1290" width="14.88671875" style="18" customWidth="1"/>
    <col min="1291" max="1291" width="1.33203125" style="18" customWidth="1"/>
    <col min="1292" max="1292" width="11.6640625" style="18" bestFit="1" customWidth="1"/>
    <col min="1293" max="1293" width="9.109375" style="18"/>
    <col min="1294" max="1294" width="1.33203125" style="18" customWidth="1"/>
    <col min="1295" max="1295" width="12.6640625" style="18" bestFit="1" customWidth="1"/>
    <col min="1296" max="1536" width="9.109375" style="18"/>
    <col min="1537" max="1537" width="4.88671875" style="18" customWidth="1"/>
    <col min="1538" max="1538" width="7.33203125" style="18" customWidth="1"/>
    <col min="1539" max="1539" width="35.109375" style="18" customWidth="1"/>
    <col min="1540" max="1546" width="14.88671875" style="18" customWidth="1"/>
    <col min="1547" max="1547" width="1.33203125" style="18" customWidth="1"/>
    <col min="1548" max="1548" width="11.6640625" style="18" bestFit="1" customWidth="1"/>
    <col min="1549" max="1549" width="9.109375" style="18"/>
    <col min="1550" max="1550" width="1.33203125" style="18" customWidth="1"/>
    <col min="1551" max="1551" width="12.6640625" style="18" bestFit="1" customWidth="1"/>
    <col min="1552" max="1792" width="9.109375" style="18"/>
    <col min="1793" max="1793" width="4.88671875" style="18" customWidth="1"/>
    <col min="1794" max="1794" width="7.33203125" style="18" customWidth="1"/>
    <col min="1795" max="1795" width="35.109375" style="18" customWidth="1"/>
    <col min="1796" max="1802" width="14.88671875" style="18" customWidth="1"/>
    <col min="1803" max="1803" width="1.33203125" style="18" customWidth="1"/>
    <col min="1804" max="1804" width="11.6640625" style="18" bestFit="1" customWidth="1"/>
    <col min="1805" max="1805" width="9.109375" style="18"/>
    <col min="1806" max="1806" width="1.33203125" style="18" customWidth="1"/>
    <col min="1807" max="1807" width="12.6640625" style="18" bestFit="1" customWidth="1"/>
    <col min="1808" max="2048" width="9.109375" style="18"/>
    <col min="2049" max="2049" width="4.88671875" style="18" customWidth="1"/>
    <col min="2050" max="2050" width="7.33203125" style="18" customWidth="1"/>
    <col min="2051" max="2051" width="35.109375" style="18" customWidth="1"/>
    <col min="2052" max="2058" width="14.88671875" style="18" customWidth="1"/>
    <col min="2059" max="2059" width="1.33203125" style="18" customWidth="1"/>
    <col min="2060" max="2060" width="11.6640625" style="18" bestFit="1" customWidth="1"/>
    <col min="2061" max="2061" width="9.109375" style="18"/>
    <col min="2062" max="2062" width="1.33203125" style="18" customWidth="1"/>
    <col min="2063" max="2063" width="12.6640625" style="18" bestFit="1" customWidth="1"/>
    <col min="2064" max="2304" width="9.109375" style="18"/>
    <col min="2305" max="2305" width="4.88671875" style="18" customWidth="1"/>
    <col min="2306" max="2306" width="7.33203125" style="18" customWidth="1"/>
    <col min="2307" max="2307" width="35.109375" style="18" customWidth="1"/>
    <col min="2308" max="2314" width="14.88671875" style="18" customWidth="1"/>
    <col min="2315" max="2315" width="1.33203125" style="18" customWidth="1"/>
    <col min="2316" max="2316" width="11.6640625" style="18" bestFit="1" customWidth="1"/>
    <col min="2317" max="2317" width="9.109375" style="18"/>
    <col min="2318" max="2318" width="1.33203125" style="18" customWidth="1"/>
    <col min="2319" max="2319" width="12.6640625" style="18" bestFit="1" customWidth="1"/>
    <col min="2320" max="2560" width="9.109375" style="18"/>
    <col min="2561" max="2561" width="4.88671875" style="18" customWidth="1"/>
    <col min="2562" max="2562" width="7.33203125" style="18" customWidth="1"/>
    <col min="2563" max="2563" width="35.109375" style="18" customWidth="1"/>
    <col min="2564" max="2570" width="14.88671875" style="18" customWidth="1"/>
    <col min="2571" max="2571" width="1.33203125" style="18" customWidth="1"/>
    <col min="2572" max="2572" width="11.6640625" style="18" bestFit="1" customWidth="1"/>
    <col min="2573" max="2573" width="9.109375" style="18"/>
    <col min="2574" max="2574" width="1.33203125" style="18" customWidth="1"/>
    <col min="2575" max="2575" width="12.6640625" style="18" bestFit="1" customWidth="1"/>
    <col min="2576" max="2816" width="9.109375" style="18"/>
    <col min="2817" max="2817" width="4.88671875" style="18" customWidth="1"/>
    <col min="2818" max="2818" width="7.33203125" style="18" customWidth="1"/>
    <col min="2819" max="2819" width="35.109375" style="18" customWidth="1"/>
    <col min="2820" max="2826" width="14.88671875" style="18" customWidth="1"/>
    <col min="2827" max="2827" width="1.33203125" style="18" customWidth="1"/>
    <col min="2828" max="2828" width="11.6640625" style="18" bestFit="1" customWidth="1"/>
    <col min="2829" max="2829" width="9.109375" style="18"/>
    <col min="2830" max="2830" width="1.33203125" style="18" customWidth="1"/>
    <col min="2831" max="2831" width="12.6640625" style="18" bestFit="1" customWidth="1"/>
    <col min="2832" max="3072" width="9.109375" style="18"/>
    <col min="3073" max="3073" width="4.88671875" style="18" customWidth="1"/>
    <col min="3074" max="3074" width="7.33203125" style="18" customWidth="1"/>
    <col min="3075" max="3075" width="35.109375" style="18" customWidth="1"/>
    <col min="3076" max="3082" width="14.88671875" style="18" customWidth="1"/>
    <col min="3083" max="3083" width="1.33203125" style="18" customWidth="1"/>
    <col min="3084" max="3084" width="11.6640625" style="18" bestFit="1" customWidth="1"/>
    <col min="3085" max="3085" width="9.109375" style="18"/>
    <col min="3086" max="3086" width="1.33203125" style="18" customWidth="1"/>
    <col min="3087" max="3087" width="12.6640625" style="18" bestFit="1" customWidth="1"/>
    <col min="3088" max="3328" width="9.109375" style="18"/>
    <col min="3329" max="3329" width="4.88671875" style="18" customWidth="1"/>
    <col min="3330" max="3330" width="7.33203125" style="18" customWidth="1"/>
    <col min="3331" max="3331" width="35.109375" style="18" customWidth="1"/>
    <col min="3332" max="3338" width="14.88671875" style="18" customWidth="1"/>
    <col min="3339" max="3339" width="1.33203125" style="18" customWidth="1"/>
    <col min="3340" max="3340" width="11.6640625" style="18" bestFit="1" customWidth="1"/>
    <col min="3341" max="3341" width="9.109375" style="18"/>
    <col min="3342" max="3342" width="1.33203125" style="18" customWidth="1"/>
    <col min="3343" max="3343" width="12.6640625" style="18" bestFit="1" customWidth="1"/>
    <col min="3344" max="3584" width="9.109375" style="18"/>
    <col min="3585" max="3585" width="4.88671875" style="18" customWidth="1"/>
    <col min="3586" max="3586" width="7.33203125" style="18" customWidth="1"/>
    <col min="3587" max="3587" width="35.109375" style="18" customWidth="1"/>
    <col min="3588" max="3594" width="14.88671875" style="18" customWidth="1"/>
    <col min="3595" max="3595" width="1.33203125" style="18" customWidth="1"/>
    <col min="3596" max="3596" width="11.6640625" style="18" bestFit="1" customWidth="1"/>
    <col min="3597" max="3597" width="9.109375" style="18"/>
    <col min="3598" max="3598" width="1.33203125" style="18" customWidth="1"/>
    <col min="3599" max="3599" width="12.6640625" style="18" bestFit="1" customWidth="1"/>
    <col min="3600" max="3840" width="9.109375" style="18"/>
    <col min="3841" max="3841" width="4.88671875" style="18" customWidth="1"/>
    <col min="3842" max="3842" width="7.33203125" style="18" customWidth="1"/>
    <col min="3843" max="3843" width="35.109375" style="18" customWidth="1"/>
    <col min="3844" max="3850" width="14.88671875" style="18" customWidth="1"/>
    <col min="3851" max="3851" width="1.33203125" style="18" customWidth="1"/>
    <col min="3852" max="3852" width="11.6640625" style="18" bestFit="1" customWidth="1"/>
    <col min="3853" max="3853" width="9.109375" style="18"/>
    <col min="3854" max="3854" width="1.33203125" style="18" customWidth="1"/>
    <col min="3855" max="3855" width="12.6640625" style="18" bestFit="1" customWidth="1"/>
    <col min="3856" max="4096" width="9.109375" style="18"/>
    <col min="4097" max="4097" width="4.88671875" style="18" customWidth="1"/>
    <col min="4098" max="4098" width="7.33203125" style="18" customWidth="1"/>
    <col min="4099" max="4099" width="35.109375" style="18" customWidth="1"/>
    <col min="4100" max="4106" width="14.88671875" style="18" customWidth="1"/>
    <col min="4107" max="4107" width="1.33203125" style="18" customWidth="1"/>
    <col min="4108" max="4108" width="11.6640625" style="18" bestFit="1" customWidth="1"/>
    <col min="4109" max="4109" width="9.109375" style="18"/>
    <col min="4110" max="4110" width="1.33203125" style="18" customWidth="1"/>
    <col min="4111" max="4111" width="12.6640625" style="18" bestFit="1" customWidth="1"/>
    <col min="4112" max="4352" width="9.109375" style="18"/>
    <col min="4353" max="4353" width="4.88671875" style="18" customWidth="1"/>
    <col min="4354" max="4354" width="7.33203125" style="18" customWidth="1"/>
    <col min="4355" max="4355" width="35.109375" style="18" customWidth="1"/>
    <col min="4356" max="4362" width="14.88671875" style="18" customWidth="1"/>
    <col min="4363" max="4363" width="1.33203125" style="18" customWidth="1"/>
    <col min="4364" max="4364" width="11.6640625" style="18" bestFit="1" customWidth="1"/>
    <col min="4365" max="4365" width="9.109375" style="18"/>
    <col min="4366" max="4366" width="1.33203125" style="18" customWidth="1"/>
    <col min="4367" max="4367" width="12.6640625" style="18" bestFit="1" customWidth="1"/>
    <col min="4368" max="4608" width="9.109375" style="18"/>
    <col min="4609" max="4609" width="4.88671875" style="18" customWidth="1"/>
    <col min="4610" max="4610" width="7.33203125" style="18" customWidth="1"/>
    <col min="4611" max="4611" width="35.109375" style="18" customWidth="1"/>
    <col min="4612" max="4618" width="14.88671875" style="18" customWidth="1"/>
    <col min="4619" max="4619" width="1.33203125" style="18" customWidth="1"/>
    <col min="4620" max="4620" width="11.6640625" style="18" bestFit="1" customWidth="1"/>
    <col min="4621" max="4621" width="9.109375" style="18"/>
    <col min="4622" max="4622" width="1.33203125" style="18" customWidth="1"/>
    <col min="4623" max="4623" width="12.6640625" style="18" bestFit="1" customWidth="1"/>
    <col min="4624" max="4864" width="9.109375" style="18"/>
    <col min="4865" max="4865" width="4.88671875" style="18" customWidth="1"/>
    <col min="4866" max="4866" width="7.33203125" style="18" customWidth="1"/>
    <col min="4867" max="4867" width="35.109375" style="18" customWidth="1"/>
    <col min="4868" max="4874" width="14.88671875" style="18" customWidth="1"/>
    <col min="4875" max="4875" width="1.33203125" style="18" customWidth="1"/>
    <col min="4876" max="4876" width="11.6640625" style="18" bestFit="1" customWidth="1"/>
    <col min="4877" max="4877" width="9.109375" style="18"/>
    <col min="4878" max="4878" width="1.33203125" style="18" customWidth="1"/>
    <col min="4879" max="4879" width="12.6640625" style="18" bestFit="1" customWidth="1"/>
    <col min="4880" max="5120" width="9.109375" style="18"/>
    <col min="5121" max="5121" width="4.88671875" style="18" customWidth="1"/>
    <col min="5122" max="5122" width="7.33203125" style="18" customWidth="1"/>
    <col min="5123" max="5123" width="35.109375" style="18" customWidth="1"/>
    <col min="5124" max="5130" width="14.88671875" style="18" customWidth="1"/>
    <col min="5131" max="5131" width="1.33203125" style="18" customWidth="1"/>
    <col min="5132" max="5132" width="11.6640625" style="18" bestFit="1" customWidth="1"/>
    <col min="5133" max="5133" width="9.109375" style="18"/>
    <col min="5134" max="5134" width="1.33203125" style="18" customWidth="1"/>
    <col min="5135" max="5135" width="12.6640625" style="18" bestFit="1" customWidth="1"/>
    <col min="5136" max="5376" width="9.109375" style="18"/>
    <col min="5377" max="5377" width="4.88671875" style="18" customWidth="1"/>
    <col min="5378" max="5378" width="7.33203125" style="18" customWidth="1"/>
    <col min="5379" max="5379" width="35.109375" style="18" customWidth="1"/>
    <col min="5380" max="5386" width="14.88671875" style="18" customWidth="1"/>
    <col min="5387" max="5387" width="1.33203125" style="18" customWidth="1"/>
    <col min="5388" max="5388" width="11.6640625" style="18" bestFit="1" customWidth="1"/>
    <col min="5389" max="5389" width="9.109375" style="18"/>
    <col min="5390" max="5390" width="1.33203125" style="18" customWidth="1"/>
    <col min="5391" max="5391" width="12.6640625" style="18" bestFit="1" customWidth="1"/>
    <col min="5392" max="5632" width="9.109375" style="18"/>
    <col min="5633" max="5633" width="4.88671875" style="18" customWidth="1"/>
    <col min="5634" max="5634" width="7.33203125" style="18" customWidth="1"/>
    <col min="5635" max="5635" width="35.109375" style="18" customWidth="1"/>
    <col min="5636" max="5642" width="14.88671875" style="18" customWidth="1"/>
    <col min="5643" max="5643" width="1.33203125" style="18" customWidth="1"/>
    <col min="5644" max="5644" width="11.6640625" style="18" bestFit="1" customWidth="1"/>
    <col min="5645" max="5645" width="9.109375" style="18"/>
    <col min="5646" max="5646" width="1.33203125" style="18" customWidth="1"/>
    <col min="5647" max="5647" width="12.6640625" style="18" bestFit="1" customWidth="1"/>
    <col min="5648" max="5888" width="9.109375" style="18"/>
    <col min="5889" max="5889" width="4.88671875" style="18" customWidth="1"/>
    <col min="5890" max="5890" width="7.33203125" style="18" customWidth="1"/>
    <col min="5891" max="5891" width="35.109375" style="18" customWidth="1"/>
    <col min="5892" max="5898" width="14.88671875" style="18" customWidth="1"/>
    <col min="5899" max="5899" width="1.33203125" style="18" customWidth="1"/>
    <col min="5900" max="5900" width="11.6640625" style="18" bestFit="1" customWidth="1"/>
    <col min="5901" max="5901" width="9.109375" style="18"/>
    <col min="5902" max="5902" width="1.33203125" style="18" customWidth="1"/>
    <col min="5903" max="5903" width="12.6640625" style="18" bestFit="1" customWidth="1"/>
    <col min="5904" max="6144" width="9.109375" style="18"/>
    <col min="6145" max="6145" width="4.88671875" style="18" customWidth="1"/>
    <col min="6146" max="6146" width="7.33203125" style="18" customWidth="1"/>
    <col min="6147" max="6147" width="35.109375" style="18" customWidth="1"/>
    <col min="6148" max="6154" width="14.88671875" style="18" customWidth="1"/>
    <col min="6155" max="6155" width="1.33203125" style="18" customWidth="1"/>
    <col min="6156" max="6156" width="11.6640625" style="18" bestFit="1" customWidth="1"/>
    <col min="6157" max="6157" width="9.109375" style="18"/>
    <col min="6158" max="6158" width="1.33203125" style="18" customWidth="1"/>
    <col min="6159" max="6159" width="12.6640625" style="18" bestFit="1" customWidth="1"/>
    <col min="6160" max="6400" width="9.109375" style="18"/>
    <col min="6401" max="6401" width="4.88671875" style="18" customWidth="1"/>
    <col min="6402" max="6402" width="7.33203125" style="18" customWidth="1"/>
    <col min="6403" max="6403" width="35.109375" style="18" customWidth="1"/>
    <col min="6404" max="6410" width="14.88671875" style="18" customWidth="1"/>
    <col min="6411" max="6411" width="1.33203125" style="18" customWidth="1"/>
    <col min="6412" max="6412" width="11.6640625" style="18" bestFit="1" customWidth="1"/>
    <col min="6413" max="6413" width="9.109375" style="18"/>
    <col min="6414" max="6414" width="1.33203125" style="18" customWidth="1"/>
    <col min="6415" max="6415" width="12.6640625" style="18" bestFit="1" customWidth="1"/>
    <col min="6416" max="6656" width="9.109375" style="18"/>
    <col min="6657" max="6657" width="4.88671875" style="18" customWidth="1"/>
    <col min="6658" max="6658" width="7.33203125" style="18" customWidth="1"/>
    <col min="6659" max="6659" width="35.109375" style="18" customWidth="1"/>
    <col min="6660" max="6666" width="14.88671875" style="18" customWidth="1"/>
    <col min="6667" max="6667" width="1.33203125" style="18" customWidth="1"/>
    <col min="6668" max="6668" width="11.6640625" style="18" bestFit="1" customWidth="1"/>
    <col min="6669" max="6669" width="9.109375" style="18"/>
    <col min="6670" max="6670" width="1.33203125" style="18" customWidth="1"/>
    <col min="6671" max="6671" width="12.6640625" style="18" bestFit="1" customWidth="1"/>
    <col min="6672" max="6912" width="9.109375" style="18"/>
    <col min="6913" max="6913" width="4.88671875" style="18" customWidth="1"/>
    <col min="6914" max="6914" width="7.33203125" style="18" customWidth="1"/>
    <col min="6915" max="6915" width="35.109375" style="18" customWidth="1"/>
    <col min="6916" max="6922" width="14.88671875" style="18" customWidth="1"/>
    <col min="6923" max="6923" width="1.33203125" style="18" customWidth="1"/>
    <col min="6924" max="6924" width="11.6640625" style="18" bestFit="1" customWidth="1"/>
    <col min="6925" max="6925" width="9.109375" style="18"/>
    <col min="6926" max="6926" width="1.33203125" style="18" customWidth="1"/>
    <col min="6927" max="6927" width="12.6640625" style="18" bestFit="1" customWidth="1"/>
    <col min="6928" max="7168" width="9.109375" style="18"/>
    <col min="7169" max="7169" width="4.88671875" style="18" customWidth="1"/>
    <col min="7170" max="7170" width="7.33203125" style="18" customWidth="1"/>
    <col min="7171" max="7171" width="35.109375" style="18" customWidth="1"/>
    <col min="7172" max="7178" width="14.88671875" style="18" customWidth="1"/>
    <col min="7179" max="7179" width="1.33203125" style="18" customWidth="1"/>
    <col min="7180" max="7180" width="11.6640625" style="18" bestFit="1" customWidth="1"/>
    <col min="7181" max="7181" width="9.109375" style="18"/>
    <col min="7182" max="7182" width="1.33203125" style="18" customWidth="1"/>
    <col min="7183" max="7183" width="12.6640625" style="18" bestFit="1" customWidth="1"/>
    <col min="7184" max="7424" width="9.109375" style="18"/>
    <col min="7425" max="7425" width="4.88671875" style="18" customWidth="1"/>
    <col min="7426" max="7426" width="7.33203125" style="18" customWidth="1"/>
    <col min="7427" max="7427" width="35.109375" style="18" customWidth="1"/>
    <col min="7428" max="7434" width="14.88671875" style="18" customWidth="1"/>
    <col min="7435" max="7435" width="1.33203125" style="18" customWidth="1"/>
    <col min="7436" max="7436" width="11.6640625" style="18" bestFit="1" customWidth="1"/>
    <col min="7437" max="7437" width="9.109375" style="18"/>
    <col min="7438" max="7438" width="1.33203125" style="18" customWidth="1"/>
    <col min="7439" max="7439" width="12.6640625" style="18" bestFit="1" customWidth="1"/>
    <col min="7440" max="7680" width="9.109375" style="18"/>
    <col min="7681" max="7681" width="4.88671875" style="18" customWidth="1"/>
    <col min="7682" max="7682" width="7.33203125" style="18" customWidth="1"/>
    <col min="7683" max="7683" width="35.109375" style="18" customWidth="1"/>
    <col min="7684" max="7690" width="14.88671875" style="18" customWidth="1"/>
    <col min="7691" max="7691" width="1.33203125" style="18" customWidth="1"/>
    <col min="7692" max="7692" width="11.6640625" style="18" bestFit="1" customWidth="1"/>
    <col min="7693" max="7693" width="9.109375" style="18"/>
    <col min="7694" max="7694" width="1.33203125" style="18" customWidth="1"/>
    <col min="7695" max="7695" width="12.6640625" style="18" bestFit="1" customWidth="1"/>
    <col min="7696" max="7936" width="9.109375" style="18"/>
    <col min="7937" max="7937" width="4.88671875" style="18" customWidth="1"/>
    <col min="7938" max="7938" width="7.33203125" style="18" customWidth="1"/>
    <col min="7939" max="7939" width="35.109375" style="18" customWidth="1"/>
    <col min="7940" max="7946" width="14.88671875" style="18" customWidth="1"/>
    <col min="7947" max="7947" width="1.33203125" style="18" customWidth="1"/>
    <col min="7948" max="7948" width="11.6640625" style="18" bestFit="1" customWidth="1"/>
    <col min="7949" max="7949" width="9.109375" style="18"/>
    <col min="7950" max="7950" width="1.33203125" style="18" customWidth="1"/>
    <col min="7951" max="7951" width="12.6640625" style="18" bestFit="1" customWidth="1"/>
    <col min="7952" max="8192" width="9.109375" style="18"/>
    <col min="8193" max="8193" width="4.88671875" style="18" customWidth="1"/>
    <col min="8194" max="8194" width="7.33203125" style="18" customWidth="1"/>
    <col min="8195" max="8195" width="35.109375" style="18" customWidth="1"/>
    <col min="8196" max="8202" width="14.88671875" style="18" customWidth="1"/>
    <col min="8203" max="8203" width="1.33203125" style="18" customWidth="1"/>
    <col min="8204" max="8204" width="11.6640625" style="18" bestFit="1" customWidth="1"/>
    <col min="8205" max="8205" width="9.109375" style="18"/>
    <col min="8206" max="8206" width="1.33203125" style="18" customWidth="1"/>
    <col min="8207" max="8207" width="12.6640625" style="18" bestFit="1" customWidth="1"/>
    <col min="8208" max="8448" width="9.109375" style="18"/>
    <col min="8449" max="8449" width="4.88671875" style="18" customWidth="1"/>
    <col min="8450" max="8450" width="7.33203125" style="18" customWidth="1"/>
    <col min="8451" max="8451" width="35.109375" style="18" customWidth="1"/>
    <col min="8452" max="8458" width="14.88671875" style="18" customWidth="1"/>
    <col min="8459" max="8459" width="1.33203125" style="18" customWidth="1"/>
    <col min="8460" max="8460" width="11.6640625" style="18" bestFit="1" customWidth="1"/>
    <col min="8461" max="8461" width="9.109375" style="18"/>
    <col min="8462" max="8462" width="1.33203125" style="18" customWidth="1"/>
    <col min="8463" max="8463" width="12.6640625" style="18" bestFit="1" customWidth="1"/>
    <col min="8464" max="8704" width="9.109375" style="18"/>
    <col min="8705" max="8705" width="4.88671875" style="18" customWidth="1"/>
    <col min="8706" max="8706" width="7.33203125" style="18" customWidth="1"/>
    <col min="8707" max="8707" width="35.109375" style="18" customWidth="1"/>
    <col min="8708" max="8714" width="14.88671875" style="18" customWidth="1"/>
    <col min="8715" max="8715" width="1.33203125" style="18" customWidth="1"/>
    <col min="8716" max="8716" width="11.6640625" style="18" bestFit="1" customWidth="1"/>
    <col min="8717" max="8717" width="9.109375" style="18"/>
    <col min="8718" max="8718" width="1.33203125" style="18" customWidth="1"/>
    <col min="8719" max="8719" width="12.6640625" style="18" bestFit="1" customWidth="1"/>
    <col min="8720" max="8960" width="9.109375" style="18"/>
    <col min="8961" max="8961" width="4.88671875" style="18" customWidth="1"/>
    <col min="8962" max="8962" width="7.33203125" style="18" customWidth="1"/>
    <col min="8963" max="8963" width="35.109375" style="18" customWidth="1"/>
    <col min="8964" max="8970" width="14.88671875" style="18" customWidth="1"/>
    <col min="8971" max="8971" width="1.33203125" style="18" customWidth="1"/>
    <col min="8972" max="8972" width="11.6640625" style="18" bestFit="1" customWidth="1"/>
    <col min="8973" max="8973" width="9.109375" style="18"/>
    <col min="8974" max="8974" width="1.33203125" style="18" customWidth="1"/>
    <col min="8975" max="8975" width="12.6640625" style="18" bestFit="1" customWidth="1"/>
    <col min="8976" max="9216" width="9.109375" style="18"/>
    <col min="9217" max="9217" width="4.88671875" style="18" customWidth="1"/>
    <col min="9218" max="9218" width="7.33203125" style="18" customWidth="1"/>
    <col min="9219" max="9219" width="35.109375" style="18" customWidth="1"/>
    <col min="9220" max="9226" width="14.88671875" style="18" customWidth="1"/>
    <col min="9227" max="9227" width="1.33203125" style="18" customWidth="1"/>
    <col min="9228" max="9228" width="11.6640625" style="18" bestFit="1" customWidth="1"/>
    <col min="9229" max="9229" width="9.109375" style="18"/>
    <col min="9230" max="9230" width="1.33203125" style="18" customWidth="1"/>
    <col min="9231" max="9231" width="12.6640625" style="18" bestFit="1" customWidth="1"/>
    <col min="9232" max="9472" width="9.109375" style="18"/>
    <col min="9473" max="9473" width="4.88671875" style="18" customWidth="1"/>
    <col min="9474" max="9474" width="7.33203125" style="18" customWidth="1"/>
    <col min="9475" max="9475" width="35.109375" style="18" customWidth="1"/>
    <col min="9476" max="9482" width="14.88671875" style="18" customWidth="1"/>
    <col min="9483" max="9483" width="1.33203125" style="18" customWidth="1"/>
    <col min="9484" max="9484" width="11.6640625" style="18" bestFit="1" customWidth="1"/>
    <col min="9485" max="9485" width="9.109375" style="18"/>
    <col min="9486" max="9486" width="1.33203125" style="18" customWidth="1"/>
    <col min="9487" max="9487" width="12.6640625" style="18" bestFit="1" customWidth="1"/>
    <col min="9488" max="9728" width="9.109375" style="18"/>
    <col min="9729" max="9729" width="4.88671875" style="18" customWidth="1"/>
    <col min="9730" max="9730" width="7.33203125" style="18" customWidth="1"/>
    <col min="9731" max="9731" width="35.109375" style="18" customWidth="1"/>
    <col min="9732" max="9738" width="14.88671875" style="18" customWidth="1"/>
    <col min="9739" max="9739" width="1.33203125" style="18" customWidth="1"/>
    <col min="9740" max="9740" width="11.6640625" style="18" bestFit="1" customWidth="1"/>
    <col min="9741" max="9741" width="9.109375" style="18"/>
    <col min="9742" max="9742" width="1.33203125" style="18" customWidth="1"/>
    <col min="9743" max="9743" width="12.6640625" style="18" bestFit="1" customWidth="1"/>
    <col min="9744" max="9984" width="9.109375" style="18"/>
    <col min="9985" max="9985" width="4.88671875" style="18" customWidth="1"/>
    <col min="9986" max="9986" width="7.33203125" style="18" customWidth="1"/>
    <col min="9987" max="9987" width="35.109375" style="18" customWidth="1"/>
    <col min="9988" max="9994" width="14.88671875" style="18" customWidth="1"/>
    <col min="9995" max="9995" width="1.33203125" style="18" customWidth="1"/>
    <col min="9996" max="9996" width="11.6640625" style="18" bestFit="1" customWidth="1"/>
    <col min="9997" max="9997" width="9.109375" style="18"/>
    <col min="9998" max="9998" width="1.33203125" style="18" customWidth="1"/>
    <col min="9999" max="9999" width="12.6640625" style="18" bestFit="1" customWidth="1"/>
    <col min="10000" max="10240" width="9.109375" style="18"/>
    <col min="10241" max="10241" width="4.88671875" style="18" customWidth="1"/>
    <col min="10242" max="10242" width="7.33203125" style="18" customWidth="1"/>
    <col min="10243" max="10243" width="35.109375" style="18" customWidth="1"/>
    <col min="10244" max="10250" width="14.88671875" style="18" customWidth="1"/>
    <col min="10251" max="10251" width="1.33203125" style="18" customWidth="1"/>
    <col min="10252" max="10252" width="11.6640625" style="18" bestFit="1" customWidth="1"/>
    <col min="10253" max="10253" width="9.109375" style="18"/>
    <col min="10254" max="10254" width="1.33203125" style="18" customWidth="1"/>
    <col min="10255" max="10255" width="12.6640625" style="18" bestFit="1" customWidth="1"/>
    <col min="10256" max="10496" width="9.109375" style="18"/>
    <col min="10497" max="10497" width="4.88671875" style="18" customWidth="1"/>
    <col min="10498" max="10498" width="7.33203125" style="18" customWidth="1"/>
    <col min="10499" max="10499" width="35.109375" style="18" customWidth="1"/>
    <col min="10500" max="10506" width="14.88671875" style="18" customWidth="1"/>
    <col min="10507" max="10507" width="1.33203125" style="18" customWidth="1"/>
    <col min="10508" max="10508" width="11.6640625" style="18" bestFit="1" customWidth="1"/>
    <col min="10509" max="10509" width="9.109375" style="18"/>
    <col min="10510" max="10510" width="1.33203125" style="18" customWidth="1"/>
    <col min="10511" max="10511" width="12.6640625" style="18" bestFit="1" customWidth="1"/>
    <col min="10512" max="10752" width="9.109375" style="18"/>
    <col min="10753" max="10753" width="4.88671875" style="18" customWidth="1"/>
    <col min="10754" max="10754" width="7.33203125" style="18" customWidth="1"/>
    <col min="10755" max="10755" width="35.109375" style="18" customWidth="1"/>
    <col min="10756" max="10762" width="14.88671875" style="18" customWidth="1"/>
    <col min="10763" max="10763" width="1.33203125" style="18" customWidth="1"/>
    <col min="10764" max="10764" width="11.6640625" style="18" bestFit="1" customWidth="1"/>
    <col min="10765" max="10765" width="9.109375" style="18"/>
    <col min="10766" max="10766" width="1.33203125" style="18" customWidth="1"/>
    <col min="10767" max="10767" width="12.6640625" style="18" bestFit="1" customWidth="1"/>
    <col min="10768" max="11008" width="9.109375" style="18"/>
    <col min="11009" max="11009" width="4.88671875" style="18" customWidth="1"/>
    <col min="11010" max="11010" width="7.33203125" style="18" customWidth="1"/>
    <col min="11011" max="11011" width="35.109375" style="18" customWidth="1"/>
    <col min="11012" max="11018" width="14.88671875" style="18" customWidth="1"/>
    <col min="11019" max="11019" width="1.33203125" style="18" customWidth="1"/>
    <col min="11020" max="11020" width="11.6640625" style="18" bestFit="1" customWidth="1"/>
    <col min="11021" max="11021" width="9.109375" style="18"/>
    <col min="11022" max="11022" width="1.33203125" style="18" customWidth="1"/>
    <col min="11023" max="11023" width="12.6640625" style="18" bestFit="1" customWidth="1"/>
    <col min="11024" max="11264" width="9.109375" style="18"/>
    <col min="11265" max="11265" width="4.88671875" style="18" customWidth="1"/>
    <col min="11266" max="11266" width="7.33203125" style="18" customWidth="1"/>
    <col min="11267" max="11267" width="35.109375" style="18" customWidth="1"/>
    <col min="11268" max="11274" width="14.88671875" style="18" customWidth="1"/>
    <col min="11275" max="11275" width="1.33203125" style="18" customWidth="1"/>
    <col min="11276" max="11276" width="11.6640625" style="18" bestFit="1" customWidth="1"/>
    <col min="11277" max="11277" width="9.109375" style="18"/>
    <col min="11278" max="11278" width="1.33203125" style="18" customWidth="1"/>
    <col min="11279" max="11279" width="12.6640625" style="18" bestFit="1" customWidth="1"/>
    <col min="11280" max="11520" width="9.109375" style="18"/>
    <col min="11521" max="11521" width="4.88671875" style="18" customWidth="1"/>
    <col min="11522" max="11522" width="7.33203125" style="18" customWidth="1"/>
    <col min="11523" max="11523" width="35.109375" style="18" customWidth="1"/>
    <col min="11524" max="11530" width="14.88671875" style="18" customWidth="1"/>
    <col min="11531" max="11531" width="1.33203125" style="18" customWidth="1"/>
    <col min="11532" max="11532" width="11.6640625" style="18" bestFit="1" customWidth="1"/>
    <col min="11533" max="11533" width="9.109375" style="18"/>
    <col min="11534" max="11534" width="1.33203125" style="18" customWidth="1"/>
    <col min="11535" max="11535" width="12.6640625" style="18" bestFit="1" customWidth="1"/>
    <col min="11536" max="11776" width="9.109375" style="18"/>
    <col min="11777" max="11777" width="4.88671875" style="18" customWidth="1"/>
    <col min="11778" max="11778" width="7.33203125" style="18" customWidth="1"/>
    <col min="11779" max="11779" width="35.109375" style="18" customWidth="1"/>
    <col min="11780" max="11786" width="14.88671875" style="18" customWidth="1"/>
    <col min="11787" max="11787" width="1.33203125" style="18" customWidth="1"/>
    <col min="11788" max="11788" width="11.6640625" style="18" bestFit="1" customWidth="1"/>
    <col min="11789" max="11789" width="9.109375" style="18"/>
    <col min="11790" max="11790" width="1.33203125" style="18" customWidth="1"/>
    <col min="11791" max="11791" width="12.6640625" style="18" bestFit="1" customWidth="1"/>
    <col min="11792" max="12032" width="9.109375" style="18"/>
    <col min="12033" max="12033" width="4.88671875" style="18" customWidth="1"/>
    <col min="12034" max="12034" width="7.33203125" style="18" customWidth="1"/>
    <col min="12035" max="12035" width="35.109375" style="18" customWidth="1"/>
    <col min="12036" max="12042" width="14.88671875" style="18" customWidth="1"/>
    <col min="12043" max="12043" width="1.33203125" style="18" customWidth="1"/>
    <col min="12044" max="12044" width="11.6640625" style="18" bestFit="1" customWidth="1"/>
    <col min="12045" max="12045" width="9.109375" style="18"/>
    <col min="12046" max="12046" width="1.33203125" style="18" customWidth="1"/>
    <col min="12047" max="12047" width="12.6640625" style="18" bestFit="1" customWidth="1"/>
    <col min="12048" max="12288" width="9.109375" style="18"/>
    <col min="12289" max="12289" width="4.88671875" style="18" customWidth="1"/>
    <col min="12290" max="12290" width="7.33203125" style="18" customWidth="1"/>
    <col min="12291" max="12291" width="35.109375" style="18" customWidth="1"/>
    <col min="12292" max="12298" width="14.88671875" style="18" customWidth="1"/>
    <col min="12299" max="12299" width="1.33203125" style="18" customWidth="1"/>
    <col min="12300" max="12300" width="11.6640625" style="18" bestFit="1" customWidth="1"/>
    <col min="12301" max="12301" width="9.109375" style="18"/>
    <col min="12302" max="12302" width="1.33203125" style="18" customWidth="1"/>
    <col min="12303" max="12303" width="12.6640625" style="18" bestFit="1" customWidth="1"/>
    <col min="12304" max="12544" width="9.109375" style="18"/>
    <col min="12545" max="12545" width="4.88671875" style="18" customWidth="1"/>
    <col min="12546" max="12546" width="7.33203125" style="18" customWidth="1"/>
    <col min="12547" max="12547" width="35.109375" style="18" customWidth="1"/>
    <col min="12548" max="12554" width="14.88671875" style="18" customWidth="1"/>
    <col min="12555" max="12555" width="1.33203125" style="18" customWidth="1"/>
    <col min="12556" max="12556" width="11.6640625" style="18" bestFit="1" customWidth="1"/>
    <col min="12557" max="12557" width="9.109375" style="18"/>
    <col min="12558" max="12558" width="1.33203125" style="18" customWidth="1"/>
    <col min="12559" max="12559" width="12.6640625" style="18" bestFit="1" customWidth="1"/>
    <col min="12560" max="12800" width="9.109375" style="18"/>
    <col min="12801" max="12801" width="4.88671875" style="18" customWidth="1"/>
    <col min="12802" max="12802" width="7.33203125" style="18" customWidth="1"/>
    <col min="12803" max="12803" width="35.109375" style="18" customWidth="1"/>
    <col min="12804" max="12810" width="14.88671875" style="18" customWidth="1"/>
    <col min="12811" max="12811" width="1.33203125" style="18" customWidth="1"/>
    <col min="12812" max="12812" width="11.6640625" style="18" bestFit="1" customWidth="1"/>
    <col min="12813" max="12813" width="9.109375" style="18"/>
    <col min="12814" max="12814" width="1.33203125" style="18" customWidth="1"/>
    <col min="12815" max="12815" width="12.6640625" style="18" bestFit="1" customWidth="1"/>
    <col min="12816" max="13056" width="9.109375" style="18"/>
    <col min="13057" max="13057" width="4.88671875" style="18" customWidth="1"/>
    <col min="13058" max="13058" width="7.33203125" style="18" customWidth="1"/>
    <col min="13059" max="13059" width="35.109375" style="18" customWidth="1"/>
    <col min="13060" max="13066" width="14.88671875" style="18" customWidth="1"/>
    <col min="13067" max="13067" width="1.33203125" style="18" customWidth="1"/>
    <col min="13068" max="13068" width="11.6640625" style="18" bestFit="1" customWidth="1"/>
    <col min="13069" max="13069" width="9.109375" style="18"/>
    <col min="13070" max="13070" width="1.33203125" style="18" customWidth="1"/>
    <col min="13071" max="13071" width="12.6640625" style="18" bestFit="1" customWidth="1"/>
    <col min="13072" max="13312" width="9.109375" style="18"/>
    <col min="13313" max="13313" width="4.88671875" style="18" customWidth="1"/>
    <col min="13314" max="13314" width="7.33203125" style="18" customWidth="1"/>
    <col min="13315" max="13315" width="35.109375" style="18" customWidth="1"/>
    <col min="13316" max="13322" width="14.88671875" style="18" customWidth="1"/>
    <col min="13323" max="13323" width="1.33203125" style="18" customWidth="1"/>
    <col min="13324" max="13324" width="11.6640625" style="18" bestFit="1" customWidth="1"/>
    <col min="13325" max="13325" width="9.109375" style="18"/>
    <col min="13326" max="13326" width="1.33203125" style="18" customWidth="1"/>
    <col min="13327" max="13327" width="12.6640625" style="18" bestFit="1" customWidth="1"/>
    <col min="13328" max="13568" width="9.109375" style="18"/>
    <col min="13569" max="13569" width="4.88671875" style="18" customWidth="1"/>
    <col min="13570" max="13570" width="7.33203125" style="18" customWidth="1"/>
    <col min="13571" max="13571" width="35.109375" style="18" customWidth="1"/>
    <col min="13572" max="13578" width="14.88671875" style="18" customWidth="1"/>
    <col min="13579" max="13579" width="1.33203125" style="18" customWidth="1"/>
    <col min="13580" max="13580" width="11.6640625" style="18" bestFit="1" customWidth="1"/>
    <col min="13581" max="13581" width="9.109375" style="18"/>
    <col min="13582" max="13582" width="1.33203125" style="18" customWidth="1"/>
    <col min="13583" max="13583" width="12.6640625" style="18" bestFit="1" customWidth="1"/>
    <col min="13584" max="13824" width="9.109375" style="18"/>
    <col min="13825" max="13825" width="4.88671875" style="18" customWidth="1"/>
    <col min="13826" max="13826" width="7.33203125" style="18" customWidth="1"/>
    <col min="13827" max="13827" width="35.109375" style="18" customWidth="1"/>
    <col min="13828" max="13834" width="14.88671875" style="18" customWidth="1"/>
    <col min="13835" max="13835" width="1.33203125" style="18" customWidth="1"/>
    <col min="13836" max="13836" width="11.6640625" style="18" bestFit="1" customWidth="1"/>
    <col min="13837" max="13837" width="9.109375" style="18"/>
    <col min="13838" max="13838" width="1.33203125" style="18" customWidth="1"/>
    <col min="13839" max="13839" width="12.6640625" style="18" bestFit="1" customWidth="1"/>
    <col min="13840" max="14080" width="9.109375" style="18"/>
    <col min="14081" max="14081" width="4.88671875" style="18" customWidth="1"/>
    <col min="14082" max="14082" width="7.33203125" style="18" customWidth="1"/>
    <col min="14083" max="14083" width="35.109375" style="18" customWidth="1"/>
    <col min="14084" max="14090" width="14.88671875" style="18" customWidth="1"/>
    <col min="14091" max="14091" width="1.33203125" style="18" customWidth="1"/>
    <col min="14092" max="14092" width="11.6640625" style="18" bestFit="1" customWidth="1"/>
    <col min="14093" max="14093" width="9.109375" style="18"/>
    <col min="14094" max="14094" width="1.33203125" style="18" customWidth="1"/>
    <col min="14095" max="14095" width="12.6640625" style="18" bestFit="1" customWidth="1"/>
    <col min="14096" max="14336" width="9.109375" style="18"/>
    <col min="14337" max="14337" width="4.88671875" style="18" customWidth="1"/>
    <col min="14338" max="14338" width="7.33203125" style="18" customWidth="1"/>
    <col min="14339" max="14339" width="35.109375" style="18" customWidth="1"/>
    <col min="14340" max="14346" width="14.88671875" style="18" customWidth="1"/>
    <col min="14347" max="14347" width="1.33203125" style="18" customWidth="1"/>
    <col min="14348" max="14348" width="11.6640625" style="18" bestFit="1" customWidth="1"/>
    <col min="14349" max="14349" width="9.109375" style="18"/>
    <col min="14350" max="14350" width="1.33203125" style="18" customWidth="1"/>
    <col min="14351" max="14351" width="12.6640625" style="18" bestFit="1" customWidth="1"/>
    <col min="14352" max="14592" width="9.109375" style="18"/>
    <col min="14593" max="14593" width="4.88671875" style="18" customWidth="1"/>
    <col min="14594" max="14594" width="7.33203125" style="18" customWidth="1"/>
    <col min="14595" max="14595" width="35.109375" style="18" customWidth="1"/>
    <col min="14596" max="14602" width="14.88671875" style="18" customWidth="1"/>
    <col min="14603" max="14603" width="1.33203125" style="18" customWidth="1"/>
    <col min="14604" max="14604" width="11.6640625" style="18" bestFit="1" customWidth="1"/>
    <col min="14605" max="14605" width="9.109375" style="18"/>
    <col min="14606" max="14606" width="1.33203125" style="18" customWidth="1"/>
    <col min="14607" max="14607" width="12.6640625" style="18" bestFit="1" customWidth="1"/>
    <col min="14608" max="14848" width="9.109375" style="18"/>
    <col min="14849" max="14849" width="4.88671875" style="18" customWidth="1"/>
    <col min="14850" max="14850" width="7.33203125" style="18" customWidth="1"/>
    <col min="14851" max="14851" width="35.109375" style="18" customWidth="1"/>
    <col min="14852" max="14858" width="14.88671875" style="18" customWidth="1"/>
    <col min="14859" max="14859" width="1.33203125" style="18" customWidth="1"/>
    <col min="14860" max="14860" width="11.6640625" style="18" bestFit="1" customWidth="1"/>
    <col min="14861" max="14861" width="9.109375" style="18"/>
    <col min="14862" max="14862" width="1.33203125" style="18" customWidth="1"/>
    <col min="14863" max="14863" width="12.6640625" style="18" bestFit="1" customWidth="1"/>
    <col min="14864" max="15104" width="9.109375" style="18"/>
    <col min="15105" max="15105" width="4.88671875" style="18" customWidth="1"/>
    <col min="15106" max="15106" width="7.33203125" style="18" customWidth="1"/>
    <col min="15107" max="15107" width="35.109375" style="18" customWidth="1"/>
    <col min="15108" max="15114" width="14.88671875" style="18" customWidth="1"/>
    <col min="15115" max="15115" width="1.33203125" style="18" customWidth="1"/>
    <col min="15116" max="15116" width="11.6640625" style="18" bestFit="1" customWidth="1"/>
    <col min="15117" max="15117" width="9.109375" style="18"/>
    <col min="15118" max="15118" width="1.33203125" style="18" customWidth="1"/>
    <col min="15119" max="15119" width="12.6640625" style="18" bestFit="1" customWidth="1"/>
    <col min="15120" max="15360" width="9.109375" style="18"/>
    <col min="15361" max="15361" width="4.88671875" style="18" customWidth="1"/>
    <col min="15362" max="15362" width="7.33203125" style="18" customWidth="1"/>
    <col min="15363" max="15363" width="35.109375" style="18" customWidth="1"/>
    <col min="15364" max="15370" width="14.88671875" style="18" customWidth="1"/>
    <col min="15371" max="15371" width="1.33203125" style="18" customWidth="1"/>
    <col min="15372" max="15372" width="11.6640625" style="18" bestFit="1" customWidth="1"/>
    <col min="15373" max="15373" width="9.109375" style="18"/>
    <col min="15374" max="15374" width="1.33203125" style="18" customWidth="1"/>
    <col min="15375" max="15375" width="12.6640625" style="18" bestFit="1" customWidth="1"/>
    <col min="15376" max="15616" width="9.109375" style="18"/>
    <col min="15617" max="15617" width="4.88671875" style="18" customWidth="1"/>
    <col min="15618" max="15618" width="7.33203125" style="18" customWidth="1"/>
    <col min="15619" max="15619" width="35.109375" style="18" customWidth="1"/>
    <col min="15620" max="15626" width="14.88671875" style="18" customWidth="1"/>
    <col min="15627" max="15627" width="1.33203125" style="18" customWidth="1"/>
    <col min="15628" max="15628" width="11.6640625" style="18" bestFit="1" customWidth="1"/>
    <col min="15629" max="15629" width="9.109375" style="18"/>
    <col min="15630" max="15630" width="1.33203125" style="18" customWidth="1"/>
    <col min="15631" max="15631" width="12.6640625" style="18" bestFit="1" customWidth="1"/>
    <col min="15632" max="15872" width="9.109375" style="18"/>
    <col min="15873" max="15873" width="4.88671875" style="18" customWidth="1"/>
    <col min="15874" max="15874" width="7.33203125" style="18" customWidth="1"/>
    <col min="15875" max="15875" width="35.109375" style="18" customWidth="1"/>
    <col min="15876" max="15882" width="14.88671875" style="18" customWidth="1"/>
    <col min="15883" max="15883" width="1.33203125" style="18" customWidth="1"/>
    <col min="15884" max="15884" width="11.6640625" style="18" bestFit="1" customWidth="1"/>
    <col min="15885" max="15885" width="9.109375" style="18"/>
    <col min="15886" max="15886" width="1.33203125" style="18" customWidth="1"/>
    <col min="15887" max="15887" width="12.6640625" style="18" bestFit="1" customWidth="1"/>
    <col min="15888" max="16128" width="9.109375" style="18"/>
    <col min="16129" max="16129" width="4.88671875" style="18" customWidth="1"/>
    <col min="16130" max="16130" width="7.33203125" style="18" customWidth="1"/>
    <col min="16131" max="16131" width="35.109375" style="18" customWidth="1"/>
    <col min="16132" max="16138" width="14.88671875" style="18" customWidth="1"/>
    <col min="16139" max="16139" width="1.33203125" style="18" customWidth="1"/>
    <col min="16140" max="16140" width="11.6640625" style="18" bestFit="1" customWidth="1"/>
    <col min="16141" max="16141" width="9.109375" style="18"/>
    <col min="16142" max="16142" width="1.33203125" style="18" customWidth="1"/>
    <col min="16143" max="16143" width="12.6640625" style="18" bestFit="1" customWidth="1"/>
    <col min="16144" max="16384" width="9.109375" style="18"/>
  </cols>
  <sheetData>
    <row r="1" spans="1:417" x14ac:dyDescent="0.25">
      <c r="D1" s="18"/>
      <c r="E1" s="18"/>
      <c r="F1" s="18"/>
      <c r="G1" s="18"/>
      <c r="H1" s="18"/>
      <c r="I1" s="18"/>
      <c r="J1" s="18"/>
    </row>
    <row r="2" spans="1:417" x14ac:dyDescent="0.25">
      <c r="D2" s="18"/>
      <c r="E2" s="18"/>
      <c r="F2" s="18"/>
      <c r="G2" s="18"/>
      <c r="H2" s="18"/>
      <c r="I2" s="18"/>
      <c r="J2" s="18"/>
    </row>
    <row r="3" spans="1:417" x14ac:dyDescent="0.25">
      <c r="D3" s="18"/>
      <c r="E3" s="18"/>
      <c r="F3" s="18"/>
      <c r="G3" s="18"/>
      <c r="H3" s="18"/>
      <c r="I3" s="18"/>
      <c r="J3" s="18"/>
    </row>
    <row r="4" spans="1:417" ht="12.75" customHeight="1" x14ac:dyDescent="0.3">
      <c r="A4" s="20" t="s">
        <v>0</v>
      </c>
      <c r="B4" s="21" t="s">
        <v>659</v>
      </c>
      <c r="C4" s="20" t="s">
        <v>660</v>
      </c>
      <c r="D4" s="21" t="s">
        <v>661</v>
      </c>
      <c r="E4" s="21" t="s">
        <v>662</v>
      </c>
      <c r="F4" s="21" t="s">
        <v>663</v>
      </c>
      <c r="G4" s="21" t="s">
        <v>664</v>
      </c>
      <c r="H4" s="21" t="s">
        <v>665</v>
      </c>
      <c r="I4" s="21" t="s">
        <v>676</v>
      </c>
      <c r="J4" s="21" t="s">
        <v>666</v>
      </c>
      <c r="K4" s="22"/>
      <c r="L4" s="23" t="s">
        <v>667</v>
      </c>
      <c r="M4"/>
      <c r="N4"/>
      <c r="O4" s="21" t="s">
        <v>669</v>
      </c>
      <c r="Q4" s="206" t="s">
        <v>999</v>
      </c>
      <c r="R4" s="206" t="s">
        <v>16</v>
      </c>
      <c r="S4" s="206" t="s">
        <v>1000</v>
      </c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</row>
    <row r="5" spans="1:417" ht="12.75" customHeight="1" x14ac:dyDescent="0.3">
      <c r="A5" s="24" t="s">
        <v>1001</v>
      </c>
      <c r="B5" s="207" t="s">
        <v>1002</v>
      </c>
      <c r="C5" s="208" t="s">
        <v>47</v>
      </c>
      <c r="D5" s="25">
        <v>1435.91</v>
      </c>
      <c r="F5" s="25">
        <v>0</v>
      </c>
      <c r="G5" s="25">
        <v>0</v>
      </c>
      <c r="H5" s="25">
        <v>0</v>
      </c>
      <c r="J5" s="25">
        <f>SUM(D5:I5)</f>
        <v>1435.91</v>
      </c>
      <c r="L5" s="25"/>
      <c r="M5" s="26">
        <v>0</v>
      </c>
      <c r="N5"/>
      <c r="O5" s="25">
        <v>735000</v>
      </c>
      <c r="P5" t="s">
        <v>46</v>
      </c>
      <c r="Q5" s="206">
        <v>40.205480000000001</v>
      </c>
      <c r="R5" s="206">
        <v>10.05137</v>
      </c>
      <c r="S5" s="206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</row>
    <row r="6" spans="1:417" ht="12.75" customHeight="1" x14ac:dyDescent="0.3">
      <c r="A6" s="24" t="s">
        <v>1001</v>
      </c>
      <c r="B6" s="207" t="s">
        <v>1003</v>
      </c>
      <c r="C6" s="208" t="s">
        <v>41</v>
      </c>
      <c r="D6" s="25">
        <v>94082.71</v>
      </c>
      <c r="F6" s="25">
        <v>0</v>
      </c>
      <c r="G6" s="25">
        <v>0</v>
      </c>
      <c r="H6" s="25">
        <v>0</v>
      </c>
      <c r="J6" s="25">
        <f t="shared" ref="J6:J15" si="0">SUM(D6:I6)</f>
        <v>94082.71</v>
      </c>
      <c r="L6" s="25">
        <v>115500</v>
      </c>
      <c r="M6" s="26">
        <v>0.81456891774891782</v>
      </c>
      <c r="N6"/>
      <c r="P6" t="s">
        <v>40</v>
      </c>
      <c r="Q6" s="206">
        <v>2634.3158800000001</v>
      </c>
      <c r="R6" s="206">
        <v>658.57897000000003</v>
      </c>
      <c r="S6" s="20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</row>
    <row r="7" spans="1:417" ht="12.75" customHeight="1" x14ac:dyDescent="0.3">
      <c r="A7" s="24" t="s">
        <v>1001</v>
      </c>
      <c r="B7" s="207" t="s">
        <v>1004</v>
      </c>
      <c r="C7" s="208" t="s">
        <v>24</v>
      </c>
      <c r="D7" s="25">
        <v>162643.26</v>
      </c>
      <c r="F7" s="25">
        <v>0</v>
      </c>
      <c r="G7" s="25">
        <v>0</v>
      </c>
      <c r="H7" s="25">
        <v>0</v>
      </c>
      <c r="J7" s="25">
        <f t="shared" si="0"/>
        <v>162643.26</v>
      </c>
      <c r="L7" s="25">
        <v>115500</v>
      </c>
      <c r="M7" s="26">
        <v>1.4081667532467532</v>
      </c>
      <c r="N7"/>
      <c r="P7" t="s">
        <v>23</v>
      </c>
      <c r="Q7" s="206">
        <v>4554.0112800000006</v>
      </c>
      <c r="R7" s="206">
        <v>1138.5028200000002</v>
      </c>
      <c r="S7" s="206">
        <v>813.21630000000005</v>
      </c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</row>
    <row r="8" spans="1:417" ht="12.75" customHeight="1" x14ac:dyDescent="0.3">
      <c r="A8" s="24" t="s">
        <v>1001</v>
      </c>
      <c r="B8" s="207" t="s">
        <v>1005</v>
      </c>
      <c r="C8" s="208" t="s">
        <v>672</v>
      </c>
      <c r="D8" s="25">
        <v>159643.85999999999</v>
      </c>
      <c r="F8" s="25">
        <v>0</v>
      </c>
      <c r="G8" s="25">
        <v>0</v>
      </c>
      <c r="H8" s="25">
        <v>0</v>
      </c>
      <c r="J8" s="25">
        <f t="shared" si="0"/>
        <v>159643.85999999999</v>
      </c>
      <c r="L8" s="25">
        <v>115500</v>
      </c>
      <c r="M8" s="26">
        <v>1.3821979220779219</v>
      </c>
      <c r="N8"/>
      <c r="P8" t="s">
        <v>65</v>
      </c>
      <c r="Q8" s="206">
        <v>4470.02808</v>
      </c>
      <c r="R8" s="206">
        <v>1117.50702</v>
      </c>
      <c r="S8" s="206">
        <v>798.21929999999998</v>
      </c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</row>
    <row r="9" spans="1:417" ht="12.75" customHeight="1" x14ac:dyDescent="0.3">
      <c r="A9" s="24" t="s">
        <v>1001</v>
      </c>
      <c r="B9" s="207" t="s">
        <v>874</v>
      </c>
      <c r="C9" s="208" t="s">
        <v>673</v>
      </c>
      <c r="D9" s="25">
        <v>154808.32000000001</v>
      </c>
      <c r="F9" s="25">
        <v>0</v>
      </c>
      <c r="G9" s="25">
        <v>0</v>
      </c>
      <c r="H9" s="25">
        <v>0</v>
      </c>
      <c r="J9" s="25">
        <f t="shared" si="0"/>
        <v>154808.32000000001</v>
      </c>
      <c r="L9" s="25">
        <v>115500</v>
      </c>
      <c r="M9" s="26">
        <v>1.3403317748917749</v>
      </c>
      <c r="N9"/>
      <c r="P9" t="s">
        <v>56</v>
      </c>
      <c r="Q9" s="206">
        <v>4334.6329599999999</v>
      </c>
      <c r="R9" s="206">
        <v>1083.65824</v>
      </c>
      <c r="S9" s="206">
        <v>774.04160000000002</v>
      </c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</row>
    <row r="10" spans="1:417" ht="12.75" customHeight="1" x14ac:dyDescent="0.3">
      <c r="A10" s="24" t="s">
        <v>1001</v>
      </c>
      <c r="B10" s="207" t="s">
        <v>1006</v>
      </c>
      <c r="C10" s="208" t="s">
        <v>674</v>
      </c>
      <c r="D10" s="25">
        <v>151853.82999999999</v>
      </c>
      <c r="F10" s="25">
        <v>0</v>
      </c>
      <c r="G10" s="25">
        <v>0</v>
      </c>
      <c r="H10" s="25">
        <v>0</v>
      </c>
      <c r="J10" s="25">
        <f t="shared" si="0"/>
        <v>151853.82999999999</v>
      </c>
      <c r="L10" s="25">
        <v>115500</v>
      </c>
      <c r="M10" s="26">
        <v>1.3147517748917747</v>
      </c>
      <c r="N10"/>
      <c r="P10" t="s">
        <v>62</v>
      </c>
      <c r="Q10" s="206">
        <v>4251.9072399999995</v>
      </c>
      <c r="R10" s="206">
        <v>1062.9768099999999</v>
      </c>
      <c r="S10" s="206">
        <v>759.26914999999997</v>
      </c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</row>
    <row r="11" spans="1:417" ht="12.75" customHeight="1" x14ac:dyDescent="0.3">
      <c r="A11" s="24" t="s">
        <v>1001</v>
      </c>
      <c r="B11" s="207" t="s">
        <v>1007</v>
      </c>
      <c r="C11" s="208" t="s">
        <v>675</v>
      </c>
      <c r="D11" s="25">
        <v>85856.4</v>
      </c>
      <c r="F11" s="25">
        <v>0</v>
      </c>
      <c r="G11" s="25">
        <v>0</v>
      </c>
      <c r="H11" s="25">
        <v>0</v>
      </c>
      <c r="J11" s="25">
        <f t="shared" si="0"/>
        <v>85856.4</v>
      </c>
      <c r="L11" s="25">
        <v>115500</v>
      </c>
      <c r="M11" s="26">
        <v>0.74334545454545453</v>
      </c>
      <c r="N11"/>
      <c r="P11" t="s">
        <v>37</v>
      </c>
      <c r="Q11" s="206">
        <v>2403.9791999999998</v>
      </c>
      <c r="R11" s="206">
        <v>600.99479999999994</v>
      </c>
      <c r="S11" s="206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</row>
    <row r="12" spans="1:417" ht="12.75" customHeight="1" x14ac:dyDescent="0.3">
      <c r="A12" s="24" t="s">
        <v>1001</v>
      </c>
      <c r="B12" s="207" t="s">
        <v>1008</v>
      </c>
      <c r="C12" s="208" t="s">
        <v>882</v>
      </c>
      <c r="D12" s="25">
        <v>77726.77</v>
      </c>
      <c r="F12" s="25">
        <v>0</v>
      </c>
      <c r="G12" s="25">
        <v>0</v>
      </c>
      <c r="H12" s="25">
        <v>0</v>
      </c>
      <c r="J12" s="25">
        <f t="shared" si="0"/>
        <v>77726.77</v>
      </c>
      <c r="L12" s="25">
        <v>115500</v>
      </c>
      <c r="M12" s="26">
        <v>0.67295904761904768</v>
      </c>
      <c r="N12"/>
      <c r="P12" t="s">
        <v>881</v>
      </c>
      <c r="Q12" s="206">
        <v>2176.3495600000001</v>
      </c>
      <c r="R12" s="206">
        <v>544.08739000000003</v>
      </c>
      <c r="S12" s="206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</row>
    <row r="13" spans="1:417" ht="12.75" customHeight="1" x14ac:dyDescent="0.3">
      <c r="A13" s="24" t="s">
        <v>1001</v>
      </c>
      <c r="B13" s="207"/>
      <c r="C13" s="208"/>
      <c r="D13" s="25">
        <v>0</v>
      </c>
      <c r="F13" s="25">
        <v>0</v>
      </c>
      <c r="G13" s="25">
        <v>0</v>
      </c>
      <c r="H13" s="25">
        <v>0</v>
      </c>
      <c r="J13" s="25">
        <f t="shared" si="0"/>
        <v>0</v>
      </c>
      <c r="L13" s="25"/>
      <c r="M13" s="26">
        <v>0</v>
      </c>
      <c r="N13"/>
      <c r="P13"/>
      <c r="Q13" s="206"/>
      <c r="R13" s="206"/>
      <c r="S13" s="206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</row>
    <row r="14" spans="1:417" ht="12.75" customHeight="1" x14ac:dyDescent="0.3">
      <c r="A14" s="24" t="s">
        <v>1001</v>
      </c>
      <c r="B14" s="207"/>
      <c r="C14" s="208"/>
      <c r="D14" s="25">
        <v>0</v>
      </c>
      <c r="F14" s="25">
        <v>0</v>
      </c>
      <c r="G14" s="25">
        <v>0</v>
      </c>
      <c r="H14" s="25">
        <v>0</v>
      </c>
      <c r="J14" s="25">
        <f t="shared" si="0"/>
        <v>0</v>
      </c>
      <c r="L14" s="25"/>
      <c r="M14" s="26">
        <v>0</v>
      </c>
      <c r="N14"/>
      <c r="P14"/>
      <c r="Q14" s="206"/>
      <c r="R14" s="206"/>
      <c r="S14" s="206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</row>
    <row r="15" spans="1:417" ht="12.75" customHeight="1" x14ac:dyDescent="0.3">
      <c r="A15" s="24" t="s">
        <v>1001</v>
      </c>
      <c r="B15" s="207"/>
      <c r="C15" s="208"/>
      <c r="D15" s="25">
        <v>0</v>
      </c>
      <c r="F15" s="25">
        <v>0</v>
      </c>
      <c r="G15" s="25">
        <v>0</v>
      </c>
      <c r="H15" s="25">
        <v>0</v>
      </c>
      <c r="J15" s="25">
        <f t="shared" si="0"/>
        <v>0</v>
      </c>
      <c r="L15" s="25"/>
      <c r="M15" s="26">
        <v>0</v>
      </c>
      <c r="N15"/>
      <c r="P15"/>
      <c r="Q15" s="206"/>
      <c r="R15" s="206"/>
      <c r="S15" s="206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</row>
    <row r="16" spans="1:417" ht="12.75" customHeight="1" x14ac:dyDescent="0.3">
      <c r="A16" s="27" t="s">
        <v>8</v>
      </c>
      <c r="B16" s="28"/>
      <c r="C16" s="27"/>
      <c r="D16" s="29">
        <v>888051.06</v>
      </c>
      <c r="E16" s="29">
        <v>0</v>
      </c>
      <c r="F16" s="29">
        <v>0</v>
      </c>
      <c r="G16" s="29">
        <v>0</v>
      </c>
      <c r="H16" s="29">
        <v>0</v>
      </c>
      <c r="I16" s="29">
        <v>0</v>
      </c>
      <c r="J16" s="29">
        <f t="shared" ref="J16" si="1">SUM(J5:J15)</f>
        <v>888051.06</v>
      </c>
      <c r="L16" s="29">
        <v>808500</v>
      </c>
      <c r="N16"/>
      <c r="P16"/>
      <c r="Q16" s="206"/>
      <c r="R16" s="206"/>
      <c r="S16" s="20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</row>
    <row r="17" spans="1:417" ht="12.75" customHeight="1" x14ac:dyDescent="0.3">
      <c r="N17"/>
      <c r="P17"/>
      <c r="Q17" s="206"/>
      <c r="R17" s="206"/>
      <c r="S17" s="206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</row>
    <row r="18" spans="1:417" ht="12.75" customHeight="1" x14ac:dyDescent="0.3">
      <c r="N18"/>
      <c r="P18"/>
      <c r="Q18" s="206"/>
      <c r="R18" s="206"/>
      <c r="S18" s="206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</row>
    <row r="19" spans="1:417" ht="12.75" customHeight="1" x14ac:dyDescent="0.3">
      <c r="N19"/>
      <c r="P19"/>
      <c r="Q19" s="206"/>
      <c r="R19" s="206"/>
      <c r="S19" s="206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</row>
    <row r="20" spans="1:417" ht="12.75" customHeight="1" x14ac:dyDescent="0.3">
      <c r="A20" s="20" t="s">
        <v>0</v>
      </c>
      <c r="B20" s="21" t="s">
        <v>659</v>
      </c>
      <c r="C20" s="20" t="s">
        <v>660</v>
      </c>
      <c r="D20" s="21" t="s">
        <v>661</v>
      </c>
      <c r="E20" s="21" t="s">
        <v>662</v>
      </c>
      <c r="F20" s="21" t="s">
        <v>663</v>
      </c>
      <c r="G20" s="21" t="s">
        <v>664</v>
      </c>
      <c r="H20" s="21" t="s">
        <v>665</v>
      </c>
      <c r="I20" s="21" t="s">
        <v>676</v>
      </c>
      <c r="J20" s="21" t="s">
        <v>666</v>
      </c>
      <c r="L20" s="23" t="s">
        <v>667</v>
      </c>
      <c r="M20" s="23" t="s">
        <v>668</v>
      </c>
      <c r="N20"/>
      <c r="O20" s="21" t="s">
        <v>669</v>
      </c>
      <c r="P20"/>
      <c r="Q20" s="206"/>
      <c r="R20" s="206"/>
      <c r="S20" s="206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</row>
    <row r="21" spans="1:417" s="34" customFormat="1" ht="12.75" customHeight="1" x14ac:dyDescent="0.3">
      <c r="A21" s="30" t="s">
        <v>1009</v>
      </c>
      <c r="B21" s="31" t="s">
        <v>1010</v>
      </c>
      <c r="C21" s="32" t="s">
        <v>87</v>
      </c>
      <c r="D21" s="33">
        <v>89710.95</v>
      </c>
      <c r="E21" s="33"/>
      <c r="F21" s="33">
        <v>0</v>
      </c>
      <c r="G21" s="33">
        <v>0</v>
      </c>
      <c r="H21" s="33">
        <v>0</v>
      </c>
      <c r="I21" s="33"/>
      <c r="J21" s="33">
        <f t="shared" ref="J21:J31" si="2">SUM(D21:I21)</f>
        <v>89710.95</v>
      </c>
      <c r="L21" s="33">
        <v>88000</v>
      </c>
      <c r="M21" s="35">
        <v>1.0194426136363637</v>
      </c>
      <c r="N21" s="224"/>
      <c r="O21" s="33">
        <v>480000</v>
      </c>
      <c r="P21" s="224" t="s">
        <v>86</v>
      </c>
      <c r="Q21" s="225">
        <v>2511.9065999999998</v>
      </c>
      <c r="R21" s="225">
        <v>627.97664999999995</v>
      </c>
      <c r="S21" s="225">
        <v>448.55475000000001</v>
      </c>
      <c r="T21" s="224"/>
      <c r="U21" s="224"/>
      <c r="V21" s="224"/>
      <c r="W21" s="224"/>
      <c r="X21" s="224"/>
      <c r="Y21" s="224"/>
      <c r="Z21" s="224"/>
      <c r="AA21" s="224"/>
      <c r="AB21" s="224"/>
      <c r="AC21" s="224"/>
      <c r="AD21" s="224"/>
      <c r="AE21" s="224"/>
      <c r="AF21" s="224"/>
      <c r="AG21" s="224"/>
      <c r="AH21" s="224"/>
      <c r="AI21" s="224"/>
      <c r="AJ21" s="224"/>
      <c r="AK21" s="224"/>
      <c r="AL21" s="224"/>
      <c r="AM21" s="224"/>
      <c r="AN21" s="224"/>
      <c r="AO21" s="224"/>
      <c r="AP21" s="224"/>
      <c r="AQ21" s="224"/>
      <c r="AR21" s="224"/>
      <c r="AS21" s="224"/>
      <c r="AT21" s="224"/>
      <c r="AU21" s="224"/>
      <c r="AV21" s="224"/>
      <c r="AW21" s="224"/>
      <c r="AX21" s="224"/>
      <c r="AY21" s="224"/>
      <c r="AZ21" s="224"/>
      <c r="BA21" s="224"/>
      <c r="BB21" s="224"/>
      <c r="BC21" s="224"/>
      <c r="BD21" s="224"/>
      <c r="BE21" s="224"/>
      <c r="BF21" s="224"/>
      <c r="BG21" s="224"/>
      <c r="BH21" s="224"/>
      <c r="BI21" s="224"/>
      <c r="BJ21" s="224"/>
      <c r="BK21" s="224"/>
      <c r="BL21" s="224"/>
      <c r="BM21" s="224"/>
      <c r="BN21" s="224"/>
      <c r="BO21" s="224"/>
      <c r="BP21" s="224"/>
      <c r="BQ21" s="224"/>
      <c r="BR21" s="224"/>
      <c r="BS21" s="224"/>
      <c r="BT21" s="224"/>
      <c r="BU21" s="224"/>
      <c r="BV21" s="224"/>
      <c r="BW21" s="224"/>
      <c r="BX21" s="224"/>
      <c r="BY21" s="224"/>
      <c r="BZ21" s="224"/>
      <c r="CA21" s="224"/>
      <c r="CB21" s="224"/>
      <c r="CC21" s="224"/>
      <c r="CD21" s="224"/>
      <c r="CE21" s="224"/>
      <c r="CF21" s="224"/>
      <c r="CG21" s="224"/>
      <c r="CH21" s="224"/>
      <c r="CI21" s="224"/>
      <c r="CJ21" s="224"/>
      <c r="CK21" s="224"/>
      <c r="CL21" s="224"/>
      <c r="CM21" s="224"/>
      <c r="CN21" s="224"/>
      <c r="CO21" s="224"/>
      <c r="CP21" s="224"/>
      <c r="CQ21" s="224"/>
      <c r="CR21" s="224"/>
      <c r="CS21" s="224"/>
      <c r="CT21" s="224"/>
      <c r="CU21" s="224"/>
      <c r="CV21" s="224"/>
      <c r="CW21" s="224"/>
      <c r="CX21" s="224"/>
      <c r="CY21" s="224"/>
      <c r="CZ21" s="224"/>
      <c r="DA21" s="224"/>
      <c r="DB21" s="224"/>
      <c r="DC21" s="224"/>
      <c r="DD21" s="224"/>
      <c r="DE21" s="224"/>
      <c r="DF21" s="224"/>
      <c r="DG21" s="224"/>
      <c r="DH21" s="224"/>
      <c r="DI21" s="224"/>
      <c r="DJ21" s="224"/>
      <c r="DK21" s="224"/>
      <c r="DL21" s="224"/>
      <c r="DM21" s="224"/>
      <c r="DN21" s="224"/>
      <c r="DO21" s="224"/>
      <c r="DP21" s="224"/>
      <c r="DQ21" s="224"/>
      <c r="DR21" s="224"/>
      <c r="DS21" s="224"/>
      <c r="DT21" s="224"/>
      <c r="DU21" s="224"/>
      <c r="DV21" s="224"/>
      <c r="DW21" s="224"/>
      <c r="DX21" s="224"/>
      <c r="DY21" s="224"/>
      <c r="DZ21" s="224"/>
      <c r="EA21" s="224"/>
      <c r="EB21" s="224"/>
      <c r="EC21" s="224"/>
      <c r="ED21" s="224"/>
      <c r="EE21" s="224"/>
      <c r="EF21" s="224"/>
      <c r="EG21" s="224"/>
      <c r="EH21" s="224"/>
      <c r="EI21" s="224"/>
      <c r="EJ21" s="224"/>
      <c r="EK21" s="224"/>
      <c r="EL21" s="224"/>
      <c r="EM21" s="224"/>
      <c r="EN21" s="224"/>
      <c r="EO21" s="224"/>
      <c r="EP21" s="224"/>
      <c r="EQ21" s="224"/>
      <c r="ER21" s="224"/>
      <c r="ES21" s="224"/>
      <c r="ET21" s="224"/>
      <c r="EU21" s="224"/>
      <c r="EV21" s="224"/>
      <c r="EW21" s="224"/>
      <c r="EX21" s="224"/>
      <c r="EY21" s="224"/>
      <c r="EZ21" s="224"/>
      <c r="FA21" s="224"/>
      <c r="FB21" s="224"/>
      <c r="FC21" s="224"/>
      <c r="FD21" s="224"/>
      <c r="FE21" s="224"/>
      <c r="FF21" s="224"/>
      <c r="FG21" s="224"/>
      <c r="FH21" s="224"/>
      <c r="FI21" s="224"/>
      <c r="FJ21" s="224"/>
      <c r="FK21" s="224"/>
      <c r="FL21" s="224"/>
      <c r="FM21" s="224"/>
      <c r="FN21" s="224"/>
      <c r="FO21" s="224"/>
      <c r="FP21" s="224"/>
      <c r="FQ21" s="224"/>
      <c r="FR21" s="224"/>
      <c r="FS21" s="224"/>
      <c r="FT21" s="224"/>
      <c r="FU21" s="224"/>
      <c r="FV21" s="224"/>
      <c r="FW21" s="224"/>
      <c r="FX21" s="224"/>
      <c r="FY21" s="224"/>
      <c r="FZ21" s="224"/>
      <c r="GA21" s="224"/>
      <c r="GB21" s="224"/>
      <c r="GC21" s="224"/>
      <c r="GD21" s="224"/>
      <c r="GE21" s="224"/>
      <c r="GF21" s="224"/>
      <c r="GG21" s="224"/>
      <c r="GH21" s="224"/>
      <c r="GI21" s="224"/>
      <c r="GJ21" s="224"/>
      <c r="GK21" s="224"/>
      <c r="GL21" s="224"/>
      <c r="GM21" s="224"/>
      <c r="GN21" s="224"/>
      <c r="GO21" s="224"/>
      <c r="GP21" s="224"/>
      <c r="GQ21" s="224"/>
      <c r="GR21" s="224"/>
      <c r="GS21" s="224"/>
      <c r="GT21" s="224"/>
      <c r="GU21" s="224"/>
      <c r="GV21" s="224"/>
      <c r="GW21" s="224"/>
      <c r="GX21" s="224"/>
      <c r="GY21" s="224"/>
      <c r="GZ21" s="224"/>
      <c r="HA21" s="224"/>
      <c r="HB21" s="224"/>
      <c r="HC21" s="224"/>
      <c r="HD21" s="224"/>
      <c r="HE21" s="224"/>
      <c r="HF21" s="224"/>
      <c r="HG21" s="224"/>
      <c r="HH21" s="224"/>
      <c r="HI21" s="224"/>
      <c r="HJ21" s="224"/>
      <c r="HK21" s="224"/>
      <c r="HL21" s="224"/>
      <c r="HM21" s="224"/>
      <c r="HN21" s="224"/>
      <c r="HO21" s="224"/>
      <c r="HP21" s="224"/>
      <c r="HQ21" s="224"/>
      <c r="HR21" s="224"/>
      <c r="HS21" s="224"/>
      <c r="HT21" s="224"/>
      <c r="HU21" s="224"/>
      <c r="HV21" s="224"/>
      <c r="HW21" s="224"/>
      <c r="HX21" s="224"/>
      <c r="HY21" s="224"/>
      <c r="HZ21" s="224"/>
      <c r="IA21" s="224"/>
      <c r="IB21" s="224"/>
      <c r="IC21" s="224"/>
      <c r="ID21" s="224"/>
      <c r="IE21" s="224"/>
      <c r="IF21" s="224"/>
      <c r="IG21" s="224"/>
      <c r="IH21" s="224"/>
      <c r="II21" s="224"/>
      <c r="IJ21" s="224"/>
      <c r="IK21" s="224"/>
      <c r="IL21" s="224"/>
      <c r="IM21" s="224"/>
      <c r="IN21" s="224"/>
      <c r="IO21" s="224"/>
      <c r="IP21" s="224"/>
      <c r="IQ21" s="224"/>
      <c r="IR21" s="224"/>
      <c r="IS21" s="224"/>
      <c r="IT21" s="224"/>
      <c r="IU21" s="224"/>
      <c r="IV21" s="224"/>
      <c r="IW21" s="224"/>
      <c r="IX21" s="224"/>
      <c r="IY21" s="224"/>
      <c r="IZ21" s="224"/>
      <c r="JA21" s="224"/>
      <c r="JB21" s="224"/>
      <c r="JC21" s="224"/>
      <c r="JD21" s="224"/>
      <c r="JE21" s="224"/>
      <c r="JF21" s="224"/>
      <c r="JG21" s="224"/>
      <c r="JH21" s="224"/>
      <c r="JI21" s="224"/>
      <c r="JJ21" s="224"/>
      <c r="JK21" s="224"/>
      <c r="JL21" s="224"/>
      <c r="JM21" s="224"/>
      <c r="JN21" s="224"/>
      <c r="JO21" s="224"/>
      <c r="JP21" s="224"/>
      <c r="JQ21" s="224"/>
      <c r="JR21" s="224"/>
      <c r="JS21" s="224"/>
      <c r="JT21" s="224"/>
      <c r="JU21" s="224"/>
      <c r="JV21" s="224"/>
      <c r="JW21" s="224"/>
      <c r="JX21" s="224"/>
      <c r="JY21" s="224"/>
      <c r="JZ21" s="224"/>
      <c r="KA21" s="224"/>
      <c r="KB21" s="224"/>
      <c r="KC21" s="224"/>
      <c r="KD21" s="224"/>
      <c r="KE21" s="224"/>
      <c r="KF21" s="224"/>
      <c r="KG21" s="224"/>
      <c r="KH21" s="224"/>
      <c r="KI21" s="224"/>
      <c r="KJ21" s="224"/>
      <c r="KK21" s="224"/>
      <c r="KL21" s="224"/>
      <c r="KM21" s="224"/>
      <c r="KN21" s="224"/>
      <c r="KO21" s="224"/>
      <c r="KP21" s="224"/>
      <c r="KQ21" s="224"/>
      <c r="KR21" s="224"/>
      <c r="KS21" s="224"/>
      <c r="KT21" s="224"/>
      <c r="KU21" s="224"/>
      <c r="KV21" s="224"/>
      <c r="KW21" s="224"/>
      <c r="KX21" s="224"/>
      <c r="KY21" s="224"/>
      <c r="KZ21" s="224"/>
      <c r="LA21" s="224"/>
      <c r="LB21" s="224"/>
      <c r="LC21" s="224"/>
      <c r="LD21" s="224"/>
      <c r="LE21" s="224"/>
      <c r="LF21" s="224"/>
      <c r="LG21" s="224"/>
      <c r="LH21" s="224"/>
      <c r="LI21" s="224"/>
      <c r="LJ21" s="224"/>
      <c r="LK21" s="224"/>
      <c r="LL21" s="224"/>
      <c r="LM21" s="224"/>
      <c r="LN21" s="224"/>
      <c r="LO21" s="224"/>
      <c r="LP21" s="224"/>
      <c r="LQ21" s="224"/>
      <c r="LR21" s="224"/>
      <c r="LS21" s="224"/>
      <c r="LT21" s="224"/>
      <c r="LU21" s="224"/>
      <c r="LV21" s="224"/>
      <c r="LW21" s="224"/>
      <c r="LX21" s="224"/>
      <c r="LY21" s="224"/>
      <c r="LZ21" s="224"/>
      <c r="MA21" s="224"/>
      <c r="MB21" s="224"/>
      <c r="MC21" s="224"/>
      <c r="MD21" s="224"/>
      <c r="ME21" s="224"/>
      <c r="MF21" s="224"/>
      <c r="MG21" s="224"/>
      <c r="MH21" s="224"/>
      <c r="MI21" s="224"/>
      <c r="MJ21" s="224"/>
      <c r="MK21" s="224"/>
      <c r="ML21" s="224"/>
      <c r="MM21" s="224"/>
      <c r="MN21" s="224"/>
      <c r="MO21" s="224"/>
      <c r="MP21" s="224"/>
      <c r="MQ21" s="224"/>
      <c r="MR21" s="224"/>
      <c r="MS21" s="224"/>
      <c r="MT21" s="224"/>
      <c r="MU21" s="224"/>
      <c r="MV21" s="224"/>
      <c r="MW21" s="224"/>
      <c r="MX21" s="224"/>
      <c r="MY21" s="224"/>
      <c r="MZ21" s="224"/>
      <c r="NA21" s="224"/>
      <c r="NB21" s="224"/>
      <c r="NC21" s="224"/>
      <c r="ND21" s="224"/>
      <c r="NE21" s="224"/>
      <c r="NF21" s="224"/>
      <c r="NG21" s="224"/>
      <c r="NH21" s="224"/>
      <c r="NI21" s="224"/>
      <c r="NJ21" s="224"/>
      <c r="NK21" s="224"/>
      <c r="NL21" s="224"/>
      <c r="NM21" s="224"/>
      <c r="NN21" s="224"/>
      <c r="NO21" s="224"/>
      <c r="NP21" s="224"/>
      <c r="NQ21" s="224"/>
      <c r="NR21" s="224"/>
      <c r="NS21" s="224"/>
      <c r="NT21" s="224"/>
      <c r="NU21" s="224"/>
      <c r="NV21" s="224"/>
      <c r="NW21" s="224"/>
      <c r="NX21" s="224"/>
      <c r="NY21" s="224"/>
      <c r="NZ21" s="224"/>
      <c r="OA21" s="224"/>
      <c r="OB21" s="224"/>
      <c r="OC21" s="224"/>
      <c r="OD21" s="224"/>
      <c r="OE21" s="224"/>
      <c r="OF21" s="224"/>
      <c r="OG21" s="224"/>
      <c r="OH21" s="224"/>
      <c r="OI21" s="224"/>
      <c r="OJ21" s="224"/>
      <c r="OK21" s="224"/>
      <c r="OL21" s="224"/>
      <c r="OM21" s="224"/>
      <c r="ON21" s="224"/>
      <c r="OO21" s="224"/>
      <c r="OP21" s="224"/>
      <c r="OQ21" s="224"/>
      <c r="OR21" s="224"/>
      <c r="OS21" s="224"/>
      <c r="OT21" s="224"/>
      <c r="OU21" s="224"/>
      <c r="OV21" s="224"/>
      <c r="OW21" s="224"/>
      <c r="OX21" s="224"/>
      <c r="OY21" s="224"/>
      <c r="OZ21" s="224"/>
      <c r="PA21" s="224"/>
    </row>
    <row r="22" spans="1:417" s="34" customFormat="1" ht="12.75" customHeight="1" x14ac:dyDescent="0.3">
      <c r="A22" s="30" t="s">
        <v>1009</v>
      </c>
      <c r="B22" s="31" t="s">
        <v>1011</v>
      </c>
      <c r="C22" s="32" t="s">
        <v>72</v>
      </c>
      <c r="D22" s="33">
        <v>94785.600000000006</v>
      </c>
      <c r="E22" s="33"/>
      <c r="F22" s="33">
        <v>0</v>
      </c>
      <c r="G22" s="33">
        <v>0</v>
      </c>
      <c r="H22" s="33">
        <v>0</v>
      </c>
      <c r="I22" s="33"/>
      <c r="J22" s="33">
        <f t="shared" si="2"/>
        <v>94785.600000000006</v>
      </c>
      <c r="L22" s="33">
        <v>88000</v>
      </c>
      <c r="M22" s="35">
        <v>1.077109090909091</v>
      </c>
      <c r="N22" s="224"/>
      <c r="P22" s="224" t="s">
        <v>71</v>
      </c>
      <c r="Q22" s="225">
        <v>2653.9968000000003</v>
      </c>
      <c r="R22" s="225">
        <v>663.49920000000009</v>
      </c>
      <c r="S22" s="225">
        <v>473.92800000000005</v>
      </c>
      <c r="T22" s="224"/>
      <c r="U22" s="224"/>
      <c r="V22" s="224"/>
      <c r="W22" s="224"/>
      <c r="X22" s="224"/>
      <c r="Y22" s="224"/>
      <c r="Z22" s="224"/>
      <c r="AA22" s="224"/>
      <c r="AB22" s="224"/>
      <c r="AC22" s="224"/>
      <c r="AD22" s="224"/>
      <c r="AE22" s="224"/>
      <c r="AF22" s="224"/>
      <c r="AG22" s="224"/>
      <c r="AH22" s="224"/>
      <c r="AI22" s="224"/>
      <c r="AJ22" s="224"/>
      <c r="AK22" s="224"/>
      <c r="AL22" s="224"/>
      <c r="AM22" s="224"/>
      <c r="AN22" s="224"/>
      <c r="AO22" s="224"/>
      <c r="AP22" s="224"/>
      <c r="AQ22" s="224"/>
      <c r="AR22" s="224"/>
      <c r="AS22" s="224"/>
      <c r="AT22" s="224"/>
      <c r="AU22" s="224"/>
      <c r="AV22" s="224"/>
      <c r="AW22" s="224"/>
      <c r="AX22" s="224"/>
      <c r="AY22" s="224"/>
      <c r="AZ22" s="224"/>
      <c r="BA22" s="224"/>
      <c r="BB22" s="224"/>
      <c r="BC22" s="224"/>
      <c r="BD22" s="224"/>
      <c r="BE22" s="224"/>
      <c r="BF22" s="224"/>
      <c r="BG22" s="224"/>
      <c r="BH22" s="224"/>
      <c r="BI22" s="224"/>
      <c r="BJ22" s="224"/>
      <c r="BK22" s="224"/>
      <c r="BL22" s="224"/>
      <c r="BM22" s="224"/>
      <c r="BN22" s="224"/>
      <c r="BO22" s="224"/>
      <c r="BP22" s="224"/>
      <c r="BQ22" s="224"/>
      <c r="BR22" s="224"/>
      <c r="BS22" s="224"/>
      <c r="BT22" s="224"/>
      <c r="BU22" s="224"/>
      <c r="BV22" s="224"/>
      <c r="BW22" s="224"/>
      <c r="BX22" s="224"/>
      <c r="BY22" s="224"/>
      <c r="BZ22" s="224"/>
      <c r="CA22" s="224"/>
      <c r="CB22" s="224"/>
      <c r="CC22" s="224"/>
      <c r="CD22" s="224"/>
      <c r="CE22" s="224"/>
      <c r="CF22" s="224"/>
      <c r="CG22" s="224"/>
      <c r="CH22" s="224"/>
      <c r="CI22" s="224"/>
      <c r="CJ22" s="224"/>
      <c r="CK22" s="224"/>
      <c r="CL22" s="224"/>
      <c r="CM22" s="224"/>
      <c r="CN22" s="224"/>
      <c r="CO22" s="224"/>
      <c r="CP22" s="224"/>
      <c r="CQ22" s="224"/>
      <c r="CR22" s="224"/>
      <c r="CS22" s="224"/>
      <c r="CT22" s="224"/>
      <c r="CU22" s="224"/>
      <c r="CV22" s="224"/>
      <c r="CW22" s="224"/>
      <c r="CX22" s="224"/>
      <c r="CY22" s="224"/>
      <c r="CZ22" s="224"/>
      <c r="DA22" s="224"/>
      <c r="DB22" s="224"/>
      <c r="DC22" s="224"/>
      <c r="DD22" s="224"/>
      <c r="DE22" s="224"/>
      <c r="DF22" s="224"/>
      <c r="DG22" s="224"/>
      <c r="DH22" s="224"/>
      <c r="DI22" s="224"/>
      <c r="DJ22" s="224"/>
      <c r="DK22" s="224"/>
      <c r="DL22" s="224"/>
      <c r="DM22" s="224"/>
      <c r="DN22" s="224"/>
      <c r="DO22" s="224"/>
      <c r="DP22" s="224"/>
      <c r="DQ22" s="224"/>
      <c r="DR22" s="224"/>
      <c r="DS22" s="224"/>
      <c r="DT22" s="224"/>
      <c r="DU22" s="224"/>
      <c r="DV22" s="224"/>
      <c r="DW22" s="224"/>
      <c r="DX22" s="224"/>
      <c r="DY22" s="224"/>
      <c r="DZ22" s="224"/>
      <c r="EA22" s="224"/>
      <c r="EB22" s="224"/>
      <c r="EC22" s="224"/>
      <c r="ED22" s="224"/>
      <c r="EE22" s="224"/>
      <c r="EF22" s="224"/>
      <c r="EG22" s="224"/>
      <c r="EH22" s="224"/>
      <c r="EI22" s="224"/>
      <c r="EJ22" s="224"/>
      <c r="EK22" s="224"/>
      <c r="EL22" s="224"/>
      <c r="EM22" s="224"/>
      <c r="EN22" s="224"/>
      <c r="EO22" s="224"/>
      <c r="EP22" s="224"/>
      <c r="EQ22" s="224"/>
      <c r="ER22" s="224"/>
      <c r="ES22" s="224"/>
      <c r="ET22" s="224"/>
      <c r="EU22" s="224"/>
      <c r="EV22" s="224"/>
      <c r="EW22" s="224"/>
      <c r="EX22" s="224"/>
      <c r="EY22" s="224"/>
      <c r="EZ22" s="224"/>
      <c r="FA22" s="224"/>
      <c r="FB22" s="224"/>
      <c r="FC22" s="224"/>
      <c r="FD22" s="224"/>
      <c r="FE22" s="224"/>
      <c r="FF22" s="224"/>
      <c r="FG22" s="224"/>
      <c r="FH22" s="224"/>
      <c r="FI22" s="224"/>
      <c r="FJ22" s="224"/>
      <c r="FK22" s="224"/>
      <c r="FL22" s="224"/>
      <c r="FM22" s="224"/>
      <c r="FN22" s="224"/>
      <c r="FO22" s="224"/>
      <c r="FP22" s="224"/>
      <c r="FQ22" s="224"/>
      <c r="FR22" s="224"/>
      <c r="FS22" s="224"/>
      <c r="FT22" s="224"/>
      <c r="FU22" s="224"/>
      <c r="FV22" s="224"/>
      <c r="FW22" s="224"/>
      <c r="FX22" s="224"/>
      <c r="FY22" s="224"/>
      <c r="FZ22" s="224"/>
      <c r="GA22" s="224"/>
      <c r="GB22" s="224"/>
      <c r="GC22" s="224"/>
      <c r="GD22" s="224"/>
      <c r="GE22" s="224"/>
      <c r="GF22" s="224"/>
      <c r="GG22" s="224"/>
      <c r="GH22" s="224"/>
      <c r="GI22" s="224"/>
      <c r="GJ22" s="224"/>
      <c r="GK22" s="224"/>
      <c r="GL22" s="224"/>
      <c r="GM22" s="224"/>
      <c r="GN22" s="224"/>
      <c r="GO22" s="224"/>
      <c r="GP22" s="224"/>
      <c r="GQ22" s="224"/>
      <c r="GR22" s="224"/>
      <c r="GS22" s="224"/>
      <c r="GT22" s="224"/>
      <c r="GU22" s="224"/>
      <c r="GV22" s="224"/>
      <c r="GW22" s="224"/>
      <c r="GX22" s="224"/>
      <c r="GY22" s="224"/>
      <c r="GZ22" s="224"/>
      <c r="HA22" s="224"/>
      <c r="HB22" s="224"/>
      <c r="HC22" s="224"/>
      <c r="HD22" s="224"/>
      <c r="HE22" s="224"/>
      <c r="HF22" s="224"/>
      <c r="HG22" s="224"/>
      <c r="HH22" s="224"/>
      <c r="HI22" s="224"/>
      <c r="HJ22" s="224"/>
      <c r="HK22" s="224"/>
      <c r="HL22" s="224"/>
      <c r="HM22" s="224"/>
      <c r="HN22" s="224"/>
      <c r="HO22" s="224"/>
      <c r="HP22" s="224"/>
      <c r="HQ22" s="224"/>
      <c r="HR22" s="224"/>
      <c r="HS22" s="224"/>
      <c r="HT22" s="224"/>
      <c r="HU22" s="224"/>
      <c r="HV22" s="224"/>
      <c r="HW22" s="224"/>
      <c r="HX22" s="224"/>
      <c r="HY22" s="224"/>
      <c r="HZ22" s="224"/>
      <c r="IA22" s="224"/>
      <c r="IB22" s="224"/>
      <c r="IC22" s="224"/>
      <c r="ID22" s="224"/>
      <c r="IE22" s="224"/>
      <c r="IF22" s="224"/>
      <c r="IG22" s="224"/>
      <c r="IH22" s="224"/>
      <c r="II22" s="224"/>
      <c r="IJ22" s="224"/>
      <c r="IK22" s="224"/>
      <c r="IL22" s="224"/>
      <c r="IM22" s="224"/>
      <c r="IN22" s="224"/>
      <c r="IO22" s="224"/>
      <c r="IP22" s="224"/>
      <c r="IQ22" s="224"/>
      <c r="IR22" s="224"/>
      <c r="IS22" s="224"/>
      <c r="IT22" s="224"/>
      <c r="IU22" s="224"/>
      <c r="IV22" s="224"/>
      <c r="IW22" s="224"/>
      <c r="IX22" s="224"/>
      <c r="IY22" s="224"/>
      <c r="IZ22" s="224"/>
      <c r="JA22" s="224"/>
      <c r="JB22" s="224"/>
      <c r="JC22" s="224"/>
      <c r="JD22" s="224"/>
      <c r="JE22" s="224"/>
      <c r="JF22" s="224"/>
      <c r="JG22" s="224"/>
      <c r="JH22" s="224"/>
      <c r="JI22" s="224"/>
      <c r="JJ22" s="224"/>
      <c r="JK22" s="224"/>
      <c r="JL22" s="224"/>
      <c r="JM22" s="224"/>
      <c r="JN22" s="224"/>
      <c r="JO22" s="224"/>
      <c r="JP22" s="224"/>
      <c r="JQ22" s="224"/>
      <c r="JR22" s="224"/>
      <c r="JS22" s="224"/>
      <c r="JT22" s="224"/>
      <c r="JU22" s="224"/>
      <c r="JV22" s="224"/>
      <c r="JW22" s="224"/>
      <c r="JX22" s="224"/>
      <c r="JY22" s="224"/>
      <c r="JZ22" s="224"/>
      <c r="KA22" s="224"/>
      <c r="KB22" s="224"/>
      <c r="KC22" s="224"/>
      <c r="KD22" s="224"/>
      <c r="KE22" s="224"/>
      <c r="KF22" s="224"/>
      <c r="KG22" s="224"/>
      <c r="KH22" s="224"/>
      <c r="KI22" s="224"/>
      <c r="KJ22" s="224"/>
      <c r="KK22" s="224"/>
      <c r="KL22" s="224"/>
      <c r="KM22" s="224"/>
      <c r="KN22" s="224"/>
      <c r="KO22" s="224"/>
      <c r="KP22" s="224"/>
      <c r="KQ22" s="224"/>
      <c r="KR22" s="224"/>
      <c r="KS22" s="224"/>
      <c r="KT22" s="224"/>
      <c r="KU22" s="224"/>
      <c r="KV22" s="224"/>
      <c r="KW22" s="224"/>
      <c r="KX22" s="224"/>
      <c r="KY22" s="224"/>
      <c r="KZ22" s="224"/>
      <c r="LA22" s="224"/>
      <c r="LB22" s="224"/>
      <c r="LC22" s="224"/>
      <c r="LD22" s="224"/>
      <c r="LE22" s="224"/>
      <c r="LF22" s="224"/>
      <c r="LG22" s="224"/>
      <c r="LH22" s="224"/>
      <c r="LI22" s="224"/>
      <c r="LJ22" s="224"/>
      <c r="LK22" s="224"/>
      <c r="LL22" s="224"/>
      <c r="LM22" s="224"/>
      <c r="LN22" s="224"/>
      <c r="LO22" s="224"/>
      <c r="LP22" s="224"/>
      <c r="LQ22" s="224"/>
      <c r="LR22" s="224"/>
      <c r="LS22" s="224"/>
      <c r="LT22" s="224"/>
      <c r="LU22" s="224"/>
      <c r="LV22" s="224"/>
      <c r="LW22" s="224"/>
      <c r="LX22" s="224"/>
      <c r="LY22" s="224"/>
      <c r="LZ22" s="224"/>
      <c r="MA22" s="224"/>
      <c r="MB22" s="224"/>
      <c r="MC22" s="224"/>
      <c r="MD22" s="224"/>
      <c r="ME22" s="224"/>
      <c r="MF22" s="224"/>
      <c r="MG22" s="224"/>
      <c r="MH22" s="224"/>
      <c r="MI22" s="224"/>
      <c r="MJ22" s="224"/>
      <c r="MK22" s="224"/>
      <c r="ML22" s="224"/>
      <c r="MM22" s="224"/>
      <c r="MN22" s="224"/>
      <c r="MO22" s="224"/>
      <c r="MP22" s="224"/>
      <c r="MQ22" s="224"/>
      <c r="MR22" s="224"/>
      <c r="MS22" s="224"/>
      <c r="MT22" s="224"/>
      <c r="MU22" s="224"/>
      <c r="MV22" s="224"/>
      <c r="MW22" s="224"/>
      <c r="MX22" s="224"/>
      <c r="MY22" s="224"/>
      <c r="MZ22" s="224"/>
      <c r="NA22" s="224"/>
      <c r="NB22" s="224"/>
      <c r="NC22" s="224"/>
      <c r="ND22" s="224"/>
      <c r="NE22" s="224"/>
      <c r="NF22" s="224"/>
      <c r="NG22" s="224"/>
      <c r="NH22" s="224"/>
      <c r="NI22" s="224"/>
      <c r="NJ22" s="224"/>
      <c r="NK22" s="224"/>
      <c r="NL22" s="224"/>
      <c r="NM22" s="224"/>
      <c r="NN22" s="224"/>
      <c r="NO22" s="224"/>
      <c r="NP22" s="224"/>
      <c r="NQ22" s="224"/>
      <c r="NR22" s="224"/>
      <c r="NS22" s="224"/>
      <c r="NT22" s="224"/>
      <c r="NU22" s="224"/>
      <c r="NV22" s="224"/>
      <c r="NW22" s="224"/>
      <c r="NX22" s="224"/>
      <c r="NY22" s="224"/>
      <c r="NZ22" s="224"/>
      <c r="OA22" s="224"/>
      <c r="OB22" s="224"/>
      <c r="OC22" s="224"/>
      <c r="OD22" s="224"/>
      <c r="OE22" s="224"/>
      <c r="OF22" s="224"/>
      <c r="OG22" s="224"/>
      <c r="OH22" s="224"/>
      <c r="OI22" s="224"/>
      <c r="OJ22" s="224"/>
      <c r="OK22" s="224"/>
      <c r="OL22" s="224"/>
      <c r="OM22" s="224"/>
      <c r="ON22" s="224"/>
      <c r="OO22" s="224"/>
      <c r="OP22" s="224"/>
      <c r="OQ22" s="224"/>
      <c r="OR22" s="224"/>
      <c r="OS22" s="224"/>
      <c r="OT22" s="224"/>
      <c r="OU22" s="224"/>
      <c r="OV22" s="224"/>
      <c r="OW22" s="224"/>
      <c r="OX22" s="224"/>
      <c r="OY22" s="224"/>
      <c r="OZ22" s="224"/>
      <c r="PA22" s="224"/>
    </row>
    <row r="23" spans="1:417" ht="12.75" customHeight="1" x14ac:dyDescent="0.3">
      <c r="A23" s="24" t="s">
        <v>1009</v>
      </c>
      <c r="B23" s="207" t="s">
        <v>1012</v>
      </c>
      <c r="C23" s="208" t="s">
        <v>75</v>
      </c>
      <c r="D23" s="25">
        <v>803.96</v>
      </c>
      <c r="F23" s="25">
        <v>0</v>
      </c>
      <c r="G23" s="25">
        <v>0</v>
      </c>
      <c r="H23" s="25">
        <v>0</v>
      </c>
      <c r="J23" s="25">
        <f t="shared" si="2"/>
        <v>803.96</v>
      </c>
      <c r="L23" s="25"/>
      <c r="M23" s="26">
        <v>0</v>
      </c>
      <c r="N23"/>
      <c r="P23" t="s">
        <v>74</v>
      </c>
      <c r="Q23" s="206">
        <v>22.51088</v>
      </c>
      <c r="R23" s="206">
        <v>5.6277200000000001</v>
      </c>
      <c r="S23" s="206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</row>
    <row r="24" spans="1:417" s="34" customFormat="1" ht="12.75" customHeight="1" x14ac:dyDescent="0.3">
      <c r="A24" s="30" t="s">
        <v>1009</v>
      </c>
      <c r="B24" s="31" t="s">
        <v>1013</v>
      </c>
      <c r="C24" s="32" t="s">
        <v>93</v>
      </c>
      <c r="D24" s="33">
        <v>93979.83</v>
      </c>
      <c r="E24" s="33"/>
      <c r="F24" s="33">
        <v>0</v>
      </c>
      <c r="G24" s="33">
        <v>0</v>
      </c>
      <c r="H24" s="33">
        <v>0</v>
      </c>
      <c r="I24" s="33"/>
      <c r="J24" s="33">
        <f t="shared" si="2"/>
        <v>93979.83</v>
      </c>
      <c r="L24" s="33">
        <v>88000</v>
      </c>
      <c r="M24" s="35">
        <v>1.0679526136363637</v>
      </c>
      <c r="N24" s="224"/>
      <c r="P24" s="224" t="s">
        <v>92</v>
      </c>
      <c r="Q24" s="225">
        <v>2631.4352400000002</v>
      </c>
      <c r="R24" s="225">
        <v>657.85881000000006</v>
      </c>
      <c r="S24" s="225">
        <v>469.89915000000002</v>
      </c>
      <c r="T24" s="224"/>
      <c r="U24" s="224"/>
      <c r="V24" s="224"/>
      <c r="W24" s="224"/>
      <c r="X24" s="224"/>
      <c r="Y24" s="224"/>
      <c r="Z24" s="224"/>
      <c r="AA24" s="224"/>
      <c r="AB24" s="224"/>
      <c r="AC24" s="224"/>
      <c r="AD24" s="224"/>
      <c r="AE24" s="224"/>
      <c r="AF24" s="224"/>
      <c r="AG24" s="224"/>
      <c r="AH24" s="224"/>
      <c r="AI24" s="224"/>
      <c r="AJ24" s="224"/>
      <c r="AK24" s="224"/>
      <c r="AL24" s="224"/>
      <c r="AM24" s="224"/>
      <c r="AN24" s="224"/>
      <c r="AO24" s="224"/>
      <c r="AP24" s="224"/>
      <c r="AQ24" s="224"/>
      <c r="AR24" s="224"/>
      <c r="AS24" s="224"/>
      <c r="AT24" s="224"/>
      <c r="AU24" s="224"/>
      <c r="AV24" s="224"/>
      <c r="AW24" s="224"/>
      <c r="AX24" s="224"/>
      <c r="AY24" s="224"/>
      <c r="AZ24" s="224"/>
      <c r="BA24" s="224"/>
      <c r="BB24" s="224"/>
      <c r="BC24" s="224"/>
      <c r="BD24" s="224"/>
      <c r="BE24" s="224"/>
      <c r="BF24" s="224"/>
      <c r="BG24" s="224"/>
      <c r="BH24" s="224"/>
      <c r="BI24" s="224"/>
      <c r="BJ24" s="224"/>
      <c r="BK24" s="224"/>
      <c r="BL24" s="224"/>
      <c r="BM24" s="224"/>
      <c r="BN24" s="224"/>
      <c r="BO24" s="224"/>
      <c r="BP24" s="224"/>
      <c r="BQ24" s="224"/>
      <c r="BR24" s="224"/>
      <c r="BS24" s="224"/>
      <c r="BT24" s="224"/>
      <c r="BU24" s="224"/>
      <c r="BV24" s="224"/>
      <c r="BW24" s="224"/>
      <c r="BX24" s="224"/>
      <c r="BY24" s="224"/>
      <c r="BZ24" s="224"/>
      <c r="CA24" s="224"/>
      <c r="CB24" s="224"/>
      <c r="CC24" s="224"/>
      <c r="CD24" s="224"/>
      <c r="CE24" s="224"/>
      <c r="CF24" s="224"/>
      <c r="CG24" s="224"/>
      <c r="CH24" s="224"/>
      <c r="CI24" s="224"/>
      <c r="CJ24" s="224"/>
      <c r="CK24" s="224"/>
      <c r="CL24" s="224"/>
      <c r="CM24" s="224"/>
      <c r="CN24" s="224"/>
      <c r="CO24" s="224"/>
      <c r="CP24" s="224"/>
      <c r="CQ24" s="224"/>
      <c r="CR24" s="224"/>
      <c r="CS24" s="224"/>
      <c r="CT24" s="224"/>
      <c r="CU24" s="224"/>
      <c r="CV24" s="224"/>
      <c r="CW24" s="224"/>
      <c r="CX24" s="224"/>
      <c r="CY24" s="224"/>
      <c r="CZ24" s="224"/>
      <c r="DA24" s="224"/>
      <c r="DB24" s="224"/>
      <c r="DC24" s="224"/>
      <c r="DD24" s="224"/>
      <c r="DE24" s="224"/>
      <c r="DF24" s="224"/>
      <c r="DG24" s="224"/>
      <c r="DH24" s="224"/>
      <c r="DI24" s="224"/>
      <c r="DJ24" s="224"/>
      <c r="DK24" s="224"/>
      <c r="DL24" s="224"/>
      <c r="DM24" s="224"/>
      <c r="DN24" s="224"/>
      <c r="DO24" s="224"/>
      <c r="DP24" s="224"/>
      <c r="DQ24" s="224"/>
      <c r="DR24" s="224"/>
      <c r="DS24" s="224"/>
      <c r="DT24" s="224"/>
      <c r="DU24" s="224"/>
      <c r="DV24" s="224"/>
      <c r="DW24" s="224"/>
      <c r="DX24" s="224"/>
      <c r="DY24" s="224"/>
      <c r="DZ24" s="224"/>
      <c r="EA24" s="224"/>
      <c r="EB24" s="224"/>
      <c r="EC24" s="224"/>
      <c r="ED24" s="224"/>
      <c r="EE24" s="224"/>
      <c r="EF24" s="224"/>
      <c r="EG24" s="224"/>
      <c r="EH24" s="224"/>
      <c r="EI24" s="224"/>
      <c r="EJ24" s="224"/>
      <c r="EK24" s="224"/>
      <c r="EL24" s="224"/>
      <c r="EM24" s="224"/>
      <c r="EN24" s="224"/>
      <c r="EO24" s="224"/>
      <c r="EP24" s="224"/>
      <c r="EQ24" s="224"/>
      <c r="ER24" s="224"/>
      <c r="ES24" s="224"/>
      <c r="ET24" s="224"/>
      <c r="EU24" s="224"/>
      <c r="EV24" s="224"/>
      <c r="EW24" s="224"/>
      <c r="EX24" s="224"/>
      <c r="EY24" s="224"/>
      <c r="EZ24" s="224"/>
      <c r="FA24" s="224"/>
      <c r="FB24" s="224"/>
      <c r="FC24" s="224"/>
      <c r="FD24" s="224"/>
      <c r="FE24" s="224"/>
      <c r="FF24" s="224"/>
      <c r="FG24" s="224"/>
      <c r="FH24" s="224"/>
      <c r="FI24" s="224"/>
      <c r="FJ24" s="224"/>
      <c r="FK24" s="224"/>
      <c r="FL24" s="224"/>
      <c r="FM24" s="224"/>
      <c r="FN24" s="224"/>
      <c r="FO24" s="224"/>
      <c r="FP24" s="224"/>
      <c r="FQ24" s="224"/>
      <c r="FR24" s="224"/>
      <c r="FS24" s="224"/>
      <c r="FT24" s="224"/>
      <c r="FU24" s="224"/>
      <c r="FV24" s="224"/>
      <c r="FW24" s="224"/>
      <c r="FX24" s="224"/>
      <c r="FY24" s="224"/>
      <c r="FZ24" s="224"/>
      <c r="GA24" s="224"/>
      <c r="GB24" s="224"/>
      <c r="GC24" s="224"/>
      <c r="GD24" s="224"/>
      <c r="GE24" s="224"/>
      <c r="GF24" s="224"/>
      <c r="GG24" s="224"/>
      <c r="GH24" s="224"/>
      <c r="GI24" s="224"/>
      <c r="GJ24" s="224"/>
      <c r="GK24" s="224"/>
      <c r="GL24" s="224"/>
      <c r="GM24" s="224"/>
      <c r="GN24" s="224"/>
      <c r="GO24" s="224"/>
      <c r="GP24" s="224"/>
      <c r="GQ24" s="224"/>
      <c r="GR24" s="224"/>
      <c r="GS24" s="224"/>
      <c r="GT24" s="224"/>
      <c r="GU24" s="224"/>
      <c r="GV24" s="224"/>
      <c r="GW24" s="224"/>
      <c r="GX24" s="224"/>
      <c r="GY24" s="224"/>
      <c r="GZ24" s="224"/>
      <c r="HA24" s="224"/>
      <c r="HB24" s="224"/>
      <c r="HC24" s="224"/>
      <c r="HD24" s="224"/>
      <c r="HE24" s="224"/>
      <c r="HF24" s="224"/>
      <c r="HG24" s="224"/>
      <c r="HH24" s="224"/>
      <c r="HI24" s="224"/>
      <c r="HJ24" s="224"/>
      <c r="HK24" s="224"/>
      <c r="HL24" s="224"/>
      <c r="HM24" s="224"/>
      <c r="HN24" s="224"/>
      <c r="HO24" s="224"/>
      <c r="HP24" s="224"/>
      <c r="HQ24" s="224"/>
      <c r="HR24" s="224"/>
      <c r="HS24" s="224"/>
      <c r="HT24" s="224"/>
      <c r="HU24" s="224"/>
      <c r="HV24" s="224"/>
      <c r="HW24" s="224"/>
      <c r="HX24" s="224"/>
      <c r="HY24" s="224"/>
      <c r="HZ24" s="224"/>
      <c r="IA24" s="224"/>
      <c r="IB24" s="224"/>
      <c r="IC24" s="224"/>
      <c r="ID24" s="224"/>
      <c r="IE24" s="224"/>
      <c r="IF24" s="224"/>
      <c r="IG24" s="224"/>
      <c r="IH24" s="224"/>
      <c r="II24" s="224"/>
      <c r="IJ24" s="224"/>
      <c r="IK24" s="224"/>
      <c r="IL24" s="224"/>
      <c r="IM24" s="224"/>
      <c r="IN24" s="224"/>
      <c r="IO24" s="224"/>
      <c r="IP24" s="224"/>
      <c r="IQ24" s="224"/>
      <c r="IR24" s="224"/>
      <c r="IS24" s="224"/>
      <c r="IT24" s="224"/>
      <c r="IU24" s="224"/>
      <c r="IV24" s="224"/>
      <c r="IW24" s="224"/>
      <c r="IX24" s="224"/>
      <c r="IY24" s="224"/>
      <c r="IZ24" s="224"/>
      <c r="JA24" s="224"/>
      <c r="JB24" s="224"/>
      <c r="JC24" s="224"/>
      <c r="JD24" s="224"/>
      <c r="JE24" s="224"/>
      <c r="JF24" s="224"/>
      <c r="JG24" s="224"/>
      <c r="JH24" s="224"/>
      <c r="JI24" s="224"/>
      <c r="JJ24" s="224"/>
      <c r="JK24" s="224"/>
      <c r="JL24" s="224"/>
      <c r="JM24" s="224"/>
      <c r="JN24" s="224"/>
      <c r="JO24" s="224"/>
      <c r="JP24" s="224"/>
      <c r="JQ24" s="224"/>
      <c r="JR24" s="224"/>
      <c r="JS24" s="224"/>
      <c r="JT24" s="224"/>
      <c r="JU24" s="224"/>
      <c r="JV24" s="224"/>
      <c r="JW24" s="224"/>
      <c r="JX24" s="224"/>
      <c r="JY24" s="224"/>
      <c r="JZ24" s="224"/>
      <c r="KA24" s="224"/>
      <c r="KB24" s="224"/>
      <c r="KC24" s="224"/>
      <c r="KD24" s="224"/>
      <c r="KE24" s="224"/>
      <c r="KF24" s="224"/>
      <c r="KG24" s="224"/>
      <c r="KH24" s="224"/>
      <c r="KI24" s="224"/>
      <c r="KJ24" s="224"/>
      <c r="KK24" s="224"/>
      <c r="KL24" s="224"/>
      <c r="KM24" s="224"/>
      <c r="KN24" s="224"/>
      <c r="KO24" s="224"/>
      <c r="KP24" s="224"/>
      <c r="KQ24" s="224"/>
      <c r="KR24" s="224"/>
      <c r="KS24" s="224"/>
      <c r="KT24" s="224"/>
      <c r="KU24" s="224"/>
      <c r="KV24" s="224"/>
      <c r="KW24" s="224"/>
      <c r="KX24" s="224"/>
      <c r="KY24" s="224"/>
      <c r="KZ24" s="224"/>
      <c r="LA24" s="224"/>
      <c r="LB24" s="224"/>
      <c r="LC24" s="224"/>
      <c r="LD24" s="224"/>
      <c r="LE24" s="224"/>
      <c r="LF24" s="224"/>
      <c r="LG24" s="224"/>
      <c r="LH24" s="224"/>
      <c r="LI24" s="224"/>
      <c r="LJ24" s="224"/>
      <c r="LK24" s="224"/>
      <c r="LL24" s="224"/>
      <c r="LM24" s="224"/>
      <c r="LN24" s="224"/>
      <c r="LO24" s="224"/>
      <c r="LP24" s="224"/>
      <c r="LQ24" s="224"/>
      <c r="LR24" s="224"/>
      <c r="LS24" s="224"/>
      <c r="LT24" s="224"/>
      <c r="LU24" s="224"/>
      <c r="LV24" s="224"/>
      <c r="LW24" s="224"/>
      <c r="LX24" s="224"/>
      <c r="LY24" s="224"/>
      <c r="LZ24" s="224"/>
      <c r="MA24" s="224"/>
      <c r="MB24" s="224"/>
      <c r="MC24" s="224"/>
      <c r="MD24" s="224"/>
      <c r="ME24" s="224"/>
      <c r="MF24" s="224"/>
      <c r="MG24" s="224"/>
      <c r="MH24" s="224"/>
      <c r="MI24" s="224"/>
      <c r="MJ24" s="224"/>
      <c r="MK24" s="224"/>
      <c r="ML24" s="224"/>
      <c r="MM24" s="224"/>
      <c r="MN24" s="224"/>
      <c r="MO24" s="224"/>
      <c r="MP24" s="224"/>
      <c r="MQ24" s="224"/>
      <c r="MR24" s="224"/>
      <c r="MS24" s="224"/>
      <c r="MT24" s="224"/>
      <c r="MU24" s="224"/>
      <c r="MV24" s="224"/>
      <c r="MW24" s="224"/>
      <c r="MX24" s="224"/>
      <c r="MY24" s="224"/>
      <c r="MZ24" s="224"/>
      <c r="NA24" s="224"/>
      <c r="NB24" s="224"/>
      <c r="NC24" s="224"/>
      <c r="ND24" s="224"/>
      <c r="NE24" s="224"/>
      <c r="NF24" s="224"/>
      <c r="NG24" s="224"/>
      <c r="NH24" s="224"/>
      <c r="NI24" s="224"/>
      <c r="NJ24" s="224"/>
      <c r="NK24" s="224"/>
      <c r="NL24" s="224"/>
      <c r="NM24" s="224"/>
      <c r="NN24" s="224"/>
      <c r="NO24" s="224"/>
      <c r="NP24" s="224"/>
      <c r="NQ24" s="224"/>
      <c r="NR24" s="224"/>
      <c r="NS24" s="224"/>
      <c r="NT24" s="224"/>
      <c r="NU24" s="224"/>
      <c r="NV24" s="224"/>
      <c r="NW24" s="224"/>
      <c r="NX24" s="224"/>
      <c r="NY24" s="224"/>
      <c r="NZ24" s="224"/>
      <c r="OA24" s="224"/>
      <c r="OB24" s="224"/>
      <c r="OC24" s="224"/>
      <c r="OD24" s="224"/>
      <c r="OE24" s="224"/>
      <c r="OF24" s="224"/>
      <c r="OG24" s="224"/>
      <c r="OH24" s="224"/>
      <c r="OI24" s="224"/>
      <c r="OJ24" s="224"/>
      <c r="OK24" s="224"/>
      <c r="OL24" s="224"/>
      <c r="OM24" s="224"/>
      <c r="ON24" s="224"/>
      <c r="OO24" s="224"/>
      <c r="OP24" s="224"/>
      <c r="OQ24" s="224"/>
      <c r="OR24" s="224"/>
      <c r="OS24" s="224"/>
      <c r="OT24" s="224"/>
      <c r="OU24" s="224"/>
      <c r="OV24" s="224"/>
      <c r="OW24" s="224"/>
      <c r="OX24" s="224"/>
      <c r="OY24" s="224"/>
      <c r="OZ24" s="224"/>
      <c r="PA24" s="224"/>
    </row>
    <row r="25" spans="1:417" s="34" customFormat="1" ht="12.75" customHeight="1" x14ac:dyDescent="0.3">
      <c r="A25" s="30" t="s">
        <v>1009</v>
      </c>
      <c r="B25" s="31" t="s">
        <v>1014</v>
      </c>
      <c r="C25" s="32" t="s">
        <v>84</v>
      </c>
      <c r="D25" s="33">
        <v>93820.86</v>
      </c>
      <c r="E25" s="33"/>
      <c r="F25" s="33">
        <v>0</v>
      </c>
      <c r="G25" s="33">
        <v>199.99</v>
      </c>
      <c r="H25" s="33">
        <v>0</v>
      </c>
      <c r="I25" s="33"/>
      <c r="J25" s="33">
        <f t="shared" si="2"/>
        <v>94020.85</v>
      </c>
      <c r="L25" s="33">
        <v>88000</v>
      </c>
      <c r="M25" s="35">
        <v>1.06841875</v>
      </c>
      <c r="N25" s="224"/>
      <c r="P25" s="224" t="s">
        <v>83</v>
      </c>
      <c r="Q25" s="225">
        <v>2632.5838000000003</v>
      </c>
      <c r="R25" s="225">
        <v>658.14595000000008</v>
      </c>
      <c r="S25" s="225">
        <v>470.10425000000004</v>
      </c>
      <c r="T25" s="224"/>
      <c r="U25" s="224"/>
      <c r="V25" s="224"/>
      <c r="W25" s="224"/>
      <c r="X25" s="224"/>
      <c r="Y25" s="224"/>
      <c r="Z25" s="224"/>
      <c r="AA25" s="224"/>
      <c r="AB25" s="224"/>
      <c r="AC25" s="224"/>
      <c r="AD25" s="224"/>
      <c r="AE25" s="224"/>
      <c r="AF25" s="224"/>
      <c r="AG25" s="224"/>
      <c r="AH25" s="224"/>
      <c r="AI25" s="224"/>
      <c r="AJ25" s="224"/>
      <c r="AK25" s="224"/>
      <c r="AL25" s="224"/>
      <c r="AM25" s="224"/>
      <c r="AN25" s="224"/>
      <c r="AO25" s="224"/>
      <c r="AP25" s="224"/>
      <c r="AQ25" s="224"/>
      <c r="AR25" s="224"/>
      <c r="AS25" s="224"/>
      <c r="AT25" s="224"/>
      <c r="AU25" s="224"/>
      <c r="AV25" s="224"/>
      <c r="AW25" s="224"/>
      <c r="AX25" s="224"/>
      <c r="AY25" s="224"/>
      <c r="AZ25" s="224"/>
      <c r="BA25" s="224"/>
      <c r="BB25" s="224"/>
      <c r="BC25" s="224"/>
      <c r="BD25" s="224"/>
      <c r="BE25" s="224"/>
      <c r="BF25" s="224"/>
      <c r="BG25" s="224"/>
      <c r="BH25" s="224"/>
      <c r="BI25" s="224"/>
      <c r="BJ25" s="224"/>
      <c r="BK25" s="224"/>
      <c r="BL25" s="224"/>
      <c r="BM25" s="224"/>
      <c r="BN25" s="224"/>
      <c r="BO25" s="224"/>
      <c r="BP25" s="224"/>
      <c r="BQ25" s="224"/>
      <c r="BR25" s="224"/>
      <c r="BS25" s="224"/>
      <c r="BT25" s="224"/>
      <c r="BU25" s="224"/>
      <c r="BV25" s="224"/>
      <c r="BW25" s="224"/>
      <c r="BX25" s="224"/>
      <c r="BY25" s="224"/>
      <c r="BZ25" s="224"/>
      <c r="CA25" s="224"/>
      <c r="CB25" s="224"/>
      <c r="CC25" s="224"/>
      <c r="CD25" s="224"/>
      <c r="CE25" s="224"/>
      <c r="CF25" s="224"/>
      <c r="CG25" s="224"/>
      <c r="CH25" s="224"/>
      <c r="CI25" s="224"/>
      <c r="CJ25" s="224"/>
      <c r="CK25" s="224"/>
      <c r="CL25" s="224"/>
      <c r="CM25" s="224"/>
      <c r="CN25" s="224"/>
      <c r="CO25" s="224"/>
      <c r="CP25" s="224"/>
      <c r="CQ25" s="224"/>
      <c r="CR25" s="224"/>
      <c r="CS25" s="224"/>
      <c r="CT25" s="224"/>
      <c r="CU25" s="224"/>
      <c r="CV25" s="224"/>
      <c r="CW25" s="224"/>
      <c r="CX25" s="224"/>
      <c r="CY25" s="224"/>
      <c r="CZ25" s="224"/>
      <c r="DA25" s="224"/>
      <c r="DB25" s="224"/>
      <c r="DC25" s="224"/>
      <c r="DD25" s="224"/>
      <c r="DE25" s="224"/>
      <c r="DF25" s="224"/>
      <c r="DG25" s="224"/>
      <c r="DH25" s="224"/>
      <c r="DI25" s="224"/>
      <c r="DJ25" s="224"/>
      <c r="DK25" s="224"/>
      <c r="DL25" s="224"/>
      <c r="DM25" s="224"/>
      <c r="DN25" s="224"/>
      <c r="DO25" s="224"/>
      <c r="DP25" s="224"/>
      <c r="DQ25" s="224"/>
      <c r="DR25" s="224"/>
      <c r="DS25" s="224"/>
      <c r="DT25" s="224"/>
      <c r="DU25" s="224"/>
      <c r="DV25" s="224"/>
      <c r="DW25" s="224"/>
      <c r="DX25" s="224"/>
      <c r="DY25" s="224"/>
      <c r="DZ25" s="224"/>
      <c r="EA25" s="224"/>
      <c r="EB25" s="224"/>
      <c r="EC25" s="224"/>
      <c r="ED25" s="224"/>
      <c r="EE25" s="224"/>
      <c r="EF25" s="224"/>
      <c r="EG25" s="224"/>
      <c r="EH25" s="224"/>
      <c r="EI25" s="224"/>
      <c r="EJ25" s="224"/>
      <c r="EK25" s="224"/>
      <c r="EL25" s="224"/>
      <c r="EM25" s="224"/>
      <c r="EN25" s="224"/>
      <c r="EO25" s="224"/>
      <c r="EP25" s="224"/>
      <c r="EQ25" s="224"/>
      <c r="ER25" s="224"/>
      <c r="ES25" s="224"/>
      <c r="ET25" s="224"/>
      <c r="EU25" s="224"/>
      <c r="EV25" s="224"/>
      <c r="EW25" s="224"/>
      <c r="EX25" s="224"/>
      <c r="EY25" s="224"/>
      <c r="EZ25" s="224"/>
      <c r="FA25" s="224"/>
      <c r="FB25" s="224"/>
      <c r="FC25" s="224"/>
      <c r="FD25" s="224"/>
      <c r="FE25" s="224"/>
      <c r="FF25" s="224"/>
      <c r="FG25" s="224"/>
      <c r="FH25" s="224"/>
      <c r="FI25" s="224"/>
      <c r="FJ25" s="224"/>
      <c r="FK25" s="224"/>
      <c r="FL25" s="224"/>
      <c r="FM25" s="224"/>
      <c r="FN25" s="224"/>
      <c r="FO25" s="224"/>
      <c r="FP25" s="224"/>
      <c r="FQ25" s="224"/>
      <c r="FR25" s="224"/>
      <c r="FS25" s="224"/>
      <c r="FT25" s="224"/>
      <c r="FU25" s="224"/>
      <c r="FV25" s="224"/>
      <c r="FW25" s="224"/>
      <c r="FX25" s="224"/>
      <c r="FY25" s="224"/>
      <c r="FZ25" s="224"/>
      <c r="GA25" s="224"/>
      <c r="GB25" s="224"/>
      <c r="GC25" s="224"/>
      <c r="GD25" s="224"/>
      <c r="GE25" s="224"/>
      <c r="GF25" s="224"/>
      <c r="GG25" s="224"/>
      <c r="GH25" s="224"/>
      <c r="GI25" s="224"/>
      <c r="GJ25" s="224"/>
      <c r="GK25" s="224"/>
      <c r="GL25" s="224"/>
      <c r="GM25" s="224"/>
      <c r="GN25" s="224"/>
      <c r="GO25" s="224"/>
      <c r="GP25" s="224"/>
      <c r="GQ25" s="224"/>
      <c r="GR25" s="224"/>
      <c r="GS25" s="224"/>
      <c r="GT25" s="224"/>
      <c r="GU25" s="224"/>
      <c r="GV25" s="224"/>
      <c r="GW25" s="224"/>
      <c r="GX25" s="224"/>
      <c r="GY25" s="224"/>
      <c r="GZ25" s="224"/>
      <c r="HA25" s="224"/>
      <c r="HB25" s="224"/>
      <c r="HC25" s="224"/>
      <c r="HD25" s="224"/>
      <c r="HE25" s="224"/>
      <c r="HF25" s="224"/>
      <c r="HG25" s="224"/>
      <c r="HH25" s="224"/>
      <c r="HI25" s="224"/>
      <c r="HJ25" s="224"/>
      <c r="HK25" s="224"/>
      <c r="HL25" s="224"/>
      <c r="HM25" s="224"/>
      <c r="HN25" s="224"/>
      <c r="HO25" s="224"/>
      <c r="HP25" s="224"/>
      <c r="HQ25" s="224"/>
      <c r="HR25" s="224"/>
      <c r="HS25" s="224"/>
      <c r="HT25" s="224"/>
      <c r="HU25" s="224"/>
      <c r="HV25" s="224"/>
      <c r="HW25" s="224"/>
      <c r="HX25" s="224"/>
      <c r="HY25" s="224"/>
      <c r="HZ25" s="224"/>
      <c r="IA25" s="224"/>
      <c r="IB25" s="224"/>
      <c r="IC25" s="224"/>
      <c r="ID25" s="224"/>
      <c r="IE25" s="224"/>
      <c r="IF25" s="224"/>
      <c r="IG25" s="224"/>
      <c r="IH25" s="224"/>
      <c r="II25" s="224"/>
      <c r="IJ25" s="224"/>
      <c r="IK25" s="224"/>
      <c r="IL25" s="224"/>
      <c r="IM25" s="224"/>
      <c r="IN25" s="224"/>
      <c r="IO25" s="224"/>
      <c r="IP25" s="224"/>
      <c r="IQ25" s="224"/>
      <c r="IR25" s="224"/>
      <c r="IS25" s="224"/>
      <c r="IT25" s="224"/>
      <c r="IU25" s="224"/>
      <c r="IV25" s="224"/>
      <c r="IW25" s="224"/>
      <c r="IX25" s="224"/>
      <c r="IY25" s="224"/>
      <c r="IZ25" s="224"/>
      <c r="JA25" s="224"/>
      <c r="JB25" s="224"/>
      <c r="JC25" s="224"/>
      <c r="JD25" s="224"/>
      <c r="JE25" s="224"/>
      <c r="JF25" s="224"/>
      <c r="JG25" s="224"/>
      <c r="JH25" s="224"/>
      <c r="JI25" s="224"/>
      <c r="JJ25" s="224"/>
      <c r="JK25" s="224"/>
      <c r="JL25" s="224"/>
      <c r="JM25" s="224"/>
      <c r="JN25" s="224"/>
      <c r="JO25" s="224"/>
      <c r="JP25" s="224"/>
      <c r="JQ25" s="224"/>
      <c r="JR25" s="224"/>
      <c r="JS25" s="224"/>
      <c r="JT25" s="224"/>
      <c r="JU25" s="224"/>
      <c r="JV25" s="224"/>
      <c r="JW25" s="224"/>
      <c r="JX25" s="224"/>
      <c r="JY25" s="224"/>
      <c r="JZ25" s="224"/>
      <c r="KA25" s="224"/>
      <c r="KB25" s="224"/>
      <c r="KC25" s="224"/>
      <c r="KD25" s="224"/>
      <c r="KE25" s="224"/>
      <c r="KF25" s="224"/>
      <c r="KG25" s="224"/>
      <c r="KH25" s="224"/>
      <c r="KI25" s="224"/>
      <c r="KJ25" s="224"/>
      <c r="KK25" s="224"/>
      <c r="KL25" s="224"/>
      <c r="KM25" s="224"/>
      <c r="KN25" s="224"/>
      <c r="KO25" s="224"/>
      <c r="KP25" s="224"/>
      <c r="KQ25" s="224"/>
      <c r="KR25" s="224"/>
      <c r="KS25" s="224"/>
      <c r="KT25" s="224"/>
      <c r="KU25" s="224"/>
      <c r="KV25" s="224"/>
      <c r="KW25" s="224"/>
      <c r="KX25" s="224"/>
      <c r="KY25" s="224"/>
      <c r="KZ25" s="224"/>
      <c r="LA25" s="224"/>
      <c r="LB25" s="224"/>
      <c r="LC25" s="224"/>
      <c r="LD25" s="224"/>
      <c r="LE25" s="224"/>
      <c r="LF25" s="224"/>
      <c r="LG25" s="224"/>
      <c r="LH25" s="224"/>
      <c r="LI25" s="224"/>
      <c r="LJ25" s="224"/>
      <c r="LK25" s="224"/>
      <c r="LL25" s="224"/>
      <c r="LM25" s="224"/>
      <c r="LN25" s="224"/>
      <c r="LO25" s="224"/>
      <c r="LP25" s="224"/>
      <c r="LQ25" s="224"/>
      <c r="LR25" s="224"/>
      <c r="LS25" s="224"/>
      <c r="LT25" s="224"/>
      <c r="LU25" s="224"/>
      <c r="LV25" s="224"/>
      <c r="LW25" s="224"/>
      <c r="LX25" s="224"/>
      <c r="LY25" s="224"/>
      <c r="LZ25" s="224"/>
      <c r="MA25" s="224"/>
      <c r="MB25" s="224"/>
      <c r="MC25" s="224"/>
      <c r="MD25" s="224"/>
      <c r="ME25" s="224"/>
      <c r="MF25" s="224"/>
      <c r="MG25" s="224"/>
      <c r="MH25" s="224"/>
      <c r="MI25" s="224"/>
      <c r="MJ25" s="224"/>
      <c r="MK25" s="224"/>
      <c r="ML25" s="224"/>
      <c r="MM25" s="224"/>
      <c r="MN25" s="224"/>
      <c r="MO25" s="224"/>
      <c r="MP25" s="224"/>
      <c r="MQ25" s="224"/>
      <c r="MR25" s="224"/>
      <c r="MS25" s="224"/>
      <c r="MT25" s="224"/>
      <c r="MU25" s="224"/>
      <c r="MV25" s="224"/>
      <c r="MW25" s="224"/>
      <c r="MX25" s="224"/>
      <c r="MY25" s="224"/>
      <c r="MZ25" s="224"/>
      <c r="NA25" s="224"/>
      <c r="NB25" s="224"/>
      <c r="NC25" s="224"/>
      <c r="ND25" s="224"/>
      <c r="NE25" s="224"/>
      <c r="NF25" s="224"/>
      <c r="NG25" s="224"/>
      <c r="NH25" s="224"/>
      <c r="NI25" s="224"/>
      <c r="NJ25" s="224"/>
      <c r="NK25" s="224"/>
      <c r="NL25" s="224"/>
      <c r="NM25" s="224"/>
      <c r="NN25" s="224"/>
      <c r="NO25" s="224"/>
      <c r="NP25" s="224"/>
      <c r="NQ25" s="224"/>
      <c r="NR25" s="224"/>
      <c r="NS25" s="224"/>
      <c r="NT25" s="224"/>
      <c r="NU25" s="224"/>
      <c r="NV25" s="224"/>
      <c r="NW25" s="224"/>
      <c r="NX25" s="224"/>
      <c r="NY25" s="224"/>
      <c r="NZ25" s="224"/>
      <c r="OA25" s="224"/>
      <c r="OB25" s="224"/>
      <c r="OC25" s="224"/>
      <c r="OD25" s="224"/>
      <c r="OE25" s="224"/>
      <c r="OF25" s="224"/>
      <c r="OG25" s="224"/>
      <c r="OH25" s="224"/>
      <c r="OI25" s="224"/>
      <c r="OJ25" s="224"/>
      <c r="OK25" s="224"/>
      <c r="OL25" s="224"/>
      <c r="OM25" s="224"/>
      <c r="ON25" s="224"/>
      <c r="OO25" s="224"/>
      <c r="OP25" s="224"/>
      <c r="OQ25" s="224"/>
      <c r="OR25" s="224"/>
      <c r="OS25" s="224"/>
      <c r="OT25" s="224"/>
      <c r="OU25" s="224"/>
      <c r="OV25" s="224"/>
      <c r="OW25" s="224"/>
      <c r="OX25" s="224"/>
      <c r="OY25" s="224"/>
      <c r="OZ25" s="224"/>
      <c r="PA25" s="224"/>
    </row>
    <row r="26" spans="1:417" s="34" customFormat="1" ht="12.75" customHeight="1" x14ac:dyDescent="0.3">
      <c r="A26" s="30" t="s">
        <v>1009</v>
      </c>
      <c r="B26" s="31" t="s">
        <v>1015</v>
      </c>
      <c r="C26" s="32" t="s">
        <v>69</v>
      </c>
      <c r="D26" s="33">
        <v>70152.84</v>
      </c>
      <c r="E26" s="33"/>
      <c r="F26" s="33">
        <v>0</v>
      </c>
      <c r="G26" s="33">
        <v>0</v>
      </c>
      <c r="H26" s="33">
        <v>0</v>
      </c>
      <c r="I26" s="33"/>
      <c r="J26" s="33">
        <f t="shared" si="2"/>
        <v>70152.84</v>
      </c>
      <c r="L26" s="33">
        <v>88000</v>
      </c>
      <c r="M26" s="35">
        <v>0.79719136363636356</v>
      </c>
      <c r="N26" s="224"/>
      <c r="P26" s="224" t="s">
        <v>68</v>
      </c>
      <c r="Q26" s="225">
        <v>1964.27952</v>
      </c>
      <c r="R26" s="225">
        <v>491.06988000000001</v>
      </c>
      <c r="S26" s="225"/>
      <c r="T26" s="224"/>
      <c r="U26" s="224"/>
      <c r="V26" s="224"/>
      <c r="W26" s="224"/>
      <c r="X26" s="224"/>
      <c r="Y26" s="224"/>
      <c r="Z26" s="224"/>
      <c r="AA26" s="224"/>
      <c r="AB26" s="224"/>
      <c r="AC26" s="224"/>
      <c r="AD26" s="224"/>
      <c r="AE26" s="224"/>
      <c r="AF26" s="224"/>
      <c r="AG26" s="224"/>
      <c r="AH26" s="224"/>
      <c r="AI26" s="224"/>
      <c r="AJ26" s="224"/>
      <c r="AK26" s="224"/>
      <c r="AL26" s="224"/>
      <c r="AM26" s="224"/>
      <c r="AN26" s="224"/>
      <c r="AO26" s="224"/>
      <c r="AP26" s="224"/>
      <c r="AQ26" s="224"/>
      <c r="AR26" s="224"/>
      <c r="AS26" s="224"/>
      <c r="AT26" s="224"/>
      <c r="AU26" s="224"/>
      <c r="AV26" s="224"/>
      <c r="AW26" s="224"/>
      <c r="AX26" s="224"/>
      <c r="AY26" s="224"/>
      <c r="AZ26" s="224"/>
      <c r="BA26" s="224"/>
      <c r="BB26" s="224"/>
      <c r="BC26" s="224"/>
      <c r="BD26" s="224"/>
      <c r="BE26" s="224"/>
      <c r="BF26" s="224"/>
      <c r="BG26" s="224"/>
      <c r="BH26" s="224"/>
      <c r="BI26" s="224"/>
      <c r="BJ26" s="224"/>
      <c r="BK26" s="224"/>
      <c r="BL26" s="224"/>
      <c r="BM26" s="224"/>
      <c r="BN26" s="224"/>
      <c r="BO26" s="224"/>
      <c r="BP26" s="224"/>
      <c r="BQ26" s="224"/>
      <c r="BR26" s="224"/>
      <c r="BS26" s="224"/>
      <c r="BT26" s="224"/>
      <c r="BU26" s="224"/>
      <c r="BV26" s="224"/>
      <c r="BW26" s="224"/>
      <c r="BX26" s="224"/>
      <c r="BY26" s="224"/>
      <c r="BZ26" s="224"/>
      <c r="CA26" s="224"/>
      <c r="CB26" s="224"/>
      <c r="CC26" s="224"/>
      <c r="CD26" s="224"/>
      <c r="CE26" s="224"/>
      <c r="CF26" s="224"/>
      <c r="CG26" s="224"/>
      <c r="CH26" s="224"/>
      <c r="CI26" s="224"/>
      <c r="CJ26" s="224"/>
      <c r="CK26" s="224"/>
      <c r="CL26" s="224"/>
      <c r="CM26" s="224"/>
      <c r="CN26" s="224"/>
      <c r="CO26" s="224"/>
      <c r="CP26" s="224"/>
      <c r="CQ26" s="224"/>
      <c r="CR26" s="224"/>
      <c r="CS26" s="224"/>
      <c r="CT26" s="224"/>
      <c r="CU26" s="224"/>
      <c r="CV26" s="224"/>
      <c r="CW26" s="224"/>
      <c r="CX26" s="224"/>
      <c r="CY26" s="224"/>
      <c r="CZ26" s="224"/>
      <c r="DA26" s="224"/>
      <c r="DB26" s="224"/>
      <c r="DC26" s="224"/>
      <c r="DD26" s="224"/>
      <c r="DE26" s="224"/>
      <c r="DF26" s="224"/>
      <c r="DG26" s="224"/>
      <c r="DH26" s="224"/>
      <c r="DI26" s="224"/>
      <c r="DJ26" s="224"/>
      <c r="DK26" s="224"/>
      <c r="DL26" s="224"/>
      <c r="DM26" s="224"/>
      <c r="DN26" s="224"/>
      <c r="DO26" s="224"/>
      <c r="DP26" s="224"/>
      <c r="DQ26" s="224"/>
      <c r="DR26" s="224"/>
      <c r="DS26" s="224"/>
      <c r="DT26" s="224"/>
      <c r="DU26" s="224"/>
      <c r="DV26" s="224"/>
      <c r="DW26" s="224"/>
      <c r="DX26" s="224"/>
      <c r="DY26" s="224"/>
      <c r="DZ26" s="224"/>
      <c r="EA26" s="224"/>
      <c r="EB26" s="224"/>
      <c r="EC26" s="224"/>
      <c r="ED26" s="224"/>
      <c r="EE26" s="224"/>
      <c r="EF26" s="224"/>
      <c r="EG26" s="224"/>
      <c r="EH26" s="224"/>
      <c r="EI26" s="224"/>
      <c r="EJ26" s="224"/>
      <c r="EK26" s="224"/>
      <c r="EL26" s="224"/>
      <c r="EM26" s="224"/>
      <c r="EN26" s="224"/>
      <c r="EO26" s="224"/>
      <c r="EP26" s="224"/>
      <c r="EQ26" s="224"/>
      <c r="ER26" s="224"/>
      <c r="ES26" s="224"/>
      <c r="ET26" s="224"/>
      <c r="EU26" s="224"/>
      <c r="EV26" s="224"/>
      <c r="EW26" s="224"/>
      <c r="EX26" s="224"/>
      <c r="EY26" s="224"/>
      <c r="EZ26" s="224"/>
      <c r="FA26" s="224"/>
      <c r="FB26" s="224"/>
      <c r="FC26" s="224"/>
      <c r="FD26" s="224"/>
      <c r="FE26" s="224"/>
      <c r="FF26" s="224"/>
      <c r="FG26" s="224"/>
      <c r="FH26" s="224"/>
      <c r="FI26" s="224"/>
      <c r="FJ26" s="224"/>
      <c r="FK26" s="224"/>
      <c r="FL26" s="224"/>
      <c r="FM26" s="224"/>
      <c r="FN26" s="224"/>
      <c r="FO26" s="224"/>
      <c r="FP26" s="224"/>
      <c r="FQ26" s="224"/>
      <c r="FR26" s="224"/>
      <c r="FS26" s="224"/>
      <c r="FT26" s="224"/>
      <c r="FU26" s="224"/>
      <c r="FV26" s="224"/>
      <c r="FW26" s="224"/>
      <c r="FX26" s="224"/>
      <c r="FY26" s="224"/>
      <c r="FZ26" s="224"/>
      <c r="GA26" s="224"/>
      <c r="GB26" s="224"/>
      <c r="GC26" s="224"/>
      <c r="GD26" s="224"/>
      <c r="GE26" s="224"/>
      <c r="GF26" s="224"/>
      <c r="GG26" s="224"/>
      <c r="GH26" s="224"/>
      <c r="GI26" s="224"/>
      <c r="GJ26" s="224"/>
      <c r="GK26" s="224"/>
      <c r="GL26" s="224"/>
      <c r="GM26" s="224"/>
      <c r="GN26" s="224"/>
      <c r="GO26" s="224"/>
      <c r="GP26" s="224"/>
      <c r="GQ26" s="224"/>
      <c r="GR26" s="224"/>
      <c r="GS26" s="224"/>
      <c r="GT26" s="224"/>
      <c r="GU26" s="224"/>
      <c r="GV26" s="224"/>
      <c r="GW26" s="224"/>
      <c r="GX26" s="224"/>
      <c r="GY26" s="224"/>
      <c r="GZ26" s="224"/>
      <c r="HA26" s="224"/>
      <c r="HB26" s="224"/>
      <c r="HC26" s="224"/>
      <c r="HD26" s="224"/>
      <c r="HE26" s="224"/>
      <c r="HF26" s="224"/>
      <c r="HG26" s="224"/>
      <c r="HH26" s="224"/>
      <c r="HI26" s="224"/>
      <c r="HJ26" s="224"/>
      <c r="HK26" s="224"/>
      <c r="HL26" s="224"/>
      <c r="HM26" s="224"/>
      <c r="HN26" s="224"/>
      <c r="HO26" s="224"/>
      <c r="HP26" s="224"/>
      <c r="HQ26" s="224"/>
      <c r="HR26" s="224"/>
      <c r="HS26" s="224"/>
      <c r="HT26" s="224"/>
      <c r="HU26" s="224"/>
      <c r="HV26" s="224"/>
      <c r="HW26" s="224"/>
      <c r="HX26" s="224"/>
      <c r="HY26" s="224"/>
      <c r="HZ26" s="224"/>
      <c r="IA26" s="224"/>
      <c r="IB26" s="224"/>
      <c r="IC26" s="224"/>
      <c r="ID26" s="224"/>
      <c r="IE26" s="224"/>
      <c r="IF26" s="224"/>
      <c r="IG26" s="224"/>
      <c r="IH26" s="224"/>
      <c r="II26" s="224"/>
      <c r="IJ26" s="224"/>
      <c r="IK26" s="224"/>
      <c r="IL26" s="224"/>
      <c r="IM26" s="224"/>
      <c r="IN26" s="224"/>
      <c r="IO26" s="224"/>
      <c r="IP26" s="224"/>
      <c r="IQ26" s="224"/>
      <c r="IR26" s="224"/>
      <c r="IS26" s="224"/>
      <c r="IT26" s="224"/>
      <c r="IU26" s="224"/>
      <c r="IV26" s="224"/>
      <c r="IW26" s="224"/>
      <c r="IX26" s="224"/>
      <c r="IY26" s="224"/>
      <c r="IZ26" s="224"/>
      <c r="JA26" s="224"/>
      <c r="JB26" s="224"/>
      <c r="JC26" s="224"/>
      <c r="JD26" s="224"/>
      <c r="JE26" s="224"/>
      <c r="JF26" s="224"/>
      <c r="JG26" s="224"/>
      <c r="JH26" s="224"/>
      <c r="JI26" s="224"/>
      <c r="JJ26" s="224"/>
      <c r="JK26" s="224"/>
      <c r="JL26" s="224"/>
      <c r="JM26" s="224"/>
      <c r="JN26" s="224"/>
      <c r="JO26" s="224"/>
      <c r="JP26" s="224"/>
      <c r="JQ26" s="224"/>
      <c r="JR26" s="224"/>
      <c r="JS26" s="224"/>
      <c r="JT26" s="224"/>
      <c r="JU26" s="224"/>
      <c r="JV26" s="224"/>
      <c r="JW26" s="224"/>
      <c r="JX26" s="224"/>
      <c r="JY26" s="224"/>
      <c r="JZ26" s="224"/>
      <c r="KA26" s="224"/>
      <c r="KB26" s="224"/>
      <c r="KC26" s="224"/>
      <c r="KD26" s="224"/>
      <c r="KE26" s="224"/>
      <c r="KF26" s="224"/>
      <c r="KG26" s="224"/>
      <c r="KH26" s="224"/>
      <c r="KI26" s="224"/>
      <c r="KJ26" s="224"/>
      <c r="KK26" s="224"/>
      <c r="KL26" s="224"/>
      <c r="KM26" s="224"/>
      <c r="KN26" s="224"/>
      <c r="KO26" s="224"/>
      <c r="KP26" s="224"/>
      <c r="KQ26" s="224"/>
      <c r="KR26" s="224"/>
      <c r="KS26" s="224"/>
      <c r="KT26" s="224"/>
      <c r="KU26" s="224"/>
      <c r="KV26" s="224"/>
      <c r="KW26" s="224"/>
      <c r="KX26" s="224"/>
      <c r="KY26" s="224"/>
      <c r="KZ26" s="224"/>
      <c r="LA26" s="224"/>
      <c r="LB26" s="224"/>
      <c r="LC26" s="224"/>
      <c r="LD26" s="224"/>
      <c r="LE26" s="224"/>
      <c r="LF26" s="224"/>
      <c r="LG26" s="224"/>
      <c r="LH26" s="224"/>
      <c r="LI26" s="224"/>
      <c r="LJ26" s="224"/>
      <c r="LK26" s="224"/>
      <c r="LL26" s="224"/>
      <c r="LM26" s="224"/>
      <c r="LN26" s="224"/>
      <c r="LO26" s="224"/>
      <c r="LP26" s="224"/>
      <c r="LQ26" s="224"/>
      <c r="LR26" s="224"/>
      <c r="LS26" s="224"/>
      <c r="LT26" s="224"/>
      <c r="LU26" s="224"/>
      <c r="LV26" s="224"/>
      <c r="LW26" s="224"/>
      <c r="LX26" s="224"/>
      <c r="LY26" s="224"/>
      <c r="LZ26" s="224"/>
      <c r="MA26" s="224"/>
      <c r="MB26" s="224"/>
      <c r="MC26" s="224"/>
      <c r="MD26" s="224"/>
      <c r="ME26" s="224"/>
      <c r="MF26" s="224"/>
      <c r="MG26" s="224"/>
      <c r="MH26" s="224"/>
      <c r="MI26" s="224"/>
      <c r="MJ26" s="224"/>
      <c r="MK26" s="224"/>
      <c r="ML26" s="224"/>
      <c r="MM26" s="224"/>
      <c r="MN26" s="224"/>
      <c r="MO26" s="224"/>
      <c r="MP26" s="224"/>
      <c r="MQ26" s="224"/>
      <c r="MR26" s="224"/>
      <c r="MS26" s="224"/>
      <c r="MT26" s="224"/>
      <c r="MU26" s="224"/>
      <c r="MV26" s="224"/>
      <c r="MW26" s="224"/>
      <c r="MX26" s="224"/>
      <c r="MY26" s="224"/>
      <c r="MZ26" s="224"/>
      <c r="NA26" s="224"/>
      <c r="NB26" s="224"/>
      <c r="NC26" s="224"/>
      <c r="ND26" s="224"/>
      <c r="NE26" s="224"/>
      <c r="NF26" s="224"/>
      <c r="NG26" s="224"/>
      <c r="NH26" s="224"/>
      <c r="NI26" s="224"/>
      <c r="NJ26" s="224"/>
      <c r="NK26" s="224"/>
      <c r="NL26" s="224"/>
      <c r="NM26" s="224"/>
      <c r="NN26" s="224"/>
      <c r="NO26" s="224"/>
      <c r="NP26" s="224"/>
      <c r="NQ26" s="224"/>
      <c r="NR26" s="224"/>
      <c r="NS26" s="224"/>
      <c r="NT26" s="224"/>
      <c r="NU26" s="224"/>
      <c r="NV26" s="224"/>
      <c r="NW26" s="224"/>
      <c r="NX26" s="224"/>
      <c r="NY26" s="224"/>
      <c r="NZ26" s="224"/>
      <c r="OA26" s="224"/>
      <c r="OB26" s="224"/>
      <c r="OC26" s="224"/>
      <c r="OD26" s="224"/>
      <c r="OE26" s="224"/>
      <c r="OF26" s="224"/>
      <c r="OG26" s="224"/>
      <c r="OH26" s="224"/>
      <c r="OI26" s="224"/>
      <c r="OJ26" s="224"/>
      <c r="OK26" s="224"/>
      <c r="OL26" s="224"/>
      <c r="OM26" s="224"/>
      <c r="ON26" s="224"/>
      <c r="OO26" s="224"/>
      <c r="OP26" s="224"/>
      <c r="OQ26" s="224"/>
      <c r="OR26" s="224"/>
      <c r="OS26" s="224"/>
      <c r="OT26" s="224"/>
      <c r="OU26" s="224"/>
      <c r="OV26" s="224"/>
      <c r="OW26" s="224"/>
      <c r="OX26" s="224"/>
      <c r="OY26" s="224"/>
      <c r="OZ26" s="224"/>
      <c r="PA26" s="224"/>
    </row>
    <row r="27" spans="1:417" s="256" customFormat="1" ht="12.75" customHeight="1" x14ac:dyDescent="0.3">
      <c r="A27" s="252" t="s">
        <v>1009</v>
      </c>
      <c r="B27" s="253" t="s">
        <v>1016</v>
      </c>
      <c r="C27" s="254" t="s">
        <v>677</v>
      </c>
      <c r="D27" s="255">
        <v>101165.81</v>
      </c>
      <c r="E27" s="255"/>
      <c r="F27" s="255">
        <v>0</v>
      </c>
      <c r="G27" s="255">
        <v>0</v>
      </c>
      <c r="H27" s="255">
        <v>0</v>
      </c>
      <c r="I27" s="255"/>
      <c r="J27" s="255">
        <f t="shared" si="2"/>
        <v>101165.81</v>
      </c>
      <c r="L27" s="255">
        <v>88000</v>
      </c>
      <c r="M27" s="257">
        <v>1.1496114772727273</v>
      </c>
      <c r="N27" s="258"/>
      <c r="P27" s="258" t="s">
        <v>98</v>
      </c>
      <c r="Q27" s="259">
        <v>2832.6426799999999</v>
      </c>
      <c r="R27" s="259">
        <v>708.16066999999998</v>
      </c>
      <c r="S27" s="259">
        <v>505.82905</v>
      </c>
      <c r="T27" s="258"/>
      <c r="U27" s="258"/>
      <c r="V27" s="258"/>
      <c r="W27" s="258"/>
      <c r="X27" s="258"/>
      <c r="Y27" s="258"/>
      <c r="Z27" s="258"/>
      <c r="AA27" s="258"/>
      <c r="AB27" s="258"/>
      <c r="AC27" s="258"/>
      <c r="AD27" s="258"/>
      <c r="AE27" s="258"/>
      <c r="AF27" s="258"/>
      <c r="AG27" s="258"/>
      <c r="AH27" s="258"/>
      <c r="AI27" s="258"/>
      <c r="AJ27" s="258"/>
      <c r="AK27" s="258"/>
      <c r="AL27" s="258"/>
      <c r="AM27" s="258"/>
      <c r="AN27" s="258"/>
      <c r="AO27" s="258"/>
      <c r="AP27" s="258"/>
      <c r="AQ27" s="258"/>
      <c r="AR27" s="258"/>
      <c r="AS27" s="258"/>
      <c r="AT27" s="258"/>
      <c r="AU27" s="258"/>
      <c r="AV27" s="258"/>
      <c r="AW27" s="258"/>
      <c r="AX27" s="258"/>
      <c r="AY27" s="258"/>
      <c r="AZ27" s="258"/>
      <c r="BA27" s="258"/>
      <c r="BB27" s="258"/>
      <c r="BC27" s="258"/>
      <c r="BD27" s="258"/>
      <c r="BE27" s="258"/>
      <c r="BF27" s="258"/>
      <c r="BG27" s="258"/>
      <c r="BH27" s="258"/>
      <c r="BI27" s="258"/>
      <c r="BJ27" s="258"/>
      <c r="BK27" s="258"/>
      <c r="BL27" s="258"/>
      <c r="BM27" s="258"/>
      <c r="BN27" s="258"/>
      <c r="BO27" s="258"/>
      <c r="BP27" s="258"/>
      <c r="BQ27" s="258"/>
      <c r="BR27" s="258"/>
      <c r="BS27" s="258"/>
      <c r="BT27" s="258"/>
      <c r="BU27" s="258"/>
      <c r="BV27" s="258"/>
      <c r="BW27" s="258"/>
      <c r="BX27" s="258"/>
      <c r="BY27" s="258"/>
      <c r="BZ27" s="258"/>
      <c r="CA27" s="258"/>
      <c r="CB27" s="258"/>
      <c r="CC27" s="258"/>
      <c r="CD27" s="258"/>
      <c r="CE27" s="258"/>
      <c r="CF27" s="258"/>
      <c r="CG27" s="258"/>
      <c r="CH27" s="258"/>
      <c r="CI27" s="258"/>
      <c r="CJ27" s="258"/>
      <c r="CK27" s="258"/>
      <c r="CL27" s="258"/>
      <c r="CM27" s="258"/>
      <c r="CN27" s="258"/>
      <c r="CO27" s="258"/>
      <c r="CP27" s="258"/>
      <c r="CQ27" s="258"/>
      <c r="CR27" s="258"/>
      <c r="CS27" s="258"/>
      <c r="CT27" s="258"/>
      <c r="CU27" s="258"/>
      <c r="CV27" s="258"/>
      <c r="CW27" s="258"/>
      <c r="CX27" s="258"/>
      <c r="CY27" s="258"/>
      <c r="CZ27" s="258"/>
      <c r="DA27" s="258"/>
      <c r="DB27" s="258"/>
      <c r="DC27" s="258"/>
      <c r="DD27" s="258"/>
      <c r="DE27" s="258"/>
      <c r="DF27" s="258"/>
      <c r="DG27" s="258"/>
      <c r="DH27" s="258"/>
      <c r="DI27" s="258"/>
      <c r="DJ27" s="258"/>
      <c r="DK27" s="258"/>
      <c r="DL27" s="258"/>
      <c r="DM27" s="258"/>
      <c r="DN27" s="258"/>
      <c r="DO27" s="258"/>
      <c r="DP27" s="258"/>
      <c r="DQ27" s="258"/>
      <c r="DR27" s="258"/>
      <c r="DS27" s="258"/>
      <c r="DT27" s="258"/>
      <c r="DU27" s="258"/>
      <c r="DV27" s="258"/>
      <c r="DW27" s="258"/>
      <c r="DX27" s="258"/>
      <c r="DY27" s="258"/>
      <c r="DZ27" s="258"/>
      <c r="EA27" s="258"/>
      <c r="EB27" s="258"/>
      <c r="EC27" s="258"/>
      <c r="ED27" s="258"/>
      <c r="EE27" s="258"/>
      <c r="EF27" s="258"/>
      <c r="EG27" s="258"/>
      <c r="EH27" s="258"/>
      <c r="EI27" s="258"/>
      <c r="EJ27" s="258"/>
      <c r="EK27" s="258"/>
      <c r="EL27" s="258"/>
      <c r="EM27" s="258"/>
      <c r="EN27" s="258"/>
      <c r="EO27" s="258"/>
      <c r="EP27" s="258"/>
      <c r="EQ27" s="258"/>
      <c r="ER27" s="258"/>
      <c r="ES27" s="258"/>
      <c r="ET27" s="258"/>
      <c r="EU27" s="258"/>
      <c r="EV27" s="258"/>
      <c r="EW27" s="258"/>
      <c r="EX27" s="258"/>
      <c r="EY27" s="258"/>
      <c r="EZ27" s="258"/>
      <c r="FA27" s="258"/>
      <c r="FB27" s="258"/>
      <c r="FC27" s="258"/>
      <c r="FD27" s="258"/>
      <c r="FE27" s="258"/>
      <c r="FF27" s="258"/>
      <c r="FG27" s="258"/>
      <c r="FH27" s="258"/>
      <c r="FI27" s="258"/>
      <c r="FJ27" s="258"/>
      <c r="FK27" s="258"/>
      <c r="FL27" s="258"/>
      <c r="FM27" s="258"/>
      <c r="FN27" s="258"/>
      <c r="FO27" s="258"/>
      <c r="FP27" s="258"/>
      <c r="FQ27" s="258"/>
      <c r="FR27" s="258"/>
      <c r="FS27" s="258"/>
      <c r="FT27" s="258"/>
      <c r="FU27" s="258"/>
      <c r="FV27" s="258"/>
      <c r="FW27" s="258"/>
      <c r="FX27" s="258"/>
      <c r="FY27" s="258"/>
      <c r="FZ27" s="258"/>
      <c r="GA27" s="258"/>
      <c r="GB27" s="258"/>
      <c r="GC27" s="258"/>
      <c r="GD27" s="258"/>
      <c r="GE27" s="258"/>
      <c r="GF27" s="258"/>
      <c r="GG27" s="258"/>
      <c r="GH27" s="258"/>
      <c r="GI27" s="258"/>
      <c r="GJ27" s="258"/>
      <c r="GK27" s="258"/>
      <c r="GL27" s="258"/>
      <c r="GM27" s="258"/>
      <c r="GN27" s="258"/>
      <c r="GO27" s="258"/>
      <c r="GP27" s="258"/>
      <c r="GQ27" s="258"/>
      <c r="GR27" s="258"/>
      <c r="GS27" s="258"/>
      <c r="GT27" s="258"/>
      <c r="GU27" s="258"/>
      <c r="GV27" s="258"/>
      <c r="GW27" s="258"/>
      <c r="GX27" s="258"/>
      <c r="GY27" s="258"/>
      <c r="GZ27" s="258"/>
      <c r="HA27" s="258"/>
      <c r="HB27" s="258"/>
      <c r="HC27" s="258"/>
      <c r="HD27" s="258"/>
      <c r="HE27" s="258"/>
      <c r="HF27" s="258"/>
      <c r="HG27" s="258"/>
      <c r="HH27" s="258"/>
      <c r="HI27" s="258"/>
      <c r="HJ27" s="258"/>
      <c r="HK27" s="258"/>
      <c r="HL27" s="258"/>
      <c r="HM27" s="258"/>
      <c r="HN27" s="258"/>
      <c r="HO27" s="258"/>
      <c r="HP27" s="258"/>
      <c r="HQ27" s="258"/>
      <c r="HR27" s="258"/>
      <c r="HS27" s="258"/>
      <c r="HT27" s="258"/>
      <c r="HU27" s="258"/>
      <c r="HV27" s="258"/>
      <c r="HW27" s="258"/>
      <c r="HX27" s="258"/>
      <c r="HY27" s="258"/>
      <c r="HZ27" s="258"/>
      <c r="IA27" s="258"/>
      <c r="IB27" s="258"/>
      <c r="IC27" s="258"/>
      <c r="ID27" s="258"/>
      <c r="IE27" s="258"/>
      <c r="IF27" s="258"/>
      <c r="IG27" s="258"/>
      <c r="IH27" s="258"/>
      <c r="II27" s="258"/>
      <c r="IJ27" s="258"/>
      <c r="IK27" s="258"/>
      <c r="IL27" s="258"/>
      <c r="IM27" s="258"/>
      <c r="IN27" s="258"/>
      <c r="IO27" s="258"/>
      <c r="IP27" s="258"/>
      <c r="IQ27" s="258"/>
      <c r="IR27" s="258"/>
      <c r="IS27" s="258"/>
      <c r="IT27" s="258"/>
      <c r="IU27" s="258"/>
      <c r="IV27" s="258"/>
      <c r="IW27" s="258"/>
      <c r="IX27" s="258"/>
      <c r="IY27" s="258"/>
      <c r="IZ27" s="258"/>
      <c r="JA27" s="258"/>
      <c r="JB27" s="258"/>
      <c r="JC27" s="258"/>
      <c r="JD27" s="258"/>
      <c r="JE27" s="258"/>
      <c r="JF27" s="258"/>
      <c r="JG27" s="258"/>
      <c r="JH27" s="258"/>
      <c r="JI27" s="258"/>
      <c r="JJ27" s="258"/>
      <c r="JK27" s="258"/>
      <c r="JL27" s="258"/>
      <c r="JM27" s="258"/>
      <c r="JN27" s="258"/>
      <c r="JO27" s="258"/>
      <c r="JP27" s="258"/>
      <c r="JQ27" s="258"/>
      <c r="JR27" s="258"/>
      <c r="JS27" s="258"/>
      <c r="JT27" s="258"/>
      <c r="JU27" s="258"/>
      <c r="JV27" s="258"/>
      <c r="JW27" s="258"/>
      <c r="JX27" s="258"/>
      <c r="JY27" s="258"/>
      <c r="JZ27" s="258"/>
      <c r="KA27" s="258"/>
      <c r="KB27" s="258"/>
      <c r="KC27" s="258"/>
      <c r="KD27" s="258"/>
      <c r="KE27" s="258"/>
      <c r="KF27" s="258"/>
      <c r="KG27" s="258"/>
      <c r="KH27" s="258"/>
      <c r="KI27" s="258"/>
      <c r="KJ27" s="258"/>
      <c r="KK27" s="258"/>
      <c r="KL27" s="258"/>
      <c r="KM27" s="258"/>
      <c r="KN27" s="258"/>
      <c r="KO27" s="258"/>
      <c r="KP27" s="258"/>
      <c r="KQ27" s="258"/>
      <c r="KR27" s="258"/>
      <c r="KS27" s="258"/>
      <c r="KT27" s="258"/>
      <c r="KU27" s="258"/>
      <c r="KV27" s="258"/>
      <c r="KW27" s="258"/>
      <c r="KX27" s="258"/>
      <c r="KY27" s="258"/>
      <c r="KZ27" s="258"/>
      <c r="LA27" s="258"/>
      <c r="LB27" s="258"/>
      <c r="LC27" s="258"/>
      <c r="LD27" s="258"/>
      <c r="LE27" s="258"/>
      <c r="LF27" s="258"/>
      <c r="LG27" s="258"/>
      <c r="LH27" s="258"/>
      <c r="LI27" s="258"/>
      <c r="LJ27" s="258"/>
      <c r="LK27" s="258"/>
      <c r="LL27" s="258"/>
      <c r="LM27" s="258"/>
      <c r="LN27" s="258"/>
      <c r="LO27" s="258"/>
      <c r="LP27" s="258"/>
      <c r="LQ27" s="258"/>
      <c r="LR27" s="258"/>
      <c r="LS27" s="258"/>
      <c r="LT27" s="258"/>
      <c r="LU27" s="258"/>
      <c r="LV27" s="258"/>
      <c r="LW27" s="258"/>
      <c r="LX27" s="258"/>
      <c r="LY27" s="258"/>
      <c r="LZ27" s="258"/>
      <c r="MA27" s="258"/>
      <c r="MB27" s="258"/>
      <c r="MC27" s="258"/>
      <c r="MD27" s="258"/>
      <c r="ME27" s="258"/>
      <c r="MF27" s="258"/>
      <c r="MG27" s="258"/>
      <c r="MH27" s="258"/>
      <c r="MI27" s="258"/>
      <c r="MJ27" s="258"/>
      <c r="MK27" s="258"/>
      <c r="ML27" s="258"/>
      <c r="MM27" s="258"/>
      <c r="MN27" s="258"/>
      <c r="MO27" s="258"/>
      <c r="MP27" s="258"/>
      <c r="MQ27" s="258"/>
      <c r="MR27" s="258"/>
      <c r="MS27" s="258"/>
      <c r="MT27" s="258"/>
      <c r="MU27" s="258"/>
      <c r="MV27" s="258"/>
      <c r="MW27" s="258"/>
      <c r="MX27" s="258"/>
      <c r="MY27" s="258"/>
      <c r="MZ27" s="258"/>
      <c r="NA27" s="258"/>
      <c r="NB27" s="258"/>
      <c r="NC27" s="258"/>
      <c r="ND27" s="258"/>
      <c r="NE27" s="258"/>
      <c r="NF27" s="258"/>
      <c r="NG27" s="258"/>
      <c r="NH27" s="258"/>
      <c r="NI27" s="258"/>
      <c r="NJ27" s="258"/>
      <c r="NK27" s="258"/>
      <c r="NL27" s="258"/>
      <c r="NM27" s="258"/>
      <c r="NN27" s="258"/>
      <c r="NO27" s="258"/>
      <c r="NP27" s="258"/>
      <c r="NQ27" s="258"/>
      <c r="NR27" s="258"/>
      <c r="NS27" s="258"/>
      <c r="NT27" s="258"/>
      <c r="NU27" s="258"/>
      <c r="NV27" s="258"/>
      <c r="NW27" s="258"/>
      <c r="NX27" s="258"/>
      <c r="NY27" s="258"/>
      <c r="NZ27" s="258"/>
      <c r="OA27" s="258"/>
      <c r="OB27" s="258"/>
      <c r="OC27" s="258"/>
      <c r="OD27" s="258"/>
      <c r="OE27" s="258"/>
      <c r="OF27" s="258"/>
      <c r="OG27" s="258"/>
      <c r="OH27" s="258"/>
      <c r="OI27" s="258"/>
      <c r="OJ27" s="258"/>
      <c r="OK27" s="258"/>
      <c r="OL27" s="258"/>
      <c r="OM27" s="258"/>
      <c r="ON27" s="258"/>
      <c r="OO27" s="258"/>
      <c r="OP27" s="258"/>
      <c r="OQ27" s="258"/>
      <c r="OR27" s="258"/>
      <c r="OS27" s="258"/>
      <c r="OT27" s="258"/>
      <c r="OU27" s="258"/>
      <c r="OV27" s="258"/>
      <c r="OW27" s="258"/>
      <c r="OX27" s="258"/>
      <c r="OY27" s="258"/>
      <c r="OZ27" s="258"/>
      <c r="PA27" s="258"/>
    </row>
    <row r="28" spans="1:417" ht="12.75" customHeight="1" x14ac:dyDescent="0.3">
      <c r="A28" s="24" t="s">
        <v>1009</v>
      </c>
      <c r="B28" s="207"/>
      <c r="C28" s="208"/>
      <c r="D28" s="25">
        <v>0</v>
      </c>
      <c r="F28" s="25">
        <v>0</v>
      </c>
      <c r="G28" s="25">
        <v>0</v>
      </c>
      <c r="H28" s="25">
        <v>0</v>
      </c>
      <c r="J28" s="25">
        <f t="shared" si="2"/>
        <v>0</v>
      </c>
      <c r="L28" s="25"/>
      <c r="M28" s="26">
        <v>0</v>
      </c>
      <c r="N28"/>
      <c r="P28"/>
      <c r="Q28" s="206"/>
      <c r="R28" s="206"/>
      <c r="S28" s="206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</row>
    <row r="29" spans="1:417" ht="12.75" customHeight="1" x14ac:dyDescent="0.3">
      <c r="A29" s="24" t="s">
        <v>1009</v>
      </c>
      <c r="B29" s="207"/>
      <c r="C29" s="208"/>
      <c r="D29" s="25">
        <v>0</v>
      </c>
      <c r="F29" s="25">
        <v>0</v>
      </c>
      <c r="G29" s="25">
        <v>0</v>
      </c>
      <c r="H29" s="25">
        <v>0</v>
      </c>
      <c r="J29" s="25">
        <f t="shared" si="2"/>
        <v>0</v>
      </c>
      <c r="L29" s="25"/>
      <c r="M29" s="26">
        <v>0</v>
      </c>
      <c r="N29"/>
      <c r="P29"/>
      <c r="Q29" s="206"/>
      <c r="R29" s="206"/>
      <c r="S29" s="206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</row>
    <row r="30" spans="1:417" ht="12.75" customHeight="1" x14ac:dyDescent="0.3">
      <c r="A30" s="24" t="s">
        <v>1009</v>
      </c>
      <c r="B30" s="207"/>
      <c r="C30" s="208"/>
      <c r="D30" s="25">
        <v>0</v>
      </c>
      <c r="F30" s="25">
        <v>0</v>
      </c>
      <c r="G30" s="25">
        <v>0</v>
      </c>
      <c r="H30" s="25">
        <v>0</v>
      </c>
      <c r="J30" s="25">
        <f t="shared" si="2"/>
        <v>0</v>
      </c>
      <c r="L30" s="25"/>
      <c r="M30" s="26">
        <v>0</v>
      </c>
      <c r="N30"/>
      <c r="P30"/>
      <c r="Q30" s="206"/>
      <c r="R30" s="206"/>
      <c r="S30" s="206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</row>
    <row r="31" spans="1:417" ht="12.75" customHeight="1" x14ac:dyDescent="0.3">
      <c r="A31" s="24" t="s">
        <v>1009</v>
      </c>
      <c r="B31" s="207"/>
      <c r="C31" s="208"/>
      <c r="D31" s="25">
        <v>0</v>
      </c>
      <c r="F31" s="25">
        <v>0</v>
      </c>
      <c r="G31" s="25">
        <v>0</v>
      </c>
      <c r="H31" s="25">
        <v>0</v>
      </c>
      <c r="J31" s="25">
        <f t="shared" si="2"/>
        <v>0</v>
      </c>
      <c r="L31" s="25"/>
      <c r="M31" s="26">
        <v>0</v>
      </c>
      <c r="N31"/>
      <c r="P31"/>
      <c r="Q31" s="206"/>
      <c r="R31" s="206"/>
      <c r="S31" s="206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</row>
    <row r="32" spans="1:417" ht="12.75" customHeight="1" x14ac:dyDescent="0.3">
      <c r="A32" s="27" t="s">
        <v>8</v>
      </c>
      <c r="B32" s="28"/>
      <c r="C32" s="27"/>
      <c r="D32" s="29">
        <v>544419.84999999986</v>
      </c>
      <c r="E32" s="29">
        <v>0</v>
      </c>
      <c r="F32" s="29">
        <v>0</v>
      </c>
      <c r="G32" s="29">
        <v>199.99</v>
      </c>
      <c r="H32" s="29">
        <v>0</v>
      </c>
      <c r="I32" s="29">
        <v>0</v>
      </c>
      <c r="J32" s="29">
        <f t="shared" ref="J32" si="3">SUM(J21:J31)</f>
        <v>544619.83999999985</v>
      </c>
      <c r="L32" s="29">
        <v>528000</v>
      </c>
      <c r="P32"/>
      <c r="Q32" s="206"/>
      <c r="R32" s="206"/>
      <c r="S32" s="206"/>
    </row>
    <row r="33" spans="1:19" ht="12.75" customHeight="1" x14ac:dyDescent="0.3">
      <c r="P33"/>
      <c r="Q33" s="206"/>
      <c r="R33" s="206"/>
      <c r="S33" s="206"/>
    </row>
    <row r="34" spans="1:19" ht="12.75" customHeight="1" x14ac:dyDescent="0.3">
      <c r="P34"/>
      <c r="Q34" s="206"/>
      <c r="R34" s="206"/>
      <c r="S34" s="206"/>
    </row>
    <row r="35" spans="1:19" ht="12.75" customHeight="1" x14ac:dyDescent="0.3">
      <c r="P35"/>
      <c r="Q35" s="206"/>
      <c r="R35" s="206"/>
      <c r="S35" s="206"/>
    </row>
    <row r="36" spans="1:19" ht="12.75" customHeight="1" x14ac:dyDescent="0.3">
      <c r="P36"/>
      <c r="Q36" s="206"/>
      <c r="R36" s="206"/>
      <c r="S36" s="206"/>
    </row>
    <row r="37" spans="1:19" ht="12.75" customHeight="1" x14ac:dyDescent="0.3">
      <c r="A37" s="20" t="s">
        <v>0</v>
      </c>
      <c r="B37" s="21" t="s">
        <v>659</v>
      </c>
      <c r="C37" s="20" t="s">
        <v>660</v>
      </c>
      <c r="D37" s="21" t="s">
        <v>661</v>
      </c>
      <c r="E37" s="21" t="s">
        <v>662</v>
      </c>
      <c r="F37" s="21" t="s">
        <v>663</v>
      </c>
      <c r="G37" s="21" t="s">
        <v>664</v>
      </c>
      <c r="H37" s="21" t="s">
        <v>665</v>
      </c>
      <c r="I37" s="21" t="s">
        <v>676</v>
      </c>
      <c r="J37" s="21" t="s">
        <v>666</v>
      </c>
      <c r="L37" s="23" t="s">
        <v>667</v>
      </c>
      <c r="M37" s="23" t="s">
        <v>668</v>
      </c>
      <c r="O37" s="21" t="s">
        <v>669</v>
      </c>
      <c r="P37"/>
      <c r="Q37" s="206"/>
      <c r="R37" s="206"/>
      <c r="S37" s="206"/>
    </row>
    <row r="38" spans="1:19" ht="12.75" customHeight="1" x14ac:dyDescent="0.3">
      <c r="A38" s="24" t="s">
        <v>1017</v>
      </c>
      <c r="B38" s="207" t="s">
        <v>1018</v>
      </c>
      <c r="C38" s="208" t="s">
        <v>107</v>
      </c>
      <c r="D38" s="25">
        <v>1005.97</v>
      </c>
      <c r="F38" s="25">
        <v>0</v>
      </c>
      <c r="G38" s="25">
        <v>0</v>
      </c>
      <c r="H38" s="25">
        <v>0</v>
      </c>
      <c r="J38" s="25">
        <f t="shared" ref="J38:J48" si="4">SUM(D38:I38)</f>
        <v>1005.97</v>
      </c>
      <c r="L38" s="25"/>
      <c r="M38" s="26">
        <v>0</v>
      </c>
      <c r="O38" s="25">
        <v>165000</v>
      </c>
      <c r="P38" t="s">
        <v>1019</v>
      </c>
      <c r="Q38" s="206">
        <v>32.191040000000001</v>
      </c>
      <c r="R38" s="206">
        <v>8.0477600000000002</v>
      </c>
      <c r="S38" s="206"/>
    </row>
    <row r="39" spans="1:19" ht="12.75" customHeight="1" x14ac:dyDescent="0.3">
      <c r="A39" s="24" t="s">
        <v>1017</v>
      </c>
      <c r="B39" s="207" t="s">
        <v>1020</v>
      </c>
      <c r="C39" s="208" t="s">
        <v>109</v>
      </c>
      <c r="D39" s="25">
        <v>19406.990000000002</v>
      </c>
      <c r="F39" s="25">
        <v>0</v>
      </c>
      <c r="G39" s="25">
        <v>599.99</v>
      </c>
      <c r="H39" s="25">
        <v>0</v>
      </c>
      <c r="J39" s="25">
        <f t="shared" si="4"/>
        <v>20006.980000000003</v>
      </c>
      <c r="L39" s="25">
        <v>45375</v>
      </c>
      <c r="M39" s="26">
        <v>0.44092517906336093</v>
      </c>
      <c r="P39" t="s">
        <v>108</v>
      </c>
      <c r="Q39" s="206">
        <v>640.22336000000007</v>
      </c>
      <c r="R39" s="206">
        <v>160.05584000000002</v>
      </c>
      <c r="S39" s="206"/>
    </row>
    <row r="40" spans="1:19" ht="12.75" customHeight="1" x14ac:dyDescent="0.3">
      <c r="A40" s="24" t="s">
        <v>1017</v>
      </c>
      <c r="B40" s="207">
        <v>3</v>
      </c>
      <c r="C40" s="208" t="s">
        <v>678</v>
      </c>
      <c r="D40" s="25">
        <v>76987.600000000006</v>
      </c>
      <c r="F40" s="25">
        <v>0</v>
      </c>
      <c r="G40" s="25">
        <v>899.98</v>
      </c>
      <c r="H40" s="25">
        <v>399.99</v>
      </c>
      <c r="J40" s="25">
        <f t="shared" si="4"/>
        <v>78287.570000000007</v>
      </c>
      <c r="L40" s="25">
        <v>45375</v>
      </c>
      <c r="M40" s="26">
        <v>1.7253458953168046</v>
      </c>
      <c r="P40" s="18" t="s">
        <v>101</v>
      </c>
      <c r="Q40" s="206">
        <v>2896.6400900000008</v>
      </c>
      <c r="R40" s="206">
        <v>724.1600225000002</v>
      </c>
      <c r="S40" s="206">
        <v>391.43785000000003</v>
      </c>
    </row>
    <row r="41" spans="1:19" ht="12.75" customHeight="1" x14ac:dyDescent="0.3">
      <c r="A41" s="24" t="s">
        <v>1017</v>
      </c>
      <c r="B41" s="207" t="s">
        <v>1021</v>
      </c>
      <c r="C41" s="208" t="s">
        <v>115</v>
      </c>
      <c r="D41" s="25">
        <v>54712.71</v>
      </c>
      <c r="F41" s="25">
        <v>0</v>
      </c>
      <c r="G41" s="25">
        <v>0</v>
      </c>
      <c r="H41" s="25">
        <v>0</v>
      </c>
      <c r="J41" s="25">
        <f t="shared" si="4"/>
        <v>54712.71</v>
      </c>
      <c r="L41" s="25">
        <v>45375</v>
      </c>
      <c r="M41" s="26">
        <v>1.2057897520661156</v>
      </c>
      <c r="P41" t="s">
        <v>114</v>
      </c>
      <c r="Q41" s="206">
        <v>2024.3702700000003</v>
      </c>
      <c r="R41" s="206">
        <v>506.09256750000009</v>
      </c>
      <c r="S41" s="206">
        <v>273.56355000000002</v>
      </c>
    </row>
    <row r="42" spans="1:19" ht="12.75" customHeight="1" x14ac:dyDescent="0.3">
      <c r="A42" s="24" t="s">
        <v>1017</v>
      </c>
      <c r="B42" s="207" t="s">
        <v>1022</v>
      </c>
      <c r="C42" s="208" t="s">
        <v>1023</v>
      </c>
      <c r="D42" s="25">
        <v>18634.52</v>
      </c>
      <c r="F42" s="25">
        <v>0</v>
      </c>
      <c r="G42" s="25">
        <v>0</v>
      </c>
      <c r="H42" s="25">
        <v>0</v>
      </c>
      <c r="J42" s="25">
        <f t="shared" si="4"/>
        <v>18634.52</v>
      </c>
      <c r="L42" s="25">
        <v>45375</v>
      </c>
      <c r="M42" s="26">
        <v>0.41067812672176307</v>
      </c>
      <c r="P42" t="s">
        <v>885</v>
      </c>
      <c r="Q42" s="206">
        <v>596.30464000000006</v>
      </c>
      <c r="R42" s="206">
        <v>149.07616000000002</v>
      </c>
      <c r="S42" s="206"/>
    </row>
    <row r="43" spans="1:19" ht="12.75" customHeight="1" x14ac:dyDescent="0.3">
      <c r="A43" s="24" t="s">
        <v>1017</v>
      </c>
      <c r="B43" s="207"/>
      <c r="C43" s="208"/>
      <c r="D43" s="25">
        <v>0</v>
      </c>
      <c r="F43" s="25">
        <v>0</v>
      </c>
      <c r="G43" s="25">
        <v>0</v>
      </c>
      <c r="H43" s="25">
        <v>0</v>
      </c>
      <c r="J43" s="25">
        <f t="shared" si="4"/>
        <v>0</v>
      </c>
      <c r="L43" s="25"/>
      <c r="M43" s="26">
        <v>0</v>
      </c>
      <c r="P43"/>
      <c r="Q43" s="206"/>
      <c r="R43" s="206"/>
      <c r="S43" s="206"/>
    </row>
    <row r="44" spans="1:19" ht="12.75" customHeight="1" x14ac:dyDescent="0.3">
      <c r="A44" s="24" t="s">
        <v>1017</v>
      </c>
      <c r="B44" s="207"/>
      <c r="C44" s="208"/>
      <c r="D44" s="25">
        <v>0</v>
      </c>
      <c r="F44" s="25">
        <v>0</v>
      </c>
      <c r="G44" s="25">
        <v>0</v>
      </c>
      <c r="H44" s="25">
        <v>0</v>
      </c>
      <c r="J44" s="25">
        <f t="shared" si="4"/>
        <v>0</v>
      </c>
      <c r="L44" s="25"/>
      <c r="M44" s="26">
        <v>0</v>
      </c>
      <c r="P44"/>
      <c r="Q44" s="206"/>
      <c r="R44" s="206"/>
      <c r="S44" s="206"/>
    </row>
    <row r="45" spans="1:19" ht="12.75" customHeight="1" x14ac:dyDescent="0.3">
      <c r="A45" s="24" t="s">
        <v>1017</v>
      </c>
      <c r="B45" s="207"/>
      <c r="C45" s="208"/>
      <c r="D45" s="25">
        <v>0</v>
      </c>
      <c r="F45" s="25">
        <v>0</v>
      </c>
      <c r="G45" s="25">
        <v>0</v>
      </c>
      <c r="H45" s="25">
        <v>0</v>
      </c>
      <c r="J45" s="25">
        <f t="shared" si="4"/>
        <v>0</v>
      </c>
      <c r="L45" s="25"/>
      <c r="M45" s="26">
        <v>0</v>
      </c>
      <c r="P45"/>
      <c r="Q45" s="206"/>
      <c r="R45" s="206"/>
      <c r="S45" s="206"/>
    </row>
    <row r="46" spans="1:19" ht="12.75" customHeight="1" x14ac:dyDescent="0.3">
      <c r="A46" s="24" t="s">
        <v>1017</v>
      </c>
      <c r="B46" s="207"/>
      <c r="C46" s="208"/>
      <c r="D46" s="25">
        <v>0</v>
      </c>
      <c r="F46" s="25">
        <v>0</v>
      </c>
      <c r="G46" s="25">
        <v>0</v>
      </c>
      <c r="H46" s="25">
        <v>0</v>
      </c>
      <c r="J46" s="25">
        <f t="shared" si="4"/>
        <v>0</v>
      </c>
      <c r="L46" s="25"/>
      <c r="M46" s="26">
        <v>0</v>
      </c>
      <c r="P46"/>
      <c r="Q46" s="206"/>
      <c r="R46" s="206"/>
      <c r="S46" s="206"/>
    </row>
    <row r="47" spans="1:19" ht="12.75" customHeight="1" x14ac:dyDescent="0.3">
      <c r="A47" s="24" t="s">
        <v>1017</v>
      </c>
      <c r="B47" s="207"/>
      <c r="C47" s="208"/>
      <c r="D47" s="25">
        <v>0</v>
      </c>
      <c r="F47" s="25">
        <v>0</v>
      </c>
      <c r="G47" s="25">
        <v>0</v>
      </c>
      <c r="H47" s="25">
        <v>0</v>
      </c>
      <c r="J47" s="25">
        <f t="shared" si="4"/>
        <v>0</v>
      </c>
      <c r="L47" s="25"/>
      <c r="M47" s="26">
        <v>0</v>
      </c>
      <c r="P47"/>
      <c r="Q47" s="206"/>
      <c r="R47" s="206"/>
      <c r="S47" s="206"/>
    </row>
    <row r="48" spans="1:19" ht="12.75" customHeight="1" x14ac:dyDescent="0.3">
      <c r="A48" s="24" t="s">
        <v>1017</v>
      </c>
      <c r="B48" s="207"/>
      <c r="C48" s="208"/>
      <c r="D48" s="25">
        <v>0</v>
      </c>
      <c r="F48" s="25">
        <v>0</v>
      </c>
      <c r="G48" s="25">
        <v>0</v>
      </c>
      <c r="H48" s="25">
        <v>0</v>
      </c>
      <c r="J48" s="25">
        <f t="shared" si="4"/>
        <v>0</v>
      </c>
      <c r="L48" s="25"/>
      <c r="M48" s="26">
        <v>0</v>
      </c>
      <c r="P48"/>
      <c r="Q48" s="206"/>
      <c r="R48" s="206"/>
      <c r="S48" s="206"/>
    </row>
    <row r="49" spans="1:19" ht="12.75" customHeight="1" x14ac:dyDescent="0.3">
      <c r="A49" s="27" t="s">
        <v>8</v>
      </c>
      <c r="B49" s="28"/>
      <c r="C49" s="27"/>
      <c r="D49" s="29">
        <v>170747.79</v>
      </c>
      <c r="E49" s="29">
        <v>0</v>
      </c>
      <c r="F49" s="29">
        <v>0</v>
      </c>
      <c r="G49" s="29">
        <v>1499.97</v>
      </c>
      <c r="H49" s="29">
        <v>399.99</v>
      </c>
      <c r="I49" s="29">
        <v>0</v>
      </c>
      <c r="J49" s="29">
        <f t="shared" ref="J49" si="5">SUM(J38:J48)</f>
        <v>172647.75</v>
      </c>
      <c r="L49" s="29">
        <v>181500</v>
      </c>
      <c r="P49"/>
      <c r="Q49" s="206"/>
      <c r="R49" s="206"/>
      <c r="S49" s="206"/>
    </row>
    <row r="50" spans="1:19" ht="12.75" customHeight="1" x14ac:dyDescent="0.3">
      <c r="P50"/>
      <c r="Q50" s="206"/>
      <c r="R50" s="206"/>
      <c r="S50" s="206"/>
    </row>
    <row r="51" spans="1:19" ht="12.75" customHeight="1" x14ac:dyDescent="0.3">
      <c r="P51"/>
      <c r="Q51" s="206"/>
      <c r="R51" s="206"/>
      <c r="S51" s="206"/>
    </row>
    <row r="52" spans="1:19" ht="12.75" customHeight="1" x14ac:dyDescent="0.3">
      <c r="P52"/>
      <c r="Q52" s="206"/>
      <c r="R52" s="206"/>
      <c r="S52" s="206"/>
    </row>
    <row r="53" spans="1:19" ht="12.75" customHeight="1" x14ac:dyDescent="0.3">
      <c r="P53"/>
      <c r="Q53" s="206"/>
      <c r="R53" s="206"/>
      <c r="S53" s="206"/>
    </row>
    <row r="54" spans="1:19" ht="12.75" customHeight="1" x14ac:dyDescent="0.3">
      <c r="A54" s="20" t="s">
        <v>0</v>
      </c>
      <c r="B54" s="21" t="s">
        <v>659</v>
      </c>
      <c r="C54" s="20" t="s">
        <v>660</v>
      </c>
      <c r="D54" s="21" t="s">
        <v>661</v>
      </c>
      <c r="E54" s="21" t="s">
        <v>662</v>
      </c>
      <c r="F54" s="21" t="s">
        <v>663</v>
      </c>
      <c r="G54" s="21" t="s">
        <v>664</v>
      </c>
      <c r="H54" s="21" t="s">
        <v>665</v>
      </c>
      <c r="I54" s="21" t="s">
        <v>676</v>
      </c>
      <c r="J54" s="21" t="s">
        <v>666</v>
      </c>
      <c r="L54" s="23" t="s">
        <v>667</v>
      </c>
      <c r="M54" s="23" t="s">
        <v>668</v>
      </c>
      <c r="O54" s="21" t="s">
        <v>669</v>
      </c>
      <c r="P54"/>
      <c r="Q54" s="206"/>
      <c r="R54" s="206"/>
      <c r="S54" s="206"/>
    </row>
    <row r="55" spans="1:19" ht="12.75" customHeight="1" x14ac:dyDescent="0.3">
      <c r="A55" s="24" t="s">
        <v>1014</v>
      </c>
      <c r="B55" s="207" t="s">
        <v>1024</v>
      </c>
      <c r="C55" s="208" t="s">
        <v>679</v>
      </c>
      <c r="D55" s="25">
        <v>41294.080000000002</v>
      </c>
      <c r="F55" s="25">
        <v>0</v>
      </c>
      <c r="G55" s="25">
        <v>449.99</v>
      </c>
      <c r="H55" s="25">
        <v>0</v>
      </c>
      <c r="J55" s="25">
        <f t="shared" ref="J55:J65" si="6">SUM(D55:I55)</f>
        <v>41744.07</v>
      </c>
      <c r="L55" s="25">
        <v>68750</v>
      </c>
      <c r="M55" s="26">
        <v>0.60718647272727277</v>
      </c>
      <c r="O55" s="25">
        <v>250000</v>
      </c>
      <c r="P55" t="s">
        <v>120</v>
      </c>
      <c r="Q55" s="206">
        <v>1335.81024</v>
      </c>
      <c r="R55" s="206">
        <v>333.95256000000001</v>
      </c>
      <c r="S55" s="206"/>
    </row>
    <row r="56" spans="1:19" ht="12.75" customHeight="1" x14ac:dyDescent="0.3">
      <c r="A56" s="24" t="s">
        <v>1014</v>
      </c>
      <c r="B56" s="207" t="s">
        <v>1025</v>
      </c>
      <c r="C56" s="208" t="s">
        <v>680</v>
      </c>
      <c r="D56" s="25">
        <v>410.98</v>
      </c>
      <c r="F56" s="25">
        <v>0</v>
      </c>
      <c r="G56" s="25">
        <v>0</v>
      </c>
      <c r="H56" s="25">
        <v>0</v>
      </c>
      <c r="J56" s="25">
        <f t="shared" si="6"/>
        <v>410.98</v>
      </c>
      <c r="L56" s="25"/>
      <c r="M56" s="26">
        <v>0</v>
      </c>
      <c r="P56" t="s">
        <v>129</v>
      </c>
      <c r="Q56" s="206">
        <v>13.15136</v>
      </c>
      <c r="R56" s="206">
        <v>3.2878400000000001</v>
      </c>
      <c r="S56" s="206"/>
    </row>
    <row r="57" spans="1:19" ht="12.75" customHeight="1" x14ac:dyDescent="0.3">
      <c r="A57" s="24" t="s">
        <v>1014</v>
      </c>
      <c r="B57" s="207" t="s">
        <v>1026</v>
      </c>
      <c r="C57" s="208" t="s">
        <v>133</v>
      </c>
      <c r="D57" s="25">
        <v>77406.52</v>
      </c>
      <c r="F57" s="25">
        <v>0</v>
      </c>
      <c r="G57" s="25">
        <v>0</v>
      </c>
      <c r="H57" s="25">
        <v>0</v>
      </c>
      <c r="J57" s="25">
        <f t="shared" si="6"/>
        <v>77406.52</v>
      </c>
      <c r="L57" s="25">
        <v>68750</v>
      </c>
      <c r="M57" s="26">
        <v>1.1259130181818182</v>
      </c>
      <c r="P57" t="s">
        <v>132</v>
      </c>
      <c r="Q57" s="206">
        <v>2477.00864</v>
      </c>
      <c r="R57" s="206">
        <v>619.25216</v>
      </c>
      <c r="S57" s="206">
        <v>387.0326</v>
      </c>
    </row>
    <row r="58" spans="1:19" ht="12.75" customHeight="1" x14ac:dyDescent="0.3">
      <c r="A58" s="24" t="s">
        <v>1014</v>
      </c>
      <c r="B58" s="209" t="s">
        <v>1027</v>
      </c>
      <c r="C58" s="208" t="s">
        <v>136</v>
      </c>
      <c r="D58" s="25">
        <v>57379.12</v>
      </c>
      <c r="F58" s="25">
        <v>0</v>
      </c>
      <c r="G58" s="25">
        <v>0</v>
      </c>
      <c r="H58" s="25">
        <v>0</v>
      </c>
      <c r="J58" s="25">
        <f t="shared" si="6"/>
        <v>57379.12</v>
      </c>
      <c r="L58" s="25">
        <v>68750</v>
      </c>
      <c r="M58" s="26">
        <v>0.83460538181818189</v>
      </c>
      <c r="P58" t="s">
        <v>135</v>
      </c>
      <c r="Q58" s="206">
        <v>1836.13184</v>
      </c>
      <c r="R58" s="206">
        <v>459.03296</v>
      </c>
      <c r="S58" s="206"/>
    </row>
    <row r="59" spans="1:19" ht="12.75" customHeight="1" x14ac:dyDescent="0.3">
      <c r="A59" s="24" t="s">
        <v>1014</v>
      </c>
      <c r="B59" s="207" t="s">
        <v>1014</v>
      </c>
      <c r="C59" s="208" t="s">
        <v>681</v>
      </c>
      <c r="D59" s="25">
        <v>104661.99</v>
      </c>
      <c r="F59" s="25">
        <v>0</v>
      </c>
      <c r="G59" s="25">
        <v>0</v>
      </c>
      <c r="H59" s="25">
        <v>1629.97</v>
      </c>
      <c r="J59" s="25">
        <f t="shared" si="6"/>
        <v>106291.96</v>
      </c>
      <c r="L59" s="25">
        <v>68750</v>
      </c>
      <c r="M59" s="26">
        <v>1.5460648727272728</v>
      </c>
      <c r="P59" s="18" t="s">
        <v>117</v>
      </c>
      <c r="Q59" s="206">
        <v>3401.3427200000001</v>
      </c>
      <c r="R59" s="206">
        <v>850.33568000000002</v>
      </c>
      <c r="S59" s="206">
        <v>531.45980000000009</v>
      </c>
    </row>
    <row r="60" spans="1:19" ht="12.75" customHeight="1" x14ac:dyDescent="0.3">
      <c r="A60" s="24" t="s">
        <v>1014</v>
      </c>
      <c r="B60" s="207"/>
      <c r="C60" s="208"/>
      <c r="D60" s="25">
        <v>0</v>
      </c>
      <c r="F60" s="25">
        <v>0</v>
      </c>
      <c r="G60" s="25">
        <v>0</v>
      </c>
      <c r="H60" s="25">
        <v>0</v>
      </c>
      <c r="J60" s="25">
        <f t="shared" si="6"/>
        <v>0</v>
      </c>
      <c r="L60" s="25"/>
      <c r="M60" s="26">
        <v>0</v>
      </c>
      <c r="P60"/>
      <c r="Q60" s="206"/>
      <c r="R60" s="206"/>
      <c r="S60" s="206"/>
    </row>
    <row r="61" spans="1:19" ht="12.75" customHeight="1" x14ac:dyDescent="0.3">
      <c r="A61" s="24" t="s">
        <v>1014</v>
      </c>
      <c r="B61" s="207"/>
      <c r="C61" s="208"/>
      <c r="D61" s="25">
        <v>0</v>
      </c>
      <c r="F61" s="25">
        <v>0</v>
      </c>
      <c r="G61" s="25">
        <v>0</v>
      </c>
      <c r="H61" s="25">
        <v>0</v>
      </c>
      <c r="J61" s="25">
        <f t="shared" si="6"/>
        <v>0</v>
      </c>
      <c r="L61" s="25"/>
      <c r="M61" s="26">
        <v>0</v>
      </c>
      <c r="P61"/>
      <c r="Q61" s="206"/>
      <c r="R61" s="206"/>
      <c r="S61" s="206"/>
    </row>
    <row r="62" spans="1:19" ht="12.75" customHeight="1" x14ac:dyDescent="0.3">
      <c r="A62" s="24" t="s">
        <v>1014</v>
      </c>
      <c r="B62" s="207"/>
      <c r="C62" s="208"/>
      <c r="D62" s="25">
        <v>0</v>
      </c>
      <c r="F62" s="25">
        <v>0</v>
      </c>
      <c r="G62" s="25">
        <v>0</v>
      </c>
      <c r="H62" s="25">
        <v>0</v>
      </c>
      <c r="J62" s="25">
        <f t="shared" si="6"/>
        <v>0</v>
      </c>
      <c r="L62" s="25"/>
      <c r="M62" s="26">
        <v>0</v>
      </c>
      <c r="P62"/>
      <c r="Q62" s="206"/>
      <c r="R62" s="206"/>
      <c r="S62" s="206"/>
    </row>
    <row r="63" spans="1:19" ht="12.75" customHeight="1" x14ac:dyDescent="0.3">
      <c r="A63" s="24" t="s">
        <v>1014</v>
      </c>
      <c r="B63" s="207"/>
      <c r="C63" s="208"/>
      <c r="D63" s="25">
        <v>0</v>
      </c>
      <c r="F63" s="25">
        <v>0</v>
      </c>
      <c r="G63" s="25">
        <v>0</v>
      </c>
      <c r="H63" s="25">
        <v>0</v>
      </c>
      <c r="J63" s="25">
        <f t="shared" si="6"/>
        <v>0</v>
      </c>
      <c r="L63" s="25"/>
      <c r="M63" s="26">
        <v>0</v>
      </c>
      <c r="P63"/>
      <c r="Q63" s="206"/>
      <c r="R63" s="206"/>
      <c r="S63" s="206"/>
    </row>
    <row r="64" spans="1:19" ht="12.75" customHeight="1" x14ac:dyDescent="0.3">
      <c r="A64" s="24" t="s">
        <v>1014</v>
      </c>
      <c r="B64" s="207"/>
      <c r="C64" s="208"/>
      <c r="D64" s="25">
        <v>0</v>
      </c>
      <c r="F64" s="25">
        <v>0</v>
      </c>
      <c r="G64" s="25">
        <v>0</v>
      </c>
      <c r="H64" s="25">
        <v>0</v>
      </c>
      <c r="J64" s="25">
        <f t="shared" si="6"/>
        <v>0</v>
      </c>
      <c r="L64" s="25"/>
      <c r="M64" s="26">
        <v>0</v>
      </c>
      <c r="P64"/>
      <c r="Q64" s="206"/>
      <c r="R64" s="206"/>
      <c r="S64" s="206"/>
    </row>
    <row r="65" spans="1:19" ht="12.75" customHeight="1" x14ac:dyDescent="0.3">
      <c r="A65" s="24" t="s">
        <v>1014</v>
      </c>
      <c r="B65" s="207"/>
      <c r="C65" s="208"/>
      <c r="D65" s="25">
        <v>0</v>
      </c>
      <c r="F65" s="25">
        <v>0</v>
      </c>
      <c r="G65" s="25">
        <v>0</v>
      </c>
      <c r="H65" s="25">
        <v>0</v>
      </c>
      <c r="J65" s="25">
        <f t="shared" si="6"/>
        <v>0</v>
      </c>
      <c r="L65" s="25"/>
      <c r="M65" s="26">
        <v>0</v>
      </c>
      <c r="P65"/>
      <c r="Q65" s="206"/>
      <c r="R65" s="206"/>
      <c r="S65" s="206"/>
    </row>
    <row r="66" spans="1:19" ht="12.75" customHeight="1" x14ac:dyDescent="0.3">
      <c r="A66" s="27" t="s">
        <v>8</v>
      </c>
      <c r="B66" s="28"/>
      <c r="C66" s="27"/>
      <c r="D66" s="29">
        <v>281152.69</v>
      </c>
      <c r="E66" s="29">
        <v>0</v>
      </c>
      <c r="F66" s="29">
        <v>0</v>
      </c>
      <c r="G66" s="29">
        <v>449.99</v>
      </c>
      <c r="H66" s="29">
        <v>1629.97</v>
      </c>
      <c r="I66" s="29">
        <v>0</v>
      </c>
      <c r="J66" s="29">
        <f t="shared" ref="J66" si="7">SUM(J55:J65)</f>
        <v>283232.65000000002</v>
      </c>
      <c r="L66" s="29">
        <v>275000</v>
      </c>
      <c r="P66"/>
      <c r="Q66" s="206"/>
      <c r="R66" s="206"/>
      <c r="S66" s="206"/>
    </row>
    <row r="67" spans="1:19" ht="12.75" customHeight="1" x14ac:dyDescent="0.3">
      <c r="P67"/>
      <c r="Q67" s="206"/>
      <c r="R67" s="206"/>
      <c r="S67" s="206"/>
    </row>
    <row r="68" spans="1:19" ht="12.75" customHeight="1" x14ac:dyDescent="0.3">
      <c r="P68"/>
      <c r="Q68" s="206"/>
      <c r="R68" s="206"/>
      <c r="S68" s="206"/>
    </row>
    <row r="69" spans="1:19" ht="12.75" customHeight="1" x14ac:dyDescent="0.3">
      <c r="P69"/>
      <c r="Q69" s="206"/>
      <c r="R69" s="206"/>
      <c r="S69" s="206"/>
    </row>
    <row r="70" spans="1:19" ht="12.75" customHeight="1" x14ac:dyDescent="0.3">
      <c r="A70" s="20" t="s">
        <v>0</v>
      </c>
      <c r="B70" s="21" t="s">
        <v>659</v>
      </c>
      <c r="C70" s="20" t="s">
        <v>660</v>
      </c>
      <c r="D70" s="21" t="s">
        <v>661</v>
      </c>
      <c r="E70" s="21" t="s">
        <v>662</v>
      </c>
      <c r="F70" s="21" t="s">
        <v>663</v>
      </c>
      <c r="G70" s="21" t="s">
        <v>664</v>
      </c>
      <c r="H70" s="21" t="s">
        <v>665</v>
      </c>
      <c r="I70" s="21" t="s">
        <v>676</v>
      </c>
      <c r="J70" s="21" t="s">
        <v>666</v>
      </c>
      <c r="L70" s="23" t="s">
        <v>667</v>
      </c>
      <c r="M70" s="23" t="s">
        <v>668</v>
      </c>
      <c r="O70" s="21" t="s">
        <v>669</v>
      </c>
      <c r="P70"/>
      <c r="Q70" s="206"/>
      <c r="R70" s="206"/>
      <c r="S70" s="206"/>
    </row>
    <row r="71" spans="1:19" ht="12.75" customHeight="1" x14ac:dyDescent="0.3">
      <c r="A71" s="24" t="s">
        <v>1028</v>
      </c>
      <c r="B71" s="207" t="s">
        <v>1029</v>
      </c>
      <c r="C71" s="208" t="s">
        <v>682</v>
      </c>
      <c r="D71" s="25">
        <v>107200.11</v>
      </c>
      <c r="F71" s="25">
        <v>0</v>
      </c>
      <c r="G71" s="25">
        <v>1049.98</v>
      </c>
      <c r="H71" s="25">
        <v>299.99</v>
      </c>
      <c r="J71" s="25">
        <f t="shared" ref="J71:J81" si="8">SUM(D71:I71)</f>
        <v>108550.08</v>
      </c>
      <c r="L71" s="25">
        <v>96250</v>
      </c>
      <c r="M71" s="26">
        <v>1.1277930389610389</v>
      </c>
      <c r="O71" s="25">
        <v>350000</v>
      </c>
      <c r="P71" t="s">
        <v>144</v>
      </c>
      <c r="Q71" s="206">
        <v>3473.6025600000003</v>
      </c>
      <c r="R71" s="206">
        <v>868.40064000000007</v>
      </c>
      <c r="S71" s="206">
        <v>542.75040000000001</v>
      </c>
    </row>
    <row r="72" spans="1:19" ht="12.75" customHeight="1" x14ac:dyDescent="0.3">
      <c r="A72" s="24" t="s">
        <v>1028</v>
      </c>
      <c r="B72" s="207" t="s">
        <v>1030</v>
      </c>
      <c r="C72" s="208" t="s">
        <v>683</v>
      </c>
      <c r="D72" s="25">
        <v>95180.02</v>
      </c>
      <c r="F72" s="25">
        <v>0</v>
      </c>
      <c r="G72" s="25">
        <v>1099.97</v>
      </c>
      <c r="H72" s="25">
        <v>1099.99</v>
      </c>
      <c r="J72" s="25">
        <f t="shared" si="8"/>
        <v>97379.98000000001</v>
      </c>
      <c r="L72" s="25">
        <v>96250</v>
      </c>
      <c r="M72" s="26">
        <v>1.0117400519480522</v>
      </c>
      <c r="P72" t="s">
        <v>147</v>
      </c>
      <c r="Q72" s="206">
        <v>3116.1593600000006</v>
      </c>
      <c r="R72" s="206">
        <v>779.03984000000014</v>
      </c>
      <c r="S72" s="206">
        <v>486.89990000000006</v>
      </c>
    </row>
    <row r="73" spans="1:19" ht="12.75" customHeight="1" x14ac:dyDescent="0.3">
      <c r="A73" s="24" t="s">
        <v>1028</v>
      </c>
      <c r="B73" s="207" t="s">
        <v>1031</v>
      </c>
      <c r="C73" s="208" t="s">
        <v>684</v>
      </c>
      <c r="D73" s="25">
        <v>100217.62</v>
      </c>
      <c r="F73" s="25">
        <v>0</v>
      </c>
      <c r="G73" s="25">
        <v>679.98</v>
      </c>
      <c r="H73" s="25">
        <v>529.97</v>
      </c>
      <c r="J73" s="25">
        <f t="shared" si="8"/>
        <v>101427.56999999999</v>
      </c>
      <c r="L73" s="25">
        <v>96250</v>
      </c>
      <c r="M73" s="26">
        <v>1.0537929350649349</v>
      </c>
      <c r="P73" t="s">
        <v>150</v>
      </c>
      <c r="Q73" s="206">
        <v>3245.6822399999996</v>
      </c>
      <c r="R73" s="206">
        <v>811.42055999999991</v>
      </c>
      <c r="S73" s="206">
        <v>507.13784999999996</v>
      </c>
    </row>
    <row r="74" spans="1:19" ht="12.75" customHeight="1" x14ac:dyDescent="0.3">
      <c r="A74" s="24" t="s">
        <v>1028</v>
      </c>
      <c r="B74" s="207" t="s">
        <v>1032</v>
      </c>
      <c r="C74" s="208" t="s">
        <v>685</v>
      </c>
      <c r="D74" s="25">
        <v>8612.2099999999991</v>
      </c>
      <c r="F74" s="25">
        <v>0</v>
      </c>
      <c r="G74" s="25">
        <v>999.99</v>
      </c>
      <c r="H74" s="25">
        <v>0</v>
      </c>
      <c r="J74" s="25">
        <f t="shared" si="8"/>
        <v>9612.1999999999989</v>
      </c>
      <c r="L74" s="25"/>
      <c r="M74" s="26">
        <v>0</v>
      </c>
      <c r="P74" t="s">
        <v>153</v>
      </c>
      <c r="Q74" s="206">
        <v>307.59039999999999</v>
      </c>
      <c r="R74" s="206">
        <v>76.897599999999997</v>
      </c>
      <c r="S74" s="206"/>
    </row>
    <row r="75" spans="1:19" ht="12.75" customHeight="1" x14ac:dyDescent="0.3">
      <c r="A75" s="24" t="s">
        <v>1028</v>
      </c>
      <c r="B75" s="207" t="s">
        <v>1033</v>
      </c>
      <c r="C75" s="208" t="s">
        <v>160</v>
      </c>
      <c r="D75" s="25">
        <v>82799.16</v>
      </c>
      <c r="F75" s="25">
        <v>0</v>
      </c>
      <c r="G75" s="25">
        <v>0</v>
      </c>
      <c r="H75" s="25">
        <v>399.99</v>
      </c>
      <c r="J75" s="25">
        <f t="shared" si="8"/>
        <v>83199.150000000009</v>
      </c>
      <c r="L75" s="25">
        <v>96250</v>
      </c>
      <c r="M75" s="26">
        <v>0.86440675324675331</v>
      </c>
      <c r="P75" t="s">
        <v>159</v>
      </c>
      <c r="Q75" s="206">
        <v>2662.3728000000006</v>
      </c>
      <c r="R75" s="206">
        <v>665.59320000000014</v>
      </c>
      <c r="S75" s="206"/>
    </row>
    <row r="76" spans="1:19" ht="12.75" customHeight="1" x14ac:dyDescent="0.3">
      <c r="A76" s="24" t="s">
        <v>1028</v>
      </c>
      <c r="B76" s="207"/>
      <c r="C76" s="208"/>
      <c r="D76" s="25">
        <v>0</v>
      </c>
      <c r="F76" s="25">
        <v>0</v>
      </c>
      <c r="G76" s="25">
        <v>0</v>
      </c>
      <c r="H76" s="25">
        <v>0</v>
      </c>
      <c r="J76" s="25">
        <f t="shared" si="8"/>
        <v>0</v>
      </c>
      <c r="L76" s="25"/>
      <c r="M76" s="26">
        <v>0</v>
      </c>
      <c r="P76"/>
      <c r="Q76" s="206"/>
      <c r="R76" s="206"/>
      <c r="S76" s="206"/>
    </row>
    <row r="77" spans="1:19" ht="12.75" customHeight="1" x14ac:dyDescent="0.3">
      <c r="A77" s="24" t="s">
        <v>1028</v>
      </c>
      <c r="B77" s="207"/>
      <c r="C77" s="208"/>
      <c r="D77" s="25">
        <v>0</v>
      </c>
      <c r="F77" s="25">
        <v>0</v>
      </c>
      <c r="G77" s="25">
        <v>0</v>
      </c>
      <c r="H77" s="25">
        <v>0</v>
      </c>
      <c r="J77" s="25">
        <f t="shared" si="8"/>
        <v>0</v>
      </c>
      <c r="L77" s="25"/>
      <c r="M77" s="26">
        <v>0</v>
      </c>
      <c r="P77"/>
      <c r="Q77" s="206"/>
      <c r="R77" s="206"/>
      <c r="S77" s="206"/>
    </row>
    <row r="78" spans="1:19" ht="12.75" customHeight="1" x14ac:dyDescent="0.3">
      <c r="A78" s="24" t="s">
        <v>1028</v>
      </c>
      <c r="B78" s="207"/>
      <c r="C78" s="208"/>
      <c r="D78" s="25">
        <v>0</v>
      </c>
      <c r="F78" s="25">
        <v>0</v>
      </c>
      <c r="G78" s="25">
        <v>0</v>
      </c>
      <c r="H78" s="25">
        <v>0</v>
      </c>
      <c r="J78" s="25">
        <f t="shared" si="8"/>
        <v>0</v>
      </c>
      <c r="L78" s="25"/>
      <c r="M78" s="26">
        <v>0</v>
      </c>
      <c r="P78"/>
      <c r="Q78" s="206"/>
      <c r="R78" s="206"/>
      <c r="S78" s="206"/>
    </row>
    <row r="79" spans="1:19" ht="12.75" customHeight="1" x14ac:dyDescent="0.3">
      <c r="A79" s="24" t="s">
        <v>1028</v>
      </c>
      <c r="B79" s="207"/>
      <c r="C79" s="208"/>
      <c r="D79" s="25">
        <v>0</v>
      </c>
      <c r="F79" s="25">
        <v>0</v>
      </c>
      <c r="G79" s="25">
        <v>0</v>
      </c>
      <c r="H79" s="25">
        <v>0</v>
      </c>
      <c r="J79" s="25">
        <f t="shared" si="8"/>
        <v>0</v>
      </c>
      <c r="L79" s="25"/>
      <c r="M79" s="26">
        <v>0</v>
      </c>
      <c r="P79"/>
      <c r="Q79" s="206"/>
      <c r="R79" s="206"/>
      <c r="S79" s="206"/>
    </row>
    <row r="80" spans="1:19" ht="12.75" customHeight="1" x14ac:dyDescent="0.3">
      <c r="A80" s="24" t="s">
        <v>1028</v>
      </c>
      <c r="B80" s="207"/>
      <c r="C80" s="208"/>
      <c r="D80" s="25">
        <v>0</v>
      </c>
      <c r="F80" s="25">
        <v>0</v>
      </c>
      <c r="G80" s="25">
        <v>0</v>
      </c>
      <c r="H80" s="25">
        <v>0</v>
      </c>
      <c r="J80" s="25">
        <f t="shared" si="8"/>
        <v>0</v>
      </c>
      <c r="L80" s="25"/>
      <c r="M80" s="26">
        <v>0</v>
      </c>
      <c r="P80"/>
      <c r="Q80" s="206"/>
      <c r="R80" s="206"/>
      <c r="S80" s="206"/>
    </row>
    <row r="81" spans="1:19" ht="12.75" customHeight="1" x14ac:dyDescent="0.3">
      <c r="A81" s="24" t="s">
        <v>1028</v>
      </c>
      <c r="B81" s="207"/>
      <c r="C81" s="208"/>
      <c r="D81" s="25">
        <v>0</v>
      </c>
      <c r="F81" s="25">
        <v>0</v>
      </c>
      <c r="G81" s="25">
        <v>0</v>
      </c>
      <c r="H81" s="25">
        <v>0</v>
      </c>
      <c r="J81" s="25">
        <f t="shared" si="8"/>
        <v>0</v>
      </c>
      <c r="L81" s="25"/>
      <c r="M81" s="26">
        <v>0</v>
      </c>
      <c r="P81"/>
      <c r="Q81" s="206"/>
      <c r="R81" s="206"/>
      <c r="S81" s="206"/>
    </row>
    <row r="82" spans="1:19" ht="12.75" customHeight="1" x14ac:dyDescent="0.3">
      <c r="A82" s="27" t="s">
        <v>8</v>
      </c>
      <c r="B82" s="28"/>
      <c r="C82" s="27"/>
      <c r="D82" s="29">
        <v>394009.12</v>
      </c>
      <c r="E82" s="29">
        <v>0</v>
      </c>
      <c r="F82" s="29">
        <v>0</v>
      </c>
      <c r="G82" s="29">
        <v>3829.92</v>
      </c>
      <c r="H82" s="29">
        <v>2329.94</v>
      </c>
      <c r="I82" s="29">
        <v>0</v>
      </c>
      <c r="J82" s="29">
        <f t="shared" ref="J82" si="9">SUM(J71:J81)</f>
        <v>400168.98000000004</v>
      </c>
      <c r="L82" s="29">
        <v>385000</v>
      </c>
      <c r="P82"/>
      <c r="Q82" s="206"/>
      <c r="R82" s="206"/>
      <c r="S82" s="206"/>
    </row>
    <row r="83" spans="1:19" ht="12.75" customHeight="1" x14ac:dyDescent="0.3">
      <c r="P83"/>
      <c r="Q83" s="206"/>
      <c r="R83" s="206"/>
      <c r="S83" s="206"/>
    </row>
    <row r="84" spans="1:19" ht="12.75" customHeight="1" x14ac:dyDescent="0.3">
      <c r="P84"/>
      <c r="Q84" s="206"/>
      <c r="R84" s="206"/>
      <c r="S84" s="206"/>
    </row>
    <row r="85" spans="1:19" ht="12.75" customHeight="1" x14ac:dyDescent="0.3">
      <c r="P85"/>
      <c r="Q85" s="206"/>
      <c r="R85" s="206"/>
      <c r="S85" s="206"/>
    </row>
    <row r="86" spans="1:19" ht="12.75" customHeight="1" x14ac:dyDescent="0.3">
      <c r="P86"/>
      <c r="Q86" s="206"/>
      <c r="R86" s="206"/>
      <c r="S86" s="206"/>
    </row>
    <row r="87" spans="1:19" ht="12.75" customHeight="1" x14ac:dyDescent="0.3">
      <c r="A87" s="20" t="s">
        <v>0</v>
      </c>
      <c r="B87" s="21" t="s">
        <v>659</v>
      </c>
      <c r="C87" s="20" t="s">
        <v>660</v>
      </c>
      <c r="D87" s="21" t="s">
        <v>661</v>
      </c>
      <c r="E87" s="21" t="s">
        <v>662</v>
      </c>
      <c r="F87" s="21" t="s">
        <v>663</v>
      </c>
      <c r="G87" s="21" t="s">
        <v>664</v>
      </c>
      <c r="H87" s="21" t="s">
        <v>665</v>
      </c>
      <c r="I87" s="21" t="s">
        <v>676</v>
      </c>
      <c r="J87" s="21" t="s">
        <v>666</v>
      </c>
      <c r="L87" s="23" t="s">
        <v>667</v>
      </c>
      <c r="M87" s="23" t="s">
        <v>668</v>
      </c>
      <c r="O87" s="21" t="s">
        <v>669</v>
      </c>
      <c r="P87"/>
      <c r="Q87" s="206"/>
      <c r="R87" s="206"/>
      <c r="S87" s="206"/>
    </row>
    <row r="88" spans="1:19" ht="12.75" customHeight="1" x14ac:dyDescent="0.3">
      <c r="A88" s="24" t="s">
        <v>1034</v>
      </c>
      <c r="B88" s="207" t="s">
        <v>1035</v>
      </c>
      <c r="C88" s="208" t="s">
        <v>169</v>
      </c>
      <c r="D88" s="25">
        <v>66752.41</v>
      </c>
      <c r="F88" s="25">
        <v>0</v>
      </c>
      <c r="G88" s="25">
        <v>0</v>
      </c>
      <c r="H88" s="25">
        <v>0</v>
      </c>
      <c r="J88" s="25">
        <f t="shared" ref="J88:J98" si="10">SUM(D88:I88)</f>
        <v>66752.41</v>
      </c>
      <c r="L88" s="25">
        <v>82500</v>
      </c>
      <c r="M88" s="26">
        <v>0.80912012121212129</v>
      </c>
      <c r="O88" s="25">
        <v>295000</v>
      </c>
      <c r="P88" t="s">
        <v>168</v>
      </c>
      <c r="Q88" s="206">
        <v>1335.0482000000002</v>
      </c>
      <c r="R88" s="206">
        <v>333.76205000000004</v>
      </c>
      <c r="S88" s="206"/>
    </row>
    <row r="89" spans="1:19" ht="12.75" customHeight="1" x14ac:dyDescent="0.3">
      <c r="A89" s="24" t="s">
        <v>1034</v>
      </c>
      <c r="B89" s="207" t="s">
        <v>1036</v>
      </c>
      <c r="C89" s="208" t="s">
        <v>179</v>
      </c>
      <c r="D89" s="25">
        <v>74696.86</v>
      </c>
      <c r="F89" s="25">
        <v>0</v>
      </c>
      <c r="G89" s="25">
        <v>0</v>
      </c>
      <c r="H89" s="25">
        <v>0</v>
      </c>
      <c r="J89" s="25">
        <f t="shared" si="10"/>
        <v>74696.86</v>
      </c>
      <c r="L89" s="25">
        <v>82500</v>
      </c>
      <c r="M89" s="26">
        <v>0.9054164848484848</v>
      </c>
      <c r="P89" t="s">
        <v>178</v>
      </c>
      <c r="Q89" s="206">
        <v>1493.9372000000001</v>
      </c>
      <c r="R89" s="206">
        <v>373.48430000000002</v>
      </c>
      <c r="S89" s="206"/>
    </row>
    <row r="90" spans="1:19" ht="12.75" customHeight="1" x14ac:dyDescent="0.3">
      <c r="A90" s="24" t="s">
        <v>1034</v>
      </c>
      <c r="B90" s="207" t="s">
        <v>1037</v>
      </c>
      <c r="C90" s="208" t="s">
        <v>166</v>
      </c>
      <c r="D90" s="25">
        <v>1913.79</v>
      </c>
      <c r="F90" s="25">
        <v>0</v>
      </c>
      <c r="G90" s="25">
        <v>0</v>
      </c>
      <c r="H90" s="25">
        <v>0</v>
      </c>
      <c r="J90" s="25">
        <f t="shared" si="10"/>
        <v>1913.79</v>
      </c>
      <c r="L90" s="25"/>
      <c r="M90" s="26">
        <v>0</v>
      </c>
      <c r="P90" t="s">
        <v>165</v>
      </c>
      <c r="Q90" s="206">
        <v>38.275799999999997</v>
      </c>
      <c r="R90" s="206">
        <v>9.5689499999999992</v>
      </c>
      <c r="S90" s="206"/>
    </row>
    <row r="91" spans="1:19" ht="12.75" customHeight="1" x14ac:dyDescent="0.3">
      <c r="A91" s="24" t="s">
        <v>1034</v>
      </c>
      <c r="B91" s="207" t="s">
        <v>1038</v>
      </c>
      <c r="C91" s="208" t="s">
        <v>176</v>
      </c>
      <c r="D91" s="25">
        <v>62853.68</v>
      </c>
      <c r="F91" s="25">
        <v>0</v>
      </c>
      <c r="G91" s="25">
        <v>0</v>
      </c>
      <c r="H91" s="25">
        <v>0</v>
      </c>
      <c r="J91" s="25">
        <f t="shared" si="10"/>
        <v>62853.68</v>
      </c>
      <c r="L91" s="25">
        <v>82500</v>
      </c>
      <c r="M91" s="26">
        <v>0.76186278787878792</v>
      </c>
      <c r="P91" t="s">
        <v>175</v>
      </c>
      <c r="Q91" s="206">
        <v>1257.0735999999999</v>
      </c>
      <c r="R91" s="206">
        <v>314.26839999999999</v>
      </c>
      <c r="S91" s="206"/>
    </row>
    <row r="92" spans="1:19" ht="12.75" customHeight="1" x14ac:dyDescent="0.3">
      <c r="A92" s="24" t="s">
        <v>1034</v>
      </c>
      <c r="B92" s="207" t="s">
        <v>1039</v>
      </c>
      <c r="C92" s="208" t="s">
        <v>1040</v>
      </c>
      <c r="D92" s="25">
        <v>71425.59</v>
      </c>
      <c r="F92" s="25">
        <v>0</v>
      </c>
      <c r="G92" s="25">
        <v>0</v>
      </c>
      <c r="H92" s="25">
        <v>0</v>
      </c>
      <c r="J92" s="25">
        <f t="shared" si="10"/>
        <v>71425.59</v>
      </c>
      <c r="L92" s="25">
        <v>77000</v>
      </c>
      <c r="M92" s="26">
        <v>0.92760506493506489</v>
      </c>
      <c r="P92" t="s">
        <v>996</v>
      </c>
      <c r="Q92" s="206">
        <v>1428.5118</v>
      </c>
      <c r="R92" s="206">
        <v>357.12795</v>
      </c>
      <c r="S92" s="206"/>
    </row>
    <row r="93" spans="1:19" ht="12.75" customHeight="1" x14ac:dyDescent="0.3">
      <c r="A93" s="24" t="s">
        <v>1034</v>
      </c>
      <c r="B93" s="207"/>
      <c r="C93" s="208"/>
      <c r="D93" s="25">
        <v>0</v>
      </c>
      <c r="F93" s="25">
        <v>0</v>
      </c>
      <c r="G93" s="25">
        <v>0</v>
      </c>
      <c r="H93" s="25">
        <v>0</v>
      </c>
      <c r="J93" s="25">
        <f t="shared" si="10"/>
        <v>0</v>
      </c>
      <c r="L93" s="25"/>
      <c r="M93" s="26">
        <v>0</v>
      </c>
      <c r="P93"/>
      <c r="Q93" s="206"/>
      <c r="R93" s="206"/>
      <c r="S93" s="206"/>
    </row>
    <row r="94" spans="1:19" ht="12.75" customHeight="1" x14ac:dyDescent="0.3">
      <c r="A94" s="24" t="s">
        <v>1034</v>
      </c>
      <c r="B94" s="207"/>
      <c r="C94" s="208"/>
      <c r="D94" s="25">
        <v>0</v>
      </c>
      <c r="F94" s="25">
        <v>0</v>
      </c>
      <c r="G94" s="25">
        <v>0</v>
      </c>
      <c r="H94" s="25">
        <v>0</v>
      </c>
      <c r="J94" s="25">
        <f t="shared" si="10"/>
        <v>0</v>
      </c>
      <c r="L94" s="25"/>
      <c r="M94" s="26">
        <v>0</v>
      </c>
      <c r="P94"/>
      <c r="Q94" s="206"/>
      <c r="R94" s="206"/>
      <c r="S94" s="206"/>
    </row>
    <row r="95" spans="1:19" ht="12.75" customHeight="1" x14ac:dyDescent="0.3">
      <c r="A95" s="24" t="s">
        <v>1034</v>
      </c>
      <c r="B95" s="207"/>
      <c r="C95" s="208"/>
      <c r="D95" s="25">
        <v>0</v>
      </c>
      <c r="F95" s="25">
        <v>0</v>
      </c>
      <c r="G95" s="25">
        <v>0</v>
      </c>
      <c r="H95" s="25">
        <v>0</v>
      </c>
      <c r="J95" s="25">
        <f t="shared" si="10"/>
        <v>0</v>
      </c>
      <c r="L95" s="25"/>
      <c r="M95" s="26">
        <v>0</v>
      </c>
      <c r="P95"/>
      <c r="Q95" s="206"/>
      <c r="R95" s="206"/>
      <c r="S95" s="206"/>
    </row>
    <row r="96" spans="1:19" ht="12.75" customHeight="1" x14ac:dyDescent="0.3">
      <c r="A96" s="24" t="s">
        <v>1034</v>
      </c>
      <c r="B96" s="207"/>
      <c r="C96" s="208"/>
      <c r="D96" s="25">
        <v>0</v>
      </c>
      <c r="F96" s="25">
        <v>0</v>
      </c>
      <c r="G96" s="25">
        <v>0</v>
      </c>
      <c r="H96" s="25">
        <v>0</v>
      </c>
      <c r="J96" s="25">
        <f t="shared" si="10"/>
        <v>0</v>
      </c>
      <c r="L96" s="25"/>
      <c r="M96" s="26">
        <v>0</v>
      </c>
      <c r="P96"/>
      <c r="Q96" s="206"/>
      <c r="R96" s="206"/>
      <c r="S96" s="206"/>
    </row>
    <row r="97" spans="1:19" ht="12.75" customHeight="1" x14ac:dyDescent="0.3">
      <c r="A97" s="24" t="s">
        <v>1034</v>
      </c>
      <c r="B97" s="207"/>
      <c r="C97" s="208"/>
      <c r="D97" s="25">
        <v>0</v>
      </c>
      <c r="F97" s="25">
        <v>0</v>
      </c>
      <c r="G97" s="25">
        <v>0</v>
      </c>
      <c r="H97" s="25">
        <v>0</v>
      </c>
      <c r="J97" s="25">
        <f t="shared" si="10"/>
        <v>0</v>
      </c>
      <c r="L97" s="25"/>
      <c r="M97" s="26">
        <v>0</v>
      </c>
      <c r="P97"/>
      <c r="Q97" s="206"/>
      <c r="R97" s="206"/>
      <c r="S97" s="206"/>
    </row>
    <row r="98" spans="1:19" ht="12.75" customHeight="1" x14ac:dyDescent="0.3">
      <c r="A98" s="24" t="s">
        <v>1034</v>
      </c>
      <c r="B98" s="207"/>
      <c r="C98" s="208"/>
      <c r="D98" s="25">
        <v>0</v>
      </c>
      <c r="F98" s="25">
        <v>0</v>
      </c>
      <c r="G98" s="25">
        <v>0</v>
      </c>
      <c r="H98" s="25">
        <v>0</v>
      </c>
      <c r="J98" s="25">
        <f t="shared" si="10"/>
        <v>0</v>
      </c>
      <c r="L98" s="25"/>
      <c r="M98" s="26">
        <v>0</v>
      </c>
      <c r="P98"/>
      <c r="Q98" s="206"/>
      <c r="R98" s="206"/>
      <c r="S98" s="206"/>
    </row>
    <row r="99" spans="1:19" ht="12.75" customHeight="1" x14ac:dyDescent="0.3">
      <c r="A99" s="27" t="s">
        <v>8</v>
      </c>
      <c r="B99" s="28"/>
      <c r="C99" s="27"/>
      <c r="D99" s="29">
        <v>277642.33</v>
      </c>
      <c r="E99" s="29">
        <v>0</v>
      </c>
      <c r="F99" s="29">
        <v>0</v>
      </c>
      <c r="G99" s="29">
        <v>0</v>
      </c>
      <c r="H99" s="29">
        <v>0</v>
      </c>
      <c r="I99" s="29">
        <v>0</v>
      </c>
      <c r="J99" s="29">
        <f t="shared" ref="J99" si="11">SUM(J88:J98)</f>
        <v>277642.33</v>
      </c>
      <c r="L99" s="29">
        <v>324500</v>
      </c>
      <c r="P99"/>
      <c r="Q99" s="206"/>
      <c r="R99" s="206"/>
      <c r="S99" s="206"/>
    </row>
    <row r="100" spans="1:19" ht="12.75" customHeight="1" x14ac:dyDescent="0.3">
      <c r="P100"/>
      <c r="Q100" s="206"/>
      <c r="R100" s="206"/>
      <c r="S100" s="206"/>
    </row>
    <row r="101" spans="1:19" ht="12.75" customHeight="1" x14ac:dyDescent="0.3">
      <c r="P101"/>
      <c r="Q101" s="206"/>
      <c r="R101" s="206"/>
      <c r="S101" s="206"/>
    </row>
    <row r="102" spans="1:19" ht="12.75" customHeight="1" x14ac:dyDescent="0.3">
      <c r="P102"/>
      <c r="Q102" s="206"/>
      <c r="R102" s="206"/>
      <c r="S102" s="206"/>
    </row>
    <row r="103" spans="1:19" ht="12.75" customHeight="1" x14ac:dyDescent="0.3">
      <c r="P103"/>
      <c r="Q103" s="206"/>
      <c r="R103" s="206"/>
      <c r="S103" s="206"/>
    </row>
    <row r="104" spans="1:19" ht="12.75" customHeight="1" x14ac:dyDescent="0.3">
      <c r="A104" s="20" t="s">
        <v>0</v>
      </c>
      <c r="B104" s="21" t="s">
        <v>659</v>
      </c>
      <c r="C104" s="20" t="s">
        <v>660</v>
      </c>
      <c r="D104" s="21" t="s">
        <v>661</v>
      </c>
      <c r="E104" s="21" t="s">
        <v>662</v>
      </c>
      <c r="F104" s="21" t="s">
        <v>663</v>
      </c>
      <c r="G104" s="21" t="s">
        <v>664</v>
      </c>
      <c r="H104" s="21" t="s">
        <v>665</v>
      </c>
      <c r="I104" s="21" t="s">
        <v>676</v>
      </c>
      <c r="J104" s="21" t="s">
        <v>666</v>
      </c>
      <c r="L104" s="23" t="s">
        <v>667</v>
      </c>
      <c r="M104" s="23" t="s">
        <v>668</v>
      </c>
      <c r="O104" s="21" t="s">
        <v>669</v>
      </c>
      <c r="P104"/>
      <c r="Q104" s="206"/>
      <c r="R104" s="206"/>
      <c r="S104" s="206"/>
    </row>
    <row r="105" spans="1:19" ht="12.75" customHeight="1" x14ac:dyDescent="0.3">
      <c r="A105" s="24" t="s">
        <v>1041</v>
      </c>
      <c r="B105" s="207" t="s">
        <v>1042</v>
      </c>
      <c r="C105" s="208" t="s">
        <v>686</v>
      </c>
      <c r="D105" s="25">
        <v>1093.9000000000001</v>
      </c>
      <c r="F105" s="25">
        <v>0</v>
      </c>
      <c r="G105" s="25">
        <v>0</v>
      </c>
      <c r="H105" s="25">
        <v>0</v>
      </c>
      <c r="J105" s="25">
        <f t="shared" ref="J105:J115" si="12">SUM(D105:I105)</f>
        <v>1093.9000000000001</v>
      </c>
      <c r="L105" s="25"/>
      <c r="M105" s="26">
        <v>0</v>
      </c>
      <c r="O105" s="25">
        <v>370000</v>
      </c>
      <c r="P105" t="s">
        <v>187</v>
      </c>
      <c r="Q105" s="206">
        <v>30.629200000000004</v>
      </c>
      <c r="R105" s="206">
        <v>7.6573000000000011</v>
      </c>
      <c r="S105" s="206"/>
    </row>
    <row r="106" spans="1:19" ht="12.75" customHeight="1" x14ac:dyDescent="0.3">
      <c r="A106" s="24" t="s">
        <v>1041</v>
      </c>
      <c r="B106" s="207" t="s">
        <v>1025</v>
      </c>
      <c r="C106" s="208" t="s">
        <v>191</v>
      </c>
      <c r="D106" s="25">
        <v>87667.18</v>
      </c>
      <c r="F106" s="25">
        <v>0</v>
      </c>
      <c r="G106" s="25">
        <v>0</v>
      </c>
      <c r="H106" s="25">
        <v>0</v>
      </c>
      <c r="J106" s="25">
        <f t="shared" si="12"/>
        <v>87667.18</v>
      </c>
      <c r="L106" s="25">
        <v>81400</v>
      </c>
      <c r="M106" s="26">
        <v>1.0769923832923831</v>
      </c>
      <c r="P106" t="s">
        <v>190</v>
      </c>
      <c r="Q106" s="206">
        <v>2454.6810399999999</v>
      </c>
      <c r="R106" s="206">
        <v>613.67025999999998</v>
      </c>
      <c r="S106" s="206">
        <v>438.33589999999998</v>
      </c>
    </row>
    <row r="107" spans="1:19" ht="12.75" customHeight="1" x14ac:dyDescent="0.3">
      <c r="A107" s="24" t="s">
        <v>1041</v>
      </c>
      <c r="B107" s="207" t="s">
        <v>1026</v>
      </c>
      <c r="C107" s="208" t="s">
        <v>687</v>
      </c>
      <c r="D107" s="25">
        <v>81750.58</v>
      </c>
      <c r="F107" s="25">
        <v>0</v>
      </c>
      <c r="G107" s="25">
        <v>279.99</v>
      </c>
      <c r="H107" s="25">
        <v>0</v>
      </c>
      <c r="J107" s="25">
        <f t="shared" si="12"/>
        <v>82030.570000000007</v>
      </c>
      <c r="L107" s="25">
        <v>81400</v>
      </c>
      <c r="M107" s="26">
        <v>1.0077465601965603</v>
      </c>
      <c r="P107" t="s">
        <v>193</v>
      </c>
      <c r="Q107" s="206">
        <v>2296.8559600000003</v>
      </c>
      <c r="R107" s="206">
        <v>574.21399000000008</v>
      </c>
      <c r="S107" s="206">
        <v>410.15285000000006</v>
      </c>
    </row>
    <row r="108" spans="1:19" ht="12.75" customHeight="1" x14ac:dyDescent="0.3">
      <c r="A108" s="24" t="s">
        <v>1041</v>
      </c>
      <c r="B108" s="207" t="s">
        <v>1009</v>
      </c>
      <c r="C108" s="208" t="s">
        <v>182</v>
      </c>
      <c r="D108" s="25">
        <v>71001.929999999993</v>
      </c>
      <c r="F108" s="25">
        <v>0</v>
      </c>
      <c r="G108" s="25">
        <v>0</v>
      </c>
      <c r="H108" s="25">
        <v>0</v>
      </c>
      <c r="J108" s="25">
        <f t="shared" si="12"/>
        <v>71001.929999999993</v>
      </c>
      <c r="L108" s="25">
        <v>81400</v>
      </c>
      <c r="M108" s="26">
        <v>0.87225958230958223</v>
      </c>
      <c r="P108" t="s">
        <v>181</v>
      </c>
      <c r="Q108" s="206">
        <v>1988.0540399999998</v>
      </c>
      <c r="R108" s="206">
        <v>497.01350999999994</v>
      </c>
      <c r="S108" s="206"/>
    </row>
    <row r="109" spans="1:19" ht="12.75" customHeight="1" x14ac:dyDescent="0.3">
      <c r="A109" s="24" t="s">
        <v>1041</v>
      </c>
      <c r="B109" s="207" t="s">
        <v>1028</v>
      </c>
      <c r="C109" s="208" t="s">
        <v>203</v>
      </c>
      <c r="D109" s="25">
        <v>67901.179999999993</v>
      </c>
      <c r="F109" s="25">
        <v>0</v>
      </c>
      <c r="G109" s="25">
        <v>329.99</v>
      </c>
      <c r="H109" s="25">
        <v>0</v>
      </c>
      <c r="J109" s="25">
        <f t="shared" si="12"/>
        <v>68231.17</v>
      </c>
      <c r="L109" s="25">
        <v>81400</v>
      </c>
      <c r="M109" s="26">
        <v>0.83822076167076165</v>
      </c>
      <c r="P109" t="s">
        <v>202</v>
      </c>
      <c r="Q109" s="206">
        <v>1910.4727599999999</v>
      </c>
      <c r="R109" s="206">
        <v>477.61818999999997</v>
      </c>
      <c r="S109" s="206"/>
    </row>
    <row r="110" spans="1:19" ht="12.75" customHeight="1" x14ac:dyDescent="0.3">
      <c r="A110" s="24" t="s">
        <v>1041</v>
      </c>
      <c r="B110" s="207" t="s">
        <v>1034</v>
      </c>
      <c r="C110" s="208" t="s">
        <v>1043</v>
      </c>
      <c r="D110" s="25">
        <v>21774.23</v>
      </c>
      <c r="F110" s="25">
        <v>0</v>
      </c>
      <c r="G110" s="25">
        <v>0</v>
      </c>
      <c r="H110" s="25">
        <v>0</v>
      </c>
      <c r="J110" s="25">
        <f t="shared" si="12"/>
        <v>21774.23</v>
      </c>
      <c r="L110" s="25">
        <v>81400</v>
      </c>
      <c r="M110" s="26">
        <v>0.26749668304668306</v>
      </c>
      <c r="P110" t="s">
        <v>896</v>
      </c>
      <c r="Q110" s="206">
        <v>609.67844000000002</v>
      </c>
      <c r="R110" s="206">
        <v>152.41961000000001</v>
      </c>
      <c r="S110" s="206"/>
    </row>
    <row r="111" spans="1:19" ht="12.75" customHeight="1" x14ac:dyDescent="0.3">
      <c r="A111" s="24" t="s">
        <v>1041</v>
      </c>
      <c r="B111" s="207"/>
      <c r="C111" s="208"/>
      <c r="D111" s="25">
        <v>0</v>
      </c>
      <c r="F111" s="25">
        <v>0</v>
      </c>
      <c r="G111" s="25">
        <v>0</v>
      </c>
      <c r="H111" s="25">
        <v>0</v>
      </c>
      <c r="J111" s="25">
        <f t="shared" si="12"/>
        <v>0</v>
      </c>
      <c r="L111" s="25"/>
      <c r="M111" s="26">
        <v>0</v>
      </c>
      <c r="P111"/>
      <c r="Q111" s="206"/>
      <c r="R111" s="206"/>
      <c r="S111" s="206"/>
    </row>
    <row r="112" spans="1:19" ht="12.75" customHeight="1" x14ac:dyDescent="0.3">
      <c r="A112" s="24" t="s">
        <v>1041</v>
      </c>
      <c r="B112" s="207"/>
      <c r="C112" s="208"/>
      <c r="D112" s="25">
        <v>0</v>
      </c>
      <c r="F112" s="25">
        <v>0</v>
      </c>
      <c r="G112" s="25">
        <v>0</v>
      </c>
      <c r="H112" s="25">
        <v>0</v>
      </c>
      <c r="J112" s="25">
        <f t="shared" si="12"/>
        <v>0</v>
      </c>
      <c r="L112" s="25"/>
      <c r="M112" s="26">
        <v>0</v>
      </c>
      <c r="P112"/>
      <c r="Q112" s="206"/>
      <c r="R112" s="206"/>
      <c r="S112" s="206"/>
    </row>
    <row r="113" spans="1:19" ht="12.75" customHeight="1" x14ac:dyDescent="0.3">
      <c r="A113" s="24" t="s">
        <v>1041</v>
      </c>
      <c r="B113" s="207"/>
      <c r="C113" s="208"/>
      <c r="D113" s="25">
        <v>0</v>
      </c>
      <c r="F113" s="25">
        <v>0</v>
      </c>
      <c r="G113" s="25">
        <v>0</v>
      </c>
      <c r="H113" s="25">
        <v>0</v>
      </c>
      <c r="J113" s="25">
        <f t="shared" si="12"/>
        <v>0</v>
      </c>
      <c r="L113" s="25"/>
      <c r="M113" s="26">
        <v>0</v>
      </c>
      <c r="P113"/>
      <c r="Q113" s="206"/>
      <c r="R113" s="206"/>
      <c r="S113" s="206"/>
    </row>
    <row r="114" spans="1:19" ht="12.75" customHeight="1" x14ac:dyDescent="0.3">
      <c r="A114" s="24" t="s">
        <v>1041</v>
      </c>
      <c r="B114" s="207"/>
      <c r="C114" s="208"/>
      <c r="D114" s="25">
        <v>0</v>
      </c>
      <c r="F114" s="25">
        <v>0</v>
      </c>
      <c r="G114" s="25">
        <v>0</v>
      </c>
      <c r="H114" s="25">
        <v>0</v>
      </c>
      <c r="J114" s="25">
        <f t="shared" si="12"/>
        <v>0</v>
      </c>
      <c r="L114" s="25"/>
      <c r="M114" s="26">
        <v>0</v>
      </c>
      <c r="P114"/>
      <c r="Q114" s="206"/>
      <c r="R114" s="206"/>
      <c r="S114" s="206"/>
    </row>
    <row r="115" spans="1:19" ht="12.75" customHeight="1" x14ac:dyDescent="0.3">
      <c r="A115" s="24" t="s">
        <v>1041</v>
      </c>
      <c r="B115" s="207"/>
      <c r="C115" s="208"/>
      <c r="D115" s="25">
        <v>0</v>
      </c>
      <c r="F115" s="25">
        <v>0</v>
      </c>
      <c r="G115" s="25">
        <v>0</v>
      </c>
      <c r="H115" s="25">
        <v>0</v>
      </c>
      <c r="J115" s="25">
        <f t="shared" si="12"/>
        <v>0</v>
      </c>
      <c r="L115" s="25"/>
      <c r="M115" s="26">
        <v>0</v>
      </c>
      <c r="P115"/>
      <c r="Q115" s="206"/>
      <c r="R115" s="206"/>
      <c r="S115" s="206"/>
    </row>
    <row r="116" spans="1:19" ht="12.75" customHeight="1" x14ac:dyDescent="0.3">
      <c r="A116" s="27" t="s">
        <v>8</v>
      </c>
      <c r="B116" s="28"/>
      <c r="C116" s="27"/>
      <c r="D116" s="29">
        <v>331188.99999999994</v>
      </c>
      <c r="E116" s="29">
        <v>0</v>
      </c>
      <c r="F116" s="29">
        <v>0</v>
      </c>
      <c r="G116" s="29">
        <v>609.98</v>
      </c>
      <c r="H116" s="29">
        <v>0</v>
      </c>
      <c r="I116" s="29">
        <v>0</v>
      </c>
      <c r="J116" s="29">
        <f t="shared" ref="J116" si="13">SUM(J105:J115)</f>
        <v>331798.98</v>
      </c>
      <c r="L116" s="29">
        <v>407000</v>
      </c>
      <c r="P116"/>
      <c r="Q116" s="206"/>
      <c r="R116" s="206"/>
      <c r="S116" s="206"/>
    </row>
    <row r="117" spans="1:19" ht="12.75" customHeight="1" x14ac:dyDescent="0.3">
      <c r="P117"/>
      <c r="Q117" s="206"/>
      <c r="R117" s="206"/>
      <c r="S117" s="206"/>
    </row>
    <row r="118" spans="1:19" ht="12.75" customHeight="1" x14ac:dyDescent="0.3">
      <c r="P118"/>
      <c r="Q118" s="206"/>
      <c r="R118" s="206"/>
      <c r="S118" s="206"/>
    </row>
    <row r="119" spans="1:19" ht="12.75" customHeight="1" x14ac:dyDescent="0.3">
      <c r="P119"/>
      <c r="Q119" s="206"/>
      <c r="R119" s="206"/>
      <c r="S119" s="206"/>
    </row>
    <row r="120" spans="1:19" ht="12.75" customHeight="1" x14ac:dyDescent="0.3">
      <c r="P120"/>
      <c r="Q120" s="206"/>
      <c r="R120" s="206"/>
      <c r="S120" s="206"/>
    </row>
    <row r="121" spans="1:19" ht="12.75" customHeight="1" x14ac:dyDescent="0.3">
      <c r="A121" s="20" t="s">
        <v>0</v>
      </c>
      <c r="B121" s="21" t="s">
        <v>659</v>
      </c>
      <c r="C121" s="20" t="s">
        <v>660</v>
      </c>
      <c r="D121" s="21" t="s">
        <v>661</v>
      </c>
      <c r="E121" s="21" t="s">
        <v>662</v>
      </c>
      <c r="F121" s="21" t="s">
        <v>663</v>
      </c>
      <c r="G121" s="21" t="s">
        <v>664</v>
      </c>
      <c r="H121" s="21" t="s">
        <v>665</v>
      </c>
      <c r="I121" s="21" t="s">
        <v>676</v>
      </c>
      <c r="J121" s="21" t="s">
        <v>666</v>
      </c>
      <c r="L121" s="23" t="s">
        <v>667</v>
      </c>
      <c r="M121" s="23" t="s">
        <v>668</v>
      </c>
      <c r="O121" s="21" t="s">
        <v>669</v>
      </c>
      <c r="P121"/>
      <c r="Q121" s="206"/>
      <c r="R121" s="206"/>
      <c r="S121" s="206"/>
    </row>
    <row r="122" spans="1:19" ht="12.75" customHeight="1" x14ac:dyDescent="0.3">
      <c r="A122" s="24" t="s">
        <v>1044</v>
      </c>
      <c r="B122" s="207" t="s">
        <v>1045</v>
      </c>
      <c r="C122" s="208" t="s">
        <v>206</v>
      </c>
      <c r="D122" s="25">
        <v>0</v>
      </c>
      <c r="F122" s="25">
        <v>0</v>
      </c>
      <c r="G122" s="25">
        <v>0</v>
      </c>
      <c r="H122" s="25">
        <v>0</v>
      </c>
      <c r="J122" s="25">
        <f t="shared" ref="J122:J132" si="14">SUM(D122:I122)</f>
        <v>0</v>
      </c>
      <c r="L122" s="25"/>
      <c r="M122" s="26">
        <v>0</v>
      </c>
      <c r="O122" s="25">
        <v>400000</v>
      </c>
      <c r="P122" t="s">
        <v>205</v>
      </c>
      <c r="Q122" s="206">
        <v>0</v>
      </c>
      <c r="R122" s="206">
        <v>0</v>
      </c>
      <c r="S122" s="206"/>
    </row>
    <row r="123" spans="1:19" ht="12.75" customHeight="1" x14ac:dyDescent="0.3">
      <c r="A123" s="24" t="s">
        <v>1044</v>
      </c>
      <c r="B123" s="207" t="s">
        <v>873</v>
      </c>
      <c r="C123" s="208" t="s">
        <v>224</v>
      </c>
      <c r="D123" s="25">
        <v>80693.13</v>
      </c>
      <c r="F123" s="25">
        <v>0</v>
      </c>
      <c r="G123" s="25">
        <v>499.99</v>
      </c>
      <c r="H123" s="25">
        <v>0</v>
      </c>
      <c r="J123" s="25">
        <f t="shared" si="14"/>
        <v>81193.12000000001</v>
      </c>
      <c r="L123" s="25">
        <v>73334</v>
      </c>
      <c r="M123" s="26">
        <v>1.1071688439196008</v>
      </c>
      <c r="P123" t="s">
        <v>223</v>
      </c>
      <c r="Q123" s="206">
        <v>3328.9179199999999</v>
      </c>
      <c r="R123" s="206">
        <v>832.22947999999997</v>
      </c>
      <c r="S123" s="206">
        <v>405.96560000000005</v>
      </c>
    </row>
    <row r="124" spans="1:19" ht="12.75" customHeight="1" x14ac:dyDescent="0.3">
      <c r="A124" s="24" t="s">
        <v>1044</v>
      </c>
      <c r="B124" s="207" t="s">
        <v>1046</v>
      </c>
      <c r="C124" s="208" t="s">
        <v>212</v>
      </c>
      <c r="D124" s="25">
        <v>67723.179999999993</v>
      </c>
      <c r="F124" s="25">
        <v>0</v>
      </c>
      <c r="G124" s="25">
        <v>949.98</v>
      </c>
      <c r="H124" s="25">
        <v>0</v>
      </c>
      <c r="J124" s="25">
        <f t="shared" si="14"/>
        <v>68673.159999999989</v>
      </c>
      <c r="L124" s="25">
        <v>73334</v>
      </c>
      <c r="M124" s="26">
        <v>0.93644366869392082</v>
      </c>
      <c r="P124" t="s">
        <v>211</v>
      </c>
      <c r="Q124" s="206">
        <v>2197.5411199999999</v>
      </c>
      <c r="R124" s="206">
        <v>549.38527999999997</v>
      </c>
      <c r="S124" s="206"/>
    </row>
    <row r="125" spans="1:19" ht="12.75" customHeight="1" x14ac:dyDescent="0.3">
      <c r="A125" s="24" t="s">
        <v>1044</v>
      </c>
      <c r="B125" s="207" t="s">
        <v>1047</v>
      </c>
      <c r="C125" s="208" t="s">
        <v>209</v>
      </c>
      <c r="D125" s="25">
        <v>65796.95</v>
      </c>
      <c r="F125" s="25">
        <v>0</v>
      </c>
      <c r="G125" s="25">
        <v>0</v>
      </c>
      <c r="H125" s="25">
        <v>0</v>
      </c>
      <c r="J125" s="25">
        <f t="shared" si="14"/>
        <v>65796.95</v>
      </c>
      <c r="L125" s="25">
        <v>73334</v>
      </c>
      <c r="M125" s="26">
        <v>0.89722297979109278</v>
      </c>
      <c r="P125" t="s">
        <v>208</v>
      </c>
      <c r="Q125" s="206">
        <v>2105.5023999999999</v>
      </c>
      <c r="R125" s="206">
        <v>526.37559999999996</v>
      </c>
      <c r="S125" s="206"/>
    </row>
    <row r="126" spans="1:19" ht="12.75" customHeight="1" x14ac:dyDescent="0.3">
      <c r="A126" s="24" t="s">
        <v>1044</v>
      </c>
      <c r="B126" s="207" t="s">
        <v>1048</v>
      </c>
      <c r="C126" s="208" t="s">
        <v>227</v>
      </c>
      <c r="D126" s="25">
        <v>76988.55</v>
      </c>
      <c r="F126" s="25">
        <v>0</v>
      </c>
      <c r="G126" s="25">
        <v>2249.96</v>
      </c>
      <c r="H126" s="25">
        <v>1799.98</v>
      </c>
      <c r="J126" s="25">
        <f t="shared" si="14"/>
        <v>81038.490000000005</v>
      </c>
      <c r="L126" s="25">
        <v>73334</v>
      </c>
      <c r="M126" s="26">
        <v>1.1050602721793439</v>
      </c>
      <c r="P126" t="s">
        <v>226</v>
      </c>
      <c r="Q126" s="206">
        <v>3322.57809</v>
      </c>
      <c r="R126" s="206">
        <v>830.64452249999999</v>
      </c>
      <c r="S126" s="206">
        <v>405.19245000000001</v>
      </c>
    </row>
    <row r="127" spans="1:19" ht="12.75" customHeight="1" x14ac:dyDescent="0.3">
      <c r="A127" s="24" t="s">
        <v>1044</v>
      </c>
      <c r="B127" s="207" t="s">
        <v>1049</v>
      </c>
      <c r="C127" s="208" t="s">
        <v>688</v>
      </c>
      <c r="D127" s="25">
        <v>59805.21</v>
      </c>
      <c r="F127" s="25">
        <v>0</v>
      </c>
      <c r="G127" s="25">
        <v>1459.96</v>
      </c>
      <c r="H127" s="25">
        <v>0</v>
      </c>
      <c r="J127" s="25">
        <f t="shared" si="14"/>
        <v>61265.17</v>
      </c>
      <c r="L127" s="25">
        <v>73334</v>
      </c>
      <c r="M127" s="26">
        <v>0.83542654157689478</v>
      </c>
      <c r="P127" t="s">
        <v>220</v>
      </c>
      <c r="Q127" s="206">
        <v>1960.4854399999999</v>
      </c>
      <c r="R127" s="206">
        <v>490.12135999999998</v>
      </c>
      <c r="S127" s="206"/>
    </row>
    <row r="128" spans="1:19" ht="12.75" customHeight="1" x14ac:dyDescent="0.3">
      <c r="A128" s="24" t="s">
        <v>1044</v>
      </c>
      <c r="B128" s="207" t="s">
        <v>1050</v>
      </c>
      <c r="C128" s="208" t="s">
        <v>689</v>
      </c>
      <c r="D128" s="25">
        <v>79622.16</v>
      </c>
      <c r="F128" s="25">
        <v>0</v>
      </c>
      <c r="G128" s="25">
        <v>2589.9299999999994</v>
      </c>
      <c r="H128" s="25">
        <v>0</v>
      </c>
      <c r="J128" s="25">
        <f t="shared" si="14"/>
        <v>82212.09</v>
      </c>
      <c r="L128" s="25">
        <v>73334</v>
      </c>
      <c r="M128" s="26">
        <v>1.1210637630566995</v>
      </c>
      <c r="P128" t="s">
        <v>217</v>
      </c>
      <c r="Q128" s="206">
        <v>3370.6956899999996</v>
      </c>
      <c r="R128" s="206">
        <v>842.67392249999989</v>
      </c>
      <c r="S128" s="206">
        <v>411.06045</v>
      </c>
    </row>
    <row r="129" spans="1:19" ht="12.75" customHeight="1" x14ac:dyDescent="0.3">
      <c r="A129" s="24" t="s">
        <v>1044</v>
      </c>
      <c r="B129" s="207"/>
      <c r="C129" s="208"/>
      <c r="D129" s="25">
        <v>0</v>
      </c>
      <c r="F129" s="25">
        <v>0</v>
      </c>
      <c r="G129" s="25">
        <v>0</v>
      </c>
      <c r="H129" s="25">
        <v>0</v>
      </c>
      <c r="J129" s="25">
        <f t="shared" si="14"/>
        <v>0</v>
      </c>
      <c r="L129" s="25"/>
      <c r="M129" s="26">
        <v>0</v>
      </c>
      <c r="P129"/>
      <c r="Q129" s="206"/>
      <c r="R129" s="206"/>
      <c r="S129" s="206"/>
    </row>
    <row r="130" spans="1:19" ht="12.75" customHeight="1" x14ac:dyDescent="0.3">
      <c r="A130" s="24" t="s">
        <v>1044</v>
      </c>
      <c r="B130" s="207"/>
      <c r="C130" s="208"/>
      <c r="D130" s="25">
        <v>0</v>
      </c>
      <c r="F130" s="25">
        <v>0</v>
      </c>
      <c r="G130" s="25">
        <v>0</v>
      </c>
      <c r="H130" s="25">
        <v>0</v>
      </c>
      <c r="J130" s="25">
        <f t="shared" si="14"/>
        <v>0</v>
      </c>
      <c r="L130" s="25"/>
      <c r="M130" s="26">
        <v>0</v>
      </c>
      <c r="P130"/>
      <c r="Q130" s="206"/>
      <c r="R130" s="206"/>
      <c r="S130" s="206"/>
    </row>
    <row r="131" spans="1:19" ht="12.75" customHeight="1" x14ac:dyDescent="0.3">
      <c r="A131" s="24" t="s">
        <v>1044</v>
      </c>
      <c r="B131" s="207"/>
      <c r="C131" s="208"/>
      <c r="D131" s="25">
        <v>0</v>
      </c>
      <c r="F131" s="25">
        <v>0</v>
      </c>
      <c r="G131" s="25">
        <v>0</v>
      </c>
      <c r="H131" s="25">
        <v>0</v>
      </c>
      <c r="J131" s="25">
        <f t="shared" si="14"/>
        <v>0</v>
      </c>
      <c r="L131" s="25"/>
      <c r="M131" s="26">
        <v>0</v>
      </c>
      <c r="P131"/>
      <c r="Q131" s="206"/>
      <c r="R131" s="206"/>
      <c r="S131" s="206"/>
    </row>
    <row r="132" spans="1:19" ht="12.75" customHeight="1" x14ac:dyDescent="0.3">
      <c r="A132" s="24" t="s">
        <v>1044</v>
      </c>
      <c r="B132" s="207"/>
      <c r="C132" s="208"/>
      <c r="D132" s="25">
        <v>0</v>
      </c>
      <c r="F132" s="25">
        <v>0</v>
      </c>
      <c r="G132" s="25">
        <v>0</v>
      </c>
      <c r="H132" s="25">
        <v>0</v>
      </c>
      <c r="J132" s="25">
        <f t="shared" si="14"/>
        <v>0</v>
      </c>
      <c r="L132" s="25"/>
      <c r="M132" s="26">
        <v>0</v>
      </c>
      <c r="P132"/>
      <c r="Q132" s="206"/>
      <c r="R132" s="206"/>
      <c r="S132" s="206"/>
    </row>
    <row r="133" spans="1:19" ht="12.75" customHeight="1" x14ac:dyDescent="0.3">
      <c r="A133" s="27" t="s">
        <v>8</v>
      </c>
      <c r="B133" s="28"/>
      <c r="C133" s="27"/>
      <c r="D133" s="29">
        <v>430629.18000000005</v>
      </c>
      <c r="E133" s="29">
        <v>0</v>
      </c>
      <c r="F133" s="29">
        <v>0</v>
      </c>
      <c r="G133" s="29">
        <v>7749.82</v>
      </c>
      <c r="H133" s="29">
        <v>1799.98</v>
      </c>
      <c r="I133" s="29">
        <v>0</v>
      </c>
      <c r="J133" s="29">
        <f t="shared" ref="J133" si="15">SUM(J122:J132)</f>
        <v>440178.98</v>
      </c>
      <c r="L133" s="29">
        <v>440004</v>
      </c>
      <c r="P133"/>
      <c r="Q133" s="206"/>
      <c r="R133" s="206"/>
      <c r="S133" s="206"/>
    </row>
    <row r="134" spans="1:19" ht="12.75" customHeight="1" x14ac:dyDescent="0.3">
      <c r="P134"/>
      <c r="Q134" s="206"/>
      <c r="R134" s="206"/>
      <c r="S134" s="206"/>
    </row>
    <row r="135" spans="1:19" ht="12.75" customHeight="1" x14ac:dyDescent="0.3">
      <c r="P135"/>
      <c r="Q135" s="206"/>
      <c r="R135" s="206"/>
      <c r="S135" s="206"/>
    </row>
    <row r="136" spans="1:19" ht="12.75" customHeight="1" x14ac:dyDescent="0.3">
      <c r="P136"/>
      <c r="Q136" s="206"/>
      <c r="R136" s="206"/>
      <c r="S136" s="206"/>
    </row>
    <row r="137" spans="1:19" ht="12.75" customHeight="1" x14ac:dyDescent="0.3">
      <c r="P137"/>
      <c r="Q137" s="206"/>
      <c r="R137" s="206"/>
      <c r="S137" s="206"/>
    </row>
    <row r="138" spans="1:19" ht="12.75" customHeight="1" x14ac:dyDescent="0.3">
      <c r="A138" s="20" t="s">
        <v>0</v>
      </c>
      <c r="B138" s="21" t="s">
        <v>659</v>
      </c>
      <c r="C138" s="20" t="s">
        <v>660</v>
      </c>
      <c r="D138" s="21" t="s">
        <v>661</v>
      </c>
      <c r="E138" s="21" t="s">
        <v>662</v>
      </c>
      <c r="F138" s="21" t="s">
        <v>663</v>
      </c>
      <c r="G138" s="21" t="s">
        <v>664</v>
      </c>
      <c r="H138" s="21" t="s">
        <v>665</v>
      </c>
      <c r="I138" s="21" t="s">
        <v>676</v>
      </c>
      <c r="J138" s="21" t="s">
        <v>666</v>
      </c>
      <c r="L138" s="23" t="s">
        <v>667</v>
      </c>
      <c r="M138" s="23" t="s">
        <v>668</v>
      </c>
      <c r="O138" s="21" t="s">
        <v>669</v>
      </c>
      <c r="P138"/>
      <c r="Q138" s="206"/>
      <c r="R138" s="206"/>
      <c r="S138" s="206"/>
    </row>
    <row r="139" spans="1:19" ht="12.75" customHeight="1" x14ac:dyDescent="0.3">
      <c r="A139" s="24" t="s">
        <v>1051</v>
      </c>
      <c r="B139" s="207" t="s">
        <v>1052</v>
      </c>
      <c r="C139" s="208" t="s">
        <v>690</v>
      </c>
      <c r="D139" s="25">
        <v>1229.95</v>
      </c>
      <c r="F139" s="25">
        <v>0</v>
      </c>
      <c r="G139" s="25">
        <v>0</v>
      </c>
      <c r="H139" s="25">
        <v>0</v>
      </c>
      <c r="J139" s="25">
        <f t="shared" ref="J139:J149" si="16">SUM(D139:I139)</f>
        <v>1229.95</v>
      </c>
      <c r="L139" s="25"/>
      <c r="M139" s="26">
        <v>0</v>
      </c>
      <c r="O139" s="25">
        <v>245000</v>
      </c>
      <c r="P139" t="s">
        <v>1053</v>
      </c>
      <c r="Q139" s="206">
        <v>43.048250000000003</v>
      </c>
      <c r="R139" s="206">
        <v>10.762062500000001</v>
      </c>
      <c r="S139" s="206"/>
    </row>
    <row r="140" spans="1:19" ht="12.75" customHeight="1" x14ac:dyDescent="0.3">
      <c r="A140" s="24" t="s">
        <v>1051</v>
      </c>
      <c r="B140" s="207" t="s">
        <v>1054</v>
      </c>
      <c r="C140" s="208" t="s">
        <v>230</v>
      </c>
      <c r="D140" s="25">
        <v>69625.08</v>
      </c>
      <c r="F140" s="25">
        <v>0</v>
      </c>
      <c r="G140" s="25">
        <v>0</v>
      </c>
      <c r="H140" s="25">
        <v>0</v>
      </c>
      <c r="J140" s="25">
        <f t="shared" si="16"/>
        <v>69625.08</v>
      </c>
      <c r="L140" s="25">
        <v>53900</v>
      </c>
      <c r="M140" s="26">
        <v>1.2917454545454545</v>
      </c>
      <c r="P140" t="s">
        <v>229</v>
      </c>
      <c r="Q140" s="206">
        <v>3063.5035200000002</v>
      </c>
      <c r="R140" s="206">
        <v>765.87588000000005</v>
      </c>
      <c r="S140" s="206">
        <v>348.12540000000001</v>
      </c>
    </row>
    <row r="141" spans="1:19" ht="12.75" customHeight="1" x14ac:dyDescent="0.3">
      <c r="A141" s="24" t="s">
        <v>1051</v>
      </c>
      <c r="B141" s="207" t="s">
        <v>1022</v>
      </c>
      <c r="C141" s="208" t="s">
        <v>233</v>
      </c>
      <c r="D141" s="25">
        <v>45137.4</v>
      </c>
      <c r="F141" s="25">
        <v>0</v>
      </c>
      <c r="G141" s="25">
        <v>0</v>
      </c>
      <c r="H141" s="25">
        <v>0</v>
      </c>
      <c r="J141" s="25">
        <f t="shared" si="16"/>
        <v>45137.4</v>
      </c>
      <c r="L141" s="25">
        <v>53900</v>
      </c>
      <c r="M141" s="26">
        <v>0.83742857142857141</v>
      </c>
      <c r="P141" t="s">
        <v>232</v>
      </c>
      <c r="Q141" s="206">
        <v>1579.8090000000002</v>
      </c>
      <c r="R141" s="206">
        <v>394.95225000000005</v>
      </c>
      <c r="S141" s="206"/>
    </row>
    <row r="142" spans="1:19" ht="12.75" customHeight="1" x14ac:dyDescent="0.3">
      <c r="A142" s="24" t="s">
        <v>1051</v>
      </c>
      <c r="B142" s="207" t="s">
        <v>1011</v>
      </c>
      <c r="C142" s="208" t="s">
        <v>251</v>
      </c>
      <c r="D142" s="25">
        <v>37146.69</v>
      </c>
      <c r="F142" s="25">
        <v>0</v>
      </c>
      <c r="G142" s="25">
        <v>0</v>
      </c>
      <c r="H142" s="25">
        <v>0</v>
      </c>
      <c r="J142" s="25">
        <f t="shared" si="16"/>
        <v>37146.69</v>
      </c>
      <c r="L142" s="25">
        <v>53900</v>
      </c>
      <c r="M142" s="26">
        <v>0.68917792207792217</v>
      </c>
      <c r="P142" t="s">
        <v>250</v>
      </c>
      <c r="Q142" s="206">
        <v>1300.1341500000003</v>
      </c>
      <c r="R142" s="206">
        <v>325.03353750000008</v>
      </c>
      <c r="S142" s="206"/>
    </row>
    <row r="143" spans="1:19" ht="12.75" customHeight="1" x14ac:dyDescent="0.3">
      <c r="A143" s="24" t="s">
        <v>1051</v>
      </c>
      <c r="B143" s="207" t="s">
        <v>876</v>
      </c>
      <c r="C143" s="208" t="s">
        <v>691</v>
      </c>
      <c r="D143" s="25">
        <v>68940.850000000006</v>
      </c>
      <c r="F143" s="25">
        <v>0</v>
      </c>
      <c r="G143" s="25">
        <v>399.98</v>
      </c>
      <c r="H143" s="25">
        <v>0</v>
      </c>
      <c r="J143" s="25">
        <f t="shared" si="16"/>
        <v>69340.83</v>
      </c>
      <c r="L143" s="25">
        <v>53900</v>
      </c>
      <c r="M143" s="26">
        <v>1.2864717996289425</v>
      </c>
      <c r="P143" t="s">
        <v>238</v>
      </c>
      <c r="Q143" s="206">
        <v>3050.9965200000006</v>
      </c>
      <c r="R143" s="206">
        <v>762.74913000000015</v>
      </c>
      <c r="S143" s="206">
        <v>346.70415000000003</v>
      </c>
    </row>
    <row r="144" spans="1:19" ht="12.75" customHeight="1" x14ac:dyDescent="0.3">
      <c r="A144" s="24" t="s">
        <v>1051</v>
      </c>
      <c r="B144" s="207" t="s">
        <v>1055</v>
      </c>
      <c r="C144" s="208" t="s">
        <v>236</v>
      </c>
      <c r="D144" s="25">
        <v>50077.66</v>
      </c>
      <c r="F144" s="25">
        <v>0</v>
      </c>
      <c r="G144" s="25">
        <v>0</v>
      </c>
      <c r="H144" s="25">
        <v>0</v>
      </c>
      <c r="J144" s="25">
        <f t="shared" si="16"/>
        <v>50077.66</v>
      </c>
      <c r="L144" s="25">
        <v>53900</v>
      </c>
      <c r="M144" s="26">
        <v>0.92908460111317259</v>
      </c>
      <c r="P144" t="s">
        <v>235</v>
      </c>
      <c r="Q144" s="206">
        <v>1752.7181000000003</v>
      </c>
      <c r="R144" s="206">
        <v>438.17952500000007</v>
      </c>
      <c r="S144" s="206"/>
    </row>
    <row r="145" spans="1:19" ht="12.75" customHeight="1" x14ac:dyDescent="0.3">
      <c r="A145" s="24" t="s">
        <v>1051</v>
      </c>
      <c r="B145" s="207"/>
      <c r="C145" s="208"/>
      <c r="D145" s="25">
        <v>0</v>
      </c>
      <c r="F145" s="25">
        <v>0</v>
      </c>
      <c r="G145" s="25">
        <v>0</v>
      </c>
      <c r="H145" s="25">
        <v>0</v>
      </c>
      <c r="J145" s="25">
        <f t="shared" si="16"/>
        <v>0</v>
      </c>
      <c r="L145" s="25"/>
      <c r="M145" s="26">
        <v>0</v>
      </c>
      <c r="P145"/>
      <c r="Q145" s="206"/>
      <c r="R145" s="206"/>
      <c r="S145" s="206"/>
    </row>
    <row r="146" spans="1:19" ht="12.75" customHeight="1" x14ac:dyDescent="0.3">
      <c r="A146" s="24" t="s">
        <v>1051</v>
      </c>
      <c r="B146" s="207"/>
      <c r="C146" s="208"/>
      <c r="D146" s="25">
        <v>0</v>
      </c>
      <c r="F146" s="25">
        <v>0</v>
      </c>
      <c r="G146" s="25">
        <v>0</v>
      </c>
      <c r="H146" s="25">
        <v>0</v>
      </c>
      <c r="J146" s="25">
        <f t="shared" si="16"/>
        <v>0</v>
      </c>
      <c r="L146" s="25"/>
      <c r="M146" s="26">
        <v>0</v>
      </c>
      <c r="P146"/>
      <c r="Q146" s="206"/>
      <c r="R146" s="206"/>
      <c r="S146" s="206"/>
    </row>
    <row r="147" spans="1:19" ht="12.75" customHeight="1" x14ac:dyDescent="0.3">
      <c r="A147" s="24" t="s">
        <v>1051</v>
      </c>
      <c r="B147" s="207"/>
      <c r="C147" s="208"/>
      <c r="D147" s="25">
        <v>0</v>
      </c>
      <c r="F147" s="25">
        <v>0</v>
      </c>
      <c r="G147" s="25">
        <v>0</v>
      </c>
      <c r="H147" s="25">
        <v>0</v>
      </c>
      <c r="J147" s="25">
        <f t="shared" si="16"/>
        <v>0</v>
      </c>
      <c r="L147" s="25"/>
      <c r="M147" s="26">
        <v>0</v>
      </c>
      <c r="P147"/>
      <c r="Q147" s="206"/>
      <c r="R147" s="206"/>
      <c r="S147" s="206"/>
    </row>
    <row r="148" spans="1:19" ht="12.75" customHeight="1" x14ac:dyDescent="0.3">
      <c r="A148" s="24" t="s">
        <v>1051</v>
      </c>
      <c r="B148" s="207"/>
      <c r="C148" s="208"/>
      <c r="D148" s="25">
        <v>0</v>
      </c>
      <c r="F148" s="25">
        <v>0</v>
      </c>
      <c r="G148" s="25">
        <v>0</v>
      </c>
      <c r="H148" s="25">
        <v>0</v>
      </c>
      <c r="J148" s="25">
        <f t="shared" si="16"/>
        <v>0</v>
      </c>
      <c r="L148" s="25"/>
      <c r="M148" s="26">
        <v>0</v>
      </c>
      <c r="P148"/>
      <c r="Q148" s="206"/>
      <c r="R148" s="206"/>
      <c r="S148" s="206"/>
    </row>
    <row r="149" spans="1:19" ht="12.75" customHeight="1" x14ac:dyDescent="0.3">
      <c r="A149" s="24" t="s">
        <v>1051</v>
      </c>
      <c r="B149" s="207"/>
      <c r="C149" s="208"/>
      <c r="D149" s="25">
        <v>0</v>
      </c>
      <c r="F149" s="25">
        <v>0</v>
      </c>
      <c r="G149" s="25">
        <v>0</v>
      </c>
      <c r="H149" s="25">
        <v>0</v>
      </c>
      <c r="J149" s="25">
        <f t="shared" si="16"/>
        <v>0</v>
      </c>
      <c r="L149" s="25"/>
      <c r="M149" s="26">
        <v>0</v>
      </c>
      <c r="P149"/>
      <c r="Q149" s="206"/>
      <c r="R149" s="206"/>
      <c r="S149" s="206"/>
    </row>
    <row r="150" spans="1:19" ht="12.75" customHeight="1" x14ac:dyDescent="0.3">
      <c r="A150" s="27" t="s">
        <v>8</v>
      </c>
      <c r="B150" s="28"/>
      <c r="C150" s="27"/>
      <c r="D150" s="29">
        <v>272157.63</v>
      </c>
      <c r="E150" s="29">
        <v>0</v>
      </c>
      <c r="F150" s="29">
        <v>0</v>
      </c>
      <c r="G150" s="29">
        <v>399.98</v>
      </c>
      <c r="H150" s="29">
        <v>0</v>
      </c>
      <c r="I150" s="29">
        <v>0</v>
      </c>
      <c r="J150" s="29">
        <f t="shared" ref="J150" si="17">SUM(J139:J149)</f>
        <v>272557.61</v>
      </c>
      <c r="L150" s="29">
        <v>269500</v>
      </c>
      <c r="P150"/>
      <c r="Q150" s="206"/>
      <c r="R150" s="206"/>
      <c r="S150" s="206"/>
    </row>
    <row r="151" spans="1:19" ht="12.75" customHeight="1" x14ac:dyDescent="0.3">
      <c r="P151"/>
      <c r="Q151" s="206"/>
      <c r="R151" s="206"/>
      <c r="S151" s="206"/>
    </row>
    <row r="152" spans="1:19" ht="12.75" customHeight="1" x14ac:dyDescent="0.3">
      <c r="P152"/>
      <c r="Q152" s="206"/>
      <c r="R152" s="206"/>
      <c r="S152" s="206"/>
    </row>
    <row r="153" spans="1:19" ht="12.75" customHeight="1" x14ac:dyDescent="0.3">
      <c r="P153"/>
      <c r="Q153" s="206"/>
      <c r="R153" s="206"/>
      <c r="S153" s="206"/>
    </row>
    <row r="154" spans="1:19" ht="12.75" customHeight="1" x14ac:dyDescent="0.3">
      <c r="P154"/>
      <c r="Q154" s="206"/>
      <c r="R154" s="206"/>
      <c r="S154" s="206"/>
    </row>
    <row r="155" spans="1:19" ht="12.75" customHeight="1" x14ac:dyDescent="0.3">
      <c r="A155" s="20" t="s">
        <v>0</v>
      </c>
      <c r="B155" s="21" t="s">
        <v>659</v>
      </c>
      <c r="C155" s="20" t="s">
        <v>660</v>
      </c>
      <c r="D155" s="21" t="s">
        <v>661</v>
      </c>
      <c r="E155" s="21" t="s">
        <v>662</v>
      </c>
      <c r="F155" s="21" t="s">
        <v>663</v>
      </c>
      <c r="G155" s="21" t="s">
        <v>664</v>
      </c>
      <c r="H155" s="21" t="s">
        <v>665</v>
      </c>
      <c r="I155" s="21" t="s">
        <v>676</v>
      </c>
      <c r="J155" s="21" t="s">
        <v>666</v>
      </c>
      <c r="L155" s="23" t="s">
        <v>667</v>
      </c>
      <c r="M155" s="23" t="s">
        <v>668</v>
      </c>
      <c r="O155" s="21" t="s">
        <v>669</v>
      </c>
      <c r="P155"/>
      <c r="Q155" s="206"/>
      <c r="R155" s="206"/>
      <c r="S155" s="206"/>
    </row>
    <row r="156" spans="1:19" ht="12.75" customHeight="1" x14ac:dyDescent="0.3">
      <c r="A156" s="24" t="s">
        <v>1056</v>
      </c>
      <c r="B156" s="207" t="s">
        <v>935</v>
      </c>
      <c r="C156" s="208" t="s">
        <v>692</v>
      </c>
      <c r="D156" s="25">
        <v>9.9999999999910005E-3</v>
      </c>
      <c r="F156" s="25">
        <v>0</v>
      </c>
      <c r="G156" s="25">
        <v>0</v>
      </c>
      <c r="H156" s="25">
        <v>0</v>
      </c>
      <c r="J156" s="25">
        <f t="shared" ref="J156:J166" si="18">SUM(D156:I156)</f>
        <v>9.9999999999910005E-3</v>
      </c>
      <c r="L156" s="25"/>
      <c r="M156" s="26">
        <v>0</v>
      </c>
      <c r="O156" s="25">
        <v>220000</v>
      </c>
      <c r="P156" t="s">
        <v>1057</v>
      </c>
      <c r="Q156" s="206">
        <v>3.1999999999971201E-4</v>
      </c>
      <c r="R156" s="206">
        <v>7.9999999999928002E-5</v>
      </c>
      <c r="S156" s="206"/>
    </row>
    <row r="157" spans="1:19" ht="12.75" customHeight="1" x14ac:dyDescent="0.3">
      <c r="A157" s="24" t="s">
        <v>1056</v>
      </c>
      <c r="B157" s="207" t="s">
        <v>1058</v>
      </c>
      <c r="C157" s="208" t="s">
        <v>266</v>
      </c>
      <c r="D157" s="25">
        <v>96488.93</v>
      </c>
      <c r="F157" s="25">
        <v>0</v>
      </c>
      <c r="G157" s="25">
        <v>0</v>
      </c>
      <c r="H157" s="25">
        <v>0</v>
      </c>
      <c r="J157" s="25">
        <f t="shared" si="18"/>
        <v>96488.93</v>
      </c>
      <c r="L157" s="25">
        <v>80667</v>
      </c>
      <c r="M157" s="26">
        <v>1.1961388176081915</v>
      </c>
      <c r="P157" t="s">
        <v>265</v>
      </c>
      <c r="Q157" s="206">
        <v>3087.6457599999999</v>
      </c>
      <c r="R157" s="206">
        <v>771.91143999999997</v>
      </c>
      <c r="S157" s="206">
        <v>482.44464999999997</v>
      </c>
    </row>
    <row r="158" spans="1:19" ht="12.75" customHeight="1" x14ac:dyDescent="0.3">
      <c r="A158" s="24" t="s">
        <v>1056</v>
      </c>
      <c r="B158" s="207" t="s">
        <v>1059</v>
      </c>
      <c r="C158" s="208" t="s">
        <v>263</v>
      </c>
      <c r="D158" s="25">
        <v>72607.850000000006</v>
      </c>
      <c r="F158" s="25">
        <v>0</v>
      </c>
      <c r="G158" s="25">
        <v>0</v>
      </c>
      <c r="H158" s="25">
        <v>0</v>
      </c>
      <c r="J158" s="25">
        <f t="shared" si="18"/>
        <v>72607.850000000006</v>
      </c>
      <c r="L158" s="25">
        <v>80667</v>
      </c>
      <c r="M158" s="26">
        <v>0.90009359465456762</v>
      </c>
      <c r="P158" t="s">
        <v>262</v>
      </c>
      <c r="Q158" s="206">
        <v>2323.4512000000004</v>
      </c>
      <c r="R158" s="206">
        <v>580.86280000000011</v>
      </c>
      <c r="S158" s="206"/>
    </row>
    <row r="159" spans="1:19" ht="12.75" customHeight="1" x14ac:dyDescent="0.3">
      <c r="A159" s="24" t="s">
        <v>1056</v>
      </c>
      <c r="B159" s="207" t="s">
        <v>1037</v>
      </c>
      <c r="C159" s="208" t="s">
        <v>260</v>
      </c>
      <c r="D159" s="25">
        <v>69878.070000000007</v>
      </c>
      <c r="F159" s="25">
        <v>0</v>
      </c>
      <c r="G159" s="25">
        <v>0</v>
      </c>
      <c r="H159" s="25">
        <v>0</v>
      </c>
      <c r="J159" s="25">
        <f t="shared" si="18"/>
        <v>69878.070000000007</v>
      </c>
      <c r="L159" s="25">
        <v>80667</v>
      </c>
      <c r="M159" s="26">
        <v>0.86625348655584078</v>
      </c>
      <c r="P159" t="s">
        <v>259</v>
      </c>
      <c r="Q159" s="206">
        <v>2236.0982400000003</v>
      </c>
      <c r="R159" s="206">
        <v>559.02456000000006</v>
      </c>
      <c r="S159" s="206"/>
    </row>
    <row r="160" spans="1:19" ht="12.75" customHeight="1" x14ac:dyDescent="0.3">
      <c r="A160" s="24" t="s">
        <v>1056</v>
      </c>
      <c r="B160" s="207"/>
      <c r="C160" s="208"/>
      <c r="D160" s="25">
        <v>0</v>
      </c>
      <c r="F160" s="25">
        <v>0</v>
      </c>
      <c r="G160" s="25">
        <v>0</v>
      </c>
      <c r="H160" s="25">
        <v>0</v>
      </c>
      <c r="J160" s="25">
        <f t="shared" si="18"/>
        <v>0</v>
      </c>
      <c r="L160" s="25"/>
      <c r="M160" s="26">
        <v>0</v>
      </c>
      <c r="P160"/>
      <c r="Q160" s="206"/>
      <c r="R160" s="206"/>
      <c r="S160" s="206"/>
    </row>
    <row r="161" spans="1:19" ht="12.75" customHeight="1" x14ac:dyDescent="0.3">
      <c r="A161" s="24" t="s">
        <v>1056</v>
      </c>
      <c r="B161" s="207"/>
      <c r="C161" s="208"/>
      <c r="D161" s="25">
        <v>0</v>
      </c>
      <c r="F161" s="25">
        <v>0</v>
      </c>
      <c r="G161" s="25">
        <v>0</v>
      </c>
      <c r="H161" s="25">
        <v>0</v>
      </c>
      <c r="J161" s="25">
        <f t="shared" si="18"/>
        <v>0</v>
      </c>
      <c r="L161" s="25"/>
      <c r="M161" s="26">
        <v>0</v>
      </c>
      <c r="P161"/>
      <c r="Q161" s="206"/>
      <c r="R161" s="206"/>
      <c r="S161" s="206"/>
    </row>
    <row r="162" spans="1:19" ht="12.75" customHeight="1" x14ac:dyDescent="0.3">
      <c r="A162" s="24" t="s">
        <v>1056</v>
      </c>
      <c r="B162" s="207"/>
      <c r="C162" s="208"/>
      <c r="D162" s="25">
        <v>0</v>
      </c>
      <c r="F162" s="25">
        <v>0</v>
      </c>
      <c r="G162" s="25">
        <v>0</v>
      </c>
      <c r="H162" s="25">
        <v>0</v>
      </c>
      <c r="J162" s="25">
        <f t="shared" si="18"/>
        <v>0</v>
      </c>
      <c r="L162" s="25"/>
      <c r="M162" s="26">
        <v>0</v>
      </c>
      <c r="P162"/>
      <c r="Q162" s="206"/>
      <c r="R162" s="206"/>
      <c r="S162" s="206"/>
    </row>
    <row r="163" spans="1:19" ht="12.75" customHeight="1" x14ac:dyDescent="0.3">
      <c r="A163" s="24" t="s">
        <v>1056</v>
      </c>
      <c r="B163" s="207"/>
      <c r="C163" s="208"/>
      <c r="D163" s="25">
        <v>0</v>
      </c>
      <c r="F163" s="25">
        <v>0</v>
      </c>
      <c r="G163" s="25">
        <v>0</v>
      </c>
      <c r="H163" s="25">
        <v>0</v>
      </c>
      <c r="J163" s="25">
        <f t="shared" si="18"/>
        <v>0</v>
      </c>
      <c r="L163" s="25"/>
      <c r="M163" s="26">
        <v>0</v>
      </c>
      <c r="P163"/>
      <c r="Q163" s="206"/>
      <c r="R163" s="206"/>
      <c r="S163" s="206"/>
    </row>
    <row r="164" spans="1:19" ht="12.75" customHeight="1" x14ac:dyDescent="0.3">
      <c r="A164" s="24" t="s">
        <v>1056</v>
      </c>
      <c r="B164" s="207"/>
      <c r="C164" s="208"/>
      <c r="D164" s="25">
        <v>0</v>
      </c>
      <c r="F164" s="25">
        <v>0</v>
      </c>
      <c r="G164" s="25">
        <v>0</v>
      </c>
      <c r="H164" s="25">
        <v>0</v>
      </c>
      <c r="J164" s="25">
        <f t="shared" si="18"/>
        <v>0</v>
      </c>
      <c r="L164" s="25"/>
      <c r="M164" s="26">
        <v>0</v>
      </c>
      <c r="P164"/>
      <c r="Q164" s="206"/>
      <c r="R164" s="206"/>
      <c r="S164" s="206"/>
    </row>
    <row r="165" spans="1:19" ht="12.75" customHeight="1" x14ac:dyDescent="0.3">
      <c r="A165" s="24" t="s">
        <v>1056</v>
      </c>
      <c r="B165" s="207"/>
      <c r="C165" s="208"/>
      <c r="D165" s="25">
        <v>0</v>
      </c>
      <c r="F165" s="25">
        <v>0</v>
      </c>
      <c r="G165" s="25">
        <v>0</v>
      </c>
      <c r="H165" s="25">
        <v>0</v>
      </c>
      <c r="J165" s="25">
        <f t="shared" si="18"/>
        <v>0</v>
      </c>
      <c r="L165" s="25"/>
      <c r="M165" s="26">
        <v>0</v>
      </c>
      <c r="P165"/>
      <c r="Q165" s="206"/>
      <c r="R165" s="206"/>
      <c r="S165" s="206"/>
    </row>
    <row r="166" spans="1:19" ht="12.75" customHeight="1" x14ac:dyDescent="0.3">
      <c r="A166" s="24" t="s">
        <v>1056</v>
      </c>
      <c r="B166" s="207"/>
      <c r="C166" s="208"/>
      <c r="D166" s="25">
        <v>0</v>
      </c>
      <c r="F166" s="25">
        <v>0</v>
      </c>
      <c r="G166" s="25">
        <v>0</v>
      </c>
      <c r="H166" s="25">
        <v>0</v>
      </c>
      <c r="J166" s="25">
        <f t="shared" si="18"/>
        <v>0</v>
      </c>
      <c r="L166" s="25"/>
      <c r="M166" s="26">
        <v>0</v>
      </c>
      <c r="P166"/>
      <c r="Q166" s="206"/>
      <c r="R166" s="206"/>
      <c r="S166" s="206"/>
    </row>
    <row r="167" spans="1:19" ht="12.75" customHeight="1" x14ac:dyDescent="0.3">
      <c r="A167" s="27" t="s">
        <v>8</v>
      </c>
      <c r="B167" s="28"/>
      <c r="C167" s="27"/>
      <c r="D167" s="29">
        <v>238974.86</v>
      </c>
      <c r="E167" s="29">
        <v>0</v>
      </c>
      <c r="F167" s="29">
        <v>0</v>
      </c>
      <c r="G167" s="29">
        <v>0</v>
      </c>
      <c r="H167" s="29">
        <v>0</v>
      </c>
      <c r="I167" s="29">
        <v>0</v>
      </c>
      <c r="J167" s="29">
        <f t="shared" ref="J167" si="19">SUM(J156:J166)</f>
        <v>238974.86</v>
      </c>
      <c r="L167" s="29">
        <v>242001</v>
      </c>
      <c r="P167"/>
      <c r="Q167" s="206"/>
      <c r="R167" s="206"/>
      <c r="S167" s="206"/>
    </row>
    <row r="168" spans="1:19" ht="12.75" customHeight="1" x14ac:dyDescent="0.3">
      <c r="P168"/>
      <c r="Q168" s="206"/>
      <c r="R168" s="206"/>
      <c r="S168" s="206"/>
    </row>
    <row r="169" spans="1:19" ht="12.75" customHeight="1" x14ac:dyDescent="0.3">
      <c r="P169"/>
      <c r="Q169" s="206"/>
      <c r="R169" s="206"/>
      <c r="S169" s="206"/>
    </row>
    <row r="170" spans="1:19" ht="12.75" customHeight="1" x14ac:dyDescent="0.3">
      <c r="P170"/>
      <c r="Q170" s="206"/>
      <c r="R170" s="206"/>
      <c r="S170" s="206"/>
    </row>
    <row r="171" spans="1:19" ht="12.75" customHeight="1" x14ac:dyDescent="0.3">
      <c r="P171"/>
      <c r="Q171" s="206"/>
      <c r="R171" s="206"/>
      <c r="S171" s="206"/>
    </row>
    <row r="172" spans="1:19" ht="12.75" customHeight="1" x14ac:dyDescent="0.3">
      <c r="A172" s="20" t="s">
        <v>0</v>
      </c>
      <c r="B172" s="21" t="s">
        <v>659</v>
      </c>
      <c r="C172" s="20" t="s">
        <v>660</v>
      </c>
      <c r="D172" s="21" t="s">
        <v>661</v>
      </c>
      <c r="E172" s="21" t="s">
        <v>662</v>
      </c>
      <c r="F172" s="21" t="s">
        <v>663</v>
      </c>
      <c r="G172" s="21" t="s">
        <v>664</v>
      </c>
      <c r="H172" s="21" t="s">
        <v>665</v>
      </c>
      <c r="I172" s="21" t="s">
        <v>676</v>
      </c>
      <c r="J172" s="21" t="s">
        <v>666</v>
      </c>
      <c r="L172" s="23" t="s">
        <v>667</v>
      </c>
      <c r="M172" s="23" t="s">
        <v>668</v>
      </c>
      <c r="O172" s="21" t="s">
        <v>669</v>
      </c>
      <c r="P172"/>
      <c r="Q172" s="206"/>
      <c r="R172" s="206"/>
      <c r="S172" s="206"/>
    </row>
    <row r="173" spans="1:19" ht="12.75" customHeight="1" x14ac:dyDescent="0.3">
      <c r="A173" s="24" t="s">
        <v>1060</v>
      </c>
      <c r="B173" s="207" t="s">
        <v>935</v>
      </c>
      <c r="C173" s="208" t="s">
        <v>693</v>
      </c>
      <c r="D173" s="25">
        <v>159.99</v>
      </c>
      <c r="F173" s="25">
        <v>0</v>
      </c>
      <c r="G173" s="25">
        <v>0</v>
      </c>
      <c r="H173" s="25">
        <v>0</v>
      </c>
      <c r="J173" s="25">
        <f t="shared" ref="J173:J183" si="20">SUM(D173:I173)</f>
        <v>159.99</v>
      </c>
      <c r="L173" s="25"/>
      <c r="M173" s="26">
        <v>0</v>
      </c>
      <c r="O173" s="25">
        <v>215000</v>
      </c>
      <c r="P173" t="s">
        <v>1061</v>
      </c>
      <c r="Q173" s="206">
        <v>4.4797200000000004</v>
      </c>
      <c r="R173" s="206">
        <v>1.1199300000000001</v>
      </c>
      <c r="S173" s="206"/>
    </row>
    <row r="174" spans="1:19" ht="12.75" customHeight="1" x14ac:dyDescent="0.3">
      <c r="A174" s="24" t="s">
        <v>1060</v>
      </c>
      <c r="B174" s="207" t="s">
        <v>1062</v>
      </c>
      <c r="C174" s="208" t="s">
        <v>283</v>
      </c>
      <c r="D174" s="25">
        <v>67723.91</v>
      </c>
      <c r="F174" s="25">
        <v>0</v>
      </c>
      <c r="G174" s="25">
        <v>0</v>
      </c>
      <c r="H174" s="25">
        <v>0</v>
      </c>
      <c r="J174" s="25">
        <f t="shared" si="20"/>
        <v>67723.91</v>
      </c>
      <c r="L174" s="25">
        <v>53400</v>
      </c>
      <c r="M174" s="26">
        <v>1.2682380149812735</v>
      </c>
      <c r="P174" t="s">
        <v>282</v>
      </c>
      <c r="Q174" s="206">
        <v>1896.2694800000002</v>
      </c>
      <c r="R174" s="206">
        <v>474.06737000000004</v>
      </c>
      <c r="S174" s="206">
        <v>338.61955</v>
      </c>
    </row>
    <row r="175" spans="1:19" ht="12.75" customHeight="1" x14ac:dyDescent="0.3">
      <c r="A175" s="24" t="s">
        <v>1060</v>
      </c>
      <c r="B175" s="207" t="s">
        <v>1063</v>
      </c>
      <c r="C175" s="208" t="s">
        <v>279</v>
      </c>
      <c r="D175" s="25">
        <v>48215.71</v>
      </c>
      <c r="F175" s="25">
        <v>0</v>
      </c>
      <c r="G175" s="25">
        <v>0</v>
      </c>
      <c r="H175" s="25">
        <v>0</v>
      </c>
      <c r="J175" s="25">
        <f t="shared" si="20"/>
        <v>48215.71</v>
      </c>
      <c r="L175" s="25">
        <v>53400</v>
      </c>
      <c r="M175" s="26">
        <v>0.90291591760299628</v>
      </c>
      <c r="P175" t="s">
        <v>278</v>
      </c>
      <c r="Q175" s="206">
        <v>1350.03988</v>
      </c>
      <c r="R175" s="206">
        <v>337.50997000000001</v>
      </c>
      <c r="S175" s="206"/>
    </row>
    <row r="176" spans="1:19" ht="12.75" customHeight="1" x14ac:dyDescent="0.3">
      <c r="A176" s="24" t="s">
        <v>1060</v>
      </c>
      <c r="B176" s="207" t="s">
        <v>1064</v>
      </c>
      <c r="C176" s="208" t="s">
        <v>694</v>
      </c>
      <c r="D176" s="25">
        <v>65439.05</v>
      </c>
      <c r="F176" s="25">
        <v>0</v>
      </c>
      <c r="G176" s="25">
        <v>0</v>
      </c>
      <c r="H176" s="25">
        <v>0</v>
      </c>
      <c r="J176" s="25">
        <f t="shared" si="20"/>
        <v>65439.05</v>
      </c>
      <c r="L176" s="25">
        <v>53400</v>
      </c>
      <c r="M176" s="26">
        <v>1.2254503745318353</v>
      </c>
      <c r="P176" t="s">
        <v>275</v>
      </c>
      <c r="Q176" s="206">
        <v>1832.2934</v>
      </c>
      <c r="R176" s="206">
        <v>458.07335</v>
      </c>
      <c r="S176" s="206">
        <v>327.19525000000004</v>
      </c>
    </row>
    <row r="177" spans="1:19" ht="12.75" customHeight="1" x14ac:dyDescent="0.3">
      <c r="A177" s="24" t="s">
        <v>1060</v>
      </c>
      <c r="B177" s="207" t="s">
        <v>1020</v>
      </c>
      <c r="C177" s="208" t="s">
        <v>695</v>
      </c>
      <c r="D177" s="25">
        <v>64114.65</v>
      </c>
      <c r="F177" s="25">
        <v>0</v>
      </c>
      <c r="G177" s="25">
        <v>0</v>
      </c>
      <c r="H177" s="25">
        <v>0</v>
      </c>
      <c r="J177" s="25">
        <f t="shared" si="20"/>
        <v>64114.65</v>
      </c>
      <c r="L177" s="25">
        <v>53400</v>
      </c>
      <c r="M177" s="26">
        <v>1.2006488764044945</v>
      </c>
      <c r="P177" t="s">
        <v>285</v>
      </c>
      <c r="Q177" s="206">
        <v>1795.2102</v>
      </c>
      <c r="R177" s="206">
        <v>448.80255</v>
      </c>
      <c r="S177" s="206">
        <v>320.57325000000003</v>
      </c>
    </row>
    <row r="178" spans="1:19" ht="12.75" customHeight="1" x14ac:dyDescent="0.3">
      <c r="A178" s="24" t="s">
        <v>1060</v>
      </c>
      <c r="B178" s="207" t="s">
        <v>1054</v>
      </c>
      <c r="C178" s="208" t="s">
        <v>281</v>
      </c>
      <c r="D178" s="25">
        <v>9024.51</v>
      </c>
      <c r="F178" s="25">
        <v>0</v>
      </c>
      <c r="G178" s="25">
        <v>0</v>
      </c>
      <c r="H178" s="25">
        <v>0</v>
      </c>
      <c r="J178" s="25">
        <f t="shared" si="20"/>
        <v>9024.51</v>
      </c>
      <c r="L178" s="25"/>
      <c r="M178" s="26">
        <v>0</v>
      </c>
      <c r="P178" t="s">
        <v>1065</v>
      </c>
      <c r="Q178" s="206">
        <v>252.68628000000001</v>
      </c>
      <c r="R178" s="206">
        <v>63.171570000000003</v>
      </c>
      <c r="S178" s="206"/>
    </row>
    <row r="179" spans="1:19" ht="12.75" customHeight="1" x14ac:dyDescent="0.3">
      <c r="A179" s="24" t="s">
        <v>1060</v>
      </c>
      <c r="B179" s="207" t="s">
        <v>1042</v>
      </c>
      <c r="C179" s="208" t="s">
        <v>903</v>
      </c>
      <c r="D179" s="25">
        <v>17198.97</v>
      </c>
      <c r="F179" s="25">
        <v>0</v>
      </c>
      <c r="G179" s="25">
        <v>0</v>
      </c>
      <c r="H179" s="25">
        <v>0</v>
      </c>
      <c r="J179" s="25">
        <f t="shared" si="20"/>
        <v>17198.97</v>
      </c>
      <c r="L179" s="25">
        <v>23000</v>
      </c>
      <c r="M179" s="26">
        <v>0.74778130434782619</v>
      </c>
      <c r="P179" t="s">
        <v>902</v>
      </c>
      <c r="Q179" s="206">
        <v>481.57116000000002</v>
      </c>
      <c r="R179" s="206">
        <v>120.39279000000001</v>
      </c>
      <c r="S179" s="206"/>
    </row>
    <row r="180" spans="1:19" ht="12.75" customHeight="1" x14ac:dyDescent="0.3">
      <c r="A180" s="24" t="s">
        <v>1060</v>
      </c>
      <c r="B180" s="207"/>
      <c r="C180" s="208"/>
      <c r="D180" s="25">
        <v>0</v>
      </c>
      <c r="F180" s="25">
        <v>0</v>
      </c>
      <c r="G180" s="25">
        <v>0</v>
      </c>
      <c r="H180" s="25">
        <v>0</v>
      </c>
      <c r="J180" s="25">
        <f t="shared" si="20"/>
        <v>0</v>
      </c>
      <c r="L180" s="25"/>
      <c r="M180" s="26">
        <v>0</v>
      </c>
      <c r="P180"/>
      <c r="Q180" s="206"/>
      <c r="R180" s="206"/>
      <c r="S180" s="206"/>
    </row>
    <row r="181" spans="1:19" ht="12.75" customHeight="1" x14ac:dyDescent="0.3">
      <c r="A181" s="24" t="s">
        <v>1060</v>
      </c>
      <c r="B181" s="207"/>
      <c r="C181" s="208"/>
      <c r="D181" s="25">
        <v>0</v>
      </c>
      <c r="F181" s="25">
        <v>0</v>
      </c>
      <c r="G181" s="25">
        <v>0</v>
      </c>
      <c r="H181" s="25">
        <v>0</v>
      </c>
      <c r="J181" s="25">
        <f t="shared" si="20"/>
        <v>0</v>
      </c>
      <c r="L181" s="25"/>
      <c r="M181" s="26">
        <v>0</v>
      </c>
      <c r="P181"/>
      <c r="Q181" s="206"/>
      <c r="R181" s="206"/>
      <c r="S181" s="206"/>
    </row>
    <row r="182" spans="1:19" ht="12.75" customHeight="1" x14ac:dyDescent="0.3">
      <c r="A182" s="24" t="s">
        <v>1060</v>
      </c>
      <c r="B182" s="207"/>
      <c r="C182" s="208"/>
      <c r="D182" s="25">
        <v>0</v>
      </c>
      <c r="F182" s="25">
        <v>0</v>
      </c>
      <c r="G182" s="25">
        <v>0</v>
      </c>
      <c r="H182" s="25">
        <v>0</v>
      </c>
      <c r="J182" s="25">
        <f t="shared" si="20"/>
        <v>0</v>
      </c>
      <c r="L182" s="25"/>
      <c r="M182" s="26">
        <v>0</v>
      </c>
      <c r="P182"/>
      <c r="Q182" s="206"/>
      <c r="R182" s="206"/>
      <c r="S182" s="206"/>
    </row>
    <row r="183" spans="1:19" ht="12.75" customHeight="1" x14ac:dyDescent="0.3">
      <c r="A183" s="24" t="s">
        <v>1060</v>
      </c>
      <c r="B183" s="207"/>
      <c r="C183" s="208"/>
      <c r="D183" s="25">
        <v>0</v>
      </c>
      <c r="F183" s="25">
        <v>0</v>
      </c>
      <c r="G183" s="25">
        <v>0</v>
      </c>
      <c r="H183" s="25">
        <v>0</v>
      </c>
      <c r="J183" s="25">
        <f t="shared" si="20"/>
        <v>0</v>
      </c>
      <c r="L183" s="25"/>
      <c r="M183" s="26">
        <v>0</v>
      </c>
      <c r="P183"/>
      <c r="Q183" s="206"/>
      <c r="R183" s="206"/>
      <c r="S183" s="206"/>
    </row>
    <row r="184" spans="1:19" ht="12.75" customHeight="1" x14ac:dyDescent="0.3">
      <c r="A184" s="27" t="s">
        <v>8</v>
      </c>
      <c r="B184" s="28"/>
      <c r="C184" s="27"/>
      <c r="D184" s="29">
        <v>271876.79000000004</v>
      </c>
      <c r="E184" s="29">
        <v>0</v>
      </c>
      <c r="F184" s="29">
        <v>0</v>
      </c>
      <c r="G184" s="29">
        <v>0</v>
      </c>
      <c r="H184" s="29">
        <v>0</v>
      </c>
      <c r="I184" s="29">
        <v>0</v>
      </c>
      <c r="J184" s="29">
        <f t="shared" ref="J184" si="21">SUM(J173:J183)</f>
        <v>271876.79000000004</v>
      </c>
      <c r="L184" s="29">
        <v>236600</v>
      </c>
      <c r="P184"/>
      <c r="Q184" s="206"/>
      <c r="R184" s="206"/>
      <c r="S184" s="206"/>
    </row>
    <row r="185" spans="1:19" ht="12.75" customHeight="1" x14ac:dyDescent="0.3">
      <c r="P185"/>
      <c r="Q185" s="206"/>
      <c r="R185" s="206"/>
      <c r="S185" s="206"/>
    </row>
    <row r="186" spans="1:19" ht="12.75" customHeight="1" x14ac:dyDescent="0.3">
      <c r="P186"/>
      <c r="Q186" s="206"/>
      <c r="R186" s="206"/>
      <c r="S186" s="206"/>
    </row>
    <row r="187" spans="1:19" ht="12.75" customHeight="1" x14ac:dyDescent="0.3">
      <c r="P187"/>
      <c r="Q187" s="206"/>
      <c r="R187" s="206"/>
      <c r="S187" s="206"/>
    </row>
    <row r="188" spans="1:19" ht="12.75" customHeight="1" x14ac:dyDescent="0.3">
      <c r="P188"/>
      <c r="Q188" s="206"/>
      <c r="R188" s="206"/>
      <c r="S188" s="206"/>
    </row>
    <row r="189" spans="1:19" ht="12.75" customHeight="1" x14ac:dyDescent="0.3">
      <c r="A189" s="20" t="s">
        <v>0</v>
      </c>
      <c r="B189" s="21" t="s">
        <v>659</v>
      </c>
      <c r="C189" s="20" t="s">
        <v>660</v>
      </c>
      <c r="D189" s="21" t="s">
        <v>661</v>
      </c>
      <c r="E189" s="21" t="s">
        <v>662</v>
      </c>
      <c r="F189" s="21" t="s">
        <v>663</v>
      </c>
      <c r="G189" s="21" t="s">
        <v>664</v>
      </c>
      <c r="H189" s="21" t="s">
        <v>665</v>
      </c>
      <c r="I189" s="21" t="s">
        <v>676</v>
      </c>
      <c r="J189" s="21" t="s">
        <v>666</v>
      </c>
      <c r="L189" s="23" t="s">
        <v>667</v>
      </c>
      <c r="M189" s="23" t="s">
        <v>668</v>
      </c>
      <c r="O189" s="21" t="s">
        <v>669</v>
      </c>
      <c r="P189"/>
      <c r="Q189" s="206"/>
      <c r="R189" s="206"/>
      <c r="S189" s="206"/>
    </row>
    <row r="190" spans="1:19" ht="12.75" customHeight="1" x14ac:dyDescent="0.3">
      <c r="A190" s="24" t="s">
        <v>1066</v>
      </c>
      <c r="B190" s="207" t="s">
        <v>935</v>
      </c>
      <c r="C190" s="208" t="s">
        <v>301</v>
      </c>
      <c r="D190" s="25">
        <v>2729.87</v>
      </c>
      <c r="F190" s="25">
        <v>0</v>
      </c>
      <c r="G190" s="25">
        <v>0</v>
      </c>
      <c r="H190" s="25">
        <v>0</v>
      </c>
      <c r="J190" s="25">
        <f t="shared" ref="J190:J200" si="22">SUM(D190:I190)</f>
        <v>2729.87</v>
      </c>
      <c r="L190" s="25"/>
      <c r="M190" s="26">
        <v>0</v>
      </c>
      <c r="O190" s="25">
        <v>385000</v>
      </c>
      <c r="P190" t="s">
        <v>300</v>
      </c>
      <c r="Q190" s="206">
        <v>87.355840000000001</v>
      </c>
      <c r="R190" s="206">
        <v>21.83896</v>
      </c>
      <c r="S190" s="206"/>
    </row>
    <row r="191" spans="1:19" ht="12.75" customHeight="1" x14ac:dyDescent="0.3">
      <c r="A191" s="24" t="s">
        <v>1066</v>
      </c>
      <c r="B191" s="207" t="s">
        <v>1062</v>
      </c>
      <c r="C191" s="208" t="s">
        <v>696</v>
      </c>
      <c r="D191" s="25">
        <v>65797.06</v>
      </c>
      <c r="F191" s="25">
        <v>0</v>
      </c>
      <c r="G191" s="25">
        <v>0</v>
      </c>
      <c r="H191" s="25">
        <v>0</v>
      </c>
      <c r="J191" s="25">
        <f t="shared" si="22"/>
        <v>65797.06</v>
      </c>
      <c r="L191" s="25">
        <v>65000</v>
      </c>
      <c r="M191" s="26">
        <v>1.0122624615384614</v>
      </c>
      <c r="P191" t="s">
        <v>303</v>
      </c>
      <c r="Q191" s="206">
        <v>2105.5059200000001</v>
      </c>
      <c r="R191" s="206">
        <v>526.37648000000002</v>
      </c>
      <c r="S191" s="206">
        <v>328.9853</v>
      </c>
    </row>
    <row r="192" spans="1:19" ht="12.75" customHeight="1" x14ac:dyDescent="0.3">
      <c r="A192" s="24" t="s">
        <v>1066</v>
      </c>
      <c r="B192" s="207" t="s">
        <v>1067</v>
      </c>
      <c r="C192" s="208" t="s">
        <v>697</v>
      </c>
      <c r="D192" s="25">
        <v>78885.009999999995</v>
      </c>
      <c r="F192" s="25">
        <v>0</v>
      </c>
      <c r="G192" s="25">
        <v>0</v>
      </c>
      <c r="H192" s="25">
        <v>0</v>
      </c>
      <c r="J192" s="25">
        <f t="shared" si="22"/>
        <v>78885.009999999995</v>
      </c>
      <c r="L192" s="25">
        <v>74650</v>
      </c>
      <c r="M192" s="26">
        <v>1.0567315472203616</v>
      </c>
      <c r="P192" t="s">
        <v>297</v>
      </c>
      <c r="Q192" s="206">
        <v>2524.3203199999998</v>
      </c>
      <c r="R192" s="206">
        <v>631.08007999999995</v>
      </c>
      <c r="S192" s="206">
        <v>394.42505</v>
      </c>
    </row>
    <row r="193" spans="1:19" ht="12.75" customHeight="1" x14ac:dyDescent="0.3">
      <c r="A193" s="24" t="s">
        <v>1066</v>
      </c>
      <c r="B193" s="207" t="s">
        <v>1036</v>
      </c>
      <c r="C193" s="208" t="s">
        <v>289</v>
      </c>
      <c r="D193" s="25">
        <v>73328.13</v>
      </c>
      <c r="F193" s="25">
        <v>0</v>
      </c>
      <c r="G193" s="25">
        <v>0</v>
      </c>
      <c r="H193" s="25">
        <v>0</v>
      </c>
      <c r="J193" s="25">
        <f t="shared" si="22"/>
        <v>73328.13</v>
      </c>
      <c r="L193" s="25">
        <v>74650</v>
      </c>
      <c r="M193" s="26">
        <v>0.98229243134628275</v>
      </c>
      <c r="P193" t="s">
        <v>288</v>
      </c>
      <c r="Q193" s="206">
        <v>2346.5001600000001</v>
      </c>
      <c r="R193" s="206">
        <v>586.62504000000001</v>
      </c>
      <c r="S193" s="206"/>
    </row>
    <row r="194" spans="1:19" ht="12.75" customHeight="1" x14ac:dyDescent="0.3">
      <c r="A194" s="24" t="s">
        <v>1066</v>
      </c>
      <c r="B194" s="207" t="s">
        <v>1068</v>
      </c>
      <c r="C194" s="208" t="s">
        <v>698</v>
      </c>
      <c r="D194" s="25">
        <v>74900.56</v>
      </c>
      <c r="F194" s="25">
        <v>0</v>
      </c>
      <c r="G194" s="25">
        <v>0</v>
      </c>
      <c r="H194" s="25">
        <v>0</v>
      </c>
      <c r="J194" s="25">
        <f t="shared" si="22"/>
        <v>74900.56</v>
      </c>
      <c r="L194" s="25">
        <v>74650</v>
      </c>
      <c r="M194" s="26">
        <v>1.0033564634963161</v>
      </c>
      <c r="P194" t="s">
        <v>294</v>
      </c>
      <c r="Q194" s="206">
        <v>2396.81792</v>
      </c>
      <c r="R194" s="206">
        <v>599.20447999999999</v>
      </c>
      <c r="S194" s="206">
        <v>374.50279999999998</v>
      </c>
    </row>
    <row r="195" spans="1:19" ht="12.75" customHeight="1" x14ac:dyDescent="0.3">
      <c r="A195" s="24" t="s">
        <v>1066</v>
      </c>
      <c r="B195" s="207" t="s">
        <v>1069</v>
      </c>
      <c r="C195" s="208" t="s">
        <v>310</v>
      </c>
      <c r="D195" s="25">
        <v>76160.11</v>
      </c>
      <c r="F195" s="25">
        <v>0</v>
      </c>
      <c r="G195" s="25">
        <v>0</v>
      </c>
      <c r="H195" s="25">
        <v>0</v>
      </c>
      <c r="J195" s="25">
        <f t="shared" si="22"/>
        <v>76160.11</v>
      </c>
      <c r="L195" s="25">
        <v>74650</v>
      </c>
      <c r="M195" s="26">
        <v>1.0202292029470863</v>
      </c>
      <c r="P195" t="s">
        <v>309</v>
      </c>
      <c r="Q195" s="206">
        <v>2437.1235200000001</v>
      </c>
      <c r="R195" s="206">
        <v>609.28088000000002</v>
      </c>
      <c r="S195" s="206">
        <v>380.80054999999999</v>
      </c>
    </row>
    <row r="196" spans="1:19" ht="12.75" customHeight="1" x14ac:dyDescent="0.3">
      <c r="A196" s="24" t="s">
        <v>1066</v>
      </c>
      <c r="B196" s="207" t="s">
        <v>1020</v>
      </c>
      <c r="C196" s="208" t="s">
        <v>699</v>
      </c>
      <c r="D196" s="25">
        <v>60165.46</v>
      </c>
      <c r="F196" s="25">
        <v>0</v>
      </c>
      <c r="G196" s="25">
        <v>429.99</v>
      </c>
      <c r="H196" s="25">
        <v>499.99</v>
      </c>
      <c r="J196" s="25">
        <f t="shared" si="22"/>
        <v>61095.439999999995</v>
      </c>
      <c r="L196" s="25">
        <v>60000</v>
      </c>
      <c r="M196" s="26">
        <v>1.0182573333333333</v>
      </c>
      <c r="P196" t="s">
        <v>306</v>
      </c>
      <c r="Q196" s="206">
        <v>1955.0540799999999</v>
      </c>
      <c r="R196" s="206">
        <v>488.76351999999997</v>
      </c>
      <c r="S196" s="206">
        <v>305.47719999999998</v>
      </c>
    </row>
    <row r="197" spans="1:19" ht="12.75" customHeight="1" x14ac:dyDescent="0.3">
      <c r="A197" s="24" t="s">
        <v>1066</v>
      </c>
      <c r="B197" s="207">
        <v>2</v>
      </c>
      <c r="C197" s="208"/>
      <c r="D197" s="25">
        <v>0</v>
      </c>
      <c r="F197" s="25">
        <v>0</v>
      </c>
      <c r="G197" s="25">
        <v>0</v>
      </c>
      <c r="H197" s="25">
        <v>0</v>
      </c>
      <c r="J197" s="25">
        <f t="shared" si="22"/>
        <v>0</v>
      </c>
      <c r="L197" s="25"/>
      <c r="M197" s="26">
        <v>0</v>
      </c>
      <c r="P197" t="s">
        <v>1070</v>
      </c>
      <c r="Q197" s="206">
        <v>0</v>
      </c>
      <c r="R197" s="206">
        <v>0</v>
      </c>
      <c r="S197" s="206"/>
    </row>
    <row r="198" spans="1:19" ht="12.75" customHeight="1" x14ac:dyDescent="0.3">
      <c r="A198" s="24" t="s">
        <v>1066</v>
      </c>
      <c r="B198" s="207">
        <v>2</v>
      </c>
      <c r="C198" s="208"/>
      <c r="D198" s="25">
        <v>0</v>
      </c>
      <c r="F198" s="25">
        <v>0</v>
      </c>
      <c r="G198" s="25">
        <v>0</v>
      </c>
      <c r="H198" s="25">
        <v>0</v>
      </c>
      <c r="J198" s="25">
        <f t="shared" si="22"/>
        <v>0</v>
      </c>
      <c r="L198" s="25"/>
      <c r="M198" s="26">
        <v>0</v>
      </c>
      <c r="P198" t="s">
        <v>1070</v>
      </c>
      <c r="Q198" s="206">
        <v>0</v>
      </c>
      <c r="R198" s="206">
        <v>0</v>
      </c>
      <c r="S198" s="206"/>
    </row>
    <row r="199" spans="1:19" ht="12.75" customHeight="1" x14ac:dyDescent="0.3">
      <c r="A199" s="24" t="s">
        <v>1066</v>
      </c>
      <c r="B199" s="207">
        <v>2</v>
      </c>
      <c r="C199" s="208"/>
      <c r="D199" s="25">
        <v>0</v>
      </c>
      <c r="F199" s="25">
        <v>0</v>
      </c>
      <c r="G199" s="25">
        <v>0</v>
      </c>
      <c r="H199" s="25">
        <v>0</v>
      </c>
      <c r="J199" s="25">
        <f t="shared" si="22"/>
        <v>0</v>
      </c>
      <c r="L199" s="25"/>
      <c r="M199" s="26">
        <v>0</v>
      </c>
      <c r="P199" t="s">
        <v>1070</v>
      </c>
      <c r="Q199" s="206">
        <v>0</v>
      </c>
      <c r="R199" s="206">
        <v>0</v>
      </c>
      <c r="S199" s="206"/>
    </row>
    <row r="200" spans="1:19" ht="12.75" customHeight="1" x14ac:dyDescent="0.3">
      <c r="A200" s="24" t="s">
        <v>1066</v>
      </c>
      <c r="B200" s="207">
        <v>2</v>
      </c>
      <c r="C200" s="208"/>
      <c r="D200" s="25">
        <v>0</v>
      </c>
      <c r="F200" s="25">
        <v>0</v>
      </c>
      <c r="G200" s="25">
        <v>0</v>
      </c>
      <c r="H200" s="25">
        <v>0</v>
      </c>
      <c r="J200" s="25">
        <f t="shared" si="22"/>
        <v>0</v>
      </c>
      <c r="L200" s="25"/>
      <c r="M200" s="26">
        <v>0</v>
      </c>
      <c r="P200" t="s">
        <v>1070</v>
      </c>
      <c r="Q200" s="206">
        <v>0</v>
      </c>
      <c r="R200" s="206">
        <v>0</v>
      </c>
      <c r="S200" s="206"/>
    </row>
    <row r="201" spans="1:19" ht="12.75" customHeight="1" x14ac:dyDescent="0.3">
      <c r="A201" s="27" t="s">
        <v>8</v>
      </c>
      <c r="B201" s="28"/>
      <c r="C201" s="27"/>
      <c r="D201" s="29">
        <v>431966.2</v>
      </c>
      <c r="E201" s="29">
        <v>0</v>
      </c>
      <c r="F201" s="29">
        <v>0</v>
      </c>
      <c r="G201" s="29">
        <v>429.99</v>
      </c>
      <c r="H201" s="29">
        <v>499.99</v>
      </c>
      <c r="I201" s="29">
        <v>0</v>
      </c>
      <c r="J201" s="29">
        <f t="shared" ref="J201" si="23">SUM(J190:J200)</f>
        <v>432896.18</v>
      </c>
      <c r="L201" s="29">
        <v>423600</v>
      </c>
      <c r="P201"/>
      <c r="Q201" s="206"/>
      <c r="R201" s="206"/>
      <c r="S201" s="206"/>
    </row>
    <row r="202" spans="1:19" ht="12.75" customHeight="1" x14ac:dyDescent="0.3">
      <c r="P202"/>
      <c r="Q202" s="206"/>
      <c r="R202" s="206"/>
      <c r="S202" s="206"/>
    </row>
    <row r="203" spans="1:19" ht="12.75" customHeight="1" x14ac:dyDescent="0.3">
      <c r="P203"/>
      <c r="Q203" s="206"/>
      <c r="R203" s="206"/>
      <c r="S203" s="206"/>
    </row>
    <row r="204" spans="1:19" ht="12.75" customHeight="1" x14ac:dyDescent="0.3">
      <c r="P204"/>
      <c r="Q204" s="206"/>
      <c r="R204" s="206"/>
      <c r="S204" s="206"/>
    </row>
    <row r="205" spans="1:19" ht="12.75" customHeight="1" x14ac:dyDescent="0.3">
      <c r="P205"/>
      <c r="Q205" s="206"/>
      <c r="R205" s="206"/>
      <c r="S205" s="206"/>
    </row>
    <row r="206" spans="1:19" ht="12.75" customHeight="1" x14ac:dyDescent="0.3">
      <c r="A206" s="20" t="s">
        <v>0</v>
      </c>
      <c r="B206" s="21" t="s">
        <v>659</v>
      </c>
      <c r="C206" s="20" t="s">
        <v>660</v>
      </c>
      <c r="D206" s="21" t="s">
        <v>661</v>
      </c>
      <c r="E206" s="21" t="s">
        <v>662</v>
      </c>
      <c r="F206" s="21" t="s">
        <v>663</v>
      </c>
      <c r="G206" s="21" t="s">
        <v>664</v>
      </c>
      <c r="H206" s="21" t="s">
        <v>665</v>
      </c>
      <c r="I206" s="21" t="s">
        <v>676</v>
      </c>
      <c r="J206" s="21" t="s">
        <v>666</v>
      </c>
      <c r="L206" s="23" t="s">
        <v>667</v>
      </c>
      <c r="M206" s="23" t="s">
        <v>668</v>
      </c>
      <c r="O206" s="21" t="s">
        <v>669</v>
      </c>
      <c r="P206"/>
      <c r="Q206" s="206"/>
      <c r="R206" s="206"/>
      <c r="S206" s="206"/>
    </row>
    <row r="207" spans="1:19" ht="12.75" customHeight="1" x14ac:dyDescent="0.3">
      <c r="A207" s="24" t="s">
        <v>1071</v>
      </c>
      <c r="B207" s="207" t="s">
        <v>1011</v>
      </c>
      <c r="C207" s="208" t="s">
        <v>313</v>
      </c>
      <c r="D207" s="25">
        <v>4371.8</v>
      </c>
      <c r="F207" s="25">
        <v>0</v>
      </c>
      <c r="G207" s="25">
        <v>0</v>
      </c>
      <c r="H207" s="25">
        <v>0</v>
      </c>
      <c r="J207" s="25">
        <f t="shared" ref="J207:J217" si="24">SUM(D207:I207)</f>
        <v>4371.8</v>
      </c>
      <c r="L207" s="25"/>
      <c r="M207" s="26">
        <v>0</v>
      </c>
      <c r="O207" s="25">
        <v>160000</v>
      </c>
      <c r="P207" t="s">
        <v>312</v>
      </c>
      <c r="Q207" s="206">
        <v>139.89760000000001</v>
      </c>
      <c r="R207" s="206">
        <v>34.974400000000003</v>
      </c>
      <c r="S207" s="206"/>
    </row>
    <row r="208" spans="1:19" ht="12.75" customHeight="1" x14ac:dyDescent="0.3">
      <c r="A208" s="24" t="s">
        <v>1071</v>
      </c>
      <c r="B208" s="207" t="s">
        <v>876</v>
      </c>
      <c r="C208" s="208"/>
      <c r="D208" s="25">
        <v>0</v>
      </c>
      <c r="F208" s="25">
        <v>0</v>
      </c>
      <c r="G208" s="25">
        <v>0</v>
      </c>
      <c r="H208" s="25">
        <v>0</v>
      </c>
      <c r="J208" s="25">
        <f t="shared" si="24"/>
        <v>0</v>
      </c>
      <c r="L208" s="25"/>
      <c r="M208" s="26">
        <v>0</v>
      </c>
      <c r="P208" t="s">
        <v>318</v>
      </c>
      <c r="Q208" s="206">
        <v>0</v>
      </c>
      <c r="R208" s="206">
        <v>0</v>
      </c>
      <c r="S208" s="206"/>
    </row>
    <row r="209" spans="1:19" ht="12.75" customHeight="1" x14ac:dyDescent="0.3">
      <c r="A209" s="24" t="s">
        <v>1071</v>
      </c>
      <c r="B209" s="207" t="s">
        <v>1072</v>
      </c>
      <c r="C209" s="208" t="s">
        <v>316</v>
      </c>
      <c r="D209" s="25">
        <v>39487.449999999997</v>
      </c>
      <c r="F209" s="25">
        <v>0</v>
      </c>
      <c r="G209" s="25">
        <v>0</v>
      </c>
      <c r="H209" s="25">
        <v>0</v>
      </c>
      <c r="J209" s="25">
        <f t="shared" si="24"/>
        <v>39487.449999999997</v>
      </c>
      <c r="L209" s="25">
        <v>58667</v>
      </c>
      <c r="M209" s="26">
        <v>0.67307770978573978</v>
      </c>
      <c r="P209" t="s">
        <v>315</v>
      </c>
      <c r="Q209" s="206">
        <v>1263.5983999999999</v>
      </c>
      <c r="R209" s="206">
        <v>315.89959999999996</v>
      </c>
      <c r="S209" s="206"/>
    </row>
    <row r="210" spans="1:19" ht="12.75" customHeight="1" x14ac:dyDescent="0.3">
      <c r="A210" s="24" t="s">
        <v>1071</v>
      </c>
      <c r="B210" s="207" t="s">
        <v>1073</v>
      </c>
      <c r="C210" s="208" t="s">
        <v>322</v>
      </c>
      <c r="D210" s="25">
        <v>77523.56</v>
      </c>
      <c r="F210" s="25">
        <v>0</v>
      </c>
      <c r="G210" s="25">
        <v>0</v>
      </c>
      <c r="H210" s="25">
        <v>299.99</v>
      </c>
      <c r="J210" s="25">
        <f t="shared" si="24"/>
        <v>77823.55</v>
      </c>
      <c r="L210" s="25">
        <v>58667</v>
      </c>
      <c r="M210" s="26">
        <v>1.3265302469872331</v>
      </c>
      <c r="P210" t="s">
        <v>321</v>
      </c>
      <c r="Q210" s="206">
        <v>2490.3536000000004</v>
      </c>
      <c r="R210" s="206">
        <v>622.58840000000009</v>
      </c>
      <c r="S210" s="206">
        <v>389.11775</v>
      </c>
    </row>
    <row r="211" spans="1:19" ht="12.75" customHeight="1" x14ac:dyDescent="0.3">
      <c r="A211" s="24" t="s">
        <v>1071</v>
      </c>
      <c r="B211" s="207" t="s">
        <v>1074</v>
      </c>
      <c r="C211" s="208" t="s">
        <v>325</v>
      </c>
      <c r="D211" s="25">
        <v>39049.629999999997</v>
      </c>
      <c r="F211" s="25">
        <v>0</v>
      </c>
      <c r="G211" s="25">
        <v>0</v>
      </c>
      <c r="H211" s="25">
        <v>0</v>
      </c>
      <c r="J211" s="25">
        <f t="shared" si="24"/>
        <v>39049.629999999997</v>
      </c>
      <c r="L211" s="25">
        <v>58667</v>
      </c>
      <c r="M211" s="26">
        <v>0.66561491127891315</v>
      </c>
      <c r="P211" t="s">
        <v>324</v>
      </c>
      <c r="Q211" s="206">
        <v>1249.58816</v>
      </c>
      <c r="R211" s="206">
        <v>312.39704</v>
      </c>
      <c r="S211" s="206"/>
    </row>
    <row r="212" spans="1:19" ht="12.75" customHeight="1" x14ac:dyDescent="0.3">
      <c r="A212" s="24" t="s">
        <v>1071</v>
      </c>
      <c r="B212" s="207"/>
      <c r="C212" s="208"/>
      <c r="D212" s="25">
        <v>0</v>
      </c>
      <c r="F212" s="25">
        <v>0</v>
      </c>
      <c r="G212" s="25">
        <v>0</v>
      </c>
      <c r="H212" s="25">
        <v>0</v>
      </c>
      <c r="J212" s="25">
        <f t="shared" si="24"/>
        <v>0</v>
      </c>
      <c r="L212" s="25"/>
      <c r="M212" s="26">
        <v>0</v>
      </c>
      <c r="P212"/>
      <c r="Q212" s="206"/>
      <c r="R212" s="206"/>
      <c r="S212" s="206"/>
    </row>
    <row r="213" spans="1:19" ht="12.75" customHeight="1" x14ac:dyDescent="0.3">
      <c r="A213" s="24" t="s">
        <v>1071</v>
      </c>
      <c r="B213" s="207"/>
      <c r="C213" s="208"/>
      <c r="D213" s="25">
        <v>0</v>
      </c>
      <c r="F213" s="25">
        <v>0</v>
      </c>
      <c r="G213" s="25">
        <v>0</v>
      </c>
      <c r="H213" s="25">
        <v>0</v>
      </c>
      <c r="J213" s="25">
        <f t="shared" si="24"/>
        <v>0</v>
      </c>
      <c r="L213" s="25"/>
      <c r="M213" s="26">
        <v>0</v>
      </c>
      <c r="P213"/>
      <c r="Q213" s="206"/>
      <c r="R213" s="206"/>
      <c r="S213" s="206"/>
    </row>
    <row r="214" spans="1:19" ht="12.75" customHeight="1" x14ac:dyDescent="0.3">
      <c r="A214" s="24" t="s">
        <v>1071</v>
      </c>
      <c r="B214" s="207"/>
      <c r="C214" s="208"/>
      <c r="D214" s="25">
        <v>0</v>
      </c>
      <c r="F214" s="25">
        <v>0</v>
      </c>
      <c r="G214" s="25">
        <v>0</v>
      </c>
      <c r="H214" s="25">
        <v>0</v>
      </c>
      <c r="J214" s="25">
        <f t="shared" si="24"/>
        <v>0</v>
      </c>
      <c r="L214" s="25"/>
      <c r="M214" s="26">
        <v>0</v>
      </c>
      <c r="P214"/>
      <c r="Q214" s="206"/>
      <c r="R214" s="206"/>
      <c r="S214" s="206"/>
    </row>
    <row r="215" spans="1:19" ht="12.75" customHeight="1" x14ac:dyDescent="0.3">
      <c r="A215" s="24" t="s">
        <v>1071</v>
      </c>
      <c r="B215" s="207"/>
      <c r="C215" s="208"/>
      <c r="D215" s="25">
        <v>0</v>
      </c>
      <c r="F215" s="25">
        <v>0</v>
      </c>
      <c r="G215" s="25">
        <v>0</v>
      </c>
      <c r="H215" s="25">
        <v>0</v>
      </c>
      <c r="J215" s="25">
        <f t="shared" si="24"/>
        <v>0</v>
      </c>
      <c r="L215" s="25"/>
      <c r="M215" s="26">
        <v>0</v>
      </c>
      <c r="P215"/>
      <c r="Q215" s="206"/>
      <c r="R215" s="206"/>
      <c r="S215" s="206"/>
    </row>
    <row r="216" spans="1:19" ht="12.75" customHeight="1" x14ac:dyDescent="0.3">
      <c r="A216" s="24" t="s">
        <v>1071</v>
      </c>
      <c r="B216" s="207"/>
      <c r="C216" s="208"/>
      <c r="D216" s="25">
        <v>0</v>
      </c>
      <c r="F216" s="25">
        <v>0</v>
      </c>
      <c r="G216" s="25">
        <v>0</v>
      </c>
      <c r="H216" s="25">
        <v>0</v>
      </c>
      <c r="J216" s="25">
        <f t="shared" si="24"/>
        <v>0</v>
      </c>
      <c r="L216" s="25"/>
      <c r="M216" s="26">
        <v>0</v>
      </c>
      <c r="P216"/>
      <c r="Q216" s="206"/>
      <c r="R216" s="206"/>
      <c r="S216" s="206"/>
    </row>
    <row r="217" spans="1:19" ht="12.75" customHeight="1" x14ac:dyDescent="0.3">
      <c r="A217" s="24" t="s">
        <v>1071</v>
      </c>
      <c r="B217" s="207"/>
      <c r="C217" s="208"/>
      <c r="D217" s="25">
        <v>0</v>
      </c>
      <c r="F217" s="25">
        <v>0</v>
      </c>
      <c r="G217" s="25">
        <v>0</v>
      </c>
      <c r="H217" s="25">
        <v>0</v>
      </c>
      <c r="J217" s="25">
        <f t="shared" si="24"/>
        <v>0</v>
      </c>
      <c r="L217" s="25"/>
      <c r="M217" s="26">
        <v>0</v>
      </c>
      <c r="P217"/>
      <c r="Q217" s="206"/>
      <c r="R217" s="206"/>
      <c r="S217" s="206"/>
    </row>
    <row r="218" spans="1:19" ht="12.75" customHeight="1" x14ac:dyDescent="0.3">
      <c r="A218" s="27" t="s">
        <v>8</v>
      </c>
      <c r="B218" s="28"/>
      <c r="C218" s="27"/>
      <c r="D218" s="29">
        <v>160432.44</v>
      </c>
      <c r="E218" s="29">
        <v>0</v>
      </c>
      <c r="F218" s="29">
        <v>0</v>
      </c>
      <c r="G218" s="29">
        <v>0</v>
      </c>
      <c r="H218" s="29">
        <v>299.99</v>
      </c>
      <c r="I218" s="29">
        <v>0</v>
      </c>
      <c r="J218" s="29">
        <f t="shared" ref="J218" si="25">SUM(J207:J217)</f>
        <v>160732.43</v>
      </c>
      <c r="L218" s="29">
        <v>176001</v>
      </c>
      <c r="P218"/>
      <c r="Q218" s="206"/>
      <c r="R218" s="206"/>
      <c r="S218" s="206"/>
    </row>
    <row r="219" spans="1:19" ht="12.75" customHeight="1" x14ac:dyDescent="0.3">
      <c r="P219"/>
      <c r="Q219" s="206"/>
      <c r="R219" s="206"/>
      <c r="S219" s="206"/>
    </row>
    <row r="220" spans="1:19" ht="12.75" customHeight="1" x14ac:dyDescent="0.3">
      <c r="P220"/>
      <c r="Q220" s="206"/>
      <c r="R220" s="206"/>
      <c r="S220" s="206"/>
    </row>
    <row r="221" spans="1:19" ht="12.75" customHeight="1" x14ac:dyDescent="0.3">
      <c r="P221"/>
      <c r="Q221" s="206"/>
      <c r="R221" s="206"/>
      <c r="S221" s="206"/>
    </row>
    <row r="222" spans="1:19" ht="12.75" customHeight="1" x14ac:dyDescent="0.3">
      <c r="P222"/>
      <c r="Q222" s="206"/>
      <c r="R222" s="206"/>
      <c r="S222" s="206"/>
    </row>
    <row r="223" spans="1:19" ht="12.75" customHeight="1" x14ac:dyDescent="0.3">
      <c r="A223" s="20" t="s">
        <v>0</v>
      </c>
      <c r="B223" s="21" t="s">
        <v>659</v>
      </c>
      <c r="C223" s="20" t="s">
        <v>660</v>
      </c>
      <c r="D223" s="21" t="s">
        <v>661</v>
      </c>
      <c r="E223" s="21" t="s">
        <v>662</v>
      </c>
      <c r="F223" s="21" t="s">
        <v>663</v>
      </c>
      <c r="G223" s="21" t="s">
        <v>664</v>
      </c>
      <c r="H223" s="21" t="s">
        <v>665</v>
      </c>
      <c r="I223" s="21" t="s">
        <v>676</v>
      </c>
      <c r="J223" s="21" t="s">
        <v>666</v>
      </c>
      <c r="L223" s="23" t="s">
        <v>667</v>
      </c>
      <c r="M223" s="23" t="s">
        <v>668</v>
      </c>
      <c r="O223" s="21" t="s">
        <v>669</v>
      </c>
      <c r="P223"/>
      <c r="Q223" s="206"/>
      <c r="R223" s="206"/>
      <c r="S223" s="206"/>
    </row>
    <row r="224" spans="1:19" ht="12.75" customHeight="1" x14ac:dyDescent="0.3">
      <c r="A224" s="24" t="s">
        <v>1075</v>
      </c>
      <c r="B224" s="207" t="s">
        <v>1076</v>
      </c>
      <c r="C224" s="208" t="s">
        <v>331</v>
      </c>
      <c r="D224" s="25">
        <v>129449.92</v>
      </c>
      <c r="F224" s="25">
        <v>0</v>
      </c>
      <c r="G224" s="25">
        <v>0</v>
      </c>
      <c r="H224" s="25">
        <v>0</v>
      </c>
      <c r="J224" s="25">
        <f t="shared" ref="J224:J234" si="26">SUM(D224:I224)</f>
        <v>129449.92</v>
      </c>
      <c r="L224" s="25">
        <v>82500</v>
      </c>
      <c r="M224" s="26">
        <v>1.5690899393939395</v>
      </c>
      <c r="O224" s="25">
        <v>450000</v>
      </c>
      <c r="P224" t="s">
        <v>330</v>
      </c>
      <c r="Q224" s="206">
        <v>3624.5977600000001</v>
      </c>
      <c r="R224" s="206">
        <v>906.14944000000003</v>
      </c>
      <c r="S224" s="206">
        <v>647.24959999999999</v>
      </c>
    </row>
    <row r="225" spans="1:19" ht="12.75" customHeight="1" x14ac:dyDescent="0.3">
      <c r="A225" s="24" t="s">
        <v>1075</v>
      </c>
      <c r="B225" s="207" t="s">
        <v>1062</v>
      </c>
      <c r="C225" s="208" t="s">
        <v>349</v>
      </c>
      <c r="D225" s="25">
        <v>81715.929999999993</v>
      </c>
      <c r="F225" s="25">
        <v>0</v>
      </c>
      <c r="G225" s="25">
        <v>1899.97</v>
      </c>
      <c r="H225" s="25">
        <v>0</v>
      </c>
      <c r="J225" s="25">
        <f t="shared" si="26"/>
        <v>83615.899999999994</v>
      </c>
      <c r="L225" s="25">
        <v>82500</v>
      </c>
      <c r="M225" s="26">
        <v>1.0135260606060605</v>
      </c>
      <c r="P225" t="s">
        <v>348</v>
      </c>
      <c r="Q225" s="206">
        <v>2341.2451999999998</v>
      </c>
      <c r="R225" s="206">
        <v>585.31129999999996</v>
      </c>
      <c r="S225" s="206">
        <v>418.0795</v>
      </c>
    </row>
    <row r="226" spans="1:19" ht="12.75" customHeight="1" x14ac:dyDescent="0.3">
      <c r="A226" s="24" t="s">
        <v>1075</v>
      </c>
      <c r="B226" s="207" t="s">
        <v>1036</v>
      </c>
      <c r="C226" s="208" t="s">
        <v>337</v>
      </c>
      <c r="D226" s="25">
        <v>112859.84</v>
      </c>
      <c r="F226" s="25">
        <v>0</v>
      </c>
      <c r="G226" s="25">
        <v>0</v>
      </c>
      <c r="H226" s="25">
        <v>0</v>
      </c>
      <c r="J226" s="25">
        <f t="shared" si="26"/>
        <v>112859.84</v>
      </c>
      <c r="L226" s="25">
        <v>82500</v>
      </c>
      <c r="M226" s="26">
        <v>1.3679980606060607</v>
      </c>
      <c r="P226" t="s">
        <v>336</v>
      </c>
      <c r="Q226" s="206">
        <v>3160.0755199999999</v>
      </c>
      <c r="R226" s="206">
        <v>790.01887999999997</v>
      </c>
      <c r="S226" s="206">
        <v>564.29920000000004</v>
      </c>
    </row>
    <row r="227" spans="1:19" ht="12.75" customHeight="1" x14ac:dyDescent="0.3">
      <c r="A227" s="24" t="s">
        <v>1075</v>
      </c>
      <c r="B227" s="207" t="s">
        <v>1077</v>
      </c>
      <c r="C227" s="208" t="s">
        <v>346</v>
      </c>
      <c r="D227" s="25">
        <v>67166.97</v>
      </c>
      <c r="F227" s="25">
        <v>0</v>
      </c>
      <c r="G227" s="25">
        <v>0</v>
      </c>
      <c r="H227" s="25">
        <v>0</v>
      </c>
      <c r="J227" s="25">
        <f t="shared" si="26"/>
        <v>67166.97</v>
      </c>
      <c r="L227" s="25">
        <v>82500</v>
      </c>
      <c r="M227" s="26">
        <v>0.81414509090909093</v>
      </c>
      <c r="P227" t="s">
        <v>345</v>
      </c>
      <c r="Q227" s="206">
        <v>1880.67516</v>
      </c>
      <c r="R227" s="206">
        <v>470.16879</v>
      </c>
      <c r="S227" s="206"/>
    </row>
    <row r="228" spans="1:19" ht="12.75" customHeight="1" x14ac:dyDescent="0.3">
      <c r="A228" s="24" t="s">
        <v>1075</v>
      </c>
      <c r="B228" s="207" t="s">
        <v>1064</v>
      </c>
      <c r="C228" s="208" t="s">
        <v>1078</v>
      </c>
      <c r="D228" s="25">
        <v>97540.76</v>
      </c>
      <c r="F228" s="25">
        <v>0</v>
      </c>
      <c r="G228" s="25">
        <v>0</v>
      </c>
      <c r="H228" s="25">
        <v>0</v>
      </c>
      <c r="J228" s="25">
        <f t="shared" si="26"/>
        <v>97540.76</v>
      </c>
      <c r="L228" s="25">
        <v>82500</v>
      </c>
      <c r="M228" s="26">
        <v>1.1823122424242423</v>
      </c>
      <c r="P228" t="s">
        <v>333</v>
      </c>
      <c r="Q228" s="206">
        <v>2731.1412799999998</v>
      </c>
      <c r="R228" s="206">
        <v>682.78531999999996</v>
      </c>
      <c r="S228" s="206">
        <v>487.7038</v>
      </c>
    </row>
    <row r="229" spans="1:19" ht="12.75" customHeight="1" x14ac:dyDescent="0.3">
      <c r="A229" s="24" t="s">
        <v>1075</v>
      </c>
      <c r="B229" s="207" t="s">
        <v>1020</v>
      </c>
      <c r="C229" s="208" t="s">
        <v>328</v>
      </c>
      <c r="D229" s="25">
        <v>87615.66</v>
      </c>
      <c r="F229" s="25">
        <v>0</v>
      </c>
      <c r="G229" s="25">
        <v>0</v>
      </c>
      <c r="H229" s="25">
        <v>0</v>
      </c>
      <c r="J229" s="25">
        <f t="shared" si="26"/>
        <v>87615.66</v>
      </c>
      <c r="L229" s="25">
        <v>82500</v>
      </c>
      <c r="M229" s="26">
        <v>1.0620080000000001</v>
      </c>
      <c r="P229" t="s">
        <v>327</v>
      </c>
      <c r="Q229" s="206">
        <v>2453.23848</v>
      </c>
      <c r="R229" s="206">
        <v>613.30962</v>
      </c>
      <c r="S229" s="206">
        <v>438.07830000000001</v>
      </c>
    </row>
    <row r="230" spans="1:19" ht="12.75" customHeight="1" x14ac:dyDescent="0.3">
      <c r="A230" s="24" t="s">
        <v>1075</v>
      </c>
      <c r="B230" s="207" t="s">
        <v>1079</v>
      </c>
      <c r="C230" s="208" t="s">
        <v>692</v>
      </c>
      <c r="D230" s="25">
        <v>2241.89</v>
      </c>
      <c r="F230" s="25">
        <v>0</v>
      </c>
      <c r="G230" s="25">
        <v>0</v>
      </c>
      <c r="H230" s="25">
        <v>0</v>
      </c>
      <c r="J230" s="25">
        <f t="shared" si="26"/>
        <v>2241.89</v>
      </c>
      <c r="L230" s="25"/>
      <c r="M230" s="26">
        <v>0</v>
      </c>
      <c r="P230" t="s">
        <v>1080</v>
      </c>
      <c r="Q230" s="206">
        <v>62.772919999999999</v>
      </c>
      <c r="R230" s="206">
        <v>15.69323</v>
      </c>
      <c r="S230" s="206"/>
    </row>
    <row r="231" spans="1:19" ht="12.75" customHeight="1" x14ac:dyDescent="0.3">
      <c r="A231" s="24" t="s">
        <v>1075</v>
      </c>
      <c r="B231" s="207"/>
      <c r="C231" s="208"/>
      <c r="D231" s="25">
        <v>0</v>
      </c>
      <c r="F231" s="25">
        <v>0</v>
      </c>
      <c r="G231" s="25">
        <v>0</v>
      </c>
      <c r="H231" s="25">
        <v>0</v>
      </c>
      <c r="J231" s="25">
        <f t="shared" si="26"/>
        <v>0</v>
      </c>
      <c r="L231" s="25"/>
      <c r="M231" s="26">
        <v>0</v>
      </c>
      <c r="P231"/>
      <c r="Q231" s="206"/>
      <c r="R231" s="206"/>
      <c r="S231" s="206"/>
    </row>
    <row r="232" spans="1:19" ht="12.75" customHeight="1" x14ac:dyDescent="0.3">
      <c r="A232" s="24" t="s">
        <v>1075</v>
      </c>
      <c r="B232" s="207"/>
      <c r="C232" s="208"/>
      <c r="D232" s="25">
        <v>0</v>
      </c>
      <c r="F232" s="25">
        <v>0</v>
      </c>
      <c r="G232" s="25">
        <v>0</v>
      </c>
      <c r="H232" s="25">
        <v>0</v>
      </c>
      <c r="J232" s="25">
        <f t="shared" si="26"/>
        <v>0</v>
      </c>
      <c r="L232" s="25"/>
      <c r="M232" s="26">
        <v>0</v>
      </c>
      <c r="P232"/>
      <c r="Q232" s="206"/>
      <c r="R232" s="206"/>
      <c r="S232" s="206"/>
    </row>
    <row r="233" spans="1:19" ht="12.75" customHeight="1" x14ac:dyDescent="0.3">
      <c r="A233" s="24" t="s">
        <v>1075</v>
      </c>
      <c r="B233" s="36"/>
      <c r="C233" s="208"/>
      <c r="D233" s="25">
        <v>0</v>
      </c>
      <c r="F233" s="25">
        <v>0</v>
      </c>
      <c r="G233" s="25">
        <v>0</v>
      </c>
      <c r="H233" s="25">
        <v>0</v>
      </c>
      <c r="J233" s="25">
        <f t="shared" si="26"/>
        <v>0</v>
      </c>
      <c r="L233" s="25"/>
      <c r="M233" s="26">
        <v>0</v>
      </c>
      <c r="P233"/>
      <c r="Q233" s="206"/>
      <c r="R233" s="206"/>
      <c r="S233" s="206"/>
    </row>
    <row r="234" spans="1:19" ht="12.75" customHeight="1" x14ac:dyDescent="0.3">
      <c r="A234" s="24" t="s">
        <v>1075</v>
      </c>
      <c r="B234" s="207"/>
      <c r="C234" s="208"/>
      <c r="D234" s="25">
        <v>0</v>
      </c>
      <c r="F234" s="25">
        <v>0</v>
      </c>
      <c r="G234" s="25">
        <v>0</v>
      </c>
      <c r="H234" s="25">
        <v>0</v>
      </c>
      <c r="J234" s="25">
        <f t="shared" si="26"/>
        <v>0</v>
      </c>
      <c r="L234" s="25"/>
      <c r="M234" s="26">
        <v>0</v>
      </c>
      <c r="P234"/>
      <c r="Q234" s="206"/>
      <c r="R234" s="206"/>
      <c r="S234" s="206"/>
    </row>
    <row r="235" spans="1:19" ht="12.75" customHeight="1" x14ac:dyDescent="0.3">
      <c r="A235" s="27" t="s">
        <v>8</v>
      </c>
      <c r="B235" s="28"/>
      <c r="C235" s="27"/>
      <c r="D235" s="29">
        <v>578590.97</v>
      </c>
      <c r="E235" s="29">
        <v>0</v>
      </c>
      <c r="F235" s="29">
        <v>0</v>
      </c>
      <c r="G235" s="29">
        <v>1899.97</v>
      </c>
      <c r="H235" s="29">
        <v>0</v>
      </c>
      <c r="I235" s="29">
        <v>0</v>
      </c>
      <c r="J235" s="29">
        <f t="shared" ref="J235" si="27">SUM(J224:J234)</f>
        <v>580490.94000000006</v>
      </c>
      <c r="L235" s="29">
        <v>495000</v>
      </c>
      <c r="P235"/>
      <c r="Q235" s="206"/>
      <c r="R235" s="206"/>
      <c r="S235" s="206"/>
    </row>
    <row r="236" spans="1:19" ht="12.75" customHeight="1" x14ac:dyDescent="0.3">
      <c r="P236"/>
      <c r="Q236" s="206"/>
      <c r="R236" s="206"/>
      <c r="S236" s="206"/>
    </row>
    <row r="237" spans="1:19" ht="12.75" customHeight="1" x14ac:dyDescent="0.3">
      <c r="P237"/>
      <c r="Q237" s="206"/>
      <c r="R237" s="206"/>
      <c r="S237" s="206"/>
    </row>
    <row r="238" spans="1:19" ht="12.75" customHeight="1" x14ac:dyDescent="0.3">
      <c r="P238"/>
      <c r="Q238" s="206"/>
      <c r="R238" s="206"/>
      <c r="S238" s="206"/>
    </row>
    <row r="239" spans="1:19" ht="12.75" customHeight="1" x14ac:dyDescent="0.3">
      <c r="P239"/>
      <c r="Q239" s="206"/>
      <c r="R239" s="206"/>
      <c r="S239" s="206"/>
    </row>
    <row r="240" spans="1:19" ht="12.75" customHeight="1" x14ac:dyDescent="0.3">
      <c r="A240" s="20" t="s">
        <v>0</v>
      </c>
      <c r="B240" s="21" t="s">
        <v>659</v>
      </c>
      <c r="C240" s="20" t="s">
        <v>660</v>
      </c>
      <c r="D240" s="21" t="s">
        <v>661</v>
      </c>
      <c r="E240" s="21" t="s">
        <v>662</v>
      </c>
      <c r="F240" s="21" t="s">
        <v>663</v>
      </c>
      <c r="G240" s="21" t="s">
        <v>664</v>
      </c>
      <c r="H240" s="21" t="s">
        <v>665</v>
      </c>
      <c r="I240" s="21" t="s">
        <v>676</v>
      </c>
      <c r="J240" s="21" t="s">
        <v>666</v>
      </c>
      <c r="L240" s="23" t="s">
        <v>667</v>
      </c>
      <c r="M240" s="23" t="s">
        <v>668</v>
      </c>
      <c r="O240" s="21" t="s">
        <v>669</v>
      </c>
      <c r="P240"/>
      <c r="Q240" s="206"/>
      <c r="R240" s="206"/>
      <c r="S240" s="206"/>
    </row>
    <row r="241" spans="1:19" ht="12.75" customHeight="1" x14ac:dyDescent="0.3">
      <c r="A241" s="24" t="s">
        <v>873</v>
      </c>
      <c r="B241" s="207" t="s">
        <v>1081</v>
      </c>
      <c r="C241" s="208" t="s">
        <v>367</v>
      </c>
      <c r="D241" s="25">
        <v>1131.93</v>
      </c>
      <c r="F241" s="25">
        <v>0</v>
      </c>
      <c r="G241" s="25">
        <v>0</v>
      </c>
      <c r="H241" s="25">
        <v>0</v>
      </c>
      <c r="J241" s="25">
        <f t="shared" ref="J241:J251" si="28">SUM(D241:I241)</f>
        <v>1131.93</v>
      </c>
      <c r="L241" s="25"/>
      <c r="M241" s="26">
        <v>0</v>
      </c>
      <c r="O241" s="25">
        <v>220000</v>
      </c>
      <c r="P241" t="s">
        <v>366</v>
      </c>
      <c r="Q241" s="206">
        <v>36.221760000000003</v>
      </c>
      <c r="R241" s="206">
        <v>9.0554400000000008</v>
      </c>
      <c r="S241" s="206"/>
    </row>
    <row r="242" spans="1:19" ht="12.75" customHeight="1" x14ac:dyDescent="0.3">
      <c r="A242" s="24" t="s">
        <v>873</v>
      </c>
      <c r="B242" s="207" t="s">
        <v>1082</v>
      </c>
      <c r="C242" s="208" t="s">
        <v>700</v>
      </c>
      <c r="D242" s="25">
        <v>75979.03</v>
      </c>
      <c r="F242" s="25">
        <v>0</v>
      </c>
      <c r="G242" s="25">
        <v>0</v>
      </c>
      <c r="H242" s="25">
        <v>0</v>
      </c>
      <c r="J242" s="25">
        <f t="shared" si="28"/>
        <v>75979.03</v>
      </c>
      <c r="L242" s="25">
        <v>70000</v>
      </c>
      <c r="M242" s="26">
        <v>1.0854147142857142</v>
      </c>
      <c r="P242" t="s">
        <v>360</v>
      </c>
      <c r="Q242" s="206">
        <v>2431.3289599999998</v>
      </c>
      <c r="R242" s="206">
        <v>607.83223999999996</v>
      </c>
      <c r="S242" s="206">
        <v>379.89515</v>
      </c>
    </row>
    <row r="243" spans="1:19" ht="12.75" customHeight="1" x14ac:dyDescent="0.3">
      <c r="A243" s="24" t="s">
        <v>873</v>
      </c>
      <c r="B243" s="207" t="s">
        <v>1083</v>
      </c>
      <c r="C243" s="208" t="s">
        <v>370</v>
      </c>
      <c r="D243" s="25">
        <v>80749.34</v>
      </c>
      <c r="F243" s="25">
        <v>0</v>
      </c>
      <c r="G243" s="25">
        <v>329.99</v>
      </c>
      <c r="H243" s="25">
        <v>0</v>
      </c>
      <c r="J243" s="25">
        <f t="shared" si="28"/>
        <v>81079.33</v>
      </c>
      <c r="L243" s="25">
        <v>70000</v>
      </c>
      <c r="M243" s="26">
        <v>1.1582761428571429</v>
      </c>
      <c r="P243" t="s">
        <v>369</v>
      </c>
      <c r="Q243" s="206">
        <v>2594.53856</v>
      </c>
      <c r="R243" s="206">
        <v>648.63463999999999</v>
      </c>
      <c r="S243" s="206">
        <v>405.39665000000002</v>
      </c>
    </row>
    <row r="244" spans="1:19" ht="12.75" customHeight="1" x14ac:dyDescent="0.3">
      <c r="A244" s="24" t="s">
        <v>873</v>
      </c>
      <c r="B244" s="207" t="s">
        <v>1055</v>
      </c>
      <c r="C244" s="208" t="s">
        <v>358</v>
      </c>
      <c r="D244" s="25">
        <v>25725.27</v>
      </c>
      <c r="F244" s="25">
        <v>0</v>
      </c>
      <c r="G244" s="25">
        <v>0</v>
      </c>
      <c r="H244" s="25">
        <v>0</v>
      </c>
      <c r="J244" s="25">
        <f t="shared" si="28"/>
        <v>25725.27</v>
      </c>
      <c r="L244" s="25">
        <v>32000</v>
      </c>
      <c r="M244" s="26">
        <v>0.80391468750000006</v>
      </c>
      <c r="P244" t="s">
        <v>357</v>
      </c>
      <c r="Q244" s="206">
        <v>823.20864000000006</v>
      </c>
      <c r="R244" s="206">
        <v>205.80216000000001</v>
      </c>
      <c r="S244" s="206"/>
    </row>
    <row r="245" spans="1:19" ht="12.75" customHeight="1" x14ac:dyDescent="0.3">
      <c r="A245" s="24" t="s">
        <v>873</v>
      </c>
      <c r="B245" s="207" t="s">
        <v>1027</v>
      </c>
      <c r="C245" s="208" t="s">
        <v>701</v>
      </c>
      <c r="D245" s="25">
        <v>77777.55</v>
      </c>
      <c r="F245" s="25">
        <v>0</v>
      </c>
      <c r="G245" s="25">
        <v>0</v>
      </c>
      <c r="H245" s="25">
        <v>0</v>
      </c>
      <c r="J245" s="25">
        <f t="shared" si="28"/>
        <v>77777.55</v>
      </c>
      <c r="L245" s="25">
        <v>70000</v>
      </c>
      <c r="M245" s="26">
        <v>1.1111078571428572</v>
      </c>
      <c r="P245" t="s">
        <v>372</v>
      </c>
      <c r="Q245" s="206">
        <v>2488.8816000000002</v>
      </c>
      <c r="R245" s="206">
        <v>622.22040000000004</v>
      </c>
      <c r="S245" s="206">
        <v>388.88775000000004</v>
      </c>
    </row>
    <row r="246" spans="1:19" ht="12.75" customHeight="1" x14ac:dyDescent="0.3">
      <c r="A246" s="24" t="s">
        <v>873</v>
      </c>
      <c r="B246" s="207"/>
      <c r="C246" s="208"/>
      <c r="D246" s="25">
        <v>0</v>
      </c>
      <c r="F246" s="25">
        <v>0</v>
      </c>
      <c r="G246" s="25">
        <v>0</v>
      </c>
      <c r="H246" s="25">
        <v>0</v>
      </c>
      <c r="J246" s="25">
        <f t="shared" si="28"/>
        <v>0</v>
      </c>
      <c r="L246" s="25"/>
      <c r="M246" s="26">
        <v>0</v>
      </c>
      <c r="P246"/>
      <c r="Q246" s="206"/>
      <c r="R246" s="206"/>
      <c r="S246" s="206"/>
    </row>
    <row r="247" spans="1:19" ht="12.75" customHeight="1" x14ac:dyDescent="0.3">
      <c r="A247" s="24" t="s">
        <v>873</v>
      </c>
      <c r="B247" s="207"/>
      <c r="C247" s="208"/>
      <c r="D247" s="25">
        <v>0</v>
      </c>
      <c r="F247" s="25">
        <v>0</v>
      </c>
      <c r="G247" s="25">
        <v>0</v>
      </c>
      <c r="H247" s="25">
        <v>0</v>
      </c>
      <c r="J247" s="25">
        <f t="shared" si="28"/>
        <v>0</v>
      </c>
      <c r="L247" s="25"/>
      <c r="M247" s="26">
        <v>0</v>
      </c>
      <c r="P247"/>
      <c r="Q247" s="206"/>
      <c r="R247" s="206"/>
      <c r="S247" s="206"/>
    </row>
    <row r="248" spans="1:19" ht="12.75" customHeight="1" x14ac:dyDescent="0.3">
      <c r="A248" s="24" t="s">
        <v>873</v>
      </c>
      <c r="B248" s="207"/>
      <c r="C248" s="208"/>
      <c r="D248" s="25">
        <v>0</v>
      </c>
      <c r="F248" s="25">
        <v>0</v>
      </c>
      <c r="G248" s="25">
        <v>0</v>
      </c>
      <c r="H248" s="25">
        <v>0</v>
      </c>
      <c r="J248" s="25">
        <f t="shared" si="28"/>
        <v>0</v>
      </c>
      <c r="L248" s="25"/>
      <c r="M248" s="26">
        <v>0</v>
      </c>
      <c r="P248"/>
      <c r="Q248" s="206"/>
      <c r="R248" s="206"/>
      <c r="S248" s="206"/>
    </row>
    <row r="249" spans="1:19" ht="12.75" customHeight="1" x14ac:dyDescent="0.3">
      <c r="A249" s="24" t="s">
        <v>873</v>
      </c>
      <c r="B249" s="207"/>
      <c r="C249" s="208"/>
      <c r="D249" s="25">
        <v>0</v>
      </c>
      <c r="F249" s="25">
        <v>0</v>
      </c>
      <c r="G249" s="25">
        <v>0</v>
      </c>
      <c r="H249" s="25">
        <v>0</v>
      </c>
      <c r="J249" s="25">
        <f t="shared" si="28"/>
        <v>0</v>
      </c>
      <c r="L249" s="25"/>
      <c r="M249" s="26">
        <v>0</v>
      </c>
      <c r="P249"/>
      <c r="Q249" s="206"/>
      <c r="R249" s="206"/>
      <c r="S249" s="206"/>
    </row>
    <row r="250" spans="1:19" ht="12.75" customHeight="1" x14ac:dyDescent="0.3">
      <c r="A250" s="24" t="s">
        <v>873</v>
      </c>
      <c r="B250" s="207"/>
      <c r="C250" s="208"/>
      <c r="D250" s="25">
        <v>0</v>
      </c>
      <c r="F250" s="25">
        <v>0</v>
      </c>
      <c r="G250" s="25">
        <v>0</v>
      </c>
      <c r="H250" s="25">
        <v>0</v>
      </c>
      <c r="J250" s="25">
        <f t="shared" si="28"/>
        <v>0</v>
      </c>
      <c r="L250" s="25"/>
      <c r="M250" s="26">
        <v>0</v>
      </c>
      <c r="P250"/>
      <c r="Q250" s="206"/>
      <c r="R250" s="206"/>
      <c r="S250" s="206"/>
    </row>
    <row r="251" spans="1:19" ht="12.75" customHeight="1" x14ac:dyDescent="0.3">
      <c r="A251" s="24" t="s">
        <v>873</v>
      </c>
      <c r="B251" s="207"/>
      <c r="C251" s="208"/>
      <c r="D251" s="25">
        <v>0</v>
      </c>
      <c r="F251" s="25">
        <v>0</v>
      </c>
      <c r="G251" s="25">
        <v>0</v>
      </c>
      <c r="H251" s="25">
        <v>0</v>
      </c>
      <c r="J251" s="25">
        <f t="shared" si="28"/>
        <v>0</v>
      </c>
      <c r="L251" s="25"/>
      <c r="M251" s="26">
        <v>0</v>
      </c>
      <c r="P251"/>
      <c r="Q251" s="206"/>
      <c r="R251" s="206"/>
      <c r="S251" s="206"/>
    </row>
    <row r="252" spans="1:19" ht="12.75" customHeight="1" x14ac:dyDescent="0.3">
      <c r="A252" s="27" t="s">
        <v>8</v>
      </c>
      <c r="B252" s="28"/>
      <c r="C252" s="27"/>
      <c r="D252" s="29">
        <v>261363.12</v>
      </c>
      <c r="E252" s="29">
        <v>0</v>
      </c>
      <c r="F252" s="29">
        <v>0</v>
      </c>
      <c r="G252" s="29">
        <v>329.99</v>
      </c>
      <c r="H252" s="29">
        <v>0</v>
      </c>
      <c r="I252" s="29">
        <v>0</v>
      </c>
      <c r="J252" s="29">
        <f t="shared" ref="J252" si="29">SUM(J241:J251)</f>
        <v>261693.11</v>
      </c>
      <c r="L252" s="29">
        <v>242000</v>
      </c>
      <c r="P252"/>
      <c r="Q252" s="206"/>
      <c r="R252" s="206"/>
      <c r="S252" s="206"/>
    </row>
    <row r="253" spans="1:19" ht="12.75" customHeight="1" x14ac:dyDescent="0.3">
      <c r="P253"/>
      <c r="Q253" s="206"/>
      <c r="R253" s="206"/>
      <c r="S253" s="206"/>
    </row>
    <row r="254" spans="1:19" ht="12.75" customHeight="1" x14ac:dyDescent="0.3">
      <c r="P254"/>
      <c r="Q254" s="206"/>
      <c r="R254" s="206"/>
      <c r="S254" s="206"/>
    </row>
    <row r="255" spans="1:19" ht="12.75" customHeight="1" x14ac:dyDescent="0.3">
      <c r="P255"/>
      <c r="Q255" s="206"/>
      <c r="R255" s="206"/>
      <c r="S255" s="206"/>
    </row>
    <row r="256" spans="1:19" ht="12.75" customHeight="1" x14ac:dyDescent="0.3">
      <c r="P256"/>
      <c r="Q256" s="206"/>
      <c r="R256" s="206"/>
      <c r="S256" s="206"/>
    </row>
    <row r="257" spans="1:19" ht="12.75" customHeight="1" x14ac:dyDescent="0.3">
      <c r="A257" s="20" t="s">
        <v>0</v>
      </c>
      <c r="B257" s="21" t="s">
        <v>659</v>
      </c>
      <c r="C257" s="20" t="s">
        <v>660</v>
      </c>
      <c r="D257" s="21" t="s">
        <v>661</v>
      </c>
      <c r="E257" s="21" t="s">
        <v>662</v>
      </c>
      <c r="F257" s="21" t="s">
        <v>663</v>
      </c>
      <c r="G257" s="21" t="s">
        <v>664</v>
      </c>
      <c r="H257" s="21" t="s">
        <v>665</v>
      </c>
      <c r="I257" s="21" t="s">
        <v>676</v>
      </c>
      <c r="J257" s="21" t="s">
        <v>666</v>
      </c>
      <c r="L257" s="23" t="s">
        <v>667</v>
      </c>
      <c r="M257" s="23" t="s">
        <v>668</v>
      </c>
      <c r="O257" s="21" t="s">
        <v>669</v>
      </c>
      <c r="P257"/>
      <c r="Q257" s="206"/>
      <c r="R257" s="206"/>
      <c r="S257" s="206"/>
    </row>
    <row r="258" spans="1:19" ht="12.75" customHeight="1" x14ac:dyDescent="0.3">
      <c r="A258" s="24" t="s">
        <v>1084</v>
      </c>
      <c r="B258" s="207" t="s">
        <v>1062</v>
      </c>
      <c r="C258" s="208" t="s">
        <v>702</v>
      </c>
      <c r="D258" s="25">
        <v>11193.56</v>
      </c>
      <c r="F258" s="25">
        <v>0</v>
      </c>
      <c r="G258" s="25">
        <v>0</v>
      </c>
      <c r="H258" s="25">
        <v>0</v>
      </c>
      <c r="J258" s="25">
        <f t="shared" ref="J258:J268" si="30">SUM(D258:I258)</f>
        <v>11193.56</v>
      </c>
      <c r="L258" s="25"/>
      <c r="M258" s="26">
        <v>0</v>
      </c>
      <c r="O258" s="25">
        <v>235000</v>
      </c>
      <c r="P258" t="s">
        <v>384</v>
      </c>
      <c r="Q258" s="206">
        <v>358.19391999999999</v>
      </c>
      <c r="R258" s="206">
        <v>89.548479999999998</v>
      </c>
      <c r="S258" s="206"/>
    </row>
    <row r="259" spans="1:19" ht="12.75" customHeight="1" x14ac:dyDescent="0.3">
      <c r="A259" s="24" t="s">
        <v>1084</v>
      </c>
      <c r="B259" s="207" t="s">
        <v>1085</v>
      </c>
      <c r="C259" s="208" t="s">
        <v>376</v>
      </c>
      <c r="D259" s="25">
        <v>83994.05</v>
      </c>
      <c r="F259" s="25">
        <v>0</v>
      </c>
      <c r="G259" s="25">
        <v>0</v>
      </c>
      <c r="H259" s="25">
        <v>0</v>
      </c>
      <c r="J259" s="25">
        <f t="shared" si="30"/>
        <v>83994.05</v>
      </c>
      <c r="L259" s="25">
        <v>71000</v>
      </c>
      <c r="M259" s="26">
        <v>1.1830147887323945</v>
      </c>
      <c r="P259" t="s">
        <v>375</v>
      </c>
      <c r="Q259" s="206">
        <v>2687.8096</v>
      </c>
      <c r="R259" s="206">
        <v>671.95240000000001</v>
      </c>
      <c r="S259" s="206">
        <v>419.97025000000002</v>
      </c>
    </row>
    <row r="260" spans="1:19" ht="12.75" customHeight="1" x14ac:dyDescent="0.3">
      <c r="A260" s="24" t="s">
        <v>1084</v>
      </c>
      <c r="B260" s="207" t="s">
        <v>1086</v>
      </c>
      <c r="C260" s="208" t="s">
        <v>388</v>
      </c>
      <c r="D260" s="25">
        <v>109355.81</v>
      </c>
      <c r="F260" s="25">
        <v>0</v>
      </c>
      <c r="G260" s="25">
        <v>0</v>
      </c>
      <c r="H260" s="25">
        <v>0</v>
      </c>
      <c r="J260" s="25">
        <f t="shared" si="30"/>
        <v>109355.81</v>
      </c>
      <c r="L260" s="25">
        <v>93750</v>
      </c>
      <c r="M260" s="26">
        <v>1.1664619733333332</v>
      </c>
      <c r="P260" t="s">
        <v>387</v>
      </c>
      <c r="Q260" s="206">
        <v>3499.3859200000002</v>
      </c>
      <c r="R260" s="206">
        <v>874.84648000000004</v>
      </c>
      <c r="S260" s="206">
        <v>546.77904999999998</v>
      </c>
    </row>
    <row r="261" spans="1:19" ht="12.75" customHeight="1" x14ac:dyDescent="0.3">
      <c r="A261" s="24" t="s">
        <v>1084</v>
      </c>
      <c r="B261" s="207" t="s">
        <v>1068</v>
      </c>
      <c r="C261" s="208" t="s">
        <v>703</v>
      </c>
      <c r="D261" s="25">
        <v>102493.23</v>
      </c>
      <c r="F261" s="25">
        <v>0</v>
      </c>
      <c r="G261" s="25">
        <v>0</v>
      </c>
      <c r="H261" s="25">
        <v>0</v>
      </c>
      <c r="J261" s="25">
        <f t="shared" si="30"/>
        <v>102493.23</v>
      </c>
      <c r="L261" s="25">
        <v>93750</v>
      </c>
      <c r="M261" s="26">
        <v>1.09326112</v>
      </c>
      <c r="P261" t="s">
        <v>381</v>
      </c>
      <c r="Q261" s="206">
        <v>3279.7833599999999</v>
      </c>
      <c r="R261" s="206">
        <v>819.94583999999998</v>
      </c>
      <c r="S261" s="206">
        <v>512.46614999999997</v>
      </c>
    </row>
    <row r="262" spans="1:19" ht="12.75" customHeight="1" x14ac:dyDescent="0.3">
      <c r="A262" s="24" t="s">
        <v>1084</v>
      </c>
      <c r="B262" s="207"/>
      <c r="C262" s="208"/>
      <c r="D262" s="25">
        <v>0</v>
      </c>
      <c r="F262" s="25">
        <v>0</v>
      </c>
      <c r="G262" s="25">
        <v>0</v>
      </c>
      <c r="H262" s="25">
        <v>0</v>
      </c>
      <c r="J262" s="25">
        <f t="shared" si="30"/>
        <v>0</v>
      </c>
      <c r="L262" s="25"/>
      <c r="M262" s="26">
        <v>0</v>
      </c>
      <c r="P262"/>
      <c r="Q262" s="206"/>
      <c r="R262" s="206"/>
      <c r="S262" s="206"/>
    </row>
    <row r="263" spans="1:19" ht="12.75" customHeight="1" x14ac:dyDescent="0.3">
      <c r="A263" s="24" t="s">
        <v>1084</v>
      </c>
      <c r="B263" s="207"/>
      <c r="C263" s="208"/>
      <c r="D263" s="25">
        <v>0</v>
      </c>
      <c r="F263" s="25">
        <v>0</v>
      </c>
      <c r="G263" s="25">
        <v>0</v>
      </c>
      <c r="H263" s="25">
        <v>0</v>
      </c>
      <c r="J263" s="25">
        <f t="shared" si="30"/>
        <v>0</v>
      </c>
      <c r="L263" s="25"/>
      <c r="M263" s="26">
        <v>0</v>
      </c>
      <c r="P263"/>
      <c r="Q263" s="206"/>
      <c r="R263" s="206"/>
      <c r="S263" s="206"/>
    </row>
    <row r="264" spans="1:19" ht="12.75" customHeight="1" x14ac:dyDescent="0.3">
      <c r="A264" s="24" t="s">
        <v>1084</v>
      </c>
      <c r="B264" s="207"/>
      <c r="C264" s="208"/>
      <c r="D264" s="25">
        <v>0</v>
      </c>
      <c r="F264" s="25">
        <v>0</v>
      </c>
      <c r="G264" s="25">
        <v>0</v>
      </c>
      <c r="H264" s="25">
        <v>0</v>
      </c>
      <c r="J264" s="25">
        <f t="shared" si="30"/>
        <v>0</v>
      </c>
      <c r="L264" s="25"/>
      <c r="M264" s="26">
        <v>0</v>
      </c>
      <c r="P264"/>
      <c r="Q264" s="206"/>
      <c r="R264" s="206"/>
      <c r="S264" s="206"/>
    </row>
    <row r="265" spans="1:19" ht="12.75" customHeight="1" x14ac:dyDescent="0.3">
      <c r="A265" s="24" t="s">
        <v>1084</v>
      </c>
      <c r="B265" s="207"/>
      <c r="C265" s="208"/>
      <c r="D265" s="25">
        <v>0</v>
      </c>
      <c r="F265" s="25">
        <v>0</v>
      </c>
      <c r="G265" s="25">
        <v>0</v>
      </c>
      <c r="H265" s="25">
        <v>0</v>
      </c>
      <c r="J265" s="25">
        <f t="shared" si="30"/>
        <v>0</v>
      </c>
      <c r="L265" s="25"/>
      <c r="M265" s="26">
        <v>0</v>
      </c>
      <c r="P265"/>
      <c r="Q265" s="206"/>
      <c r="R265" s="206"/>
      <c r="S265" s="206"/>
    </row>
    <row r="266" spans="1:19" ht="12.75" customHeight="1" x14ac:dyDescent="0.3">
      <c r="A266" s="24" t="s">
        <v>1084</v>
      </c>
      <c r="B266" s="207"/>
      <c r="C266" s="208"/>
      <c r="D266" s="25">
        <v>0</v>
      </c>
      <c r="F266" s="25">
        <v>0</v>
      </c>
      <c r="G266" s="25">
        <v>0</v>
      </c>
      <c r="H266" s="25">
        <v>0</v>
      </c>
      <c r="J266" s="25">
        <f t="shared" si="30"/>
        <v>0</v>
      </c>
      <c r="L266" s="25"/>
      <c r="M266" s="26">
        <v>0</v>
      </c>
      <c r="P266"/>
      <c r="Q266" s="206"/>
      <c r="R266" s="206"/>
      <c r="S266" s="206"/>
    </row>
    <row r="267" spans="1:19" ht="12.75" customHeight="1" x14ac:dyDescent="0.3">
      <c r="A267" s="24" t="s">
        <v>1084</v>
      </c>
      <c r="B267" s="207"/>
      <c r="C267" s="208"/>
      <c r="D267" s="25">
        <v>0</v>
      </c>
      <c r="F267" s="25">
        <v>0</v>
      </c>
      <c r="G267" s="25">
        <v>0</v>
      </c>
      <c r="H267" s="25">
        <v>0</v>
      </c>
      <c r="J267" s="25">
        <f t="shared" si="30"/>
        <v>0</v>
      </c>
      <c r="L267" s="25"/>
      <c r="M267" s="26">
        <v>0</v>
      </c>
      <c r="P267"/>
      <c r="Q267" s="206"/>
      <c r="R267" s="206"/>
      <c r="S267" s="206"/>
    </row>
    <row r="268" spans="1:19" ht="12.75" customHeight="1" x14ac:dyDescent="0.3">
      <c r="A268" s="24" t="s">
        <v>1084</v>
      </c>
      <c r="B268" s="207"/>
      <c r="C268" s="208"/>
      <c r="D268" s="25">
        <v>0</v>
      </c>
      <c r="F268" s="25">
        <v>0</v>
      </c>
      <c r="G268" s="25">
        <v>0</v>
      </c>
      <c r="H268" s="25">
        <v>0</v>
      </c>
      <c r="J268" s="25">
        <f t="shared" si="30"/>
        <v>0</v>
      </c>
      <c r="L268" s="25"/>
      <c r="M268" s="26">
        <v>0</v>
      </c>
      <c r="P268"/>
      <c r="Q268" s="206"/>
      <c r="R268" s="206"/>
      <c r="S268" s="206"/>
    </row>
    <row r="269" spans="1:19" ht="12.75" customHeight="1" x14ac:dyDescent="0.3">
      <c r="A269" s="27" t="s">
        <v>8</v>
      </c>
      <c r="B269" s="28"/>
      <c r="C269" s="27"/>
      <c r="D269" s="29">
        <v>307036.64999999997</v>
      </c>
      <c r="E269" s="29">
        <v>0</v>
      </c>
      <c r="F269" s="29">
        <v>0</v>
      </c>
      <c r="G269" s="29">
        <v>0</v>
      </c>
      <c r="H269" s="29">
        <v>0</v>
      </c>
      <c r="I269" s="29">
        <v>0</v>
      </c>
      <c r="J269" s="29">
        <f t="shared" ref="J269" si="31">SUM(J258:J268)</f>
        <v>307036.64999999997</v>
      </c>
      <c r="L269" s="29">
        <v>258500</v>
      </c>
      <c r="P269"/>
      <c r="Q269" s="206"/>
      <c r="R269" s="206"/>
      <c r="S269" s="206"/>
    </row>
    <row r="270" spans="1:19" ht="12.75" customHeight="1" x14ac:dyDescent="0.3">
      <c r="P270"/>
      <c r="Q270" s="206"/>
      <c r="R270" s="206"/>
      <c r="S270" s="206"/>
    </row>
    <row r="271" spans="1:19" ht="12.75" customHeight="1" x14ac:dyDescent="0.3">
      <c r="P271"/>
      <c r="Q271" s="206"/>
      <c r="R271" s="206"/>
      <c r="S271" s="206"/>
    </row>
    <row r="272" spans="1:19" ht="12.75" customHeight="1" x14ac:dyDescent="0.3">
      <c r="P272"/>
      <c r="Q272" s="206"/>
      <c r="R272" s="206"/>
      <c r="S272" s="206"/>
    </row>
    <row r="273" spans="1:19" ht="12.75" customHeight="1" x14ac:dyDescent="0.3">
      <c r="P273"/>
      <c r="Q273" s="206"/>
      <c r="R273" s="206"/>
      <c r="S273" s="206"/>
    </row>
    <row r="274" spans="1:19" ht="12.75" customHeight="1" x14ac:dyDescent="0.3">
      <c r="A274" s="20" t="s">
        <v>0</v>
      </c>
      <c r="B274" s="21" t="s">
        <v>659</v>
      </c>
      <c r="C274" s="20" t="s">
        <v>660</v>
      </c>
      <c r="D274" s="21" t="s">
        <v>661</v>
      </c>
      <c r="E274" s="21" t="s">
        <v>662</v>
      </c>
      <c r="F274" s="21" t="s">
        <v>663</v>
      </c>
      <c r="G274" s="21" t="s">
        <v>664</v>
      </c>
      <c r="H274" s="21" t="s">
        <v>665</v>
      </c>
      <c r="I274" s="21" t="s">
        <v>676</v>
      </c>
      <c r="J274" s="21" t="s">
        <v>666</v>
      </c>
      <c r="L274" s="23" t="s">
        <v>667</v>
      </c>
      <c r="M274" s="23" t="s">
        <v>668</v>
      </c>
      <c r="O274" s="21" t="s">
        <v>669</v>
      </c>
      <c r="P274"/>
      <c r="Q274" s="206"/>
      <c r="R274" s="206"/>
      <c r="S274" s="206"/>
    </row>
    <row r="275" spans="1:19" ht="12.75" customHeight="1" x14ac:dyDescent="0.3">
      <c r="A275" s="24" t="s">
        <v>1087</v>
      </c>
      <c r="B275" s="207" t="s">
        <v>1088</v>
      </c>
      <c r="C275" s="208" t="s">
        <v>400</v>
      </c>
      <c r="D275" s="25">
        <v>77412.25</v>
      </c>
      <c r="F275" s="25">
        <v>899.99</v>
      </c>
      <c r="G275" s="25">
        <v>0</v>
      </c>
      <c r="H275" s="25">
        <v>1144.97</v>
      </c>
      <c r="J275" s="25">
        <f t="shared" ref="J275:J285" si="32">SUM(D275:I275)</f>
        <v>79457.210000000006</v>
      </c>
      <c r="L275" s="25">
        <v>69667</v>
      </c>
      <c r="M275" s="26">
        <v>1.1405286577576186</v>
      </c>
      <c r="O275" s="25">
        <v>380000</v>
      </c>
      <c r="P275" t="s">
        <v>399</v>
      </c>
      <c r="Q275" s="206">
        <v>2542.6307200000001</v>
      </c>
      <c r="R275" s="206">
        <v>635.65768000000003</v>
      </c>
      <c r="S275" s="206">
        <v>397.28605000000005</v>
      </c>
    </row>
    <row r="276" spans="1:19" ht="12.75" customHeight="1" x14ac:dyDescent="0.3">
      <c r="A276" s="24" t="s">
        <v>1087</v>
      </c>
      <c r="B276" s="207" t="s">
        <v>1089</v>
      </c>
      <c r="C276" s="208" t="s">
        <v>394</v>
      </c>
      <c r="D276" s="25">
        <v>71986.47</v>
      </c>
      <c r="E276" s="25">
        <v>4899.95</v>
      </c>
      <c r="F276" s="25">
        <v>0</v>
      </c>
      <c r="G276" s="25">
        <v>0</v>
      </c>
      <c r="H276" s="25">
        <v>1179.98</v>
      </c>
      <c r="J276" s="25">
        <f t="shared" si="32"/>
        <v>78066.399999999994</v>
      </c>
      <c r="L276" s="25">
        <v>69667</v>
      </c>
      <c r="M276" s="26">
        <v>1.1205649733733332</v>
      </c>
      <c r="P276" t="s">
        <v>393</v>
      </c>
      <c r="Q276" s="206">
        <v>2498.1248000000001</v>
      </c>
      <c r="R276" s="206">
        <v>624.53120000000001</v>
      </c>
      <c r="S276" s="206">
        <v>390.33199999999999</v>
      </c>
    </row>
    <row r="277" spans="1:19" ht="12.75" customHeight="1" x14ac:dyDescent="0.3">
      <c r="A277" s="24" t="s">
        <v>1087</v>
      </c>
      <c r="B277" s="207" t="s">
        <v>876</v>
      </c>
      <c r="C277" s="208" t="s">
        <v>409</v>
      </c>
      <c r="D277" s="25">
        <v>4470.83</v>
      </c>
      <c r="F277" s="25">
        <v>0</v>
      </c>
      <c r="G277" s="25">
        <v>0</v>
      </c>
      <c r="H277" s="25">
        <v>0</v>
      </c>
      <c r="J277" s="25">
        <f t="shared" si="32"/>
        <v>4470.83</v>
      </c>
      <c r="L277" s="25"/>
      <c r="M277" s="26">
        <v>0</v>
      </c>
      <c r="P277" t="s">
        <v>408</v>
      </c>
      <c r="Q277" s="206">
        <v>143.06656000000001</v>
      </c>
      <c r="R277" s="206">
        <v>35.766640000000002</v>
      </c>
      <c r="S277" s="206"/>
    </row>
    <row r="278" spans="1:19" ht="12.75" customHeight="1" x14ac:dyDescent="0.3">
      <c r="A278" s="24" t="s">
        <v>1087</v>
      </c>
      <c r="B278" s="207" t="s">
        <v>1090</v>
      </c>
      <c r="C278" s="208" t="s">
        <v>391</v>
      </c>
      <c r="D278" s="25">
        <v>70423.06</v>
      </c>
      <c r="F278" s="25">
        <v>0</v>
      </c>
      <c r="G278" s="25">
        <v>0</v>
      </c>
      <c r="H278" s="25">
        <v>549.99</v>
      </c>
      <c r="J278" s="25">
        <f t="shared" si="32"/>
        <v>70973.05</v>
      </c>
      <c r="L278" s="25">
        <v>69667</v>
      </c>
      <c r="M278" s="26">
        <v>1.0187470394878493</v>
      </c>
      <c r="P278" t="s">
        <v>390</v>
      </c>
      <c r="Q278" s="206">
        <v>2271.1376</v>
      </c>
      <c r="R278" s="206">
        <v>567.78440000000001</v>
      </c>
      <c r="S278" s="206">
        <v>354.86525</v>
      </c>
    </row>
    <row r="279" spans="1:19" ht="12.75" customHeight="1" x14ac:dyDescent="0.3">
      <c r="A279" s="24" t="s">
        <v>1087</v>
      </c>
      <c r="B279" s="207" t="s">
        <v>872</v>
      </c>
      <c r="C279" s="208" t="s">
        <v>397</v>
      </c>
      <c r="D279" s="25">
        <v>57363.44</v>
      </c>
      <c r="F279" s="25">
        <v>0</v>
      </c>
      <c r="G279" s="25">
        <v>0</v>
      </c>
      <c r="H279" s="25">
        <v>44.99</v>
      </c>
      <c r="J279" s="25">
        <f t="shared" si="32"/>
        <v>57408.43</v>
      </c>
      <c r="L279" s="25">
        <v>69667</v>
      </c>
      <c r="M279" s="26">
        <v>0.82404050698322018</v>
      </c>
      <c r="P279" t="s">
        <v>396</v>
      </c>
      <c r="Q279" s="206">
        <v>1837.0697600000001</v>
      </c>
      <c r="R279" s="206">
        <v>459.26744000000002</v>
      </c>
      <c r="S279" s="206"/>
    </row>
    <row r="280" spans="1:19" ht="12.75" customHeight="1" x14ac:dyDescent="0.3">
      <c r="A280" s="24" t="s">
        <v>1087</v>
      </c>
      <c r="B280" s="207" t="s">
        <v>1072</v>
      </c>
      <c r="C280" s="208" t="s">
        <v>704</v>
      </c>
      <c r="D280" s="25">
        <v>72113.929999999993</v>
      </c>
      <c r="F280" s="25">
        <v>0</v>
      </c>
      <c r="G280" s="25">
        <v>0</v>
      </c>
      <c r="H280" s="25">
        <v>1529.98</v>
      </c>
      <c r="J280" s="25">
        <f t="shared" si="32"/>
        <v>73643.909999999989</v>
      </c>
      <c r="L280" s="25">
        <v>69667</v>
      </c>
      <c r="M280" s="26">
        <v>1.0570845594040219</v>
      </c>
      <c r="P280" t="s">
        <v>405</v>
      </c>
      <c r="Q280" s="206">
        <v>2356.6051199999997</v>
      </c>
      <c r="R280" s="206">
        <v>589.15127999999993</v>
      </c>
      <c r="S280" s="206">
        <v>368.21954999999997</v>
      </c>
    </row>
    <row r="281" spans="1:19" ht="12.75" customHeight="1" x14ac:dyDescent="0.3">
      <c r="A281" s="24" t="s">
        <v>1087</v>
      </c>
      <c r="B281" s="207" t="s">
        <v>1055</v>
      </c>
      <c r="C281" s="208" t="s">
        <v>403</v>
      </c>
      <c r="D281" s="25">
        <v>70514.759999999995</v>
      </c>
      <c r="F281" s="25">
        <v>0</v>
      </c>
      <c r="G281" s="25">
        <v>199.99</v>
      </c>
      <c r="H281" s="25">
        <v>899.98</v>
      </c>
      <c r="J281" s="25">
        <f t="shared" si="32"/>
        <v>71614.73</v>
      </c>
      <c r="L281" s="25">
        <v>69667</v>
      </c>
      <c r="M281" s="26">
        <v>1.0279577131209898</v>
      </c>
      <c r="P281" t="s">
        <v>402</v>
      </c>
      <c r="Q281" s="206">
        <v>2291.6713599999998</v>
      </c>
      <c r="R281" s="206">
        <v>572.91783999999996</v>
      </c>
      <c r="S281" s="206">
        <v>358.07364999999999</v>
      </c>
    </row>
    <row r="282" spans="1:19" ht="12.75" customHeight="1" x14ac:dyDescent="0.3">
      <c r="A282" s="24" t="s">
        <v>1087</v>
      </c>
      <c r="B282" s="207">
        <v>1</v>
      </c>
      <c r="C282" s="208"/>
      <c r="D282" s="25">
        <v>0</v>
      </c>
      <c r="F282" s="25">
        <v>0</v>
      </c>
      <c r="G282" s="25">
        <v>0</v>
      </c>
      <c r="H282" s="25">
        <v>0</v>
      </c>
      <c r="J282" s="25">
        <f t="shared" si="32"/>
        <v>0</v>
      </c>
      <c r="L282" s="25"/>
      <c r="M282" s="26">
        <v>0</v>
      </c>
      <c r="P282" t="s">
        <v>1091</v>
      </c>
      <c r="Q282" s="206">
        <v>0</v>
      </c>
      <c r="R282" s="206">
        <v>0</v>
      </c>
      <c r="S282" s="206"/>
    </row>
    <row r="283" spans="1:19" ht="12.75" customHeight="1" x14ac:dyDescent="0.3">
      <c r="A283" s="24" t="s">
        <v>1087</v>
      </c>
      <c r="B283" s="207">
        <v>1</v>
      </c>
      <c r="C283" s="208"/>
      <c r="D283" s="25">
        <v>0</v>
      </c>
      <c r="F283" s="25">
        <v>0</v>
      </c>
      <c r="G283" s="25">
        <v>0</v>
      </c>
      <c r="H283" s="25">
        <v>0</v>
      </c>
      <c r="J283" s="25">
        <f t="shared" si="32"/>
        <v>0</v>
      </c>
      <c r="L283" s="25"/>
      <c r="M283" s="26">
        <v>0</v>
      </c>
      <c r="P283" t="s">
        <v>1091</v>
      </c>
      <c r="Q283" s="206">
        <v>0</v>
      </c>
      <c r="R283" s="206">
        <v>0</v>
      </c>
      <c r="S283" s="206"/>
    </row>
    <row r="284" spans="1:19" ht="12.75" customHeight="1" x14ac:dyDescent="0.3">
      <c r="A284" s="24" t="s">
        <v>1087</v>
      </c>
      <c r="B284" s="207">
        <v>1</v>
      </c>
      <c r="C284" s="208"/>
      <c r="D284" s="25">
        <v>0</v>
      </c>
      <c r="F284" s="25">
        <v>0</v>
      </c>
      <c r="G284" s="25">
        <v>0</v>
      </c>
      <c r="H284" s="25">
        <v>0</v>
      </c>
      <c r="J284" s="25">
        <f t="shared" si="32"/>
        <v>0</v>
      </c>
      <c r="L284" s="25"/>
      <c r="M284" s="26">
        <v>0</v>
      </c>
      <c r="P284" t="s">
        <v>1091</v>
      </c>
      <c r="Q284" s="206">
        <v>0</v>
      </c>
      <c r="R284" s="206">
        <v>0</v>
      </c>
      <c r="S284" s="206"/>
    </row>
    <row r="285" spans="1:19" ht="12.75" customHeight="1" x14ac:dyDescent="0.3">
      <c r="A285" s="24" t="s">
        <v>1087</v>
      </c>
      <c r="B285" s="207">
        <v>1</v>
      </c>
      <c r="C285" s="208"/>
      <c r="D285" s="25">
        <v>0</v>
      </c>
      <c r="F285" s="25">
        <v>0</v>
      </c>
      <c r="G285" s="25">
        <v>0</v>
      </c>
      <c r="H285" s="25">
        <v>0</v>
      </c>
      <c r="J285" s="25">
        <f t="shared" si="32"/>
        <v>0</v>
      </c>
      <c r="L285" s="25"/>
      <c r="M285" s="26">
        <v>0</v>
      </c>
      <c r="P285" t="s">
        <v>1091</v>
      </c>
      <c r="Q285" s="206">
        <v>0</v>
      </c>
      <c r="R285" s="206">
        <v>0</v>
      </c>
      <c r="S285" s="206"/>
    </row>
    <row r="286" spans="1:19" ht="12.75" customHeight="1" x14ac:dyDescent="0.3">
      <c r="A286" s="27" t="s">
        <v>8</v>
      </c>
      <c r="B286" s="28"/>
      <c r="C286" s="27"/>
      <c r="D286" s="29">
        <v>424284.74</v>
      </c>
      <c r="E286" s="29">
        <v>4899.95</v>
      </c>
      <c r="F286" s="29">
        <v>899.99</v>
      </c>
      <c r="G286" s="29">
        <v>199.99</v>
      </c>
      <c r="H286" s="29">
        <v>5349.8899999999994</v>
      </c>
      <c r="I286" s="29">
        <v>0</v>
      </c>
      <c r="J286" s="29">
        <f t="shared" ref="J286" si="33">SUM(J275:J285)</f>
        <v>435634.55999999994</v>
      </c>
      <c r="L286" s="29">
        <v>418002</v>
      </c>
      <c r="P286"/>
      <c r="Q286" s="206"/>
      <c r="R286" s="206"/>
      <c r="S286" s="206"/>
    </row>
    <row r="287" spans="1:19" ht="12.75" customHeight="1" x14ac:dyDescent="0.3">
      <c r="P287"/>
      <c r="Q287" s="206"/>
      <c r="R287" s="206"/>
      <c r="S287" s="206"/>
    </row>
    <row r="288" spans="1:19" ht="12.75" customHeight="1" x14ac:dyDescent="0.3">
      <c r="P288"/>
      <c r="Q288" s="206"/>
      <c r="R288" s="206"/>
      <c r="S288" s="206"/>
    </row>
    <row r="289" spans="1:19" ht="12.75" customHeight="1" x14ac:dyDescent="0.3">
      <c r="P289"/>
      <c r="Q289" s="206"/>
      <c r="R289" s="206"/>
      <c r="S289" s="206"/>
    </row>
    <row r="290" spans="1:19" ht="12.75" customHeight="1" x14ac:dyDescent="0.3">
      <c r="P290"/>
      <c r="Q290" s="206"/>
      <c r="R290" s="206"/>
      <c r="S290" s="206"/>
    </row>
    <row r="291" spans="1:19" ht="12.75" customHeight="1" x14ac:dyDescent="0.3">
      <c r="A291" s="20" t="s">
        <v>0</v>
      </c>
      <c r="B291" s="21" t="s">
        <v>659</v>
      </c>
      <c r="C291" s="20" t="s">
        <v>660</v>
      </c>
      <c r="D291" s="21" t="s">
        <v>661</v>
      </c>
      <c r="E291" s="21" t="s">
        <v>662</v>
      </c>
      <c r="F291" s="21" t="s">
        <v>663</v>
      </c>
      <c r="G291" s="21" t="s">
        <v>664</v>
      </c>
      <c r="H291" s="21" t="s">
        <v>665</v>
      </c>
      <c r="I291" s="21" t="s">
        <v>676</v>
      </c>
      <c r="J291" s="21" t="s">
        <v>666</v>
      </c>
      <c r="L291" s="23" t="s">
        <v>667</v>
      </c>
      <c r="M291" s="23" t="s">
        <v>668</v>
      </c>
      <c r="O291" s="21" t="s">
        <v>669</v>
      </c>
      <c r="P291"/>
      <c r="Q291" s="206"/>
      <c r="R291" s="206"/>
      <c r="S291" s="206"/>
    </row>
    <row r="292" spans="1:19" ht="12.75" customHeight="1" x14ac:dyDescent="0.3">
      <c r="A292" s="24" t="s">
        <v>1092</v>
      </c>
      <c r="B292" s="207" t="s">
        <v>1093</v>
      </c>
      <c r="C292" s="208" t="s">
        <v>415</v>
      </c>
      <c r="D292" s="25">
        <v>89322.2</v>
      </c>
      <c r="F292" s="25">
        <v>0</v>
      </c>
      <c r="G292" s="25">
        <v>229.99</v>
      </c>
      <c r="H292" s="25">
        <v>399.99</v>
      </c>
      <c r="J292" s="25">
        <f t="shared" ref="J292:J302" si="34">SUM(D292:I292)</f>
        <v>89952.180000000008</v>
      </c>
      <c r="L292" s="25">
        <v>68750</v>
      </c>
      <c r="M292" s="26">
        <v>1.3083953454545456</v>
      </c>
      <c r="O292" s="25">
        <v>250000</v>
      </c>
      <c r="P292" t="s">
        <v>414</v>
      </c>
      <c r="Q292" s="206">
        <v>2878.4697600000004</v>
      </c>
      <c r="R292" s="206">
        <v>719.6174400000001</v>
      </c>
      <c r="S292" s="206">
        <v>449.76090000000005</v>
      </c>
    </row>
    <row r="293" spans="1:19" ht="12.75" customHeight="1" x14ac:dyDescent="0.3">
      <c r="A293" s="24" t="s">
        <v>1092</v>
      </c>
      <c r="B293" s="36" t="s">
        <v>1035</v>
      </c>
      <c r="C293" s="208" t="s">
        <v>418</v>
      </c>
      <c r="D293" s="25">
        <v>7193.77</v>
      </c>
      <c r="F293" s="25">
        <v>0</v>
      </c>
      <c r="G293" s="25">
        <v>0</v>
      </c>
      <c r="H293" s="25">
        <v>0</v>
      </c>
      <c r="J293" s="25">
        <f t="shared" si="34"/>
        <v>7193.77</v>
      </c>
      <c r="L293" s="25"/>
      <c r="M293" s="26">
        <v>0</v>
      </c>
      <c r="P293" t="s">
        <v>417</v>
      </c>
      <c r="Q293" s="206">
        <v>230.20064000000002</v>
      </c>
      <c r="R293" s="206">
        <v>57.550160000000005</v>
      </c>
      <c r="S293" s="206"/>
    </row>
    <row r="294" spans="1:19" ht="12.75" customHeight="1" x14ac:dyDescent="0.3">
      <c r="A294" s="24" t="s">
        <v>1092</v>
      </c>
      <c r="B294" s="207" t="s">
        <v>1094</v>
      </c>
      <c r="C294" s="208" t="s">
        <v>705</v>
      </c>
      <c r="D294" s="25">
        <v>90218.35</v>
      </c>
      <c r="F294" s="25">
        <v>0</v>
      </c>
      <c r="G294" s="25">
        <v>579.98</v>
      </c>
      <c r="H294" s="25">
        <v>0</v>
      </c>
      <c r="J294" s="25">
        <f t="shared" si="34"/>
        <v>90798.33</v>
      </c>
      <c r="L294" s="25">
        <v>68750</v>
      </c>
      <c r="M294" s="26">
        <v>1.3207029818181819</v>
      </c>
      <c r="P294" t="s">
        <v>423</v>
      </c>
      <c r="Q294" s="206">
        <v>2905.5465600000002</v>
      </c>
      <c r="R294" s="206">
        <v>726.38664000000006</v>
      </c>
      <c r="S294" s="206">
        <v>453.99164999999999</v>
      </c>
    </row>
    <row r="295" spans="1:19" ht="12.75" customHeight="1" x14ac:dyDescent="0.3">
      <c r="A295" s="24" t="s">
        <v>1092</v>
      </c>
      <c r="B295" s="207" t="s">
        <v>1068</v>
      </c>
      <c r="C295" s="208" t="s">
        <v>706</v>
      </c>
      <c r="D295" s="25">
        <v>87070.15</v>
      </c>
      <c r="F295" s="25">
        <v>0</v>
      </c>
      <c r="G295" s="25">
        <v>0</v>
      </c>
      <c r="H295" s="25">
        <v>399.99</v>
      </c>
      <c r="J295" s="25">
        <f t="shared" si="34"/>
        <v>87470.14</v>
      </c>
      <c r="L295" s="25">
        <v>68750</v>
      </c>
      <c r="M295" s="26">
        <v>1.2722929454545455</v>
      </c>
      <c r="P295" t="s">
        <v>429</v>
      </c>
      <c r="Q295" s="206">
        <v>2799.04448</v>
      </c>
      <c r="R295" s="206">
        <v>699.76112000000001</v>
      </c>
      <c r="S295" s="206">
        <v>437.35070000000002</v>
      </c>
    </row>
    <row r="296" spans="1:19" ht="12.75" customHeight="1" x14ac:dyDescent="0.3">
      <c r="A296" s="24" t="s">
        <v>1092</v>
      </c>
      <c r="B296" s="207" t="s">
        <v>1069</v>
      </c>
      <c r="C296" s="208" t="s">
        <v>707</v>
      </c>
      <c r="D296" s="25">
        <v>70493.13</v>
      </c>
      <c r="F296" s="25">
        <v>0</v>
      </c>
      <c r="G296" s="25">
        <v>679.99</v>
      </c>
      <c r="H296" s="25">
        <v>0</v>
      </c>
      <c r="J296" s="25">
        <f t="shared" si="34"/>
        <v>71173.12000000001</v>
      </c>
      <c r="L296" s="25">
        <v>68750</v>
      </c>
      <c r="M296" s="26">
        <v>1.0352453818181819</v>
      </c>
      <c r="P296" t="s">
        <v>432</v>
      </c>
      <c r="Q296" s="206">
        <v>2277.5398400000004</v>
      </c>
      <c r="R296" s="206">
        <v>569.38496000000009</v>
      </c>
      <c r="S296" s="206">
        <v>355.86560000000003</v>
      </c>
    </row>
    <row r="297" spans="1:19" ht="12.75" customHeight="1" x14ac:dyDescent="0.3">
      <c r="A297" s="24" t="s">
        <v>1092</v>
      </c>
      <c r="B297" s="207"/>
      <c r="C297" s="208"/>
      <c r="D297" s="25">
        <v>0</v>
      </c>
      <c r="F297" s="25">
        <v>0</v>
      </c>
      <c r="G297" s="25">
        <v>0</v>
      </c>
      <c r="H297" s="25">
        <v>0</v>
      </c>
      <c r="J297" s="25">
        <f t="shared" si="34"/>
        <v>0</v>
      </c>
      <c r="L297" s="25"/>
      <c r="M297" s="26">
        <v>0</v>
      </c>
      <c r="P297"/>
      <c r="Q297" s="206"/>
      <c r="R297" s="206"/>
      <c r="S297" s="206"/>
    </row>
    <row r="298" spans="1:19" ht="12.75" customHeight="1" x14ac:dyDescent="0.3">
      <c r="A298" s="24" t="s">
        <v>1092</v>
      </c>
      <c r="B298" s="207"/>
      <c r="C298" s="208"/>
      <c r="D298" s="25">
        <v>0</v>
      </c>
      <c r="F298" s="25">
        <v>0</v>
      </c>
      <c r="G298" s="25">
        <v>0</v>
      </c>
      <c r="H298" s="25">
        <v>0</v>
      </c>
      <c r="J298" s="25">
        <f t="shared" si="34"/>
        <v>0</v>
      </c>
      <c r="L298" s="25"/>
      <c r="M298" s="26">
        <v>0</v>
      </c>
      <c r="P298"/>
      <c r="Q298" s="206"/>
      <c r="R298" s="206"/>
      <c r="S298" s="206"/>
    </row>
    <row r="299" spans="1:19" ht="12.75" customHeight="1" x14ac:dyDescent="0.3">
      <c r="A299" s="24" t="s">
        <v>1092</v>
      </c>
      <c r="B299" s="207"/>
      <c r="C299" s="208"/>
      <c r="D299" s="25">
        <v>0</v>
      </c>
      <c r="F299" s="25">
        <v>0</v>
      </c>
      <c r="G299" s="25">
        <v>0</v>
      </c>
      <c r="H299" s="25">
        <v>0</v>
      </c>
      <c r="J299" s="25">
        <f t="shared" si="34"/>
        <v>0</v>
      </c>
      <c r="L299" s="25"/>
      <c r="M299" s="26">
        <v>0</v>
      </c>
      <c r="P299"/>
      <c r="Q299" s="206"/>
      <c r="R299" s="206"/>
      <c r="S299" s="206"/>
    </row>
    <row r="300" spans="1:19" ht="12.75" customHeight="1" x14ac:dyDescent="0.3">
      <c r="A300" s="24" t="s">
        <v>1092</v>
      </c>
      <c r="B300" s="207"/>
      <c r="C300" s="208"/>
      <c r="D300" s="25">
        <v>0</v>
      </c>
      <c r="F300" s="25">
        <v>0</v>
      </c>
      <c r="G300" s="25">
        <v>0</v>
      </c>
      <c r="H300" s="25">
        <v>0</v>
      </c>
      <c r="J300" s="25">
        <f t="shared" si="34"/>
        <v>0</v>
      </c>
      <c r="L300" s="25"/>
      <c r="M300" s="26">
        <v>0</v>
      </c>
      <c r="P300"/>
      <c r="Q300" s="206"/>
      <c r="R300" s="206"/>
      <c r="S300" s="206"/>
    </row>
    <row r="301" spans="1:19" ht="12.75" customHeight="1" x14ac:dyDescent="0.3">
      <c r="A301" s="24" t="s">
        <v>1092</v>
      </c>
      <c r="B301" s="207"/>
      <c r="C301" s="208"/>
      <c r="D301" s="25">
        <v>0</v>
      </c>
      <c r="F301" s="25">
        <v>0</v>
      </c>
      <c r="G301" s="25">
        <v>0</v>
      </c>
      <c r="H301" s="25">
        <v>0</v>
      </c>
      <c r="J301" s="25">
        <f t="shared" si="34"/>
        <v>0</v>
      </c>
      <c r="L301" s="25"/>
      <c r="M301" s="26">
        <v>0</v>
      </c>
      <c r="P301"/>
      <c r="Q301" s="206"/>
      <c r="R301" s="206"/>
      <c r="S301" s="206"/>
    </row>
    <row r="302" spans="1:19" ht="12.75" customHeight="1" x14ac:dyDescent="0.3">
      <c r="A302" s="24" t="s">
        <v>1092</v>
      </c>
      <c r="B302" s="207"/>
      <c r="C302" s="208"/>
      <c r="D302" s="25">
        <v>0</v>
      </c>
      <c r="F302" s="25">
        <v>0</v>
      </c>
      <c r="G302" s="25">
        <v>0</v>
      </c>
      <c r="H302" s="25">
        <v>0</v>
      </c>
      <c r="J302" s="25">
        <f t="shared" si="34"/>
        <v>0</v>
      </c>
      <c r="L302" s="25"/>
      <c r="M302" s="26">
        <v>0</v>
      </c>
      <c r="P302"/>
      <c r="Q302" s="206"/>
      <c r="R302" s="206"/>
      <c r="S302" s="206"/>
    </row>
    <row r="303" spans="1:19" ht="12.75" customHeight="1" x14ac:dyDescent="0.3">
      <c r="A303" s="27" t="s">
        <v>8</v>
      </c>
      <c r="B303" s="28"/>
      <c r="C303" s="27"/>
      <c r="D303" s="29">
        <v>344297.6</v>
      </c>
      <c r="E303" s="29">
        <v>0</v>
      </c>
      <c r="F303" s="29">
        <v>0</v>
      </c>
      <c r="G303" s="29">
        <v>1489.96</v>
      </c>
      <c r="H303" s="29">
        <v>799.98</v>
      </c>
      <c r="I303" s="29">
        <v>0</v>
      </c>
      <c r="J303" s="29">
        <f t="shared" ref="J303" si="35">SUM(J292:J302)</f>
        <v>346587.54000000004</v>
      </c>
      <c r="L303" s="29">
        <v>275000</v>
      </c>
      <c r="P303"/>
      <c r="Q303" s="206"/>
      <c r="R303" s="206"/>
      <c r="S303" s="206"/>
    </row>
    <row r="304" spans="1:19" ht="12.75" customHeight="1" x14ac:dyDescent="0.3">
      <c r="P304"/>
      <c r="Q304" s="206"/>
      <c r="R304" s="206"/>
      <c r="S304" s="206"/>
    </row>
    <row r="305" spans="1:19" ht="12.75" customHeight="1" x14ac:dyDescent="0.3">
      <c r="P305"/>
      <c r="Q305" s="206"/>
      <c r="R305" s="206"/>
      <c r="S305" s="206"/>
    </row>
    <row r="306" spans="1:19" ht="12.75" customHeight="1" x14ac:dyDescent="0.3">
      <c r="P306"/>
      <c r="Q306" s="206"/>
      <c r="R306" s="206"/>
      <c r="S306" s="206"/>
    </row>
    <row r="307" spans="1:19" ht="12.75" customHeight="1" x14ac:dyDescent="0.3">
      <c r="P307"/>
      <c r="Q307" s="206"/>
      <c r="R307" s="206"/>
      <c r="S307" s="206"/>
    </row>
    <row r="308" spans="1:19" ht="12.75" customHeight="1" x14ac:dyDescent="0.3">
      <c r="A308" s="20" t="s">
        <v>0</v>
      </c>
      <c r="B308" s="21" t="s">
        <v>659</v>
      </c>
      <c r="C308" s="20" t="s">
        <v>660</v>
      </c>
      <c r="D308" s="21" t="s">
        <v>661</v>
      </c>
      <c r="E308" s="21" t="s">
        <v>662</v>
      </c>
      <c r="F308" s="21" t="s">
        <v>663</v>
      </c>
      <c r="G308" s="21" t="s">
        <v>664</v>
      </c>
      <c r="H308" s="21" t="s">
        <v>665</v>
      </c>
      <c r="I308" s="21" t="s">
        <v>676</v>
      </c>
      <c r="J308" s="21" t="s">
        <v>666</v>
      </c>
      <c r="L308" s="23" t="s">
        <v>667</v>
      </c>
      <c r="M308" s="23" t="s">
        <v>668</v>
      </c>
      <c r="O308" s="21" t="s">
        <v>669</v>
      </c>
      <c r="P308"/>
      <c r="Q308" s="206"/>
      <c r="R308" s="206"/>
      <c r="S308" s="206"/>
    </row>
    <row r="309" spans="1:19" ht="12.75" customHeight="1" x14ac:dyDescent="0.3">
      <c r="A309" s="24" t="s">
        <v>1095</v>
      </c>
      <c r="B309" s="207" t="s">
        <v>1096</v>
      </c>
      <c r="C309" s="208" t="s">
        <v>445</v>
      </c>
      <c r="D309" s="25">
        <v>587.94000000000005</v>
      </c>
      <c r="F309" s="25">
        <v>0</v>
      </c>
      <c r="G309" s="25">
        <v>0</v>
      </c>
      <c r="H309" s="25">
        <v>0</v>
      </c>
      <c r="J309" s="25">
        <f t="shared" ref="J309:J319" si="36">SUM(D309:I309)</f>
        <v>587.94000000000005</v>
      </c>
      <c r="L309" s="25"/>
      <c r="M309" s="26">
        <v>0</v>
      </c>
      <c r="O309" s="25">
        <v>210000</v>
      </c>
      <c r="P309" t="s">
        <v>444</v>
      </c>
      <c r="Q309" s="206">
        <v>18.814080000000001</v>
      </c>
      <c r="R309" s="206">
        <v>4.7035200000000001</v>
      </c>
      <c r="S309" s="206"/>
    </row>
    <row r="310" spans="1:19" ht="12.75" customHeight="1" x14ac:dyDescent="0.3">
      <c r="A310" s="24" t="s">
        <v>1095</v>
      </c>
      <c r="B310" s="207" t="s">
        <v>1097</v>
      </c>
      <c r="C310" s="208"/>
      <c r="D310" s="25">
        <v>549.98</v>
      </c>
      <c r="F310" s="25">
        <v>0</v>
      </c>
      <c r="G310" s="25">
        <v>0</v>
      </c>
      <c r="H310" s="25">
        <v>0</v>
      </c>
      <c r="J310" s="25">
        <f t="shared" si="36"/>
        <v>549.98</v>
      </c>
      <c r="L310" s="25"/>
      <c r="M310" s="26">
        <v>0</v>
      </c>
      <c r="P310" t="s">
        <v>1098</v>
      </c>
      <c r="Q310" s="206">
        <v>17.599360000000001</v>
      </c>
      <c r="R310" s="206">
        <v>4.3998400000000002</v>
      </c>
      <c r="S310" s="206"/>
    </row>
    <row r="311" spans="1:19" ht="12.75" customHeight="1" x14ac:dyDescent="0.3">
      <c r="A311" s="24" t="s">
        <v>1095</v>
      </c>
      <c r="B311" s="207" t="s">
        <v>1037</v>
      </c>
      <c r="C311" s="208" t="s">
        <v>708</v>
      </c>
      <c r="D311" s="25">
        <v>103700.75</v>
      </c>
      <c r="F311" s="25">
        <v>0</v>
      </c>
      <c r="G311" s="25">
        <v>0</v>
      </c>
      <c r="H311" s="25">
        <v>0</v>
      </c>
      <c r="J311" s="25">
        <f t="shared" si="36"/>
        <v>103700.75</v>
      </c>
      <c r="L311" s="25">
        <v>77000</v>
      </c>
      <c r="M311" s="26">
        <v>1.3467629870129869</v>
      </c>
      <c r="P311" t="s">
        <v>438</v>
      </c>
      <c r="Q311" s="206">
        <v>3318.424</v>
      </c>
      <c r="R311" s="206">
        <v>829.60599999999999</v>
      </c>
      <c r="S311" s="206">
        <v>518.50374999999997</v>
      </c>
    </row>
    <row r="312" spans="1:19" ht="12.75" customHeight="1" x14ac:dyDescent="0.3">
      <c r="A312" s="24" t="s">
        <v>1095</v>
      </c>
      <c r="B312" s="207" t="s">
        <v>1077</v>
      </c>
      <c r="C312" s="208" t="s">
        <v>436</v>
      </c>
      <c r="D312" s="25">
        <v>87909.84</v>
      </c>
      <c r="F312" s="25">
        <v>0</v>
      </c>
      <c r="G312" s="25">
        <v>749.98</v>
      </c>
      <c r="H312" s="25">
        <v>0</v>
      </c>
      <c r="J312" s="25">
        <f t="shared" si="36"/>
        <v>88659.819999999992</v>
      </c>
      <c r="L312" s="25">
        <v>77000</v>
      </c>
      <c r="M312" s="26">
        <v>1.1514262337662338</v>
      </c>
      <c r="P312" t="s">
        <v>435</v>
      </c>
      <c r="Q312" s="206">
        <v>2837.1142399999999</v>
      </c>
      <c r="R312" s="206">
        <v>709.27855999999997</v>
      </c>
      <c r="S312" s="206">
        <v>443.29909999999995</v>
      </c>
    </row>
    <row r="313" spans="1:19" ht="12.75" customHeight="1" x14ac:dyDescent="0.3">
      <c r="A313" s="24" t="s">
        <v>1095</v>
      </c>
      <c r="B313" s="207" t="s">
        <v>1099</v>
      </c>
      <c r="C313" s="208" t="s">
        <v>448</v>
      </c>
      <c r="D313" s="25">
        <v>80594.33</v>
      </c>
      <c r="F313" s="25">
        <v>0</v>
      </c>
      <c r="G313" s="25">
        <v>329.99</v>
      </c>
      <c r="H313" s="25">
        <v>0</v>
      </c>
      <c r="J313" s="25">
        <f t="shared" si="36"/>
        <v>80924.320000000007</v>
      </c>
      <c r="L313" s="25">
        <v>77000</v>
      </c>
      <c r="M313" s="26">
        <v>1.0509651948051948</v>
      </c>
      <c r="P313" t="s">
        <v>447</v>
      </c>
      <c r="Q313" s="206">
        <v>2589.5782400000003</v>
      </c>
      <c r="R313" s="206">
        <v>647.39456000000007</v>
      </c>
      <c r="S313" s="206">
        <v>404.62160000000006</v>
      </c>
    </row>
    <row r="314" spans="1:19" ht="12.75" customHeight="1" x14ac:dyDescent="0.3">
      <c r="A314" s="24" t="s">
        <v>1095</v>
      </c>
      <c r="B314" s="207"/>
      <c r="C314" s="208"/>
      <c r="D314" s="25">
        <v>0</v>
      </c>
      <c r="F314" s="25">
        <v>0</v>
      </c>
      <c r="G314" s="25">
        <v>0</v>
      </c>
      <c r="H314" s="25">
        <v>0</v>
      </c>
      <c r="J314" s="25">
        <f t="shared" si="36"/>
        <v>0</v>
      </c>
      <c r="L314" s="25"/>
      <c r="M314" s="26">
        <v>0</v>
      </c>
      <c r="P314"/>
      <c r="Q314" s="206"/>
      <c r="R314" s="206"/>
      <c r="S314" s="206"/>
    </row>
    <row r="315" spans="1:19" ht="12.75" customHeight="1" x14ac:dyDescent="0.3">
      <c r="A315" s="24" t="s">
        <v>1095</v>
      </c>
      <c r="B315" s="207"/>
      <c r="C315" s="208"/>
      <c r="D315" s="25">
        <v>0</v>
      </c>
      <c r="F315" s="25">
        <v>0</v>
      </c>
      <c r="G315" s="25">
        <v>0</v>
      </c>
      <c r="H315" s="25">
        <v>0</v>
      </c>
      <c r="J315" s="25">
        <f t="shared" si="36"/>
        <v>0</v>
      </c>
      <c r="L315" s="25"/>
      <c r="M315" s="26">
        <v>0</v>
      </c>
      <c r="P315"/>
      <c r="Q315" s="206"/>
      <c r="R315" s="206"/>
      <c r="S315" s="206"/>
    </row>
    <row r="316" spans="1:19" ht="12.75" customHeight="1" x14ac:dyDescent="0.3">
      <c r="A316" s="24" t="s">
        <v>1095</v>
      </c>
      <c r="B316" s="207"/>
      <c r="C316" s="208"/>
      <c r="D316" s="25">
        <v>0</v>
      </c>
      <c r="F316" s="25">
        <v>0</v>
      </c>
      <c r="G316" s="25">
        <v>0</v>
      </c>
      <c r="H316" s="25">
        <v>0</v>
      </c>
      <c r="J316" s="25">
        <f t="shared" si="36"/>
        <v>0</v>
      </c>
      <c r="L316" s="25"/>
      <c r="M316" s="26">
        <v>0</v>
      </c>
      <c r="P316"/>
      <c r="Q316" s="206"/>
      <c r="R316" s="206"/>
      <c r="S316" s="206"/>
    </row>
    <row r="317" spans="1:19" ht="12.75" customHeight="1" x14ac:dyDescent="0.3">
      <c r="A317" s="24" t="s">
        <v>1095</v>
      </c>
      <c r="B317" s="207"/>
      <c r="C317" s="208"/>
      <c r="D317" s="25">
        <v>0</v>
      </c>
      <c r="F317" s="25">
        <v>0</v>
      </c>
      <c r="G317" s="25">
        <v>0</v>
      </c>
      <c r="H317" s="25">
        <v>0</v>
      </c>
      <c r="J317" s="25">
        <f t="shared" si="36"/>
        <v>0</v>
      </c>
      <c r="L317" s="25"/>
      <c r="M317" s="26">
        <v>0</v>
      </c>
      <c r="P317"/>
      <c r="Q317" s="206"/>
      <c r="R317" s="206"/>
      <c r="S317" s="206"/>
    </row>
    <row r="318" spans="1:19" ht="12.75" customHeight="1" x14ac:dyDescent="0.3">
      <c r="A318" s="24" t="s">
        <v>1095</v>
      </c>
      <c r="B318" s="207"/>
      <c r="C318" s="208"/>
      <c r="D318" s="25">
        <v>0</v>
      </c>
      <c r="F318" s="25">
        <v>0</v>
      </c>
      <c r="G318" s="25">
        <v>0</v>
      </c>
      <c r="H318" s="25">
        <v>0</v>
      </c>
      <c r="J318" s="25">
        <f t="shared" si="36"/>
        <v>0</v>
      </c>
      <c r="L318" s="25"/>
      <c r="M318" s="26">
        <v>0</v>
      </c>
      <c r="P318"/>
      <c r="Q318" s="206"/>
      <c r="R318" s="206"/>
      <c r="S318" s="206"/>
    </row>
    <row r="319" spans="1:19" ht="12.75" customHeight="1" x14ac:dyDescent="0.3">
      <c r="A319" s="24" t="s">
        <v>1095</v>
      </c>
      <c r="B319" s="207"/>
      <c r="C319" s="208"/>
      <c r="D319" s="25">
        <v>0</v>
      </c>
      <c r="F319" s="25">
        <v>0</v>
      </c>
      <c r="G319" s="25">
        <v>0</v>
      </c>
      <c r="H319" s="25">
        <v>0</v>
      </c>
      <c r="J319" s="25">
        <f t="shared" si="36"/>
        <v>0</v>
      </c>
      <c r="L319" s="25"/>
      <c r="M319" s="26">
        <v>0</v>
      </c>
      <c r="P319"/>
      <c r="Q319" s="206"/>
      <c r="R319" s="206"/>
      <c r="S319" s="206"/>
    </row>
    <row r="320" spans="1:19" ht="12.75" customHeight="1" x14ac:dyDescent="0.3">
      <c r="A320" s="27" t="s">
        <v>8</v>
      </c>
      <c r="B320" s="28"/>
      <c r="C320" s="27"/>
      <c r="D320" s="29">
        <v>273342.84000000003</v>
      </c>
      <c r="E320" s="29">
        <v>0</v>
      </c>
      <c r="F320" s="29">
        <v>0</v>
      </c>
      <c r="G320" s="29">
        <v>1079.97</v>
      </c>
      <c r="H320" s="29">
        <v>0</v>
      </c>
      <c r="I320" s="29">
        <v>0</v>
      </c>
      <c r="J320" s="29">
        <f t="shared" ref="J320" si="37">SUM(J309:J319)</f>
        <v>274422.81</v>
      </c>
      <c r="L320" s="29">
        <v>231000</v>
      </c>
      <c r="P320"/>
      <c r="Q320" s="206"/>
      <c r="R320" s="206"/>
      <c r="S320" s="206"/>
    </row>
    <row r="321" spans="1:19" ht="12.75" customHeight="1" x14ac:dyDescent="0.3">
      <c r="P321"/>
      <c r="Q321" s="206"/>
      <c r="R321" s="206"/>
      <c r="S321" s="206"/>
    </row>
    <row r="322" spans="1:19" ht="12.75" customHeight="1" x14ac:dyDescent="0.3">
      <c r="P322"/>
      <c r="Q322" s="206"/>
      <c r="R322" s="206"/>
      <c r="S322" s="206"/>
    </row>
    <row r="323" spans="1:19" ht="12.75" customHeight="1" x14ac:dyDescent="0.3">
      <c r="P323"/>
      <c r="Q323" s="206"/>
      <c r="R323" s="206"/>
      <c r="S323" s="206"/>
    </row>
    <row r="324" spans="1:19" ht="12.75" customHeight="1" x14ac:dyDescent="0.3">
      <c r="P324"/>
      <c r="Q324" s="206"/>
      <c r="R324" s="206"/>
      <c r="S324" s="206"/>
    </row>
    <row r="325" spans="1:19" ht="12.75" customHeight="1" x14ac:dyDescent="0.3">
      <c r="P325"/>
      <c r="Q325" s="206"/>
      <c r="R325" s="206"/>
      <c r="S325" s="206"/>
    </row>
    <row r="326" spans="1:19" ht="12.75" customHeight="1" x14ac:dyDescent="0.3">
      <c r="A326" s="20" t="s">
        <v>0</v>
      </c>
      <c r="B326" s="21" t="s">
        <v>659</v>
      </c>
      <c r="C326" s="20" t="s">
        <v>660</v>
      </c>
      <c r="D326" s="21" t="s">
        <v>661</v>
      </c>
      <c r="E326" s="21" t="s">
        <v>662</v>
      </c>
      <c r="F326" s="21" t="s">
        <v>663</v>
      </c>
      <c r="G326" s="21" t="s">
        <v>664</v>
      </c>
      <c r="H326" s="21" t="s">
        <v>665</v>
      </c>
      <c r="I326" s="21" t="s">
        <v>676</v>
      </c>
      <c r="J326" s="21" t="s">
        <v>666</v>
      </c>
      <c r="L326" s="23" t="s">
        <v>667</v>
      </c>
      <c r="M326" s="23" t="s">
        <v>668</v>
      </c>
      <c r="O326" s="21" t="s">
        <v>669</v>
      </c>
      <c r="P326"/>
      <c r="Q326" s="206"/>
      <c r="R326" s="206"/>
      <c r="S326" s="206"/>
    </row>
    <row r="327" spans="1:19" ht="12.75" customHeight="1" x14ac:dyDescent="0.3">
      <c r="A327" s="24" t="s">
        <v>1100</v>
      </c>
      <c r="B327" s="207" t="s">
        <v>935</v>
      </c>
      <c r="C327" s="208" t="s">
        <v>454</v>
      </c>
      <c r="D327" s="25">
        <v>500.98</v>
      </c>
      <c r="F327" s="25">
        <v>0</v>
      </c>
      <c r="G327" s="25">
        <v>0</v>
      </c>
      <c r="H327" s="25">
        <v>0</v>
      </c>
      <c r="J327" s="25">
        <f t="shared" ref="J327:J337" si="38">SUM(D327:I327)</f>
        <v>500.98</v>
      </c>
      <c r="L327" s="25"/>
      <c r="M327" s="26">
        <v>0</v>
      </c>
      <c r="O327" s="25">
        <v>240000</v>
      </c>
      <c r="P327" t="s">
        <v>453</v>
      </c>
      <c r="Q327" s="206">
        <v>16.031359999999999</v>
      </c>
      <c r="R327" s="206">
        <v>4.0078399999999998</v>
      </c>
      <c r="S327" s="206"/>
    </row>
    <row r="328" spans="1:19" ht="12.75" customHeight="1" x14ac:dyDescent="0.3">
      <c r="A328" s="24" t="s">
        <v>1100</v>
      </c>
      <c r="B328" s="207" t="s">
        <v>1101</v>
      </c>
      <c r="C328" s="208" t="s">
        <v>458</v>
      </c>
      <c r="D328" s="25">
        <v>137769.12</v>
      </c>
      <c r="F328" s="25">
        <v>0</v>
      </c>
      <c r="G328" s="25">
        <v>399.99</v>
      </c>
      <c r="H328" s="25">
        <v>0</v>
      </c>
      <c r="J328" s="25">
        <f t="shared" si="38"/>
        <v>138169.10999999999</v>
      </c>
      <c r="L328" s="25">
        <v>112000</v>
      </c>
      <c r="M328" s="26">
        <v>1.2336527678571427</v>
      </c>
      <c r="P328" t="s">
        <v>457</v>
      </c>
      <c r="Q328" s="206">
        <v>4421.4115199999997</v>
      </c>
      <c r="R328" s="206">
        <v>1105.3528799999999</v>
      </c>
      <c r="S328" s="206">
        <v>690.84554999999989</v>
      </c>
    </row>
    <row r="329" spans="1:19" ht="12.75" customHeight="1" x14ac:dyDescent="0.3">
      <c r="A329" s="24" t="s">
        <v>1100</v>
      </c>
      <c r="B329" s="207" t="s">
        <v>1102</v>
      </c>
      <c r="C329" s="208" t="s">
        <v>456</v>
      </c>
      <c r="D329" s="25">
        <v>10429.66</v>
      </c>
      <c r="F329" s="25">
        <v>0</v>
      </c>
      <c r="G329" s="25">
        <v>0</v>
      </c>
      <c r="H329" s="25">
        <v>0</v>
      </c>
      <c r="J329" s="25">
        <f t="shared" si="38"/>
        <v>10429.66</v>
      </c>
      <c r="L329" s="25">
        <v>40000</v>
      </c>
      <c r="M329" s="26">
        <v>0.26074150000000001</v>
      </c>
      <c r="P329" t="s">
        <v>1103</v>
      </c>
      <c r="Q329" s="206">
        <v>333.74912</v>
      </c>
      <c r="R329" s="206">
        <v>83.437280000000001</v>
      </c>
      <c r="S329" s="206"/>
    </row>
    <row r="330" spans="1:19" ht="12.75" customHeight="1" x14ac:dyDescent="0.3">
      <c r="A330" s="24" t="s">
        <v>1100</v>
      </c>
      <c r="B330" s="207" t="s">
        <v>1018</v>
      </c>
      <c r="C330" s="208" t="s">
        <v>451</v>
      </c>
      <c r="D330" s="25">
        <v>112348.47</v>
      </c>
      <c r="F330" s="25">
        <v>0</v>
      </c>
      <c r="G330" s="25">
        <v>0</v>
      </c>
      <c r="H330" s="25">
        <v>0</v>
      </c>
      <c r="J330" s="25">
        <f t="shared" si="38"/>
        <v>112348.47</v>
      </c>
      <c r="L330" s="25">
        <v>112000</v>
      </c>
      <c r="M330" s="26">
        <v>1.0031113392857143</v>
      </c>
      <c r="P330" t="s">
        <v>450</v>
      </c>
      <c r="Q330" s="206">
        <v>3595.1510400000002</v>
      </c>
      <c r="R330" s="206">
        <v>898.78776000000005</v>
      </c>
      <c r="S330" s="206">
        <v>561.74234999999999</v>
      </c>
    </row>
    <row r="331" spans="1:19" ht="12.75" customHeight="1" x14ac:dyDescent="0.3">
      <c r="A331" s="24" t="s">
        <v>1100</v>
      </c>
      <c r="B331" s="207" t="s">
        <v>1058</v>
      </c>
      <c r="C331" s="208" t="s">
        <v>709</v>
      </c>
      <c r="D331" s="25">
        <v>7209.78</v>
      </c>
      <c r="F331" s="25">
        <v>0</v>
      </c>
      <c r="G331" s="25">
        <v>0</v>
      </c>
      <c r="H331" s="25">
        <v>0</v>
      </c>
      <c r="J331" s="25">
        <f t="shared" si="38"/>
        <v>7209.78</v>
      </c>
      <c r="L331" s="25">
        <v>10000</v>
      </c>
      <c r="M331" s="26">
        <v>0.72097800000000001</v>
      </c>
      <c r="P331" t="s">
        <v>1104</v>
      </c>
      <c r="Q331" s="206">
        <v>230.71296000000001</v>
      </c>
      <c r="R331" s="206">
        <v>57.678240000000002</v>
      </c>
      <c r="S331" s="206"/>
    </row>
    <row r="332" spans="1:19" ht="12.75" customHeight="1" x14ac:dyDescent="0.3">
      <c r="A332" s="24" t="s">
        <v>1100</v>
      </c>
      <c r="B332" s="207" t="s">
        <v>1086</v>
      </c>
      <c r="C332" s="208" t="s">
        <v>1105</v>
      </c>
      <c r="D332" s="25">
        <v>19844.400000000001</v>
      </c>
      <c r="F332" s="25">
        <v>0</v>
      </c>
      <c r="G332" s="25">
        <v>0</v>
      </c>
      <c r="H332" s="25">
        <v>0</v>
      </c>
      <c r="J332" s="25">
        <f t="shared" si="38"/>
        <v>19844.400000000001</v>
      </c>
      <c r="L332" s="25">
        <v>20000</v>
      </c>
      <c r="M332" s="26">
        <v>0.9922200000000001</v>
      </c>
      <c r="P332" t="s">
        <v>911</v>
      </c>
      <c r="Q332" s="206">
        <v>635.02080000000001</v>
      </c>
      <c r="R332" s="206">
        <v>158.7552</v>
      </c>
      <c r="S332" s="206"/>
    </row>
    <row r="333" spans="1:19" ht="12.75" customHeight="1" x14ac:dyDescent="0.3">
      <c r="A333" s="24" t="s">
        <v>1100</v>
      </c>
      <c r="B333" s="207" t="s">
        <v>1094</v>
      </c>
      <c r="C333" s="208" t="s">
        <v>915</v>
      </c>
      <c r="D333" s="25">
        <v>19724.34</v>
      </c>
      <c r="F333" s="25">
        <v>0</v>
      </c>
      <c r="G333" s="25">
        <v>0</v>
      </c>
      <c r="H333" s="25">
        <v>0</v>
      </c>
      <c r="J333" s="25">
        <f t="shared" si="38"/>
        <v>19724.34</v>
      </c>
      <c r="L333" s="25">
        <v>20000</v>
      </c>
      <c r="M333" s="26">
        <v>0.98621700000000001</v>
      </c>
      <c r="P333" t="s">
        <v>914</v>
      </c>
      <c r="Q333" s="206">
        <v>631.17888000000005</v>
      </c>
      <c r="R333" s="206">
        <v>157.79472000000001</v>
      </c>
      <c r="S333" s="206"/>
    </row>
    <row r="334" spans="1:19" ht="12.75" customHeight="1" x14ac:dyDescent="0.3">
      <c r="A334" s="24" t="s">
        <v>1100</v>
      </c>
      <c r="B334" s="207"/>
      <c r="C334" s="208"/>
      <c r="D334" s="25">
        <v>0</v>
      </c>
      <c r="F334" s="25">
        <v>0</v>
      </c>
      <c r="G334" s="25">
        <v>0</v>
      </c>
      <c r="H334" s="25">
        <v>0</v>
      </c>
      <c r="J334" s="25">
        <f t="shared" si="38"/>
        <v>0</v>
      </c>
      <c r="L334" s="25"/>
      <c r="M334" s="26">
        <v>0</v>
      </c>
      <c r="P334"/>
      <c r="Q334" s="206"/>
      <c r="R334" s="206"/>
      <c r="S334" s="206"/>
    </row>
    <row r="335" spans="1:19" ht="12.75" customHeight="1" x14ac:dyDescent="0.3">
      <c r="A335" s="24" t="s">
        <v>1100</v>
      </c>
      <c r="B335" s="207"/>
      <c r="C335" s="208"/>
      <c r="D335" s="25">
        <v>0</v>
      </c>
      <c r="F335" s="25">
        <v>0</v>
      </c>
      <c r="G335" s="25">
        <v>0</v>
      </c>
      <c r="H335" s="25">
        <v>0</v>
      </c>
      <c r="J335" s="25">
        <f t="shared" si="38"/>
        <v>0</v>
      </c>
      <c r="L335" s="25"/>
      <c r="M335" s="26">
        <v>0</v>
      </c>
      <c r="P335"/>
      <c r="Q335" s="206"/>
      <c r="R335" s="206"/>
      <c r="S335" s="206"/>
    </row>
    <row r="336" spans="1:19" ht="12.75" customHeight="1" x14ac:dyDescent="0.3">
      <c r="A336" s="24" t="s">
        <v>1100</v>
      </c>
      <c r="B336" s="207"/>
      <c r="C336" s="208"/>
      <c r="D336" s="25">
        <v>0</v>
      </c>
      <c r="F336" s="25">
        <v>0</v>
      </c>
      <c r="G336" s="25">
        <v>0</v>
      </c>
      <c r="H336" s="25">
        <v>0</v>
      </c>
      <c r="J336" s="25">
        <f t="shared" si="38"/>
        <v>0</v>
      </c>
      <c r="L336" s="25"/>
      <c r="M336" s="26">
        <v>0</v>
      </c>
      <c r="P336"/>
      <c r="Q336" s="206"/>
      <c r="R336" s="206"/>
      <c r="S336" s="206"/>
    </row>
    <row r="337" spans="1:19" ht="12.75" customHeight="1" x14ac:dyDescent="0.3">
      <c r="A337" s="24" t="s">
        <v>1100</v>
      </c>
      <c r="B337" s="207"/>
      <c r="C337" s="208"/>
      <c r="D337" s="25">
        <v>0</v>
      </c>
      <c r="F337" s="25">
        <v>0</v>
      </c>
      <c r="G337" s="25">
        <v>0</v>
      </c>
      <c r="H337" s="25">
        <v>0</v>
      </c>
      <c r="J337" s="25">
        <f t="shared" si="38"/>
        <v>0</v>
      </c>
      <c r="L337" s="25"/>
      <c r="M337" s="26">
        <v>0</v>
      </c>
      <c r="P337"/>
      <c r="Q337" s="206"/>
      <c r="R337" s="206"/>
      <c r="S337" s="206"/>
    </row>
    <row r="338" spans="1:19" ht="12.75" customHeight="1" x14ac:dyDescent="0.3">
      <c r="A338" s="27" t="s">
        <v>8</v>
      </c>
      <c r="B338" s="28"/>
      <c r="C338" s="27"/>
      <c r="D338" s="29">
        <v>307826.75000000006</v>
      </c>
      <c r="E338" s="29">
        <v>0</v>
      </c>
      <c r="F338" s="29">
        <v>0</v>
      </c>
      <c r="G338" s="29">
        <v>399.99</v>
      </c>
      <c r="H338" s="29">
        <v>0</v>
      </c>
      <c r="I338" s="29">
        <v>0</v>
      </c>
      <c r="J338" s="29">
        <f t="shared" ref="J338" si="39">SUM(J327:J337)</f>
        <v>308226.74000000005</v>
      </c>
      <c r="L338" s="29">
        <v>314000</v>
      </c>
      <c r="P338"/>
      <c r="Q338" s="206"/>
      <c r="R338" s="206"/>
      <c r="S338" s="206"/>
    </row>
    <row r="339" spans="1:19" ht="12.75" customHeight="1" x14ac:dyDescent="0.3">
      <c r="P339"/>
      <c r="Q339" s="206"/>
      <c r="R339" s="206"/>
      <c r="S339" s="206"/>
    </row>
    <row r="340" spans="1:19" ht="12.75" customHeight="1" x14ac:dyDescent="0.3">
      <c r="P340"/>
      <c r="Q340" s="206"/>
      <c r="R340" s="206"/>
      <c r="S340" s="206"/>
    </row>
    <row r="341" spans="1:19" ht="12.75" customHeight="1" x14ac:dyDescent="0.3">
      <c r="P341"/>
      <c r="Q341" s="206"/>
      <c r="R341" s="206"/>
      <c r="S341" s="206"/>
    </row>
    <row r="342" spans="1:19" ht="12.75" customHeight="1" x14ac:dyDescent="0.3">
      <c r="P342"/>
      <c r="Q342" s="206"/>
      <c r="R342" s="206"/>
      <c r="S342" s="206"/>
    </row>
    <row r="343" spans="1:19" ht="12.75" customHeight="1" x14ac:dyDescent="0.3">
      <c r="P343"/>
      <c r="Q343" s="206"/>
      <c r="R343" s="206"/>
      <c r="S343" s="206"/>
    </row>
    <row r="344" spans="1:19" ht="12.75" customHeight="1" x14ac:dyDescent="0.3">
      <c r="P344"/>
      <c r="Q344" s="206"/>
      <c r="R344" s="206"/>
      <c r="S344" s="206"/>
    </row>
    <row r="345" spans="1:19" ht="12.75" customHeight="1" x14ac:dyDescent="0.3">
      <c r="A345" s="20" t="s">
        <v>0</v>
      </c>
      <c r="B345" s="21" t="s">
        <v>659</v>
      </c>
      <c r="C345" s="20" t="s">
        <v>660</v>
      </c>
      <c r="D345" s="21" t="s">
        <v>661</v>
      </c>
      <c r="E345" s="21" t="s">
        <v>662</v>
      </c>
      <c r="F345" s="21" t="s">
        <v>663</v>
      </c>
      <c r="G345" s="21" t="s">
        <v>664</v>
      </c>
      <c r="H345" s="21" t="s">
        <v>665</v>
      </c>
      <c r="I345" s="21" t="s">
        <v>676</v>
      </c>
      <c r="J345" s="21" t="s">
        <v>666</v>
      </c>
      <c r="L345" s="23" t="s">
        <v>667</v>
      </c>
      <c r="M345" s="23" t="s">
        <v>668</v>
      </c>
      <c r="O345" s="21" t="s">
        <v>669</v>
      </c>
      <c r="P345"/>
      <c r="Q345" s="206"/>
      <c r="R345" s="206"/>
      <c r="S345" s="206"/>
    </row>
    <row r="346" spans="1:19" ht="12.75" customHeight="1" x14ac:dyDescent="0.3">
      <c r="A346" s="24" t="s">
        <v>1048</v>
      </c>
      <c r="B346" s="207" t="s">
        <v>935</v>
      </c>
      <c r="C346" s="208" t="s">
        <v>485</v>
      </c>
      <c r="D346" s="25">
        <v>96652.21</v>
      </c>
      <c r="F346" s="25">
        <v>0</v>
      </c>
      <c r="G346" s="25">
        <v>0</v>
      </c>
      <c r="H346" s="25">
        <v>0</v>
      </c>
      <c r="J346" s="25">
        <f t="shared" ref="J346:J356" si="40">SUM(D346:I346)</f>
        <v>96652.21</v>
      </c>
      <c r="L346" s="25">
        <v>67834</v>
      </c>
      <c r="M346" s="26">
        <v>1.4248343013827875</v>
      </c>
      <c r="O346" s="25">
        <v>370000</v>
      </c>
      <c r="P346" t="s">
        <v>484</v>
      </c>
      <c r="Q346" s="206">
        <v>3092.8707200000003</v>
      </c>
      <c r="R346" s="206">
        <v>773.21768000000009</v>
      </c>
      <c r="S346" s="206">
        <v>483.26105000000007</v>
      </c>
    </row>
    <row r="347" spans="1:19" ht="12.75" customHeight="1" x14ac:dyDescent="0.3">
      <c r="A347" s="24" t="s">
        <v>1048</v>
      </c>
      <c r="B347" s="207" t="s">
        <v>1106</v>
      </c>
      <c r="C347" s="208" t="s">
        <v>473</v>
      </c>
      <c r="D347" s="25">
        <v>93030.5</v>
      </c>
      <c r="F347" s="25">
        <v>0</v>
      </c>
      <c r="G347" s="25">
        <v>1199.99</v>
      </c>
      <c r="H347" s="25">
        <v>0</v>
      </c>
      <c r="J347" s="25">
        <f t="shared" si="40"/>
        <v>94230.49</v>
      </c>
      <c r="L347" s="25">
        <v>67834</v>
      </c>
      <c r="M347" s="26">
        <v>1.3891336203083999</v>
      </c>
      <c r="P347" t="s">
        <v>472</v>
      </c>
      <c r="Q347" s="206">
        <v>3015.3756800000001</v>
      </c>
      <c r="R347" s="206">
        <v>753.84392000000003</v>
      </c>
      <c r="S347" s="206">
        <v>471.15245000000004</v>
      </c>
    </row>
    <row r="348" spans="1:19" ht="12.75" customHeight="1" x14ac:dyDescent="0.3">
      <c r="A348" s="24" t="s">
        <v>1048</v>
      </c>
      <c r="B348" s="207" t="s">
        <v>1107</v>
      </c>
      <c r="C348" s="208" t="s">
        <v>710</v>
      </c>
      <c r="D348" s="25">
        <v>49422.54</v>
      </c>
      <c r="F348" s="25">
        <v>0</v>
      </c>
      <c r="G348" s="25">
        <v>0</v>
      </c>
      <c r="H348" s="25">
        <v>0</v>
      </c>
      <c r="J348" s="25">
        <f t="shared" si="40"/>
        <v>49422.54</v>
      </c>
      <c r="L348" s="25">
        <v>67834</v>
      </c>
      <c r="M348" s="26">
        <v>0.72858065276999739</v>
      </c>
      <c r="P348" t="s">
        <v>469</v>
      </c>
      <c r="Q348" s="206">
        <v>1581.5212800000002</v>
      </c>
      <c r="R348" s="206">
        <v>395.38032000000004</v>
      </c>
      <c r="S348" s="206"/>
    </row>
    <row r="349" spans="1:19" ht="12.75" customHeight="1" x14ac:dyDescent="0.3">
      <c r="A349" s="24" t="s">
        <v>1048</v>
      </c>
      <c r="B349" s="207" t="s">
        <v>1067</v>
      </c>
      <c r="C349" s="208" t="s">
        <v>711</v>
      </c>
      <c r="D349" s="25">
        <v>99480.98</v>
      </c>
      <c r="F349" s="25">
        <v>0</v>
      </c>
      <c r="G349" s="25">
        <v>0</v>
      </c>
      <c r="H349" s="25">
        <v>0</v>
      </c>
      <c r="J349" s="25">
        <f t="shared" si="40"/>
        <v>99480.98</v>
      </c>
      <c r="L349" s="25">
        <v>67834</v>
      </c>
      <c r="M349" s="26">
        <v>1.4665356605831883</v>
      </c>
      <c r="P349" t="s">
        <v>478</v>
      </c>
      <c r="Q349" s="206">
        <v>3183.3913600000001</v>
      </c>
      <c r="R349" s="206">
        <v>795.84784000000002</v>
      </c>
      <c r="S349" s="206">
        <v>497.4049</v>
      </c>
    </row>
    <row r="350" spans="1:19" ht="12.75" customHeight="1" x14ac:dyDescent="0.3">
      <c r="A350" s="24" t="s">
        <v>1048</v>
      </c>
      <c r="B350" s="207" t="s">
        <v>1085</v>
      </c>
      <c r="C350" s="208" t="s">
        <v>712</v>
      </c>
      <c r="D350" s="25">
        <v>73911.87</v>
      </c>
      <c r="F350" s="25">
        <v>0</v>
      </c>
      <c r="G350" s="25">
        <v>299.99</v>
      </c>
      <c r="H350" s="25">
        <v>0</v>
      </c>
      <c r="J350" s="25">
        <f t="shared" si="40"/>
        <v>74211.86</v>
      </c>
      <c r="L350" s="25">
        <v>67834</v>
      </c>
      <c r="M350" s="26">
        <v>1.0940215820974732</v>
      </c>
      <c r="P350" t="s">
        <v>481</v>
      </c>
      <c r="Q350" s="206">
        <v>2374.77952</v>
      </c>
      <c r="R350" s="206">
        <v>593.69488000000001</v>
      </c>
      <c r="S350" s="206">
        <v>371.05930000000001</v>
      </c>
    </row>
    <row r="351" spans="1:19" ht="12.75" customHeight="1" x14ac:dyDescent="0.3">
      <c r="A351" s="24" t="s">
        <v>1048</v>
      </c>
      <c r="B351" s="207" t="s">
        <v>1036</v>
      </c>
      <c r="C351" s="208" t="s">
        <v>476</v>
      </c>
      <c r="D351" s="25">
        <v>72526.16</v>
      </c>
      <c r="F351" s="25">
        <v>0</v>
      </c>
      <c r="G351" s="25">
        <v>0</v>
      </c>
      <c r="H351" s="25">
        <v>0</v>
      </c>
      <c r="J351" s="25">
        <f t="shared" si="40"/>
        <v>72526.16</v>
      </c>
      <c r="L351" s="25">
        <v>67834</v>
      </c>
      <c r="M351" s="26">
        <v>1.0691712120765398</v>
      </c>
      <c r="P351" t="s">
        <v>475</v>
      </c>
      <c r="Q351" s="206">
        <v>2320.8371200000001</v>
      </c>
      <c r="R351" s="206">
        <v>580.20928000000004</v>
      </c>
      <c r="S351" s="206">
        <v>362.63080000000002</v>
      </c>
    </row>
    <row r="352" spans="1:19" ht="12.75" customHeight="1" x14ac:dyDescent="0.3">
      <c r="A352" s="24" t="s">
        <v>1048</v>
      </c>
      <c r="B352" s="207" t="s">
        <v>1108</v>
      </c>
      <c r="C352" s="208" t="s">
        <v>713</v>
      </c>
      <c r="D352" s="25">
        <v>1927.85</v>
      </c>
      <c r="F352" s="25">
        <v>0</v>
      </c>
      <c r="G352" s="25">
        <v>0</v>
      </c>
      <c r="H352" s="25">
        <v>0</v>
      </c>
      <c r="J352" s="25">
        <f t="shared" si="40"/>
        <v>1927.85</v>
      </c>
      <c r="L352" s="25"/>
      <c r="M352" s="26">
        <v>0</v>
      </c>
      <c r="P352" t="s">
        <v>1109</v>
      </c>
      <c r="Q352" s="206">
        <v>61.691199999999995</v>
      </c>
      <c r="R352" s="206">
        <v>15.422799999999999</v>
      </c>
      <c r="S352" s="206"/>
    </row>
    <row r="353" spans="1:19" ht="12.75" customHeight="1" x14ac:dyDescent="0.3">
      <c r="A353" s="24" t="s">
        <v>1048</v>
      </c>
      <c r="B353" s="207"/>
      <c r="C353" s="208"/>
      <c r="D353" s="25">
        <v>0</v>
      </c>
      <c r="F353" s="25">
        <v>0</v>
      </c>
      <c r="G353" s="25">
        <v>0</v>
      </c>
      <c r="H353" s="25">
        <v>0</v>
      </c>
      <c r="J353" s="25">
        <f t="shared" si="40"/>
        <v>0</v>
      </c>
      <c r="L353" s="25"/>
      <c r="M353" s="26">
        <v>0</v>
      </c>
      <c r="P353"/>
      <c r="Q353" s="206"/>
      <c r="R353" s="206"/>
      <c r="S353" s="206"/>
    </row>
    <row r="354" spans="1:19" ht="12.75" customHeight="1" x14ac:dyDescent="0.3">
      <c r="A354" s="24" t="s">
        <v>1048</v>
      </c>
      <c r="B354" s="207"/>
      <c r="C354" s="208"/>
      <c r="D354" s="25">
        <v>0</v>
      </c>
      <c r="F354" s="25">
        <v>0</v>
      </c>
      <c r="G354" s="25">
        <v>0</v>
      </c>
      <c r="H354" s="25">
        <v>0</v>
      </c>
      <c r="J354" s="25">
        <f t="shared" si="40"/>
        <v>0</v>
      </c>
      <c r="L354" s="25"/>
      <c r="M354" s="26">
        <v>0</v>
      </c>
      <c r="P354"/>
      <c r="Q354" s="206"/>
      <c r="R354" s="206"/>
      <c r="S354" s="206"/>
    </row>
    <row r="355" spans="1:19" ht="12.75" customHeight="1" x14ac:dyDescent="0.3">
      <c r="A355" s="24" t="s">
        <v>1048</v>
      </c>
      <c r="B355" s="207"/>
      <c r="C355" s="208"/>
      <c r="D355" s="25">
        <v>0</v>
      </c>
      <c r="F355" s="25">
        <v>0</v>
      </c>
      <c r="G355" s="25">
        <v>0</v>
      </c>
      <c r="H355" s="25">
        <v>0</v>
      </c>
      <c r="J355" s="25">
        <f t="shared" si="40"/>
        <v>0</v>
      </c>
      <c r="L355" s="25"/>
      <c r="M355" s="26">
        <v>0</v>
      </c>
      <c r="P355"/>
      <c r="Q355" s="206"/>
      <c r="R355" s="206"/>
      <c r="S355" s="206"/>
    </row>
    <row r="356" spans="1:19" ht="12.75" customHeight="1" x14ac:dyDescent="0.3">
      <c r="A356" s="24" t="s">
        <v>1048</v>
      </c>
      <c r="B356" s="207"/>
      <c r="C356" s="208"/>
      <c r="D356" s="25">
        <v>0</v>
      </c>
      <c r="F356" s="25">
        <v>0</v>
      </c>
      <c r="G356" s="25">
        <v>0</v>
      </c>
      <c r="H356" s="25">
        <v>0</v>
      </c>
      <c r="J356" s="25">
        <f t="shared" si="40"/>
        <v>0</v>
      </c>
      <c r="L356" s="25"/>
      <c r="M356" s="26">
        <v>0</v>
      </c>
      <c r="P356"/>
      <c r="Q356" s="206"/>
      <c r="R356" s="206"/>
      <c r="S356" s="206"/>
    </row>
    <row r="357" spans="1:19" ht="12.75" customHeight="1" x14ac:dyDescent="0.3">
      <c r="A357" s="27" t="s">
        <v>8</v>
      </c>
      <c r="B357" s="28"/>
      <c r="C357" s="27"/>
      <c r="D357" s="29">
        <v>486952.11</v>
      </c>
      <c r="E357" s="29">
        <v>0</v>
      </c>
      <c r="F357" s="29">
        <v>0</v>
      </c>
      <c r="G357" s="29">
        <v>1499.98</v>
      </c>
      <c r="H357" s="29">
        <v>0</v>
      </c>
      <c r="I357" s="29">
        <v>0</v>
      </c>
      <c r="J357" s="29">
        <f t="shared" ref="J357" si="41">SUM(J346:J356)</f>
        <v>488452.08999999997</v>
      </c>
      <c r="L357" s="29">
        <v>407004</v>
      </c>
      <c r="P357"/>
      <c r="Q357" s="206"/>
      <c r="R357" s="206"/>
      <c r="S357" s="206"/>
    </row>
    <row r="358" spans="1:19" ht="12.75" customHeight="1" x14ac:dyDescent="0.3">
      <c r="P358"/>
      <c r="Q358" s="206"/>
      <c r="R358" s="206"/>
      <c r="S358" s="206"/>
    </row>
    <row r="359" spans="1:19" ht="12.75" customHeight="1" x14ac:dyDescent="0.3">
      <c r="P359"/>
      <c r="Q359" s="206"/>
      <c r="R359" s="206"/>
      <c r="S359" s="206"/>
    </row>
    <row r="360" spans="1:19" ht="12.75" customHeight="1" x14ac:dyDescent="0.3">
      <c r="P360"/>
      <c r="Q360" s="206"/>
      <c r="R360" s="206"/>
      <c r="S360" s="206"/>
    </row>
    <row r="361" spans="1:19" ht="12.75" customHeight="1" x14ac:dyDescent="0.3">
      <c r="P361"/>
      <c r="Q361" s="206"/>
      <c r="R361" s="206"/>
      <c r="S361" s="206"/>
    </row>
    <row r="362" spans="1:19" ht="12.75" customHeight="1" x14ac:dyDescent="0.3">
      <c r="P362"/>
      <c r="Q362" s="206"/>
      <c r="R362" s="206"/>
      <c r="S362" s="206"/>
    </row>
    <row r="363" spans="1:19" ht="12.75" customHeight="1" x14ac:dyDescent="0.3">
      <c r="A363" s="20" t="s">
        <v>0</v>
      </c>
      <c r="B363" s="21" t="s">
        <v>659</v>
      </c>
      <c r="C363" s="20" t="s">
        <v>660</v>
      </c>
      <c r="D363" s="21" t="s">
        <v>661</v>
      </c>
      <c r="E363" s="21" t="s">
        <v>662</v>
      </c>
      <c r="F363" s="21" t="s">
        <v>663</v>
      </c>
      <c r="G363" s="21" t="s">
        <v>664</v>
      </c>
      <c r="H363" s="21" t="s">
        <v>665</v>
      </c>
      <c r="I363" s="21" t="s">
        <v>676</v>
      </c>
      <c r="J363" s="21" t="s">
        <v>666</v>
      </c>
      <c r="L363" s="23" t="s">
        <v>667</v>
      </c>
      <c r="M363" s="23" t="s">
        <v>668</v>
      </c>
      <c r="O363" s="21" t="s">
        <v>669</v>
      </c>
      <c r="P363"/>
      <c r="Q363" s="206"/>
      <c r="R363" s="206"/>
      <c r="S363" s="206"/>
    </row>
    <row r="364" spans="1:19" ht="12.75" customHeight="1" x14ac:dyDescent="0.3">
      <c r="A364" s="24" t="s">
        <v>1110</v>
      </c>
      <c r="B364" s="207" t="s">
        <v>1111</v>
      </c>
      <c r="C364" s="208" t="s">
        <v>491</v>
      </c>
      <c r="D364" s="25">
        <v>78913.440000000002</v>
      </c>
      <c r="F364" s="25">
        <v>0</v>
      </c>
      <c r="G364" s="25">
        <v>0</v>
      </c>
      <c r="H364" s="25">
        <v>299.99</v>
      </c>
      <c r="J364" s="25">
        <f t="shared" ref="J364:J374" si="42">SUM(D364:I364)</f>
        <v>79213.430000000008</v>
      </c>
      <c r="L364" s="25">
        <v>61600</v>
      </c>
      <c r="M364" s="26">
        <v>1.2859323051948053</v>
      </c>
      <c r="O364" s="25">
        <v>280000</v>
      </c>
      <c r="P364" t="s">
        <v>490</v>
      </c>
      <c r="Q364" s="206">
        <v>3564.6043500000001</v>
      </c>
      <c r="R364" s="206">
        <v>891.15108750000002</v>
      </c>
      <c r="S364" s="206">
        <v>396.06715000000003</v>
      </c>
    </row>
    <row r="365" spans="1:19" ht="12.75" customHeight="1" x14ac:dyDescent="0.3">
      <c r="A365" s="24" t="s">
        <v>1110</v>
      </c>
      <c r="B365" s="207" t="s">
        <v>1018</v>
      </c>
      <c r="C365" s="208" t="s">
        <v>714</v>
      </c>
      <c r="D365" s="25">
        <v>65310.73</v>
      </c>
      <c r="F365" s="25">
        <v>0</v>
      </c>
      <c r="G365" s="25">
        <v>429.99</v>
      </c>
      <c r="H365" s="25">
        <v>299.99</v>
      </c>
      <c r="J365" s="25">
        <f t="shared" si="42"/>
        <v>66040.710000000006</v>
      </c>
      <c r="L365" s="25">
        <v>61600</v>
      </c>
      <c r="M365" s="26">
        <v>1.0720894480519481</v>
      </c>
      <c r="P365" t="s">
        <v>496</v>
      </c>
      <c r="Q365" s="206">
        <v>2443.5062700000008</v>
      </c>
      <c r="R365" s="206">
        <v>610.87656750000019</v>
      </c>
      <c r="S365" s="206">
        <v>330.20355000000006</v>
      </c>
    </row>
    <row r="366" spans="1:19" ht="12.75" customHeight="1" x14ac:dyDescent="0.3">
      <c r="A366" s="24" t="s">
        <v>1110</v>
      </c>
      <c r="B366" s="207" t="s">
        <v>1081</v>
      </c>
      <c r="C366" s="208" t="s">
        <v>715</v>
      </c>
      <c r="D366" s="25">
        <v>1409.96</v>
      </c>
      <c r="F366" s="25">
        <v>0</v>
      </c>
      <c r="G366" s="25">
        <v>0</v>
      </c>
      <c r="H366" s="25">
        <v>0</v>
      </c>
      <c r="J366" s="25">
        <f t="shared" si="42"/>
        <v>1409.96</v>
      </c>
      <c r="L366" s="25"/>
      <c r="M366" s="26">
        <v>0</v>
      </c>
      <c r="P366" t="s">
        <v>499</v>
      </c>
      <c r="Q366" s="206">
        <v>45.118720000000003</v>
      </c>
      <c r="R366" s="206">
        <v>11.279680000000001</v>
      </c>
      <c r="S366" s="206"/>
    </row>
    <row r="367" spans="1:19" ht="12.75" customHeight="1" x14ac:dyDescent="0.3">
      <c r="A367" s="24" t="s">
        <v>1110</v>
      </c>
      <c r="B367" s="207" t="s">
        <v>1085</v>
      </c>
      <c r="C367" s="208" t="s">
        <v>716</v>
      </c>
      <c r="D367" s="25">
        <v>74053.3</v>
      </c>
      <c r="F367" s="25">
        <v>0</v>
      </c>
      <c r="G367" s="25">
        <v>0</v>
      </c>
      <c r="H367" s="25">
        <v>0</v>
      </c>
      <c r="J367" s="25">
        <f t="shared" si="42"/>
        <v>74053.3</v>
      </c>
      <c r="L367" s="25">
        <v>61600</v>
      </c>
      <c r="M367" s="26">
        <v>1.2021639610389612</v>
      </c>
      <c r="P367" t="s">
        <v>502</v>
      </c>
      <c r="Q367" s="206">
        <v>3332.3984999999998</v>
      </c>
      <c r="R367" s="206">
        <v>833.09962499999995</v>
      </c>
      <c r="S367" s="206">
        <v>370.26650000000001</v>
      </c>
    </row>
    <row r="368" spans="1:19" ht="12.75" customHeight="1" x14ac:dyDescent="0.3">
      <c r="A368" s="24" t="s">
        <v>1110</v>
      </c>
      <c r="B368" s="207" t="s">
        <v>1036</v>
      </c>
      <c r="C368" s="208" t="s">
        <v>506</v>
      </c>
      <c r="D368" s="25">
        <v>54137.58</v>
      </c>
      <c r="F368" s="25">
        <v>0</v>
      </c>
      <c r="G368" s="25">
        <v>0</v>
      </c>
      <c r="H368" s="25">
        <v>399.99</v>
      </c>
      <c r="J368" s="25">
        <f t="shared" si="42"/>
        <v>54537.57</v>
      </c>
      <c r="L368" s="25">
        <v>61600</v>
      </c>
      <c r="M368" s="26">
        <v>0.88535016233766228</v>
      </c>
      <c r="P368" t="s">
        <v>505</v>
      </c>
      <c r="Q368" s="206">
        <v>1745.2022400000001</v>
      </c>
      <c r="R368" s="206">
        <v>436.30056000000002</v>
      </c>
      <c r="S368" s="206"/>
    </row>
    <row r="369" spans="1:19" ht="12.75" customHeight="1" x14ac:dyDescent="0.3">
      <c r="A369" s="24" t="s">
        <v>1110</v>
      </c>
      <c r="B369" s="207" t="s">
        <v>1086</v>
      </c>
      <c r="C369" s="208" t="s">
        <v>918</v>
      </c>
      <c r="D369" s="25">
        <v>32551.77</v>
      </c>
      <c r="F369" s="25">
        <v>0</v>
      </c>
      <c r="G369" s="25">
        <v>0</v>
      </c>
      <c r="H369" s="25">
        <v>0</v>
      </c>
      <c r="J369" s="25">
        <f t="shared" si="42"/>
        <v>32551.77</v>
      </c>
      <c r="L369" s="25">
        <v>61600</v>
      </c>
      <c r="M369" s="26">
        <v>0.52843782467532463</v>
      </c>
      <c r="P369" t="s">
        <v>917</v>
      </c>
      <c r="Q369" s="206">
        <v>1041.6566399999999</v>
      </c>
      <c r="R369" s="206">
        <v>260.41415999999998</v>
      </c>
      <c r="S369" s="206"/>
    </row>
    <row r="370" spans="1:19" ht="12.75" customHeight="1" x14ac:dyDescent="0.3">
      <c r="A370" s="24" t="s">
        <v>1110</v>
      </c>
      <c r="B370" s="207"/>
      <c r="C370" s="208"/>
      <c r="D370" s="25">
        <v>0</v>
      </c>
      <c r="F370" s="25">
        <v>0</v>
      </c>
      <c r="G370" s="25">
        <v>0</v>
      </c>
      <c r="H370" s="25">
        <v>0</v>
      </c>
      <c r="J370" s="25">
        <f t="shared" si="42"/>
        <v>0</v>
      </c>
      <c r="L370" s="25"/>
      <c r="M370" s="26">
        <v>0</v>
      </c>
      <c r="P370"/>
      <c r="Q370" s="206"/>
      <c r="R370" s="206"/>
      <c r="S370" s="206"/>
    </row>
    <row r="371" spans="1:19" ht="12.75" customHeight="1" x14ac:dyDescent="0.3">
      <c r="A371" s="24" t="s">
        <v>1110</v>
      </c>
      <c r="B371" s="207"/>
      <c r="C371" s="208"/>
      <c r="D371" s="25">
        <v>0</v>
      </c>
      <c r="F371" s="25">
        <v>0</v>
      </c>
      <c r="G371" s="25">
        <v>0</v>
      </c>
      <c r="H371" s="25">
        <v>0</v>
      </c>
      <c r="J371" s="25">
        <f t="shared" si="42"/>
        <v>0</v>
      </c>
      <c r="L371" s="25"/>
      <c r="M371" s="26">
        <v>0</v>
      </c>
      <c r="P371"/>
      <c r="Q371" s="206"/>
      <c r="R371" s="206"/>
      <c r="S371" s="206"/>
    </row>
    <row r="372" spans="1:19" ht="12.75" customHeight="1" x14ac:dyDescent="0.3">
      <c r="A372" s="24" t="s">
        <v>1110</v>
      </c>
      <c r="B372" s="207"/>
      <c r="C372" s="208"/>
      <c r="D372" s="25">
        <v>0</v>
      </c>
      <c r="F372" s="25">
        <v>0</v>
      </c>
      <c r="G372" s="25">
        <v>0</v>
      </c>
      <c r="H372" s="25">
        <v>0</v>
      </c>
      <c r="J372" s="25">
        <f t="shared" si="42"/>
        <v>0</v>
      </c>
      <c r="L372" s="25"/>
      <c r="M372" s="26">
        <v>0</v>
      </c>
      <c r="P372"/>
      <c r="Q372" s="206"/>
      <c r="R372" s="206"/>
      <c r="S372" s="206"/>
    </row>
    <row r="373" spans="1:19" ht="12.75" customHeight="1" x14ac:dyDescent="0.3">
      <c r="A373" s="24" t="s">
        <v>1110</v>
      </c>
      <c r="B373" s="207"/>
      <c r="C373" s="208"/>
      <c r="D373" s="25">
        <v>0</v>
      </c>
      <c r="F373" s="25">
        <v>0</v>
      </c>
      <c r="G373" s="25">
        <v>0</v>
      </c>
      <c r="H373" s="25">
        <v>0</v>
      </c>
      <c r="J373" s="25">
        <f t="shared" si="42"/>
        <v>0</v>
      </c>
      <c r="L373" s="25"/>
      <c r="M373" s="26">
        <v>0</v>
      </c>
      <c r="P373"/>
      <c r="Q373" s="206"/>
      <c r="R373" s="206"/>
      <c r="S373" s="206"/>
    </row>
    <row r="374" spans="1:19" ht="12.75" customHeight="1" x14ac:dyDescent="0.3">
      <c r="A374" s="24" t="s">
        <v>1110</v>
      </c>
      <c r="B374" s="207"/>
      <c r="C374" s="208"/>
      <c r="D374" s="25">
        <v>0</v>
      </c>
      <c r="F374" s="25">
        <v>0</v>
      </c>
      <c r="G374" s="25">
        <v>0</v>
      </c>
      <c r="H374" s="25">
        <v>0</v>
      </c>
      <c r="J374" s="25">
        <f t="shared" si="42"/>
        <v>0</v>
      </c>
      <c r="L374" s="25"/>
      <c r="M374" s="26">
        <v>0</v>
      </c>
      <c r="P374"/>
      <c r="Q374" s="206"/>
      <c r="R374" s="206"/>
      <c r="S374" s="206"/>
    </row>
    <row r="375" spans="1:19" ht="12.75" customHeight="1" x14ac:dyDescent="0.3">
      <c r="A375" s="27" t="s">
        <v>8</v>
      </c>
      <c r="B375" s="28"/>
      <c r="C375" s="27"/>
      <c r="D375" s="29">
        <v>306376.78000000003</v>
      </c>
      <c r="E375" s="29">
        <v>0</v>
      </c>
      <c r="F375" s="29">
        <v>0</v>
      </c>
      <c r="G375" s="29">
        <v>429.99</v>
      </c>
      <c r="H375" s="29">
        <v>999.97</v>
      </c>
      <c r="I375" s="29">
        <v>0</v>
      </c>
      <c r="J375" s="29">
        <f t="shared" ref="J375" si="43">SUM(J364:J374)</f>
        <v>307806.74000000005</v>
      </c>
      <c r="L375" s="29">
        <v>308000</v>
      </c>
      <c r="P375"/>
      <c r="Q375" s="206"/>
      <c r="R375" s="206"/>
      <c r="S375" s="206"/>
    </row>
    <row r="376" spans="1:19" ht="12.75" customHeight="1" x14ac:dyDescent="0.3">
      <c r="P376"/>
      <c r="Q376" s="206"/>
      <c r="R376" s="206"/>
      <c r="S376" s="206"/>
    </row>
    <row r="377" spans="1:19" ht="12.75" customHeight="1" x14ac:dyDescent="0.3">
      <c r="P377"/>
      <c r="Q377" s="206"/>
      <c r="R377" s="206"/>
      <c r="S377" s="206"/>
    </row>
    <row r="378" spans="1:19" ht="12.75" customHeight="1" x14ac:dyDescent="0.3">
      <c r="P378"/>
      <c r="Q378" s="206"/>
      <c r="R378" s="206"/>
      <c r="S378" s="206"/>
    </row>
    <row r="379" spans="1:19" ht="12.75" customHeight="1" x14ac:dyDescent="0.3">
      <c r="P379"/>
      <c r="Q379" s="206"/>
      <c r="R379" s="206"/>
      <c r="S379" s="206"/>
    </row>
    <row r="380" spans="1:19" ht="12.75" customHeight="1" x14ac:dyDescent="0.3">
      <c r="P380"/>
      <c r="Q380" s="206"/>
      <c r="R380" s="206"/>
      <c r="S380" s="206"/>
    </row>
    <row r="381" spans="1:19" ht="12.75" customHeight="1" x14ac:dyDescent="0.3">
      <c r="A381" s="20" t="s">
        <v>0</v>
      </c>
      <c r="B381" s="21" t="s">
        <v>659</v>
      </c>
      <c r="C381" s="20" t="s">
        <v>660</v>
      </c>
      <c r="D381" s="21" t="s">
        <v>661</v>
      </c>
      <c r="E381" s="21" t="s">
        <v>662</v>
      </c>
      <c r="F381" s="21" t="s">
        <v>663</v>
      </c>
      <c r="G381" s="21" t="s">
        <v>664</v>
      </c>
      <c r="H381" s="21" t="s">
        <v>665</v>
      </c>
      <c r="I381" s="21" t="s">
        <v>676</v>
      </c>
      <c r="J381" s="21" t="s">
        <v>666</v>
      </c>
      <c r="L381" s="23" t="s">
        <v>667</v>
      </c>
      <c r="M381" s="23" t="s">
        <v>668</v>
      </c>
      <c r="O381" s="21" t="s">
        <v>669</v>
      </c>
      <c r="P381"/>
      <c r="Q381" s="206"/>
      <c r="R381" s="206"/>
      <c r="S381" s="206"/>
    </row>
    <row r="382" spans="1:19" ht="12.75" customHeight="1" x14ac:dyDescent="0.3">
      <c r="A382" s="24" t="s">
        <v>1050</v>
      </c>
      <c r="B382" s="207" t="s">
        <v>935</v>
      </c>
      <c r="C382" s="208" t="s">
        <v>527</v>
      </c>
      <c r="D382" s="25">
        <v>80006.91</v>
      </c>
      <c r="F382" s="25">
        <v>0</v>
      </c>
      <c r="G382" s="25">
        <v>199.99</v>
      </c>
      <c r="H382" s="25">
        <v>0</v>
      </c>
      <c r="J382" s="25">
        <f t="shared" ref="J382:J392" si="44">SUM(D382:I382)</f>
        <v>80206.900000000009</v>
      </c>
      <c r="L382" s="25">
        <v>78500</v>
      </c>
      <c r="M382" s="26">
        <v>1.0217439490445861</v>
      </c>
      <c r="O382" s="25">
        <v>350000</v>
      </c>
      <c r="P382" t="s">
        <v>526</v>
      </c>
      <c r="Q382" s="206">
        <v>2646.8277000000003</v>
      </c>
      <c r="R382" s="206">
        <v>661.70692500000007</v>
      </c>
      <c r="S382" s="206">
        <v>401.03450000000004</v>
      </c>
    </row>
    <row r="383" spans="1:19" ht="12.75" customHeight="1" x14ac:dyDescent="0.3">
      <c r="A383" s="24" t="s">
        <v>1050</v>
      </c>
      <c r="B383" s="207" t="s">
        <v>1112</v>
      </c>
      <c r="C383" s="208" t="s">
        <v>717</v>
      </c>
      <c r="D383" s="25">
        <v>117087.86</v>
      </c>
      <c r="F383" s="25">
        <v>0</v>
      </c>
      <c r="G383" s="25">
        <v>0</v>
      </c>
      <c r="H383" s="25">
        <v>0</v>
      </c>
      <c r="J383" s="25">
        <f t="shared" si="44"/>
        <v>117087.86</v>
      </c>
      <c r="L383" s="25">
        <v>114000</v>
      </c>
      <c r="M383" s="26">
        <v>1.0270864912280702</v>
      </c>
      <c r="P383" t="s">
        <v>520</v>
      </c>
      <c r="Q383" s="206">
        <v>3863.8993800000003</v>
      </c>
      <c r="R383" s="206">
        <v>965.97484500000007</v>
      </c>
      <c r="S383" s="206">
        <v>585.4393</v>
      </c>
    </row>
    <row r="384" spans="1:19" ht="12.75" customHeight="1" x14ac:dyDescent="0.3">
      <c r="A384" s="24" t="s">
        <v>1050</v>
      </c>
      <c r="B384" s="207" t="s">
        <v>1113</v>
      </c>
      <c r="C384" s="208" t="s">
        <v>512</v>
      </c>
      <c r="D384" s="25">
        <v>115838.41</v>
      </c>
      <c r="F384" s="25">
        <v>0</v>
      </c>
      <c r="G384" s="25">
        <v>0</v>
      </c>
      <c r="H384" s="25">
        <v>0</v>
      </c>
      <c r="J384" s="25">
        <f t="shared" si="44"/>
        <v>115838.41</v>
      </c>
      <c r="L384" s="25">
        <v>114000</v>
      </c>
      <c r="M384" s="26">
        <v>1.016126403508772</v>
      </c>
      <c r="P384" t="s">
        <v>511</v>
      </c>
      <c r="Q384" s="206">
        <v>3822.6675300000002</v>
      </c>
      <c r="R384" s="206">
        <v>955.66688250000004</v>
      </c>
      <c r="S384" s="206">
        <v>579.19204999999999</v>
      </c>
    </row>
    <row r="385" spans="1:19" ht="12.75" customHeight="1" x14ac:dyDescent="0.3">
      <c r="A385" s="24" t="s">
        <v>1050</v>
      </c>
      <c r="B385" s="207" t="s">
        <v>1114</v>
      </c>
      <c r="C385" s="208" t="s">
        <v>921</v>
      </c>
      <c r="D385" s="25">
        <v>77188.11</v>
      </c>
      <c r="F385" s="25">
        <v>0</v>
      </c>
      <c r="G385" s="25">
        <v>0</v>
      </c>
      <c r="H385" s="25">
        <v>0</v>
      </c>
      <c r="J385" s="25">
        <f t="shared" si="44"/>
        <v>77188.11</v>
      </c>
      <c r="L385" s="25">
        <v>78500</v>
      </c>
      <c r="M385" s="26">
        <v>0.983288025477707</v>
      </c>
      <c r="P385" t="s">
        <v>920</v>
      </c>
      <c r="Q385" s="206">
        <v>2161.2670799999996</v>
      </c>
      <c r="R385" s="206">
        <v>540.31676999999991</v>
      </c>
      <c r="S385" s="206"/>
    </row>
    <row r="386" spans="1:19" ht="12.75" customHeight="1" x14ac:dyDescent="0.3">
      <c r="A386" s="24" t="s">
        <v>1050</v>
      </c>
      <c r="B386" s="207" t="s">
        <v>1115</v>
      </c>
      <c r="C386" s="208"/>
      <c r="D386" s="25">
        <v>1103.95</v>
      </c>
      <c r="F386" s="25">
        <v>0</v>
      </c>
      <c r="G386" s="25">
        <v>0</v>
      </c>
      <c r="H386" s="25">
        <v>0</v>
      </c>
      <c r="J386" s="25">
        <f t="shared" si="44"/>
        <v>1103.95</v>
      </c>
      <c r="L386" s="25"/>
      <c r="M386" s="26">
        <v>0</v>
      </c>
      <c r="P386" t="s">
        <v>1116</v>
      </c>
      <c r="Q386" s="206">
        <v>30.910599999999999</v>
      </c>
      <c r="R386" s="206">
        <v>7.7276499999999997</v>
      </c>
      <c r="S386" s="206"/>
    </row>
    <row r="387" spans="1:19" ht="12.75" customHeight="1" x14ac:dyDescent="0.3">
      <c r="A387" s="24" t="s">
        <v>1050</v>
      </c>
      <c r="B387" s="207"/>
      <c r="C387" s="208"/>
      <c r="D387" s="25">
        <v>0</v>
      </c>
      <c r="F387" s="25">
        <v>0</v>
      </c>
      <c r="G387" s="25">
        <v>0</v>
      </c>
      <c r="H387" s="25">
        <v>0</v>
      </c>
      <c r="J387" s="25">
        <f t="shared" si="44"/>
        <v>0</v>
      </c>
      <c r="L387" s="25"/>
      <c r="M387" s="26">
        <v>0</v>
      </c>
      <c r="P387"/>
      <c r="Q387" s="206"/>
      <c r="R387" s="206"/>
      <c r="S387" s="206"/>
    </row>
    <row r="388" spans="1:19" ht="12.75" customHeight="1" x14ac:dyDescent="0.3">
      <c r="A388" s="24" t="s">
        <v>1050</v>
      </c>
      <c r="B388" s="207"/>
      <c r="C388" s="208"/>
      <c r="D388" s="25">
        <v>0</v>
      </c>
      <c r="F388" s="25">
        <v>0</v>
      </c>
      <c r="G388" s="25">
        <v>0</v>
      </c>
      <c r="H388" s="25">
        <v>0</v>
      </c>
      <c r="J388" s="25">
        <f t="shared" si="44"/>
        <v>0</v>
      </c>
      <c r="L388" s="25"/>
      <c r="M388" s="26">
        <v>0</v>
      </c>
      <c r="P388"/>
      <c r="Q388" s="206"/>
      <c r="R388" s="206"/>
      <c r="S388" s="206"/>
    </row>
    <row r="389" spans="1:19" ht="12.75" customHeight="1" x14ac:dyDescent="0.3">
      <c r="A389" s="24" t="s">
        <v>1050</v>
      </c>
      <c r="B389" s="207"/>
      <c r="C389" s="208"/>
      <c r="D389" s="25">
        <v>0</v>
      </c>
      <c r="F389" s="25">
        <v>0</v>
      </c>
      <c r="G389" s="25">
        <v>0</v>
      </c>
      <c r="H389" s="25">
        <v>0</v>
      </c>
      <c r="J389" s="25">
        <f t="shared" si="44"/>
        <v>0</v>
      </c>
      <c r="L389" s="25"/>
      <c r="M389" s="26">
        <v>0</v>
      </c>
      <c r="P389"/>
      <c r="Q389" s="206"/>
      <c r="R389" s="206"/>
      <c r="S389" s="206"/>
    </row>
    <row r="390" spans="1:19" ht="12.75" customHeight="1" x14ac:dyDescent="0.3">
      <c r="A390" s="24" t="s">
        <v>1050</v>
      </c>
      <c r="B390" s="207"/>
      <c r="C390" s="208"/>
      <c r="D390" s="25">
        <v>0</v>
      </c>
      <c r="F390" s="25">
        <v>0</v>
      </c>
      <c r="G390" s="25">
        <v>0</v>
      </c>
      <c r="H390" s="25">
        <v>0</v>
      </c>
      <c r="J390" s="25">
        <f t="shared" si="44"/>
        <v>0</v>
      </c>
      <c r="L390" s="25"/>
      <c r="M390" s="26">
        <v>0</v>
      </c>
      <c r="P390"/>
      <c r="Q390" s="206"/>
      <c r="R390" s="206"/>
      <c r="S390" s="206"/>
    </row>
    <row r="391" spans="1:19" ht="12.75" customHeight="1" x14ac:dyDescent="0.3">
      <c r="A391" s="24" t="s">
        <v>1050</v>
      </c>
      <c r="B391" s="207"/>
      <c r="C391" s="208"/>
      <c r="D391" s="25">
        <v>0</v>
      </c>
      <c r="F391" s="25">
        <v>0</v>
      </c>
      <c r="G391" s="25">
        <v>0</v>
      </c>
      <c r="H391" s="25">
        <v>0</v>
      </c>
      <c r="J391" s="25">
        <f t="shared" si="44"/>
        <v>0</v>
      </c>
      <c r="L391" s="25"/>
      <c r="M391" s="26">
        <v>0</v>
      </c>
      <c r="P391"/>
      <c r="Q391" s="206"/>
      <c r="R391" s="206"/>
      <c r="S391" s="206"/>
    </row>
    <row r="392" spans="1:19" ht="12.75" customHeight="1" x14ac:dyDescent="0.3">
      <c r="A392" s="24" t="s">
        <v>1050</v>
      </c>
      <c r="B392" s="207"/>
      <c r="C392" s="208"/>
      <c r="D392" s="25">
        <v>0</v>
      </c>
      <c r="F392" s="25">
        <v>0</v>
      </c>
      <c r="G392" s="25">
        <v>0</v>
      </c>
      <c r="H392" s="25">
        <v>0</v>
      </c>
      <c r="J392" s="25">
        <f t="shared" si="44"/>
        <v>0</v>
      </c>
      <c r="L392" s="25"/>
      <c r="M392" s="26">
        <v>0</v>
      </c>
      <c r="P392"/>
      <c r="Q392" s="206"/>
      <c r="R392" s="206"/>
      <c r="S392" s="206"/>
    </row>
    <row r="393" spans="1:19" ht="12.75" customHeight="1" x14ac:dyDescent="0.3">
      <c r="A393" s="27" t="s">
        <v>8</v>
      </c>
      <c r="B393" s="28"/>
      <c r="C393" s="27"/>
      <c r="D393" s="29">
        <v>391225.24000000005</v>
      </c>
      <c r="E393" s="29">
        <v>0</v>
      </c>
      <c r="F393" s="29">
        <v>0</v>
      </c>
      <c r="G393" s="29">
        <v>199.99</v>
      </c>
      <c r="H393" s="29">
        <v>0</v>
      </c>
      <c r="I393" s="29">
        <v>0</v>
      </c>
      <c r="J393" s="29">
        <f t="shared" ref="J393" si="45">SUM(J382:J392)</f>
        <v>391425.23000000004</v>
      </c>
      <c r="L393" s="29">
        <v>385000</v>
      </c>
      <c r="P393"/>
      <c r="Q393" s="206"/>
      <c r="R393" s="206"/>
      <c r="S393" s="206"/>
    </row>
    <row r="394" spans="1:19" ht="12.75" customHeight="1" x14ac:dyDescent="0.3">
      <c r="P394"/>
      <c r="Q394" s="206"/>
      <c r="R394" s="206"/>
      <c r="S394" s="206"/>
    </row>
    <row r="395" spans="1:19" ht="12.75" customHeight="1" x14ac:dyDescent="0.3">
      <c r="P395"/>
      <c r="Q395" s="206"/>
      <c r="R395" s="206"/>
      <c r="S395" s="206"/>
    </row>
    <row r="396" spans="1:19" ht="12.75" customHeight="1" x14ac:dyDescent="0.3">
      <c r="P396"/>
      <c r="Q396" s="206"/>
      <c r="R396" s="206"/>
      <c r="S396" s="206"/>
    </row>
    <row r="397" spans="1:19" ht="12.75" customHeight="1" x14ac:dyDescent="0.3">
      <c r="A397" s="20" t="s">
        <v>0</v>
      </c>
      <c r="B397" s="21" t="s">
        <v>659</v>
      </c>
      <c r="C397" s="20" t="s">
        <v>660</v>
      </c>
      <c r="D397" s="21" t="s">
        <v>661</v>
      </c>
      <c r="E397" s="21" t="s">
        <v>662</v>
      </c>
      <c r="F397" s="21" t="s">
        <v>663</v>
      </c>
      <c r="G397" s="21" t="s">
        <v>664</v>
      </c>
      <c r="H397" s="21" t="s">
        <v>665</v>
      </c>
      <c r="I397" s="21" t="s">
        <v>676</v>
      </c>
      <c r="J397" s="21" t="s">
        <v>666</v>
      </c>
      <c r="L397" s="23" t="s">
        <v>667</v>
      </c>
      <c r="M397" s="23" t="s">
        <v>668</v>
      </c>
      <c r="O397" s="21" t="s">
        <v>669</v>
      </c>
      <c r="P397"/>
      <c r="Q397" s="206"/>
      <c r="R397" s="206"/>
      <c r="S397" s="206"/>
    </row>
    <row r="398" spans="1:19" ht="12.75" customHeight="1" x14ac:dyDescent="0.3">
      <c r="A398" s="24" t="s">
        <v>1117</v>
      </c>
      <c r="B398" s="207" t="s">
        <v>1118</v>
      </c>
      <c r="C398" s="208" t="s">
        <v>718</v>
      </c>
      <c r="D398" s="25">
        <v>102035.19</v>
      </c>
      <c r="F398" s="25">
        <v>0</v>
      </c>
      <c r="G398" s="25">
        <v>0</v>
      </c>
      <c r="H398" s="25">
        <v>0</v>
      </c>
      <c r="J398" s="25">
        <f t="shared" ref="J398:J408" si="46">SUM(D398:I398)</f>
        <v>102035.19</v>
      </c>
      <c r="L398" s="25">
        <v>88000</v>
      </c>
      <c r="M398" s="26">
        <v>1.1594907954545455</v>
      </c>
      <c r="O398" s="25">
        <v>400000</v>
      </c>
      <c r="P398" t="s">
        <v>532</v>
      </c>
      <c r="Q398" s="206">
        <v>3469.1964600000001</v>
      </c>
      <c r="R398" s="206">
        <v>867.29911500000003</v>
      </c>
      <c r="S398" s="206">
        <v>510.17595</v>
      </c>
    </row>
    <row r="399" spans="1:19" ht="12.75" customHeight="1" x14ac:dyDescent="0.3">
      <c r="A399" s="24" t="s">
        <v>1117</v>
      </c>
      <c r="B399" s="207" t="s">
        <v>1112</v>
      </c>
      <c r="C399" s="208" t="s">
        <v>719</v>
      </c>
      <c r="D399" s="25">
        <v>113517.49</v>
      </c>
      <c r="F399" s="25">
        <v>0</v>
      </c>
      <c r="G399" s="25">
        <v>0</v>
      </c>
      <c r="H399" s="25">
        <v>0</v>
      </c>
      <c r="J399" s="25">
        <f t="shared" si="46"/>
        <v>113517.49</v>
      </c>
      <c r="L399" s="25">
        <v>88000</v>
      </c>
      <c r="M399" s="26">
        <v>1.2899714772727273</v>
      </c>
      <c r="P399" t="s">
        <v>535</v>
      </c>
      <c r="Q399" s="206">
        <v>3859.5946600000007</v>
      </c>
      <c r="R399" s="206">
        <v>964.89866500000016</v>
      </c>
      <c r="S399" s="206">
        <v>567.58744999999999</v>
      </c>
    </row>
    <row r="400" spans="1:19" ht="12.75" customHeight="1" x14ac:dyDescent="0.3">
      <c r="A400" s="24" t="s">
        <v>1117</v>
      </c>
      <c r="B400" s="207" t="s">
        <v>1119</v>
      </c>
      <c r="C400" s="208" t="s">
        <v>720</v>
      </c>
      <c r="D400" s="25">
        <v>100077.63</v>
      </c>
      <c r="F400" s="25">
        <v>0</v>
      </c>
      <c r="G400" s="25">
        <v>0</v>
      </c>
      <c r="H400" s="25">
        <v>0</v>
      </c>
      <c r="J400" s="25">
        <f t="shared" si="46"/>
        <v>100077.63</v>
      </c>
      <c r="L400" s="25">
        <v>88000</v>
      </c>
      <c r="M400" s="26">
        <v>1.1372457954545454</v>
      </c>
      <c r="P400" t="s">
        <v>538</v>
      </c>
      <c r="Q400" s="206">
        <v>3402.6394200000004</v>
      </c>
      <c r="R400" s="206">
        <v>850.65985500000011</v>
      </c>
      <c r="S400" s="206">
        <v>500.38815000000005</v>
      </c>
    </row>
    <row r="401" spans="1:19" ht="12.75" customHeight="1" x14ac:dyDescent="0.3">
      <c r="A401" s="24" t="s">
        <v>1117</v>
      </c>
      <c r="B401" s="207" t="s">
        <v>1120</v>
      </c>
      <c r="C401" s="208" t="s">
        <v>721</v>
      </c>
      <c r="D401" s="25">
        <v>42383.27</v>
      </c>
      <c r="F401" s="25">
        <v>0</v>
      </c>
      <c r="G401" s="25">
        <v>0</v>
      </c>
      <c r="H401" s="25">
        <v>0</v>
      </c>
      <c r="J401" s="25">
        <f t="shared" si="46"/>
        <v>42383.27</v>
      </c>
      <c r="L401" s="25">
        <v>88000</v>
      </c>
      <c r="M401" s="26">
        <v>0.48162806818181814</v>
      </c>
      <c r="P401" t="s">
        <v>541</v>
      </c>
      <c r="Q401" s="206">
        <v>974.81520999999987</v>
      </c>
      <c r="R401" s="206">
        <v>243.70380249999997</v>
      </c>
      <c r="S401" s="206"/>
    </row>
    <row r="402" spans="1:19" ht="12.75" customHeight="1" x14ac:dyDescent="0.3">
      <c r="A402" s="24" t="s">
        <v>1117</v>
      </c>
      <c r="B402" s="207" t="s">
        <v>1114</v>
      </c>
      <c r="C402" s="208" t="s">
        <v>548</v>
      </c>
      <c r="D402" s="25">
        <v>98326.56</v>
      </c>
      <c r="F402" s="25">
        <v>0</v>
      </c>
      <c r="G402" s="25">
        <v>0</v>
      </c>
      <c r="H402" s="25">
        <v>0</v>
      </c>
      <c r="J402" s="25">
        <f t="shared" si="46"/>
        <v>98326.56</v>
      </c>
      <c r="L402" s="25">
        <v>88000</v>
      </c>
      <c r="M402" s="26">
        <v>1.1173472727272726</v>
      </c>
      <c r="P402" t="s">
        <v>547</v>
      </c>
      <c r="Q402" s="206">
        <v>3343.10304</v>
      </c>
      <c r="R402" s="206">
        <v>835.77575999999999</v>
      </c>
      <c r="S402" s="206">
        <v>491.63279999999997</v>
      </c>
    </row>
    <row r="403" spans="1:19" ht="12.75" customHeight="1" x14ac:dyDescent="0.3">
      <c r="A403" s="24" t="s">
        <v>1117</v>
      </c>
      <c r="B403" s="207" t="s">
        <v>1039</v>
      </c>
      <c r="C403" s="208"/>
      <c r="D403" s="25">
        <v>444.96</v>
      </c>
      <c r="F403" s="25">
        <v>0</v>
      </c>
      <c r="G403" s="25">
        <v>0</v>
      </c>
      <c r="H403" s="25">
        <v>0</v>
      </c>
      <c r="J403" s="25">
        <f t="shared" si="46"/>
        <v>444.96</v>
      </c>
      <c r="L403" s="25"/>
      <c r="M403" s="26">
        <v>0</v>
      </c>
      <c r="P403" t="s">
        <v>1121</v>
      </c>
      <c r="Q403" s="206">
        <v>10.234079999999999</v>
      </c>
      <c r="R403" s="206">
        <v>2.5585199999999997</v>
      </c>
      <c r="S403" s="206"/>
    </row>
    <row r="404" spans="1:19" ht="12.75" customHeight="1" x14ac:dyDescent="0.3">
      <c r="A404" s="24" t="s">
        <v>1117</v>
      </c>
      <c r="B404" s="209"/>
      <c r="C404" s="208"/>
      <c r="D404" s="25">
        <v>0</v>
      </c>
      <c r="F404" s="25">
        <v>0</v>
      </c>
      <c r="G404" s="25">
        <v>0</v>
      </c>
      <c r="H404" s="25">
        <v>0</v>
      </c>
      <c r="J404" s="25">
        <f t="shared" si="46"/>
        <v>0</v>
      </c>
      <c r="L404" s="25"/>
      <c r="M404" s="26">
        <v>0</v>
      </c>
      <c r="P404"/>
      <c r="Q404" s="206"/>
      <c r="R404" s="206"/>
      <c r="S404" s="206"/>
    </row>
    <row r="405" spans="1:19" ht="12.75" customHeight="1" x14ac:dyDescent="0.3">
      <c r="A405" s="24" t="s">
        <v>1117</v>
      </c>
      <c r="B405" s="209"/>
      <c r="C405" s="208"/>
      <c r="D405" s="25">
        <v>0</v>
      </c>
      <c r="F405" s="25">
        <v>0</v>
      </c>
      <c r="G405" s="25">
        <v>0</v>
      </c>
      <c r="H405" s="25">
        <v>0</v>
      </c>
      <c r="J405" s="25">
        <f t="shared" si="46"/>
        <v>0</v>
      </c>
      <c r="L405" s="25"/>
      <c r="M405" s="26">
        <v>0</v>
      </c>
      <c r="P405"/>
      <c r="Q405" s="206"/>
      <c r="R405" s="206"/>
      <c r="S405" s="206"/>
    </row>
    <row r="406" spans="1:19" ht="12.75" customHeight="1" x14ac:dyDescent="0.3">
      <c r="A406" s="24" t="s">
        <v>1117</v>
      </c>
      <c r="B406" s="207"/>
      <c r="C406" s="208"/>
      <c r="D406" s="25">
        <v>0</v>
      </c>
      <c r="F406" s="25">
        <v>0</v>
      </c>
      <c r="G406" s="25">
        <v>0</v>
      </c>
      <c r="H406" s="25">
        <v>0</v>
      </c>
      <c r="J406" s="25">
        <f t="shared" si="46"/>
        <v>0</v>
      </c>
      <c r="L406" s="25"/>
      <c r="M406" s="26">
        <v>0</v>
      </c>
      <c r="P406"/>
      <c r="Q406" s="206"/>
      <c r="R406" s="206"/>
      <c r="S406" s="206"/>
    </row>
    <row r="407" spans="1:19" ht="12.75" customHeight="1" x14ac:dyDescent="0.3">
      <c r="A407" s="24" t="s">
        <v>1117</v>
      </c>
      <c r="B407" s="207"/>
      <c r="C407" s="208"/>
      <c r="D407" s="25">
        <v>0</v>
      </c>
      <c r="F407" s="25">
        <v>0</v>
      </c>
      <c r="G407" s="25">
        <v>0</v>
      </c>
      <c r="H407" s="25">
        <v>0</v>
      </c>
      <c r="J407" s="25">
        <f t="shared" si="46"/>
        <v>0</v>
      </c>
      <c r="L407" s="25"/>
      <c r="M407" s="26">
        <v>0</v>
      </c>
      <c r="P407"/>
      <c r="Q407" s="206"/>
      <c r="R407" s="206"/>
      <c r="S407" s="206"/>
    </row>
    <row r="408" spans="1:19" ht="12.75" customHeight="1" x14ac:dyDescent="0.3">
      <c r="A408" s="24" t="s">
        <v>1117</v>
      </c>
      <c r="B408" s="207"/>
      <c r="C408" s="208"/>
      <c r="D408" s="25">
        <v>0</v>
      </c>
      <c r="F408" s="25">
        <v>0</v>
      </c>
      <c r="G408" s="25">
        <v>0</v>
      </c>
      <c r="H408" s="25">
        <v>0</v>
      </c>
      <c r="J408" s="25">
        <f t="shared" si="46"/>
        <v>0</v>
      </c>
      <c r="L408" s="25"/>
      <c r="M408" s="26">
        <v>0</v>
      </c>
      <c r="P408"/>
      <c r="Q408" s="206"/>
      <c r="R408" s="206"/>
      <c r="S408" s="206"/>
    </row>
    <row r="409" spans="1:19" ht="12.75" customHeight="1" x14ac:dyDescent="0.3">
      <c r="A409" s="27" t="s">
        <v>8</v>
      </c>
      <c r="B409" s="28"/>
      <c r="C409" s="27"/>
      <c r="D409" s="29">
        <v>456785.10000000003</v>
      </c>
      <c r="E409" s="29">
        <v>0</v>
      </c>
      <c r="F409" s="29">
        <v>0</v>
      </c>
      <c r="G409" s="29">
        <v>0</v>
      </c>
      <c r="H409" s="29">
        <v>0</v>
      </c>
      <c r="I409" s="29">
        <v>0</v>
      </c>
      <c r="J409" s="29">
        <f t="shared" ref="J409" si="47">SUM(J398:J408)</f>
        <v>456785.10000000003</v>
      </c>
      <c r="L409" s="29">
        <v>440000</v>
      </c>
      <c r="P409"/>
      <c r="Q409" s="206"/>
      <c r="R409" s="206"/>
      <c r="S409" s="206"/>
    </row>
    <row r="410" spans="1:19" ht="12.75" customHeight="1" x14ac:dyDescent="0.3">
      <c r="P410"/>
      <c r="Q410" s="206"/>
      <c r="R410" s="206"/>
      <c r="S410" s="206"/>
    </row>
    <row r="411" spans="1:19" ht="12.75" customHeight="1" x14ac:dyDescent="0.3">
      <c r="P411"/>
      <c r="Q411" s="206"/>
      <c r="R411" s="206"/>
      <c r="S411" s="206"/>
    </row>
    <row r="412" spans="1:19" ht="12.75" customHeight="1" x14ac:dyDescent="0.3">
      <c r="P412"/>
      <c r="Q412" s="206"/>
      <c r="R412" s="206"/>
      <c r="S412" s="206"/>
    </row>
    <row r="413" spans="1:19" ht="12.75" customHeight="1" x14ac:dyDescent="0.3">
      <c r="P413"/>
      <c r="Q413" s="206"/>
      <c r="R413" s="206"/>
      <c r="S413" s="206"/>
    </row>
    <row r="414" spans="1:19" ht="12.75" customHeight="1" x14ac:dyDescent="0.3">
      <c r="A414" s="20" t="s">
        <v>0</v>
      </c>
      <c r="B414" s="21" t="s">
        <v>659</v>
      </c>
      <c r="C414" s="20" t="s">
        <v>660</v>
      </c>
      <c r="D414" s="21" t="s">
        <v>661</v>
      </c>
      <c r="E414" s="21" t="s">
        <v>662</v>
      </c>
      <c r="F414" s="21" t="s">
        <v>663</v>
      </c>
      <c r="G414" s="21" t="s">
        <v>664</v>
      </c>
      <c r="H414" s="21" t="s">
        <v>665</v>
      </c>
      <c r="I414" s="21" t="s">
        <v>676</v>
      </c>
      <c r="J414" s="21" t="s">
        <v>666</v>
      </c>
      <c r="L414" s="23" t="s">
        <v>667</v>
      </c>
      <c r="M414" s="23" t="s">
        <v>668</v>
      </c>
      <c r="O414" s="21" t="s">
        <v>669</v>
      </c>
      <c r="P414"/>
      <c r="Q414" s="206"/>
      <c r="R414" s="206"/>
      <c r="S414" s="206"/>
    </row>
    <row r="415" spans="1:19" ht="12.75" customHeight="1" x14ac:dyDescent="0.3">
      <c r="A415" s="24" t="s">
        <v>1122</v>
      </c>
      <c r="B415" s="207" t="s">
        <v>935</v>
      </c>
      <c r="C415" s="208" t="s">
        <v>722</v>
      </c>
      <c r="D415" s="25">
        <v>165777.94</v>
      </c>
      <c r="F415" s="25">
        <v>0</v>
      </c>
      <c r="G415" s="25">
        <v>0</v>
      </c>
      <c r="H415" s="25">
        <v>0</v>
      </c>
      <c r="J415" s="25">
        <f t="shared" ref="J415:J427" si="48">SUM(D415:I415)</f>
        <v>165777.94</v>
      </c>
      <c r="L415" s="25">
        <v>113000</v>
      </c>
      <c r="M415" s="26">
        <v>1.4670614159292035</v>
      </c>
      <c r="O415" s="25">
        <v>820000</v>
      </c>
      <c r="P415" t="s">
        <v>568</v>
      </c>
      <c r="Q415" s="206">
        <v>4641.7823200000003</v>
      </c>
      <c r="R415" s="206">
        <v>1160.4455800000001</v>
      </c>
      <c r="S415" s="206">
        <v>828.88970000000006</v>
      </c>
    </row>
    <row r="416" spans="1:19" ht="12.75" customHeight="1" x14ac:dyDescent="0.3">
      <c r="A416" s="24" t="s">
        <v>1122</v>
      </c>
      <c r="B416" s="207" t="s">
        <v>1118</v>
      </c>
      <c r="C416" s="208" t="s">
        <v>723</v>
      </c>
      <c r="D416" s="25">
        <v>153717.78</v>
      </c>
      <c r="F416" s="25">
        <v>0</v>
      </c>
      <c r="G416" s="25">
        <v>0</v>
      </c>
      <c r="H416" s="25">
        <v>0</v>
      </c>
      <c r="J416" s="25">
        <f t="shared" si="48"/>
        <v>153717.78</v>
      </c>
      <c r="L416" s="25">
        <v>113000</v>
      </c>
      <c r="M416" s="26">
        <v>1.3603343362831859</v>
      </c>
      <c r="P416" t="s">
        <v>550</v>
      </c>
      <c r="Q416" s="206">
        <v>4304.0978400000004</v>
      </c>
      <c r="R416" s="206">
        <v>1076.0244600000001</v>
      </c>
      <c r="S416" s="206">
        <v>768.58889999999997</v>
      </c>
    </row>
    <row r="417" spans="1:19" ht="12.75" customHeight="1" x14ac:dyDescent="0.3">
      <c r="A417" s="24" t="s">
        <v>1122</v>
      </c>
      <c r="B417" s="207" t="s">
        <v>1123</v>
      </c>
      <c r="C417" s="208"/>
      <c r="D417" s="25">
        <v>1477.91</v>
      </c>
      <c r="F417" s="25">
        <v>0</v>
      </c>
      <c r="G417" s="25">
        <v>0</v>
      </c>
      <c r="H417" s="25">
        <v>0</v>
      </c>
      <c r="J417" s="25">
        <f t="shared" si="48"/>
        <v>1477.91</v>
      </c>
      <c r="L417" s="25"/>
      <c r="M417" s="26">
        <v>0</v>
      </c>
      <c r="P417" t="s">
        <v>559</v>
      </c>
      <c r="Q417" s="206">
        <v>41.381480000000003</v>
      </c>
      <c r="R417" s="206">
        <v>10.345370000000001</v>
      </c>
      <c r="S417" s="206"/>
    </row>
    <row r="418" spans="1:19" ht="12.75" customHeight="1" x14ac:dyDescent="0.3">
      <c r="A418" s="24" t="s">
        <v>1122</v>
      </c>
      <c r="B418" s="207" t="s">
        <v>1113</v>
      </c>
      <c r="C418" s="208" t="s">
        <v>724</v>
      </c>
      <c r="D418" s="25">
        <v>130596.1</v>
      </c>
      <c r="F418" s="25">
        <v>0</v>
      </c>
      <c r="G418" s="25">
        <v>0</v>
      </c>
      <c r="H418" s="25">
        <v>0</v>
      </c>
      <c r="J418" s="25">
        <f t="shared" si="48"/>
        <v>130596.1</v>
      </c>
      <c r="L418" s="25">
        <v>113000</v>
      </c>
      <c r="M418" s="26">
        <v>1.1557176991150444</v>
      </c>
      <c r="P418" t="s">
        <v>571</v>
      </c>
      <c r="Q418" s="206">
        <v>3656.6908000000003</v>
      </c>
      <c r="R418" s="206">
        <v>914.17270000000008</v>
      </c>
      <c r="S418" s="206">
        <v>652.98050000000001</v>
      </c>
    </row>
    <row r="419" spans="1:19" ht="12.75" customHeight="1" x14ac:dyDescent="0.3">
      <c r="A419" s="24" t="s">
        <v>1122</v>
      </c>
      <c r="B419" s="207" t="s">
        <v>1120</v>
      </c>
      <c r="C419" s="208" t="s">
        <v>725</v>
      </c>
      <c r="D419" s="25">
        <v>149615.22</v>
      </c>
      <c r="F419" s="25">
        <v>0</v>
      </c>
      <c r="G419" s="25">
        <v>0</v>
      </c>
      <c r="H419" s="25">
        <v>0</v>
      </c>
      <c r="J419" s="25">
        <f t="shared" si="48"/>
        <v>149615.22</v>
      </c>
      <c r="L419" s="25">
        <v>113000</v>
      </c>
      <c r="M419" s="26">
        <v>1.3240284955752213</v>
      </c>
      <c r="P419" t="s">
        <v>562</v>
      </c>
      <c r="Q419" s="206">
        <v>4189.2261600000002</v>
      </c>
      <c r="R419" s="206">
        <v>1047.30654</v>
      </c>
      <c r="S419" s="206">
        <v>748.0761</v>
      </c>
    </row>
    <row r="420" spans="1:19" ht="12.75" customHeight="1" x14ac:dyDescent="0.3">
      <c r="A420" s="24" t="s">
        <v>1122</v>
      </c>
      <c r="B420" s="207" t="s">
        <v>1114</v>
      </c>
      <c r="C420" s="208" t="s">
        <v>726</v>
      </c>
      <c r="D420" s="25">
        <v>2899.86</v>
      </c>
      <c r="F420" s="25">
        <v>0</v>
      </c>
      <c r="G420" s="25">
        <v>0</v>
      </c>
      <c r="H420" s="25">
        <v>0</v>
      </c>
      <c r="J420" s="25">
        <f t="shared" si="48"/>
        <v>2899.86</v>
      </c>
      <c r="L420" s="25"/>
      <c r="M420" s="26">
        <v>0</v>
      </c>
      <c r="P420" t="s">
        <v>1124</v>
      </c>
      <c r="Q420" s="206">
        <v>81.196080000000009</v>
      </c>
      <c r="R420" s="206">
        <v>20.299020000000002</v>
      </c>
      <c r="S420" s="206"/>
    </row>
    <row r="421" spans="1:19" ht="12.75" customHeight="1" x14ac:dyDescent="0.3">
      <c r="A421" s="24" t="s">
        <v>1122</v>
      </c>
      <c r="B421" s="209" t="s">
        <v>1125</v>
      </c>
      <c r="C421" s="208" t="s">
        <v>727</v>
      </c>
      <c r="D421" s="25">
        <v>40717.910000000003</v>
      </c>
      <c r="F421" s="25">
        <v>0</v>
      </c>
      <c r="G421" s="25">
        <v>0</v>
      </c>
      <c r="H421" s="25">
        <v>0</v>
      </c>
      <c r="J421" s="25">
        <f t="shared" si="48"/>
        <v>40717.910000000003</v>
      </c>
      <c r="L421" s="25">
        <v>113000</v>
      </c>
      <c r="M421" s="26">
        <v>0.36033548672566373</v>
      </c>
      <c r="P421" t="s">
        <v>1126</v>
      </c>
      <c r="Q421" s="206">
        <v>1140.10148</v>
      </c>
      <c r="R421" s="206">
        <v>285.02537000000001</v>
      </c>
      <c r="S421" s="206"/>
    </row>
    <row r="422" spans="1:19" ht="12.75" customHeight="1" x14ac:dyDescent="0.3">
      <c r="A422" s="24" t="s">
        <v>1122</v>
      </c>
      <c r="B422" s="209" t="s">
        <v>1035</v>
      </c>
      <c r="C422" s="208" t="s">
        <v>554</v>
      </c>
      <c r="D422" s="25">
        <v>96698.67</v>
      </c>
      <c r="F422" s="25">
        <v>0</v>
      </c>
      <c r="G422" s="25">
        <v>649.99</v>
      </c>
      <c r="H422" s="25">
        <v>0</v>
      </c>
      <c r="J422" s="25">
        <f>SUM(D422:I422)</f>
        <v>97348.66</v>
      </c>
      <c r="L422" s="25">
        <v>113000</v>
      </c>
      <c r="M422" s="26">
        <v>0.86149256637168148</v>
      </c>
      <c r="P422" t="s">
        <v>553</v>
      </c>
      <c r="Q422" s="206">
        <v>2725.7624800000003</v>
      </c>
      <c r="R422" s="206">
        <v>681.44062000000008</v>
      </c>
      <c r="S422" s="206"/>
    </row>
    <row r="423" spans="1:19" ht="12.75" customHeight="1" x14ac:dyDescent="0.3">
      <c r="A423" s="24" t="s">
        <v>1122</v>
      </c>
      <c r="B423" s="209" t="s">
        <v>1018</v>
      </c>
      <c r="C423" s="208" t="s">
        <v>924</v>
      </c>
      <c r="D423" s="25">
        <v>57159.28</v>
      </c>
      <c r="F423" s="25">
        <v>0</v>
      </c>
      <c r="G423" s="25">
        <v>0</v>
      </c>
      <c r="H423" s="25">
        <v>0</v>
      </c>
      <c r="J423" s="25">
        <f>SUM(D423:I423)</f>
        <v>57159.28</v>
      </c>
      <c r="L423" s="25">
        <v>113000</v>
      </c>
      <c r="M423" s="26">
        <v>0.50583433628318586</v>
      </c>
      <c r="P423" t="s">
        <v>923</v>
      </c>
      <c r="Q423" s="206">
        <v>1600.45984</v>
      </c>
      <c r="R423" s="206">
        <v>400.11496</v>
      </c>
      <c r="S423" s="206"/>
    </row>
    <row r="424" spans="1:19" ht="12.75" customHeight="1" x14ac:dyDescent="0.3">
      <c r="A424" s="24" t="s">
        <v>1122</v>
      </c>
      <c r="B424" s="209" t="s">
        <v>1010</v>
      </c>
      <c r="C424" s="208" t="s">
        <v>930</v>
      </c>
      <c r="D424" s="25">
        <v>64506.21</v>
      </c>
      <c r="F424" s="25">
        <v>0</v>
      </c>
      <c r="G424" s="25">
        <v>0</v>
      </c>
      <c r="H424" s="25">
        <v>0</v>
      </c>
      <c r="J424" s="25">
        <f t="shared" si="48"/>
        <v>64506.21</v>
      </c>
      <c r="L424" s="25">
        <v>113000</v>
      </c>
      <c r="M424" s="26">
        <v>0.57085141592920352</v>
      </c>
      <c r="P424" t="s">
        <v>929</v>
      </c>
      <c r="Q424" s="206">
        <v>1806.1738800000001</v>
      </c>
      <c r="R424" s="206">
        <v>451.54347000000001</v>
      </c>
      <c r="S424" s="206"/>
    </row>
    <row r="425" spans="1:19" ht="12.75" customHeight="1" x14ac:dyDescent="0.3">
      <c r="A425" s="24" t="s">
        <v>1122</v>
      </c>
      <c r="B425" s="207" t="s">
        <v>1067</v>
      </c>
      <c r="C425" s="208"/>
      <c r="D425" s="25">
        <v>53466.11</v>
      </c>
      <c r="F425" s="25">
        <v>0</v>
      </c>
      <c r="G425" s="25">
        <v>0</v>
      </c>
      <c r="H425" s="25">
        <v>0</v>
      </c>
      <c r="J425" s="25">
        <f t="shared" si="48"/>
        <v>53466.11</v>
      </c>
      <c r="L425" s="25"/>
      <c r="M425" s="26">
        <v>0</v>
      </c>
      <c r="P425" t="s">
        <v>1127</v>
      </c>
      <c r="Q425" s="206">
        <v>1497.05108</v>
      </c>
      <c r="R425" s="206">
        <v>374.26276999999999</v>
      </c>
      <c r="S425" s="206"/>
    </row>
    <row r="426" spans="1:19" ht="12.75" customHeight="1" x14ac:dyDescent="0.3">
      <c r="A426" s="24" t="s">
        <v>1122</v>
      </c>
      <c r="B426" s="207" t="s">
        <v>1115</v>
      </c>
      <c r="C426" s="208"/>
      <c r="D426" s="25">
        <v>0</v>
      </c>
      <c r="F426" s="25">
        <v>0</v>
      </c>
      <c r="G426" s="25">
        <v>0</v>
      </c>
      <c r="H426" s="25">
        <v>0</v>
      </c>
      <c r="J426" s="25">
        <f t="shared" si="48"/>
        <v>0</v>
      </c>
      <c r="L426" s="25"/>
      <c r="M426" s="26">
        <v>0</v>
      </c>
      <c r="P426" t="s">
        <v>1128</v>
      </c>
      <c r="Q426" s="206">
        <v>0</v>
      </c>
      <c r="R426" s="206">
        <v>0</v>
      </c>
      <c r="S426" s="206"/>
    </row>
    <row r="427" spans="1:19" ht="12.75" customHeight="1" x14ac:dyDescent="0.3">
      <c r="A427" s="24" t="s">
        <v>1122</v>
      </c>
      <c r="B427" s="207"/>
      <c r="C427" s="208"/>
      <c r="D427" s="25">
        <v>0</v>
      </c>
      <c r="F427" s="25">
        <v>0</v>
      </c>
      <c r="G427" s="25">
        <v>0</v>
      </c>
      <c r="H427" s="25">
        <v>0</v>
      </c>
      <c r="J427" s="25">
        <f t="shared" si="48"/>
        <v>0</v>
      </c>
      <c r="L427" s="25"/>
      <c r="M427" s="26">
        <v>0</v>
      </c>
      <c r="P427"/>
      <c r="Q427" s="206"/>
      <c r="R427" s="206"/>
      <c r="S427" s="206"/>
    </row>
    <row r="428" spans="1:19" ht="12.75" customHeight="1" x14ac:dyDescent="0.3">
      <c r="A428" s="27" t="s">
        <v>8</v>
      </c>
      <c r="B428" s="28"/>
      <c r="C428" s="27"/>
      <c r="D428" s="29">
        <v>916632.99</v>
      </c>
      <c r="E428" s="29">
        <v>0</v>
      </c>
      <c r="F428" s="29">
        <v>0</v>
      </c>
      <c r="G428" s="29">
        <v>649.99</v>
      </c>
      <c r="H428" s="29">
        <v>0</v>
      </c>
      <c r="I428" s="29">
        <v>0</v>
      </c>
      <c r="J428" s="29">
        <f t="shared" ref="J428" si="49">SUM(J415:J427)</f>
        <v>917282.98</v>
      </c>
      <c r="L428" s="29">
        <v>904000</v>
      </c>
      <c r="P428"/>
      <c r="Q428" s="206"/>
      <c r="R428" s="206"/>
      <c r="S428" s="206"/>
    </row>
    <row r="429" spans="1:19" ht="12.75" customHeight="1" x14ac:dyDescent="0.3">
      <c r="P429"/>
      <c r="Q429" s="206"/>
      <c r="R429" s="206"/>
      <c r="S429" s="206"/>
    </row>
    <row r="430" spans="1:19" ht="12.75" customHeight="1" x14ac:dyDescent="0.3">
      <c r="P430"/>
      <c r="Q430" s="206"/>
      <c r="R430" s="206"/>
      <c r="S430" s="206"/>
    </row>
    <row r="431" spans="1:19" ht="12.75" customHeight="1" x14ac:dyDescent="0.3">
      <c r="P431"/>
      <c r="Q431" s="206"/>
      <c r="R431" s="206"/>
      <c r="S431" s="206"/>
    </row>
    <row r="432" spans="1:19" ht="12.75" customHeight="1" x14ac:dyDescent="0.3">
      <c r="A432" s="20" t="s">
        <v>0</v>
      </c>
      <c r="B432" s="21" t="s">
        <v>659</v>
      </c>
      <c r="C432" s="20" t="s">
        <v>660</v>
      </c>
      <c r="D432" s="21" t="s">
        <v>661</v>
      </c>
      <c r="E432" s="21" t="s">
        <v>662</v>
      </c>
      <c r="F432" s="21" t="s">
        <v>663</v>
      </c>
      <c r="G432" s="21" t="s">
        <v>664</v>
      </c>
      <c r="H432" s="21" t="s">
        <v>665</v>
      </c>
      <c r="I432" s="21" t="s">
        <v>676</v>
      </c>
      <c r="J432" s="21" t="s">
        <v>666</v>
      </c>
      <c r="L432" s="23" t="s">
        <v>667</v>
      </c>
      <c r="M432" s="23" t="s">
        <v>668</v>
      </c>
      <c r="O432" s="21" t="s">
        <v>669</v>
      </c>
      <c r="P432"/>
      <c r="Q432" s="206"/>
      <c r="R432" s="206"/>
      <c r="S432" s="206"/>
    </row>
    <row r="433" spans="1:19" ht="12.75" customHeight="1" x14ac:dyDescent="0.3">
      <c r="A433" s="24" t="s">
        <v>1129</v>
      </c>
      <c r="B433" s="207" t="s">
        <v>935</v>
      </c>
      <c r="C433" s="208" t="s">
        <v>728</v>
      </c>
      <c r="D433" s="25">
        <v>34.99</v>
      </c>
      <c r="F433" s="25">
        <v>0</v>
      </c>
      <c r="G433" s="25">
        <v>549.99</v>
      </c>
      <c r="H433" s="25">
        <v>0</v>
      </c>
      <c r="J433" s="25">
        <f t="shared" ref="J433:J445" si="50">SUM(D433:I433)</f>
        <v>584.98</v>
      </c>
      <c r="L433" s="25"/>
      <c r="M433" s="26">
        <v>0</v>
      </c>
      <c r="O433" s="25">
        <v>360000</v>
      </c>
      <c r="P433" t="s">
        <v>586</v>
      </c>
      <c r="Q433" s="206">
        <v>16.379440000000002</v>
      </c>
      <c r="R433" s="206">
        <v>4.0948600000000006</v>
      </c>
      <c r="S433" s="206"/>
    </row>
    <row r="434" spans="1:19" ht="12.75" customHeight="1" x14ac:dyDescent="0.3">
      <c r="A434" s="24" t="s">
        <v>1129</v>
      </c>
      <c r="B434" s="207" t="s">
        <v>875</v>
      </c>
      <c r="C434" s="208" t="s">
        <v>729</v>
      </c>
      <c r="D434" s="25">
        <v>36905.410000000003</v>
      </c>
      <c r="F434" s="25">
        <v>0</v>
      </c>
      <c r="G434" s="25">
        <v>0</v>
      </c>
      <c r="H434" s="25">
        <v>0</v>
      </c>
      <c r="J434" s="25">
        <f t="shared" si="50"/>
        <v>36905.410000000003</v>
      </c>
      <c r="L434" s="25">
        <v>79200</v>
      </c>
      <c r="M434" s="26">
        <v>0.46597739898989904</v>
      </c>
      <c r="P434" t="s">
        <v>589</v>
      </c>
      <c r="Q434" s="206">
        <v>1033.35148</v>
      </c>
      <c r="R434" s="206">
        <v>258.33787000000001</v>
      </c>
      <c r="S434" s="206"/>
    </row>
    <row r="435" spans="1:19" ht="12.75" customHeight="1" x14ac:dyDescent="0.3">
      <c r="A435" s="24" t="s">
        <v>1129</v>
      </c>
      <c r="B435" s="207" t="s">
        <v>1101</v>
      </c>
      <c r="C435" s="208" t="s">
        <v>1130</v>
      </c>
      <c r="D435" s="25">
        <v>55959.8</v>
      </c>
      <c r="F435" s="25">
        <v>0</v>
      </c>
      <c r="G435" s="25">
        <v>0</v>
      </c>
      <c r="H435" s="25">
        <v>0</v>
      </c>
      <c r="J435" s="25">
        <f t="shared" si="50"/>
        <v>55959.8</v>
      </c>
      <c r="L435" s="25">
        <v>79200</v>
      </c>
      <c r="M435" s="26">
        <v>0.70656313131313131</v>
      </c>
      <c r="P435" t="s">
        <v>580</v>
      </c>
      <c r="Q435" s="206">
        <v>1566.8744000000002</v>
      </c>
      <c r="R435" s="206">
        <v>391.71860000000004</v>
      </c>
      <c r="S435" s="206"/>
    </row>
    <row r="436" spans="1:19" ht="12.75" customHeight="1" x14ac:dyDescent="0.3">
      <c r="A436" s="24" t="s">
        <v>1129</v>
      </c>
      <c r="B436" s="207" t="s">
        <v>1093</v>
      </c>
      <c r="C436" s="208" t="s">
        <v>575</v>
      </c>
      <c r="D436" s="25">
        <v>58585.760000000002</v>
      </c>
      <c r="F436" s="25">
        <v>0</v>
      </c>
      <c r="G436" s="25">
        <v>0</v>
      </c>
      <c r="H436" s="25">
        <v>0</v>
      </c>
      <c r="J436" s="25">
        <f t="shared" si="50"/>
        <v>58585.760000000002</v>
      </c>
      <c r="L436" s="25">
        <v>79200</v>
      </c>
      <c r="M436" s="26">
        <v>0.739719191919192</v>
      </c>
      <c r="P436" t="s">
        <v>574</v>
      </c>
      <c r="Q436" s="206">
        <v>1640.40128</v>
      </c>
      <c r="R436" s="206">
        <v>410.10032000000001</v>
      </c>
      <c r="S436" s="206"/>
    </row>
    <row r="437" spans="1:19" ht="12.75" customHeight="1" x14ac:dyDescent="0.3">
      <c r="A437" s="24" t="s">
        <v>1129</v>
      </c>
      <c r="B437" s="207" t="s">
        <v>1131</v>
      </c>
      <c r="C437" s="208" t="s">
        <v>593</v>
      </c>
      <c r="D437" s="25">
        <v>80990.740000000005</v>
      </c>
      <c r="F437" s="25">
        <v>0</v>
      </c>
      <c r="G437" s="25">
        <v>0</v>
      </c>
      <c r="H437" s="25">
        <v>0</v>
      </c>
      <c r="J437" s="25">
        <f t="shared" si="50"/>
        <v>80990.740000000005</v>
      </c>
      <c r="L437" s="25">
        <v>79200</v>
      </c>
      <c r="M437" s="26">
        <v>1.0226103535353537</v>
      </c>
      <c r="P437" t="s">
        <v>592</v>
      </c>
      <c r="Q437" s="206">
        <v>2267.7407200000002</v>
      </c>
      <c r="R437" s="206">
        <v>566.93518000000006</v>
      </c>
      <c r="S437" s="206">
        <v>404.95370000000003</v>
      </c>
    </row>
    <row r="438" spans="1:19" ht="12.75" customHeight="1" x14ac:dyDescent="0.3">
      <c r="A438" s="24" t="s">
        <v>1129</v>
      </c>
      <c r="B438" s="207" t="s">
        <v>1120</v>
      </c>
      <c r="C438" s="208" t="s">
        <v>578</v>
      </c>
      <c r="D438" s="25">
        <v>82246.83</v>
      </c>
      <c r="F438" s="25">
        <v>0</v>
      </c>
      <c r="G438" s="25">
        <v>0</v>
      </c>
      <c r="H438" s="25">
        <v>0</v>
      </c>
      <c r="J438" s="25">
        <f t="shared" si="50"/>
        <v>82246.83</v>
      </c>
      <c r="L438" s="25">
        <v>79200</v>
      </c>
      <c r="M438" s="26">
        <v>1.0384700757575758</v>
      </c>
      <c r="P438" t="s">
        <v>577</v>
      </c>
      <c r="Q438" s="206">
        <v>2302.9112399999999</v>
      </c>
      <c r="R438" s="206">
        <v>575.72780999999998</v>
      </c>
      <c r="S438" s="206">
        <v>411.23415</v>
      </c>
    </row>
    <row r="439" spans="1:19" ht="12.75" customHeight="1" x14ac:dyDescent="0.3">
      <c r="A439" s="24" t="s">
        <v>1129</v>
      </c>
      <c r="B439" s="209" t="s">
        <v>1115</v>
      </c>
      <c r="C439" s="208"/>
      <c r="D439" s="25">
        <v>2285.87</v>
      </c>
      <c r="F439" s="25">
        <v>0</v>
      </c>
      <c r="G439" s="25">
        <v>0</v>
      </c>
      <c r="H439" s="25">
        <v>0</v>
      </c>
      <c r="J439" s="25">
        <f t="shared" si="50"/>
        <v>2285.87</v>
      </c>
      <c r="L439" s="25"/>
      <c r="M439" s="26">
        <v>0</v>
      </c>
      <c r="P439" t="s">
        <v>1132</v>
      </c>
      <c r="Q439" s="206">
        <v>64.004359999999991</v>
      </c>
      <c r="R439" s="206">
        <v>16.001089999999998</v>
      </c>
      <c r="S439" s="206"/>
    </row>
    <row r="440" spans="1:19" ht="12.75" customHeight="1" x14ac:dyDescent="0.3">
      <c r="A440" s="24" t="s">
        <v>1129</v>
      </c>
      <c r="B440" s="209"/>
      <c r="C440" s="208"/>
      <c r="D440" s="25">
        <v>0</v>
      </c>
      <c r="F440" s="25">
        <v>0</v>
      </c>
      <c r="G440" s="25">
        <v>0</v>
      </c>
      <c r="H440" s="25">
        <v>0</v>
      </c>
      <c r="J440" s="25">
        <f t="shared" si="50"/>
        <v>0</v>
      </c>
      <c r="L440" s="25"/>
      <c r="M440" s="26">
        <v>0</v>
      </c>
      <c r="P440"/>
      <c r="Q440" s="206"/>
      <c r="R440" s="206"/>
      <c r="S440" s="206"/>
    </row>
    <row r="441" spans="1:19" ht="12.75" customHeight="1" x14ac:dyDescent="0.3">
      <c r="A441" s="24" t="s">
        <v>1129</v>
      </c>
      <c r="B441" s="209"/>
      <c r="C441" s="208"/>
      <c r="D441" s="25">
        <v>0</v>
      </c>
      <c r="F441" s="25">
        <v>0</v>
      </c>
      <c r="G441" s="25">
        <v>0</v>
      </c>
      <c r="H441" s="25">
        <v>0</v>
      </c>
      <c r="J441" s="25">
        <f t="shared" si="50"/>
        <v>0</v>
      </c>
      <c r="L441" s="38"/>
      <c r="M441" s="26">
        <v>0</v>
      </c>
      <c r="P441"/>
      <c r="Q441" s="206"/>
      <c r="R441" s="206"/>
      <c r="S441" s="206"/>
    </row>
    <row r="442" spans="1:19" ht="12.75" customHeight="1" x14ac:dyDescent="0.3">
      <c r="A442" s="24" t="s">
        <v>1129</v>
      </c>
      <c r="B442" s="209"/>
      <c r="C442" s="208"/>
      <c r="D442" s="25">
        <v>0</v>
      </c>
      <c r="F442" s="25">
        <v>0</v>
      </c>
      <c r="G442" s="25">
        <v>0</v>
      </c>
      <c r="H442" s="25">
        <v>0</v>
      </c>
      <c r="J442" s="25">
        <f t="shared" si="50"/>
        <v>0</v>
      </c>
      <c r="L442" s="38"/>
      <c r="M442" s="26">
        <v>0</v>
      </c>
      <c r="P442"/>
      <c r="Q442" s="206"/>
      <c r="R442" s="206"/>
      <c r="S442" s="206"/>
    </row>
    <row r="443" spans="1:19" ht="12.75" customHeight="1" x14ac:dyDescent="0.3">
      <c r="A443" s="24" t="s">
        <v>1129</v>
      </c>
      <c r="B443" s="207"/>
      <c r="C443" s="208"/>
      <c r="D443" s="25">
        <v>0</v>
      </c>
      <c r="F443" s="25">
        <v>0</v>
      </c>
      <c r="G443" s="25">
        <v>0</v>
      </c>
      <c r="H443" s="25">
        <v>0</v>
      </c>
      <c r="J443" s="25">
        <f t="shared" si="50"/>
        <v>0</v>
      </c>
      <c r="M443" s="26">
        <v>0</v>
      </c>
      <c r="P443"/>
      <c r="Q443" s="206"/>
      <c r="R443" s="206"/>
      <c r="S443" s="206"/>
    </row>
    <row r="444" spans="1:19" ht="12.75" customHeight="1" x14ac:dyDescent="0.3">
      <c r="A444" s="24" t="s">
        <v>1129</v>
      </c>
      <c r="B444" s="207"/>
      <c r="C444" s="208"/>
      <c r="D444" s="25">
        <v>0</v>
      </c>
      <c r="F444" s="25">
        <v>0</v>
      </c>
      <c r="G444" s="25">
        <v>0</v>
      </c>
      <c r="H444" s="25">
        <v>0</v>
      </c>
      <c r="J444" s="25">
        <f t="shared" si="50"/>
        <v>0</v>
      </c>
      <c r="M444" s="26">
        <v>0</v>
      </c>
      <c r="P444"/>
      <c r="Q444" s="206"/>
      <c r="R444" s="206"/>
      <c r="S444" s="206"/>
    </row>
    <row r="445" spans="1:19" ht="12.75" customHeight="1" x14ac:dyDescent="0.3">
      <c r="A445" s="24" t="s">
        <v>1129</v>
      </c>
      <c r="B445" s="207"/>
      <c r="C445" s="208"/>
      <c r="D445" s="25">
        <v>0</v>
      </c>
      <c r="F445" s="25">
        <v>0</v>
      </c>
      <c r="G445" s="25">
        <v>0</v>
      </c>
      <c r="H445" s="25">
        <v>0</v>
      </c>
      <c r="J445" s="25">
        <f t="shared" si="50"/>
        <v>0</v>
      </c>
      <c r="M445" s="26">
        <v>0</v>
      </c>
      <c r="P445"/>
      <c r="Q445" s="206"/>
      <c r="R445" s="206"/>
      <c r="S445" s="206"/>
    </row>
    <row r="446" spans="1:19" ht="12.75" customHeight="1" x14ac:dyDescent="0.3">
      <c r="A446" s="27" t="s">
        <v>8</v>
      </c>
      <c r="B446" s="28"/>
      <c r="C446" s="27"/>
      <c r="D446" s="29">
        <v>317009.40000000002</v>
      </c>
      <c r="E446" s="29">
        <v>0</v>
      </c>
      <c r="F446" s="29">
        <v>0</v>
      </c>
      <c r="G446" s="29">
        <v>549.99</v>
      </c>
      <c r="H446" s="29">
        <v>0</v>
      </c>
      <c r="I446" s="29">
        <v>0</v>
      </c>
      <c r="J446" s="29">
        <f t="shared" ref="J446" si="51">SUM(J433:J445)</f>
        <v>317559.39</v>
      </c>
      <c r="L446" s="29">
        <v>396000</v>
      </c>
      <c r="P446"/>
      <c r="Q446" s="206"/>
      <c r="R446" s="206"/>
      <c r="S446" s="206"/>
    </row>
    <row r="447" spans="1:19" ht="12.75" customHeight="1" x14ac:dyDescent="0.3">
      <c r="P447"/>
      <c r="Q447" s="206"/>
      <c r="R447" s="206"/>
      <c r="S447" s="206"/>
    </row>
    <row r="448" spans="1:19" ht="12.75" customHeight="1" x14ac:dyDescent="0.3">
      <c r="P448"/>
      <c r="Q448" s="206"/>
      <c r="R448" s="206"/>
      <c r="S448" s="206"/>
    </row>
    <row r="449" spans="1:19" ht="12.75" customHeight="1" x14ac:dyDescent="0.3">
      <c r="P449"/>
      <c r="Q449" s="206"/>
      <c r="R449" s="206"/>
      <c r="S449" s="206"/>
    </row>
    <row r="450" spans="1:19" ht="12.75" customHeight="1" x14ac:dyDescent="0.3">
      <c r="A450" s="20" t="s">
        <v>0</v>
      </c>
      <c r="B450" s="21" t="s">
        <v>659</v>
      </c>
      <c r="C450" s="20" t="s">
        <v>660</v>
      </c>
      <c r="D450" s="21" t="s">
        <v>661</v>
      </c>
      <c r="E450" s="21" t="s">
        <v>662</v>
      </c>
      <c r="F450" s="21" t="s">
        <v>663</v>
      </c>
      <c r="G450" s="21" t="s">
        <v>664</v>
      </c>
      <c r="H450" s="21" t="s">
        <v>665</v>
      </c>
      <c r="I450" s="21" t="s">
        <v>676</v>
      </c>
      <c r="J450" s="21" t="s">
        <v>666</v>
      </c>
      <c r="L450" s="23" t="s">
        <v>667</v>
      </c>
      <c r="M450" s="23" t="s">
        <v>668</v>
      </c>
      <c r="O450" s="21" t="s">
        <v>669</v>
      </c>
      <c r="P450"/>
      <c r="Q450" s="206"/>
      <c r="R450" s="206"/>
      <c r="S450" s="206"/>
    </row>
    <row r="451" spans="1:19" ht="12.75" customHeight="1" x14ac:dyDescent="0.3">
      <c r="A451" s="24" t="s">
        <v>1133</v>
      </c>
      <c r="B451" s="207" t="s">
        <v>935</v>
      </c>
      <c r="C451" s="208" t="s">
        <v>602</v>
      </c>
      <c r="D451" s="25">
        <v>1365.91</v>
      </c>
      <c r="F451" s="25">
        <v>0</v>
      </c>
      <c r="G451" s="25">
        <v>0</v>
      </c>
      <c r="H451" s="25">
        <v>0</v>
      </c>
      <c r="J451" s="25">
        <f t="shared" ref="J451:J463" si="52">SUM(D451:I451)</f>
        <v>1365.91</v>
      </c>
      <c r="L451" s="25"/>
      <c r="M451" s="26">
        <v>0</v>
      </c>
      <c r="O451" s="25">
        <v>400000</v>
      </c>
      <c r="P451" t="s">
        <v>601</v>
      </c>
      <c r="Q451" s="206">
        <v>38.245480000000001</v>
      </c>
      <c r="R451" s="206">
        <v>9.5613700000000001</v>
      </c>
      <c r="S451" s="206"/>
    </row>
    <row r="452" spans="1:19" ht="12.75" customHeight="1" x14ac:dyDescent="0.3">
      <c r="A452" s="24" t="s">
        <v>1133</v>
      </c>
      <c r="B452" s="207" t="s">
        <v>1118</v>
      </c>
      <c r="C452" s="208" t="s">
        <v>611</v>
      </c>
      <c r="D452" s="25">
        <v>66826.95</v>
      </c>
      <c r="F452" s="25">
        <v>0</v>
      </c>
      <c r="G452" s="25">
        <v>0</v>
      </c>
      <c r="H452" s="25">
        <v>0</v>
      </c>
      <c r="J452" s="25">
        <f t="shared" si="52"/>
        <v>66826.95</v>
      </c>
      <c r="L452" s="25">
        <v>62858</v>
      </c>
      <c r="M452" s="26">
        <v>1.0631415253428362</v>
      </c>
      <c r="P452" t="s">
        <v>610</v>
      </c>
      <c r="Q452" s="206">
        <v>1871.1545999999998</v>
      </c>
      <c r="R452" s="206">
        <v>467.78864999999996</v>
      </c>
      <c r="S452" s="206">
        <v>334.13475</v>
      </c>
    </row>
    <row r="453" spans="1:19" ht="12.75" customHeight="1" x14ac:dyDescent="0.3">
      <c r="A453" s="24" t="s">
        <v>1133</v>
      </c>
      <c r="B453" s="207" t="s">
        <v>875</v>
      </c>
      <c r="C453" s="208" t="s">
        <v>629</v>
      </c>
      <c r="D453" s="25">
        <v>64102.74</v>
      </c>
      <c r="F453" s="25">
        <v>0</v>
      </c>
      <c r="G453" s="25">
        <v>0</v>
      </c>
      <c r="H453" s="25">
        <v>0</v>
      </c>
      <c r="J453" s="25">
        <f t="shared" si="52"/>
        <v>64102.74</v>
      </c>
      <c r="L453" s="25">
        <v>62858</v>
      </c>
      <c r="M453" s="26">
        <v>1.0198024117852937</v>
      </c>
      <c r="P453" t="s">
        <v>628</v>
      </c>
      <c r="Q453" s="206">
        <v>1794.87672</v>
      </c>
      <c r="R453" s="206">
        <v>448.71917999999999</v>
      </c>
      <c r="S453" s="206">
        <v>320.51369999999997</v>
      </c>
    </row>
    <row r="454" spans="1:19" ht="12.75" customHeight="1" x14ac:dyDescent="0.3">
      <c r="A454" s="24" t="s">
        <v>1133</v>
      </c>
      <c r="B454" s="207" t="s">
        <v>1134</v>
      </c>
      <c r="C454" s="208" t="s">
        <v>599</v>
      </c>
      <c r="D454" s="25">
        <v>65272.959999999999</v>
      </c>
      <c r="F454" s="25">
        <v>0</v>
      </c>
      <c r="G454" s="25">
        <v>0</v>
      </c>
      <c r="H454" s="25">
        <v>0</v>
      </c>
      <c r="J454" s="25">
        <f t="shared" si="52"/>
        <v>65272.959999999999</v>
      </c>
      <c r="L454" s="25">
        <v>62858</v>
      </c>
      <c r="M454" s="26">
        <v>1.0384192942823507</v>
      </c>
      <c r="P454" t="s">
        <v>598</v>
      </c>
      <c r="Q454" s="206">
        <v>1827.6428800000001</v>
      </c>
      <c r="R454" s="206">
        <v>456.91072000000003</v>
      </c>
      <c r="S454" s="206">
        <v>326.3648</v>
      </c>
    </row>
    <row r="455" spans="1:19" ht="12.75" customHeight="1" x14ac:dyDescent="0.3">
      <c r="A455" s="24" t="s">
        <v>1133</v>
      </c>
      <c r="B455" s="207" t="s">
        <v>1106</v>
      </c>
      <c r="C455" s="208" t="s">
        <v>608</v>
      </c>
      <c r="D455" s="25">
        <v>57504.03</v>
      </c>
      <c r="F455" s="25">
        <v>0</v>
      </c>
      <c r="G455" s="25">
        <v>0</v>
      </c>
      <c r="H455" s="25">
        <v>0</v>
      </c>
      <c r="J455" s="25">
        <f t="shared" si="52"/>
        <v>57504.03</v>
      </c>
      <c r="L455" s="25">
        <v>62858</v>
      </c>
      <c r="M455" s="26">
        <v>0.91482436603137229</v>
      </c>
      <c r="P455" t="s">
        <v>607</v>
      </c>
      <c r="Q455" s="206">
        <v>1610.11284</v>
      </c>
      <c r="R455" s="206">
        <v>402.52821</v>
      </c>
      <c r="S455" s="206"/>
    </row>
    <row r="456" spans="1:19" ht="12.75" customHeight="1" x14ac:dyDescent="0.3">
      <c r="A456" s="24" t="s">
        <v>1133</v>
      </c>
      <c r="B456" s="207" t="s">
        <v>1101</v>
      </c>
      <c r="C456" s="208" t="s">
        <v>626</v>
      </c>
      <c r="D456" s="25">
        <v>61240.24</v>
      </c>
      <c r="F456" s="25">
        <v>0</v>
      </c>
      <c r="G456" s="25">
        <v>199.99</v>
      </c>
      <c r="H456" s="25">
        <v>0</v>
      </c>
      <c r="J456" s="25">
        <f t="shared" si="52"/>
        <v>61440.229999999996</v>
      </c>
      <c r="L456" s="25">
        <v>62858</v>
      </c>
      <c r="M456" s="26">
        <v>0.97744487575169425</v>
      </c>
      <c r="P456" t="s">
        <v>625</v>
      </c>
      <c r="Q456" s="206">
        <v>1720.3264399999998</v>
      </c>
      <c r="R456" s="206">
        <v>430.08160999999996</v>
      </c>
      <c r="S456" s="206"/>
    </row>
    <row r="457" spans="1:19" ht="12.75" customHeight="1" x14ac:dyDescent="0.3">
      <c r="A457" s="24" t="s">
        <v>1133</v>
      </c>
      <c r="B457" s="209" t="s">
        <v>1135</v>
      </c>
      <c r="C457" s="208" t="s">
        <v>617</v>
      </c>
      <c r="D457" s="25">
        <v>52916.06</v>
      </c>
      <c r="F457" s="25">
        <v>0</v>
      </c>
      <c r="G457" s="25">
        <v>0</v>
      </c>
      <c r="H457" s="25">
        <v>0</v>
      </c>
      <c r="J457" s="25">
        <f t="shared" si="52"/>
        <v>52916.06</v>
      </c>
      <c r="L457" s="25">
        <v>62858</v>
      </c>
      <c r="M457" s="26">
        <v>0.84183492952368832</v>
      </c>
      <c r="P457" t="s">
        <v>616</v>
      </c>
      <c r="Q457" s="206">
        <v>1481.64968</v>
      </c>
      <c r="R457" s="206">
        <v>370.41242</v>
      </c>
      <c r="S457" s="206"/>
    </row>
    <row r="458" spans="1:19" ht="12.75" customHeight="1" x14ac:dyDescent="0.3">
      <c r="A458" s="24" t="s">
        <v>1133</v>
      </c>
      <c r="B458" s="209" t="s">
        <v>1136</v>
      </c>
      <c r="C458" s="208" t="s">
        <v>620</v>
      </c>
      <c r="D458" s="25">
        <v>52996.82</v>
      </c>
      <c r="F458" s="25">
        <v>0</v>
      </c>
      <c r="G458" s="25">
        <v>0</v>
      </c>
      <c r="H458" s="25">
        <v>0</v>
      </c>
      <c r="J458" s="25">
        <f t="shared" si="52"/>
        <v>52996.82</v>
      </c>
      <c r="L458" s="25">
        <v>62858</v>
      </c>
      <c r="M458" s="26">
        <v>0.84311973018549746</v>
      </c>
      <c r="P458" t="s">
        <v>619</v>
      </c>
      <c r="Q458" s="206">
        <v>1483.9109599999999</v>
      </c>
      <c r="R458" s="206">
        <v>370.97773999999998</v>
      </c>
      <c r="S458" s="206"/>
    </row>
    <row r="459" spans="1:19" ht="12.75" customHeight="1" x14ac:dyDescent="0.3">
      <c r="A459" s="24" t="s">
        <v>1133</v>
      </c>
      <c r="B459" s="209"/>
      <c r="C459" s="208"/>
      <c r="D459" s="25">
        <v>0</v>
      </c>
      <c r="F459" s="25">
        <v>0</v>
      </c>
      <c r="G459" s="25">
        <v>0</v>
      </c>
      <c r="H459" s="25">
        <v>0</v>
      </c>
      <c r="J459" s="25">
        <f t="shared" si="52"/>
        <v>0</v>
      </c>
      <c r="L459" s="38"/>
      <c r="M459" s="26">
        <v>0</v>
      </c>
      <c r="P459"/>
      <c r="Q459" s="206"/>
      <c r="R459" s="206"/>
      <c r="S459" s="206"/>
    </row>
    <row r="460" spans="1:19" ht="12.75" customHeight="1" x14ac:dyDescent="0.3">
      <c r="A460" s="24" t="s">
        <v>1133</v>
      </c>
      <c r="B460" s="209"/>
      <c r="C460" s="208"/>
      <c r="D460" s="25">
        <v>0</v>
      </c>
      <c r="F460" s="25">
        <v>0</v>
      </c>
      <c r="G460" s="25">
        <v>0</v>
      </c>
      <c r="H460" s="25">
        <v>0</v>
      </c>
      <c r="J460" s="25">
        <f t="shared" si="52"/>
        <v>0</v>
      </c>
      <c r="L460" s="38"/>
      <c r="M460" s="26">
        <v>0</v>
      </c>
      <c r="P460"/>
      <c r="Q460" s="206"/>
      <c r="R460" s="206"/>
      <c r="S460" s="206"/>
    </row>
    <row r="461" spans="1:19" ht="12.75" customHeight="1" x14ac:dyDescent="0.3">
      <c r="A461" s="24" t="s">
        <v>1133</v>
      </c>
      <c r="B461" s="207"/>
      <c r="C461" s="208"/>
      <c r="D461" s="25">
        <v>0</v>
      </c>
      <c r="F461" s="25">
        <v>0</v>
      </c>
      <c r="G461" s="25">
        <v>0</v>
      </c>
      <c r="H461" s="25">
        <v>0</v>
      </c>
      <c r="J461" s="25">
        <f t="shared" si="52"/>
        <v>0</v>
      </c>
      <c r="M461" s="26">
        <v>0</v>
      </c>
      <c r="P461"/>
      <c r="Q461" s="206"/>
      <c r="R461" s="206"/>
      <c r="S461" s="206"/>
    </row>
    <row r="462" spans="1:19" ht="12.75" customHeight="1" x14ac:dyDescent="0.3">
      <c r="A462" s="24" t="s">
        <v>1133</v>
      </c>
      <c r="B462" s="207"/>
      <c r="C462" s="208"/>
      <c r="D462" s="25">
        <v>0</v>
      </c>
      <c r="F462" s="25">
        <v>0</v>
      </c>
      <c r="G462" s="25">
        <v>0</v>
      </c>
      <c r="H462" s="25">
        <v>0</v>
      </c>
      <c r="J462" s="25">
        <f t="shared" si="52"/>
        <v>0</v>
      </c>
      <c r="M462" s="26">
        <v>0</v>
      </c>
      <c r="P462"/>
      <c r="Q462" s="206"/>
      <c r="R462" s="206"/>
      <c r="S462" s="206"/>
    </row>
    <row r="463" spans="1:19" ht="12.75" customHeight="1" x14ac:dyDescent="0.3">
      <c r="A463" s="24" t="s">
        <v>1133</v>
      </c>
      <c r="B463" s="207"/>
      <c r="C463" s="208"/>
      <c r="D463" s="25">
        <v>0</v>
      </c>
      <c r="F463" s="25">
        <v>0</v>
      </c>
      <c r="G463" s="25">
        <v>0</v>
      </c>
      <c r="H463" s="25">
        <v>0</v>
      </c>
      <c r="J463" s="25">
        <f t="shared" si="52"/>
        <v>0</v>
      </c>
      <c r="M463" s="26">
        <v>0</v>
      </c>
      <c r="P463"/>
      <c r="Q463" s="206"/>
      <c r="R463" s="206"/>
      <c r="S463" s="206"/>
    </row>
    <row r="464" spans="1:19" ht="12.75" customHeight="1" x14ac:dyDescent="0.3">
      <c r="A464" s="27" t="s">
        <v>8</v>
      </c>
      <c r="B464" s="28"/>
      <c r="C464" s="27"/>
      <c r="D464" s="29">
        <v>422225.71</v>
      </c>
      <c r="E464" s="29">
        <v>0</v>
      </c>
      <c r="F464" s="29">
        <v>0</v>
      </c>
      <c r="G464" s="29">
        <v>199.99</v>
      </c>
      <c r="H464" s="29">
        <v>0</v>
      </c>
      <c r="I464" s="29">
        <v>0</v>
      </c>
      <c r="J464" s="29">
        <f t="shared" ref="J464" si="53">SUM(J451:J463)</f>
        <v>422425.7</v>
      </c>
      <c r="L464" s="29">
        <v>440006</v>
      </c>
      <c r="P464"/>
      <c r="Q464" s="206"/>
      <c r="R464" s="206"/>
      <c r="S464" s="206"/>
    </row>
    <row r="465" spans="1:19" ht="12.75" customHeight="1" x14ac:dyDescent="0.3">
      <c r="P465"/>
      <c r="Q465" s="206"/>
      <c r="R465" s="206"/>
      <c r="S465" s="206"/>
    </row>
    <row r="466" spans="1:19" ht="12.75" customHeight="1" x14ac:dyDescent="0.3">
      <c r="P466"/>
      <c r="Q466" s="206"/>
      <c r="R466" s="206"/>
      <c r="S466" s="206"/>
    </row>
    <row r="467" spans="1:19" ht="12.75" customHeight="1" x14ac:dyDescent="0.3">
      <c r="P467"/>
      <c r="Q467" s="206"/>
      <c r="R467" s="206"/>
      <c r="S467" s="206"/>
    </row>
    <row r="468" spans="1:19" ht="12.75" customHeight="1" x14ac:dyDescent="0.3">
      <c r="A468" s="20" t="s">
        <v>0</v>
      </c>
      <c r="B468" s="21" t="s">
        <v>659</v>
      </c>
      <c r="C468" s="20" t="s">
        <v>660</v>
      </c>
      <c r="D468" s="21" t="s">
        <v>661</v>
      </c>
      <c r="E468" s="21" t="s">
        <v>662</v>
      </c>
      <c r="F468" s="21" t="s">
        <v>663</v>
      </c>
      <c r="G468" s="21" t="s">
        <v>664</v>
      </c>
      <c r="H468" s="21" t="s">
        <v>665</v>
      </c>
      <c r="I468" s="21" t="s">
        <v>676</v>
      </c>
      <c r="J468" s="21" t="s">
        <v>666</v>
      </c>
      <c r="L468" s="23" t="s">
        <v>667</v>
      </c>
      <c r="M468" s="23" t="s">
        <v>668</v>
      </c>
      <c r="O468" s="21" t="s">
        <v>669</v>
      </c>
      <c r="P468"/>
      <c r="Q468" s="206"/>
      <c r="R468" s="206"/>
      <c r="S468" s="206"/>
    </row>
    <row r="469" spans="1:19" ht="12.75" customHeight="1" x14ac:dyDescent="0.3">
      <c r="A469" s="24" t="s">
        <v>1137</v>
      </c>
      <c r="B469" s="207" t="s">
        <v>1083</v>
      </c>
      <c r="C469" s="208" t="s">
        <v>650</v>
      </c>
      <c r="D469" s="25">
        <v>24901.599999999999</v>
      </c>
      <c r="F469" s="25">
        <v>0</v>
      </c>
      <c r="G469" s="25">
        <v>0</v>
      </c>
      <c r="H469" s="25">
        <v>0</v>
      </c>
      <c r="J469" s="25">
        <f t="shared" ref="J469:J479" si="54">SUM(D469:I469)</f>
        <v>24901.599999999999</v>
      </c>
      <c r="L469" s="25">
        <v>47667</v>
      </c>
      <c r="M469" s="26">
        <v>0.522407535611639</v>
      </c>
      <c r="O469" s="25">
        <v>260000</v>
      </c>
      <c r="P469" t="s">
        <v>649</v>
      </c>
      <c r="Q469" s="206">
        <v>697.24479999999994</v>
      </c>
      <c r="R469" s="206">
        <v>174.31119999999999</v>
      </c>
      <c r="S469" s="206"/>
    </row>
    <row r="470" spans="1:19" ht="12.75" customHeight="1" x14ac:dyDescent="0.3">
      <c r="A470" s="24" t="s">
        <v>1137</v>
      </c>
      <c r="B470" s="207" t="s">
        <v>1074</v>
      </c>
      <c r="C470" s="208" t="s">
        <v>730</v>
      </c>
      <c r="D470" s="25">
        <v>73026.759999999995</v>
      </c>
      <c r="F470" s="25">
        <v>0</v>
      </c>
      <c r="G470" s="25">
        <v>0</v>
      </c>
      <c r="H470" s="25">
        <v>0</v>
      </c>
      <c r="J470" s="25">
        <f t="shared" si="54"/>
        <v>73026.759999999995</v>
      </c>
      <c r="L470" s="25">
        <v>47667</v>
      </c>
      <c r="M470" s="26">
        <v>1.5320192166488344</v>
      </c>
      <c r="P470" t="s">
        <v>634</v>
      </c>
      <c r="Q470" s="206">
        <v>2044.74928</v>
      </c>
      <c r="R470" s="206">
        <v>511.18732</v>
      </c>
      <c r="S470" s="206">
        <v>365.13380000000001</v>
      </c>
    </row>
    <row r="471" spans="1:19" ht="12.75" customHeight="1" x14ac:dyDescent="0.3">
      <c r="A471" s="24" t="s">
        <v>1137</v>
      </c>
      <c r="B471" s="207" t="s">
        <v>1138</v>
      </c>
      <c r="C471" s="208"/>
      <c r="D471" s="25">
        <v>1527.88</v>
      </c>
      <c r="F471" s="25">
        <v>0</v>
      </c>
      <c r="G471" s="25">
        <v>0</v>
      </c>
      <c r="H471" s="25">
        <v>0</v>
      </c>
      <c r="J471" s="25">
        <f t="shared" si="54"/>
        <v>1527.88</v>
      </c>
      <c r="L471" s="25"/>
      <c r="M471" s="26">
        <v>0</v>
      </c>
      <c r="P471" t="s">
        <v>655</v>
      </c>
      <c r="Q471" s="206">
        <v>42.780640000000005</v>
      </c>
      <c r="R471" s="206">
        <v>10.695160000000001</v>
      </c>
      <c r="S471" s="206"/>
    </row>
    <row r="472" spans="1:19" ht="12.75" customHeight="1" x14ac:dyDescent="0.3">
      <c r="A472" s="24" t="s">
        <v>1137</v>
      </c>
      <c r="B472" s="207" t="s">
        <v>1139</v>
      </c>
      <c r="C472" s="208" t="s">
        <v>632</v>
      </c>
      <c r="D472" s="25">
        <v>63673.919999999998</v>
      </c>
      <c r="F472" s="25">
        <v>0</v>
      </c>
      <c r="G472" s="25">
        <v>0</v>
      </c>
      <c r="H472" s="25">
        <v>0</v>
      </c>
      <c r="J472" s="25">
        <f t="shared" si="54"/>
        <v>63673.919999999998</v>
      </c>
      <c r="L472" s="25">
        <v>47667</v>
      </c>
      <c r="M472" s="26">
        <v>1.335807162187677</v>
      </c>
      <c r="P472" t="s">
        <v>631</v>
      </c>
      <c r="Q472" s="206">
        <v>1782.86976</v>
      </c>
      <c r="R472" s="206">
        <v>445.71744000000001</v>
      </c>
      <c r="S472" s="206">
        <v>318.36959999999999</v>
      </c>
    </row>
    <row r="473" spans="1:19" ht="12.75" customHeight="1" x14ac:dyDescent="0.3">
      <c r="A473" s="24" t="s">
        <v>1137</v>
      </c>
      <c r="B473" s="207" t="s">
        <v>1140</v>
      </c>
      <c r="C473" s="208" t="s">
        <v>731</v>
      </c>
      <c r="D473" s="25">
        <v>62948.160000000003</v>
      </c>
      <c r="F473" s="25">
        <v>0</v>
      </c>
      <c r="G473" s="25">
        <v>0</v>
      </c>
      <c r="H473" s="25">
        <v>0</v>
      </c>
      <c r="J473" s="25">
        <f t="shared" si="54"/>
        <v>62948.160000000003</v>
      </c>
      <c r="L473" s="25">
        <v>47667</v>
      </c>
      <c r="M473" s="26">
        <v>1.3205815343948644</v>
      </c>
      <c r="P473" t="s">
        <v>637</v>
      </c>
      <c r="Q473" s="206">
        <v>1762.5484800000002</v>
      </c>
      <c r="R473" s="206">
        <v>440.63712000000004</v>
      </c>
      <c r="S473" s="206">
        <v>314.74080000000004</v>
      </c>
    </row>
    <row r="474" spans="1:19" ht="12.75" customHeight="1" x14ac:dyDescent="0.3">
      <c r="A474" s="24" t="s">
        <v>1137</v>
      </c>
      <c r="B474" s="207" t="s">
        <v>1141</v>
      </c>
      <c r="C474" s="208" t="s">
        <v>658</v>
      </c>
      <c r="D474" s="25">
        <v>45843.66</v>
      </c>
      <c r="F474" s="25">
        <v>0</v>
      </c>
      <c r="G474" s="25">
        <v>0</v>
      </c>
      <c r="H474" s="25">
        <v>0</v>
      </c>
      <c r="J474" s="25">
        <f t="shared" si="54"/>
        <v>45843.66</v>
      </c>
      <c r="L474" s="25">
        <v>47667</v>
      </c>
      <c r="M474" s="26">
        <v>0.96174837938196245</v>
      </c>
      <c r="P474" t="s">
        <v>1142</v>
      </c>
      <c r="Q474" s="206">
        <v>1283.6224800000002</v>
      </c>
      <c r="R474" s="206">
        <v>320.90562000000006</v>
      </c>
      <c r="S474" s="206"/>
    </row>
    <row r="475" spans="1:19" ht="12.75" customHeight="1" x14ac:dyDescent="0.3">
      <c r="A475" s="24" t="s">
        <v>1137</v>
      </c>
      <c r="B475" s="209" t="s">
        <v>1143</v>
      </c>
      <c r="C475" s="208" t="s">
        <v>933</v>
      </c>
      <c r="D475" s="25">
        <v>26933.14</v>
      </c>
      <c r="F475" s="25">
        <v>0</v>
      </c>
      <c r="G475" s="25">
        <v>0</v>
      </c>
      <c r="H475" s="25">
        <v>0</v>
      </c>
      <c r="J475" s="25">
        <f t="shared" si="54"/>
        <v>26933.14</v>
      </c>
      <c r="L475" s="25">
        <v>47667</v>
      </c>
      <c r="M475" s="26">
        <v>0.56502695785344159</v>
      </c>
      <c r="P475" t="s">
        <v>932</v>
      </c>
      <c r="Q475" s="206">
        <v>754.12792000000002</v>
      </c>
      <c r="R475" s="206">
        <v>188.53198</v>
      </c>
      <c r="S475" s="206"/>
    </row>
    <row r="476" spans="1:19" ht="12.75" customHeight="1" x14ac:dyDescent="0.3">
      <c r="A476" s="24" t="s">
        <v>1137</v>
      </c>
      <c r="B476" s="207"/>
      <c r="C476" s="208"/>
      <c r="D476" s="25">
        <v>0</v>
      </c>
      <c r="F476" s="25">
        <v>0</v>
      </c>
      <c r="G476" s="25">
        <v>0</v>
      </c>
      <c r="H476" s="25">
        <v>0</v>
      </c>
      <c r="J476" s="25">
        <f t="shared" si="54"/>
        <v>0</v>
      </c>
      <c r="L476" s="25"/>
      <c r="M476" s="26">
        <v>0</v>
      </c>
      <c r="P476"/>
      <c r="Q476" s="206"/>
      <c r="R476" s="206"/>
      <c r="S476" s="206"/>
    </row>
    <row r="477" spans="1:19" ht="12.75" customHeight="1" x14ac:dyDescent="0.3">
      <c r="A477" s="24" t="s">
        <v>1137</v>
      </c>
      <c r="B477" s="207"/>
      <c r="C477" s="208"/>
      <c r="D477" s="25">
        <v>0</v>
      </c>
      <c r="F477" s="25">
        <v>0</v>
      </c>
      <c r="G477" s="25">
        <v>0</v>
      </c>
      <c r="H477" s="25">
        <v>0</v>
      </c>
      <c r="J477" s="25">
        <f t="shared" si="54"/>
        <v>0</v>
      </c>
      <c r="L477" s="25"/>
      <c r="M477" s="26">
        <v>0</v>
      </c>
      <c r="P477"/>
      <c r="Q477" s="206"/>
      <c r="R477" s="206"/>
      <c r="S477" s="206"/>
    </row>
    <row r="478" spans="1:19" ht="12.75" customHeight="1" x14ac:dyDescent="0.3">
      <c r="A478" s="24" t="s">
        <v>1137</v>
      </c>
      <c r="B478" s="207"/>
      <c r="C478" s="208"/>
      <c r="D478" s="25">
        <v>0</v>
      </c>
      <c r="F478" s="25">
        <v>0</v>
      </c>
      <c r="G478" s="25">
        <v>0</v>
      </c>
      <c r="H478" s="25">
        <v>0</v>
      </c>
      <c r="J478" s="25">
        <f t="shared" si="54"/>
        <v>0</v>
      </c>
      <c r="L478" s="25"/>
      <c r="M478" s="26">
        <v>0</v>
      </c>
      <c r="P478"/>
      <c r="Q478" s="206"/>
      <c r="R478" s="206"/>
      <c r="S478" s="206"/>
    </row>
    <row r="479" spans="1:19" ht="12.75" customHeight="1" x14ac:dyDescent="0.3">
      <c r="A479" s="24" t="s">
        <v>1137</v>
      </c>
      <c r="B479" s="207"/>
      <c r="C479" s="208"/>
      <c r="D479" s="25">
        <v>0</v>
      </c>
      <c r="F479" s="25">
        <v>0</v>
      </c>
      <c r="G479" s="25">
        <v>0</v>
      </c>
      <c r="H479" s="25">
        <v>0</v>
      </c>
      <c r="J479" s="25">
        <f t="shared" si="54"/>
        <v>0</v>
      </c>
      <c r="L479" s="25"/>
      <c r="M479" s="26">
        <v>0</v>
      </c>
      <c r="P479"/>
      <c r="Q479" s="206"/>
      <c r="R479" s="206"/>
      <c r="S479" s="206"/>
    </row>
    <row r="480" spans="1:19" ht="12.75" customHeight="1" x14ac:dyDescent="0.3">
      <c r="A480" s="27" t="s">
        <v>8</v>
      </c>
      <c r="B480" s="28"/>
      <c r="C480" s="27"/>
      <c r="D480" s="29">
        <v>298855.12</v>
      </c>
      <c r="E480" s="29">
        <v>0</v>
      </c>
      <c r="F480" s="29">
        <v>0</v>
      </c>
      <c r="G480" s="29">
        <v>0</v>
      </c>
      <c r="H480" s="29">
        <v>0</v>
      </c>
      <c r="I480" s="29">
        <v>0</v>
      </c>
      <c r="J480" s="29">
        <f t="shared" ref="J480" si="55">SUM(J469:J479)</f>
        <v>298855.12</v>
      </c>
      <c r="L480" s="29">
        <v>286002</v>
      </c>
      <c r="P480"/>
      <c r="Q480" s="206"/>
      <c r="R480" s="206"/>
      <c r="S480" s="206"/>
    </row>
    <row r="481" spans="1:19" ht="12.75" customHeight="1" x14ac:dyDescent="0.3">
      <c r="P481"/>
      <c r="Q481" s="206"/>
      <c r="R481" s="206"/>
      <c r="S481" s="206"/>
    </row>
    <row r="482" spans="1:19" ht="12.75" customHeight="1" x14ac:dyDescent="0.3">
      <c r="P482"/>
      <c r="Q482" s="206"/>
      <c r="R482" s="206"/>
      <c r="S482" s="206"/>
    </row>
    <row r="483" spans="1:19" ht="12.75" customHeight="1" x14ac:dyDescent="0.3">
      <c r="P483"/>
      <c r="Q483" s="206"/>
      <c r="R483" s="206"/>
      <c r="S483" s="206"/>
    </row>
    <row r="484" spans="1:19" ht="12.75" customHeight="1" x14ac:dyDescent="0.3">
      <c r="A484" s="39" t="s">
        <v>732</v>
      </c>
      <c r="B484" s="40"/>
      <c r="C484" s="39"/>
      <c r="D484" s="41">
        <v>10786054.060000002</v>
      </c>
      <c r="E484" s="41">
        <v>4899.95</v>
      </c>
      <c r="F484" s="41">
        <v>899.99</v>
      </c>
      <c r="G484" s="41">
        <v>24099.440000000006</v>
      </c>
      <c r="H484" s="41">
        <v>14109.699999999999</v>
      </c>
      <c r="I484" s="41">
        <v>0</v>
      </c>
      <c r="J484" s="41">
        <f t="shared" ref="J484" si="56">J480+J409+J393+J375+J357+J338+J320+J303+J286+J269+J252+J235+J218+J201+J184+J167+J150+J133+J116+J99+J82+J66+J49+J32+J16+J428+J446+J464</f>
        <v>10830063.140000002</v>
      </c>
      <c r="O484" s="41">
        <v>9495000</v>
      </c>
      <c r="P484"/>
      <c r="Q484" s="206"/>
      <c r="R484" s="206"/>
      <c r="S484" s="206"/>
    </row>
    <row r="485" spans="1:19" ht="12.75" customHeight="1" x14ac:dyDescent="0.3">
      <c r="P485"/>
      <c r="Q485" s="206"/>
      <c r="R485" s="206"/>
      <c r="S485" s="206"/>
    </row>
    <row r="486" spans="1:19" ht="12.75" customHeight="1" x14ac:dyDescent="0.25">
      <c r="D486" s="25">
        <v>8734101.1499999985</v>
      </c>
      <c r="E486" s="25">
        <v>899.99</v>
      </c>
      <c r="F486" s="25">
        <v>0</v>
      </c>
      <c r="G486" s="25">
        <v>30074.370000000006</v>
      </c>
      <c r="H486" s="25">
        <v>13640.71</v>
      </c>
      <c r="I486" s="25">
        <v>0</v>
      </c>
      <c r="J486" s="25">
        <f t="shared" ref="J486" si="57">J484-J480</f>
        <v>10531208.020000003</v>
      </c>
    </row>
    <row r="487" spans="1:19" ht="12.75" customHeight="1" x14ac:dyDescent="0.25"/>
    <row r="488" spans="1:19" ht="12.75" customHeight="1" x14ac:dyDescent="0.25"/>
    <row r="489" spans="1:19" ht="12.75" customHeight="1" x14ac:dyDescent="0.25"/>
    <row r="490" spans="1:19" ht="12.75" customHeight="1" x14ac:dyDescent="0.25"/>
    <row r="491" spans="1:19" ht="12.75" customHeight="1" x14ac:dyDescent="0.25"/>
    <row r="492" spans="1:19" ht="12.75" customHeight="1" x14ac:dyDescent="0.25"/>
    <row r="493" spans="1:19" ht="12.75" customHeight="1" x14ac:dyDescent="0.25"/>
    <row r="494" spans="1:19" ht="12.75" customHeight="1" x14ac:dyDescent="0.25"/>
    <row r="495" spans="1:19" ht="12.75" customHeight="1" x14ac:dyDescent="0.25"/>
    <row r="496" spans="1:19" ht="12.75" customHeight="1" x14ac:dyDescent="0.25"/>
    <row r="497" ht="12.75" customHeight="1" x14ac:dyDescent="0.25"/>
    <row r="498" ht="12.75" customHeight="1" x14ac:dyDescent="0.25"/>
    <row r="499" ht="12.75" customHeight="1" x14ac:dyDescent="0.25"/>
    <row r="500" ht="12.75" customHeight="1" x14ac:dyDescent="0.25"/>
    <row r="501" ht="12.75" customHeight="1" x14ac:dyDescent="0.25"/>
    <row r="502" ht="12.75" customHeight="1" x14ac:dyDescent="0.25"/>
    <row r="503" ht="12.75" customHeight="1" x14ac:dyDescent="0.25"/>
    <row r="504" ht="12.75" customHeight="1" x14ac:dyDescent="0.25"/>
    <row r="505" ht="12.75" customHeight="1" x14ac:dyDescent="0.25"/>
    <row r="506" ht="12.75" customHeight="1" x14ac:dyDescent="0.25"/>
    <row r="507" ht="12.75" customHeight="1" x14ac:dyDescent="0.25"/>
    <row r="508" ht="12.75" customHeight="1" x14ac:dyDescent="0.25"/>
    <row r="509" ht="12.75" customHeight="1" x14ac:dyDescent="0.25"/>
    <row r="510" ht="12.75" customHeight="1" x14ac:dyDescent="0.25"/>
    <row r="511" ht="12.75" customHeight="1" x14ac:dyDescent="0.25"/>
    <row r="512" ht="12.75" customHeight="1" x14ac:dyDescent="0.25"/>
    <row r="513" ht="12.75" customHeight="1" x14ac:dyDescent="0.25"/>
    <row r="514" ht="12.75" customHeight="1" x14ac:dyDescent="0.25"/>
    <row r="515" ht="12.75" customHeight="1" x14ac:dyDescent="0.25"/>
    <row r="516" ht="12.75" customHeight="1" x14ac:dyDescent="0.25"/>
    <row r="517" ht="12.75" customHeight="1" x14ac:dyDescent="0.25"/>
    <row r="518" ht="12.75" customHeight="1" x14ac:dyDescent="0.25"/>
    <row r="519" ht="12.75" customHeight="1" x14ac:dyDescent="0.25"/>
    <row r="520" ht="12.75" customHeight="1" x14ac:dyDescent="0.25"/>
    <row r="521" ht="12.75" customHeight="1" x14ac:dyDescent="0.25"/>
    <row r="522" ht="12.75" customHeight="1" x14ac:dyDescent="0.25"/>
    <row r="523" ht="12.75" customHeight="1" x14ac:dyDescent="0.25"/>
    <row r="524" ht="12.75" customHeight="1" x14ac:dyDescent="0.25"/>
    <row r="525" ht="12.75" customHeight="1" x14ac:dyDescent="0.25"/>
    <row r="526" ht="12.75" customHeight="1" x14ac:dyDescent="0.25"/>
    <row r="527" ht="12.75" customHeight="1" x14ac:dyDescent="0.25"/>
    <row r="528" ht="12.75" customHeight="1" x14ac:dyDescent="0.25"/>
    <row r="529" ht="12.75" customHeight="1" x14ac:dyDescent="0.25"/>
    <row r="530" ht="12.75" customHeight="1" x14ac:dyDescent="0.25"/>
    <row r="531" ht="12.75" customHeight="1" x14ac:dyDescent="0.25"/>
    <row r="532" ht="12.75" customHeight="1" x14ac:dyDescent="0.25"/>
    <row r="533" ht="12.75" customHeight="1" x14ac:dyDescent="0.25"/>
    <row r="534" ht="12.75" customHeight="1" x14ac:dyDescent="0.25"/>
    <row r="535" ht="12.75" customHeight="1" x14ac:dyDescent="0.25"/>
    <row r="536" ht="12.75" customHeight="1" x14ac:dyDescent="0.25"/>
    <row r="537" ht="12.75" customHeight="1" x14ac:dyDescent="0.25"/>
    <row r="538" ht="12.75" customHeight="1" x14ac:dyDescent="0.25"/>
    <row r="539" ht="12.75" customHeight="1" x14ac:dyDescent="0.25"/>
    <row r="540" ht="12.75" customHeight="1" x14ac:dyDescent="0.25"/>
    <row r="541" ht="12.75" customHeight="1" x14ac:dyDescent="0.25"/>
    <row r="542" ht="12.75" customHeight="1" x14ac:dyDescent="0.25"/>
    <row r="543" ht="12.75" customHeight="1" x14ac:dyDescent="0.25"/>
    <row r="544" ht="12.75" customHeight="1" x14ac:dyDescent="0.25"/>
    <row r="545" ht="12.75" customHeight="1" x14ac:dyDescent="0.25"/>
    <row r="546" ht="12.75" customHeight="1" x14ac:dyDescent="0.25"/>
    <row r="547" ht="12.75" customHeight="1" x14ac:dyDescent="0.25"/>
    <row r="548" ht="12.75" customHeight="1" x14ac:dyDescent="0.25"/>
    <row r="549" ht="12.75" customHeight="1" x14ac:dyDescent="0.25"/>
    <row r="550" ht="12.75" customHeight="1" x14ac:dyDescent="0.25"/>
    <row r="551" ht="12.75" customHeight="1" x14ac:dyDescent="0.25"/>
    <row r="552" ht="12.75" customHeight="1" x14ac:dyDescent="0.25"/>
    <row r="553" ht="12.75" customHeight="1" x14ac:dyDescent="0.25"/>
    <row r="554" ht="12.75" customHeight="1" x14ac:dyDescent="0.25"/>
    <row r="555" ht="12.75" customHeight="1" x14ac:dyDescent="0.25"/>
    <row r="556" ht="12.75" customHeight="1" x14ac:dyDescent="0.25"/>
    <row r="557" ht="12.75" customHeight="1" x14ac:dyDescent="0.25"/>
    <row r="558" ht="12.75" customHeight="1" x14ac:dyDescent="0.25"/>
    <row r="559" ht="12.75" customHeight="1" x14ac:dyDescent="0.25"/>
    <row r="560" ht="12.75" customHeight="1" x14ac:dyDescent="0.25"/>
    <row r="561" ht="12.75" customHeight="1" x14ac:dyDescent="0.25"/>
    <row r="562" ht="12.75" customHeight="1" x14ac:dyDescent="0.25"/>
    <row r="563" ht="12.75" customHeight="1" x14ac:dyDescent="0.25"/>
    <row r="564" ht="12.75" customHeight="1" x14ac:dyDescent="0.25"/>
    <row r="565" ht="12.75" customHeight="1" x14ac:dyDescent="0.25"/>
    <row r="566" ht="12.75" customHeight="1" x14ac:dyDescent="0.25"/>
    <row r="567" ht="12.75" customHeight="1" x14ac:dyDescent="0.25"/>
    <row r="568" ht="12.75" customHeight="1" x14ac:dyDescent="0.25"/>
    <row r="569" ht="12.75" customHeight="1" x14ac:dyDescent="0.25"/>
    <row r="570" ht="12.75" customHeight="1" x14ac:dyDescent="0.25"/>
    <row r="571" ht="12.75" customHeight="1" x14ac:dyDescent="0.25"/>
    <row r="572" ht="12.75" customHeight="1" x14ac:dyDescent="0.25"/>
    <row r="573" ht="12.75" customHeight="1" x14ac:dyDescent="0.25"/>
    <row r="574" ht="12.75" customHeight="1" x14ac:dyDescent="0.25"/>
    <row r="575" ht="12.75" customHeight="1" x14ac:dyDescent="0.25"/>
    <row r="576" ht="12.75" customHeight="1" x14ac:dyDescent="0.25"/>
    <row r="577" ht="12.75" customHeight="1" x14ac:dyDescent="0.25"/>
    <row r="578" ht="12.75" customHeight="1" x14ac:dyDescent="0.25"/>
    <row r="579" ht="12.75" customHeight="1" x14ac:dyDescent="0.25"/>
    <row r="580" ht="12.75" customHeight="1" x14ac:dyDescent="0.25"/>
    <row r="581" ht="12.75" customHeight="1" x14ac:dyDescent="0.25"/>
    <row r="582" ht="12.75" customHeight="1" x14ac:dyDescent="0.25"/>
    <row r="583" ht="12.75" customHeight="1" x14ac:dyDescent="0.25"/>
    <row r="584" ht="12.75" customHeight="1" x14ac:dyDescent="0.25"/>
    <row r="585" ht="12.75" customHeight="1" x14ac:dyDescent="0.25"/>
    <row r="586" ht="12.75" customHeight="1" x14ac:dyDescent="0.25"/>
    <row r="587" ht="12.75" customHeight="1" x14ac:dyDescent="0.25"/>
    <row r="588" ht="12.75" customHeight="1" x14ac:dyDescent="0.25"/>
    <row r="589" ht="12.75" customHeight="1" x14ac:dyDescent="0.25"/>
    <row r="590" ht="12.75" customHeight="1" x14ac:dyDescent="0.25"/>
    <row r="591" ht="12.75" customHeight="1" x14ac:dyDescent="0.25"/>
    <row r="592" ht="12.75" customHeight="1" x14ac:dyDescent="0.25"/>
    <row r="593" ht="12.75" customHeight="1" x14ac:dyDescent="0.25"/>
    <row r="594" ht="12.75" customHeight="1" x14ac:dyDescent="0.25"/>
    <row r="595" ht="12.75" customHeight="1" x14ac:dyDescent="0.25"/>
    <row r="596" ht="12.75" customHeight="1" x14ac:dyDescent="0.25"/>
    <row r="597" ht="12.75" customHeight="1" x14ac:dyDescent="0.25"/>
    <row r="598" ht="12.75" customHeight="1" x14ac:dyDescent="0.25"/>
    <row r="599" ht="12.75" customHeight="1" x14ac:dyDescent="0.25"/>
    <row r="600" ht="12.75" customHeight="1" x14ac:dyDescent="0.25"/>
    <row r="601" ht="12.75" customHeight="1" x14ac:dyDescent="0.25"/>
    <row r="602" ht="12.75" customHeight="1" x14ac:dyDescent="0.25"/>
    <row r="603" ht="12.75" customHeight="1" x14ac:dyDescent="0.25"/>
    <row r="604" ht="12.75" customHeight="1" x14ac:dyDescent="0.25"/>
    <row r="605" ht="12.75" customHeight="1" x14ac:dyDescent="0.25"/>
    <row r="606" ht="12.75" customHeight="1" x14ac:dyDescent="0.25"/>
    <row r="607" ht="12.75" customHeight="1" x14ac:dyDescent="0.25"/>
    <row r="608" ht="12.75" customHeight="1" x14ac:dyDescent="0.25"/>
    <row r="609" ht="12.75" customHeight="1" x14ac:dyDescent="0.25"/>
    <row r="610" ht="12.75" customHeight="1" x14ac:dyDescent="0.25"/>
    <row r="611" ht="12.75" customHeight="1" x14ac:dyDescent="0.25"/>
    <row r="612" ht="12.75" customHeight="1" x14ac:dyDescent="0.25"/>
    <row r="613" ht="12.75" customHeight="1" x14ac:dyDescent="0.25"/>
    <row r="614" ht="12.75" customHeight="1" x14ac:dyDescent="0.25"/>
    <row r="615" ht="12.75" customHeight="1" x14ac:dyDescent="0.25"/>
    <row r="616" ht="12.75" customHeight="1" x14ac:dyDescent="0.25"/>
    <row r="617" ht="12.75" customHeight="1" x14ac:dyDescent="0.25"/>
    <row r="618" ht="12.75" customHeight="1" x14ac:dyDescent="0.25"/>
    <row r="619" ht="12.75" customHeight="1" x14ac:dyDescent="0.25"/>
    <row r="620" ht="12.75" customHeight="1" x14ac:dyDescent="0.25"/>
    <row r="621" ht="12.75" customHeight="1" x14ac:dyDescent="0.25"/>
    <row r="622" ht="12.75" customHeight="1" x14ac:dyDescent="0.25"/>
    <row r="623" ht="12.75" customHeight="1" x14ac:dyDescent="0.25"/>
    <row r="624" ht="12.75" customHeight="1" x14ac:dyDescent="0.25"/>
    <row r="625" ht="12.75" customHeight="1" x14ac:dyDescent="0.25"/>
    <row r="626" ht="12.75" customHeight="1" x14ac:dyDescent="0.25"/>
    <row r="627" ht="12.75" customHeight="1" x14ac:dyDescent="0.25"/>
    <row r="628" ht="12.75" customHeight="1" x14ac:dyDescent="0.25"/>
    <row r="629" ht="12.75" customHeight="1" x14ac:dyDescent="0.25"/>
    <row r="630" ht="12.75" customHeight="1" x14ac:dyDescent="0.25"/>
    <row r="631" ht="12.75" customHeight="1" x14ac:dyDescent="0.25"/>
    <row r="632" ht="12.75" customHeight="1" x14ac:dyDescent="0.25"/>
    <row r="633" ht="12.75" customHeight="1" x14ac:dyDescent="0.25"/>
    <row r="634" ht="12.75" customHeight="1" x14ac:dyDescent="0.25"/>
    <row r="635" ht="12.75" customHeight="1" x14ac:dyDescent="0.25"/>
    <row r="636" ht="12.75" customHeight="1" x14ac:dyDescent="0.25"/>
    <row r="637" ht="12.75" customHeight="1" x14ac:dyDescent="0.25"/>
    <row r="638" ht="12.75" customHeight="1" x14ac:dyDescent="0.25"/>
    <row r="639" ht="12.75" customHeight="1" x14ac:dyDescent="0.25"/>
    <row r="640" ht="12.75" customHeight="1" x14ac:dyDescent="0.25"/>
    <row r="641" ht="12.75" customHeight="1" x14ac:dyDescent="0.25"/>
    <row r="642" ht="12.75" customHeight="1" x14ac:dyDescent="0.25"/>
    <row r="643" ht="12.75" customHeight="1" x14ac:dyDescent="0.25"/>
    <row r="644" ht="12.75" customHeight="1" x14ac:dyDescent="0.25"/>
    <row r="645" ht="12.75" customHeight="1" x14ac:dyDescent="0.25"/>
    <row r="646" ht="12.75" customHeight="1" x14ac:dyDescent="0.25"/>
    <row r="647" ht="12.75" customHeight="1" x14ac:dyDescent="0.25"/>
    <row r="648" ht="12.75" customHeight="1" x14ac:dyDescent="0.25"/>
    <row r="649" ht="12.75" customHeight="1" x14ac:dyDescent="0.25"/>
    <row r="650" ht="12.75" customHeight="1" x14ac:dyDescent="0.25"/>
    <row r="651" ht="12.75" customHeight="1" x14ac:dyDescent="0.25"/>
    <row r="652" ht="12.75" customHeight="1" x14ac:dyDescent="0.25"/>
    <row r="653" ht="12.75" customHeight="1" x14ac:dyDescent="0.25"/>
    <row r="654" ht="12.75" customHeight="1" x14ac:dyDescent="0.25"/>
    <row r="655" ht="12.75" customHeight="1" x14ac:dyDescent="0.25"/>
    <row r="656" ht="12.75" customHeight="1" x14ac:dyDescent="0.25"/>
    <row r="657" ht="12.75" customHeight="1" x14ac:dyDescent="0.25"/>
    <row r="658" ht="12.75" customHeight="1" x14ac:dyDescent="0.25"/>
  </sheetData>
  <conditionalFormatting sqref="M5">
    <cfRule type="cellIs" dxfId="38" priority="36" stopIfTrue="1" operator="greaterThan">
      <formula>0.999999999999999</formula>
    </cfRule>
  </conditionalFormatting>
  <conditionalFormatting sqref="M6:M15">
    <cfRule type="cellIs" dxfId="37" priority="35" stopIfTrue="1" operator="greaterThan">
      <formula>0.999999999999999</formula>
    </cfRule>
  </conditionalFormatting>
  <conditionalFormatting sqref="M21:M31">
    <cfRule type="cellIs" dxfId="36" priority="34" stopIfTrue="1" operator="greaterThan">
      <formula>0.999999999999999</formula>
    </cfRule>
  </conditionalFormatting>
  <conditionalFormatting sqref="M38:M48">
    <cfRule type="cellIs" dxfId="35" priority="33" stopIfTrue="1" operator="greaterThan">
      <formula>0.999999999999999</formula>
    </cfRule>
  </conditionalFormatting>
  <conditionalFormatting sqref="M55:M65">
    <cfRule type="cellIs" dxfId="34" priority="32" stopIfTrue="1" operator="greaterThan">
      <formula>0.999999999999999</formula>
    </cfRule>
  </conditionalFormatting>
  <conditionalFormatting sqref="M71:M81">
    <cfRule type="cellIs" dxfId="33" priority="31" stopIfTrue="1" operator="greaterThan">
      <formula>0.999999999999999</formula>
    </cfRule>
  </conditionalFormatting>
  <conditionalFormatting sqref="M88:M98">
    <cfRule type="cellIs" dxfId="32" priority="30" stopIfTrue="1" operator="greaterThan">
      <formula>0.999999999999999</formula>
    </cfRule>
  </conditionalFormatting>
  <conditionalFormatting sqref="M105:M115">
    <cfRule type="cellIs" dxfId="31" priority="29" stopIfTrue="1" operator="greaterThan">
      <formula>0.999999999999999</formula>
    </cfRule>
  </conditionalFormatting>
  <conditionalFormatting sqref="M122:M132">
    <cfRule type="cellIs" dxfId="30" priority="28" stopIfTrue="1" operator="greaterThan">
      <formula>0.999999999999999</formula>
    </cfRule>
  </conditionalFormatting>
  <conditionalFormatting sqref="M139:M149">
    <cfRule type="cellIs" dxfId="29" priority="27" stopIfTrue="1" operator="greaterThan">
      <formula>0.999999999999999</formula>
    </cfRule>
  </conditionalFormatting>
  <conditionalFormatting sqref="M156:M166">
    <cfRule type="cellIs" dxfId="28" priority="26" stopIfTrue="1" operator="greaterThan">
      <formula>0.999999999999999</formula>
    </cfRule>
  </conditionalFormatting>
  <conditionalFormatting sqref="M173:M183">
    <cfRule type="cellIs" dxfId="27" priority="25" stopIfTrue="1" operator="greaterThan">
      <formula>0.999999999999999</formula>
    </cfRule>
  </conditionalFormatting>
  <conditionalFormatting sqref="M190:M200">
    <cfRule type="cellIs" dxfId="26" priority="24" stopIfTrue="1" operator="greaterThan">
      <formula>0.999999999999999</formula>
    </cfRule>
  </conditionalFormatting>
  <conditionalFormatting sqref="M207:M217">
    <cfRule type="cellIs" dxfId="25" priority="23" stopIfTrue="1" operator="greaterThan">
      <formula>0.999999999999999</formula>
    </cfRule>
  </conditionalFormatting>
  <conditionalFormatting sqref="M224:M234">
    <cfRule type="cellIs" dxfId="24" priority="22" stopIfTrue="1" operator="greaterThan">
      <formula>0.999999999999999</formula>
    </cfRule>
  </conditionalFormatting>
  <conditionalFormatting sqref="M241:M251">
    <cfRule type="cellIs" dxfId="23" priority="21" stopIfTrue="1" operator="greaterThan">
      <formula>0.999999999999999</formula>
    </cfRule>
  </conditionalFormatting>
  <conditionalFormatting sqref="M258:M268">
    <cfRule type="cellIs" dxfId="22" priority="20" stopIfTrue="1" operator="greaterThan">
      <formula>0.999999999999999</formula>
    </cfRule>
  </conditionalFormatting>
  <conditionalFormatting sqref="M275:M285">
    <cfRule type="cellIs" dxfId="21" priority="19" stopIfTrue="1" operator="greaterThan">
      <formula>0.999999999999999</formula>
    </cfRule>
  </conditionalFormatting>
  <conditionalFormatting sqref="M292:M302">
    <cfRule type="cellIs" dxfId="20" priority="18" stopIfTrue="1" operator="greaterThan">
      <formula>0.999999999999999</formula>
    </cfRule>
  </conditionalFormatting>
  <conditionalFormatting sqref="M309:M319">
    <cfRule type="cellIs" dxfId="19" priority="17" stopIfTrue="1" operator="greaterThan">
      <formula>0.999999999999999</formula>
    </cfRule>
  </conditionalFormatting>
  <conditionalFormatting sqref="M327:M337">
    <cfRule type="cellIs" dxfId="18" priority="16" stopIfTrue="1" operator="greaterThan">
      <formula>0.999999999999999</formula>
    </cfRule>
  </conditionalFormatting>
  <conditionalFormatting sqref="M346:M356">
    <cfRule type="cellIs" dxfId="17" priority="15" stopIfTrue="1" operator="greaterThan">
      <formula>0.999999999999999</formula>
    </cfRule>
  </conditionalFormatting>
  <conditionalFormatting sqref="M364:M374">
    <cfRule type="cellIs" dxfId="16" priority="14" stopIfTrue="1" operator="greaterThan">
      <formula>0.999999999999999</formula>
    </cfRule>
  </conditionalFormatting>
  <conditionalFormatting sqref="M382:M392">
    <cfRule type="cellIs" dxfId="15" priority="13" stopIfTrue="1" operator="greaterThan">
      <formula>0.999999999999999</formula>
    </cfRule>
  </conditionalFormatting>
  <conditionalFormatting sqref="M398:M400 M402:M408">
    <cfRule type="cellIs" dxfId="14" priority="12" stopIfTrue="1" operator="greaterThan">
      <formula>0.999999999999999</formula>
    </cfRule>
  </conditionalFormatting>
  <conditionalFormatting sqref="M469:M479">
    <cfRule type="cellIs" dxfId="13" priority="11" stopIfTrue="1" operator="greaterThan">
      <formula>0.999999999999999</formula>
    </cfRule>
  </conditionalFormatting>
  <conditionalFormatting sqref="M401">
    <cfRule type="cellIs" dxfId="12" priority="10" stopIfTrue="1" operator="greaterThan">
      <formula>0.999999999999999</formula>
    </cfRule>
  </conditionalFormatting>
  <conditionalFormatting sqref="M415:M417 M419:M421 M424:M427">
    <cfRule type="cellIs" dxfId="11" priority="9" stopIfTrue="1" operator="greaterThan">
      <formula>0.999999999999999</formula>
    </cfRule>
  </conditionalFormatting>
  <conditionalFormatting sqref="M418">
    <cfRule type="cellIs" dxfId="10" priority="8" stopIfTrue="1" operator="greaterThan">
      <formula>0.999999999999999</formula>
    </cfRule>
  </conditionalFormatting>
  <conditionalFormatting sqref="M422:M423">
    <cfRule type="cellIs" dxfId="9" priority="7" stopIfTrue="1" operator="greaterThan">
      <formula>0.999999999999999</formula>
    </cfRule>
  </conditionalFormatting>
  <conditionalFormatting sqref="M440:M441">
    <cfRule type="cellIs" dxfId="8" priority="4" stopIfTrue="1" operator="greaterThan">
      <formula>0.999999999999999</formula>
    </cfRule>
  </conditionalFormatting>
  <conditionalFormatting sqref="M433:M435 M437:M439 M442:M445">
    <cfRule type="cellIs" dxfId="7" priority="6" stopIfTrue="1" operator="greaterThan">
      <formula>0.999999999999999</formula>
    </cfRule>
  </conditionalFormatting>
  <conditionalFormatting sqref="M436">
    <cfRule type="cellIs" dxfId="6" priority="5" stopIfTrue="1" operator="greaterThan">
      <formula>0.999999999999999</formula>
    </cfRule>
  </conditionalFormatting>
  <conditionalFormatting sqref="M451:M453 M455:M457 M460:M463">
    <cfRule type="cellIs" dxfId="5" priority="3" stopIfTrue="1" operator="greaterThan">
      <formula>0.999999999999999</formula>
    </cfRule>
  </conditionalFormatting>
  <conditionalFormatting sqref="M454">
    <cfRule type="cellIs" dxfId="4" priority="2" stopIfTrue="1" operator="greaterThan">
      <formula>0.999999999999999</formula>
    </cfRule>
  </conditionalFormatting>
  <conditionalFormatting sqref="M458:M459">
    <cfRule type="cellIs" dxfId="3" priority="1" stopIfTrue="1" operator="greaterThan">
      <formula>0.999999999999999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636EF-7271-43AF-9D72-089937D61262}">
  <sheetPr codeName="Sheet3"/>
  <dimension ref="B1:PA34"/>
  <sheetViews>
    <sheetView showGridLines="0" workbookViewId="0">
      <selection activeCell="C39" sqref="C39"/>
    </sheetView>
  </sheetViews>
  <sheetFormatPr defaultColWidth="9.109375" defaultRowHeight="14.4" x14ac:dyDescent="0.3"/>
  <cols>
    <col min="1" max="1" width="4.33203125" style="44" customWidth="1"/>
    <col min="2" max="2" width="9.109375" style="44"/>
    <col min="3" max="3" width="34.88671875" style="55" bestFit="1" customWidth="1"/>
    <col min="4" max="4" width="12.44140625" style="45" bestFit="1" customWidth="1"/>
    <col min="5" max="5" width="13.5546875" style="45" hidden="1" customWidth="1"/>
    <col min="6" max="6" width="14.33203125" style="45" hidden="1" customWidth="1"/>
    <col min="7" max="7" width="20.5546875" style="45" hidden="1" customWidth="1"/>
    <col min="8" max="10" width="16.33203125" style="45" hidden="1" customWidth="1"/>
    <col min="11" max="12" width="13.5546875" style="45" bestFit="1" customWidth="1"/>
    <col min="13" max="13" width="17.44140625" style="44" bestFit="1" customWidth="1"/>
    <col min="14" max="14" width="9.109375" style="44"/>
    <col min="15" max="15" width="14.33203125" style="211" customWidth="1"/>
    <col min="16" max="16" width="12.88671875" style="211" customWidth="1"/>
    <col min="17" max="17" width="18.33203125" style="211" customWidth="1"/>
    <col min="18" max="16384" width="9.109375" style="44"/>
  </cols>
  <sheetData>
    <row r="1" spans="2:417" x14ac:dyDescent="0.3">
      <c r="O1" s="211">
        <v>7992.46</v>
      </c>
    </row>
    <row r="3" spans="2:417" x14ac:dyDescent="0.3">
      <c r="B3" s="42" t="s">
        <v>733</v>
      </c>
      <c r="C3" s="42" t="s">
        <v>0</v>
      </c>
      <c r="D3" s="43" t="s">
        <v>734</v>
      </c>
      <c r="E3" s="43" t="s">
        <v>735</v>
      </c>
      <c r="F3" s="43" t="s">
        <v>662</v>
      </c>
      <c r="G3" s="43" t="s">
        <v>736</v>
      </c>
      <c r="H3" s="43" t="s">
        <v>664</v>
      </c>
      <c r="I3" s="43" t="s">
        <v>665</v>
      </c>
      <c r="J3" s="43" t="s">
        <v>676</v>
      </c>
      <c r="K3" s="43" t="s">
        <v>666</v>
      </c>
      <c r="L3" s="43" t="s">
        <v>737</v>
      </c>
      <c r="M3" s="43" t="s">
        <v>738</v>
      </c>
      <c r="O3" s="212" t="s">
        <v>670</v>
      </c>
      <c r="P3" s="212" t="s">
        <v>16</v>
      </c>
      <c r="Q3" s="212" t="s">
        <v>671</v>
      </c>
    </row>
    <row r="4" spans="2:417" x14ac:dyDescent="0.3">
      <c r="B4" s="44">
        <v>62</v>
      </c>
      <c r="C4" s="44" t="s">
        <v>739</v>
      </c>
      <c r="D4" s="45" t="s">
        <v>740</v>
      </c>
      <c r="E4" s="46">
        <v>888051.06</v>
      </c>
      <c r="F4" s="46"/>
      <c r="G4" s="46">
        <v>0</v>
      </c>
      <c r="H4" s="46">
        <v>0</v>
      </c>
      <c r="I4" s="46">
        <v>0</v>
      </c>
      <c r="J4" s="46">
        <v>0</v>
      </c>
      <c r="K4" s="47">
        <f>SUM(E4:J4)</f>
        <v>888051.06</v>
      </c>
      <c r="L4" s="46">
        <v>735000</v>
      </c>
      <c r="M4" s="210">
        <f>IFERROR(K4/L4,0)</f>
        <v>1.2082327346938777</v>
      </c>
      <c r="N4"/>
      <c r="O4" s="206" t="s">
        <v>995</v>
      </c>
      <c r="P4" s="206">
        <v>1998.115</v>
      </c>
      <c r="Q4" s="206">
        <v>2000</v>
      </c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</row>
    <row r="5" spans="2:417" s="230" customFormat="1" x14ac:dyDescent="0.3">
      <c r="B5" s="230">
        <v>93</v>
      </c>
      <c r="C5" s="230" t="s">
        <v>741</v>
      </c>
      <c r="D5" s="231" t="s">
        <v>740</v>
      </c>
      <c r="E5" s="46">
        <v>544419.85</v>
      </c>
      <c r="F5" s="46"/>
      <c r="G5" s="46">
        <v>0</v>
      </c>
      <c r="H5" s="46">
        <v>199.99</v>
      </c>
      <c r="I5" s="46">
        <v>0</v>
      </c>
      <c r="J5" s="46">
        <v>0</v>
      </c>
      <c r="K5" s="232">
        <f t="shared" ref="K5:K31" si="0">SUM(E5:J5)</f>
        <v>544619.84</v>
      </c>
      <c r="L5" s="233">
        <v>480000</v>
      </c>
      <c r="M5" s="234">
        <f t="shared" ref="M5:M32" si="1">IFERROR(K5/L5,0)</f>
        <v>1.1346246666666666</v>
      </c>
      <c r="N5" s="224"/>
      <c r="O5" s="225" t="s">
        <v>970</v>
      </c>
      <c r="P5" s="225">
        <v>1361.55</v>
      </c>
      <c r="Q5" s="225">
        <v>2000</v>
      </c>
      <c r="R5" s="224"/>
      <c r="S5" s="224"/>
      <c r="T5" s="224"/>
      <c r="U5" s="224"/>
      <c r="V5" s="224"/>
      <c r="W5" s="224"/>
      <c r="X5" s="224"/>
      <c r="Y5" s="224"/>
      <c r="Z5" s="224"/>
      <c r="AA5" s="224"/>
      <c r="AB5" s="224"/>
      <c r="AC5" s="224"/>
      <c r="AD5" s="224"/>
      <c r="AE5" s="224"/>
      <c r="AF5" s="224"/>
      <c r="AG5" s="224"/>
      <c r="AH5" s="224"/>
      <c r="AI5" s="224"/>
      <c r="AJ5" s="224"/>
      <c r="AK5" s="224"/>
      <c r="AL5" s="224"/>
      <c r="AM5" s="224"/>
      <c r="AN5" s="224"/>
      <c r="AO5" s="224"/>
      <c r="AP5" s="224"/>
      <c r="AQ5" s="224"/>
      <c r="AR5" s="224"/>
      <c r="AS5" s="224"/>
      <c r="AT5" s="224"/>
      <c r="AU5" s="224"/>
      <c r="AV5" s="224"/>
      <c r="AW5" s="224"/>
      <c r="AX5" s="224"/>
      <c r="AY5" s="224"/>
      <c r="AZ5" s="224"/>
      <c r="BA5" s="224"/>
      <c r="BB5" s="224"/>
      <c r="BC5" s="224"/>
      <c r="BD5" s="224"/>
      <c r="BE5" s="224"/>
      <c r="BF5" s="224"/>
      <c r="BG5" s="224"/>
      <c r="BH5" s="224"/>
      <c r="BI5" s="224"/>
      <c r="BJ5" s="224"/>
      <c r="BK5" s="224"/>
      <c r="BL5" s="224"/>
      <c r="BM5" s="224"/>
      <c r="BN5" s="224"/>
      <c r="BO5" s="224"/>
      <c r="BP5" s="224"/>
      <c r="BQ5" s="224"/>
      <c r="BR5" s="224"/>
      <c r="BS5" s="224"/>
      <c r="BT5" s="224"/>
      <c r="BU5" s="224"/>
      <c r="BV5" s="224"/>
      <c r="BW5" s="224"/>
      <c r="BX5" s="224"/>
      <c r="BY5" s="224"/>
      <c r="BZ5" s="224"/>
      <c r="CA5" s="224"/>
      <c r="CB5" s="224"/>
      <c r="CC5" s="224"/>
      <c r="CD5" s="224"/>
      <c r="CE5" s="224"/>
      <c r="CF5" s="224"/>
      <c r="CG5" s="224"/>
      <c r="CH5" s="224"/>
      <c r="CI5" s="224"/>
      <c r="CJ5" s="224"/>
      <c r="CK5" s="224"/>
      <c r="CL5" s="224"/>
      <c r="CM5" s="224"/>
      <c r="CN5" s="224"/>
      <c r="CO5" s="224"/>
      <c r="CP5" s="224"/>
      <c r="CQ5" s="224"/>
      <c r="CR5" s="224"/>
      <c r="CS5" s="224"/>
      <c r="CT5" s="224"/>
      <c r="CU5" s="224"/>
      <c r="CV5" s="224"/>
      <c r="CW5" s="224"/>
      <c r="CX5" s="224"/>
      <c r="CY5" s="224"/>
      <c r="CZ5" s="224"/>
      <c r="DA5" s="224"/>
      <c r="DB5" s="224"/>
      <c r="DC5" s="224"/>
      <c r="DD5" s="224"/>
      <c r="DE5" s="224"/>
      <c r="DF5" s="224"/>
      <c r="DG5" s="224"/>
      <c r="DH5" s="224"/>
      <c r="DI5" s="224"/>
      <c r="DJ5" s="224"/>
      <c r="DK5" s="224"/>
      <c r="DL5" s="224"/>
      <c r="DM5" s="224"/>
      <c r="DN5" s="224"/>
      <c r="DO5" s="224"/>
      <c r="DP5" s="224"/>
      <c r="DQ5" s="224"/>
      <c r="DR5" s="224"/>
      <c r="DS5" s="224"/>
      <c r="DT5" s="224"/>
      <c r="DU5" s="224"/>
      <c r="DV5" s="224"/>
      <c r="DW5" s="224"/>
      <c r="DX5" s="224"/>
      <c r="DY5" s="224"/>
      <c r="DZ5" s="224"/>
      <c r="EA5" s="224"/>
      <c r="EB5" s="224"/>
      <c r="EC5" s="224"/>
      <c r="ED5" s="224"/>
      <c r="EE5" s="224"/>
      <c r="EF5" s="224"/>
      <c r="EG5" s="224"/>
      <c r="EH5" s="224"/>
      <c r="EI5" s="224"/>
      <c r="EJ5" s="224"/>
      <c r="EK5" s="224"/>
      <c r="EL5" s="224"/>
      <c r="EM5" s="224"/>
      <c r="EN5" s="224"/>
      <c r="EO5" s="224"/>
      <c r="EP5" s="224"/>
      <c r="EQ5" s="224"/>
      <c r="ER5" s="224"/>
      <c r="ES5" s="224"/>
      <c r="ET5" s="224"/>
      <c r="EU5" s="224"/>
      <c r="EV5" s="224"/>
      <c r="EW5" s="224"/>
      <c r="EX5" s="224"/>
      <c r="EY5" s="224"/>
      <c r="EZ5" s="224"/>
      <c r="FA5" s="224"/>
      <c r="FB5" s="224"/>
      <c r="FC5" s="224"/>
      <c r="FD5" s="224"/>
      <c r="FE5" s="224"/>
      <c r="FF5" s="224"/>
      <c r="FG5" s="224"/>
      <c r="FH5" s="224"/>
      <c r="FI5" s="224"/>
      <c r="FJ5" s="224"/>
      <c r="FK5" s="224"/>
      <c r="FL5" s="224"/>
      <c r="FM5" s="224"/>
      <c r="FN5" s="224"/>
      <c r="FO5" s="224"/>
      <c r="FP5" s="224"/>
      <c r="FQ5" s="224"/>
      <c r="FR5" s="224"/>
      <c r="FS5" s="224"/>
      <c r="FT5" s="224"/>
      <c r="FU5" s="224"/>
      <c r="FV5" s="224"/>
      <c r="FW5" s="224"/>
      <c r="FX5" s="224"/>
      <c r="FY5" s="224"/>
      <c r="FZ5" s="224"/>
      <c r="GA5" s="224"/>
      <c r="GB5" s="224"/>
      <c r="GC5" s="224"/>
      <c r="GD5" s="224"/>
      <c r="GE5" s="224"/>
      <c r="GF5" s="224"/>
      <c r="GG5" s="224"/>
      <c r="GH5" s="224"/>
      <c r="GI5" s="224"/>
      <c r="GJ5" s="224"/>
      <c r="GK5" s="224"/>
      <c r="GL5" s="224"/>
      <c r="GM5" s="224"/>
      <c r="GN5" s="224"/>
      <c r="GO5" s="224"/>
      <c r="GP5" s="224"/>
      <c r="GQ5" s="224"/>
      <c r="GR5" s="224"/>
      <c r="GS5" s="224"/>
      <c r="GT5" s="224"/>
      <c r="GU5" s="224"/>
      <c r="GV5" s="224"/>
      <c r="GW5" s="224"/>
      <c r="GX5" s="224"/>
      <c r="GY5" s="224"/>
      <c r="GZ5" s="224"/>
      <c r="HA5" s="224"/>
      <c r="HB5" s="224"/>
      <c r="HC5" s="224"/>
      <c r="HD5" s="224"/>
      <c r="HE5" s="224"/>
      <c r="HF5" s="224"/>
      <c r="HG5" s="224"/>
      <c r="HH5" s="224"/>
      <c r="HI5" s="224"/>
      <c r="HJ5" s="224"/>
      <c r="HK5" s="224"/>
      <c r="HL5" s="224"/>
      <c r="HM5" s="224"/>
      <c r="HN5" s="224"/>
      <c r="HO5" s="224"/>
      <c r="HP5" s="224"/>
      <c r="HQ5" s="224"/>
      <c r="HR5" s="224"/>
      <c r="HS5" s="224"/>
      <c r="HT5" s="224"/>
      <c r="HU5" s="224"/>
      <c r="HV5" s="224"/>
      <c r="HW5" s="224"/>
      <c r="HX5" s="224"/>
      <c r="HY5" s="224"/>
      <c r="HZ5" s="224"/>
      <c r="IA5" s="224"/>
      <c r="IB5" s="224"/>
      <c r="IC5" s="224"/>
      <c r="ID5" s="224"/>
      <c r="IE5" s="224"/>
      <c r="IF5" s="224"/>
      <c r="IG5" s="224"/>
      <c r="IH5" s="224"/>
      <c r="II5" s="224"/>
      <c r="IJ5" s="224"/>
      <c r="IK5" s="224"/>
      <c r="IL5" s="224"/>
      <c r="IM5" s="224"/>
      <c r="IN5" s="224"/>
      <c r="IO5" s="224"/>
      <c r="IP5" s="224"/>
      <c r="IQ5" s="224"/>
      <c r="IR5" s="224"/>
      <c r="IS5" s="224"/>
      <c r="IT5" s="224"/>
      <c r="IU5" s="224"/>
      <c r="IV5" s="224"/>
      <c r="IW5" s="224"/>
      <c r="IX5" s="224"/>
      <c r="IY5" s="224"/>
      <c r="IZ5" s="224"/>
      <c r="JA5" s="224"/>
      <c r="JB5" s="224"/>
      <c r="JC5" s="224"/>
      <c r="JD5" s="224"/>
      <c r="JE5" s="224"/>
      <c r="JF5" s="224"/>
      <c r="JG5" s="224"/>
      <c r="JH5" s="224"/>
      <c r="JI5" s="224"/>
      <c r="JJ5" s="224"/>
      <c r="JK5" s="224"/>
      <c r="JL5" s="224"/>
      <c r="JM5" s="224"/>
      <c r="JN5" s="224"/>
      <c r="JO5" s="224"/>
      <c r="JP5" s="224"/>
      <c r="JQ5" s="224"/>
      <c r="JR5" s="224"/>
      <c r="JS5" s="224"/>
      <c r="JT5" s="224"/>
      <c r="JU5" s="224"/>
      <c r="JV5" s="224"/>
      <c r="JW5" s="224"/>
      <c r="JX5" s="224"/>
      <c r="JY5" s="224"/>
      <c r="JZ5" s="224"/>
      <c r="KA5" s="224"/>
      <c r="KB5" s="224"/>
      <c r="KC5" s="224"/>
      <c r="KD5" s="224"/>
      <c r="KE5" s="224"/>
      <c r="KF5" s="224"/>
      <c r="KG5" s="224"/>
      <c r="KH5" s="224"/>
      <c r="KI5" s="224"/>
      <c r="KJ5" s="224"/>
      <c r="KK5" s="224"/>
      <c r="KL5" s="224"/>
      <c r="KM5" s="224"/>
      <c r="KN5" s="224"/>
      <c r="KO5" s="224"/>
      <c r="KP5" s="224"/>
      <c r="KQ5" s="224"/>
      <c r="KR5" s="224"/>
      <c r="KS5" s="224"/>
      <c r="KT5" s="224"/>
      <c r="KU5" s="224"/>
      <c r="KV5" s="224"/>
      <c r="KW5" s="224"/>
      <c r="KX5" s="224"/>
      <c r="KY5" s="224"/>
      <c r="KZ5" s="224"/>
      <c r="LA5" s="224"/>
      <c r="LB5" s="224"/>
      <c r="LC5" s="224"/>
      <c r="LD5" s="224"/>
      <c r="LE5" s="224"/>
      <c r="LF5" s="224"/>
      <c r="LG5" s="224"/>
      <c r="LH5" s="224"/>
      <c r="LI5" s="224"/>
      <c r="LJ5" s="224"/>
      <c r="LK5" s="224"/>
      <c r="LL5" s="224"/>
      <c r="LM5" s="224"/>
      <c r="LN5" s="224"/>
      <c r="LO5" s="224"/>
      <c r="LP5" s="224"/>
      <c r="LQ5" s="224"/>
      <c r="LR5" s="224"/>
      <c r="LS5" s="224"/>
      <c r="LT5" s="224"/>
      <c r="LU5" s="224"/>
      <c r="LV5" s="224"/>
      <c r="LW5" s="224"/>
      <c r="LX5" s="224"/>
      <c r="LY5" s="224"/>
      <c r="LZ5" s="224"/>
      <c r="MA5" s="224"/>
      <c r="MB5" s="224"/>
      <c r="MC5" s="224"/>
      <c r="MD5" s="224"/>
      <c r="ME5" s="224"/>
      <c r="MF5" s="224"/>
      <c r="MG5" s="224"/>
      <c r="MH5" s="224"/>
      <c r="MI5" s="224"/>
      <c r="MJ5" s="224"/>
      <c r="MK5" s="224"/>
      <c r="ML5" s="224"/>
      <c r="MM5" s="224"/>
      <c r="MN5" s="224"/>
      <c r="MO5" s="224"/>
      <c r="MP5" s="224"/>
      <c r="MQ5" s="224"/>
      <c r="MR5" s="224"/>
      <c r="MS5" s="224"/>
      <c r="MT5" s="224"/>
      <c r="MU5" s="224"/>
      <c r="MV5" s="224"/>
      <c r="MW5" s="224"/>
      <c r="MX5" s="224"/>
      <c r="MY5" s="224"/>
      <c r="MZ5" s="224"/>
      <c r="NA5" s="224"/>
      <c r="NB5" s="224"/>
      <c r="NC5" s="224"/>
      <c r="ND5" s="224"/>
      <c r="NE5" s="224"/>
      <c r="NF5" s="224"/>
      <c r="NG5" s="224"/>
      <c r="NH5" s="224"/>
      <c r="NI5" s="224"/>
      <c r="NJ5" s="224"/>
      <c r="NK5" s="224"/>
      <c r="NL5" s="224"/>
      <c r="NM5" s="224"/>
      <c r="NN5" s="224"/>
      <c r="NO5" s="224"/>
      <c r="NP5" s="224"/>
      <c r="NQ5" s="224"/>
      <c r="NR5" s="224"/>
      <c r="NS5" s="224"/>
      <c r="NT5" s="224"/>
      <c r="NU5" s="224"/>
      <c r="NV5" s="224"/>
      <c r="NW5" s="224"/>
      <c r="NX5" s="224"/>
      <c r="NY5" s="224"/>
      <c r="NZ5" s="224"/>
      <c r="OA5" s="224"/>
      <c r="OB5" s="224"/>
      <c r="OC5" s="224"/>
      <c r="OD5" s="224"/>
      <c r="OE5" s="224"/>
      <c r="OF5" s="224"/>
      <c r="OG5" s="224"/>
      <c r="OH5" s="224"/>
      <c r="OI5" s="224"/>
      <c r="OJ5" s="224"/>
      <c r="OK5" s="224"/>
      <c r="OL5" s="224"/>
      <c r="OM5" s="224"/>
      <c r="ON5" s="224"/>
      <c r="OO5" s="224"/>
      <c r="OP5" s="224"/>
      <c r="OQ5" s="224"/>
      <c r="OR5" s="224"/>
      <c r="OS5" s="224"/>
      <c r="OT5" s="224"/>
      <c r="OU5" s="224"/>
      <c r="OV5" s="224"/>
      <c r="OW5" s="224"/>
      <c r="OX5" s="224"/>
      <c r="OY5" s="224"/>
      <c r="OZ5" s="224"/>
      <c r="PA5" s="224"/>
    </row>
    <row r="6" spans="2:417" x14ac:dyDescent="0.3">
      <c r="B6" s="44">
        <v>94</v>
      </c>
      <c r="C6" s="44" t="s">
        <v>742</v>
      </c>
      <c r="D6" s="45" t="s">
        <v>740</v>
      </c>
      <c r="E6" s="46">
        <v>170747.79</v>
      </c>
      <c r="F6" s="46"/>
      <c r="G6" s="46">
        <v>0</v>
      </c>
      <c r="H6" s="46">
        <v>1499.97</v>
      </c>
      <c r="I6" s="46">
        <v>399.99</v>
      </c>
      <c r="J6" s="46">
        <v>0</v>
      </c>
      <c r="K6" s="47">
        <f t="shared" si="0"/>
        <v>172647.75</v>
      </c>
      <c r="L6" s="46">
        <v>165000</v>
      </c>
      <c r="M6" s="210">
        <f t="shared" si="1"/>
        <v>1.0463499999999999</v>
      </c>
      <c r="N6"/>
      <c r="O6" s="206" t="s">
        <v>971</v>
      </c>
      <c r="P6" s="206">
        <v>733.75250000000005</v>
      </c>
      <c r="Q6" s="206">
        <v>2000</v>
      </c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</row>
    <row r="7" spans="2:417" x14ac:dyDescent="0.3">
      <c r="B7" s="44">
        <v>95</v>
      </c>
      <c r="C7" s="44" t="s">
        <v>743</v>
      </c>
      <c r="D7" s="45" t="s">
        <v>744</v>
      </c>
      <c r="E7" s="46">
        <v>281152.69</v>
      </c>
      <c r="F7" s="46"/>
      <c r="G7" s="46">
        <v>0</v>
      </c>
      <c r="H7" s="46">
        <v>449.99</v>
      </c>
      <c r="I7" s="46">
        <v>1629.97</v>
      </c>
      <c r="J7" s="46">
        <v>0</v>
      </c>
      <c r="K7" s="47">
        <f t="shared" si="0"/>
        <v>283232.64999999997</v>
      </c>
      <c r="L7" s="46">
        <v>250000</v>
      </c>
      <c r="M7" s="210">
        <f t="shared" si="1"/>
        <v>1.1329305999999999</v>
      </c>
      <c r="N7"/>
      <c r="O7" s="206" t="s">
        <v>972</v>
      </c>
      <c r="P7" s="206">
        <v>920.505</v>
      </c>
      <c r="Q7" s="206">
        <v>2000</v>
      </c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</row>
    <row r="8" spans="2:417" x14ac:dyDescent="0.3">
      <c r="B8" s="44">
        <v>103</v>
      </c>
      <c r="C8" s="44" t="s">
        <v>745</v>
      </c>
      <c r="D8" s="45" t="s">
        <v>744</v>
      </c>
      <c r="E8" s="46">
        <v>394009.12</v>
      </c>
      <c r="F8" s="46"/>
      <c r="G8" s="46">
        <v>0</v>
      </c>
      <c r="H8" s="46">
        <v>3829.92</v>
      </c>
      <c r="I8" s="46">
        <v>1929.95</v>
      </c>
      <c r="J8" s="46">
        <v>0</v>
      </c>
      <c r="K8" s="47">
        <f t="shared" si="0"/>
        <v>399768.99</v>
      </c>
      <c r="L8" s="46">
        <v>350000</v>
      </c>
      <c r="M8" s="210">
        <f t="shared" si="1"/>
        <v>1.1421971142857144</v>
      </c>
      <c r="N8"/>
      <c r="O8" s="206" t="s">
        <v>973</v>
      </c>
      <c r="P8" s="206">
        <v>1099.365</v>
      </c>
      <c r="Q8" s="206">
        <v>2000</v>
      </c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</row>
    <row r="9" spans="2:417" x14ac:dyDescent="0.3">
      <c r="B9" s="44">
        <v>104</v>
      </c>
      <c r="C9" s="44" t="s">
        <v>746</v>
      </c>
      <c r="D9" s="45" t="s">
        <v>744</v>
      </c>
      <c r="E9" s="46">
        <v>277642.33</v>
      </c>
      <c r="F9" s="46"/>
      <c r="G9" s="46">
        <v>0</v>
      </c>
      <c r="H9" s="46">
        <v>0</v>
      </c>
      <c r="I9" s="46">
        <v>0</v>
      </c>
      <c r="J9" s="46">
        <v>0</v>
      </c>
      <c r="K9" s="47">
        <f t="shared" si="0"/>
        <v>277642.33</v>
      </c>
      <c r="L9" s="46">
        <v>295000</v>
      </c>
      <c r="M9" s="210">
        <f t="shared" si="1"/>
        <v>0.94116044067796611</v>
      </c>
      <c r="N9"/>
      <c r="O9" s="206" t="s">
        <v>974</v>
      </c>
      <c r="P9" s="206">
        <v>902.33749999999998</v>
      </c>
      <c r="Q9" s="206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</row>
    <row r="10" spans="2:417" x14ac:dyDescent="0.3">
      <c r="B10" s="44">
        <v>105</v>
      </c>
      <c r="C10" s="44" t="s">
        <v>747</v>
      </c>
      <c r="D10" s="45" t="s">
        <v>744</v>
      </c>
      <c r="E10" s="46">
        <v>331189</v>
      </c>
      <c r="F10" s="46"/>
      <c r="G10" s="46">
        <v>0</v>
      </c>
      <c r="H10" s="46">
        <v>609.98</v>
      </c>
      <c r="I10" s="46">
        <v>0</v>
      </c>
      <c r="J10" s="46">
        <v>0</v>
      </c>
      <c r="K10" s="47">
        <f t="shared" si="0"/>
        <v>331798.98</v>
      </c>
      <c r="L10" s="46">
        <v>370000</v>
      </c>
      <c r="M10" s="210">
        <f t="shared" si="1"/>
        <v>0.89675399999999994</v>
      </c>
      <c r="N10"/>
      <c r="O10" s="206" t="s">
        <v>975</v>
      </c>
      <c r="P10" s="206">
        <v>995.39750000000004</v>
      </c>
      <c r="Q10" s="206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</row>
    <row r="11" spans="2:417" x14ac:dyDescent="0.3">
      <c r="B11" s="44">
        <v>116</v>
      </c>
      <c r="C11" s="44" t="s">
        <v>748</v>
      </c>
      <c r="D11" s="45" t="s">
        <v>740</v>
      </c>
      <c r="E11" s="46">
        <v>430629.18</v>
      </c>
      <c r="F11" s="46"/>
      <c r="G11" s="46">
        <v>0</v>
      </c>
      <c r="H11" s="46">
        <v>7749.819999999997</v>
      </c>
      <c r="I11" s="46">
        <v>1799.98</v>
      </c>
      <c r="J11" s="46">
        <v>0</v>
      </c>
      <c r="K11" s="47">
        <f t="shared" si="0"/>
        <v>440178.98</v>
      </c>
      <c r="L11" s="46">
        <v>400000</v>
      </c>
      <c r="M11" s="210">
        <f t="shared" si="1"/>
        <v>1.1004474499999999</v>
      </c>
      <c r="N11"/>
      <c r="O11" s="206" t="s">
        <v>976</v>
      </c>
      <c r="P11" s="206">
        <v>1430.5825</v>
      </c>
      <c r="Q11" s="206">
        <v>2000</v>
      </c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</row>
    <row r="12" spans="2:417" x14ac:dyDescent="0.3">
      <c r="B12" s="44">
        <v>123</v>
      </c>
      <c r="C12" s="44" t="s">
        <v>749</v>
      </c>
      <c r="D12" s="45" t="s">
        <v>740</v>
      </c>
      <c r="E12" s="46">
        <v>272157.63</v>
      </c>
      <c r="F12" s="46"/>
      <c r="G12" s="46">
        <v>0</v>
      </c>
      <c r="H12" s="46">
        <v>399.98</v>
      </c>
      <c r="I12" s="46">
        <v>0</v>
      </c>
      <c r="J12" s="46">
        <v>0</v>
      </c>
      <c r="K12" s="47">
        <f t="shared" si="0"/>
        <v>272557.61</v>
      </c>
      <c r="L12" s="46">
        <v>245000</v>
      </c>
      <c r="M12" s="210">
        <f t="shared" si="1"/>
        <v>1.1124800408163265</v>
      </c>
      <c r="N12"/>
      <c r="O12" s="206" t="s">
        <v>977</v>
      </c>
      <c r="P12" s="206">
        <v>1158.3699999999999</v>
      </c>
      <c r="Q12" s="206">
        <v>2000</v>
      </c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</row>
    <row r="13" spans="2:417" x14ac:dyDescent="0.3">
      <c r="B13" s="44">
        <v>124</v>
      </c>
      <c r="C13" s="44" t="s">
        <v>750</v>
      </c>
      <c r="D13" s="45" t="s">
        <v>740</v>
      </c>
      <c r="E13" s="46">
        <v>238974.86</v>
      </c>
      <c r="F13" s="46"/>
      <c r="G13" s="46">
        <v>0</v>
      </c>
      <c r="H13" s="46">
        <v>0</v>
      </c>
      <c r="I13" s="46">
        <v>0</v>
      </c>
      <c r="J13" s="46">
        <v>0</v>
      </c>
      <c r="K13" s="47">
        <f t="shared" si="0"/>
        <v>238974.86</v>
      </c>
      <c r="L13" s="46">
        <v>220000</v>
      </c>
      <c r="M13" s="210">
        <f t="shared" si="1"/>
        <v>1.0862493636363635</v>
      </c>
      <c r="N13"/>
      <c r="O13" s="206" t="s">
        <v>1144</v>
      </c>
      <c r="P13" s="206">
        <v>955.9</v>
      </c>
      <c r="Q13" s="206">
        <v>2000</v>
      </c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</row>
    <row r="14" spans="2:417" x14ac:dyDescent="0.3">
      <c r="B14" s="44">
        <v>125</v>
      </c>
      <c r="C14" s="44" t="s">
        <v>751</v>
      </c>
      <c r="D14" s="45" t="s">
        <v>740</v>
      </c>
      <c r="E14" s="46">
        <v>271876.78999999998</v>
      </c>
      <c r="F14" s="46"/>
      <c r="G14" s="46">
        <v>0</v>
      </c>
      <c r="H14" s="46">
        <v>0</v>
      </c>
      <c r="I14" s="46">
        <v>0</v>
      </c>
      <c r="J14" s="46">
        <v>0</v>
      </c>
      <c r="K14" s="47">
        <f t="shared" si="0"/>
        <v>271876.78999999998</v>
      </c>
      <c r="L14" s="46">
        <v>215000</v>
      </c>
      <c r="M14" s="210">
        <f t="shared" si="1"/>
        <v>1.2645432093023254</v>
      </c>
      <c r="N14"/>
      <c r="O14" s="206" t="s">
        <v>978</v>
      </c>
      <c r="P14" s="206">
        <v>883.6</v>
      </c>
      <c r="Q14" s="206">
        <v>2000</v>
      </c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</row>
    <row r="15" spans="2:417" x14ac:dyDescent="0.3">
      <c r="B15" s="44">
        <v>126</v>
      </c>
      <c r="C15" s="44" t="s">
        <v>752</v>
      </c>
      <c r="D15" s="45" t="s">
        <v>744</v>
      </c>
      <c r="E15" s="46">
        <v>431966.2</v>
      </c>
      <c r="F15" s="46"/>
      <c r="G15" s="46">
        <v>0</v>
      </c>
      <c r="H15" s="46">
        <v>429.99</v>
      </c>
      <c r="I15" s="46">
        <v>699.98</v>
      </c>
      <c r="J15" s="46">
        <v>0</v>
      </c>
      <c r="K15" s="47">
        <f t="shared" si="0"/>
        <v>433096.17</v>
      </c>
      <c r="L15" s="46">
        <v>385000</v>
      </c>
      <c r="M15" s="210">
        <f t="shared" si="1"/>
        <v>1.1249251168831169</v>
      </c>
      <c r="N15"/>
      <c r="O15" s="206" t="s">
        <v>979</v>
      </c>
      <c r="P15" s="206">
        <v>1299.2874999999999</v>
      </c>
      <c r="Q15" s="206">
        <v>2000</v>
      </c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</row>
    <row r="16" spans="2:417" x14ac:dyDescent="0.3">
      <c r="B16" s="44">
        <v>127</v>
      </c>
      <c r="C16" s="44" t="s">
        <v>753</v>
      </c>
      <c r="D16" s="45" t="s">
        <v>744</v>
      </c>
      <c r="E16" s="46">
        <v>160432.44</v>
      </c>
      <c r="F16" s="46"/>
      <c r="G16" s="46">
        <v>0</v>
      </c>
      <c r="H16" s="46">
        <v>0</v>
      </c>
      <c r="I16" s="46">
        <v>299.99</v>
      </c>
      <c r="J16" s="46">
        <v>0</v>
      </c>
      <c r="K16" s="47">
        <f t="shared" si="0"/>
        <v>160732.43</v>
      </c>
      <c r="L16" s="46">
        <v>160000</v>
      </c>
      <c r="M16" s="210">
        <f t="shared" si="1"/>
        <v>1.0045776874999999</v>
      </c>
      <c r="N16"/>
      <c r="O16" s="206" t="s">
        <v>980</v>
      </c>
      <c r="P16" s="206">
        <v>642.92999999999995</v>
      </c>
      <c r="Q16" s="206">
        <v>2000</v>
      </c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</row>
    <row r="17" spans="2:417" x14ac:dyDescent="0.3">
      <c r="B17" s="44">
        <v>139</v>
      </c>
      <c r="C17" s="44" t="s">
        <v>754</v>
      </c>
      <c r="D17" s="45" t="s">
        <v>740</v>
      </c>
      <c r="E17" s="46">
        <v>578590.97</v>
      </c>
      <c r="F17" s="46"/>
      <c r="G17" s="46">
        <v>0</v>
      </c>
      <c r="H17" s="46">
        <v>1899.97</v>
      </c>
      <c r="I17" s="46">
        <v>0</v>
      </c>
      <c r="J17" s="46">
        <v>0</v>
      </c>
      <c r="K17" s="47">
        <f t="shared" si="0"/>
        <v>580490.93999999994</v>
      </c>
      <c r="L17" s="46">
        <v>450000</v>
      </c>
      <c r="M17" s="210">
        <f t="shared" si="1"/>
        <v>1.2899798666666666</v>
      </c>
      <c r="N17"/>
      <c r="O17" s="206" t="s">
        <v>981</v>
      </c>
      <c r="P17" s="206">
        <v>1306.105</v>
      </c>
      <c r="Q17" s="206">
        <v>2000</v>
      </c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</row>
    <row r="18" spans="2:417" x14ac:dyDescent="0.3">
      <c r="B18" s="44">
        <v>144</v>
      </c>
      <c r="C18" s="44" t="s">
        <v>755</v>
      </c>
      <c r="D18" s="45" t="s">
        <v>740</v>
      </c>
      <c r="E18" s="46">
        <v>261363.12</v>
      </c>
      <c r="F18" s="46"/>
      <c r="G18" s="46">
        <v>0</v>
      </c>
      <c r="H18" s="46">
        <v>329.99</v>
      </c>
      <c r="I18" s="46">
        <v>0</v>
      </c>
      <c r="J18" s="46">
        <v>0</v>
      </c>
      <c r="K18" s="47">
        <f t="shared" si="0"/>
        <v>261693.11</v>
      </c>
      <c r="L18" s="46">
        <v>220000</v>
      </c>
      <c r="M18" s="210">
        <f t="shared" si="1"/>
        <v>1.1895141363636363</v>
      </c>
      <c r="N18"/>
      <c r="O18" s="206" t="s">
        <v>982</v>
      </c>
      <c r="P18" s="206">
        <v>915.92499999999995</v>
      </c>
      <c r="Q18" s="206">
        <v>2000</v>
      </c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</row>
    <row r="19" spans="2:417" x14ac:dyDescent="0.3">
      <c r="B19" s="44">
        <v>154</v>
      </c>
      <c r="C19" s="44" t="s">
        <v>756</v>
      </c>
      <c r="D19" s="45" t="s">
        <v>744</v>
      </c>
      <c r="E19" s="46">
        <v>307036.65000000002</v>
      </c>
      <c r="F19" s="46"/>
      <c r="G19" s="46">
        <v>0</v>
      </c>
      <c r="H19" s="46">
        <v>0</v>
      </c>
      <c r="I19" s="46">
        <v>0</v>
      </c>
      <c r="J19" s="46">
        <v>0</v>
      </c>
      <c r="K19" s="47">
        <f t="shared" si="0"/>
        <v>307036.65000000002</v>
      </c>
      <c r="L19" s="46">
        <v>235000</v>
      </c>
      <c r="M19" s="210">
        <f t="shared" si="1"/>
        <v>1.3065389361702129</v>
      </c>
      <c r="N19"/>
      <c r="O19" s="206" t="s">
        <v>1145</v>
      </c>
      <c r="P19" s="206">
        <v>1074.6275000000001</v>
      </c>
      <c r="Q19" s="206">
        <v>2000</v>
      </c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</row>
    <row r="20" spans="2:417" x14ac:dyDescent="0.3">
      <c r="B20" s="44">
        <v>156</v>
      </c>
      <c r="C20" s="44" t="s">
        <v>757</v>
      </c>
      <c r="D20" s="45" t="s">
        <v>740</v>
      </c>
      <c r="E20" s="46">
        <v>424284.74</v>
      </c>
      <c r="F20" s="46">
        <v>4899.95</v>
      </c>
      <c r="G20" s="46">
        <v>899.99</v>
      </c>
      <c r="H20" s="46">
        <v>199.99</v>
      </c>
      <c r="I20" s="46">
        <v>4489.8899999999994</v>
      </c>
      <c r="J20" s="46">
        <v>0</v>
      </c>
      <c r="K20" s="47">
        <f t="shared" si="0"/>
        <v>434774.56</v>
      </c>
      <c r="L20" s="46">
        <v>380000</v>
      </c>
      <c r="M20" s="210">
        <f t="shared" si="1"/>
        <v>1.1441435789473684</v>
      </c>
      <c r="N20"/>
      <c r="O20" s="206" t="s">
        <v>984</v>
      </c>
      <c r="P20" s="206">
        <v>1304.3225</v>
      </c>
      <c r="Q20" s="206">
        <v>2000</v>
      </c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</row>
    <row r="21" spans="2:417" x14ac:dyDescent="0.3">
      <c r="B21" s="44">
        <v>157</v>
      </c>
      <c r="C21" s="44" t="s">
        <v>758</v>
      </c>
      <c r="D21" s="45" t="s">
        <v>744</v>
      </c>
      <c r="E21" s="46">
        <v>344297.6</v>
      </c>
      <c r="F21" s="46"/>
      <c r="G21" s="46">
        <v>0</v>
      </c>
      <c r="H21" s="46">
        <v>1489.96</v>
      </c>
      <c r="I21" s="46">
        <v>799.98</v>
      </c>
      <c r="J21" s="46">
        <v>0</v>
      </c>
      <c r="K21" s="47">
        <f t="shared" si="0"/>
        <v>346587.54</v>
      </c>
      <c r="L21" s="46">
        <v>250000</v>
      </c>
      <c r="M21" s="210">
        <f t="shared" si="1"/>
        <v>1.3863501599999999</v>
      </c>
      <c r="N21"/>
      <c r="O21" s="206" t="s">
        <v>985</v>
      </c>
      <c r="P21" s="206">
        <v>1386.35</v>
      </c>
      <c r="Q21" s="206">
        <v>2000</v>
      </c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</row>
    <row r="22" spans="2:417" x14ac:dyDescent="0.3">
      <c r="B22" s="44">
        <v>161</v>
      </c>
      <c r="C22" s="44" t="s">
        <v>759</v>
      </c>
      <c r="D22" s="45" t="s">
        <v>744</v>
      </c>
      <c r="E22" s="46">
        <v>273342.84000000003</v>
      </c>
      <c r="F22" s="46"/>
      <c r="G22" s="46">
        <v>0</v>
      </c>
      <c r="H22" s="46">
        <v>1079.97</v>
      </c>
      <c r="I22" s="46">
        <v>0</v>
      </c>
      <c r="J22" s="46">
        <v>0</v>
      </c>
      <c r="K22" s="47">
        <f t="shared" si="0"/>
        <v>274422.81</v>
      </c>
      <c r="L22" s="46">
        <v>210000</v>
      </c>
      <c r="M22" s="210">
        <f t="shared" si="1"/>
        <v>1.3067752857142858</v>
      </c>
      <c r="N22"/>
      <c r="O22" s="206" t="s">
        <v>986</v>
      </c>
      <c r="P22" s="206">
        <v>1029.085</v>
      </c>
      <c r="Q22" s="206">
        <v>2000</v>
      </c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</row>
    <row r="23" spans="2:417" x14ac:dyDescent="0.3">
      <c r="B23" s="44">
        <v>166</v>
      </c>
      <c r="C23" s="44" t="s">
        <v>760</v>
      </c>
      <c r="D23" s="45" t="s">
        <v>744</v>
      </c>
      <c r="E23" s="46">
        <v>307826.75</v>
      </c>
      <c r="F23" s="46"/>
      <c r="G23" s="46">
        <v>0</v>
      </c>
      <c r="H23" s="46">
        <v>399.99</v>
      </c>
      <c r="I23" s="46">
        <v>0</v>
      </c>
      <c r="J23" s="46">
        <v>0</v>
      </c>
      <c r="K23" s="47">
        <f t="shared" si="0"/>
        <v>308226.74</v>
      </c>
      <c r="L23" s="46">
        <v>240000</v>
      </c>
      <c r="M23" s="210">
        <f t="shared" si="1"/>
        <v>1.2842780833333334</v>
      </c>
      <c r="N23"/>
      <c r="O23" s="206" t="s">
        <v>987</v>
      </c>
      <c r="P23" s="206">
        <v>1155.8499999999999</v>
      </c>
      <c r="Q23" s="206">
        <v>2000</v>
      </c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</row>
    <row r="24" spans="2:417" x14ac:dyDescent="0.3">
      <c r="B24" s="44">
        <v>169</v>
      </c>
      <c r="C24" s="44" t="s">
        <v>761</v>
      </c>
      <c r="D24" s="45" t="s">
        <v>744</v>
      </c>
      <c r="E24" s="46">
        <v>486952.11</v>
      </c>
      <c r="F24" s="46"/>
      <c r="G24" s="46">
        <v>0</v>
      </c>
      <c r="H24" s="46">
        <v>1499.98</v>
      </c>
      <c r="I24" s="46">
        <v>0</v>
      </c>
      <c r="J24" s="46">
        <v>0</v>
      </c>
      <c r="K24" s="47">
        <f t="shared" si="0"/>
        <v>488452.08999999997</v>
      </c>
      <c r="L24" s="46">
        <v>370000</v>
      </c>
      <c r="M24" s="210">
        <f t="shared" si="1"/>
        <v>1.3201407837837837</v>
      </c>
      <c r="N24"/>
      <c r="O24" s="206" t="s">
        <v>988</v>
      </c>
      <c r="P24" s="206">
        <v>1465.3575000000001</v>
      </c>
      <c r="Q24" s="206">
        <v>2000</v>
      </c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</row>
    <row r="25" spans="2:417" x14ac:dyDescent="0.3">
      <c r="B25" s="44">
        <v>173</v>
      </c>
      <c r="C25" s="44" t="s">
        <v>762</v>
      </c>
      <c r="D25" s="45" t="s">
        <v>740</v>
      </c>
      <c r="E25" s="46">
        <v>306376.78000000003</v>
      </c>
      <c r="F25" s="46"/>
      <c r="G25" s="46">
        <v>0</v>
      </c>
      <c r="H25" s="46">
        <v>429.99</v>
      </c>
      <c r="I25" s="46">
        <v>999.97</v>
      </c>
      <c r="J25" s="46">
        <v>0</v>
      </c>
      <c r="K25" s="47">
        <f t="shared" si="0"/>
        <v>307806.74</v>
      </c>
      <c r="L25" s="46">
        <v>280000</v>
      </c>
      <c r="M25" s="210">
        <f t="shared" si="1"/>
        <v>1.0993097857142857</v>
      </c>
      <c r="N25"/>
      <c r="O25" s="206" t="s">
        <v>989</v>
      </c>
      <c r="P25" s="206">
        <v>1077.3225</v>
      </c>
      <c r="Q25" s="206">
        <v>2000</v>
      </c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</row>
    <row r="26" spans="2:417" x14ac:dyDescent="0.3">
      <c r="B26" s="44">
        <v>175</v>
      </c>
      <c r="C26" s="44" t="s">
        <v>763</v>
      </c>
      <c r="D26" s="45" t="s">
        <v>744</v>
      </c>
      <c r="E26" s="46">
        <v>391225.24</v>
      </c>
      <c r="F26" s="46"/>
      <c r="G26" s="46">
        <v>0</v>
      </c>
      <c r="H26" s="46">
        <v>199.99</v>
      </c>
      <c r="I26" s="46">
        <v>0</v>
      </c>
      <c r="J26" s="46">
        <v>0</v>
      </c>
      <c r="K26" s="47">
        <f t="shared" si="0"/>
        <v>391425.23</v>
      </c>
      <c r="L26" s="46">
        <v>350000</v>
      </c>
      <c r="M26" s="210">
        <f t="shared" si="1"/>
        <v>1.1183577999999998</v>
      </c>
      <c r="N26"/>
      <c r="O26" s="206" t="s">
        <v>990</v>
      </c>
      <c r="P26" s="206">
        <v>1272.1324999999999</v>
      </c>
      <c r="Q26" s="206">
        <v>2000</v>
      </c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</row>
    <row r="27" spans="2:417" x14ac:dyDescent="0.3">
      <c r="B27" s="44">
        <v>179</v>
      </c>
      <c r="C27" s="44" t="s">
        <v>764</v>
      </c>
      <c r="D27" s="45" t="s">
        <v>744</v>
      </c>
      <c r="E27" s="46">
        <v>456785.1</v>
      </c>
      <c r="F27" s="46"/>
      <c r="G27" s="46">
        <v>0</v>
      </c>
      <c r="H27" s="46">
        <v>0</v>
      </c>
      <c r="I27" s="46">
        <v>0</v>
      </c>
      <c r="J27" s="46">
        <v>0</v>
      </c>
      <c r="K27" s="47">
        <f t="shared" si="0"/>
        <v>456785.1</v>
      </c>
      <c r="L27" s="46">
        <v>400000</v>
      </c>
      <c r="M27" s="210">
        <f t="shared" si="1"/>
        <v>1.14196275</v>
      </c>
      <c r="N27"/>
      <c r="O27" s="206" t="s">
        <v>991</v>
      </c>
      <c r="P27" s="206">
        <v>1027.7674999999999</v>
      </c>
      <c r="Q27" s="206">
        <v>2000</v>
      </c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</row>
    <row r="28" spans="2:417" x14ac:dyDescent="0.3">
      <c r="B28" s="49">
        <v>181</v>
      </c>
      <c r="C28" s="44" t="s">
        <v>765</v>
      </c>
      <c r="D28" s="45" t="s">
        <v>740</v>
      </c>
      <c r="E28" s="46">
        <v>916632.99</v>
      </c>
      <c r="F28" s="46"/>
      <c r="G28" s="46">
        <v>0</v>
      </c>
      <c r="H28" s="46">
        <v>649.99</v>
      </c>
      <c r="I28" s="46">
        <v>0</v>
      </c>
      <c r="J28" s="46">
        <v>0</v>
      </c>
      <c r="K28" s="47">
        <f t="shared" si="0"/>
        <v>917282.98</v>
      </c>
      <c r="L28" s="46">
        <v>820000</v>
      </c>
      <c r="M28" s="210">
        <f t="shared" si="1"/>
        <v>1.1186377804878049</v>
      </c>
      <c r="N28"/>
      <c r="O28" s="206" t="s">
        <v>992</v>
      </c>
      <c r="P28" s="206">
        <v>2063.8874999999998</v>
      </c>
      <c r="Q28" s="206">
        <v>2000</v>
      </c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</row>
    <row r="29" spans="2:417" x14ac:dyDescent="0.3">
      <c r="B29" s="49">
        <v>183</v>
      </c>
      <c r="C29" s="44" t="s">
        <v>766</v>
      </c>
      <c r="D29" s="45" t="s">
        <v>744</v>
      </c>
      <c r="E29" s="46">
        <v>317009.40000000002</v>
      </c>
      <c r="F29" s="46"/>
      <c r="G29" s="46">
        <v>0</v>
      </c>
      <c r="H29" s="46">
        <v>549.99</v>
      </c>
      <c r="I29" s="46">
        <v>0</v>
      </c>
      <c r="J29" s="46">
        <v>0</v>
      </c>
      <c r="K29" s="47">
        <f t="shared" si="0"/>
        <v>317559.39</v>
      </c>
      <c r="L29" s="46">
        <v>360000</v>
      </c>
      <c r="M29" s="210">
        <f t="shared" si="1"/>
        <v>0.88210941666666676</v>
      </c>
      <c r="N29"/>
      <c r="O29" s="206" t="s">
        <v>1146</v>
      </c>
      <c r="P29" s="206">
        <v>714.50750000000005</v>
      </c>
      <c r="Q29" s="206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</row>
    <row r="30" spans="2:417" x14ac:dyDescent="0.3">
      <c r="B30" s="49">
        <v>185</v>
      </c>
      <c r="C30" s="44" t="s">
        <v>767</v>
      </c>
      <c r="D30" s="45" t="s">
        <v>744</v>
      </c>
      <c r="E30" s="46">
        <v>422225.71</v>
      </c>
      <c r="F30" s="46"/>
      <c r="G30" s="46">
        <v>0</v>
      </c>
      <c r="H30" s="46">
        <v>199.99</v>
      </c>
      <c r="I30" s="46">
        <v>0</v>
      </c>
      <c r="J30" s="46">
        <v>0</v>
      </c>
      <c r="K30" s="47">
        <f t="shared" si="0"/>
        <v>422425.7</v>
      </c>
      <c r="L30" s="46">
        <v>400000</v>
      </c>
      <c r="M30" s="210">
        <f t="shared" si="1"/>
        <v>1.0560642499999999</v>
      </c>
      <c r="N30"/>
      <c r="O30" s="206" t="s">
        <v>993</v>
      </c>
      <c r="P30" s="206">
        <v>950.45749999999998</v>
      </c>
      <c r="Q30" s="206">
        <v>2000</v>
      </c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</row>
    <row r="31" spans="2:417" x14ac:dyDescent="0.3">
      <c r="B31" s="44">
        <v>200</v>
      </c>
      <c r="C31" s="44" t="s">
        <v>768</v>
      </c>
      <c r="D31" s="45" t="s">
        <v>740</v>
      </c>
      <c r="E31" s="46">
        <v>298855.12</v>
      </c>
      <c r="F31" s="46"/>
      <c r="G31" s="46">
        <v>0</v>
      </c>
      <c r="H31" s="46">
        <v>0</v>
      </c>
      <c r="I31" s="46">
        <v>0</v>
      </c>
      <c r="J31" s="46">
        <v>0</v>
      </c>
      <c r="K31" s="47">
        <f t="shared" si="0"/>
        <v>298855.12</v>
      </c>
      <c r="L31" s="46">
        <v>260000</v>
      </c>
      <c r="M31" s="210">
        <f t="shared" si="1"/>
        <v>1.1494427692307692</v>
      </c>
      <c r="N31"/>
      <c r="O31" s="206" t="s">
        <v>994</v>
      </c>
      <c r="P31" s="206">
        <v>971.28</v>
      </c>
      <c r="Q31" s="206">
        <v>2000</v>
      </c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</row>
    <row r="32" spans="2:417" x14ac:dyDescent="0.3">
      <c r="B32" s="50" t="s">
        <v>8</v>
      </c>
      <c r="C32" s="51"/>
      <c r="D32" s="52"/>
      <c r="E32" s="53">
        <f t="shared" ref="E32:L32" si="2">SUM(E4:E31)</f>
        <v>10786054.060000002</v>
      </c>
      <c r="F32" s="53">
        <f t="shared" si="2"/>
        <v>4899.95</v>
      </c>
      <c r="G32" s="53">
        <f t="shared" si="2"/>
        <v>899.99</v>
      </c>
      <c r="H32" s="53">
        <f t="shared" si="2"/>
        <v>24099.44000000001</v>
      </c>
      <c r="I32" s="53">
        <f t="shared" si="2"/>
        <v>13049.699999999997</v>
      </c>
      <c r="J32" s="53">
        <f t="shared" si="2"/>
        <v>0</v>
      </c>
      <c r="K32" s="53">
        <f t="shared" si="2"/>
        <v>10829003.139999999</v>
      </c>
      <c r="L32" s="53">
        <f t="shared" si="2"/>
        <v>9495000</v>
      </c>
      <c r="M32" s="54">
        <f t="shared" si="1"/>
        <v>1.1404953280674037</v>
      </c>
      <c r="O32" s="206" t="s">
        <v>1147</v>
      </c>
      <c r="P32" s="206">
        <v>35194.26</v>
      </c>
      <c r="Q32" s="206">
        <v>2000</v>
      </c>
    </row>
    <row r="33" spans="3:3" x14ac:dyDescent="0.3">
      <c r="C33" s="44"/>
    </row>
    <row r="34" spans="3:3" x14ac:dyDescent="0.3">
      <c r="C34" s="44"/>
    </row>
  </sheetData>
  <autoFilter ref="B3:PA32" xr:uid="{D20636EF-7271-43AF-9D72-089937D61262}"/>
  <conditionalFormatting sqref="M4:M27 M31:M32">
    <cfRule type="cellIs" dxfId="2" priority="3" operator="greaterThan">
      <formula>0.999999999999999</formula>
    </cfRule>
  </conditionalFormatting>
  <conditionalFormatting sqref="M28:M29">
    <cfRule type="cellIs" dxfId="1" priority="2" operator="greaterThan">
      <formula>0.999999999999999</formula>
    </cfRule>
  </conditionalFormatting>
  <conditionalFormatting sqref="M30">
    <cfRule type="cellIs" dxfId="0" priority="1" operator="greaterThan">
      <formula>0.999999999999999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2CC29E-B374-4A2C-ACD2-028EF5EA4F14}">
  <sheetPr codeName="Sheet6"/>
  <dimension ref="A1:I20"/>
  <sheetViews>
    <sheetView workbookViewId="0">
      <selection sqref="A1:XFD1048576"/>
    </sheetView>
  </sheetViews>
  <sheetFormatPr defaultColWidth="9.109375" defaultRowHeight="14.4" x14ac:dyDescent="0.3"/>
  <cols>
    <col min="1" max="1" width="4.5546875" style="111" bestFit="1" customWidth="1"/>
    <col min="2" max="2" width="7.109375" style="111" bestFit="1" customWidth="1"/>
    <col min="3" max="3" width="7.6640625" style="111" bestFit="1" customWidth="1"/>
    <col min="4" max="4" width="33.33203125" style="111" bestFit="1" customWidth="1"/>
    <col min="5" max="5" width="19.88671875" style="111" bestFit="1" customWidth="1"/>
    <col min="6" max="6" width="14" style="111" bestFit="1" customWidth="1"/>
    <col min="7" max="7" width="10.6640625" style="111" bestFit="1" customWidth="1"/>
    <col min="8" max="8" width="5.6640625" style="111" bestFit="1" customWidth="1"/>
    <col min="9" max="9" width="8.33203125" style="111" bestFit="1" customWidth="1"/>
    <col min="10" max="16384" width="9.109375" style="111"/>
  </cols>
  <sheetData>
    <row r="1" spans="1:9" x14ac:dyDescent="0.3">
      <c r="A1" s="109" t="s">
        <v>0</v>
      </c>
      <c r="B1" s="109" t="s">
        <v>1</v>
      </c>
      <c r="C1" s="109"/>
      <c r="D1" s="109" t="s">
        <v>866</v>
      </c>
      <c r="E1" s="109" t="s">
        <v>3</v>
      </c>
      <c r="F1" s="109" t="s">
        <v>4</v>
      </c>
      <c r="G1" s="109" t="s">
        <v>5</v>
      </c>
      <c r="H1" s="109" t="s">
        <v>867</v>
      </c>
      <c r="I1" s="110" t="s">
        <v>868</v>
      </c>
    </row>
    <row r="2" spans="1:9" x14ac:dyDescent="0.3">
      <c r="A2" s="112">
        <v>95</v>
      </c>
      <c r="B2" s="112">
        <v>56</v>
      </c>
      <c r="C2" s="113" t="s">
        <v>117</v>
      </c>
      <c r="D2" s="114" t="s">
        <v>118</v>
      </c>
      <c r="E2" s="115" t="s">
        <v>25</v>
      </c>
      <c r="F2" s="116" t="s">
        <v>119</v>
      </c>
      <c r="G2" s="117">
        <v>43165</v>
      </c>
      <c r="H2" s="116" t="s">
        <v>27</v>
      </c>
      <c r="I2" s="118">
        <v>70</v>
      </c>
    </row>
    <row r="3" spans="1:9" x14ac:dyDescent="0.3">
      <c r="A3" s="112">
        <v>95</v>
      </c>
      <c r="B3" s="112">
        <v>59</v>
      </c>
      <c r="C3" s="113" t="s">
        <v>120</v>
      </c>
      <c r="D3" s="114" t="s">
        <v>121</v>
      </c>
      <c r="E3" s="115" t="s">
        <v>25</v>
      </c>
      <c r="F3" s="116" t="s">
        <v>122</v>
      </c>
      <c r="G3" s="117">
        <v>43213</v>
      </c>
      <c r="H3" s="116" t="s">
        <v>27</v>
      </c>
      <c r="I3" s="118">
        <v>70</v>
      </c>
    </row>
    <row r="4" spans="1:9" x14ac:dyDescent="0.3">
      <c r="A4" s="112">
        <v>95</v>
      </c>
      <c r="B4" s="112">
        <v>80</v>
      </c>
      <c r="C4" s="113" t="s">
        <v>123</v>
      </c>
      <c r="D4" s="114" t="s">
        <v>124</v>
      </c>
      <c r="E4" s="115" t="s">
        <v>30</v>
      </c>
      <c r="F4" s="116" t="s">
        <v>125</v>
      </c>
      <c r="G4" s="117">
        <v>44064</v>
      </c>
      <c r="H4" s="116" t="s">
        <v>27</v>
      </c>
      <c r="I4" s="118">
        <v>70</v>
      </c>
    </row>
    <row r="5" spans="1:9" x14ac:dyDescent="0.3">
      <c r="A5" s="112">
        <v>95</v>
      </c>
      <c r="B5" s="112">
        <v>84</v>
      </c>
      <c r="C5" s="113" t="s">
        <v>129</v>
      </c>
      <c r="D5" s="114" t="s">
        <v>130</v>
      </c>
      <c r="E5" s="115" t="s">
        <v>48</v>
      </c>
      <c r="F5" s="116" t="s">
        <v>131</v>
      </c>
      <c r="G5" s="117">
        <v>43475</v>
      </c>
      <c r="H5" s="116" t="s">
        <v>27</v>
      </c>
      <c r="I5" s="118">
        <v>70</v>
      </c>
    </row>
    <row r="6" spans="1:9" x14ac:dyDescent="0.3">
      <c r="A6" s="112">
        <v>103</v>
      </c>
      <c r="B6" s="112">
        <v>185</v>
      </c>
      <c r="C6" s="113" t="s">
        <v>141</v>
      </c>
      <c r="D6" s="114" t="s">
        <v>142</v>
      </c>
      <c r="E6" s="115" t="s">
        <v>25</v>
      </c>
      <c r="F6" s="116" t="s">
        <v>143</v>
      </c>
      <c r="G6" s="117">
        <v>43782</v>
      </c>
      <c r="H6" s="116" t="s">
        <v>27</v>
      </c>
      <c r="I6" s="118">
        <v>70</v>
      </c>
    </row>
    <row r="7" spans="1:9" x14ac:dyDescent="0.3">
      <c r="A7" s="112">
        <v>103</v>
      </c>
      <c r="B7" s="112">
        <v>187</v>
      </c>
      <c r="C7" s="113" t="s">
        <v>144</v>
      </c>
      <c r="D7" s="114" t="s">
        <v>145</v>
      </c>
      <c r="E7" s="115" t="s">
        <v>25</v>
      </c>
      <c r="F7" s="116" t="s">
        <v>146</v>
      </c>
      <c r="G7" s="117">
        <v>43815</v>
      </c>
      <c r="H7" s="116" t="s">
        <v>27</v>
      </c>
      <c r="I7" s="118">
        <v>70</v>
      </c>
    </row>
    <row r="8" spans="1:9" x14ac:dyDescent="0.3">
      <c r="A8" s="112">
        <v>103</v>
      </c>
      <c r="B8" s="112">
        <v>199</v>
      </c>
      <c r="C8" s="113" t="s">
        <v>153</v>
      </c>
      <c r="D8" s="114" t="s">
        <v>154</v>
      </c>
      <c r="E8" s="115" t="s">
        <v>48</v>
      </c>
      <c r="F8" s="116" t="s">
        <v>155</v>
      </c>
      <c r="G8" s="117">
        <v>43284</v>
      </c>
      <c r="H8" s="116" t="s">
        <v>27</v>
      </c>
      <c r="I8" s="118">
        <v>70</v>
      </c>
    </row>
    <row r="9" spans="1:9" x14ac:dyDescent="0.3">
      <c r="A9" s="112">
        <v>103</v>
      </c>
      <c r="B9" s="112">
        <v>184</v>
      </c>
      <c r="C9" s="113" t="s">
        <v>138</v>
      </c>
      <c r="D9" s="114" t="s">
        <v>139</v>
      </c>
      <c r="E9" s="115" t="s">
        <v>30</v>
      </c>
      <c r="F9" s="116" t="s">
        <v>140</v>
      </c>
      <c r="G9" s="117">
        <v>43782</v>
      </c>
      <c r="H9" s="116" t="s">
        <v>27</v>
      </c>
      <c r="I9" s="118">
        <v>70</v>
      </c>
    </row>
    <row r="10" spans="1:9" x14ac:dyDescent="0.3">
      <c r="A10" s="112">
        <v>116</v>
      </c>
      <c r="B10" s="112">
        <v>143</v>
      </c>
      <c r="C10" s="113" t="s">
        <v>205</v>
      </c>
      <c r="D10" s="114" t="s">
        <v>206</v>
      </c>
      <c r="E10" s="115" t="s">
        <v>48</v>
      </c>
      <c r="F10" s="116" t="s">
        <v>207</v>
      </c>
      <c r="G10" s="117">
        <v>43405</v>
      </c>
      <c r="H10" s="116" t="s">
        <v>27</v>
      </c>
      <c r="I10" s="118">
        <v>70</v>
      </c>
    </row>
    <row r="11" spans="1:9" x14ac:dyDescent="0.3">
      <c r="A11" s="112">
        <v>116</v>
      </c>
      <c r="B11" s="112">
        <v>144</v>
      </c>
      <c r="C11" s="113" t="s">
        <v>223</v>
      </c>
      <c r="D11" s="114" t="s">
        <v>224</v>
      </c>
      <c r="E11" s="115" t="s">
        <v>25</v>
      </c>
      <c r="F11" s="116" t="s">
        <v>225</v>
      </c>
      <c r="G11" s="117">
        <v>43412</v>
      </c>
      <c r="H11" s="116" t="s">
        <v>27</v>
      </c>
      <c r="I11" s="118">
        <v>70</v>
      </c>
    </row>
    <row r="12" spans="1:9" x14ac:dyDescent="0.3">
      <c r="A12" s="112">
        <v>116</v>
      </c>
      <c r="B12" s="112">
        <v>146</v>
      </c>
      <c r="C12" s="113" t="s">
        <v>214</v>
      </c>
      <c r="D12" s="114" t="s">
        <v>215</v>
      </c>
      <c r="E12" s="115" t="s">
        <v>30</v>
      </c>
      <c r="F12" s="116" t="s">
        <v>216</v>
      </c>
      <c r="G12" s="117">
        <v>43431</v>
      </c>
      <c r="H12" s="116" t="s">
        <v>27</v>
      </c>
      <c r="I12" s="118">
        <v>70</v>
      </c>
    </row>
    <row r="13" spans="1:9" x14ac:dyDescent="0.3">
      <c r="A13" s="112">
        <v>116</v>
      </c>
      <c r="B13" s="112">
        <v>148</v>
      </c>
      <c r="C13" s="113" t="s">
        <v>211</v>
      </c>
      <c r="D13" s="114" t="s">
        <v>212</v>
      </c>
      <c r="E13" s="115" t="s">
        <v>25</v>
      </c>
      <c r="F13" s="116" t="s">
        <v>213</v>
      </c>
      <c r="G13" s="117">
        <v>43437</v>
      </c>
      <c r="H13" s="116" t="s">
        <v>27</v>
      </c>
      <c r="I13" s="118">
        <v>70</v>
      </c>
    </row>
    <row r="14" spans="1:9" x14ac:dyDescent="0.3">
      <c r="A14" s="112">
        <v>116</v>
      </c>
      <c r="B14" s="112">
        <v>164</v>
      </c>
      <c r="C14" s="113" t="s">
        <v>208</v>
      </c>
      <c r="D14" s="114" t="s">
        <v>209</v>
      </c>
      <c r="E14" s="115" t="s">
        <v>25</v>
      </c>
      <c r="F14" s="116" t="s">
        <v>210</v>
      </c>
      <c r="G14" s="117">
        <v>43717</v>
      </c>
      <c r="H14" s="116" t="s">
        <v>27</v>
      </c>
      <c r="I14" s="118">
        <v>70</v>
      </c>
    </row>
    <row r="15" spans="1:9" x14ac:dyDescent="0.3">
      <c r="A15" s="112">
        <v>116</v>
      </c>
      <c r="B15" s="112">
        <v>169</v>
      </c>
      <c r="C15" s="113" t="s">
        <v>226</v>
      </c>
      <c r="D15" s="114" t="s">
        <v>227</v>
      </c>
      <c r="E15" s="115" t="s">
        <v>25</v>
      </c>
      <c r="F15" s="116" t="s">
        <v>228</v>
      </c>
      <c r="G15" s="117">
        <v>41720</v>
      </c>
      <c r="H15" s="116" t="s">
        <v>27</v>
      </c>
      <c r="I15" s="118">
        <v>70</v>
      </c>
    </row>
    <row r="16" spans="1:9" x14ac:dyDescent="0.3">
      <c r="A16" s="112">
        <v>156</v>
      </c>
      <c r="B16" s="112">
        <v>67</v>
      </c>
      <c r="C16" s="113" t="s">
        <v>399</v>
      </c>
      <c r="D16" s="114" t="s">
        <v>400</v>
      </c>
      <c r="E16" s="115" t="s">
        <v>25</v>
      </c>
      <c r="F16" s="116" t="s">
        <v>401</v>
      </c>
      <c r="G16" s="117">
        <v>43759</v>
      </c>
      <c r="H16" s="116" t="s">
        <v>27</v>
      </c>
      <c r="I16" s="118">
        <v>70</v>
      </c>
    </row>
    <row r="17" spans="1:9" x14ac:dyDescent="0.3">
      <c r="A17" s="112">
        <v>156</v>
      </c>
      <c r="B17" s="112">
        <v>72</v>
      </c>
      <c r="C17" s="113" t="s">
        <v>393</v>
      </c>
      <c r="D17" s="114" t="s">
        <v>394</v>
      </c>
      <c r="E17" s="115" t="s">
        <v>25</v>
      </c>
      <c r="F17" s="116" t="s">
        <v>395</v>
      </c>
      <c r="G17" s="117">
        <v>43852</v>
      </c>
      <c r="H17" s="116" t="s">
        <v>27</v>
      </c>
      <c r="I17" s="118">
        <v>70</v>
      </c>
    </row>
    <row r="18" spans="1:9" x14ac:dyDescent="0.3">
      <c r="A18" s="112">
        <v>156</v>
      </c>
      <c r="B18" s="112">
        <v>75</v>
      </c>
      <c r="C18" s="113" t="s">
        <v>408</v>
      </c>
      <c r="D18" s="114" t="s">
        <v>409</v>
      </c>
      <c r="E18" s="115" t="s">
        <v>48</v>
      </c>
      <c r="F18" s="116" t="s">
        <v>410</v>
      </c>
      <c r="G18" s="117">
        <v>43889</v>
      </c>
      <c r="H18" s="116" t="s">
        <v>27</v>
      </c>
      <c r="I18" s="118">
        <v>70</v>
      </c>
    </row>
    <row r="19" spans="1:9" x14ac:dyDescent="0.3">
      <c r="A19" s="112">
        <v>156</v>
      </c>
      <c r="B19" s="112">
        <v>76</v>
      </c>
      <c r="C19" s="113" t="s">
        <v>390</v>
      </c>
      <c r="D19" s="114" t="s">
        <v>391</v>
      </c>
      <c r="E19" s="115" t="s">
        <v>25</v>
      </c>
      <c r="F19" s="116" t="s">
        <v>392</v>
      </c>
      <c r="G19" s="117">
        <v>43901</v>
      </c>
      <c r="H19" s="116" t="s">
        <v>27</v>
      </c>
      <c r="I19" s="118">
        <v>70</v>
      </c>
    </row>
    <row r="20" spans="1:9" x14ac:dyDescent="0.3">
      <c r="A20" s="112">
        <v>156</v>
      </c>
      <c r="B20" s="112">
        <v>78</v>
      </c>
      <c r="C20" s="113" t="s">
        <v>396</v>
      </c>
      <c r="D20" s="114" t="s">
        <v>397</v>
      </c>
      <c r="E20" s="115" t="s">
        <v>25</v>
      </c>
      <c r="F20" s="116" t="s">
        <v>398</v>
      </c>
      <c r="G20" s="117">
        <v>43902</v>
      </c>
      <c r="H20" s="116" t="s">
        <v>27</v>
      </c>
      <c r="I20" s="118">
        <v>70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F2ED6-FEC4-4B4F-8EE4-7F6398BC8A5C}">
  <sheetPr codeName="Sheet4" filterMode="1"/>
  <dimension ref="A1:M48"/>
  <sheetViews>
    <sheetView showGridLines="0" workbookViewId="0">
      <selection activeCell="A11" sqref="A11:XFD11"/>
    </sheetView>
  </sheetViews>
  <sheetFormatPr defaultRowHeight="14.4" x14ac:dyDescent="0.3"/>
  <cols>
    <col min="1" max="1" width="7" style="56" customWidth="1"/>
    <col min="2" max="3" width="19" style="56" customWidth="1"/>
    <col min="4" max="4" width="31.109375" customWidth="1"/>
    <col min="5" max="5" width="25.5546875" customWidth="1"/>
    <col min="6" max="6" width="16.5546875" hidden="1" customWidth="1"/>
    <col min="7" max="8" width="18.33203125" style="57" customWidth="1"/>
    <col min="9" max="9" width="18.33203125" style="176" customWidth="1"/>
    <col min="10" max="10" width="22.109375" style="176" customWidth="1"/>
    <col min="11" max="11" width="18.33203125" customWidth="1"/>
    <col min="12" max="12" width="32" customWidth="1"/>
    <col min="13" max="13" width="96.44140625" bestFit="1" customWidth="1"/>
  </cols>
  <sheetData>
    <row r="1" spans="1:13" ht="19.5" customHeight="1" x14ac:dyDescent="0.4">
      <c r="A1" s="1" t="s">
        <v>769</v>
      </c>
      <c r="B1" s="267"/>
      <c r="C1" s="267"/>
      <c r="D1" s="267"/>
      <c r="E1" s="267"/>
      <c r="F1" s="267"/>
      <c r="G1" s="267"/>
      <c r="H1" s="267"/>
      <c r="I1" s="267"/>
      <c r="J1" s="267"/>
      <c r="K1" s="267"/>
      <c r="L1" s="267"/>
    </row>
    <row r="2" spans="1:13" ht="9" customHeight="1" x14ac:dyDescent="0.3"/>
    <row r="3" spans="1:13" x14ac:dyDescent="0.3">
      <c r="A3" s="134" t="s">
        <v>770</v>
      </c>
      <c r="B3" s="134" t="s">
        <v>692</v>
      </c>
      <c r="C3" s="134"/>
      <c r="D3" s="134" t="s">
        <v>771</v>
      </c>
      <c r="E3" s="268" t="s">
        <v>772</v>
      </c>
      <c r="F3" s="268"/>
      <c r="G3" s="58"/>
      <c r="H3" s="58"/>
      <c r="I3" s="59"/>
      <c r="J3" s="59"/>
      <c r="K3" s="134"/>
      <c r="L3" s="60" t="s">
        <v>773</v>
      </c>
      <c r="M3" s="61"/>
    </row>
    <row r="4" spans="1:13" s="67" customFormat="1" ht="21" customHeight="1" x14ac:dyDescent="0.3">
      <c r="A4" s="62" t="s">
        <v>692</v>
      </c>
      <c r="B4" s="62" t="s">
        <v>774</v>
      </c>
      <c r="C4" s="62" t="s">
        <v>775</v>
      </c>
      <c r="D4" s="63" t="s">
        <v>776</v>
      </c>
      <c r="E4" s="63" t="s">
        <v>777</v>
      </c>
      <c r="F4" s="62" t="s">
        <v>778</v>
      </c>
      <c r="G4" s="64" t="s">
        <v>779</v>
      </c>
      <c r="H4" s="64" t="s">
        <v>780</v>
      </c>
      <c r="I4" s="65" t="s">
        <v>781</v>
      </c>
      <c r="J4" s="65" t="s">
        <v>782</v>
      </c>
      <c r="K4" s="62" t="s">
        <v>783</v>
      </c>
      <c r="L4" s="62" t="s">
        <v>784</v>
      </c>
      <c r="M4" s="66" t="s">
        <v>785</v>
      </c>
    </row>
    <row r="5" spans="1:13" s="67" customFormat="1" hidden="1" x14ac:dyDescent="0.3">
      <c r="A5" s="70">
        <v>62</v>
      </c>
      <c r="B5" s="69" t="s">
        <v>786</v>
      </c>
      <c r="C5" s="69" t="s">
        <v>790</v>
      </c>
      <c r="D5" s="71" t="s">
        <v>791</v>
      </c>
      <c r="E5" s="72">
        <v>2.8000000000000001E-2</v>
      </c>
      <c r="F5" s="73">
        <v>5.0000000000000001E-3</v>
      </c>
      <c r="G5" s="74">
        <v>400</v>
      </c>
      <c r="H5" s="74">
        <v>200</v>
      </c>
      <c r="I5" s="75">
        <v>200</v>
      </c>
      <c r="J5" s="75"/>
      <c r="K5" s="64">
        <f t="shared" ref="K5:K11" si="0">G5+H5+I5+J5</f>
        <v>800</v>
      </c>
      <c r="L5" s="76" t="s">
        <v>792</v>
      </c>
      <c r="M5" s="66"/>
    </row>
    <row r="6" spans="1:13" hidden="1" x14ac:dyDescent="0.3">
      <c r="A6" s="68">
        <v>62</v>
      </c>
      <c r="B6" s="69" t="s">
        <v>786</v>
      </c>
      <c r="C6" s="69" t="s">
        <v>787</v>
      </c>
      <c r="D6" s="63" t="s">
        <v>788</v>
      </c>
      <c r="E6" s="63" t="s">
        <v>789</v>
      </c>
      <c r="F6" s="62"/>
      <c r="G6" s="64"/>
      <c r="H6" s="64">
        <v>2000</v>
      </c>
      <c r="I6" s="65"/>
      <c r="J6" s="65"/>
      <c r="K6" s="64">
        <f t="shared" si="0"/>
        <v>2000</v>
      </c>
      <c r="L6" s="62"/>
      <c r="M6" s="66"/>
    </row>
    <row r="7" spans="1:13" hidden="1" x14ac:dyDescent="0.3">
      <c r="A7" s="70">
        <v>62</v>
      </c>
      <c r="B7" s="69" t="s">
        <v>786</v>
      </c>
      <c r="C7" s="69" t="s">
        <v>794</v>
      </c>
      <c r="D7" s="71" t="s">
        <v>795</v>
      </c>
      <c r="E7" s="72"/>
      <c r="F7" s="73"/>
      <c r="G7" s="74"/>
      <c r="H7" s="74">
        <v>200</v>
      </c>
      <c r="I7" s="75"/>
      <c r="J7" s="75"/>
      <c r="K7" s="64">
        <f t="shared" si="0"/>
        <v>200</v>
      </c>
      <c r="L7" s="76"/>
      <c r="M7" s="66"/>
    </row>
    <row r="8" spans="1:13" hidden="1" x14ac:dyDescent="0.3">
      <c r="A8" s="70">
        <v>62</v>
      </c>
      <c r="B8" s="69" t="s">
        <v>786</v>
      </c>
      <c r="C8" s="69" t="s">
        <v>790</v>
      </c>
      <c r="D8" s="77" t="s">
        <v>793</v>
      </c>
      <c r="E8" s="72">
        <v>2.8000000000000001E-2</v>
      </c>
      <c r="F8" s="73">
        <v>5.0000000000000001E-3</v>
      </c>
      <c r="G8" s="74">
        <v>400</v>
      </c>
      <c r="H8" s="74">
        <v>200</v>
      </c>
      <c r="I8" s="75">
        <v>200</v>
      </c>
      <c r="J8" s="75"/>
      <c r="K8" s="64">
        <f t="shared" si="0"/>
        <v>800</v>
      </c>
      <c r="L8" s="76" t="s">
        <v>792</v>
      </c>
      <c r="M8" s="66"/>
    </row>
    <row r="9" spans="1:13" s="224" customFormat="1" x14ac:dyDescent="0.3">
      <c r="A9" s="236">
        <v>93</v>
      </c>
      <c r="B9" s="237" t="s">
        <v>796</v>
      </c>
      <c r="C9" s="237" t="s">
        <v>787</v>
      </c>
      <c r="D9" s="245" t="s">
        <v>797</v>
      </c>
      <c r="E9" s="246" t="s">
        <v>789</v>
      </c>
      <c r="F9" s="73"/>
      <c r="G9" s="240"/>
      <c r="H9" s="240">
        <v>2000</v>
      </c>
      <c r="I9" s="241"/>
      <c r="J9" s="241"/>
      <c r="K9" s="242">
        <f t="shared" si="0"/>
        <v>2000</v>
      </c>
      <c r="L9" s="243"/>
      <c r="M9" s="244"/>
    </row>
    <row r="10" spans="1:13" s="224" customFormat="1" x14ac:dyDescent="0.3">
      <c r="A10" s="236">
        <v>93</v>
      </c>
      <c r="B10" s="237" t="s">
        <v>796</v>
      </c>
      <c r="C10" s="237" t="s">
        <v>790</v>
      </c>
      <c r="D10" s="238" t="s">
        <v>798</v>
      </c>
      <c r="E10" s="239">
        <v>2.8000000000000001E-2</v>
      </c>
      <c r="F10" s="73">
        <v>5.0000000000000001E-3</v>
      </c>
      <c r="G10" s="240">
        <v>400</v>
      </c>
      <c r="H10" s="240">
        <v>200</v>
      </c>
      <c r="I10" s="241">
        <v>200</v>
      </c>
      <c r="J10" s="241"/>
      <c r="K10" s="242">
        <f t="shared" si="0"/>
        <v>800</v>
      </c>
      <c r="L10" s="243" t="s">
        <v>792</v>
      </c>
      <c r="M10" s="244"/>
    </row>
    <row r="11" spans="1:13" x14ac:dyDescent="0.3">
      <c r="A11" s="70">
        <v>93</v>
      </c>
      <c r="B11" s="69" t="s">
        <v>796</v>
      </c>
      <c r="C11" s="69" t="s">
        <v>790</v>
      </c>
      <c r="D11" s="71" t="s">
        <v>799</v>
      </c>
      <c r="E11" s="72">
        <v>2.8000000000000001E-2</v>
      </c>
      <c r="F11" s="73">
        <v>5.0000000000000001E-3</v>
      </c>
      <c r="G11" s="74">
        <v>400</v>
      </c>
      <c r="H11" s="74">
        <v>200</v>
      </c>
      <c r="I11" s="75">
        <v>200</v>
      </c>
      <c r="J11" s="75"/>
      <c r="K11" s="64">
        <f t="shared" si="0"/>
        <v>800</v>
      </c>
      <c r="L11" s="76" t="s">
        <v>792</v>
      </c>
      <c r="M11" s="66"/>
    </row>
    <row r="12" spans="1:13" hidden="1" x14ac:dyDescent="0.3">
      <c r="A12" s="70">
        <v>94</v>
      </c>
      <c r="B12" s="69" t="s">
        <v>800</v>
      </c>
      <c r="C12" s="69" t="s">
        <v>787</v>
      </c>
      <c r="D12" s="71" t="s">
        <v>939</v>
      </c>
      <c r="E12" s="63" t="s">
        <v>789</v>
      </c>
      <c r="F12" s="73"/>
      <c r="G12" s="74"/>
      <c r="H12" s="74"/>
      <c r="I12" s="75"/>
      <c r="J12" s="75"/>
      <c r="K12" s="64">
        <f t="shared" ref="K12:K14" si="1">G12+H12+I12+J12</f>
        <v>0</v>
      </c>
      <c r="L12" s="76"/>
      <c r="M12" s="66" t="s">
        <v>940</v>
      </c>
    </row>
    <row r="13" spans="1:13" hidden="1" x14ac:dyDescent="0.3">
      <c r="A13" s="70">
        <v>94</v>
      </c>
      <c r="B13" s="69" t="s">
        <v>800</v>
      </c>
      <c r="C13" s="69" t="s">
        <v>790</v>
      </c>
      <c r="D13" s="79" t="s">
        <v>801</v>
      </c>
      <c r="E13" s="72" t="s">
        <v>802</v>
      </c>
      <c r="F13" s="73"/>
      <c r="G13" s="74">
        <v>200</v>
      </c>
      <c r="H13" s="74">
        <v>150</v>
      </c>
      <c r="I13" s="75"/>
      <c r="J13" s="75">
        <v>500</v>
      </c>
      <c r="K13" s="64">
        <f t="shared" si="1"/>
        <v>850</v>
      </c>
      <c r="L13" s="76" t="s">
        <v>803</v>
      </c>
      <c r="M13" s="66"/>
    </row>
    <row r="14" spans="1:13" hidden="1" x14ac:dyDescent="0.3">
      <c r="A14" s="70">
        <v>94</v>
      </c>
      <c r="B14" s="69" t="s">
        <v>800</v>
      </c>
      <c r="C14" s="69" t="s">
        <v>790</v>
      </c>
      <c r="D14" s="79" t="s">
        <v>804</v>
      </c>
      <c r="E14" s="72"/>
      <c r="F14" s="73"/>
      <c r="G14" s="74">
        <v>200</v>
      </c>
      <c r="H14" s="74">
        <v>150</v>
      </c>
      <c r="I14" s="75"/>
      <c r="J14" s="75">
        <v>500</v>
      </c>
      <c r="K14" s="64">
        <f t="shared" si="1"/>
        <v>850</v>
      </c>
      <c r="L14" s="76"/>
      <c r="M14" s="66"/>
    </row>
    <row r="15" spans="1:13" hidden="1" x14ac:dyDescent="0.3">
      <c r="A15" s="70">
        <v>116</v>
      </c>
      <c r="B15" s="69" t="s">
        <v>805</v>
      </c>
      <c r="C15" s="69" t="s">
        <v>790</v>
      </c>
      <c r="D15" s="81" t="s">
        <v>212</v>
      </c>
      <c r="E15" s="72" t="s">
        <v>802</v>
      </c>
      <c r="F15" s="73"/>
      <c r="G15" s="74">
        <v>400</v>
      </c>
      <c r="H15" s="74">
        <v>200</v>
      </c>
      <c r="I15" s="75">
        <v>200</v>
      </c>
      <c r="J15" s="75"/>
      <c r="K15" s="64">
        <f t="shared" ref="K15:K48" si="2">G15+H15+I15+J15</f>
        <v>800</v>
      </c>
      <c r="L15" s="76" t="s">
        <v>792</v>
      </c>
      <c r="M15" s="66"/>
    </row>
    <row r="16" spans="1:13" hidden="1" x14ac:dyDescent="0.3">
      <c r="A16" s="70">
        <v>116</v>
      </c>
      <c r="B16" s="69" t="s">
        <v>805</v>
      </c>
      <c r="C16" s="69" t="s">
        <v>794</v>
      </c>
      <c r="D16" s="81" t="s">
        <v>808</v>
      </c>
      <c r="E16" s="72"/>
      <c r="F16" s="73"/>
      <c r="G16" s="74"/>
      <c r="H16" s="74"/>
      <c r="I16" s="75"/>
      <c r="J16" s="75"/>
      <c r="K16" s="64">
        <f t="shared" si="2"/>
        <v>0</v>
      </c>
      <c r="L16" s="76"/>
      <c r="M16" s="66"/>
    </row>
    <row r="17" spans="1:13" hidden="1" x14ac:dyDescent="0.3">
      <c r="A17" s="70">
        <v>116</v>
      </c>
      <c r="B17" s="69" t="s">
        <v>805</v>
      </c>
      <c r="C17" s="69" t="s">
        <v>790</v>
      </c>
      <c r="D17" s="80" t="s">
        <v>807</v>
      </c>
      <c r="E17" s="72" t="s">
        <v>802</v>
      </c>
      <c r="F17" s="73"/>
      <c r="G17" s="74">
        <v>400</v>
      </c>
      <c r="H17" s="74">
        <v>200</v>
      </c>
      <c r="I17" s="75">
        <v>200</v>
      </c>
      <c r="J17" s="75"/>
      <c r="K17" s="64">
        <f t="shared" si="2"/>
        <v>800</v>
      </c>
      <c r="L17" s="76" t="s">
        <v>792</v>
      </c>
      <c r="M17" s="66"/>
    </row>
    <row r="18" spans="1:13" hidden="1" x14ac:dyDescent="0.3">
      <c r="A18" s="70">
        <v>116</v>
      </c>
      <c r="B18" s="69" t="s">
        <v>805</v>
      </c>
      <c r="C18" s="69" t="s">
        <v>787</v>
      </c>
      <c r="D18" s="79" t="s">
        <v>806</v>
      </c>
      <c r="E18" s="63" t="s">
        <v>789</v>
      </c>
      <c r="F18" s="73"/>
      <c r="G18" s="74"/>
      <c r="H18" s="74">
        <v>2000</v>
      </c>
      <c r="I18" s="75"/>
      <c r="J18" s="75"/>
      <c r="K18" s="64">
        <f t="shared" si="2"/>
        <v>2000</v>
      </c>
      <c r="L18" s="76"/>
      <c r="M18" s="66"/>
    </row>
    <row r="19" spans="1:13" hidden="1" x14ac:dyDescent="0.3">
      <c r="A19" s="70">
        <v>123</v>
      </c>
      <c r="B19" s="69" t="s">
        <v>809</v>
      </c>
      <c r="C19" s="69" t="s">
        <v>790</v>
      </c>
      <c r="D19" s="78" t="s">
        <v>941</v>
      </c>
      <c r="E19" s="72" t="s">
        <v>811</v>
      </c>
      <c r="F19" s="73"/>
      <c r="G19" s="74">
        <v>300</v>
      </c>
      <c r="H19" s="74">
        <v>200</v>
      </c>
      <c r="I19" s="75">
        <v>200</v>
      </c>
      <c r="J19" s="75"/>
      <c r="K19" s="64">
        <f t="shared" si="2"/>
        <v>700</v>
      </c>
      <c r="L19" s="76" t="s">
        <v>812</v>
      </c>
      <c r="M19" s="66"/>
    </row>
    <row r="20" spans="1:13" hidden="1" x14ac:dyDescent="0.3">
      <c r="A20" s="70">
        <v>123</v>
      </c>
      <c r="B20" s="69" t="s">
        <v>809</v>
      </c>
      <c r="C20" s="69" t="s">
        <v>787</v>
      </c>
      <c r="D20" s="81" t="s">
        <v>810</v>
      </c>
      <c r="E20" s="63" t="s">
        <v>789</v>
      </c>
      <c r="F20" s="73"/>
      <c r="G20" s="74"/>
      <c r="H20" s="74">
        <v>2000</v>
      </c>
      <c r="I20" s="75"/>
      <c r="J20" s="75"/>
      <c r="K20" s="64">
        <f t="shared" si="2"/>
        <v>2000</v>
      </c>
      <c r="L20" s="76"/>
      <c r="M20" s="66"/>
    </row>
    <row r="21" spans="1:13" hidden="1" x14ac:dyDescent="0.3">
      <c r="A21" s="70">
        <v>123</v>
      </c>
      <c r="B21" s="69" t="s">
        <v>809</v>
      </c>
      <c r="C21" s="69" t="s">
        <v>790</v>
      </c>
      <c r="D21" s="78" t="s">
        <v>813</v>
      </c>
      <c r="E21" s="72" t="s">
        <v>811</v>
      </c>
      <c r="F21" s="73"/>
      <c r="G21" s="74">
        <v>300</v>
      </c>
      <c r="H21" s="74">
        <v>200</v>
      </c>
      <c r="I21" s="75">
        <v>200</v>
      </c>
      <c r="J21" s="75"/>
      <c r="K21" s="64">
        <f t="shared" si="2"/>
        <v>700</v>
      </c>
      <c r="L21" s="76" t="s">
        <v>812</v>
      </c>
      <c r="M21" s="66"/>
    </row>
    <row r="22" spans="1:13" hidden="1" x14ac:dyDescent="0.3">
      <c r="A22" s="70">
        <v>124</v>
      </c>
      <c r="B22" s="69" t="s">
        <v>814</v>
      </c>
      <c r="C22" s="69" t="s">
        <v>787</v>
      </c>
      <c r="D22" s="81" t="s">
        <v>254</v>
      </c>
      <c r="E22" s="63" t="s">
        <v>789</v>
      </c>
      <c r="F22" s="73"/>
      <c r="G22" s="74"/>
      <c r="H22" s="74">
        <v>2000</v>
      </c>
      <c r="I22" s="75"/>
      <c r="J22" s="75">
        <v>4779.5</v>
      </c>
      <c r="K22" s="64">
        <f t="shared" si="2"/>
        <v>6779.5</v>
      </c>
      <c r="L22" s="76"/>
      <c r="M22" s="66" t="s">
        <v>942</v>
      </c>
    </row>
    <row r="23" spans="1:13" hidden="1" x14ac:dyDescent="0.3">
      <c r="A23" s="70">
        <v>124</v>
      </c>
      <c r="B23" s="69" t="s">
        <v>814</v>
      </c>
      <c r="C23" s="69" t="s">
        <v>790</v>
      </c>
      <c r="D23" s="71" t="s">
        <v>815</v>
      </c>
      <c r="E23" s="63"/>
      <c r="F23" s="73"/>
      <c r="G23" s="74">
        <v>100</v>
      </c>
      <c r="H23" s="74"/>
      <c r="I23" s="75"/>
      <c r="J23" s="75"/>
      <c r="K23" s="64">
        <f t="shared" si="2"/>
        <v>100</v>
      </c>
      <c r="L23" s="76" t="s">
        <v>792</v>
      </c>
      <c r="M23" s="66"/>
    </row>
    <row r="24" spans="1:13" hidden="1" x14ac:dyDescent="0.3">
      <c r="A24" s="70">
        <v>124</v>
      </c>
      <c r="B24" s="69" t="s">
        <v>814</v>
      </c>
      <c r="C24" s="69" t="s">
        <v>790</v>
      </c>
      <c r="D24" s="81" t="s">
        <v>943</v>
      </c>
      <c r="E24" s="63" t="s">
        <v>789</v>
      </c>
      <c r="F24" s="73">
        <v>5.0000000000000001E-3</v>
      </c>
      <c r="G24" s="74">
        <v>200</v>
      </c>
      <c r="H24" s="74">
        <v>200</v>
      </c>
      <c r="I24" s="75"/>
      <c r="J24" s="75"/>
      <c r="K24" s="64">
        <f t="shared" si="2"/>
        <v>400</v>
      </c>
      <c r="L24" s="76" t="s">
        <v>792</v>
      </c>
      <c r="M24" s="66"/>
    </row>
    <row r="25" spans="1:13" hidden="1" x14ac:dyDescent="0.3">
      <c r="A25" s="70">
        <v>125</v>
      </c>
      <c r="B25" s="69" t="s">
        <v>816</v>
      </c>
      <c r="C25" s="69" t="s">
        <v>790</v>
      </c>
      <c r="D25" s="81" t="s">
        <v>818</v>
      </c>
      <c r="E25" s="72">
        <v>2.8000000000000001E-2</v>
      </c>
      <c r="F25" s="73">
        <v>5.0000000000000001E-3</v>
      </c>
      <c r="G25" s="74">
        <v>300</v>
      </c>
      <c r="H25" s="74">
        <v>200</v>
      </c>
      <c r="I25" s="75">
        <v>200</v>
      </c>
      <c r="J25" s="75"/>
      <c r="K25" s="64">
        <f t="shared" si="2"/>
        <v>700</v>
      </c>
      <c r="L25" s="76" t="s">
        <v>812</v>
      </c>
      <c r="M25" s="66"/>
    </row>
    <row r="26" spans="1:13" hidden="1" x14ac:dyDescent="0.3">
      <c r="A26" s="70">
        <v>125</v>
      </c>
      <c r="B26" s="69" t="s">
        <v>816</v>
      </c>
      <c r="C26" s="69" t="s">
        <v>787</v>
      </c>
      <c r="D26" s="71" t="s">
        <v>817</v>
      </c>
      <c r="E26" s="63" t="s">
        <v>789</v>
      </c>
      <c r="F26" s="73"/>
      <c r="G26" s="74"/>
      <c r="H26" s="74">
        <v>2000</v>
      </c>
      <c r="I26" s="75"/>
      <c r="J26" s="75"/>
      <c r="K26" s="64">
        <f t="shared" si="2"/>
        <v>2000</v>
      </c>
      <c r="L26" s="76"/>
      <c r="M26" s="66"/>
    </row>
    <row r="27" spans="1:13" hidden="1" x14ac:dyDescent="0.3">
      <c r="A27" s="70">
        <v>125</v>
      </c>
      <c r="B27" s="69" t="s">
        <v>816</v>
      </c>
      <c r="C27" s="69" t="s">
        <v>790</v>
      </c>
      <c r="D27" s="81"/>
      <c r="E27" s="72">
        <v>2.8000000000000001E-2</v>
      </c>
      <c r="F27" s="73">
        <v>5.0000000000000001E-3</v>
      </c>
      <c r="G27" s="74"/>
      <c r="H27" s="74"/>
      <c r="I27" s="75"/>
      <c r="J27" s="75"/>
      <c r="K27" s="64">
        <f t="shared" si="2"/>
        <v>0</v>
      </c>
      <c r="L27" s="76" t="s">
        <v>812</v>
      </c>
      <c r="M27" s="66"/>
    </row>
    <row r="28" spans="1:13" hidden="1" x14ac:dyDescent="0.3">
      <c r="A28" s="70">
        <v>125</v>
      </c>
      <c r="B28" s="69" t="s">
        <v>816</v>
      </c>
      <c r="C28" s="69" t="s">
        <v>794</v>
      </c>
      <c r="D28" s="81"/>
      <c r="E28" s="72"/>
      <c r="F28" s="73"/>
      <c r="G28" s="74"/>
      <c r="H28" s="74"/>
      <c r="I28" s="75"/>
      <c r="J28" s="75"/>
      <c r="K28" s="64">
        <f t="shared" si="2"/>
        <v>0</v>
      </c>
      <c r="L28" s="76"/>
      <c r="M28" s="66"/>
    </row>
    <row r="29" spans="1:13" hidden="1" x14ac:dyDescent="0.3">
      <c r="A29" s="70">
        <v>139</v>
      </c>
      <c r="B29" s="69" t="s">
        <v>819</v>
      </c>
      <c r="C29" s="69" t="s">
        <v>790</v>
      </c>
      <c r="D29" s="79" t="s">
        <v>331</v>
      </c>
      <c r="E29" s="72">
        <v>2.8000000000000001E-2</v>
      </c>
      <c r="F29" s="73">
        <v>5.0000000000000001E-3</v>
      </c>
      <c r="G29" s="74">
        <v>400</v>
      </c>
      <c r="H29" s="74">
        <v>200</v>
      </c>
      <c r="I29" s="75">
        <v>200</v>
      </c>
      <c r="J29" s="75"/>
      <c r="K29" s="64">
        <f t="shared" si="2"/>
        <v>800</v>
      </c>
      <c r="L29" s="76" t="s">
        <v>792</v>
      </c>
      <c r="M29" s="66"/>
    </row>
    <row r="30" spans="1:13" hidden="1" x14ac:dyDescent="0.3">
      <c r="A30" s="70">
        <v>139</v>
      </c>
      <c r="B30" s="69" t="s">
        <v>819</v>
      </c>
      <c r="C30" s="69" t="s">
        <v>790</v>
      </c>
      <c r="D30" s="71" t="s">
        <v>820</v>
      </c>
      <c r="E30" s="72">
        <v>2.8000000000000001E-2</v>
      </c>
      <c r="F30" s="73">
        <v>5.0000000000000001E-3</v>
      </c>
      <c r="G30" s="74">
        <v>400</v>
      </c>
      <c r="H30" s="74">
        <v>200</v>
      </c>
      <c r="I30" s="75">
        <v>200</v>
      </c>
      <c r="J30" s="75"/>
      <c r="K30" s="64">
        <f t="shared" si="2"/>
        <v>800</v>
      </c>
      <c r="L30" s="76" t="s">
        <v>792</v>
      </c>
      <c r="M30" s="66"/>
    </row>
    <row r="31" spans="1:13" hidden="1" x14ac:dyDescent="0.3">
      <c r="A31" s="70">
        <v>139</v>
      </c>
      <c r="B31" s="69" t="s">
        <v>819</v>
      </c>
      <c r="C31" s="69" t="s">
        <v>787</v>
      </c>
      <c r="D31" s="81" t="s">
        <v>810</v>
      </c>
      <c r="E31" s="63" t="s">
        <v>789</v>
      </c>
      <c r="F31" s="73"/>
      <c r="G31" s="74"/>
      <c r="H31" s="74">
        <v>2000</v>
      </c>
      <c r="I31" s="75"/>
      <c r="J31" s="75"/>
      <c r="K31" s="64">
        <f t="shared" si="2"/>
        <v>2000</v>
      </c>
      <c r="L31" s="76"/>
      <c r="M31" s="66"/>
    </row>
    <row r="32" spans="1:13" hidden="1" x14ac:dyDescent="0.3">
      <c r="A32" s="70">
        <v>139</v>
      </c>
      <c r="B32" s="69" t="s">
        <v>819</v>
      </c>
      <c r="C32" s="69" t="s">
        <v>790</v>
      </c>
      <c r="D32" s="71"/>
      <c r="E32" s="72"/>
      <c r="F32" s="73"/>
      <c r="G32" s="74"/>
      <c r="H32" s="74"/>
      <c r="I32" s="75"/>
      <c r="J32" s="75"/>
      <c r="K32" s="64">
        <f t="shared" si="2"/>
        <v>0</v>
      </c>
      <c r="L32" s="76"/>
      <c r="M32" s="66"/>
    </row>
    <row r="33" spans="1:13" hidden="1" x14ac:dyDescent="0.3">
      <c r="A33" s="70">
        <v>144</v>
      </c>
      <c r="B33" s="69" t="s">
        <v>821</v>
      </c>
      <c r="C33" s="69" t="s">
        <v>790</v>
      </c>
      <c r="D33" s="71" t="s">
        <v>358</v>
      </c>
      <c r="E33" s="72">
        <v>3.2000000000000001E-2</v>
      </c>
      <c r="F33" s="73">
        <v>5.0000000000000001E-3</v>
      </c>
      <c r="G33" s="74">
        <v>140</v>
      </c>
      <c r="H33" s="74">
        <v>70</v>
      </c>
      <c r="I33" s="75">
        <v>70</v>
      </c>
      <c r="J33" s="75"/>
      <c r="K33" s="64">
        <f t="shared" si="2"/>
        <v>280</v>
      </c>
      <c r="L33" s="76" t="s">
        <v>824</v>
      </c>
      <c r="M33" s="66"/>
    </row>
    <row r="34" spans="1:13" hidden="1" x14ac:dyDescent="0.3">
      <c r="A34" s="70">
        <v>144</v>
      </c>
      <c r="B34" s="69" t="s">
        <v>821</v>
      </c>
      <c r="C34" s="69" t="s">
        <v>790</v>
      </c>
      <c r="D34" s="79" t="s">
        <v>823</v>
      </c>
      <c r="E34" s="72">
        <v>3.2000000000000001E-2</v>
      </c>
      <c r="F34" s="73">
        <v>5.0000000000000001E-3</v>
      </c>
      <c r="G34" s="74">
        <v>300</v>
      </c>
      <c r="H34" s="74">
        <v>150</v>
      </c>
      <c r="I34" s="75">
        <v>150</v>
      </c>
      <c r="J34" s="75"/>
      <c r="K34" s="64">
        <f t="shared" si="2"/>
        <v>600</v>
      </c>
      <c r="L34" s="76" t="s">
        <v>824</v>
      </c>
      <c r="M34" s="66"/>
    </row>
    <row r="35" spans="1:13" hidden="1" x14ac:dyDescent="0.3">
      <c r="A35" s="70">
        <v>144</v>
      </c>
      <c r="B35" s="69" t="s">
        <v>821</v>
      </c>
      <c r="C35" s="69" t="s">
        <v>787</v>
      </c>
      <c r="D35" s="71" t="s">
        <v>822</v>
      </c>
      <c r="E35" s="63" t="s">
        <v>789</v>
      </c>
      <c r="F35" s="73"/>
      <c r="G35" s="74"/>
      <c r="H35" s="74">
        <v>2000</v>
      </c>
      <c r="I35" s="75"/>
      <c r="J35" s="75"/>
      <c r="K35" s="64">
        <f t="shared" si="2"/>
        <v>2000</v>
      </c>
      <c r="L35" s="76"/>
      <c r="M35" s="66"/>
    </row>
    <row r="36" spans="1:13" hidden="1" x14ac:dyDescent="0.3">
      <c r="A36" s="70">
        <v>156</v>
      </c>
      <c r="B36" s="69" t="s">
        <v>825</v>
      </c>
      <c r="C36" s="69" t="s">
        <v>790</v>
      </c>
      <c r="D36" s="71" t="s">
        <v>828</v>
      </c>
      <c r="E36" s="72">
        <v>3.2000000000000001E-2</v>
      </c>
      <c r="F36" s="73">
        <v>5.0000000000000001E-3</v>
      </c>
      <c r="G36" s="74">
        <v>300</v>
      </c>
      <c r="H36" s="74">
        <v>200</v>
      </c>
      <c r="I36" s="75">
        <v>200</v>
      </c>
      <c r="J36" s="75"/>
      <c r="K36" s="64">
        <f t="shared" si="2"/>
        <v>700</v>
      </c>
      <c r="L36" s="76" t="s">
        <v>812</v>
      </c>
      <c r="M36" s="66"/>
    </row>
    <row r="37" spans="1:13" hidden="1" x14ac:dyDescent="0.3">
      <c r="A37" s="70">
        <v>156</v>
      </c>
      <c r="B37" s="69" t="s">
        <v>825</v>
      </c>
      <c r="C37" s="69" t="s">
        <v>790</v>
      </c>
      <c r="D37" s="82" t="s">
        <v>827</v>
      </c>
      <c r="E37" s="72">
        <v>3.2000000000000001E-2</v>
      </c>
      <c r="F37" s="73">
        <v>5.0000000000000001E-3</v>
      </c>
      <c r="G37" s="74">
        <v>300</v>
      </c>
      <c r="H37" s="74">
        <v>200</v>
      </c>
      <c r="I37" s="75">
        <v>200</v>
      </c>
      <c r="J37" s="75"/>
      <c r="K37" s="64">
        <f t="shared" si="2"/>
        <v>700</v>
      </c>
      <c r="L37" s="76" t="s">
        <v>812</v>
      </c>
      <c r="M37" s="66"/>
    </row>
    <row r="38" spans="1:13" hidden="1" x14ac:dyDescent="0.3">
      <c r="A38" s="70">
        <v>156</v>
      </c>
      <c r="B38" s="69" t="s">
        <v>825</v>
      </c>
      <c r="C38" s="69" t="s">
        <v>787</v>
      </c>
      <c r="D38" s="71" t="s">
        <v>826</v>
      </c>
      <c r="E38" s="63" t="s">
        <v>789</v>
      </c>
      <c r="F38" s="73"/>
      <c r="G38" s="74"/>
      <c r="H38" s="74">
        <v>2000</v>
      </c>
      <c r="I38" s="75"/>
      <c r="J38" s="75"/>
      <c r="K38" s="64">
        <f t="shared" si="2"/>
        <v>2000</v>
      </c>
      <c r="L38" s="76"/>
      <c r="M38" s="66"/>
    </row>
    <row r="39" spans="1:13" hidden="1" x14ac:dyDescent="0.3">
      <c r="A39" s="70">
        <v>156</v>
      </c>
      <c r="B39" s="69" t="s">
        <v>825</v>
      </c>
      <c r="C39" s="69" t="s">
        <v>790</v>
      </c>
      <c r="D39" s="71"/>
      <c r="E39" s="72">
        <v>3.2000000000000001E-2</v>
      </c>
      <c r="F39" s="73">
        <v>5.0000000000000001E-3</v>
      </c>
      <c r="G39" s="74"/>
      <c r="H39" s="74"/>
      <c r="I39" s="75"/>
      <c r="J39" s="75"/>
      <c r="K39" s="64">
        <f t="shared" si="2"/>
        <v>0</v>
      </c>
      <c r="L39" s="76" t="s">
        <v>812</v>
      </c>
      <c r="M39" s="66"/>
    </row>
    <row r="40" spans="1:13" hidden="1" x14ac:dyDescent="0.3">
      <c r="A40" s="70">
        <v>173</v>
      </c>
      <c r="B40" s="69" t="s">
        <v>829</v>
      </c>
      <c r="C40" s="69" t="s">
        <v>790</v>
      </c>
      <c r="D40" s="83" t="s">
        <v>491</v>
      </c>
      <c r="E40" s="72" t="s">
        <v>802</v>
      </c>
      <c r="F40" s="73"/>
      <c r="G40" s="74">
        <v>400</v>
      </c>
      <c r="H40" s="74">
        <v>200</v>
      </c>
      <c r="I40" s="75"/>
      <c r="J40" s="75"/>
      <c r="K40" s="64">
        <f t="shared" si="2"/>
        <v>600</v>
      </c>
      <c r="L40" s="76" t="s">
        <v>792</v>
      </c>
      <c r="M40" s="66"/>
    </row>
    <row r="41" spans="1:13" hidden="1" x14ac:dyDescent="0.3">
      <c r="A41" s="70">
        <v>173</v>
      </c>
      <c r="B41" s="69" t="s">
        <v>829</v>
      </c>
      <c r="C41" s="69" t="s">
        <v>787</v>
      </c>
      <c r="D41" s="71" t="s">
        <v>830</v>
      </c>
      <c r="E41" s="63" t="s">
        <v>789</v>
      </c>
      <c r="F41" s="73"/>
      <c r="G41" s="74"/>
      <c r="H41" s="74">
        <v>2000</v>
      </c>
      <c r="I41" s="75"/>
      <c r="J41" s="75"/>
      <c r="K41" s="64">
        <f t="shared" si="2"/>
        <v>2000</v>
      </c>
      <c r="L41" s="76"/>
      <c r="M41" s="66"/>
    </row>
    <row r="42" spans="1:13" hidden="1" x14ac:dyDescent="0.3">
      <c r="A42" s="70">
        <v>173</v>
      </c>
      <c r="B42" s="69" t="s">
        <v>829</v>
      </c>
      <c r="C42" s="69" t="s">
        <v>790</v>
      </c>
      <c r="D42" s="83"/>
      <c r="E42" s="72" t="s">
        <v>802</v>
      </c>
      <c r="F42" s="73"/>
      <c r="G42" s="74">
        <v>400</v>
      </c>
      <c r="H42" s="74"/>
      <c r="I42" s="75"/>
      <c r="J42" s="75"/>
      <c r="K42" s="64">
        <f t="shared" si="2"/>
        <v>400</v>
      </c>
      <c r="L42" s="76" t="s">
        <v>792</v>
      </c>
      <c r="M42" s="66"/>
    </row>
    <row r="43" spans="1:13" hidden="1" x14ac:dyDescent="0.3">
      <c r="A43" s="84">
        <v>181</v>
      </c>
      <c r="B43" s="69" t="s">
        <v>831</v>
      </c>
      <c r="C43" s="69" t="s">
        <v>790</v>
      </c>
      <c r="D43" s="85" t="s">
        <v>833</v>
      </c>
      <c r="E43" s="72">
        <v>2.8000000000000001E-2</v>
      </c>
      <c r="F43" s="73">
        <v>5.0000000000000001E-3</v>
      </c>
      <c r="G43" s="74">
        <v>400</v>
      </c>
      <c r="H43" s="74">
        <v>200</v>
      </c>
      <c r="I43" s="75">
        <v>200</v>
      </c>
      <c r="J43" s="75"/>
      <c r="K43" s="64">
        <f t="shared" si="2"/>
        <v>800</v>
      </c>
      <c r="L43" s="76" t="s">
        <v>792</v>
      </c>
      <c r="M43" s="66"/>
    </row>
    <row r="44" spans="1:13" hidden="1" x14ac:dyDescent="0.3">
      <c r="A44" s="70">
        <v>181</v>
      </c>
      <c r="B44" s="69" t="s">
        <v>831</v>
      </c>
      <c r="C44" s="69" t="s">
        <v>787</v>
      </c>
      <c r="D44" s="83" t="s">
        <v>832</v>
      </c>
      <c r="E44" s="63" t="s">
        <v>789</v>
      </c>
      <c r="F44" s="73"/>
      <c r="G44" s="74"/>
      <c r="H44" s="74">
        <v>2000</v>
      </c>
      <c r="I44" s="75"/>
      <c r="J44" s="75"/>
      <c r="K44" s="64">
        <f t="shared" si="2"/>
        <v>2000</v>
      </c>
      <c r="L44" s="76"/>
      <c r="M44" s="66"/>
    </row>
    <row r="45" spans="1:13" hidden="1" x14ac:dyDescent="0.3">
      <c r="A45" s="84">
        <v>181</v>
      </c>
      <c r="B45" s="69" t="s">
        <v>831</v>
      </c>
      <c r="C45" s="69" t="s">
        <v>790</v>
      </c>
      <c r="D45" s="85" t="s">
        <v>572</v>
      </c>
      <c r="E45" s="72">
        <v>2.8000000000000001E-2</v>
      </c>
      <c r="F45" s="73">
        <v>5.0000000000000001E-3</v>
      </c>
      <c r="G45" s="74">
        <v>400</v>
      </c>
      <c r="H45" s="74">
        <v>200</v>
      </c>
      <c r="I45" s="75">
        <v>200</v>
      </c>
      <c r="J45" s="86"/>
      <c r="K45" s="64">
        <f t="shared" si="2"/>
        <v>800</v>
      </c>
      <c r="L45" s="76" t="s">
        <v>792</v>
      </c>
      <c r="M45" s="66"/>
    </row>
    <row r="46" spans="1:13" hidden="1" x14ac:dyDescent="0.3">
      <c r="A46" s="87">
        <v>200</v>
      </c>
      <c r="B46" s="69" t="s">
        <v>834</v>
      </c>
      <c r="C46" s="69" t="s">
        <v>790</v>
      </c>
      <c r="D46" s="71" t="s">
        <v>836</v>
      </c>
      <c r="E46" s="72">
        <v>2.8000000000000001E-2</v>
      </c>
      <c r="F46" s="73">
        <v>5.0000000000000001E-3</v>
      </c>
      <c r="G46" s="74"/>
      <c r="H46" s="74"/>
      <c r="I46" s="75"/>
      <c r="J46" s="75"/>
      <c r="K46" s="64">
        <f t="shared" si="2"/>
        <v>0</v>
      </c>
      <c r="L46" s="76"/>
      <c r="M46" s="66"/>
    </row>
    <row r="47" spans="1:13" hidden="1" x14ac:dyDescent="0.3">
      <c r="A47" s="87">
        <v>200</v>
      </c>
      <c r="B47" s="69" t="s">
        <v>834</v>
      </c>
      <c r="C47" s="69" t="s">
        <v>790</v>
      </c>
      <c r="D47" s="85" t="s">
        <v>835</v>
      </c>
      <c r="E47" s="72">
        <v>2.8000000000000001E-2</v>
      </c>
      <c r="F47" s="73">
        <v>5.0000000000000001E-3</v>
      </c>
      <c r="G47" s="74">
        <v>150</v>
      </c>
      <c r="H47" s="74">
        <v>75</v>
      </c>
      <c r="I47" s="75">
        <v>75</v>
      </c>
      <c r="J47" s="75">
        <v>390</v>
      </c>
      <c r="K47" s="64">
        <f t="shared" si="2"/>
        <v>690</v>
      </c>
      <c r="L47" s="76" t="s">
        <v>824</v>
      </c>
      <c r="M47" s="66"/>
    </row>
    <row r="48" spans="1:13" hidden="1" x14ac:dyDescent="0.3">
      <c r="A48" s="84">
        <v>200</v>
      </c>
      <c r="B48" s="69" t="s">
        <v>834</v>
      </c>
      <c r="C48" s="69" t="s">
        <v>787</v>
      </c>
      <c r="D48" s="85" t="s">
        <v>826</v>
      </c>
      <c r="E48" s="63" t="s">
        <v>789</v>
      </c>
      <c r="F48" s="73"/>
      <c r="G48" s="74"/>
      <c r="H48" s="74">
        <v>2000</v>
      </c>
      <c r="I48" s="75"/>
      <c r="J48" s="75"/>
      <c r="K48" s="64">
        <f t="shared" si="2"/>
        <v>2000</v>
      </c>
      <c r="L48" s="76"/>
      <c r="M48" s="66"/>
    </row>
  </sheetData>
  <autoFilter ref="A4:M48" xr:uid="{AA7F2ED6-FEC4-4B4F-8EE4-7F6398BC8A5C}">
    <filterColumn colId="0">
      <filters>
        <filter val="93"/>
      </filters>
    </filterColumn>
  </autoFilter>
  <mergeCells count="2">
    <mergeCell ref="A1:L1"/>
    <mergeCell ref="E3:F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5AB3E-30A3-4914-8A10-40A5873A6189}">
  <sheetPr codeName="Sheet5"/>
  <dimension ref="A1:N34"/>
  <sheetViews>
    <sheetView showGridLines="0" workbookViewId="0">
      <selection activeCell="D10" sqref="D10"/>
    </sheetView>
  </sheetViews>
  <sheetFormatPr defaultRowHeight="14.4" x14ac:dyDescent="0.3"/>
  <cols>
    <col min="1" max="1" width="7" style="56" customWidth="1"/>
    <col min="2" max="3" width="20" style="56" customWidth="1"/>
    <col min="4" max="4" width="44.109375" bestFit="1" customWidth="1"/>
    <col min="5" max="5" width="39.33203125" bestFit="1" customWidth="1"/>
    <col min="6" max="6" width="27.88671875" bestFit="1" customWidth="1"/>
    <col min="7" max="7" width="25.5546875" customWidth="1"/>
    <col min="8" max="8" width="16.5546875" customWidth="1"/>
    <col min="9" max="11" width="21.5546875" customWidth="1"/>
    <col min="12" max="12" width="22.109375" bestFit="1" customWidth="1"/>
    <col min="13" max="13" width="32" bestFit="1" customWidth="1"/>
    <col min="14" max="14" width="57.44140625" bestFit="1" customWidth="1"/>
    <col min="15" max="15" width="38.6640625" customWidth="1"/>
  </cols>
  <sheetData>
    <row r="1" spans="1:14" ht="19.5" customHeight="1" x14ac:dyDescent="0.4">
      <c r="A1" s="1" t="s">
        <v>769</v>
      </c>
      <c r="B1" s="267"/>
      <c r="C1" s="267"/>
      <c r="D1" s="267"/>
      <c r="E1" s="267"/>
      <c r="F1" s="267"/>
      <c r="G1" s="267"/>
      <c r="H1" s="267"/>
    </row>
    <row r="3" spans="1:14" x14ac:dyDescent="0.3">
      <c r="A3" s="135" t="s">
        <v>770</v>
      </c>
      <c r="B3" s="135" t="s">
        <v>692</v>
      </c>
      <c r="C3" s="135" t="s">
        <v>787</v>
      </c>
      <c r="D3" s="135" t="s">
        <v>837</v>
      </c>
      <c r="E3" s="135" t="s">
        <v>838</v>
      </c>
      <c r="F3" s="135"/>
      <c r="G3" s="269" t="s">
        <v>772</v>
      </c>
      <c r="H3" s="269"/>
      <c r="I3" s="135" t="s">
        <v>944</v>
      </c>
      <c r="J3" s="135" t="s">
        <v>780</v>
      </c>
      <c r="K3" s="135" t="s">
        <v>781</v>
      </c>
      <c r="L3" s="135" t="s">
        <v>782</v>
      </c>
      <c r="M3" s="135" t="s">
        <v>773</v>
      </c>
      <c r="N3" s="135" t="s">
        <v>839</v>
      </c>
    </row>
    <row r="4" spans="1:14" s="67" customFormat="1" x14ac:dyDescent="0.3">
      <c r="A4" s="88" t="s">
        <v>692</v>
      </c>
      <c r="B4" s="88" t="s">
        <v>774</v>
      </c>
      <c r="C4" s="88"/>
      <c r="D4" s="89" t="s">
        <v>840</v>
      </c>
      <c r="E4" s="89" t="s">
        <v>841</v>
      </c>
      <c r="F4" s="89"/>
      <c r="G4" s="89" t="s">
        <v>777</v>
      </c>
      <c r="H4" s="88" t="s">
        <v>778</v>
      </c>
      <c r="I4" s="90"/>
      <c r="J4" s="90"/>
      <c r="K4" s="90"/>
      <c r="L4" s="90"/>
      <c r="M4" s="88" t="s">
        <v>784</v>
      </c>
      <c r="N4" s="91"/>
    </row>
    <row r="5" spans="1:14" s="67" customFormat="1" x14ac:dyDescent="0.3">
      <c r="A5" s="92">
        <v>95</v>
      </c>
      <c r="B5" s="9" t="s">
        <v>842</v>
      </c>
      <c r="C5" s="102" t="s">
        <v>945</v>
      </c>
      <c r="D5" s="102"/>
      <c r="E5" s="89"/>
      <c r="F5" s="89"/>
      <c r="G5" s="177" t="s">
        <v>946</v>
      </c>
      <c r="H5" s="88"/>
      <c r="I5" s="90"/>
      <c r="J5" s="178">
        <v>2000</v>
      </c>
      <c r="K5" s="90"/>
      <c r="L5" s="90"/>
      <c r="M5" s="88"/>
      <c r="N5" s="91"/>
    </row>
    <row r="6" spans="1:14" x14ac:dyDescent="0.3">
      <c r="A6" s="92">
        <v>95</v>
      </c>
      <c r="B6" s="9" t="s">
        <v>842</v>
      </c>
      <c r="C6" s="9"/>
      <c r="D6" s="9" t="s">
        <v>843</v>
      </c>
      <c r="E6" s="9" t="s">
        <v>836</v>
      </c>
      <c r="F6" s="9"/>
      <c r="G6" s="93">
        <v>3.2000000000000001E-2</v>
      </c>
      <c r="H6" s="94">
        <v>5.0000000000000001E-3</v>
      </c>
      <c r="I6" s="95">
        <v>300</v>
      </c>
      <c r="J6" s="95">
        <v>150</v>
      </c>
      <c r="K6" s="95">
        <v>150</v>
      </c>
      <c r="L6" s="96"/>
      <c r="M6" s="4" t="s">
        <v>824</v>
      </c>
      <c r="N6" s="97"/>
    </row>
    <row r="7" spans="1:14" x14ac:dyDescent="0.3">
      <c r="A7" s="92">
        <v>103</v>
      </c>
      <c r="B7" s="9" t="s">
        <v>844</v>
      </c>
      <c r="C7" s="9" t="s">
        <v>947</v>
      </c>
      <c r="D7" s="9"/>
      <c r="E7" s="9"/>
      <c r="F7" s="9"/>
      <c r="G7" s="177" t="s">
        <v>948</v>
      </c>
      <c r="H7" s="94"/>
      <c r="I7" s="95"/>
      <c r="J7" s="95">
        <v>2000</v>
      </c>
      <c r="K7" s="95"/>
      <c r="L7" s="96"/>
      <c r="M7" s="4"/>
      <c r="N7" s="97"/>
    </row>
    <row r="8" spans="1:14" x14ac:dyDescent="0.3">
      <c r="A8" s="92">
        <v>103</v>
      </c>
      <c r="B8" s="9" t="s">
        <v>844</v>
      </c>
      <c r="C8" s="9"/>
      <c r="D8" s="9" t="s">
        <v>148</v>
      </c>
      <c r="E8" s="9" t="s">
        <v>836</v>
      </c>
      <c r="F8" s="9"/>
      <c r="G8" s="93">
        <v>3.2000000000000001E-2</v>
      </c>
      <c r="H8" s="94">
        <v>5.0000000000000001E-3</v>
      </c>
      <c r="I8" s="95">
        <v>400</v>
      </c>
      <c r="J8" s="95">
        <v>200</v>
      </c>
      <c r="K8" s="95">
        <v>200</v>
      </c>
      <c r="L8" s="96"/>
      <c r="M8" s="4" t="s">
        <v>792</v>
      </c>
      <c r="N8" s="97"/>
    </row>
    <row r="9" spans="1:14" x14ac:dyDescent="0.3">
      <c r="A9" s="92">
        <v>104</v>
      </c>
      <c r="B9" s="4" t="s">
        <v>845</v>
      </c>
      <c r="C9" s="9" t="s">
        <v>949</v>
      </c>
      <c r="D9" s="9"/>
      <c r="E9" s="9"/>
      <c r="F9" s="9"/>
      <c r="G9" s="177" t="s">
        <v>946</v>
      </c>
      <c r="H9" s="94"/>
      <c r="I9" s="95"/>
      <c r="J9" s="95"/>
      <c r="K9" s="95"/>
      <c r="L9" s="96"/>
      <c r="M9" s="4"/>
      <c r="N9" s="97"/>
    </row>
    <row r="10" spans="1:14" x14ac:dyDescent="0.3">
      <c r="A10" s="92">
        <v>104</v>
      </c>
      <c r="B10" s="4" t="s">
        <v>845</v>
      </c>
      <c r="C10" s="4"/>
      <c r="D10" s="104" t="s">
        <v>169</v>
      </c>
      <c r="E10" s="9" t="s">
        <v>950</v>
      </c>
      <c r="F10" s="9"/>
      <c r="G10" s="93">
        <v>0.02</v>
      </c>
      <c r="H10" s="94">
        <v>5.0000000000000001E-3</v>
      </c>
      <c r="I10" s="95">
        <v>300</v>
      </c>
      <c r="J10" s="95"/>
      <c r="K10" s="95"/>
      <c r="L10" s="96"/>
      <c r="M10" s="4" t="s">
        <v>824</v>
      </c>
      <c r="N10" s="97"/>
    </row>
    <row r="11" spans="1:14" x14ac:dyDescent="0.3">
      <c r="A11" s="92">
        <v>105</v>
      </c>
      <c r="B11" s="9" t="s">
        <v>846</v>
      </c>
      <c r="C11" s="4" t="s">
        <v>951</v>
      </c>
      <c r="D11" s="104"/>
      <c r="E11" s="179"/>
      <c r="F11" s="98"/>
      <c r="G11" s="177" t="s">
        <v>952</v>
      </c>
      <c r="H11" s="94"/>
      <c r="I11" s="95"/>
      <c r="J11" s="95"/>
      <c r="K11" s="95"/>
      <c r="L11" s="96"/>
      <c r="M11" s="4"/>
      <c r="N11" s="97"/>
    </row>
    <row r="12" spans="1:14" x14ac:dyDescent="0.3">
      <c r="A12" s="92">
        <v>105</v>
      </c>
      <c r="B12" s="9" t="s">
        <v>846</v>
      </c>
      <c r="C12" s="9"/>
      <c r="D12" s="99" t="s">
        <v>847</v>
      </c>
      <c r="E12" s="180" t="s">
        <v>191</v>
      </c>
      <c r="F12" s="99"/>
      <c r="G12" s="93">
        <v>2.8000000000000001E-2</v>
      </c>
      <c r="H12" s="94">
        <v>5.0000000000000001E-3</v>
      </c>
      <c r="I12" s="95">
        <v>300</v>
      </c>
      <c r="J12" s="95"/>
      <c r="K12" s="95"/>
      <c r="L12" s="96"/>
      <c r="M12" s="4" t="s">
        <v>824</v>
      </c>
      <c r="N12" s="97"/>
    </row>
    <row r="13" spans="1:14" x14ac:dyDescent="0.3">
      <c r="A13" s="92">
        <v>126</v>
      </c>
      <c r="B13" s="9" t="s">
        <v>848</v>
      </c>
      <c r="C13" s="9" t="s">
        <v>953</v>
      </c>
      <c r="D13" s="99"/>
      <c r="E13" s="99"/>
      <c r="F13" s="99"/>
      <c r="G13" s="177" t="s">
        <v>952</v>
      </c>
      <c r="H13" s="94"/>
      <c r="I13" s="95"/>
      <c r="J13" s="95">
        <v>2000</v>
      </c>
      <c r="K13" s="95"/>
      <c r="L13" s="96"/>
      <c r="M13" s="4"/>
      <c r="N13" s="97"/>
    </row>
    <row r="14" spans="1:14" x14ac:dyDescent="0.3">
      <c r="A14" s="92">
        <v>126</v>
      </c>
      <c r="B14" s="9" t="s">
        <v>848</v>
      </c>
      <c r="C14" s="9"/>
      <c r="D14" s="103" t="s">
        <v>696</v>
      </c>
      <c r="E14" s="103" t="s">
        <v>697</v>
      </c>
      <c r="F14" s="181"/>
      <c r="G14" s="93">
        <v>3.2000000000000001E-2</v>
      </c>
      <c r="H14" s="94">
        <v>5.0000000000000001E-3</v>
      </c>
      <c r="I14" s="95">
        <v>300</v>
      </c>
      <c r="J14" s="95">
        <v>200</v>
      </c>
      <c r="K14" s="95">
        <v>200</v>
      </c>
      <c r="L14" s="96"/>
      <c r="M14" s="4" t="s">
        <v>812</v>
      </c>
      <c r="N14" s="100"/>
    </row>
    <row r="15" spans="1:14" x14ac:dyDescent="0.3">
      <c r="A15" s="92">
        <v>127</v>
      </c>
      <c r="B15" s="9" t="s">
        <v>849</v>
      </c>
      <c r="C15" s="9" t="s">
        <v>954</v>
      </c>
      <c r="D15" s="103"/>
      <c r="E15" s="103"/>
      <c r="F15" s="181"/>
      <c r="G15" s="177" t="s">
        <v>955</v>
      </c>
      <c r="H15" s="94"/>
      <c r="I15" s="95"/>
      <c r="J15" s="95">
        <v>2000</v>
      </c>
      <c r="K15" s="95"/>
      <c r="L15" s="96"/>
      <c r="M15" s="4"/>
      <c r="N15" s="100"/>
    </row>
    <row r="16" spans="1:14" x14ac:dyDescent="0.3">
      <c r="A16" s="92">
        <v>127</v>
      </c>
      <c r="B16" s="9" t="s">
        <v>849</v>
      </c>
      <c r="C16" s="9"/>
      <c r="D16" s="9" t="s">
        <v>850</v>
      </c>
      <c r="E16" s="182" t="s">
        <v>956</v>
      </c>
      <c r="F16" s="9"/>
      <c r="G16" s="93">
        <v>3.2000000000000001E-2</v>
      </c>
      <c r="H16" s="94">
        <v>5.0000000000000001E-3</v>
      </c>
      <c r="I16" s="95">
        <v>300</v>
      </c>
      <c r="J16" s="95">
        <v>150</v>
      </c>
      <c r="K16" s="95"/>
      <c r="L16" s="96"/>
      <c r="M16" s="4" t="s">
        <v>824</v>
      </c>
      <c r="N16" s="101"/>
    </row>
    <row r="17" spans="1:14" x14ac:dyDescent="0.3">
      <c r="A17" s="92">
        <v>154</v>
      </c>
      <c r="B17" s="9" t="s">
        <v>851</v>
      </c>
      <c r="C17" s="102" t="s">
        <v>385</v>
      </c>
      <c r="D17" s="9"/>
      <c r="E17" s="182"/>
      <c r="F17" s="9"/>
      <c r="G17" s="177" t="s">
        <v>957</v>
      </c>
      <c r="H17" s="94"/>
      <c r="I17" s="95"/>
      <c r="J17" s="95">
        <v>2000</v>
      </c>
      <c r="K17" s="95"/>
      <c r="L17" s="96">
        <v>4925.3900000000003</v>
      </c>
      <c r="M17" s="4"/>
      <c r="N17" s="101"/>
    </row>
    <row r="18" spans="1:14" x14ac:dyDescent="0.3">
      <c r="A18" s="92">
        <v>154</v>
      </c>
      <c r="B18" s="9" t="s">
        <v>851</v>
      </c>
      <c r="C18" s="9"/>
      <c r="D18" s="182" t="s">
        <v>836</v>
      </c>
      <c r="E18" s="182" t="s">
        <v>958</v>
      </c>
      <c r="F18" s="9"/>
      <c r="G18" s="93">
        <v>3.2000000000000001E-2</v>
      </c>
      <c r="H18" s="94">
        <v>5.0000000000000001E-3</v>
      </c>
      <c r="I18" s="95">
        <v>300</v>
      </c>
      <c r="J18" s="95">
        <v>150</v>
      </c>
      <c r="K18" s="95">
        <v>150</v>
      </c>
      <c r="L18" s="96"/>
      <c r="M18" s="4" t="s">
        <v>824</v>
      </c>
      <c r="N18" s="103"/>
    </row>
    <row r="19" spans="1:14" x14ac:dyDescent="0.3">
      <c r="A19" s="92">
        <v>157</v>
      </c>
      <c r="B19" s="9" t="s">
        <v>852</v>
      </c>
      <c r="C19" s="9" t="s">
        <v>959</v>
      </c>
      <c r="D19" s="103"/>
      <c r="E19" s="182"/>
      <c r="F19" s="9"/>
      <c r="G19" s="177" t="s">
        <v>955</v>
      </c>
      <c r="H19" s="94"/>
      <c r="I19" s="95"/>
      <c r="J19" s="95">
        <v>2000</v>
      </c>
      <c r="K19" s="95"/>
      <c r="L19" s="96"/>
      <c r="M19" s="4"/>
      <c r="N19" s="103"/>
    </row>
    <row r="20" spans="1:14" x14ac:dyDescent="0.3">
      <c r="A20" s="92">
        <v>157</v>
      </c>
      <c r="B20" s="9" t="s">
        <v>852</v>
      </c>
      <c r="C20" s="9"/>
      <c r="D20" s="104" t="s">
        <v>415</v>
      </c>
      <c r="E20" s="182" t="s">
        <v>836</v>
      </c>
      <c r="F20" s="9"/>
      <c r="G20" s="93">
        <v>3.2000000000000001E-2</v>
      </c>
      <c r="H20" s="94">
        <v>5.0000000000000001E-3</v>
      </c>
      <c r="I20" s="95">
        <v>300</v>
      </c>
      <c r="J20" s="95">
        <v>150</v>
      </c>
      <c r="K20" s="95">
        <v>150</v>
      </c>
      <c r="L20" s="96"/>
      <c r="M20" s="4" t="s">
        <v>824</v>
      </c>
      <c r="N20" s="104"/>
    </row>
    <row r="21" spans="1:14" x14ac:dyDescent="0.3">
      <c r="A21" s="92">
        <v>161</v>
      </c>
      <c r="B21" s="9" t="s">
        <v>853</v>
      </c>
      <c r="C21" s="9" t="s">
        <v>960</v>
      </c>
      <c r="D21" s="104"/>
      <c r="E21" s="182"/>
      <c r="F21" s="9"/>
      <c r="G21" s="177" t="s">
        <v>961</v>
      </c>
      <c r="H21" s="94"/>
      <c r="I21" s="95"/>
      <c r="J21" s="95">
        <v>2000</v>
      </c>
      <c r="K21" s="95"/>
      <c r="L21" s="96"/>
      <c r="M21" s="4"/>
      <c r="N21" s="104"/>
    </row>
    <row r="22" spans="1:14" x14ac:dyDescent="0.3">
      <c r="A22" s="92">
        <v>161</v>
      </c>
      <c r="B22" s="9" t="s">
        <v>853</v>
      </c>
      <c r="C22" s="9"/>
      <c r="D22" s="105" t="s">
        <v>436</v>
      </c>
      <c r="E22" s="182" t="s">
        <v>836</v>
      </c>
      <c r="F22" s="9"/>
      <c r="G22" s="93">
        <v>3.2000000000000001E-2</v>
      </c>
      <c r="H22" s="94">
        <v>5.0000000000000001E-3</v>
      </c>
      <c r="I22" s="95">
        <v>300</v>
      </c>
      <c r="J22" s="95">
        <v>150</v>
      </c>
      <c r="K22" s="95">
        <v>150</v>
      </c>
      <c r="L22" s="96"/>
      <c r="M22" s="4" t="s">
        <v>824</v>
      </c>
      <c r="N22" s="101"/>
    </row>
    <row r="23" spans="1:14" x14ac:dyDescent="0.3">
      <c r="A23" s="92">
        <v>166</v>
      </c>
      <c r="B23" s="9" t="s">
        <v>854</v>
      </c>
      <c r="C23" s="9" t="s">
        <v>962</v>
      </c>
      <c r="D23" s="105"/>
      <c r="E23" s="182"/>
      <c r="F23" s="9"/>
      <c r="G23" s="177" t="s">
        <v>961</v>
      </c>
      <c r="H23" s="94"/>
      <c r="I23" s="95"/>
      <c r="J23" s="95">
        <v>2000</v>
      </c>
      <c r="K23" s="95"/>
      <c r="L23" s="96"/>
      <c r="M23" s="4"/>
      <c r="N23" s="101"/>
    </row>
    <row r="24" spans="1:14" x14ac:dyDescent="0.3">
      <c r="A24" s="92">
        <v>166</v>
      </c>
      <c r="B24" s="9" t="s">
        <v>854</v>
      </c>
      <c r="C24" s="9"/>
      <c r="D24" s="103" t="s">
        <v>458</v>
      </c>
      <c r="E24" s="182" t="s">
        <v>836</v>
      </c>
      <c r="F24" s="9"/>
      <c r="G24" s="93">
        <v>3.2000000000000001E-2</v>
      </c>
      <c r="H24" s="94">
        <v>5.0000000000000001E-3</v>
      </c>
      <c r="I24" s="95">
        <v>300</v>
      </c>
      <c r="J24" s="95">
        <v>150</v>
      </c>
      <c r="K24" s="95">
        <v>150</v>
      </c>
      <c r="L24" s="96"/>
      <c r="M24" s="4" t="s">
        <v>824</v>
      </c>
      <c r="N24" s="97"/>
    </row>
    <row r="25" spans="1:14" x14ac:dyDescent="0.3">
      <c r="A25" s="92">
        <v>169</v>
      </c>
      <c r="B25" s="9" t="s">
        <v>855</v>
      </c>
      <c r="C25" s="9" t="s">
        <v>963</v>
      </c>
      <c r="D25" s="103"/>
      <c r="E25" s="9"/>
      <c r="F25" s="9"/>
      <c r="G25" s="177" t="s">
        <v>952</v>
      </c>
      <c r="H25" s="94"/>
      <c r="I25" s="95"/>
      <c r="J25" s="95">
        <v>2000</v>
      </c>
      <c r="K25" s="95"/>
      <c r="L25" s="96"/>
      <c r="M25" s="4"/>
      <c r="N25" s="97"/>
    </row>
    <row r="26" spans="1:14" x14ac:dyDescent="0.3">
      <c r="A26" s="92">
        <v>169</v>
      </c>
      <c r="B26" s="9" t="s">
        <v>855</v>
      </c>
      <c r="C26" s="9"/>
      <c r="D26" s="103" t="s">
        <v>485</v>
      </c>
      <c r="E26" s="9" t="s">
        <v>479</v>
      </c>
      <c r="F26" s="9"/>
      <c r="G26" s="93">
        <v>3.2000000000000001E-2</v>
      </c>
      <c r="H26" s="94">
        <v>5.0000000000000001E-3</v>
      </c>
      <c r="I26" s="95">
        <v>400</v>
      </c>
      <c r="J26" s="95">
        <v>200</v>
      </c>
      <c r="K26" s="95">
        <v>200</v>
      </c>
      <c r="L26" s="96"/>
      <c r="M26" s="4" t="s">
        <v>792</v>
      </c>
      <c r="N26" s="97"/>
    </row>
    <row r="27" spans="1:14" x14ac:dyDescent="0.3">
      <c r="A27" s="183">
        <v>175</v>
      </c>
      <c r="B27" s="9" t="s">
        <v>856</v>
      </c>
      <c r="C27" s="9" t="s">
        <v>964</v>
      </c>
      <c r="D27" s="103"/>
      <c r="E27" s="9"/>
      <c r="F27" s="9"/>
      <c r="G27" s="177" t="s">
        <v>946</v>
      </c>
      <c r="H27" s="94"/>
      <c r="I27" s="95"/>
      <c r="J27" s="95">
        <v>1000</v>
      </c>
      <c r="K27" s="95"/>
      <c r="L27" s="96"/>
      <c r="M27" s="4"/>
      <c r="N27" s="97"/>
    </row>
    <row r="28" spans="1:14" x14ac:dyDescent="0.3">
      <c r="A28" s="107">
        <v>175</v>
      </c>
      <c r="B28" s="9" t="s">
        <v>856</v>
      </c>
      <c r="C28" s="9"/>
      <c r="D28" s="103" t="s">
        <v>965</v>
      </c>
      <c r="E28" s="9" t="s">
        <v>857</v>
      </c>
      <c r="F28" s="9"/>
      <c r="G28" s="93" t="s">
        <v>858</v>
      </c>
      <c r="H28" s="94"/>
      <c r="I28" s="95">
        <v>400</v>
      </c>
      <c r="J28" s="95">
        <v>200</v>
      </c>
      <c r="K28" s="95">
        <v>200</v>
      </c>
      <c r="L28" s="96"/>
      <c r="M28" s="4" t="s">
        <v>792</v>
      </c>
      <c r="N28" s="9" t="s">
        <v>859</v>
      </c>
    </row>
    <row r="29" spans="1:14" x14ac:dyDescent="0.3">
      <c r="A29" s="108">
        <v>179</v>
      </c>
      <c r="B29" s="9" t="s">
        <v>860</v>
      </c>
      <c r="C29" s="9" t="s">
        <v>966</v>
      </c>
      <c r="D29" s="103"/>
      <c r="E29" s="179"/>
      <c r="F29" s="98"/>
      <c r="G29" s="177" t="s">
        <v>967</v>
      </c>
      <c r="H29" s="106"/>
      <c r="I29" s="95"/>
      <c r="J29" s="95">
        <v>2000</v>
      </c>
      <c r="K29" s="95"/>
      <c r="L29" s="96"/>
      <c r="M29" s="4"/>
      <c r="N29" s="9"/>
    </row>
    <row r="30" spans="1:14" x14ac:dyDescent="0.3">
      <c r="A30" s="108">
        <v>179</v>
      </c>
      <c r="B30" s="9" t="s">
        <v>860</v>
      </c>
      <c r="C30" s="9"/>
      <c r="D30" s="103" t="s">
        <v>536</v>
      </c>
      <c r="E30" s="103" t="s">
        <v>539</v>
      </c>
      <c r="F30" s="103"/>
      <c r="G30" s="93" t="s">
        <v>861</v>
      </c>
      <c r="H30" s="94">
        <v>5.0000000000000001E-3</v>
      </c>
      <c r="I30" s="95">
        <v>400</v>
      </c>
      <c r="J30" s="95">
        <v>200</v>
      </c>
      <c r="K30" s="95">
        <v>200</v>
      </c>
      <c r="L30" s="96"/>
      <c r="M30" s="4" t="s">
        <v>792</v>
      </c>
      <c r="N30" s="101"/>
    </row>
    <row r="31" spans="1:14" x14ac:dyDescent="0.3">
      <c r="A31" s="108">
        <v>183</v>
      </c>
      <c r="B31" s="9" t="s">
        <v>862</v>
      </c>
      <c r="C31" s="9" t="s">
        <v>863</v>
      </c>
      <c r="D31" s="103"/>
      <c r="E31" s="103"/>
      <c r="F31" s="103"/>
      <c r="G31" s="177" t="s">
        <v>967</v>
      </c>
      <c r="H31" s="106"/>
      <c r="I31" s="95"/>
      <c r="J31" s="95"/>
      <c r="K31" s="95"/>
      <c r="L31" s="96">
        <v>4500</v>
      </c>
      <c r="M31" s="4"/>
      <c r="N31" s="101"/>
    </row>
    <row r="32" spans="1:14" x14ac:dyDescent="0.3">
      <c r="A32" s="108">
        <v>183</v>
      </c>
      <c r="B32" s="9" t="s">
        <v>862</v>
      </c>
      <c r="C32" s="9"/>
      <c r="D32" s="182" t="s">
        <v>836</v>
      </c>
      <c r="E32" s="182" t="s">
        <v>836</v>
      </c>
      <c r="F32" s="9"/>
      <c r="G32" s="93">
        <v>2.8000000000000001E-2</v>
      </c>
      <c r="H32" s="94">
        <v>5.0000000000000001E-3</v>
      </c>
      <c r="I32" s="95"/>
      <c r="J32" s="95"/>
      <c r="K32" s="95"/>
      <c r="L32" s="96"/>
      <c r="M32" s="4" t="s">
        <v>792</v>
      </c>
      <c r="N32" s="9" t="s">
        <v>968</v>
      </c>
    </row>
    <row r="33" spans="1:14" x14ac:dyDescent="0.3">
      <c r="A33" s="108">
        <v>185</v>
      </c>
      <c r="B33" s="9" t="s">
        <v>864</v>
      </c>
      <c r="C33" s="9" t="s">
        <v>969</v>
      </c>
      <c r="D33" s="9"/>
      <c r="E33" s="9"/>
      <c r="F33" s="9"/>
      <c r="G33" s="177" t="s">
        <v>967</v>
      </c>
      <c r="H33" s="94"/>
      <c r="I33" s="95"/>
      <c r="J33" s="95">
        <v>2000</v>
      </c>
      <c r="K33" s="95"/>
      <c r="L33" s="96"/>
      <c r="M33" s="4"/>
      <c r="N33" s="9"/>
    </row>
    <row r="34" spans="1:14" x14ac:dyDescent="0.3">
      <c r="A34" s="108">
        <v>185</v>
      </c>
      <c r="B34" s="9" t="s">
        <v>864</v>
      </c>
      <c r="C34" s="9"/>
      <c r="D34" s="9" t="s">
        <v>865</v>
      </c>
      <c r="E34" s="9" t="s">
        <v>836</v>
      </c>
      <c r="F34" s="9"/>
      <c r="G34" s="93">
        <v>2.8000000000000001E-2</v>
      </c>
      <c r="H34" s="94">
        <v>5.0000000000000001E-3</v>
      </c>
      <c r="I34" s="95">
        <v>400</v>
      </c>
      <c r="J34" s="95">
        <v>200</v>
      </c>
      <c r="K34" s="95"/>
      <c r="L34" s="96"/>
      <c r="M34" s="4" t="s">
        <v>792</v>
      </c>
      <c r="N34" s="97"/>
    </row>
  </sheetData>
  <mergeCells count="2">
    <mergeCell ref="A1:H1"/>
    <mergeCell ref="G3:H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32664-AE6D-4232-88B1-B33574FDFA96}">
  <sheetPr codeName="Sheet7"/>
  <dimension ref="A1:F23"/>
  <sheetViews>
    <sheetView workbookViewId="0">
      <selection sqref="A1:XFD1048576"/>
    </sheetView>
  </sheetViews>
  <sheetFormatPr defaultRowHeight="14.4" x14ac:dyDescent="0.3"/>
  <cols>
    <col min="1" max="1" width="7.33203125" customWidth="1"/>
    <col min="2" max="2" width="6" bestFit="1" customWidth="1"/>
    <col min="3" max="3" width="4" bestFit="1" customWidth="1"/>
    <col min="4" max="4" width="13.109375" bestFit="1" customWidth="1"/>
    <col min="5" max="5" width="12.109375" bestFit="1" customWidth="1"/>
    <col min="6" max="6" width="11" bestFit="1" customWidth="1"/>
  </cols>
  <sheetData>
    <row r="1" spans="1:6" x14ac:dyDescent="0.3">
      <c r="A1" s="119" t="s">
        <v>869</v>
      </c>
      <c r="B1" s="120"/>
    </row>
    <row r="2" spans="1:6" x14ac:dyDescent="0.3">
      <c r="A2" s="119" t="s">
        <v>870</v>
      </c>
      <c r="B2" s="120"/>
    </row>
    <row r="3" spans="1:6" x14ac:dyDescent="0.3">
      <c r="A3" s="119"/>
      <c r="B3" s="120"/>
    </row>
    <row r="4" spans="1:6" x14ac:dyDescent="0.3">
      <c r="A4" s="121"/>
      <c r="B4" s="122"/>
      <c r="C4" s="123"/>
      <c r="D4" s="124"/>
      <c r="E4" s="125"/>
    </row>
    <row r="5" spans="1:6" x14ac:dyDescent="0.3">
      <c r="A5" s="126">
        <v>95</v>
      </c>
      <c r="B5" s="127">
        <v>56</v>
      </c>
      <c r="C5" s="128">
        <v>85</v>
      </c>
      <c r="D5" s="129">
        <f>F5</f>
        <v>7000</v>
      </c>
      <c r="E5" s="130">
        <v>70</v>
      </c>
      <c r="F5" s="18">
        <f>E5*100</f>
        <v>7000</v>
      </c>
    </row>
    <row r="6" spans="1:6" x14ac:dyDescent="0.3">
      <c r="A6" s="126">
        <v>95</v>
      </c>
      <c r="B6" s="127">
        <v>59</v>
      </c>
      <c r="C6" s="128">
        <v>85</v>
      </c>
      <c r="D6" s="129">
        <f t="shared" ref="D6:D23" si="0">F6</f>
        <v>7000</v>
      </c>
      <c r="E6" s="130">
        <v>70</v>
      </c>
      <c r="F6" s="18">
        <f t="shared" ref="F6:F23" si="1">E6*100</f>
        <v>7000</v>
      </c>
    </row>
    <row r="7" spans="1:6" x14ac:dyDescent="0.3">
      <c r="A7" s="126">
        <v>95</v>
      </c>
      <c r="B7" s="127">
        <v>80</v>
      </c>
      <c r="C7" s="128">
        <v>85</v>
      </c>
      <c r="D7" s="129">
        <f t="shared" si="0"/>
        <v>7000</v>
      </c>
      <c r="E7" s="130">
        <v>70</v>
      </c>
      <c r="F7" s="18">
        <f t="shared" si="1"/>
        <v>7000</v>
      </c>
    </row>
    <row r="8" spans="1:6" x14ac:dyDescent="0.3">
      <c r="A8" s="126">
        <v>95</v>
      </c>
      <c r="B8" s="127">
        <v>84</v>
      </c>
      <c r="C8" s="128">
        <v>85</v>
      </c>
      <c r="D8" s="129">
        <f t="shared" si="0"/>
        <v>7000</v>
      </c>
      <c r="E8" s="130">
        <v>70</v>
      </c>
      <c r="F8" s="18">
        <f t="shared" si="1"/>
        <v>7000</v>
      </c>
    </row>
    <row r="9" spans="1:6" x14ac:dyDescent="0.3">
      <c r="A9" s="126">
        <v>103</v>
      </c>
      <c r="B9" s="127">
        <v>184</v>
      </c>
      <c r="C9" s="128">
        <v>85</v>
      </c>
      <c r="D9" s="129">
        <f t="shared" si="0"/>
        <v>7000</v>
      </c>
      <c r="E9" s="130">
        <v>70</v>
      </c>
      <c r="F9" s="18">
        <f t="shared" si="1"/>
        <v>7000</v>
      </c>
    </row>
    <row r="10" spans="1:6" x14ac:dyDescent="0.3">
      <c r="A10" s="126">
        <v>103</v>
      </c>
      <c r="B10" s="127">
        <v>185</v>
      </c>
      <c r="C10" s="128">
        <v>85</v>
      </c>
      <c r="D10" s="129">
        <f t="shared" si="0"/>
        <v>7000</v>
      </c>
      <c r="E10" s="130">
        <v>70</v>
      </c>
      <c r="F10" s="18">
        <f t="shared" si="1"/>
        <v>7000</v>
      </c>
    </row>
    <row r="11" spans="1:6" x14ac:dyDescent="0.3">
      <c r="A11" s="126">
        <v>103</v>
      </c>
      <c r="B11" s="127">
        <v>187</v>
      </c>
      <c r="C11" s="128">
        <v>85</v>
      </c>
      <c r="D11" s="129">
        <f t="shared" si="0"/>
        <v>7000</v>
      </c>
      <c r="E11" s="130">
        <v>70</v>
      </c>
      <c r="F11" s="18">
        <f t="shared" si="1"/>
        <v>7000</v>
      </c>
    </row>
    <row r="12" spans="1:6" x14ac:dyDescent="0.3">
      <c r="A12" s="126">
        <v>103</v>
      </c>
      <c r="B12" s="127">
        <v>199</v>
      </c>
      <c r="C12" s="128">
        <v>85</v>
      </c>
      <c r="D12" s="129">
        <f t="shared" si="0"/>
        <v>7000</v>
      </c>
      <c r="E12" s="130">
        <v>70</v>
      </c>
      <c r="F12" s="18">
        <f t="shared" si="1"/>
        <v>7000</v>
      </c>
    </row>
    <row r="13" spans="1:6" x14ac:dyDescent="0.3">
      <c r="A13" s="126">
        <v>116</v>
      </c>
      <c r="B13" s="127">
        <v>143</v>
      </c>
      <c r="C13" s="128">
        <v>85</v>
      </c>
      <c r="D13" s="129">
        <f t="shared" si="0"/>
        <v>7000</v>
      </c>
      <c r="E13" s="130">
        <v>70</v>
      </c>
      <c r="F13" s="18">
        <f t="shared" si="1"/>
        <v>7000</v>
      </c>
    </row>
    <row r="14" spans="1:6" x14ac:dyDescent="0.3">
      <c r="A14" s="126">
        <v>116</v>
      </c>
      <c r="B14" s="127">
        <v>144</v>
      </c>
      <c r="C14" s="128">
        <v>85</v>
      </c>
      <c r="D14" s="129">
        <f t="shared" si="0"/>
        <v>7000</v>
      </c>
      <c r="E14" s="130">
        <v>70</v>
      </c>
      <c r="F14" s="18">
        <f t="shared" si="1"/>
        <v>7000</v>
      </c>
    </row>
    <row r="15" spans="1:6" x14ac:dyDescent="0.3">
      <c r="A15" s="126">
        <v>116</v>
      </c>
      <c r="B15" s="127">
        <v>146</v>
      </c>
      <c r="C15" s="128">
        <v>85</v>
      </c>
      <c r="D15" s="129">
        <f t="shared" si="0"/>
        <v>7000</v>
      </c>
      <c r="E15" s="130">
        <v>70</v>
      </c>
      <c r="F15" s="18">
        <f t="shared" si="1"/>
        <v>7000</v>
      </c>
    </row>
    <row r="16" spans="1:6" x14ac:dyDescent="0.3">
      <c r="A16" s="126">
        <v>116</v>
      </c>
      <c r="B16" s="127">
        <v>148</v>
      </c>
      <c r="C16" s="128">
        <v>85</v>
      </c>
      <c r="D16" s="129">
        <f t="shared" si="0"/>
        <v>7000</v>
      </c>
      <c r="E16" s="130">
        <v>70</v>
      </c>
      <c r="F16" s="18">
        <f t="shared" si="1"/>
        <v>7000</v>
      </c>
    </row>
    <row r="17" spans="1:6" x14ac:dyDescent="0.3">
      <c r="A17" s="126">
        <v>116</v>
      </c>
      <c r="B17" s="127">
        <v>164</v>
      </c>
      <c r="C17" s="128">
        <v>85</v>
      </c>
      <c r="D17" s="129">
        <f t="shared" si="0"/>
        <v>7000</v>
      </c>
      <c r="E17" s="130">
        <v>70</v>
      </c>
      <c r="F17" s="18">
        <f t="shared" si="1"/>
        <v>7000</v>
      </c>
    </row>
    <row r="18" spans="1:6" x14ac:dyDescent="0.3">
      <c r="A18" s="126">
        <v>116</v>
      </c>
      <c r="B18" s="127">
        <v>169</v>
      </c>
      <c r="C18" s="128">
        <v>85</v>
      </c>
      <c r="D18" s="129">
        <f t="shared" si="0"/>
        <v>7000</v>
      </c>
      <c r="E18" s="130">
        <v>70</v>
      </c>
      <c r="F18" s="18">
        <f t="shared" si="1"/>
        <v>7000</v>
      </c>
    </row>
    <row r="19" spans="1:6" x14ac:dyDescent="0.3">
      <c r="A19" s="126">
        <v>156</v>
      </c>
      <c r="B19" s="127">
        <v>67</v>
      </c>
      <c r="C19" s="128">
        <v>85</v>
      </c>
      <c r="D19" s="129">
        <f t="shared" si="0"/>
        <v>7000</v>
      </c>
      <c r="E19" s="130">
        <v>70</v>
      </c>
      <c r="F19" s="18">
        <f t="shared" si="1"/>
        <v>7000</v>
      </c>
    </row>
    <row r="20" spans="1:6" x14ac:dyDescent="0.3">
      <c r="A20" s="126">
        <v>156</v>
      </c>
      <c r="B20" s="127">
        <v>72</v>
      </c>
      <c r="C20" s="128">
        <v>85</v>
      </c>
      <c r="D20" s="129">
        <f t="shared" si="0"/>
        <v>7000</v>
      </c>
      <c r="E20" s="130">
        <v>70</v>
      </c>
      <c r="F20" s="18">
        <f t="shared" si="1"/>
        <v>7000</v>
      </c>
    </row>
    <row r="21" spans="1:6" x14ac:dyDescent="0.3">
      <c r="A21" s="126">
        <v>156</v>
      </c>
      <c r="B21" s="127">
        <v>75</v>
      </c>
      <c r="C21" s="128">
        <v>85</v>
      </c>
      <c r="D21" s="129">
        <f t="shared" si="0"/>
        <v>7000</v>
      </c>
      <c r="E21" s="130">
        <v>70</v>
      </c>
      <c r="F21" s="18">
        <f t="shared" si="1"/>
        <v>7000</v>
      </c>
    </row>
    <row r="22" spans="1:6" x14ac:dyDescent="0.3">
      <c r="A22" s="126">
        <v>156</v>
      </c>
      <c r="B22" s="127">
        <v>76</v>
      </c>
      <c r="C22" s="128">
        <v>85</v>
      </c>
      <c r="D22" s="129">
        <f t="shared" si="0"/>
        <v>7000</v>
      </c>
      <c r="E22" s="130">
        <v>70</v>
      </c>
      <c r="F22" s="18">
        <f t="shared" si="1"/>
        <v>7000</v>
      </c>
    </row>
    <row r="23" spans="1:6" x14ac:dyDescent="0.3">
      <c r="A23" s="126">
        <v>156</v>
      </c>
      <c r="B23" s="127">
        <v>78</v>
      </c>
      <c r="C23" s="128">
        <v>85</v>
      </c>
      <c r="D23" s="129">
        <f t="shared" si="0"/>
        <v>7000</v>
      </c>
      <c r="E23" s="130">
        <v>70</v>
      </c>
      <c r="F23" s="18">
        <f t="shared" si="1"/>
        <v>7000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83B29-BC7B-403D-82F6-C732DB3D6A4C}">
  <sheetPr codeName="Sheet8"/>
  <dimension ref="A1:M1000"/>
  <sheetViews>
    <sheetView workbookViewId="0">
      <selection activeCell="A5" sqref="A5:E5"/>
    </sheetView>
  </sheetViews>
  <sheetFormatPr defaultRowHeight="14.4" x14ac:dyDescent="0.3"/>
  <cols>
    <col min="1" max="1" width="8.88671875" style="131"/>
    <col min="2" max="2" width="8.44140625" style="131" customWidth="1"/>
    <col min="3" max="3" width="8.6640625" style="131" customWidth="1"/>
    <col min="4" max="4" width="13.109375" style="131" bestFit="1" customWidth="1"/>
    <col min="5" max="5" width="12.109375" bestFit="1" customWidth="1"/>
    <col min="6" max="6" width="11" bestFit="1" customWidth="1"/>
    <col min="10" max="10" width="17.109375" customWidth="1"/>
  </cols>
  <sheetData>
    <row r="1" spans="1:13" x14ac:dyDescent="0.3">
      <c r="A1"/>
      <c r="B1"/>
      <c r="C1"/>
      <c r="D1"/>
    </row>
    <row r="2" spans="1:13" x14ac:dyDescent="0.3">
      <c r="A2"/>
      <c r="B2"/>
      <c r="C2"/>
      <c r="D2"/>
    </row>
    <row r="3" spans="1:13" x14ac:dyDescent="0.3">
      <c r="A3"/>
      <c r="B3"/>
      <c r="C3"/>
      <c r="D3"/>
    </row>
    <row r="4" spans="1:13" x14ac:dyDescent="0.3">
      <c r="A4"/>
      <c r="B4"/>
      <c r="C4"/>
      <c r="D4"/>
    </row>
    <row r="5" spans="1:13" x14ac:dyDescent="0.3">
      <c r="A5" s="131" t="s">
        <v>1155</v>
      </c>
      <c r="B5" s="131" t="s">
        <v>1156</v>
      </c>
      <c r="C5" s="131" t="s">
        <v>875</v>
      </c>
      <c r="D5" s="131" t="s">
        <v>1157</v>
      </c>
      <c r="E5" s="131">
        <v>3911.8637599999997</v>
      </c>
      <c r="F5" s="131"/>
      <c r="H5" s="126"/>
      <c r="I5" s="127"/>
      <c r="J5" s="128"/>
      <c r="K5" s="129"/>
      <c r="L5" s="130"/>
      <c r="M5" s="18"/>
    </row>
    <row r="6" spans="1:13" x14ac:dyDescent="0.3">
      <c r="A6" s="131" t="s">
        <v>1155</v>
      </c>
      <c r="B6" s="131" t="s">
        <v>1170</v>
      </c>
      <c r="C6" s="131" t="s">
        <v>875</v>
      </c>
      <c r="D6" s="131" t="s">
        <v>1171</v>
      </c>
      <c r="E6" s="131">
        <v>2114.3441199999997</v>
      </c>
      <c r="F6" s="131"/>
    </row>
    <row r="7" spans="1:13" x14ac:dyDescent="0.3">
      <c r="A7" s="131" t="s">
        <v>1155</v>
      </c>
      <c r="B7" s="131" t="s">
        <v>1174</v>
      </c>
      <c r="C7" s="131" t="s">
        <v>875</v>
      </c>
      <c r="D7" s="131" t="s">
        <v>1175</v>
      </c>
      <c r="E7" s="131">
        <v>961.3374399999999</v>
      </c>
      <c r="F7" s="131"/>
    </row>
    <row r="8" spans="1:13" x14ac:dyDescent="0.3">
      <c r="A8" s="131" t="s">
        <v>1155</v>
      </c>
      <c r="B8" s="131" t="s">
        <v>1179</v>
      </c>
      <c r="C8" s="131" t="s">
        <v>875</v>
      </c>
      <c r="D8" s="131" t="s">
        <v>1180</v>
      </c>
      <c r="E8" s="131">
        <v>3211.7192799999998</v>
      </c>
      <c r="F8" s="131"/>
    </row>
    <row r="9" spans="1:13" x14ac:dyDescent="0.3">
      <c r="A9" s="131" t="s">
        <v>1155</v>
      </c>
      <c r="B9" s="131" t="s">
        <v>1182</v>
      </c>
      <c r="C9" s="131" t="s">
        <v>875</v>
      </c>
      <c r="D9" s="131" t="s">
        <v>1183</v>
      </c>
      <c r="E9" s="131" t="s">
        <v>1151</v>
      </c>
      <c r="F9" s="131"/>
    </row>
    <row r="10" spans="1:13" x14ac:dyDescent="0.3">
      <c r="E10" s="131"/>
      <c r="F10" s="131"/>
    </row>
    <row r="11" spans="1:13" x14ac:dyDescent="0.3">
      <c r="E11" s="131"/>
      <c r="F11" s="131"/>
    </row>
    <row r="12" spans="1:13" x14ac:dyDescent="0.3">
      <c r="E12" s="131"/>
      <c r="F12" s="131"/>
    </row>
    <row r="13" spans="1:13" x14ac:dyDescent="0.3">
      <c r="E13" s="131"/>
      <c r="F13" s="131"/>
    </row>
    <row r="14" spans="1:13" x14ac:dyDescent="0.3">
      <c r="E14" s="131"/>
      <c r="F14" s="131"/>
    </row>
    <row r="15" spans="1:13" x14ac:dyDescent="0.3">
      <c r="E15" s="131"/>
      <c r="F15" s="131"/>
    </row>
    <row r="16" spans="1:13" x14ac:dyDescent="0.3">
      <c r="E16" s="131"/>
      <c r="F16" s="131"/>
    </row>
    <row r="17" spans="5:6" x14ac:dyDescent="0.3">
      <c r="E17" s="131"/>
      <c r="F17" s="131"/>
    </row>
    <row r="18" spans="5:6" x14ac:dyDescent="0.3">
      <c r="E18" s="131"/>
      <c r="F18" s="131"/>
    </row>
    <row r="19" spans="5:6" x14ac:dyDescent="0.3">
      <c r="E19" s="131"/>
      <c r="F19" s="131"/>
    </row>
    <row r="20" spans="5:6" x14ac:dyDescent="0.3">
      <c r="E20" s="131"/>
      <c r="F20" s="131"/>
    </row>
    <row r="21" spans="5:6" x14ac:dyDescent="0.3">
      <c r="E21" s="131"/>
      <c r="F21" s="131"/>
    </row>
    <row r="22" spans="5:6" x14ac:dyDescent="0.3">
      <c r="E22" s="131"/>
      <c r="F22" s="131"/>
    </row>
    <row r="23" spans="5:6" x14ac:dyDescent="0.3">
      <c r="E23" s="131"/>
      <c r="F23" s="131"/>
    </row>
    <row r="24" spans="5:6" x14ac:dyDescent="0.3">
      <c r="E24" s="131"/>
      <c r="F24" s="131"/>
    </row>
    <row r="25" spans="5:6" x14ac:dyDescent="0.3">
      <c r="E25" s="131"/>
      <c r="F25" s="131"/>
    </row>
    <row r="26" spans="5:6" x14ac:dyDescent="0.3">
      <c r="E26" s="131"/>
      <c r="F26" s="131"/>
    </row>
    <row r="27" spans="5:6" x14ac:dyDescent="0.3">
      <c r="E27" s="131"/>
      <c r="F27" s="131"/>
    </row>
    <row r="28" spans="5:6" x14ac:dyDescent="0.3">
      <c r="E28" s="131"/>
      <c r="F28" s="131"/>
    </row>
    <row r="29" spans="5:6" x14ac:dyDescent="0.3">
      <c r="E29" s="131"/>
      <c r="F29" s="131"/>
    </row>
    <row r="30" spans="5:6" x14ac:dyDescent="0.3">
      <c r="E30" s="131"/>
      <c r="F30" s="131"/>
    </row>
    <row r="31" spans="5:6" x14ac:dyDescent="0.3">
      <c r="E31" s="131"/>
      <c r="F31" s="131"/>
    </row>
    <row r="32" spans="5:6" x14ac:dyDescent="0.3">
      <c r="E32" s="131"/>
      <c r="F32" s="131"/>
    </row>
    <row r="33" spans="5:6" x14ac:dyDescent="0.3">
      <c r="E33" s="131"/>
      <c r="F33" s="131"/>
    </row>
    <row r="34" spans="5:6" x14ac:dyDescent="0.3">
      <c r="E34" s="131"/>
      <c r="F34" s="131"/>
    </row>
    <row r="35" spans="5:6" x14ac:dyDescent="0.3">
      <c r="E35" s="131"/>
      <c r="F35" s="131"/>
    </row>
    <row r="36" spans="5:6" x14ac:dyDescent="0.3">
      <c r="E36" s="131"/>
      <c r="F36" s="131"/>
    </row>
    <row r="37" spans="5:6" x14ac:dyDescent="0.3">
      <c r="E37" s="131"/>
      <c r="F37" s="131"/>
    </row>
    <row r="38" spans="5:6" x14ac:dyDescent="0.3">
      <c r="E38" s="131"/>
      <c r="F38" s="131"/>
    </row>
    <row r="39" spans="5:6" x14ac:dyDescent="0.3">
      <c r="E39" s="131"/>
      <c r="F39" s="131"/>
    </row>
    <row r="40" spans="5:6" x14ac:dyDescent="0.3">
      <c r="E40" s="131"/>
      <c r="F40" s="131"/>
    </row>
    <row r="41" spans="5:6" x14ac:dyDescent="0.3">
      <c r="E41" s="131"/>
      <c r="F41" s="131"/>
    </row>
    <row r="42" spans="5:6" x14ac:dyDescent="0.3">
      <c r="E42" s="131"/>
      <c r="F42" s="131"/>
    </row>
    <row r="43" spans="5:6" x14ac:dyDescent="0.3">
      <c r="E43" s="131"/>
      <c r="F43" s="131"/>
    </row>
    <row r="44" spans="5:6" x14ac:dyDescent="0.3">
      <c r="E44" s="131"/>
      <c r="F44" s="131"/>
    </row>
    <row r="45" spans="5:6" x14ac:dyDescent="0.3">
      <c r="E45" s="131"/>
      <c r="F45" s="131"/>
    </row>
    <row r="46" spans="5:6" x14ac:dyDescent="0.3">
      <c r="E46" s="131"/>
      <c r="F46" s="131"/>
    </row>
    <row r="47" spans="5:6" x14ac:dyDescent="0.3">
      <c r="E47" s="131"/>
      <c r="F47" s="131"/>
    </row>
    <row r="48" spans="5:6" x14ac:dyDescent="0.3">
      <c r="E48" s="131"/>
      <c r="F48" s="131"/>
    </row>
    <row r="49" spans="5:6" x14ac:dyDescent="0.3">
      <c r="E49" s="131"/>
      <c r="F49" s="131"/>
    </row>
    <row r="50" spans="5:6" x14ac:dyDescent="0.3">
      <c r="E50" s="131"/>
      <c r="F50" s="131"/>
    </row>
    <row r="51" spans="5:6" x14ac:dyDescent="0.3">
      <c r="E51" s="131"/>
      <c r="F51" s="131"/>
    </row>
    <row r="52" spans="5:6" x14ac:dyDescent="0.3">
      <c r="E52" s="131"/>
      <c r="F52" s="131"/>
    </row>
    <row r="53" spans="5:6" x14ac:dyDescent="0.3">
      <c r="E53" s="131"/>
      <c r="F53" s="131"/>
    </row>
    <row r="54" spans="5:6" x14ac:dyDescent="0.3">
      <c r="E54" s="131"/>
      <c r="F54" s="131"/>
    </row>
    <row r="55" spans="5:6" x14ac:dyDescent="0.3">
      <c r="E55" s="131"/>
      <c r="F55" s="131"/>
    </row>
    <row r="56" spans="5:6" x14ac:dyDescent="0.3">
      <c r="E56" s="131"/>
      <c r="F56" s="131"/>
    </row>
    <row r="57" spans="5:6" x14ac:dyDescent="0.3">
      <c r="E57" s="131"/>
      <c r="F57" s="131"/>
    </row>
    <row r="58" spans="5:6" x14ac:dyDescent="0.3">
      <c r="E58" s="131"/>
      <c r="F58" s="131"/>
    </row>
    <row r="59" spans="5:6" x14ac:dyDescent="0.3">
      <c r="E59" s="131"/>
      <c r="F59" s="131"/>
    </row>
    <row r="60" spans="5:6" x14ac:dyDescent="0.3">
      <c r="E60" s="131"/>
      <c r="F60" s="131"/>
    </row>
    <row r="61" spans="5:6" x14ac:dyDescent="0.3">
      <c r="E61" s="131"/>
      <c r="F61" s="131"/>
    </row>
    <row r="62" spans="5:6" x14ac:dyDescent="0.3">
      <c r="E62" s="131"/>
      <c r="F62" s="131"/>
    </row>
    <row r="63" spans="5:6" x14ac:dyDescent="0.3">
      <c r="E63" s="131"/>
      <c r="F63" s="131"/>
    </row>
    <row r="64" spans="5:6" x14ac:dyDescent="0.3">
      <c r="E64" s="131"/>
      <c r="F64" s="131"/>
    </row>
    <row r="65" spans="5:6" x14ac:dyDescent="0.3">
      <c r="E65" s="131"/>
      <c r="F65" s="131"/>
    </row>
    <row r="66" spans="5:6" x14ac:dyDescent="0.3">
      <c r="E66" s="131"/>
      <c r="F66" s="131"/>
    </row>
    <row r="67" spans="5:6" x14ac:dyDescent="0.3">
      <c r="E67" s="131"/>
      <c r="F67" s="131"/>
    </row>
    <row r="68" spans="5:6" x14ac:dyDescent="0.3">
      <c r="E68" s="131"/>
      <c r="F68" s="131"/>
    </row>
    <row r="69" spans="5:6" x14ac:dyDescent="0.3">
      <c r="E69" s="131"/>
      <c r="F69" s="131"/>
    </row>
    <row r="70" spans="5:6" x14ac:dyDescent="0.3">
      <c r="E70" s="131"/>
      <c r="F70" s="131"/>
    </row>
    <row r="71" spans="5:6" x14ac:dyDescent="0.3">
      <c r="E71" s="131"/>
      <c r="F71" s="131"/>
    </row>
    <row r="72" spans="5:6" x14ac:dyDescent="0.3">
      <c r="E72" s="131"/>
      <c r="F72" s="131"/>
    </row>
    <row r="73" spans="5:6" x14ac:dyDescent="0.3">
      <c r="E73" s="131"/>
      <c r="F73" s="131"/>
    </row>
    <row r="74" spans="5:6" x14ac:dyDescent="0.3">
      <c r="E74" s="131"/>
      <c r="F74" s="131"/>
    </row>
    <row r="75" spans="5:6" x14ac:dyDescent="0.3">
      <c r="E75" s="131"/>
      <c r="F75" s="131"/>
    </row>
    <row r="76" spans="5:6" x14ac:dyDescent="0.3">
      <c r="E76" s="131"/>
      <c r="F76" s="131"/>
    </row>
    <row r="77" spans="5:6" x14ac:dyDescent="0.3">
      <c r="E77" s="131"/>
      <c r="F77" s="131"/>
    </row>
    <row r="78" spans="5:6" x14ac:dyDescent="0.3">
      <c r="E78" s="131"/>
      <c r="F78" s="131"/>
    </row>
    <row r="79" spans="5:6" x14ac:dyDescent="0.3">
      <c r="E79" s="131"/>
      <c r="F79" s="131"/>
    </row>
    <row r="80" spans="5:6" x14ac:dyDescent="0.3">
      <c r="E80" s="131"/>
      <c r="F80" s="131"/>
    </row>
    <row r="81" spans="5:6" x14ac:dyDescent="0.3">
      <c r="E81" s="131"/>
      <c r="F81" s="131"/>
    </row>
    <row r="82" spans="5:6" x14ac:dyDescent="0.3">
      <c r="E82" s="131"/>
      <c r="F82" s="131"/>
    </row>
    <row r="83" spans="5:6" x14ac:dyDescent="0.3">
      <c r="E83" s="131"/>
      <c r="F83" s="131"/>
    </row>
    <row r="84" spans="5:6" x14ac:dyDescent="0.3">
      <c r="E84" s="131"/>
      <c r="F84" s="131"/>
    </row>
    <row r="85" spans="5:6" x14ac:dyDescent="0.3">
      <c r="E85" s="131"/>
      <c r="F85" s="131"/>
    </row>
    <row r="86" spans="5:6" x14ac:dyDescent="0.3">
      <c r="E86" s="131"/>
      <c r="F86" s="131"/>
    </row>
    <row r="87" spans="5:6" x14ac:dyDescent="0.3">
      <c r="E87" s="131"/>
      <c r="F87" s="131"/>
    </row>
    <row r="88" spans="5:6" x14ac:dyDescent="0.3">
      <c r="E88" s="131"/>
      <c r="F88" s="131"/>
    </row>
    <row r="89" spans="5:6" x14ac:dyDescent="0.3">
      <c r="E89" s="131"/>
      <c r="F89" s="131"/>
    </row>
    <row r="90" spans="5:6" x14ac:dyDescent="0.3">
      <c r="E90" s="131"/>
      <c r="F90" s="131"/>
    </row>
    <row r="91" spans="5:6" x14ac:dyDescent="0.3">
      <c r="E91" s="131"/>
      <c r="F91" s="131"/>
    </row>
    <row r="92" spans="5:6" x14ac:dyDescent="0.3">
      <c r="E92" s="131"/>
      <c r="F92" s="131"/>
    </row>
    <row r="93" spans="5:6" x14ac:dyDescent="0.3">
      <c r="E93" s="131"/>
      <c r="F93" s="131"/>
    </row>
    <row r="94" spans="5:6" x14ac:dyDescent="0.3">
      <c r="E94" s="131"/>
      <c r="F94" s="131"/>
    </row>
    <row r="95" spans="5:6" x14ac:dyDescent="0.3">
      <c r="E95" s="131"/>
      <c r="F95" s="131"/>
    </row>
    <row r="96" spans="5:6" x14ac:dyDescent="0.3">
      <c r="E96" s="131"/>
      <c r="F96" s="131"/>
    </row>
    <row r="97" spans="5:6" x14ac:dyDescent="0.3">
      <c r="E97" s="131"/>
      <c r="F97" s="131"/>
    </row>
    <row r="98" spans="5:6" x14ac:dyDescent="0.3">
      <c r="E98" s="131"/>
      <c r="F98" s="131"/>
    </row>
    <row r="99" spans="5:6" x14ac:dyDescent="0.3">
      <c r="E99" s="131"/>
      <c r="F99" s="131"/>
    </row>
    <row r="100" spans="5:6" x14ac:dyDescent="0.3">
      <c r="E100" s="131"/>
      <c r="F100" s="131"/>
    </row>
    <row r="101" spans="5:6" x14ac:dyDescent="0.3">
      <c r="E101" s="131"/>
      <c r="F101" s="131"/>
    </row>
    <row r="102" spans="5:6" x14ac:dyDescent="0.3">
      <c r="E102" s="131"/>
      <c r="F102" s="131"/>
    </row>
    <row r="103" spans="5:6" x14ac:dyDescent="0.3">
      <c r="E103" s="131"/>
      <c r="F103" s="131"/>
    </row>
    <row r="104" spans="5:6" x14ac:dyDescent="0.3">
      <c r="E104" s="131"/>
      <c r="F104" s="131"/>
    </row>
    <row r="105" spans="5:6" x14ac:dyDescent="0.3">
      <c r="E105" s="131"/>
      <c r="F105" s="131"/>
    </row>
    <row r="106" spans="5:6" x14ac:dyDescent="0.3">
      <c r="E106" s="131"/>
      <c r="F106" s="131"/>
    </row>
    <row r="107" spans="5:6" x14ac:dyDescent="0.3">
      <c r="E107" s="131"/>
      <c r="F107" s="131"/>
    </row>
    <row r="108" spans="5:6" x14ac:dyDescent="0.3">
      <c r="E108" s="131"/>
      <c r="F108" s="131"/>
    </row>
    <row r="109" spans="5:6" x14ac:dyDescent="0.3">
      <c r="E109" s="131"/>
      <c r="F109" s="131"/>
    </row>
    <row r="110" spans="5:6" x14ac:dyDescent="0.3">
      <c r="E110" s="131"/>
      <c r="F110" s="131"/>
    </row>
    <row r="111" spans="5:6" x14ac:dyDescent="0.3">
      <c r="E111" s="131"/>
      <c r="F111" s="131"/>
    </row>
    <row r="112" spans="5:6" x14ac:dyDescent="0.3">
      <c r="E112" s="131"/>
      <c r="F112" s="131"/>
    </row>
    <row r="113" spans="5:6" x14ac:dyDescent="0.3">
      <c r="E113" s="131"/>
      <c r="F113" s="131"/>
    </row>
    <row r="114" spans="5:6" x14ac:dyDescent="0.3">
      <c r="E114" s="131"/>
      <c r="F114" s="131"/>
    </row>
    <row r="115" spans="5:6" x14ac:dyDescent="0.3">
      <c r="E115" s="131"/>
      <c r="F115" s="131"/>
    </row>
    <row r="116" spans="5:6" x14ac:dyDescent="0.3">
      <c r="E116" s="131"/>
      <c r="F116" s="131"/>
    </row>
    <row r="117" spans="5:6" x14ac:dyDescent="0.3">
      <c r="E117" s="131"/>
      <c r="F117" s="131"/>
    </row>
    <row r="118" spans="5:6" x14ac:dyDescent="0.3">
      <c r="E118" s="131"/>
      <c r="F118" s="131"/>
    </row>
    <row r="119" spans="5:6" x14ac:dyDescent="0.3">
      <c r="E119" s="131"/>
      <c r="F119" s="131"/>
    </row>
    <row r="120" spans="5:6" x14ac:dyDescent="0.3">
      <c r="E120" s="131"/>
      <c r="F120" s="131"/>
    </row>
    <row r="121" spans="5:6" x14ac:dyDescent="0.3">
      <c r="E121" s="131"/>
      <c r="F121" s="131"/>
    </row>
    <row r="122" spans="5:6" x14ac:dyDescent="0.3">
      <c r="E122" s="131"/>
      <c r="F122" s="131"/>
    </row>
    <row r="123" spans="5:6" x14ac:dyDescent="0.3">
      <c r="E123" s="131"/>
      <c r="F123" s="131"/>
    </row>
    <row r="124" spans="5:6" x14ac:dyDescent="0.3">
      <c r="E124" s="131"/>
      <c r="F124" s="131"/>
    </row>
    <row r="125" spans="5:6" x14ac:dyDescent="0.3">
      <c r="E125" s="131"/>
      <c r="F125" s="131"/>
    </row>
    <row r="126" spans="5:6" x14ac:dyDescent="0.3">
      <c r="E126" s="131"/>
      <c r="F126" s="131"/>
    </row>
    <row r="127" spans="5:6" x14ac:dyDescent="0.3">
      <c r="E127" s="131"/>
      <c r="F127" s="131"/>
    </row>
    <row r="128" spans="5:6" x14ac:dyDescent="0.3">
      <c r="E128" s="131"/>
      <c r="F128" s="131"/>
    </row>
    <row r="129" spans="5:6" x14ac:dyDescent="0.3">
      <c r="E129" s="131"/>
      <c r="F129" s="131"/>
    </row>
    <row r="130" spans="5:6" x14ac:dyDescent="0.3">
      <c r="E130" s="131"/>
      <c r="F130" s="131"/>
    </row>
    <row r="131" spans="5:6" x14ac:dyDescent="0.3">
      <c r="E131" s="131"/>
      <c r="F131" s="131"/>
    </row>
    <row r="132" spans="5:6" x14ac:dyDescent="0.3">
      <c r="E132" s="131"/>
      <c r="F132" s="131"/>
    </row>
    <row r="133" spans="5:6" x14ac:dyDescent="0.3">
      <c r="E133" s="131"/>
      <c r="F133" s="131"/>
    </row>
    <row r="134" spans="5:6" x14ac:dyDescent="0.3">
      <c r="E134" s="131"/>
      <c r="F134" s="131"/>
    </row>
    <row r="135" spans="5:6" x14ac:dyDescent="0.3">
      <c r="E135" s="131"/>
      <c r="F135" s="131"/>
    </row>
    <row r="136" spans="5:6" x14ac:dyDescent="0.3">
      <c r="E136" s="131"/>
      <c r="F136" s="131"/>
    </row>
    <row r="137" spans="5:6" x14ac:dyDescent="0.3">
      <c r="E137" s="131"/>
      <c r="F137" s="131"/>
    </row>
    <row r="138" spans="5:6" x14ac:dyDescent="0.3">
      <c r="E138" s="131"/>
      <c r="F138" s="131"/>
    </row>
    <row r="139" spans="5:6" x14ac:dyDescent="0.3">
      <c r="E139" s="131"/>
      <c r="F139" s="131"/>
    </row>
    <row r="140" spans="5:6" x14ac:dyDescent="0.3">
      <c r="E140" s="131"/>
      <c r="F140" s="131"/>
    </row>
    <row r="141" spans="5:6" x14ac:dyDescent="0.3">
      <c r="E141" s="131"/>
      <c r="F141" s="131"/>
    </row>
    <row r="142" spans="5:6" x14ac:dyDescent="0.3">
      <c r="E142" s="131"/>
      <c r="F142" s="131"/>
    </row>
    <row r="143" spans="5:6" x14ac:dyDescent="0.3">
      <c r="E143" s="131"/>
      <c r="F143" s="131"/>
    </row>
    <row r="144" spans="5:6" x14ac:dyDescent="0.3">
      <c r="E144" s="131"/>
      <c r="F144" s="131"/>
    </row>
    <row r="145" spans="5:6" x14ac:dyDescent="0.3">
      <c r="E145" s="131"/>
      <c r="F145" s="131"/>
    </row>
    <row r="146" spans="5:6" x14ac:dyDescent="0.3">
      <c r="E146" s="131"/>
      <c r="F146" s="131"/>
    </row>
    <row r="147" spans="5:6" x14ac:dyDescent="0.3">
      <c r="E147" s="131"/>
      <c r="F147" s="131"/>
    </row>
    <row r="148" spans="5:6" x14ac:dyDescent="0.3">
      <c r="E148" s="131"/>
      <c r="F148" s="131"/>
    </row>
    <row r="149" spans="5:6" x14ac:dyDescent="0.3">
      <c r="E149" s="131"/>
      <c r="F149" s="131"/>
    </row>
    <row r="150" spans="5:6" x14ac:dyDescent="0.3">
      <c r="E150" s="131"/>
      <c r="F150" s="131"/>
    </row>
    <row r="151" spans="5:6" x14ac:dyDescent="0.3">
      <c r="E151" s="131"/>
      <c r="F151" s="131"/>
    </row>
    <row r="152" spans="5:6" x14ac:dyDescent="0.3">
      <c r="E152" s="131"/>
      <c r="F152" s="131"/>
    </row>
    <row r="153" spans="5:6" x14ac:dyDescent="0.3">
      <c r="E153" s="131"/>
      <c r="F153" s="131"/>
    </row>
    <row r="154" spans="5:6" x14ac:dyDescent="0.3">
      <c r="E154" s="131"/>
      <c r="F154" s="131"/>
    </row>
    <row r="155" spans="5:6" x14ac:dyDescent="0.3">
      <c r="E155" s="131"/>
      <c r="F155" s="131"/>
    </row>
    <row r="156" spans="5:6" x14ac:dyDescent="0.3">
      <c r="E156" s="131"/>
      <c r="F156" s="131"/>
    </row>
    <row r="157" spans="5:6" x14ac:dyDescent="0.3">
      <c r="E157" s="131"/>
      <c r="F157" s="131"/>
    </row>
    <row r="158" spans="5:6" x14ac:dyDescent="0.3">
      <c r="E158" s="131"/>
      <c r="F158" s="131"/>
    </row>
    <row r="159" spans="5:6" x14ac:dyDescent="0.3">
      <c r="E159" s="131"/>
      <c r="F159" s="131"/>
    </row>
    <row r="160" spans="5:6" x14ac:dyDescent="0.3">
      <c r="E160" s="131"/>
      <c r="F160" s="131"/>
    </row>
    <row r="161" spans="5:6" x14ac:dyDescent="0.3">
      <c r="E161" s="131"/>
      <c r="F161" s="131"/>
    </row>
    <row r="162" spans="5:6" x14ac:dyDescent="0.3">
      <c r="E162" s="131"/>
      <c r="F162" s="131"/>
    </row>
    <row r="163" spans="5:6" x14ac:dyDescent="0.3">
      <c r="E163" s="131"/>
      <c r="F163" s="131"/>
    </row>
    <row r="164" spans="5:6" x14ac:dyDescent="0.3">
      <c r="E164" s="131"/>
      <c r="F164" s="131"/>
    </row>
    <row r="165" spans="5:6" x14ac:dyDescent="0.3">
      <c r="E165" s="131"/>
      <c r="F165" s="131"/>
    </row>
    <row r="166" spans="5:6" x14ac:dyDescent="0.3">
      <c r="E166" s="131"/>
      <c r="F166" s="131"/>
    </row>
    <row r="167" spans="5:6" x14ac:dyDescent="0.3">
      <c r="E167" s="131"/>
      <c r="F167" s="131"/>
    </row>
    <row r="168" spans="5:6" x14ac:dyDescent="0.3">
      <c r="E168" s="131"/>
      <c r="F168" s="131"/>
    </row>
    <row r="169" spans="5:6" x14ac:dyDescent="0.3">
      <c r="E169" s="131"/>
      <c r="F169" s="131"/>
    </row>
    <row r="170" spans="5:6" x14ac:dyDescent="0.3">
      <c r="E170" s="131"/>
      <c r="F170" s="131"/>
    </row>
    <row r="171" spans="5:6" x14ac:dyDescent="0.3">
      <c r="E171" s="131"/>
      <c r="F171" s="131"/>
    </row>
    <row r="172" spans="5:6" x14ac:dyDescent="0.3">
      <c r="E172" s="131"/>
      <c r="F172" s="131"/>
    </row>
    <row r="173" spans="5:6" x14ac:dyDescent="0.3">
      <c r="E173" s="131"/>
      <c r="F173" s="131"/>
    </row>
    <row r="174" spans="5:6" x14ac:dyDescent="0.3">
      <c r="E174" s="131"/>
      <c r="F174" s="131"/>
    </row>
    <row r="175" spans="5:6" x14ac:dyDescent="0.3">
      <c r="E175" s="131"/>
      <c r="F175" s="131"/>
    </row>
    <row r="176" spans="5:6" x14ac:dyDescent="0.3">
      <c r="E176" s="131"/>
      <c r="F176" s="131"/>
    </row>
    <row r="177" spans="5:6" x14ac:dyDescent="0.3">
      <c r="E177" s="131"/>
      <c r="F177" s="131"/>
    </row>
    <row r="178" spans="5:6" x14ac:dyDescent="0.3">
      <c r="E178" s="131"/>
      <c r="F178" s="131"/>
    </row>
    <row r="179" spans="5:6" x14ac:dyDescent="0.3">
      <c r="E179" s="131"/>
      <c r="F179" s="131"/>
    </row>
    <row r="180" spans="5:6" x14ac:dyDescent="0.3">
      <c r="E180" s="131"/>
      <c r="F180" s="131"/>
    </row>
    <row r="181" spans="5:6" x14ac:dyDescent="0.3">
      <c r="E181" s="131"/>
      <c r="F181" s="131"/>
    </row>
    <row r="182" spans="5:6" x14ac:dyDescent="0.3">
      <c r="E182" s="131"/>
      <c r="F182" s="131"/>
    </row>
    <row r="183" spans="5:6" x14ac:dyDescent="0.3">
      <c r="E183" s="131"/>
      <c r="F183" s="131"/>
    </row>
    <row r="184" spans="5:6" x14ac:dyDescent="0.3">
      <c r="E184" s="131"/>
      <c r="F184" s="131"/>
    </row>
    <row r="185" spans="5:6" x14ac:dyDescent="0.3">
      <c r="E185" s="131"/>
      <c r="F185" s="131"/>
    </row>
    <row r="186" spans="5:6" x14ac:dyDescent="0.3">
      <c r="E186" s="131"/>
      <c r="F186" s="131"/>
    </row>
    <row r="187" spans="5:6" x14ac:dyDescent="0.3">
      <c r="E187" s="131"/>
      <c r="F187" s="131"/>
    </row>
    <row r="188" spans="5:6" x14ac:dyDescent="0.3">
      <c r="E188" s="131"/>
      <c r="F188" s="131"/>
    </row>
    <row r="189" spans="5:6" x14ac:dyDescent="0.3">
      <c r="E189" s="131"/>
      <c r="F189" s="131"/>
    </row>
    <row r="190" spans="5:6" x14ac:dyDescent="0.3">
      <c r="E190" s="131"/>
      <c r="F190" s="131"/>
    </row>
    <row r="191" spans="5:6" x14ac:dyDescent="0.3">
      <c r="E191" s="131"/>
      <c r="F191" s="131"/>
    </row>
    <row r="192" spans="5:6" x14ac:dyDescent="0.3">
      <c r="E192" s="131"/>
      <c r="F192" s="131"/>
    </row>
    <row r="193" spans="5:6" x14ac:dyDescent="0.3">
      <c r="E193" s="131"/>
      <c r="F193" s="131"/>
    </row>
    <row r="194" spans="5:6" x14ac:dyDescent="0.3">
      <c r="E194" s="131"/>
      <c r="F194" s="131"/>
    </row>
    <row r="195" spans="5:6" x14ac:dyDescent="0.3">
      <c r="E195" s="131"/>
      <c r="F195" s="131"/>
    </row>
    <row r="196" spans="5:6" x14ac:dyDescent="0.3">
      <c r="E196" s="131"/>
      <c r="F196" s="131"/>
    </row>
    <row r="197" spans="5:6" x14ac:dyDescent="0.3">
      <c r="E197" s="131"/>
      <c r="F197" s="131"/>
    </row>
    <row r="198" spans="5:6" x14ac:dyDescent="0.3">
      <c r="E198" s="131"/>
      <c r="F198" s="131"/>
    </row>
    <row r="199" spans="5:6" x14ac:dyDescent="0.3">
      <c r="E199" s="131"/>
      <c r="F199" s="131"/>
    </row>
    <row r="200" spans="5:6" x14ac:dyDescent="0.3">
      <c r="E200" s="131"/>
      <c r="F200" s="131"/>
    </row>
    <row r="201" spans="5:6" x14ac:dyDescent="0.3">
      <c r="E201" s="131"/>
      <c r="F201" s="131"/>
    </row>
    <row r="202" spans="5:6" x14ac:dyDescent="0.3">
      <c r="E202" s="131"/>
      <c r="F202" s="131"/>
    </row>
    <row r="203" spans="5:6" x14ac:dyDescent="0.3">
      <c r="E203" s="131"/>
      <c r="F203" s="131"/>
    </row>
    <row r="204" spans="5:6" x14ac:dyDescent="0.3">
      <c r="E204" s="131"/>
      <c r="F204" s="131"/>
    </row>
    <row r="205" spans="5:6" x14ac:dyDescent="0.3">
      <c r="E205" s="131"/>
      <c r="F205" s="131"/>
    </row>
    <row r="206" spans="5:6" x14ac:dyDescent="0.3">
      <c r="E206" s="131"/>
      <c r="F206" s="131"/>
    </row>
    <row r="207" spans="5:6" x14ac:dyDescent="0.3">
      <c r="E207" s="131"/>
      <c r="F207" s="131"/>
    </row>
    <row r="208" spans="5:6" x14ac:dyDescent="0.3">
      <c r="E208" s="131"/>
      <c r="F208" s="131"/>
    </row>
    <row r="209" spans="5:6" x14ac:dyDescent="0.3">
      <c r="E209" s="131"/>
      <c r="F209" s="131"/>
    </row>
    <row r="210" spans="5:6" x14ac:dyDescent="0.3">
      <c r="E210" s="131"/>
      <c r="F210" s="131"/>
    </row>
    <row r="211" spans="5:6" x14ac:dyDescent="0.3">
      <c r="E211" s="131"/>
      <c r="F211" s="131"/>
    </row>
    <row r="212" spans="5:6" x14ac:dyDescent="0.3">
      <c r="E212" s="131"/>
      <c r="F212" s="131"/>
    </row>
    <row r="213" spans="5:6" x14ac:dyDescent="0.3">
      <c r="E213" s="131"/>
      <c r="F213" s="131"/>
    </row>
    <row r="214" spans="5:6" x14ac:dyDescent="0.3">
      <c r="E214" s="131"/>
      <c r="F214" s="131"/>
    </row>
    <row r="215" spans="5:6" x14ac:dyDescent="0.3">
      <c r="E215" s="131"/>
      <c r="F215" s="131"/>
    </row>
    <row r="216" spans="5:6" x14ac:dyDescent="0.3">
      <c r="E216" s="131"/>
      <c r="F216" s="131"/>
    </row>
    <row r="217" spans="5:6" x14ac:dyDescent="0.3">
      <c r="E217" s="131"/>
      <c r="F217" s="131"/>
    </row>
    <row r="218" spans="5:6" x14ac:dyDescent="0.3">
      <c r="E218" s="131"/>
      <c r="F218" s="131"/>
    </row>
    <row r="219" spans="5:6" x14ac:dyDescent="0.3">
      <c r="E219" s="131"/>
      <c r="F219" s="131"/>
    </row>
    <row r="220" spans="5:6" x14ac:dyDescent="0.3">
      <c r="E220" s="131"/>
      <c r="F220" s="131"/>
    </row>
    <row r="221" spans="5:6" x14ac:dyDescent="0.3">
      <c r="E221" s="131"/>
      <c r="F221" s="131"/>
    </row>
    <row r="222" spans="5:6" x14ac:dyDescent="0.3">
      <c r="E222" s="131"/>
      <c r="F222" s="131"/>
    </row>
    <row r="223" spans="5:6" x14ac:dyDescent="0.3">
      <c r="E223" s="131"/>
      <c r="F223" s="131"/>
    </row>
    <row r="224" spans="5:6" x14ac:dyDescent="0.3">
      <c r="E224" s="131"/>
      <c r="F224" s="131"/>
    </row>
    <row r="225" spans="5:6" x14ac:dyDescent="0.3">
      <c r="E225" s="131"/>
      <c r="F225" s="131"/>
    </row>
    <row r="226" spans="5:6" x14ac:dyDescent="0.3">
      <c r="E226" s="131"/>
      <c r="F226" s="131"/>
    </row>
    <row r="227" spans="5:6" x14ac:dyDescent="0.3">
      <c r="E227" s="131"/>
      <c r="F227" s="131"/>
    </row>
    <row r="228" spans="5:6" x14ac:dyDescent="0.3">
      <c r="E228" s="131"/>
      <c r="F228" s="131"/>
    </row>
    <row r="229" spans="5:6" x14ac:dyDescent="0.3">
      <c r="E229" s="131"/>
      <c r="F229" s="131"/>
    </row>
    <row r="230" spans="5:6" x14ac:dyDescent="0.3">
      <c r="E230" s="131"/>
      <c r="F230" s="131"/>
    </row>
    <row r="231" spans="5:6" x14ac:dyDescent="0.3">
      <c r="E231" s="131"/>
      <c r="F231" s="131"/>
    </row>
    <row r="232" spans="5:6" x14ac:dyDescent="0.3">
      <c r="E232" s="131"/>
      <c r="F232" s="131"/>
    </row>
    <row r="233" spans="5:6" x14ac:dyDescent="0.3">
      <c r="E233" s="131"/>
      <c r="F233" s="131"/>
    </row>
    <row r="234" spans="5:6" x14ac:dyDescent="0.3">
      <c r="E234" s="131"/>
      <c r="F234" s="131"/>
    </row>
    <row r="235" spans="5:6" x14ac:dyDescent="0.3">
      <c r="E235" s="131"/>
      <c r="F235" s="131"/>
    </row>
    <row r="236" spans="5:6" x14ac:dyDescent="0.3">
      <c r="E236" s="131"/>
      <c r="F236" s="131"/>
    </row>
    <row r="237" spans="5:6" x14ac:dyDescent="0.3">
      <c r="E237" s="131"/>
      <c r="F237" s="131"/>
    </row>
    <row r="238" spans="5:6" x14ac:dyDescent="0.3">
      <c r="E238" s="131"/>
      <c r="F238" s="131"/>
    </row>
    <row r="239" spans="5:6" x14ac:dyDescent="0.3">
      <c r="E239" s="131"/>
      <c r="F239" s="131"/>
    </row>
    <row r="240" spans="5:6" x14ac:dyDescent="0.3">
      <c r="E240" s="131"/>
      <c r="F240" s="131"/>
    </row>
    <row r="241" spans="5:6" x14ac:dyDescent="0.3">
      <c r="E241" s="131"/>
      <c r="F241" s="131"/>
    </row>
    <row r="242" spans="5:6" x14ac:dyDescent="0.3">
      <c r="E242" s="131"/>
      <c r="F242" s="131"/>
    </row>
    <row r="243" spans="5:6" x14ac:dyDescent="0.3">
      <c r="E243" s="131"/>
      <c r="F243" s="131"/>
    </row>
    <row r="244" spans="5:6" x14ac:dyDescent="0.3">
      <c r="E244" s="131"/>
      <c r="F244" s="131"/>
    </row>
    <row r="245" spans="5:6" x14ac:dyDescent="0.3">
      <c r="E245" s="131"/>
      <c r="F245" s="131"/>
    </row>
    <row r="246" spans="5:6" x14ac:dyDescent="0.3">
      <c r="E246" s="131"/>
      <c r="F246" s="131"/>
    </row>
    <row r="247" spans="5:6" x14ac:dyDescent="0.3">
      <c r="E247" s="131"/>
      <c r="F247" s="131"/>
    </row>
    <row r="248" spans="5:6" x14ac:dyDescent="0.3">
      <c r="E248" s="131"/>
      <c r="F248" s="131"/>
    </row>
    <row r="249" spans="5:6" x14ac:dyDescent="0.3">
      <c r="E249" s="131"/>
      <c r="F249" s="131"/>
    </row>
    <row r="250" spans="5:6" x14ac:dyDescent="0.3">
      <c r="E250" s="131"/>
      <c r="F250" s="131"/>
    </row>
    <row r="251" spans="5:6" x14ac:dyDescent="0.3">
      <c r="E251" s="131"/>
      <c r="F251" s="131"/>
    </row>
    <row r="252" spans="5:6" x14ac:dyDescent="0.3">
      <c r="E252" s="131"/>
      <c r="F252" s="131"/>
    </row>
    <row r="253" spans="5:6" x14ac:dyDescent="0.3">
      <c r="E253" s="131"/>
      <c r="F253" s="131"/>
    </row>
    <row r="254" spans="5:6" x14ac:dyDescent="0.3">
      <c r="E254" s="131"/>
      <c r="F254" s="131"/>
    </row>
    <row r="255" spans="5:6" x14ac:dyDescent="0.3">
      <c r="E255" s="131"/>
      <c r="F255" s="131"/>
    </row>
    <row r="256" spans="5:6" x14ac:dyDescent="0.3">
      <c r="E256" s="131"/>
      <c r="F256" s="131"/>
    </row>
    <row r="257" spans="5:6" x14ac:dyDescent="0.3">
      <c r="E257" s="131"/>
      <c r="F257" s="131"/>
    </row>
    <row r="258" spans="5:6" x14ac:dyDescent="0.3">
      <c r="E258" s="131"/>
      <c r="F258" s="131"/>
    </row>
    <row r="259" spans="5:6" x14ac:dyDescent="0.3">
      <c r="E259" s="131"/>
      <c r="F259" s="131"/>
    </row>
    <row r="260" spans="5:6" x14ac:dyDescent="0.3">
      <c r="E260" s="131"/>
      <c r="F260" s="131"/>
    </row>
    <row r="261" spans="5:6" x14ac:dyDescent="0.3">
      <c r="E261" s="131"/>
      <c r="F261" s="131"/>
    </row>
    <row r="262" spans="5:6" x14ac:dyDescent="0.3">
      <c r="E262" s="131"/>
      <c r="F262" s="131"/>
    </row>
    <row r="263" spans="5:6" x14ac:dyDescent="0.3">
      <c r="E263" s="131"/>
      <c r="F263" s="131"/>
    </row>
    <row r="264" spans="5:6" x14ac:dyDescent="0.3">
      <c r="E264" s="131"/>
      <c r="F264" s="131"/>
    </row>
    <row r="265" spans="5:6" x14ac:dyDescent="0.3">
      <c r="E265" s="131"/>
      <c r="F265" s="131"/>
    </row>
    <row r="266" spans="5:6" x14ac:dyDescent="0.3">
      <c r="E266" s="131"/>
      <c r="F266" s="131"/>
    </row>
    <row r="267" spans="5:6" x14ac:dyDescent="0.3">
      <c r="E267" s="131"/>
      <c r="F267" s="131"/>
    </row>
    <row r="268" spans="5:6" x14ac:dyDescent="0.3">
      <c r="E268" s="131"/>
      <c r="F268" s="131"/>
    </row>
    <row r="269" spans="5:6" x14ac:dyDescent="0.3">
      <c r="E269" s="131"/>
      <c r="F269" s="131"/>
    </row>
    <row r="270" spans="5:6" x14ac:dyDescent="0.3">
      <c r="E270" s="131"/>
      <c r="F270" s="131"/>
    </row>
    <row r="271" spans="5:6" x14ac:dyDescent="0.3">
      <c r="E271" s="131"/>
      <c r="F271" s="131"/>
    </row>
    <row r="272" spans="5:6" x14ac:dyDescent="0.3">
      <c r="E272" s="131"/>
      <c r="F272" s="131"/>
    </row>
    <row r="273" spans="5:6" x14ac:dyDescent="0.3">
      <c r="E273" s="131"/>
      <c r="F273" s="131"/>
    </row>
    <row r="274" spans="5:6" x14ac:dyDescent="0.3">
      <c r="E274" s="131"/>
      <c r="F274" s="131"/>
    </row>
    <row r="275" spans="5:6" x14ac:dyDescent="0.3">
      <c r="E275" s="131"/>
      <c r="F275" s="131"/>
    </row>
    <row r="276" spans="5:6" x14ac:dyDescent="0.3">
      <c r="E276" s="131"/>
      <c r="F276" s="131"/>
    </row>
    <row r="277" spans="5:6" x14ac:dyDescent="0.3">
      <c r="E277" s="131"/>
      <c r="F277" s="131"/>
    </row>
    <row r="278" spans="5:6" x14ac:dyDescent="0.3">
      <c r="E278" s="131"/>
      <c r="F278" s="131"/>
    </row>
    <row r="279" spans="5:6" x14ac:dyDescent="0.3">
      <c r="E279" s="131"/>
      <c r="F279" s="131"/>
    </row>
    <row r="280" spans="5:6" x14ac:dyDescent="0.3">
      <c r="E280" s="131"/>
      <c r="F280" s="131"/>
    </row>
    <row r="281" spans="5:6" x14ac:dyDescent="0.3">
      <c r="E281" s="131"/>
      <c r="F281" s="131"/>
    </row>
    <row r="282" spans="5:6" x14ac:dyDescent="0.3">
      <c r="E282" s="131"/>
      <c r="F282" s="131"/>
    </row>
    <row r="283" spans="5:6" x14ac:dyDescent="0.3">
      <c r="E283" s="131"/>
      <c r="F283" s="131"/>
    </row>
    <row r="284" spans="5:6" x14ac:dyDescent="0.3">
      <c r="E284" s="131"/>
      <c r="F284" s="131"/>
    </row>
    <row r="285" spans="5:6" x14ac:dyDescent="0.3">
      <c r="E285" s="131"/>
      <c r="F285" s="131"/>
    </row>
    <row r="286" spans="5:6" x14ac:dyDescent="0.3">
      <c r="E286" s="131"/>
      <c r="F286" s="131"/>
    </row>
    <row r="287" spans="5:6" x14ac:dyDescent="0.3">
      <c r="E287" s="131"/>
      <c r="F287" s="131"/>
    </row>
    <row r="288" spans="5:6" x14ac:dyDescent="0.3">
      <c r="E288" s="131"/>
      <c r="F288" s="131"/>
    </row>
    <row r="289" spans="5:6" x14ac:dyDescent="0.3">
      <c r="E289" s="131"/>
      <c r="F289" s="131"/>
    </row>
    <row r="290" spans="5:6" x14ac:dyDescent="0.3">
      <c r="E290" s="131"/>
      <c r="F290" s="131"/>
    </row>
    <row r="291" spans="5:6" x14ac:dyDescent="0.3">
      <c r="E291" s="131"/>
      <c r="F291" s="131"/>
    </row>
    <row r="292" spans="5:6" x14ac:dyDescent="0.3">
      <c r="E292" s="131"/>
      <c r="F292" s="131"/>
    </row>
    <row r="293" spans="5:6" x14ac:dyDescent="0.3">
      <c r="E293" s="131"/>
      <c r="F293" s="131"/>
    </row>
    <row r="294" spans="5:6" x14ac:dyDescent="0.3">
      <c r="E294" s="131"/>
      <c r="F294" s="131"/>
    </row>
    <row r="295" spans="5:6" x14ac:dyDescent="0.3">
      <c r="E295" s="131"/>
      <c r="F295" s="131"/>
    </row>
    <row r="296" spans="5:6" x14ac:dyDescent="0.3">
      <c r="E296" s="131"/>
      <c r="F296" s="131"/>
    </row>
    <row r="297" spans="5:6" x14ac:dyDescent="0.3">
      <c r="E297" s="131"/>
      <c r="F297" s="131"/>
    </row>
    <row r="298" spans="5:6" x14ac:dyDescent="0.3">
      <c r="E298" s="131"/>
      <c r="F298" s="131"/>
    </row>
    <row r="299" spans="5:6" x14ac:dyDescent="0.3">
      <c r="E299" s="131"/>
      <c r="F299" s="131"/>
    </row>
    <row r="300" spans="5:6" x14ac:dyDescent="0.3">
      <c r="E300" s="131"/>
      <c r="F300" s="131"/>
    </row>
    <row r="301" spans="5:6" x14ac:dyDescent="0.3">
      <c r="E301" s="131"/>
      <c r="F301" s="131"/>
    </row>
    <row r="302" spans="5:6" x14ac:dyDescent="0.3">
      <c r="E302" s="131"/>
      <c r="F302" s="131"/>
    </row>
    <row r="303" spans="5:6" x14ac:dyDescent="0.3">
      <c r="E303" s="131"/>
      <c r="F303" s="131"/>
    </row>
    <row r="304" spans="5:6" x14ac:dyDescent="0.3">
      <c r="E304" s="131"/>
      <c r="F304" s="131"/>
    </row>
    <row r="305" spans="5:6" x14ac:dyDescent="0.3">
      <c r="E305" s="131"/>
      <c r="F305" s="131"/>
    </row>
    <row r="306" spans="5:6" x14ac:dyDescent="0.3">
      <c r="E306" s="131"/>
      <c r="F306" s="131"/>
    </row>
    <row r="307" spans="5:6" x14ac:dyDescent="0.3">
      <c r="E307" s="131"/>
      <c r="F307" s="131"/>
    </row>
    <row r="308" spans="5:6" x14ac:dyDescent="0.3">
      <c r="E308" s="131"/>
      <c r="F308" s="131"/>
    </row>
    <row r="309" spans="5:6" x14ac:dyDescent="0.3">
      <c r="E309" s="131"/>
      <c r="F309" s="131"/>
    </row>
    <row r="310" spans="5:6" x14ac:dyDescent="0.3">
      <c r="E310" s="131"/>
      <c r="F310" s="131"/>
    </row>
    <row r="311" spans="5:6" x14ac:dyDescent="0.3">
      <c r="E311" s="131"/>
      <c r="F311" s="131"/>
    </row>
    <row r="312" spans="5:6" x14ac:dyDescent="0.3">
      <c r="E312" s="131"/>
      <c r="F312" s="131"/>
    </row>
    <row r="313" spans="5:6" x14ac:dyDescent="0.3">
      <c r="E313" s="131"/>
      <c r="F313" s="131"/>
    </row>
    <row r="314" spans="5:6" x14ac:dyDescent="0.3">
      <c r="E314" s="131"/>
      <c r="F314" s="131"/>
    </row>
    <row r="315" spans="5:6" x14ac:dyDescent="0.3">
      <c r="E315" s="131"/>
      <c r="F315" s="131"/>
    </row>
    <row r="316" spans="5:6" x14ac:dyDescent="0.3">
      <c r="E316" s="131"/>
      <c r="F316" s="131"/>
    </row>
    <row r="317" spans="5:6" x14ac:dyDescent="0.3">
      <c r="E317" s="131"/>
      <c r="F317" s="131"/>
    </row>
    <row r="318" spans="5:6" x14ac:dyDescent="0.3">
      <c r="E318" s="131"/>
      <c r="F318" s="131"/>
    </row>
    <row r="319" spans="5:6" x14ac:dyDescent="0.3">
      <c r="E319" s="131"/>
      <c r="F319" s="131"/>
    </row>
    <row r="320" spans="5:6" x14ac:dyDescent="0.3">
      <c r="E320" s="131"/>
      <c r="F320" s="131"/>
    </row>
    <row r="321" spans="5:6" x14ac:dyDescent="0.3">
      <c r="E321" s="131"/>
      <c r="F321" s="131"/>
    </row>
    <row r="322" spans="5:6" x14ac:dyDescent="0.3">
      <c r="E322" s="131"/>
      <c r="F322" s="131"/>
    </row>
    <row r="323" spans="5:6" x14ac:dyDescent="0.3">
      <c r="E323" s="131"/>
      <c r="F323" s="131"/>
    </row>
    <row r="324" spans="5:6" x14ac:dyDescent="0.3">
      <c r="E324" s="131"/>
      <c r="F324" s="131"/>
    </row>
    <row r="325" spans="5:6" x14ac:dyDescent="0.3">
      <c r="E325" s="131"/>
      <c r="F325" s="131"/>
    </row>
    <row r="326" spans="5:6" x14ac:dyDescent="0.3">
      <c r="E326" s="131"/>
      <c r="F326" s="131"/>
    </row>
    <row r="327" spans="5:6" x14ac:dyDescent="0.3">
      <c r="E327" s="131"/>
      <c r="F327" s="131"/>
    </row>
    <row r="328" spans="5:6" x14ac:dyDescent="0.3">
      <c r="E328" s="131"/>
      <c r="F328" s="131"/>
    </row>
    <row r="329" spans="5:6" x14ac:dyDescent="0.3">
      <c r="E329" s="131"/>
      <c r="F329" s="131"/>
    </row>
    <row r="330" spans="5:6" x14ac:dyDescent="0.3">
      <c r="E330" s="131"/>
      <c r="F330" s="131"/>
    </row>
    <row r="331" spans="5:6" x14ac:dyDescent="0.3">
      <c r="E331" s="131"/>
      <c r="F331" s="131"/>
    </row>
    <row r="332" spans="5:6" x14ac:dyDescent="0.3">
      <c r="E332" s="131"/>
      <c r="F332" s="131"/>
    </row>
    <row r="333" spans="5:6" x14ac:dyDescent="0.3">
      <c r="E333" s="131"/>
      <c r="F333" s="131"/>
    </row>
    <row r="334" spans="5:6" x14ac:dyDescent="0.3">
      <c r="E334" s="131"/>
      <c r="F334" s="131"/>
    </row>
    <row r="335" spans="5:6" x14ac:dyDescent="0.3">
      <c r="E335" s="131"/>
      <c r="F335" s="131"/>
    </row>
    <row r="336" spans="5:6" x14ac:dyDescent="0.3">
      <c r="E336" s="131"/>
      <c r="F336" s="131"/>
    </row>
    <row r="337" spans="5:6" x14ac:dyDescent="0.3">
      <c r="E337" s="131"/>
      <c r="F337" s="131"/>
    </row>
    <row r="338" spans="5:6" x14ac:dyDescent="0.3">
      <c r="E338" s="131"/>
      <c r="F338" s="131"/>
    </row>
    <row r="339" spans="5:6" x14ac:dyDescent="0.3">
      <c r="E339" s="131"/>
      <c r="F339" s="131"/>
    </row>
    <row r="340" spans="5:6" x14ac:dyDescent="0.3">
      <c r="E340" s="131"/>
      <c r="F340" s="131"/>
    </row>
    <row r="341" spans="5:6" x14ac:dyDescent="0.3">
      <c r="E341" s="131"/>
      <c r="F341" s="131"/>
    </row>
    <row r="342" spans="5:6" x14ac:dyDescent="0.3">
      <c r="E342" s="131"/>
      <c r="F342" s="131"/>
    </row>
    <row r="343" spans="5:6" x14ac:dyDescent="0.3">
      <c r="E343" s="131"/>
      <c r="F343" s="131"/>
    </row>
    <row r="344" spans="5:6" x14ac:dyDescent="0.3">
      <c r="E344" s="131"/>
      <c r="F344" s="131"/>
    </row>
    <row r="345" spans="5:6" x14ac:dyDescent="0.3">
      <c r="E345" s="131"/>
      <c r="F345" s="131"/>
    </row>
    <row r="346" spans="5:6" x14ac:dyDescent="0.3">
      <c r="E346" s="131"/>
      <c r="F346" s="131"/>
    </row>
    <row r="347" spans="5:6" x14ac:dyDescent="0.3">
      <c r="E347" s="131"/>
      <c r="F347" s="131"/>
    </row>
    <row r="348" spans="5:6" x14ac:dyDescent="0.3">
      <c r="E348" s="131"/>
      <c r="F348" s="131"/>
    </row>
    <row r="349" spans="5:6" x14ac:dyDescent="0.3">
      <c r="E349" s="131"/>
      <c r="F349" s="131"/>
    </row>
    <row r="350" spans="5:6" x14ac:dyDescent="0.3">
      <c r="E350" s="131"/>
      <c r="F350" s="131"/>
    </row>
    <row r="351" spans="5:6" x14ac:dyDescent="0.3">
      <c r="E351" s="131"/>
      <c r="F351" s="131"/>
    </row>
    <row r="352" spans="5:6" x14ac:dyDescent="0.3">
      <c r="E352" s="131"/>
      <c r="F352" s="131"/>
    </row>
    <row r="353" spans="5:6" x14ac:dyDescent="0.3">
      <c r="E353" s="131"/>
      <c r="F353" s="131"/>
    </row>
    <row r="354" spans="5:6" x14ac:dyDescent="0.3">
      <c r="E354" s="131"/>
      <c r="F354" s="131"/>
    </row>
    <row r="355" spans="5:6" x14ac:dyDescent="0.3">
      <c r="E355" s="131"/>
      <c r="F355" s="131"/>
    </row>
    <row r="356" spans="5:6" x14ac:dyDescent="0.3">
      <c r="E356" s="131"/>
      <c r="F356" s="131"/>
    </row>
    <row r="357" spans="5:6" x14ac:dyDescent="0.3">
      <c r="E357" s="131"/>
      <c r="F357" s="131"/>
    </row>
    <row r="358" spans="5:6" x14ac:dyDescent="0.3">
      <c r="E358" s="131"/>
      <c r="F358" s="131"/>
    </row>
    <row r="359" spans="5:6" x14ac:dyDescent="0.3">
      <c r="E359" s="131"/>
      <c r="F359" s="131"/>
    </row>
    <row r="360" spans="5:6" x14ac:dyDescent="0.3">
      <c r="E360" s="131"/>
      <c r="F360" s="131"/>
    </row>
    <row r="361" spans="5:6" x14ac:dyDescent="0.3">
      <c r="E361" s="131"/>
      <c r="F361" s="131"/>
    </row>
    <row r="362" spans="5:6" x14ac:dyDescent="0.3">
      <c r="E362" s="131"/>
      <c r="F362" s="131"/>
    </row>
    <row r="363" spans="5:6" x14ac:dyDescent="0.3">
      <c r="E363" s="131"/>
      <c r="F363" s="131"/>
    </row>
    <row r="364" spans="5:6" x14ac:dyDescent="0.3">
      <c r="E364" s="131"/>
      <c r="F364" s="131"/>
    </row>
    <row r="365" spans="5:6" x14ac:dyDescent="0.3">
      <c r="E365" s="131"/>
      <c r="F365" s="131"/>
    </row>
    <row r="366" spans="5:6" x14ac:dyDescent="0.3">
      <c r="E366" s="131"/>
      <c r="F366" s="131"/>
    </row>
    <row r="367" spans="5:6" x14ac:dyDescent="0.3">
      <c r="E367" s="131"/>
      <c r="F367" s="131"/>
    </row>
    <row r="368" spans="5:6" x14ac:dyDescent="0.3">
      <c r="E368" s="131"/>
      <c r="F368" s="131"/>
    </row>
    <row r="369" spans="5:6" x14ac:dyDescent="0.3">
      <c r="E369" s="131"/>
      <c r="F369" s="131"/>
    </row>
    <row r="370" spans="5:6" x14ac:dyDescent="0.3">
      <c r="E370" s="131"/>
      <c r="F370" s="131"/>
    </row>
    <row r="371" spans="5:6" x14ac:dyDescent="0.3">
      <c r="E371" s="131"/>
      <c r="F371" s="131"/>
    </row>
    <row r="372" spans="5:6" x14ac:dyDescent="0.3">
      <c r="E372" s="131"/>
      <c r="F372" s="131"/>
    </row>
    <row r="373" spans="5:6" x14ac:dyDescent="0.3">
      <c r="E373" s="131"/>
      <c r="F373" s="131"/>
    </row>
    <row r="374" spans="5:6" x14ac:dyDescent="0.3">
      <c r="E374" s="131"/>
      <c r="F374" s="131"/>
    </row>
    <row r="375" spans="5:6" x14ac:dyDescent="0.3">
      <c r="E375" s="131"/>
      <c r="F375" s="131"/>
    </row>
    <row r="376" spans="5:6" x14ac:dyDescent="0.3">
      <c r="E376" s="131"/>
      <c r="F376" s="131"/>
    </row>
    <row r="377" spans="5:6" x14ac:dyDescent="0.3">
      <c r="E377" s="131"/>
      <c r="F377" s="131"/>
    </row>
    <row r="378" spans="5:6" x14ac:dyDescent="0.3">
      <c r="E378" s="131"/>
      <c r="F378" s="131"/>
    </row>
    <row r="379" spans="5:6" x14ac:dyDescent="0.3">
      <c r="E379" s="131"/>
      <c r="F379" s="131"/>
    </row>
    <row r="380" spans="5:6" x14ac:dyDescent="0.3">
      <c r="E380" s="131"/>
      <c r="F380" s="131"/>
    </row>
    <row r="381" spans="5:6" x14ac:dyDescent="0.3">
      <c r="E381" s="131"/>
      <c r="F381" s="131"/>
    </row>
    <row r="382" spans="5:6" x14ac:dyDescent="0.3">
      <c r="E382" s="131"/>
      <c r="F382" s="131"/>
    </row>
    <row r="383" spans="5:6" x14ac:dyDescent="0.3">
      <c r="E383" s="131"/>
      <c r="F383" s="131"/>
    </row>
    <row r="384" spans="5:6" x14ac:dyDescent="0.3">
      <c r="E384" s="131"/>
      <c r="F384" s="131"/>
    </row>
    <row r="385" spans="5:6" x14ac:dyDescent="0.3">
      <c r="E385" s="131"/>
      <c r="F385" s="131"/>
    </row>
    <row r="386" spans="5:6" x14ac:dyDescent="0.3">
      <c r="E386" s="131"/>
      <c r="F386" s="131"/>
    </row>
    <row r="387" spans="5:6" x14ac:dyDescent="0.3">
      <c r="E387" s="131"/>
      <c r="F387" s="131"/>
    </row>
    <row r="388" spans="5:6" x14ac:dyDescent="0.3">
      <c r="E388" s="131"/>
      <c r="F388" s="131"/>
    </row>
    <row r="389" spans="5:6" x14ac:dyDescent="0.3">
      <c r="E389" s="131"/>
      <c r="F389" s="131"/>
    </row>
    <row r="390" spans="5:6" x14ac:dyDescent="0.3">
      <c r="E390" s="131"/>
      <c r="F390" s="131"/>
    </row>
    <row r="391" spans="5:6" x14ac:dyDescent="0.3">
      <c r="E391" s="131"/>
      <c r="F391" s="131"/>
    </row>
    <row r="392" spans="5:6" x14ac:dyDescent="0.3">
      <c r="E392" s="131"/>
      <c r="F392" s="131"/>
    </row>
    <row r="393" spans="5:6" x14ac:dyDescent="0.3">
      <c r="E393" s="131"/>
      <c r="F393" s="131"/>
    </row>
    <row r="394" spans="5:6" x14ac:dyDescent="0.3">
      <c r="E394" s="131"/>
      <c r="F394" s="131"/>
    </row>
    <row r="395" spans="5:6" x14ac:dyDescent="0.3">
      <c r="E395" s="131"/>
      <c r="F395" s="131"/>
    </row>
    <row r="396" spans="5:6" x14ac:dyDescent="0.3">
      <c r="E396" s="131"/>
      <c r="F396" s="131"/>
    </row>
    <row r="397" spans="5:6" x14ac:dyDescent="0.3">
      <c r="E397" s="131"/>
      <c r="F397" s="131"/>
    </row>
    <row r="398" spans="5:6" x14ac:dyDescent="0.3">
      <c r="E398" s="131"/>
      <c r="F398" s="131"/>
    </row>
    <row r="399" spans="5:6" x14ac:dyDescent="0.3">
      <c r="E399" s="131"/>
      <c r="F399" s="131"/>
    </row>
    <row r="400" spans="5:6" x14ac:dyDescent="0.3">
      <c r="E400" s="131"/>
      <c r="F400" s="131"/>
    </row>
    <row r="401" spans="5:6" x14ac:dyDescent="0.3">
      <c r="E401" s="131"/>
      <c r="F401" s="131"/>
    </row>
    <row r="402" spans="5:6" x14ac:dyDescent="0.3">
      <c r="E402" s="131"/>
      <c r="F402" s="131"/>
    </row>
    <row r="403" spans="5:6" x14ac:dyDescent="0.3">
      <c r="E403" s="131"/>
      <c r="F403" s="131"/>
    </row>
    <row r="404" spans="5:6" x14ac:dyDescent="0.3">
      <c r="E404" s="131"/>
      <c r="F404" s="131"/>
    </row>
    <row r="405" spans="5:6" x14ac:dyDescent="0.3">
      <c r="E405" s="131"/>
      <c r="F405" s="131"/>
    </row>
    <row r="406" spans="5:6" x14ac:dyDescent="0.3">
      <c r="E406" s="131"/>
      <c r="F406" s="131"/>
    </row>
    <row r="407" spans="5:6" x14ac:dyDescent="0.3">
      <c r="E407" s="131"/>
      <c r="F407" s="131"/>
    </row>
    <row r="408" spans="5:6" x14ac:dyDescent="0.3">
      <c r="E408" s="131"/>
      <c r="F408" s="131"/>
    </row>
    <row r="409" spans="5:6" x14ac:dyDescent="0.3">
      <c r="E409" s="131"/>
      <c r="F409" s="131"/>
    </row>
    <row r="410" spans="5:6" x14ac:dyDescent="0.3">
      <c r="E410" s="131"/>
      <c r="F410" s="131"/>
    </row>
    <row r="411" spans="5:6" x14ac:dyDescent="0.3">
      <c r="E411" s="131"/>
      <c r="F411" s="131"/>
    </row>
    <row r="412" spans="5:6" x14ac:dyDescent="0.3">
      <c r="E412" s="131"/>
      <c r="F412" s="131"/>
    </row>
    <row r="413" spans="5:6" x14ac:dyDescent="0.3">
      <c r="E413" s="131"/>
      <c r="F413" s="131"/>
    </row>
    <row r="414" spans="5:6" x14ac:dyDescent="0.3">
      <c r="E414" s="131"/>
      <c r="F414" s="131"/>
    </row>
    <row r="415" spans="5:6" x14ac:dyDescent="0.3">
      <c r="E415" s="131"/>
      <c r="F415" s="131"/>
    </row>
    <row r="416" spans="5:6" x14ac:dyDescent="0.3">
      <c r="E416" s="131"/>
      <c r="F416" s="131"/>
    </row>
    <row r="417" spans="5:6" x14ac:dyDescent="0.3">
      <c r="E417" s="131"/>
      <c r="F417" s="131"/>
    </row>
    <row r="418" spans="5:6" x14ac:dyDescent="0.3">
      <c r="E418" s="131"/>
      <c r="F418" s="131"/>
    </row>
    <row r="419" spans="5:6" x14ac:dyDescent="0.3">
      <c r="E419" s="131"/>
      <c r="F419" s="131"/>
    </row>
    <row r="420" spans="5:6" x14ac:dyDescent="0.3">
      <c r="E420" s="131"/>
      <c r="F420" s="131"/>
    </row>
    <row r="421" spans="5:6" x14ac:dyDescent="0.3">
      <c r="E421" s="131"/>
      <c r="F421" s="131"/>
    </row>
    <row r="422" spans="5:6" x14ac:dyDescent="0.3">
      <c r="E422" s="131"/>
      <c r="F422" s="131"/>
    </row>
    <row r="423" spans="5:6" x14ac:dyDescent="0.3">
      <c r="E423" s="131"/>
      <c r="F423" s="131"/>
    </row>
    <row r="424" spans="5:6" x14ac:dyDescent="0.3">
      <c r="E424" s="131"/>
      <c r="F424" s="131"/>
    </row>
    <row r="425" spans="5:6" x14ac:dyDescent="0.3">
      <c r="E425" s="131"/>
      <c r="F425" s="131"/>
    </row>
    <row r="426" spans="5:6" x14ac:dyDescent="0.3">
      <c r="E426" s="131"/>
      <c r="F426" s="131"/>
    </row>
    <row r="427" spans="5:6" x14ac:dyDescent="0.3">
      <c r="E427" s="131"/>
      <c r="F427" s="131"/>
    </row>
    <row r="428" spans="5:6" x14ac:dyDescent="0.3">
      <c r="E428" s="131"/>
      <c r="F428" s="131"/>
    </row>
    <row r="429" spans="5:6" x14ac:dyDescent="0.3">
      <c r="E429" s="131"/>
      <c r="F429" s="131"/>
    </row>
    <row r="430" spans="5:6" x14ac:dyDescent="0.3">
      <c r="E430" s="131"/>
      <c r="F430" s="131"/>
    </row>
    <row r="431" spans="5:6" x14ac:dyDescent="0.3">
      <c r="E431" s="131"/>
      <c r="F431" s="131"/>
    </row>
    <row r="432" spans="5:6" x14ac:dyDescent="0.3">
      <c r="E432" s="131"/>
      <c r="F432" s="131"/>
    </row>
    <row r="433" spans="5:6" x14ac:dyDescent="0.3">
      <c r="E433" s="131"/>
      <c r="F433" s="131"/>
    </row>
    <row r="434" spans="5:6" x14ac:dyDescent="0.3">
      <c r="E434" s="131"/>
      <c r="F434" s="131"/>
    </row>
    <row r="435" spans="5:6" x14ac:dyDescent="0.3">
      <c r="E435" s="131"/>
      <c r="F435" s="131"/>
    </row>
    <row r="436" spans="5:6" x14ac:dyDescent="0.3">
      <c r="E436" s="131"/>
      <c r="F436" s="131"/>
    </row>
    <row r="437" spans="5:6" x14ac:dyDescent="0.3">
      <c r="E437" s="131"/>
      <c r="F437" s="131"/>
    </row>
    <row r="438" spans="5:6" x14ac:dyDescent="0.3">
      <c r="E438" s="131"/>
      <c r="F438" s="131"/>
    </row>
    <row r="439" spans="5:6" x14ac:dyDescent="0.3">
      <c r="E439" s="131"/>
      <c r="F439" s="131"/>
    </row>
    <row r="440" spans="5:6" x14ac:dyDescent="0.3">
      <c r="E440" s="131"/>
      <c r="F440" s="131"/>
    </row>
    <row r="441" spans="5:6" x14ac:dyDescent="0.3">
      <c r="E441" s="131"/>
      <c r="F441" s="131"/>
    </row>
    <row r="442" spans="5:6" x14ac:dyDescent="0.3">
      <c r="E442" s="131"/>
      <c r="F442" s="131"/>
    </row>
    <row r="443" spans="5:6" x14ac:dyDescent="0.3">
      <c r="E443" s="131"/>
      <c r="F443" s="131"/>
    </row>
    <row r="444" spans="5:6" x14ac:dyDescent="0.3">
      <c r="E444" s="131"/>
      <c r="F444" s="131"/>
    </row>
    <row r="445" spans="5:6" x14ac:dyDescent="0.3">
      <c r="E445" s="131"/>
      <c r="F445" s="131"/>
    </row>
    <row r="446" spans="5:6" x14ac:dyDescent="0.3">
      <c r="E446" s="131"/>
      <c r="F446" s="131"/>
    </row>
    <row r="447" spans="5:6" x14ac:dyDescent="0.3">
      <c r="E447" s="131"/>
      <c r="F447" s="131"/>
    </row>
    <row r="448" spans="5:6" x14ac:dyDescent="0.3">
      <c r="E448" s="131"/>
      <c r="F448" s="131"/>
    </row>
    <row r="449" spans="5:6" x14ac:dyDescent="0.3">
      <c r="E449" s="131"/>
      <c r="F449" s="131"/>
    </row>
    <row r="450" spans="5:6" x14ac:dyDescent="0.3">
      <c r="E450" s="131"/>
      <c r="F450" s="131"/>
    </row>
    <row r="451" spans="5:6" x14ac:dyDescent="0.3">
      <c r="E451" s="131"/>
      <c r="F451" s="131"/>
    </row>
    <row r="452" spans="5:6" x14ac:dyDescent="0.3">
      <c r="E452" s="131"/>
      <c r="F452" s="131"/>
    </row>
    <row r="453" spans="5:6" x14ac:dyDescent="0.3">
      <c r="E453" s="131"/>
      <c r="F453" s="131"/>
    </row>
    <row r="454" spans="5:6" x14ac:dyDescent="0.3">
      <c r="E454" s="131"/>
      <c r="F454" s="131"/>
    </row>
    <row r="455" spans="5:6" x14ac:dyDescent="0.3">
      <c r="E455" s="131"/>
      <c r="F455" s="131"/>
    </row>
    <row r="456" spans="5:6" x14ac:dyDescent="0.3">
      <c r="E456" s="131"/>
      <c r="F456" s="131"/>
    </row>
    <row r="457" spans="5:6" x14ac:dyDescent="0.3">
      <c r="E457" s="131"/>
      <c r="F457" s="131"/>
    </row>
    <row r="458" spans="5:6" x14ac:dyDescent="0.3">
      <c r="E458" s="131"/>
      <c r="F458" s="131"/>
    </row>
    <row r="459" spans="5:6" x14ac:dyDescent="0.3">
      <c r="E459" s="131"/>
      <c r="F459" s="131"/>
    </row>
    <row r="460" spans="5:6" x14ac:dyDescent="0.3">
      <c r="E460" s="131"/>
      <c r="F460" s="131"/>
    </row>
    <row r="461" spans="5:6" x14ac:dyDescent="0.3">
      <c r="E461" s="131"/>
      <c r="F461" s="131"/>
    </row>
    <row r="462" spans="5:6" x14ac:dyDescent="0.3">
      <c r="E462" s="131"/>
      <c r="F462" s="131"/>
    </row>
    <row r="463" spans="5:6" x14ac:dyDescent="0.3">
      <c r="E463" s="131"/>
      <c r="F463" s="131"/>
    </row>
    <row r="464" spans="5:6" x14ac:dyDescent="0.3">
      <c r="E464" s="131"/>
      <c r="F464" s="131"/>
    </row>
    <row r="465" spans="5:6" x14ac:dyDescent="0.3">
      <c r="E465" s="131"/>
      <c r="F465" s="131"/>
    </row>
    <row r="466" spans="5:6" x14ac:dyDescent="0.3">
      <c r="E466" s="131"/>
      <c r="F466" s="131"/>
    </row>
    <row r="467" spans="5:6" x14ac:dyDescent="0.3">
      <c r="E467" s="131"/>
      <c r="F467" s="131"/>
    </row>
    <row r="468" spans="5:6" x14ac:dyDescent="0.3">
      <c r="E468" s="131"/>
      <c r="F468" s="131"/>
    </row>
    <row r="469" spans="5:6" x14ac:dyDescent="0.3">
      <c r="E469" s="131"/>
      <c r="F469" s="131"/>
    </row>
    <row r="470" spans="5:6" x14ac:dyDescent="0.3">
      <c r="E470" s="131"/>
      <c r="F470" s="131"/>
    </row>
    <row r="471" spans="5:6" x14ac:dyDescent="0.3">
      <c r="E471" s="131"/>
      <c r="F471" s="131"/>
    </row>
    <row r="472" spans="5:6" x14ac:dyDescent="0.3">
      <c r="E472" s="131"/>
      <c r="F472" s="131"/>
    </row>
    <row r="473" spans="5:6" x14ac:dyDescent="0.3">
      <c r="E473" s="131"/>
      <c r="F473" s="131"/>
    </row>
    <row r="474" spans="5:6" x14ac:dyDescent="0.3">
      <c r="E474" s="131"/>
      <c r="F474" s="131"/>
    </row>
    <row r="475" spans="5:6" x14ac:dyDescent="0.3">
      <c r="E475" s="131"/>
      <c r="F475" s="131"/>
    </row>
    <row r="476" spans="5:6" x14ac:dyDescent="0.3">
      <c r="E476" s="131"/>
      <c r="F476" s="131"/>
    </row>
    <row r="477" spans="5:6" x14ac:dyDescent="0.3">
      <c r="E477" s="131"/>
      <c r="F477" s="131"/>
    </row>
    <row r="478" spans="5:6" x14ac:dyDescent="0.3">
      <c r="E478" s="131"/>
      <c r="F478" s="131"/>
    </row>
    <row r="479" spans="5:6" x14ac:dyDescent="0.3">
      <c r="E479" s="131"/>
      <c r="F479" s="131"/>
    </row>
    <row r="480" spans="5:6" x14ac:dyDescent="0.3">
      <c r="E480" s="131"/>
      <c r="F480" s="131"/>
    </row>
    <row r="481" spans="5:6" x14ac:dyDescent="0.3">
      <c r="E481" s="131"/>
      <c r="F481" s="131"/>
    </row>
    <row r="482" spans="5:6" x14ac:dyDescent="0.3">
      <c r="E482" s="131"/>
      <c r="F482" s="131"/>
    </row>
    <row r="483" spans="5:6" x14ac:dyDescent="0.3">
      <c r="E483" s="131"/>
      <c r="F483" s="131"/>
    </row>
    <row r="484" spans="5:6" x14ac:dyDescent="0.3">
      <c r="E484" s="131"/>
      <c r="F484" s="131"/>
    </row>
    <row r="485" spans="5:6" x14ac:dyDescent="0.3">
      <c r="E485" s="131"/>
      <c r="F485" s="131"/>
    </row>
    <row r="486" spans="5:6" x14ac:dyDescent="0.3">
      <c r="E486" s="131"/>
      <c r="F486" s="131"/>
    </row>
    <row r="487" spans="5:6" x14ac:dyDescent="0.3">
      <c r="E487" s="131"/>
      <c r="F487" s="131"/>
    </row>
    <row r="488" spans="5:6" x14ac:dyDescent="0.3">
      <c r="E488" s="131"/>
      <c r="F488" s="131"/>
    </row>
    <row r="489" spans="5:6" x14ac:dyDescent="0.3">
      <c r="E489" s="131"/>
      <c r="F489" s="131"/>
    </row>
    <row r="490" spans="5:6" x14ac:dyDescent="0.3">
      <c r="E490" s="131"/>
      <c r="F490" s="131"/>
    </row>
    <row r="491" spans="5:6" x14ac:dyDescent="0.3">
      <c r="E491" s="131"/>
      <c r="F491" s="131"/>
    </row>
    <row r="492" spans="5:6" x14ac:dyDescent="0.3">
      <c r="E492" s="131"/>
      <c r="F492" s="131"/>
    </row>
    <row r="493" spans="5:6" x14ac:dyDescent="0.3">
      <c r="E493" s="131"/>
      <c r="F493" s="131"/>
    </row>
    <row r="494" spans="5:6" x14ac:dyDescent="0.3">
      <c r="E494" s="131"/>
      <c r="F494" s="131"/>
    </row>
    <row r="495" spans="5:6" x14ac:dyDescent="0.3">
      <c r="E495" s="131"/>
      <c r="F495" s="131"/>
    </row>
    <row r="496" spans="5:6" x14ac:dyDescent="0.3">
      <c r="E496" s="131"/>
      <c r="F496" s="131"/>
    </row>
    <row r="497" spans="5:6" x14ac:dyDescent="0.3">
      <c r="E497" s="131"/>
      <c r="F497" s="131"/>
    </row>
    <row r="498" spans="5:6" x14ac:dyDescent="0.3">
      <c r="E498" s="131"/>
      <c r="F498" s="131"/>
    </row>
    <row r="499" spans="5:6" x14ac:dyDescent="0.3">
      <c r="E499" s="131"/>
      <c r="F499" s="131"/>
    </row>
    <row r="500" spans="5:6" x14ac:dyDescent="0.3">
      <c r="E500" s="131"/>
      <c r="F500" s="131"/>
    </row>
    <row r="501" spans="5:6" x14ac:dyDescent="0.3">
      <c r="E501" s="131"/>
      <c r="F501" s="131"/>
    </row>
    <row r="502" spans="5:6" x14ac:dyDescent="0.3">
      <c r="E502" s="131"/>
      <c r="F502" s="131"/>
    </row>
    <row r="503" spans="5:6" x14ac:dyDescent="0.3">
      <c r="E503" s="131"/>
      <c r="F503" s="131"/>
    </row>
    <row r="504" spans="5:6" x14ac:dyDescent="0.3">
      <c r="E504" s="131"/>
      <c r="F504" s="131"/>
    </row>
    <row r="505" spans="5:6" x14ac:dyDescent="0.3">
      <c r="E505" s="131"/>
      <c r="F505" s="131"/>
    </row>
    <row r="506" spans="5:6" x14ac:dyDescent="0.3">
      <c r="E506" s="131"/>
      <c r="F506" s="131"/>
    </row>
    <row r="507" spans="5:6" x14ac:dyDescent="0.3">
      <c r="E507" s="131"/>
      <c r="F507" s="131"/>
    </row>
    <row r="508" spans="5:6" x14ac:dyDescent="0.3">
      <c r="E508" s="131"/>
      <c r="F508" s="131"/>
    </row>
    <row r="509" spans="5:6" x14ac:dyDescent="0.3">
      <c r="E509" s="131"/>
      <c r="F509" s="131"/>
    </row>
    <row r="510" spans="5:6" x14ac:dyDescent="0.3">
      <c r="E510" s="131"/>
      <c r="F510" s="131"/>
    </row>
    <row r="511" spans="5:6" x14ac:dyDescent="0.3">
      <c r="E511" s="131"/>
      <c r="F511" s="131"/>
    </row>
    <row r="512" spans="5:6" x14ac:dyDescent="0.3">
      <c r="E512" s="131"/>
      <c r="F512" s="131"/>
    </row>
    <row r="513" spans="5:6" x14ac:dyDescent="0.3">
      <c r="E513" s="131"/>
      <c r="F513" s="131"/>
    </row>
    <row r="514" spans="5:6" x14ac:dyDescent="0.3">
      <c r="E514" s="131"/>
      <c r="F514" s="131"/>
    </row>
    <row r="515" spans="5:6" x14ac:dyDescent="0.3">
      <c r="E515" s="131"/>
      <c r="F515" s="131"/>
    </row>
    <row r="516" spans="5:6" x14ac:dyDescent="0.3">
      <c r="E516" s="131"/>
      <c r="F516" s="131"/>
    </row>
    <row r="517" spans="5:6" x14ac:dyDescent="0.3">
      <c r="E517" s="131"/>
      <c r="F517" s="131"/>
    </row>
    <row r="518" spans="5:6" x14ac:dyDescent="0.3">
      <c r="E518" s="131"/>
      <c r="F518" s="131"/>
    </row>
    <row r="519" spans="5:6" x14ac:dyDescent="0.3">
      <c r="E519" s="131"/>
      <c r="F519" s="131"/>
    </row>
    <row r="520" spans="5:6" x14ac:dyDescent="0.3">
      <c r="E520" s="131"/>
      <c r="F520" s="131"/>
    </row>
    <row r="521" spans="5:6" x14ac:dyDescent="0.3">
      <c r="E521" s="131"/>
      <c r="F521" s="131"/>
    </row>
    <row r="522" spans="5:6" x14ac:dyDescent="0.3">
      <c r="E522" s="131"/>
      <c r="F522" s="131"/>
    </row>
    <row r="523" spans="5:6" x14ac:dyDescent="0.3">
      <c r="E523" s="131"/>
      <c r="F523" s="131"/>
    </row>
    <row r="524" spans="5:6" x14ac:dyDescent="0.3">
      <c r="E524" s="131"/>
      <c r="F524" s="131"/>
    </row>
    <row r="525" spans="5:6" x14ac:dyDescent="0.3">
      <c r="E525" s="131"/>
      <c r="F525" s="131"/>
    </row>
    <row r="526" spans="5:6" x14ac:dyDescent="0.3">
      <c r="E526" s="131"/>
      <c r="F526" s="131"/>
    </row>
    <row r="527" spans="5:6" x14ac:dyDescent="0.3">
      <c r="E527" s="131"/>
      <c r="F527" s="131"/>
    </row>
    <row r="528" spans="5:6" x14ac:dyDescent="0.3">
      <c r="E528" s="131"/>
      <c r="F528" s="131"/>
    </row>
    <row r="529" spans="5:6" x14ac:dyDescent="0.3">
      <c r="E529" s="131"/>
      <c r="F529" s="131"/>
    </row>
    <row r="530" spans="5:6" x14ac:dyDescent="0.3">
      <c r="E530" s="131"/>
      <c r="F530" s="131"/>
    </row>
    <row r="531" spans="5:6" x14ac:dyDescent="0.3">
      <c r="E531" s="131"/>
      <c r="F531" s="131"/>
    </row>
    <row r="532" spans="5:6" x14ac:dyDescent="0.3">
      <c r="E532" s="131"/>
      <c r="F532" s="131"/>
    </row>
    <row r="533" spans="5:6" x14ac:dyDescent="0.3">
      <c r="E533" s="131"/>
      <c r="F533" s="131"/>
    </row>
    <row r="534" spans="5:6" x14ac:dyDescent="0.3">
      <c r="E534" s="131"/>
      <c r="F534" s="131"/>
    </row>
    <row r="535" spans="5:6" x14ac:dyDescent="0.3">
      <c r="E535" s="131"/>
      <c r="F535" s="131"/>
    </row>
    <row r="536" spans="5:6" x14ac:dyDescent="0.3">
      <c r="E536" s="131"/>
      <c r="F536" s="131"/>
    </row>
    <row r="537" spans="5:6" x14ac:dyDescent="0.3">
      <c r="E537" s="131"/>
      <c r="F537" s="131"/>
    </row>
    <row r="538" spans="5:6" x14ac:dyDescent="0.3">
      <c r="E538" s="131"/>
      <c r="F538" s="131"/>
    </row>
    <row r="539" spans="5:6" x14ac:dyDescent="0.3">
      <c r="E539" s="131"/>
      <c r="F539" s="131"/>
    </row>
    <row r="540" spans="5:6" x14ac:dyDescent="0.3">
      <c r="E540" s="131"/>
      <c r="F540" s="131"/>
    </row>
    <row r="541" spans="5:6" x14ac:dyDescent="0.3">
      <c r="E541" s="131"/>
      <c r="F541" s="131"/>
    </row>
    <row r="542" spans="5:6" x14ac:dyDescent="0.3">
      <c r="E542" s="131"/>
      <c r="F542" s="131"/>
    </row>
    <row r="543" spans="5:6" x14ac:dyDescent="0.3">
      <c r="E543" s="131"/>
      <c r="F543" s="131"/>
    </row>
    <row r="544" spans="5:6" x14ac:dyDescent="0.3">
      <c r="E544" s="131"/>
      <c r="F544" s="131"/>
    </row>
    <row r="545" spans="5:6" x14ac:dyDescent="0.3">
      <c r="E545" s="131"/>
      <c r="F545" s="131"/>
    </row>
    <row r="546" spans="5:6" x14ac:dyDescent="0.3">
      <c r="E546" s="131"/>
      <c r="F546" s="131"/>
    </row>
    <row r="547" spans="5:6" x14ac:dyDescent="0.3">
      <c r="E547" s="131"/>
      <c r="F547" s="131"/>
    </row>
    <row r="548" spans="5:6" x14ac:dyDescent="0.3">
      <c r="E548" s="131"/>
      <c r="F548" s="131"/>
    </row>
    <row r="549" spans="5:6" x14ac:dyDescent="0.3">
      <c r="E549" s="131"/>
      <c r="F549" s="131"/>
    </row>
    <row r="550" spans="5:6" x14ac:dyDescent="0.3">
      <c r="E550" s="131"/>
      <c r="F550" s="131"/>
    </row>
    <row r="551" spans="5:6" x14ac:dyDescent="0.3">
      <c r="E551" s="131"/>
      <c r="F551" s="131"/>
    </row>
    <row r="552" spans="5:6" x14ac:dyDescent="0.3">
      <c r="E552" s="131"/>
      <c r="F552" s="131"/>
    </row>
    <row r="553" spans="5:6" x14ac:dyDescent="0.3">
      <c r="E553" s="131"/>
      <c r="F553" s="131"/>
    </row>
    <row r="554" spans="5:6" x14ac:dyDescent="0.3">
      <c r="E554" s="131"/>
      <c r="F554" s="131"/>
    </row>
    <row r="555" spans="5:6" x14ac:dyDescent="0.3">
      <c r="E555" s="131"/>
      <c r="F555" s="131"/>
    </row>
    <row r="556" spans="5:6" x14ac:dyDescent="0.3">
      <c r="E556" s="131"/>
      <c r="F556" s="131"/>
    </row>
    <row r="557" spans="5:6" x14ac:dyDescent="0.3">
      <c r="E557" s="131"/>
      <c r="F557" s="131"/>
    </row>
    <row r="558" spans="5:6" x14ac:dyDescent="0.3">
      <c r="E558" s="131"/>
      <c r="F558" s="131"/>
    </row>
    <row r="559" spans="5:6" x14ac:dyDescent="0.3">
      <c r="E559" s="131"/>
      <c r="F559" s="131"/>
    </row>
    <row r="560" spans="5:6" x14ac:dyDescent="0.3">
      <c r="E560" s="131"/>
      <c r="F560" s="131"/>
    </row>
    <row r="561" spans="5:6" x14ac:dyDescent="0.3">
      <c r="E561" s="131"/>
      <c r="F561" s="131"/>
    </row>
    <row r="562" spans="5:6" x14ac:dyDescent="0.3">
      <c r="E562" s="131"/>
      <c r="F562" s="131"/>
    </row>
    <row r="563" spans="5:6" x14ac:dyDescent="0.3">
      <c r="E563" s="131"/>
      <c r="F563" s="131"/>
    </row>
    <row r="564" spans="5:6" x14ac:dyDescent="0.3">
      <c r="E564" s="131"/>
      <c r="F564" s="131"/>
    </row>
    <row r="565" spans="5:6" x14ac:dyDescent="0.3">
      <c r="E565" s="131"/>
      <c r="F565" s="131"/>
    </row>
    <row r="566" spans="5:6" x14ac:dyDescent="0.3">
      <c r="E566" s="131"/>
      <c r="F566" s="131"/>
    </row>
    <row r="567" spans="5:6" x14ac:dyDescent="0.3">
      <c r="E567" s="131"/>
      <c r="F567" s="131"/>
    </row>
    <row r="568" spans="5:6" x14ac:dyDescent="0.3">
      <c r="E568" s="131"/>
      <c r="F568" s="131"/>
    </row>
    <row r="569" spans="5:6" x14ac:dyDescent="0.3">
      <c r="E569" s="131"/>
      <c r="F569" s="131"/>
    </row>
    <row r="570" spans="5:6" x14ac:dyDescent="0.3">
      <c r="E570" s="131"/>
      <c r="F570" s="131"/>
    </row>
    <row r="571" spans="5:6" x14ac:dyDescent="0.3">
      <c r="E571" s="131"/>
      <c r="F571" s="131"/>
    </row>
    <row r="572" spans="5:6" x14ac:dyDescent="0.3">
      <c r="E572" s="131"/>
      <c r="F572" s="131"/>
    </row>
    <row r="573" spans="5:6" x14ac:dyDescent="0.3">
      <c r="E573" s="131"/>
      <c r="F573" s="131"/>
    </row>
    <row r="574" spans="5:6" x14ac:dyDescent="0.3">
      <c r="E574" s="131"/>
      <c r="F574" s="131"/>
    </row>
    <row r="575" spans="5:6" x14ac:dyDescent="0.3">
      <c r="E575" s="131"/>
      <c r="F575" s="131"/>
    </row>
    <row r="576" spans="5:6" x14ac:dyDescent="0.3">
      <c r="E576" s="131"/>
      <c r="F576" s="131"/>
    </row>
    <row r="577" spans="5:6" x14ac:dyDescent="0.3">
      <c r="E577" s="131"/>
      <c r="F577" s="131"/>
    </row>
    <row r="578" spans="5:6" x14ac:dyDescent="0.3">
      <c r="E578" s="131"/>
      <c r="F578" s="131"/>
    </row>
    <row r="579" spans="5:6" x14ac:dyDescent="0.3">
      <c r="E579" s="131"/>
      <c r="F579" s="131"/>
    </row>
    <row r="580" spans="5:6" x14ac:dyDescent="0.3">
      <c r="E580" s="131"/>
      <c r="F580" s="131"/>
    </row>
    <row r="581" spans="5:6" x14ac:dyDescent="0.3">
      <c r="E581" s="131"/>
      <c r="F581" s="131"/>
    </row>
    <row r="582" spans="5:6" x14ac:dyDescent="0.3">
      <c r="E582" s="131"/>
      <c r="F582" s="131"/>
    </row>
    <row r="583" spans="5:6" x14ac:dyDescent="0.3">
      <c r="E583" s="131"/>
      <c r="F583" s="131"/>
    </row>
    <row r="584" spans="5:6" x14ac:dyDescent="0.3">
      <c r="E584" s="131"/>
      <c r="F584" s="131"/>
    </row>
    <row r="585" spans="5:6" x14ac:dyDescent="0.3">
      <c r="E585" s="131"/>
      <c r="F585" s="131"/>
    </row>
    <row r="586" spans="5:6" x14ac:dyDescent="0.3">
      <c r="E586" s="131"/>
      <c r="F586" s="131"/>
    </row>
    <row r="587" spans="5:6" x14ac:dyDescent="0.3">
      <c r="E587" s="131"/>
      <c r="F587" s="131"/>
    </row>
    <row r="588" spans="5:6" x14ac:dyDescent="0.3">
      <c r="E588" s="131"/>
      <c r="F588" s="131"/>
    </row>
    <row r="589" spans="5:6" x14ac:dyDescent="0.3">
      <c r="E589" s="131"/>
      <c r="F589" s="131"/>
    </row>
    <row r="590" spans="5:6" x14ac:dyDescent="0.3">
      <c r="E590" s="131"/>
      <c r="F590" s="131"/>
    </row>
    <row r="591" spans="5:6" x14ac:dyDescent="0.3">
      <c r="E591" s="131"/>
      <c r="F591" s="131"/>
    </row>
    <row r="592" spans="5:6" x14ac:dyDescent="0.3">
      <c r="E592" s="131"/>
      <c r="F592" s="131"/>
    </row>
    <row r="593" spans="5:6" x14ac:dyDescent="0.3">
      <c r="E593" s="131"/>
      <c r="F593" s="131"/>
    </row>
    <row r="594" spans="5:6" x14ac:dyDescent="0.3">
      <c r="E594" s="131"/>
      <c r="F594" s="131"/>
    </row>
    <row r="595" spans="5:6" x14ac:dyDescent="0.3">
      <c r="E595" s="131"/>
      <c r="F595" s="131"/>
    </row>
    <row r="596" spans="5:6" x14ac:dyDescent="0.3">
      <c r="E596" s="131"/>
      <c r="F596" s="131"/>
    </row>
    <row r="597" spans="5:6" x14ac:dyDescent="0.3">
      <c r="E597" s="131"/>
      <c r="F597" s="131"/>
    </row>
    <row r="598" spans="5:6" x14ac:dyDescent="0.3">
      <c r="E598" s="131"/>
      <c r="F598" s="131"/>
    </row>
    <row r="599" spans="5:6" x14ac:dyDescent="0.3">
      <c r="E599" s="131"/>
      <c r="F599" s="131"/>
    </row>
    <row r="600" spans="5:6" x14ac:dyDescent="0.3">
      <c r="E600" s="131"/>
      <c r="F600" s="131"/>
    </row>
    <row r="601" spans="5:6" x14ac:dyDescent="0.3">
      <c r="E601" s="131"/>
      <c r="F601" s="131"/>
    </row>
    <row r="602" spans="5:6" x14ac:dyDescent="0.3">
      <c r="E602" s="131"/>
      <c r="F602" s="131"/>
    </row>
    <row r="603" spans="5:6" x14ac:dyDescent="0.3">
      <c r="E603" s="131"/>
      <c r="F603" s="131"/>
    </row>
    <row r="604" spans="5:6" x14ac:dyDescent="0.3">
      <c r="E604" s="131"/>
      <c r="F604" s="131"/>
    </row>
    <row r="605" spans="5:6" x14ac:dyDescent="0.3">
      <c r="E605" s="131"/>
      <c r="F605" s="131"/>
    </row>
    <row r="606" spans="5:6" x14ac:dyDescent="0.3">
      <c r="E606" s="131"/>
      <c r="F606" s="131"/>
    </row>
    <row r="607" spans="5:6" x14ac:dyDescent="0.3">
      <c r="E607" s="131"/>
      <c r="F607" s="131"/>
    </row>
    <row r="608" spans="5:6" x14ac:dyDescent="0.3">
      <c r="E608" s="131"/>
      <c r="F608" s="131"/>
    </row>
    <row r="609" spans="5:6" x14ac:dyDescent="0.3">
      <c r="E609" s="131"/>
      <c r="F609" s="131"/>
    </row>
    <row r="610" spans="5:6" x14ac:dyDescent="0.3">
      <c r="E610" s="131"/>
      <c r="F610" s="131"/>
    </row>
    <row r="611" spans="5:6" x14ac:dyDescent="0.3">
      <c r="E611" s="131"/>
      <c r="F611" s="131"/>
    </row>
    <row r="612" spans="5:6" x14ac:dyDescent="0.3">
      <c r="E612" s="131"/>
      <c r="F612" s="131"/>
    </row>
    <row r="613" spans="5:6" x14ac:dyDescent="0.3">
      <c r="E613" s="131"/>
      <c r="F613" s="131"/>
    </row>
    <row r="614" spans="5:6" x14ac:dyDescent="0.3">
      <c r="E614" s="131"/>
      <c r="F614" s="131"/>
    </row>
    <row r="615" spans="5:6" x14ac:dyDescent="0.3">
      <c r="E615" s="131"/>
      <c r="F615" s="131"/>
    </row>
    <row r="616" spans="5:6" x14ac:dyDescent="0.3">
      <c r="E616" s="131"/>
      <c r="F616" s="131"/>
    </row>
    <row r="617" spans="5:6" x14ac:dyDescent="0.3">
      <c r="E617" s="131"/>
      <c r="F617" s="131"/>
    </row>
    <row r="618" spans="5:6" x14ac:dyDescent="0.3">
      <c r="E618" s="131"/>
      <c r="F618" s="131"/>
    </row>
    <row r="619" spans="5:6" x14ac:dyDescent="0.3">
      <c r="E619" s="131"/>
      <c r="F619" s="131"/>
    </row>
    <row r="620" spans="5:6" x14ac:dyDescent="0.3">
      <c r="E620" s="131"/>
      <c r="F620" s="131"/>
    </row>
    <row r="621" spans="5:6" x14ac:dyDescent="0.3">
      <c r="E621" s="131"/>
      <c r="F621" s="131"/>
    </row>
    <row r="622" spans="5:6" x14ac:dyDescent="0.3">
      <c r="E622" s="131"/>
      <c r="F622" s="131"/>
    </row>
    <row r="623" spans="5:6" x14ac:dyDescent="0.3">
      <c r="E623" s="131"/>
      <c r="F623" s="131"/>
    </row>
    <row r="624" spans="5:6" x14ac:dyDescent="0.3">
      <c r="E624" s="131"/>
      <c r="F624" s="131"/>
    </row>
    <row r="625" spans="5:6" x14ac:dyDescent="0.3">
      <c r="E625" s="131"/>
      <c r="F625" s="131"/>
    </row>
    <row r="626" spans="5:6" x14ac:dyDescent="0.3">
      <c r="E626" s="131"/>
      <c r="F626" s="131"/>
    </row>
    <row r="627" spans="5:6" x14ac:dyDescent="0.3">
      <c r="E627" s="131"/>
      <c r="F627" s="131"/>
    </row>
    <row r="628" spans="5:6" x14ac:dyDescent="0.3">
      <c r="E628" s="131"/>
      <c r="F628" s="131"/>
    </row>
    <row r="629" spans="5:6" x14ac:dyDescent="0.3">
      <c r="E629" s="131"/>
      <c r="F629" s="131"/>
    </row>
    <row r="630" spans="5:6" x14ac:dyDescent="0.3">
      <c r="E630" s="131"/>
      <c r="F630" s="131"/>
    </row>
    <row r="631" spans="5:6" x14ac:dyDescent="0.3">
      <c r="E631" s="131"/>
      <c r="F631" s="131"/>
    </row>
    <row r="632" spans="5:6" x14ac:dyDescent="0.3">
      <c r="E632" s="131"/>
      <c r="F632" s="131"/>
    </row>
    <row r="633" spans="5:6" x14ac:dyDescent="0.3">
      <c r="E633" s="131"/>
      <c r="F633" s="131"/>
    </row>
    <row r="634" spans="5:6" x14ac:dyDescent="0.3">
      <c r="E634" s="131"/>
      <c r="F634" s="131"/>
    </row>
    <row r="635" spans="5:6" x14ac:dyDescent="0.3">
      <c r="E635" s="131"/>
      <c r="F635" s="131"/>
    </row>
    <row r="636" spans="5:6" x14ac:dyDescent="0.3">
      <c r="E636" s="131"/>
      <c r="F636" s="131"/>
    </row>
    <row r="637" spans="5:6" x14ac:dyDescent="0.3">
      <c r="E637" s="131"/>
      <c r="F637" s="131"/>
    </row>
    <row r="638" spans="5:6" x14ac:dyDescent="0.3">
      <c r="E638" s="131"/>
      <c r="F638" s="131"/>
    </row>
    <row r="639" spans="5:6" x14ac:dyDescent="0.3">
      <c r="E639" s="131"/>
      <c r="F639" s="131"/>
    </row>
    <row r="640" spans="5:6" x14ac:dyDescent="0.3">
      <c r="E640" s="131"/>
      <c r="F640" s="131"/>
    </row>
    <row r="641" spans="5:6" x14ac:dyDescent="0.3">
      <c r="E641" s="131"/>
      <c r="F641" s="131"/>
    </row>
    <row r="642" spans="5:6" x14ac:dyDescent="0.3">
      <c r="E642" s="131"/>
      <c r="F642" s="131"/>
    </row>
    <row r="643" spans="5:6" x14ac:dyDescent="0.3">
      <c r="E643" s="131"/>
      <c r="F643" s="131"/>
    </row>
    <row r="644" spans="5:6" x14ac:dyDescent="0.3">
      <c r="E644" s="131"/>
      <c r="F644" s="131"/>
    </row>
    <row r="645" spans="5:6" x14ac:dyDescent="0.3">
      <c r="E645" s="131"/>
      <c r="F645" s="131"/>
    </row>
    <row r="646" spans="5:6" x14ac:dyDescent="0.3">
      <c r="E646" s="131"/>
      <c r="F646" s="131"/>
    </row>
    <row r="647" spans="5:6" x14ac:dyDescent="0.3">
      <c r="E647" s="131"/>
      <c r="F647" s="131"/>
    </row>
    <row r="648" spans="5:6" x14ac:dyDescent="0.3">
      <c r="E648" s="131"/>
      <c r="F648" s="131"/>
    </row>
    <row r="649" spans="5:6" x14ac:dyDescent="0.3">
      <c r="E649" s="131"/>
      <c r="F649" s="131"/>
    </row>
    <row r="650" spans="5:6" x14ac:dyDescent="0.3">
      <c r="E650" s="131"/>
      <c r="F650" s="131"/>
    </row>
    <row r="651" spans="5:6" x14ac:dyDescent="0.3">
      <c r="E651" s="131"/>
      <c r="F651" s="131"/>
    </row>
    <row r="652" spans="5:6" x14ac:dyDescent="0.3">
      <c r="E652" s="131"/>
      <c r="F652" s="131"/>
    </row>
    <row r="653" spans="5:6" x14ac:dyDescent="0.3">
      <c r="E653" s="131"/>
      <c r="F653" s="131"/>
    </row>
    <row r="654" spans="5:6" x14ac:dyDescent="0.3">
      <c r="E654" s="131"/>
      <c r="F654" s="131"/>
    </row>
    <row r="655" spans="5:6" x14ac:dyDescent="0.3">
      <c r="E655" s="131"/>
      <c r="F655" s="131"/>
    </row>
    <row r="656" spans="5:6" x14ac:dyDescent="0.3">
      <c r="E656" s="131"/>
      <c r="F656" s="131"/>
    </row>
    <row r="657" spans="5:6" x14ac:dyDescent="0.3">
      <c r="E657" s="131"/>
      <c r="F657" s="131"/>
    </row>
    <row r="658" spans="5:6" x14ac:dyDescent="0.3">
      <c r="E658" s="131"/>
      <c r="F658" s="131"/>
    </row>
    <row r="659" spans="5:6" x14ac:dyDescent="0.3">
      <c r="E659" s="131"/>
      <c r="F659" s="131"/>
    </row>
    <row r="660" spans="5:6" x14ac:dyDescent="0.3">
      <c r="E660" s="131"/>
      <c r="F660" s="131"/>
    </row>
    <row r="661" spans="5:6" x14ac:dyDescent="0.3">
      <c r="E661" s="131"/>
      <c r="F661" s="131"/>
    </row>
    <row r="662" spans="5:6" x14ac:dyDescent="0.3">
      <c r="E662" s="131"/>
      <c r="F662" s="131"/>
    </row>
    <row r="663" spans="5:6" x14ac:dyDescent="0.3">
      <c r="E663" s="131"/>
      <c r="F663" s="131"/>
    </row>
    <row r="664" spans="5:6" x14ac:dyDescent="0.3">
      <c r="E664" s="131"/>
      <c r="F664" s="131"/>
    </row>
    <row r="665" spans="5:6" x14ac:dyDescent="0.3">
      <c r="E665" s="131"/>
      <c r="F665" s="131"/>
    </row>
    <row r="666" spans="5:6" x14ac:dyDescent="0.3">
      <c r="E666" s="131"/>
      <c r="F666" s="131"/>
    </row>
    <row r="667" spans="5:6" x14ac:dyDescent="0.3">
      <c r="E667" s="131"/>
      <c r="F667" s="131"/>
    </row>
    <row r="668" spans="5:6" x14ac:dyDescent="0.3">
      <c r="E668" s="131"/>
      <c r="F668" s="131"/>
    </row>
    <row r="669" spans="5:6" x14ac:dyDescent="0.3">
      <c r="E669" s="131"/>
      <c r="F669" s="131"/>
    </row>
    <row r="670" spans="5:6" x14ac:dyDescent="0.3">
      <c r="E670" s="131"/>
      <c r="F670" s="131"/>
    </row>
    <row r="671" spans="5:6" x14ac:dyDescent="0.3">
      <c r="E671" s="131"/>
      <c r="F671" s="131"/>
    </row>
    <row r="672" spans="5:6" x14ac:dyDescent="0.3">
      <c r="E672" s="131"/>
      <c r="F672" s="131"/>
    </row>
    <row r="673" spans="5:6" x14ac:dyDescent="0.3">
      <c r="E673" s="131"/>
      <c r="F673" s="131"/>
    </row>
    <row r="674" spans="5:6" x14ac:dyDescent="0.3">
      <c r="E674" s="131"/>
      <c r="F674" s="131"/>
    </row>
    <row r="675" spans="5:6" x14ac:dyDescent="0.3">
      <c r="E675" s="131"/>
      <c r="F675" s="131"/>
    </row>
    <row r="676" spans="5:6" x14ac:dyDescent="0.3">
      <c r="E676" s="131"/>
      <c r="F676" s="131"/>
    </row>
    <row r="677" spans="5:6" x14ac:dyDescent="0.3">
      <c r="E677" s="131"/>
      <c r="F677" s="131"/>
    </row>
    <row r="678" spans="5:6" x14ac:dyDescent="0.3">
      <c r="E678" s="131"/>
      <c r="F678" s="131"/>
    </row>
    <row r="679" spans="5:6" x14ac:dyDescent="0.3">
      <c r="E679" s="131"/>
      <c r="F679" s="131"/>
    </row>
    <row r="680" spans="5:6" x14ac:dyDescent="0.3">
      <c r="E680" s="131"/>
      <c r="F680" s="131"/>
    </row>
    <row r="681" spans="5:6" x14ac:dyDescent="0.3">
      <c r="E681" s="131"/>
      <c r="F681" s="131"/>
    </row>
    <row r="682" spans="5:6" x14ac:dyDescent="0.3">
      <c r="E682" s="131"/>
      <c r="F682" s="131"/>
    </row>
    <row r="683" spans="5:6" x14ac:dyDescent="0.3">
      <c r="E683" s="131"/>
      <c r="F683" s="131"/>
    </row>
    <row r="684" spans="5:6" x14ac:dyDescent="0.3">
      <c r="E684" s="131"/>
      <c r="F684" s="131"/>
    </row>
    <row r="685" spans="5:6" x14ac:dyDescent="0.3">
      <c r="E685" s="131"/>
      <c r="F685" s="131"/>
    </row>
    <row r="686" spans="5:6" x14ac:dyDescent="0.3">
      <c r="E686" s="131"/>
      <c r="F686" s="131"/>
    </row>
    <row r="687" spans="5:6" x14ac:dyDescent="0.3">
      <c r="E687" s="131"/>
      <c r="F687" s="131"/>
    </row>
    <row r="688" spans="5:6" x14ac:dyDescent="0.3">
      <c r="E688" s="131"/>
      <c r="F688" s="131"/>
    </row>
    <row r="689" spans="5:6" x14ac:dyDescent="0.3">
      <c r="E689" s="131"/>
      <c r="F689" s="131"/>
    </row>
    <row r="690" spans="5:6" x14ac:dyDescent="0.3">
      <c r="E690" s="131"/>
      <c r="F690" s="131"/>
    </row>
    <row r="691" spans="5:6" x14ac:dyDescent="0.3">
      <c r="E691" s="131"/>
      <c r="F691" s="131"/>
    </row>
    <row r="692" spans="5:6" x14ac:dyDescent="0.3">
      <c r="E692" s="131"/>
      <c r="F692" s="131"/>
    </row>
    <row r="693" spans="5:6" x14ac:dyDescent="0.3">
      <c r="E693" s="131"/>
      <c r="F693" s="131"/>
    </row>
    <row r="694" spans="5:6" x14ac:dyDescent="0.3">
      <c r="E694" s="131"/>
      <c r="F694" s="131"/>
    </row>
    <row r="695" spans="5:6" x14ac:dyDescent="0.3">
      <c r="E695" s="131"/>
      <c r="F695" s="131"/>
    </row>
    <row r="696" spans="5:6" x14ac:dyDescent="0.3">
      <c r="E696" s="131"/>
      <c r="F696" s="131"/>
    </row>
    <row r="697" spans="5:6" x14ac:dyDescent="0.3">
      <c r="E697" s="131"/>
      <c r="F697" s="131"/>
    </row>
    <row r="698" spans="5:6" x14ac:dyDescent="0.3">
      <c r="E698" s="131"/>
      <c r="F698" s="131"/>
    </row>
    <row r="699" spans="5:6" x14ac:dyDescent="0.3">
      <c r="E699" s="131"/>
      <c r="F699" s="131"/>
    </row>
    <row r="700" spans="5:6" x14ac:dyDescent="0.3">
      <c r="E700" s="131"/>
      <c r="F700" s="131"/>
    </row>
    <row r="701" spans="5:6" x14ac:dyDescent="0.3">
      <c r="E701" s="131"/>
      <c r="F701" s="131"/>
    </row>
    <row r="702" spans="5:6" x14ac:dyDescent="0.3">
      <c r="E702" s="131"/>
      <c r="F702" s="131"/>
    </row>
    <row r="703" spans="5:6" x14ac:dyDescent="0.3">
      <c r="E703" s="131"/>
      <c r="F703" s="131"/>
    </row>
    <row r="704" spans="5:6" x14ac:dyDescent="0.3">
      <c r="E704" s="131"/>
      <c r="F704" s="131"/>
    </row>
    <row r="705" spans="5:6" x14ac:dyDescent="0.3">
      <c r="E705" s="131"/>
      <c r="F705" s="131"/>
    </row>
    <row r="706" spans="5:6" x14ac:dyDescent="0.3">
      <c r="E706" s="131"/>
      <c r="F706" s="131"/>
    </row>
    <row r="707" spans="5:6" x14ac:dyDescent="0.3">
      <c r="E707" s="131"/>
      <c r="F707" s="131"/>
    </row>
    <row r="708" spans="5:6" x14ac:dyDescent="0.3">
      <c r="E708" s="131"/>
      <c r="F708" s="131"/>
    </row>
    <row r="709" spans="5:6" x14ac:dyDescent="0.3">
      <c r="E709" s="131"/>
      <c r="F709" s="131"/>
    </row>
    <row r="710" spans="5:6" x14ac:dyDescent="0.3">
      <c r="E710" s="131"/>
      <c r="F710" s="131"/>
    </row>
    <row r="711" spans="5:6" x14ac:dyDescent="0.3">
      <c r="E711" s="131"/>
      <c r="F711" s="131"/>
    </row>
    <row r="712" spans="5:6" x14ac:dyDescent="0.3">
      <c r="E712" s="131"/>
      <c r="F712" s="131"/>
    </row>
    <row r="713" spans="5:6" x14ac:dyDescent="0.3">
      <c r="E713" s="131"/>
      <c r="F713" s="131"/>
    </row>
    <row r="714" spans="5:6" x14ac:dyDescent="0.3">
      <c r="E714" s="131"/>
      <c r="F714" s="131"/>
    </row>
    <row r="715" spans="5:6" x14ac:dyDescent="0.3">
      <c r="E715" s="131"/>
      <c r="F715" s="131"/>
    </row>
    <row r="716" spans="5:6" x14ac:dyDescent="0.3">
      <c r="E716" s="131"/>
      <c r="F716" s="131"/>
    </row>
    <row r="717" spans="5:6" x14ac:dyDescent="0.3">
      <c r="E717" s="131"/>
      <c r="F717" s="131"/>
    </row>
    <row r="718" spans="5:6" x14ac:dyDescent="0.3">
      <c r="E718" s="131"/>
      <c r="F718" s="131"/>
    </row>
    <row r="719" spans="5:6" x14ac:dyDescent="0.3">
      <c r="E719" s="131"/>
      <c r="F719" s="131"/>
    </row>
    <row r="720" spans="5:6" x14ac:dyDescent="0.3">
      <c r="E720" s="131"/>
      <c r="F720" s="131"/>
    </row>
    <row r="721" spans="5:6" x14ac:dyDescent="0.3">
      <c r="E721" s="131"/>
      <c r="F721" s="131"/>
    </row>
    <row r="722" spans="5:6" x14ac:dyDescent="0.3">
      <c r="E722" s="131"/>
      <c r="F722" s="131"/>
    </row>
    <row r="723" spans="5:6" x14ac:dyDescent="0.3">
      <c r="E723" s="131"/>
      <c r="F723" s="131"/>
    </row>
    <row r="724" spans="5:6" x14ac:dyDescent="0.3">
      <c r="E724" s="131"/>
      <c r="F724" s="131"/>
    </row>
    <row r="725" spans="5:6" x14ac:dyDescent="0.3">
      <c r="E725" s="131"/>
      <c r="F725" s="131"/>
    </row>
    <row r="726" spans="5:6" x14ac:dyDescent="0.3">
      <c r="E726" s="131"/>
      <c r="F726" s="131"/>
    </row>
    <row r="727" spans="5:6" x14ac:dyDescent="0.3">
      <c r="E727" s="131"/>
      <c r="F727" s="131"/>
    </row>
    <row r="728" spans="5:6" x14ac:dyDescent="0.3">
      <c r="E728" s="131"/>
      <c r="F728" s="131"/>
    </row>
    <row r="729" spans="5:6" x14ac:dyDescent="0.3">
      <c r="E729" s="131"/>
      <c r="F729" s="131"/>
    </row>
    <row r="730" spans="5:6" x14ac:dyDescent="0.3">
      <c r="E730" s="131"/>
      <c r="F730" s="131"/>
    </row>
    <row r="731" spans="5:6" x14ac:dyDescent="0.3">
      <c r="E731" s="131"/>
      <c r="F731" s="131"/>
    </row>
    <row r="732" spans="5:6" x14ac:dyDescent="0.3">
      <c r="E732" s="131"/>
      <c r="F732" s="131"/>
    </row>
    <row r="733" spans="5:6" x14ac:dyDescent="0.3">
      <c r="E733" s="131"/>
      <c r="F733" s="131"/>
    </row>
    <row r="734" spans="5:6" x14ac:dyDescent="0.3">
      <c r="E734" s="131"/>
      <c r="F734" s="131"/>
    </row>
    <row r="735" spans="5:6" x14ac:dyDescent="0.3">
      <c r="E735" s="131"/>
      <c r="F735" s="131"/>
    </row>
    <row r="736" spans="5:6" x14ac:dyDescent="0.3">
      <c r="E736" s="131"/>
      <c r="F736" s="131"/>
    </row>
    <row r="737" spans="5:6" x14ac:dyDescent="0.3">
      <c r="E737" s="131"/>
      <c r="F737" s="131"/>
    </row>
    <row r="738" spans="5:6" x14ac:dyDescent="0.3">
      <c r="E738" s="131"/>
      <c r="F738" s="131"/>
    </row>
    <row r="739" spans="5:6" x14ac:dyDescent="0.3">
      <c r="E739" s="131"/>
      <c r="F739" s="131"/>
    </row>
    <row r="740" spans="5:6" x14ac:dyDescent="0.3">
      <c r="E740" s="131"/>
      <c r="F740" s="131"/>
    </row>
    <row r="741" spans="5:6" x14ac:dyDescent="0.3">
      <c r="E741" s="131"/>
      <c r="F741" s="131"/>
    </row>
    <row r="742" spans="5:6" x14ac:dyDescent="0.3">
      <c r="E742" s="131"/>
      <c r="F742" s="131"/>
    </row>
    <row r="743" spans="5:6" x14ac:dyDescent="0.3">
      <c r="E743" s="131"/>
      <c r="F743" s="131"/>
    </row>
    <row r="744" spans="5:6" x14ac:dyDescent="0.3">
      <c r="E744" s="131"/>
      <c r="F744" s="131"/>
    </row>
    <row r="745" spans="5:6" x14ac:dyDescent="0.3">
      <c r="E745" s="131"/>
      <c r="F745" s="131"/>
    </row>
    <row r="746" spans="5:6" x14ac:dyDescent="0.3">
      <c r="E746" s="131"/>
      <c r="F746" s="131"/>
    </row>
    <row r="747" spans="5:6" x14ac:dyDescent="0.3">
      <c r="E747" s="131"/>
      <c r="F747" s="131"/>
    </row>
    <row r="748" spans="5:6" x14ac:dyDescent="0.3">
      <c r="E748" s="131"/>
      <c r="F748" s="131"/>
    </row>
    <row r="749" spans="5:6" x14ac:dyDescent="0.3">
      <c r="E749" s="131"/>
      <c r="F749" s="131"/>
    </row>
    <row r="750" spans="5:6" x14ac:dyDescent="0.3">
      <c r="E750" s="131"/>
      <c r="F750" s="131"/>
    </row>
    <row r="751" spans="5:6" x14ac:dyDescent="0.3">
      <c r="E751" s="131"/>
      <c r="F751" s="131"/>
    </row>
    <row r="752" spans="5:6" x14ac:dyDescent="0.3">
      <c r="E752" s="131"/>
      <c r="F752" s="131"/>
    </row>
    <row r="753" spans="5:6" x14ac:dyDescent="0.3">
      <c r="E753" s="131"/>
      <c r="F753" s="131"/>
    </row>
    <row r="754" spans="5:6" x14ac:dyDescent="0.3">
      <c r="E754" s="131"/>
      <c r="F754" s="131"/>
    </row>
    <row r="755" spans="5:6" x14ac:dyDescent="0.3">
      <c r="E755" s="131"/>
      <c r="F755" s="131"/>
    </row>
    <row r="756" spans="5:6" x14ac:dyDescent="0.3">
      <c r="E756" s="131"/>
      <c r="F756" s="131"/>
    </row>
    <row r="757" spans="5:6" x14ac:dyDescent="0.3">
      <c r="E757" s="131"/>
      <c r="F757" s="131"/>
    </row>
    <row r="758" spans="5:6" x14ac:dyDescent="0.3">
      <c r="E758" s="131"/>
      <c r="F758" s="131"/>
    </row>
    <row r="759" spans="5:6" x14ac:dyDescent="0.3">
      <c r="E759" s="131"/>
      <c r="F759" s="131"/>
    </row>
    <row r="760" spans="5:6" x14ac:dyDescent="0.3">
      <c r="E760" s="131"/>
      <c r="F760" s="131"/>
    </row>
    <row r="761" spans="5:6" x14ac:dyDescent="0.3">
      <c r="E761" s="131"/>
      <c r="F761" s="131"/>
    </row>
    <row r="762" spans="5:6" x14ac:dyDescent="0.3">
      <c r="E762" s="131"/>
      <c r="F762" s="131"/>
    </row>
    <row r="763" spans="5:6" x14ac:dyDescent="0.3">
      <c r="E763" s="131"/>
      <c r="F763" s="131"/>
    </row>
    <row r="764" spans="5:6" x14ac:dyDescent="0.3">
      <c r="E764" s="131"/>
      <c r="F764" s="131"/>
    </row>
    <row r="765" spans="5:6" x14ac:dyDescent="0.3">
      <c r="E765" s="131"/>
      <c r="F765" s="131"/>
    </row>
    <row r="766" spans="5:6" x14ac:dyDescent="0.3">
      <c r="E766" s="131"/>
      <c r="F766" s="131"/>
    </row>
    <row r="767" spans="5:6" x14ac:dyDescent="0.3">
      <c r="E767" s="131"/>
      <c r="F767" s="131"/>
    </row>
    <row r="768" spans="5:6" x14ac:dyDescent="0.3">
      <c r="E768" s="131"/>
      <c r="F768" s="131"/>
    </row>
    <row r="769" spans="5:6" x14ac:dyDescent="0.3">
      <c r="E769" s="131"/>
      <c r="F769" s="131"/>
    </row>
    <row r="770" spans="5:6" x14ac:dyDescent="0.3">
      <c r="E770" s="131"/>
      <c r="F770" s="131"/>
    </row>
    <row r="771" spans="5:6" x14ac:dyDescent="0.3">
      <c r="E771" s="131"/>
      <c r="F771" s="131"/>
    </row>
    <row r="772" spans="5:6" x14ac:dyDescent="0.3">
      <c r="E772" s="131"/>
      <c r="F772" s="131"/>
    </row>
    <row r="773" spans="5:6" x14ac:dyDescent="0.3">
      <c r="E773" s="131"/>
      <c r="F773" s="131"/>
    </row>
    <row r="774" spans="5:6" x14ac:dyDescent="0.3">
      <c r="E774" s="131"/>
      <c r="F774" s="131"/>
    </row>
    <row r="775" spans="5:6" x14ac:dyDescent="0.3">
      <c r="E775" s="131"/>
      <c r="F775" s="131"/>
    </row>
    <row r="776" spans="5:6" x14ac:dyDescent="0.3">
      <c r="E776" s="131"/>
      <c r="F776" s="131"/>
    </row>
    <row r="777" spans="5:6" x14ac:dyDescent="0.3">
      <c r="E777" s="131"/>
      <c r="F777" s="131"/>
    </row>
    <row r="778" spans="5:6" x14ac:dyDescent="0.3">
      <c r="E778" s="131"/>
      <c r="F778" s="131"/>
    </row>
    <row r="779" spans="5:6" x14ac:dyDescent="0.3">
      <c r="E779" s="131"/>
      <c r="F779" s="131"/>
    </row>
    <row r="780" spans="5:6" x14ac:dyDescent="0.3">
      <c r="E780" s="131"/>
      <c r="F780" s="131"/>
    </row>
    <row r="781" spans="5:6" x14ac:dyDescent="0.3">
      <c r="E781" s="131"/>
      <c r="F781" s="131"/>
    </row>
    <row r="782" spans="5:6" x14ac:dyDescent="0.3">
      <c r="E782" s="131"/>
      <c r="F782" s="131"/>
    </row>
    <row r="783" spans="5:6" x14ac:dyDescent="0.3">
      <c r="E783" s="131"/>
      <c r="F783" s="131"/>
    </row>
    <row r="784" spans="5:6" x14ac:dyDescent="0.3">
      <c r="E784" s="131"/>
      <c r="F784" s="131"/>
    </row>
    <row r="785" spans="5:6" x14ac:dyDescent="0.3">
      <c r="E785" s="131"/>
      <c r="F785" s="131"/>
    </row>
    <row r="786" spans="5:6" x14ac:dyDescent="0.3">
      <c r="E786" s="131"/>
      <c r="F786" s="131"/>
    </row>
    <row r="787" spans="5:6" x14ac:dyDescent="0.3">
      <c r="E787" s="131"/>
      <c r="F787" s="131"/>
    </row>
    <row r="788" spans="5:6" x14ac:dyDescent="0.3">
      <c r="E788" s="131"/>
      <c r="F788" s="131"/>
    </row>
    <row r="789" spans="5:6" x14ac:dyDescent="0.3">
      <c r="E789" s="131"/>
      <c r="F789" s="131"/>
    </row>
    <row r="790" spans="5:6" x14ac:dyDescent="0.3">
      <c r="E790" s="131"/>
      <c r="F790" s="131"/>
    </row>
    <row r="791" spans="5:6" x14ac:dyDescent="0.3">
      <c r="E791" s="131"/>
      <c r="F791" s="131"/>
    </row>
    <row r="792" spans="5:6" x14ac:dyDescent="0.3">
      <c r="E792" s="131"/>
      <c r="F792" s="131"/>
    </row>
    <row r="793" spans="5:6" x14ac:dyDescent="0.3">
      <c r="E793" s="131"/>
      <c r="F793" s="131"/>
    </row>
    <row r="794" spans="5:6" x14ac:dyDescent="0.3">
      <c r="E794" s="131"/>
      <c r="F794" s="131"/>
    </row>
    <row r="795" spans="5:6" x14ac:dyDescent="0.3">
      <c r="E795" s="131"/>
      <c r="F795" s="131"/>
    </row>
    <row r="796" spans="5:6" x14ac:dyDescent="0.3">
      <c r="E796" s="131"/>
      <c r="F796" s="131"/>
    </row>
    <row r="797" spans="5:6" x14ac:dyDescent="0.3">
      <c r="E797" s="131"/>
      <c r="F797" s="131"/>
    </row>
    <row r="798" spans="5:6" x14ac:dyDescent="0.3">
      <c r="E798" s="131"/>
      <c r="F798" s="131"/>
    </row>
    <row r="799" spans="5:6" x14ac:dyDescent="0.3">
      <c r="E799" s="131"/>
      <c r="F799" s="131"/>
    </row>
    <row r="800" spans="5:6" x14ac:dyDescent="0.3">
      <c r="E800" s="131"/>
      <c r="F800" s="131"/>
    </row>
    <row r="801" spans="5:6" x14ac:dyDescent="0.3">
      <c r="E801" s="131"/>
      <c r="F801" s="131"/>
    </row>
    <row r="802" spans="5:6" x14ac:dyDescent="0.3">
      <c r="E802" s="131"/>
      <c r="F802" s="131"/>
    </row>
    <row r="803" spans="5:6" x14ac:dyDescent="0.3">
      <c r="E803" s="131"/>
      <c r="F803" s="131"/>
    </row>
    <row r="804" spans="5:6" x14ac:dyDescent="0.3">
      <c r="E804" s="131"/>
      <c r="F804" s="131"/>
    </row>
    <row r="805" spans="5:6" x14ac:dyDescent="0.3">
      <c r="E805" s="131"/>
      <c r="F805" s="131"/>
    </row>
    <row r="806" spans="5:6" x14ac:dyDescent="0.3">
      <c r="E806" s="131"/>
      <c r="F806" s="131"/>
    </row>
    <row r="807" spans="5:6" x14ac:dyDescent="0.3">
      <c r="E807" s="131"/>
      <c r="F807" s="131"/>
    </row>
    <row r="808" spans="5:6" x14ac:dyDescent="0.3">
      <c r="E808" s="131"/>
      <c r="F808" s="131"/>
    </row>
    <row r="809" spans="5:6" x14ac:dyDescent="0.3">
      <c r="E809" s="131"/>
      <c r="F809" s="131"/>
    </row>
    <row r="810" spans="5:6" x14ac:dyDescent="0.3">
      <c r="E810" s="131"/>
      <c r="F810" s="131"/>
    </row>
    <row r="811" spans="5:6" x14ac:dyDescent="0.3">
      <c r="E811" s="131"/>
      <c r="F811" s="131"/>
    </row>
    <row r="812" spans="5:6" x14ac:dyDescent="0.3">
      <c r="E812" s="131"/>
      <c r="F812" s="131"/>
    </row>
    <row r="813" spans="5:6" x14ac:dyDescent="0.3">
      <c r="E813" s="131"/>
      <c r="F813" s="131"/>
    </row>
    <row r="814" spans="5:6" x14ac:dyDescent="0.3">
      <c r="E814" s="131"/>
      <c r="F814" s="131"/>
    </row>
    <row r="815" spans="5:6" x14ac:dyDescent="0.3">
      <c r="E815" s="131"/>
      <c r="F815" s="131"/>
    </row>
    <row r="816" spans="5:6" x14ac:dyDescent="0.3">
      <c r="E816" s="131"/>
      <c r="F816" s="131"/>
    </row>
    <row r="817" spans="5:6" x14ac:dyDescent="0.3">
      <c r="E817" s="131"/>
      <c r="F817" s="131"/>
    </row>
    <row r="818" spans="5:6" x14ac:dyDescent="0.3">
      <c r="E818" s="131"/>
      <c r="F818" s="131"/>
    </row>
    <row r="819" spans="5:6" x14ac:dyDescent="0.3">
      <c r="E819" s="131"/>
      <c r="F819" s="131"/>
    </row>
    <row r="820" spans="5:6" x14ac:dyDescent="0.3">
      <c r="E820" s="131"/>
      <c r="F820" s="131"/>
    </row>
    <row r="821" spans="5:6" x14ac:dyDescent="0.3">
      <c r="E821" s="131"/>
      <c r="F821" s="131"/>
    </row>
    <row r="822" spans="5:6" x14ac:dyDescent="0.3">
      <c r="E822" s="131"/>
      <c r="F822" s="131"/>
    </row>
    <row r="823" spans="5:6" x14ac:dyDescent="0.3">
      <c r="E823" s="131"/>
      <c r="F823" s="131"/>
    </row>
    <row r="824" spans="5:6" x14ac:dyDescent="0.3">
      <c r="E824" s="131"/>
      <c r="F824" s="131"/>
    </row>
    <row r="825" spans="5:6" x14ac:dyDescent="0.3">
      <c r="E825" s="131"/>
      <c r="F825" s="131"/>
    </row>
    <row r="826" spans="5:6" x14ac:dyDescent="0.3">
      <c r="E826" s="131"/>
      <c r="F826" s="131"/>
    </row>
    <row r="827" spans="5:6" x14ac:dyDescent="0.3">
      <c r="E827" s="131"/>
      <c r="F827" s="131"/>
    </row>
    <row r="828" spans="5:6" x14ac:dyDescent="0.3">
      <c r="E828" s="131"/>
      <c r="F828" s="131"/>
    </row>
    <row r="829" spans="5:6" x14ac:dyDescent="0.3">
      <c r="E829" s="131"/>
      <c r="F829" s="131"/>
    </row>
    <row r="830" spans="5:6" x14ac:dyDescent="0.3">
      <c r="E830" s="131"/>
      <c r="F830" s="131"/>
    </row>
    <row r="831" spans="5:6" x14ac:dyDescent="0.3">
      <c r="E831" s="131"/>
      <c r="F831" s="131"/>
    </row>
    <row r="832" spans="5:6" x14ac:dyDescent="0.3">
      <c r="E832" s="131"/>
      <c r="F832" s="131"/>
    </row>
    <row r="833" spans="5:6" x14ac:dyDescent="0.3">
      <c r="E833" s="131"/>
      <c r="F833" s="131"/>
    </row>
    <row r="834" spans="5:6" x14ac:dyDescent="0.3">
      <c r="E834" s="131"/>
      <c r="F834" s="131"/>
    </row>
    <row r="835" spans="5:6" x14ac:dyDescent="0.3">
      <c r="E835" s="131"/>
      <c r="F835" s="131"/>
    </row>
    <row r="836" spans="5:6" x14ac:dyDescent="0.3">
      <c r="E836" s="131"/>
      <c r="F836" s="131"/>
    </row>
    <row r="837" spans="5:6" x14ac:dyDescent="0.3">
      <c r="E837" s="131"/>
      <c r="F837" s="131"/>
    </row>
    <row r="838" spans="5:6" x14ac:dyDescent="0.3">
      <c r="E838" s="131"/>
      <c r="F838" s="131"/>
    </row>
    <row r="839" spans="5:6" x14ac:dyDescent="0.3">
      <c r="E839" s="131"/>
      <c r="F839" s="131"/>
    </row>
    <row r="840" spans="5:6" x14ac:dyDescent="0.3">
      <c r="E840" s="131"/>
      <c r="F840" s="131"/>
    </row>
    <row r="841" spans="5:6" x14ac:dyDescent="0.3">
      <c r="E841" s="131"/>
      <c r="F841" s="131"/>
    </row>
    <row r="842" spans="5:6" x14ac:dyDescent="0.3">
      <c r="E842" s="131"/>
      <c r="F842" s="131"/>
    </row>
    <row r="843" spans="5:6" x14ac:dyDescent="0.3">
      <c r="E843" s="131"/>
      <c r="F843" s="131"/>
    </row>
    <row r="844" spans="5:6" x14ac:dyDescent="0.3">
      <c r="E844" s="131"/>
      <c r="F844" s="131"/>
    </row>
    <row r="845" spans="5:6" x14ac:dyDescent="0.3">
      <c r="E845" s="131"/>
      <c r="F845" s="131"/>
    </row>
    <row r="846" spans="5:6" x14ac:dyDescent="0.3">
      <c r="E846" s="131"/>
      <c r="F846" s="131"/>
    </row>
    <row r="847" spans="5:6" x14ac:dyDescent="0.3">
      <c r="E847" s="131"/>
      <c r="F847" s="131"/>
    </row>
    <row r="848" spans="5:6" x14ac:dyDescent="0.3">
      <c r="E848" s="131"/>
      <c r="F848" s="131"/>
    </row>
    <row r="849" spans="5:6" x14ac:dyDescent="0.3">
      <c r="E849" s="131"/>
      <c r="F849" s="131"/>
    </row>
    <row r="850" spans="5:6" x14ac:dyDescent="0.3">
      <c r="E850" s="131"/>
      <c r="F850" s="131"/>
    </row>
    <row r="851" spans="5:6" x14ac:dyDescent="0.3">
      <c r="E851" s="131"/>
      <c r="F851" s="131"/>
    </row>
    <row r="852" spans="5:6" x14ac:dyDescent="0.3">
      <c r="E852" s="131"/>
      <c r="F852" s="131"/>
    </row>
    <row r="853" spans="5:6" x14ac:dyDescent="0.3">
      <c r="E853" s="131"/>
      <c r="F853" s="131"/>
    </row>
    <row r="854" spans="5:6" x14ac:dyDescent="0.3">
      <c r="E854" s="131"/>
      <c r="F854" s="131"/>
    </row>
    <row r="855" spans="5:6" x14ac:dyDescent="0.3">
      <c r="E855" s="131"/>
      <c r="F855" s="131"/>
    </row>
    <row r="856" spans="5:6" x14ac:dyDescent="0.3">
      <c r="E856" s="131"/>
      <c r="F856" s="131"/>
    </row>
    <row r="857" spans="5:6" x14ac:dyDescent="0.3">
      <c r="E857" s="131"/>
      <c r="F857" s="131"/>
    </row>
    <row r="858" spans="5:6" x14ac:dyDescent="0.3">
      <c r="E858" s="131"/>
      <c r="F858" s="131"/>
    </row>
    <row r="859" spans="5:6" x14ac:dyDescent="0.3">
      <c r="E859" s="131"/>
      <c r="F859" s="131"/>
    </row>
    <row r="860" spans="5:6" x14ac:dyDescent="0.3">
      <c r="E860" s="131"/>
      <c r="F860" s="131"/>
    </row>
    <row r="861" spans="5:6" x14ac:dyDescent="0.3">
      <c r="E861" s="131"/>
      <c r="F861" s="131"/>
    </row>
    <row r="862" spans="5:6" x14ac:dyDescent="0.3">
      <c r="E862" s="131"/>
      <c r="F862" s="131"/>
    </row>
    <row r="863" spans="5:6" x14ac:dyDescent="0.3">
      <c r="E863" s="131"/>
      <c r="F863" s="131"/>
    </row>
    <row r="864" spans="5:6" x14ac:dyDescent="0.3">
      <c r="E864" s="131"/>
      <c r="F864" s="131"/>
    </row>
    <row r="865" spans="5:6" x14ac:dyDescent="0.3">
      <c r="E865" s="131"/>
      <c r="F865" s="131"/>
    </row>
    <row r="866" spans="5:6" x14ac:dyDescent="0.3">
      <c r="E866" s="131"/>
      <c r="F866" s="131"/>
    </row>
    <row r="867" spans="5:6" x14ac:dyDescent="0.3">
      <c r="E867" s="131"/>
      <c r="F867" s="131"/>
    </row>
    <row r="868" spans="5:6" x14ac:dyDescent="0.3">
      <c r="E868" s="131"/>
      <c r="F868" s="131"/>
    </row>
    <row r="869" spans="5:6" x14ac:dyDescent="0.3">
      <c r="E869" s="131"/>
      <c r="F869" s="131"/>
    </row>
    <row r="870" spans="5:6" x14ac:dyDescent="0.3">
      <c r="E870" s="131"/>
      <c r="F870" s="131"/>
    </row>
    <row r="871" spans="5:6" x14ac:dyDescent="0.3">
      <c r="E871" s="131"/>
      <c r="F871" s="131"/>
    </row>
    <row r="872" spans="5:6" x14ac:dyDescent="0.3">
      <c r="E872" s="131"/>
      <c r="F872" s="131"/>
    </row>
    <row r="873" spans="5:6" x14ac:dyDescent="0.3">
      <c r="E873" s="131"/>
      <c r="F873" s="131"/>
    </row>
    <row r="874" spans="5:6" x14ac:dyDescent="0.3">
      <c r="E874" s="131"/>
      <c r="F874" s="131"/>
    </row>
    <row r="875" spans="5:6" x14ac:dyDescent="0.3">
      <c r="E875" s="131"/>
      <c r="F875" s="131"/>
    </row>
    <row r="876" spans="5:6" x14ac:dyDescent="0.3">
      <c r="E876" s="131"/>
      <c r="F876" s="131"/>
    </row>
    <row r="877" spans="5:6" x14ac:dyDescent="0.3">
      <c r="E877" s="131"/>
      <c r="F877" s="131"/>
    </row>
    <row r="878" spans="5:6" x14ac:dyDescent="0.3">
      <c r="E878" s="131"/>
      <c r="F878" s="131"/>
    </row>
    <row r="879" spans="5:6" x14ac:dyDescent="0.3">
      <c r="E879" s="131"/>
      <c r="F879" s="131"/>
    </row>
    <row r="880" spans="5:6" x14ac:dyDescent="0.3">
      <c r="E880" s="131"/>
      <c r="F880" s="131"/>
    </row>
    <row r="881" spans="5:6" x14ac:dyDescent="0.3">
      <c r="E881" s="131"/>
      <c r="F881" s="131"/>
    </row>
    <row r="882" spans="5:6" x14ac:dyDescent="0.3">
      <c r="E882" s="131"/>
      <c r="F882" s="131"/>
    </row>
    <row r="883" spans="5:6" x14ac:dyDescent="0.3">
      <c r="E883" s="131"/>
      <c r="F883" s="131"/>
    </row>
    <row r="884" spans="5:6" x14ac:dyDescent="0.3">
      <c r="E884" s="131"/>
      <c r="F884" s="131"/>
    </row>
    <row r="885" spans="5:6" x14ac:dyDescent="0.3">
      <c r="E885" s="131"/>
      <c r="F885" s="131"/>
    </row>
    <row r="886" spans="5:6" x14ac:dyDescent="0.3">
      <c r="E886" s="131"/>
      <c r="F886" s="131"/>
    </row>
    <row r="887" spans="5:6" x14ac:dyDescent="0.3">
      <c r="E887" s="131"/>
      <c r="F887" s="131"/>
    </row>
    <row r="888" spans="5:6" x14ac:dyDescent="0.3">
      <c r="E888" s="131"/>
      <c r="F888" s="131"/>
    </row>
    <row r="889" spans="5:6" x14ac:dyDescent="0.3">
      <c r="E889" s="131"/>
      <c r="F889" s="131"/>
    </row>
    <row r="890" spans="5:6" x14ac:dyDescent="0.3">
      <c r="E890" s="131"/>
      <c r="F890" s="131"/>
    </row>
    <row r="891" spans="5:6" x14ac:dyDescent="0.3">
      <c r="E891" s="131"/>
      <c r="F891" s="131"/>
    </row>
    <row r="892" spans="5:6" x14ac:dyDescent="0.3">
      <c r="E892" s="131"/>
      <c r="F892" s="131"/>
    </row>
    <row r="893" spans="5:6" x14ac:dyDescent="0.3">
      <c r="E893" s="131"/>
      <c r="F893" s="131"/>
    </row>
    <row r="894" spans="5:6" x14ac:dyDescent="0.3">
      <c r="E894" s="131"/>
      <c r="F894" s="131"/>
    </row>
    <row r="895" spans="5:6" x14ac:dyDescent="0.3">
      <c r="E895" s="131"/>
      <c r="F895" s="131"/>
    </row>
    <row r="896" spans="5:6" x14ac:dyDescent="0.3">
      <c r="E896" s="131"/>
      <c r="F896" s="131"/>
    </row>
    <row r="897" spans="5:6" x14ac:dyDescent="0.3">
      <c r="E897" s="131"/>
      <c r="F897" s="131"/>
    </row>
    <row r="898" spans="5:6" x14ac:dyDescent="0.3">
      <c r="E898" s="131"/>
      <c r="F898" s="131"/>
    </row>
    <row r="899" spans="5:6" x14ac:dyDescent="0.3">
      <c r="E899" s="131"/>
      <c r="F899" s="131"/>
    </row>
    <row r="900" spans="5:6" x14ac:dyDescent="0.3">
      <c r="E900" s="131"/>
      <c r="F900" s="131"/>
    </row>
    <row r="901" spans="5:6" x14ac:dyDescent="0.3">
      <c r="E901" s="131"/>
      <c r="F901" s="131"/>
    </row>
    <row r="902" spans="5:6" x14ac:dyDescent="0.3">
      <c r="E902" s="131"/>
      <c r="F902" s="131"/>
    </row>
    <row r="903" spans="5:6" x14ac:dyDescent="0.3">
      <c r="E903" s="131"/>
      <c r="F903" s="131"/>
    </row>
    <row r="904" spans="5:6" x14ac:dyDescent="0.3">
      <c r="E904" s="131"/>
      <c r="F904" s="131"/>
    </row>
    <row r="905" spans="5:6" x14ac:dyDescent="0.3">
      <c r="E905" s="131"/>
      <c r="F905" s="131"/>
    </row>
    <row r="906" spans="5:6" x14ac:dyDescent="0.3">
      <c r="E906" s="131"/>
      <c r="F906" s="131"/>
    </row>
    <row r="907" spans="5:6" x14ac:dyDescent="0.3">
      <c r="E907" s="131"/>
      <c r="F907" s="131"/>
    </row>
    <row r="908" spans="5:6" x14ac:dyDescent="0.3">
      <c r="E908" s="131"/>
      <c r="F908" s="131"/>
    </row>
    <row r="909" spans="5:6" x14ac:dyDescent="0.3">
      <c r="E909" s="131"/>
      <c r="F909" s="131"/>
    </row>
    <row r="910" spans="5:6" x14ac:dyDescent="0.3">
      <c r="E910" s="131"/>
      <c r="F910" s="131"/>
    </row>
    <row r="911" spans="5:6" x14ac:dyDescent="0.3">
      <c r="E911" s="131"/>
      <c r="F911" s="131"/>
    </row>
    <row r="912" spans="5:6" x14ac:dyDescent="0.3">
      <c r="E912" s="131"/>
      <c r="F912" s="131"/>
    </row>
    <row r="913" spans="5:6" x14ac:dyDescent="0.3">
      <c r="E913" s="131"/>
      <c r="F913" s="131"/>
    </row>
    <row r="914" spans="5:6" x14ac:dyDescent="0.3">
      <c r="E914" s="131"/>
      <c r="F914" s="131"/>
    </row>
    <row r="915" spans="5:6" x14ac:dyDescent="0.3">
      <c r="E915" s="131"/>
      <c r="F915" s="131"/>
    </row>
    <row r="916" spans="5:6" x14ac:dyDescent="0.3">
      <c r="E916" s="131"/>
      <c r="F916" s="131"/>
    </row>
    <row r="917" spans="5:6" x14ac:dyDescent="0.3">
      <c r="E917" s="131"/>
      <c r="F917" s="131"/>
    </row>
    <row r="918" spans="5:6" x14ac:dyDescent="0.3">
      <c r="E918" s="131"/>
      <c r="F918" s="131"/>
    </row>
    <row r="919" spans="5:6" x14ac:dyDescent="0.3">
      <c r="E919" s="131"/>
      <c r="F919" s="131"/>
    </row>
    <row r="920" spans="5:6" x14ac:dyDescent="0.3">
      <c r="E920" s="131"/>
      <c r="F920" s="131"/>
    </row>
    <row r="921" spans="5:6" x14ac:dyDescent="0.3">
      <c r="E921" s="131"/>
      <c r="F921" s="131"/>
    </row>
    <row r="922" spans="5:6" x14ac:dyDescent="0.3">
      <c r="E922" s="131"/>
      <c r="F922" s="131"/>
    </row>
    <row r="923" spans="5:6" x14ac:dyDescent="0.3">
      <c r="E923" s="131"/>
      <c r="F923" s="131"/>
    </row>
    <row r="924" spans="5:6" x14ac:dyDescent="0.3">
      <c r="E924" s="131"/>
      <c r="F924" s="131"/>
    </row>
    <row r="925" spans="5:6" x14ac:dyDescent="0.3">
      <c r="E925" s="131"/>
      <c r="F925" s="131"/>
    </row>
    <row r="926" spans="5:6" x14ac:dyDescent="0.3">
      <c r="E926" s="131"/>
      <c r="F926" s="131"/>
    </row>
    <row r="927" spans="5:6" x14ac:dyDescent="0.3">
      <c r="E927" s="131"/>
      <c r="F927" s="131"/>
    </row>
    <row r="928" spans="5:6" x14ac:dyDescent="0.3">
      <c r="E928" s="131"/>
      <c r="F928" s="131"/>
    </row>
    <row r="929" spans="5:6" x14ac:dyDescent="0.3">
      <c r="E929" s="131"/>
      <c r="F929" s="131"/>
    </row>
    <row r="930" spans="5:6" x14ac:dyDescent="0.3">
      <c r="E930" s="131"/>
      <c r="F930" s="131"/>
    </row>
    <row r="931" spans="5:6" x14ac:dyDescent="0.3">
      <c r="E931" s="131"/>
      <c r="F931" s="131"/>
    </row>
    <row r="932" spans="5:6" x14ac:dyDescent="0.3">
      <c r="E932" s="131"/>
      <c r="F932" s="131"/>
    </row>
    <row r="933" spans="5:6" x14ac:dyDescent="0.3">
      <c r="E933" s="131"/>
      <c r="F933" s="131"/>
    </row>
    <row r="934" spans="5:6" x14ac:dyDescent="0.3">
      <c r="E934" s="131"/>
      <c r="F934" s="131"/>
    </row>
    <row r="935" spans="5:6" x14ac:dyDescent="0.3">
      <c r="E935" s="131"/>
      <c r="F935" s="131"/>
    </row>
    <row r="936" spans="5:6" x14ac:dyDescent="0.3">
      <c r="E936" s="131"/>
      <c r="F936" s="131"/>
    </row>
    <row r="937" spans="5:6" x14ac:dyDescent="0.3">
      <c r="E937" s="131"/>
      <c r="F937" s="131"/>
    </row>
    <row r="938" spans="5:6" x14ac:dyDescent="0.3">
      <c r="E938" s="131"/>
      <c r="F938" s="131"/>
    </row>
    <row r="939" spans="5:6" x14ac:dyDescent="0.3">
      <c r="E939" s="131"/>
      <c r="F939" s="131"/>
    </row>
    <row r="940" spans="5:6" x14ac:dyDescent="0.3">
      <c r="E940" s="131"/>
      <c r="F940" s="131"/>
    </row>
    <row r="941" spans="5:6" x14ac:dyDescent="0.3">
      <c r="E941" s="131"/>
      <c r="F941" s="131"/>
    </row>
    <row r="942" spans="5:6" x14ac:dyDescent="0.3">
      <c r="E942" s="131"/>
      <c r="F942" s="131"/>
    </row>
    <row r="943" spans="5:6" x14ac:dyDescent="0.3">
      <c r="E943" s="131"/>
      <c r="F943" s="131"/>
    </row>
    <row r="944" spans="5:6" x14ac:dyDescent="0.3">
      <c r="E944" s="131"/>
      <c r="F944" s="131"/>
    </row>
    <row r="945" spans="5:6" x14ac:dyDescent="0.3">
      <c r="E945" s="131"/>
      <c r="F945" s="131"/>
    </row>
    <row r="946" spans="5:6" x14ac:dyDescent="0.3">
      <c r="E946" s="131"/>
      <c r="F946" s="131"/>
    </row>
    <row r="947" spans="5:6" x14ac:dyDescent="0.3">
      <c r="E947" s="131"/>
      <c r="F947" s="131"/>
    </row>
    <row r="948" spans="5:6" x14ac:dyDescent="0.3">
      <c r="E948" s="131"/>
      <c r="F948" s="131"/>
    </row>
    <row r="949" spans="5:6" x14ac:dyDescent="0.3">
      <c r="E949" s="131"/>
      <c r="F949" s="131"/>
    </row>
    <row r="950" spans="5:6" x14ac:dyDescent="0.3">
      <c r="E950" s="131"/>
      <c r="F950" s="131"/>
    </row>
    <row r="951" spans="5:6" x14ac:dyDescent="0.3">
      <c r="E951" s="131"/>
      <c r="F951" s="131"/>
    </row>
    <row r="952" spans="5:6" x14ac:dyDescent="0.3">
      <c r="E952" s="131"/>
      <c r="F952" s="131"/>
    </row>
    <row r="953" spans="5:6" x14ac:dyDescent="0.3">
      <c r="E953" s="131"/>
      <c r="F953" s="131"/>
    </row>
    <row r="954" spans="5:6" x14ac:dyDescent="0.3">
      <c r="E954" s="131"/>
      <c r="F954" s="131"/>
    </row>
    <row r="955" spans="5:6" x14ac:dyDescent="0.3">
      <c r="E955" s="131"/>
      <c r="F955" s="131"/>
    </row>
    <row r="956" spans="5:6" x14ac:dyDescent="0.3">
      <c r="E956" s="131"/>
      <c r="F956" s="131"/>
    </row>
    <row r="957" spans="5:6" x14ac:dyDescent="0.3">
      <c r="E957" s="131"/>
      <c r="F957" s="131"/>
    </row>
    <row r="958" spans="5:6" x14ac:dyDescent="0.3">
      <c r="E958" s="131"/>
      <c r="F958" s="131"/>
    </row>
    <row r="959" spans="5:6" x14ac:dyDescent="0.3">
      <c r="E959" s="131"/>
      <c r="F959" s="131"/>
    </row>
    <row r="960" spans="5:6" x14ac:dyDescent="0.3">
      <c r="E960" s="131"/>
      <c r="F960" s="131"/>
    </row>
    <row r="961" spans="5:6" x14ac:dyDescent="0.3">
      <c r="E961" s="131"/>
      <c r="F961" s="131"/>
    </row>
    <row r="962" spans="5:6" x14ac:dyDescent="0.3">
      <c r="E962" s="131"/>
      <c r="F962" s="131"/>
    </row>
    <row r="963" spans="5:6" x14ac:dyDescent="0.3">
      <c r="E963" s="131"/>
      <c r="F963" s="131"/>
    </row>
    <row r="964" spans="5:6" x14ac:dyDescent="0.3">
      <c r="E964" s="131"/>
      <c r="F964" s="131"/>
    </row>
    <row r="965" spans="5:6" x14ac:dyDescent="0.3">
      <c r="E965" s="131"/>
      <c r="F965" s="131"/>
    </row>
    <row r="966" spans="5:6" x14ac:dyDescent="0.3">
      <c r="E966" s="131"/>
      <c r="F966" s="131"/>
    </row>
    <row r="967" spans="5:6" x14ac:dyDescent="0.3">
      <c r="E967" s="131"/>
      <c r="F967" s="131"/>
    </row>
    <row r="968" spans="5:6" x14ac:dyDescent="0.3">
      <c r="E968" s="131"/>
      <c r="F968" s="131"/>
    </row>
    <row r="969" spans="5:6" x14ac:dyDescent="0.3">
      <c r="E969" s="131"/>
      <c r="F969" s="131"/>
    </row>
    <row r="970" spans="5:6" x14ac:dyDescent="0.3">
      <c r="E970" s="131"/>
      <c r="F970" s="131"/>
    </row>
    <row r="971" spans="5:6" x14ac:dyDescent="0.3">
      <c r="E971" s="131"/>
      <c r="F971" s="131"/>
    </row>
    <row r="972" spans="5:6" x14ac:dyDescent="0.3">
      <c r="E972" s="131"/>
      <c r="F972" s="131"/>
    </row>
    <row r="973" spans="5:6" x14ac:dyDescent="0.3">
      <c r="E973" s="131"/>
      <c r="F973" s="131"/>
    </row>
    <row r="974" spans="5:6" x14ac:dyDescent="0.3">
      <c r="E974" s="131"/>
      <c r="F974" s="131"/>
    </row>
    <row r="975" spans="5:6" x14ac:dyDescent="0.3">
      <c r="E975" s="131"/>
      <c r="F975" s="131"/>
    </row>
    <row r="976" spans="5:6" x14ac:dyDescent="0.3">
      <c r="E976" s="131"/>
      <c r="F976" s="131"/>
    </row>
    <row r="977" spans="5:6" x14ac:dyDescent="0.3">
      <c r="E977" s="131"/>
      <c r="F977" s="131"/>
    </row>
    <row r="978" spans="5:6" x14ac:dyDescent="0.3">
      <c r="E978" s="131"/>
      <c r="F978" s="131"/>
    </row>
    <row r="979" spans="5:6" x14ac:dyDescent="0.3">
      <c r="E979" s="131"/>
      <c r="F979" s="131"/>
    </row>
    <row r="980" spans="5:6" x14ac:dyDescent="0.3">
      <c r="E980" s="131"/>
      <c r="F980" s="131"/>
    </row>
    <row r="981" spans="5:6" x14ac:dyDescent="0.3">
      <c r="E981" s="131"/>
      <c r="F981" s="131"/>
    </row>
    <row r="982" spans="5:6" x14ac:dyDescent="0.3">
      <c r="E982" s="131"/>
      <c r="F982" s="131"/>
    </row>
    <row r="983" spans="5:6" x14ac:dyDescent="0.3">
      <c r="E983" s="131"/>
      <c r="F983" s="131"/>
    </row>
    <row r="984" spans="5:6" x14ac:dyDescent="0.3">
      <c r="E984" s="131"/>
      <c r="F984" s="131"/>
    </row>
    <row r="985" spans="5:6" x14ac:dyDescent="0.3">
      <c r="E985" s="131"/>
      <c r="F985" s="131"/>
    </row>
    <row r="986" spans="5:6" x14ac:dyDescent="0.3">
      <c r="E986" s="131"/>
      <c r="F986" s="131"/>
    </row>
    <row r="987" spans="5:6" x14ac:dyDescent="0.3">
      <c r="E987" s="131"/>
      <c r="F987" s="131"/>
    </row>
    <row r="988" spans="5:6" x14ac:dyDescent="0.3">
      <c r="E988" s="131"/>
      <c r="F988" s="131"/>
    </row>
    <row r="989" spans="5:6" x14ac:dyDescent="0.3">
      <c r="E989" s="131"/>
      <c r="F989" s="131"/>
    </row>
    <row r="990" spans="5:6" x14ac:dyDescent="0.3">
      <c r="E990" s="131"/>
      <c r="F990" s="131"/>
    </row>
    <row r="991" spans="5:6" x14ac:dyDescent="0.3">
      <c r="E991" s="131"/>
      <c r="F991" s="131"/>
    </row>
    <row r="992" spans="5:6" x14ac:dyDescent="0.3">
      <c r="E992" s="131"/>
      <c r="F992" s="131"/>
    </row>
    <row r="993" spans="5:6" x14ac:dyDescent="0.3">
      <c r="E993" s="131"/>
      <c r="F993" s="131"/>
    </row>
    <row r="994" spans="5:6" x14ac:dyDescent="0.3">
      <c r="E994" s="131"/>
      <c r="F994" s="131"/>
    </row>
    <row r="995" spans="5:6" x14ac:dyDescent="0.3">
      <c r="E995" s="131"/>
      <c r="F995" s="131"/>
    </row>
    <row r="996" spans="5:6" x14ac:dyDescent="0.3">
      <c r="E996" s="131"/>
      <c r="F996" s="131"/>
    </row>
    <row r="997" spans="5:6" x14ac:dyDescent="0.3">
      <c r="E997" s="131"/>
      <c r="F997" s="131"/>
    </row>
    <row r="998" spans="5:6" x14ac:dyDescent="0.3">
      <c r="E998" s="131"/>
      <c r="F998" s="131"/>
    </row>
    <row r="999" spans="5:6" x14ac:dyDescent="0.3">
      <c r="E999" s="131"/>
      <c r="F999" s="131"/>
    </row>
    <row r="1000" spans="5:6" x14ac:dyDescent="0.3">
      <c r="E1000" s="131"/>
      <c r="F1000" s="131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BC4901-5CFA-4139-B595-11CABFFDF0FC}">
  <sheetPr codeName="Sheet9"/>
  <dimension ref="A5:F1000"/>
  <sheetViews>
    <sheetView workbookViewId="0">
      <selection activeCell="A5" sqref="A5:E6"/>
    </sheetView>
  </sheetViews>
  <sheetFormatPr defaultRowHeight="14.4" x14ac:dyDescent="0.3"/>
  <cols>
    <col min="1" max="1" width="7.33203125" customWidth="1"/>
    <col min="2" max="2" width="6" bestFit="1" customWidth="1"/>
    <col min="3" max="3" width="4" bestFit="1" customWidth="1"/>
    <col min="4" max="4" width="13.109375" bestFit="1" customWidth="1"/>
    <col min="5" max="5" width="12.109375" bestFit="1" customWidth="1"/>
    <col min="6" max="6" width="11" bestFit="1" customWidth="1"/>
  </cols>
  <sheetData>
    <row r="5" spans="1:6" x14ac:dyDescent="0.3">
      <c r="A5" s="131" t="s">
        <v>1155</v>
      </c>
      <c r="B5" s="131" t="s">
        <v>1156</v>
      </c>
      <c r="C5" s="131" t="s">
        <v>872</v>
      </c>
      <c r="D5" s="131" t="s">
        <v>1158</v>
      </c>
      <c r="E5" s="131">
        <v>400</v>
      </c>
      <c r="F5" s="131"/>
    </row>
    <row r="6" spans="1:6" x14ac:dyDescent="0.3">
      <c r="A6" s="131" t="s">
        <v>1155</v>
      </c>
      <c r="B6" s="131" t="s">
        <v>1167</v>
      </c>
      <c r="C6" s="131" t="s">
        <v>872</v>
      </c>
      <c r="D6" s="131" t="s">
        <v>1168</v>
      </c>
      <c r="E6" s="131">
        <v>4000</v>
      </c>
      <c r="F6" s="131"/>
    </row>
    <row r="7" spans="1:6" x14ac:dyDescent="0.3">
      <c r="A7" s="131"/>
      <c r="B7" s="131"/>
      <c r="C7" s="131"/>
      <c r="D7" s="131"/>
      <c r="E7" s="131"/>
      <c r="F7" s="131"/>
    </row>
    <row r="8" spans="1:6" x14ac:dyDescent="0.3">
      <c r="A8" s="131"/>
      <c r="B8" s="131"/>
      <c r="C8" s="131"/>
      <c r="D8" s="131"/>
      <c r="E8" s="131"/>
      <c r="F8" s="131"/>
    </row>
    <row r="9" spans="1:6" x14ac:dyDescent="0.3">
      <c r="A9" s="131"/>
      <c r="B9" s="131"/>
      <c r="C9" s="131"/>
      <c r="D9" s="131"/>
      <c r="E9" s="131"/>
      <c r="F9" s="131"/>
    </row>
    <row r="10" spans="1:6" x14ac:dyDescent="0.3">
      <c r="A10" s="131"/>
      <c r="B10" s="131"/>
      <c r="C10" s="131"/>
      <c r="D10" s="131"/>
      <c r="E10" s="131"/>
      <c r="F10" s="131"/>
    </row>
    <row r="11" spans="1:6" x14ac:dyDescent="0.3">
      <c r="A11" s="131"/>
      <c r="B11" s="131"/>
      <c r="C11" s="131"/>
      <c r="D11" s="131"/>
      <c r="E11" s="131"/>
      <c r="F11" s="131"/>
    </row>
    <row r="12" spans="1:6" x14ac:dyDescent="0.3">
      <c r="A12" s="131"/>
      <c r="B12" s="131"/>
      <c r="C12" s="131"/>
      <c r="D12" s="131"/>
      <c r="E12" s="131"/>
      <c r="F12" s="131"/>
    </row>
    <row r="13" spans="1:6" x14ac:dyDescent="0.3">
      <c r="A13" s="131"/>
      <c r="B13" s="131"/>
      <c r="C13" s="131"/>
      <c r="D13" s="131"/>
      <c r="E13" s="131"/>
      <c r="F13" s="131"/>
    </row>
    <row r="14" spans="1:6" x14ac:dyDescent="0.3">
      <c r="A14" s="131"/>
      <c r="B14" s="131"/>
      <c r="C14" s="131"/>
      <c r="D14" s="131"/>
      <c r="E14" s="131"/>
      <c r="F14" s="131"/>
    </row>
    <row r="15" spans="1:6" x14ac:dyDescent="0.3">
      <c r="A15" s="131"/>
      <c r="B15" s="131"/>
      <c r="C15" s="131"/>
      <c r="D15" s="131"/>
      <c r="E15" s="131"/>
      <c r="F15" s="131"/>
    </row>
    <row r="16" spans="1:6" x14ac:dyDescent="0.3">
      <c r="A16" s="131"/>
      <c r="B16" s="131"/>
      <c r="C16" s="131"/>
      <c r="D16" s="131"/>
      <c r="E16" s="131"/>
      <c r="F16" s="131"/>
    </row>
    <row r="17" spans="1:6" x14ac:dyDescent="0.3">
      <c r="A17" s="131"/>
      <c r="B17" s="131"/>
      <c r="C17" s="131"/>
      <c r="D17" s="131"/>
      <c r="E17" s="131"/>
      <c r="F17" s="131"/>
    </row>
    <row r="18" spans="1:6" x14ac:dyDescent="0.3">
      <c r="A18" s="131"/>
      <c r="B18" s="131"/>
      <c r="C18" s="131"/>
      <c r="D18" s="131"/>
      <c r="E18" s="131"/>
      <c r="F18" s="131"/>
    </row>
    <row r="19" spans="1:6" x14ac:dyDescent="0.3">
      <c r="A19" s="131"/>
      <c r="B19" s="131"/>
      <c r="C19" s="131"/>
      <c r="D19" s="131"/>
      <c r="E19" s="131"/>
      <c r="F19" s="131"/>
    </row>
    <row r="20" spans="1:6" x14ac:dyDescent="0.3">
      <c r="A20" s="131"/>
      <c r="B20" s="131"/>
      <c r="C20" s="131"/>
      <c r="D20" s="131"/>
      <c r="E20" s="131"/>
      <c r="F20" s="131"/>
    </row>
    <row r="21" spans="1:6" x14ac:dyDescent="0.3">
      <c r="A21" s="131"/>
      <c r="B21" s="131"/>
      <c r="C21" s="131"/>
      <c r="D21" s="131"/>
      <c r="E21" s="131"/>
      <c r="F21" s="131"/>
    </row>
    <row r="22" spans="1:6" x14ac:dyDescent="0.3">
      <c r="A22" s="131"/>
      <c r="B22" s="131"/>
      <c r="C22" s="131"/>
      <c r="D22" s="131"/>
      <c r="E22" s="131"/>
      <c r="F22" s="131"/>
    </row>
    <row r="23" spans="1:6" x14ac:dyDescent="0.3">
      <c r="A23" s="131"/>
      <c r="B23" s="131"/>
      <c r="C23" s="131"/>
      <c r="D23" s="131"/>
      <c r="E23" s="131"/>
      <c r="F23" s="131"/>
    </row>
    <row r="24" spans="1:6" x14ac:dyDescent="0.3">
      <c r="A24" s="131"/>
      <c r="B24" s="131"/>
      <c r="C24" s="131"/>
      <c r="D24" s="131"/>
      <c r="E24" s="131"/>
      <c r="F24" s="131"/>
    </row>
    <row r="25" spans="1:6" x14ac:dyDescent="0.3">
      <c r="A25" s="131"/>
      <c r="B25" s="131"/>
      <c r="C25" s="131"/>
      <c r="D25" s="131"/>
      <c r="E25" s="131"/>
      <c r="F25" s="131"/>
    </row>
    <row r="26" spans="1:6" x14ac:dyDescent="0.3">
      <c r="A26" s="131"/>
      <c r="B26" s="131"/>
      <c r="C26" s="131"/>
      <c r="D26" s="131"/>
      <c r="E26" s="131"/>
      <c r="F26" s="131"/>
    </row>
    <row r="27" spans="1:6" x14ac:dyDescent="0.3">
      <c r="A27" s="131"/>
      <c r="B27" s="131"/>
      <c r="C27" s="131"/>
      <c r="D27" s="131"/>
      <c r="E27" s="131"/>
      <c r="F27" s="131"/>
    </row>
    <row r="28" spans="1:6" x14ac:dyDescent="0.3">
      <c r="A28" s="131"/>
      <c r="B28" s="131"/>
      <c r="C28" s="131"/>
      <c r="D28" s="131"/>
      <c r="E28" s="131"/>
      <c r="F28" s="131"/>
    </row>
    <row r="29" spans="1:6" x14ac:dyDescent="0.3">
      <c r="A29" s="131"/>
      <c r="B29" s="131"/>
      <c r="C29" s="131"/>
      <c r="D29" s="131"/>
      <c r="E29" s="131"/>
      <c r="F29" s="131"/>
    </row>
    <row r="30" spans="1:6" x14ac:dyDescent="0.3">
      <c r="A30" s="131"/>
      <c r="B30" s="131"/>
      <c r="C30" s="131"/>
      <c r="D30" s="131"/>
      <c r="E30" s="131"/>
      <c r="F30" s="131"/>
    </row>
    <row r="31" spans="1:6" x14ac:dyDescent="0.3">
      <c r="A31" s="131"/>
      <c r="B31" s="131"/>
      <c r="C31" s="131"/>
      <c r="D31" s="131"/>
      <c r="E31" s="131"/>
      <c r="F31" s="131"/>
    </row>
    <row r="32" spans="1:6" x14ac:dyDescent="0.3">
      <c r="A32" s="131"/>
      <c r="B32" s="131"/>
      <c r="C32" s="131"/>
      <c r="D32" s="131"/>
      <c r="E32" s="131"/>
      <c r="F32" s="131"/>
    </row>
    <row r="33" spans="1:6" x14ac:dyDescent="0.3">
      <c r="A33" s="131"/>
      <c r="B33" s="131"/>
      <c r="C33" s="131"/>
      <c r="D33" s="131"/>
      <c r="E33" s="131"/>
      <c r="F33" s="131"/>
    </row>
    <row r="34" spans="1:6" x14ac:dyDescent="0.3">
      <c r="A34" s="131"/>
      <c r="B34" s="131"/>
      <c r="C34" s="131"/>
      <c r="D34" s="131"/>
      <c r="E34" s="131"/>
      <c r="F34" s="131"/>
    </row>
    <row r="35" spans="1:6" x14ac:dyDescent="0.3">
      <c r="A35" s="131"/>
      <c r="B35" s="131"/>
      <c r="C35" s="131"/>
      <c r="D35" s="131"/>
      <c r="E35" s="131"/>
      <c r="F35" s="131"/>
    </row>
    <row r="36" spans="1:6" x14ac:dyDescent="0.3">
      <c r="A36" s="131"/>
      <c r="B36" s="131"/>
      <c r="C36" s="131"/>
      <c r="D36" s="131"/>
      <c r="E36" s="131"/>
      <c r="F36" s="131"/>
    </row>
    <row r="37" spans="1:6" x14ac:dyDescent="0.3">
      <c r="A37" s="131"/>
      <c r="B37" s="131"/>
      <c r="C37" s="131"/>
      <c r="D37" s="131"/>
      <c r="E37" s="131"/>
      <c r="F37" s="131"/>
    </row>
    <row r="38" spans="1:6" x14ac:dyDescent="0.3">
      <c r="A38" s="131"/>
      <c r="B38" s="131"/>
      <c r="C38" s="131"/>
      <c r="D38" s="131"/>
      <c r="E38" s="131"/>
      <c r="F38" s="131"/>
    </row>
    <row r="39" spans="1:6" x14ac:dyDescent="0.3">
      <c r="A39" s="131"/>
      <c r="B39" s="131"/>
      <c r="C39" s="131"/>
      <c r="D39" s="131"/>
      <c r="E39" s="131"/>
      <c r="F39" s="131"/>
    </row>
    <row r="40" spans="1:6" x14ac:dyDescent="0.3">
      <c r="A40" s="131"/>
      <c r="B40" s="131"/>
      <c r="C40" s="131"/>
      <c r="D40" s="131"/>
      <c r="E40" s="131"/>
      <c r="F40" s="131"/>
    </row>
    <row r="41" spans="1:6" x14ac:dyDescent="0.3">
      <c r="A41" s="131"/>
      <c r="B41" s="131"/>
      <c r="C41" s="131"/>
      <c r="D41" s="131"/>
      <c r="E41" s="131"/>
      <c r="F41" s="131"/>
    </row>
    <row r="42" spans="1:6" x14ac:dyDescent="0.3">
      <c r="A42" s="131"/>
      <c r="B42" s="131"/>
      <c r="C42" s="131"/>
      <c r="D42" s="131"/>
      <c r="E42" s="131"/>
      <c r="F42" s="131"/>
    </row>
    <row r="43" spans="1:6" x14ac:dyDescent="0.3">
      <c r="A43" s="131"/>
      <c r="B43" s="131"/>
      <c r="C43" s="131"/>
      <c r="D43" s="131"/>
      <c r="E43" s="131"/>
      <c r="F43" s="131"/>
    </row>
    <row r="44" spans="1:6" x14ac:dyDescent="0.3">
      <c r="A44" s="131"/>
      <c r="B44" s="131"/>
      <c r="C44" s="131"/>
      <c r="D44" s="131"/>
      <c r="E44" s="131"/>
      <c r="F44" s="131"/>
    </row>
    <row r="45" spans="1:6" x14ac:dyDescent="0.3">
      <c r="A45" s="131"/>
      <c r="B45" s="131"/>
      <c r="C45" s="131"/>
      <c r="D45" s="131"/>
      <c r="E45" s="131"/>
      <c r="F45" s="131"/>
    </row>
    <row r="46" spans="1:6" x14ac:dyDescent="0.3">
      <c r="A46" s="131"/>
      <c r="B46" s="131"/>
      <c r="C46" s="131"/>
      <c r="D46" s="131"/>
      <c r="E46" s="131"/>
      <c r="F46" s="131"/>
    </row>
    <row r="47" spans="1:6" x14ac:dyDescent="0.3">
      <c r="A47" s="131"/>
      <c r="B47" s="131"/>
      <c r="C47" s="131"/>
      <c r="D47" s="131"/>
      <c r="E47" s="131"/>
      <c r="F47" s="131"/>
    </row>
    <row r="48" spans="1:6" x14ac:dyDescent="0.3">
      <c r="A48" s="131"/>
      <c r="B48" s="131"/>
      <c r="C48" s="131"/>
      <c r="D48" s="131"/>
      <c r="E48" s="131"/>
      <c r="F48" s="131"/>
    </row>
    <row r="49" spans="1:6" x14ac:dyDescent="0.3">
      <c r="A49" s="131"/>
      <c r="B49" s="131"/>
      <c r="C49" s="131"/>
      <c r="D49" s="131"/>
      <c r="E49" s="131"/>
      <c r="F49" s="131"/>
    </row>
    <row r="50" spans="1:6" x14ac:dyDescent="0.3">
      <c r="A50" s="131"/>
      <c r="B50" s="131"/>
      <c r="C50" s="131"/>
      <c r="D50" s="131"/>
      <c r="E50" s="131"/>
      <c r="F50" s="131"/>
    </row>
    <row r="51" spans="1:6" x14ac:dyDescent="0.3">
      <c r="A51" s="131"/>
      <c r="B51" s="131"/>
      <c r="C51" s="131"/>
      <c r="D51" s="131"/>
      <c r="E51" s="131"/>
      <c r="F51" s="131"/>
    </row>
    <row r="52" spans="1:6" x14ac:dyDescent="0.3">
      <c r="A52" s="131"/>
      <c r="B52" s="131"/>
      <c r="C52" s="131"/>
      <c r="D52" s="131"/>
      <c r="E52" s="131"/>
      <c r="F52" s="131"/>
    </row>
    <row r="53" spans="1:6" x14ac:dyDescent="0.3">
      <c r="A53" s="131"/>
      <c r="B53" s="131"/>
      <c r="C53" s="131"/>
      <c r="D53" s="131"/>
      <c r="E53" s="131"/>
      <c r="F53" s="131"/>
    </row>
    <row r="54" spans="1:6" x14ac:dyDescent="0.3">
      <c r="A54" s="131"/>
      <c r="B54" s="131"/>
      <c r="C54" s="131"/>
      <c r="D54" s="131"/>
      <c r="E54" s="131"/>
      <c r="F54" s="131"/>
    </row>
    <row r="55" spans="1:6" x14ac:dyDescent="0.3">
      <c r="A55" s="131"/>
      <c r="B55" s="131"/>
      <c r="C55" s="131"/>
      <c r="D55" s="131"/>
      <c r="E55" s="131"/>
      <c r="F55" s="131"/>
    </row>
    <row r="56" spans="1:6" x14ac:dyDescent="0.3">
      <c r="A56" s="131"/>
      <c r="B56" s="131"/>
      <c r="C56" s="131"/>
      <c r="D56" s="131"/>
      <c r="E56" s="131"/>
      <c r="F56" s="131"/>
    </row>
    <row r="57" spans="1:6" x14ac:dyDescent="0.3">
      <c r="A57" s="131"/>
      <c r="B57" s="131"/>
      <c r="C57" s="131"/>
      <c r="D57" s="131"/>
      <c r="E57" s="131"/>
      <c r="F57" s="131"/>
    </row>
    <row r="58" spans="1:6" x14ac:dyDescent="0.3">
      <c r="A58" s="131"/>
      <c r="B58" s="131"/>
      <c r="C58" s="131"/>
      <c r="D58" s="131"/>
      <c r="E58" s="131"/>
      <c r="F58" s="131"/>
    </row>
    <row r="59" spans="1:6" x14ac:dyDescent="0.3">
      <c r="A59" s="131"/>
      <c r="B59" s="131"/>
      <c r="C59" s="131"/>
      <c r="D59" s="131"/>
      <c r="E59" s="131"/>
      <c r="F59" s="131"/>
    </row>
    <row r="60" spans="1:6" x14ac:dyDescent="0.3">
      <c r="A60" s="131"/>
      <c r="B60" s="131"/>
      <c r="C60" s="131"/>
      <c r="D60" s="131"/>
      <c r="E60" s="131"/>
      <c r="F60" s="131"/>
    </row>
    <row r="61" spans="1:6" x14ac:dyDescent="0.3">
      <c r="A61" s="131"/>
      <c r="B61" s="131"/>
      <c r="C61" s="131"/>
      <c r="D61" s="131"/>
      <c r="E61" s="131"/>
      <c r="F61" s="131"/>
    </row>
    <row r="62" spans="1:6" x14ac:dyDescent="0.3">
      <c r="A62" s="131"/>
      <c r="B62" s="131"/>
      <c r="C62" s="131"/>
      <c r="D62" s="131"/>
      <c r="E62" s="131"/>
      <c r="F62" s="131"/>
    </row>
    <row r="63" spans="1:6" x14ac:dyDescent="0.3">
      <c r="A63" s="131"/>
      <c r="B63" s="131"/>
      <c r="C63" s="131"/>
      <c r="D63" s="131"/>
      <c r="E63" s="131"/>
      <c r="F63" s="131"/>
    </row>
    <row r="64" spans="1:6" x14ac:dyDescent="0.3">
      <c r="A64" s="131"/>
      <c r="B64" s="131"/>
      <c r="C64" s="131"/>
      <c r="D64" s="131"/>
      <c r="E64" s="131"/>
      <c r="F64" s="131"/>
    </row>
    <row r="65" spans="1:6" x14ac:dyDescent="0.3">
      <c r="A65" s="131"/>
      <c r="B65" s="131"/>
      <c r="C65" s="131"/>
      <c r="D65" s="131"/>
      <c r="E65" s="131"/>
      <c r="F65" s="131"/>
    </row>
    <row r="66" spans="1:6" x14ac:dyDescent="0.3">
      <c r="A66" s="131"/>
      <c r="B66" s="131"/>
      <c r="C66" s="131"/>
      <c r="D66" s="131"/>
      <c r="E66" s="131"/>
      <c r="F66" s="131"/>
    </row>
    <row r="67" spans="1:6" x14ac:dyDescent="0.3">
      <c r="A67" s="131"/>
      <c r="B67" s="131"/>
      <c r="C67" s="131"/>
      <c r="D67" s="131"/>
      <c r="E67" s="131"/>
      <c r="F67" s="131"/>
    </row>
    <row r="68" spans="1:6" x14ac:dyDescent="0.3">
      <c r="A68" s="131"/>
      <c r="B68" s="131"/>
      <c r="C68" s="131"/>
      <c r="D68" s="131"/>
      <c r="E68" s="131"/>
      <c r="F68" s="131"/>
    </row>
    <row r="69" spans="1:6" x14ac:dyDescent="0.3">
      <c r="A69" s="131"/>
      <c r="B69" s="131"/>
      <c r="C69" s="131"/>
      <c r="D69" s="131"/>
      <c r="E69" s="131"/>
      <c r="F69" s="131"/>
    </row>
    <row r="70" spans="1:6" x14ac:dyDescent="0.3">
      <c r="A70" s="131"/>
      <c r="B70" s="131"/>
      <c r="C70" s="131"/>
      <c r="D70" s="131"/>
      <c r="E70" s="131"/>
      <c r="F70" s="131"/>
    </row>
    <row r="71" spans="1:6" x14ac:dyDescent="0.3">
      <c r="A71" s="131"/>
      <c r="B71" s="131"/>
      <c r="C71" s="131"/>
      <c r="D71" s="131"/>
      <c r="E71" s="131"/>
      <c r="F71" s="131"/>
    </row>
    <row r="72" spans="1:6" x14ac:dyDescent="0.3">
      <c r="A72" s="131"/>
      <c r="B72" s="131"/>
      <c r="C72" s="131"/>
      <c r="D72" s="131"/>
      <c r="E72" s="131"/>
      <c r="F72" s="131"/>
    </row>
    <row r="73" spans="1:6" x14ac:dyDescent="0.3">
      <c r="A73" s="131"/>
      <c r="B73" s="131"/>
      <c r="C73" s="131"/>
      <c r="D73" s="131"/>
      <c r="E73" s="131"/>
      <c r="F73" s="131"/>
    </row>
    <row r="74" spans="1:6" x14ac:dyDescent="0.3">
      <c r="A74" s="131"/>
      <c r="B74" s="131"/>
      <c r="C74" s="131"/>
      <c r="D74" s="131"/>
      <c r="E74" s="131"/>
      <c r="F74" s="131"/>
    </row>
    <row r="75" spans="1:6" x14ac:dyDescent="0.3">
      <c r="A75" s="131"/>
      <c r="B75" s="131"/>
      <c r="C75" s="131"/>
      <c r="D75" s="131"/>
      <c r="E75" s="131"/>
      <c r="F75" s="131"/>
    </row>
    <row r="76" spans="1:6" x14ac:dyDescent="0.3">
      <c r="A76" s="131"/>
      <c r="B76" s="131"/>
      <c r="C76" s="131"/>
      <c r="D76" s="131"/>
      <c r="E76" s="131"/>
      <c r="F76" s="131"/>
    </row>
    <row r="77" spans="1:6" x14ac:dyDescent="0.3">
      <c r="A77" s="131"/>
      <c r="B77" s="131"/>
      <c r="C77" s="131"/>
      <c r="D77" s="131"/>
      <c r="E77" s="131"/>
      <c r="F77" s="131"/>
    </row>
    <row r="78" spans="1:6" x14ac:dyDescent="0.3">
      <c r="A78" s="131"/>
      <c r="B78" s="131"/>
      <c r="C78" s="131"/>
      <c r="D78" s="131"/>
      <c r="E78" s="131"/>
      <c r="F78" s="131"/>
    </row>
    <row r="79" spans="1:6" x14ac:dyDescent="0.3">
      <c r="A79" s="131"/>
      <c r="B79" s="131"/>
      <c r="C79" s="131"/>
      <c r="D79" s="131"/>
      <c r="E79" s="131"/>
      <c r="F79" s="131"/>
    </row>
    <row r="80" spans="1:6" x14ac:dyDescent="0.3">
      <c r="A80" s="131"/>
      <c r="B80" s="131"/>
      <c r="C80" s="131"/>
      <c r="D80" s="131"/>
      <c r="E80" s="131"/>
      <c r="F80" s="131"/>
    </row>
    <row r="81" spans="1:6" x14ac:dyDescent="0.3">
      <c r="A81" s="131"/>
      <c r="B81" s="131"/>
      <c r="C81" s="131"/>
      <c r="D81" s="131"/>
      <c r="E81" s="131"/>
      <c r="F81" s="131"/>
    </row>
    <row r="82" spans="1:6" x14ac:dyDescent="0.3">
      <c r="A82" s="131"/>
      <c r="B82" s="131"/>
      <c r="C82" s="131"/>
      <c r="D82" s="131"/>
      <c r="E82" s="131"/>
      <c r="F82" s="131"/>
    </row>
    <row r="83" spans="1:6" x14ac:dyDescent="0.3">
      <c r="A83" s="131"/>
      <c r="B83" s="131"/>
      <c r="C83" s="131"/>
      <c r="D83" s="131"/>
      <c r="E83" s="131"/>
      <c r="F83" s="131"/>
    </row>
    <row r="84" spans="1:6" x14ac:dyDescent="0.3">
      <c r="A84" s="131"/>
      <c r="B84" s="131"/>
      <c r="C84" s="131"/>
      <c r="D84" s="131"/>
      <c r="E84" s="131"/>
      <c r="F84" s="131"/>
    </row>
    <row r="85" spans="1:6" x14ac:dyDescent="0.3">
      <c r="A85" s="131"/>
      <c r="B85" s="131"/>
      <c r="C85" s="131"/>
      <c r="D85" s="131"/>
      <c r="E85" s="131"/>
      <c r="F85" s="131"/>
    </row>
    <row r="86" spans="1:6" x14ac:dyDescent="0.3">
      <c r="A86" s="131"/>
      <c r="B86" s="131"/>
      <c r="C86" s="131"/>
      <c r="D86" s="131"/>
      <c r="E86" s="131"/>
      <c r="F86" s="131"/>
    </row>
    <row r="87" spans="1:6" x14ac:dyDescent="0.3">
      <c r="A87" s="131"/>
      <c r="B87" s="131"/>
      <c r="C87" s="131"/>
      <c r="D87" s="131"/>
      <c r="E87" s="131"/>
      <c r="F87" s="131"/>
    </row>
    <row r="88" spans="1:6" x14ac:dyDescent="0.3">
      <c r="A88" s="131"/>
      <c r="B88" s="131"/>
      <c r="C88" s="131"/>
      <c r="D88" s="131"/>
      <c r="E88" s="131"/>
      <c r="F88" s="131"/>
    </row>
    <row r="89" spans="1:6" x14ac:dyDescent="0.3">
      <c r="A89" s="131"/>
      <c r="B89" s="131"/>
      <c r="C89" s="131"/>
      <c r="D89" s="131"/>
      <c r="E89" s="131"/>
      <c r="F89" s="131"/>
    </row>
    <row r="90" spans="1:6" x14ac:dyDescent="0.3">
      <c r="A90" s="131"/>
      <c r="B90" s="131"/>
      <c r="C90" s="131"/>
      <c r="D90" s="131"/>
      <c r="E90" s="131"/>
      <c r="F90" s="131"/>
    </row>
    <row r="91" spans="1:6" x14ac:dyDescent="0.3">
      <c r="A91" s="131"/>
      <c r="B91" s="131"/>
      <c r="C91" s="131"/>
      <c r="D91" s="131"/>
      <c r="E91" s="131"/>
      <c r="F91" s="131"/>
    </row>
    <row r="92" spans="1:6" x14ac:dyDescent="0.3">
      <c r="A92" s="131"/>
      <c r="B92" s="131"/>
      <c r="C92" s="131"/>
      <c r="D92" s="131"/>
      <c r="E92" s="131"/>
      <c r="F92" s="131"/>
    </row>
    <row r="93" spans="1:6" x14ac:dyDescent="0.3">
      <c r="A93" s="131"/>
      <c r="B93" s="131"/>
      <c r="C93" s="131"/>
      <c r="D93" s="131"/>
      <c r="E93" s="131"/>
      <c r="F93" s="131"/>
    </row>
    <row r="94" spans="1:6" x14ac:dyDescent="0.3">
      <c r="A94" s="131"/>
      <c r="B94" s="131"/>
      <c r="C94" s="131"/>
      <c r="D94" s="131"/>
      <c r="E94" s="131"/>
      <c r="F94" s="131"/>
    </row>
    <row r="95" spans="1:6" x14ac:dyDescent="0.3">
      <c r="A95" s="131"/>
      <c r="B95" s="131"/>
      <c r="C95" s="131"/>
      <c r="D95" s="131"/>
      <c r="E95" s="131"/>
      <c r="F95" s="131"/>
    </row>
    <row r="96" spans="1:6" x14ac:dyDescent="0.3">
      <c r="A96" s="131"/>
      <c r="B96" s="131"/>
      <c r="C96" s="131"/>
      <c r="D96" s="131"/>
      <c r="E96" s="131"/>
      <c r="F96" s="131"/>
    </row>
    <row r="97" spans="1:6" x14ac:dyDescent="0.3">
      <c r="A97" s="131"/>
      <c r="B97" s="131"/>
      <c r="C97" s="131"/>
      <c r="D97" s="131"/>
      <c r="E97" s="131"/>
      <c r="F97" s="131"/>
    </row>
    <row r="98" spans="1:6" x14ac:dyDescent="0.3">
      <c r="A98" s="131"/>
      <c r="B98" s="131"/>
      <c r="C98" s="131"/>
      <c r="D98" s="131"/>
      <c r="E98" s="131"/>
      <c r="F98" s="131"/>
    </row>
    <row r="99" spans="1:6" x14ac:dyDescent="0.3">
      <c r="A99" s="131"/>
      <c r="B99" s="131"/>
      <c r="C99" s="131"/>
      <c r="D99" s="131"/>
      <c r="E99" s="131"/>
      <c r="F99" s="131"/>
    </row>
    <row r="100" spans="1:6" x14ac:dyDescent="0.3">
      <c r="A100" s="131"/>
      <c r="B100" s="131"/>
      <c r="C100" s="131"/>
      <c r="D100" s="131"/>
      <c r="E100" s="131"/>
      <c r="F100" s="131"/>
    </row>
    <row r="101" spans="1:6" x14ac:dyDescent="0.3">
      <c r="A101" s="131"/>
      <c r="B101" s="131"/>
      <c r="C101" s="131"/>
      <c r="D101" s="131"/>
      <c r="E101" s="131"/>
      <c r="F101" s="131"/>
    </row>
    <row r="102" spans="1:6" x14ac:dyDescent="0.3">
      <c r="A102" s="131"/>
      <c r="B102" s="131"/>
      <c r="C102" s="131"/>
      <c r="D102" s="131"/>
      <c r="E102" s="131"/>
      <c r="F102" s="131"/>
    </row>
    <row r="103" spans="1:6" x14ac:dyDescent="0.3">
      <c r="A103" s="131"/>
      <c r="B103" s="131"/>
      <c r="C103" s="131"/>
      <c r="D103" s="131"/>
      <c r="E103" s="131"/>
      <c r="F103" s="131"/>
    </row>
    <row r="104" spans="1:6" x14ac:dyDescent="0.3">
      <c r="A104" s="131"/>
      <c r="B104" s="131"/>
      <c r="C104" s="131"/>
      <c r="D104" s="131"/>
      <c r="E104" s="131"/>
      <c r="F104" s="131"/>
    </row>
    <row r="105" spans="1:6" x14ac:dyDescent="0.3">
      <c r="A105" s="131"/>
      <c r="B105" s="131"/>
      <c r="C105" s="131"/>
      <c r="D105" s="131"/>
      <c r="E105" s="131"/>
      <c r="F105" s="131"/>
    </row>
    <row r="106" spans="1:6" x14ac:dyDescent="0.3">
      <c r="A106" s="131"/>
      <c r="B106" s="131"/>
      <c r="C106" s="131"/>
      <c r="D106" s="131"/>
      <c r="E106" s="131"/>
      <c r="F106" s="131"/>
    </row>
    <row r="107" spans="1:6" x14ac:dyDescent="0.3">
      <c r="A107" s="131"/>
      <c r="B107" s="131"/>
      <c r="C107" s="131"/>
      <c r="D107" s="131"/>
      <c r="E107" s="131"/>
      <c r="F107" s="131"/>
    </row>
    <row r="108" spans="1:6" x14ac:dyDescent="0.3">
      <c r="A108" s="131"/>
      <c r="B108" s="131"/>
      <c r="C108" s="131"/>
      <c r="D108" s="131"/>
      <c r="E108" s="131"/>
      <c r="F108" s="131"/>
    </row>
    <row r="109" spans="1:6" x14ac:dyDescent="0.3">
      <c r="A109" s="131"/>
      <c r="B109" s="131"/>
      <c r="C109" s="131"/>
      <c r="D109" s="131"/>
      <c r="E109" s="131"/>
      <c r="F109" s="131"/>
    </row>
    <row r="110" spans="1:6" x14ac:dyDescent="0.3">
      <c r="A110" s="131"/>
      <c r="B110" s="131"/>
      <c r="C110" s="131"/>
      <c r="D110" s="131"/>
      <c r="E110" s="131"/>
      <c r="F110" s="131"/>
    </row>
    <row r="111" spans="1:6" x14ac:dyDescent="0.3">
      <c r="A111" s="131"/>
      <c r="B111" s="131"/>
      <c r="C111" s="131"/>
      <c r="D111" s="131"/>
      <c r="E111" s="131"/>
      <c r="F111" s="131"/>
    </row>
    <row r="112" spans="1:6" x14ac:dyDescent="0.3">
      <c r="A112" s="131"/>
      <c r="B112" s="131"/>
      <c r="C112" s="131"/>
      <c r="D112" s="131"/>
      <c r="E112" s="131"/>
      <c r="F112" s="131"/>
    </row>
    <row r="113" spans="1:6" x14ac:dyDescent="0.3">
      <c r="A113" s="131"/>
      <c r="B113" s="131"/>
      <c r="C113" s="131"/>
      <c r="D113" s="131"/>
      <c r="E113" s="131"/>
      <c r="F113" s="131"/>
    </row>
    <row r="114" spans="1:6" x14ac:dyDescent="0.3">
      <c r="A114" s="131"/>
      <c r="B114" s="131"/>
      <c r="C114" s="131"/>
      <c r="D114" s="131"/>
      <c r="E114" s="131"/>
      <c r="F114" s="131"/>
    </row>
    <row r="115" spans="1:6" x14ac:dyDescent="0.3">
      <c r="A115" s="131"/>
      <c r="B115" s="131"/>
      <c r="C115" s="131"/>
      <c r="D115" s="131"/>
      <c r="E115" s="131"/>
      <c r="F115" s="131"/>
    </row>
    <row r="116" spans="1:6" x14ac:dyDescent="0.3">
      <c r="A116" s="131"/>
      <c r="B116" s="131"/>
      <c r="C116" s="131"/>
      <c r="D116" s="131"/>
      <c r="E116" s="131"/>
      <c r="F116" s="131"/>
    </row>
    <row r="117" spans="1:6" x14ac:dyDescent="0.3">
      <c r="A117" s="131"/>
      <c r="B117" s="131"/>
      <c r="C117" s="131"/>
      <c r="D117" s="131"/>
      <c r="E117" s="131"/>
      <c r="F117" s="131"/>
    </row>
    <row r="118" spans="1:6" x14ac:dyDescent="0.3">
      <c r="A118" s="131"/>
      <c r="B118" s="131"/>
      <c r="C118" s="131"/>
      <c r="D118" s="131"/>
      <c r="E118" s="131"/>
      <c r="F118" s="131"/>
    </row>
    <row r="119" spans="1:6" x14ac:dyDescent="0.3">
      <c r="A119" s="131"/>
      <c r="B119" s="131"/>
      <c r="C119" s="131"/>
      <c r="D119" s="131"/>
      <c r="E119" s="131"/>
      <c r="F119" s="131"/>
    </row>
    <row r="120" spans="1:6" x14ac:dyDescent="0.3">
      <c r="A120" s="131"/>
      <c r="B120" s="131"/>
      <c r="C120" s="131"/>
      <c r="D120" s="131"/>
      <c r="E120" s="131"/>
      <c r="F120" s="131"/>
    </row>
    <row r="121" spans="1:6" x14ac:dyDescent="0.3">
      <c r="A121" s="131"/>
      <c r="B121" s="131"/>
      <c r="C121" s="131"/>
      <c r="D121" s="131"/>
      <c r="E121" s="131"/>
      <c r="F121" s="131"/>
    </row>
    <row r="122" spans="1:6" x14ac:dyDescent="0.3">
      <c r="A122" s="131"/>
      <c r="B122" s="131"/>
      <c r="C122" s="131"/>
      <c r="D122" s="131"/>
      <c r="E122" s="131"/>
      <c r="F122" s="131"/>
    </row>
    <row r="123" spans="1:6" x14ac:dyDescent="0.3">
      <c r="A123" s="131"/>
      <c r="B123" s="131"/>
      <c r="C123" s="131"/>
      <c r="D123" s="131"/>
      <c r="E123" s="131"/>
      <c r="F123" s="131"/>
    </row>
    <row r="124" spans="1:6" x14ac:dyDescent="0.3">
      <c r="A124" s="131"/>
      <c r="B124" s="131"/>
      <c r="C124" s="131"/>
      <c r="D124" s="131"/>
      <c r="E124" s="131"/>
      <c r="F124" s="131"/>
    </row>
    <row r="125" spans="1:6" x14ac:dyDescent="0.3">
      <c r="A125" s="131"/>
      <c r="B125" s="131"/>
      <c r="C125" s="131"/>
      <c r="D125" s="131"/>
      <c r="E125" s="131"/>
      <c r="F125" s="131"/>
    </row>
    <row r="126" spans="1:6" x14ac:dyDescent="0.3">
      <c r="A126" s="131"/>
      <c r="B126" s="131"/>
      <c r="C126" s="131"/>
      <c r="D126" s="131"/>
      <c r="E126" s="131"/>
      <c r="F126" s="131"/>
    </row>
    <row r="127" spans="1:6" x14ac:dyDescent="0.3">
      <c r="A127" s="131"/>
      <c r="B127" s="131"/>
      <c r="C127" s="131"/>
      <c r="D127" s="131"/>
      <c r="E127" s="131"/>
      <c r="F127" s="131"/>
    </row>
    <row r="128" spans="1:6" x14ac:dyDescent="0.3">
      <c r="A128" s="131"/>
      <c r="B128" s="131"/>
      <c r="C128" s="131"/>
      <c r="D128" s="131"/>
      <c r="E128" s="131"/>
      <c r="F128" s="131"/>
    </row>
    <row r="129" spans="1:6" x14ac:dyDescent="0.3">
      <c r="A129" s="131"/>
      <c r="B129" s="131"/>
      <c r="C129" s="131"/>
      <c r="D129" s="131"/>
      <c r="E129" s="131"/>
      <c r="F129" s="131"/>
    </row>
    <row r="130" spans="1:6" x14ac:dyDescent="0.3">
      <c r="A130" s="131"/>
      <c r="B130" s="131"/>
      <c r="C130" s="131"/>
      <c r="D130" s="131"/>
      <c r="E130" s="131"/>
      <c r="F130" s="131"/>
    </row>
    <row r="131" spans="1:6" x14ac:dyDescent="0.3">
      <c r="A131" s="131"/>
      <c r="B131" s="131"/>
      <c r="C131" s="131"/>
      <c r="D131" s="131"/>
      <c r="E131" s="131"/>
      <c r="F131" s="131"/>
    </row>
    <row r="132" spans="1:6" x14ac:dyDescent="0.3">
      <c r="A132" s="131"/>
      <c r="B132" s="131"/>
      <c r="C132" s="131"/>
      <c r="D132" s="131"/>
      <c r="E132" s="131"/>
      <c r="F132" s="131"/>
    </row>
    <row r="133" spans="1:6" x14ac:dyDescent="0.3">
      <c r="A133" s="131"/>
      <c r="B133" s="131"/>
      <c r="C133" s="131"/>
      <c r="D133" s="131"/>
      <c r="E133" s="131"/>
      <c r="F133" s="131"/>
    </row>
    <row r="134" spans="1:6" x14ac:dyDescent="0.3">
      <c r="A134" s="131"/>
      <c r="B134" s="131"/>
      <c r="C134" s="131"/>
      <c r="D134" s="131"/>
      <c r="E134" s="131"/>
      <c r="F134" s="131"/>
    </row>
    <row r="135" spans="1:6" x14ac:dyDescent="0.3">
      <c r="A135" s="131"/>
      <c r="B135" s="131"/>
      <c r="C135" s="131"/>
      <c r="D135" s="131"/>
      <c r="E135" s="131"/>
      <c r="F135" s="131"/>
    </row>
    <row r="136" spans="1:6" x14ac:dyDescent="0.3">
      <c r="A136" s="131"/>
      <c r="B136" s="131"/>
      <c r="C136" s="131"/>
      <c r="D136" s="131"/>
      <c r="E136" s="131"/>
      <c r="F136" s="131"/>
    </row>
    <row r="137" spans="1:6" x14ac:dyDescent="0.3">
      <c r="A137" s="131"/>
      <c r="B137" s="131"/>
      <c r="C137" s="131"/>
      <c r="D137" s="131"/>
      <c r="E137" s="131"/>
      <c r="F137" s="131"/>
    </row>
    <row r="138" spans="1:6" x14ac:dyDescent="0.3">
      <c r="A138" s="131"/>
      <c r="B138" s="131"/>
      <c r="C138" s="131"/>
      <c r="D138" s="131"/>
      <c r="E138" s="131"/>
      <c r="F138" s="131"/>
    </row>
    <row r="139" spans="1:6" x14ac:dyDescent="0.3">
      <c r="A139" s="131"/>
      <c r="B139" s="131"/>
      <c r="C139" s="131"/>
      <c r="D139" s="131"/>
      <c r="E139" s="131"/>
      <c r="F139" s="131"/>
    </row>
    <row r="140" spans="1:6" x14ac:dyDescent="0.3">
      <c r="A140" s="131"/>
      <c r="B140" s="131"/>
      <c r="C140" s="131"/>
      <c r="D140" s="131"/>
      <c r="E140" s="131"/>
      <c r="F140" s="131"/>
    </row>
    <row r="141" spans="1:6" x14ac:dyDescent="0.3">
      <c r="A141" s="131"/>
      <c r="B141" s="131"/>
      <c r="C141" s="131"/>
      <c r="D141" s="131"/>
      <c r="E141" s="131"/>
      <c r="F141" s="131"/>
    </row>
    <row r="142" spans="1:6" x14ac:dyDescent="0.3">
      <c r="A142" s="131"/>
      <c r="B142" s="131"/>
      <c r="C142" s="131"/>
      <c r="D142" s="131"/>
      <c r="E142" s="131"/>
      <c r="F142" s="131"/>
    </row>
    <row r="143" spans="1:6" x14ac:dyDescent="0.3">
      <c r="A143" s="131"/>
      <c r="B143" s="131"/>
      <c r="C143" s="131"/>
      <c r="D143" s="131"/>
      <c r="E143" s="131"/>
      <c r="F143" s="131"/>
    </row>
    <row r="144" spans="1:6" x14ac:dyDescent="0.3">
      <c r="A144" s="131"/>
      <c r="B144" s="131"/>
      <c r="C144" s="131"/>
      <c r="D144" s="131"/>
      <c r="E144" s="131"/>
      <c r="F144" s="131"/>
    </row>
    <row r="145" spans="1:6" x14ac:dyDescent="0.3">
      <c r="A145" s="131"/>
      <c r="B145" s="131"/>
      <c r="C145" s="131"/>
      <c r="D145" s="131"/>
      <c r="E145" s="131"/>
      <c r="F145" s="131"/>
    </row>
    <row r="146" spans="1:6" x14ac:dyDescent="0.3">
      <c r="A146" s="131"/>
      <c r="B146" s="131"/>
      <c r="C146" s="131"/>
      <c r="D146" s="131"/>
      <c r="E146" s="131"/>
      <c r="F146" s="131"/>
    </row>
    <row r="147" spans="1:6" x14ac:dyDescent="0.3">
      <c r="A147" s="131"/>
      <c r="B147" s="131"/>
      <c r="C147" s="131"/>
      <c r="D147" s="131"/>
      <c r="E147" s="131"/>
      <c r="F147" s="131"/>
    </row>
    <row r="148" spans="1:6" x14ac:dyDescent="0.3">
      <c r="A148" s="131"/>
      <c r="B148" s="131"/>
      <c r="C148" s="131"/>
      <c r="D148" s="131"/>
      <c r="E148" s="131"/>
      <c r="F148" s="131"/>
    </row>
    <row r="149" spans="1:6" x14ac:dyDescent="0.3">
      <c r="A149" s="131"/>
      <c r="B149" s="131"/>
      <c r="C149" s="131"/>
      <c r="D149" s="131"/>
      <c r="E149" s="131"/>
      <c r="F149" s="131"/>
    </row>
    <row r="150" spans="1:6" x14ac:dyDescent="0.3">
      <c r="A150" s="131"/>
      <c r="B150" s="131"/>
      <c r="C150" s="131"/>
      <c r="D150" s="131"/>
      <c r="E150" s="131"/>
      <c r="F150" s="131"/>
    </row>
    <row r="151" spans="1:6" x14ac:dyDescent="0.3">
      <c r="A151" s="131"/>
      <c r="B151" s="131"/>
      <c r="C151" s="131"/>
      <c r="D151" s="131"/>
      <c r="E151" s="131"/>
      <c r="F151" s="131"/>
    </row>
    <row r="152" spans="1:6" x14ac:dyDescent="0.3">
      <c r="A152" s="131"/>
      <c r="B152" s="131"/>
      <c r="C152" s="131"/>
      <c r="D152" s="131"/>
      <c r="E152" s="131"/>
      <c r="F152" s="131"/>
    </row>
    <row r="153" spans="1:6" x14ac:dyDescent="0.3">
      <c r="A153" s="131"/>
      <c r="B153" s="131"/>
      <c r="C153" s="131"/>
      <c r="D153" s="131"/>
      <c r="E153" s="131"/>
      <c r="F153" s="131"/>
    </row>
    <row r="154" spans="1:6" x14ac:dyDescent="0.3">
      <c r="A154" s="131"/>
      <c r="B154" s="131"/>
      <c r="C154" s="131"/>
      <c r="D154" s="131"/>
      <c r="E154" s="131"/>
      <c r="F154" s="131"/>
    </row>
    <row r="155" spans="1:6" x14ac:dyDescent="0.3">
      <c r="A155" s="131"/>
      <c r="B155" s="131"/>
      <c r="C155" s="131"/>
      <c r="D155" s="131"/>
      <c r="E155" s="131"/>
      <c r="F155" s="131"/>
    </row>
    <row r="156" spans="1:6" x14ac:dyDescent="0.3">
      <c r="A156" s="131"/>
      <c r="B156" s="131"/>
      <c r="C156" s="131"/>
      <c r="D156" s="131"/>
      <c r="E156" s="131"/>
      <c r="F156" s="131"/>
    </row>
    <row r="157" spans="1:6" x14ac:dyDescent="0.3">
      <c r="A157" s="131"/>
      <c r="B157" s="131"/>
      <c r="C157" s="131"/>
      <c r="D157" s="131"/>
      <c r="E157" s="131"/>
      <c r="F157" s="131"/>
    </row>
    <row r="158" spans="1:6" x14ac:dyDescent="0.3">
      <c r="A158" s="131"/>
      <c r="B158" s="131"/>
      <c r="C158" s="131"/>
      <c r="D158" s="131"/>
      <c r="E158" s="131"/>
      <c r="F158" s="131"/>
    </row>
    <row r="159" spans="1:6" x14ac:dyDescent="0.3">
      <c r="A159" s="131"/>
      <c r="B159" s="131"/>
      <c r="C159" s="131"/>
      <c r="D159" s="131"/>
      <c r="E159" s="131"/>
      <c r="F159" s="131"/>
    </row>
    <row r="160" spans="1:6" x14ac:dyDescent="0.3">
      <c r="A160" s="131"/>
      <c r="B160" s="131"/>
      <c r="C160" s="131"/>
      <c r="D160" s="131"/>
      <c r="E160" s="131"/>
      <c r="F160" s="131"/>
    </row>
    <row r="161" spans="1:6" x14ac:dyDescent="0.3">
      <c r="A161" s="131"/>
      <c r="B161" s="131"/>
      <c r="C161" s="131"/>
      <c r="D161" s="131"/>
      <c r="E161" s="131"/>
      <c r="F161" s="131"/>
    </row>
    <row r="162" spans="1:6" x14ac:dyDescent="0.3">
      <c r="A162" s="131"/>
      <c r="B162" s="131"/>
      <c r="C162" s="131"/>
      <c r="D162" s="131"/>
      <c r="E162" s="131"/>
      <c r="F162" s="131"/>
    </row>
    <row r="163" spans="1:6" x14ac:dyDescent="0.3">
      <c r="A163" s="131"/>
      <c r="B163" s="131"/>
      <c r="C163" s="131"/>
      <c r="D163" s="131"/>
      <c r="E163" s="131"/>
      <c r="F163" s="131"/>
    </row>
    <row r="164" spans="1:6" x14ac:dyDescent="0.3">
      <c r="A164" s="131"/>
      <c r="B164" s="131"/>
      <c r="C164" s="131"/>
      <c r="D164" s="131"/>
      <c r="E164" s="131"/>
      <c r="F164" s="131"/>
    </row>
    <row r="165" spans="1:6" x14ac:dyDescent="0.3">
      <c r="A165" s="131"/>
      <c r="B165" s="131"/>
      <c r="C165" s="131"/>
      <c r="D165" s="131"/>
      <c r="E165" s="131"/>
      <c r="F165" s="131"/>
    </row>
    <row r="166" spans="1:6" x14ac:dyDescent="0.3">
      <c r="A166" s="131"/>
      <c r="B166" s="131"/>
      <c r="C166" s="131"/>
      <c r="D166" s="131"/>
      <c r="E166" s="131"/>
      <c r="F166" s="131"/>
    </row>
    <row r="167" spans="1:6" x14ac:dyDescent="0.3">
      <c r="A167" s="131"/>
      <c r="B167" s="131"/>
      <c r="C167" s="131"/>
      <c r="D167" s="131"/>
      <c r="E167" s="131"/>
      <c r="F167" s="131"/>
    </row>
    <row r="168" spans="1:6" x14ac:dyDescent="0.3">
      <c r="A168" s="131"/>
      <c r="B168" s="131"/>
      <c r="C168" s="131"/>
      <c r="D168" s="131"/>
      <c r="E168" s="131"/>
      <c r="F168" s="131"/>
    </row>
    <row r="169" spans="1:6" x14ac:dyDescent="0.3">
      <c r="A169" s="131"/>
      <c r="B169" s="131"/>
      <c r="C169" s="131"/>
      <c r="D169" s="131"/>
      <c r="E169" s="131"/>
      <c r="F169" s="131"/>
    </row>
    <row r="170" spans="1:6" x14ac:dyDescent="0.3">
      <c r="A170" s="131"/>
      <c r="B170" s="131"/>
      <c r="C170" s="131"/>
      <c r="D170" s="131"/>
      <c r="E170" s="131"/>
      <c r="F170" s="131"/>
    </row>
    <row r="171" spans="1:6" x14ac:dyDescent="0.3">
      <c r="A171" s="131"/>
      <c r="B171" s="131"/>
      <c r="C171" s="131"/>
      <c r="D171" s="131"/>
      <c r="E171" s="131"/>
      <c r="F171" s="131"/>
    </row>
    <row r="172" spans="1:6" x14ac:dyDescent="0.3">
      <c r="A172" s="131"/>
      <c r="B172" s="131"/>
      <c r="C172" s="131"/>
      <c r="D172" s="131"/>
      <c r="E172" s="131"/>
      <c r="F172" s="131"/>
    </row>
    <row r="173" spans="1:6" x14ac:dyDescent="0.3">
      <c r="A173" s="131"/>
      <c r="B173" s="131"/>
      <c r="C173" s="131"/>
      <c r="D173" s="131"/>
      <c r="E173" s="131"/>
      <c r="F173" s="131"/>
    </row>
    <row r="174" spans="1:6" x14ac:dyDescent="0.3">
      <c r="A174" s="131"/>
      <c r="B174" s="131"/>
      <c r="C174" s="131"/>
      <c r="D174" s="131"/>
      <c r="E174" s="131"/>
      <c r="F174" s="131"/>
    </row>
    <row r="175" spans="1:6" x14ac:dyDescent="0.3">
      <c r="A175" s="131"/>
      <c r="B175" s="131"/>
      <c r="C175" s="131"/>
      <c r="D175" s="131"/>
      <c r="E175" s="131"/>
      <c r="F175" s="131"/>
    </row>
    <row r="176" spans="1:6" x14ac:dyDescent="0.3">
      <c r="A176" s="131"/>
      <c r="B176" s="131"/>
      <c r="C176" s="131"/>
      <c r="D176" s="131"/>
      <c r="E176" s="131"/>
      <c r="F176" s="131"/>
    </row>
    <row r="177" spans="1:6" x14ac:dyDescent="0.3">
      <c r="A177" s="131"/>
      <c r="B177" s="131"/>
      <c r="C177" s="131"/>
      <c r="D177" s="131"/>
      <c r="E177" s="131"/>
      <c r="F177" s="131"/>
    </row>
    <row r="178" spans="1:6" x14ac:dyDescent="0.3">
      <c r="A178" s="131"/>
      <c r="B178" s="131"/>
      <c r="C178" s="131"/>
      <c r="D178" s="131"/>
      <c r="E178" s="131"/>
      <c r="F178" s="131"/>
    </row>
    <row r="179" spans="1:6" x14ac:dyDescent="0.3">
      <c r="A179" s="131"/>
      <c r="B179" s="131"/>
      <c r="C179" s="131"/>
      <c r="D179" s="131"/>
      <c r="E179" s="131"/>
      <c r="F179" s="131"/>
    </row>
    <row r="180" spans="1:6" x14ac:dyDescent="0.3">
      <c r="A180" s="131"/>
      <c r="B180" s="131"/>
      <c r="C180" s="131"/>
      <c r="D180" s="131"/>
      <c r="E180" s="131"/>
      <c r="F180" s="131"/>
    </row>
    <row r="181" spans="1:6" x14ac:dyDescent="0.3">
      <c r="A181" s="131"/>
      <c r="B181" s="131"/>
      <c r="C181" s="131"/>
      <c r="D181" s="131"/>
      <c r="E181" s="131"/>
      <c r="F181" s="131"/>
    </row>
    <row r="182" spans="1:6" x14ac:dyDescent="0.3">
      <c r="A182" s="131"/>
      <c r="B182" s="131"/>
      <c r="C182" s="131"/>
      <c r="D182" s="131"/>
      <c r="E182" s="131"/>
      <c r="F182" s="131"/>
    </row>
    <row r="183" spans="1:6" x14ac:dyDescent="0.3">
      <c r="A183" s="131"/>
      <c r="B183" s="131"/>
      <c r="C183" s="131"/>
      <c r="D183" s="131"/>
      <c r="E183" s="131"/>
      <c r="F183" s="131"/>
    </row>
    <row r="184" spans="1:6" x14ac:dyDescent="0.3">
      <c r="A184" s="131"/>
      <c r="B184" s="131"/>
      <c r="C184" s="131"/>
      <c r="D184" s="131"/>
      <c r="E184" s="131"/>
      <c r="F184" s="131"/>
    </row>
    <row r="185" spans="1:6" x14ac:dyDescent="0.3">
      <c r="A185" s="131"/>
      <c r="B185" s="131"/>
      <c r="C185" s="131"/>
      <c r="D185" s="131"/>
      <c r="E185" s="131"/>
      <c r="F185" s="131"/>
    </row>
    <row r="186" spans="1:6" x14ac:dyDescent="0.3">
      <c r="A186" s="131"/>
      <c r="B186" s="131"/>
      <c r="C186" s="131"/>
      <c r="D186" s="131"/>
      <c r="E186" s="131"/>
      <c r="F186" s="131"/>
    </row>
    <row r="187" spans="1:6" x14ac:dyDescent="0.3">
      <c r="A187" s="131"/>
      <c r="B187" s="131"/>
      <c r="C187" s="131"/>
      <c r="D187" s="131"/>
      <c r="E187" s="131"/>
      <c r="F187" s="131"/>
    </row>
    <row r="188" spans="1:6" x14ac:dyDescent="0.3">
      <c r="A188" s="131"/>
      <c r="B188" s="131"/>
      <c r="C188" s="131"/>
      <c r="D188" s="131"/>
      <c r="E188" s="131"/>
      <c r="F188" s="131"/>
    </row>
    <row r="189" spans="1:6" x14ac:dyDescent="0.3">
      <c r="A189" s="131"/>
      <c r="B189" s="131"/>
      <c r="C189" s="131"/>
      <c r="D189" s="131"/>
      <c r="E189" s="131"/>
      <c r="F189" s="131"/>
    </row>
    <row r="190" spans="1:6" x14ac:dyDescent="0.3">
      <c r="A190" s="131"/>
      <c r="B190" s="131"/>
      <c r="C190" s="131"/>
      <c r="D190" s="131"/>
      <c r="E190" s="131"/>
      <c r="F190" s="131"/>
    </row>
    <row r="191" spans="1:6" x14ac:dyDescent="0.3">
      <c r="A191" s="131"/>
      <c r="B191" s="131"/>
      <c r="C191" s="131"/>
      <c r="D191" s="131"/>
      <c r="E191" s="131"/>
      <c r="F191" s="131"/>
    </row>
    <row r="192" spans="1:6" x14ac:dyDescent="0.3">
      <c r="A192" s="131"/>
      <c r="B192" s="131"/>
      <c r="C192" s="131"/>
      <c r="D192" s="131"/>
      <c r="E192" s="131"/>
      <c r="F192" s="131"/>
    </row>
    <row r="193" spans="1:6" x14ac:dyDescent="0.3">
      <c r="A193" s="131"/>
      <c r="B193" s="131"/>
      <c r="C193" s="131"/>
      <c r="D193" s="131"/>
      <c r="E193" s="131"/>
      <c r="F193" s="131"/>
    </row>
    <row r="194" spans="1:6" x14ac:dyDescent="0.3">
      <c r="A194" s="131"/>
      <c r="B194" s="131"/>
      <c r="C194" s="131"/>
      <c r="D194" s="131"/>
      <c r="E194" s="131"/>
      <c r="F194" s="131"/>
    </row>
    <row r="195" spans="1:6" x14ac:dyDescent="0.3">
      <c r="A195" s="131"/>
      <c r="B195" s="131"/>
      <c r="C195" s="131"/>
      <c r="D195" s="131"/>
      <c r="E195" s="131"/>
      <c r="F195" s="131"/>
    </row>
    <row r="196" spans="1:6" x14ac:dyDescent="0.3">
      <c r="A196" s="131"/>
      <c r="B196" s="131"/>
      <c r="C196" s="131"/>
      <c r="D196" s="131"/>
      <c r="E196" s="131"/>
      <c r="F196" s="131"/>
    </row>
    <row r="197" spans="1:6" x14ac:dyDescent="0.3">
      <c r="A197" s="131"/>
      <c r="B197" s="131"/>
      <c r="C197" s="131"/>
      <c r="D197" s="131"/>
      <c r="E197" s="131"/>
      <c r="F197" s="131"/>
    </row>
    <row r="198" spans="1:6" x14ac:dyDescent="0.3">
      <c r="A198" s="131"/>
      <c r="B198" s="131"/>
      <c r="C198" s="131"/>
      <c r="D198" s="131"/>
      <c r="E198" s="131"/>
      <c r="F198" s="131"/>
    </row>
    <row r="199" spans="1:6" x14ac:dyDescent="0.3">
      <c r="A199" s="131"/>
      <c r="B199" s="131"/>
      <c r="C199" s="131"/>
      <c r="D199" s="131"/>
      <c r="E199" s="131"/>
      <c r="F199" s="131"/>
    </row>
    <row r="200" spans="1:6" x14ac:dyDescent="0.3">
      <c r="A200" s="131"/>
      <c r="B200" s="131"/>
      <c r="C200" s="131"/>
      <c r="D200" s="131"/>
      <c r="E200" s="131"/>
      <c r="F200" s="131"/>
    </row>
    <row r="201" spans="1:6" x14ac:dyDescent="0.3">
      <c r="A201" s="131"/>
      <c r="B201" s="131"/>
      <c r="C201" s="131"/>
      <c r="D201" s="131"/>
      <c r="E201" s="131"/>
      <c r="F201" s="131"/>
    </row>
    <row r="202" spans="1:6" x14ac:dyDescent="0.3">
      <c r="A202" s="131"/>
      <c r="B202" s="131"/>
      <c r="C202" s="131"/>
      <c r="D202" s="131"/>
      <c r="E202" s="131"/>
      <c r="F202" s="131"/>
    </row>
    <row r="203" spans="1:6" x14ac:dyDescent="0.3">
      <c r="A203" s="131"/>
      <c r="B203" s="131"/>
      <c r="C203" s="131"/>
      <c r="D203" s="131"/>
      <c r="E203" s="131"/>
      <c r="F203" s="131"/>
    </row>
    <row r="204" spans="1:6" x14ac:dyDescent="0.3">
      <c r="A204" s="131"/>
      <c r="B204" s="131"/>
      <c r="C204" s="131"/>
      <c r="D204" s="131"/>
      <c r="E204" s="131"/>
      <c r="F204" s="131"/>
    </row>
    <row r="205" spans="1:6" x14ac:dyDescent="0.3">
      <c r="A205" s="131"/>
      <c r="B205" s="131"/>
      <c r="C205" s="131"/>
      <c r="D205" s="131"/>
      <c r="E205" s="131"/>
      <c r="F205" s="131"/>
    </row>
    <row r="206" spans="1:6" x14ac:dyDescent="0.3">
      <c r="A206" s="131"/>
      <c r="B206" s="131"/>
      <c r="C206" s="131"/>
      <c r="D206" s="131"/>
      <c r="E206" s="131"/>
      <c r="F206" s="131"/>
    </row>
    <row r="207" spans="1:6" x14ac:dyDescent="0.3">
      <c r="A207" s="131"/>
      <c r="B207" s="131"/>
      <c r="C207" s="131"/>
      <c r="D207" s="131"/>
      <c r="E207" s="131"/>
      <c r="F207" s="131"/>
    </row>
    <row r="208" spans="1:6" x14ac:dyDescent="0.3">
      <c r="A208" s="131"/>
      <c r="B208" s="131"/>
      <c r="C208" s="131"/>
      <c r="D208" s="131"/>
      <c r="E208" s="131"/>
      <c r="F208" s="131"/>
    </row>
    <row r="209" spans="1:6" x14ac:dyDescent="0.3">
      <c r="A209" s="131"/>
      <c r="B209" s="131"/>
      <c r="C209" s="131"/>
      <c r="D209" s="131"/>
      <c r="E209" s="131"/>
      <c r="F209" s="131"/>
    </row>
    <row r="210" spans="1:6" x14ac:dyDescent="0.3">
      <c r="A210" s="131"/>
      <c r="B210" s="131"/>
      <c r="C210" s="131"/>
      <c r="D210" s="131"/>
      <c r="E210" s="131"/>
      <c r="F210" s="131"/>
    </row>
    <row r="211" spans="1:6" x14ac:dyDescent="0.3">
      <c r="A211" s="131"/>
      <c r="B211" s="131"/>
      <c r="C211" s="131"/>
      <c r="D211" s="131"/>
      <c r="E211" s="131"/>
      <c r="F211" s="131"/>
    </row>
    <row r="212" spans="1:6" x14ac:dyDescent="0.3">
      <c r="A212" s="131"/>
      <c r="B212" s="131"/>
      <c r="C212" s="131"/>
      <c r="D212" s="131"/>
      <c r="E212" s="131"/>
      <c r="F212" s="131"/>
    </row>
    <row r="213" spans="1:6" x14ac:dyDescent="0.3">
      <c r="A213" s="131"/>
      <c r="B213" s="131"/>
      <c r="C213" s="131"/>
      <c r="D213" s="131"/>
      <c r="E213" s="131"/>
      <c r="F213" s="131"/>
    </row>
    <row r="214" spans="1:6" x14ac:dyDescent="0.3">
      <c r="A214" s="131"/>
      <c r="B214" s="131"/>
      <c r="C214" s="131"/>
      <c r="D214" s="131"/>
      <c r="E214" s="131"/>
      <c r="F214" s="131"/>
    </row>
    <row r="215" spans="1:6" x14ac:dyDescent="0.3">
      <c r="A215" s="131"/>
      <c r="B215" s="131"/>
      <c r="C215" s="131"/>
      <c r="D215" s="131"/>
      <c r="E215" s="131"/>
      <c r="F215" s="131"/>
    </row>
    <row r="216" spans="1:6" x14ac:dyDescent="0.3">
      <c r="A216" s="131"/>
      <c r="B216" s="131"/>
      <c r="C216" s="131"/>
      <c r="D216" s="131"/>
      <c r="E216" s="131"/>
      <c r="F216" s="131"/>
    </row>
    <row r="217" spans="1:6" x14ac:dyDescent="0.3">
      <c r="A217" s="131"/>
      <c r="B217" s="131"/>
      <c r="C217" s="131"/>
      <c r="D217" s="131"/>
      <c r="E217" s="131"/>
      <c r="F217" s="131"/>
    </row>
    <row r="218" spans="1:6" x14ac:dyDescent="0.3">
      <c r="A218" s="131"/>
      <c r="B218" s="131"/>
      <c r="C218" s="131"/>
      <c r="D218" s="131"/>
      <c r="E218" s="131"/>
      <c r="F218" s="131"/>
    </row>
    <row r="219" spans="1:6" x14ac:dyDescent="0.3">
      <c r="A219" s="131"/>
      <c r="B219" s="131"/>
      <c r="C219" s="131"/>
      <c r="D219" s="131"/>
      <c r="E219" s="131"/>
      <c r="F219" s="131"/>
    </row>
    <row r="220" spans="1:6" x14ac:dyDescent="0.3">
      <c r="A220" s="131"/>
      <c r="B220" s="131"/>
      <c r="C220" s="131"/>
      <c r="D220" s="131"/>
      <c r="E220" s="131"/>
      <c r="F220" s="131"/>
    </row>
    <row r="221" spans="1:6" x14ac:dyDescent="0.3">
      <c r="A221" s="131"/>
      <c r="B221" s="131"/>
      <c r="C221" s="131"/>
      <c r="D221" s="131"/>
      <c r="E221" s="131"/>
      <c r="F221" s="131"/>
    </row>
    <row r="222" spans="1:6" x14ac:dyDescent="0.3">
      <c r="A222" s="131"/>
      <c r="B222" s="131"/>
      <c r="C222" s="131"/>
      <c r="D222" s="131"/>
      <c r="E222" s="131"/>
      <c r="F222" s="131"/>
    </row>
    <row r="223" spans="1:6" x14ac:dyDescent="0.3">
      <c r="A223" s="131"/>
      <c r="B223" s="131"/>
      <c r="C223" s="131"/>
      <c r="D223" s="131"/>
      <c r="E223" s="131"/>
      <c r="F223" s="131"/>
    </row>
    <row r="224" spans="1:6" x14ac:dyDescent="0.3">
      <c r="A224" s="131"/>
      <c r="B224" s="131"/>
      <c r="C224" s="131"/>
      <c r="D224" s="131"/>
      <c r="E224" s="131"/>
      <c r="F224" s="131"/>
    </row>
    <row r="225" spans="1:6" x14ac:dyDescent="0.3">
      <c r="A225" s="131"/>
      <c r="B225" s="131"/>
      <c r="C225" s="131"/>
      <c r="D225" s="131"/>
      <c r="E225" s="131"/>
      <c r="F225" s="131"/>
    </row>
    <row r="226" spans="1:6" x14ac:dyDescent="0.3">
      <c r="A226" s="131"/>
      <c r="B226" s="131"/>
      <c r="C226" s="131"/>
      <c r="D226" s="131"/>
      <c r="E226" s="131"/>
      <c r="F226" s="131"/>
    </row>
    <row r="227" spans="1:6" x14ac:dyDescent="0.3">
      <c r="A227" s="131"/>
      <c r="B227" s="131"/>
      <c r="C227" s="131"/>
      <c r="D227" s="131"/>
      <c r="E227" s="131"/>
      <c r="F227" s="131"/>
    </row>
    <row r="228" spans="1:6" x14ac:dyDescent="0.3">
      <c r="A228" s="131"/>
      <c r="B228" s="131"/>
      <c r="C228" s="131"/>
      <c r="D228" s="131"/>
      <c r="E228" s="131"/>
      <c r="F228" s="131"/>
    </row>
    <row r="229" spans="1:6" x14ac:dyDescent="0.3">
      <c r="A229" s="131"/>
      <c r="B229" s="131"/>
      <c r="C229" s="131"/>
      <c r="D229" s="131"/>
      <c r="E229" s="131"/>
      <c r="F229" s="131"/>
    </row>
    <row r="230" spans="1:6" x14ac:dyDescent="0.3">
      <c r="A230" s="131"/>
      <c r="B230" s="131"/>
      <c r="C230" s="131"/>
      <c r="D230" s="131"/>
      <c r="E230" s="131"/>
      <c r="F230" s="131"/>
    </row>
    <row r="231" spans="1:6" x14ac:dyDescent="0.3">
      <c r="A231" s="131"/>
      <c r="B231" s="131"/>
      <c r="C231" s="131"/>
      <c r="D231" s="131"/>
      <c r="E231" s="131"/>
      <c r="F231" s="131"/>
    </row>
    <row r="232" spans="1:6" x14ac:dyDescent="0.3">
      <c r="A232" s="131"/>
      <c r="B232" s="131"/>
      <c r="C232" s="131"/>
      <c r="D232" s="131"/>
      <c r="E232" s="131"/>
      <c r="F232" s="131"/>
    </row>
    <row r="233" spans="1:6" x14ac:dyDescent="0.3">
      <c r="A233" s="131"/>
      <c r="B233" s="131"/>
      <c r="C233" s="131"/>
      <c r="D233" s="131"/>
      <c r="E233" s="131"/>
      <c r="F233" s="131"/>
    </row>
    <row r="234" spans="1:6" x14ac:dyDescent="0.3">
      <c r="A234" s="131"/>
      <c r="B234" s="131"/>
      <c r="C234" s="131"/>
      <c r="D234" s="131"/>
      <c r="E234" s="131"/>
      <c r="F234" s="131"/>
    </row>
    <row r="235" spans="1:6" x14ac:dyDescent="0.3">
      <c r="A235" s="131"/>
      <c r="B235" s="131"/>
      <c r="C235" s="131"/>
      <c r="D235" s="131"/>
      <c r="E235" s="131"/>
      <c r="F235" s="131"/>
    </row>
    <row r="236" spans="1:6" x14ac:dyDescent="0.3">
      <c r="A236" s="131"/>
      <c r="B236" s="131"/>
      <c r="C236" s="131"/>
      <c r="D236" s="131"/>
      <c r="E236" s="131"/>
      <c r="F236" s="131"/>
    </row>
    <row r="237" spans="1:6" x14ac:dyDescent="0.3">
      <c r="A237" s="131"/>
      <c r="B237" s="131"/>
      <c r="C237" s="131"/>
      <c r="D237" s="131"/>
      <c r="E237" s="131"/>
      <c r="F237" s="131"/>
    </row>
    <row r="238" spans="1:6" x14ac:dyDescent="0.3">
      <c r="A238" s="131"/>
      <c r="B238" s="131"/>
      <c r="C238" s="131"/>
      <c r="D238" s="131"/>
      <c r="E238" s="131"/>
      <c r="F238" s="131"/>
    </row>
    <row r="239" spans="1:6" x14ac:dyDescent="0.3">
      <c r="A239" s="131"/>
      <c r="B239" s="131"/>
      <c r="C239" s="131"/>
      <c r="D239" s="131"/>
      <c r="E239" s="131"/>
      <c r="F239" s="131"/>
    </row>
    <row r="240" spans="1:6" x14ac:dyDescent="0.3">
      <c r="A240" s="131"/>
      <c r="B240" s="131"/>
      <c r="C240" s="131"/>
      <c r="D240" s="131"/>
      <c r="E240" s="131"/>
      <c r="F240" s="131"/>
    </row>
    <row r="241" spans="1:6" x14ac:dyDescent="0.3">
      <c r="A241" s="131"/>
      <c r="B241" s="131"/>
      <c r="C241" s="131"/>
      <c r="D241" s="131"/>
      <c r="E241" s="131"/>
      <c r="F241" s="131"/>
    </row>
    <row r="242" spans="1:6" x14ac:dyDescent="0.3">
      <c r="A242" s="131"/>
      <c r="B242" s="131"/>
      <c r="C242" s="131"/>
      <c r="D242" s="131"/>
      <c r="E242" s="131"/>
      <c r="F242" s="131"/>
    </row>
    <row r="243" spans="1:6" x14ac:dyDescent="0.3">
      <c r="A243" s="131"/>
      <c r="B243" s="131"/>
      <c r="C243" s="131"/>
      <c r="D243" s="131"/>
      <c r="E243" s="131"/>
      <c r="F243" s="131"/>
    </row>
    <row r="244" spans="1:6" x14ac:dyDescent="0.3">
      <c r="A244" s="131"/>
      <c r="B244" s="131"/>
      <c r="C244" s="131"/>
      <c r="D244" s="131"/>
      <c r="E244" s="131"/>
      <c r="F244" s="131"/>
    </row>
    <row r="245" spans="1:6" x14ac:dyDescent="0.3">
      <c r="A245" s="131"/>
      <c r="B245" s="131"/>
      <c r="C245" s="131"/>
      <c r="D245" s="131"/>
      <c r="E245" s="131"/>
      <c r="F245" s="131"/>
    </row>
    <row r="246" spans="1:6" x14ac:dyDescent="0.3">
      <c r="A246" s="131"/>
      <c r="B246" s="131"/>
      <c r="C246" s="131"/>
      <c r="D246" s="131"/>
      <c r="E246" s="131"/>
      <c r="F246" s="131"/>
    </row>
    <row r="247" spans="1:6" x14ac:dyDescent="0.3">
      <c r="A247" s="131"/>
      <c r="B247" s="131"/>
      <c r="C247" s="131"/>
      <c r="D247" s="131"/>
      <c r="E247" s="131"/>
      <c r="F247" s="131"/>
    </row>
    <row r="248" spans="1:6" x14ac:dyDescent="0.3">
      <c r="A248" s="131"/>
      <c r="B248" s="131"/>
      <c r="C248" s="131"/>
      <c r="D248" s="131"/>
      <c r="E248" s="131"/>
      <c r="F248" s="131"/>
    </row>
    <row r="249" spans="1:6" x14ac:dyDescent="0.3">
      <c r="A249" s="131"/>
      <c r="B249" s="131"/>
      <c r="C249" s="131"/>
      <c r="D249" s="131"/>
      <c r="E249" s="131"/>
      <c r="F249" s="131"/>
    </row>
    <row r="250" spans="1:6" x14ac:dyDescent="0.3">
      <c r="A250" s="131"/>
      <c r="B250" s="131"/>
      <c r="C250" s="131"/>
      <c r="D250" s="131"/>
      <c r="E250" s="131"/>
      <c r="F250" s="131"/>
    </row>
    <row r="251" spans="1:6" x14ac:dyDescent="0.3">
      <c r="A251" s="131"/>
      <c r="B251" s="131"/>
      <c r="C251" s="131"/>
      <c r="D251" s="131"/>
      <c r="E251" s="131"/>
      <c r="F251" s="131"/>
    </row>
    <row r="252" spans="1:6" x14ac:dyDescent="0.3">
      <c r="A252" s="131"/>
      <c r="B252" s="131"/>
      <c r="C252" s="131"/>
      <c r="D252" s="131"/>
      <c r="E252" s="131"/>
      <c r="F252" s="131"/>
    </row>
    <row r="253" spans="1:6" x14ac:dyDescent="0.3">
      <c r="A253" s="131"/>
      <c r="B253" s="131"/>
      <c r="C253" s="131"/>
      <c r="D253" s="131"/>
      <c r="E253" s="131"/>
      <c r="F253" s="131"/>
    </row>
    <row r="254" spans="1:6" x14ac:dyDescent="0.3">
      <c r="A254" s="131"/>
      <c r="B254" s="131"/>
      <c r="C254" s="131"/>
      <c r="D254" s="131"/>
      <c r="E254" s="131"/>
      <c r="F254" s="131"/>
    </row>
    <row r="255" spans="1:6" x14ac:dyDescent="0.3">
      <c r="A255" s="131"/>
      <c r="B255" s="131"/>
      <c r="C255" s="131"/>
      <c r="D255" s="131"/>
      <c r="E255" s="131"/>
      <c r="F255" s="131"/>
    </row>
    <row r="256" spans="1:6" x14ac:dyDescent="0.3">
      <c r="A256" s="131"/>
      <c r="B256" s="131"/>
      <c r="C256" s="131"/>
      <c r="D256" s="131"/>
      <c r="E256" s="131"/>
      <c r="F256" s="131"/>
    </row>
    <row r="257" spans="1:6" x14ac:dyDescent="0.3">
      <c r="A257" s="131"/>
      <c r="B257" s="131"/>
      <c r="C257" s="131"/>
      <c r="D257" s="131"/>
      <c r="E257" s="131"/>
      <c r="F257" s="131"/>
    </row>
    <row r="258" spans="1:6" x14ac:dyDescent="0.3">
      <c r="A258" s="131"/>
      <c r="B258" s="131"/>
      <c r="C258" s="131"/>
      <c r="D258" s="131"/>
      <c r="E258" s="131"/>
      <c r="F258" s="131"/>
    </row>
    <row r="259" spans="1:6" x14ac:dyDescent="0.3">
      <c r="A259" s="131"/>
      <c r="B259" s="131"/>
      <c r="C259" s="131"/>
      <c r="D259" s="131"/>
      <c r="E259" s="131"/>
      <c r="F259" s="131"/>
    </row>
    <row r="260" spans="1:6" x14ac:dyDescent="0.3">
      <c r="A260" s="131"/>
      <c r="B260" s="131"/>
      <c r="C260" s="131"/>
      <c r="D260" s="131"/>
      <c r="E260" s="131"/>
      <c r="F260" s="131"/>
    </row>
    <row r="261" spans="1:6" x14ac:dyDescent="0.3">
      <c r="A261" s="131"/>
      <c r="B261" s="131"/>
      <c r="C261" s="131"/>
      <c r="D261" s="131"/>
      <c r="E261" s="131"/>
      <c r="F261" s="131"/>
    </row>
    <row r="262" spans="1:6" x14ac:dyDescent="0.3">
      <c r="A262" s="131"/>
      <c r="B262" s="131"/>
      <c r="C262" s="131"/>
      <c r="D262" s="131"/>
      <c r="E262" s="131"/>
      <c r="F262" s="131"/>
    </row>
    <row r="263" spans="1:6" x14ac:dyDescent="0.3">
      <c r="A263" s="131"/>
      <c r="B263" s="131"/>
      <c r="C263" s="131"/>
      <c r="D263" s="131"/>
      <c r="E263" s="131"/>
      <c r="F263" s="131"/>
    </row>
    <row r="264" spans="1:6" x14ac:dyDescent="0.3">
      <c r="A264" s="131"/>
      <c r="B264" s="131"/>
      <c r="C264" s="131"/>
      <c r="D264" s="131"/>
      <c r="E264" s="131"/>
      <c r="F264" s="131"/>
    </row>
    <row r="265" spans="1:6" x14ac:dyDescent="0.3">
      <c r="A265" s="131"/>
      <c r="B265" s="131"/>
      <c r="C265" s="131"/>
      <c r="D265" s="131"/>
      <c r="E265" s="131"/>
      <c r="F265" s="131"/>
    </row>
    <row r="266" spans="1:6" x14ac:dyDescent="0.3">
      <c r="A266" s="131"/>
      <c r="B266" s="131"/>
      <c r="C266" s="131"/>
      <c r="D266" s="131"/>
      <c r="E266" s="131"/>
      <c r="F266" s="131"/>
    </row>
    <row r="267" spans="1:6" x14ac:dyDescent="0.3">
      <c r="A267" s="131"/>
      <c r="B267" s="131"/>
      <c r="C267" s="131"/>
      <c r="D267" s="131"/>
      <c r="E267" s="131"/>
      <c r="F267" s="131"/>
    </row>
    <row r="268" spans="1:6" x14ac:dyDescent="0.3">
      <c r="A268" s="131"/>
      <c r="B268" s="131"/>
      <c r="C268" s="131"/>
      <c r="D268" s="131"/>
      <c r="E268" s="131"/>
      <c r="F268" s="131"/>
    </row>
    <row r="269" spans="1:6" x14ac:dyDescent="0.3">
      <c r="A269" s="131"/>
      <c r="B269" s="131"/>
      <c r="C269" s="131"/>
      <c r="D269" s="131"/>
      <c r="E269" s="131"/>
      <c r="F269" s="131"/>
    </row>
    <row r="270" spans="1:6" x14ac:dyDescent="0.3">
      <c r="A270" s="131"/>
      <c r="B270" s="131"/>
      <c r="C270" s="131"/>
      <c r="D270" s="131"/>
      <c r="E270" s="131"/>
      <c r="F270" s="131"/>
    </row>
    <row r="271" spans="1:6" x14ac:dyDescent="0.3">
      <c r="A271" s="131"/>
      <c r="B271" s="131"/>
      <c r="C271" s="131"/>
      <c r="D271" s="131"/>
      <c r="E271" s="131"/>
      <c r="F271" s="131"/>
    </row>
    <row r="272" spans="1:6" x14ac:dyDescent="0.3">
      <c r="A272" s="131"/>
      <c r="B272" s="131"/>
      <c r="C272" s="131"/>
      <c r="D272" s="131"/>
      <c r="E272" s="131"/>
      <c r="F272" s="131"/>
    </row>
    <row r="273" spans="1:6" x14ac:dyDescent="0.3">
      <c r="A273" s="131"/>
      <c r="B273" s="131"/>
      <c r="C273" s="131"/>
      <c r="D273" s="131"/>
      <c r="E273" s="131"/>
      <c r="F273" s="131"/>
    </row>
    <row r="274" spans="1:6" x14ac:dyDescent="0.3">
      <c r="A274" s="131"/>
      <c r="B274" s="131"/>
      <c r="C274" s="131"/>
      <c r="D274" s="131"/>
      <c r="E274" s="131"/>
      <c r="F274" s="131"/>
    </row>
    <row r="275" spans="1:6" x14ac:dyDescent="0.3">
      <c r="A275" s="131"/>
      <c r="B275" s="131"/>
      <c r="C275" s="131"/>
      <c r="D275" s="131"/>
      <c r="E275" s="131"/>
      <c r="F275" s="131"/>
    </row>
    <row r="276" spans="1:6" x14ac:dyDescent="0.3">
      <c r="A276" s="131"/>
      <c r="B276" s="131"/>
      <c r="C276" s="131"/>
      <c r="D276" s="131"/>
      <c r="E276" s="131"/>
      <c r="F276" s="131"/>
    </row>
    <row r="277" spans="1:6" x14ac:dyDescent="0.3">
      <c r="A277" s="131"/>
      <c r="B277" s="131"/>
      <c r="C277" s="131"/>
      <c r="D277" s="131"/>
      <c r="E277" s="131"/>
      <c r="F277" s="131"/>
    </row>
    <row r="278" spans="1:6" x14ac:dyDescent="0.3">
      <c r="A278" s="131"/>
      <c r="B278" s="131"/>
      <c r="C278" s="131"/>
      <c r="D278" s="131"/>
      <c r="E278" s="131"/>
      <c r="F278" s="131"/>
    </row>
    <row r="279" spans="1:6" x14ac:dyDescent="0.3">
      <c r="A279" s="131"/>
      <c r="B279" s="131"/>
      <c r="C279" s="131"/>
      <c r="D279" s="131"/>
      <c r="E279" s="131"/>
      <c r="F279" s="131"/>
    </row>
    <row r="280" spans="1:6" x14ac:dyDescent="0.3">
      <c r="A280" s="131"/>
      <c r="B280" s="131"/>
      <c r="C280" s="131"/>
      <c r="D280" s="131"/>
      <c r="E280" s="131"/>
      <c r="F280" s="131"/>
    </row>
    <row r="281" spans="1:6" x14ac:dyDescent="0.3">
      <c r="A281" s="131"/>
      <c r="B281" s="131"/>
      <c r="C281" s="131"/>
      <c r="D281" s="131"/>
      <c r="E281" s="131"/>
      <c r="F281" s="131"/>
    </row>
    <row r="282" spans="1:6" x14ac:dyDescent="0.3">
      <c r="A282" s="131"/>
      <c r="B282" s="131"/>
      <c r="C282" s="131"/>
      <c r="D282" s="131"/>
      <c r="E282" s="131"/>
      <c r="F282" s="131"/>
    </row>
    <row r="283" spans="1:6" x14ac:dyDescent="0.3">
      <c r="A283" s="131"/>
      <c r="B283" s="131"/>
      <c r="C283" s="131"/>
      <c r="D283" s="131"/>
      <c r="E283" s="131"/>
      <c r="F283" s="131"/>
    </row>
    <row r="284" spans="1:6" x14ac:dyDescent="0.3">
      <c r="A284" s="131"/>
      <c r="B284" s="131"/>
      <c r="C284" s="131"/>
      <c r="D284" s="131"/>
      <c r="E284" s="131"/>
      <c r="F284" s="131"/>
    </row>
    <row r="285" spans="1:6" x14ac:dyDescent="0.3">
      <c r="A285" s="131"/>
      <c r="B285" s="131"/>
      <c r="C285" s="131"/>
      <c r="D285" s="131"/>
      <c r="E285" s="131"/>
      <c r="F285" s="131"/>
    </row>
    <row r="286" spans="1:6" x14ac:dyDescent="0.3">
      <c r="A286" s="131"/>
      <c r="B286" s="131"/>
      <c r="C286" s="131"/>
      <c r="D286" s="131"/>
      <c r="E286" s="131"/>
      <c r="F286" s="131"/>
    </row>
    <row r="287" spans="1:6" x14ac:dyDescent="0.3">
      <c r="A287" s="131"/>
      <c r="B287" s="131"/>
      <c r="C287" s="131"/>
      <c r="D287" s="131"/>
      <c r="E287" s="131"/>
      <c r="F287" s="131"/>
    </row>
    <row r="288" spans="1:6" x14ac:dyDescent="0.3">
      <c r="A288" s="131"/>
      <c r="B288" s="131"/>
      <c r="C288" s="131"/>
      <c r="D288" s="131"/>
      <c r="E288" s="131"/>
      <c r="F288" s="131"/>
    </row>
    <row r="289" spans="1:6" x14ac:dyDescent="0.3">
      <c r="A289" s="131"/>
      <c r="B289" s="131"/>
      <c r="C289" s="131"/>
      <c r="D289" s="131"/>
      <c r="E289" s="131"/>
      <c r="F289" s="131"/>
    </row>
    <row r="290" spans="1:6" x14ac:dyDescent="0.3">
      <c r="A290" s="131"/>
      <c r="B290" s="131"/>
      <c r="C290" s="131"/>
      <c r="D290" s="131"/>
      <c r="E290" s="131"/>
      <c r="F290" s="131"/>
    </row>
    <row r="291" spans="1:6" x14ac:dyDescent="0.3">
      <c r="A291" s="131"/>
      <c r="B291" s="131"/>
      <c r="C291" s="131"/>
      <c r="D291" s="131"/>
      <c r="E291" s="131"/>
      <c r="F291" s="131"/>
    </row>
    <row r="292" spans="1:6" x14ac:dyDescent="0.3">
      <c r="A292" s="131"/>
      <c r="B292" s="131"/>
      <c r="C292" s="131"/>
      <c r="D292" s="131"/>
      <c r="E292" s="131"/>
      <c r="F292" s="131"/>
    </row>
    <row r="293" spans="1:6" x14ac:dyDescent="0.3">
      <c r="A293" s="131"/>
      <c r="B293" s="131"/>
      <c r="C293" s="131"/>
      <c r="D293" s="131"/>
      <c r="E293" s="131"/>
      <c r="F293" s="131"/>
    </row>
    <row r="294" spans="1:6" x14ac:dyDescent="0.3">
      <c r="A294" s="131"/>
      <c r="B294" s="131"/>
      <c r="C294" s="131"/>
      <c r="D294" s="131"/>
      <c r="E294" s="131"/>
      <c r="F294" s="131"/>
    </row>
    <row r="295" spans="1:6" x14ac:dyDescent="0.3">
      <c r="A295" s="131"/>
      <c r="B295" s="131"/>
      <c r="C295" s="131"/>
      <c r="D295" s="131"/>
      <c r="E295" s="131"/>
      <c r="F295" s="131"/>
    </row>
    <row r="296" spans="1:6" x14ac:dyDescent="0.3">
      <c r="A296" s="131"/>
      <c r="B296" s="131"/>
      <c r="C296" s="131"/>
      <c r="D296" s="131"/>
      <c r="E296" s="131"/>
      <c r="F296" s="131"/>
    </row>
    <row r="297" spans="1:6" x14ac:dyDescent="0.3">
      <c r="A297" s="131"/>
      <c r="B297" s="131"/>
      <c r="C297" s="131"/>
      <c r="D297" s="131"/>
      <c r="E297" s="131"/>
      <c r="F297" s="131"/>
    </row>
    <row r="298" spans="1:6" x14ac:dyDescent="0.3">
      <c r="A298" s="131"/>
      <c r="B298" s="131"/>
      <c r="C298" s="131"/>
      <c r="D298" s="131"/>
      <c r="E298" s="131"/>
      <c r="F298" s="131"/>
    </row>
    <row r="299" spans="1:6" x14ac:dyDescent="0.3">
      <c r="A299" s="131"/>
      <c r="B299" s="131"/>
      <c r="C299" s="131"/>
      <c r="D299" s="131"/>
      <c r="E299" s="131"/>
      <c r="F299" s="131"/>
    </row>
    <row r="300" spans="1:6" x14ac:dyDescent="0.3">
      <c r="A300" s="131"/>
      <c r="B300" s="131"/>
      <c r="C300" s="131"/>
      <c r="D300" s="131"/>
      <c r="E300" s="131"/>
      <c r="F300" s="131"/>
    </row>
    <row r="301" spans="1:6" x14ac:dyDescent="0.3">
      <c r="A301" s="131"/>
      <c r="B301" s="131"/>
      <c r="C301" s="131"/>
      <c r="D301" s="131"/>
      <c r="E301" s="131"/>
      <c r="F301" s="131"/>
    </row>
    <row r="302" spans="1:6" x14ac:dyDescent="0.3">
      <c r="A302" s="131"/>
      <c r="B302" s="131"/>
      <c r="C302" s="131"/>
      <c r="D302" s="131"/>
      <c r="E302" s="131"/>
      <c r="F302" s="131"/>
    </row>
    <row r="303" spans="1:6" x14ac:dyDescent="0.3">
      <c r="A303" s="131"/>
      <c r="B303" s="131"/>
      <c r="C303" s="131"/>
      <c r="D303" s="131"/>
      <c r="E303" s="131"/>
      <c r="F303" s="131"/>
    </row>
    <row r="304" spans="1:6" x14ac:dyDescent="0.3">
      <c r="A304" s="131"/>
      <c r="B304" s="131"/>
      <c r="C304" s="131"/>
      <c r="D304" s="131"/>
      <c r="E304" s="131"/>
      <c r="F304" s="131"/>
    </row>
    <row r="305" spans="1:6" x14ac:dyDescent="0.3">
      <c r="A305" s="131"/>
      <c r="B305" s="131"/>
      <c r="C305" s="131"/>
      <c r="D305" s="131"/>
      <c r="E305" s="131"/>
      <c r="F305" s="131"/>
    </row>
    <row r="306" spans="1:6" x14ac:dyDescent="0.3">
      <c r="A306" s="131"/>
      <c r="B306" s="131"/>
      <c r="C306" s="131"/>
      <c r="D306" s="131"/>
      <c r="E306" s="131"/>
      <c r="F306" s="131"/>
    </row>
    <row r="307" spans="1:6" x14ac:dyDescent="0.3">
      <c r="A307" s="131"/>
      <c r="B307" s="131"/>
      <c r="C307" s="131"/>
      <c r="D307" s="131"/>
      <c r="E307" s="131"/>
      <c r="F307" s="131"/>
    </row>
    <row r="308" spans="1:6" x14ac:dyDescent="0.3">
      <c r="A308" s="131"/>
      <c r="B308" s="131"/>
      <c r="C308" s="131"/>
      <c r="D308" s="131"/>
      <c r="E308" s="131"/>
      <c r="F308" s="131"/>
    </row>
    <row r="309" spans="1:6" x14ac:dyDescent="0.3">
      <c r="A309" s="131"/>
      <c r="B309" s="131"/>
      <c r="C309" s="131"/>
      <c r="D309" s="131"/>
      <c r="E309" s="131"/>
      <c r="F309" s="131"/>
    </row>
    <row r="310" spans="1:6" x14ac:dyDescent="0.3">
      <c r="A310" s="131"/>
      <c r="B310" s="131"/>
      <c r="C310" s="131"/>
      <c r="D310" s="131"/>
      <c r="E310" s="131"/>
      <c r="F310" s="131"/>
    </row>
    <row r="311" spans="1:6" x14ac:dyDescent="0.3">
      <c r="A311" s="131"/>
      <c r="B311" s="131"/>
      <c r="C311" s="131"/>
      <c r="D311" s="131"/>
      <c r="E311" s="131"/>
      <c r="F311" s="131"/>
    </row>
    <row r="312" spans="1:6" x14ac:dyDescent="0.3">
      <c r="A312" s="131"/>
      <c r="B312" s="131"/>
      <c r="C312" s="131"/>
      <c r="D312" s="131"/>
      <c r="E312" s="131"/>
      <c r="F312" s="131"/>
    </row>
    <row r="313" spans="1:6" x14ac:dyDescent="0.3">
      <c r="A313" s="131"/>
      <c r="B313" s="131"/>
      <c r="C313" s="131"/>
      <c r="D313" s="131"/>
      <c r="E313" s="131"/>
      <c r="F313" s="131"/>
    </row>
    <row r="314" spans="1:6" x14ac:dyDescent="0.3">
      <c r="A314" s="131"/>
      <c r="B314" s="131"/>
      <c r="C314" s="131"/>
      <c r="D314" s="131"/>
      <c r="E314" s="131"/>
      <c r="F314" s="131"/>
    </row>
    <row r="315" spans="1:6" x14ac:dyDescent="0.3">
      <c r="A315" s="131"/>
      <c r="B315" s="131"/>
      <c r="C315" s="131"/>
      <c r="D315" s="131"/>
      <c r="E315" s="131"/>
      <c r="F315" s="131"/>
    </row>
    <row r="316" spans="1:6" x14ac:dyDescent="0.3">
      <c r="A316" s="131"/>
      <c r="B316" s="131"/>
      <c r="C316" s="131"/>
      <c r="D316" s="131"/>
      <c r="E316" s="131"/>
      <c r="F316" s="131"/>
    </row>
    <row r="317" spans="1:6" x14ac:dyDescent="0.3">
      <c r="A317" s="131"/>
      <c r="B317" s="131"/>
      <c r="C317" s="131"/>
      <c r="D317" s="131"/>
      <c r="E317" s="131"/>
      <c r="F317" s="131"/>
    </row>
    <row r="318" spans="1:6" x14ac:dyDescent="0.3">
      <c r="A318" s="131"/>
      <c r="B318" s="131"/>
      <c r="C318" s="131"/>
      <c r="D318" s="131"/>
      <c r="E318" s="131"/>
      <c r="F318" s="131"/>
    </row>
    <row r="319" spans="1:6" x14ac:dyDescent="0.3">
      <c r="A319" s="131"/>
      <c r="B319" s="131"/>
      <c r="C319" s="131"/>
      <c r="D319" s="131"/>
      <c r="E319" s="131"/>
      <c r="F319" s="131"/>
    </row>
    <row r="320" spans="1:6" x14ac:dyDescent="0.3">
      <c r="A320" s="131"/>
      <c r="B320" s="131"/>
      <c r="C320" s="131"/>
      <c r="D320" s="131"/>
      <c r="E320" s="131"/>
      <c r="F320" s="131"/>
    </row>
    <row r="321" spans="1:6" x14ac:dyDescent="0.3">
      <c r="A321" s="131"/>
      <c r="B321" s="131"/>
      <c r="C321" s="131"/>
      <c r="D321" s="131"/>
      <c r="E321" s="131"/>
      <c r="F321" s="131"/>
    </row>
    <row r="322" spans="1:6" x14ac:dyDescent="0.3">
      <c r="A322" s="131"/>
      <c r="B322" s="131"/>
      <c r="C322" s="131"/>
      <c r="D322" s="131"/>
      <c r="E322" s="131"/>
      <c r="F322" s="131"/>
    </row>
    <row r="323" spans="1:6" x14ac:dyDescent="0.3">
      <c r="A323" s="131"/>
      <c r="B323" s="131"/>
      <c r="C323" s="131"/>
      <c r="D323" s="131"/>
      <c r="E323" s="131"/>
      <c r="F323" s="131"/>
    </row>
    <row r="324" spans="1:6" x14ac:dyDescent="0.3">
      <c r="A324" s="131"/>
      <c r="B324" s="131"/>
      <c r="C324" s="131"/>
      <c r="D324" s="131"/>
      <c r="E324" s="131"/>
      <c r="F324" s="131"/>
    </row>
    <row r="325" spans="1:6" x14ac:dyDescent="0.3">
      <c r="A325" s="131"/>
      <c r="B325" s="131"/>
      <c r="C325" s="131"/>
      <c r="D325" s="131"/>
      <c r="E325" s="131"/>
      <c r="F325" s="131"/>
    </row>
    <row r="326" spans="1:6" x14ac:dyDescent="0.3">
      <c r="A326" s="131"/>
      <c r="B326" s="131"/>
      <c r="C326" s="131"/>
      <c r="D326" s="131"/>
      <c r="E326" s="131"/>
      <c r="F326" s="131"/>
    </row>
    <row r="327" spans="1:6" x14ac:dyDescent="0.3">
      <c r="A327" s="131"/>
      <c r="B327" s="131"/>
      <c r="C327" s="131"/>
      <c r="D327" s="131"/>
      <c r="E327" s="131"/>
      <c r="F327" s="131"/>
    </row>
    <row r="328" spans="1:6" x14ac:dyDescent="0.3">
      <c r="A328" s="131"/>
      <c r="B328" s="131"/>
      <c r="C328" s="131"/>
      <c r="D328" s="131"/>
      <c r="E328" s="131"/>
      <c r="F328" s="131"/>
    </row>
    <row r="329" spans="1:6" x14ac:dyDescent="0.3">
      <c r="A329" s="131"/>
      <c r="B329" s="131"/>
      <c r="C329" s="131"/>
      <c r="D329" s="131"/>
      <c r="E329" s="131"/>
      <c r="F329" s="131"/>
    </row>
    <row r="330" spans="1:6" x14ac:dyDescent="0.3">
      <c r="A330" s="131"/>
      <c r="B330" s="131"/>
      <c r="C330" s="131"/>
      <c r="D330" s="131"/>
      <c r="E330" s="131"/>
      <c r="F330" s="131"/>
    </row>
    <row r="331" spans="1:6" x14ac:dyDescent="0.3">
      <c r="A331" s="131"/>
      <c r="B331" s="131"/>
      <c r="C331" s="131"/>
      <c r="D331" s="131"/>
      <c r="E331" s="131"/>
      <c r="F331" s="131"/>
    </row>
    <row r="332" spans="1:6" x14ac:dyDescent="0.3">
      <c r="A332" s="131"/>
      <c r="B332" s="131"/>
      <c r="C332" s="131"/>
      <c r="D332" s="131"/>
      <c r="E332" s="131"/>
      <c r="F332" s="131"/>
    </row>
    <row r="333" spans="1:6" x14ac:dyDescent="0.3">
      <c r="A333" s="131"/>
      <c r="B333" s="131"/>
      <c r="C333" s="131"/>
      <c r="D333" s="131"/>
      <c r="E333" s="131"/>
      <c r="F333" s="131"/>
    </row>
    <row r="334" spans="1:6" x14ac:dyDescent="0.3">
      <c r="A334" s="131"/>
      <c r="B334" s="131"/>
      <c r="C334" s="131"/>
      <c r="D334" s="131"/>
      <c r="E334" s="131"/>
      <c r="F334" s="131"/>
    </row>
    <row r="335" spans="1:6" x14ac:dyDescent="0.3">
      <c r="A335" s="131"/>
      <c r="B335" s="131"/>
      <c r="C335" s="131"/>
      <c r="D335" s="131"/>
      <c r="E335" s="131"/>
      <c r="F335" s="131"/>
    </row>
    <row r="336" spans="1:6" x14ac:dyDescent="0.3">
      <c r="A336" s="131"/>
      <c r="B336" s="131"/>
      <c r="C336" s="131"/>
      <c r="D336" s="131"/>
      <c r="E336" s="131"/>
      <c r="F336" s="131"/>
    </row>
    <row r="337" spans="1:6" x14ac:dyDescent="0.3">
      <c r="A337" s="131"/>
      <c r="B337" s="131"/>
      <c r="C337" s="131"/>
      <c r="D337" s="131"/>
      <c r="E337" s="131"/>
      <c r="F337" s="131"/>
    </row>
    <row r="338" spans="1:6" x14ac:dyDescent="0.3">
      <c r="A338" s="131"/>
      <c r="B338" s="131"/>
      <c r="C338" s="131"/>
      <c r="D338" s="131"/>
      <c r="E338" s="131"/>
      <c r="F338" s="131"/>
    </row>
    <row r="339" spans="1:6" x14ac:dyDescent="0.3">
      <c r="A339" s="131"/>
      <c r="B339" s="131"/>
      <c r="C339" s="131"/>
      <c r="D339" s="131"/>
      <c r="E339" s="131"/>
      <c r="F339" s="131"/>
    </row>
    <row r="340" spans="1:6" x14ac:dyDescent="0.3">
      <c r="A340" s="131"/>
      <c r="B340" s="131"/>
      <c r="C340" s="131"/>
      <c r="D340" s="131"/>
      <c r="E340" s="131"/>
      <c r="F340" s="131"/>
    </row>
    <row r="341" spans="1:6" x14ac:dyDescent="0.3">
      <c r="A341" s="131"/>
      <c r="B341" s="131"/>
      <c r="C341" s="131"/>
      <c r="D341" s="131"/>
      <c r="E341" s="131"/>
      <c r="F341" s="131"/>
    </row>
    <row r="342" spans="1:6" x14ac:dyDescent="0.3">
      <c r="A342" s="131"/>
      <c r="B342" s="131"/>
      <c r="C342" s="131"/>
      <c r="D342" s="131"/>
      <c r="E342" s="131"/>
      <c r="F342" s="131"/>
    </row>
    <row r="343" spans="1:6" x14ac:dyDescent="0.3">
      <c r="A343" s="131"/>
      <c r="B343" s="131"/>
      <c r="C343" s="131"/>
      <c r="D343" s="131"/>
      <c r="E343" s="131"/>
      <c r="F343" s="131"/>
    </row>
    <row r="344" spans="1:6" x14ac:dyDescent="0.3">
      <c r="A344" s="131"/>
      <c r="B344" s="131"/>
      <c r="C344" s="131"/>
      <c r="D344" s="131"/>
      <c r="E344" s="131"/>
      <c r="F344" s="131"/>
    </row>
    <row r="345" spans="1:6" x14ac:dyDescent="0.3">
      <c r="A345" s="131"/>
      <c r="B345" s="131"/>
      <c r="C345" s="131"/>
      <c r="D345" s="131"/>
      <c r="E345" s="131"/>
      <c r="F345" s="131"/>
    </row>
    <row r="346" spans="1:6" x14ac:dyDescent="0.3">
      <c r="A346" s="131"/>
      <c r="B346" s="131"/>
      <c r="C346" s="131"/>
      <c r="D346" s="131"/>
      <c r="E346" s="131"/>
      <c r="F346" s="131"/>
    </row>
    <row r="347" spans="1:6" x14ac:dyDescent="0.3">
      <c r="A347" s="131"/>
      <c r="B347" s="131"/>
      <c r="C347" s="131"/>
      <c r="D347" s="131"/>
      <c r="E347" s="131"/>
      <c r="F347" s="131"/>
    </row>
    <row r="348" spans="1:6" x14ac:dyDescent="0.3">
      <c r="A348" s="131"/>
      <c r="B348" s="131"/>
      <c r="C348" s="131"/>
      <c r="D348" s="131"/>
      <c r="E348" s="131"/>
      <c r="F348" s="131"/>
    </row>
    <row r="349" spans="1:6" x14ac:dyDescent="0.3">
      <c r="A349" s="131"/>
      <c r="B349" s="131"/>
      <c r="C349" s="131"/>
      <c r="D349" s="131"/>
      <c r="E349" s="131"/>
      <c r="F349" s="131"/>
    </row>
    <row r="350" spans="1:6" x14ac:dyDescent="0.3">
      <c r="A350" s="131"/>
      <c r="B350" s="131"/>
      <c r="C350" s="131"/>
      <c r="D350" s="131"/>
      <c r="E350" s="131"/>
      <c r="F350" s="131"/>
    </row>
    <row r="351" spans="1:6" x14ac:dyDescent="0.3">
      <c r="A351" s="131"/>
      <c r="B351" s="131"/>
      <c r="C351" s="131"/>
      <c r="D351" s="131"/>
      <c r="E351" s="131"/>
      <c r="F351" s="131"/>
    </row>
    <row r="352" spans="1:6" x14ac:dyDescent="0.3">
      <c r="A352" s="131"/>
      <c r="B352" s="131"/>
      <c r="C352" s="131"/>
      <c r="D352" s="131"/>
      <c r="E352" s="131"/>
      <c r="F352" s="131"/>
    </row>
    <row r="353" spans="1:6" x14ac:dyDescent="0.3">
      <c r="A353" s="131"/>
      <c r="B353" s="131"/>
      <c r="C353" s="131"/>
      <c r="D353" s="131"/>
      <c r="E353" s="131"/>
      <c r="F353" s="131"/>
    </row>
    <row r="354" spans="1:6" x14ac:dyDescent="0.3">
      <c r="A354" s="131"/>
      <c r="B354" s="131"/>
      <c r="C354" s="131"/>
      <c r="D354" s="131"/>
      <c r="E354" s="131"/>
      <c r="F354" s="131"/>
    </row>
    <row r="355" spans="1:6" x14ac:dyDescent="0.3">
      <c r="A355" s="131"/>
      <c r="B355" s="131"/>
      <c r="C355" s="131"/>
      <c r="D355" s="131"/>
      <c r="E355" s="131"/>
      <c r="F355" s="131"/>
    </row>
    <row r="356" spans="1:6" x14ac:dyDescent="0.3">
      <c r="A356" s="131"/>
      <c r="B356" s="131"/>
      <c r="C356" s="131"/>
      <c r="D356" s="131"/>
      <c r="E356" s="131"/>
      <c r="F356" s="131"/>
    </row>
    <row r="357" spans="1:6" x14ac:dyDescent="0.3">
      <c r="A357" s="131"/>
      <c r="B357" s="131"/>
      <c r="C357" s="131"/>
      <c r="D357" s="131"/>
      <c r="E357" s="131"/>
      <c r="F357" s="131"/>
    </row>
    <row r="358" spans="1:6" x14ac:dyDescent="0.3">
      <c r="A358" s="131"/>
      <c r="B358" s="131"/>
      <c r="C358" s="131"/>
      <c r="D358" s="131"/>
      <c r="E358" s="131"/>
      <c r="F358" s="131"/>
    </row>
    <row r="359" spans="1:6" x14ac:dyDescent="0.3">
      <c r="A359" s="131"/>
      <c r="B359" s="131"/>
      <c r="C359" s="131"/>
      <c r="D359" s="131"/>
      <c r="E359" s="131"/>
      <c r="F359" s="131"/>
    </row>
    <row r="360" spans="1:6" x14ac:dyDescent="0.3">
      <c r="A360" s="131"/>
      <c r="B360" s="131"/>
      <c r="C360" s="131"/>
      <c r="D360" s="131"/>
      <c r="E360" s="131"/>
      <c r="F360" s="131"/>
    </row>
    <row r="361" spans="1:6" x14ac:dyDescent="0.3">
      <c r="A361" s="131"/>
      <c r="B361" s="131"/>
      <c r="C361" s="131"/>
      <c r="D361" s="131"/>
      <c r="E361" s="131"/>
      <c r="F361" s="131"/>
    </row>
    <row r="362" spans="1:6" x14ac:dyDescent="0.3">
      <c r="A362" s="131"/>
      <c r="B362" s="131"/>
      <c r="C362" s="131"/>
      <c r="D362" s="131"/>
      <c r="E362" s="131"/>
      <c r="F362" s="131"/>
    </row>
    <row r="363" spans="1:6" x14ac:dyDescent="0.3">
      <c r="A363" s="131"/>
      <c r="B363" s="131"/>
      <c r="C363" s="131"/>
      <c r="D363" s="131"/>
      <c r="E363" s="131"/>
      <c r="F363" s="131"/>
    </row>
    <row r="364" spans="1:6" x14ac:dyDescent="0.3">
      <c r="A364" s="131"/>
      <c r="B364" s="131"/>
      <c r="C364" s="131"/>
      <c r="D364" s="131"/>
      <c r="E364" s="131"/>
      <c r="F364" s="131"/>
    </row>
    <row r="365" spans="1:6" x14ac:dyDescent="0.3">
      <c r="A365" s="131"/>
      <c r="B365" s="131"/>
      <c r="C365" s="131"/>
      <c r="D365" s="131"/>
      <c r="E365" s="131"/>
      <c r="F365" s="131"/>
    </row>
    <row r="366" spans="1:6" x14ac:dyDescent="0.3">
      <c r="A366" s="131"/>
      <c r="B366" s="131"/>
      <c r="C366" s="131"/>
      <c r="D366" s="131"/>
      <c r="E366" s="131"/>
      <c r="F366" s="131"/>
    </row>
    <row r="367" spans="1:6" x14ac:dyDescent="0.3">
      <c r="A367" s="131"/>
      <c r="B367" s="131"/>
      <c r="C367" s="131"/>
      <c r="D367" s="131"/>
      <c r="E367" s="131"/>
      <c r="F367" s="131"/>
    </row>
    <row r="368" spans="1:6" x14ac:dyDescent="0.3">
      <c r="A368" s="131"/>
      <c r="B368" s="131"/>
      <c r="C368" s="131"/>
      <c r="D368" s="131"/>
      <c r="E368" s="131"/>
      <c r="F368" s="131"/>
    </row>
    <row r="369" spans="1:6" x14ac:dyDescent="0.3">
      <c r="A369" s="131"/>
      <c r="B369" s="131"/>
      <c r="C369" s="131"/>
      <c r="D369" s="131"/>
      <c r="E369" s="131"/>
      <c r="F369" s="131"/>
    </row>
    <row r="370" spans="1:6" x14ac:dyDescent="0.3">
      <c r="A370" s="131"/>
      <c r="B370" s="131"/>
      <c r="C370" s="131"/>
      <c r="D370" s="131"/>
      <c r="E370" s="131"/>
      <c r="F370" s="131"/>
    </row>
    <row r="371" spans="1:6" x14ac:dyDescent="0.3">
      <c r="A371" s="131"/>
      <c r="B371" s="131"/>
      <c r="C371" s="131"/>
      <c r="D371" s="131"/>
      <c r="E371" s="131"/>
      <c r="F371" s="131"/>
    </row>
    <row r="372" spans="1:6" x14ac:dyDescent="0.3">
      <c r="A372" s="131"/>
      <c r="B372" s="131"/>
      <c r="C372" s="131"/>
      <c r="D372" s="131"/>
      <c r="E372" s="131"/>
      <c r="F372" s="131"/>
    </row>
    <row r="373" spans="1:6" x14ac:dyDescent="0.3">
      <c r="A373" s="131"/>
      <c r="B373" s="131"/>
      <c r="C373" s="131"/>
      <c r="D373" s="131"/>
      <c r="E373" s="131"/>
      <c r="F373" s="131"/>
    </row>
    <row r="374" spans="1:6" x14ac:dyDescent="0.3">
      <c r="A374" s="131"/>
      <c r="B374" s="131"/>
      <c r="C374" s="131"/>
      <c r="D374" s="131"/>
      <c r="E374" s="131"/>
      <c r="F374" s="131"/>
    </row>
    <row r="375" spans="1:6" x14ac:dyDescent="0.3">
      <c r="A375" s="131"/>
      <c r="B375" s="131"/>
      <c r="C375" s="131"/>
      <c r="D375" s="131"/>
      <c r="E375" s="131"/>
      <c r="F375" s="131"/>
    </row>
    <row r="376" spans="1:6" x14ac:dyDescent="0.3">
      <c r="A376" s="131"/>
      <c r="B376" s="131"/>
      <c r="C376" s="131"/>
      <c r="D376" s="131"/>
      <c r="E376" s="131"/>
      <c r="F376" s="131"/>
    </row>
    <row r="377" spans="1:6" x14ac:dyDescent="0.3">
      <c r="A377" s="131"/>
      <c r="B377" s="131"/>
      <c r="C377" s="131"/>
      <c r="D377" s="131"/>
      <c r="E377" s="131"/>
      <c r="F377" s="131"/>
    </row>
    <row r="378" spans="1:6" x14ac:dyDescent="0.3">
      <c r="A378" s="131"/>
      <c r="B378" s="131"/>
      <c r="C378" s="131"/>
      <c r="D378" s="131"/>
      <c r="E378" s="131"/>
      <c r="F378" s="131"/>
    </row>
    <row r="379" spans="1:6" x14ac:dyDescent="0.3">
      <c r="A379" s="131"/>
      <c r="B379" s="131"/>
      <c r="C379" s="131"/>
      <c r="D379" s="131"/>
      <c r="E379" s="131"/>
      <c r="F379" s="131"/>
    </row>
    <row r="380" spans="1:6" x14ac:dyDescent="0.3">
      <c r="A380" s="131"/>
      <c r="B380" s="131"/>
      <c r="C380" s="131"/>
      <c r="D380" s="131"/>
      <c r="E380" s="131"/>
      <c r="F380" s="131"/>
    </row>
    <row r="381" spans="1:6" x14ac:dyDescent="0.3">
      <c r="A381" s="131"/>
      <c r="B381" s="131"/>
      <c r="C381" s="131"/>
      <c r="D381" s="131"/>
      <c r="E381" s="131"/>
      <c r="F381" s="131"/>
    </row>
    <row r="382" spans="1:6" x14ac:dyDescent="0.3">
      <c r="A382" s="131"/>
      <c r="B382" s="131"/>
      <c r="C382" s="131"/>
      <c r="D382" s="131"/>
      <c r="E382" s="131"/>
      <c r="F382" s="131"/>
    </row>
    <row r="383" spans="1:6" x14ac:dyDescent="0.3">
      <c r="A383" s="131"/>
      <c r="B383" s="131"/>
      <c r="C383" s="131"/>
      <c r="D383" s="131"/>
      <c r="E383" s="131"/>
      <c r="F383" s="131"/>
    </row>
    <row r="384" spans="1:6" x14ac:dyDescent="0.3">
      <c r="A384" s="131"/>
      <c r="B384" s="131"/>
      <c r="C384" s="131"/>
      <c r="D384" s="131"/>
      <c r="E384" s="131"/>
      <c r="F384" s="131"/>
    </row>
    <row r="385" spans="1:6" x14ac:dyDescent="0.3">
      <c r="A385" s="131"/>
      <c r="B385" s="131"/>
      <c r="C385" s="131"/>
      <c r="D385" s="131"/>
      <c r="E385" s="131"/>
      <c r="F385" s="131"/>
    </row>
    <row r="386" spans="1:6" x14ac:dyDescent="0.3">
      <c r="A386" s="131"/>
      <c r="B386" s="131"/>
      <c r="C386" s="131"/>
      <c r="D386" s="131"/>
      <c r="E386" s="131"/>
      <c r="F386" s="131"/>
    </row>
    <row r="387" spans="1:6" x14ac:dyDescent="0.3">
      <c r="A387" s="131"/>
      <c r="B387" s="131"/>
      <c r="C387" s="131"/>
      <c r="D387" s="131"/>
      <c r="E387" s="131"/>
      <c r="F387" s="131"/>
    </row>
    <row r="388" spans="1:6" x14ac:dyDescent="0.3">
      <c r="A388" s="131"/>
      <c r="B388" s="131"/>
      <c r="C388" s="131"/>
      <c r="D388" s="131"/>
      <c r="E388" s="131"/>
      <c r="F388" s="131"/>
    </row>
    <row r="389" spans="1:6" x14ac:dyDescent="0.3">
      <c r="A389" s="131"/>
      <c r="B389" s="131"/>
      <c r="C389" s="131"/>
      <c r="D389" s="131"/>
      <c r="E389" s="131"/>
      <c r="F389" s="131"/>
    </row>
    <row r="390" spans="1:6" x14ac:dyDescent="0.3">
      <c r="A390" s="131"/>
      <c r="B390" s="131"/>
      <c r="C390" s="131"/>
      <c r="D390" s="131"/>
      <c r="E390" s="131"/>
      <c r="F390" s="131"/>
    </row>
    <row r="391" spans="1:6" x14ac:dyDescent="0.3">
      <c r="A391" s="131"/>
      <c r="B391" s="131"/>
      <c r="C391" s="131"/>
      <c r="D391" s="131"/>
      <c r="E391" s="131"/>
      <c r="F391" s="131"/>
    </row>
    <row r="392" spans="1:6" x14ac:dyDescent="0.3">
      <c r="A392" s="131"/>
      <c r="B392" s="131"/>
      <c r="C392" s="131"/>
      <c r="D392" s="131"/>
      <c r="E392" s="131"/>
      <c r="F392" s="131"/>
    </row>
    <row r="393" spans="1:6" x14ac:dyDescent="0.3">
      <c r="A393" s="131"/>
      <c r="B393" s="131"/>
      <c r="C393" s="131"/>
      <c r="D393" s="131"/>
      <c r="E393" s="131"/>
      <c r="F393" s="131"/>
    </row>
    <row r="394" spans="1:6" x14ac:dyDescent="0.3">
      <c r="A394" s="131"/>
      <c r="B394" s="131"/>
      <c r="C394" s="131"/>
      <c r="D394" s="131"/>
      <c r="E394" s="131"/>
      <c r="F394" s="131"/>
    </row>
    <row r="395" spans="1:6" x14ac:dyDescent="0.3">
      <c r="A395" s="131"/>
      <c r="B395" s="131"/>
      <c r="C395" s="131"/>
      <c r="D395" s="131"/>
      <c r="E395" s="131"/>
      <c r="F395" s="131"/>
    </row>
    <row r="396" spans="1:6" x14ac:dyDescent="0.3">
      <c r="A396" s="131"/>
      <c r="B396" s="131"/>
      <c r="C396" s="131"/>
      <c r="D396" s="131"/>
      <c r="E396" s="131"/>
      <c r="F396" s="131"/>
    </row>
    <row r="397" spans="1:6" x14ac:dyDescent="0.3">
      <c r="A397" s="131"/>
      <c r="B397" s="131"/>
      <c r="C397" s="131"/>
      <c r="D397" s="131"/>
      <c r="E397" s="131"/>
      <c r="F397" s="131"/>
    </row>
    <row r="398" spans="1:6" x14ac:dyDescent="0.3">
      <c r="A398" s="131"/>
      <c r="B398" s="131"/>
      <c r="C398" s="131"/>
      <c r="D398" s="131"/>
      <c r="E398" s="131"/>
      <c r="F398" s="131"/>
    </row>
    <row r="399" spans="1:6" x14ac:dyDescent="0.3">
      <c r="A399" s="131"/>
      <c r="B399" s="131"/>
      <c r="C399" s="131"/>
      <c r="D399" s="131"/>
      <c r="E399" s="131"/>
      <c r="F399" s="131"/>
    </row>
    <row r="400" spans="1:6" x14ac:dyDescent="0.3">
      <c r="A400" s="131"/>
      <c r="B400" s="131"/>
      <c r="C400" s="131"/>
      <c r="D400" s="131"/>
      <c r="E400" s="131"/>
      <c r="F400" s="131"/>
    </row>
    <row r="401" spans="1:6" x14ac:dyDescent="0.3">
      <c r="A401" s="131"/>
      <c r="B401" s="131"/>
      <c r="C401" s="131"/>
      <c r="D401" s="131"/>
      <c r="E401" s="131"/>
      <c r="F401" s="131"/>
    </row>
    <row r="402" spans="1:6" x14ac:dyDescent="0.3">
      <c r="A402" s="131"/>
      <c r="B402" s="131"/>
      <c r="C402" s="131"/>
      <c r="D402" s="131"/>
      <c r="E402" s="131"/>
      <c r="F402" s="131"/>
    </row>
    <row r="403" spans="1:6" x14ac:dyDescent="0.3">
      <c r="A403" s="131"/>
      <c r="B403" s="131"/>
      <c r="C403" s="131"/>
      <c r="D403" s="131"/>
      <c r="E403" s="131"/>
      <c r="F403" s="131"/>
    </row>
    <row r="404" spans="1:6" x14ac:dyDescent="0.3">
      <c r="A404" s="131"/>
      <c r="B404" s="131"/>
      <c r="C404" s="131"/>
      <c r="D404" s="131"/>
      <c r="E404" s="131"/>
      <c r="F404" s="131"/>
    </row>
    <row r="405" spans="1:6" x14ac:dyDescent="0.3">
      <c r="A405" s="131"/>
      <c r="B405" s="131"/>
      <c r="C405" s="131"/>
      <c r="D405" s="131"/>
      <c r="E405" s="131"/>
      <c r="F405" s="131"/>
    </row>
    <row r="406" spans="1:6" x14ac:dyDescent="0.3">
      <c r="A406" s="131"/>
      <c r="B406" s="131"/>
      <c r="C406" s="131"/>
      <c r="D406" s="131"/>
      <c r="E406" s="131"/>
      <c r="F406" s="131"/>
    </row>
    <row r="407" spans="1:6" x14ac:dyDescent="0.3">
      <c r="A407" s="131"/>
      <c r="B407" s="131"/>
      <c r="C407" s="131"/>
      <c r="D407" s="131"/>
      <c r="E407" s="131"/>
      <c r="F407" s="131"/>
    </row>
    <row r="408" spans="1:6" x14ac:dyDescent="0.3">
      <c r="A408" s="131"/>
      <c r="B408" s="131"/>
      <c r="C408" s="131"/>
      <c r="D408" s="131"/>
      <c r="E408" s="131"/>
      <c r="F408" s="131"/>
    </row>
    <row r="409" spans="1:6" x14ac:dyDescent="0.3">
      <c r="A409" s="131"/>
      <c r="B409" s="131"/>
      <c r="C409" s="131"/>
      <c r="D409" s="131"/>
      <c r="E409" s="131"/>
      <c r="F409" s="131"/>
    </row>
    <row r="410" spans="1:6" x14ac:dyDescent="0.3">
      <c r="A410" s="131"/>
      <c r="B410" s="131"/>
      <c r="C410" s="131"/>
      <c r="D410" s="131"/>
      <c r="E410" s="131"/>
      <c r="F410" s="131"/>
    </row>
    <row r="411" spans="1:6" x14ac:dyDescent="0.3">
      <c r="A411" s="131"/>
      <c r="B411" s="131"/>
      <c r="C411" s="131"/>
      <c r="D411" s="131"/>
      <c r="E411" s="131"/>
      <c r="F411" s="131"/>
    </row>
    <row r="412" spans="1:6" x14ac:dyDescent="0.3">
      <c r="A412" s="131"/>
      <c r="B412" s="131"/>
      <c r="C412" s="131"/>
      <c r="D412" s="131"/>
      <c r="E412" s="131"/>
      <c r="F412" s="131"/>
    </row>
    <row r="413" spans="1:6" x14ac:dyDescent="0.3">
      <c r="A413" s="131"/>
      <c r="B413" s="131"/>
      <c r="C413" s="131"/>
      <c r="D413" s="131"/>
      <c r="E413" s="131"/>
      <c r="F413" s="131"/>
    </row>
    <row r="414" spans="1:6" x14ac:dyDescent="0.3">
      <c r="A414" s="131"/>
      <c r="B414" s="131"/>
      <c r="C414" s="131"/>
      <c r="D414" s="131"/>
      <c r="E414" s="131"/>
      <c r="F414" s="131"/>
    </row>
    <row r="415" spans="1:6" x14ac:dyDescent="0.3">
      <c r="A415" s="131"/>
      <c r="B415" s="131"/>
      <c r="C415" s="131"/>
      <c r="D415" s="131"/>
      <c r="E415" s="131"/>
      <c r="F415" s="131"/>
    </row>
    <row r="416" spans="1:6" x14ac:dyDescent="0.3">
      <c r="A416" s="131"/>
      <c r="B416" s="131"/>
      <c r="C416" s="131"/>
      <c r="D416" s="131"/>
      <c r="E416" s="131"/>
      <c r="F416" s="131"/>
    </row>
    <row r="417" spans="1:6" x14ac:dyDescent="0.3">
      <c r="A417" s="131"/>
      <c r="B417" s="131"/>
      <c r="C417" s="131"/>
      <c r="D417" s="131"/>
      <c r="E417" s="131"/>
      <c r="F417" s="131"/>
    </row>
    <row r="418" spans="1:6" x14ac:dyDescent="0.3">
      <c r="A418" s="131"/>
      <c r="B418" s="131"/>
      <c r="C418" s="131"/>
      <c r="D418" s="131"/>
      <c r="E418" s="131"/>
      <c r="F418" s="131"/>
    </row>
    <row r="419" spans="1:6" x14ac:dyDescent="0.3">
      <c r="A419" s="131"/>
      <c r="B419" s="131"/>
      <c r="C419" s="131"/>
      <c r="D419" s="131"/>
      <c r="E419" s="131"/>
      <c r="F419" s="131"/>
    </row>
    <row r="420" spans="1:6" x14ac:dyDescent="0.3">
      <c r="A420" s="131"/>
      <c r="B420" s="131"/>
      <c r="C420" s="131"/>
      <c r="D420" s="131"/>
      <c r="E420" s="131"/>
      <c r="F420" s="131"/>
    </row>
    <row r="421" spans="1:6" x14ac:dyDescent="0.3">
      <c r="A421" s="131"/>
      <c r="B421" s="131"/>
      <c r="C421" s="131"/>
      <c r="D421" s="131"/>
      <c r="E421" s="131"/>
      <c r="F421" s="131"/>
    </row>
    <row r="422" spans="1:6" x14ac:dyDescent="0.3">
      <c r="A422" s="131"/>
      <c r="B422" s="131"/>
      <c r="C422" s="131"/>
      <c r="D422" s="131"/>
      <c r="E422" s="131"/>
      <c r="F422" s="131"/>
    </row>
    <row r="423" spans="1:6" x14ac:dyDescent="0.3">
      <c r="A423" s="131"/>
      <c r="B423" s="131"/>
      <c r="C423" s="131"/>
      <c r="D423" s="131"/>
      <c r="E423" s="131"/>
      <c r="F423" s="131"/>
    </row>
    <row r="424" spans="1:6" x14ac:dyDescent="0.3">
      <c r="A424" s="131"/>
      <c r="B424" s="131"/>
      <c r="C424" s="131"/>
      <c r="D424" s="131"/>
      <c r="E424" s="131"/>
      <c r="F424" s="131"/>
    </row>
    <row r="425" spans="1:6" x14ac:dyDescent="0.3">
      <c r="A425" s="131"/>
      <c r="B425" s="131"/>
      <c r="C425" s="131"/>
      <c r="D425" s="131"/>
      <c r="E425" s="131"/>
      <c r="F425" s="131"/>
    </row>
    <row r="426" spans="1:6" x14ac:dyDescent="0.3">
      <c r="A426" s="131"/>
      <c r="B426" s="131"/>
      <c r="C426" s="131"/>
      <c r="D426" s="131"/>
      <c r="E426" s="131"/>
      <c r="F426" s="131"/>
    </row>
    <row r="427" spans="1:6" x14ac:dyDescent="0.3">
      <c r="A427" s="131"/>
      <c r="B427" s="131"/>
      <c r="C427" s="131"/>
      <c r="D427" s="131"/>
      <c r="E427" s="131"/>
      <c r="F427" s="131"/>
    </row>
    <row r="428" spans="1:6" x14ac:dyDescent="0.3">
      <c r="A428" s="131"/>
      <c r="B428" s="131"/>
      <c r="C428" s="131"/>
      <c r="D428" s="131"/>
      <c r="E428" s="131"/>
      <c r="F428" s="131"/>
    </row>
    <row r="429" spans="1:6" x14ac:dyDescent="0.3">
      <c r="A429" s="131"/>
      <c r="B429" s="131"/>
      <c r="C429" s="131"/>
      <c r="D429" s="131"/>
      <c r="E429" s="131"/>
      <c r="F429" s="131"/>
    </row>
    <row r="430" spans="1:6" x14ac:dyDescent="0.3">
      <c r="A430" s="131"/>
      <c r="B430" s="131"/>
      <c r="C430" s="131"/>
      <c r="D430" s="131"/>
      <c r="E430" s="131"/>
      <c r="F430" s="131"/>
    </row>
    <row r="431" spans="1:6" x14ac:dyDescent="0.3">
      <c r="A431" s="131"/>
      <c r="B431" s="131"/>
      <c r="C431" s="131"/>
      <c r="D431" s="131"/>
      <c r="E431" s="131"/>
      <c r="F431" s="131"/>
    </row>
    <row r="432" spans="1:6" x14ac:dyDescent="0.3">
      <c r="A432" s="131"/>
      <c r="B432" s="131"/>
      <c r="C432" s="131"/>
      <c r="D432" s="131"/>
      <c r="E432" s="131"/>
      <c r="F432" s="131"/>
    </row>
    <row r="433" spans="1:6" x14ac:dyDescent="0.3">
      <c r="A433" s="131"/>
      <c r="B433" s="131"/>
      <c r="C433" s="131"/>
      <c r="D433" s="131"/>
      <c r="E433" s="131"/>
      <c r="F433" s="131"/>
    </row>
    <row r="434" spans="1:6" x14ac:dyDescent="0.3">
      <c r="A434" s="131"/>
      <c r="B434" s="131"/>
      <c r="C434" s="131"/>
      <c r="D434" s="131"/>
      <c r="E434" s="131"/>
      <c r="F434" s="131"/>
    </row>
    <row r="435" spans="1:6" x14ac:dyDescent="0.3">
      <c r="A435" s="131"/>
      <c r="B435" s="131"/>
      <c r="C435" s="131"/>
      <c r="D435" s="131"/>
      <c r="E435" s="131"/>
      <c r="F435" s="131"/>
    </row>
    <row r="436" spans="1:6" x14ac:dyDescent="0.3">
      <c r="A436" s="131"/>
      <c r="B436" s="131"/>
      <c r="C436" s="131"/>
      <c r="D436" s="131"/>
      <c r="E436" s="131"/>
      <c r="F436" s="131"/>
    </row>
    <row r="437" spans="1:6" x14ac:dyDescent="0.3">
      <c r="A437" s="131"/>
      <c r="B437" s="131"/>
      <c r="C437" s="131"/>
      <c r="D437" s="131"/>
      <c r="E437" s="131"/>
      <c r="F437" s="131"/>
    </row>
    <row r="438" spans="1:6" x14ac:dyDescent="0.3">
      <c r="A438" s="131"/>
      <c r="B438" s="131"/>
      <c r="C438" s="131"/>
      <c r="D438" s="131"/>
      <c r="E438" s="131"/>
      <c r="F438" s="131"/>
    </row>
    <row r="439" spans="1:6" x14ac:dyDescent="0.3">
      <c r="A439" s="131"/>
      <c r="B439" s="131"/>
      <c r="C439" s="131"/>
      <c r="D439" s="131"/>
      <c r="E439" s="131"/>
      <c r="F439" s="131"/>
    </row>
    <row r="440" spans="1:6" x14ac:dyDescent="0.3">
      <c r="A440" s="131"/>
      <c r="B440" s="131"/>
      <c r="C440" s="131"/>
      <c r="D440" s="131"/>
      <c r="E440" s="131"/>
      <c r="F440" s="131"/>
    </row>
    <row r="441" spans="1:6" x14ac:dyDescent="0.3">
      <c r="A441" s="131"/>
      <c r="B441" s="131"/>
      <c r="C441" s="131"/>
      <c r="D441" s="131"/>
      <c r="E441" s="131"/>
      <c r="F441" s="131"/>
    </row>
    <row r="442" spans="1:6" x14ac:dyDescent="0.3">
      <c r="A442" s="131"/>
      <c r="B442" s="131"/>
      <c r="C442" s="131"/>
      <c r="D442" s="131"/>
      <c r="E442" s="131"/>
      <c r="F442" s="131"/>
    </row>
    <row r="443" spans="1:6" x14ac:dyDescent="0.3">
      <c r="A443" s="131"/>
      <c r="B443" s="131"/>
      <c r="C443" s="131"/>
      <c r="D443" s="131"/>
      <c r="E443" s="131"/>
      <c r="F443" s="131"/>
    </row>
    <row r="444" spans="1:6" x14ac:dyDescent="0.3">
      <c r="A444" s="131"/>
      <c r="B444" s="131"/>
      <c r="C444" s="131"/>
      <c r="D444" s="131"/>
      <c r="E444" s="131"/>
      <c r="F444" s="131"/>
    </row>
    <row r="445" spans="1:6" x14ac:dyDescent="0.3">
      <c r="A445" s="131"/>
      <c r="B445" s="131"/>
      <c r="C445" s="131"/>
      <c r="D445" s="131"/>
      <c r="E445" s="131"/>
      <c r="F445" s="131"/>
    </row>
    <row r="446" spans="1:6" x14ac:dyDescent="0.3">
      <c r="A446" s="131"/>
      <c r="B446" s="131"/>
      <c r="C446" s="131"/>
      <c r="D446" s="131"/>
      <c r="E446" s="131"/>
      <c r="F446" s="131"/>
    </row>
    <row r="447" spans="1:6" x14ac:dyDescent="0.3">
      <c r="A447" s="131"/>
      <c r="B447" s="131"/>
      <c r="C447" s="131"/>
      <c r="D447" s="131"/>
      <c r="E447" s="131"/>
      <c r="F447" s="131"/>
    </row>
    <row r="448" spans="1:6" x14ac:dyDescent="0.3">
      <c r="A448" s="131"/>
      <c r="B448" s="131"/>
      <c r="C448" s="131"/>
      <c r="D448" s="131"/>
      <c r="E448" s="131"/>
      <c r="F448" s="131"/>
    </row>
    <row r="449" spans="1:6" x14ac:dyDescent="0.3">
      <c r="A449" s="131"/>
      <c r="B449" s="131"/>
      <c r="C449" s="131"/>
      <c r="D449" s="131"/>
      <c r="E449" s="131"/>
      <c r="F449" s="131"/>
    </row>
    <row r="450" spans="1:6" x14ac:dyDescent="0.3">
      <c r="A450" s="131"/>
      <c r="B450" s="131"/>
      <c r="C450" s="131"/>
      <c r="D450" s="131"/>
      <c r="E450" s="131"/>
      <c r="F450" s="131"/>
    </row>
    <row r="451" spans="1:6" x14ac:dyDescent="0.3">
      <c r="A451" s="131"/>
      <c r="B451" s="131"/>
      <c r="C451" s="131"/>
      <c r="D451" s="131"/>
      <c r="E451" s="131"/>
      <c r="F451" s="131"/>
    </row>
    <row r="452" spans="1:6" x14ac:dyDescent="0.3">
      <c r="A452" s="131"/>
      <c r="B452" s="131"/>
      <c r="C452" s="131"/>
      <c r="D452" s="131"/>
      <c r="E452" s="131"/>
      <c r="F452" s="131"/>
    </row>
    <row r="453" spans="1:6" x14ac:dyDescent="0.3">
      <c r="A453" s="131"/>
      <c r="B453" s="131"/>
      <c r="C453" s="131"/>
      <c r="D453" s="131"/>
      <c r="E453" s="131"/>
      <c r="F453" s="131"/>
    </row>
    <row r="454" spans="1:6" x14ac:dyDescent="0.3">
      <c r="A454" s="131"/>
      <c r="B454" s="131"/>
      <c r="C454" s="131"/>
      <c r="D454" s="131"/>
      <c r="E454" s="131"/>
      <c r="F454" s="131"/>
    </row>
    <row r="455" spans="1:6" x14ac:dyDescent="0.3">
      <c r="A455" s="131"/>
      <c r="B455" s="131"/>
      <c r="C455" s="131"/>
      <c r="D455" s="131"/>
      <c r="E455" s="131"/>
      <c r="F455" s="131"/>
    </row>
    <row r="456" spans="1:6" x14ac:dyDescent="0.3">
      <c r="A456" s="131"/>
      <c r="B456" s="131"/>
      <c r="C456" s="131"/>
      <c r="D456" s="131"/>
      <c r="E456" s="131"/>
      <c r="F456" s="131"/>
    </row>
    <row r="457" spans="1:6" x14ac:dyDescent="0.3">
      <c r="A457" s="131"/>
      <c r="B457" s="131"/>
      <c r="C457" s="131"/>
      <c r="D457" s="131"/>
      <c r="E457" s="131"/>
      <c r="F457" s="131"/>
    </row>
    <row r="458" spans="1:6" x14ac:dyDescent="0.3">
      <c r="A458" s="131"/>
      <c r="B458" s="131"/>
      <c r="C458" s="131"/>
      <c r="D458" s="131"/>
      <c r="E458" s="131"/>
      <c r="F458" s="131"/>
    </row>
    <row r="459" spans="1:6" x14ac:dyDescent="0.3">
      <c r="A459" s="131"/>
      <c r="B459" s="131"/>
      <c r="C459" s="131"/>
      <c r="D459" s="131"/>
      <c r="E459" s="131"/>
      <c r="F459" s="131"/>
    </row>
    <row r="460" spans="1:6" x14ac:dyDescent="0.3">
      <c r="A460" s="131"/>
      <c r="B460" s="131"/>
      <c r="C460" s="131"/>
      <c r="D460" s="131"/>
      <c r="E460" s="131"/>
      <c r="F460" s="131"/>
    </row>
    <row r="461" spans="1:6" x14ac:dyDescent="0.3">
      <c r="A461" s="131"/>
      <c r="B461" s="131"/>
      <c r="C461" s="131"/>
      <c r="D461" s="131"/>
      <c r="E461" s="131"/>
      <c r="F461" s="131"/>
    </row>
    <row r="462" spans="1:6" x14ac:dyDescent="0.3">
      <c r="A462" s="131"/>
      <c r="B462" s="131"/>
      <c r="C462" s="131"/>
      <c r="D462" s="131"/>
      <c r="E462" s="131"/>
      <c r="F462" s="131"/>
    </row>
    <row r="463" spans="1:6" x14ac:dyDescent="0.3">
      <c r="A463" s="131"/>
      <c r="B463" s="131"/>
      <c r="C463" s="131"/>
      <c r="D463" s="131"/>
      <c r="E463" s="131"/>
      <c r="F463" s="131"/>
    </row>
    <row r="464" spans="1:6" x14ac:dyDescent="0.3">
      <c r="A464" s="131"/>
      <c r="B464" s="131"/>
      <c r="C464" s="131"/>
      <c r="D464" s="131"/>
      <c r="E464" s="131"/>
      <c r="F464" s="131"/>
    </row>
    <row r="465" spans="1:6" x14ac:dyDescent="0.3">
      <c r="A465" s="131"/>
      <c r="B465" s="131"/>
      <c r="C465" s="131"/>
      <c r="D465" s="131"/>
      <c r="E465" s="131"/>
      <c r="F465" s="131"/>
    </row>
    <row r="466" spans="1:6" x14ac:dyDescent="0.3">
      <c r="A466" s="131"/>
      <c r="B466" s="131"/>
      <c r="C466" s="131"/>
      <c r="D466" s="131"/>
      <c r="E466" s="131"/>
      <c r="F466" s="131"/>
    </row>
    <row r="467" spans="1:6" x14ac:dyDescent="0.3">
      <c r="A467" s="131"/>
      <c r="B467" s="131"/>
      <c r="C467" s="131"/>
      <c r="D467" s="131"/>
      <c r="E467" s="131"/>
      <c r="F467" s="131"/>
    </row>
    <row r="468" spans="1:6" x14ac:dyDescent="0.3">
      <c r="A468" s="131"/>
      <c r="B468" s="131"/>
      <c r="C468" s="131"/>
      <c r="D468" s="131"/>
      <c r="E468" s="131"/>
      <c r="F468" s="131"/>
    </row>
    <row r="469" spans="1:6" x14ac:dyDescent="0.3">
      <c r="A469" s="131"/>
      <c r="B469" s="131"/>
      <c r="C469" s="131"/>
      <c r="D469" s="131"/>
      <c r="E469" s="131"/>
      <c r="F469" s="131"/>
    </row>
    <row r="470" spans="1:6" x14ac:dyDescent="0.3">
      <c r="A470" s="131"/>
      <c r="B470" s="131"/>
      <c r="C470" s="131"/>
      <c r="D470" s="131"/>
      <c r="E470" s="131"/>
      <c r="F470" s="131"/>
    </row>
    <row r="471" spans="1:6" x14ac:dyDescent="0.3">
      <c r="A471" s="131"/>
      <c r="B471" s="131"/>
      <c r="C471" s="131"/>
      <c r="D471" s="131"/>
      <c r="E471" s="131"/>
      <c r="F471" s="131"/>
    </row>
    <row r="472" spans="1:6" x14ac:dyDescent="0.3">
      <c r="A472" s="131"/>
      <c r="B472" s="131"/>
      <c r="C472" s="131"/>
      <c r="D472" s="131"/>
      <c r="E472" s="131"/>
      <c r="F472" s="131"/>
    </row>
    <row r="473" spans="1:6" x14ac:dyDescent="0.3">
      <c r="A473" s="131"/>
      <c r="B473" s="131"/>
      <c r="C473" s="131"/>
      <c r="D473" s="131"/>
      <c r="E473" s="131"/>
      <c r="F473" s="131"/>
    </row>
    <row r="474" spans="1:6" x14ac:dyDescent="0.3">
      <c r="A474" s="131"/>
      <c r="B474" s="131"/>
      <c r="C474" s="131"/>
      <c r="D474" s="131"/>
      <c r="E474" s="131"/>
      <c r="F474" s="131"/>
    </row>
    <row r="475" spans="1:6" x14ac:dyDescent="0.3">
      <c r="A475" s="131"/>
      <c r="B475" s="131"/>
      <c r="C475" s="131"/>
      <c r="D475" s="131"/>
      <c r="E475" s="131"/>
      <c r="F475" s="131"/>
    </row>
    <row r="476" spans="1:6" x14ac:dyDescent="0.3">
      <c r="A476" s="131"/>
      <c r="B476" s="131"/>
      <c r="C476" s="131"/>
      <c r="D476" s="131"/>
      <c r="E476" s="131"/>
      <c r="F476" s="131"/>
    </row>
    <row r="477" spans="1:6" x14ac:dyDescent="0.3">
      <c r="A477" s="131"/>
      <c r="B477" s="131"/>
      <c r="C477" s="131"/>
      <c r="D477" s="131"/>
      <c r="E477" s="131"/>
      <c r="F477" s="131"/>
    </row>
    <row r="478" spans="1:6" x14ac:dyDescent="0.3">
      <c r="A478" s="131"/>
      <c r="B478" s="131"/>
      <c r="C478" s="131"/>
      <c r="D478" s="131"/>
      <c r="E478" s="131"/>
      <c r="F478" s="131"/>
    </row>
    <row r="479" spans="1:6" x14ac:dyDescent="0.3">
      <c r="A479" s="131"/>
      <c r="B479" s="131"/>
      <c r="C479" s="131"/>
      <c r="D479" s="131"/>
      <c r="E479" s="131"/>
      <c r="F479" s="131"/>
    </row>
    <row r="480" spans="1:6" x14ac:dyDescent="0.3">
      <c r="A480" s="131"/>
      <c r="B480" s="131"/>
      <c r="C480" s="131"/>
      <c r="D480" s="131"/>
      <c r="E480" s="131"/>
      <c r="F480" s="131"/>
    </row>
    <row r="481" spans="1:6" x14ac:dyDescent="0.3">
      <c r="A481" s="131"/>
      <c r="B481" s="131"/>
      <c r="C481" s="131"/>
      <c r="D481" s="131"/>
      <c r="E481" s="131"/>
      <c r="F481" s="131"/>
    </row>
    <row r="482" spans="1:6" x14ac:dyDescent="0.3">
      <c r="A482" s="131"/>
      <c r="B482" s="131"/>
      <c r="C482" s="131"/>
      <c r="D482" s="131"/>
      <c r="E482" s="131"/>
      <c r="F482" s="131"/>
    </row>
    <row r="483" spans="1:6" x14ac:dyDescent="0.3">
      <c r="A483" s="131"/>
      <c r="B483" s="131"/>
      <c r="C483" s="131"/>
      <c r="D483" s="131"/>
      <c r="E483" s="131"/>
      <c r="F483" s="131"/>
    </row>
    <row r="484" spans="1:6" x14ac:dyDescent="0.3">
      <c r="A484" s="131"/>
      <c r="B484" s="131"/>
      <c r="C484" s="131"/>
      <c r="D484" s="131"/>
      <c r="E484" s="131"/>
      <c r="F484" s="131"/>
    </row>
    <row r="485" spans="1:6" x14ac:dyDescent="0.3">
      <c r="A485" s="131"/>
      <c r="B485" s="131"/>
      <c r="C485" s="131"/>
      <c r="D485" s="131"/>
      <c r="E485" s="131"/>
      <c r="F485" s="131"/>
    </row>
    <row r="486" spans="1:6" x14ac:dyDescent="0.3">
      <c r="A486" s="131"/>
      <c r="B486" s="131"/>
      <c r="C486" s="131"/>
      <c r="D486" s="131"/>
      <c r="E486" s="131"/>
      <c r="F486" s="131"/>
    </row>
    <row r="487" spans="1:6" x14ac:dyDescent="0.3">
      <c r="A487" s="131"/>
      <c r="B487" s="131"/>
      <c r="C487" s="131"/>
      <c r="D487" s="131"/>
      <c r="E487" s="131"/>
      <c r="F487" s="131"/>
    </row>
    <row r="488" spans="1:6" x14ac:dyDescent="0.3">
      <c r="A488" s="131"/>
      <c r="B488" s="131"/>
      <c r="C488" s="131"/>
      <c r="D488" s="131"/>
      <c r="E488" s="131"/>
      <c r="F488" s="131"/>
    </row>
    <row r="489" spans="1:6" x14ac:dyDescent="0.3">
      <c r="A489" s="131"/>
      <c r="B489" s="131"/>
      <c r="C489" s="131"/>
      <c r="D489" s="131"/>
      <c r="E489" s="131"/>
      <c r="F489" s="131"/>
    </row>
    <row r="490" spans="1:6" x14ac:dyDescent="0.3">
      <c r="A490" s="131"/>
      <c r="B490" s="131"/>
      <c r="C490" s="131"/>
      <c r="D490" s="131"/>
      <c r="E490" s="131"/>
      <c r="F490" s="131"/>
    </row>
    <row r="491" spans="1:6" x14ac:dyDescent="0.3">
      <c r="A491" s="131"/>
      <c r="B491" s="131"/>
      <c r="C491" s="131"/>
      <c r="D491" s="131"/>
      <c r="E491" s="131"/>
      <c r="F491" s="131"/>
    </row>
    <row r="492" spans="1:6" x14ac:dyDescent="0.3">
      <c r="A492" s="131"/>
      <c r="B492" s="131"/>
      <c r="C492" s="131"/>
      <c r="D492" s="131"/>
      <c r="E492" s="131"/>
      <c r="F492" s="131"/>
    </row>
    <row r="493" spans="1:6" x14ac:dyDescent="0.3">
      <c r="A493" s="131"/>
      <c r="B493" s="131"/>
      <c r="C493" s="131"/>
      <c r="D493" s="131"/>
      <c r="E493" s="131"/>
      <c r="F493" s="131"/>
    </row>
    <row r="494" spans="1:6" x14ac:dyDescent="0.3">
      <c r="A494" s="131"/>
      <c r="B494" s="131"/>
      <c r="C494" s="131"/>
      <c r="D494" s="131"/>
      <c r="E494" s="131"/>
      <c r="F494" s="131"/>
    </row>
    <row r="495" spans="1:6" x14ac:dyDescent="0.3">
      <c r="A495" s="131"/>
      <c r="B495" s="131"/>
      <c r="C495" s="131"/>
      <c r="D495" s="131"/>
      <c r="E495" s="131"/>
      <c r="F495" s="131"/>
    </row>
    <row r="496" spans="1:6" x14ac:dyDescent="0.3">
      <c r="A496" s="131"/>
      <c r="B496" s="131"/>
      <c r="C496" s="131"/>
      <c r="D496" s="131"/>
      <c r="E496" s="131"/>
      <c r="F496" s="131"/>
    </row>
    <row r="497" spans="1:6" x14ac:dyDescent="0.3">
      <c r="A497" s="131"/>
      <c r="B497" s="131"/>
      <c r="C497" s="131"/>
      <c r="D497" s="131"/>
      <c r="E497" s="131"/>
      <c r="F497" s="131"/>
    </row>
    <row r="498" spans="1:6" x14ac:dyDescent="0.3">
      <c r="A498" s="131"/>
      <c r="B498" s="131"/>
      <c r="C498" s="131"/>
      <c r="D498" s="131"/>
      <c r="E498" s="131"/>
      <c r="F498" s="131"/>
    </row>
    <row r="499" spans="1:6" x14ac:dyDescent="0.3">
      <c r="A499" s="131"/>
      <c r="B499" s="131"/>
      <c r="C499" s="131"/>
      <c r="D499" s="131"/>
      <c r="E499" s="131"/>
      <c r="F499" s="131"/>
    </row>
    <row r="500" spans="1:6" x14ac:dyDescent="0.3">
      <c r="A500" s="131"/>
      <c r="B500" s="131"/>
      <c r="C500" s="131"/>
      <c r="D500" s="131"/>
      <c r="E500" s="131"/>
      <c r="F500" s="131"/>
    </row>
    <row r="501" spans="1:6" x14ac:dyDescent="0.3">
      <c r="A501" s="131"/>
      <c r="B501" s="131"/>
      <c r="C501" s="131"/>
      <c r="D501" s="131"/>
      <c r="E501" s="131"/>
      <c r="F501" s="131"/>
    </row>
    <row r="502" spans="1:6" x14ac:dyDescent="0.3">
      <c r="A502" s="131"/>
      <c r="B502" s="131"/>
      <c r="C502" s="131"/>
      <c r="D502" s="131"/>
      <c r="E502" s="131"/>
      <c r="F502" s="131"/>
    </row>
    <row r="503" spans="1:6" x14ac:dyDescent="0.3">
      <c r="A503" s="131"/>
      <c r="B503" s="131"/>
      <c r="C503" s="131"/>
      <c r="D503" s="131"/>
      <c r="E503" s="131"/>
      <c r="F503" s="131"/>
    </row>
    <row r="504" spans="1:6" x14ac:dyDescent="0.3">
      <c r="A504" s="131"/>
      <c r="B504" s="131"/>
      <c r="C504" s="131"/>
      <c r="D504" s="131"/>
      <c r="E504" s="131"/>
      <c r="F504" s="131"/>
    </row>
    <row r="505" spans="1:6" x14ac:dyDescent="0.3">
      <c r="A505" s="131"/>
      <c r="B505" s="131"/>
      <c r="C505" s="131"/>
      <c r="D505" s="131"/>
      <c r="E505" s="131"/>
      <c r="F505" s="131"/>
    </row>
    <row r="506" spans="1:6" x14ac:dyDescent="0.3">
      <c r="A506" s="131"/>
      <c r="B506" s="131"/>
      <c r="C506" s="131"/>
      <c r="D506" s="131"/>
      <c r="E506" s="131"/>
      <c r="F506" s="131"/>
    </row>
    <row r="507" spans="1:6" x14ac:dyDescent="0.3">
      <c r="A507" s="131"/>
      <c r="B507" s="131"/>
      <c r="C507" s="131"/>
      <c r="D507" s="131"/>
      <c r="E507" s="131"/>
      <c r="F507" s="131"/>
    </row>
    <row r="508" spans="1:6" x14ac:dyDescent="0.3">
      <c r="A508" s="131"/>
      <c r="B508" s="131"/>
      <c r="C508" s="131"/>
      <c r="D508" s="131"/>
      <c r="E508" s="131"/>
      <c r="F508" s="131"/>
    </row>
    <row r="509" spans="1:6" x14ac:dyDescent="0.3">
      <c r="A509" s="131"/>
      <c r="B509" s="131"/>
      <c r="C509" s="131"/>
      <c r="D509" s="131"/>
      <c r="E509" s="131"/>
      <c r="F509" s="131"/>
    </row>
    <row r="510" spans="1:6" x14ac:dyDescent="0.3">
      <c r="A510" s="131"/>
      <c r="B510" s="131"/>
      <c r="C510" s="131"/>
      <c r="D510" s="131"/>
      <c r="E510" s="131"/>
      <c r="F510" s="131"/>
    </row>
    <row r="511" spans="1:6" x14ac:dyDescent="0.3">
      <c r="A511" s="131"/>
      <c r="B511" s="131"/>
      <c r="C511" s="131"/>
      <c r="D511" s="131"/>
      <c r="E511" s="131"/>
      <c r="F511" s="131"/>
    </row>
    <row r="512" spans="1:6" x14ac:dyDescent="0.3">
      <c r="A512" s="131"/>
      <c r="B512" s="131"/>
      <c r="C512" s="131"/>
      <c r="D512" s="131"/>
      <c r="E512" s="131"/>
      <c r="F512" s="131"/>
    </row>
    <row r="513" spans="1:6" x14ac:dyDescent="0.3">
      <c r="A513" s="131"/>
      <c r="B513" s="131"/>
      <c r="C513" s="131"/>
      <c r="D513" s="131"/>
      <c r="E513" s="131"/>
      <c r="F513" s="131"/>
    </row>
    <row r="514" spans="1:6" x14ac:dyDescent="0.3">
      <c r="A514" s="131"/>
      <c r="B514" s="131"/>
      <c r="C514" s="131"/>
      <c r="D514" s="131"/>
      <c r="E514" s="131"/>
      <c r="F514" s="131"/>
    </row>
    <row r="515" spans="1:6" x14ac:dyDescent="0.3">
      <c r="A515" s="131"/>
      <c r="B515" s="131"/>
      <c r="C515" s="131"/>
      <c r="D515" s="131"/>
      <c r="E515" s="131"/>
      <c r="F515" s="131"/>
    </row>
    <row r="516" spans="1:6" x14ac:dyDescent="0.3">
      <c r="A516" s="131"/>
      <c r="B516" s="131"/>
      <c r="C516" s="131"/>
      <c r="D516" s="131"/>
      <c r="E516" s="131"/>
      <c r="F516" s="131"/>
    </row>
    <row r="517" spans="1:6" x14ac:dyDescent="0.3">
      <c r="A517" s="131"/>
      <c r="B517" s="131"/>
      <c r="C517" s="131"/>
      <c r="D517" s="131"/>
      <c r="E517" s="131"/>
      <c r="F517" s="131"/>
    </row>
    <row r="518" spans="1:6" x14ac:dyDescent="0.3">
      <c r="A518" s="131"/>
      <c r="B518" s="131"/>
      <c r="C518" s="131"/>
      <c r="D518" s="131"/>
      <c r="E518" s="131"/>
      <c r="F518" s="131"/>
    </row>
    <row r="519" spans="1:6" x14ac:dyDescent="0.3">
      <c r="A519" s="131"/>
      <c r="B519" s="131"/>
      <c r="C519" s="131"/>
      <c r="D519" s="131"/>
      <c r="E519" s="131"/>
      <c r="F519" s="131"/>
    </row>
    <row r="520" spans="1:6" x14ac:dyDescent="0.3">
      <c r="A520" s="131"/>
      <c r="B520" s="131"/>
      <c r="C520" s="131"/>
      <c r="D520" s="131"/>
      <c r="E520" s="131"/>
      <c r="F520" s="131"/>
    </row>
    <row r="521" spans="1:6" x14ac:dyDescent="0.3">
      <c r="A521" s="131"/>
      <c r="B521" s="131"/>
      <c r="C521" s="131"/>
      <c r="D521" s="131"/>
      <c r="E521" s="131"/>
      <c r="F521" s="131"/>
    </row>
    <row r="522" spans="1:6" x14ac:dyDescent="0.3">
      <c r="A522" s="131"/>
      <c r="B522" s="131"/>
      <c r="C522" s="131"/>
      <c r="D522" s="131"/>
      <c r="E522" s="131"/>
      <c r="F522" s="131"/>
    </row>
    <row r="523" spans="1:6" x14ac:dyDescent="0.3">
      <c r="A523" s="131"/>
      <c r="B523" s="131"/>
      <c r="C523" s="131"/>
      <c r="D523" s="131"/>
      <c r="E523" s="131"/>
      <c r="F523" s="131"/>
    </row>
    <row r="524" spans="1:6" x14ac:dyDescent="0.3">
      <c r="A524" s="131"/>
      <c r="B524" s="131"/>
      <c r="C524" s="131"/>
      <c r="D524" s="131"/>
      <c r="E524" s="131"/>
      <c r="F524" s="131"/>
    </row>
    <row r="525" spans="1:6" x14ac:dyDescent="0.3">
      <c r="A525" s="131"/>
      <c r="B525" s="131"/>
      <c r="C525" s="131"/>
      <c r="D525" s="131"/>
      <c r="E525" s="131"/>
      <c r="F525" s="131"/>
    </row>
    <row r="526" spans="1:6" x14ac:dyDescent="0.3">
      <c r="A526" s="131"/>
      <c r="B526" s="131"/>
      <c r="C526" s="131"/>
      <c r="D526" s="131"/>
      <c r="E526" s="131"/>
      <c r="F526" s="131"/>
    </row>
    <row r="527" spans="1:6" x14ac:dyDescent="0.3">
      <c r="A527" s="131"/>
      <c r="B527" s="131"/>
      <c r="C527" s="131"/>
      <c r="D527" s="131"/>
      <c r="E527" s="131"/>
      <c r="F527" s="131"/>
    </row>
    <row r="528" spans="1:6" x14ac:dyDescent="0.3">
      <c r="A528" s="131"/>
      <c r="B528" s="131"/>
      <c r="C528" s="131"/>
      <c r="D528" s="131"/>
      <c r="E528" s="131"/>
      <c r="F528" s="131"/>
    </row>
    <row r="529" spans="1:6" x14ac:dyDescent="0.3">
      <c r="A529" s="131"/>
      <c r="B529" s="131"/>
      <c r="C529" s="131"/>
      <c r="D529" s="131"/>
      <c r="E529" s="131"/>
      <c r="F529" s="131"/>
    </row>
    <row r="530" spans="1:6" x14ac:dyDescent="0.3">
      <c r="A530" s="131"/>
      <c r="B530" s="131"/>
      <c r="C530" s="131"/>
      <c r="D530" s="131"/>
      <c r="E530" s="131"/>
      <c r="F530" s="131"/>
    </row>
    <row r="531" spans="1:6" x14ac:dyDescent="0.3">
      <c r="A531" s="131"/>
      <c r="B531" s="131"/>
      <c r="C531" s="131"/>
      <c r="D531" s="131"/>
      <c r="E531" s="131"/>
      <c r="F531" s="131"/>
    </row>
    <row r="532" spans="1:6" x14ac:dyDescent="0.3">
      <c r="A532" s="131"/>
      <c r="B532" s="131"/>
      <c r="C532" s="131"/>
      <c r="D532" s="131"/>
      <c r="E532" s="131"/>
      <c r="F532" s="131"/>
    </row>
    <row r="533" spans="1:6" x14ac:dyDescent="0.3">
      <c r="A533" s="131"/>
      <c r="B533" s="131"/>
      <c r="C533" s="131"/>
      <c r="D533" s="131"/>
      <c r="E533" s="131"/>
      <c r="F533" s="131"/>
    </row>
    <row r="534" spans="1:6" x14ac:dyDescent="0.3">
      <c r="A534" s="131"/>
      <c r="B534" s="131"/>
      <c r="C534" s="131"/>
      <c r="D534" s="131"/>
      <c r="E534" s="131"/>
      <c r="F534" s="131"/>
    </row>
    <row r="535" spans="1:6" x14ac:dyDescent="0.3">
      <c r="A535" s="131"/>
      <c r="B535" s="131"/>
      <c r="C535" s="131"/>
      <c r="D535" s="131"/>
      <c r="E535" s="131"/>
      <c r="F535" s="131"/>
    </row>
    <row r="536" spans="1:6" x14ac:dyDescent="0.3">
      <c r="A536" s="131"/>
      <c r="B536" s="131"/>
      <c r="C536" s="131"/>
      <c r="D536" s="131"/>
      <c r="E536" s="131"/>
      <c r="F536" s="131"/>
    </row>
    <row r="537" spans="1:6" x14ac:dyDescent="0.3">
      <c r="A537" s="131"/>
      <c r="B537" s="131"/>
      <c r="C537" s="131"/>
      <c r="D537" s="131"/>
      <c r="E537" s="131"/>
      <c r="F537" s="131"/>
    </row>
    <row r="538" spans="1:6" x14ac:dyDescent="0.3">
      <c r="A538" s="131"/>
      <c r="B538" s="131"/>
      <c r="C538" s="131"/>
      <c r="D538" s="131"/>
      <c r="E538" s="131"/>
      <c r="F538" s="131"/>
    </row>
    <row r="539" spans="1:6" x14ac:dyDescent="0.3">
      <c r="A539" s="131"/>
      <c r="B539" s="131"/>
      <c r="C539" s="131"/>
      <c r="D539" s="131"/>
      <c r="E539" s="131"/>
      <c r="F539" s="131"/>
    </row>
    <row r="540" spans="1:6" x14ac:dyDescent="0.3">
      <c r="A540" s="131"/>
      <c r="B540" s="131"/>
      <c r="C540" s="131"/>
      <c r="D540" s="131"/>
      <c r="E540" s="131"/>
      <c r="F540" s="131"/>
    </row>
    <row r="541" spans="1:6" x14ac:dyDescent="0.3">
      <c r="A541" s="131"/>
      <c r="B541" s="131"/>
      <c r="C541" s="131"/>
      <c r="D541" s="131"/>
      <c r="E541" s="131"/>
      <c r="F541" s="131"/>
    </row>
    <row r="542" spans="1:6" x14ac:dyDescent="0.3">
      <c r="A542" s="131"/>
      <c r="B542" s="131"/>
      <c r="C542" s="131"/>
      <c r="D542" s="131"/>
      <c r="E542" s="131"/>
      <c r="F542" s="131"/>
    </row>
    <row r="543" spans="1:6" x14ac:dyDescent="0.3">
      <c r="A543" s="131"/>
      <c r="B543" s="131"/>
      <c r="C543" s="131"/>
      <c r="D543" s="131"/>
      <c r="E543" s="131"/>
      <c r="F543" s="131"/>
    </row>
    <row r="544" spans="1:6" x14ac:dyDescent="0.3">
      <c r="A544" s="131"/>
      <c r="B544" s="131"/>
      <c r="C544" s="131"/>
      <c r="D544" s="131"/>
      <c r="E544" s="131"/>
      <c r="F544" s="131"/>
    </row>
    <row r="545" spans="1:6" x14ac:dyDescent="0.3">
      <c r="A545" s="131"/>
      <c r="B545" s="131"/>
      <c r="C545" s="131"/>
      <c r="D545" s="131"/>
      <c r="E545" s="131"/>
      <c r="F545" s="131"/>
    </row>
    <row r="546" spans="1:6" x14ac:dyDescent="0.3">
      <c r="A546" s="131"/>
      <c r="B546" s="131"/>
      <c r="C546" s="131"/>
      <c r="D546" s="131"/>
      <c r="E546" s="131"/>
      <c r="F546" s="131"/>
    </row>
    <row r="547" spans="1:6" x14ac:dyDescent="0.3">
      <c r="A547" s="131"/>
      <c r="B547" s="131"/>
      <c r="C547" s="131"/>
      <c r="D547" s="131"/>
      <c r="E547" s="131"/>
      <c r="F547" s="131"/>
    </row>
    <row r="548" spans="1:6" x14ac:dyDescent="0.3">
      <c r="A548" s="131"/>
      <c r="B548" s="131"/>
      <c r="C548" s="131"/>
      <c r="D548" s="131"/>
      <c r="E548" s="131"/>
      <c r="F548" s="131"/>
    </row>
    <row r="549" spans="1:6" x14ac:dyDescent="0.3">
      <c r="A549" s="131"/>
      <c r="B549" s="131"/>
      <c r="C549" s="131"/>
      <c r="D549" s="131"/>
      <c r="E549" s="131"/>
      <c r="F549" s="131"/>
    </row>
    <row r="550" spans="1:6" x14ac:dyDescent="0.3">
      <c r="A550" s="131"/>
      <c r="B550" s="131"/>
      <c r="C550" s="131"/>
      <c r="D550" s="131"/>
      <c r="E550" s="131"/>
      <c r="F550" s="131"/>
    </row>
    <row r="551" spans="1:6" x14ac:dyDescent="0.3">
      <c r="A551" s="131"/>
      <c r="B551" s="131"/>
      <c r="C551" s="131"/>
      <c r="D551" s="131"/>
      <c r="E551" s="131"/>
      <c r="F551" s="131"/>
    </row>
    <row r="552" spans="1:6" x14ac:dyDescent="0.3">
      <c r="A552" s="131"/>
      <c r="B552" s="131"/>
      <c r="C552" s="131"/>
      <c r="D552" s="131"/>
      <c r="E552" s="131"/>
      <c r="F552" s="131"/>
    </row>
    <row r="553" spans="1:6" x14ac:dyDescent="0.3">
      <c r="A553" s="131"/>
      <c r="B553" s="131"/>
      <c r="C553" s="131"/>
      <c r="D553" s="131"/>
      <c r="E553" s="131"/>
      <c r="F553" s="131"/>
    </row>
    <row r="554" spans="1:6" x14ac:dyDescent="0.3">
      <c r="A554" s="131"/>
      <c r="B554" s="131"/>
      <c r="C554" s="131"/>
      <c r="D554" s="131"/>
      <c r="E554" s="131"/>
      <c r="F554" s="131"/>
    </row>
    <row r="555" spans="1:6" x14ac:dyDescent="0.3">
      <c r="A555" s="131"/>
      <c r="B555" s="131"/>
      <c r="C555" s="131"/>
      <c r="D555" s="131"/>
      <c r="E555" s="131"/>
      <c r="F555" s="131"/>
    </row>
    <row r="556" spans="1:6" x14ac:dyDescent="0.3">
      <c r="A556" s="131"/>
      <c r="B556" s="131"/>
      <c r="C556" s="131"/>
      <c r="D556" s="131"/>
      <c r="E556" s="131"/>
      <c r="F556" s="131"/>
    </row>
    <row r="557" spans="1:6" x14ac:dyDescent="0.3">
      <c r="A557" s="131"/>
      <c r="B557" s="131"/>
      <c r="C557" s="131"/>
      <c r="D557" s="131"/>
      <c r="E557" s="131"/>
      <c r="F557" s="131"/>
    </row>
    <row r="558" spans="1:6" x14ac:dyDescent="0.3">
      <c r="A558" s="131"/>
      <c r="B558" s="131"/>
      <c r="C558" s="131"/>
      <c r="D558" s="131"/>
      <c r="E558" s="131"/>
      <c r="F558" s="131"/>
    </row>
    <row r="559" spans="1:6" x14ac:dyDescent="0.3">
      <c r="A559" s="131"/>
      <c r="B559" s="131"/>
      <c r="C559" s="131"/>
      <c r="D559" s="131"/>
      <c r="E559" s="131"/>
      <c r="F559" s="131"/>
    </row>
    <row r="560" spans="1:6" x14ac:dyDescent="0.3">
      <c r="A560" s="131"/>
      <c r="B560" s="131"/>
      <c r="C560" s="131"/>
      <c r="D560" s="131"/>
      <c r="E560" s="131"/>
      <c r="F560" s="131"/>
    </row>
    <row r="561" spans="1:6" x14ac:dyDescent="0.3">
      <c r="A561" s="131"/>
      <c r="B561" s="131"/>
      <c r="C561" s="131"/>
      <c r="D561" s="131"/>
      <c r="E561" s="131"/>
      <c r="F561" s="131"/>
    </row>
    <row r="562" spans="1:6" x14ac:dyDescent="0.3">
      <c r="A562" s="131"/>
      <c r="B562" s="131"/>
      <c r="C562" s="131"/>
      <c r="D562" s="131"/>
      <c r="E562" s="131"/>
      <c r="F562" s="131"/>
    </row>
    <row r="563" spans="1:6" x14ac:dyDescent="0.3">
      <c r="A563" s="131"/>
      <c r="B563" s="131"/>
      <c r="C563" s="131"/>
      <c r="D563" s="131"/>
      <c r="E563" s="131"/>
      <c r="F563" s="131"/>
    </row>
    <row r="564" spans="1:6" x14ac:dyDescent="0.3">
      <c r="A564" s="131"/>
      <c r="B564" s="131"/>
      <c r="C564" s="131"/>
      <c r="D564" s="131"/>
      <c r="E564" s="131"/>
      <c r="F564" s="131"/>
    </row>
    <row r="565" spans="1:6" x14ac:dyDescent="0.3">
      <c r="A565" s="131"/>
      <c r="B565" s="131"/>
      <c r="C565" s="131"/>
      <c r="D565" s="131"/>
      <c r="E565" s="131"/>
      <c r="F565" s="131"/>
    </row>
    <row r="566" spans="1:6" x14ac:dyDescent="0.3">
      <c r="A566" s="131"/>
      <c r="B566" s="131"/>
      <c r="C566" s="131"/>
      <c r="D566" s="131"/>
      <c r="E566" s="131"/>
      <c r="F566" s="131"/>
    </row>
    <row r="567" spans="1:6" x14ac:dyDescent="0.3">
      <c r="A567" s="131"/>
      <c r="B567" s="131"/>
      <c r="C567" s="131"/>
      <c r="D567" s="131"/>
      <c r="E567" s="131"/>
      <c r="F567" s="131"/>
    </row>
    <row r="568" spans="1:6" x14ac:dyDescent="0.3">
      <c r="A568" s="131"/>
      <c r="B568" s="131"/>
      <c r="C568" s="131"/>
      <c r="D568" s="131"/>
      <c r="E568" s="131"/>
      <c r="F568" s="131"/>
    </row>
    <row r="569" spans="1:6" x14ac:dyDescent="0.3">
      <c r="A569" s="131"/>
      <c r="B569" s="131"/>
      <c r="C569" s="131"/>
      <c r="D569" s="131"/>
      <c r="E569" s="131"/>
      <c r="F569" s="131"/>
    </row>
    <row r="570" spans="1:6" x14ac:dyDescent="0.3">
      <c r="A570" s="131"/>
      <c r="B570" s="131"/>
      <c r="C570" s="131"/>
      <c r="D570" s="131"/>
      <c r="E570" s="131"/>
      <c r="F570" s="131"/>
    </row>
    <row r="571" spans="1:6" x14ac:dyDescent="0.3">
      <c r="A571" s="131"/>
      <c r="B571" s="131"/>
      <c r="C571" s="131"/>
      <c r="D571" s="131"/>
      <c r="E571" s="131"/>
      <c r="F571" s="131"/>
    </row>
    <row r="572" spans="1:6" x14ac:dyDescent="0.3">
      <c r="A572" s="131"/>
      <c r="B572" s="131"/>
      <c r="C572" s="131"/>
      <c r="D572" s="131"/>
      <c r="E572" s="131"/>
      <c r="F572" s="131"/>
    </row>
    <row r="573" spans="1:6" x14ac:dyDescent="0.3">
      <c r="A573" s="131"/>
      <c r="B573" s="131"/>
      <c r="C573" s="131"/>
      <c r="D573" s="131"/>
      <c r="E573" s="131"/>
      <c r="F573" s="131"/>
    </row>
    <row r="574" spans="1:6" x14ac:dyDescent="0.3">
      <c r="A574" s="131"/>
      <c r="B574" s="131"/>
      <c r="C574" s="131"/>
      <c r="D574" s="131"/>
      <c r="E574" s="131"/>
      <c r="F574" s="131"/>
    </row>
    <row r="575" spans="1:6" x14ac:dyDescent="0.3">
      <c r="A575" s="131"/>
      <c r="B575" s="131"/>
      <c r="C575" s="131"/>
      <c r="D575" s="131"/>
      <c r="E575" s="131"/>
      <c r="F575" s="131"/>
    </row>
    <row r="576" spans="1:6" x14ac:dyDescent="0.3">
      <c r="A576" s="131"/>
      <c r="B576" s="131"/>
      <c r="C576" s="131"/>
      <c r="D576" s="131"/>
      <c r="E576" s="131"/>
      <c r="F576" s="131"/>
    </row>
    <row r="577" spans="1:6" x14ac:dyDescent="0.3">
      <c r="A577" s="131"/>
      <c r="B577" s="131"/>
      <c r="C577" s="131"/>
      <c r="D577" s="131"/>
      <c r="E577" s="131"/>
      <c r="F577" s="131"/>
    </row>
    <row r="578" spans="1:6" x14ac:dyDescent="0.3">
      <c r="A578" s="131"/>
      <c r="B578" s="131"/>
      <c r="C578" s="131"/>
      <c r="D578" s="131"/>
      <c r="E578" s="131"/>
      <c r="F578" s="131"/>
    </row>
    <row r="579" spans="1:6" x14ac:dyDescent="0.3">
      <c r="A579" s="131"/>
      <c r="B579" s="131"/>
      <c r="C579" s="131"/>
      <c r="D579" s="131"/>
      <c r="E579" s="131"/>
      <c r="F579" s="131"/>
    </row>
    <row r="580" spans="1:6" x14ac:dyDescent="0.3">
      <c r="A580" s="131"/>
      <c r="B580" s="131"/>
      <c r="C580" s="131"/>
      <c r="D580" s="131"/>
      <c r="E580" s="131"/>
      <c r="F580" s="131"/>
    </row>
    <row r="581" spans="1:6" x14ac:dyDescent="0.3">
      <c r="A581" s="131"/>
      <c r="B581" s="131"/>
      <c r="C581" s="131"/>
      <c r="D581" s="131"/>
      <c r="E581" s="131"/>
      <c r="F581" s="131"/>
    </row>
    <row r="582" spans="1:6" x14ac:dyDescent="0.3">
      <c r="A582" s="131"/>
      <c r="B582" s="131"/>
      <c r="C582" s="131"/>
      <c r="D582" s="131"/>
      <c r="E582" s="131"/>
      <c r="F582" s="131"/>
    </row>
    <row r="583" spans="1:6" x14ac:dyDescent="0.3">
      <c r="A583" s="131"/>
      <c r="B583" s="131"/>
      <c r="C583" s="131"/>
      <c r="D583" s="131"/>
      <c r="E583" s="131"/>
      <c r="F583" s="131"/>
    </row>
    <row r="584" spans="1:6" x14ac:dyDescent="0.3">
      <c r="A584" s="131"/>
      <c r="B584" s="131"/>
      <c r="C584" s="131"/>
      <c r="D584" s="131"/>
      <c r="E584" s="131"/>
      <c r="F584" s="131"/>
    </row>
    <row r="585" spans="1:6" x14ac:dyDescent="0.3">
      <c r="A585" s="131"/>
      <c r="B585" s="131"/>
      <c r="C585" s="131"/>
      <c r="D585" s="131"/>
      <c r="E585" s="131"/>
      <c r="F585" s="131"/>
    </row>
    <row r="586" spans="1:6" x14ac:dyDescent="0.3">
      <c r="A586" s="131"/>
      <c r="B586" s="131"/>
      <c r="C586" s="131"/>
      <c r="D586" s="131"/>
      <c r="E586" s="131"/>
      <c r="F586" s="131"/>
    </row>
    <row r="587" spans="1:6" x14ac:dyDescent="0.3">
      <c r="A587" s="131"/>
      <c r="B587" s="131"/>
      <c r="C587" s="131"/>
      <c r="D587" s="131"/>
      <c r="E587" s="131"/>
      <c r="F587" s="131"/>
    </row>
    <row r="588" spans="1:6" x14ac:dyDescent="0.3">
      <c r="A588" s="131"/>
      <c r="B588" s="131"/>
      <c r="C588" s="131"/>
      <c r="D588" s="131"/>
      <c r="E588" s="131"/>
      <c r="F588" s="131"/>
    </row>
    <row r="589" spans="1:6" x14ac:dyDescent="0.3">
      <c r="A589" s="131"/>
      <c r="B589" s="131"/>
      <c r="C589" s="131"/>
      <c r="D589" s="131"/>
      <c r="E589" s="131"/>
      <c r="F589" s="131"/>
    </row>
    <row r="590" spans="1:6" x14ac:dyDescent="0.3">
      <c r="A590" s="131"/>
      <c r="B590" s="131"/>
      <c r="C590" s="131"/>
      <c r="D590" s="131"/>
      <c r="E590" s="131"/>
      <c r="F590" s="131"/>
    </row>
    <row r="591" spans="1:6" x14ac:dyDescent="0.3">
      <c r="A591" s="131"/>
      <c r="B591" s="131"/>
      <c r="C591" s="131"/>
      <c r="D591" s="131"/>
      <c r="E591" s="131"/>
      <c r="F591" s="131"/>
    </row>
    <row r="592" spans="1:6" x14ac:dyDescent="0.3">
      <c r="A592" s="131"/>
      <c r="B592" s="131"/>
      <c r="C592" s="131"/>
      <c r="D592" s="131"/>
      <c r="E592" s="131"/>
      <c r="F592" s="131"/>
    </row>
    <row r="593" spans="1:6" x14ac:dyDescent="0.3">
      <c r="A593" s="131"/>
      <c r="B593" s="131"/>
      <c r="C593" s="131"/>
      <c r="D593" s="131"/>
      <c r="E593" s="131"/>
      <c r="F593" s="131"/>
    </row>
    <row r="594" spans="1:6" x14ac:dyDescent="0.3">
      <c r="A594" s="131"/>
      <c r="B594" s="131"/>
      <c r="C594" s="131"/>
      <c r="D594" s="131"/>
      <c r="E594" s="131"/>
      <c r="F594" s="131"/>
    </row>
    <row r="595" spans="1:6" x14ac:dyDescent="0.3">
      <c r="A595" s="131"/>
      <c r="B595" s="131"/>
      <c r="C595" s="131"/>
      <c r="D595" s="131"/>
      <c r="E595" s="131"/>
      <c r="F595" s="131"/>
    </row>
    <row r="596" spans="1:6" x14ac:dyDescent="0.3">
      <c r="A596" s="131"/>
      <c r="B596" s="131"/>
      <c r="C596" s="131"/>
      <c r="D596" s="131"/>
      <c r="E596" s="131"/>
      <c r="F596" s="131"/>
    </row>
    <row r="597" spans="1:6" x14ac:dyDescent="0.3">
      <c r="A597" s="131"/>
      <c r="B597" s="131"/>
      <c r="C597" s="131"/>
      <c r="D597" s="131"/>
      <c r="E597" s="131"/>
      <c r="F597" s="131"/>
    </row>
    <row r="598" spans="1:6" x14ac:dyDescent="0.3">
      <c r="A598" s="131"/>
      <c r="B598" s="131"/>
      <c r="C598" s="131"/>
      <c r="D598" s="131"/>
      <c r="E598" s="131"/>
      <c r="F598" s="131"/>
    </row>
    <row r="599" spans="1:6" x14ac:dyDescent="0.3">
      <c r="A599" s="131"/>
      <c r="B599" s="131"/>
      <c r="C599" s="131"/>
      <c r="D599" s="131"/>
      <c r="E599" s="131"/>
      <c r="F599" s="131"/>
    </row>
    <row r="600" spans="1:6" x14ac:dyDescent="0.3">
      <c r="A600" s="131"/>
      <c r="B600" s="131"/>
      <c r="C600" s="131"/>
      <c r="D600" s="131"/>
      <c r="E600" s="131"/>
      <c r="F600" s="131"/>
    </row>
    <row r="601" spans="1:6" x14ac:dyDescent="0.3">
      <c r="A601" s="131"/>
      <c r="B601" s="131"/>
      <c r="C601" s="131"/>
      <c r="D601" s="131"/>
      <c r="E601" s="131"/>
      <c r="F601" s="131"/>
    </row>
    <row r="602" spans="1:6" x14ac:dyDescent="0.3">
      <c r="A602" s="131"/>
      <c r="B602" s="131"/>
      <c r="C602" s="131"/>
      <c r="D602" s="131"/>
      <c r="E602" s="131"/>
      <c r="F602" s="131"/>
    </row>
    <row r="603" spans="1:6" x14ac:dyDescent="0.3">
      <c r="A603" s="131"/>
      <c r="B603" s="131"/>
      <c r="C603" s="131"/>
      <c r="D603" s="131"/>
      <c r="E603" s="131"/>
      <c r="F603" s="131"/>
    </row>
    <row r="604" spans="1:6" x14ac:dyDescent="0.3">
      <c r="A604" s="131"/>
      <c r="B604" s="131"/>
      <c r="C604" s="131"/>
      <c r="D604" s="131"/>
      <c r="E604" s="131"/>
      <c r="F604" s="131"/>
    </row>
    <row r="605" spans="1:6" x14ac:dyDescent="0.3">
      <c r="A605" s="131"/>
      <c r="B605" s="131"/>
      <c r="C605" s="131"/>
      <c r="D605" s="131"/>
      <c r="E605" s="131"/>
      <c r="F605" s="131"/>
    </row>
    <row r="606" spans="1:6" x14ac:dyDescent="0.3">
      <c r="A606" s="131"/>
      <c r="B606" s="131"/>
      <c r="C606" s="131"/>
      <c r="D606" s="131"/>
      <c r="E606" s="131"/>
      <c r="F606" s="131"/>
    </row>
    <row r="607" spans="1:6" x14ac:dyDescent="0.3">
      <c r="A607" s="131"/>
      <c r="B607" s="131"/>
      <c r="C607" s="131"/>
      <c r="D607" s="131"/>
      <c r="E607" s="131"/>
      <c r="F607" s="131"/>
    </row>
    <row r="608" spans="1:6" x14ac:dyDescent="0.3">
      <c r="A608" s="131"/>
      <c r="B608" s="131"/>
      <c r="C608" s="131"/>
      <c r="D608" s="131"/>
      <c r="E608" s="131"/>
      <c r="F608" s="131"/>
    </row>
    <row r="609" spans="1:6" x14ac:dyDescent="0.3">
      <c r="A609" s="131"/>
      <c r="B609" s="131"/>
      <c r="C609" s="131"/>
      <c r="D609" s="131"/>
      <c r="E609" s="131"/>
      <c r="F609" s="131"/>
    </row>
    <row r="610" spans="1:6" x14ac:dyDescent="0.3">
      <c r="A610" s="131"/>
      <c r="B610" s="131"/>
      <c r="C610" s="131"/>
      <c r="D610" s="131"/>
      <c r="E610" s="131"/>
      <c r="F610" s="131"/>
    </row>
    <row r="611" spans="1:6" x14ac:dyDescent="0.3">
      <c r="A611" s="131"/>
      <c r="B611" s="131"/>
      <c r="C611" s="131"/>
      <c r="D611" s="131"/>
      <c r="E611" s="131"/>
      <c r="F611" s="131"/>
    </row>
    <row r="612" spans="1:6" x14ac:dyDescent="0.3">
      <c r="A612" s="131"/>
      <c r="B612" s="131"/>
      <c r="C612" s="131"/>
      <c r="D612" s="131"/>
      <c r="E612" s="131"/>
      <c r="F612" s="131"/>
    </row>
    <row r="613" spans="1:6" x14ac:dyDescent="0.3">
      <c r="A613" s="131"/>
      <c r="B613" s="131"/>
      <c r="C613" s="131"/>
      <c r="D613" s="131"/>
      <c r="E613" s="131"/>
      <c r="F613" s="131"/>
    </row>
    <row r="614" spans="1:6" x14ac:dyDescent="0.3">
      <c r="A614" s="131"/>
      <c r="B614" s="131"/>
      <c r="C614" s="131"/>
      <c r="D614" s="131"/>
      <c r="E614" s="131"/>
      <c r="F614" s="131"/>
    </row>
    <row r="615" spans="1:6" x14ac:dyDescent="0.3">
      <c r="A615" s="131"/>
      <c r="B615" s="131"/>
      <c r="C615" s="131"/>
      <c r="D615" s="131"/>
      <c r="E615" s="131"/>
      <c r="F615" s="131"/>
    </row>
    <row r="616" spans="1:6" x14ac:dyDescent="0.3">
      <c r="A616" s="131"/>
      <c r="B616" s="131"/>
      <c r="C616" s="131"/>
      <c r="D616" s="131"/>
      <c r="E616" s="131"/>
      <c r="F616" s="131"/>
    </row>
    <row r="617" spans="1:6" x14ac:dyDescent="0.3">
      <c r="A617" s="131"/>
      <c r="B617" s="131"/>
      <c r="C617" s="131"/>
      <c r="D617" s="131"/>
      <c r="E617" s="131"/>
      <c r="F617" s="131"/>
    </row>
    <row r="618" spans="1:6" x14ac:dyDescent="0.3">
      <c r="A618" s="131"/>
      <c r="B618" s="131"/>
      <c r="C618" s="131"/>
      <c r="D618" s="131"/>
      <c r="E618" s="131"/>
      <c r="F618" s="131"/>
    </row>
    <row r="619" spans="1:6" x14ac:dyDescent="0.3">
      <c r="A619" s="131"/>
      <c r="B619" s="131"/>
      <c r="C619" s="131"/>
      <c r="D619" s="131"/>
      <c r="E619" s="131"/>
      <c r="F619" s="131"/>
    </row>
    <row r="620" spans="1:6" x14ac:dyDescent="0.3">
      <c r="A620" s="131"/>
      <c r="B620" s="131"/>
      <c r="C620" s="131"/>
      <c r="D620" s="131"/>
      <c r="E620" s="131"/>
      <c r="F620" s="131"/>
    </row>
    <row r="621" spans="1:6" x14ac:dyDescent="0.3">
      <c r="A621" s="131"/>
      <c r="B621" s="131"/>
      <c r="C621" s="131"/>
      <c r="D621" s="131"/>
      <c r="E621" s="131"/>
      <c r="F621" s="131"/>
    </row>
    <row r="622" spans="1:6" x14ac:dyDescent="0.3">
      <c r="A622" s="131"/>
      <c r="B622" s="131"/>
      <c r="C622" s="131"/>
      <c r="D622" s="131"/>
      <c r="E622" s="131"/>
      <c r="F622" s="131"/>
    </row>
    <row r="623" spans="1:6" x14ac:dyDescent="0.3">
      <c r="A623" s="131"/>
      <c r="B623" s="131"/>
      <c r="C623" s="131"/>
      <c r="D623" s="131"/>
      <c r="E623" s="131"/>
      <c r="F623" s="131"/>
    </row>
    <row r="624" spans="1:6" x14ac:dyDescent="0.3">
      <c r="A624" s="131"/>
      <c r="B624" s="131"/>
      <c r="C624" s="131"/>
      <c r="D624" s="131"/>
      <c r="E624" s="131"/>
      <c r="F624" s="131"/>
    </row>
    <row r="625" spans="1:6" x14ac:dyDescent="0.3">
      <c r="A625" s="131"/>
      <c r="B625" s="131"/>
      <c r="C625" s="131"/>
      <c r="D625" s="131"/>
      <c r="E625" s="131"/>
      <c r="F625" s="131"/>
    </row>
    <row r="626" spans="1:6" x14ac:dyDescent="0.3">
      <c r="A626" s="131"/>
      <c r="B626" s="131"/>
      <c r="C626" s="131"/>
      <c r="D626" s="131"/>
      <c r="E626" s="131"/>
      <c r="F626" s="131"/>
    </row>
    <row r="627" spans="1:6" x14ac:dyDescent="0.3">
      <c r="A627" s="131"/>
      <c r="B627" s="131"/>
      <c r="C627" s="131"/>
      <c r="D627" s="131"/>
      <c r="E627" s="131"/>
      <c r="F627" s="131"/>
    </row>
    <row r="628" spans="1:6" x14ac:dyDescent="0.3">
      <c r="A628" s="131"/>
      <c r="B628" s="131"/>
      <c r="C628" s="131"/>
      <c r="D628" s="131"/>
      <c r="E628" s="131"/>
      <c r="F628" s="131"/>
    </row>
    <row r="629" spans="1:6" x14ac:dyDescent="0.3">
      <c r="A629" s="131"/>
      <c r="B629" s="131"/>
      <c r="C629" s="131"/>
      <c r="D629" s="131"/>
      <c r="E629" s="131"/>
      <c r="F629" s="131"/>
    </row>
    <row r="630" spans="1:6" x14ac:dyDescent="0.3">
      <c r="A630" s="131"/>
      <c r="B630" s="131"/>
      <c r="C630" s="131"/>
      <c r="D630" s="131"/>
      <c r="E630" s="131"/>
      <c r="F630" s="131"/>
    </row>
    <row r="631" spans="1:6" x14ac:dyDescent="0.3">
      <c r="A631" s="131"/>
      <c r="B631" s="131"/>
      <c r="C631" s="131"/>
      <c r="D631" s="131"/>
      <c r="E631" s="131"/>
      <c r="F631" s="131"/>
    </row>
    <row r="632" spans="1:6" x14ac:dyDescent="0.3">
      <c r="A632" s="131"/>
      <c r="B632" s="131"/>
      <c r="C632" s="131"/>
      <c r="D632" s="131"/>
      <c r="E632" s="131"/>
      <c r="F632" s="131"/>
    </row>
    <row r="633" spans="1:6" x14ac:dyDescent="0.3">
      <c r="A633" s="131"/>
      <c r="B633" s="131"/>
      <c r="C633" s="131"/>
      <c r="D633" s="131"/>
      <c r="E633" s="131"/>
      <c r="F633" s="131"/>
    </row>
    <row r="634" spans="1:6" x14ac:dyDescent="0.3">
      <c r="A634" s="131"/>
      <c r="B634" s="131"/>
      <c r="C634" s="131"/>
      <c r="D634" s="131"/>
      <c r="E634" s="131"/>
      <c r="F634" s="131"/>
    </row>
    <row r="635" spans="1:6" x14ac:dyDescent="0.3">
      <c r="A635" s="131"/>
      <c r="B635" s="131"/>
      <c r="C635" s="131"/>
      <c r="D635" s="131"/>
      <c r="E635" s="131"/>
      <c r="F635" s="131"/>
    </row>
    <row r="636" spans="1:6" x14ac:dyDescent="0.3">
      <c r="A636" s="131"/>
      <c r="B636" s="131"/>
      <c r="C636" s="131"/>
      <c r="D636" s="131"/>
      <c r="E636" s="131"/>
      <c r="F636" s="131"/>
    </row>
    <row r="637" spans="1:6" x14ac:dyDescent="0.3">
      <c r="A637" s="131"/>
      <c r="B637" s="131"/>
      <c r="C637" s="131"/>
      <c r="D637" s="131"/>
      <c r="E637" s="131"/>
      <c r="F637" s="131"/>
    </row>
    <row r="638" spans="1:6" x14ac:dyDescent="0.3">
      <c r="A638" s="131"/>
      <c r="B638" s="131"/>
      <c r="C638" s="131"/>
      <c r="D638" s="131"/>
      <c r="E638" s="131"/>
      <c r="F638" s="131"/>
    </row>
    <row r="639" spans="1:6" x14ac:dyDescent="0.3">
      <c r="A639" s="131"/>
      <c r="B639" s="131"/>
      <c r="C639" s="131"/>
      <c r="D639" s="131"/>
      <c r="E639" s="131"/>
      <c r="F639" s="131"/>
    </row>
    <row r="640" spans="1:6" x14ac:dyDescent="0.3">
      <c r="A640" s="131"/>
      <c r="B640" s="131"/>
      <c r="C640" s="131"/>
      <c r="D640" s="131"/>
      <c r="E640" s="131"/>
      <c r="F640" s="131"/>
    </row>
    <row r="641" spans="1:6" x14ac:dyDescent="0.3">
      <c r="A641" s="131"/>
      <c r="B641" s="131"/>
      <c r="C641" s="131"/>
      <c r="D641" s="131"/>
      <c r="E641" s="131"/>
      <c r="F641" s="131"/>
    </row>
    <row r="642" spans="1:6" x14ac:dyDescent="0.3">
      <c r="A642" s="131"/>
      <c r="B642" s="131"/>
      <c r="C642" s="131"/>
      <c r="D642" s="131"/>
      <c r="E642" s="131"/>
      <c r="F642" s="131"/>
    </row>
    <row r="643" spans="1:6" x14ac:dyDescent="0.3">
      <c r="A643" s="131"/>
      <c r="B643" s="131"/>
      <c r="C643" s="131"/>
      <c r="D643" s="131"/>
      <c r="E643" s="131"/>
      <c r="F643" s="131"/>
    </row>
    <row r="644" spans="1:6" x14ac:dyDescent="0.3">
      <c r="A644" s="131"/>
      <c r="B644" s="131"/>
      <c r="C644" s="131"/>
      <c r="D644" s="131"/>
      <c r="E644" s="131"/>
      <c r="F644" s="131"/>
    </row>
    <row r="645" spans="1:6" x14ac:dyDescent="0.3">
      <c r="A645" s="131"/>
      <c r="B645" s="131"/>
      <c r="C645" s="131"/>
      <c r="D645" s="131"/>
      <c r="E645" s="131"/>
      <c r="F645" s="131"/>
    </row>
    <row r="646" spans="1:6" x14ac:dyDescent="0.3">
      <c r="A646" s="131"/>
      <c r="B646" s="131"/>
      <c r="C646" s="131"/>
      <c r="D646" s="131"/>
      <c r="E646" s="131"/>
      <c r="F646" s="131"/>
    </row>
    <row r="647" spans="1:6" x14ac:dyDescent="0.3">
      <c r="A647" s="131"/>
      <c r="B647" s="131"/>
      <c r="C647" s="131"/>
      <c r="D647" s="131"/>
      <c r="E647" s="131"/>
      <c r="F647" s="131"/>
    </row>
    <row r="648" spans="1:6" x14ac:dyDescent="0.3">
      <c r="A648" s="131"/>
      <c r="B648" s="131"/>
      <c r="C648" s="131"/>
      <c r="D648" s="131"/>
      <c r="E648" s="131"/>
      <c r="F648" s="131"/>
    </row>
    <row r="649" spans="1:6" x14ac:dyDescent="0.3">
      <c r="A649" s="131"/>
      <c r="B649" s="131"/>
      <c r="C649" s="131"/>
      <c r="D649" s="131"/>
      <c r="E649" s="131"/>
      <c r="F649" s="131"/>
    </row>
    <row r="650" spans="1:6" x14ac:dyDescent="0.3">
      <c r="A650" s="131"/>
      <c r="B650" s="131"/>
      <c r="C650" s="131"/>
      <c r="D650" s="131"/>
      <c r="E650" s="131"/>
      <c r="F650" s="131"/>
    </row>
    <row r="651" spans="1:6" x14ac:dyDescent="0.3">
      <c r="A651" s="131"/>
      <c r="B651" s="131"/>
      <c r="C651" s="131"/>
      <c r="D651" s="131"/>
      <c r="E651" s="131"/>
      <c r="F651" s="131"/>
    </row>
    <row r="652" spans="1:6" x14ac:dyDescent="0.3">
      <c r="A652" s="131"/>
      <c r="B652" s="131"/>
      <c r="C652" s="131"/>
      <c r="D652" s="131"/>
      <c r="E652" s="131"/>
      <c r="F652" s="131"/>
    </row>
    <row r="653" spans="1:6" x14ac:dyDescent="0.3">
      <c r="A653" s="131"/>
      <c r="B653" s="131"/>
      <c r="C653" s="131"/>
      <c r="D653" s="131"/>
      <c r="E653" s="131"/>
      <c r="F653" s="131"/>
    </row>
    <row r="654" spans="1:6" x14ac:dyDescent="0.3">
      <c r="A654" s="131"/>
      <c r="B654" s="131"/>
      <c r="C654" s="131"/>
      <c r="D654" s="131"/>
      <c r="E654" s="131"/>
      <c r="F654" s="131"/>
    </row>
    <row r="655" spans="1:6" x14ac:dyDescent="0.3">
      <c r="A655" s="131"/>
      <c r="B655" s="131"/>
      <c r="C655" s="131"/>
      <c r="D655" s="131"/>
      <c r="E655" s="131"/>
      <c r="F655" s="131"/>
    </row>
    <row r="656" spans="1:6" x14ac:dyDescent="0.3">
      <c r="A656" s="131"/>
      <c r="B656" s="131"/>
      <c r="C656" s="131"/>
      <c r="D656" s="131"/>
      <c r="E656" s="131"/>
      <c r="F656" s="131"/>
    </row>
    <row r="657" spans="1:6" x14ac:dyDescent="0.3">
      <c r="A657" s="131"/>
      <c r="B657" s="131"/>
      <c r="C657" s="131"/>
      <c r="D657" s="131"/>
      <c r="E657" s="131"/>
      <c r="F657" s="131"/>
    </row>
    <row r="658" spans="1:6" x14ac:dyDescent="0.3">
      <c r="A658" s="131"/>
      <c r="B658" s="131"/>
      <c r="C658" s="131"/>
      <c r="D658" s="131"/>
      <c r="E658" s="131"/>
      <c r="F658" s="131"/>
    </row>
    <row r="659" spans="1:6" x14ac:dyDescent="0.3">
      <c r="A659" s="131"/>
      <c r="B659" s="131"/>
      <c r="C659" s="131"/>
      <c r="D659" s="131"/>
      <c r="E659" s="131"/>
      <c r="F659" s="131"/>
    </row>
    <row r="660" spans="1:6" x14ac:dyDescent="0.3">
      <c r="A660" s="131"/>
      <c r="B660" s="131"/>
      <c r="C660" s="131"/>
      <c r="D660" s="131"/>
      <c r="E660" s="131"/>
      <c r="F660" s="131"/>
    </row>
    <row r="661" spans="1:6" x14ac:dyDescent="0.3">
      <c r="A661" s="131"/>
      <c r="B661" s="131"/>
      <c r="C661" s="131"/>
      <c r="D661" s="131"/>
      <c r="E661" s="131"/>
      <c r="F661" s="131"/>
    </row>
    <row r="662" spans="1:6" x14ac:dyDescent="0.3">
      <c r="A662" s="131"/>
      <c r="B662" s="131"/>
      <c r="C662" s="131"/>
      <c r="D662" s="131"/>
      <c r="E662" s="131"/>
      <c r="F662" s="131"/>
    </row>
    <row r="663" spans="1:6" x14ac:dyDescent="0.3">
      <c r="A663" s="131"/>
      <c r="B663" s="131"/>
      <c r="C663" s="131"/>
      <c r="D663" s="131"/>
      <c r="E663" s="131"/>
      <c r="F663" s="131"/>
    </row>
    <row r="664" spans="1:6" x14ac:dyDescent="0.3">
      <c r="A664" s="131"/>
      <c r="B664" s="131"/>
      <c r="C664" s="131"/>
      <c r="D664" s="131"/>
      <c r="E664" s="131"/>
      <c r="F664" s="131"/>
    </row>
    <row r="665" spans="1:6" x14ac:dyDescent="0.3">
      <c r="A665" s="131"/>
      <c r="B665" s="131"/>
      <c r="C665" s="131"/>
      <c r="D665" s="131"/>
      <c r="E665" s="131"/>
      <c r="F665" s="131"/>
    </row>
    <row r="666" spans="1:6" x14ac:dyDescent="0.3">
      <c r="A666" s="131"/>
      <c r="B666" s="131"/>
      <c r="C666" s="131"/>
      <c r="D666" s="131"/>
      <c r="E666" s="131"/>
      <c r="F666" s="131"/>
    </row>
    <row r="667" spans="1:6" x14ac:dyDescent="0.3">
      <c r="A667" s="131"/>
      <c r="B667" s="131"/>
      <c r="C667" s="131"/>
      <c r="D667" s="131"/>
      <c r="E667" s="131"/>
      <c r="F667" s="131"/>
    </row>
    <row r="668" spans="1:6" x14ac:dyDescent="0.3">
      <c r="A668" s="131"/>
      <c r="B668" s="131"/>
      <c r="C668" s="131"/>
      <c r="D668" s="131"/>
      <c r="E668" s="131"/>
      <c r="F668" s="131"/>
    </row>
    <row r="669" spans="1:6" x14ac:dyDescent="0.3">
      <c r="A669" s="131"/>
      <c r="B669" s="131"/>
      <c r="C669" s="131"/>
      <c r="D669" s="131"/>
      <c r="E669" s="131"/>
      <c r="F669" s="131"/>
    </row>
    <row r="670" spans="1:6" x14ac:dyDescent="0.3">
      <c r="A670" s="131"/>
      <c r="B670" s="131"/>
      <c r="C670" s="131"/>
      <c r="D670" s="131"/>
      <c r="E670" s="131"/>
      <c r="F670" s="131"/>
    </row>
    <row r="671" spans="1:6" x14ac:dyDescent="0.3">
      <c r="A671" s="131"/>
      <c r="B671" s="131"/>
      <c r="C671" s="131"/>
      <c r="D671" s="131"/>
      <c r="E671" s="131"/>
      <c r="F671" s="131"/>
    </row>
    <row r="672" spans="1:6" x14ac:dyDescent="0.3">
      <c r="A672" s="131"/>
      <c r="B672" s="131"/>
      <c r="C672" s="131"/>
      <c r="D672" s="131"/>
      <c r="E672" s="131"/>
      <c r="F672" s="131"/>
    </row>
    <row r="673" spans="1:6" x14ac:dyDescent="0.3">
      <c r="A673" s="131"/>
      <c r="B673" s="131"/>
      <c r="C673" s="131"/>
      <c r="D673" s="131"/>
      <c r="E673" s="131"/>
      <c r="F673" s="131"/>
    </row>
    <row r="674" spans="1:6" x14ac:dyDescent="0.3">
      <c r="A674" s="131"/>
      <c r="B674" s="131"/>
      <c r="C674" s="131"/>
      <c r="D674" s="131"/>
      <c r="E674" s="131"/>
      <c r="F674" s="131"/>
    </row>
    <row r="675" spans="1:6" x14ac:dyDescent="0.3">
      <c r="A675" s="131"/>
      <c r="B675" s="131"/>
      <c r="C675" s="131"/>
      <c r="D675" s="131"/>
      <c r="E675" s="131"/>
      <c r="F675" s="131"/>
    </row>
    <row r="676" spans="1:6" x14ac:dyDescent="0.3">
      <c r="A676" s="131"/>
      <c r="B676" s="131"/>
      <c r="C676" s="131"/>
      <c r="D676" s="131"/>
      <c r="E676" s="131"/>
      <c r="F676" s="131"/>
    </row>
    <row r="677" spans="1:6" x14ac:dyDescent="0.3">
      <c r="A677" s="131"/>
      <c r="B677" s="131"/>
      <c r="C677" s="131"/>
      <c r="D677" s="131"/>
      <c r="E677" s="131"/>
      <c r="F677" s="131"/>
    </row>
    <row r="678" spans="1:6" x14ac:dyDescent="0.3">
      <c r="A678" s="131"/>
      <c r="B678" s="131"/>
      <c r="C678" s="131"/>
      <c r="D678" s="131"/>
      <c r="E678" s="131"/>
      <c r="F678" s="131"/>
    </row>
    <row r="679" spans="1:6" x14ac:dyDescent="0.3">
      <c r="A679" s="131"/>
      <c r="B679" s="131"/>
      <c r="C679" s="131"/>
      <c r="D679" s="131"/>
      <c r="E679" s="131"/>
      <c r="F679" s="131"/>
    </row>
    <row r="680" spans="1:6" x14ac:dyDescent="0.3">
      <c r="A680" s="131"/>
      <c r="B680" s="131"/>
      <c r="C680" s="131"/>
      <c r="D680" s="131"/>
      <c r="E680" s="131"/>
      <c r="F680" s="131"/>
    </row>
    <row r="681" spans="1:6" x14ac:dyDescent="0.3">
      <c r="A681" s="131"/>
      <c r="B681" s="131"/>
      <c r="C681" s="131"/>
      <c r="D681" s="131"/>
      <c r="E681" s="131"/>
      <c r="F681" s="131"/>
    </row>
    <row r="682" spans="1:6" x14ac:dyDescent="0.3">
      <c r="A682" s="131"/>
      <c r="B682" s="131"/>
      <c r="C682" s="131"/>
      <c r="D682" s="131"/>
      <c r="E682" s="131"/>
      <c r="F682" s="131"/>
    </row>
    <row r="683" spans="1:6" x14ac:dyDescent="0.3">
      <c r="A683" s="131"/>
      <c r="B683" s="131"/>
      <c r="C683" s="131"/>
      <c r="D683" s="131"/>
      <c r="E683" s="131"/>
      <c r="F683" s="131"/>
    </row>
    <row r="684" spans="1:6" x14ac:dyDescent="0.3">
      <c r="A684" s="131"/>
      <c r="B684" s="131"/>
      <c r="C684" s="131"/>
      <c r="D684" s="131"/>
      <c r="E684" s="131"/>
      <c r="F684" s="131"/>
    </row>
    <row r="685" spans="1:6" x14ac:dyDescent="0.3">
      <c r="A685" s="131"/>
      <c r="B685" s="131"/>
      <c r="C685" s="131"/>
      <c r="D685" s="131"/>
      <c r="E685" s="131"/>
      <c r="F685" s="131"/>
    </row>
    <row r="686" spans="1:6" x14ac:dyDescent="0.3">
      <c r="A686" s="131"/>
      <c r="B686" s="131"/>
      <c r="C686" s="131"/>
      <c r="D686" s="131"/>
      <c r="E686" s="131"/>
      <c r="F686" s="131"/>
    </row>
    <row r="687" spans="1:6" x14ac:dyDescent="0.3">
      <c r="A687" s="131"/>
      <c r="B687" s="131"/>
      <c r="C687" s="131"/>
      <c r="D687" s="131"/>
      <c r="E687" s="131"/>
      <c r="F687" s="131"/>
    </row>
    <row r="688" spans="1:6" x14ac:dyDescent="0.3">
      <c r="A688" s="131"/>
      <c r="B688" s="131"/>
      <c r="C688" s="131"/>
      <c r="D688" s="131"/>
      <c r="E688" s="131"/>
      <c r="F688" s="131"/>
    </row>
    <row r="689" spans="1:6" x14ac:dyDescent="0.3">
      <c r="A689" s="131"/>
      <c r="B689" s="131"/>
      <c r="C689" s="131"/>
      <c r="D689" s="131"/>
      <c r="E689" s="131"/>
      <c r="F689" s="131"/>
    </row>
    <row r="690" spans="1:6" x14ac:dyDescent="0.3">
      <c r="A690" s="131"/>
      <c r="B690" s="131"/>
      <c r="C690" s="131"/>
      <c r="D690" s="131"/>
      <c r="E690" s="131"/>
      <c r="F690" s="131"/>
    </row>
    <row r="691" spans="1:6" x14ac:dyDescent="0.3">
      <c r="A691" s="131"/>
      <c r="B691" s="131"/>
      <c r="C691" s="131"/>
      <c r="D691" s="131"/>
      <c r="E691" s="131"/>
      <c r="F691" s="131"/>
    </row>
    <row r="692" spans="1:6" x14ac:dyDescent="0.3">
      <c r="A692" s="131"/>
      <c r="B692" s="131"/>
      <c r="C692" s="131"/>
      <c r="D692" s="131"/>
      <c r="E692" s="131"/>
      <c r="F692" s="131"/>
    </row>
    <row r="693" spans="1:6" x14ac:dyDescent="0.3">
      <c r="A693" s="131"/>
      <c r="B693" s="131"/>
      <c r="C693" s="131"/>
      <c r="D693" s="131"/>
      <c r="E693" s="131"/>
      <c r="F693" s="131"/>
    </row>
    <row r="694" spans="1:6" x14ac:dyDescent="0.3">
      <c r="A694" s="131"/>
      <c r="B694" s="131"/>
      <c r="C694" s="131"/>
      <c r="D694" s="131"/>
      <c r="E694" s="131"/>
      <c r="F694" s="131"/>
    </row>
    <row r="695" spans="1:6" x14ac:dyDescent="0.3">
      <c r="A695" s="131"/>
      <c r="B695" s="131"/>
      <c r="C695" s="131"/>
      <c r="D695" s="131"/>
      <c r="E695" s="131"/>
      <c r="F695" s="131"/>
    </row>
    <row r="696" spans="1:6" x14ac:dyDescent="0.3">
      <c r="A696" s="131"/>
      <c r="B696" s="131"/>
      <c r="C696" s="131"/>
      <c r="D696" s="131"/>
      <c r="E696" s="131"/>
      <c r="F696" s="131"/>
    </row>
    <row r="697" spans="1:6" x14ac:dyDescent="0.3">
      <c r="A697" s="131"/>
      <c r="B697" s="131"/>
      <c r="C697" s="131"/>
      <c r="D697" s="131"/>
      <c r="E697" s="131"/>
      <c r="F697" s="131"/>
    </row>
    <row r="698" spans="1:6" x14ac:dyDescent="0.3">
      <c r="A698" s="131"/>
      <c r="B698" s="131"/>
      <c r="C698" s="131"/>
      <c r="D698" s="131"/>
      <c r="E698" s="131"/>
      <c r="F698" s="131"/>
    </row>
    <row r="699" spans="1:6" x14ac:dyDescent="0.3">
      <c r="A699" s="131"/>
      <c r="B699" s="131"/>
      <c r="C699" s="131"/>
      <c r="D699" s="131"/>
      <c r="E699" s="131"/>
      <c r="F699" s="131"/>
    </row>
    <row r="700" spans="1:6" x14ac:dyDescent="0.3">
      <c r="A700" s="131"/>
      <c r="B700" s="131"/>
      <c r="C700" s="131"/>
      <c r="D700" s="131"/>
      <c r="E700" s="131"/>
      <c r="F700" s="131"/>
    </row>
    <row r="701" spans="1:6" x14ac:dyDescent="0.3">
      <c r="A701" s="131"/>
      <c r="B701" s="131"/>
      <c r="C701" s="131"/>
      <c r="D701" s="131"/>
      <c r="E701" s="131"/>
      <c r="F701" s="131"/>
    </row>
    <row r="702" spans="1:6" x14ac:dyDescent="0.3">
      <c r="A702" s="131"/>
      <c r="B702" s="131"/>
      <c r="C702" s="131"/>
      <c r="D702" s="131"/>
      <c r="E702" s="131"/>
      <c r="F702" s="131"/>
    </row>
    <row r="703" spans="1:6" x14ac:dyDescent="0.3">
      <c r="A703" s="131"/>
      <c r="B703" s="131"/>
      <c r="C703" s="131"/>
      <c r="D703" s="131"/>
      <c r="E703" s="131"/>
      <c r="F703" s="131"/>
    </row>
    <row r="704" spans="1:6" x14ac:dyDescent="0.3">
      <c r="A704" s="131"/>
      <c r="B704" s="131"/>
      <c r="C704" s="131"/>
      <c r="D704" s="131"/>
      <c r="E704" s="131"/>
      <c r="F704" s="131"/>
    </row>
    <row r="705" spans="1:6" x14ac:dyDescent="0.3">
      <c r="A705" s="131"/>
      <c r="B705" s="131"/>
      <c r="C705" s="131"/>
      <c r="D705" s="131"/>
      <c r="E705" s="131"/>
      <c r="F705" s="131"/>
    </row>
    <row r="706" spans="1:6" x14ac:dyDescent="0.3">
      <c r="A706" s="131"/>
      <c r="B706" s="131"/>
      <c r="C706" s="131"/>
      <c r="D706" s="131"/>
      <c r="E706" s="131"/>
      <c r="F706" s="131"/>
    </row>
    <row r="707" spans="1:6" x14ac:dyDescent="0.3">
      <c r="A707" s="131"/>
      <c r="B707" s="131"/>
      <c r="C707" s="131"/>
      <c r="D707" s="131"/>
      <c r="E707" s="131"/>
      <c r="F707" s="131"/>
    </row>
    <row r="708" spans="1:6" x14ac:dyDescent="0.3">
      <c r="A708" s="131"/>
      <c r="B708" s="131"/>
      <c r="C708" s="131"/>
      <c r="D708" s="131"/>
      <c r="E708" s="131"/>
      <c r="F708" s="131"/>
    </row>
    <row r="709" spans="1:6" x14ac:dyDescent="0.3">
      <c r="A709" s="131"/>
      <c r="B709" s="131"/>
      <c r="C709" s="131"/>
      <c r="D709" s="131"/>
      <c r="E709" s="131"/>
      <c r="F709" s="131"/>
    </row>
    <row r="710" spans="1:6" x14ac:dyDescent="0.3">
      <c r="A710" s="131"/>
      <c r="B710" s="131"/>
      <c r="C710" s="131"/>
      <c r="D710" s="131"/>
      <c r="E710" s="131"/>
      <c r="F710" s="131"/>
    </row>
    <row r="711" spans="1:6" x14ac:dyDescent="0.3">
      <c r="A711" s="131"/>
      <c r="B711" s="131"/>
      <c r="C711" s="131"/>
      <c r="D711" s="131"/>
      <c r="E711" s="131"/>
      <c r="F711" s="131"/>
    </row>
    <row r="712" spans="1:6" x14ac:dyDescent="0.3">
      <c r="A712" s="131"/>
      <c r="B712" s="131"/>
      <c r="C712" s="131"/>
      <c r="D712" s="131"/>
      <c r="E712" s="131"/>
      <c r="F712" s="131"/>
    </row>
    <row r="713" spans="1:6" x14ac:dyDescent="0.3">
      <c r="A713" s="131"/>
      <c r="B713" s="131"/>
      <c r="C713" s="131"/>
      <c r="D713" s="131"/>
      <c r="E713" s="131"/>
      <c r="F713" s="131"/>
    </row>
    <row r="714" spans="1:6" x14ac:dyDescent="0.3">
      <c r="A714" s="131"/>
      <c r="B714" s="131"/>
      <c r="C714" s="131"/>
      <c r="D714" s="131"/>
      <c r="E714" s="131"/>
      <c r="F714" s="131"/>
    </row>
    <row r="715" spans="1:6" x14ac:dyDescent="0.3">
      <c r="A715" s="131"/>
      <c r="B715" s="131"/>
      <c r="C715" s="131"/>
      <c r="D715" s="131"/>
      <c r="E715" s="131"/>
      <c r="F715" s="131"/>
    </row>
    <row r="716" spans="1:6" x14ac:dyDescent="0.3">
      <c r="A716" s="131"/>
      <c r="B716" s="131"/>
      <c r="C716" s="131"/>
      <c r="D716" s="131"/>
      <c r="E716" s="131"/>
      <c r="F716" s="131"/>
    </row>
    <row r="717" spans="1:6" x14ac:dyDescent="0.3">
      <c r="A717" s="131"/>
      <c r="B717" s="131"/>
      <c r="C717" s="131"/>
      <c r="D717" s="131"/>
      <c r="E717" s="131"/>
      <c r="F717" s="131"/>
    </row>
    <row r="718" spans="1:6" x14ac:dyDescent="0.3">
      <c r="A718" s="131"/>
      <c r="B718" s="131"/>
      <c r="C718" s="131"/>
      <c r="D718" s="131"/>
      <c r="E718" s="131"/>
      <c r="F718" s="131"/>
    </row>
    <row r="719" spans="1:6" x14ac:dyDescent="0.3">
      <c r="A719" s="131"/>
      <c r="B719" s="131"/>
      <c r="C719" s="131"/>
      <c r="D719" s="131"/>
      <c r="E719" s="131"/>
      <c r="F719" s="131"/>
    </row>
    <row r="720" spans="1:6" x14ac:dyDescent="0.3">
      <c r="A720" s="131"/>
      <c r="B720" s="131"/>
      <c r="C720" s="131"/>
      <c r="D720" s="131"/>
      <c r="E720" s="131"/>
      <c r="F720" s="131"/>
    </row>
    <row r="721" spans="1:6" x14ac:dyDescent="0.3">
      <c r="A721" s="131"/>
      <c r="B721" s="131"/>
      <c r="C721" s="131"/>
      <c r="D721" s="131"/>
      <c r="E721" s="131"/>
      <c r="F721" s="131"/>
    </row>
    <row r="722" spans="1:6" x14ac:dyDescent="0.3">
      <c r="A722" s="131"/>
      <c r="B722" s="131"/>
      <c r="C722" s="131"/>
      <c r="D722" s="131"/>
      <c r="E722" s="131"/>
      <c r="F722" s="131"/>
    </row>
    <row r="723" spans="1:6" x14ac:dyDescent="0.3">
      <c r="A723" s="131"/>
      <c r="B723" s="131"/>
      <c r="C723" s="131"/>
      <c r="D723" s="131"/>
      <c r="E723" s="131"/>
      <c r="F723" s="131"/>
    </row>
    <row r="724" spans="1:6" x14ac:dyDescent="0.3">
      <c r="A724" s="131"/>
      <c r="B724" s="131"/>
      <c r="C724" s="131"/>
      <c r="D724" s="131"/>
      <c r="E724" s="131"/>
      <c r="F724" s="131"/>
    </row>
    <row r="725" spans="1:6" x14ac:dyDescent="0.3">
      <c r="A725" s="131"/>
      <c r="B725" s="131"/>
      <c r="C725" s="131"/>
      <c r="D725" s="131"/>
      <c r="E725" s="131"/>
      <c r="F725" s="131"/>
    </row>
    <row r="726" spans="1:6" x14ac:dyDescent="0.3">
      <c r="A726" s="131"/>
      <c r="B726" s="131"/>
      <c r="C726" s="131"/>
      <c r="D726" s="131"/>
      <c r="E726" s="131"/>
      <c r="F726" s="131"/>
    </row>
    <row r="727" spans="1:6" x14ac:dyDescent="0.3">
      <c r="A727" s="131"/>
      <c r="B727" s="131"/>
      <c r="C727" s="131"/>
      <c r="D727" s="131"/>
      <c r="E727" s="131"/>
      <c r="F727" s="131"/>
    </row>
    <row r="728" spans="1:6" x14ac:dyDescent="0.3">
      <c r="A728" s="131"/>
      <c r="B728" s="131"/>
      <c r="C728" s="131"/>
      <c r="D728" s="131"/>
      <c r="E728" s="131"/>
      <c r="F728" s="131"/>
    </row>
    <row r="729" spans="1:6" x14ac:dyDescent="0.3">
      <c r="A729" s="131"/>
      <c r="B729" s="131"/>
      <c r="C729" s="131"/>
      <c r="D729" s="131"/>
      <c r="E729" s="131"/>
      <c r="F729" s="131"/>
    </row>
    <row r="730" spans="1:6" x14ac:dyDescent="0.3">
      <c r="A730" s="131"/>
      <c r="B730" s="131"/>
      <c r="C730" s="131"/>
      <c r="D730" s="131"/>
      <c r="E730" s="131"/>
      <c r="F730" s="131"/>
    </row>
    <row r="731" spans="1:6" x14ac:dyDescent="0.3">
      <c r="A731" s="131"/>
      <c r="B731" s="131"/>
      <c r="C731" s="131"/>
      <c r="D731" s="131"/>
      <c r="E731" s="131"/>
      <c r="F731" s="131"/>
    </row>
    <row r="732" spans="1:6" x14ac:dyDescent="0.3">
      <c r="A732" s="131"/>
      <c r="B732" s="131"/>
      <c r="C732" s="131"/>
      <c r="D732" s="131"/>
      <c r="E732" s="131"/>
      <c r="F732" s="131"/>
    </row>
    <row r="733" spans="1:6" x14ac:dyDescent="0.3">
      <c r="A733" s="131"/>
      <c r="B733" s="131"/>
      <c r="C733" s="131"/>
      <c r="D733" s="131"/>
      <c r="E733" s="131"/>
      <c r="F733" s="131"/>
    </row>
    <row r="734" spans="1:6" x14ac:dyDescent="0.3">
      <c r="A734" s="131"/>
      <c r="B734" s="131"/>
      <c r="C734" s="131"/>
      <c r="D734" s="131"/>
      <c r="E734" s="131"/>
      <c r="F734" s="131"/>
    </row>
    <row r="735" spans="1:6" x14ac:dyDescent="0.3">
      <c r="A735" s="131"/>
      <c r="B735" s="131"/>
      <c r="C735" s="131"/>
      <c r="D735" s="131"/>
      <c r="E735" s="131"/>
      <c r="F735" s="131"/>
    </row>
    <row r="736" spans="1:6" x14ac:dyDescent="0.3">
      <c r="A736" s="131"/>
      <c r="B736" s="131"/>
      <c r="C736" s="131"/>
      <c r="D736" s="131"/>
      <c r="E736" s="131"/>
      <c r="F736" s="131"/>
    </row>
    <row r="737" spans="1:6" x14ac:dyDescent="0.3">
      <c r="A737" s="131"/>
      <c r="B737" s="131"/>
      <c r="C737" s="131"/>
      <c r="D737" s="131"/>
      <c r="E737" s="131"/>
      <c r="F737" s="131"/>
    </row>
    <row r="738" spans="1:6" x14ac:dyDescent="0.3">
      <c r="A738" s="131"/>
      <c r="B738" s="131"/>
      <c r="C738" s="131"/>
      <c r="D738" s="131"/>
      <c r="E738" s="131"/>
      <c r="F738" s="131"/>
    </row>
    <row r="739" spans="1:6" x14ac:dyDescent="0.3">
      <c r="A739" s="131"/>
      <c r="B739" s="131"/>
      <c r="C739" s="131"/>
      <c r="D739" s="131"/>
      <c r="E739" s="131"/>
      <c r="F739" s="131"/>
    </row>
    <row r="740" spans="1:6" x14ac:dyDescent="0.3">
      <c r="A740" s="131"/>
      <c r="B740" s="131"/>
      <c r="C740" s="131"/>
      <c r="D740" s="131"/>
      <c r="E740" s="131"/>
      <c r="F740" s="131"/>
    </row>
    <row r="741" spans="1:6" x14ac:dyDescent="0.3">
      <c r="A741" s="131"/>
      <c r="B741" s="131"/>
      <c r="C741" s="131"/>
      <c r="D741" s="131"/>
      <c r="E741" s="131"/>
      <c r="F741" s="131"/>
    </row>
    <row r="742" spans="1:6" x14ac:dyDescent="0.3">
      <c r="A742" s="131"/>
      <c r="B742" s="131"/>
      <c r="C742" s="131"/>
      <c r="D742" s="131"/>
      <c r="E742" s="131"/>
      <c r="F742" s="131"/>
    </row>
    <row r="743" spans="1:6" x14ac:dyDescent="0.3">
      <c r="A743" s="131"/>
      <c r="B743" s="131"/>
      <c r="C743" s="131"/>
      <c r="D743" s="131"/>
      <c r="E743" s="131"/>
      <c r="F743" s="131"/>
    </row>
    <row r="744" spans="1:6" x14ac:dyDescent="0.3">
      <c r="A744" s="131"/>
      <c r="B744" s="131"/>
      <c r="C744" s="131"/>
      <c r="D744" s="131"/>
      <c r="E744" s="131"/>
      <c r="F744" s="131"/>
    </row>
    <row r="745" spans="1:6" x14ac:dyDescent="0.3">
      <c r="A745" s="131"/>
      <c r="B745" s="131"/>
      <c r="C745" s="131"/>
      <c r="D745" s="131"/>
      <c r="E745" s="131"/>
      <c r="F745" s="131"/>
    </row>
    <row r="746" spans="1:6" x14ac:dyDescent="0.3">
      <c r="A746" s="131"/>
      <c r="B746" s="131"/>
      <c r="C746" s="131"/>
      <c r="D746" s="131"/>
      <c r="E746" s="131"/>
      <c r="F746" s="131"/>
    </row>
    <row r="747" spans="1:6" x14ac:dyDescent="0.3">
      <c r="A747" s="131"/>
      <c r="B747" s="131"/>
      <c r="C747" s="131"/>
      <c r="D747" s="131"/>
      <c r="E747" s="131"/>
      <c r="F747" s="131"/>
    </row>
    <row r="748" spans="1:6" x14ac:dyDescent="0.3">
      <c r="A748" s="131"/>
      <c r="B748" s="131"/>
      <c r="C748" s="131"/>
      <c r="D748" s="131"/>
      <c r="E748" s="131"/>
      <c r="F748" s="131"/>
    </row>
    <row r="749" spans="1:6" x14ac:dyDescent="0.3">
      <c r="A749" s="131"/>
      <c r="B749" s="131"/>
      <c r="C749" s="131"/>
      <c r="D749" s="131"/>
      <c r="E749" s="131"/>
      <c r="F749" s="131"/>
    </row>
    <row r="750" spans="1:6" x14ac:dyDescent="0.3">
      <c r="A750" s="131"/>
      <c r="B750" s="131"/>
      <c r="C750" s="131"/>
      <c r="D750" s="131"/>
      <c r="E750" s="131"/>
      <c r="F750" s="131"/>
    </row>
    <row r="751" spans="1:6" x14ac:dyDescent="0.3">
      <c r="A751" s="131"/>
      <c r="B751" s="131"/>
      <c r="C751" s="131"/>
      <c r="D751" s="131"/>
      <c r="E751" s="131"/>
      <c r="F751" s="131"/>
    </row>
    <row r="752" spans="1:6" x14ac:dyDescent="0.3">
      <c r="A752" s="131"/>
      <c r="B752" s="131"/>
      <c r="C752" s="131"/>
      <c r="D752" s="131"/>
      <c r="E752" s="131"/>
      <c r="F752" s="131"/>
    </row>
    <row r="753" spans="1:6" x14ac:dyDescent="0.3">
      <c r="A753" s="131"/>
      <c r="B753" s="131"/>
      <c r="C753" s="131"/>
      <c r="D753" s="131"/>
      <c r="E753" s="131"/>
      <c r="F753" s="131"/>
    </row>
    <row r="754" spans="1:6" x14ac:dyDescent="0.3">
      <c r="A754" s="131"/>
      <c r="B754" s="131"/>
      <c r="C754" s="131"/>
      <c r="D754" s="131"/>
      <c r="E754" s="131"/>
      <c r="F754" s="131"/>
    </row>
    <row r="755" spans="1:6" x14ac:dyDescent="0.3">
      <c r="A755" s="131"/>
      <c r="B755" s="131"/>
      <c r="C755" s="131"/>
      <c r="D755" s="131"/>
      <c r="E755" s="131"/>
      <c r="F755" s="131"/>
    </row>
    <row r="756" spans="1:6" x14ac:dyDescent="0.3">
      <c r="A756" s="131"/>
      <c r="B756" s="131"/>
      <c r="C756" s="131"/>
      <c r="D756" s="131"/>
      <c r="E756" s="131"/>
      <c r="F756" s="131"/>
    </row>
    <row r="757" spans="1:6" x14ac:dyDescent="0.3">
      <c r="A757" s="131"/>
      <c r="B757" s="131"/>
      <c r="C757" s="131"/>
      <c r="D757" s="131"/>
      <c r="E757" s="131"/>
      <c r="F757" s="131"/>
    </row>
    <row r="758" spans="1:6" x14ac:dyDescent="0.3">
      <c r="A758" s="131"/>
      <c r="B758" s="131"/>
      <c r="C758" s="131"/>
      <c r="D758" s="131"/>
      <c r="E758" s="131"/>
      <c r="F758" s="131"/>
    </row>
    <row r="759" spans="1:6" x14ac:dyDescent="0.3">
      <c r="A759" s="131"/>
      <c r="B759" s="131"/>
      <c r="C759" s="131"/>
      <c r="D759" s="131"/>
      <c r="E759" s="131"/>
      <c r="F759" s="131"/>
    </row>
    <row r="760" spans="1:6" x14ac:dyDescent="0.3">
      <c r="A760" s="131"/>
      <c r="B760" s="131"/>
      <c r="C760" s="131"/>
      <c r="D760" s="131"/>
      <c r="E760" s="131"/>
      <c r="F760" s="131"/>
    </row>
    <row r="761" spans="1:6" x14ac:dyDescent="0.3">
      <c r="A761" s="131"/>
      <c r="B761" s="131"/>
      <c r="C761" s="131"/>
      <c r="D761" s="131"/>
      <c r="E761" s="131"/>
      <c r="F761" s="131"/>
    </row>
    <row r="762" spans="1:6" x14ac:dyDescent="0.3">
      <c r="A762" s="131"/>
      <c r="B762" s="131"/>
      <c r="C762" s="131"/>
      <c r="D762" s="131"/>
      <c r="E762" s="131"/>
      <c r="F762" s="131"/>
    </row>
    <row r="763" spans="1:6" x14ac:dyDescent="0.3">
      <c r="A763" s="131"/>
      <c r="B763" s="131"/>
      <c r="C763" s="131"/>
      <c r="D763" s="131"/>
      <c r="E763" s="131"/>
      <c r="F763" s="131"/>
    </row>
    <row r="764" spans="1:6" x14ac:dyDescent="0.3">
      <c r="A764" s="131"/>
      <c r="B764" s="131"/>
      <c r="C764" s="131"/>
      <c r="D764" s="131"/>
      <c r="E764" s="131"/>
      <c r="F764" s="131"/>
    </row>
    <row r="765" spans="1:6" x14ac:dyDescent="0.3">
      <c r="A765" s="131"/>
      <c r="B765" s="131"/>
      <c r="C765" s="131"/>
      <c r="D765" s="131"/>
      <c r="E765" s="131"/>
      <c r="F765" s="131"/>
    </row>
    <row r="766" spans="1:6" x14ac:dyDescent="0.3">
      <c r="A766" s="131"/>
      <c r="B766" s="131"/>
      <c r="C766" s="131"/>
      <c r="D766" s="131"/>
      <c r="E766" s="131"/>
      <c r="F766" s="131"/>
    </row>
    <row r="767" spans="1:6" x14ac:dyDescent="0.3">
      <c r="A767" s="131"/>
      <c r="B767" s="131"/>
      <c r="C767" s="131"/>
      <c r="D767" s="131"/>
      <c r="E767" s="131"/>
      <c r="F767" s="131"/>
    </row>
    <row r="768" spans="1:6" x14ac:dyDescent="0.3">
      <c r="A768" s="131"/>
      <c r="B768" s="131"/>
      <c r="C768" s="131"/>
      <c r="D768" s="131"/>
      <c r="E768" s="131"/>
      <c r="F768" s="131"/>
    </row>
    <row r="769" spans="1:6" x14ac:dyDescent="0.3">
      <c r="A769" s="131"/>
      <c r="B769" s="131"/>
      <c r="C769" s="131"/>
      <c r="D769" s="131"/>
      <c r="E769" s="131"/>
      <c r="F769" s="131"/>
    </row>
    <row r="770" spans="1:6" x14ac:dyDescent="0.3">
      <c r="A770" s="131"/>
      <c r="B770" s="131"/>
      <c r="C770" s="131"/>
      <c r="D770" s="131"/>
      <c r="E770" s="131"/>
      <c r="F770" s="131"/>
    </row>
    <row r="771" spans="1:6" x14ac:dyDescent="0.3">
      <c r="A771" s="131"/>
      <c r="B771" s="131"/>
      <c r="C771" s="131"/>
      <c r="D771" s="131"/>
      <c r="E771" s="131"/>
      <c r="F771" s="131"/>
    </row>
    <row r="772" spans="1:6" x14ac:dyDescent="0.3">
      <c r="A772" s="131"/>
      <c r="B772" s="131"/>
      <c r="C772" s="131"/>
      <c r="D772" s="131"/>
      <c r="E772" s="131"/>
      <c r="F772" s="131"/>
    </row>
    <row r="773" spans="1:6" x14ac:dyDescent="0.3">
      <c r="A773" s="131"/>
      <c r="B773" s="131"/>
      <c r="C773" s="131"/>
      <c r="D773" s="131"/>
      <c r="E773" s="131"/>
      <c r="F773" s="131"/>
    </row>
    <row r="774" spans="1:6" x14ac:dyDescent="0.3">
      <c r="A774" s="131"/>
      <c r="B774" s="131"/>
      <c r="C774" s="131"/>
      <c r="D774" s="131"/>
      <c r="E774" s="131"/>
      <c r="F774" s="131"/>
    </row>
    <row r="775" spans="1:6" x14ac:dyDescent="0.3">
      <c r="A775" s="131"/>
      <c r="B775" s="131"/>
      <c r="C775" s="131"/>
      <c r="D775" s="131"/>
      <c r="E775" s="131"/>
      <c r="F775" s="131"/>
    </row>
    <row r="776" spans="1:6" x14ac:dyDescent="0.3">
      <c r="A776" s="131"/>
      <c r="B776" s="131"/>
      <c r="C776" s="131"/>
      <c r="D776" s="131"/>
      <c r="E776" s="131"/>
      <c r="F776" s="131"/>
    </row>
    <row r="777" spans="1:6" x14ac:dyDescent="0.3">
      <c r="A777" s="131"/>
      <c r="B777" s="131"/>
      <c r="C777" s="131"/>
      <c r="D777" s="131"/>
      <c r="E777" s="131"/>
      <c r="F777" s="131"/>
    </row>
    <row r="778" spans="1:6" x14ac:dyDescent="0.3">
      <c r="A778" s="131"/>
      <c r="B778" s="131"/>
      <c r="C778" s="131"/>
      <c r="D778" s="131"/>
      <c r="E778" s="131"/>
      <c r="F778" s="131"/>
    </row>
    <row r="779" spans="1:6" x14ac:dyDescent="0.3">
      <c r="A779" s="131"/>
      <c r="B779" s="131"/>
      <c r="C779" s="131"/>
      <c r="D779" s="131"/>
      <c r="E779" s="131"/>
      <c r="F779" s="131"/>
    </row>
    <row r="780" spans="1:6" x14ac:dyDescent="0.3">
      <c r="A780" s="131"/>
      <c r="B780" s="131"/>
      <c r="C780" s="131"/>
      <c r="D780" s="131"/>
      <c r="E780" s="131"/>
      <c r="F780" s="131"/>
    </row>
    <row r="781" spans="1:6" x14ac:dyDescent="0.3">
      <c r="A781" s="131"/>
      <c r="B781" s="131"/>
      <c r="C781" s="131"/>
      <c r="D781" s="131"/>
      <c r="E781" s="131"/>
      <c r="F781" s="131"/>
    </row>
    <row r="782" spans="1:6" x14ac:dyDescent="0.3">
      <c r="A782" s="131"/>
      <c r="B782" s="131"/>
      <c r="C782" s="131"/>
      <c r="D782" s="131"/>
      <c r="E782" s="131"/>
      <c r="F782" s="131"/>
    </row>
    <row r="783" spans="1:6" x14ac:dyDescent="0.3">
      <c r="A783" s="131"/>
      <c r="B783" s="131"/>
      <c r="C783" s="131"/>
      <c r="D783" s="131"/>
      <c r="E783" s="131"/>
      <c r="F783" s="131"/>
    </row>
    <row r="784" spans="1:6" x14ac:dyDescent="0.3">
      <c r="A784" s="131"/>
      <c r="B784" s="131"/>
      <c r="C784" s="131"/>
      <c r="D784" s="131"/>
      <c r="E784" s="131"/>
      <c r="F784" s="131"/>
    </row>
    <row r="785" spans="1:6" x14ac:dyDescent="0.3">
      <c r="A785" s="131"/>
      <c r="B785" s="131"/>
      <c r="C785" s="131"/>
      <c r="D785" s="131"/>
      <c r="E785" s="131"/>
      <c r="F785" s="131"/>
    </row>
    <row r="786" spans="1:6" x14ac:dyDescent="0.3">
      <c r="A786" s="131"/>
      <c r="B786" s="131"/>
      <c r="C786" s="131"/>
      <c r="D786" s="131"/>
      <c r="E786" s="131"/>
      <c r="F786" s="131"/>
    </row>
    <row r="787" spans="1:6" x14ac:dyDescent="0.3">
      <c r="A787" s="131"/>
      <c r="B787" s="131"/>
      <c r="C787" s="131"/>
      <c r="D787" s="131"/>
      <c r="E787" s="131"/>
      <c r="F787" s="131"/>
    </row>
    <row r="788" spans="1:6" x14ac:dyDescent="0.3">
      <c r="A788" s="131"/>
      <c r="B788" s="131"/>
      <c r="C788" s="131"/>
      <c r="D788" s="131"/>
      <c r="E788" s="131"/>
      <c r="F788" s="131"/>
    </row>
    <row r="789" spans="1:6" x14ac:dyDescent="0.3">
      <c r="A789" s="131"/>
      <c r="B789" s="131"/>
      <c r="C789" s="131"/>
      <c r="D789" s="131"/>
      <c r="E789" s="131"/>
      <c r="F789" s="131"/>
    </row>
    <row r="790" spans="1:6" x14ac:dyDescent="0.3">
      <c r="A790" s="131"/>
      <c r="B790" s="131"/>
      <c r="C790" s="131"/>
      <c r="D790" s="131"/>
      <c r="E790" s="131"/>
      <c r="F790" s="131"/>
    </row>
    <row r="791" spans="1:6" x14ac:dyDescent="0.3">
      <c r="A791" s="131"/>
      <c r="B791" s="131"/>
      <c r="C791" s="131"/>
      <c r="D791" s="131"/>
      <c r="E791" s="131"/>
      <c r="F791" s="131"/>
    </row>
    <row r="792" spans="1:6" x14ac:dyDescent="0.3">
      <c r="A792" s="131"/>
      <c r="B792" s="131"/>
      <c r="C792" s="131"/>
      <c r="D792" s="131"/>
      <c r="E792" s="131"/>
      <c r="F792" s="131"/>
    </row>
    <row r="793" spans="1:6" x14ac:dyDescent="0.3">
      <c r="A793" s="131"/>
      <c r="B793" s="131"/>
      <c r="C793" s="131"/>
      <c r="D793" s="131"/>
      <c r="E793" s="131"/>
      <c r="F793" s="131"/>
    </row>
    <row r="794" spans="1:6" x14ac:dyDescent="0.3">
      <c r="A794" s="131"/>
      <c r="B794" s="131"/>
      <c r="C794" s="131"/>
      <c r="D794" s="131"/>
      <c r="E794" s="131"/>
      <c r="F794" s="131"/>
    </row>
    <row r="795" spans="1:6" x14ac:dyDescent="0.3">
      <c r="A795" s="131"/>
      <c r="B795" s="131"/>
      <c r="C795" s="131"/>
      <c r="D795" s="131"/>
      <c r="E795" s="131"/>
      <c r="F795" s="131"/>
    </row>
    <row r="796" spans="1:6" x14ac:dyDescent="0.3">
      <c r="A796" s="131"/>
      <c r="B796" s="131"/>
      <c r="C796" s="131"/>
      <c r="D796" s="131"/>
      <c r="E796" s="131"/>
      <c r="F796" s="131"/>
    </row>
    <row r="797" spans="1:6" x14ac:dyDescent="0.3">
      <c r="A797" s="131"/>
      <c r="B797" s="131"/>
      <c r="C797" s="131"/>
      <c r="D797" s="131"/>
      <c r="E797" s="131"/>
      <c r="F797" s="131"/>
    </row>
    <row r="798" spans="1:6" x14ac:dyDescent="0.3">
      <c r="A798" s="131"/>
      <c r="B798" s="131"/>
      <c r="C798" s="131"/>
      <c r="D798" s="131"/>
      <c r="E798" s="131"/>
      <c r="F798" s="131"/>
    </row>
    <row r="799" spans="1:6" x14ac:dyDescent="0.3">
      <c r="A799" s="131"/>
      <c r="B799" s="131"/>
      <c r="C799" s="131"/>
      <c r="D799" s="131"/>
      <c r="E799" s="131"/>
      <c r="F799" s="131"/>
    </row>
    <row r="800" spans="1:6" x14ac:dyDescent="0.3">
      <c r="A800" s="131"/>
      <c r="B800" s="131"/>
      <c r="C800" s="131"/>
      <c r="D800" s="131"/>
      <c r="E800" s="131"/>
      <c r="F800" s="131"/>
    </row>
    <row r="801" spans="1:6" x14ac:dyDescent="0.3">
      <c r="A801" s="131"/>
      <c r="B801" s="131"/>
      <c r="C801" s="131"/>
      <c r="D801" s="131"/>
      <c r="E801" s="131"/>
      <c r="F801" s="131"/>
    </row>
    <row r="802" spans="1:6" x14ac:dyDescent="0.3">
      <c r="A802" s="131"/>
      <c r="B802" s="131"/>
      <c r="C802" s="131"/>
      <c r="D802" s="131"/>
      <c r="E802" s="131"/>
      <c r="F802" s="131"/>
    </row>
    <row r="803" spans="1:6" x14ac:dyDescent="0.3">
      <c r="A803" s="131"/>
      <c r="B803" s="131"/>
      <c r="C803" s="131"/>
      <c r="D803" s="131"/>
      <c r="E803" s="131"/>
      <c r="F803" s="131"/>
    </row>
    <row r="804" spans="1:6" x14ac:dyDescent="0.3">
      <c r="A804" s="131"/>
      <c r="B804" s="131"/>
      <c r="C804" s="131"/>
      <c r="D804" s="131"/>
      <c r="E804" s="131"/>
      <c r="F804" s="131"/>
    </row>
    <row r="805" spans="1:6" x14ac:dyDescent="0.3">
      <c r="A805" s="131"/>
      <c r="B805" s="131"/>
      <c r="C805" s="131"/>
      <c r="D805" s="131"/>
      <c r="E805" s="131"/>
      <c r="F805" s="131"/>
    </row>
    <row r="806" spans="1:6" x14ac:dyDescent="0.3">
      <c r="A806" s="131"/>
      <c r="B806" s="131"/>
      <c r="C806" s="131"/>
      <c r="D806" s="131"/>
      <c r="E806" s="131"/>
      <c r="F806" s="131"/>
    </row>
    <row r="807" spans="1:6" x14ac:dyDescent="0.3">
      <c r="A807" s="131"/>
      <c r="B807" s="131"/>
      <c r="C807" s="131"/>
      <c r="D807" s="131"/>
      <c r="E807" s="131"/>
      <c r="F807" s="131"/>
    </row>
    <row r="808" spans="1:6" x14ac:dyDescent="0.3">
      <c r="A808" s="131"/>
      <c r="B808" s="131"/>
      <c r="C808" s="131"/>
      <c r="D808" s="131"/>
      <c r="E808" s="131"/>
      <c r="F808" s="131"/>
    </row>
    <row r="809" spans="1:6" x14ac:dyDescent="0.3">
      <c r="A809" s="131"/>
      <c r="B809" s="131"/>
      <c r="C809" s="131"/>
      <c r="D809" s="131"/>
      <c r="E809" s="131"/>
      <c r="F809" s="131"/>
    </row>
    <row r="810" spans="1:6" x14ac:dyDescent="0.3">
      <c r="A810" s="131"/>
      <c r="B810" s="131"/>
      <c r="C810" s="131"/>
      <c r="D810" s="131"/>
      <c r="E810" s="131"/>
      <c r="F810" s="131"/>
    </row>
    <row r="811" spans="1:6" x14ac:dyDescent="0.3">
      <c r="A811" s="131"/>
      <c r="B811" s="131"/>
      <c r="C811" s="131"/>
      <c r="D811" s="131"/>
      <c r="E811" s="131"/>
      <c r="F811" s="131"/>
    </row>
    <row r="812" spans="1:6" x14ac:dyDescent="0.3">
      <c r="A812" s="131"/>
      <c r="B812" s="131"/>
      <c r="C812" s="131"/>
      <c r="D812" s="131"/>
      <c r="E812" s="131"/>
      <c r="F812" s="131"/>
    </row>
    <row r="813" spans="1:6" x14ac:dyDescent="0.3">
      <c r="A813" s="131"/>
      <c r="B813" s="131"/>
      <c r="C813" s="131"/>
      <c r="D813" s="131"/>
      <c r="E813" s="131"/>
      <c r="F813" s="131"/>
    </row>
    <row r="814" spans="1:6" x14ac:dyDescent="0.3">
      <c r="A814" s="131"/>
      <c r="B814" s="131"/>
      <c r="C814" s="131"/>
      <c r="D814" s="131"/>
      <c r="E814" s="131"/>
      <c r="F814" s="131"/>
    </row>
    <row r="815" spans="1:6" x14ac:dyDescent="0.3">
      <c r="A815" s="131"/>
      <c r="B815" s="131"/>
      <c r="C815" s="131"/>
      <c r="D815" s="131"/>
      <c r="E815" s="131"/>
      <c r="F815" s="131"/>
    </row>
    <row r="816" spans="1:6" x14ac:dyDescent="0.3">
      <c r="A816" s="131"/>
      <c r="B816" s="131"/>
      <c r="C816" s="131"/>
      <c r="D816" s="131"/>
      <c r="E816" s="131"/>
      <c r="F816" s="131"/>
    </row>
    <row r="817" spans="1:6" x14ac:dyDescent="0.3">
      <c r="A817" s="131"/>
      <c r="B817" s="131"/>
      <c r="C817" s="131"/>
      <c r="D817" s="131"/>
      <c r="E817" s="131"/>
      <c r="F817" s="131"/>
    </row>
    <row r="818" spans="1:6" x14ac:dyDescent="0.3">
      <c r="A818" s="131"/>
      <c r="B818" s="131"/>
      <c r="C818" s="131"/>
      <c r="D818" s="131"/>
      <c r="E818" s="131"/>
      <c r="F818" s="131"/>
    </row>
    <row r="819" spans="1:6" x14ac:dyDescent="0.3">
      <c r="A819" s="131"/>
      <c r="B819" s="131"/>
      <c r="C819" s="131"/>
      <c r="D819" s="131"/>
      <c r="E819" s="131"/>
      <c r="F819" s="131"/>
    </row>
    <row r="820" spans="1:6" x14ac:dyDescent="0.3">
      <c r="A820" s="131"/>
      <c r="B820" s="131"/>
      <c r="C820" s="131"/>
      <c r="D820" s="131"/>
      <c r="E820" s="131"/>
      <c r="F820" s="131"/>
    </row>
    <row r="821" spans="1:6" x14ac:dyDescent="0.3">
      <c r="A821" s="131"/>
      <c r="B821" s="131"/>
      <c r="C821" s="131"/>
      <c r="D821" s="131"/>
      <c r="E821" s="131"/>
      <c r="F821" s="131"/>
    </row>
    <row r="822" spans="1:6" x14ac:dyDescent="0.3">
      <c r="A822" s="131"/>
      <c r="B822" s="131"/>
      <c r="C822" s="131"/>
      <c r="D822" s="131"/>
      <c r="E822" s="131"/>
      <c r="F822" s="131"/>
    </row>
    <row r="823" spans="1:6" x14ac:dyDescent="0.3">
      <c r="A823" s="131"/>
      <c r="B823" s="131"/>
      <c r="C823" s="131"/>
      <c r="D823" s="131"/>
      <c r="E823" s="131"/>
      <c r="F823" s="131"/>
    </row>
    <row r="824" spans="1:6" x14ac:dyDescent="0.3">
      <c r="A824" s="131"/>
      <c r="B824" s="131"/>
      <c r="C824" s="131"/>
      <c r="D824" s="131"/>
      <c r="E824" s="131"/>
      <c r="F824" s="131"/>
    </row>
    <row r="825" spans="1:6" x14ac:dyDescent="0.3">
      <c r="A825" s="131"/>
      <c r="B825" s="131"/>
      <c r="C825" s="131"/>
      <c r="D825" s="131"/>
      <c r="E825" s="131"/>
      <c r="F825" s="131"/>
    </row>
    <row r="826" spans="1:6" x14ac:dyDescent="0.3">
      <c r="A826" s="131"/>
      <c r="B826" s="131"/>
      <c r="C826" s="131"/>
      <c r="D826" s="131"/>
      <c r="E826" s="131"/>
      <c r="F826" s="131"/>
    </row>
    <row r="827" spans="1:6" x14ac:dyDescent="0.3">
      <c r="A827" s="131"/>
      <c r="B827" s="131"/>
      <c r="C827" s="131"/>
      <c r="D827" s="131"/>
      <c r="E827" s="131"/>
      <c r="F827" s="131"/>
    </row>
    <row r="828" spans="1:6" x14ac:dyDescent="0.3">
      <c r="A828" s="131"/>
      <c r="B828" s="131"/>
      <c r="C828" s="131"/>
      <c r="D828" s="131"/>
      <c r="E828" s="131"/>
      <c r="F828" s="131"/>
    </row>
    <row r="829" spans="1:6" x14ac:dyDescent="0.3">
      <c r="A829" s="131"/>
      <c r="B829" s="131"/>
      <c r="C829" s="131"/>
      <c r="D829" s="131"/>
      <c r="E829" s="131"/>
      <c r="F829" s="131"/>
    </row>
    <row r="830" spans="1:6" x14ac:dyDescent="0.3">
      <c r="A830" s="131"/>
      <c r="B830" s="131"/>
      <c r="C830" s="131"/>
      <c r="D830" s="131"/>
      <c r="E830" s="131"/>
      <c r="F830" s="131"/>
    </row>
    <row r="831" spans="1:6" x14ac:dyDescent="0.3">
      <c r="A831" s="131"/>
      <c r="B831" s="131"/>
      <c r="C831" s="131"/>
      <c r="D831" s="131"/>
      <c r="E831" s="131"/>
      <c r="F831" s="131"/>
    </row>
    <row r="832" spans="1:6" x14ac:dyDescent="0.3">
      <c r="A832" s="131"/>
      <c r="B832" s="131"/>
      <c r="C832" s="131"/>
      <c r="D832" s="131"/>
      <c r="E832" s="131"/>
      <c r="F832" s="131"/>
    </row>
    <row r="833" spans="1:6" x14ac:dyDescent="0.3">
      <c r="A833" s="131"/>
      <c r="B833" s="131"/>
      <c r="C833" s="131"/>
      <c r="D833" s="131"/>
      <c r="E833" s="131"/>
      <c r="F833" s="131"/>
    </row>
    <row r="834" spans="1:6" x14ac:dyDescent="0.3">
      <c r="A834" s="131"/>
      <c r="B834" s="131"/>
      <c r="C834" s="131"/>
      <c r="D834" s="131"/>
      <c r="E834" s="131"/>
      <c r="F834" s="131"/>
    </row>
    <row r="835" spans="1:6" x14ac:dyDescent="0.3">
      <c r="A835" s="131"/>
      <c r="B835" s="131"/>
      <c r="C835" s="131"/>
      <c r="D835" s="131"/>
      <c r="E835" s="131"/>
      <c r="F835" s="131"/>
    </row>
    <row r="836" spans="1:6" x14ac:dyDescent="0.3">
      <c r="A836" s="131"/>
      <c r="B836" s="131"/>
      <c r="C836" s="131"/>
      <c r="D836" s="131"/>
      <c r="E836" s="131"/>
      <c r="F836" s="131"/>
    </row>
    <row r="837" spans="1:6" x14ac:dyDescent="0.3">
      <c r="A837" s="131"/>
      <c r="B837" s="131"/>
      <c r="C837" s="131"/>
      <c r="D837" s="131"/>
      <c r="E837" s="131"/>
      <c r="F837" s="131"/>
    </row>
    <row r="838" spans="1:6" x14ac:dyDescent="0.3">
      <c r="A838" s="131"/>
      <c r="B838" s="131"/>
      <c r="C838" s="131"/>
      <c r="D838" s="131"/>
      <c r="E838" s="131"/>
      <c r="F838" s="131"/>
    </row>
    <row r="839" spans="1:6" x14ac:dyDescent="0.3">
      <c r="A839" s="131"/>
      <c r="B839" s="131"/>
      <c r="C839" s="131"/>
      <c r="D839" s="131"/>
      <c r="E839" s="131"/>
      <c r="F839" s="131"/>
    </row>
    <row r="840" spans="1:6" x14ac:dyDescent="0.3">
      <c r="A840" s="131"/>
      <c r="B840" s="131"/>
      <c r="C840" s="131"/>
      <c r="D840" s="131"/>
      <c r="E840" s="131"/>
      <c r="F840" s="131"/>
    </row>
    <row r="841" spans="1:6" x14ac:dyDescent="0.3">
      <c r="A841" s="131"/>
      <c r="B841" s="131"/>
      <c r="C841" s="131"/>
      <c r="D841" s="131"/>
      <c r="E841" s="131"/>
      <c r="F841" s="131"/>
    </row>
    <row r="842" spans="1:6" x14ac:dyDescent="0.3">
      <c r="A842" s="131"/>
      <c r="B842" s="131"/>
      <c r="C842" s="131"/>
      <c r="D842" s="131"/>
      <c r="E842" s="131"/>
      <c r="F842" s="131"/>
    </row>
    <row r="843" spans="1:6" x14ac:dyDescent="0.3">
      <c r="A843" s="131"/>
      <c r="B843" s="131"/>
      <c r="C843" s="131"/>
      <c r="D843" s="131"/>
      <c r="E843" s="131"/>
      <c r="F843" s="131"/>
    </row>
    <row r="844" spans="1:6" x14ac:dyDescent="0.3">
      <c r="A844" s="131"/>
      <c r="B844" s="131"/>
      <c r="C844" s="131"/>
      <c r="D844" s="131"/>
      <c r="E844" s="131"/>
      <c r="F844" s="131"/>
    </row>
    <row r="845" spans="1:6" x14ac:dyDescent="0.3">
      <c r="A845" s="131"/>
      <c r="B845" s="131"/>
      <c r="C845" s="131"/>
      <c r="D845" s="131"/>
      <c r="E845" s="131"/>
      <c r="F845" s="131"/>
    </row>
    <row r="846" spans="1:6" x14ac:dyDescent="0.3">
      <c r="A846" s="131"/>
      <c r="B846" s="131"/>
      <c r="C846" s="131"/>
      <c r="D846" s="131"/>
      <c r="E846" s="131"/>
      <c r="F846" s="131"/>
    </row>
    <row r="847" spans="1:6" x14ac:dyDescent="0.3">
      <c r="A847" s="131"/>
      <c r="B847" s="131"/>
      <c r="C847" s="131"/>
      <c r="D847" s="131"/>
      <c r="E847" s="131"/>
      <c r="F847" s="131"/>
    </row>
    <row r="848" spans="1:6" x14ac:dyDescent="0.3">
      <c r="A848" s="131"/>
      <c r="B848" s="131"/>
      <c r="C848" s="131"/>
      <c r="D848" s="131"/>
      <c r="E848" s="131"/>
      <c r="F848" s="131"/>
    </row>
    <row r="849" spans="1:6" x14ac:dyDescent="0.3">
      <c r="A849" s="131"/>
      <c r="B849" s="131"/>
      <c r="C849" s="131"/>
      <c r="D849" s="131"/>
      <c r="E849" s="131"/>
      <c r="F849" s="131"/>
    </row>
    <row r="850" spans="1:6" x14ac:dyDescent="0.3">
      <c r="A850" s="131"/>
      <c r="B850" s="131"/>
      <c r="C850" s="131"/>
      <c r="D850" s="131"/>
      <c r="E850" s="131"/>
      <c r="F850" s="131"/>
    </row>
    <row r="851" spans="1:6" x14ac:dyDescent="0.3">
      <c r="A851" s="131"/>
      <c r="B851" s="131"/>
      <c r="C851" s="131"/>
      <c r="D851" s="131"/>
      <c r="E851" s="131"/>
      <c r="F851" s="131"/>
    </row>
    <row r="852" spans="1:6" x14ac:dyDescent="0.3">
      <c r="A852" s="131"/>
      <c r="B852" s="131"/>
      <c r="C852" s="131"/>
      <c r="D852" s="131"/>
      <c r="E852" s="131"/>
      <c r="F852" s="131"/>
    </row>
    <row r="853" spans="1:6" x14ac:dyDescent="0.3">
      <c r="A853" s="131"/>
      <c r="B853" s="131"/>
      <c r="C853" s="131"/>
      <c r="D853" s="131"/>
      <c r="E853" s="131"/>
      <c r="F853" s="131"/>
    </row>
    <row r="854" spans="1:6" x14ac:dyDescent="0.3">
      <c r="A854" s="131"/>
      <c r="B854" s="131"/>
      <c r="C854" s="131"/>
      <c r="D854" s="131"/>
      <c r="E854" s="131"/>
      <c r="F854" s="131"/>
    </row>
    <row r="855" spans="1:6" x14ac:dyDescent="0.3">
      <c r="A855" s="131"/>
      <c r="B855" s="131"/>
      <c r="C855" s="131"/>
      <c r="D855" s="131"/>
      <c r="E855" s="131"/>
      <c r="F855" s="131"/>
    </row>
    <row r="856" spans="1:6" x14ac:dyDescent="0.3">
      <c r="A856" s="131"/>
      <c r="B856" s="131"/>
      <c r="C856" s="131"/>
      <c r="D856" s="131"/>
      <c r="E856" s="131"/>
      <c r="F856" s="131"/>
    </row>
    <row r="857" spans="1:6" x14ac:dyDescent="0.3">
      <c r="A857" s="131"/>
      <c r="B857" s="131"/>
      <c r="C857" s="131"/>
      <c r="D857" s="131"/>
      <c r="E857" s="131"/>
      <c r="F857" s="131"/>
    </row>
    <row r="858" spans="1:6" x14ac:dyDescent="0.3">
      <c r="A858" s="131"/>
      <c r="B858" s="131"/>
      <c r="C858" s="131"/>
      <c r="D858" s="131"/>
      <c r="E858" s="131"/>
      <c r="F858" s="131"/>
    </row>
    <row r="859" spans="1:6" x14ac:dyDescent="0.3">
      <c r="A859" s="131"/>
      <c r="B859" s="131"/>
      <c r="C859" s="131"/>
      <c r="D859" s="131"/>
      <c r="E859" s="131"/>
      <c r="F859" s="131"/>
    </row>
    <row r="860" spans="1:6" x14ac:dyDescent="0.3">
      <c r="A860" s="131"/>
      <c r="B860" s="131"/>
      <c r="C860" s="131"/>
      <c r="D860" s="131"/>
      <c r="E860" s="131"/>
      <c r="F860" s="131"/>
    </row>
    <row r="861" spans="1:6" x14ac:dyDescent="0.3">
      <c r="A861" s="131"/>
      <c r="B861" s="131"/>
      <c r="C861" s="131"/>
      <c r="D861" s="131"/>
      <c r="E861" s="131"/>
      <c r="F861" s="131"/>
    </row>
    <row r="862" spans="1:6" x14ac:dyDescent="0.3">
      <c r="A862" s="131"/>
      <c r="B862" s="131"/>
      <c r="C862" s="131"/>
      <c r="D862" s="131"/>
      <c r="E862" s="131"/>
      <c r="F862" s="131"/>
    </row>
    <row r="863" spans="1:6" x14ac:dyDescent="0.3">
      <c r="A863" s="131"/>
      <c r="B863" s="131"/>
      <c r="C863" s="131"/>
      <c r="D863" s="131"/>
      <c r="E863" s="131"/>
      <c r="F863" s="131"/>
    </row>
    <row r="864" spans="1:6" x14ac:dyDescent="0.3">
      <c r="A864" s="131"/>
      <c r="B864" s="131"/>
      <c r="C864" s="131"/>
      <c r="D864" s="131"/>
      <c r="E864" s="131"/>
      <c r="F864" s="131"/>
    </row>
    <row r="865" spans="1:6" x14ac:dyDescent="0.3">
      <c r="A865" s="131"/>
      <c r="B865" s="131"/>
      <c r="C865" s="131"/>
      <c r="D865" s="131"/>
      <c r="E865" s="131"/>
      <c r="F865" s="131"/>
    </row>
    <row r="866" spans="1:6" x14ac:dyDescent="0.3">
      <c r="A866" s="131"/>
      <c r="B866" s="131"/>
      <c r="C866" s="131"/>
      <c r="D866" s="131"/>
      <c r="E866" s="131"/>
      <c r="F866" s="131"/>
    </row>
    <row r="867" spans="1:6" x14ac:dyDescent="0.3">
      <c r="A867" s="131"/>
      <c r="B867" s="131"/>
      <c r="C867" s="131"/>
      <c r="D867" s="131"/>
      <c r="E867" s="131"/>
      <c r="F867" s="131"/>
    </row>
    <row r="868" spans="1:6" x14ac:dyDescent="0.3">
      <c r="A868" s="131"/>
      <c r="B868" s="131"/>
      <c r="C868" s="131"/>
      <c r="D868" s="131"/>
      <c r="E868" s="131"/>
      <c r="F868" s="131"/>
    </row>
    <row r="869" spans="1:6" x14ac:dyDescent="0.3">
      <c r="A869" s="131"/>
      <c r="B869" s="131"/>
      <c r="C869" s="131"/>
      <c r="D869" s="131"/>
      <c r="E869" s="131"/>
      <c r="F869" s="131"/>
    </row>
    <row r="870" spans="1:6" x14ac:dyDescent="0.3">
      <c r="A870" s="131"/>
      <c r="B870" s="131"/>
      <c r="C870" s="131"/>
      <c r="D870" s="131"/>
      <c r="E870" s="131"/>
      <c r="F870" s="131"/>
    </row>
    <row r="871" spans="1:6" x14ac:dyDescent="0.3">
      <c r="A871" s="131"/>
      <c r="B871" s="131"/>
      <c r="C871" s="131"/>
      <c r="D871" s="131"/>
      <c r="E871" s="131"/>
      <c r="F871" s="131"/>
    </row>
    <row r="872" spans="1:6" x14ac:dyDescent="0.3">
      <c r="A872" s="131"/>
      <c r="B872" s="131"/>
      <c r="C872" s="131"/>
      <c r="D872" s="131"/>
      <c r="E872" s="131"/>
      <c r="F872" s="131"/>
    </row>
    <row r="873" spans="1:6" x14ac:dyDescent="0.3">
      <c r="A873" s="131"/>
      <c r="B873" s="131"/>
      <c r="C873" s="131"/>
      <c r="D873" s="131"/>
      <c r="E873" s="131"/>
      <c r="F873" s="131"/>
    </row>
    <row r="874" spans="1:6" x14ac:dyDescent="0.3">
      <c r="A874" s="131"/>
      <c r="B874" s="131"/>
      <c r="C874" s="131"/>
      <c r="D874" s="131"/>
      <c r="E874" s="131"/>
      <c r="F874" s="131"/>
    </row>
    <row r="875" spans="1:6" x14ac:dyDescent="0.3">
      <c r="A875" s="131"/>
      <c r="B875" s="131"/>
      <c r="C875" s="131"/>
      <c r="D875" s="131"/>
      <c r="E875" s="131"/>
      <c r="F875" s="131"/>
    </row>
    <row r="876" spans="1:6" x14ac:dyDescent="0.3">
      <c r="A876" s="131"/>
      <c r="B876" s="131"/>
      <c r="C876" s="131"/>
      <c r="D876" s="131"/>
      <c r="E876" s="131"/>
      <c r="F876" s="131"/>
    </row>
    <row r="877" spans="1:6" x14ac:dyDescent="0.3">
      <c r="A877" s="131"/>
      <c r="B877" s="131"/>
      <c r="C877" s="131"/>
      <c r="D877" s="131"/>
      <c r="E877" s="131"/>
      <c r="F877" s="131"/>
    </row>
    <row r="878" spans="1:6" x14ac:dyDescent="0.3">
      <c r="A878" s="131"/>
      <c r="B878" s="131"/>
      <c r="C878" s="131"/>
      <c r="D878" s="131"/>
      <c r="E878" s="131"/>
      <c r="F878" s="131"/>
    </row>
    <row r="879" spans="1:6" x14ac:dyDescent="0.3">
      <c r="A879" s="131"/>
      <c r="B879" s="131"/>
      <c r="C879" s="131"/>
      <c r="D879" s="131"/>
      <c r="E879" s="131"/>
      <c r="F879" s="131"/>
    </row>
    <row r="880" spans="1:6" x14ac:dyDescent="0.3">
      <c r="A880" s="131"/>
      <c r="B880" s="131"/>
      <c r="C880" s="131"/>
      <c r="D880" s="131"/>
      <c r="E880" s="131"/>
      <c r="F880" s="131"/>
    </row>
    <row r="881" spans="1:6" x14ac:dyDescent="0.3">
      <c r="A881" s="131"/>
      <c r="B881" s="131"/>
      <c r="C881" s="131"/>
      <c r="D881" s="131"/>
      <c r="E881" s="131"/>
      <c r="F881" s="131"/>
    </row>
    <row r="882" spans="1:6" x14ac:dyDescent="0.3">
      <c r="A882" s="131"/>
      <c r="B882" s="131"/>
      <c r="C882" s="131"/>
      <c r="D882" s="131"/>
      <c r="E882" s="131"/>
      <c r="F882" s="131"/>
    </row>
    <row r="883" spans="1:6" x14ac:dyDescent="0.3">
      <c r="A883" s="131"/>
      <c r="B883" s="131"/>
      <c r="C883" s="131"/>
      <c r="D883" s="131"/>
      <c r="E883" s="131"/>
      <c r="F883" s="131"/>
    </row>
    <row r="884" spans="1:6" x14ac:dyDescent="0.3">
      <c r="A884" s="131"/>
      <c r="B884" s="131"/>
      <c r="C884" s="131"/>
      <c r="D884" s="131"/>
      <c r="E884" s="131"/>
      <c r="F884" s="131"/>
    </row>
    <row r="885" spans="1:6" x14ac:dyDescent="0.3">
      <c r="A885" s="131"/>
      <c r="B885" s="131"/>
      <c r="C885" s="131"/>
      <c r="D885" s="131"/>
      <c r="E885" s="131"/>
      <c r="F885" s="131"/>
    </row>
    <row r="886" spans="1:6" x14ac:dyDescent="0.3">
      <c r="A886" s="131"/>
      <c r="B886" s="131"/>
      <c r="C886" s="131"/>
      <c r="D886" s="131"/>
      <c r="E886" s="131"/>
      <c r="F886" s="131"/>
    </row>
    <row r="887" spans="1:6" x14ac:dyDescent="0.3">
      <c r="A887" s="131"/>
      <c r="B887" s="131"/>
      <c r="C887" s="131"/>
      <c r="D887" s="131"/>
      <c r="E887" s="131"/>
      <c r="F887" s="131"/>
    </row>
    <row r="888" spans="1:6" x14ac:dyDescent="0.3">
      <c r="A888" s="131"/>
      <c r="B888" s="131"/>
      <c r="C888" s="131"/>
      <c r="D888" s="131"/>
      <c r="E888" s="131"/>
      <c r="F888" s="131"/>
    </row>
    <row r="889" spans="1:6" x14ac:dyDescent="0.3">
      <c r="A889" s="131"/>
      <c r="B889" s="131"/>
      <c r="C889" s="131"/>
      <c r="D889" s="131"/>
      <c r="E889" s="131"/>
      <c r="F889" s="131"/>
    </row>
    <row r="890" spans="1:6" x14ac:dyDescent="0.3">
      <c r="A890" s="131"/>
      <c r="B890" s="131"/>
      <c r="C890" s="131"/>
      <c r="D890" s="131"/>
      <c r="E890" s="131"/>
      <c r="F890" s="131"/>
    </row>
    <row r="891" spans="1:6" x14ac:dyDescent="0.3">
      <c r="A891" s="131"/>
      <c r="B891" s="131"/>
      <c r="C891" s="131"/>
      <c r="D891" s="131"/>
      <c r="E891" s="131"/>
      <c r="F891" s="131"/>
    </row>
    <row r="892" spans="1:6" x14ac:dyDescent="0.3">
      <c r="A892" s="131"/>
      <c r="B892" s="131"/>
      <c r="C892" s="131"/>
      <c r="D892" s="131"/>
      <c r="E892" s="131"/>
      <c r="F892" s="131"/>
    </row>
    <row r="893" spans="1:6" x14ac:dyDescent="0.3">
      <c r="A893" s="131"/>
      <c r="B893" s="131"/>
      <c r="C893" s="131"/>
      <c r="D893" s="131"/>
      <c r="E893" s="131"/>
      <c r="F893" s="131"/>
    </row>
    <row r="894" spans="1:6" x14ac:dyDescent="0.3">
      <c r="A894" s="131"/>
      <c r="B894" s="131"/>
      <c r="C894" s="131"/>
      <c r="D894" s="131"/>
      <c r="E894" s="131"/>
      <c r="F894" s="131"/>
    </row>
    <row r="895" spans="1:6" x14ac:dyDescent="0.3">
      <c r="A895" s="131"/>
      <c r="B895" s="131"/>
      <c r="C895" s="131"/>
      <c r="D895" s="131"/>
      <c r="E895" s="131"/>
      <c r="F895" s="131"/>
    </row>
    <row r="896" spans="1:6" x14ac:dyDescent="0.3">
      <c r="A896" s="131"/>
      <c r="B896" s="131"/>
      <c r="C896" s="131"/>
      <c r="D896" s="131"/>
      <c r="E896" s="131"/>
      <c r="F896" s="131"/>
    </row>
    <row r="897" spans="1:6" x14ac:dyDescent="0.3">
      <c r="A897" s="131"/>
      <c r="B897" s="131"/>
      <c r="C897" s="131"/>
      <c r="D897" s="131"/>
      <c r="E897" s="131"/>
      <c r="F897" s="131"/>
    </row>
    <row r="898" spans="1:6" x14ac:dyDescent="0.3">
      <c r="A898" s="131"/>
      <c r="B898" s="131"/>
      <c r="C898" s="131"/>
      <c r="D898" s="131"/>
      <c r="E898" s="131"/>
      <c r="F898" s="131"/>
    </row>
    <row r="899" spans="1:6" x14ac:dyDescent="0.3">
      <c r="A899" s="131"/>
      <c r="B899" s="131"/>
      <c r="C899" s="131"/>
      <c r="D899" s="131"/>
      <c r="E899" s="131"/>
      <c r="F899" s="131"/>
    </row>
    <row r="900" spans="1:6" x14ac:dyDescent="0.3">
      <c r="A900" s="131"/>
      <c r="B900" s="131"/>
      <c r="C900" s="131"/>
      <c r="D900" s="131"/>
      <c r="E900" s="131"/>
      <c r="F900" s="131"/>
    </row>
    <row r="901" spans="1:6" x14ac:dyDescent="0.3">
      <c r="A901" s="131"/>
      <c r="B901" s="131"/>
      <c r="C901" s="131"/>
      <c r="D901" s="131"/>
      <c r="E901" s="131"/>
      <c r="F901" s="131"/>
    </row>
    <row r="902" spans="1:6" x14ac:dyDescent="0.3">
      <c r="A902" s="131"/>
      <c r="B902" s="131"/>
      <c r="C902" s="131"/>
      <c r="D902" s="131"/>
      <c r="E902" s="131"/>
      <c r="F902" s="131"/>
    </row>
    <row r="903" spans="1:6" x14ac:dyDescent="0.3">
      <c r="A903" s="131"/>
      <c r="B903" s="131"/>
      <c r="C903" s="131"/>
      <c r="D903" s="131"/>
      <c r="E903" s="131"/>
      <c r="F903" s="131"/>
    </row>
    <row r="904" spans="1:6" x14ac:dyDescent="0.3">
      <c r="A904" s="131"/>
      <c r="B904" s="131"/>
      <c r="C904" s="131"/>
      <c r="D904" s="131"/>
      <c r="E904" s="131"/>
      <c r="F904" s="131"/>
    </row>
    <row r="905" spans="1:6" x14ac:dyDescent="0.3">
      <c r="A905" s="131"/>
      <c r="B905" s="131"/>
      <c r="C905" s="131"/>
      <c r="D905" s="131"/>
      <c r="E905" s="131"/>
      <c r="F905" s="131"/>
    </row>
    <row r="906" spans="1:6" x14ac:dyDescent="0.3">
      <c r="A906" s="131"/>
      <c r="B906" s="131"/>
      <c r="C906" s="131"/>
      <c r="D906" s="131"/>
      <c r="E906" s="131"/>
      <c r="F906" s="131"/>
    </row>
    <row r="907" spans="1:6" x14ac:dyDescent="0.3">
      <c r="A907" s="131"/>
      <c r="B907" s="131"/>
      <c r="C907" s="131"/>
      <c r="D907" s="131"/>
      <c r="E907" s="131"/>
      <c r="F907" s="131"/>
    </row>
    <row r="908" spans="1:6" x14ac:dyDescent="0.3">
      <c r="A908" s="131"/>
      <c r="B908" s="131"/>
      <c r="C908" s="131"/>
      <c r="D908" s="131"/>
      <c r="E908" s="131"/>
      <c r="F908" s="131"/>
    </row>
    <row r="909" spans="1:6" x14ac:dyDescent="0.3">
      <c r="A909" s="131"/>
      <c r="B909" s="131"/>
      <c r="C909" s="131"/>
      <c r="D909" s="131"/>
      <c r="E909" s="131"/>
      <c r="F909" s="131"/>
    </row>
    <row r="910" spans="1:6" x14ac:dyDescent="0.3">
      <c r="A910" s="131"/>
      <c r="B910" s="131"/>
      <c r="C910" s="131"/>
      <c r="D910" s="131"/>
      <c r="E910" s="131"/>
      <c r="F910" s="131"/>
    </row>
    <row r="911" spans="1:6" x14ac:dyDescent="0.3">
      <c r="A911" s="131"/>
      <c r="B911" s="131"/>
      <c r="C911" s="131"/>
      <c r="D911" s="131"/>
      <c r="E911" s="131"/>
      <c r="F911" s="131"/>
    </row>
    <row r="912" spans="1:6" x14ac:dyDescent="0.3">
      <c r="A912" s="131"/>
      <c r="B912" s="131"/>
      <c r="C912" s="131"/>
      <c r="D912" s="131"/>
      <c r="E912" s="131"/>
      <c r="F912" s="131"/>
    </row>
    <row r="913" spans="1:6" x14ac:dyDescent="0.3">
      <c r="A913" s="131"/>
      <c r="B913" s="131"/>
      <c r="C913" s="131"/>
      <c r="D913" s="131"/>
      <c r="E913" s="131"/>
      <c r="F913" s="131"/>
    </row>
    <row r="914" spans="1:6" x14ac:dyDescent="0.3">
      <c r="A914" s="131"/>
      <c r="B914" s="131"/>
      <c r="C914" s="131"/>
      <c r="D914" s="131"/>
      <c r="E914" s="131"/>
      <c r="F914" s="131"/>
    </row>
    <row r="915" spans="1:6" x14ac:dyDescent="0.3">
      <c r="A915" s="131"/>
      <c r="B915" s="131"/>
      <c r="C915" s="131"/>
      <c r="D915" s="131"/>
      <c r="E915" s="131"/>
      <c r="F915" s="131"/>
    </row>
    <row r="916" spans="1:6" x14ac:dyDescent="0.3">
      <c r="A916" s="131"/>
      <c r="B916" s="131"/>
      <c r="C916" s="131"/>
      <c r="D916" s="131"/>
      <c r="E916" s="131"/>
      <c r="F916" s="131"/>
    </row>
    <row r="917" spans="1:6" x14ac:dyDescent="0.3">
      <c r="A917" s="131"/>
      <c r="B917" s="131"/>
      <c r="C917" s="131"/>
      <c r="D917" s="131"/>
      <c r="E917" s="131"/>
      <c r="F917" s="131"/>
    </row>
    <row r="918" spans="1:6" x14ac:dyDescent="0.3">
      <c r="A918" s="131"/>
      <c r="B918" s="131"/>
      <c r="C918" s="131"/>
      <c r="D918" s="131"/>
      <c r="E918" s="131"/>
      <c r="F918" s="131"/>
    </row>
    <row r="919" spans="1:6" x14ac:dyDescent="0.3">
      <c r="A919" s="131"/>
      <c r="B919" s="131"/>
      <c r="C919" s="131"/>
      <c r="D919" s="131"/>
      <c r="E919" s="131"/>
      <c r="F919" s="131"/>
    </row>
    <row r="920" spans="1:6" x14ac:dyDescent="0.3">
      <c r="A920" s="131"/>
      <c r="B920" s="131"/>
      <c r="C920" s="131"/>
      <c r="D920" s="131"/>
      <c r="E920" s="131"/>
      <c r="F920" s="131"/>
    </row>
    <row r="921" spans="1:6" x14ac:dyDescent="0.3">
      <c r="A921" s="131"/>
      <c r="B921" s="131"/>
      <c r="C921" s="131"/>
      <c r="D921" s="131"/>
      <c r="E921" s="131"/>
      <c r="F921" s="131"/>
    </row>
    <row r="922" spans="1:6" x14ac:dyDescent="0.3">
      <c r="A922" s="131"/>
      <c r="B922" s="131"/>
      <c r="C922" s="131"/>
      <c r="D922" s="131"/>
      <c r="E922" s="131"/>
      <c r="F922" s="131"/>
    </row>
    <row r="923" spans="1:6" x14ac:dyDescent="0.3">
      <c r="A923" s="131"/>
      <c r="B923" s="131"/>
      <c r="C923" s="131"/>
      <c r="D923" s="131"/>
      <c r="E923" s="131"/>
      <c r="F923" s="131"/>
    </row>
    <row r="924" spans="1:6" x14ac:dyDescent="0.3">
      <c r="A924" s="131"/>
      <c r="B924" s="131"/>
      <c r="C924" s="131"/>
      <c r="D924" s="131"/>
      <c r="E924" s="131"/>
      <c r="F924" s="131"/>
    </row>
    <row r="925" spans="1:6" x14ac:dyDescent="0.3">
      <c r="A925" s="131"/>
      <c r="B925" s="131"/>
      <c r="C925" s="131"/>
      <c r="D925" s="131"/>
      <c r="E925" s="131"/>
      <c r="F925" s="131"/>
    </row>
    <row r="926" spans="1:6" x14ac:dyDescent="0.3">
      <c r="A926" s="131"/>
      <c r="B926" s="131"/>
      <c r="C926" s="131"/>
      <c r="D926" s="131"/>
      <c r="E926" s="131"/>
      <c r="F926" s="131"/>
    </row>
    <row r="927" spans="1:6" x14ac:dyDescent="0.3">
      <c r="A927" s="131"/>
      <c r="B927" s="131"/>
      <c r="C927" s="131"/>
      <c r="D927" s="131"/>
      <c r="E927" s="131"/>
      <c r="F927" s="131"/>
    </row>
    <row r="928" spans="1:6" x14ac:dyDescent="0.3">
      <c r="A928" s="131"/>
      <c r="B928" s="131"/>
      <c r="C928" s="131"/>
      <c r="D928" s="131"/>
      <c r="E928" s="131"/>
      <c r="F928" s="131"/>
    </row>
    <row r="929" spans="1:6" x14ac:dyDescent="0.3">
      <c r="A929" s="131"/>
      <c r="B929" s="131"/>
      <c r="C929" s="131"/>
      <c r="D929" s="131"/>
      <c r="E929" s="131"/>
      <c r="F929" s="131"/>
    </row>
    <row r="930" spans="1:6" x14ac:dyDescent="0.3">
      <c r="A930" s="131"/>
      <c r="B930" s="131"/>
      <c r="C930" s="131"/>
      <c r="D930" s="131"/>
      <c r="E930" s="131"/>
      <c r="F930" s="131"/>
    </row>
    <row r="931" spans="1:6" x14ac:dyDescent="0.3">
      <c r="A931" s="131"/>
      <c r="B931" s="131"/>
      <c r="C931" s="131"/>
      <c r="D931" s="131"/>
      <c r="E931" s="131"/>
      <c r="F931" s="131"/>
    </row>
    <row r="932" spans="1:6" x14ac:dyDescent="0.3">
      <c r="A932" s="131"/>
      <c r="B932" s="131"/>
      <c r="C932" s="131"/>
      <c r="D932" s="131"/>
      <c r="E932" s="131"/>
      <c r="F932" s="131"/>
    </row>
    <row r="933" spans="1:6" x14ac:dyDescent="0.3">
      <c r="A933" s="131"/>
      <c r="B933" s="131"/>
      <c r="C933" s="131"/>
      <c r="D933" s="131"/>
      <c r="E933" s="131"/>
      <c r="F933" s="131"/>
    </row>
    <row r="934" spans="1:6" x14ac:dyDescent="0.3">
      <c r="A934" s="131"/>
      <c r="B934" s="131"/>
      <c r="C934" s="131"/>
      <c r="D934" s="131"/>
      <c r="E934" s="131"/>
      <c r="F934" s="131"/>
    </row>
    <row r="935" spans="1:6" x14ac:dyDescent="0.3">
      <c r="A935" s="131"/>
      <c r="B935" s="131"/>
      <c r="C935" s="131"/>
      <c r="D935" s="131"/>
      <c r="E935" s="131"/>
      <c r="F935" s="131"/>
    </row>
    <row r="936" spans="1:6" x14ac:dyDescent="0.3">
      <c r="A936" s="131"/>
      <c r="B936" s="131"/>
      <c r="C936" s="131"/>
      <c r="D936" s="131"/>
      <c r="E936" s="131"/>
      <c r="F936" s="131"/>
    </row>
    <row r="937" spans="1:6" x14ac:dyDescent="0.3">
      <c r="A937" s="131"/>
      <c r="B937" s="131"/>
      <c r="C937" s="131"/>
      <c r="D937" s="131"/>
      <c r="E937" s="131"/>
      <c r="F937" s="131"/>
    </row>
    <row r="938" spans="1:6" x14ac:dyDescent="0.3">
      <c r="A938" s="131"/>
      <c r="B938" s="131"/>
      <c r="C938" s="131"/>
      <c r="D938" s="131"/>
      <c r="E938" s="131"/>
      <c r="F938" s="131"/>
    </row>
    <row r="939" spans="1:6" x14ac:dyDescent="0.3">
      <c r="A939" s="131"/>
      <c r="B939" s="131"/>
      <c r="C939" s="131"/>
      <c r="D939" s="131"/>
      <c r="E939" s="131"/>
      <c r="F939" s="131"/>
    </row>
    <row r="940" spans="1:6" x14ac:dyDescent="0.3">
      <c r="A940" s="131"/>
      <c r="B940" s="131"/>
      <c r="C940" s="131"/>
      <c r="D940" s="131"/>
      <c r="E940" s="131"/>
      <c r="F940" s="131"/>
    </row>
    <row r="941" spans="1:6" x14ac:dyDescent="0.3">
      <c r="A941" s="131"/>
      <c r="B941" s="131"/>
      <c r="C941" s="131"/>
      <c r="D941" s="131"/>
      <c r="E941" s="131"/>
      <c r="F941" s="131"/>
    </row>
    <row r="942" spans="1:6" x14ac:dyDescent="0.3">
      <c r="A942" s="131"/>
      <c r="B942" s="131"/>
      <c r="C942" s="131"/>
      <c r="D942" s="131"/>
      <c r="E942" s="131"/>
      <c r="F942" s="131"/>
    </row>
    <row r="943" spans="1:6" x14ac:dyDescent="0.3">
      <c r="A943" s="131"/>
      <c r="B943" s="131"/>
      <c r="C943" s="131"/>
      <c r="D943" s="131"/>
      <c r="E943" s="131"/>
      <c r="F943" s="131"/>
    </row>
    <row r="944" spans="1:6" x14ac:dyDescent="0.3">
      <c r="A944" s="131"/>
      <c r="B944" s="131"/>
      <c r="C944" s="131"/>
      <c r="D944" s="131"/>
      <c r="E944" s="131"/>
      <c r="F944" s="131"/>
    </row>
    <row r="945" spans="1:6" x14ac:dyDescent="0.3">
      <c r="A945" s="131"/>
      <c r="B945" s="131"/>
      <c r="C945" s="131"/>
      <c r="D945" s="131"/>
      <c r="E945" s="131"/>
      <c r="F945" s="131"/>
    </row>
    <row r="946" spans="1:6" x14ac:dyDescent="0.3">
      <c r="A946" s="131"/>
      <c r="B946" s="131"/>
      <c r="C946" s="131"/>
      <c r="D946" s="131"/>
      <c r="E946" s="131"/>
      <c r="F946" s="131"/>
    </row>
    <row r="947" spans="1:6" x14ac:dyDescent="0.3">
      <c r="A947" s="131"/>
      <c r="B947" s="131"/>
      <c r="C947" s="131"/>
      <c r="D947" s="131"/>
      <c r="E947" s="131"/>
      <c r="F947" s="131"/>
    </row>
    <row r="948" spans="1:6" x14ac:dyDescent="0.3">
      <c r="A948" s="131"/>
      <c r="B948" s="131"/>
      <c r="C948" s="131"/>
      <c r="D948" s="131"/>
      <c r="E948" s="131"/>
      <c r="F948" s="131"/>
    </row>
    <row r="949" spans="1:6" x14ac:dyDescent="0.3">
      <c r="A949" s="131"/>
      <c r="B949" s="131"/>
      <c r="C949" s="131"/>
      <c r="D949" s="131"/>
      <c r="E949" s="131"/>
      <c r="F949" s="131"/>
    </row>
    <row r="950" spans="1:6" x14ac:dyDescent="0.3">
      <c r="A950" s="131"/>
      <c r="B950" s="131"/>
      <c r="C950" s="131"/>
      <c r="D950" s="131"/>
      <c r="E950" s="131"/>
      <c r="F950" s="131"/>
    </row>
    <row r="951" spans="1:6" x14ac:dyDescent="0.3">
      <c r="A951" s="131"/>
      <c r="B951" s="131"/>
      <c r="C951" s="131"/>
      <c r="D951" s="131"/>
      <c r="E951" s="131"/>
      <c r="F951" s="131"/>
    </row>
    <row r="952" spans="1:6" x14ac:dyDescent="0.3">
      <c r="A952" s="131"/>
      <c r="B952" s="131"/>
      <c r="C952" s="131"/>
      <c r="D952" s="131"/>
      <c r="E952" s="131"/>
      <c r="F952" s="131"/>
    </row>
    <row r="953" spans="1:6" x14ac:dyDescent="0.3">
      <c r="A953" s="131"/>
      <c r="B953" s="131"/>
      <c r="C953" s="131"/>
      <c r="D953" s="131"/>
      <c r="E953" s="131"/>
      <c r="F953" s="131"/>
    </row>
    <row r="954" spans="1:6" x14ac:dyDescent="0.3">
      <c r="A954" s="131"/>
      <c r="B954" s="131"/>
      <c r="C954" s="131"/>
      <c r="D954" s="131"/>
      <c r="E954" s="131"/>
      <c r="F954" s="131"/>
    </row>
    <row r="955" spans="1:6" x14ac:dyDescent="0.3">
      <c r="A955" s="131"/>
      <c r="B955" s="131"/>
      <c r="C955" s="131"/>
      <c r="D955" s="131"/>
      <c r="E955" s="131"/>
      <c r="F955" s="131"/>
    </row>
    <row r="956" spans="1:6" x14ac:dyDescent="0.3">
      <c r="A956" s="131"/>
      <c r="B956" s="131"/>
      <c r="C956" s="131"/>
      <c r="D956" s="131"/>
      <c r="E956" s="131"/>
      <c r="F956" s="131"/>
    </row>
    <row r="957" spans="1:6" x14ac:dyDescent="0.3">
      <c r="A957" s="131"/>
      <c r="B957" s="131"/>
      <c r="C957" s="131"/>
      <c r="D957" s="131"/>
      <c r="E957" s="131"/>
      <c r="F957" s="131"/>
    </row>
    <row r="958" spans="1:6" x14ac:dyDescent="0.3">
      <c r="A958" s="131"/>
      <c r="B958" s="131"/>
      <c r="C958" s="131"/>
      <c r="D958" s="131"/>
      <c r="E958" s="131"/>
      <c r="F958" s="131"/>
    </row>
    <row r="959" spans="1:6" x14ac:dyDescent="0.3">
      <c r="A959" s="131"/>
      <c r="B959" s="131"/>
      <c r="C959" s="131"/>
      <c r="D959" s="131"/>
      <c r="E959" s="131"/>
      <c r="F959" s="131"/>
    </row>
    <row r="960" spans="1:6" x14ac:dyDescent="0.3">
      <c r="A960" s="131"/>
      <c r="B960" s="131"/>
      <c r="C960" s="131"/>
      <c r="D960" s="131"/>
      <c r="E960" s="131"/>
      <c r="F960" s="131"/>
    </row>
    <row r="961" spans="1:6" x14ac:dyDescent="0.3">
      <c r="A961" s="131"/>
      <c r="B961" s="131"/>
      <c r="C961" s="131"/>
      <c r="D961" s="131"/>
      <c r="E961" s="131"/>
      <c r="F961" s="131"/>
    </row>
    <row r="962" spans="1:6" x14ac:dyDescent="0.3">
      <c r="A962" s="131"/>
      <c r="B962" s="131"/>
      <c r="C962" s="131"/>
      <c r="D962" s="131"/>
      <c r="E962" s="131"/>
      <c r="F962" s="131"/>
    </row>
    <row r="963" spans="1:6" x14ac:dyDescent="0.3">
      <c r="A963" s="131"/>
      <c r="B963" s="131"/>
      <c r="C963" s="131"/>
      <c r="D963" s="131"/>
      <c r="E963" s="131"/>
      <c r="F963" s="131"/>
    </row>
    <row r="964" spans="1:6" x14ac:dyDescent="0.3">
      <c r="A964" s="131"/>
      <c r="B964" s="131"/>
      <c r="C964" s="131"/>
      <c r="D964" s="131"/>
      <c r="E964" s="131"/>
      <c r="F964" s="131"/>
    </row>
    <row r="965" spans="1:6" x14ac:dyDescent="0.3">
      <c r="A965" s="131"/>
      <c r="B965" s="131"/>
      <c r="C965" s="131"/>
      <c r="D965" s="131"/>
      <c r="E965" s="131"/>
      <c r="F965" s="131"/>
    </row>
    <row r="966" spans="1:6" x14ac:dyDescent="0.3">
      <c r="A966" s="131"/>
      <c r="B966" s="131"/>
      <c r="C966" s="131"/>
      <c r="D966" s="131"/>
      <c r="E966" s="131"/>
      <c r="F966" s="131"/>
    </row>
    <row r="967" spans="1:6" x14ac:dyDescent="0.3">
      <c r="A967" s="131"/>
      <c r="B967" s="131"/>
      <c r="C967" s="131"/>
      <c r="D967" s="131"/>
      <c r="E967" s="131"/>
      <c r="F967" s="131"/>
    </row>
    <row r="968" spans="1:6" x14ac:dyDescent="0.3">
      <c r="A968" s="131"/>
      <c r="B968" s="131"/>
      <c r="C968" s="131"/>
      <c r="D968" s="131"/>
      <c r="E968" s="131"/>
      <c r="F968" s="131"/>
    </row>
    <row r="969" spans="1:6" x14ac:dyDescent="0.3">
      <c r="A969" s="131"/>
      <c r="B969" s="131"/>
      <c r="C969" s="131"/>
      <c r="D969" s="131"/>
      <c r="E969" s="131"/>
      <c r="F969" s="131"/>
    </row>
    <row r="970" spans="1:6" x14ac:dyDescent="0.3">
      <c r="A970" s="131"/>
      <c r="B970" s="131"/>
      <c r="C970" s="131"/>
      <c r="D970" s="131"/>
      <c r="E970" s="131"/>
      <c r="F970" s="131"/>
    </row>
    <row r="971" spans="1:6" x14ac:dyDescent="0.3">
      <c r="A971" s="131"/>
      <c r="B971" s="131"/>
      <c r="C971" s="131"/>
      <c r="D971" s="131"/>
      <c r="E971" s="131"/>
      <c r="F971" s="131"/>
    </row>
    <row r="972" spans="1:6" x14ac:dyDescent="0.3">
      <c r="A972" s="131"/>
      <c r="B972" s="131"/>
      <c r="C972" s="131"/>
      <c r="D972" s="131"/>
      <c r="E972" s="131"/>
      <c r="F972" s="131"/>
    </row>
    <row r="973" spans="1:6" x14ac:dyDescent="0.3">
      <c r="A973" s="131"/>
      <c r="B973" s="131"/>
      <c r="C973" s="131"/>
      <c r="D973" s="131"/>
      <c r="E973" s="131"/>
      <c r="F973" s="131"/>
    </row>
    <row r="974" spans="1:6" x14ac:dyDescent="0.3">
      <c r="A974" s="131"/>
      <c r="B974" s="131"/>
      <c r="C974" s="131"/>
      <c r="D974" s="131"/>
      <c r="E974" s="131"/>
      <c r="F974" s="131"/>
    </row>
    <row r="975" spans="1:6" x14ac:dyDescent="0.3">
      <c r="A975" s="131"/>
      <c r="B975" s="131"/>
      <c r="C975" s="131"/>
      <c r="D975" s="131"/>
      <c r="E975" s="131"/>
      <c r="F975" s="131"/>
    </row>
    <row r="976" spans="1:6" x14ac:dyDescent="0.3">
      <c r="A976" s="131"/>
      <c r="B976" s="131"/>
      <c r="C976" s="131"/>
      <c r="D976" s="131"/>
      <c r="E976" s="131"/>
      <c r="F976" s="131"/>
    </row>
    <row r="977" spans="1:6" x14ac:dyDescent="0.3">
      <c r="A977" s="131"/>
      <c r="B977" s="131"/>
      <c r="C977" s="131"/>
      <c r="D977" s="131"/>
      <c r="E977" s="131"/>
      <c r="F977" s="131"/>
    </row>
    <row r="978" spans="1:6" x14ac:dyDescent="0.3">
      <c r="A978" s="131"/>
      <c r="B978" s="131"/>
      <c r="C978" s="131"/>
      <c r="D978" s="131"/>
      <c r="E978" s="131"/>
      <c r="F978" s="131"/>
    </row>
    <row r="979" spans="1:6" x14ac:dyDescent="0.3">
      <c r="A979" s="131"/>
      <c r="B979" s="131"/>
      <c r="C979" s="131"/>
      <c r="D979" s="131"/>
      <c r="E979" s="131"/>
      <c r="F979" s="131"/>
    </row>
    <row r="980" spans="1:6" x14ac:dyDescent="0.3">
      <c r="A980" s="131"/>
      <c r="B980" s="131"/>
      <c r="C980" s="131"/>
      <c r="D980" s="131"/>
      <c r="E980" s="131"/>
      <c r="F980" s="131"/>
    </row>
    <row r="981" spans="1:6" x14ac:dyDescent="0.3">
      <c r="A981" s="131"/>
      <c r="B981" s="131"/>
      <c r="C981" s="131"/>
      <c r="D981" s="131"/>
      <c r="E981" s="131"/>
      <c r="F981" s="131"/>
    </row>
    <row r="982" spans="1:6" x14ac:dyDescent="0.3">
      <c r="A982" s="131"/>
      <c r="B982" s="131"/>
      <c r="C982" s="131"/>
      <c r="D982" s="131"/>
      <c r="E982" s="131"/>
      <c r="F982" s="131"/>
    </row>
    <row r="983" spans="1:6" x14ac:dyDescent="0.3">
      <c r="A983" s="131"/>
      <c r="B983" s="131"/>
      <c r="C983" s="131"/>
      <c r="D983" s="131"/>
      <c r="E983" s="131"/>
      <c r="F983" s="131"/>
    </row>
    <row r="984" spans="1:6" x14ac:dyDescent="0.3">
      <c r="A984" s="131"/>
      <c r="B984" s="131"/>
      <c r="C984" s="131"/>
      <c r="D984" s="131"/>
      <c r="E984" s="131"/>
      <c r="F984" s="131"/>
    </row>
    <row r="985" spans="1:6" x14ac:dyDescent="0.3">
      <c r="A985" s="131"/>
      <c r="B985" s="131"/>
      <c r="C985" s="131"/>
      <c r="D985" s="131"/>
      <c r="E985" s="131"/>
      <c r="F985" s="131"/>
    </row>
    <row r="986" spans="1:6" x14ac:dyDescent="0.3">
      <c r="A986" s="131"/>
      <c r="B986" s="131"/>
      <c r="C986" s="131"/>
      <c r="D986" s="131"/>
      <c r="E986" s="131"/>
      <c r="F986" s="131"/>
    </row>
    <row r="987" spans="1:6" x14ac:dyDescent="0.3">
      <c r="A987" s="131"/>
      <c r="B987" s="131"/>
      <c r="C987" s="131"/>
      <c r="D987" s="131"/>
      <c r="E987" s="131"/>
      <c r="F987" s="131"/>
    </row>
    <row r="988" spans="1:6" x14ac:dyDescent="0.3">
      <c r="A988" s="131"/>
      <c r="B988" s="131"/>
      <c r="C988" s="131"/>
      <c r="D988" s="131"/>
      <c r="E988" s="131"/>
      <c r="F988" s="131"/>
    </row>
    <row r="989" spans="1:6" x14ac:dyDescent="0.3">
      <c r="A989" s="131"/>
      <c r="B989" s="131"/>
      <c r="C989" s="131"/>
      <c r="D989" s="131"/>
      <c r="E989" s="131"/>
      <c r="F989" s="131"/>
    </row>
    <row r="990" spans="1:6" x14ac:dyDescent="0.3">
      <c r="A990" s="131"/>
      <c r="B990" s="131"/>
      <c r="C990" s="131"/>
      <c r="D990" s="131"/>
      <c r="E990" s="131"/>
      <c r="F990" s="131"/>
    </row>
    <row r="991" spans="1:6" x14ac:dyDescent="0.3">
      <c r="A991" s="131"/>
      <c r="B991" s="131"/>
      <c r="C991" s="131"/>
      <c r="D991" s="131"/>
      <c r="E991" s="131"/>
      <c r="F991" s="131"/>
    </row>
    <row r="992" spans="1:6" x14ac:dyDescent="0.3">
      <c r="A992" s="131"/>
      <c r="B992" s="131"/>
      <c r="C992" s="131"/>
      <c r="D992" s="131"/>
      <c r="E992" s="131"/>
      <c r="F992" s="131"/>
    </row>
    <row r="993" spans="1:6" x14ac:dyDescent="0.3">
      <c r="A993" s="131"/>
      <c r="B993" s="131"/>
      <c r="C993" s="131"/>
      <c r="D993" s="131"/>
      <c r="E993" s="131"/>
      <c r="F993" s="131"/>
    </row>
    <row r="994" spans="1:6" x14ac:dyDescent="0.3">
      <c r="A994" s="131"/>
      <c r="B994" s="131"/>
      <c r="C994" s="131"/>
      <c r="D994" s="131"/>
      <c r="E994" s="131"/>
      <c r="F994" s="131"/>
    </row>
    <row r="995" spans="1:6" x14ac:dyDescent="0.3">
      <c r="A995" s="131"/>
      <c r="B995" s="131"/>
      <c r="C995" s="131"/>
      <c r="D995" s="131"/>
      <c r="E995" s="131"/>
      <c r="F995" s="131"/>
    </row>
    <row r="996" spans="1:6" x14ac:dyDescent="0.3">
      <c r="A996" s="131"/>
      <c r="B996" s="131"/>
      <c r="C996" s="131"/>
      <c r="D996" s="131"/>
      <c r="E996" s="131"/>
      <c r="F996" s="131"/>
    </row>
    <row r="997" spans="1:6" x14ac:dyDescent="0.3">
      <c r="A997" s="131"/>
      <c r="B997" s="131"/>
      <c r="C997" s="131"/>
      <c r="D997" s="131"/>
      <c r="E997" s="131"/>
      <c r="F997" s="131"/>
    </row>
    <row r="998" spans="1:6" x14ac:dyDescent="0.3">
      <c r="A998" s="131"/>
      <c r="B998" s="131"/>
      <c r="C998" s="131"/>
      <c r="D998" s="131"/>
      <c r="E998" s="131"/>
      <c r="F998" s="131"/>
    </row>
    <row r="999" spans="1:6" x14ac:dyDescent="0.3">
      <c r="A999" s="131"/>
      <c r="B999" s="131"/>
      <c r="C999" s="131"/>
      <c r="D999" s="131"/>
      <c r="E999" s="131"/>
      <c r="F999" s="131"/>
    </row>
    <row r="1000" spans="1:6" x14ac:dyDescent="0.3">
      <c r="A1000" s="131"/>
      <c r="B1000" s="131"/>
      <c r="C1000" s="131"/>
      <c r="D1000" s="131"/>
      <c r="E1000" s="131"/>
      <c r="F1000" s="131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1FA97-6234-4B7F-AED1-4B658FD162AD}">
  <sheetPr codeName="Sheet10"/>
  <dimension ref="A5:F1000"/>
  <sheetViews>
    <sheetView workbookViewId="0">
      <selection activeCell="A5" sqref="A5:E5"/>
    </sheetView>
  </sheetViews>
  <sheetFormatPr defaultRowHeight="14.4" x14ac:dyDescent="0.3"/>
  <cols>
    <col min="1" max="1" width="9.33203125" customWidth="1"/>
    <col min="2" max="2" width="6" bestFit="1" customWidth="1"/>
    <col min="3" max="3" width="4" bestFit="1" customWidth="1"/>
    <col min="4" max="4" width="13.109375" bestFit="1" customWidth="1"/>
    <col min="5" max="5" width="14.33203125" customWidth="1"/>
    <col min="6" max="6" width="11" bestFit="1" customWidth="1"/>
  </cols>
  <sheetData>
    <row r="5" spans="1:6" x14ac:dyDescent="0.3">
      <c r="A5" s="131" t="s">
        <v>1155</v>
      </c>
      <c r="B5" s="131" t="s">
        <v>1156</v>
      </c>
      <c r="C5" s="131" t="s">
        <v>876</v>
      </c>
      <c r="D5" s="131" t="s">
        <v>1159</v>
      </c>
      <c r="E5" s="131">
        <v>698.54709999999989</v>
      </c>
      <c r="F5" s="131"/>
    </row>
    <row r="6" spans="1:6" x14ac:dyDescent="0.3">
      <c r="A6" s="131" t="s">
        <v>1155</v>
      </c>
      <c r="B6" s="131" t="s">
        <v>1179</v>
      </c>
      <c r="C6" s="131" t="s">
        <v>876</v>
      </c>
      <c r="D6" s="131" t="s">
        <v>1181</v>
      </c>
      <c r="E6" s="131">
        <v>573.5213</v>
      </c>
      <c r="F6" s="131"/>
    </row>
    <row r="7" spans="1:6" x14ac:dyDescent="0.3">
      <c r="A7" s="131" t="s">
        <v>1155</v>
      </c>
      <c r="B7" s="131" t="s">
        <v>1182</v>
      </c>
      <c r="C7" s="131" t="s">
        <v>876</v>
      </c>
      <c r="D7" s="131" t="s">
        <v>1184</v>
      </c>
      <c r="E7" s="131">
        <v>2000</v>
      </c>
      <c r="F7" s="131"/>
    </row>
    <row r="8" spans="1:6" x14ac:dyDescent="0.3">
      <c r="A8" s="131"/>
      <c r="B8" s="131"/>
      <c r="C8" s="131"/>
      <c r="D8" s="131"/>
      <c r="E8" s="131"/>
      <c r="F8" s="131"/>
    </row>
    <row r="9" spans="1:6" x14ac:dyDescent="0.3">
      <c r="A9" s="131"/>
      <c r="B9" s="131"/>
      <c r="C9" s="131"/>
      <c r="D9" s="131"/>
      <c r="E9" s="131"/>
      <c r="F9" s="131"/>
    </row>
    <row r="10" spans="1:6" x14ac:dyDescent="0.3">
      <c r="A10" s="131"/>
      <c r="B10" s="131"/>
      <c r="C10" s="131"/>
      <c r="D10" s="131"/>
      <c r="E10" s="131"/>
      <c r="F10" s="131"/>
    </row>
    <row r="11" spans="1:6" x14ac:dyDescent="0.3">
      <c r="A11" s="131"/>
      <c r="B11" s="131"/>
      <c r="C11" s="131"/>
      <c r="D11" s="131"/>
      <c r="E11" s="131"/>
      <c r="F11" s="131"/>
    </row>
    <row r="12" spans="1:6" x14ac:dyDescent="0.3">
      <c r="A12" s="131"/>
      <c r="B12" s="131"/>
      <c r="C12" s="131"/>
      <c r="D12" s="131"/>
      <c r="E12" s="131"/>
      <c r="F12" s="131"/>
    </row>
    <row r="13" spans="1:6" x14ac:dyDescent="0.3">
      <c r="A13" s="131"/>
      <c r="B13" s="131"/>
      <c r="C13" s="131"/>
      <c r="D13" s="131"/>
      <c r="E13" s="131"/>
      <c r="F13" s="131"/>
    </row>
    <row r="14" spans="1:6" x14ac:dyDescent="0.3">
      <c r="A14" s="131"/>
      <c r="B14" s="131"/>
      <c r="C14" s="131"/>
      <c r="D14" s="131"/>
      <c r="E14" s="131"/>
      <c r="F14" s="131"/>
    </row>
    <row r="15" spans="1:6" x14ac:dyDescent="0.3">
      <c r="A15" s="131"/>
      <c r="B15" s="131"/>
      <c r="C15" s="131"/>
      <c r="D15" s="131"/>
      <c r="E15" s="131"/>
      <c r="F15" s="131"/>
    </row>
    <row r="16" spans="1:6" x14ac:dyDescent="0.3">
      <c r="A16" s="131"/>
      <c r="B16" s="131"/>
      <c r="C16" s="131"/>
      <c r="D16" s="131"/>
      <c r="E16" s="131"/>
      <c r="F16" s="131"/>
    </row>
    <row r="17" spans="1:6" x14ac:dyDescent="0.3">
      <c r="A17" s="131"/>
      <c r="B17" s="131"/>
      <c r="C17" s="131"/>
      <c r="D17" s="131"/>
      <c r="E17" s="131"/>
      <c r="F17" s="131"/>
    </row>
    <row r="18" spans="1:6" x14ac:dyDescent="0.3">
      <c r="A18" s="131"/>
      <c r="B18" s="131"/>
      <c r="C18" s="131"/>
      <c r="D18" s="131"/>
      <c r="E18" s="131"/>
      <c r="F18" s="131"/>
    </row>
    <row r="19" spans="1:6" x14ac:dyDescent="0.3">
      <c r="A19" s="131"/>
      <c r="B19" s="131"/>
      <c r="C19" s="131"/>
      <c r="D19" s="131"/>
      <c r="E19" s="131"/>
      <c r="F19" s="131"/>
    </row>
    <row r="20" spans="1:6" x14ac:dyDescent="0.3">
      <c r="A20" s="131"/>
      <c r="B20" s="131"/>
      <c r="C20" s="131"/>
      <c r="D20" s="131"/>
      <c r="E20" s="131"/>
      <c r="F20" s="131"/>
    </row>
    <row r="21" spans="1:6" x14ac:dyDescent="0.3">
      <c r="A21" s="131"/>
      <c r="B21" s="131"/>
      <c r="C21" s="131"/>
      <c r="D21" s="131"/>
      <c r="E21" s="131"/>
      <c r="F21" s="131"/>
    </row>
    <row r="22" spans="1:6" x14ac:dyDescent="0.3">
      <c r="A22" s="131"/>
      <c r="B22" s="131"/>
      <c r="C22" s="131"/>
      <c r="D22" s="131"/>
      <c r="E22" s="131"/>
      <c r="F22" s="131"/>
    </row>
    <row r="23" spans="1:6" x14ac:dyDescent="0.3">
      <c r="A23" s="131"/>
      <c r="B23" s="131"/>
      <c r="C23" s="131"/>
      <c r="D23" s="131"/>
      <c r="E23" s="131"/>
      <c r="F23" s="131"/>
    </row>
    <row r="24" spans="1:6" x14ac:dyDescent="0.3">
      <c r="A24" s="131"/>
      <c r="B24" s="131"/>
      <c r="C24" s="131"/>
      <c r="D24" s="131"/>
      <c r="E24" s="131"/>
      <c r="F24" s="131"/>
    </row>
    <row r="25" spans="1:6" x14ac:dyDescent="0.3">
      <c r="A25" s="131"/>
      <c r="B25" s="131"/>
      <c r="C25" s="131"/>
      <c r="D25" s="131"/>
      <c r="E25" s="131"/>
      <c r="F25" s="131"/>
    </row>
    <row r="26" spans="1:6" x14ac:dyDescent="0.3">
      <c r="A26" s="131"/>
      <c r="B26" s="131"/>
      <c r="C26" s="131"/>
      <c r="D26" s="131"/>
      <c r="E26" s="131"/>
      <c r="F26" s="131"/>
    </row>
    <row r="27" spans="1:6" x14ac:dyDescent="0.3">
      <c r="A27" s="131"/>
      <c r="B27" s="131"/>
      <c r="C27" s="131"/>
      <c r="D27" s="131"/>
      <c r="E27" s="131"/>
      <c r="F27" s="131"/>
    </row>
    <row r="28" spans="1:6" x14ac:dyDescent="0.3">
      <c r="A28" s="131"/>
      <c r="B28" s="131"/>
      <c r="C28" s="131"/>
      <c r="D28" s="131"/>
      <c r="E28" s="131"/>
      <c r="F28" s="131"/>
    </row>
    <row r="29" spans="1:6" x14ac:dyDescent="0.3">
      <c r="A29" s="131"/>
      <c r="B29" s="131"/>
      <c r="C29" s="131"/>
      <c r="D29" s="131"/>
      <c r="E29" s="131"/>
      <c r="F29" s="131"/>
    </row>
    <row r="30" spans="1:6" x14ac:dyDescent="0.3">
      <c r="A30" s="131"/>
      <c r="B30" s="131"/>
      <c r="C30" s="131"/>
      <c r="D30" s="131"/>
      <c r="E30" s="131"/>
      <c r="F30" s="131"/>
    </row>
    <row r="31" spans="1:6" x14ac:dyDescent="0.3">
      <c r="A31" s="131"/>
      <c r="B31" s="131"/>
      <c r="C31" s="131"/>
      <c r="D31" s="131"/>
      <c r="E31" s="131"/>
      <c r="F31" s="131"/>
    </row>
    <row r="32" spans="1:6" x14ac:dyDescent="0.3">
      <c r="A32" s="131"/>
      <c r="B32" s="131"/>
      <c r="C32" s="131"/>
      <c r="D32" s="131"/>
      <c r="E32" s="131"/>
      <c r="F32" s="131"/>
    </row>
    <row r="33" spans="1:6" x14ac:dyDescent="0.3">
      <c r="A33" s="131"/>
      <c r="B33" s="131"/>
      <c r="C33" s="131"/>
      <c r="D33" s="131"/>
      <c r="E33" s="131"/>
      <c r="F33" s="131"/>
    </row>
    <row r="34" spans="1:6" x14ac:dyDescent="0.3">
      <c r="A34" s="131"/>
      <c r="B34" s="131"/>
      <c r="C34" s="131"/>
      <c r="D34" s="131"/>
      <c r="E34" s="131"/>
      <c r="F34" s="131"/>
    </row>
    <row r="35" spans="1:6" x14ac:dyDescent="0.3">
      <c r="A35" s="131"/>
      <c r="B35" s="131"/>
      <c r="C35" s="131"/>
      <c r="D35" s="131"/>
      <c r="E35" s="131"/>
      <c r="F35" s="131"/>
    </row>
    <row r="36" spans="1:6" x14ac:dyDescent="0.3">
      <c r="A36" s="131"/>
      <c r="B36" s="131"/>
      <c r="C36" s="131"/>
      <c r="D36" s="131"/>
      <c r="E36" s="131"/>
      <c r="F36" s="131"/>
    </row>
    <row r="37" spans="1:6" x14ac:dyDescent="0.3">
      <c r="A37" s="131"/>
      <c r="B37" s="131"/>
      <c r="C37" s="131"/>
      <c r="D37" s="131"/>
      <c r="E37" s="131"/>
      <c r="F37" s="131"/>
    </row>
    <row r="38" spans="1:6" x14ac:dyDescent="0.3">
      <c r="A38" s="131"/>
      <c r="B38" s="131"/>
      <c r="C38" s="131"/>
      <c r="D38" s="131"/>
      <c r="E38" s="131"/>
      <c r="F38" s="131"/>
    </row>
    <row r="39" spans="1:6" x14ac:dyDescent="0.3">
      <c r="A39" s="131"/>
      <c r="B39" s="131"/>
      <c r="C39" s="131"/>
      <c r="D39" s="131"/>
      <c r="E39" s="131"/>
      <c r="F39" s="131"/>
    </row>
    <row r="40" spans="1:6" x14ac:dyDescent="0.3">
      <c r="A40" s="131"/>
      <c r="B40" s="131"/>
      <c r="C40" s="131"/>
      <c r="D40" s="131"/>
      <c r="E40" s="131"/>
      <c r="F40" s="131"/>
    </row>
    <row r="41" spans="1:6" x14ac:dyDescent="0.3">
      <c r="A41" s="131"/>
      <c r="B41" s="131"/>
      <c r="C41" s="131"/>
      <c r="D41" s="131"/>
      <c r="E41" s="131"/>
      <c r="F41" s="131"/>
    </row>
    <row r="42" spans="1:6" x14ac:dyDescent="0.3">
      <c r="A42" s="131"/>
      <c r="B42" s="131"/>
      <c r="C42" s="131"/>
      <c r="D42" s="131"/>
      <c r="E42" s="131"/>
      <c r="F42" s="131"/>
    </row>
    <row r="43" spans="1:6" x14ac:dyDescent="0.3">
      <c r="A43" s="131"/>
      <c r="B43" s="131"/>
      <c r="C43" s="131"/>
      <c r="D43" s="131"/>
      <c r="E43" s="131"/>
      <c r="F43" s="131"/>
    </row>
    <row r="44" spans="1:6" x14ac:dyDescent="0.3">
      <c r="A44" s="131"/>
      <c r="B44" s="131"/>
      <c r="C44" s="131"/>
      <c r="D44" s="131"/>
      <c r="E44" s="131"/>
      <c r="F44" s="131"/>
    </row>
    <row r="45" spans="1:6" x14ac:dyDescent="0.3">
      <c r="A45" s="131"/>
      <c r="B45" s="131"/>
      <c r="C45" s="131"/>
      <c r="D45" s="131"/>
      <c r="E45" s="131"/>
      <c r="F45" s="131"/>
    </row>
    <row r="46" spans="1:6" x14ac:dyDescent="0.3">
      <c r="A46" s="131"/>
      <c r="B46" s="131"/>
      <c r="C46" s="131"/>
      <c r="D46" s="131"/>
      <c r="E46" s="131"/>
      <c r="F46" s="131"/>
    </row>
    <row r="47" spans="1:6" x14ac:dyDescent="0.3">
      <c r="A47" s="131"/>
      <c r="B47" s="131"/>
      <c r="C47" s="131"/>
      <c r="D47" s="131"/>
      <c r="E47" s="131"/>
      <c r="F47" s="131"/>
    </row>
    <row r="48" spans="1:6" x14ac:dyDescent="0.3">
      <c r="A48" s="131"/>
      <c r="B48" s="131"/>
      <c r="C48" s="131"/>
      <c r="D48" s="131"/>
      <c r="E48" s="131"/>
      <c r="F48" s="131"/>
    </row>
    <row r="49" spans="1:6" x14ac:dyDescent="0.3">
      <c r="A49" s="131"/>
      <c r="B49" s="131"/>
      <c r="C49" s="131"/>
      <c r="D49" s="131"/>
      <c r="E49" s="131"/>
      <c r="F49" s="131"/>
    </row>
    <row r="50" spans="1:6" x14ac:dyDescent="0.3">
      <c r="A50" s="131"/>
      <c r="B50" s="131"/>
      <c r="C50" s="131"/>
      <c r="D50" s="131"/>
      <c r="E50" s="131"/>
      <c r="F50" s="131"/>
    </row>
    <row r="51" spans="1:6" x14ac:dyDescent="0.3">
      <c r="A51" s="131"/>
      <c r="B51" s="131"/>
      <c r="C51" s="131"/>
      <c r="D51" s="131"/>
      <c r="E51" s="131"/>
      <c r="F51" s="131"/>
    </row>
    <row r="52" spans="1:6" x14ac:dyDescent="0.3">
      <c r="A52" s="131"/>
      <c r="B52" s="131"/>
      <c r="C52" s="131"/>
      <c r="D52" s="131"/>
      <c r="E52" s="131"/>
      <c r="F52" s="131"/>
    </row>
    <row r="53" spans="1:6" x14ac:dyDescent="0.3">
      <c r="A53" s="131"/>
      <c r="B53" s="131"/>
      <c r="C53" s="131"/>
      <c r="D53" s="131"/>
      <c r="E53" s="131"/>
      <c r="F53" s="131"/>
    </row>
    <row r="54" spans="1:6" x14ac:dyDescent="0.3">
      <c r="A54" s="131"/>
      <c r="B54" s="131"/>
      <c r="C54" s="131"/>
      <c r="D54" s="131"/>
      <c r="E54" s="131"/>
      <c r="F54" s="131"/>
    </row>
    <row r="55" spans="1:6" x14ac:dyDescent="0.3">
      <c r="A55" s="131"/>
      <c r="B55" s="131"/>
      <c r="C55" s="131"/>
      <c r="D55" s="131"/>
      <c r="E55" s="131"/>
      <c r="F55" s="131"/>
    </row>
    <row r="56" spans="1:6" x14ac:dyDescent="0.3">
      <c r="A56" s="131"/>
      <c r="B56" s="131"/>
      <c r="C56" s="131"/>
      <c r="D56" s="131"/>
      <c r="E56" s="131"/>
      <c r="F56" s="131"/>
    </row>
    <row r="57" spans="1:6" x14ac:dyDescent="0.3">
      <c r="A57" s="131"/>
      <c r="B57" s="131"/>
      <c r="C57" s="131"/>
      <c r="D57" s="131"/>
      <c r="E57" s="131"/>
      <c r="F57" s="131"/>
    </row>
    <row r="58" spans="1:6" x14ac:dyDescent="0.3">
      <c r="A58" s="131"/>
      <c r="B58" s="131"/>
      <c r="C58" s="131"/>
      <c r="D58" s="131"/>
      <c r="E58" s="131"/>
      <c r="F58" s="131"/>
    </row>
    <row r="59" spans="1:6" x14ac:dyDescent="0.3">
      <c r="A59" s="131"/>
      <c r="B59" s="131"/>
      <c r="C59" s="131"/>
      <c r="D59" s="131"/>
      <c r="E59" s="131"/>
      <c r="F59" s="131"/>
    </row>
    <row r="60" spans="1:6" x14ac:dyDescent="0.3">
      <c r="A60" s="131"/>
      <c r="B60" s="131"/>
      <c r="C60" s="131"/>
      <c r="D60" s="131"/>
      <c r="E60" s="131"/>
      <c r="F60" s="131"/>
    </row>
    <row r="61" spans="1:6" x14ac:dyDescent="0.3">
      <c r="A61" s="131"/>
      <c r="B61" s="131"/>
      <c r="C61" s="131"/>
      <c r="D61" s="131"/>
      <c r="E61" s="131"/>
      <c r="F61" s="131"/>
    </row>
    <row r="62" spans="1:6" x14ac:dyDescent="0.3">
      <c r="A62" s="131"/>
      <c r="B62" s="131"/>
      <c r="C62" s="131"/>
      <c r="D62" s="131"/>
      <c r="E62" s="131"/>
      <c r="F62" s="131"/>
    </row>
    <row r="63" spans="1:6" x14ac:dyDescent="0.3">
      <c r="A63" s="131"/>
      <c r="B63" s="131"/>
      <c r="C63" s="131"/>
      <c r="D63" s="131"/>
      <c r="E63" s="131"/>
      <c r="F63" s="131"/>
    </row>
    <row r="64" spans="1:6" x14ac:dyDescent="0.3">
      <c r="A64" s="131"/>
      <c r="B64" s="131"/>
      <c r="C64" s="131"/>
      <c r="D64" s="131"/>
      <c r="E64" s="131"/>
      <c r="F64" s="131"/>
    </row>
    <row r="65" spans="1:6" x14ac:dyDescent="0.3">
      <c r="A65" s="131"/>
      <c r="B65" s="131"/>
      <c r="C65" s="131"/>
      <c r="D65" s="131"/>
      <c r="E65" s="131"/>
      <c r="F65" s="131"/>
    </row>
    <row r="66" spans="1:6" x14ac:dyDescent="0.3">
      <c r="A66" s="131"/>
      <c r="B66" s="131"/>
      <c r="C66" s="131"/>
      <c r="D66" s="131"/>
      <c r="E66" s="131"/>
      <c r="F66" s="131"/>
    </row>
    <row r="67" spans="1:6" x14ac:dyDescent="0.3">
      <c r="A67" s="131"/>
      <c r="B67" s="131"/>
      <c r="C67" s="131"/>
      <c r="D67" s="131"/>
      <c r="E67" s="131"/>
      <c r="F67" s="131"/>
    </row>
    <row r="68" spans="1:6" x14ac:dyDescent="0.3">
      <c r="A68" s="131"/>
      <c r="B68" s="131"/>
      <c r="C68" s="131"/>
      <c r="D68" s="131"/>
      <c r="E68" s="131"/>
      <c r="F68" s="131"/>
    </row>
    <row r="69" spans="1:6" x14ac:dyDescent="0.3">
      <c r="A69" s="131"/>
      <c r="B69" s="131"/>
      <c r="C69" s="131"/>
      <c r="D69" s="131"/>
      <c r="E69" s="131"/>
      <c r="F69" s="131"/>
    </row>
    <row r="70" spans="1:6" x14ac:dyDescent="0.3">
      <c r="A70" s="131"/>
      <c r="B70" s="131"/>
      <c r="C70" s="131"/>
      <c r="D70" s="131"/>
      <c r="E70" s="131"/>
      <c r="F70" s="131"/>
    </row>
    <row r="71" spans="1:6" x14ac:dyDescent="0.3">
      <c r="A71" s="131"/>
      <c r="B71" s="131"/>
      <c r="C71" s="131"/>
      <c r="D71" s="131"/>
      <c r="E71" s="131"/>
      <c r="F71" s="131"/>
    </row>
    <row r="72" spans="1:6" x14ac:dyDescent="0.3">
      <c r="A72" s="131"/>
      <c r="B72" s="131"/>
      <c r="C72" s="131"/>
      <c r="D72" s="131"/>
      <c r="E72" s="131"/>
      <c r="F72" s="131"/>
    </row>
    <row r="73" spans="1:6" x14ac:dyDescent="0.3">
      <c r="A73" s="131"/>
      <c r="B73" s="131"/>
      <c r="C73" s="131"/>
      <c r="D73" s="131"/>
      <c r="E73" s="131"/>
      <c r="F73" s="131"/>
    </row>
    <row r="74" spans="1:6" x14ac:dyDescent="0.3">
      <c r="A74" s="131"/>
      <c r="B74" s="131"/>
      <c r="C74" s="131"/>
      <c r="D74" s="131"/>
      <c r="E74" s="131"/>
      <c r="F74" s="131"/>
    </row>
    <row r="75" spans="1:6" x14ac:dyDescent="0.3">
      <c r="A75" s="131"/>
      <c r="B75" s="131"/>
      <c r="C75" s="131"/>
      <c r="D75" s="131"/>
      <c r="E75" s="131"/>
      <c r="F75" s="131"/>
    </row>
    <row r="76" spans="1:6" x14ac:dyDescent="0.3">
      <c r="A76" s="131"/>
      <c r="B76" s="131"/>
      <c r="C76" s="131"/>
      <c r="D76" s="131"/>
      <c r="E76" s="131"/>
      <c r="F76" s="131"/>
    </row>
    <row r="77" spans="1:6" x14ac:dyDescent="0.3">
      <c r="A77" s="131"/>
      <c r="B77" s="131"/>
      <c r="C77" s="131"/>
      <c r="D77" s="131"/>
      <c r="E77" s="131"/>
      <c r="F77" s="131"/>
    </row>
    <row r="78" spans="1:6" x14ac:dyDescent="0.3">
      <c r="A78" s="131"/>
      <c r="B78" s="131"/>
      <c r="C78" s="131"/>
      <c r="D78" s="131"/>
      <c r="E78" s="131"/>
      <c r="F78" s="131"/>
    </row>
    <row r="79" spans="1:6" x14ac:dyDescent="0.3">
      <c r="A79" s="131"/>
      <c r="B79" s="131"/>
      <c r="C79" s="131"/>
      <c r="D79" s="131"/>
      <c r="E79" s="131"/>
      <c r="F79" s="131"/>
    </row>
    <row r="80" spans="1:6" x14ac:dyDescent="0.3">
      <c r="A80" s="131"/>
      <c r="B80" s="131"/>
      <c r="C80" s="131"/>
      <c r="D80" s="131"/>
      <c r="E80" s="131"/>
      <c r="F80" s="131"/>
    </row>
    <row r="81" spans="1:6" x14ac:dyDescent="0.3">
      <c r="A81" s="131"/>
      <c r="B81" s="131"/>
      <c r="C81" s="131"/>
      <c r="D81" s="131"/>
      <c r="E81" s="131"/>
      <c r="F81" s="131"/>
    </row>
    <row r="82" spans="1:6" x14ac:dyDescent="0.3">
      <c r="A82" s="131"/>
      <c r="B82" s="131"/>
      <c r="C82" s="131"/>
      <c r="D82" s="131"/>
      <c r="E82" s="131"/>
      <c r="F82" s="131"/>
    </row>
    <row r="83" spans="1:6" x14ac:dyDescent="0.3">
      <c r="A83" s="131"/>
      <c r="B83" s="131"/>
      <c r="C83" s="131"/>
      <c r="D83" s="131"/>
      <c r="E83" s="131"/>
      <c r="F83" s="131"/>
    </row>
    <row r="84" spans="1:6" x14ac:dyDescent="0.3">
      <c r="A84" s="131"/>
      <c r="B84" s="131"/>
      <c r="C84" s="131"/>
      <c r="D84" s="131"/>
      <c r="E84" s="131"/>
      <c r="F84" s="131"/>
    </row>
    <row r="85" spans="1:6" x14ac:dyDescent="0.3">
      <c r="A85" s="131"/>
      <c r="B85" s="131"/>
      <c r="C85" s="131"/>
      <c r="D85" s="131"/>
      <c r="E85" s="131"/>
      <c r="F85" s="131"/>
    </row>
    <row r="86" spans="1:6" x14ac:dyDescent="0.3">
      <c r="A86" s="131"/>
      <c r="B86" s="131"/>
      <c r="C86" s="131"/>
      <c r="D86" s="131"/>
      <c r="E86" s="131"/>
      <c r="F86" s="131"/>
    </row>
    <row r="87" spans="1:6" x14ac:dyDescent="0.3">
      <c r="A87" s="131"/>
      <c r="B87" s="131"/>
      <c r="C87" s="131"/>
      <c r="D87" s="131"/>
      <c r="E87" s="131"/>
      <c r="F87" s="131"/>
    </row>
    <row r="88" spans="1:6" x14ac:dyDescent="0.3">
      <c r="A88" s="131"/>
      <c r="B88" s="131"/>
      <c r="C88" s="131"/>
      <c r="D88" s="131"/>
      <c r="E88" s="131"/>
      <c r="F88" s="131"/>
    </row>
    <row r="89" spans="1:6" x14ac:dyDescent="0.3">
      <c r="A89" s="131"/>
      <c r="B89" s="131"/>
      <c r="C89" s="131"/>
      <c r="D89" s="131"/>
      <c r="E89" s="131"/>
      <c r="F89" s="131"/>
    </row>
    <row r="90" spans="1:6" x14ac:dyDescent="0.3">
      <c r="A90" s="131"/>
      <c r="B90" s="131"/>
      <c r="C90" s="131"/>
      <c r="D90" s="131"/>
      <c r="E90" s="131"/>
      <c r="F90" s="131"/>
    </row>
    <row r="91" spans="1:6" x14ac:dyDescent="0.3">
      <c r="A91" s="131"/>
      <c r="B91" s="131"/>
      <c r="C91" s="131"/>
      <c r="D91" s="131"/>
      <c r="E91" s="131"/>
      <c r="F91" s="131"/>
    </row>
    <row r="92" spans="1:6" x14ac:dyDescent="0.3">
      <c r="A92" s="131"/>
      <c r="B92" s="131"/>
      <c r="C92" s="131"/>
      <c r="D92" s="131"/>
      <c r="E92" s="131"/>
      <c r="F92" s="131"/>
    </row>
    <row r="93" spans="1:6" x14ac:dyDescent="0.3">
      <c r="A93" s="131"/>
      <c r="B93" s="131"/>
      <c r="C93" s="131"/>
      <c r="D93" s="131"/>
      <c r="E93" s="131"/>
      <c r="F93" s="131"/>
    </row>
    <row r="94" spans="1:6" x14ac:dyDescent="0.3">
      <c r="A94" s="131"/>
      <c r="B94" s="131"/>
      <c r="C94" s="131"/>
      <c r="D94" s="131"/>
      <c r="E94" s="131"/>
      <c r="F94" s="131"/>
    </row>
    <row r="95" spans="1:6" x14ac:dyDescent="0.3">
      <c r="A95" s="131"/>
      <c r="B95" s="131"/>
      <c r="C95" s="131"/>
      <c r="D95" s="131"/>
      <c r="E95" s="131"/>
      <c r="F95" s="131"/>
    </row>
    <row r="96" spans="1:6" x14ac:dyDescent="0.3">
      <c r="A96" s="131"/>
      <c r="B96" s="131"/>
      <c r="C96" s="131"/>
      <c r="D96" s="131"/>
      <c r="E96" s="131"/>
      <c r="F96" s="131"/>
    </row>
    <row r="97" spans="1:6" x14ac:dyDescent="0.3">
      <c r="A97" s="131"/>
      <c r="B97" s="131"/>
      <c r="C97" s="131"/>
      <c r="D97" s="131"/>
      <c r="E97" s="131"/>
      <c r="F97" s="131"/>
    </row>
    <row r="98" spans="1:6" x14ac:dyDescent="0.3">
      <c r="A98" s="131"/>
      <c r="B98" s="131"/>
      <c r="C98" s="131"/>
      <c r="D98" s="131"/>
      <c r="E98" s="131"/>
      <c r="F98" s="131"/>
    </row>
    <row r="99" spans="1:6" x14ac:dyDescent="0.3">
      <c r="A99" s="131"/>
      <c r="B99" s="131"/>
      <c r="C99" s="131"/>
      <c r="D99" s="131"/>
      <c r="E99" s="131"/>
      <c r="F99" s="131"/>
    </row>
    <row r="100" spans="1:6" x14ac:dyDescent="0.3">
      <c r="A100" s="131"/>
      <c r="B100" s="131"/>
      <c r="C100" s="131"/>
      <c r="D100" s="131"/>
      <c r="E100" s="131"/>
      <c r="F100" s="131"/>
    </row>
    <row r="101" spans="1:6" x14ac:dyDescent="0.3">
      <c r="A101" s="131"/>
      <c r="B101" s="131"/>
      <c r="C101" s="131"/>
      <c r="D101" s="131"/>
      <c r="E101" s="131"/>
      <c r="F101" s="131"/>
    </row>
    <row r="102" spans="1:6" x14ac:dyDescent="0.3">
      <c r="A102" s="131"/>
      <c r="B102" s="131"/>
      <c r="C102" s="131"/>
      <c r="D102" s="131"/>
      <c r="E102" s="131"/>
      <c r="F102" s="131"/>
    </row>
    <row r="103" spans="1:6" x14ac:dyDescent="0.3">
      <c r="A103" s="131"/>
      <c r="B103" s="131"/>
      <c r="C103" s="131"/>
      <c r="D103" s="131"/>
      <c r="E103" s="131"/>
      <c r="F103" s="131"/>
    </row>
    <row r="104" spans="1:6" x14ac:dyDescent="0.3">
      <c r="A104" s="131"/>
      <c r="B104" s="131"/>
      <c r="C104" s="131"/>
      <c r="D104" s="131"/>
      <c r="E104" s="131"/>
      <c r="F104" s="131"/>
    </row>
    <row r="105" spans="1:6" x14ac:dyDescent="0.3">
      <c r="A105" s="131"/>
      <c r="B105" s="131"/>
      <c r="C105" s="131"/>
      <c r="D105" s="131"/>
      <c r="E105" s="131"/>
      <c r="F105" s="131"/>
    </row>
    <row r="106" spans="1:6" x14ac:dyDescent="0.3">
      <c r="A106" s="131"/>
      <c r="B106" s="131"/>
      <c r="C106" s="131"/>
      <c r="D106" s="131"/>
      <c r="E106" s="131"/>
      <c r="F106" s="131"/>
    </row>
    <row r="107" spans="1:6" x14ac:dyDescent="0.3">
      <c r="A107" s="131"/>
      <c r="B107" s="131"/>
      <c r="C107" s="131"/>
      <c r="D107" s="131"/>
      <c r="E107" s="131"/>
      <c r="F107" s="131"/>
    </row>
    <row r="108" spans="1:6" x14ac:dyDescent="0.3">
      <c r="A108" s="131"/>
      <c r="B108" s="131"/>
      <c r="C108" s="131"/>
      <c r="D108" s="131"/>
      <c r="E108" s="131"/>
      <c r="F108" s="131"/>
    </row>
    <row r="109" spans="1:6" x14ac:dyDescent="0.3">
      <c r="A109" s="131"/>
      <c r="B109" s="131"/>
      <c r="C109" s="131"/>
      <c r="D109" s="131"/>
      <c r="E109" s="131"/>
      <c r="F109" s="131"/>
    </row>
    <row r="110" spans="1:6" x14ac:dyDescent="0.3">
      <c r="A110" s="131"/>
      <c r="B110" s="131"/>
      <c r="C110" s="131"/>
      <c r="D110" s="131"/>
      <c r="E110" s="131"/>
      <c r="F110" s="131"/>
    </row>
    <row r="111" spans="1:6" x14ac:dyDescent="0.3">
      <c r="A111" s="131"/>
      <c r="B111" s="131"/>
      <c r="C111" s="131"/>
      <c r="D111" s="131"/>
      <c r="E111" s="131"/>
      <c r="F111" s="131"/>
    </row>
    <row r="112" spans="1:6" x14ac:dyDescent="0.3">
      <c r="A112" s="131"/>
      <c r="B112" s="131"/>
      <c r="C112" s="131"/>
      <c r="D112" s="131"/>
      <c r="E112" s="131"/>
      <c r="F112" s="131"/>
    </row>
    <row r="113" spans="1:6" x14ac:dyDescent="0.3">
      <c r="A113" s="131"/>
      <c r="B113" s="131"/>
      <c r="C113" s="131"/>
      <c r="D113" s="131"/>
      <c r="E113" s="131"/>
      <c r="F113" s="131"/>
    </row>
    <row r="114" spans="1:6" x14ac:dyDescent="0.3">
      <c r="A114" s="131"/>
      <c r="B114" s="131"/>
      <c r="C114" s="131"/>
      <c r="D114" s="131"/>
      <c r="E114" s="131"/>
      <c r="F114" s="131"/>
    </row>
    <row r="115" spans="1:6" x14ac:dyDescent="0.3">
      <c r="A115" s="131"/>
      <c r="B115" s="131"/>
      <c r="C115" s="131"/>
      <c r="D115" s="131"/>
      <c r="E115" s="131"/>
      <c r="F115" s="131"/>
    </row>
    <row r="116" spans="1:6" x14ac:dyDescent="0.3">
      <c r="A116" s="131"/>
      <c r="B116" s="131"/>
      <c r="C116" s="131"/>
      <c r="D116" s="131"/>
      <c r="E116" s="131"/>
      <c r="F116" s="131"/>
    </row>
    <row r="117" spans="1:6" x14ac:dyDescent="0.3">
      <c r="A117" s="131"/>
      <c r="B117" s="131"/>
      <c r="C117" s="131"/>
      <c r="D117" s="131"/>
      <c r="E117" s="131"/>
      <c r="F117" s="131"/>
    </row>
    <row r="118" spans="1:6" x14ac:dyDescent="0.3">
      <c r="A118" s="131"/>
      <c r="B118" s="131"/>
      <c r="C118" s="131"/>
      <c r="D118" s="131"/>
      <c r="E118" s="131"/>
      <c r="F118" s="131"/>
    </row>
    <row r="119" spans="1:6" x14ac:dyDescent="0.3">
      <c r="A119" s="131"/>
      <c r="B119" s="131"/>
      <c r="C119" s="131"/>
      <c r="D119" s="131"/>
      <c r="E119" s="131"/>
      <c r="F119" s="131"/>
    </row>
    <row r="120" spans="1:6" x14ac:dyDescent="0.3">
      <c r="A120" s="131"/>
      <c r="B120" s="131"/>
      <c r="C120" s="131"/>
      <c r="D120" s="131"/>
      <c r="E120" s="131"/>
      <c r="F120" s="131"/>
    </row>
    <row r="121" spans="1:6" x14ac:dyDescent="0.3">
      <c r="A121" s="131"/>
      <c r="B121" s="131"/>
      <c r="C121" s="131"/>
      <c r="D121" s="131"/>
      <c r="E121" s="131"/>
      <c r="F121" s="131"/>
    </row>
    <row r="122" spans="1:6" x14ac:dyDescent="0.3">
      <c r="A122" s="131"/>
      <c r="B122" s="131"/>
      <c r="C122" s="131"/>
      <c r="D122" s="131"/>
      <c r="E122" s="131"/>
      <c r="F122" s="131"/>
    </row>
    <row r="123" spans="1:6" x14ac:dyDescent="0.3">
      <c r="A123" s="131"/>
      <c r="B123" s="131"/>
      <c r="C123" s="131"/>
      <c r="D123" s="131"/>
      <c r="E123" s="131"/>
      <c r="F123" s="131"/>
    </row>
    <row r="124" spans="1:6" x14ac:dyDescent="0.3">
      <c r="A124" s="131"/>
      <c r="B124" s="131"/>
      <c r="C124" s="131"/>
      <c r="D124" s="131"/>
      <c r="E124" s="131"/>
      <c r="F124" s="131"/>
    </row>
    <row r="125" spans="1:6" x14ac:dyDescent="0.3">
      <c r="A125" s="131"/>
      <c r="B125" s="131"/>
      <c r="C125" s="131"/>
      <c r="D125" s="131"/>
      <c r="E125" s="131"/>
      <c r="F125" s="131"/>
    </row>
    <row r="126" spans="1:6" x14ac:dyDescent="0.3">
      <c r="A126" s="131"/>
      <c r="B126" s="131"/>
      <c r="C126" s="131"/>
      <c r="D126" s="131"/>
      <c r="E126" s="131"/>
      <c r="F126" s="131"/>
    </row>
    <row r="127" spans="1:6" x14ac:dyDescent="0.3">
      <c r="A127" s="131"/>
      <c r="B127" s="131"/>
      <c r="C127" s="131"/>
      <c r="D127" s="131"/>
      <c r="E127" s="131"/>
      <c r="F127" s="131"/>
    </row>
    <row r="128" spans="1:6" x14ac:dyDescent="0.3">
      <c r="A128" s="131"/>
      <c r="B128" s="131"/>
      <c r="C128" s="131"/>
      <c r="D128" s="131"/>
      <c r="E128" s="131"/>
      <c r="F128" s="131"/>
    </row>
    <row r="129" spans="1:6" x14ac:dyDescent="0.3">
      <c r="A129" s="131"/>
      <c r="B129" s="131"/>
      <c r="C129" s="131"/>
      <c r="D129" s="131"/>
      <c r="E129" s="131"/>
      <c r="F129" s="131"/>
    </row>
    <row r="130" spans="1:6" x14ac:dyDescent="0.3">
      <c r="A130" s="131"/>
      <c r="B130" s="131"/>
      <c r="C130" s="131"/>
      <c r="D130" s="131"/>
      <c r="E130" s="131"/>
      <c r="F130" s="131"/>
    </row>
    <row r="131" spans="1:6" x14ac:dyDescent="0.3">
      <c r="A131" s="131"/>
      <c r="B131" s="131"/>
      <c r="C131" s="131"/>
      <c r="D131" s="131"/>
      <c r="E131" s="131"/>
      <c r="F131" s="131"/>
    </row>
    <row r="132" spans="1:6" x14ac:dyDescent="0.3">
      <c r="A132" s="131"/>
      <c r="B132" s="131"/>
      <c r="C132" s="131"/>
      <c r="D132" s="131"/>
      <c r="E132" s="131"/>
      <c r="F132" s="131"/>
    </row>
    <row r="133" spans="1:6" x14ac:dyDescent="0.3">
      <c r="A133" s="131"/>
      <c r="B133" s="131"/>
      <c r="C133" s="131"/>
      <c r="D133" s="131"/>
      <c r="E133" s="131"/>
      <c r="F133" s="131"/>
    </row>
    <row r="134" spans="1:6" x14ac:dyDescent="0.3">
      <c r="A134" s="131"/>
      <c r="B134" s="131"/>
      <c r="C134" s="131"/>
      <c r="D134" s="131"/>
      <c r="E134" s="131"/>
      <c r="F134" s="131"/>
    </row>
    <row r="135" spans="1:6" x14ac:dyDescent="0.3">
      <c r="A135" s="131"/>
      <c r="B135" s="131"/>
      <c r="C135" s="131"/>
      <c r="D135" s="131"/>
      <c r="E135" s="131"/>
      <c r="F135" s="131"/>
    </row>
    <row r="136" spans="1:6" x14ac:dyDescent="0.3">
      <c r="A136" s="131"/>
      <c r="B136" s="131"/>
      <c r="C136" s="131"/>
      <c r="D136" s="131"/>
      <c r="E136" s="131"/>
      <c r="F136" s="131"/>
    </row>
    <row r="137" spans="1:6" x14ac:dyDescent="0.3">
      <c r="A137" s="131"/>
      <c r="B137" s="131"/>
      <c r="C137" s="131"/>
      <c r="D137" s="131"/>
      <c r="E137" s="131"/>
      <c r="F137" s="131"/>
    </row>
    <row r="138" spans="1:6" x14ac:dyDescent="0.3">
      <c r="A138" s="131"/>
      <c r="B138" s="131"/>
      <c r="C138" s="131"/>
      <c r="D138" s="131"/>
      <c r="E138" s="131"/>
      <c r="F138" s="131"/>
    </row>
    <row r="139" spans="1:6" x14ac:dyDescent="0.3">
      <c r="A139" s="131"/>
      <c r="B139" s="131"/>
      <c r="C139" s="131"/>
      <c r="D139" s="131"/>
      <c r="E139" s="131"/>
      <c r="F139" s="131"/>
    </row>
    <row r="140" spans="1:6" x14ac:dyDescent="0.3">
      <c r="A140" s="131"/>
      <c r="B140" s="131"/>
      <c r="C140" s="131"/>
      <c r="D140" s="131"/>
      <c r="E140" s="131"/>
      <c r="F140" s="131"/>
    </row>
    <row r="141" spans="1:6" x14ac:dyDescent="0.3">
      <c r="A141" s="131"/>
      <c r="B141" s="131"/>
      <c r="C141" s="131"/>
      <c r="D141" s="131"/>
      <c r="E141" s="131"/>
      <c r="F141" s="131"/>
    </row>
    <row r="142" spans="1:6" x14ac:dyDescent="0.3">
      <c r="A142" s="131"/>
      <c r="B142" s="131"/>
      <c r="C142" s="131"/>
      <c r="D142" s="131"/>
      <c r="E142" s="131"/>
      <c r="F142" s="131"/>
    </row>
    <row r="143" spans="1:6" x14ac:dyDescent="0.3">
      <c r="A143" s="131"/>
      <c r="B143" s="131"/>
      <c r="C143" s="131"/>
      <c r="D143" s="131"/>
      <c r="E143" s="131"/>
      <c r="F143" s="131"/>
    </row>
    <row r="144" spans="1:6" x14ac:dyDescent="0.3">
      <c r="A144" s="131"/>
      <c r="B144" s="131"/>
      <c r="C144" s="131"/>
      <c r="D144" s="131"/>
      <c r="E144" s="131"/>
      <c r="F144" s="131"/>
    </row>
    <row r="145" spans="1:6" x14ac:dyDescent="0.3">
      <c r="A145" s="131"/>
      <c r="B145" s="131"/>
      <c r="C145" s="131"/>
      <c r="D145" s="131"/>
      <c r="E145" s="131"/>
      <c r="F145" s="131"/>
    </row>
    <row r="146" spans="1:6" x14ac:dyDescent="0.3">
      <c r="A146" s="131"/>
      <c r="B146" s="131"/>
      <c r="C146" s="131"/>
      <c r="D146" s="131"/>
      <c r="E146" s="131"/>
      <c r="F146" s="131"/>
    </row>
    <row r="147" spans="1:6" x14ac:dyDescent="0.3">
      <c r="A147" s="131"/>
      <c r="B147" s="131"/>
      <c r="C147" s="131"/>
      <c r="D147" s="131"/>
      <c r="E147" s="131"/>
      <c r="F147" s="131"/>
    </row>
    <row r="148" spans="1:6" x14ac:dyDescent="0.3">
      <c r="A148" s="131"/>
      <c r="B148" s="131"/>
      <c r="C148" s="131"/>
      <c r="D148" s="131"/>
      <c r="E148" s="131"/>
      <c r="F148" s="131"/>
    </row>
    <row r="149" spans="1:6" x14ac:dyDescent="0.3">
      <c r="A149" s="131"/>
      <c r="B149" s="131"/>
      <c r="C149" s="131"/>
      <c r="D149" s="131"/>
      <c r="E149" s="131"/>
      <c r="F149" s="131"/>
    </row>
    <row r="150" spans="1:6" x14ac:dyDescent="0.3">
      <c r="A150" s="131"/>
      <c r="B150" s="131"/>
      <c r="C150" s="131"/>
      <c r="D150" s="131"/>
      <c r="E150" s="131"/>
      <c r="F150" s="131"/>
    </row>
    <row r="151" spans="1:6" x14ac:dyDescent="0.3">
      <c r="A151" s="131"/>
      <c r="B151" s="131"/>
      <c r="C151" s="131"/>
      <c r="D151" s="131"/>
      <c r="E151" s="131"/>
      <c r="F151" s="131"/>
    </row>
    <row r="152" spans="1:6" x14ac:dyDescent="0.3">
      <c r="A152" s="131"/>
      <c r="B152" s="131"/>
      <c r="C152" s="131"/>
      <c r="D152" s="131"/>
      <c r="E152" s="131"/>
      <c r="F152" s="131"/>
    </row>
    <row r="153" spans="1:6" x14ac:dyDescent="0.3">
      <c r="A153" s="131"/>
      <c r="B153" s="131"/>
      <c r="C153" s="131"/>
      <c r="D153" s="131"/>
      <c r="E153" s="131"/>
      <c r="F153" s="131"/>
    </row>
    <row r="154" spans="1:6" x14ac:dyDescent="0.3">
      <c r="A154" s="131"/>
      <c r="B154" s="131"/>
      <c r="C154" s="131"/>
      <c r="D154" s="131"/>
      <c r="E154" s="131"/>
      <c r="F154" s="131"/>
    </row>
    <row r="155" spans="1:6" x14ac:dyDescent="0.3">
      <c r="A155" s="131"/>
      <c r="B155" s="131"/>
      <c r="C155" s="131"/>
      <c r="D155" s="131"/>
      <c r="E155" s="131"/>
      <c r="F155" s="131"/>
    </row>
    <row r="156" spans="1:6" x14ac:dyDescent="0.3">
      <c r="A156" s="131"/>
      <c r="B156" s="131"/>
      <c r="C156" s="131"/>
      <c r="D156" s="131"/>
      <c r="E156" s="131"/>
      <c r="F156" s="131"/>
    </row>
    <row r="157" spans="1:6" x14ac:dyDescent="0.3">
      <c r="A157" s="131"/>
      <c r="B157" s="131"/>
      <c r="C157" s="131"/>
      <c r="D157" s="131"/>
      <c r="E157" s="131"/>
      <c r="F157" s="131"/>
    </row>
    <row r="158" spans="1:6" x14ac:dyDescent="0.3">
      <c r="A158" s="131"/>
      <c r="B158" s="131"/>
      <c r="C158" s="131"/>
      <c r="D158" s="131"/>
      <c r="E158" s="131"/>
      <c r="F158" s="131"/>
    </row>
    <row r="159" spans="1:6" x14ac:dyDescent="0.3">
      <c r="A159" s="131"/>
      <c r="B159" s="131"/>
      <c r="C159" s="131"/>
      <c r="D159" s="131"/>
      <c r="E159" s="131"/>
      <c r="F159" s="131"/>
    </row>
    <row r="160" spans="1:6" x14ac:dyDescent="0.3">
      <c r="A160" s="131"/>
      <c r="B160" s="131"/>
      <c r="C160" s="131"/>
      <c r="D160" s="131"/>
      <c r="E160" s="131"/>
      <c r="F160" s="131"/>
    </row>
    <row r="161" spans="1:6" x14ac:dyDescent="0.3">
      <c r="A161" s="131"/>
      <c r="B161" s="131"/>
      <c r="C161" s="131"/>
      <c r="D161" s="131"/>
      <c r="E161" s="131"/>
      <c r="F161" s="131"/>
    </row>
    <row r="162" spans="1:6" x14ac:dyDescent="0.3">
      <c r="A162" s="131"/>
      <c r="B162" s="131"/>
      <c r="C162" s="131"/>
      <c r="D162" s="131"/>
      <c r="E162" s="131"/>
      <c r="F162" s="131"/>
    </row>
    <row r="163" spans="1:6" x14ac:dyDescent="0.3">
      <c r="A163" s="131"/>
      <c r="B163" s="131"/>
      <c r="C163" s="131"/>
      <c r="D163" s="131"/>
      <c r="E163" s="131"/>
      <c r="F163" s="131"/>
    </row>
    <row r="164" spans="1:6" x14ac:dyDescent="0.3">
      <c r="A164" s="131"/>
      <c r="B164" s="131"/>
      <c r="C164" s="131"/>
      <c r="D164" s="131"/>
      <c r="E164" s="131"/>
      <c r="F164" s="131"/>
    </row>
    <row r="165" spans="1:6" x14ac:dyDescent="0.3">
      <c r="A165" s="131"/>
      <c r="B165" s="131"/>
      <c r="C165" s="131"/>
      <c r="D165" s="131"/>
      <c r="E165" s="131"/>
      <c r="F165" s="131"/>
    </row>
    <row r="166" spans="1:6" x14ac:dyDescent="0.3">
      <c r="A166" s="131"/>
      <c r="B166" s="131"/>
      <c r="C166" s="131"/>
      <c r="D166" s="131"/>
      <c r="E166" s="131"/>
      <c r="F166" s="131"/>
    </row>
    <row r="167" spans="1:6" x14ac:dyDescent="0.3">
      <c r="A167" s="131"/>
      <c r="B167" s="131"/>
      <c r="C167" s="131"/>
      <c r="D167" s="131"/>
      <c r="E167" s="131"/>
      <c r="F167" s="131"/>
    </row>
    <row r="168" spans="1:6" x14ac:dyDescent="0.3">
      <c r="A168" s="131"/>
      <c r="B168" s="131"/>
      <c r="C168" s="131"/>
      <c r="D168" s="131"/>
      <c r="E168" s="131"/>
      <c r="F168" s="131"/>
    </row>
    <row r="169" spans="1:6" x14ac:dyDescent="0.3">
      <c r="A169" s="131"/>
      <c r="B169" s="131"/>
      <c r="C169" s="131"/>
      <c r="D169" s="131"/>
      <c r="E169" s="131"/>
      <c r="F169" s="131"/>
    </row>
    <row r="170" spans="1:6" x14ac:dyDescent="0.3">
      <c r="A170" s="131"/>
      <c r="B170" s="131"/>
      <c r="C170" s="131"/>
      <c r="D170" s="131"/>
      <c r="E170" s="131"/>
      <c r="F170" s="131"/>
    </row>
    <row r="171" spans="1:6" x14ac:dyDescent="0.3">
      <c r="A171" s="131"/>
      <c r="B171" s="131"/>
      <c r="C171" s="131"/>
      <c r="D171" s="131"/>
      <c r="E171" s="131"/>
      <c r="F171" s="131"/>
    </row>
    <row r="172" spans="1:6" x14ac:dyDescent="0.3">
      <c r="A172" s="131"/>
      <c r="B172" s="131"/>
      <c r="C172" s="131"/>
      <c r="D172" s="131"/>
      <c r="E172" s="131"/>
      <c r="F172" s="131"/>
    </row>
    <row r="173" spans="1:6" x14ac:dyDescent="0.3">
      <c r="A173" s="131"/>
      <c r="B173" s="131"/>
      <c r="C173" s="131"/>
      <c r="D173" s="131"/>
      <c r="E173" s="131"/>
      <c r="F173" s="131"/>
    </row>
    <row r="174" spans="1:6" x14ac:dyDescent="0.3">
      <c r="A174" s="131"/>
      <c r="B174" s="131"/>
      <c r="C174" s="131"/>
      <c r="D174" s="131"/>
      <c r="E174" s="131"/>
      <c r="F174" s="131"/>
    </row>
    <row r="175" spans="1:6" x14ac:dyDescent="0.3">
      <c r="A175" s="131"/>
      <c r="B175" s="131"/>
      <c r="C175" s="131"/>
      <c r="D175" s="131"/>
      <c r="E175" s="131"/>
      <c r="F175" s="131"/>
    </row>
    <row r="176" spans="1:6" x14ac:dyDescent="0.3">
      <c r="A176" s="131"/>
      <c r="B176" s="131"/>
      <c r="C176" s="131"/>
      <c r="D176" s="131"/>
      <c r="E176" s="131"/>
      <c r="F176" s="131"/>
    </row>
    <row r="177" spans="1:6" x14ac:dyDescent="0.3">
      <c r="A177" s="131"/>
      <c r="B177" s="131"/>
      <c r="C177" s="131"/>
      <c r="D177" s="131"/>
      <c r="E177" s="131"/>
      <c r="F177" s="131"/>
    </row>
    <row r="178" spans="1:6" x14ac:dyDescent="0.3">
      <c r="A178" s="131"/>
      <c r="B178" s="131"/>
      <c r="C178" s="131"/>
      <c r="D178" s="131"/>
      <c r="E178" s="131"/>
      <c r="F178" s="131"/>
    </row>
    <row r="179" spans="1:6" x14ac:dyDescent="0.3">
      <c r="A179" s="131"/>
      <c r="B179" s="131"/>
      <c r="C179" s="131"/>
      <c r="D179" s="131"/>
      <c r="E179" s="131"/>
      <c r="F179" s="131"/>
    </row>
    <row r="180" spans="1:6" x14ac:dyDescent="0.3">
      <c r="A180" s="131"/>
      <c r="B180" s="131"/>
      <c r="C180" s="131"/>
      <c r="D180" s="131"/>
      <c r="E180" s="131"/>
      <c r="F180" s="131"/>
    </row>
    <row r="181" spans="1:6" x14ac:dyDescent="0.3">
      <c r="A181" s="131"/>
      <c r="B181" s="131"/>
      <c r="C181" s="131"/>
      <c r="D181" s="131"/>
      <c r="E181" s="131"/>
      <c r="F181" s="131"/>
    </row>
    <row r="182" spans="1:6" x14ac:dyDescent="0.3">
      <c r="A182" s="131"/>
      <c r="B182" s="131"/>
      <c r="C182" s="131"/>
      <c r="D182" s="131"/>
      <c r="E182" s="131"/>
      <c r="F182" s="131"/>
    </row>
    <row r="183" spans="1:6" x14ac:dyDescent="0.3">
      <c r="A183" s="131"/>
      <c r="B183" s="131"/>
      <c r="C183" s="131"/>
      <c r="D183" s="131"/>
      <c r="E183" s="131"/>
      <c r="F183" s="131"/>
    </row>
    <row r="184" spans="1:6" x14ac:dyDescent="0.3">
      <c r="A184" s="131"/>
      <c r="B184" s="131"/>
      <c r="C184" s="131"/>
      <c r="D184" s="131"/>
      <c r="E184" s="131"/>
      <c r="F184" s="131"/>
    </row>
    <row r="185" spans="1:6" x14ac:dyDescent="0.3">
      <c r="A185" s="131"/>
      <c r="B185" s="131"/>
      <c r="C185" s="131"/>
      <c r="D185" s="131"/>
      <c r="E185" s="131"/>
      <c r="F185" s="131"/>
    </row>
    <row r="186" spans="1:6" x14ac:dyDescent="0.3">
      <c r="A186" s="131"/>
      <c r="B186" s="131"/>
      <c r="C186" s="131"/>
      <c r="D186" s="131"/>
      <c r="E186" s="131"/>
      <c r="F186" s="131"/>
    </row>
    <row r="187" spans="1:6" x14ac:dyDescent="0.3">
      <c r="A187" s="131"/>
      <c r="B187" s="131"/>
      <c r="C187" s="131"/>
      <c r="D187" s="131"/>
      <c r="E187" s="131"/>
      <c r="F187" s="131"/>
    </row>
    <row r="188" spans="1:6" x14ac:dyDescent="0.3">
      <c r="A188" s="131"/>
      <c r="B188" s="131"/>
      <c r="C188" s="131"/>
      <c r="D188" s="131"/>
      <c r="E188" s="131"/>
      <c r="F188" s="131"/>
    </row>
    <row r="189" spans="1:6" x14ac:dyDescent="0.3">
      <c r="A189" s="131"/>
      <c r="B189" s="131"/>
      <c r="C189" s="131"/>
      <c r="D189" s="131"/>
      <c r="E189" s="131"/>
      <c r="F189" s="131"/>
    </row>
    <row r="190" spans="1:6" x14ac:dyDescent="0.3">
      <c r="A190" s="131"/>
      <c r="B190" s="131"/>
      <c r="C190" s="131"/>
      <c r="D190" s="131"/>
      <c r="E190" s="131"/>
      <c r="F190" s="131"/>
    </row>
    <row r="191" spans="1:6" x14ac:dyDescent="0.3">
      <c r="A191" s="131"/>
      <c r="B191" s="131"/>
      <c r="C191" s="131"/>
      <c r="D191" s="131"/>
      <c r="E191" s="131"/>
      <c r="F191" s="131"/>
    </row>
    <row r="192" spans="1:6" x14ac:dyDescent="0.3">
      <c r="A192" s="131"/>
      <c r="B192" s="131"/>
      <c r="C192" s="131"/>
      <c r="D192" s="131"/>
      <c r="E192" s="131"/>
      <c r="F192" s="131"/>
    </row>
    <row r="193" spans="1:6" x14ac:dyDescent="0.3">
      <c r="A193" s="131"/>
      <c r="B193" s="131"/>
      <c r="C193" s="131"/>
      <c r="D193" s="131"/>
      <c r="E193" s="131"/>
      <c r="F193" s="131"/>
    </row>
    <row r="194" spans="1:6" x14ac:dyDescent="0.3">
      <c r="A194" s="131"/>
      <c r="B194" s="131"/>
      <c r="C194" s="131"/>
      <c r="D194" s="131"/>
      <c r="E194" s="131"/>
      <c r="F194" s="131"/>
    </row>
    <row r="195" spans="1:6" x14ac:dyDescent="0.3">
      <c r="A195" s="131"/>
      <c r="B195" s="131"/>
      <c r="C195" s="131"/>
      <c r="D195" s="131"/>
      <c r="E195" s="131"/>
      <c r="F195" s="131"/>
    </row>
    <row r="196" spans="1:6" x14ac:dyDescent="0.3">
      <c r="A196" s="131"/>
      <c r="B196" s="131"/>
      <c r="C196" s="131"/>
      <c r="D196" s="131"/>
      <c r="E196" s="131"/>
      <c r="F196" s="131"/>
    </row>
    <row r="197" spans="1:6" x14ac:dyDescent="0.3">
      <c r="A197" s="131"/>
      <c r="B197" s="131"/>
      <c r="C197" s="131"/>
      <c r="D197" s="131"/>
      <c r="E197" s="131"/>
      <c r="F197" s="131"/>
    </row>
    <row r="198" spans="1:6" x14ac:dyDescent="0.3">
      <c r="A198" s="131"/>
      <c r="B198" s="131"/>
      <c r="C198" s="131"/>
      <c r="D198" s="131"/>
      <c r="E198" s="131"/>
      <c r="F198" s="131"/>
    </row>
    <row r="199" spans="1:6" x14ac:dyDescent="0.3">
      <c r="A199" s="131"/>
      <c r="B199" s="131"/>
      <c r="C199" s="131"/>
      <c r="D199" s="131"/>
      <c r="E199" s="131"/>
      <c r="F199" s="131"/>
    </row>
    <row r="200" spans="1:6" x14ac:dyDescent="0.3">
      <c r="A200" s="131"/>
      <c r="B200" s="131"/>
      <c r="C200" s="131"/>
      <c r="D200" s="131"/>
      <c r="E200" s="131"/>
      <c r="F200" s="131"/>
    </row>
    <row r="201" spans="1:6" x14ac:dyDescent="0.3">
      <c r="A201" s="131"/>
      <c r="B201" s="131"/>
      <c r="C201" s="131"/>
      <c r="D201" s="131"/>
      <c r="E201" s="131"/>
      <c r="F201" s="131"/>
    </row>
    <row r="202" spans="1:6" x14ac:dyDescent="0.3">
      <c r="A202" s="131"/>
      <c r="B202" s="131"/>
      <c r="C202" s="131"/>
      <c r="D202" s="131"/>
      <c r="E202" s="131"/>
      <c r="F202" s="131"/>
    </row>
    <row r="203" spans="1:6" x14ac:dyDescent="0.3">
      <c r="A203" s="131"/>
      <c r="B203" s="131"/>
      <c r="C203" s="131"/>
      <c r="D203" s="131"/>
      <c r="E203" s="131"/>
      <c r="F203" s="131"/>
    </row>
    <row r="204" spans="1:6" x14ac:dyDescent="0.3">
      <c r="A204" s="131"/>
      <c r="B204" s="131"/>
      <c r="C204" s="131"/>
      <c r="D204" s="131"/>
      <c r="E204" s="131"/>
      <c r="F204" s="131"/>
    </row>
    <row r="205" spans="1:6" x14ac:dyDescent="0.3">
      <c r="A205" s="131"/>
      <c r="B205" s="131"/>
      <c r="C205" s="131"/>
      <c r="D205" s="131"/>
      <c r="E205" s="131"/>
      <c r="F205" s="131"/>
    </row>
    <row r="206" spans="1:6" x14ac:dyDescent="0.3">
      <c r="A206" s="131"/>
      <c r="B206" s="131"/>
      <c r="C206" s="131"/>
      <c r="D206" s="131"/>
      <c r="E206" s="131"/>
      <c r="F206" s="131"/>
    </row>
    <row r="207" spans="1:6" x14ac:dyDescent="0.3">
      <c r="A207" s="131"/>
      <c r="B207" s="131"/>
      <c r="C207" s="131"/>
      <c r="D207" s="131"/>
      <c r="E207" s="131"/>
      <c r="F207" s="131"/>
    </row>
    <row r="208" spans="1:6" x14ac:dyDescent="0.3">
      <c r="A208" s="131"/>
      <c r="B208" s="131"/>
      <c r="C208" s="131"/>
      <c r="D208" s="131"/>
      <c r="E208" s="131"/>
      <c r="F208" s="131"/>
    </row>
    <row r="209" spans="1:6" x14ac:dyDescent="0.3">
      <c r="A209" s="131"/>
      <c r="B209" s="131"/>
      <c r="C209" s="131"/>
      <c r="D209" s="131"/>
      <c r="E209" s="131"/>
      <c r="F209" s="131"/>
    </row>
    <row r="210" spans="1:6" x14ac:dyDescent="0.3">
      <c r="A210" s="131"/>
      <c r="B210" s="131"/>
      <c r="C210" s="131"/>
      <c r="D210" s="131"/>
      <c r="E210" s="131"/>
      <c r="F210" s="131"/>
    </row>
    <row r="211" spans="1:6" x14ac:dyDescent="0.3">
      <c r="A211" s="131"/>
      <c r="B211" s="131"/>
      <c r="C211" s="131"/>
      <c r="D211" s="131"/>
      <c r="E211" s="131"/>
      <c r="F211" s="131"/>
    </row>
    <row r="212" spans="1:6" x14ac:dyDescent="0.3">
      <c r="A212" s="131"/>
      <c r="B212" s="131"/>
      <c r="C212" s="131"/>
      <c r="D212" s="131"/>
      <c r="E212" s="131"/>
      <c r="F212" s="131"/>
    </row>
    <row r="213" spans="1:6" x14ac:dyDescent="0.3">
      <c r="A213" s="131"/>
      <c r="B213" s="131"/>
      <c r="C213" s="131"/>
      <c r="D213" s="131"/>
      <c r="E213" s="131"/>
      <c r="F213" s="131"/>
    </row>
    <row r="214" spans="1:6" x14ac:dyDescent="0.3">
      <c r="A214" s="131"/>
      <c r="B214" s="131"/>
      <c r="C214" s="131"/>
      <c r="D214" s="131"/>
      <c r="E214" s="131"/>
      <c r="F214" s="131"/>
    </row>
    <row r="215" spans="1:6" x14ac:dyDescent="0.3">
      <c r="A215" s="131"/>
      <c r="B215" s="131"/>
      <c r="C215" s="131"/>
      <c r="D215" s="131"/>
      <c r="E215" s="131"/>
      <c r="F215" s="131"/>
    </row>
    <row r="216" spans="1:6" x14ac:dyDescent="0.3">
      <c r="A216" s="131"/>
      <c r="B216" s="131"/>
      <c r="C216" s="131"/>
      <c r="D216" s="131"/>
      <c r="E216" s="131"/>
      <c r="F216" s="131"/>
    </row>
    <row r="217" spans="1:6" x14ac:dyDescent="0.3">
      <c r="A217" s="131"/>
      <c r="B217" s="131"/>
      <c r="C217" s="131"/>
      <c r="D217" s="131"/>
      <c r="E217" s="131"/>
      <c r="F217" s="131"/>
    </row>
    <row r="218" spans="1:6" x14ac:dyDescent="0.3">
      <c r="A218" s="131"/>
      <c r="B218" s="131"/>
      <c r="C218" s="131"/>
      <c r="D218" s="131"/>
      <c r="E218" s="131"/>
      <c r="F218" s="131"/>
    </row>
    <row r="219" spans="1:6" x14ac:dyDescent="0.3">
      <c r="A219" s="131"/>
      <c r="B219" s="131"/>
      <c r="C219" s="131"/>
      <c r="D219" s="131"/>
      <c r="E219" s="131"/>
      <c r="F219" s="131"/>
    </row>
    <row r="220" spans="1:6" x14ac:dyDescent="0.3">
      <c r="A220" s="131"/>
      <c r="B220" s="131"/>
      <c r="C220" s="131"/>
      <c r="D220" s="131"/>
      <c r="E220" s="131"/>
      <c r="F220" s="131"/>
    </row>
    <row r="221" spans="1:6" x14ac:dyDescent="0.3">
      <c r="A221" s="131"/>
      <c r="B221" s="131"/>
      <c r="C221" s="131"/>
      <c r="D221" s="131"/>
      <c r="E221" s="131"/>
      <c r="F221" s="131"/>
    </row>
    <row r="222" spans="1:6" x14ac:dyDescent="0.3">
      <c r="A222" s="131"/>
      <c r="B222" s="131"/>
      <c r="C222" s="131"/>
      <c r="D222" s="131"/>
      <c r="E222" s="131"/>
      <c r="F222" s="131"/>
    </row>
    <row r="223" spans="1:6" x14ac:dyDescent="0.3">
      <c r="A223" s="131"/>
      <c r="B223" s="131"/>
      <c r="C223" s="131"/>
      <c r="D223" s="131"/>
      <c r="E223" s="131"/>
      <c r="F223" s="131"/>
    </row>
    <row r="224" spans="1:6" x14ac:dyDescent="0.3">
      <c r="A224" s="131"/>
      <c r="B224" s="131"/>
      <c r="C224" s="131"/>
      <c r="D224" s="131"/>
      <c r="E224" s="131"/>
      <c r="F224" s="131"/>
    </row>
    <row r="225" spans="1:6" x14ac:dyDescent="0.3">
      <c r="A225" s="131"/>
      <c r="B225" s="131"/>
      <c r="C225" s="131"/>
      <c r="D225" s="131"/>
      <c r="E225" s="131"/>
      <c r="F225" s="131"/>
    </row>
    <row r="226" spans="1:6" x14ac:dyDescent="0.3">
      <c r="A226" s="131"/>
      <c r="B226" s="131"/>
      <c r="C226" s="131"/>
      <c r="D226" s="131"/>
      <c r="E226" s="131"/>
      <c r="F226" s="131"/>
    </row>
    <row r="227" spans="1:6" x14ac:dyDescent="0.3">
      <c r="A227" s="131"/>
      <c r="B227" s="131"/>
      <c r="C227" s="131"/>
      <c r="D227" s="131"/>
      <c r="E227" s="131"/>
      <c r="F227" s="131"/>
    </row>
    <row r="228" spans="1:6" x14ac:dyDescent="0.3">
      <c r="A228" s="131"/>
      <c r="B228" s="131"/>
      <c r="C228" s="131"/>
      <c r="D228" s="131"/>
      <c r="E228" s="131"/>
      <c r="F228" s="131"/>
    </row>
    <row r="229" spans="1:6" x14ac:dyDescent="0.3">
      <c r="A229" s="131"/>
      <c r="B229" s="131"/>
      <c r="C229" s="131"/>
      <c r="D229" s="131"/>
      <c r="E229" s="131"/>
      <c r="F229" s="131"/>
    </row>
    <row r="230" spans="1:6" x14ac:dyDescent="0.3">
      <c r="A230" s="131"/>
      <c r="B230" s="131"/>
      <c r="C230" s="131"/>
      <c r="D230" s="131"/>
      <c r="E230" s="131"/>
      <c r="F230" s="131"/>
    </row>
    <row r="231" spans="1:6" x14ac:dyDescent="0.3">
      <c r="A231" s="131"/>
      <c r="B231" s="131"/>
      <c r="C231" s="131"/>
      <c r="D231" s="131"/>
      <c r="E231" s="131"/>
      <c r="F231" s="131"/>
    </row>
    <row r="232" spans="1:6" x14ac:dyDescent="0.3">
      <c r="A232" s="131"/>
      <c r="B232" s="131"/>
      <c r="C232" s="131"/>
      <c r="D232" s="131"/>
      <c r="E232" s="131"/>
      <c r="F232" s="131"/>
    </row>
    <row r="233" spans="1:6" x14ac:dyDescent="0.3">
      <c r="A233" s="131"/>
      <c r="B233" s="131"/>
      <c r="C233" s="131"/>
      <c r="D233" s="131"/>
      <c r="E233" s="131"/>
      <c r="F233" s="131"/>
    </row>
    <row r="234" spans="1:6" x14ac:dyDescent="0.3">
      <c r="A234" s="131"/>
      <c r="B234" s="131"/>
      <c r="C234" s="131"/>
      <c r="D234" s="131"/>
      <c r="E234" s="131"/>
      <c r="F234" s="131"/>
    </row>
    <row r="235" spans="1:6" x14ac:dyDescent="0.3">
      <c r="A235" s="131"/>
      <c r="B235" s="131"/>
      <c r="C235" s="131"/>
      <c r="D235" s="131"/>
      <c r="E235" s="131"/>
      <c r="F235" s="131"/>
    </row>
    <row r="236" spans="1:6" x14ac:dyDescent="0.3">
      <c r="A236" s="131"/>
      <c r="B236" s="131"/>
      <c r="C236" s="131"/>
      <c r="D236" s="131"/>
      <c r="E236" s="131"/>
      <c r="F236" s="131"/>
    </row>
    <row r="237" spans="1:6" x14ac:dyDescent="0.3">
      <c r="A237" s="131"/>
      <c r="B237" s="131"/>
      <c r="C237" s="131"/>
      <c r="D237" s="131"/>
      <c r="E237" s="131"/>
      <c r="F237" s="131"/>
    </row>
    <row r="238" spans="1:6" x14ac:dyDescent="0.3">
      <c r="A238" s="131"/>
      <c r="B238" s="131"/>
      <c r="C238" s="131"/>
      <c r="D238" s="131"/>
      <c r="E238" s="131"/>
      <c r="F238" s="131"/>
    </row>
    <row r="239" spans="1:6" x14ac:dyDescent="0.3">
      <c r="A239" s="131"/>
      <c r="B239" s="131"/>
      <c r="C239" s="131"/>
      <c r="D239" s="131"/>
      <c r="E239" s="131"/>
      <c r="F239" s="131"/>
    </row>
    <row r="240" spans="1:6" x14ac:dyDescent="0.3">
      <c r="A240" s="131"/>
      <c r="B240" s="131"/>
      <c r="C240" s="131"/>
      <c r="D240" s="131"/>
      <c r="E240" s="131"/>
      <c r="F240" s="131"/>
    </row>
    <row r="241" spans="1:6" x14ac:dyDescent="0.3">
      <c r="A241" s="131"/>
      <c r="B241" s="131"/>
      <c r="C241" s="131"/>
      <c r="D241" s="131"/>
      <c r="E241" s="131"/>
      <c r="F241" s="131"/>
    </row>
    <row r="242" spans="1:6" x14ac:dyDescent="0.3">
      <c r="A242" s="131"/>
      <c r="B242" s="131"/>
      <c r="C242" s="131"/>
      <c r="D242" s="131"/>
      <c r="E242" s="131"/>
      <c r="F242" s="131"/>
    </row>
    <row r="243" spans="1:6" x14ac:dyDescent="0.3">
      <c r="A243" s="131"/>
      <c r="B243" s="131"/>
      <c r="C243" s="131"/>
      <c r="D243" s="131"/>
      <c r="E243" s="131"/>
      <c r="F243" s="131"/>
    </row>
    <row r="244" spans="1:6" x14ac:dyDescent="0.3">
      <c r="A244" s="131"/>
      <c r="B244" s="131"/>
      <c r="C244" s="131"/>
      <c r="D244" s="131"/>
      <c r="E244" s="131"/>
      <c r="F244" s="131"/>
    </row>
    <row r="245" spans="1:6" x14ac:dyDescent="0.3">
      <c r="A245" s="131"/>
      <c r="B245" s="131"/>
      <c r="C245" s="131"/>
      <c r="D245" s="131"/>
      <c r="E245" s="131"/>
      <c r="F245" s="131"/>
    </row>
    <row r="246" spans="1:6" x14ac:dyDescent="0.3">
      <c r="A246" s="131"/>
      <c r="B246" s="131"/>
      <c r="C246" s="131"/>
      <c r="D246" s="131"/>
      <c r="E246" s="131"/>
      <c r="F246" s="131"/>
    </row>
    <row r="247" spans="1:6" x14ac:dyDescent="0.3">
      <c r="A247" s="131"/>
      <c r="B247" s="131"/>
      <c r="C247" s="131"/>
      <c r="D247" s="131"/>
      <c r="E247" s="131"/>
      <c r="F247" s="131"/>
    </row>
    <row r="248" spans="1:6" x14ac:dyDescent="0.3">
      <c r="A248" s="131"/>
      <c r="B248" s="131"/>
      <c r="C248" s="131"/>
      <c r="D248" s="131"/>
      <c r="E248" s="131"/>
      <c r="F248" s="131"/>
    </row>
    <row r="249" spans="1:6" x14ac:dyDescent="0.3">
      <c r="A249" s="131"/>
      <c r="B249" s="131"/>
      <c r="C249" s="131"/>
      <c r="D249" s="131"/>
      <c r="E249" s="131"/>
      <c r="F249" s="131"/>
    </row>
    <row r="250" spans="1:6" x14ac:dyDescent="0.3">
      <c r="A250" s="131"/>
      <c r="B250" s="131"/>
      <c r="C250" s="131"/>
      <c r="D250" s="131"/>
      <c r="E250" s="131"/>
      <c r="F250" s="131"/>
    </row>
    <row r="251" spans="1:6" x14ac:dyDescent="0.3">
      <c r="A251" s="131"/>
      <c r="B251" s="131"/>
      <c r="C251" s="131"/>
      <c r="D251" s="131"/>
      <c r="E251" s="131"/>
      <c r="F251" s="131"/>
    </row>
    <row r="252" spans="1:6" x14ac:dyDescent="0.3">
      <c r="A252" s="131"/>
      <c r="B252" s="131"/>
      <c r="C252" s="131"/>
      <c r="D252" s="131"/>
      <c r="E252" s="131"/>
      <c r="F252" s="131"/>
    </row>
    <row r="253" spans="1:6" x14ac:dyDescent="0.3">
      <c r="A253" s="131"/>
      <c r="B253" s="131"/>
      <c r="C253" s="131"/>
      <c r="D253" s="131"/>
      <c r="E253" s="131"/>
      <c r="F253" s="131"/>
    </row>
    <row r="254" spans="1:6" x14ac:dyDescent="0.3">
      <c r="A254" s="131"/>
      <c r="B254" s="131"/>
      <c r="C254" s="131"/>
      <c r="D254" s="131"/>
      <c r="E254" s="131"/>
      <c r="F254" s="131"/>
    </row>
    <row r="255" spans="1:6" x14ac:dyDescent="0.3">
      <c r="A255" s="131"/>
      <c r="B255" s="131"/>
      <c r="C255" s="131"/>
      <c r="D255" s="131"/>
      <c r="E255" s="131"/>
      <c r="F255" s="131"/>
    </row>
    <row r="256" spans="1:6" x14ac:dyDescent="0.3">
      <c r="A256" s="131"/>
      <c r="B256" s="131"/>
      <c r="C256" s="131"/>
      <c r="D256" s="131"/>
      <c r="E256" s="131"/>
      <c r="F256" s="131"/>
    </row>
    <row r="257" spans="1:6" x14ac:dyDescent="0.3">
      <c r="A257" s="131"/>
      <c r="B257" s="131"/>
      <c r="C257" s="131"/>
      <c r="D257" s="131"/>
      <c r="E257" s="131"/>
      <c r="F257" s="131"/>
    </row>
    <row r="258" spans="1:6" x14ac:dyDescent="0.3">
      <c r="A258" s="131"/>
      <c r="B258" s="131"/>
      <c r="C258" s="131"/>
      <c r="D258" s="131"/>
      <c r="E258" s="131"/>
      <c r="F258" s="131"/>
    </row>
    <row r="259" spans="1:6" x14ac:dyDescent="0.3">
      <c r="A259" s="131"/>
      <c r="B259" s="131"/>
      <c r="C259" s="131"/>
      <c r="D259" s="131"/>
      <c r="E259" s="131"/>
      <c r="F259" s="131"/>
    </row>
    <row r="260" spans="1:6" x14ac:dyDescent="0.3">
      <c r="A260" s="131"/>
      <c r="B260" s="131"/>
      <c r="C260" s="131"/>
      <c r="D260" s="131"/>
      <c r="E260" s="131"/>
      <c r="F260" s="131"/>
    </row>
    <row r="261" spans="1:6" x14ac:dyDescent="0.3">
      <c r="A261" s="131"/>
      <c r="B261" s="131"/>
      <c r="C261" s="131"/>
      <c r="D261" s="131"/>
      <c r="E261" s="131"/>
      <c r="F261" s="131"/>
    </row>
    <row r="262" spans="1:6" x14ac:dyDescent="0.3">
      <c r="A262" s="131"/>
      <c r="B262" s="131"/>
      <c r="C262" s="131"/>
      <c r="D262" s="131"/>
      <c r="E262" s="131"/>
      <c r="F262" s="131"/>
    </row>
    <row r="263" spans="1:6" x14ac:dyDescent="0.3">
      <c r="A263" s="131"/>
      <c r="B263" s="131"/>
      <c r="C263" s="131"/>
      <c r="D263" s="131"/>
      <c r="E263" s="131"/>
      <c r="F263" s="131"/>
    </row>
    <row r="264" spans="1:6" x14ac:dyDescent="0.3">
      <c r="A264" s="131"/>
      <c r="B264" s="131"/>
      <c r="C264" s="131"/>
      <c r="D264" s="131"/>
      <c r="E264" s="131"/>
      <c r="F264" s="131"/>
    </row>
    <row r="265" spans="1:6" x14ac:dyDescent="0.3">
      <c r="A265" s="131"/>
      <c r="B265" s="131"/>
      <c r="C265" s="131"/>
      <c r="D265" s="131"/>
      <c r="E265" s="131"/>
      <c r="F265" s="131"/>
    </row>
    <row r="266" spans="1:6" x14ac:dyDescent="0.3">
      <c r="A266" s="131"/>
      <c r="B266" s="131"/>
      <c r="C266" s="131"/>
      <c r="D266" s="131"/>
      <c r="E266" s="131"/>
      <c r="F266" s="131"/>
    </row>
    <row r="267" spans="1:6" x14ac:dyDescent="0.3">
      <c r="A267" s="131"/>
      <c r="B267" s="131"/>
      <c r="C267" s="131"/>
      <c r="D267" s="131"/>
      <c r="E267" s="131"/>
      <c r="F267" s="131"/>
    </row>
    <row r="268" spans="1:6" x14ac:dyDescent="0.3">
      <c r="A268" s="131"/>
      <c r="B268" s="131"/>
      <c r="C268" s="131"/>
      <c r="D268" s="131"/>
      <c r="E268" s="131"/>
      <c r="F268" s="131"/>
    </row>
    <row r="269" spans="1:6" x14ac:dyDescent="0.3">
      <c r="A269" s="131"/>
      <c r="B269" s="131"/>
      <c r="C269" s="131"/>
      <c r="D269" s="131"/>
      <c r="E269" s="131"/>
      <c r="F269" s="131"/>
    </row>
    <row r="270" spans="1:6" x14ac:dyDescent="0.3">
      <c r="A270" s="131"/>
      <c r="B270" s="131"/>
      <c r="C270" s="131"/>
      <c r="D270" s="131"/>
      <c r="E270" s="131"/>
      <c r="F270" s="131"/>
    </row>
    <row r="271" spans="1:6" x14ac:dyDescent="0.3">
      <c r="A271" s="131"/>
      <c r="B271" s="131"/>
      <c r="C271" s="131"/>
      <c r="D271" s="131"/>
      <c r="E271" s="131"/>
      <c r="F271" s="131"/>
    </row>
    <row r="272" spans="1:6" x14ac:dyDescent="0.3">
      <c r="A272" s="131"/>
      <c r="B272" s="131"/>
      <c r="C272" s="131"/>
      <c r="D272" s="131"/>
      <c r="E272" s="131"/>
      <c r="F272" s="131"/>
    </row>
    <row r="273" spans="1:6" x14ac:dyDescent="0.3">
      <c r="A273" s="131"/>
      <c r="B273" s="131"/>
      <c r="C273" s="131"/>
      <c r="D273" s="131"/>
      <c r="E273" s="131"/>
      <c r="F273" s="131"/>
    </row>
    <row r="274" spans="1:6" x14ac:dyDescent="0.3">
      <c r="A274" s="131"/>
      <c r="B274" s="131"/>
      <c r="C274" s="131"/>
      <c r="D274" s="131"/>
      <c r="E274" s="131"/>
      <c r="F274" s="131"/>
    </row>
    <row r="275" spans="1:6" x14ac:dyDescent="0.3">
      <c r="A275" s="131"/>
      <c r="B275" s="131"/>
      <c r="C275" s="131"/>
      <c r="D275" s="131"/>
      <c r="E275" s="131"/>
      <c r="F275" s="131"/>
    </row>
    <row r="276" spans="1:6" x14ac:dyDescent="0.3">
      <c r="A276" s="131"/>
      <c r="B276" s="131"/>
      <c r="C276" s="131"/>
      <c r="D276" s="131"/>
      <c r="E276" s="131"/>
      <c r="F276" s="131"/>
    </row>
    <row r="277" spans="1:6" x14ac:dyDescent="0.3">
      <c r="A277" s="131"/>
      <c r="B277" s="131"/>
      <c r="C277" s="131"/>
      <c r="D277" s="131"/>
      <c r="E277" s="131"/>
      <c r="F277" s="131"/>
    </row>
    <row r="278" spans="1:6" x14ac:dyDescent="0.3">
      <c r="A278" s="131"/>
      <c r="B278" s="131"/>
      <c r="C278" s="131"/>
      <c r="D278" s="131"/>
      <c r="E278" s="131"/>
      <c r="F278" s="131"/>
    </row>
    <row r="279" spans="1:6" x14ac:dyDescent="0.3">
      <c r="A279" s="131"/>
      <c r="B279" s="131"/>
      <c r="C279" s="131"/>
      <c r="D279" s="131"/>
      <c r="E279" s="131"/>
      <c r="F279" s="131"/>
    </row>
    <row r="280" spans="1:6" x14ac:dyDescent="0.3">
      <c r="A280" s="131"/>
      <c r="B280" s="131"/>
      <c r="C280" s="131"/>
      <c r="D280" s="131"/>
      <c r="E280" s="131"/>
      <c r="F280" s="131"/>
    </row>
    <row r="281" spans="1:6" x14ac:dyDescent="0.3">
      <c r="A281" s="131"/>
      <c r="B281" s="131"/>
      <c r="C281" s="131"/>
      <c r="D281" s="131"/>
      <c r="E281" s="131"/>
      <c r="F281" s="131"/>
    </row>
    <row r="282" spans="1:6" x14ac:dyDescent="0.3">
      <c r="A282" s="131"/>
      <c r="B282" s="131"/>
      <c r="C282" s="131"/>
      <c r="D282" s="131"/>
      <c r="E282" s="131"/>
      <c r="F282" s="131"/>
    </row>
    <row r="283" spans="1:6" x14ac:dyDescent="0.3">
      <c r="A283" s="131"/>
      <c r="B283" s="131"/>
      <c r="C283" s="131"/>
      <c r="D283" s="131"/>
      <c r="E283" s="131"/>
      <c r="F283" s="131"/>
    </row>
    <row r="284" spans="1:6" x14ac:dyDescent="0.3">
      <c r="A284" s="131"/>
      <c r="B284" s="131"/>
      <c r="C284" s="131"/>
      <c r="D284" s="131"/>
      <c r="E284" s="131"/>
      <c r="F284" s="131"/>
    </row>
    <row r="285" spans="1:6" x14ac:dyDescent="0.3">
      <c r="A285" s="131"/>
      <c r="B285" s="131"/>
      <c r="C285" s="131"/>
      <c r="D285" s="131"/>
      <c r="E285" s="131"/>
      <c r="F285" s="131"/>
    </row>
    <row r="286" spans="1:6" x14ac:dyDescent="0.3">
      <c r="A286" s="131"/>
      <c r="B286" s="131"/>
      <c r="C286" s="131"/>
      <c r="D286" s="131"/>
      <c r="E286" s="131"/>
      <c r="F286" s="131"/>
    </row>
    <row r="287" spans="1:6" x14ac:dyDescent="0.3">
      <c r="A287" s="131"/>
      <c r="B287" s="131"/>
      <c r="C287" s="131"/>
      <c r="D287" s="131"/>
      <c r="E287" s="131"/>
      <c r="F287" s="131"/>
    </row>
    <row r="288" spans="1:6" x14ac:dyDescent="0.3">
      <c r="A288" s="131"/>
      <c r="B288" s="131"/>
      <c r="C288" s="131"/>
      <c r="D288" s="131"/>
      <c r="E288" s="131"/>
      <c r="F288" s="131"/>
    </row>
    <row r="289" spans="1:6" x14ac:dyDescent="0.3">
      <c r="A289" s="131"/>
      <c r="B289" s="131"/>
      <c r="C289" s="131"/>
      <c r="D289" s="131"/>
      <c r="E289" s="131"/>
      <c r="F289" s="131"/>
    </row>
    <row r="290" spans="1:6" x14ac:dyDescent="0.3">
      <c r="A290" s="131"/>
      <c r="B290" s="131"/>
      <c r="C290" s="131"/>
      <c r="D290" s="131"/>
      <c r="E290" s="131"/>
      <c r="F290" s="131"/>
    </row>
    <row r="291" spans="1:6" x14ac:dyDescent="0.3">
      <c r="A291" s="131"/>
      <c r="B291" s="131"/>
      <c r="C291" s="131"/>
      <c r="D291" s="131"/>
      <c r="E291" s="131"/>
      <c r="F291" s="131"/>
    </row>
    <row r="292" spans="1:6" x14ac:dyDescent="0.3">
      <c r="A292" s="131"/>
      <c r="B292" s="131"/>
      <c r="C292" s="131"/>
      <c r="D292" s="131"/>
      <c r="E292" s="131"/>
      <c r="F292" s="131"/>
    </row>
    <row r="293" spans="1:6" x14ac:dyDescent="0.3">
      <c r="A293" s="131"/>
      <c r="B293" s="131"/>
      <c r="C293" s="131"/>
      <c r="D293" s="131"/>
      <c r="E293" s="131"/>
      <c r="F293" s="131"/>
    </row>
    <row r="294" spans="1:6" x14ac:dyDescent="0.3">
      <c r="A294" s="131"/>
      <c r="B294" s="131"/>
      <c r="C294" s="131"/>
      <c r="D294" s="131"/>
      <c r="E294" s="131"/>
      <c r="F294" s="131"/>
    </row>
    <row r="295" spans="1:6" x14ac:dyDescent="0.3">
      <c r="A295" s="131"/>
      <c r="B295" s="131"/>
      <c r="C295" s="131"/>
      <c r="D295" s="131"/>
      <c r="E295" s="131"/>
      <c r="F295" s="131"/>
    </row>
    <row r="296" spans="1:6" x14ac:dyDescent="0.3">
      <c r="A296" s="131"/>
      <c r="B296" s="131"/>
      <c r="C296" s="131"/>
      <c r="D296" s="131"/>
      <c r="E296" s="131"/>
      <c r="F296" s="131"/>
    </row>
    <row r="297" spans="1:6" x14ac:dyDescent="0.3">
      <c r="A297" s="131"/>
      <c r="B297" s="131"/>
      <c r="C297" s="131"/>
      <c r="D297" s="131"/>
      <c r="E297" s="131"/>
      <c r="F297" s="131"/>
    </row>
    <row r="298" spans="1:6" x14ac:dyDescent="0.3">
      <c r="A298" s="131"/>
      <c r="B298" s="131"/>
      <c r="C298" s="131"/>
      <c r="D298" s="131"/>
      <c r="E298" s="131"/>
      <c r="F298" s="131"/>
    </row>
    <row r="299" spans="1:6" x14ac:dyDescent="0.3">
      <c r="A299" s="131"/>
      <c r="B299" s="131"/>
      <c r="C299" s="131"/>
      <c r="D299" s="131"/>
      <c r="E299" s="131"/>
      <c r="F299" s="131"/>
    </row>
    <row r="300" spans="1:6" x14ac:dyDescent="0.3">
      <c r="A300" s="131"/>
      <c r="B300" s="131"/>
      <c r="C300" s="131"/>
      <c r="D300" s="131"/>
      <c r="E300" s="131"/>
      <c r="F300" s="131"/>
    </row>
    <row r="301" spans="1:6" x14ac:dyDescent="0.3">
      <c r="A301" s="131"/>
      <c r="B301" s="131"/>
      <c r="C301" s="131"/>
      <c r="D301" s="131"/>
      <c r="E301" s="131"/>
      <c r="F301" s="131"/>
    </row>
    <row r="302" spans="1:6" x14ac:dyDescent="0.3">
      <c r="A302" s="131"/>
      <c r="B302" s="131"/>
      <c r="C302" s="131"/>
      <c r="D302" s="131"/>
      <c r="E302" s="131"/>
      <c r="F302" s="131"/>
    </row>
    <row r="303" spans="1:6" x14ac:dyDescent="0.3">
      <c r="A303" s="131"/>
      <c r="B303" s="131"/>
      <c r="C303" s="131"/>
      <c r="D303" s="131"/>
      <c r="E303" s="131"/>
      <c r="F303" s="131"/>
    </row>
    <row r="304" spans="1:6" x14ac:dyDescent="0.3">
      <c r="A304" s="131"/>
      <c r="B304" s="131"/>
      <c r="C304" s="131"/>
      <c r="D304" s="131"/>
      <c r="E304" s="131"/>
      <c r="F304" s="131"/>
    </row>
    <row r="305" spans="1:6" x14ac:dyDescent="0.3">
      <c r="A305" s="131"/>
      <c r="B305" s="131"/>
      <c r="C305" s="131"/>
      <c r="D305" s="131"/>
      <c r="E305" s="131"/>
      <c r="F305" s="131"/>
    </row>
    <row r="306" spans="1:6" x14ac:dyDescent="0.3">
      <c r="A306" s="131"/>
      <c r="B306" s="131"/>
      <c r="C306" s="131"/>
      <c r="D306" s="131"/>
      <c r="E306" s="131"/>
      <c r="F306" s="131"/>
    </row>
    <row r="307" spans="1:6" x14ac:dyDescent="0.3">
      <c r="A307" s="131"/>
      <c r="B307" s="131"/>
      <c r="C307" s="131"/>
      <c r="D307" s="131"/>
      <c r="E307" s="131"/>
      <c r="F307" s="131"/>
    </row>
    <row r="308" spans="1:6" x14ac:dyDescent="0.3">
      <c r="A308" s="131"/>
      <c r="B308" s="131"/>
      <c r="C308" s="131"/>
      <c r="D308" s="131"/>
      <c r="E308" s="131"/>
      <c r="F308" s="131"/>
    </row>
    <row r="309" spans="1:6" x14ac:dyDescent="0.3">
      <c r="A309" s="131"/>
      <c r="B309" s="131"/>
      <c r="C309" s="131"/>
      <c r="D309" s="131"/>
      <c r="E309" s="131"/>
      <c r="F309" s="131"/>
    </row>
    <row r="310" spans="1:6" x14ac:dyDescent="0.3">
      <c r="A310" s="131"/>
      <c r="B310" s="131"/>
      <c r="C310" s="131"/>
      <c r="D310" s="131"/>
      <c r="E310" s="131"/>
      <c r="F310" s="131"/>
    </row>
    <row r="311" spans="1:6" x14ac:dyDescent="0.3">
      <c r="A311" s="131"/>
      <c r="B311" s="131"/>
      <c r="C311" s="131"/>
      <c r="D311" s="131"/>
      <c r="E311" s="131"/>
      <c r="F311" s="131"/>
    </row>
    <row r="312" spans="1:6" x14ac:dyDescent="0.3">
      <c r="A312" s="131"/>
      <c r="B312" s="131"/>
      <c r="C312" s="131"/>
      <c r="D312" s="131"/>
      <c r="E312" s="131"/>
      <c r="F312" s="131"/>
    </row>
    <row r="313" spans="1:6" x14ac:dyDescent="0.3">
      <c r="A313" s="131"/>
      <c r="B313" s="131"/>
      <c r="C313" s="131"/>
      <c r="D313" s="131"/>
      <c r="E313" s="131"/>
      <c r="F313" s="131"/>
    </row>
    <row r="314" spans="1:6" x14ac:dyDescent="0.3">
      <c r="A314" s="131"/>
      <c r="B314" s="131"/>
      <c r="C314" s="131"/>
      <c r="D314" s="131"/>
      <c r="E314" s="131"/>
      <c r="F314" s="131"/>
    </row>
    <row r="315" spans="1:6" x14ac:dyDescent="0.3">
      <c r="A315" s="131"/>
      <c r="B315" s="131"/>
      <c r="C315" s="131"/>
      <c r="D315" s="131"/>
      <c r="E315" s="131"/>
      <c r="F315" s="131"/>
    </row>
    <row r="316" spans="1:6" x14ac:dyDescent="0.3">
      <c r="A316" s="131"/>
      <c r="B316" s="131"/>
      <c r="C316" s="131"/>
      <c r="D316" s="131"/>
      <c r="E316" s="131"/>
      <c r="F316" s="131"/>
    </row>
    <row r="317" spans="1:6" x14ac:dyDescent="0.3">
      <c r="A317" s="131"/>
      <c r="B317" s="131"/>
      <c r="C317" s="131"/>
      <c r="D317" s="131"/>
      <c r="E317" s="131"/>
      <c r="F317" s="131"/>
    </row>
    <row r="318" spans="1:6" x14ac:dyDescent="0.3">
      <c r="A318" s="131"/>
      <c r="B318" s="131"/>
      <c r="C318" s="131"/>
      <c r="D318" s="131"/>
      <c r="E318" s="131"/>
      <c r="F318" s="131"/>
    </row>
    <row r="319" spans="1:6" x14ac:dyDescent="0.3">
      <c r="A319" s="131"/>
      <c r="B319" s="131"/>
      <c r="C319" s="131"/>
      <c r="D319" s="131"/>
      <c r="E319" s="131"/>
      <c r="F319" s="131"/>
    </row>
    <row r="320" spans="1:6" x14ac:dyDescent="0.3">
      <c r="A320" s="131"/>
      <c r="B320" s="131"/>
      <c r="C320" s="131"/>
      <c r="D320" s="131"/>
      <c r="E320" s="131"/>
      <c r="F320" s="131"/>
    </row>
    <row r="321" spans="1:6" x14ac:dyDescent="0.3">
      <c r="A321" s="131"/>
      <c r="B321" s="131"/>
      <c r="C321" s="131"/>
      <c r="D321" s="131"/>
      <c r="E321" s="131"/>
      <c r="F321" s="131"/>
    </row>
    <row r="322" spans="1:6" x14ac:dyDescent="0.3">
      <c r="A322" s="131"/>
      <c r="B322" s="131"/>
      <c r="C322" s="131"/>
      <c r="D322" s="131"/>
      <c r="E322" s="131"/>
      <c r="F322" s="131"/>
    </row>
    <row r="323" spans="1:6" x14ac:dyDescent="0.3">
      <c r="A323" s="131"/>
      <c r="B323" s="131"/>
      <c r="C323" s="131"/>
      <c r="D323" s="131"/>
      <c r="E323" s="131"/>
      <c r="F323" s="131"/>
    </row>
    <row r="324" spans="1:6" x14ac:dyDescent="0.3">
      <c r="A324" s="131"/>
      <c r="B324" s="131"/>
      <c r="C324" s="131"/>
      <c r="D324" s="131"/>
      <c r="E324" s="131"/>
      <c r="F324" s="131"/>
    </row>
    <row r="325" spans="1:6" x14ac:dyDescent="0.3">
      <c r="A325" s="131"/>
      <c r="B325" s="131"/>
      <c r="C325" s="131"/>
      <c r="D325" s="131"/>
      <c r="E325" s="131"/>
      <c r="F325" s="131"/>
    </row>
    <row r="326" spans="1:6" x14ac:dyDescent="0.3">
      <c r="A326" s="131"/>
      <c r="B326" s="131"/>
      <c r="C326" s="131"/>
      <c r="D326" s="131"/>
      <c r="E326" s="131"/>
      <c r="F326" s="131"/>
    </row>
    <row r="327" spans="1:6" x14ac:dyDescent="0.3">
      <c r="A327" s="131"/>
      <c r="B327" s="131"/>
      <c r="C327" s="131"/>
      <c r="D327" s="131"/>
      <c r="E327" s="131"/>
      <c r="F327" s="131"/>
    </row>
    <row r="328" spans="1:6" x14ac:dyDescent="0.3">
      <c r="A328" s="131"/>
      <c r="B328" s="131"/>
      <c r="C328" s="131"/>
      <c r="D328" s="131"/>
      <c r="E328" s="131"/>
      <c r="F328" s="131"/>
    </row>
    <row r="329" spans="1:6" x14ac:dyDescent="0.3">
      <c r="A329" s="131"/>
      <c r="B329" s="131"/>
      <c r="C329" s="131"/>
      <c r="D329" s="131"/>
      <c r="E329" s="131"/>
      <c r="F329" s="131"/>
    </row>
    <row r="330" spans="1:6" x14ac:dyDescent="0.3">
      <c r="A330" s="131"/>
      <c r="B330" s="131"/>
      <c r="C330" s="131"/>
      <c r="D330" s="131"/>
      <c r="E330" s="131"/>
      <c r="F330" s="131"/>
    </row>
    <row r="331" spans="1:6" x14ac:dyDescent="0.3">
      <c r="A331" s="131"/>
      <c r="B331" s="131"/>
      <c r="C331" s="131"/>
      <c r="D331" s="131"/>
      <c r="E331" s="131"/>
      <c r="F331" s="131"/>
    </row>
    <row r="332" spans="1:6" x14ac:dyDescent="0.3">
      <c r="A332" s="131"/>
      <c r="B332" s="131"/>
      <c r="C332" s="131"/>
      <c r="D332" s="131"/>
      <c r="E332" s="131"/>
      <c r="F332" s="131"/>
    </row>
    <row r="333" spans="1:6" x14ac:dyDescent="0.3">
      <c r="A333" s="131"/>
      <c r="B333" s="131"/>
      <c r="C333" s="131"/>
      <c r="D333" s="131"/>
      <c r="E333" s="131"/>
      <c r="F333" s="131"/>
    </row>
    <row r="334" spans="1:6" x14ac:dyDescent="0.3">
      <c r="A334" s="131"/>
      <c r="B334" s="131"/>
      <c r="C334" s="131"/>
      <c r="D334" s="131"/>
      <c r="E334" s="131"/>
      <c r="F334" s="131"/>
    </row>
    <row r="335" spans="1:6" x14ac:dyDescent="0.3">
      <c r="A335" s="131"/>
      <c r="B335" s="131"/>
      <c r="C335" s="131"/>
      <c r="D335" s="131"/>
      <c r="E335" s="131"/>
      <c r="F335" s="131"/>
    </row>
    <row r="336" spans="1:6" x14ac:dyDescent="0.3">
      <c r="A336" s="131"/>
      <c r="B336" s="131"/>
      <c r="C336" s="131"/>
      <c r="D336" s="131"/>
      <c r="E336" s="131"/>
      <c r="F336" s="131"/>
    </row>
    <row r="337" spans="1:6" x14ac:dyDescent="0.3">
      <c r="A337" s="131"/>
      <c r="B337" s="131"/>
      <c r="C337" s="131"/>
      <c r="D337" s="131"/>
      <c r="E337" s="131"/>
      <c r="F337" s="131"/>
    </row>
    <row r="338" spans="1:6" x14ac:dyDescent="0.3">
      <c r="A338" s="131"/>
      <c r="B338" s="131"/>
      <c r="C338" s="131"/>
      <c r="D338" s="131"/>
      <c r="E338" s="131"/>
      <c r="F338" s="131"/>
    </row>
    <row r="339" spans="1:6" x14ac:dyDescent="0.3">
      <c r="A339" s="131"/>
      <c r="B339" s="131"/>
      <c r="C339" s="131"/>
      <c r="D339" s="131"/>
      <c r="E339" s="131"/>
      <c r="F339" s="131"/>
    </row>
    <row r="340" spans="1:6" x14ac:dyDescent="0.3">
      <c r="A340" s="131"/>
      <c r="B340" s="131"/>
      <c r="C340" s="131"/>
      <c r="D340" s="131"/>
      <c r="E340" s="131"/>
      <c r="F340" s="131"/>
    </row>
    <row r="341" spans="1:6" x14ac:dyDescent="0.3">
      <c r="A341" s="131"/>
      <c r="B341" s="131"/>
      <c r="C341" s="131"/>
      <c r="D341" s="131"/>
      <c r="E341" s="131"/>
      <c r="F341" s="131"/>
    </row>
    <row r="342" spans="1:6" x14ac:dyDescent="0.3">
      <c r="A342" s="131"/>
      <c r="B342" s="131"/>
      <c r="C342" s="131"/>
      <c r="D342" s="131"/>
      <c r="E342" s="131"/>
      <c r="F342" s="131"/>
    </row>
    <row r="343" spans="1:6" x14ac:dyDescent="0.3">
      <c r="A343" s="131"/>
      <c r="B343" s="131"/>
      <c r="C343" s="131"/>
      <c r="D343" s="131"/>
      <c r="E343" s="131"/>
      <c r="F343" s="131"/>
    </row>
    <row r="344" spans="1:6" x14ac:dyDescent="0.3">
      <c r="A344" s="131"/>
      <c r="B344" s="131"/>
      <c r="C344" s="131"/>
      <c r="D344" s="131"/>
      <c r="E344" s="131"/>
      <c r="F344" s="131"/>
    </row>
    <row r="345" spans="1:6" x14ac:dyDescent="0.3">
      <c r="A345" s="131"/>
      <c r="B345" s="131"/>
      <c r="C345" s="131"/>
      <c r="D345" s="131"/>
      <c r="E345" s="131"/>
      <c r="F345" s="131"/>
    </row>
    <row r="346" spans="1:6" x14ac:dyDescent="0.3">
      <c r="A346" s="131"/>
      <c r="B346" s="131"/>
      <c r="C346" s="131"/>
      <c r="D346" s="131"/>
      <c r="E346" s="131"/>
      <c r="F346" s="131"/>
    </row>
    <row r="347" spans="1:6" x14ac:dyDescent="0.3">
      <c r="A347" s="131"/>
      <c r="B347" s="131"/>
      <c r="C347" s="131"/>
      <c r="D347" s="131"/>
      <c r="E347" s="131"/>
      <c r="F347" s="131"/>
    </row>
    <row r="348" spans="1:6" x14ac:dyDescent="0.3">
      <c r="A348" s="131"/>
      <c r="B348" s="131"/>
      <c r="C348" s="131"/>
      <c r="D348" s="131"/>
      <c r="E348" s="131"/>
      <c r="F348" s="131"/>
    </row>
    <row r="349" spans="1:6" x14ac:dyDescent="0.3">
      <c r="A349" s="131"/>
      <c r="B349" s="131"/>
      <c r="C349" s="131"/>
      <c r="D349" s="131"/>
      <c r="E349" s="131"/>
      <c r="F349" s="131"/>
    </row>
    <row r="350" spans="1:6" x14ac:dyDescent="0.3">
      <c r="A350" s="131"/>
      <c r="B350" s="131"/>
      <c r="C350" s="131"/>
      <c r="D350" s="131"/>
      <c r="E350" s="131"/>
      <c r="F350" s="131"/>
    </row>
    <row r="351" spans="1:6" x14ac:dyDescent="0.3">
      <c r="A351" s="131"/>
      <c r="B351" s="131"/>
      <c r="C351" s="131"/>
      <c r="D351" s="131"/>
      <c r="E351" s="131"/>
      <c r="F351" s="131"/>
    </row>
    <row r="352" spans="1:6" x14ac:dyDescent="0.3">
      <c r="A352" s="131"/>
      <c r="B352" s="131"/>
      <c r="C352" s="131"/>
      <c r="D352" s="131"/>
      <c r="E352" s="131"/>
      <c r="F352" s="131"/>
    </row>
    <row r="353" spans="1:6" x14ac:dyDescent="0.3">
      <c r="A353" s="131"/>
      <c r="B353" s="131"/>
      <c r="C353" s="131"/>
      <c r="D353" s="131"/>
      <c r="E353" s="131"/>
      <c r="F353" s="131"/>
    </row>
    <row r="354" spans="1:6" x14ac:dyDescent="0.3">
      <c r="A354" s="131"/>
      <c r="B354" s="131"/>
      <c r="C354" s="131"/>
      <c r="D354" s="131"/>
      <c r="E354" s="131"/>
      <c r="F354" s="131"/>
    </row>
    <row r="355" spans="1:6" x14ac:dyDescent="0.3">
      <c r="A355" s="131"/>
      <c r="B355" s="131"/>
      <c r="C355" s="131"/>
      <c r="D355" s="131"/>
      <c r="E355" s="131"/>
      <c r="F355" s="131"/>
    </row>
    <row r="356" spans="1:6" x14ac:dyDescent="0.3">
      <c r="A356" s="131"/>
      <c r="B356" s="131"/>
      <c r="C356" s="131"/>
      <c r="D356" s="131"/>
      <c r="E356" s="131"/>
      <c r="F356" s="131"/>
    </row>
    <row r="357" spans="1:6" x14ac:dyDescent="0.3">
      <c r="A357" s="131"/>
      <c r="B357" s="131"/>
      <c r="C357" s="131"/>
      <c r="D357" s="131"/>
      <c r="E357" s="131"/>
      <c r="F357" s="131"/>
    </row>
    <row r="358" spans="1:6" x14ac:dyDescent="0.3">
      <c r="A358" s="131"/>
      <c r="B358" s="131"/>
      <c r="C358" s="131"/>
      <c r="D358" s="131"/>
      <c r="E358" s="131"/>
      <c r="F358" s="131"/>
    </row>
    <row r="359" spans="1:6" x14ac:dyDescent="0.3">
      <c r="A359" s="131"/>
      <c r="B359" s="131"/>
      <c r="C359" s="131"/>
      <c r="D359" s="131"/>
      <c r="E359" s="131"/>
      <c r="F359" s="131"/>
    </row>
    <row r="360" spans="1:6" x14ac:dyDescent="0.3">
      <c r="A360" s="131"/>
      <c r="B360" s="131"/>
      <c r="C360" s="131"/>
      <c r="D360" s="131"/>
      <c r="E360" s="131"/>
      <c r="F360" s="131"/>
    </row>
    <row r="361" spans="1:6" x14ac:dyDescent="0.3">
      <c r="A361" s="131"/>
      <c r="B361" s="131"/>
      <c r="C361" s="131"/>
      <c r="D361" s="131"/>
      <c r="E361" s="131"/>
      <c r="F361" s="131"/>
    </row>
    <row r="362" spans="1:6" x14ac:dyDescent="0.3">
      <c r="A362" s="131"/>
      <c r="B362" s="131"/>
      <c r="C362" s="131"/>
      <c r="D362" s="131"/>
      <c r="E362" s="131"/>
      <c r="F362" s="131"/>
    </row>
    <row r="363" spans="1:6" x14ac:dyDescent="0.3">
      <c r="A363" s="131"/>
      <c r="B363" s="131"/>
      <c r="C363" s="131"/>
      <c r="D363" s="131"/>
      <c r="E363" s="131"/>
      <c r="F363" s="131"/>
    </row>
    <row r="364" spans="1:6" x14ac:dyDescent="0.3">
      <c r="A364" s="131"/>
      <c r="B364" s="131"/>
      <c r="C364" s="131"/>
      <c r="D364" s="131"/>
      <c r="E364" s="131"/>
      <c r="F364" s="131"/>
    </row>
    <row r="365" spans="1:6" x14ac:dyDescent="0.3">
      <c r="A365" s="131"/>
      <c r="B365" s="131"/>
      <c r="C365" s="131"/>
      <c r="D365" s="131"/>
      <c r="E365" s="131"/>
      <c r="F365" s="131"/>
    </row>
    <row r="366" spans="1:6" x14ac:dyDescent="0.3">
      <c r="A366" s="131"/>
      <c r="B366" s="131"/>
      <c r="C366" s="131"/>
      <c r="D366" s="131"/>
      <c r="E366" s="131"/>
      <c r="F366" s="131"/>
    </row>
    <row r="367" spans="1:6" x14ac:dyDescent="0.3">
      <c r="A367" s="131"/>
      <c r="B367" s="131"/>
      <c r="C367" s="131"/>
      <c r="D367" s="131"/>
      <c r="E367" s="131"/>
      <c r="F367" s="131"/>
    </row>
    <row r="368" spans="1:6" x14ac:dyDescent="0.3">
      <c r="A368" s="131"/>
      <c r="B368" s="131"/>
      <c r="C368" s="131"/>
      <c r="D368" s="131"/>
      <c r="E368" s="131"/>
      <c r="F368" s="131"/>
    </row>
    <row r="369" spans="1:6" x14ac:dyDescent="0.3">
      <c r="A369" s="131"/>
      <c r="B369" s="131"/>
      <c r="C369" s="131"/>
      <c r="D369" s="131"/>
      <c r="E369" s="131"/>
      <c r="F369" s="131"/>
    </row>
    <row r="370" spans="1:6" x14ac:dyDescent="0.3">
      <c r="A370" s="131"/>
      <c r="B370" s="131"/>
      <c r="C370" s="131"/>
      <c r="D370" s="131"/>
      <c r="E370" s="131"/>
      <c r="F370" s="131"/>
    </row>
    <row r="371" spans="1:6" x14ac:dyDescent="0.3">
      <c r="A371" s="131"/>
      <c r="B371" s="131"/>
      <c r="C371" s="131"/>
      <c r="D371" s="131"/>
      <c r="E371" s="131"/>
      <c r="F371" s="131"/>
    </row>
    <row r="372" spans="1:6" x14ac:dyDescent="0.3">
      <c r="A372" s="131"/>
      <c r="B372" s="131"/>
      <c r="C372" s="131"/>
      <c r="D372" s="131"/>
      <c r="E372" s="131"/>
      <c r="F372" s="131"/>
    </row>
    <row r="373" spans="1:6" x14ac:dyDescent="0.3">
      <c r="A373" s="131"/>
      <c r="B373" s="131"/>
      <c r="C373" s="131"/>
      <c r="D373" s="131"/>
      <c r="E373" s="131"/>
      <c r="F373" s="131"/>
    </row>
    <row r="374" spans="1:6" x14ac:dyDescent="0.3">
      <c r="A374" s="131"/>
      <c r="B374" s="131"/>
      <c r="C374" s="131"/>
      <c r="D374" s="131"/>
      <c r="E374" s="131"/>
      <c r="F374" s="131"/>
    </row>
    <row r="375" spans="1:6" x14ac:dyDescent="0.3">
      <c r="A375" s="131"/>
      <c r="B375" s="131"/>
      <c r="C375" s="131"/>
      <c r="D375" s="131"/>
      <c r="E375" s="131"/>
      <c r="F375" s="131"/>
    </row>
    <row r="376" spans="1:6" x14ac:dyDescent="0.3">
      <c r="A376" s="131"/>
      <c r="B376" s="131"/>
      <c r="C376" s="131"/>
      <c r="D376" s="131"/>
      <c r="E376" s="131"/>
      <c r="F376" s="131"/>
    </row>
    <row r="377" spans="1:6" x14ac:dyDescent="0.3">
      <c r="A377" s="131"/>
      <c r="B377" s="131"/>
      <c r="C377" s="131"/>
      <c r="D377" s="131"/>
      <c r="E377" s="131"/>
      <c r="F377" s="131"/>
    </row>
    <row r="378" spans="1:6" x14ac:dyDescent="0.3">
      <c r="A378" s="131"/>
      <c r="B378" s="131"/>
      <c r="C378" s="131"/>
      <c r="D378" s="131"/>
      <c r="E378" s="131"/>
      <c r="F378" s="131"/>
    </row>
    <row r="379" spans="1:6" x14ac:dyDescent="0.3">
      <c r="A379" s="131"/>
      <c r="B379" s="131"/>
      <c r="C379" s="131"/>
      <c r="D379" s="131"/>
      <c r="E379" s="131"/>
      <c r="F379" s="131"/>
    </row>
    <row r="380" spans="1:6" x14ac:dyDescent="0.3">
      <c r="A380" s="131"/>
      <c r="B380" s="131"/>
      <c r="C380" s="131"/>
      <c r="D380" s="131"/>
      <c r="E380" s="131"/>
      <c r="F380" s="131"/>
    </row>
    <row r="381" spans="1:6" x14ac:dyDescent="0.3">
      <c r="A381" s="131"/>
      <c r="B381" s="131"/>
      <c r="C381" s="131"/>
      <c r="D381" s="131"/>
      <c r="E381" s="131"/>
      <c r="F381" s="131"/>
    </row>
    <row r="382" spans="1:6" x14ac:dyDescent="0.3">
      <c r="A382" s="131"/>
      <c r="B382" s="131"/>
      <c r="C382" s="131"/>
      <c r="D382" s="131"/>
      <c r="E382" s="131"/>
      <c r="F382" s="131"/>
    </row>
    <row r="383" spans="1:6" x14ac:dyDescent="0.3">
      <c r="A383" s="131"/>
      <c r="B383" s="131"/>
      <c r="C383" s="131"/>
      <c r="D383" s="131"/>
      <c r="E383" s="131"/>
      <c r="F383" s="131"/>
    </row>
    <row r="384" spans="1:6" x14ac:dyDescent="0.3">
      <c r="A384" s="131"/>
      <c r="B384" s="131"/>
      <c r="C384" s="131"/>
      <c r="D384" s="131"/>
      <c r="E384" s="131"/>
      <c r="F384" s="131"/>
    </row>
    <row r="385" spans="1:6" x14ac:dyDescent="0.3">
      <c r="A385" s="131"/>
      <c r="B385" s="131"/>
      <c r="C385" s="131"/>
      <c r="D385" s="131"/>
      <c r="E385" s="131"/>
      <c r="F385" s="131"/>
    </row>
    <row r="386" spans="1:6" x14ac:dyDescent="0.3">
      <c r="A386" s="131"/>
      <c r="B386" s="131"/>
      <c r="C386" s="131"/>
      <c r="D386" s="131"/>
      <c r="E386" s="131"/>
      <c r="F386" s="131"/>
    </row>
    <row r="387" spans="1:6" x14ac:dyDescent="0.3">
      <c r="A387" s="131"/>
      <c r="B387" s="131"/>
      <c r="C387" s="131"/>
      <c r="D387" s="131"/>
      <c r="E387" s="131"/>
      <c r="F387" s="131"/>
    </row>
    <row r="388" spans="1:6" x14ac:dyDescent="0.3">
      <c r="A388" s="131"/>
      <c r="B388" s="131"/>
      <c r="C388" s="131"/>
      <c r="D388" s="131"/>
      <c r="E388" s="131"/>
      <c r="F388" s="131"/>
    </row>
    <row r="389" spans="1:6" x14ac:dyDescent="0.3">
      <c r="A389" s="131"/>
      <c r="B389" s="131"/>
      <c r="C389" s="131"/>
      <c r="D389" s="131"/>
      <c r="E389" s="131"/>
      <c r="F389" s="131"/>
    </row>
    <row r="390" spans="1:6" x14ac:dyDescent="0.3">
      <c r="A390" s="131"/>
      <c r="B390" s="131"/>
      <c r="C390" s="131"/>
      <c r="D390" s="131"/>
      <c r="E390" s="131"/>
      <c r="F390" s="131"/>
    </row>
    <row r="391" spans="1:6" x14ac:dyDescent="0.3">
      <c r="A391" s="131"/>
      <c r="B391" s="131"/>
      <c r="C391" s="131"/>
      <c r="D391" s="131"/>
      <c r="E391" s="131"/>
      <c r="F391" s="131"/>
    </row>
    <row r="392" spans="1:6" x14ac:dyDescent="0.3">
      <c r="A392" s="131"/>
      <c r="B392" s="131"/>
      <c r="C392" s="131"/>
      <c r="D392" s="131"/>
      <c r="E392" s="131"/>
      <c r="F392" s="131"/>
    </row>
    <row r="393" spans="1:6" x14ac:dyDescent="0.3">
      <c r="A393" s="131"/>
      <c r="B393" s="131"/>
      <c r="C393" s="131"/>
      <c r="D393" s="131"/>
      <c r="E393" s="131"/>
      <c r="F393" s="131"/>
    </row>
    <row r="394" spans="1:6" x14ac:dyDescent="0.3">
      <c r="A394" s="131"/>
      <c r="B394" s="131"/>
      <c r="C394" s="131"/>
      <c r="D394" s="131"/>
      <c r="E394" s="131"/>
      <c r="F394" s="131"/>
    </row>
    <row r="395" spans="1:6" x14ac:dyDescent="0.3">
      <c r="A395" s="131"/>
      <c r="B395" s="131"/>
      <c r="C395" s="131"/>
      <c r="D395" s="131"/>
      <c r="E395" s="131"/>
      <c r="F395" s="131"/>
    </row>
    <row r="396" spans="1:6" x14ac:dyDescent="0.3">
      <c r="A396" s="131"/>
      <c r="B396" s="131"/>
      <c r="C396" s="131"/>
      <c r="D396" s="131"/>
      <c r="E396" s="131"/>
      <c r="F396" s="131"/>
    </row>
    <row r="397" spans="1:6" x14ac:dyDescent="0.3">
      <c r="A397" s="131"/>
      <c r="B397" s="131"/>
      <c r="C397" s="131"/>
      <c r="D397" s="131"/>
      <c r="E397" s="131"/>
      <c r="F397" s="131"/>
    </row>
    <row r="398" spans="1:6" x14ac:dyDescent="0.3">
      <c r="A398" s="131"/>
      <c r="B398" s="131"/>
      <c r="C398" s="131"/>
      <c r="D398" s="131"/>
      <c r="E398" s="131"/>
      <c r="F398" s="131"/>
    </row>
    <row r="399" spans="1:6" x14ac:dyDescent="0.3">
      <c r="A399" s="131"/>
      <c r="B399" s="131"/>
      <c r="C399" s="131"/>
      <c r="D399" s="131"/>
      <c r="E399" s="131"/>
      <c r="F399" s="131"/>
    </row>
    <row r="400" spans="1:6" x14ac:dyDescent="0.3">
      <c r="A400" s="131"/>
      <c r="B400" s="131"/>
      <c r="C400" s="131"/>
      <c r="D400" s="131"/>
      <c r="E400" s="131"/>
      <c r="F400" s="131"/>
    </row>
    <row r="401" spans="1:6" x14ac:dyDescent="0.3">
      <c r="A401" s="131"/>
      <c r="B401" s="131"/>
      <c r="C401" s="131"/>
      <c r="D401" s="131"/>
      <c r="E401" s="131"/>
      <c r="F401" s="131"/>
    </row>
    <row r="402" spans="1:6" x14ac:dyDescent="0.3">
      <c r="A402" s="131"/>
      <c r="B402" s="131"/>
      <c r="C402" s="131"/>
      <c r="D402" s="131"/>
      <c r="E402" s="131"/>
      <c r="F402" s="131"/>
    </row>
    <row r="403" spans="1:6" x14ac:dyDescent="0.3">
      <c r="A403" s="131"/>
      <c r="B403" s="131"/>
      <c r="C403" s="131"/>
      <c r="D403" s="131"/>
      <c r="E403" s="131"/>
      <c r="F403" s="131"/>
    </row>
    <row r="404" spans="1:6" x14ac:dyDescent="0.3">
      <c r="A404" s="131"/>
      <c r="B404" s="131"/>
      <c r="C404" s="131"/>
      <c r="D404" s="131"/>
      <c r="E404" s="131"/>
      <c r="F404" s="131"/>
    </row>
    <row r="405" spans="1:6" x14ac:dyDescent="0.3">
      <c r="A405" s="131"/>
      <c r="B405" s="131"/>
      <c r="C405" s="131"/>
      <c r="D405" s="131"/>
      <c r="E405" s="131"/>
      <c r="F405" s="131"/>
    </row>
    <row r="406" spans="1:6" x14ac:dyDescent="0.3">
      <c r="A406" s="131"/>
      <c r="B406" s="131"/>
      <c r="C406" s="131"/>
      <c r="D406" s="131"/>
      <c r="E406" s="131"/>
      <c r="F406" s="131"/>
    </row>
    <row r="407" spans="1:6" x14ac:dyDescent="0.3">
      <c r="A407" s="131"/>
      <c r="B407" s="131"/>
      <c r="C407" s="131"/>
      <c r="D407" s="131"/>
      <c r="E407" s="131"/>
      <c r="F407" s="131"/>
    </row>
    <row r="408" spans="1:6" x14ac:dyDescent="0.3">
      <c r="A408" s="131"/>
      <c r="B408" s="131"/>
      <c r="C408" s="131"/>
      <c r="D408" s="131"/>
      <c r="E408" s="131"/>
      <c r="F408" s="131"/>
    </row>
    <row r="409" spans="1:6" x14ac:dyDescent="0.3">
      <c r="A409" s="131"/>
      <c r="B409" s="131"/>
      <c r="C409" s="131"/>
      <c r="D409" s="131"/>
      <c r="E409" s="131"/>
      <c r="F409" s="131"/>
    </row>
    <row r="410" spans="1:6" x14ac:dyDescent="0.3">
      <c r="A410" s="131"/>
      <c r="B410" s="131"/>
      <c r="C410" s="131"/>
      <c r="D410" s="131"/>
      <c r="E410" s="131"/>
      <c r="F410" s="131"/>
    </row>
    <row r="411" spans="1:6" x14ac:dyDescent="0.3">
      <c r="A411" s="131"/>
      <c r="B411" s="131"/>
      <c r="C411" s="131"/>
      <c r="D411" s="131"/>
      <c r="E411" s="131"/>
      <c r="F411" s="131"/>
    </row>
    <row r="412" spans="1:6" x14ac:dyDescent="0.3">
      <c r="A412" s="131"/>
      <c r="B412" s="131"/>
      <c r="C412" s="131"/>
      <c r="D412" s="131"/>
      <c r="E412" s="131"/>
      <c r="F412" s="131"/>
    </row>
    <row r="413" spans="1:6" x14ac:dyDescent="0.3">
      <c r="A413" s="131"/>
      <c r="B413" s="131"/>
      <c r="C413" s="131"/>
      <c r="D413" s="131"/>
      <c r="E413" s="131"/>
      <c r="F413" s="131"/>
    </row>
    <row r="414" spans="1:6" x14ac:dyDescent="0.3">
      <c r="A414" s="131"/>
      <c r="B414" s="131"/>
      <c r="C414" s="131"/>
      <c r="D414" s="131"/>
      <c r="E414" s="131"/>
      <c r="F414" s="131"/>
    </row>
    <row r="415" spans="1:6" x14ac:dyDescent="0.3">
      <c r="A415" s="131"/>
      <c r="B415" s="131"/>
      <c r="C415" s="131"/>
      <c r="D415" s="131"/>
      <c r="E415" s="131"/>
      <c r="F415" s="131"/>
    </row>
    <row r="416" spans="1:6" x14ac:dyDescent="0.3">
      <c r="A416" s="131"/>
      <c r="B416" s="131"/>
      <c r="C416" s="131"/>
      <c r="D416" s="131"/>
      <c r="E416" s="131"/>
      <c r="F416" s="131"/>
    </row>
    <row r="417" spans="1:6" x14ac:dyDescent="0.3">
      <c r="A417" s="131"/>
      <c r="B417" s="131"/>
      <c r="C417" s="131"/>
      <c r="D417" s="131"/>
      <c r="E417" s="131"/>
      <c r="F417" s="131"/>
    </row>
    <row r="418" spans="1:6" x14ac:dyDescent="0.3">
      <c r="A418" s="131"/>
      <c r="B418" s="131"/>
      <c r="C418" s="131"/>
      <c r="D418" s="131"/>
      <c r="E418" s="131"/>
      <c r="F418" s="131"/>
    </row>
    <row r="419" spans="1:6" x14ac:dyDescent="0.3">
      <c r="A419" s="131"/>
      <c r="B419" s="131"/>
      <c r="C419" s="131"/>
      <c r="D419" s="131"/>
      <c r="E419" s="131"/>
      <c r="F419" s="131"/>
    </row>
    <row r="420" spans="1:6" x14ac:dyDescent="0.3">
      <c r="A420" s="131"/>
      <c r="B420" s="131"/>
      <c r="C420" s="131"/>
      <c r="D420" s="131"/>
      <c r="E420" s="131"/>
      <c r="F420" s="131"/>
    </row>
    <row r="421" spans="1:6" x14ac:dyDescent="0.3">
      <c r="A421" s="131"/>
      <c r="B421" s="131"/>
      <c r="C421" s="131"/>
      <c r="D421" s="131"/>
      <c r="E421" s="131"/>
      <c r="F421" s="131"/>
    </row>
    <row r="422" spans="1:6" x14ac:dyDescent="0.3">
      <c r="A422" s="131"/>
      <c r="B422" s="131"/>
      <c r="C422" s="131"/>
      <c r="D422" s="131"/>
      <c r="E422" s="131"/>
      <c r="F422" s="131"/>
    </row>
    <row r="423" spans="1:6" x14ac:dyDescent="0.3">
      <c r="A423" s="131"/>
      <c r="B423" s="131"/>
      <c r="C423" s="131"/>
      <c r="D423" s="131"/>
      <c r="E423" s="131"/>
      <c r="F423" s="131"/>
    </row>
    <row r="424" spans="1:6" x14ac:dyDescent="0.3">
      <c r="A424" s="131"/>
      <c r="B424" s="131"/>
      <c r="C424" s="131"/>
      <c r="D424" s="131"/>
      <c r="E424" s="131"/>
      <c r="F424" s="131"/>
    </row>
    <row r="425" spans="1:6" x14ac:dyDescent="0.3">
      <c r="A425" s="131"/>
      <c r="B425" s="131"/>
      <c r="C425" s="131"/>
      <c r="D425" s="131"/>
      <c r="E425" s="131"/>
      <c r="F425" s="131"/>
    </row>
    <row r="426" spans="1:6" x14ac:dyDescent="0.3">
      <c r="A426" s="131"/>
      <c r="B426" s="131"/>
      <c r="C426" s="131"/>
      <c r="D426" s="131"/>
      <c r="E426" s="131"/>
      <c r="F426" s="131"/>
    </row>
    <row r="427" spans="1:6" x14ac:dyDescent="0.3">
      <c r="A427" s="131"/>
      <c r="B427" s="131"/>
      <c r="C427" s="131"/>
      <c r="D427" s="131"/>
      <c r="E427" s="131"/>
      <c r="F427" s="131"/>
    </row>
    <row r="428" spans="1:6" x14ac:dyDescent="0.3">
      <c r="A428" s="131"/>
      <c r="B428" s="131"/>
      <c r="C428" s="131"/>
      <c r="D428" s="131"/>
      <c r="E428" s="131"/>
      <c r="F428" s="131"/>
    </row>
    <row r="429" spans="1:6" x14ac:dyDescent="0.3">
      <c r="A429" s="131"/>
      <c r="B429" s="131"/>
      <c r="C429" s="131"/>
      <c r="D429" s="131"/>
      <c r="E429" s="131"/>
      <c r="F429" s="131"/>
    </row>
    <row r="430" spans="1:6" x14ac:dyDescent="0.3">
      <c r="A430" s="131"/>
      <c r="B430" s="131"/>
      <c r="C430" s="131"/>
      <c r="D430" s="131"/>
      <c r="E430" s="131"/>
      <c r="F430" s="131"/>
    </row>
    <row r="431" spans="1:6" x14ac:dyDescent="0.3">
      <c r="A431" s="131"/>
      <c r="B431" s="131"/>
      <c r="C431" s="131"/>
      <c r="D431" s="131"/>
      <c r="E431" s="131"/>
      <c r="F431" s="131"/>
    </row>
    <row r="432" spans="1:6" x14ac:dyDescent="0.3">
      <c r="A432" s="131"/>
      <c r="B432" s="131"/>
      <c r="C432" s="131"/>
      <c r="D432" s="131"/>
      <c r="E432" s="131"/>
      <c r="F432" s="131"/>
    </row>
    <row r="433" spans="1:6" x14ac:dyDescent="0.3">
      <c r="A433" s="131"/>
      <c r="B433" s="131"/>
      <c r="C433" s="131"/>
      <c r="D433" s="131"/>
      <c r="E433" s="131"/>
      <c r="F433" s="131"/>
    </row>
    <row r="434" spans="1:6" x14ac:dyDescent="0.3">
      <c r="A434" s="131"/>
      <c r="B434" s="131"/>
      <c r="C434" s="131"/>
      <c r="D434" s="131"/>
      <c r="E434" s="131"/>
      <c r="F434" s="131"/>
    </row>
    <row r="435" spans="1:6" x14ac:dyDescent="0.3">
      <c r="A435" s="131"/>
      <c r="B435" s="131"/>
      <c r="C435" s="131"/>
      <c r="D435" s="131"/>
      <c r="E435" s="131"/>
      <c r="F435" s="131"/>
    </row>
    <row r="436" spans="1:6" x14ac:dyDescent="0.3">
      <c r="A436" s="131"/>
      <c r="B436" s="131"/>
      <c r="C436" s="131"/>
      <c r="D436" s="131"/>
      <c r="E436" s="131"/>
      <c r="F436" s="131"/>
    </row>
    <row r="437" spans="1:6" x14ac:dyDescent="0.3">
      <c r="A437" s="131"/>
      <c r="B437" s="131"/>
      <c r="C437" s="131"/>
      <c r="D437" s="131"/>
      <c r="E437" s="131"/>
      <c r="F437" s="131"/>
    </row>
    <row r="438" spans="1:6" x14ac:dyDescent="0.3">
      <c r="A438" s="131"/>
      <c r="B438" s="131"/>
      <c r="C438" s="131"/>
      <c r="D438" s="131"/>
      <c r="E438" s="131"/>
      <c r="F438" s="131"/>
    </row>
    <row r="439" spans="1:6" x14ac:dyDescent="0.3">
      <c r="A439" s="131"/>
      <c r="B439" s="131"/>
      <c r="C439" s="131"/>
      <c r="D439" s="131"/>
      <c r="E439" s="131"/>
      <c r="F439" s="131"/>
    </row>
    <row r="440" spans="1:6" x14ac:dyDescent="0.3">
      <c r="A440" s="131"/>
      <c r="B440" s="131"/>
      <c r="C440" s="131"/>
      <c r="D440" s="131"/>
      <c r="E440" s="131"/>
      <c r="F440" s="131"/>
    </row>
    <row r="441" spans="1:6" x14ac:dyDescent="0.3">
      <c r="A441" s="131"/>
      <c r="B441" s="131"/>
      <c r="C441" s="131"/>
      <c r="D441" s="131"/>
      <c r="E441" s="131"/>
      <c r="F441" s="131"/>
    </row>
    <row r="442" spans="1:6" x14ac:dyDescent="0.3">
      <c r="A442" s="131"/>
      <c r="B442" s="131"/>
      <c r="C442" s="131"/>
      <c r="D442" s="131"/>
      <c r="E442" s="131"/>
      <c r="F442" s="131"/>
    </row>
    <row r="443" spans="1:6" x14ac:dyDescent="0.3">
      <c r="A443" s="131"/>
      <c r="B443" s="131"/>
      <c r="C443" s="131"/>
      <c r="D443" s="131"/>
      <c r="E443" s="131"/>
      <c r="F443" s="131"/>
    </row>
    <row r="444" spans="1:6" x14ac:dyDescent="0.3">
      <c r="A444" s="131"/>
      <c r="B444" s="131"/>
      <c r="C444" s="131"/>
      <c r="D444" s="131"/>
      <c r="E444" s="131"/>
      <c r="F444" s="131"/>
    </row>
    <row r="445" spans="1:6" x14ac:dyDescent="0.3">
      <c r="A445" s="131"/>
      <c r="B445" s="131"/>
      <c r="C445" s="131"/>
      <c r="D445" s="131"/>
      <c r="E445" s="131"/>
      <c r="F445" s="131"/>
    </row>
    <row r="446" spans="1:6" x14ac:dyDescent="0.3">
      <c r="A446" s="131"/>
      <c r="B446" s="131"/>
      <c r="C446" s="131"/>
      <c r="D446" s="131"/>
      <c r="E446" s="131"/>
      <c r="F446" s="131"/>
    </row>
    <row r="447" spans="1:6" x14ac:dyDescent="0.3">
      <c r="A447" s="131"/>
      <c r="B447" s="131"/>
      <c r="C447" s="131"/>
      <c r="D447" s="131"/>
      <c r="E447" s="131"/>
      <c r="F447" s="131"/>
    </row>
    <row r="448" spans="1:6" x14ac:dyDescent="0.3">
      <c r="A448" s="131"/>
      <c r="B448" s="131"/>
      <c r="C448" s="131"/>
      <c r="D448" s="131"/>
      <c r="E448" s="131"/>
      <c r="F448" s="131"/>
    </row>
    <row r="449" spans="1:6" x14ac:dyDescent="0.3">
      <c r="A449" s="131"/>
      <c r="B449" s="131"/>
      <c r="C449" s="131"/>
      <c r="D449" s="131"/>
      <c r="E449" s="131"/>
      <c r="F449" s="131"/>
    </row>
    <row r="450" spans="1:6" x14ac:dyDescent="0.3">
      <c r="A450" s="131"/>
      <c r="B450" s="131"/>
      <c r="C450" s="131"/>
      <c r="D450" s="131"/>
      <c r="E450" s="131"/>
      <c r="F450" s="131"/>
    </row>
    <row r="451" spans="1:6" x14ac:dyDescent="0.3">
      <c r="A451" s="131"/>
      <c r="B451" s="131"/>
      <c r="C451" s="131"/>
      <c r="D451" s="131"/>
      <c r="E451" s="131"/>
      <c r="F451" s="131"/>
    </row>
    <row r="452" spans="1:6" x14ac:dyDescent="0.3">
      <c r="A452" s="131"/>
      <c r="B452" s="131"/>
      <c r="C452" s="131"/>
      <c r="D452" s="131"/>
      <c r="E452" s="131"/>
      <c r="F452" s="131"/>
    </row>
    <row r="453" spans="1:6" x14ac:dyDescent="0.3">
      <c r="A453" s="131"/>
      <c r="B453" s="131"/>
      <c r="C453" s="131"/>
      <c r="D453" s="131"/>
      <c r="E453" s="131"/>
      <c r="F453" s="131"/>
    </row>
    <row r="454" spans="1:6" x14ac:dyDescent="0.3">
      <c r="A454" s="131"/>
      <c r="B454" s="131"/>
      <c r="C454" s="131"/>
      <c r="D454" s="131"/>
      <c r="E454" s="131"/>
      <c r="F454" s="131"/>
    </row>
    <row r="455" spans="1:6" x14ac:dyDescent="0.3">
      <c r="A455" s="131"/>
      <c r="B455" s="131"/>
      <c r="C455" s="131"/>
      <c r="D455" s="131"/>
      <c r="E455" s="131"/>
      <c r="F455" s="131"/>
    </row>
    <row r="456" spans="1:6" x14ac:dyDescent="0.3">
      <c r="A456" s="131"/>
      <c r="B456" s="131"/>
      <c r="C456" s="131"/>
      <c r="D456" s="131"/>
      <c r="E456" s="131"/>
      <c r="F456" s="131"/>
    </row>
    <row r="457" spans="1:6" x14ac:dyDescent="0.3">
      <c r="A457" s="131"/>
      <c r="B457" s="131"/>
      <c r="C457" s="131"/>
      <c r="D457" s="131"/>
      <c r="E457" s="131"/>
      <c r="F457" s="131"/>
    </row>
    <row r="458" spans="1:6" x14ac:dyDescent="0.3">
      <c r="A458" s="131"/>
      <c r="B458" s="131"/>
      <c r="C458" s="131"/>
      <c r="D458" s="131"/>
      <c r="E458" s="131"/>
      <c r="F458" s="131"/>
    </row>
    <row r="459" spans="1:6" x14ac:dyDescent="0.3">
      <c r="A459" s="131"/>
      <c r="B459" s="131"/>
      <c r="C459" s="131"/>
      <c r="D459" s="131"/>
      <c r="E459" s="131"/>
      <c r="F459" s="131"/>
    </row>
    <row r="460" spans="1:6" x14ac:dyDescent="0.3">
      <c r="A460" s="131"/>
      <c r="B460" s="131"/>
      <c r="C460" s="131"/>
      <c r="D460" s="131"/>
      <c r="E460" s="131"/>
      <c r="F460" s="131"/>
    </row>
    <row r="461" spans="1:6" x14ac:dyDescent="0.3">
      <c r="A461" s="131"/>
      <c r="B461" s="131"/>
      <c r="C461" s="131"/>
      <c r="D461" s="131"/>
      <c r="E461" s="131"/>
      <c r="F461" s="131"/>
    </row>
    <row r="462" spans="1:6" x14ac:dyDescent="0.3">
      <c r="A462" s="131"/>
      <c r="B462" s="131"/>
      <c r="C462" s="131"/>
      <c r="D462" s="131"/>
      <c r="E462" s="131"/>
      <c r="F462" s="131"/>
    </row>
    <row r="463" spans="1:6" x14ac:dyDescent="0.3">
      <c r="A463" s="131"/>
      <c r="B463" s="131"/>
      <c r="C463" s="131"/>
      <c r="D463" s="131"/>
      <c r="E463" s="131"/>
      <c r="F463" s="131"/>
    </row>
    <row r="464" spans="1:6" x14ac:dyDescent="0.3">
      <c r="A464" s="131"/>
      <c r="B464" s="131"/>
      <c r="C464" s="131"/>
      <c r="D464" s="131"/>
      <c r="E464" s="131"/>
      <c r="F464" s="131"/>
    </row>
    <row r="465" spans="1:6" x14ac:dyDescent="0.3">
      <c r="A465" s="131"/>
      <c r="B465" s="131"/>
      <c r="C465" s="131"/>
      <c r="D465" s="131"/>
      <c r="E465" s="131"/>
      <c r="F465" s="131"/>
    </row>
    <row r="466" spans="1:6" x14ac:dyDescent="0.3">
      <c r="A466" s="131"/>
      <c r="B466" s="131"/>
      <c r="C466" s="131"/>
      <c r="D466" s="131"/>
      <c r="E466" s="131"/>
      <c r="F466" s="131"/>
    </row>
    <row r="467" spans="1:6" x14ac:dyDescent="0.3">
      <c r="A467" s="131"/>
      <c r="B467" s="131"/>
      <c r="C467" s="131"/>
      <c r="D467" s="131"/>
      <c r="E467" s="131"/>
      <c r="F467" s="131"/>
    </row>
    <row r="468" spans="1:6" x14ac:dyDescent="0.3">
      <c r="A468" s="131"/>
      <c r="B468" s="131"/>
      <c r="C468" s="131"/>
      <c r="D468" s="131"/>
      <c r="E468" s="131"/>
      <c r="F468" s="131"/>
    </row>
    <row r="469" spans="1:6" x14ac:dyDescent="0.3">
      <c r="A469" s="131"/>
      <c r="B469" s="131"/>
      <c r="C469" s="131"/>
      <c r="D469" s="131"/>
      <c r="E469" s="131"/>
      <c r="F469" s="131"/>
    </row>
    <row r="470" spans="1:6" x14ac:dyDescent="0.3">
      <c r="A470" s="131"/>
      <c r="B470" s="131"/>
      <c r="C470" s="131"/>
      <c r="D470" s="131"/>
      <c r="E470" s="131"/>
      <c r="F470" s="131"/>
    </row>
    <row r="471" spans="1:6" x14ac:dyDescent="0.3">
      <c r="A471" s="131"/>
      <c r="B471" s="131"/>
      <c r="C471" s="131"/>
      <c r="D471" s="131"/>
      <c r="E471" s="131"/>
      <c r="F471" s="131"/>
    </row>
    <row r="472" spans="1:6" x14ac:dyDescent="0.3">
      <c r="A472" s="131"/>
      <c r="B472" s="131"/>
      <c r="C472" s="131"/>
      <c r="D472" s="131"/>
      <c r="E472" s="131"/>
      <c r="F472" s="131"/>
    </row>
    <row r="473" spans="1:6" x14ac:dyDescent="0.3">
      <c r="A473" s="131"/>
      <c r="B473" s="131"/>
      <c r="C473" s="131"/>
      <c r="D473" s="131"/>
      <c r="E473" s="131"/>
      <c r="F473" s="131"/>
    </row>
    <row r="474" spans="1:6" x14ac:dyDescent="0.3">
      <c r="A474" s="131"/>
      <c r="B474" s="131"/>
      <c r="C474" s="131"/>
      <c r="D474" s="131"/>
      <c r="E474" s="131"/>
      <c r="F474" s="131"/>
    </row>
    <row r="475" spans="1:6" x14ac:dyDescent="0.3">
      <c r="A475" s="131"/>
      <c r="B475" s="131"/>
      <c r="C475" s="131"/>
      <c r="D475" s="131"/>
      <c r="E475" s="131"/>
      <c r="F475" s="131"/>
    </row>
    <row r="476" spans="1:6" x14ac:dyDescent="0.3">
      <c r="A476" s="131"/>
      <c r="B476" s="131"/>
      <c r="C476" s="131"/>
      <c r="D476" s="131"/>
      <c r="E476" s="131"/>
      <c r="F476" s="131"/>
    </row>
    <row r="477" spans="1:6" x14ac:dyDescent="0.3">
      <c r="A477" s="131"/>
      <c r="B477" s="131"/>
      <c r="C477" s="131"/>
      <c r="D477" s="131"/>
      <c r="E477" s="131"/>
      <c r="F477" s="131"/>
    </row>
    <row r="478" spans="1:6" x14ac:dyDescent="0.3">
      <c r="A478" s="131"/>
      <c r="B478" s="131"/>
      <c r="C478" s="131"/>
      <c r="D478" s="131"/>
      <c r="E478" s="131"/>
      <c r="F478" s="131"/>
    </row>
    <row r="479" spans="1:6" x14ac:dyDescent="0.3">
      <c r="A479" s="131"/>
      <c r="B479" s="131"/>
      <c r="C479" s="131"/>
      <c r="D479" s="131"/>
      <c r="E479" s="131"/>
      <c r="F479" s="131"/>
    </row>
    <row r="480" spans="1:6" x14ac:dyDescent="0.3">
      <c r="A480" s="131"/>
      <c r="B480" s="131"/>
      <c r="C480" s="131"/>
      <c r="D480" s="131"/>
      <c r="E480" s="131"/>
      <c r="F480" s="131"/>
    </row>
    <row r="481" spans="1:6" x14ac:dyDescent="0.3">
      <c r="A481" s="131"/>
      <c r="B481" s="131"/>
      <c r="C481" s="131"/>
      <c r="D481" s="131"/>
      <c r="E481" s="131"/>
      <c r="F481" s="131"/>
    </row>
    <row r="482" spans="1:6" x14ac:dyDescent="0.3">
      <c r="A482" s="131"/>
      <c r="B482" s="131"/>
      <c r="C482" s="131"/>
      <c r="D482" s="131"/>
      <c r="E482" s="131"/>
      <c r="F482" s="131"/>
    </row>
    <row r="483" spans="1:6" x14ac:dyDescent="0.3">
      <c r="A483" s="131"/>
      <c r="B483" s="131"/>
      <c r="C483" s="131"/>
      <c r="D483" s="131"/>
      <c r="E483" s="131"/>
      <c r="F483" s="131"/>
    </row>
    <row r="484" spans="1:6" x14ac:dyDescent="0.3">
      <c r="A484" s="131"/>
      <c r="B484" s="131"/>
      <c r="C484" s="131"/>
      <c r="D484" s="131"/>
      <c r="E484" s="131"/>
      <c r="F484" s="131"/>
    </row>
    <row r="485" spans="1:6" x14ac:dyDescent="0.3">
      <c r="A485" s="131"/>
      <c r="B485" s="131"/>
      <c r="C485" s="131"/>
      <c r="D485" s="131"/>
      <c r="E485" s="131"/>
      <c r="F485" s="131"/>
    </row>
    <row r="486" spans="1:6" x14ac:dyDescent="0.3">
      <c r="A486" s="131"/>
      <c r="B486" s="131"/>
      <c r="C486" s="131"/>
      <c r="D486" s="131"/>
      <c r="E486" s="131"/>
      <c r="F486" s="131"/>
    </row>
    <row r="487" spans="1:6" x14ac:dyDescent="0.3">
      <c r="A487" s="131"/>
      <c r="B487" s="131"/>
      <c r="C487" s="131"/>
      <c r="D487" s="131"/>
      <c r="E487" s="131"/>
      <c r="F487" s="131"/>
    </row>
    <row r="488" spans="1:6" x14ac:dyDescent="0.3">
      <c r="A488" s="131"/>
      <c r="B488" s="131"/>
      <c r="C488" s="131"/>
      <c r="D488" s="131"/>
      <c r="E488" s="131"/>
      <c r="F488" s="131"/>
    </row>
    <row r="489" spans="1:6" x14ac:dyDescent="0.3">
      <c r="A489" s="131"/>
      <c r="B489" s="131"/>
      <c r="C489" s="131"/>
      <c r="D489" s="131"/>
      <c r="E489" s="131"/>
      <c r="F489" s="131"/>
    </row>
    <row r="490" spans="1:6" x14ac:dyDescent="0.3">
      <c r="A490" s="131"/>
      <c r="B490" s="131"/>
      <c r="C490" s="131"/>
      <c r="D490" s="131"/>
      <c r="E490" s="131"/>
      <c r="F490" s="131"/>
    </row>
    <row r="491" spans="1:6" x14ac:dyDescent="0.3">
      <c r="A491" s="131"/>
      <c r="B491" s="131"/>
      <c r="C491" s="131"/>
      <c r="D491" s="131"/>
      <c r="E491" s="131"/>
      <c r="F491" s="131"/>
    </row>
    <row r="492" spans="1:6" x14ac:dyDescent="0.3">
      <c r="A492" s="131"/>
      <c r="B492" s="131"/>
      <c r="C492" s="131"/>
      <c r="D492" s="131"/>
      <c r="E492" s="131"/>
      <c r="F492" s="131"/>
    </row>
    <row r="493" spans="1:6" x14ac:dyDescent="0.3">
      <c r="A493" s="131"/>
      <c r="B493" s="131"/>
      <c r="C493" s="131"/>
      <c r="D493" s="131"/>
      <c r="E493" s="131"/>
      <c r="F493" s="131"/>
    </row>
    <row r="494" spans="1:6" x14ac:dyDescent="0.3">
      <c r="A494" s="131"/>
      <c r="B494" s="131"/>
      <c r="C494" s="131"/>
      <c r="D494" s="131"/>
      <c r="E494" s="131"/>
      <c r="F494" s="131"/>
    </row>
    <row r="495" spans="1:6" x14ac:dyDescent="0.3">
      <c r="A495" s="131"/>
      <c r="B495" s="131"/>
      <c r="C495" s="131"/>
      <c r="D495" s="131"/>
      <c r="E495" s="131"/>
      <c r="F495" s="131"/>
    </row>
    <row r="496" spans="1:6" x14ac:dyDescent="0.3">
      <c r="A496" s="131"/>
      <c r="B496" s="131"/>
      <c r="C496" s="131"/>
      <c r="D496" s="131"/>
      <c r="E496" s="131"/>
      <c r="F496" s="131"/>
    </row>
    <row r="497" spans="1:6" x14ac:dyDescent="0.3">
      <c r="A497" s="131"/>
      <c r="B497" s="131"/>
      <c r="C497" s="131"/>
      <c r="D497" s="131"/>
      <c r="E497" s="131"/>
      <c r="F497" s="131"/>
    </row>
    <row r="498" spans="1:6" x14ac:dyDescent="0.3">
      <c r="A498" s="131"/>
      <c r="B498" s="131"/>
      <c r="C498" s="131"/>
      <c r="D498" s="131"/>
      <c r="E498" s="131"/>
      <c r="F498" s="131"/>
    </row>
    <row r="499" spans="1:6" x14ac:dyDescent="0.3">
      <c r="A499" s="131"/>
      <c r="B499" s="131"/>
      <c r="C499" s="131"/>
      <c r="D499" s="131"/>
      <c r="E499" s="131"/>
      <c r="F499" s="131"/>
    </row>
    <row r="500" spans="1:6" x14ac:dyDescent="0.3">
      <c r="A500" s="131"/>
      <c r="B500" s="131"/>
      <c r="C500" s="131"/>
      <c r="D500" s="131"/>
      <c r="E500" s="131"/>
      <c r="F500" s="131"/>
    </row>
    <row r="501" spans="1:6" x14ac:dyDescent="0.3">
      <c r="A501" s="131"/>
      <c r="B501" s="131"/>
      <c r="C501" s="131"/>
      <c r="D501" s="131"/>
      <c r="E501" s="131"/>
      <c r="F501" s="131"/>
    </row>
    <row r="502" spans="1:6" x14ac:dyDescent="0.3">
      <c r="A502" s="131"/>
      <c r="B502" s="131"/>
      <c r="C502" s="131"/>
      <c r="D502" s="131"/>
      <c r="E502" s="131"/>
      <c r="F502" s="131"/>
    </row>
    <row r="503" spans="1:6" x14ac:dyDescent="0.3">
      <c r="A503" s="131"/>
      <c r="B503" s="131"/>
      <c r="C503" s="131"/>
      <c r="D503" s="131"/>
      <c r="E503" s="131"/>
      <c r="F503" s="131"/>
    </row>
    <row r="504" spans="1:6" x14ac:dyDescent="0.3">
      <c r="A504" s="131"/>
      <c r="B504" s="131"/>
      <c r="C504" s="131"/>
      <c r="D504" s="131"/>
      <c r="E504" s="131"/>
      <c r="F504" s="131"/>
    </row>
    <row r="505" spans="1:6" x14ac:dyDescent="0.3">
      <c r="A505" s="131"/>
      <c r="B505" s="131"/>
      <c r="C505" s="131"/>
      <c r="D505" s="131"/>
      <c r="E505" s="131"/>
      <c r="F505" s="131"/>
    </row>
    <row r="506" spans="1:6" x14ac:dyDescent="0.3">
      <c r="A506" s="131"/>
      <c r="B506" s="131"/>
      <c r="C506" s="131"/>
      <c r="D506" s="131"/>
      <c r="E506" s="131"/>
      <c r="F506" s="131"/>
    </row>
    <row r="507" spans="1:6" x14ac:dyDescent="0.3">
      <c r="A507" s="131"/>
      <c r="B507" s="131"/>
      <c r="C507" s="131"/>
      <c r="D507" s="131"/>
      <c r="E507" s="131"/>
      <c r="F507" s="131"/>
    </row>
    <row r="508" spans="1:6" x14ac:dyDescent="0.3">
      <c r="A508" s="131"/>
      <c r="B508" s="131"/>
      <c r="C508" s="131"/>
      <c r="D508" s="131"/>
      <c r="E508" s="131"/>
      <c r="F508" s="131"/>
    </row>
    <row r="509" spans="1:6" x14ac:dyDescent="0.3">
      <c r="A509" s="131"/>
      <c r="B509" s="131"/>
      <c r="C509" s="131"/>
      <c r="D509" s="131"/>
      <c r="E509" s="131"/>
      <c r="F509" s="131"/>
    </row>
    <row r="510" spans="1:6" x14ac:dyDescent="0.3">
      <c r="A510" s="131"/>
      <c r="B510" s="131"/>
      <c r="C510" s="131"/>
      <c r="D510" s="131"/>
      <c r="E510" s="131"/>
      <c r="F510" s="131"/>
    </row>
    <row r="511" spans="1:6" x14ac:dyDescent="0.3">
      <c r="A511" s="131"/>
      <c r="B511" s="131"/>
      <c r="C511" s="131"/>
      <c r="D511" s="131"/>
      <c r="E511" s="131"/>
      <c r="F511" s="131"/>
    </row>
    <row r="512" spans="1:6" x14ac:dyDescent="0.3">
      <c r="A512" s="131"/>
      <c r="B512" s="131"/>
      <c r="C512" s="131"/>
      <c r="D512" s="131"/>
      <c r="E512" s="131"/>
      <c r="F512" s="131"/>
    </row>
    <row r="513" spans="1:6" x14ac:dyDescent="0.3">
      <c r="A513" s="131"/>
      <c r="B513" s="131"/>
      <c r="C513" s="131"/>
      <c r="D513" s="131"/>
      <c r="E513" s="131"/>
      <c r="F513" s="131"/>
    </row>
    <row r="514" spans="1:6" x14ac:dyDescent="0.3">
      <c r="A514" s="131"/>
      <c r="B514" s="131"/>
      <c r="C514" s="131"/>
      <c r="D514" s="131"/>
      <c r="E514" s="131"/>
      <c r="F514" s="131"/>
    </row>
    <row r="515" spans="1:6" x14ac:dyDescent="0.3">
      <c r="A515" s="131"/>
      <c r="B515" s="131"/>
      <c r="C515" s="131"/>
      <c r="D515" s="131"/>
      <c r="E515" s="131"/>
      <c r="F515" s="131"/>
    </row>
    <row r="516" spans="1:6" x14ac:dyDescent="0.3">
      <c r="A516" s="131"/>
      <c r="B516" s="131"/>
      <c r="C516" s="131"/>
      <c r="D516" s="131"/>
      <c r="E516" s="131"/>
      <c r="F516" s="131"/>
    </row>
    <row r="517" spans="1:6" x14ac:dyDescent="0.3">
      <c r="A517" s="131"/>
      <c r="B517" s="131"/>
      <c r="C517" s="131"/>
      <c r="D517" s="131"/>
      <c r="E517" s="131"/>
      <c r="F517" s="131"/>
    </row>
    <row r="518" spans="1:6" x14ac:dyDescent="0.3">
      <c r="A518" s="131"/>
      <c r="B518" s="131"/>
      <c r="C518" s="131"/>
      <c r="D518" s="131"/>
      <c r="E518" s="131"/>
      <c r="F518" s="131"/>
    </row>
    <row r="519" spans="1:6" x14ac:dyDescent="0.3">
      <c r="A519" s="131"/>
      <c r="B519" s="131"/>
      <c r="C519" s="131"/>
      <c r="D519" s="131"/>
      <c r="E519" s="131"/>
      <c r="F519" s="131"/>
    </row>
    <row r="520" spans="1:6" x14ac:dyDescent="0.3">
      <c r="A520" s="131"/>
      <c r="B520" s="131"/>
      <c r="C520" s="131"/>
      <c r="D520" s="131"/>
      <c r="E520" s="131"/>
      <c r="F520" s="131"/>
    </row>
    <row r="521" spans="1:6" x14ac:dyDescent="0.3">
      <c r="A521" s="131"/>
      <c r="B521" s="131"/>
      <c r="C521" s="131"/>
      <c r="D521" s="131"/>
      <c r="E521" s="131"/>
      <c r="F521" s="131"/>
    </row>
    <row r="522" spans="1:6" x14ac:dyDescent="0.3">
      <c r="A522" s="131"/>
      <c r="B522" s="131"/>
      <c r="C522" s="131"/>
      <c r="D522" s="131"/>
      <c r="E522" s="131"/>
      <c r="F522" s="131"/>
    </row>
    <row r="523" spans="1:6" x14ac:dyDescent="0.3">
      <c r="A523" s="131"/>
      <c r="B523" s="131"/>
      <c r="C523" s="131"/>
      <c r="D523" s="131"/>
      <c r="E523" s="131"/>
      <c r="F523" s="131"/>
    </row>
    <row r="524" spans="1:6" x14ac:dyDescent="0.3">
      <c r="A524" s="131"/>
      <c r="B524" s="131"/>
      <c r="C524" s="131"/>
      <c r="D524" s="131"/>
      <c r="E524" s="131"/>
      <c r="F524" s="131"/>
    </row>
    <row r="525" spans="1:6" x14ac:dyDescent="0.3">
      <c r="A525" s="131"/>
      <c r="B525" s="131"/>
      <c r="C525" s="131"/>
      <c r="D525" s="131"/>
      <c r="E525" s="131"/>
      <c r="F525" s="131"/>
    </row>
    <row r="526" spans="1:6" x14ac:dyDescent="0.3">
      <c r="A526" s="131"/>
      <c r="B526" s="131"/>
      <c r="C526" s="131"/>
      <c r="D526" s="131"/>
      <c r="E526" s="131"/>
      <c r="F526" s="131"/>
    </row>
    <row r="527" spans="1:6" x14ac:dyDescent="0.3">
      <c r="A527" s="131"/>
      <c r="B527" s="131"/>
      <c r="C527" s="131"/>
      <c r="D527" s="131"/>
      <c r="E527" s="131"/>
      <c r="F527" s="131"/>
    </row>
    <row r="528" spans="1:6" x14ac:dyDescent="0.3">
      <c r="A528" s="131"/>
      <c r="B528" s="131"/>
      <c r="C528" s="131"/>
      <c r="D528" s="131"/>
      <c r="E528" s="131"/>
      <c r="F528" s="131"/>
    </row>
    <row r="529" spans="1:6" x14ac:dyDescent="0.3">
      <c r="A529" s="131"/>
      <c r="B529" s="131"/>
      <c r="C529" s="131"/>
      <c r="D529" s="131"/>
      <c r="E529" s="131"/>
      <c r="F529" s="131"/>
    </row>
    <row r="530" spans="1:6" x14ac:dyDescent="0.3">
      <c r="A530" s="131"/>
      <c r="B530" s="131"/>
      <c r="C530" s="131"/>
      <c r="D530" s="131"/>
      <c r="E530" s="131"/>
      <c r="F530" s="131"/>
    </row>
    <row r="531" spans="1:6" x14ac:dyDescent="0.3">
      <c r="A531" s="131"/>
      <c r="B531" s="131"/>
      <c r="C531" s="131"/>
      <c r="D531" s="131"/>
      <c r="E531" s="131"/>
      <c r="F531" s="131"/>
    </row>
    <row r="532" spans="1:6" x14ac:dyDescent="0.3">
      <c r="A532" s="131"/>
      <c r="B532" s="131"/>
      <c r="C532" s="131"/>
      <c r="D532" s="131"/>
      <c r="E532" s="131"/>
      <c r="F532" s="131"/>
    </row>
    <row r="533" spans="1:6" x14ac:dyDescent="0.3">
      <c r="A533" s="131"/>
      <c r="B533" s="131"/>
      <c r="C533" s="131"/>
      <c r="D533" s="131"/>
      <c r="E533" s="131"/>
      <c r="F533" s="131"/>
    </row>
    <row r="534" spans="1:6" x14ac:dyDescent="0.3">
      <c r="A534" s="131"/>
      <c r="B534" s="131"/>
      <c r="C534" s="131"/>
      <c r="D534" s="131"/>
      <c r="E534" s="131"/>
      <c r="F534" s="131"/>
    </row>
    <row r="535" spans="1:6" x14ac:dyDescent="0.3">
      <c r="A535" s="131"/>
      <c r="B535" s="131"/>
      <c r="C535" s="131"/>
      <c r="D535" s="131"/>
      <c r="E535" s="131"/>
      <c r="F535" s="131"/>
    </row>
    <row r="536" spans="1:6" x14ac:dyDescent="0.3">
      <c r="A536" s="131"/>
      <c r="B536" s="131"/>
      <c r="C536" s="131"/>
      <c r="D536" s="131"/>
      <c r="E536" s="131"/>
      <c r="F536" s="131"/>
    </row>
    <row r="537" spans="1:6" x14ac:dyDescent="0.3">
      <c r="A537" s="131"/>
      <c r="B537" s="131"/>
      <c r="C537" s="131"/>
      <c r="D537" s="131"/>
      <c r="E537" s="131"/>
      <c r="F537" s="131"/>
    </row>
    <row r="538" spans="1:6" x14ac:dyDescent="0.3">
      <c r="A538" s="131"/>
      <c r="B538" s="131"/>
      <c r="C538" s="131"/>
      <c r="D538" s="131"/>
      <c r="E538" s="131"/>
      <c r="F538" s="131"/>
    </row>
    <row r="539" spans="1:6" x14ac:dyDescent="0.3">
      <c r="A539" s="131"/>
      <c r="B539" s="131"/>
      <c r="C539" s="131"/>
      <c r="D539" s="131"/>
      <c r="E539" s="131"/>
      <c r="F539" s="131"/>
    </row>
    <row r="540" spans="1:6" x14ac:dyDescent="0.3">
      <c r="A540" s="131"/>
      <c r="B540" s="131"/>
      <c r="C540" s="131"/>
      <c r="D540" s="131"/>
      <c r="E540" s="131"/>
      <c r="F540" s="131"/>
    </row>
    <row r="541" spans="1:6" x14ac:dyDescent="0.3">
      <c r="A541" s="131"/>
      <c r="B541" s="131"/>
      <c r="C541" s="131"/>
      <c r="D541" s="131"/>
      <c r="E541" s="131"/>
      <c r="F541" s="131"/>
    </row>
    <row r="542" spans="1:6" x14ac:dyDescent="0.3">
      <c r="A542" s="131"/>
      <c r="B542" s="131"/>
      <c r="C542" s="131"/>
      <c r="D542" s="131"/>
      <c r="E542" s="131"/>
      <c r="F542" s="131"/>
    </row>
    <row r="543" spans="1:6" x14ac:dyDescent="0.3">
      <c r="A543" s="131"/>
      <c r="B543" s="131"/>
      <c r="C543" s="131"/>
      <c r="D543" s="131"/>
      <c r="E543" s="131"/>
      <c r="F543" s="131"/>
    </row>
    <row r="544" spans="1:6" x14ac:dyDescent="0.3">
      <c r="A544" s="131"/>
      <c r="B544" s="131"/>
      <c r="C544" s="131"/>
      <c r="D544" s="131"/>
      <c r="E544" s="131"/>
      <c r="F544" s="131"/>
    </row>
    <row r="545" spans="1:6" x14ac:dyDescent="0.3">
      <c r="A545" s="131"/>
      <c r="B545" s="131"/>
      <c r="C545" s="131"/>
      <c r="D545" s="131"/>
      <c r="E545" s="131"/>
      <c r="F545" s="131"/>
    </row>
    <row r="546" spans="1:6" x14ac:dyDescent="0.3">
      <c r="A546" s="131"/>
      <c r="B546" s="131"/>
      <c r="C546" s="131"/>
      <c r="D546" s="131"/>
      <c r="E546" s="131"/>
      <c r="F546" s="131"/>
    </row>
    <row r="547" spans="1:6" x14ac:dyDescent="0.3">
      <c r="A547" s="131"/>
      <c r="B547" s="131"/>
      <c r="C547" s="131"/>
      <c r="D547" s="131"/>
      <c r="E547" s="131"/>
      <c r="F547" s="131"/>
    </row>
    <row r="548" spans="1:6" x14ac:dyDescent="0.3">
      <c r="A548" s="131"/>
      <c r="B548" s="131"/>
      <c r="C548" s="131"/>
      <c r="D548" s="131"/>
      <c r="E548" s="131"/>
      <c r="F548" s="131"/>
    </row>
    <row r="549" spans="1:6" x14ac:dyDescent="0.3">
      <c r="A549" s="131"/>
      <c r="B549" s="131"/>
      <c r="C549" s="131"/>
      <c r="D549" s="131"/>
      <c r="E549" s="131"/>
      <c r="F549" s="131"/>
    </row>
    <row r="550" spans="1:6" x14ac:dyDescent="0.3">
      <c r="A550" s="131"/>
      <c r="B550" s="131"/>
      <c r="C550" s="131"/>
      <c r="D550" s="131"/>
      <c r="E550" s="131"/>
      <c r="F550" s="131"/>
    </row>
    <row r="551" spans="1:6" x14ac:dyDescent="0.3">
      <c r="A551" s="131"/>
      <c r="B551" s="131"/>
      <c r="C551" s="131"/>
      <c r="D551" s="131"/>
      <c r="E551" s="131"/>
      <c r="F551" s="131"/>
    </row>
    <row r="552" spans="1:6" x14ac:dyDescent="0.3">
      <c r="A552" s="131"/>
      <c r="B552" s="131"/>
      <c r="C552" s="131"/>
      <c r="D552" s="131"/>
      <c r="E552" s="131"/>
      <c r="F552" s="131"/>
    </row>
    <row r="553" spans="1:6" x14ac:dyDescent="0.3">
      <c r="A553" s="131"/>
      <c r="B553" s="131"/>
      <c r="C553" s="131"/>
      <c r="D553" s="131"/>
      <c r="E553" s="131"/>
      <c r="F553" s="131"/>
    </row>
    <row r="554" spans="1:6" x14ac:dyDescent="0.3">
      <c r="A554" s="131"/>
      <c r="B554" s="131"/>
      <c r="C554" s="131"/>
      <c r="D554" s="131"/>
      <c r="E554" s="131"/>
      <c r="F554" s="131"/>
    </row>
    <row r="555" spans="1:6" x14ac:dyDescent="0.3">
      <c r="A555" s="131"/>
      <c r="B555" s="131"/>
      <c r="C555" s="131"/>
      <c r="D555" s="131"/>
      <c r="E555" s="131"/>
      <c r="F555" s="131"/>
    </row>
    <row r="556" spans="1:6" x14ac:dyDescent="0.3">
      <c r="A556" s="131"/>
      <c r="B556" s="131"/>
      <c r="C556" s="131"/>
      <c r="D556" s="131"/>
      <c r="E556" s="131"/>
      <c r="F556" s="131"/>
    </row>
    <row r="557" spans="1:6" x14ac:dyDescent="0.3">
      <c r="A557" s="131"/>
      <c r="B557" s="131"/>
      <c r="C557" s="131"/>
      <c r="D557" s="131"/>
      <c r="E557" s="131"/>
      <c r="F557" s="131"/>
    </row>
    <row r="558" spans="1:6" x14ac:dyDescent="0.3">
      <c r="A558" s="131"/>
      <c r="B558" s="131"/>
      <c r="C558" s="131"/>
      <c r="D558" s="131"/>
      <c r="E558" s="131"/>
      <c r="F558" s="131"/>
    </row>
    <row r="559" spans="1:6" x14ac:dyDescent="0.3">
      <c r="A559" s="131"/>
      <c r="B559" s="131"/>
      <c r="C559" s="131"/>
      <c r="D559" s="131"/>
      <c r="E559" s="131"/>
      <c r="F559" s="131"/>
    </row>
    <row r="560" spans="1:6" x14ac:dyDescent="0.3">
      <c r="A560" s="131"/>
      <c r="B560" s="131"/>
      <c r="C560" s="131"/>
      <c r="D560" s="131"/>
      <c r="E560" s="131"/>
      <c r="F560" s="131"/>
    </row>
    <row r="561" spans="1:6" x14ac:dyDescent="0.3">
      <c r="A561" s="131"/>
      <c r="B561" s="131"/>
      <c r="C561" s="131"/>
      <c r="D561" s="131"/>
      <c r="E561" s="131"/>
      <c r="F561" s="131"/>
    </row>
    <row r="562" spans="1:6" x14ac:dyDescent="0.3">
      <c r="A562" s="131"/>
      <c r="B562" s="131"/>
      <c r="C562" s="131"/>
      <c r="D562" s="131"/>
      <c r="E562" s="131"/>
      <c r="F562" s="131"/>
    </row>
    <row r="563" spans="1:6" x14ac:dyDescent="0.3">
      <c r="A563" s="131"/>
      <c r="B563" s="131"/>
      <c r="C563" s="131"/>
      <c r="D563" s="131"/>
      <c r="E563" s="131"/>
      <c r="F563" s="131"/>
    </row>
    <row r="564" spans="1:6" x14ac:dyDescent="0.3">
      <c r="A564" s="131"/>
      <c r="B564" s="131"/>
      <c r="C564" s="131"/>
      <c r="D564" s="131"/>
      <c r="E564" s="131"/>
      <c r="F564" s="131"/>
    </row>
    <row r="565" spans="1:6" x14ac:dyDescent="0.3">
      <c r="A565" s="131"/>
      <c r="B565" s="131"/>
      <c r="C565" s="131"/>
      <c r="D565" s="131"/>
      <c r="E565" s="131"/>
      <c r="F565" s="131"/>
    </row>
    <row r="566" spans="1:6" x14ac:dyDescent="0.3">
      <c r="A566" s="131"/>
      <c r="B566" s="131"/>
      <c r="C566" s="131"/>
      <c r="D566" s="131"/>
      <c r="E566" s="131"/>
      <c r="F566" s="131"/>
    </row>
    <row r="567" spans="1:6" x14ac:dyDescent="0.3">
      <c r="A567" s="131"/>
      <c r="B567" s="131"/>
      <c r="C567" s="131"/>
      <c r="D567" s="131"/>
      <c r="E567" s="131"/>
      <c r="F567" s="131"/>
    </row>
    <row r="568" spans="1:6" x14ac:dyDescent="0.3">
      <c r="A568" s="131"/>
      <c r="B568" s="131"/>
      <c r="C568" s="131"/>
      <c r="D568" s="131"/>
      <c r="E568" s="131"/>
      <c r="F568" s="131"/>
    </row>
    <row r="569" spans="1:6" x14ac:dyDescent="0.3">
      <c r="A569" s="131"/>
      <c r="B569" s="131"/>
      <c r="C569" s="131"/>
      <c r="D569" s="131"/>
      <c r="E569" s="131"/>
      <c r="F569" s="131"/>
    </row>
    <row r="570" spans="1:6" x14ac:dyDescent="0.3">
      <c r="A570" s="131"/>
      <c r="B570" s="131"/>
      <c r="C570" s="131"/>
      <c r="D570" s="131"/>
      <c r="E570" s="131"/>
      <c r="F570" s="131"/>
    </row>
    <row r="571" spans="1:6" x14ac:dyDescent="0.3">
      <c r="A571" s="131"/>
      <c r="B571" s="131"/>
      <c r="C571" s="131"/>
      <c r="D571" s="131"/>
      <c r="E571" s="131"/>
      <c r="F571" s="131"/>
    </row>
    <row r="572" spans="1:6" x14ac:dyDescent="0.3">
      <c r="A572" s="131"/>
      <c r="B572" s="131"/>
      <c r="C572" s="131"/>
      <c r="D572" s="131"/>
      <c r="E572" s="131"/>
      <c r="F572" s="131"/>
    </row>
    <row r="573" spans="1:6" x14ac:dyDescent="0.3">
      <c r="A573" s="131"/>
      <c r="B573" s="131"/>
      <c r="C573" s="131"/>
      <c r="D573" s="131"/>
      <c r="E573" s="131"/>
      <c r="F573" s="131"/>
    </row>
    <row r="574" spans="1:6" x14ac:dyDescent="0.3">
      <c r="A574" s="131"/>
      <c r="B574" s="131"/>
      <c r="C574" s="131"/>
      <c r="D574" s="131"/>
      <c r="E574" s="131"/>
      <c r="F574" s="131"/>
    </row>
    <row r="575" spans="1:6" x14ac:dyDescent="0.3">
      <c r="A575" s="131"/>
      <c r="B575" s="131"/>
      <c r="C575" s="131"/>
      <c r="D575" s="131"/>
      <c r="E575" s="131"/>
      <c r="F575" s="131"/>
    </row>
    <row r="576" spans="1:6" x14ac:dyDescent="0.3">
      <c r="A576" s="131"/>
      <c r="B576" s="131"/>
      <c r="C576" s="131"/>
      <c r="D576" s="131"/>
      <c r="E576" s="131"/>
      <c r="F576" s="131"/>
    </row>
    <row r="577" spans="1:6" x14ac:dyDescent="0.3">
      <c r="A577" s="131"/>
      <c r="B577" s="131"/>
      <c r="C577" s="131"/>
      <c r="D577" s="131"/>
      <c r="E577" s="131"/>
      <c r="F577" s="131"/>
    </row>
    <row r="578" spans="1:6" x14ac:dyDescent="0.3">
      <c r="A578" s="131"/>
      <c r="B578" s="131"/>
      <c r="C578" s="131"/>
      <c r="D578" s="131"/>
      <c r="E578" s="131"/>
      <c r="F578" s="131"/>
    </row>
    <row r="579" spans="1:6" x14ac:dyDescent="0.3">
      <c r="A579" s="131"/>
      <c r="B579" s="131"/>
      <c r="C579" s="131"/>
      <c r="D579" s="131"/>
      <c r="E579" s="131"/>
      <c r="F579" s="131"/>
    </row>
    <row r="580" spans="1:6" x14ac:dyDescent="0.3">
      <c r="A580" s="131"/>
      <c r="B580" s="131"/>
      <c r="C580" s="131"/>
      <c r="D580" s="131"/>
      <c r="E580" s="131"/>
      <c r="F580" s="131"/>
    </row>
    <row r="581" spans="1:6" x14ac:dyDescent="0.3">
      <c r="A581" s="131"/>
      <c r="B581" s="131"/>
      <c r="C581" s="131"/>
      <c r="D581" s="131"/>
      <c r="E581" s="131"/>
      <c r="F581" s="131"/>
    </row>
    <row r="582" spans="1:6" x14ac:dyDescent="0.3">
      <c r="A582" s="131"/>
      <c r="B582" s="131"/>
      <c r="C582" s="131"/>
      <c r="D582" s="131"/>
      <c r="E582" s="131"/>
      <c r="F582" s="131"/>
    </row>
    <row r="583" spans="1:6" x14ac:dyDescent="0.3">
      <c r="A583" s="131"/>
      <c r="B583" s="131"/>
      <c r="C583" s="131"/>
      <c r="D583" s="131"/>
      <c r="E583" s="131"/>
      <c r="F583" s="131"/>
    </row>
    <row r="584" spans="1:6" x14ac:dyDescent="0.3">
      <c r="A584" s="131"/>
      <c r="B584" s="131"/>
      <c r="C584" s="131"/>
      <c r="D584" s="131"/>
      <c r="E584" s="131"/>
      <c r="F584" s="131"/>
    </row>
    <row r="585" spans="1:6" x14ac:dyDescent="0.3">
      <c r="A585" s="131"/>
      <c r="B585" s="131"/>
      <c r="C585" s="131"/>
      <c r="D585" s="131"/>
      <c r="E585" s="131"/>
      <c r="F585" s="131"/>
    </row>
    <row r="586" spans="1:6" x14ac:dyDescent="0.3">
      <c r="A586" s="131"/>
      <c r="B586" s="131"/>
      <c r="C586" s="131"/>
      <c r="D586" s="131"/>
      <c r="E586" s="131"/>
      <c r="F586" s="131"/>
    </row>
    <row r="587" spans="1:6" x14ac:dyDescent="0.3">
      <c r="A587" s="131"/>
      <c r="B587" s="131"/>
      <c r="C587" s="131"/>
      <c r="D587" s="131"/>
      <c r="E587" s="131"/>
      <c r="F587" s="131"/>
    </row>
    <row r="588" spans="1:6" x14ac:dyDescent="0.3">
      <c r="A588" s="131"/>
      <c r="B588" s="131"/>
      <c r="C588" s="131"/>
      <c r="D588" s="131"/>
      <c r="E588" s="131"/>
      <c r="F588" s="131"/>
    </row>
    <row r="589" spans="1:6" x14ac:dyDescent="0.3">
      <c r="A589" s="131"/>
      <c r="B589" s="131"/>
      <c r="C589" s="131"/>
      <c r="D589" s="131"/>
      <c r="E589" s="131"/>
      <c r="F589" s="131"/>
    </row>
    <row r="590" spans="1:6" x14ac:dyDescent="0.3">
      <c r="A590" s="131"/>
      <c r="B590" s="131"/>
      <c r="C590" s="131"/>
      <c r="D590" s="131"/>
      <c r="E590" s="131"/>
      <c r="F590" s="131"/>
    </row>
    <row r="591" spans="1:6" x14ac:dyDescent="0.3">
      <c r="A591" s="131"/>
      <c r="B591" s="131"/>
      <c r="C591" s="131"/>
      <c r="D591" s="131"/>
      <c r="E591" s="131"/>
      <c r="F591" s="131"/>
    </row>
    <row r="592" spans="1:6" x14ac:dyDescent="0.3">
      <c r="A592" s="131"/>
      <c r="B592" s="131"/>
      <c r="C592" s="131"/>
      <c r="D592" s="131"/>
      <c r="E592" s="131"/>
      <c r="F592" s="131"/>
    </row>
    <row r="593" spans="1:6" x14ac:dyDescent="0.3">
      <c r="A593" s="131"/>
      <c r="B593" s="131"/>
      <c r="C593" s="131"/>
      <c r="D593" s="131"/>
      <c r="E593" s="131"/>
      <c r="F593" s="131"/>
    </row>
    <row r="594" spans="1:6" x14ac:dyDescent="0.3">
      <c r="A594" s="131"/>
      <c r="B594" s="131"/>
      <c r="C594" s="131"/>
      <c r="D594" s="131"/>
      <c r="E594" s="131"/>
      <c r="F594" s="131"/>
    </row>
    <row r="595" spans="1:6" x14ac:dyDescent="0.3">
      <c r="A595" s="131"/>
      <c r="B595" s="131"/>
      <c r="C595" s="131"/>
      <c r="D595" s="131"/>
      <c r="E595" s="131"/>
      <c r="F595" s="131"/>
    </row>
    <row r="596" spans="1:6" x14ac:dyDescent="0.3">
      <c r="A596" s="131"/>
      <c r="B596" s="131"/>
      <c r="C596" s="131"/>
      <c r="D596" s="131"/>
      <c r="E596" s="131"/>
      <c r="F596" s="131"/>
    </row>
    <row r="597" spans="1:6" x14ac:dyDescent="0.3">
      <c r="A597" s="131"/>
      <c r="B597" s="131"/>
      <c r="C597" s="131"/>
      <c r="D597" s="131"/>
      <c r="E597" s="131"/>
      <c r="F597" s="131"/>
    </row>
    <row r="598" spans="1:6" x14ac:dyDescent="0.3">
      <c r="A598" s="131"/>
      <c r="B598" s="131"/>
      <c r="C598" s="131"/>
      <c r="D598" s="131"/>
      <c r="E598" s="131"/>
      <c r="F598" s="131"/>
    </row>
    <row r="599" spans="1:6" x14ac:dyDescent="0.3">
      <c r="A599" s="131"/>
      <c r="B599" s="131"/>
      <c r="C599" s="131"/>
      <c r="D599" s="131"/>
      <c r="E599" s="131"/>
      <c r="F599" s="131"/>
    </row>
    <row r="600" spans="1:6" x14ac:dyDescent="0.3">
      <c r="A600" s="131"/>
      <c r="B600" s="131"/>
      <c r="C600" s="131"/>
      <c r="D600" s="131"/>
      <c r="E600" s="131"/>
      <c r="F600" s="131"/>
    </row>
    <row r="601" spans="1:6" x14ac:dyDescent="0.3">
      <c r="A601" s="131"/>
      <c r="B601" s="131"/>
      <c r="C601" s="131"/>
      <c r="D601" s="131"/>
      <c r="E601" s="131"/>
      <c r="F601" s="131"/>
    </row>
    <row r="602" spans="1:6" x14ac:dyDescent="0.3">
      <c r="A602" s="131"/>
      <c r="B602" s="131"/>
      <c r="C602" s="131"/>
      <c r="D602" s="131"/>
      <c r="E602" s="131"/>
      <c r="F602" s="131"/>
    </row>
    <row r="603" spans="1:6" x14ac:dyDescent="0.3">
      <c r="A603" s="131"/>
      <c r="B603" s="131"/>
      <c r="C603" s="131"/>
      <c r="D603" s="131"/>
      <c r="E603" s="131"/>
      <c r="F603" s="131"/>
    </row>
    <row r="604" spans="1:6" x14ac:dyDescent="0.3">
      <c r="A604" s="131"/>
      <c r="B604" s="131"/>
      <c r="C604" s="131"/>
      <c r="D604" s="131"/>
      <c r="E604" s="131"/>
      <c r="F604" s="131"/>
    </row>
    <row r="605" spans="1:6" x14ac:dyDescent="0.3">
      <c r="A605" s="131"/>
      <c r="B605" s="131"/>
      <c r="C605" s="131"/>
      <c r="D605" s="131"/>
      <c r="E605" s="131"/>
      <c r="F605" s="131"/>
    </row>
    <row r="606" spans="1:6" x14ac:dyDescent="0.3">
      <c r="A606" s="131"/>
      <c r="B606" s="131"/>
      <c r="C606" s="131"/>
      <c r="D606" s="131"/>
      <c r="E606" s="131"/>
      <c r="F606" s="131"/>
    </row>
    <row r="607" spans="1:6" x14ac:dyDescent="0.3">
      <c r="A607" s="131"/>
      <c r="B607" s="131"/>
      <c r="C607" s="131"/>
      <c r="D607" s="131"/>
      <c r="E607" s="131"/>
      <c r="F607" s="131"/>
    </row>
    <row r="608" spans="1:6" x14ac:dyDescent="0.3">
      <c r="A608" s="131"/>
      <c r="B608" s="131"/>
      <c r="C608" s="131"/>
      <c r="D608" s="131"/>
      <c r="E608" s="131"/>
      <c r="F608" s="131"/>
    </row>
    <row r="609" spans="1:6" x14ac:dyDescent="0.3">
      <c r="A609" s="131"/>
      <c r="B609" s="131"/>
      <c r="C609" s="131"/>
      <c r="D609" s="131"/>
      <c r="E609" s="131"/>
      <c r="F609" s="131"/>
    </row>
    <row r="610" spans="1:6" x14ac:dyDescent="0.3">
      <c r="A610" s="131"/>
      <c r="B610" s="131"/>
      <c r="C610" s="131"/>
      <c r="D610" s="131"/>
      <c r="E610" s="131"/>
      <c r="F610" s="131"/>
    </row>
    <row r="611" spans="1:6" x14ac:dyDescent="0.3">
      <c r="A611" s="131"/>
      <c r="B611" s="131"/>
      <c r="C611" s="131"/>
      <c r="D611" s="131"/>
      <c r="E611" s="131"/>
      <c r="F611" s="131"/>
    </row>
    <row r="612" spans="1:6" x14ac:dyDescent="0.3">
      <c r="A612" s="131"/>
      <c r="B612" s="131"/>
      <c r="C612" s="131"/>
      <c r="D612" s="131"/>
      <c r="E612" s="131"/>
      <c r="F612" s="131"/>
    </row>
    <row r="613" spans="1:6" x14ac:dyDescent="0.3">
      <c r="A613" s="131"/>
      <c r="B613" s="131"/>
      <c r="C613" s="131"/>
      <c r="D613" s="131"/>
      <c r="E613" s="131"/>
      <c r="F613" s="131"/>
    </row>
    <row r="614" spans="1:6" x14ac:dyDescent="0.3">
      <c r="A614" s="131"/>
      <c r="B614" s="131"/>
      <c r="C614" s="131"/>
      <c r="D614" s="131"/>
      <c r="E614" s="131"/>
      <c r="F614" s="131"/>
    </row>
    <row r="615" spans="1:6" x14ac:dyDescent="0.3">
      <c r="A615" s="131"/>
      <c r="B615" s="131"/>
      <c r="C615" s="131"/>
      <c r="D615" s="131"/>
      <c r="E615" s="131"/>
      <c r="F615" s="131"/>
    </row>
    <row r="616" spans="1:6" x14ac:dyDescent="0.3">
      <c r="A616" s="131"/>
      <c r="B616" s="131"/>
      <c r="C616" s="131"/>
      <c r="D616" s="131"/>
      <c r="E616" s="131"/>
      <c r="F616" s="131"/>
    </row>
    <row r="617" spans="1:6" x14ac:dyDescent="0.3">
      <c r="A617" s="131"/>
      <c r="B617" s="131"/>
      <c r="C617" s="131"/>
      <c r="D617" s="131"/>
      <c r="E617" s="131"/>
      <c r="F617" s="131"/>
    </row>
    <row r="618" spans="1:6" x14ac:dyDescent="0.3">
      <c r="A618" s="131"/>
      <c r="B618" s="131"/>
      <c r="C618" s="131"/>
      <c r="D618" s="131"/>
      <c r="E618" s="131"/>
      <c r="F618" s="131"/>
    </row>
    <row r="619" spans="1:6" x14ac:dyDescent="0.3">
      <c r="A619" s="131"/>
      <c r="B619" s="131"/>
      <c r="C619" s="131"/>
      <c r="D619" s="131"/>
      <c r="E619" s="131"/>
      <c r="F619" s="131"/>
    </row>
    <row r="620" spans="1:6" x14ac:dyDescent="0.3">
      <c r="A620" s="131"/>
      <c r="B620" s="131"/>
      <c r="C620" s="131"/>
      <c r="D620" s="131"/>
      <c r="E620" s="131"/>
      <c r="F620" s="131"/>
    </row>
    <row r="621" spans="1:6" x14ac:dyDescent="0.3">
      <c r="A621" s="131"/>
      <c r="B621" s="131"/>
      <c r="C621" s="131"/>
      <c r="D621" s="131"/>
      <c r="E621" s="131"/>
      <c r="F621" s="131"/>
    </row>
    <row r="622" spans="1:6" x14ac:dyDescent="0.3">
      <c r="A622" s="131"/>
      <c r="B622" s="131"/>
      <c r="C622" s="131"/>
      <c r="D622" s="131"/>
      <c r="E622" s="131"/>
      <c r="F622" s="131"/>
    </row>
    <row r="623" spans="1:6" x14ac:dyDescent="0.3">
      <c r="A623" s="131"/>
      <c r="B623" s="131"/>
      <c r="C623" s="131"/>
      <c r="D623" s="131"/>
      <c r="E623" s="131"/>
      <c r="F623" s="131"/>
    </row>
    <row r="624" spans="1:6" x14ac:dyDescent="0.3">
      <c r="A624" s="131"/>
      <c r="B624" s="131"/>
      <c r="C624" s="131"/>
      <c r="D624" s="131"/>
      <c r="E624" s="131"/>
      <c r="F624" s="131"/>
    </row>
    <row r="625" spans="1:6" x14ac:dyDescent="0.3">
      <c r="A625" s="131"/>
      <c r="B625" s="131"/>
      <c r="C625" s="131"/>
      <c r="D625" s="131"/>
      <c r="E625" s="131"/>
      <c r="F625" s="131"/>
    </row>
    <row r="626" spans="1:6" x14ac:dyDescent="0.3">
      <c r="A626" s="131"/>
      <c r="B626" s="131"/>
      <c r="C626" s="131"/>
      <c r="D626" s="131"/>
      <c r="E626" s="131"/>
      <c r="F626" s="131"/>
    </row>
    <row r="627" spans="1:6" x14ac:dyDescent="0.3">
      <c r="A627" s="131"/>
      <c r="B627" s="131"/>
      <c r="C627" s="131"/>
      <c r="D627" s="131"/>
      <c r="E627" s="131"/>
      <c r="F627" s="131"/>
    </row>
    <row r="628" spans="1:6" x14ac:dyDescent="0.3">
      <c r="A628" s="131"/>
      <c r="B628" s="131"/>
      <c r="C628" s="131"/>
      <c r="D628" s="131"/>
      <c r="E628" s="131"/>
      <c r="F628" s="131"/>
    </row>
    <row r="629" spans="1:6" x14ac:dyDescent="0.3">
      <c r="A629" s="131"/>
      <c r="B629" s="131"/>
      <c r="C629" s="131"/>
      <c r="D629" s="131"/>
      <c r="E629" s="131"/>
      <c r="F629" s="131"/>
    </row>
    <row r="630" spans="1:6" x14ac:dyDescent="0.3">
      <c r="A630" s="131"/>
      <c r="B630" s="131"/>
      <c r="C630" s="131"/>
      <c r="D630" s="131"/>
      <c r="E630" s="131"/>
      <c r="F630" s="131"/>
    </row>
    <row r="631" spans="1:6" x14ac:dyDescent="0.3">
      <c r="A631" s="131"/>
      <c r="B631" s="131"/>
      <c r="C631" s="131"/>
      <c r="D631" s="131"/>
      <c r="E631" s="131"/>
      <c r="F631" s="131"/>
    </row>
    <row r="632" spans="1:6" x14ac:dyDescent="0.3">
      <c r="A632" s="131"/>
      <c r="B632" s="131"/>
      <c r="C632" s="131"/>
      <c r="D632" s="131"/>
      <c r="E632" s="131"/>
      <c r="F632" s="131"/>
    </row>
    <row r="633" spans="1:6" x14ac:dyDescent="0.3">
      <c r="A633" s="131"/>
      <c r="B633" s="131"/>
      <c r="C633" s="131"/>
      <c r="D633" s="131"/>
      <c r="E633" s="131"/>
      <c r="F633" s="131"/>
    </row>
    <row r="634" spans="1:6" x14ac:dyDescent="0.3">
      <c r="A634" s="131"/>
      <c r="B634" s="131"/>
      <c r="C634" s="131"/>
      <c r="D634" s="131"/>
      <c r="E634" s="131"/>
      <c r="F634" s="131"/>
    </row>
    <row r="635" spans="1:6" x14ac:dyDescent="0.3">
      <c r="A635" s="131"/>
      <c r="B635" s="131"/>
      <c r="C635" s="131"/>
      <c r="D635" s="131"/>
      <c r="E635" s="131"/>
      <c r="F635" s="131"/>
    </row>
    <row r="636" spans="1:6" x14ac:dyDescent="0.3">
      <c r="A636" s="131"/>
      <c r="B636" s="131"/>
      <c r="C636" s="131"/>
      <c r="D636" s="131"/>
      <c r="E636" s="131"/>
      <c r="F636" s="131"/>
    </row>
    <row r="637" spans="1:6" x14ac:dyDescent="0.3">
      <c r="A637" s="131"/>
      <c r="B637" s="131"/>
      <c r="C637" s="131"/>
      <c r="D637" s="131"/>
      <c r="E637" s="131"/>
      <c r="F637" s="131"/>
    </row>
    <row r="638" spans="1:6" x14ac:dyDescent="0.3">
      <c r="A638" s="131"/>
      <c r="B638" s="131"/>
      <c r="C638" s="131"/>
      <c r="D638" s="131"/>
      <c r="E638" s="131"/>
      <c r="F638" s="131"/>
    </row>
    <row r="639" spans="1:6" x14ac:dyDescent="0.3">
      <c r="A639" s="131"/>
      <c r="B639" s="131"/>
      <c r="C639" s="131"/>
      <c r="D639" s="131"/>
      <c r="E639" s="131"/>
      <c r="F639" s="131"/>
    </row>
    <row r="640" spans="1:6" x14ac:dyDescent="0.3">
      <c r="A640" s="131"/>
      <c r="B640" s="131"/>
      <c r="C640" s="131"/>
      <c r="D640" s="131"/>
      <c r="E640" s="131"/>
      <c r="F640" s="131"/>
    </row>
    <row r="641" spans="1:6" x14ac:dyDescent="0.3">
      <c r="A641" s="131"/>
      <c r="B641" s="131"/>
      <c r="C641" s="131"/>
      <c r="D641" s="131"/>
      <c r="E641" s="131"/>
      <c r="F641" s="131"/>
    </row>
    <row r="642" spans="1:6" x14ac:dyDescent="0.3">
      <c r="A642" s="131"/>
      <c r="B642" s="131"/>
      <c r="C642" s="131"/>
      <c r="D642" s="131"/>
      <c r="E642" s="131"/>
      <c r="F642" s="131"/>
    </row>
    <row r="643" spans="1:6" x14ac:dyDescent="0.3">
      <c r="A643" s="131"/>
      <c r="B643" s="131"/>
      <c r="C643" s="131"/>
      <c r="D643" s="131"/>
      <c r="E643" s="131"/>
      <c r="F643" s="131"/>
    </row>
    <row r="644" spans="1:6" x14ac:dyDescent="0.3">
      <c r="A644" s="131"/>
      <c r="B644" s="131"/>
      <c r="C644" s="131"/>
      <c r="D644" s="131"/>
      <c r="E644" s="131"/>
      <c r="F644" s="131"/>
    </row>
    <row r="645" spans="1:6" x14ac:dyDescent="0.3">
      <c r="A645" s="131"/>
      <c r="B645" s="131"/>
      <c r="C645" s="131"/>
      <c r="D645" s="131"/>
      <c r="E645" s="131"/>
      <c r="F645" s="131"/>
    </row>
    <row r="646" spans="1:6" x14ac:dyDescent="0.3">
      <c r="A646" s="131"/>
      <c r="B646" s="131"/>
      <c r="C646" s="131"/>
      <c r="D646" s="131"/>
      <c r="E646" s="131"/>
      <c r="F646" s="131"/>
    </row>
    <row r="647" spans="1:6" x14ac:dyDescent="0.3">
      <c r="A647" s="131"/>
      <c r="B647" s="131"/>
      <c r="C647" s="131"/>
      <c r="D647" s="131"/>
      <c r="E647" s="131"/>
      <c r="F647" s="131"/>
    </row>
    <row r="648" spans="1:6" x14ac:dyDescent="0.3">
      <c r="A648" s="131"/>
      <c r="B648" s="131"/>
      <c r="C648" s="131"/>
      <c r="D648" s="131"/>
      <c r="E648" s="131"/>
      <c r="F648" s="131"/>
    </row>
    <row r="649" spans="1:6" x14ac:dyDescent="0.3">
      <c r="A649" s="131"/>
      <c r="B649" s="131"/>
      <c r="C649" s="131"/>
      <c r="D649" s="131"/>
      <c r="E649" s="131"/>
      <c r="F649" s="131"/>
    </row>
    <row r="650" spans="1:6" x14ac:dyDescent="0.3">
      <c r="A650" s="131"/>
      <c r="B650" s="131"/>
      <c r="C650" s="131"/>
      <c r="D650" s="131"/>
      <c r="E650" s="131"/>
      <c r="F650" s="131"/>
    </row>
    <row r="651" spans="1:6" x14ac:dyDescent="0.3">
      <c r="A651" s="131"/>
      <c r="B651" s="131"/>
      <c r="C651" s="131"/>
      <c r="D651" s="131"/>
      <c r="E651" s="131"/>
      <c r="F651" s="131"/>
    </row>
    <row r="652" spans="1:6" x14ac:dyDescent="0.3">
      <c r="A652" s="131"/>
      <c r="B652" s="131"/>
      <c r="C652" s="131"/>
      <c r="D652" s="131"/>
      <c r="E652" s="131"/>
      <c r="F652" s="131"/>
    </row>
    <row r="653" spans="1:6" x14ac:dyDescent="0.3">
      <c r="A653" s="131"/>
      <c r="B653" s="131"/>
      <c r="C653" s="131"/>
      <c r="D653" s="131"/>
      <c r="E653" s="131"/>
      <c r="F653" s="131"/>
    </row>
    <row r="654" spans="1:6" x14ac:dyDescent="0.3">
      <c r="A654" s="131"/>
      <c r="B654" s="131"/>
      <c r="C654" s="131"/>
      <c r="D654" s="131"/>
      <c r="E654" s="131"/>
      <c r="F654" s="131"/>
    </row>
    <row r="655" spans="1:6" x14ac:dyDescent="0.3">
      <c r="A655" s="131"/>
      <c r="B655" s="131"/>
      <c r="C655" s="131"/>
      <c r="D655" s="131"/>
      <c r="E655" s="131"/>
      <c r="F655" s="131"/>
    </row>
    <row r="656" spans="1:6" x14ac:dyDescent="0.3">
      <c r="A656" s="131"/>
      <c r="B656" s="131"/>
      <c r="C656" s="131"/>
      <c r="D656" s="131"/>
      <c r="E656" s="131"/>
      <c r="F656" s="131"/>
    </row>
    <row r="657" spans="1:6" x14ac:dyDescent="0.3">
      <c r="A657" s="131"/>
      <c r="B657" s="131"/>
      <c r="C657" s="131"/>
      <c r="D657" s="131"/>
      <c r="E657" s="131"/>
      <c r="F657" s="131"/>
    </row>
    <row r="658" spans="1:6" x14ac:dyDescent="0.3">
      <c r="A658" s="131"/>
      <c r="B658" s="131"/>
      <c r="C658" s="131"/>
      <c r="D658" s="131"/>
      <c r="E658" s="131"/>
      <c r="F658" s="131"/>
    </row>
    <row r="659" spans="1:6" x14ac:dyDescent="0.3">
      <c r="A659" s="131"/>
      <c r="B659" s="131"/>
      <c r="C659" s="131"/>
      <c r="D659" s="131"/>
      <c r="E659" s="131"/>
      <c r="F659" s="131"/>
    </row>
    <row r="660" spans="1:6" x14ac:dyDescent="0.3">
      <c r="A660" s="131"/>
      <c r="B660" s="131"/>
      <c r="C660" s="131"/>
      <c r="D660" s="131"/>
      <c r="E660" s="131"/>
      <c r="F660" s="131"/>
    </row>
    <row r="661" spans="1:6" x14ac:dyDescent="0.3">
      <c r="A661" s="131"/>
      <c r="B661" s="131"/>
      <c r="C661" s="131"/>
      <c r="D661" s="131"/>
      <c r="E661" s="131"/>
      <c r="F661" s="131"/>
    </row>
    <row r="662" spans="1:6" x14ac:dyDescent="0.3">
      <c r="A662" s="131"/>
      <c r="B662" s="131"/>
      <c r="C662" s="131"/>
      <c r="D662" s="131"/>
      <c r="E662" s="131"/>
      <c r="F662" s="131"/>
    </row>
    <row r="663" spans="1:6" x14ac:dyDescent="0.3">
      <c r="A663" s="131"/>
      <c r="B663" s="131"/>
      <c r="C663" s="131"/>
      <c r="D663" s="131"/>
      <c r="E663" s="131"/>
      <c r="F663" s="131"/>
    </row>
    <row r="664" spans="1:6" x14ac:dyDescent="0.3">
      <c r="A664" s="131"/>
      <c r="B664" s="131"/>
      <c r="C664" s="131"/>
      <c r="D664" s="131"/>
      <c r="E664" s="131"/>
      <c r="F664" s="131"/>
    </row>
    <row r="665" spans="1:6" x14ac:dyDescent="0.3">
      <c r="A665" s="131"/>
      <c r="B665" s="131"/>
      <c r="C665" s="131"/>
      <c r="D665" s="131"/>
      <c r="E665" s="131"/>
      <c r="F665" s="131"/>
    </row>
    <row r="666" spans="1:6" x14ac:dyDescent="0.3">
      <c r="A666" s="131"/>
      <c r="B666" s="131"/>
      <c r="C666" s="131"/>
      <c r="D666" s="131"/>
      <c r="E666" s="131"/>
      <c r="F666" s="131"/>
    </row>
    <row r="667" spans="1:6" x14ac:dyDescent="0.3">
      <c r="A667" s="131"/>
      <c r="B667" s="131"/>
      <c r="C667" s="131"/>
      <c r="D667" s="131"/>
      <c r="E667" s="131"/>
      <c r="F667" s="131"/>
    </row>
    <row r="668" spans="1:6" x14ac:dyDescent="0.3">
      <c r="A668" s="131"/>
      <c r="B668" s="131"/>
      <c r="C668" s="131"/>
      <c r="D668" s="131"/>
      <c r="E668" s="131"/>
      <c r="F668" s="131"/>
    </row>
    <row r="669" spans="1:6" x14ac:dyDescent="0.3">
      <c r="A669" s="131"/>
      <c r="B669" s="131"/>
      <c r="C669" s="131"/>
      <c r="D669" s="131"/>
      <c r="E669" s="131"/>
      <c r="F669" s="131"/>
    </row>
    <row r="670" spans="1:6" x14ac:dyDescent="0.3">
      <c r="A670" s="131"/>
      <c r="B670" s="131"/>
      <c r="C670" s="131"/>
      <c r="D670" s="131"/>
      <c r="E670" s="131"/>
      <c r="F670" s="131"/>
    </row>
    <row r="671" spans="1:6" x14ac:dyDescent="0.3">
      <c r="A671" s="131"/>
      <c r="B671" s="131"/>
      <c r="C671" s="131"/>
      <c r="D671" s="131"/>
      <c r="E671" s="131"/>
      <c r="F671" s="131"/>
    </row>
    <row r="672" spans="1:6" x14ac:dyDescent="0.3">
      <c r="A672" s="131"/>
      <c r="B672" s="131"/>
      <c r="C672" s="131"/>
      <c r="D672" s="131"/>
      <c r="E672" s="131"/>
      <c r="F672" s="131"/>
    </row>
    <row r="673" spans="1:6" x14ac:dyDescent="0.3">
      <c r="A673" s="131"/>
      <c r="B673" s="131"/>
      <c r="C673" s="131"/>
      <c r="D673" s="131"/>
      <c r="E673" s="131"/>
      <c r="F673" s="131"/>
    </row>
    <row r="674" spans="1:6" x14ac:dyDescent="0.3">
      <c r="A674" s="131"/>
      <c r="B674" s="131"/>
      <c r="C674" s="131"/>
      <c r="D674" s="131"/>
      <c r="E674" s="131"/>
      <c r="F674" s="131"/>
    </row>
    <row r="675" spans="1:6" x14ac:dyDescent="0.3">
      <c r="A675" s="131"/>
      <c r="B675" s="131"/>
      <c r="C675" s="131"/>
      <c r="D675" s="131"/>
      <c r="E675" s="131"/>
      <c r="F675" s="131"/>
    </row>
    <row r="676" spans="1:6" x14ac:dyDescent="0.3">
      <c r="A676" s="131"/>
      <c r="B676" s="131"/>
      <c r="C676" s="131"/>
      <c r="D676" s="131"/>
      <c r="E676" s="131"/>
      <c r="F676" s="131"/>
    </row>
    <row r="677" spans="1:6" x14ac:dyDescent="0.3">
      <c r="A677" s="131"/>
      <c r="B677" s="131"/>
      <c r="C677" s="131"/>
      <c r="D677" s="131"/>
      <c r="E677" s="131"/>
      <c r="F677" s="131"/>
    </row>
    <row r="678" spans="1:6" x14ac:dyDescent="0.3">
      <c r="A678" s="131"/>
      <c r="B678" s="131"/>
      <c r="C678" s="131"/>
      <c r="D678" s="131"/>
      <c r="E678" s="131"/>
      <c r="F678" s="131"/>
    </row>
    <row r="679" spans="1:6" x14ac:dyDescent="0.3">
      <c r="A679" s="131"/>
      <c r="B679" s="131"/>
      <c r="C679" s="131"/>
      <c r="D679" s="131"/>
      <c r="E679" s="131"/>
      <c r="F679" s="131"/>
    </row>
    <row r="680" spans="1:6" x14ac:dyDescent="0.3">
      <c r="A680" s="131"/>
      <c r="B680" s="131"/>
      <c r="C680" s="131"/>
      <c r="D680" s="131"/>
      <c r="E680" s="131"/>
      <c r="F680" s="131"/>
    </row>
    <row r="681" spans="1:6" x14ac:dyDescent="0.3">
      <c r="A681" s="131"/>
      <c r="B681" s="131"/>
      <c r="C681" s="131"/>
      <c r="D681" s="131"/>
      <c r="E681" s="131"/>
      <c r="F681" s="131"/>
    </row>
    <row r="682" spans="1:6" x14ac:dyDescent="0.3">
      <c r="A682" s="131"/>
      <c r="B682" s="131"/>
      <c r="C682" s="131"/>
      <c r="D682" s="131"/>
      <c r="E682" s="131"/>
      <c r="F682" s="131"/>
    </row>
    <row r="683" spans="1:6" x14ac:dyDescent="0.3">
      <c r="A683" s="131"/>
      <c r="B683" s="131"/>
      <c r="C683" s="131"/>
      <c r="D683" s="131"/>
      <c r="E683" s="131"/>
      <c r="F683" s="131"/>
    </row>
    <row r="684" spans="1:6" x14ac:dyDescent="0.3">
      <c r="A684" s="131"/>
      <c r="B684" s="131"/>
      <c r="C684" s="131"/>
      <c r="D684" s="131"/>
      <c r="E684" s="131"/>
      <c r="F684" s="131"/>
    </row>
    <row r="685" spans="1:6" x14ac:dyDescent="0.3">
      <c r="A685" s="131"/>
      <c r="B685" s="131"/>
      <c r="C685" s="131"/>
      <c r="D685" s="131"/>
      <c r="E685" s="131"/>
      <c r="F685" s="131"/>
    </row>
    <row r="686" spans="1:6" x14ac:dyDescent="0.3">
      <c r="A686" s="131"/>
      <c r="B686" s="131"/>
      <c r="C686" s="131"/>
      <c r="D686" s="131"/>
      <c r="E686" s="131"/>
      <c r="F686" s="131"/>
    </row>
    <row r="687" spans="1:6" x14ac:dyDescent="0.3">
      <c r="A687" s="131"/>
      <c r="B687" s="131"/>
      <c r="C687" s="131"/>
      <c r="D687" s="131"/>
      <c r="E687" s="131"/>
      <c r="F687" s="131"/>
    </row>
    <row r="688" spans="1:6" x14ac:dyDescent="0.3">
      <c r="A688" s="131"/>
      <c r="B688" s="131"/>
      <c r="C688" s="131"/>
      <c r="D688" s="131"/>
      <c r="E688" s="131"/>
      <c r="F688" s="131"/>
    </row>
    <row r="689" spans="1:6" x14ac:dyDescent="0.3">
      <c r="A689" s="131"/>
      <c r="B689" s="131"/>
      <c r="C689" s="131"/>
      <c r="D689" s="131"/>
      <c r="E689" s="131"/>
      <c r="F689" s="131"/>
    </row>
    <row r="690" spans="1:6" x14ac:dyDescent="0.3">
      <c r="A690" s="131"/>
      <c r="B690" s="131"/>
      <c r="C690" s="131"/>
      <c r="D690" s="131"/>
      <c r="E690" s="131"/>
      <c r="F690" s="131"/>
    </row>
    <row r="691" spans="1:6" x14ac:dyDescent="0.3">
      <c r="A691" s="131"/>
      <c r="B691" s="131"/>
      <c r="C691" s="131"/>
      <c r="D691" s="131"/>
      <c r="E691" s="131"/>
      <c r="F691" s="131"/>
    </row>
    <row r="692" spans="1:6" x14ac:dyDescent="0.3">
      <c r="A692" s="131"/>
      <c r="B692" s="131"/>
      <c r="C692" s="131"/>
      <c r="D692" s="131"/>
      <c r="E692" s="131"/>
      <c r="F692" s="131"/>
    </row>
    <row r="693" spans="1:6" x14ac:dyDescent="0.3">
      <c r="A693" s="131"/>
      <c r="B693" s="131"/>
      <c r="C693" s="131"/>
      <c r="D693" s="131"/>
      <c r="E693" s="131"/>
      <c r="F693" s="131"/>
    </row>
    <row r="694" spans="1:6" x14ac:dyDescent="0.3">
      <c r="A694" s="131"/>
      <c r="B694" s="131"/>
      <c r="C694" s="131"/>
      <c r="D694" s="131"/>
      <c r="E694" s="131"/>
      <c r="F694" s="131"/>
    </row>
    <row r="695" spans="1:6" x14ac:dyDescent="0.3">
      <c r="A695" s="131"/>
      <c r="B695" s="131"/>
      <c r="C695" s="131"/>
      <c r="D695" s="131"/>
      <c r="E695" s="131"/>
      <c r="F695" s="131"/>
    </row>
    <row r="696" spans="1:6" x14ac:dyDescent="0.3">
      <c r="A696" s="131"/>
      <c r="B696" s="131"/>
      <c r="C696" s="131"/>
      <c r="D696" s="131"/>
      <c r="E696" s="131"/>
      <c r="F696" s="131"/>
    </row>
    <row r="697" spans="1:6" x14ac:dyDescent="0.3">
      <c r="A697" s="131"/>
      <c r="B697" s="131"/>
      <c r="C697" s="131"/>
      <c r="D697" s="131"/>
      <c r="E697" s="131"/>
      <c r="F697" s="131"/>
    </row>
    <row r="698" spans="1:6" x14ac:dyDescent="0.3">
      <c r="A698" s="131"/>
      <c r="B698" s="131"/>
      <c r="C698" s="131"/>
      <c r="D698" s="131"/>
      <c r="E698" s="131"/>
      <c r="F698" s="131"/>
    </row>
    <row r="699" spans="1:6" x14ac:dyDescent="0.3">
      <c r="A699" s="131"/>
      <c r="B699" s="131"/>
      <c r="C699" s="131"/>
      <c r="D699" s="131"/>
      <c r="E699" s="131"/>
      <c r="F699" s="131"/>
    </row>
    <row r="700" spans="1:6" x14ac:dyDescent="0.3">
      <c r="A700" s="131"/>
      <c r="B700" s="131"/>
      <c r="C700" s="131"/>
      <c r="D700" s="131"/>
      <c r="E700" s="131"/>
      <c r="F700" s="131"/>
    </row>
    <row r="701" spans="1:6" x14ac:dyDescent="0.3">
      <c r="A701" s="131"/>
      <c r="B701" s="131"/>
      <c r="C701" s="131"/>
      <c r="D701" s="131"/>
      <c r="E701" s="131"/>
      <c r="F701" s="131"/>
    </row>
    <row r="702" spans="1:6" x14ac:dyDescent="0.3">
      <c r="A702" s="131"/>
      <c r="B702" s="131"/>
      <c r="C702" s="131"/>
      <c r="D702" s="131"/>
      <c r="E702" s="131"/>
      <c r="F702" s="131"/>
    </row>
    <row r="703" spans="1:6" x14ac:dyDescent="0.3">
      <c r="A703" s="131"/>
      <c r="B703" s="131"/>
      <c r="C703" s="131"/>
      <c r="D703" s="131"/>
      <c r="E703" s="131"/>
      <c r="F703" s="131"/>
    </row>
    <row r="704" spans="1:6" x14ac:dyDescent="0.3">
      <c r="A704" s="131"/>
      <c r="B704" s="131"/>
      <c r="C704" s="131"/>
      <c r="D704" s="131"/>
      <c r="E704" s="131"/>
      <c r="F704" s="131"/>
    </row>
    <row r="705" spans="1:6" x14ac:dyDescent="0.3">
      <c r="A705" s="131"/>
      <c r="B705" s="131"/>
      <c r="C705" s="131"/>
      <c r="D705" s="131"/>
      <c r="E705" s="131"/>
      <c r="F705" s="131"/>
    </row>
    <row r="706" spans="1:6" x14ac:dyDescent="0.3">
      <c r="A706" s="131"/>
      <c r="B706" s="131"/>
      <c r="C706" s="131"/>
      <c r="D706" s="131"/>
      <c r="E706" s="131"/>
      <c r="F706" s="131"/>
    </row>
    <row r="707" spans="1:6" x14ac:dyDescent="0.3">
      <c r="A707" s="131"/>
      <c r="B707" s="131"/>
      <c r="C707" s="131"/>
      <c r="D707" s="131"/>
      <c r="E707" s="131"/>
      <c r="F707" s="131"/>
    </row>
    <row r="708" spans="1:6" x14ac:dyDescent="0.3">
      <c r="A708" s="131"/>
      <c r="B708" s="131"/>
      <c r="C708" s="131"/>
      <c r="D708" s="131"/>
      <c r="E708" s="131"/>
      <c r="F708" s="131"/>
    </row>
    <row r="709" spans="1:6" x14ac:dyDescent="0.3">
      <c r="A709" s="131"/>
      <c r="B709" s="131"/>
      <c r="C709" s="131"/>
      <c r="D709" s="131"/>
      <c r="E709" s="131"/>
      <c r="F709" s="131"/>
    </row>
    <row r="710" spans="1:6" x14ac:dyDescent="0.3">
      <c r="A710" s="131"/>
      <c r="B710" s="131"/>
      <c r="C710" s="131"/>
      <c r="D710" s="131"/>
      <c r="E710" s="131"/>
      <c r="F710" s="131"/>
    </row>
    <row r="711" spans="1:6" x14ac:dyDescent="0.3">
      <c r="A711" s="131"/>
      <c r="B711" s="131"/>
      <c r="C711" s="131"/>
      <c r="D711" s="131"/>
      <c r="E711" s="131"/>
      <c r="F711" s="131"/>
    </row>
    <row r="712" spans="1:6" x14ac:dyDescent="0.3">
      <c r="A712" s="131"/>
      <c r="B712" s="131"/>
      <c r="C712" s="131"/>
      <c r="D712" s="131"/>
      <c r="E712" s="131"/>
      <c r="F712" s="131"/>
    </row>
    <row r="713" spans="1:6" x14ac:dyDescent="0.3">
      <c r="A713" s="131"/>
      <c r="B713" s="131"/>
      <c r="C713" s="131"/>
      <c r="D713" s="131"/>
      <c r="E713" s="131"/>
      <c r="F713" s="131"/>
    </row>
    <row r="714" spans="1:6" x14ac:dyDescent="0.3">
      <c r="A714" s="131"/>
      <c r="B714" s="131"/>
      <c r="C714" s="131"/>
      <c r="D714" s="131"/>
      <c r="E714" s="131"/>
      <c r="F714" s="131"/>
    </row>
    <row r="715" spans="1:6" x14ac:dyDescent="0.3">
      <c r="A715" s="131"/>
      <c r="B715" s="131"/>
      <c r="C715" s="131"/>
      <c r="D715" s="131"/>
      <c r="E715" s="131"/>
      <c r="F715" s="131"/>
    </row>
    <row r="716" spans="1:6" x14ac:dyDescent="0.3">
      <c r="A716" s="131"/>
      <c r="B716" s="131"/>
      <c r="C716" s="131"/>
      <c r="D716" s="131"/>
      <c r="E716" s="131"/>
      <c r="F716" s="131"/>
    </row>
    <row r="717" spans="1:6" x14ac:dyDescent="0.3">
      <c r="A717" s="131"/>
      <c r="B717" s="131"/>
      <c r="C717" s="131"/>
      <c r="D717" s="131"/>
      <c r="E717" s="131"/>
      <c r="F717" s="131"/>
    </row>
    <row r="718" spans="1:6" x14ac:dyDescent="0.3">
      <c r="A718" s="131"/>
      <c r="B718" s="131"/>
      <c r="C718" s="131"/>
      <c r="D718" s="131"/>
      <c r="E718" s="131"/>
      <c r="F718" s="131"/>
    </row>
    <row r="719" spans="1:6" x14ac:dyDescent="0.3">
      <c r="A719" s="131"/>
      <c r="B719" s="131"/>
      <c r="C719" s="131"/>
      <c r="D719" s="131"/>
      <c r="E719" s="131"/>
      <c r="F719" s="131"/>
    </row>
    <row r="720" spans="1:6" x14ac:dyDescent="0.3">
      <c r="A720" s="131"/>
      <c r="B720" s="131"/>
      <c r="C720" s="131"/>
      <c r="D720" s="131"/>
      <c r="E720" s="131"/>
      <c r="F720" s="131"/>
    </row>
    <row r="721" spans="1:6" x14ac:dyDescent="0.3">
      <c r="A721" s="131"/>
      <c r="B721" s="131"/>
      <c r="C721" s="131"/>
      <c r="D721" s="131"/>
      <c r="E721" s="131"/>
      <c r="F721" s="131"/>
    </row>
    <row r="722" spans="1:6" x14ac:dyDescent="0.3">
      <c r="A722" s="131"/>
      <c r="B722" s="131"/>
      <c r="C722" s="131"/>
      <c r="D722" s="131"/>
      <c r="E722" s="131"/>
      <c r="F722" s="131"/>
    </row>
    <row r="723" spans="1:6" x14ac:dyDescent="0.3">
      <c r="A723" s="131"/>
      <c r="B723" s="131"/>
      <c r="C723" s="131"/>
      <c r="D723" s="131"/>
      <c r="E723" s="131"/>
      <c r="F723" s="131"/>
    </row>
    <row r="724" spans="1:6" x14ac:dyDescent="0.3">
      <c r="A724" s="131"/>
      <c r="B724" s="131"/>
      <c r="C724" s="131"/>
      <c r="D724" s="131"/>
      <c r="E724" s="131"/>
      <c r="F724" s="131"/>
    </row>
    <row r="725" spans="1:6" x14ac:dyDescent="0.3">
      <c r="A725" s="131"/>
      <c r="B725" s="131"/>
      <c r="C725" s="131"/>
      <c r="D725" s="131"/>
      <c r="E725" s="131"/>
      <c r="F725" s="131"/>
    </row>
    <row r="726" spans="1:6" x14ac:dyDescent="0.3">
      <c r="A726" s="131"/>
      <c r="B726" s="131"/>
      <c r="C726" s="131"/>
      <c r="D726" s="131"/>
      <c r="E726" s="131"/>
      <c r="F726" s="131"/>
    </row>
    <row r="727" spans="1:6" x14ac:dyDescent="0.3">
      <c r="A727" s="131"/>
      <c r="B727" s="131"/>
      <c r="C727" s="131"/>
      <c r="D727" s="131"/>
      <c r="E727" s="131"/>
      <c r="F727" s="131"/>
    </row>
    <row r="728" spans="1:6" x14ac:dyDescent="0.3">
      <c r="A728" s="131"/>
      <c r="B728" s="131"/>
      <c r="C728" s="131"/>
      <c r="D728" s="131"/>
      <c r="E728" s="131"/>
      <c r="F728" s="131"/>
    </row>
    <row r="729" spans="1:6" x14ac:dyDescent="0.3">
      <c r="A729" s="131"/>
      <c r="B729" s="131"/>
      <c r="C729" s="131"/>
      <c r="D729" s="131"/>
      <c r="E729" s="131"/>
      <c r="F729" s="131"/>
    </row>
    <row r="730" spans="1:6" x14ac:dyDescent="0.3">
      <c r="A730" s="131"/>
      <c r="B730" s="131"/>
      <c r="C730" s="131"/>
      <c r="D730" s="131"/>
      <c r="E730" s="131"/>
      <c r="F730" s="131"/>
    </row>
    <row r="731" spans="1:6" x14ac:dyDescent="0.3">
      <c r="A731" s="131"/>
      <c r="B731" s="131"/>
      <c r="C731" s="131"/>
      <c r="D731" s="131"/>
      <c r="E731" s="131"/>
      <c r="F731" s="131"/>
    </row>
    <row r="732" spans="1:6" x14ac:dyDescent="0.3">
      <c r="A732" s="131"/>
      <c r="B732" s="131"/>
      <c r="C732" s="131"/>
      <c r="D732" s="131"/>
      <c r="E732" s="131"/>
      <c r="F732" s="131"/>
    </row>
    <row r="733" spans="1:6" x14ac:dyDescent="0.3">
      <c r="A733" s="131"/>
      <c r="B733" s="131"/>
      <c r="C733" s="131"/>
      <c r="D733" s="131"/>
      <c r="E733" s="131"/>
      <c r="F733" s="131"/>
    </row>
    <row r="734" spans="1:6" x14ac:dyDescent="0.3">
      <c r="A734" s="131"/>
      <c r="B734" s="131"/>
      <c r="C734" s="131"/>
      <c r="D734" s="131"/>
      <c r="E734" s="131"/>
      <c r="F734" s="131"/>
    </row>
    <row r="735" spans="1:6" x14ac:dyDescent="0.3">
      <c r="A735" s="131"/>
      <c r="B735" s="131"/>
      <c r="C735" s="131"/>
      <c r="D735" s="131"/>
      <c r="E735" s="131"/>
      <c r="F735" s="131"/>
    </row>
    <row r="736" spans="1:6" x14ac:dyDescent="0.3">
      <c r="A736" s="131"/>
      <c r="B736" s="131"/>
      <c r="C736" s="131"/>
      <c r="D736" s="131"/>
      <c r="E736" s="131"/>
      <c r="F736" s="131"/>
    </row>
    <row r="737" spans="1:6" x14ac:dyDescent="0.3">
      <c r="A737" s="131"/>
      <c r="B737" s="131"/>
      <c r="C737" s="131"/>
      <c r="D737" s="131"/>
      <c r="E737" s="131"/>
      <c r="F737" s="131"/>
    </row>
    <row r="738" spans="1:6" x14ac:dyDescent="0.3">
      <c r="A738" s="131"/>
      <c r="B738" s="131"/>
      <c r="C738" s="131"/>
      <c r="D738" s="131"/>
      <c r="E738" s="131"/>
      <c r="F738" s="131"/>
    </row>
    <row r="739" spans="1:6" x14ac:dyDescent="0.3">
      <c r="A739" s="131"/>
      <c r="B739" s="131"/>
      <c r="C739" s="131"/>
      <c r="D739" s="131"/>
      <c r="E739" s="131"/>
      <c r="F739" s="131"/>
    </row>
    <row r="740" spans="1:6" x14ac:dyDescent="0.3">
      <c r="A740" s="131"/>
      <c r="B740" s="131"/>
      <c r="C740" s="131"/>
      <c r="D740" s="131"/>
      <c r="E740" s="131"/>
      <c r="F740" s="131"/>
    </row>
    <row r="741" spans="1:6" x14ac:dyDescent="0.3">
      <c r="A741" s="131"/>
      <c r="B741" s="131"/>
      <c r="C741" s="131"/>
      <c r="D741" s="131"/>
      <c r="E741" s="131"/>
      <c r="F741" s="131"/>
    </row>
    <row r="742" spans="1:6" x14ac:dyDescent="0.3">
      <c r="A742" s="131"/>
      <c r="B742" s="131"/>
      <c r="C742" s="131"/>
      <c r="D742" s="131"/>
      <c r="E742" s="131"/>
      <c r="F742" s="131"/>
    </row>
    <row r="743" spans="1:6" x14ac:dyDescent="0.3">
      <c r="A743" s="131"/>
      <c r="B743" s="131"/>
      <c r="C743" s="131"/>
      <c r="D743" s="131"/>
      <c r="E743" s="131"/>
      <c r="F743" s="131"/>
    </row>
    <row r="744" spans="1:6" x14ac:dyDescent="0.3">
      <c r="A744" s="131"/>
      <c r="B744" s="131"/>
      <c r="C744" s="131"/>
      <c r="D744" s="131"/>
      <c r="E744" s="131"/>
      <c r="F744" s="131"/>
    </row>
    <row r="745" spans="1:6" x14ac:dyDescent="0.3">
      <c r="A745" s="131"/>
      <c r="B745" s="131"/>
      <c r="C745" s="131"/>
      <c r="D745" s="131"/>
      <c r="E745" s="131"/>
      <c r="F745" s="131"/>
    </row>
    <row r="746" spans="1:6" x14ac:dyDescent="0.3">
      <c r="A746" s="131"/>
      <c r="B746" s="131"/>
      <c r="C746" s="131"/>
      <c r="D746" s="131"/>
      <c r="E746" s="131"/>
      <c r="F746" s="131"/>
    </row>
    <row r="747" spans="1:6" x14ac:dyDescent="0.3">
      <c r="A747" s="131"/>
      <c r="B747" s="131"/>
      <c r="C747" s="131"/>
      <c r="D747" s="131"/>
      <c r="E747" s="131"/>
      <c r="F747" s="131"/>
    </row>
    <row r="748" spans="1:6" x14ac:dyDescent="0.3">
      <c r="A748" s="131"/>
      <c r="B748" s="131"/>
      <c r="C748" s="131"/>
      <c r="D748" s="131"/>
      <c r="E748" s="131"/>
      <c r="F748" s="131"/>
    </row>
    <row r="749" spans="1:6" x14ac:dyDescent="0.3">
      <c r="A749" s="131"/>
      <c r="B749" s="131"/>
      <c r="C749" s="131"/>
      <c r="D749" s="131"/>
      <c r="E749" s="131"/>
      <c r="F749" s="131"/>
    </row>
    <row r="750" spans="1:6" x14ac:dyDescent="0.3">
      <c r="A750" s="131"/>
      <c r="B750" s="131"/>
      <c r="C750" s="131"/>
      <c r="D750" s="131"/>
      <c r="E750" s="131"/>
      <c r="F750" s="131"/>
    </row>
    <row r="751" spans="1:6" x14ac:dyDescent="0.3">
      <c r="A751" s="131"/>
      <c r="B751" s="131"/>
      <c r="C751" s="131"/>
      <c r="D751" s="131"/>
      <c r="E751" s="131"/>
      <c r="F751" s="131"/>
    </row>
    <row r="752" spans="1:6" x14ac:dyDescent="0.3">
      <c r="A752" s="131"/>
      <c r="B752" s="131"/>
      <c r="C752" s="131"/>
      <c r="D752" s="131"/>
      <c r="E752" s="131"/>
      <c r="F752" s="131"/>
    </row>
    <row r="753" spans="1:6" x14ac:dyDescent="0.3">
      <c r="A753" s="131"/>
      <c r="B753" s="131"/>
      <c r="C753" s="131"/>
      <c r="D753" s="131"/>
      <c r="E753" s="131"/>
      <c r="F753" s="131"/>
    </row>
    <row r="754" spans="1:6" x14ac:dyDescent="0.3">
      <c r="A754" s="131"/>
      <c r="B754" s="131"/>
      <c r="C754" s="131"/>
      <c r="D754" s="131"/>
      <c r="E754" s="131"/>
      <c r="F754" s="131"/>
    </row>
    <row r="755" spans="1:6" x14ac:dyDescent="0.3">
      <c r="A755" s="131"/>
      <c r="B755" s="131"/>
      <c r="C755" s="131"/>
      <c r="D755" s="131"/>
      <c r="E755" s="131"/>
      <c r="F755" s="131"/>
    </row>
    <row r="756" spans="1:6" x14ac:dyDescent="0.3">
      <c r="A756" s="131"/>
      <c r="B756" s="131"/>
      <c r="C756" s="131"/>
      <c r="D756" s="131"/>
      <c r="E756" s="131"/>
      <c r="F756" s="131"/>
    </row>
    <row r="757" spans="1:6" x14ac:dyDescent="0.3">
      <c r="A757" s="131"/>
      <c r="B757" s="131"/>
      <c r="C757" s="131"/>
      <c r="D757" s="131"/>
      <c r="E757" s="131"/>
      <c r="F757" s="131"/>
    </row>
    <row r="758" spans="1:6" x14ac:dyDescent="0.3">
      <c r="A758" s="131"/>
      <c r="B758" s="131"/>
      <c r="C758" s="131"/>
      <c r="D758" s="131"/>
      <c r="E758" s="131"/>
      <c r="F758" s="131"/>
    </row>
    <row r="759" spans="1:6" x14ac:dyDescent="0.3">
      <c r="A759" s="131"/>
      <c r="B759" s="131"/>
      <c r="C759" s="131"/>
      <c r="D759" s="131"/>
      <c r="E759" s="131"/>
      <c r="F759" s="131"/>
    </row>
    <row r="760" spans="1:6" x14ac:dyDescent="0.3">
      <c r="A760" s="131"/>
      <c r="B760" s="131"/>
      <c r="C760" s="131"/>
      <c r="D760" s="131"/>
      <c r="E760" s="131"/>
      <c r="F760" s="131"/>
    </row>
    <row r="761" spans="1:6" x14ac:dyDescent="0.3">
      <c r="A761" s="131"/>
      <c r="B761" s="131"/>
      <c r="C761" s="131"/>
      <c r="D761" s="131"/>
      <c r="E761" s="131"/>
      <c r="F761" s="131"/>
    </row>
    <row r="762" spans="1:6" x14ac:dyDescent="0.3">
      <c r="A762" s="131"/>
      <c r="B762" s="131"/>
      <c r="C762" s="131"/>
      <c r="D762" s="131"/>
      <c r="E762" s="131"/>
      <c r="F762" s="131"/>
    </row>
    <row r="763" spans="1:6" x14ac:dyDescent="0.3">
      <c r="A763" s="131"/>
      <c r="B763" s="131"/>
      <c r="C763" s="131"/>
      <c r="D763" s="131"/>
      <c r="E763" s="131"/>
      <c r="F763" s="131"/>
    </row>
    <row r="764" spans="1:6" x14ac:dyDescent="0.3">
      <c r="A764" s="131"/>
      <c r="B764" s="131"/>
      <c r="C764" s="131"/>
      <c r="D764" s="131"/>
      <c r="E764" s="131"/>
      <c r="F764" s="131"/>
    </row>
    <row r="765" spans="1:6" x14ac:dyDescent="0.3">
      <c r="A765" s="131"/>
      <c r="B765" s="131"/>
      <c r="C765" s="131"/>
      <c r="D765" s="131"/>
      <c r="E765" s="131"/>
      <c r="F765" s="131"/>
    </row>
    <row r="766" spans="1:6" x14ac:dyDescent="0.3">
      <c r="A766" s="131"/>
      <c r="B766" s="131"/>
      <c r="C766" s="131"/>
      <c r="D766" s="131"/>
      <c r="E766" s="131"/>
      <c r="F766" s="131"/>
    </row>
    <row r="767" spans="1:6" x14ac:dyDescent="0.3">
      <c r="A767" s="131"/>
      <c r="B767" s="131"/>
      <c r="C767" s="131"/>
      <c r="D767" s="131"/>
      <c r="E767" s="131"/>
      <c r="F767" s="131"/>
    </row>
    <row r="768" spans="1:6" x14ac:dyDescent="0.3">
      <c r="A768" s="131"/>
      <c r="B768" s="131"/>
      <c r="C768" s="131"/>
      <c r="D768" s="131"/>
      <c r="E768" s="131"/>
      <c r="F768" s="131"/>
    </row>
    <row r="769" spans="1:6" x14ac:dyDescent="0.3">
      <c r="A769" s="131"/>
      <c r="B769" s="131"/>
      <c r="C769" s="131"/>
      <c r="D769" s="131"/>
      <c r="E769" s="131"/>
      <c r="F769" s="131"/>
    </row>
    <row r="770" spans="1:6" x14ac:dyDescent="0.3">
      <c r="A770" s="131"/>
      <c r="B770" s="131"/>
      <c r="C770" s="131"/>
      <c r="D770" s="131"/>
      <c r="E770" s="131"/>
      <c r="F770" s="131"/>
    </row>
    <row r="771" spans="1:6" x14ac:dyDescent="0.3">
      <c r="A771" s="131"/>
      <c r="B771" s="131"/>
      <c r="C771" s="131"/>
      <c r="D771" s="131"/>
      <c r="E771" s="131"/>
      <c r="F771" s="131"/>
    </row>
    <row r="772" spans="1:6" x14ac:dyDescent="0.3">
      <c r="A772" s="131"/>
      <c r="B772" s="131"/>
      <c r="C772" s="131"/>
      <c r="D772" s="131"/>
      <c r="E772" s="131"/>
      <c r="F772" s="131"/>
    </row>
    <row r="773" spans="1:6" x14ac:dyDescent="0.3">
      <c r="A773" s="131"/>
      <c r="B773" s="131"/>
      <c r="C773" s="131"/>
      <c r="D773" s="131"/>
      <c r="E773" s="131"/>
      <c r="F773" s="131"/>
    </row>
    <row r="774" spans="1:6" x14ac:dyDescent="0.3">
      <c r="A774" s="131"/>
      <c r="B774" s="131"/>
      <c r="C774" s="131"/>
      <c r="D774" s="131"/>
      <c r="E774" s="131"/>
      <c r="F774" s="131"/>
    </row>
    <row r="775" spans="1:6" x14ac:dyDescent="0.3">
      <c r="A775" s="131"/>
      <c r="B775" s="131"/>
      <c r="C775" s="131"/>
      <c r="D775" s="131"/>
      <c r="E775" s="131"/>
      <c r="F775" s="131"/>
    </row>
    <row r="776" spans="1:6" x14ac:dyDescent="0.3">
      <c r="A776" s="131"/>
      <c r="B776" s="131"/>
      <c r="C776" s="131"/>
      <c r="D776" s="131"/>
      <c r="E776" s="131"/>
      <c r="F776" s="131"/>
    </row>
    <row r="777" spans="1:6" x14ac:dyDescent="0.3">
      <c r="A777" s="131"/>
      <c r="B777" s="131"/>
      <c r="C777" s="131"/>
      <c r="D777" s="131"/>
      <c r="E777" s="131"/>
      <c r="F777" s="131"/>
    </row>
    <row r="778" spans="1:6" x14ac:dyDescent="0.3">
      <c r="A778" s="131"/>
      <c r="B778" s="131"/>
      <c r="C778" s="131"/>
      <c r="D778" s="131"/>
      <c r="E778" s="131"/>
      <c r="F778" s="131"/>
    </row>
    <row r="779" spans="1:6" x14ac:dyDescent="0.3">
      <c r="A779" s="131"/>
      <c r="B779" s="131"/>
      <c r="C779" s="131"/>
      <c r="D779" s="131"/>
      <c r="E779" s="131"/>
      <c r="F779" s="131"/>
    </row>
    <row r="780" spans="1:6" x14ac:dyDescent="0.3">
      <c r="A780" s="131"/>
      <c r="B780" s="131"/>
      <c r="C780" s="131"/>
      <c r="D780" s="131"/>
      <c r="E780" s="131"/>
      <c r="F780" s="131"/>
    </row>
    <row r="781" spans="1:6" x14ac:dyDescent="0.3">
      <c r="A781" s="131"/>
      <c r="B781" s="131"/>
      <c r="C781" s="131"/>
      <c r="D781" s="131"/>
      <c r="E781" s="131"/>
      <c r="F781" s="131"/>
    </row>
    <row r="782" spans="1:6" x14ac:dyDescent="0.3">
      <c r="A782" s="131"/>
      <c r="B782" s="131"/>
      <c r="C782" s="131"/>
      <c r="D782" s="131"/>
      <c r="E782" s="131"/>
      <c r="F782" s="131"/>
    </row>
    <row r="783" spans="1:6" x14ac:dyDescent="0.3">
      <c r="A783" s="131"/>
      <c r="B783" s="131"/>
      <c r="C783" s="131"/>
      <c r="D783" s="131"/>
      <c r="E783" s="131"/>
      <c r="F783" s="131"/>
    </row>
    <row r="784" spans="1:6" x14ac:dyDescent="0.3">
      <c r="A784" s="131"/>
      <c r="B784" s="131"/>
      <c r="C784" s="131"/>
      <c r="D784" s="131"/>
      <c r="E784" s="131"/>
      <c r="F784" s="131"/>
    </row>
    <row r="785" spans="1:6" x14ac:dyDescent="0.3">
      <c r="A785" s="131"/>
      <c r="B785" s="131"/>
      <c r="C785" s="131"/>
      <c r="D785" s="131"/>
      <c r="E785" s="131"/>
      <c r="F785" s="131"/>
    </row>
    <row r="786" spans="1:6" x14ac:dyDescent="0.3">
      <c r="A786" s="131"/>
      <c r="B786" s="131"/>
      <c r="C786" s="131"/>
      <c r="D786" s="131"/>
      <c r="E786" s="131"/>
      <c r="F786" s="131"/>
    </row>
    <row r="787" spans="1:6" x14ac:dyDescent="0.3">
      <c r="A787" s="131"/>
      <c r="B787" s="131"/>
      <c r="C787" s="131"/>
      <c r="D787" s="131"/>
      <c r="E787" s="131"/>
      <c r="F787" s="131"/>
    </row>
    <row r="788" spans="1:6" x14ac:dyDescent="0.3">
      <c r="A788" s="131"/>
      <c r="B788" s="131"/>
      <c r="C788" s="131"/>
      <c r="D788" s="131"/>
      <c r="E788" s="131"/>
      <c r="F788" s="131"/>
    </row>
    <row r="789" spans="1:6" x14ac:dyDescent="0.3">
      <c r="A789" s="131"/>
      <c r="B789" s="131"/>
      <c r="C789" s="131"/>
      <c r="D789" s="131"/>
      <c r="E789" s="131"/>
      <c r="F789" s="131"/>
    </row>
    <row r="790" spans="1:6" x14ac:dyDescent="0.3">
      <c r="A790" s="131"/>
      <c r="B790" s="131"/>
      <c r="C790" s="131"/>
      <c r="D790" s="131"/>
      <c r="E790" s="131"/>
      <c r="F790" s="131"/>
    </row>
    <row r="791" spans="1:6" x14ac:dyDescent="0.3">
      <c r="A791" s="131"/>
      <c r="B791" s="131"/>
      <c r="C791" s="131"/>
      <c r="D791" s="131"/>
      <c r="E791" s="131"/>
      <c r="F791" s="131"/>
    </row>
    <row r="792" spans="1:6" x14ac:dyDescent="0.3">
      <c r="A792" s="131"/>
      <c r="B792" s="131"/>
      <c r="C792" s="131"/>
      <c r="D792" s="131"/>
      <c r="E792" s="131"/>
      <c r="F792" s="131"/>
    </row>
    <row r="793" spans="1:6" x14ac:dyDescent="0.3">
      <c r="A793" s="131"/>
      <c r="B793" s="131"/>
      <c r="C793" s="131"/>
      <c r="D793" s="131"/>
      <c r="E793" s="131"/>
      <c r="F793" s="131"/>
    </row>
    <row r="794" spans="1:6" x14ac:dyDescent="0.3">
      <c r="A794" s="131"/>
      <c r="B794" s="131"/>
      <c r="C794" s="131"/>
      <c r="D794" s="131"/>
      <c r="E794" s="131"/>
      <c r="F794" s="131"/>
    </row>
    <row r="795" spans="1:6" x14ac:dyDescent="0.3">
      <c r="A795" s="131"/>
      <c r="B795" s="131"/>
      <c r="C795" s="131"/>
      <c r="D795" s="131"/>
      <c r="E795" s="131"/>
      <c r="F795" s="131"/>
    </row>
    <row r="796" spans="1:6" x14ac:dyDescent="0.3">
      <c r="A796" s="131"/>
      <c r="B796" s="131"/>
      <c r="C796" s="131"/>
      <c r="D796" s="131"/>
      <c r="E796" s="131"/>
      <c r="F796" s="131"/>
    </row>
    <row r="797" spans="1:6" x14ac:dyDescent="0.3">
      <c r="A797" s="131"/>
      <c r="B797" s="131"/>
      <c r="C797" s="131"/>
      <c r="D797" s="131"/>
      <c r="E797" s="131"/>
      <c r="F797" s="131"/>
    </row>
    <row r="798" spans="1:6" x14ac:dyDescent="0.3">
      <c r="A798" s="131"/>
      <c r="B798" s="131"/>
      <c r="C798" s="131"/>
      <c r="D798" s="131"/>
      <c r="E798" s="131"/>
      <c r="F798" s="131"/>
    </row>
    <row r="799" spans="1:6" x14ac:dyDescent="0.3">
      <c r="A799" s="131"/>
      <c r="B799" s="131"/>
      <c r="C799" s="131"/>
      <c r="D799" s="131"/>
      <c r="E799" s="131"/>
      <c r="F799" s="131"/>
    </row>
    <row r="800" spans="1:6" x14ac:dyDescent="0.3">
      <c r="A800" s="131"/>
      <c r="B800" s="131"/>
      <c r="C800" s="131"/>
      <c r="D800" s="131"/>
      <c r="E800" s="131"/>
      <c r="F800" s="131"/>
    </row>
    <row r="801" spans="1:6" x14ac:dyDescent="0.3">
      <c r="A801" s="131"/>
      <c r="B801" s="131"/>
      <c r="C801" s="131"/>
      <c r="D801" s="131"/>
      <c r="E801" s="131"/>
      <c r="F801" s="131"/>
    </row>
    <row r="802" spans="1:6" x14ac:dyDescent="0.3">
      <c r="A802" s="131"/>
      <c r="B802" s="131"/>
      <c r="C802" s="131"/>
      <c r="D802" s="131"/>
      <c r="E802" s="131"/>
      <c r="F802" s="131"/>
    </row>
    <row r="803" spans="1:6" x14ac:dyDescent="0.3">
      <c r="A803" s="131"/>
      <c r="B803" s="131"/>
      <c r="C803" s="131"/>
      <c r="D803" s="131"/>
      <c r="E803" s="131"/>
      <c r="F803" s="131"/>
    </row>
    <row r="804" spans="1:6" x14ac:dyDescent="0.3">
      <c r="A804" s="131"/>
      <c r="B804" s="131"/>
      <c r="C804" s="131"/>
      <c r="D804" s="131"/>
      <c r="E804" s="131"/>
      <c r="F804" s="131"/>
    </row>
    <row r="805" spans="1:6" x14ac:dyDescent="0.3">
      <c r="A805" s="131"/>
      <c r="B805" s="131"/>
      <c r="C805" s="131"/>
      <c r="D805" s="131"/>
      <c r="E805" s="131"/>
      <c r="F805" s="131"/>
    </row>
    <row r="806" spans="1:6" x14ac:dyDescent="0.3">
      <c r="A806" s="131"/>
      <c r="B806" s="131"/>
      <c r="C806" s="131"/>
      <c r="D806" s="131"/>
      <c r="E806" s="131"/>
      <c r="F806" s="131"/>
    </row>
    <row r="807" spans="1:6" x14ac:dyDescent="0.3">
      <c r="A807" s="131"/>
      <c r="B807" s="131"/>
      <c r="C807" s="131"/>
      <c r="D807" s="131"/>
      <c r="E807" s="131"/>
      <c r="F807" s="131"/>
    </row>
    <row r="808" spans="1:6" x14ac:dyDescent="0.3">
      <c r="A808" s="131"/>
      <c r="B808" s="131"/>
      <c r="C808" s="131"/>
      <c r="D808" s="131"/>
      <c r="E808" s="131"/>
      <c r="F808" s="131"/>
    </row>
    <row r="809" spans="1:6" x14ac:dyDescent="0.3">
      <c r="A809" s="131"/>
      <c r="B809" s="131"/>
      <c r="C809" s="131"/>
      <c r="D809" s="131"/>
      <c r="E809" s="131"/>
      <c r="F809" s="131"/>
    </row>
    <row r="810" spans="1:6" x14ac:dyDescent="0.3">
      <c r="A810" s="131"/>
      <c r="B810" s="131"/>
      <c r="C810" s="131"/>
      <c r="D810" s="131"/>
      <c r="E810" s="131"/>
      <c r="F810" s="131"/>
    </row>
    <row r="811" spans="1:6" x14ac:dyDescent="0.3">
      <c r="A811" s="131"/>
      <c r="B811" s="131"/>
      <c r="C811" s="131"/>
      <c r="D811" s="131"/>
      <c r="E811" s="131"/>
      <c r="F811" s="131"/>
    </row>
    <row r="812" spans="1:6" x14ac:dyDescent="0.3">
      <c r="A812" s="131"/>
      <c r="B812" s="131"/>
      <c r="C812" s="131"/>
      <c r="D812" s="131"/>
      <c r="E812" s="131"/>
      <c r="F812" s="131"/>
    </row>
    <row r="813" spans="1:6" x14ac:dyDescent="0.3">
      <c r="A813" s="131"/>
      <c r="B813" s="131"/>
      <c r="C813" s="131"/>
      <c r="D813" s="131"/>
      <c r="E813" s="131"/>
      <c r="F813" s="131"/>
    </row>
    <row r="814" spans="1:6" x14ac:dyDescent="0.3">
      <c r="A814" s="131"/>
      <c r="B814" s="131"/>
      <c r="C814" s="131"/>
      <c r="D814" s="131"/>
      <c r="E814" s="131"/>
      <c r="F814" s="131"/>
    </row>
    <row r="815" spans="1:6" x14ac:dyDescent="0.3">
      <c r="A815" s="131"/>
      <c r="B815" s="131"/>
      <c r="C815" s="131"/>
      <c r="D815" s="131"/>
      <c r="E815" s="131"/>
      <c r="F815" s="131"/>
    </row>
    <row r="816" spans="1:6" x14ac:dyDescent="0.3">
      <c r="A816" s="131"/>
      <c r="B816" s="131"/>
      <c r="C816" s="131"/>
      <c r="D816" s="131"/>
      <c r="E816" s="131"/>
      <c r="F816" s="131"/>
    </row>
    <row r="817" spans="1:6" x14ac:dyDescent="0.3">
      <c r="A817" s="131"/>
      <c r="B817" s="131"/>
      <c r="C817" s="131"/>
      <c r="D817" s="131"/>
      <c r="E817" s="131"/>
      <c r="F817" s="131"/>
    </row>
    <row r="818" spans="1:6" x14ac:dyDescent="0.3">
      <c r="A818" s="131"/>
      <c r="B818" s="131"/>
      <c r="C818" s="131"/>
      <c r="D818" s="131"/>
      <c r="E818" s="131"/>
      <c r="F818" s="131"/>
    </row>
    <row r="819" spans="1:6" x14ac:dyDescent="0.3">
      <c r="A819" s="131"/>
      <c r="B819" s="131"/>
      <c r="C819" s="131"/>
      <c r="D819" s="131"/>
      <c r="E819" s="131"/>
      <c r="F819" s="131"/>
    </row>
    <row r="820" spans="1:6" x14ac:dyDescent="0.3">
      <c r="A820" s="131"/>
      <c r="B820" s="131"/>
      <c r="C820" s="131"/>
      <c r="D820" s="131"/>
      <c r="E820" s="131"/>
      <c r="F820" s="131"/>
    </row>
    <row r="821" spans="1:6" x14ac:dyDescent="0.3">
      <c r="A821" s="131"/>
      <c r="B821" s="131"/>
      <c r="C821" s="131"/>
      <c r="D821" s="131"/>
      <c r="E821" s="131"/>
      <c r="F821" s="131"/>
    </row>
    <row r="822" spans="1:6" x14ac:dyDescent="0.3">
      <c r="A822" s="131"/>
      <c r="B822" s="131"/>
      <c r="C822" s="131"/>
      <c r="D822" s="131"/>
      <c r="E822" s="131"/>
      <c r="F822" s="131"/>
    </row>
    <row r="823" spans="1:6" x14ac:dyDescent="0.3">
      <c r="A823" s="131"/>
      <c r="B823" s="131"/>
      <c r="C823" s="131"/>
      <c r="D823" s="131"/>
      <c r="E823" s="131"/>
      <c r="F823" s="131"/>
    </row>
    <row r="824" spans="1:6" x14ac:dyDescent="0.3">
      <c r="A824" s="131"/>
      <c r="B824" s="131"/>
      <c r="C824" s="131"/>
      <c r="D824" s="131"/>
      <c r="E824" s="131"/>
      <c r="F824" s="131"/>
    </row>
    <row r="825" spans="1:6" x14ac:dyDescent="0.3">
      <c r="A825" s="131"/>
      <c r="B825" s="131"/>
      <c r="C825" s="131"/>
      <c r="D825" s="131"/>
      <c r="E825" s="131"/>
      <c r="F825" s="131"/>
    </row>
    <row r="826" spans="1:6" x14ac:dyDescent="0.3">
      <c r="A826" s="131"/>
      <c r="B826" s="131"/>
      <c r="C826" s="131"/>
      <c r="D826" s="131"/>
      <c r="E826" s="131"/>
      <c r="F826" s="131"/>
    </row>
    <row r="827" spans="1:6" x14ac:dyDescent="0.3">
      <c r="A827" s="131"/>
      <c r="B827" s="131"/>
      <c r="C827" s="131"/>
      <c r="D827" s="131"/>
      <c r="E827" s="131"/>
      <c r="F827" s="131"/>
    </row>
    <row r="828" spans="1:6" x14ac:dyDescent="0.3">
      <c r="A828" s="131"/>
      <c r="B828" s="131"/>
      <c r="C828" s="131"/>
      <c r="D828" s="131"/>
      <c r="E828" s="131"/>
      <c r="F828" s="131"/>
    </row>
    <row r="829" spans="1:6" x14ac:dyDescent="0.3">
      <c r="A829" s="131"/>
      <c r="B829" s="131"/>
      <c r="C829" s="131"/>
      <c r="D829" s="131"/>
      <c r="E829" s="131"/>
      <c r="F829" s="131"/>
    </row>
    <row r="830" spans="1:6" x14ac:dyDescent="0.3">
      <c r="A830" s="131"/>
      <c r="B830" s="131"/>
      <c r="C830" s="131"/>
      <c r="D830" s="131"/>
      <c r="E830" s="131"/>
      <c r="F830" s="131"/>
    </row>
    <row r="831" spans="1:6" x14ac:dyDescent="0.3">
      <c r="A831" s="131"/>
      <c r="B831" s="131"/>
      <c r="C831" s="131"/>
      <c r="D831" s="131"/>
      <c r="E831" s="131"/>
      <c r="F831" s="131"/>
    </row>
    <row r="832" spans="1:6" x14ac:dyDescent="0.3">
      <c r="A832" s="131"/>
      <c r="B832" s="131"/>
      <c r="C832" s="131"/>
      <c r="D832" s="131"/>
      <c r="E832" s="131"/>
      <c r="F832" s="131"/>
    </row>
    <row r="833" spans="1:6" x14ac:dyDescent="0.3">
      <c r="A833" s="131"/>
      <c r="B833" s="131"/>
      <c r="C833" s="131"/>
      <c r="D833" s="131"/>
      <c r="E833" s="131"/>
      <c r="F833" s="131"/>
    </row>
    <row r="834" spans="1:6" x14ac:dyDescent="0.3">
      <c r="A834" s="131"/>
      <c r="B834" s="131"/>
      <c r="C834" s="131"/>
      <c r="D834" s="131"/>
      <c r="E834" s="131"/>
      <c r="F834" s="131"/>
    </row>
    <row r="835" spans="1:6" x14ac:dyDescent="0.3">
      <c r="A835" s="131"/>
      <c r="B835" s="131"/>
      <c r="C835" s="131"/>
      <c r="D835" s="131"/>
      <c r="E835" s="131"/>
      <c r="F835" s="131"/>
    </row>
    <row r="836" spans="1:6" x14ac:dyDescent="0.3">
      <c r="A836" s="131"/>
      <c r="B836" s="131"/>
      <c r="C836" s="131"/>
      <c r="D836" s="131"/>
      <c r="E836" s="131"/>
      <c r="F836" s="131"/>
    </row>
    <row r="837" spans="1:6" x14ac:dyDescent="0.3">
      <c r="A837" s="131"/>
      <c r="B837" s="131"/>
      <c r="C837" s="131"/>
      <c r="D837" s="131"/>
      <c r="E837" s="131"/>
      <c r="F837" s="131"/>
    </row>
    <row r="838" spans="1:6" x14ac:dyDescent="0.3">
      <c r="A838" s="131"/>
      <c r="B838" s="131"/>
      <c r="C838" s="131"/>
      <c r="D838" s="131"/>
      <c r="E838" s="131"/>
      <c r="F838" s="131"/>
    </row>
    <row r="839" spans="1:6" x14ac:dyDescent="0.3">
      <c r="A839" s="131"/>
      <c r="B839" s="131"/>
      <c r="C839" s="131"/>
      <c r="D839" s="131"/>
      <c r="E839" s="131"/>
      <c r="F839" s="131"/>
    </row>
    <row r="840" spans="1:6" x14ac:dyDescent="0.3">
      <c r="A840" s="131"/>
      <c r="B840" s="131"/>
      <c r="C840" s="131"/>
      <c r="D840" s="131"/>
      <c r="E840" s="131"/>
      <c r="F840" s="131"/>
    </row>
    <row r="841" spans="1:6" x14ac:dyDescent="0.3">
      <c r="A841" s="131"/>
      <c r="B841" s="131"/>
      <c r="C841" s="131"/>
      <c r="D841" s="131"/>
      <c r="E841" s="131"/>
      <c r="F841" s="131"/>
    </row>
    <row r="842" spans="1:6" x14ac:dyDescent="0.3">
      <c r="A842" s="131"/>
      <c r="B842" s="131"/>
      <c r="C842" s="131"/>
      <c r="D842" s="131"/>
      <c r="E842" s="131"/>
      <c r="F842" s="131"/>
    </row>
    <row r="843" spans="1:6" x14ac:dyDescent="0.3">
      <c r="A843" s="131"/>
      <c r="B843" s="131"/>
      <c r="C843" s="131"/>
      <c r="D843" s="131"/>
      <c r="E843" s="131"/>
      <c r="F843" s="131"/>
    </row>
    <row r="844" spans="1:6" x14ac:dyDescent="0.3">
      <c r="A844" s="131"/>
      <c r="B844" s="131"/>
      <c r="C844" s="131"/>
      <c r="D844" s="131"/>
      <c r="E844" s="131"/>
      <c r="F844" s="131"/>
    </row>
    <row r="845" spans="1:6" x14ac:dyDescent="0.3">
      <c r="A845" s="131"/>
      <c r="B845" s="131"/>
      <c r="C845" s="131"/>
      <c r="D845" s="131"/>
      <c r="E845" s="131"/>
      <c r="F845" s="131"/>
    </row>
    <row r="846" spans="1:6" x14ac:dyDescent="0.3">
      <c r="A846" s="131"/>
      <c r="B846" s="131"/>
      <c r="C846" s="131"/>
      <c r="D846" s="131"/>
      <c r="E846" s="131"/>
      <c r="F846" s="131"/>
    </row>
    <row r="847" spans="1:6" x14ac:dyDescent="0.3">
      <c r="A847" s="131"/>
      <c r="B847" s="131"/>
      <c r="C847" s="131"/>
      <c r="D847" s="131"/>
      <c r="E847" s="131"/>
      <c r="F847" s="131"/>
    </row>
    <row r="848" spans="1:6" x14ac:dyDescent="0.3">
      <c r="A848" s="131"/>
      <c r="B848" s="131"/>
      <c r="C848" s="131"/>
      <c r="D848" s="131"/>
      <c r="E848" s="131"/>
      <c r="F848" s="131"/>
    </row>
    <row r="849" spans="1:6" x14ac:dyDescent="0.3">
      <c r="A849" s="131"/>
      <c r="B849" s="131"/>
      <c r="C849" s="131"/>
      <c r="D849" s="131"/>
      <c r="E849" s="131"/>
      <c r="F849" s="131"/>
    </row>
    <row r="850" spans="1:6" x14ac:dyDescent="0.3">
      <c r="A850" s="131"/>
      <c r="B850" s="131"/>
      <c r="C850" s="131"/>
      <c r="D850" s="131"/>
      <c r="E850" s="131"/>
      <c r="F850" s="131"/>
    </row>
    <row r="851" spans="1:6" x14ac:dyDescent="0.3">
      <c r="A851" s="131"/>
      <c r="B851" s="131"/>
      <c r="C851" s="131"/>
      <c r="D851" s="131"/>
      <c r="E851" s="131"/>
      <c r="F851" s="131"/>
    </row>
    <row r="852" spans="1:6" x14ac:dyDescent="0.3">
      <c r="A852" s="131"/>
      <c r="B852" s="131"/>
      <c r="C852" s="131"/>
      <c r="D852" s="131"/>
      <c r="E852" s="131"/>
      <c r="F852" s="131"/>
    </row>
    <row r="853" spans="1:6" x14ac:dyDescent="0.3">
      <c r="A853" s="131"/>
      <c r="B853" s="131"/>
      <c r="C853" s="131"/>
      <c r="D853" s="131"/>
      <c r="E853" s="131"/>
      <c r="F853" s="131"/>
    </row>
    <row r="854" spans="1:6" x14ac:dyDescent="0.3">
      <c r="A854" s="131"/>
      <c r="B854" s="131"/>
      <c r="C854" s="131"/>
      <c r="D854" s="131"/>
      <c r="E854" s="131"/>
      <c r="F854" s="131"/>
    </row>
    <row r="855" spans="1:6" x14ac:dyDescent="0.3">
      <c r="A855" s="131"/>
      <c r="B855" s="131"/>
      <c r="C855" s="131"/>
      <c r="D855" s="131"/>
      <c r="E855" s="131"/>
      <c r="F855" s="131"/>
    </row>
    <row r="856" spans="1:6" x14ac:dyDescent="0.3">
      <c r="A856" s="131"/>
      <c r="B856" s="131"/>
      <c r="C856" s="131"/>
      <c r="D856" s="131"/>
      <c r="E856" s="131"/>
      <c r="F856" s="131"/>
    </row>
    <row r="857" spans="1:6" x14ac:dyDescent="0.3">
      <c r="A857" s="131"/>
      <c r="B857" s="131"/>
      <c r="C857" s="131"/>
      <c r="D857" s="131"/>
      <c r="E857" s="131"/>
      <c r="F857" s="131"/>
    </row>
    <row r="858" spans="1:6" x14ac:dyDescent="0.3">
      <c r="A858" s="131"/>
      <c r="B858" s="131"/>
      <c r="C858" s="131"/>
      <c r="D858" s="131"/>
      <c r="E858" s="131"/>
      <c r="F858" s="131"/>
    </row>
    <row r="859" spans="1:6" x14ac:dyDescent="0.3">
      <c r="A859" s="131"/>
      <c r="B859" s="131"/>
      <c r="C859" s="131"/>
      <c r="D859" s="131"/>
      <c r="E859" s="131"/>
      <c r="F859" s="131"/>
    </row>
    <row r="860" spans="1:6" x14ac:dyDescent="0.3">
      <c r="A860" s="131"/>
      <c r="B860" s="131"/>
      <c r="C860" s="131"/>
      <c r="D860" s="131"/>
      <c r="E860" s="131"/>
      <c r="F860" s="131"/>
    </row>
    <row r="861" spans="1:6" x14ac:dyDescent="0.3">
      <c r="A861" s="131"/>
      <c r="B861" s="131"/>
      <c r="C861" s="131"/>
      <c r="D861" s="131"/>
      <c r="E861" s="131"/>
      <c r="F861" s="131"/>
    </row>
    <row r="862" spans="1:6" x14ac:dyDescent="0.3">
      <c r="A862" s="131"/>
      <c r="B862" s="131"/>
      <c r="C862" s="131"/>
      <c r="D862" s="131"/>
      <c r="E862" s="131"/>
      <c r="F862" s="131"/>
    </row>
    <row r="863" spans="1:6" x14ac:dyDescent="0.3">
      <c r="A863" s="131"/>
      <c r="B863" s="131"/>
      <c r="C863" s="131"/>
      <c r="D863" s="131"/>
      <c r="E863" s="131"/>
      <c r="F863" s="131"/>
    </row>
    <row r="864" spans="1:6" x14ac:dyDescent="0.3">
      <c r="A864" s="131"/>
      <c r="B864" s="131"/>
      <c r="C864" s="131"/>
      <c r="D864" s="131"/>
      <c r="E864" s="131"/>
      <c r="F864" s="131"/>
    </row>
    <row r="865" spans="1:6" x14ac:dyDescent="0.3">
      <c r="A865" s="131"/>
      <c r="B865" s="131"/>
      <c r="C865" s="131"/>
      <c r="D865" s="131"/>
      <c r="E865" s="131"/>
      <c r="F865" s="131"/>
    </row>
    <row r="866" spans="1:6" x14ac:dyDescent="0.3">
      <c r="A866" s="131"/>
      <c r="B866" s="131"/>
      <c r="C866" s="131"/>
      <c r="D866" s="131"/>
      <c r="E866" s="131"/>
      <c r="F866" s="131"/>
    </row>
    <row r="867" spans="1:6" x14ac:dyDescent="0.3">
      <c r="A867" s="131"/>
      <c r="B867" s="131"/>
      <c r="C867" s="131"/>
      <c r="D867" s="131"/>
      <c r="E867" s="131"/>
      <c r="F867" s="131"/>
    </row>
    <row r="868" spans="1:6" x14ac:dyDescent="0.3">
      <c r="A868" s="131"/>
      <c r="B868" s="131"/>
      <c r="C868" s="131"/>
      <c r="D868" s="131"/>
      <c r="E868" s="131"/>
      <c r="F868" s="131"/>
    </row>
    <row r="869" spans="1:6" x14ac:dyDescent="0.3">
      <c r="A869" s="131"/>
      <c r="B869" s="131"/>
      <c r="C869" s="131"/>
      <c r="D869" s="131"/>
      <c r="E869" s="131"/>
      <c r="F869" s="131"/>
    </row>
    <row r="870" spans="1:6" x14ac:dyDescent="0.3">
      <c r="A870" s="131"/>
      <c r="B870" s="131"/>
      <c r="C870" s="131"/>
      <c r="D870" s="131"/>
      <c r="E870" s="131"/>
      <c r="F870" s="131"/>
    </row>
    <row r="871" spans="1:6" x14ac:dyDescent="0.3">
      <c r="A871" s="131"/>
      <c r="B871" s="131"/>
      <c r="C871" s="131"/>
      <c r="D871" s="131"/>
      <c r="E871" s="131"/>
      <c r="F871" s="131"/>
    </row>
    <row r="872" spans="1:6" x14ac:dyDescent="0.3">
      <c r="A872" s="131"/>
      <c r="B872" s="131"/>
      <c r="C872" s="131"/>
      <c r="D872" s="131"/>
      <c r="E872" s="131"/>
      <c r="F872" s="131"/>
    </row>
    <row r="873" spans="1:6" x14ac:dyDescent="0.3">
      <c r="A873" s="131"/>
      <c r="B873" s="131"/>
      <c r="C873" s="131"/>
      <c r="D873" s="131"/>
      <c r="E873" s="131"/>
      <c r="F873" s="131"/>
    </row>
    <row r="874" spans="1:6" x14ac:dyDescent="0.3">
      <c r="A874" s="131"/>
      <c r="B874" s="131"/>
      <c r="C874" s="131"/>
      <c r="D874" s="131"/>
      <c r="E874" s="131"/>
      <c r="F874" s="131"/>
    </row>
    <row r="875" spans="1:6" x14ac:dyDescent="0.3">
      <c r="A875" s="131"/>
      <c r="B875" s="131"/>
      <c r="C875" s="131"/>
      <c r="D875" s="131"/>
      <c r="E875" s="131"/>
      <c r="F875" s="131"/>
    </row>
    <row r="876" spans="1:6" x14ac:dyDescent="0.3">
      <c r="A876" s="131"/>
      <c r="B876" s="131"/>
      <c r="C876" s="131"/>
      <c r="D876" s="131"/>
      <c r="E876" s="131"/>
      <c r="F876" s="131"/>
    </row>
    <row r="877" spans="1:6" x14ac:dyDescent="0.3">
      <c r="A877" s="131"/>
      <c r="B877" s="131"/>
      <c r="C877" s="131"/>
      <c r="D877" s="131"/>
      <c r="E877" s="131"/>
      <c r="F877" s="131"/>
    </row>
    <row r="878" spans="1:6" x14ac:dyDescent="0.3">
      <c r="A878" s="131"/>
      <c r="B878" s="131"/>
      <c r="C878" s="131"/>
      <c r="D878" s="131"/>
      <c r="E878" s="131"/>
      <c r="F878" s="131"/>
    </row>
    <row r="879" spans="1:6" x14ac:dyDescent="0.3">
      <c r="A879" s="131"/>
      <c r="B879" s="131"/>
      <c r="C879" s="131"/>
      <c r="D879" s="131"/>
      <c r="E879" s="131"/>
      <c r="F879" s="131"/>
    </row>
    <row r="880" spans="1:6" x14ac:dyDescent="0.3">
      <c r="A880" s="131"/>
      <c r="B880" s="131"/>
      <c r="C880" s="131"/>
      <c r="D880" s="131"/>
      <c r="E880" s="131"/>
      <c r="F880" s="131"/>
    </row>
    <row r="881" spans="1:6" x14ac:dyDescent="0.3">
      <c r="A881" s="131"/>
      <c r="B881" s="131"/>
      <c r="C881" s="131"/>
      <c r="D881" s="131"/>
      <c r="E881" s="131"/>
      <c r="F881" s="131"/>
    </row>
    <row r="882" spans="1:6" x14ac:dyDescent="0.3">
      <c r="A882" s="131"/>
      <c r="B882" s="131"/>
      <c r="C882" s="131"/>
      <c r="D882" s="131"/>
      <c r="E882" s="131"/>
      <c r="F882" s="131"/>
    </row>
    <row r="883" spans="1:6" x14ac:dyDescent="0.3">
      <c r="A883" s="131"/>
      <c r="B883" s="131"/>
      <c r="C883" s="131"/>
      <c r="D883" s="131"/>
      <c r="E883" s="131"/>
      <c r="F883" s="131"/>
    </row>
    <row r="884" spans="1:6" x14ac:dyDescent="0.3">
      <c r="A884" s="131"/>
      <c r="B884" s="131"/>
      <c r="C884" s="131"/>
      <c r="D884" s="131"/>
      <c r="E884" s="131"/>
      <c r="F884" s="131"/>
    </row>
    <row r="885" spans="1:6" x14ac:dyDescent="0.3">
      <c r="A885" s="131"/>
      <c r="B885" s="131"/>
      <c r="C885" s="131"/>
      <c r="D885" s="131"/>
      <c r="E885" s="131"/>
      <c r="F885" s="131"/>
    </row>
    <row r="886" spans="1:6" x14ac:dyDescent="0.3">
      <c r="A886" s="131"/>
      <c r="B886" s="131"/>
      <c r="C886" s="131"/>
      <c r="D886" s="131"/>
      <c r="E886" s="131"/>
      <c r="F886" s="131"/>
    </row>
    <row r="887" spans="1:6" x14ac:dyDescent="0.3">
      <c r="A887" s="131"/>
      <c r="B887" s="131"/>
      <c r="C887" s="131"/>
      <c r="D887" s="131"/>
      <c r="E887" s="131"/>
      <c r="F887" s="131"/>
    </row>
    <row r="888" spans="1:6" x14ac:dyDescent="0.3">
      <c r="A888" s="131"/>
      <c r="B888" s="131"/>
      <c r="C888" s="131"/>
      <c r="D888" s="131"/>
      <c r="E888" s="131"/>
      <c r="F888" s="131"/>
    </row>
    <row r="889" spans="1:6" x14ac:dyDescent="0.3">
      <c r="A889" s="131"/>
      <c r="B889" s="131"/>
      <c r="C889" s="131"/>
      <c r="D889" s="131"/>
      <c r="E889" s="131"/>
      <c r="F889" s="131"/>
    </row>
    <row r="890" spans="1:6" x14ac:dyDescent="0.3">
      <c r="A890" s="131"/>
      <c r="B890" s="131"/>
      <c r="C890" s="131"/>
      <c r="D890" s="131"/>
      <c r="E890" s="131"/>
      <c r="F890" s="131"/>
    </row>
    <row r="891" spans="1:6" x14ac:dyDescent="0.3">
      <c r="A891" s="131"/>
      <c r="B891" s="131"/>
      <c r="C891" s="131"/>
      <c r="D891" s="131"/>
      <c r="E891" s="131"/>
      <c r="F891" s="131"/>
    </row>
    <row r="892" spans="1:6" x14ac:dyDescent="0.3">
      <c r="A892" s="131"/>
      <c r="B892" s="131"/>
      <c r="C892" s="131"/>
      <c r="D892" s="131"/>
      <c r="E892" s="131"/>
      <c r="F892" s="131"/>
    </row>
    <row r="893" spans="1:6" x14ac:dyDescent="0.3">
      <c r="A893" s="131"/>
      <c r="B893" s="131"/>
      <c r="C893" s="131"/>
      <c r="D893" s="131"/>
      <c r="E893" s="131"/>
      <c r="F893" s="131"/>
    </row>
    <row r="894" spans="1:6" x14ac:dyDescent="0.3">
      <c r="A894" s="131"/>
      <c r="B894" s="131"/>
      <c r="C894" s="131"/>
      <c r="D894" s="131"/>
      <c r="E894" s="131"/>
      <c r="F894" s="131"/>
    </row>
    <row r="895" spans="1:6" x14ac:dyDescent="0.3">
      <c r="A895" s="131"/>
      <c r="B895" s="131"/>
      <c r="C895" s="131"/>
      <c r="D895" s="131"/>
      <c r="E895" s="131"/>
      <c r="F895" s="131"/>
    </row>
    <row r="896" spans="1:6" x14ac:dyDescent="0.3">
      <c r="A896" s="131"/>
      <c r="B896" s="131"/>
      <c r="C896" s="131"/>
      <c r="D896" s="131"/>
      <c r="E896" s="131"/>
      <c r="F896" s="131"/>
    </row>
    <row r="897" spans="1:6" x14ac:dyDescent="0.3">
      <c r="A897" s="131"/>
      <c r="B897" s="131"/>
      <c r="C897" s="131"/>
      <c r="D897" s="131"/>
      <c r="E897" s="131"/>
      <c r="F897" s="131"/>
    </row>
    <row r="898" spans="1:6" x14ac:dyDescent="0.3">
      <c r="A898" s="131"/>
      <c r="B898" s="131"/>
      <c r="C898" s="131"/>
      <c r="D898" s="131"/>
      <c r="E898" s="131"/>
      <c r="F898" s="131"/>
    </row>
    <row r="899" spans="1:6" x14ac:dyDescent="0.3">
      <c r="A899" s="131"/>
      <c r="B899" s="131"/>
      <c r="C899" s="131"/>
      <c r="D899" s="131"/>
      <c r="E899" s="131"/>
      <c r="F899" s="131"/>
    </row>
    <row r="900" spans="1:6" x14ac:dyDescent="0.3">
      <c r="A900" s="131"/>
      <c r="B900" s="131"/>
      <c r="C900" s="131"/>
      <c r="D900" s="131"/>
      <c r="E900" s="131"/>
      <c r="F900" s="131"/>
    </row>
    <row r="901" spans="1:6" x14ac:dyDescent="0.3">
      <c r="A901" s="131"/>
      <c r="B901" s="131"/>
      <c r="C901" s="131"/>
      <c r="D901" s="131"/>
      <c r="E901" s="131"/>
      <c r="F901" s="131"/>
    </row>
    <row r="902" spans="1:6" x14ac:dyDescent="0.3">
      <c r="A902" s="131"/>
      <c r="B902" s="131"/>
      <c r="C902" s="131"/>
      <c r="D902" s="131"/>
      <c r="E902" s="131"/>
      <c r="F902" s="131"/>
    </row>
    <row r="903" spans="1:6" x14ac:dyDescent="0.3">
      <c r="A903" s="131"/>
      <c r="B903" s="131"/>
      <c r="C903" s="131"/>
      <c r="D903" s="131"/>
      <c r="E903" s="131"/>
      <c r="F903" s="131"/>
    </row>
    <row r="904" spans="1:6" x14ac:dyDescent="0.3">
      <c r="A904" s="131"/>
      <c r="B904" s="131"/>
      <c r="C904" s="131"/>
      <c r="D904" s="131"/>
      <c r="E904" s="131"/>
      <c r="F904" s="131"/>
    </row>
    <row r="905" spans="1:6" x14ac:dyDescent="0.3">
      <c r="A905" s="131"/>
      <c r="B905" s="131"/>
      <c r="C905" s="131"/>
      <c r="D905" s="131"/>
      <c r="E905" s="131"/>
      <c r="F905" s="131"/>
    </row>
    <row r="906" spans="1:6" x14ac:dyDescent="0.3">
      <c r="A906" s="131"/>
      <c r="B906" s="131"/>
      <c r="C906" s="131"/>
      <c r="D906" s="131"/>
      <c r="E906" s="131"/>
      <c r="F906" s="131"/>
    </row>
    <row r="907" spans="1:6" x14ac:dyDescent="0.3">
      <c r="A907" s="131"/>
      <c r="B907" s="131"/>
      <c r="C907" s="131"/>
      <c r="D907" s="131"/>
      <c r="E907" s="131"/>
      <c r="F907" s="131"/>
    </row>
    <row r="908" spans="1:6" x14ac:dyDescent="0.3">
      <c r="A908" s="131"/>
      <c r="B908" s="131"/>
      <c r="C908" s="131"/>
      <c r="D908" s="131"/>
      <c r="E908" s="131"/>
      <c r="F908" s="131"/>
    </row>
    <row r="909" spans="1:6" x14ac:dyDescent="0.3">
      <c r="A909" s="131"/>
      <c r="B909" s="131"/>
      <c r="C909" s="131"/>
      <c r="D909" s="131"/>
      <c r="E909" s="131"/>
      <c r="F909" s="131"/>
    </row>
    <row r="910" spans="1:6" x14ac:dyDescent="0.3">
      <c r="A910" s="131"/>
      <c r="B910" s="131"/>
      <c r="C910" s="131"/>
      <c r="D910" s="131"/>
      <c r="E910" s="131"/>
      <c r="F910" s="131"/>
    </row>
    <row r="911" spans="1:6" x14ac:dyDescent="0.3">
      <c r="A911" s="131"/>
      <c r="B911" s="131"/>
      <c r="C911" s="131"/>
      <c r="D911" s="131"/>
      <c r="E911" s="131"/>
      <c r="F911" s="131"/>
    </row>
    <row r="912" spans="1:6" x14ac:dyDescent="0.3">
      <c r="A912" s="131"/>
      <c r="B912" s="131"/>
      <c r="C912" s="131"/>
      <c r="D912" s="131"/>
      <c r="E912" s="131"/>
      <c r="F912" s="131"/>
    </row>
    <row r="913" spans="1:6" x14ac:dyDescent="0.3">
      <c r="A913" s="131"/>
      <c r="B913" s="131"/>
      <c r="C913" s="131"/>
      <c r="D913" s="131"/>
      <c r="E913" s="131"/>
      <c r="F913" s="131"/>
    </row>
    <row r="914" spans="1:6" x14ac:dyDescent="0.3">
      <c r="A914" s="131"/>
      <c r="B914" s="131"/>
      <c r="C914" s="131"/>
      <c r="D914" s="131"/>
      <c r="E914" s="131"/>
      <c r="F914" s="131"/>
    </row>
    <row r="915" spans="1:6" x14ac:dyDescent="0.3">
      <c r="A915" s="131"/>
      <c r="B915" s="131"/>
      <c r="C915" s="131"/>
      <c r="D915" s="131"/>
      <c r="E915" s="131"/>
      <c r="F915" s="131"/>
    </row>
    <row r="916" spans="1:6" x14ac:dyDescent="0.3">
      <c r="A916" s="131"/>
      <c r="B916" s="131"/>
      <c r="C916" s="131"/>
      <c r="D916" s="131"/>
      <c r="E916" s="131"/>
      <c r="F916" s="131"/>
    </row>
    <row r="917" spans="1:6" x14ac:dyDescent="0.3">
      <c r="A917" s="131"/>
      <c r="B917" s="131"/>
      <c r="C917" s="131"/>
      <c r="D917" s="131"/>
      <c r="E917" s="131"/>
      <c r="F917" s="131"/>
    </row>
    <row r="918" spans="1:6" x14ac:dyDescent="0.3">
      <c r="A918" s="131"/>
      <c r="B918" s="131"/>
      <c r="C918" s="131"/>
      <c r="D918" s="131"/>
      <c r="E918" s="131"/>
      <c r="F918" s="131"/>
    </row>
    <row r="919" spans="1:6" x14ac:dyDescent="0.3">
      <c r="A919" s="131"/>
      <c r="B919" s="131"/>
      <c r="C919" s="131"/>
      <c r="D919" s="131"/>
      <c r="E919" s="131"/>
      <c r="F919" s="131"/>
    </row>
    <row r="920" spans="1:6" x14ac:dyDescent="0.3">
      <c r="A920" s="131"/>
      <c r="B920" s="131"/>
      <c r="C920" s="131"/>
      <c r="D920" s="131"/>
      <c r="E920" s="131"/>
      <c r="F920" s="131"/>
    </row>
    <row r="921" spans="1:6" x14ac:dyDescent="0.3">
      <c r="A921" s="131"/>
      <c r="B921" s="131"/>
      <c r="C921" s="131"/>
      <c r="D921" s="131"/>
      <c r="E921" s="131"/>
      <c r="F921" s="131"/>
    </row>
    <row r="922" spans="1:6" x14ac:dyDescent="0.3">
      <c r="A922" s="131"/>
      <c r="B922" s="131"/>
      <c r="C922" s="131"/>
      <c r="D922" s="131"/>
      <c r="E922" s="131"/>
      <c r="F922" s="131"/>
    </row>
    <row r="923" spans="1:6" x14ac:dyDescent="0.3">
      <c r="A923" s="131"/>
      <c r="B923" s="131"/>
      <c r="C923" s="131"/>
      <c r="D923" s="131"/>
      <c r="E923" s="131"/>
      <c r="F923" s="131"/>
    </row>
    <row r="924" spans="1:6" x14ac:dyDescent="0.3">
      <c r="A924" s="131"/>
      <c r="B924" s="131"/>
      <c r="C924" s="131"/>
      <c r="D924" s="131"/>
      <c r="E924" s="131"/>
      <c r="F924" s="131"/>
    </row>
    <row r="925" spans="1:6" x14ac:dyDescent="0.3">
      <c r="A925" s="131"/>
      <c r="B925" s="131"/>
      <c r="C925" s="131"/>
      <c r="D925" s="131"/>
      <c r="E925" s="131"/>
      <c r="F925" s="131"/>
    </row>
    <row r="926" spans="1:6" x14ac:dyDescent="0.3">
      <c r="A926" s="131"/>
      <c r="B926" s="131"/>
      <c r="C926" s="131"/>
      <c r="D926" s="131"/>
      <c r="E926" s="131"/>
      <c r="F926" s="131"/>
    </row>
    <row r="927" spans="1:6" x14ac:dyDescent="0.3">
      <c r="A927" s="131"/>
      <c r="B927" s="131"/>
      <c r="C927" s="131"/>
      <c r="D927" s="131"/>
      <c r="E927" s="131"/>
      <c r="F927" s="131"/>
    </row>
    <row r="928" spans="1:6" x14ac:dyDescent="0.3">
      <c r="A928" s="131"/>
      <c r="B928" s="131"/>
      <c r="C928" s="131"/>
      <c r="D928" s="131"/>
      <c r="E928" s="131"/>
      <c r="F928" s="131"/>
    </row>
    <row r="929" spans="1:6" x14ac:dyDescent="0.3">
      <c r="A929" s="131"/>
      <c r="B929" s="131"/>
      <c r="C929" s="131"/>
      <c r="D929" s="131"/>
      <c r="E929" s="131"/>
      <c r="F929" s="131"/>
    </row>
    <row r="930" spans="1:6" x14ac:dyDescent="0.3">
      <c r="A930" s="131"/>
      <c r="B930" s="131"/>
      <c r="C930" s="131"/>
      <c r="D930" s="131"/>
      <c r="E930" s="131"/>
      <c r="F930" s="131"/>
    </row>
    <row r="931" spans="1:6" x14ac:dyDescent="0.3">
      <c r="A931" s="131"/>
      <c r="B931" s="131"/>
      <c r="C931" s="131"/>
      <c r="D931" s="131"/>
      <c r="E931" s="131"/>
      <c r="F931" s="131"/>
    </row>
    <row r="932" spans="1:6" x14ac:dyDescent="0.3">
      <c r="A932" s="131"/>
      <c r="B932" s="131"/>
      <c r="C932" s="131"/>
      <c r="D932" s="131"/>
      <c r="E932" s="131"/>
      <c r="F932" s="131"/>
    </row>
    <row r="933" spans="1:6" x14ac:dyDescent="0.3">
      <c r="A933" s="131"/>
      <c r="B933" s="131"/>
      <c r="C933" s="131"/>
      <c r="D933" s="131"/>
      <c r="E933" s="131"/>
      <c r="F933" s="131"/>
    </row>
    <row r="934" spans="1:6" x14ac:dyDescent="0.3">
      <c r="A934" s="131"/>
      <c r="B934" s="131"/>
      <c r="C934" s="131"/>
      <c r="D934" s="131"/>
      <c r="E934" s="131"/>
      <c r="F934" s="131"/>
    </row>
    <row r="935" spans="1:6" x14ac:dyDescent="0.3">
      <c r="A935" s="131"/>
      <c r="B935" s="131"/>
      <c r="C935" s="131"/>
      <c r="D935" s="131"/>
      <c r="E935" s="131"/>
      <c r="F935" s="131"/>
    </row>
    <row r="936" spans="1:6" x14ac:dyDescent="0.3">
      <c r="A936" s="131"/>
      <c r="B936" s="131"/>
      <c r="C936" s="131"/>
      <c r="D936" s="131"/>
      <c r="E936" s="131"/>
      <c r="F936" s="131"/>
    </row>
    <row r="937" spans="1:6" x14ac:dyDescent="0.3">
      <c r="A937" s="131"/>
      <c r="B937" s="131"/>
      <c r="C937" s="131"/>
      <c r="D937" s="131"/>
      <c r="E937" s="131"/>
      <c r="F937" s="131"/>
    </row>
    <row r="938" spans="1:6" x14ac:dyDescent="0.3">
      <c r="A938" s="131"/>
      <c r="B938" s="131"/>
      <c r="C938" s="131"/>
      <c r="D938" s="131"/>
      <c r="E938" s="131"/>
      <c r="F938" s="131"/>
    </row>
    <row r="939" spans="1:6" x14ac:dyDescent="0.3">
      <c r="A939" s="131"/>
      <c r="B939" s="131"/>
      <c r="C939" s="131"/>
      <c r="D939" s="131"/>
      <c r="E939" s="131"/>
      <c r="F939" s="131"/>
    </row>
    <row r="940" spans="1:6" x14ac:dyDescent="0.3">
      <c r="A940" s="131"/>
      <c r="B940" s="131"/>
      <c r="C940" s="131"/>
      <c r="D940" s="131"/>
      <c r="E940" s="131"/>
      <c r="F940" s="131"/>
    </row>
    <row r="941" spans="1:6" x14ac:dyDescent="0.3">
      <c r="A941" s="131"/>
      <c r="B941" s="131"/>
      <c r="C941" s="131"/>
      <c r="D941" s="131"/>
      <c r="E941" s="131"/>
      <c r="F941" s="131"/>
    </row>
    <row r="942" spans="1:6" x14ac:dyDescent="0.3">
      <c r="A942" s="131"/>
      <c r="B942" s="131"/>
      <c r="C942" s="131"/>
      <c r="D942" s="131"/>
      <c r="E942" s="131"/>
      <c r="F942" s="131"/>
    </row>
    <row r="943" spans="1:6" x14ac:dyDescent="0.3">
      <c r="A943" s="131"/>
      <c r="B943" s="131"/>
      <c r="C943" s="131"/>
      <c r="D943" s="131"/>
      <c r="E943" s="131"/>
      <c r="F943" s="131"/>
    </row>
    <row r="944" spans="1:6" x14ac:dyDescent="0.3">
      <c r="A944" s="131"/>
      <c r="B944" s="131"/>
      <c r="C944" s="131"/>
      <c r="D944" s="131"/>
      <c r="E944" s="131"/>
      <c r="F944" s="131"/>
    </row>
    <row r="945" spans="1:6" x14ac:dyDescent="0.3">
      <c r="A945" s="131"/>
      <c r="B945" s="131"/>
      <c r="C945" s="131"/>
      <c r="D945" s="131"/>
      <c r="E945" s="131"/>
      <c r="F945" s="131"/>
    </row>
    <row r="946" spans="1:6" x14ac:dyDescent="0.3">
      <c r="A946" s="131"/>
      <c r="B946" s="131"/>
      <c r="C946" s="131"/>
      <c r="D946" s="131"/>
      <c r="E946" s="131"/>
      <c r="F946" s="131"/>
    </row>
    <row r="947" spans="1:6" x14ac:dyDescent="0.3">
      <c r="A947" s="131"/>
      <c r="B947" s="131"/>
      <c r="C947" s="131"/>
      <c r="D947" s="131"/>
      <c r="E947" s="131"/>
      <c r="F947" s="131"/>
    </row>
    <row r="948" spans="1:6" x14ac:dyDescent="0.3">
      <c r="A948" s="131"/>
      <c r="B948" s="131"/>
      <c r="C948" s="131"/>
      <c r="D948" s="131"/>
      <c r="E948" s="131"/>
      <c r="F948" s="131"/>
    </row>
    <row r="949" spans="1:6" x14ac:dyDescent="0.3">
      <c r="A949" s="131"/>
      <c r="B949" s="131"/>
      <c r="C949" s="131"/>
      <c r="D949" s="131"/>
      <c r="E949" s="131"/>
      <c r="F949" s="131"/>
    </row>
    <row r="950" spans="1:6" x14ac:dyDescent="0.3">
      <c r="A950" s="131"/>
      <c r="B950" s="131"/>
      <c r="C950" s="131"/>
      <c r="D950" s="131"/>
      <c r="E950" s="131"/>
      <c r="F950" s="131"/>
    </row>
    <row r="951" spans="1:6" x14ac:dyDescent="0.3">
      <c r="A951" s="131"/>
      <c r="B951" s="131"/>
      <c r="C951" s="131"/>
      <c r="D951" s="131"/>
      <c r="E951" s="131"/>
      <c r="F951" s="131"/>
    </row>
    <row r="952" spans="1:6" x14ac:dyDescent="0.3">
      <c r="A952" s="131"/>
      <c r="B952" s="131"/>
      <c r="C952" s="131"/>
      <c r="D952" s="131"/>
      <c r="E952" s="131"/>
      <c r="F952" s="131"/>
    </row>
    <row r="953" spans="1:6" x14ac:dyDescent="0.3">
      <c r="A953" s="131"/>
      <c r="B953" s="131"/>
      <c r="C953" s="131"/>
      <c r="D953" s="131"/>
      <c r="E953" s="131"/>
      <c r="F953" s="131"/>
    </row>
    <row r="954" spans="1:6" x14ac:dyDescent="0.3">
      <c r="A954" s="131"/>
      <c r="B954" s="131"/>
      <c r="C954" s="131"/>
      <c r="D954" s="131"/>
      <c r="E954" s="131"/>
      <c r="F954" s="131"/>
    </row>
    <row r="955" spans="1:6" x14ac:dyDescent="0.3">
      <c r="A955" s="131"/>
      <c r="B955" s="131"/>
      <c r="C955" s="131"/>
      <c r="D955" s="131"/>
      <c r="E955" s="131"/>
      <c r="F955" s="131"/>
    </row>
    <row r="956" spans="1:6" x14ac:dyDescent="0.3">
      <c r="A956" s="131"/>
      <c r="B956" s="131"/>
      <c r="C956" s="131"/>
      <c r="D956" s="131"/>
      <c r="E956" s="131"/>
      <c r="F956" s="131"/>
    </row>
    <row r="957" spans="1:6" x14ac:dyDescent="0.3">
      <c r="A957" s="131"/>
      <c r="B957" s="131"/>
      <c r="C957" s="131"/>
      <c r="D957" s="131"/>
      <c r="E957" s="131"/>
      <c r="F957" s="131"/>
    </row>
    <row r="958" spans="1:6" x14ac:dyDescent="0.3">
      <c r="A958" s="131"/>
      <c r="B958" s="131"/>
      <c r="C958" s="131"/>
      <c r="D958" s="131"/>
      <c r="E958" s="131"/>
      <c r="F958" s="131"/>
    </row>
    <row r="959" spans="1:6" x14ac:dyDescent="0.3">
      <c r="A959" s="131"/>
      <c r="B959" s="131"/>
      <c r="C959" s="131"/>
      <c r="D959" s="131"/>
      <c r="E959" s="131"/>
      <c r="F959" s="131"/>
    </row>
    <row r="960" spans="1:6" x14ac:dyDescent="0.3">
      <c r="A960" s="131"/>
      <c r="B960" s="131"/>
      <c r="C960" s="131"/>
      <c r="D960" s="131"/>
      <c r="E960" s="131"/>
      <c r="F960" s="131"/>
    </row>
    <row r="961" spans="1:6" x14ac:dyDescent="0.3">
      <c r="A961" s="131"/>
      <c r="B961" s="131"/>
      <c r="C961" s="131"/>
      <c r="D961" s="131"/>
      <c r="E961" s="131"/>
      <c r="F961" s="131"/>
    </row>
    <row r="962" spans="1:6" x14ac:dyDescent="0.3">
      <c r="A962" s="131"/>
      <c r="B962" s="131"/>
      <c r="C962" s="131"/>
      <c r="D962" s="131"/>
      <c r="E962" s="131"/>
      <c r="F962" s="131"/>
    </row>
    <row r="963" spans="1:6" x14ac:dyDescent="0.3">
      <c r="A963" s="131"/>
      <c r="B963" s="131"/>
      <c r="C963" s="131"/>
      <c r="D963" s="131"/>
      <c r="E963" s="131"/>
      <c r="F963" s="131"/>
    </row>
    <row r="964" spans="1:6" x14ac:dyDescent="0.3">
      <c r="A964" s="131"/>
      <c r="B964" s="131"/>
      <c r="C964" s="131"/>
      <c r="D964" s="131"/>
      <c r="E964" s="131"/>
      <c r="F964" s="131"/>
    </row>
    <row r="965" spans="1:6" x14ac:dyDescent="0.3">
      <c r="A965" s="131"/>
      <c r="B965" s="131"/>
      <c r="C965" s="131"/>
      <c r="D965" s="131"/>
      <c r="E965" s="131"/>
      <c r="F965" s="131"/>
    </row>
    <row r="966" spans="1:6" x14ac:dyDescent="0.3">
      <c r="A966" s="131"/>
      <c r="B966" s="131"/>
      <c r="C966" s="131"/>
      <c r="D966" s="131"/>
      <c r="E966" s="131"/>
      <c r="F966" s="131"/>
    </row>
    <row r="967" spans="1:6" x14ac:dyDescent="0.3">
      <c r="A967" s="131"/>
      <c r="B967" s="131"/>
      <c r="C967" s="131"/>
      <c r="D967" s="131"/>
      <c r="E967" s="131"/>
      <c r="F967" s="131"/>
    </row>
    <row r="968" spans="1:6" x14ac:dyDescent="0.3">
      <c r="A968" s="131"/>
      <c r="B968" s="131"/>
      <c r="C968" s="131"/>
      <c r="D968" s="131"/>
      <c r="E968" s="131"/>
      <c r="F968" s="131"/>
    </row>
    <row r="969" spans="1:6" x14ac:dyDescent="0.3">
      <c r="A969" s="131"/>
      <c r="B969" s="131"/>
      <c r="C969" s="131"/>
      <c r="D969" s="131"/>
      <c r="E969" s="131"/>
      <c r="F969" s="131"/>
    </row>
    <row r="970" spans="1:6" x14ac:dyDescent="0.3">
      <c r="A970" s="131"/>
      <c r="B970" s="131"/>
      <c r="C970" s="131"/>
      <c r="D970" s="131"/>
      <c r="E970" s="131"/>
      <c r="F970" s="131"/>
    </row>
    <row r="971" spans="1:6" x14ac:dyDescent="0.3">
      <c r="A971" s="131"/>
      <c r="B971" s="131"/>
      <c r="C971" s="131"/>
      <c r="D971" s="131"/>
      <c r="E971" s="131"/>
      <c r="F971" s="131"/>
    </row>
    <row r="972" spans="1:6" x14ac:dyDescent="0.3">
      <c r="A972" s="131"/>
      <c r="B972" s="131"/>
      <c r="C972" s="131"/>
      <c r="D972" s="131"/>
      <c r="E972" s="131"/>
      <c r="F972" s="131"/>
    </row>
    <row r="973" spans="1:6" x14ac:dyDescent="0.3">
      <c r="A973" s="131"/>
      <c r="B973" s="131"/>
      <c r="C973" s="131"/>
      <c r="D973" s="131"/>
      <c r="E973" s="131"/>
      <c r="F973" s="131"/>
    </row>
    <row r="974" spans="1:6" x14ac:dyDescent="0.3">
      <c r="A974" s="131"/>
      <c r="B974" s="131"/>
      <c r="C974" s="131"/>
      <c r="D974" s="131"/>
      <c r="E974" s="131"/>
      <c r="F974" s="131"/>
    </row>
    <row r="975" spans="1:6" x14ac:dyDescent="0.3">
      <c r="A975" s="131"/>
      <c r="B975" s="131"/>
      <c r="C975" s="131"/>
      <c r="D975" s="131"/>
      <c r="E975" s="131"/>
      <c r="F975" s="131"/>
    </row>
    <row r="976" spans="1:6" x14ac:dyDescent="0.3">
      <c r="A976" s="131"/>
      <c r="B976" s="131"/>
      <c r="C976" s="131"/>
      <c r="D976" s="131"/>
      <c r="E976" s="131"/>
      <c r="F976" s="131"/>
    </row>
    <row r="977" spans="1:6" x14ac:dyDescent="0.3">
      <c r="A977" s="131"/>
      <c r="B977" s="131"/>
      <c r="C977" s="131"/>
      <c r="D977" s="131"/>
      <c r="E977" s="131"/>
      <c r="F977" s="131"/>
    </row>
    <row r="978" spans="1:6" x14ac:dyDescent="0.3">
      <c r="A978" s="131"/>
      <c r="B978" s="131"/>
      <c r="C978" s="131"/>
      <c r="D978" s="131"/>
      <c r="E978" s="131"/>
      <c r="F978" s="131"/>
    </row>
    <row r="979" spans="1:6" x14ac:dyDescent="0.3">
      <c r="A979" s="131"/>
      <c r="B979" s="131"/>
      <c r="C979" s="131"/>
      <c r="D979" s="131"/>
      <c r="E979" s="131"/>
      <c r="F979" s="131"/>
    </row>
    <row r="980" spans="1:6" x14ac:dyDescent="0.3">
      <c r="A980" s="131"/>
      <c r="B980" s="131"/>
      <c r="C980" s="131"/>
      <c r="D980" s="131"/>
      <c r="E980" s="131"/>
      <c r="F980" s="131"/>
    </row>
    <row r="981" spans="1:6" x14ac:dyDescent="0.3">
      <c r="A981" s="131"/>
      <c r="B981" s="131"/>
      <c r="C981" s="131"/>
      <c r="D981" s="131"/>
      <c r="E981" s="131"/>
      <c r="F981" s="131"/>
    </row>
    <row r="982" spans="1:6" x14ac:dyDescent="0.3">
      <c r="A982" s="131"/>
      <c r="B982" s="131"/>
      <c r="C982" s="131"/>
      <c r="D982" s="131"/>
      <c r="E982" s="131"/>
      <c r="F982" s="131"/>
    </row>
    <row r="983" spans="1:6" x14ac:dyDescent="0.3">
      <c r="A983" s="131"/>
      <c r="B983" s="131"/>
      <c r="C983" s="131"/>
      <c r="D983" s="131"/>
      <c r="E983" s="131"/>
      <c r="F983" s="131"/>
    </row>
    <row r="984" spans="1:6" x14ac:dyDescent="0.3">
      <c r="A984" s="131"/>
      <c r="B984" s="131"/>
      <c r="C984" s="131"/>
      <c r="D984" s="131"/>
      <c r="E984" s="131"/>
      <c r="F984" s="131"/>
    </row>
    <row r="985" spans="1:6" x14ac:dyDescent="0.3">
      <c r="A985" s="131"/>
      <c r="B985" s="131"/>
      <c r="C985" s="131"/>
      <c r="D985" s="131"/>
      <c r="E985" s="131"/>
      <c r="F985" s="131"/>
    </row>
    <row r="986" spans="1:6" x14ac:dyDescent="0.3">
      <c r="A986" s="131"/>
      <c r="B986" s="131"/>
      <c r="C986" s="131"/>
      <c r="D986" s="131"/>
      <c r="E986" s="131"/>
      <c r="F986" s="131"/>
    </row>
    <row r="987" spans="1:6" x14ac:dyDescent="0.3">
      <c r="A987" s="131"/>
      <c r="B987" s="131"/>
      <c r="C987" s="131"/>
      <c r="D987" s="131"/>
      <c r="E987" s="131"/>
      <c r="F987" s="131"/>
    </row>
    <row r="988" spans="1:6" x14ac:dyDescent="0.3">
      <c r="A988" s="131"/>
      <c r="B988" s="131"/>
      <c r="C988" s="131"/>
      <c r="D988" s="131"/>
      <c r="E988" s="131"/>
      <c r="F988" s="131"/>
    </row>
    <row r="989" spans="1:6" x14ac:dyDescent="0.3">
      <c r="A989" s="131"/>
      <c r="B989" s="131"/>
      <c r="C989" s="131"/>
      <c r="D989" s="131"/>
      <c r="E989" s="131"/>
      <c r="F989" s="131"/>
    </row>
    <row r="990" spans="1:6" x14ac:dyDescent="0.3">
      <c r="A990" s="131"/>
      <c r="B990" s="131"/>
      <c r="C990" s="131"/>
      <c r="D990" s="131"/>
      <c r="E990" s="131"/>
      <c r="F990" s="131"/>
    </row>
    <row r="991" spans="1:6" x14ac:dyDescent="0.3">
      <c r="A991" s="131"/>
      <c r="B991" s="131"/>
      <c r="C991" s="131"/>
      <c r="D991" s="131"/>
      <c r="E991" s="131"/>
      <c r="F991" s="131"/>
    </row>
    <row r="992" spans="1:6" x14ac:dyDescent="0.3">
      <c r="A992" s="131"/>
      <c r="B992" s="131"/>
      <c r="C992" s="131"/>
      <c r="D992" s="131"/>
      <c r="E992" s="131"/>
      <c r="F992" s="131"/>
    </row>
    <row r="993" spans="1:6" x14ac:dyDescent="0.3">
      <c r="A993" s="131"/>
      <c r="B993" s="131"/>
      <c r="C993" s="131"/>
      <c r="D993" s="131"/>
      <c r="E993" s="131"/>
      <c r="F993" s="131"/>
    </row>
    <row r="994" spans="1:6" x14ac:dyDescent="0.3">
      <c r="A994" s="131"/>
      <c r="B994" s="131"/>
      <c r="C994" s="131"/>
      <c r="D994" s="131"/>
      <c r="E994" s="131"/>
      <c r="F994" s="131"/>
    </row>
    <row r="995" spans="1:6" x14ac:dyDescent="0.3">
      <c r="A995" s="131"/>
      <c r="B995" s="131"/>
      <c r="C995" s="131"/>
      <c r="D995" s="131"/>
      <c r="E995" s="131"/>
      <c r="F995" s="131"/>
    </row>
    <row r="996" spans="1:6" x14ac:dyDescent="0.3">
      <c r="A996" s="131"/>
      <c r="B996" s="131"/>
      <c r="C996" s="131"/>
      <c r="D996" s="131"/>
      <c r="E996" s="131"/>
      <c r="F996" s="131"/>
    </row>
    <row r="997" spans="1:6" x14ac:dyDescent="0.3">
      <c r="A997" s="131"/>
      <c r="B997" s="131"/>
      <c r="C997" s="131"/>
      <c r="D997" s="131"/>
      <c r="E997" s="131"/>
      <c r="F997" s="131"/>
    </row>
    <row r="998" spans="1:6" x14ac:dyDescent="0.3">
      <c r="A998" s="131"/>
      <c r="B998" s="131"/>
      <c r="C998" s="131"/>
      <c r="D998" s="131"/>
      <c r="E998" s="131"/>
      <c r="F998" s="131"/>
    </row>
    <row r="999" spans="1:6" x14ac:dyDescent="0.3">
      <c r="A999" s="131"/>
      <c r="B999" s="131"/>
      <c r="C999" s="131"/>
      <c r="D999" s="131"/>
      <c r="E999" s="131"/>
      <c r="F999" s="131"/>
    </row>
    <row r="1000" spans="1:6" x14ac:dyDescent="0.3">
      <c r="A1000" s="131"/>
      <c r="B1000" s="131"/>
      <c r="C1000" s="131"/>
      <c r="D1000" s="131"/>
      <c r="E1000" s="131"/>
      <c r="F1000" s="131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33126E-ABEE-4B89-80EC-E052CB8868F5}">
  <sheetPr codeName="Sheet11"/>
  <dimension ref="A5:F1000"/>
  <sheetViews>
    <sheetView workbookViewId="0">
      <selection activeCell="D14" sqref="D14"/>
    </sheetView>
  </sheetViews>
  <sheetFormatPr defaultRowHeight="14.4" x14ac:dyDescent="0.3"/>
  <cols>
    <col min="1" max="1" width="7.33203125" customWidth="1"/>
    <col min="2" max="2" width="6" bestFit="1" customWidth="1"/>
    <col min="3" max="3" width="4" bestFit="1" customWidth="1"/>
    <col min="4" max="4" width="13.109375" bestFit="1" customWidth="1"/>
    <col min="5" max="5" width="12.109375" bestFit="1" customWidth="1"/>
    <col min="6" max="6" width="11" bestFit="1" customWidth="1"/>
  </cols>
  <sheetData>
    <row r="5" spans="1:6" x14ac:dyDescent="0.3">
      <c r="A5" s="131" t="s">
        <v>1155</v>
      </c>
      <c r="B5" s="131" t="s">
        <v>1156</v>
      </c>
      <c r="C5" s="131" t="s">
        <v>1160</v>
      </c>
      <c r="D5" s="131" t="s">
        <v>1158</v>
      </c>
      <c r="E5" s="131">
        <v>400</v>
      </c>
      <c r="F5" s="131"/>
    </row>
    <row r="6" spans="1:6" x14ac:dyDescent="0.3">
      <c r="A6" s="131"/>
      <c r="B6" s="131"/>
      <c r="C6" s="131"/>
      <c r="D6" s="131"/>
      <c r="E6" s="131"/>
      <c r="F6" s="131"/>
    </row>
    <row r="7" spans="1:6" x14ac:dyDescent="0.3">
      <c r="A7" s="131"/>
      <c r="B7" s="131"/>
      <c r="C7" s="131"/>
      <c r="D7" s="131"/>
      <c r="E7" s="131"/>
      <c r="F7" s="131"/>
    </row>
    <row r="8" spans="1:6" x14ac:dyDescent="0.3">
      <c r="A8" s="131"/>
      <c r="B8" s="131"/>
      <c r="C8" s="131"/>
      <c r="D8" s="131"/>
      <c r="E8" s="131"/>
      <c r="F8" s="131"/>
    </row>
    <row r="9" spans="1:6" x14ac:dyDescent="0.3">
      <c r="A9" s="131"/>
      <c r="B9" s="131"/>
      <c r="C9" s="131"/>
      <c r="D9" s="131"/>
      <c r="E9" s="131"/>
      <c r="F9" s="131"/>
    </row>
    <row r="10" spans="1:6" x14ac:dyDescent="0.3">
      <c r="A10" s="131"/>
      <c r="B10" s="131"/>
      <c r="C10" s="131"/>
      <c r="D10" s="131"/>
      <c r="E10" s="131"/>
      <c r="F10" s="131"/>
    </row>
    <row r="11" spans="1:6" x14ac:dyDescent="0.3">
      <c r="A11" s="131"/>
      <c r="B11" s="131"/>
      <c r="C11" s="131"/>
      <c r="D11" s="131"/>
      <c r="E11" s="131"/>
      <c r="F11" s="131"/>
    </row>
    <row r="12" spans="1:6" x14ac:dyDescent="0.3">
      <c r="A12" s="131"/>
      <c r="B12" s="131"/>
      <c r="C12" s="131"/>
      <c r="D12" s="131"/>
      <c r="E12" s="131"/>
      <c r="F12" s="131"/>
    </row>
    <row r="13" spans="1:6" x14ac:dyDescent="0.3">
      <c r="A13" s="131"/>
      <c r="B13" s="131"/>
      <c r="C13" s="131"/>
      <c r="D13" s="131"/>
      <c r="E13" s="131"/>
      <c r="F13" s="131"/>
    </row>
    <row r="14" spans="1:6" x14ac:dyDescent="0.3">
      <c r="A14" s="131"/>
      <c r="B14" s="131"/>
      <c r="C14" s="131"/>
      <c r="D14" s="131"/>
      <c r="E14" s="131"/>
      <c r="F14" s="131"/>
    </row>
    <row r="15" spans="1:6" x14ac:dyDescent="0.3">
      <c r="A15" s="131"/>
      <c r="B15" s="131"/>
      <c r="C15" s="131"/>
      <c r="D15" s="131"/>
      <c r="E15" s="131"/>
      <c r="F15" s="131"/>
    </row>
    <row r="16" spans="1:6" x14ac:dyDescent="0.3">
      <c r="A16" s="131"/>
      <c r="B16" s="131"/>
      <c r="C16" s="131"/>
      <c r="D16" s="131"/>
      <c r="E16" s="131"/>
      <c r="F16" s="131"/>
    </row>
    <row r="17" spans="1:6" x14ac:dyDescent="0.3">
      <c r="A17" s="131"/>
      <c r="B17" s="131"/>
      <c r="C17" s="131"/>
      <c r="D17" s="131"/>
      <c r="E17" s="131"/>
      <c r="F17" s="131"/>
    </row>
    <row r="18" spans="1:6" x14ac:dyDescent="0.3">
      <c r="A18" s="131"/>
      <c r="B18" s="131"/>
      <c r="C18" s="131"/>
      <c r="D18" s="131"/>
      <c r="E18" s="131"/>
      <c r="F18" s="131"/>
    </row>
    <row r="19" spans="1:6" x14ac:dyDescent="0.3">
      <c r="A19" s="131"/>
      <c r="B19" s="131"/>
      <c r="C19" s="131"/>
      <c r="D19" s="131"/>
      <c r="E19" s="131"/>
      <c r="F19" s="131"/>
    </row>
    <row r="20" spans="1:6" x14ac:dyDescent="0.3">
      <c r="A20" s="131"/>
      <c r="B20" s="131"/>
      <c r="C20" s="131"/>
      <c r="D20" s="131"/>
      <c r="E20" s="131"/>
      <c r="F20" s="131"/>
    </row>
    <row r="21" spans="1:6" x14ac:dyDescent="0.3">
      <c r="A21" s="131"/>
      <c r="B21" s="131"/>
      <c r="C21" s="131"/>
      <c r="D21" s="131"/>
      <c r="E21" s="131"/>
      <c r="F21" s="131"/>
    </row>
    <row r="22" spans="1:6" x14ac:dyDescent="0.3">
      <c r="A22" s="131"/>
      <c r="B22" s="131"/>
      <c r="C22" s="131"/>
      <c r="D22" s="131"/>
      <c r="E22" s="131"/>
      <c r="F22" s="131"/>
    </row>
    <row r="23" spans="1:6" x14ac:dyDescent="0.3">
      <c r="A23" s="131"/>
      <c r="B23" s="131"/>
      <c r="C23" s="131"/>
      <c r="D23" s="131"/>
      <c r="E23" s="131"/>
      <c r="F23" s="131"/>
    </row>
    <row r="24" spans="1:6" x14ac:dyDescent="0.3">
      <c r="A24" s="131"/>
      <c r="B24" s="131"/>
      <c r="C24" s="131"/>
      <c r="D24" s="131"/>
      <c r="E24" s="131"/>
      <c r="F24" s="131"/>
    </row>
    <row r="25" spans="1:6" x14ac:dyDescent="0.3">
      <c r="A25" s="131"/>
      <c r="B25" s="131"/>
      <c r="C25" s="131"/>
      <c r="D25" s="131"/>
      <c r="E25" s="131"/>
      <c r="F25" s="131"/>
    </row>
    <row r="26" spans="1:6" x14ac:dyDescent="0.3">
      <c r="A26" s="131"/>
      <c r="B26" s="131"/>
      <c r="C26" s="131"/>
      <c r="D26" s="131"/>
      <c r="E26" s="131"/>
      <c r="F26" s="131"/>
    </row>
    <row r="27" spans="1:6" x14ac:dyDescent="0.3">
      <c r="A27" s="131"/>
      <c r="B27" s="131"/>
      <c r="C27" s="131"/>
      <c r="D27" s="131"/>
      <c r="E27" s="131"/>
      <c r="F27" s="131"/>
    </row>
    <row r="28" spans="1:6" x14ac:dyDescent="0.3">
      <c r="A28" s="131"/>
      <c r="B28" s="131"/>
      <c r="C28" s="131"/>
      <c r="D28" s="131"/>
      <c r="E28" s="131"/>
      <c r="F28" s="131"/>
    </row>
    <row r="29" spans="1:6" x14ac:dyDescent="0.3">
      <c r="A29" s="131"/>
      <c r="B29" s="131"/>
      <c r="C29" s="131"/>
      <c r="D29" s="131"/>
      <c r="E29" s="131"/>
      <c r="F29" s="131"/>
    </row>
    <row r="30" spans="1:6" x14ac:dyDescent="0.3">
      <c r="A30" s="131"/>
      <c r="B30" s="131"/>
      <c r="C30" s="131"/>
      <c r="D30" s="131"/>
      <c r="E30" s="131"/>
      <c r="F30" s="131"/>
    </row>
    <row r="31" spans="1:6" x14ac:dyDescent="0.3">
      <c r="A31" s="131"/>
      <c r="B31" s="131"/>
      <c r="C31" s="131"/>
      <c r="D31" s="131"/>
      <c r="E31" s="131"/>
      <c r="F31" s="131"/>
    </row>
    <row r="32" spans="1:6" x14ac:dyDescent="0.3">
      <c r="A32" s="131"/>
      <c r="B32" s="131"/>
      <c r="C32" s="131"/>
      <c r="D32" s="131"/>
      <c r="E32" s="131"/>
      <c r="F32" s="131"/>
    </row>
    <row r="33" spans="1:6" x14ac:dyDescent="0.3">
      <c r="A33" s="131"/>
      <c r="B33" s="131"/>
      <c r="C33" s="131"/>
      <c r="D33" s="131"/>
      <c r="E33" s="131"/>
      <c r="F33" s="131"/>
    </row>
    <row r="34" spans="1:6" x14ac:dyDescent="0.3">
      <c r="A34" s="131"/>
      <c r="B34" s="131"/>
      <c r="C34" s="131"/>
      <c r="D34" s="131"/>
      <c r="E34" s="131"/>
      <c r="F34" s="131"/>
    </row>
    <row r="35" spans="1:6" x14ac:dyDescent="0.3">
      <c r="A35" s="131"/>
      <c r="B35" s="131"/>
      <c r="C35" s="131"/>
      <c r="D35" s="131"/>
      <c r="E35" s="131"/>
      <c r="F35" s="131"/>
    </row>
    <row r="36" spans="1:6" x14ac:dyDescent="0.3">
      <c r="A36" s="131"/>
      <c r="B36" s="131"/>
      <c r="C36" s="131"/>
      <c r="D36" s="131"/>
      <c r="E36" s="131"/>
      <c r="F36" s="131"/>
    </row>
    <row r="37" spans="1:6" x14ac:dyDescent="0.3">
      <c r="A37" s="131"/>
      <c r="B37" s="131"/>
      <c r="C37" s="131"/>
      <c r="D37" s="131"/>
      <c r="E37" s="131"/>
      <c r="F37" s="131"/>
    </row>
    <row r="38" spans="1:6" x14ac:dyDescent="0.3">
      <c r="A38" s="131"/>
      <c r="B38" s="131"/>
      <c r="C38" s="131"/>
      <c r="D38" s="131"/>
      <c r="E38" s="131"/>
      <c r="F38" s="131"/>
    </row>
    <row r="39" spans="1:6" x14ac:dyDescent="0.3">
      <c r="A39" s="131"/>
      <c r="B39" s="131"/>
      <c r="C39" s="131"/>
      <c r="D39" s="131"/>
      <c r="E39" s="131"/>
      <c r="F39" s="131"/>
    </row>
    <row r="40" spans="1:6" x14ac:dyDescent="0.3">
      <c r="A40" s="131"/>
      <c r="B40" s="131"/>
      <c r="C40" s="131"/>
      <c r="D40" s="131"/>
      <c r="E40" s="131"/>
      <c r="F40" s="131"/>
    </row>
    <row r="41" spans="1:6" x14ac:dyDescent="0.3">
      <c r="A41" s="131"/>
      <c r="B41" s="131"/>
      <c r="C41" s="131"/>
      <c r="D41" s="131"/>
      <c r="E41" s="131"/>
      <c r="F41" s="131"/>
    </row>
    <row r="42" spans="1:6" x14ac:dyDescent="0.3">
      <c r="A42" s="131"/>
      <c r="B42" s="131"/>
      <c r="C42" s="131"/>
      <c r="D42" s="131"/>
      <c r="E42" s="131"/>
      <c r="F42" s="131"/>
    </row>
    <row r="43" spans="1:6" x14ac:dyDescent="0.3">
      <c r="A43" s="131"/>
      <c r="B43" s="131"/>
      <c r="C43" s="131"/>
      <c r="D43" s="131"/>
      <c r="E43" s="131"/>
      <c r="F43" s="131"/>
    </row>
    <row r="44" spans="1:6" x14ac:dyDescent="0.3">
      <c r="A44" s="131"/>
      <c r="B44" s="131"/>
      <c r="C44" s="131"/>
      <c r="D44" s="131"/>
      <c r="E44" s="131"/>
      <c r="F44" s="131"/>
    </row>
    <row r="45" spans="1:6" x14ac:dyDescent="0.3">
      <c r="A45" s="131"/>
      <c r="B45" s="131"/>
      <c r="C45" s="131"/>
      <c r="D45" s="131"/>
      <c r="E45" s="131"/>
      <c r="F45" s="131"/>
    </row>
    <row r="46" spans="1:6" x14ac:dyDescent="0.3">
      <c r="A46" s="131"/>
      <c r="B46" s="131"/>
      <c r="C46" s="131"/>
      <c r="D46" s="131"/>
      <c r="E46" s="131"/>
      <c r="F46" s="131"/>
    </row>
    <row r="47" spans="1:6" x14ac:dyDescent="0.3">
      <c r="A47" s="131"/>
      <c r="B47" s="131"/>
      <c r="C47" s="131"/>
      <c r="D47" s="131"/>
      <c r="E47" s="131"/>
      <c r="F47" s="131"/>
    </row>
    <row r="48" spans="1:6" x14ac:dyDescent="0.3">
      <c r="A48" s="131"/>
      <c r="B48" s="131"/>
      <c r="C48" s="131"/>
      <c r="D48" s="131"/>
      <c r="E48" s="131"/>
      <c r="F48" s="131"/>
    </row>
    <row r="49" spans="1:6" x14ac:dyDescent="0.3">
      <c r="A49" s="131"/>
      <c r="B49" s="131"/>
      <c r="C49" s="131"/>
      <c r="D49" s="131"/>
      <c r="E49" s="131"/>
      <c r="F49" s="131"/>
    </row>
    <row r="50" spans="1:6" x14ac:dyDescent="0.3">
      <c r="A50" s="131"/>
      <c r="B50" s="131"/>
      <c r="C50" s="131"/>
      <c r="D50" s="131"/>
      <c r="E50" s="131"/>
      <c r="F50" s="131"/>
    </row>
    <row r="51" spans="1:6" x14ac:dyDescent="0.3">
      <c r="A51" s="131"/>
      <c r="B51" s="131"/>
      <c r="C51" s="131"/>
      <c r="D51" s="131"/>
      <c r="E51" s="131"/>
      <c r="F51" s="131"/>
    </row>
    <row r="52" spans="1:6" x14ac:dyDescent="0.3">
      <c r="A52" s="131"/>
      <c r="B52" s="131"/>
      <c r="C52" s="131"/>
      <c r="D52" s="131"/>
      <c r="E52" s="131"/>
      <c r="F52" s="131"/>
    </row>
    <row r="53" spans="1:6" x14ac:dyDescent="0.3">
      <c r="A53" s="131"/>
      <c r="B53" s="131"/>
      <c r="C53" s="131"/>
      <c r="D53" s="131"/>
      <c r="E53" s="131"/>
      <c r="F53" s="131"/>
    </row>
    <row r="54" spans="1:6" x14ac:dyDescent="0.3">
      <c r="A54" s="131"/>
      <c r="B54" s="131"/>
      <c r="C54" s="131"/>
      <c r="D54" s="131"/>
      <c r="E54" s="131"/>
      <c r="F54" s="131"/>
    </row>
    <row r="55" spans="1:6" x14ac:dyDescent="0.3">
      <c r="A55" s="131"/>
      <c r="B55" s="131"/>
      <c r="C55" s="131"/>
      <c r="D55" s="131"/>
      <c r="E55" s="131"/>
      <c r="F55" s="131"/>
    </row>
    <row r="56" spans="1:6" x14ac:dyDescent="0.3">
      <c r="A56" s="131"/>
      <c r="B56" s="131"/>
      <c r="C56" s="131"/>
      <c r="D56" s="131"/>
      <c r="E56" s="131"/>
      <c r="F56" s="131"/>
    </row>
    <row r="57" spans="1:6" x14ac:dyDescent="0.3">
      <c r="A57" s="131"/>
      <c r="B57" s="131"/>
      <c r="C57" s="131"/>
      <c r="D57" s="131"/>
      <c r="E57" s="131"/>
      <c r="F57" s="131"/>
    </row>
    <row r="58" spans="1:6" x14ac:dyDescent="0.3">
      <c r="A58" s="131"/>
      <c r="B58" s="131"/>
      <c r="C58" s="131"/>
      <c r="D58" s="131"/>
      <c r="E58" s="131"/>
      <c r="F58" s="131"/>
    </row>
    <row r="59" spans="1:6" x14ac:dyDescent="0.3">
      <c r="A59" s="131"/>
      <c r="B59" s="131"/>
      <c r="C59" s="131"/>
      <c r="D59" s="131"/>
      <c r="E59" s="131"/>
      <c r="F59" s="131"/>
    </row>
    <row r="60" spans="1:6" x14ac:dyDescent="0.3">
      <c r="A60" s="131"/>
      <c r="B60" s="131"/>
      <c r="C60" s="131"/>
      <c r="D60" s="131"/>
      <c r="E60" s="131"/>
      <c r="F60" s="131"/>
    </row>
    <row r="61" spans="1:6" x14ac:dyDescent="0.3">
      <c r="A61" s="131"/>
      <c r="B61" s="131"/>
      <c r="C61" s="131"/>
      <c r="D61" s="131"/>
      <c r="E61" s="131"/>
      <c r="F61" s="131"/>
    </row>
    <row r="62" spans="1:6" x14ac:dyDescent="0.3">
      <c r="A62" s="131"/>
      <c r="B62" s="131"/>
      <c r="C62" s="131"/>
      <c r="D62" s="131"/>
      <c r="E62" s="131"/>
      <c r="F62" s="131"/>
    </row>
    <row r="63" spans="1:6" x14ac:dyDescent="0.3">
      <c r="A63" s="131"/>
      <c r="B63" s="131"/>
      <c r="C63" s="131"/>
      <c r="D63" s="131"/>
      <c r="E63" s="131"/>
      <c r="F63" s="131"/>
    </row>
    <row r="64" spans="1:6" x14ac:dyDescent="0.3">
      <c r="A64" s="131"/>
      <c r="B64" s="131"/>
      <c r="C64" s="131"/>
      <c r="D64" s="131"/>
      <c r="E64" s="131"/>
      <c r="F64" s="131"/>
    </row>
    <row r="65" spans="1:6" x14ac:dyDescent="0.3">
      <c r="A65" s="131"/>
      <c r="B65" s="131"/>
      <c r="C65" s="131"/>
      <c r="D65" s="131"/>
      <c r="E65" s="131"/>
      <c r="F65" s="131"/>
    </row>
    <row r="66" spans="1:6" x14ac:dyDescent="0.3">
      <c r="A66" s="131"/>
      <c r="B66" s="131"/>
      <c r="C66" s="131"/>
      <c r="D66" s="131"/>
      <c r="E66" s="131"/>
      <c r="F66" s="131"/>
    </row>
    <row r="67" spans="1:6" x14ac:dyDescent="0.3">
      <c r="A67" s="131"/>
      <c r="B67" s="131"/>
      <c r="C67" s="131"/>
      <c r="D67" s="131"/>
      <c r="E67" s="131"/>
      <c r="F67" s="131"/>
    </row>
    <row r="68" spans="1:6" x14ac:dyDescent="0.3">
      <c r="A68" s="131"/>
      <c r="B68" s="131"/>
      <c r="C68" s="131"/>
      <c r="D68" s="131"/>
      <c r="E68" s="131"/>
      <c r="F68" s="131"/>
    </row>
    <row r="69" spans="1:6" x14ac:dyDescent="0.3">
      <c r="A69" s="131"/>
      <c r="B69" s="131"/>
      <c r="C69" s="131"/>
      <c r="D69" s="131"/>
      <c r="E69" s="131"/>
      <c r="F69" s="131"/>
    </row>
    <row r="70" spans="1:6" x14ac:dyDescent="0.3">
      <c r="A70" s="131"/>
      <c r="B70" s="131"/>
      <c r="C70" s="131"/>
      <c r="D70" s="131"/>
      <c r="E70" s="131"/>
      <c r="F70" s="131"/>
    </row>
    <row r="71" spans="1:6" x14ac:dyDescent="0.3">
      <c r="A71" s="131"/>
      <c r="B71" s="131"/>
      <c r="C71" s="131"/>
      <c r="D71" s="131"/>
      <c r="E71" s="131"/>
      <c r="F71" s="131"/>
    </row>
    <row r="72" spans="1:6" x14ac:dyDescent="0.3">
      <c r="A72" s="131"/>
      <c r="B72" s="131"/>
      <c r="C72" s="131"/>
      <c r="D72" s="131"/>
      <c r="E72" s="131"/>
      <c r="F72" s="131"/>
    </row>
    <row r="73" spans="1:6" x14ac:dyDescent="0.3">
      <c r="A73" s="131"/>
      <c r="B73" s="131"/>
      <c r="C73" s="131"/>
      <c r="D73" s="131"/>
      <c r="E73" s="131"/>
      <c r="F73" s="131"/>
    </row>
    <row r="74" spans="1:6" x14ac:dyDescent="0.3">
      <c r="A74" s="131"/>
      <c r="B74" s="131"/>
      <c r="C74" s="131"/>
      <c r="D74" s="131"/>
      <c r="E74" s="131"/>
      <c r="F74" s="131"/>
    </row>
    <row r="75" spans="1:6" x14ac:dyDescent="0.3">
      <c r="A75" s="131"/>
      <c r="B75" s="131"/>
      <c r="C75" s="131"/>
      <c r="D75" s="131"/>
      <c r="E75" s="131"/>
      <c r="F75" s="131"/>
    </row>
    <row r="76" spans="1:6" x14ac:dyDescent="0.3">
      <c r="A76" s="131"/>
      <c r="B76" s="131"/>
      <c r="C76" s="131"/>
      <c r="D76" s="131"/>
      <c r="E76" s="131"/>
      <c r="F76" s="131"/>
    </row>
    <row r="77" spans="1:6" x14ac:dyDescent="0.3">
      <c r="A77" s="131"/>
      <c r="B77" s="131"/>
      <c r="C77" s="131"/>
      <c r="D77" s="131"/>
      <c r="E77" s="131"/>
      <c r="F77" s="131"/>
    </row>
    <row r="78" spans="1:6" x14ac:dyDescent="0.3">
      <c r="A78" s="131"/>
      <c r="B78" s="131"/>
      <c r="C78" s="131"/>
      <c r="D78" s="131"/>
      <c r="E78" s="131"/>
      <c r="F78" s="131"/>
    </row>
    <row r="79" spans="1:6" x14ac:dyDescent="0.3">
      <c r="A79" s="131"/>
      <c r="B79" s="131"/>
      <c r="C79" s="131"/>
      <c r="D79" s="131"/>
      <c r="E79" s="131"/>
      <c r="F79" s="131"/>
    </row>
    <row r="80" spans="1:6" x14ac:dyDescent="0.3">
      <c r="A80" s="131"/>
      <c r="B80" s="131"/>
      <c r="C80" s="131"/>
      <c r="D80" s="131"/>
      <c r="E80" s="131"/>
      <c r="F80" s="131"/>
    </row>
    <row r="81" spans="1:6" x14ac:dyDescent="0.3">
      <c r="A81" s="131"/>
      <c r="B81" s="131"/>
      <c r="C81" s="131"/>
      <c r="D81" s="131"/>
      <c r="E81" s="131"/>
      <c r="F81" s="131"/>
    </row>
    <row r="82" spans="1:6" x14ac:dyDescent="0.3">
      <c r="A82" s="131"/>
      <c r="B82" s="131"/>
      <c r="C82" s="131"/>
      <c r="D82" s="131"/>
      <c r="E82" s="131"/>
      <c r="F82" s="131"/>
    </row>
    <row r="83" spans="1:6" x14ac:dyDescent="0.3">
      <c r="A83" s="131"/>
      <c r="B83" s="131"/>
      <c r="C83" s="131"/>
      <c r="D83" s="131"/>
      <c r="E83" s="131"/>
      <c r="F83" s="131"/>
    </row>
    <row r="84" spans="1:6" x14ac:dyDescent="0.3">
      <c r="A84" s="131"/>
      <c r="B84" s="131"/>
      <c r="C84" s="131"/>
      <c r="D84" s="131"/>
      <c r="E84" s="131"/>
      <c r="F84" s="131"/>
    </row>
    <row r="85" spans="1:6" x14ac:dyDescent="0.3">
      <c r="A85" s="131"/>
      <c r="B85" s="131"/>
      <c r="C85" s="131"/>
      <c r="D85" s="131"/>
      <c r="E85" s="131"/>
      <c r="F85" s="131"/>
    </row>
    <row r="86" spans="1:6" x14ac:dyDescent="0.3">
      <c r="A86" s="131"/>
      <c r="B86" s="131"/>
      <c r="C86" s="131"/>
      <c r="D86" s="131"/>
      <c r="E86" s="131"/>
      <c r="F86" s="131"/>
    </row>
    <row r="87" spans="1:6" x14ac:dyDescent="0.3">
      <c r="A87" s="131"/>
      <c r="B87" s="131"/>
      <c r="C87" s="131"/>
      <c r="D87" s="131"/>
      <c r="E87" s="131"/>
      <c r="F87" s="131"/>
    </row>
    <row r="88" spans="1:6" x14ac:dyDescent="0.3">
      <c r="A88" s="131"/>
      <c r="B88" s="131"/>
      <c r="C88" s="131"/>
      <c r="D88" s="131"/>
      <c r="E88" s="131"/>
      <c r="F88" s="131"/>
    </row>
    <row r="89" spans="1:6" x14ac:dyDescent="0.3">
      <c r="A89" s="131"/>
      <c r="B89" s="131"/>
      <c r="C89" s="131"/>
      <c r="D89" s="131"/>
      <c r="E89" s="131"/>
      <c r="F89" s="131"/>
    </row>
    <row r="90" spans="1:6" x14ac:dyDescent="0.3">
      <c r="A90" s="131"/>
      <c r="B90" s="131"/>
      <c r="C90" s="131"/>
      <c r="D90" s="131"/>
      <c r="E90" s="131"/>
      <c r="F90" s="131"/>
    </row>
    <row r="91" spans="1:6" x14ac:dyDescent="0.3">
      <c r="A91" s="131"/>
      <c r="B91" s="131"/>
      <c r="C91" s="131"/>
      <c r="D91" s="131"/>
      <c r="E91" s="131"/>
      <c r="F91" s="131"/>
    </row>
    <row r="92" spans="1:6" x14ac:dyDescent="0.3">
      <c r="A92" s="131"/>
      <c r="B92" s="131"/>
      <c r="C92" s="131"/>
      <c r="D92" s="131"/>
      <c r="E92" s="131"/>
      <c r="F92" s="131"/>
    </row>
    <row r="93" spans="1:6" x14ac:dyDescent="0.3">
      <c r="A93" s="131"/>
      <c r="B93" s="131"/>
      <c r="C93" s="131"/>
      <c r="D93" s="131"/>
      <c r="E93" s="131"/>
      <c r="F93" s="131"/>
    </row>
    <row r="94" spans="1:6" x14ac:dyDescent="0.3">
      <c r="A94" s="131"/>
      <c r="B94" s="131"/>
      <c r="C94" s="131"/>
      <c r="D94" s="131"/>
      <c r="E94" s="131"/>
      <c r="F94" s="131"/>
    </row>
    <row r="95" spans="1:6" x14ac:dyDescent="0.3">
      <c r="A95" s="131"/>
      <c r="B95" s="131"/>
      <c r="C95" s="131"/>
      <c r="D95" s="131"/>
      <c r="E95" s="131"/>
      <c r="F95" s="131"/>
    </row>
    <row r="96" spans="1:6" x14ac:dyDescent="0.3">
      <c r="A96" s="131"/>
      <c r="B96" s="131"/>
      <c r="C96" s="131"/>
      <c r="D96" s="131"/>
      <c r="E96" s="131"/>
      <c r="F96" s="131"/>
    </row>
    <row r="97" spans="1:6" x14ac:dyDescent="0.3">
      <c r="A97" s="131"/>
      <c r="B97" s="131"/>
      <c r="C97" s="131"/>
      <c r="D97" s="131"/>
      <c r="E97" s="131"/>
      <c r="F97" s="131"/>
    </row>
    <row r="98" spans="1:6" x14ac:dyDescent="0.3">
      <c r="A98" s="131"/>
      <c r="B98" s="131"/>
      <c r="C98" s="131"/>
      <c r="D98" s="131"/>
      <c r="E98" s="131"/>
      <c r="F98" s="131"/>
    </row>
    <row r="99" spans="1:6" x14ac:dyDescent="0.3">
      <c r="A99" s="131"/>
      <c r="B99" s="131"/>
      <c r="C99" s="131"/>
      <c r="D99" s="131"/>
      <c r="E99" s="131"/>
      <c r="F99" s="131"/>
    </row>
    <row r="100" spans="1:6" x14ac:dyDescent="0.3">
      <c r="A100" s="131"/>
      <c r="B100" s="131"/>
      <c r="C100" s="131"/>
      <c r="D100" s="131"/>
      <c r="E100" s="131"/>
      <c r="F100" s="131"/>
    </row>
    <row r="101" spans="1:6" x14ac:dyDescent="0.3">
      <c r="A101" s="131"/>
      <c r="B101" s="131"/>
      <c r="C101" s="131"/>
      <c r="D101" s="131"/>
      <c r="E101" s="131"/>
      <c r="F101" s="131"/>
    </row>
    <row r="102" spans="1:6" x14ac:dyDescent="0.3">
      <c r="A102" s="131"/>
      <c r="B102" s="131"/>
      <c r="C102" s="131"/>
      <c r="D102" s="131"/>
      <c r="E102" s="131"/>
      <c r="F102" s="131"/>
    </row>
    <row r="103" spans="1:6" x14ac:dyDescent="0.3">
      <c r="A103" s="131"/>
      <c r="B103" s="131"/>
      <c r="C103" s="131"/>
      <c r="D103" s="131"/>
      <c r="E103" s="131"/>
      <c r="F103" s="131"/>
    </row>
    <row r="104" spans="1:6" x14ac:dyDescent="0.3">
      <c r="A104" s="131"/>
      <c r="B104" s="131"/>
      <c r="C104" s="131"/>
      <c r="D104" s="131"/>
      <c r="E104" s="131"/>
      <c r="F104" s="131"/>
    </row>
    <row r="105" spans="1:6" x14ac:dyDescent="0.3">
      <c r="A105" s="131"/>
      <c r="B105" s="131"/>
      <c r="C105" s="131"/>
      <c r="D105" s="131"/>
      <c r="E105" s="131"/>
      <c r="F105" s="131"/>
    </row>
    <row r="106" spans="1:6" x14ac:dyDescent="0.3">
      <c r="A106" s="131"/>
      <c r="B106" s="131"/>
      <c r="C106" s="131"/>
      <c r="D106" s="131"/>
      <c r="E106" s="131"/>
      <c r="F106" s="131"/>
    </row>
    <row r="107" spans="1:6" x14ac:dyDescent="0.3">
      <c r="A107" s="131"/>
      <c r="B107" s="131"/>
      <c r="C107" s="131"/>
      <c r="D107" s="131"/>
      <c r="E107" s="131"/>
      <c r="F107" s="131"/>
    </row>
    <row r="108" spans="1:6" x14ac:dyDescent="0.3">
      <c r="A108" s="131"/>
      <c r="B108" s="131"/>
      <c r="C108" s="131"/>
      <c r="D108" s="131"/>
      <c r="E108" s="131"/>
      <c r="F108" s="131"/>
    </row>
    <row r="109" spans="1:6" x14ac:dyDescent="0.3">
      <c r="A109" s="131"/>
      <c r="B109" s="131"/>
      <c r="C109" s="131"/>
      <c r="D109" s="131"/>
      <c r="E109" s="131"/>
      <c r="F109" s="131"/>
    </row>
    <row r="110" spans="1:6" x14ac:dyDescent="0.3">
      <c r="A110" s="131"/>
      <c r="B110" s="131"/>
      <c r="C110" s="131"/>
      <c r="D110" s="131"/>
      <c r="E110" s="131"/>
      <c r="F110" s="131"/>
    </row>
    <row r="111" spans="1:6" x14ac:dyDescent="0.3">
      <c r="A111" s="131"/>
      <c r="B111" s="131"/>
      <c r="C111" s="131"/>
      <c r="D111" s="131"/>
      <c r="E111" s="131"/>
      <c r="F111" s="131"/>
    </row>
    <row r="112" spans="1:6" x14ac:dyDescent="0.3">
      <c r="A112" s="131"/>
      <c r="B112" s="131"/>
      <c r="C112" s="131"/>
      <c r="D112" s="131"/>
      <c r="E112" s="131"/>
      <c r="F112" s="131"/>
    </row>
    <row r="113" spans="1:6" x14ac:dyDescent="0.3">
      <c r="A113" s="131"/>
      <c r="B113" s="131"/>
      <c r="C113" s="131"/>
      <c r="D113" s="131"/>
      <c r="E113" s="131"/>
      <c r="F113" s="131"/>
    </row>
    <row r="114" spans="1:6" x14ac:dyDescent="0.3">
      <c r="A114" s="131"/>
      <c r="B114" s="131"/>
      <c r="C114" s="131"/>
      <c r="D114" s="131"/>
      <c r="E114" s="131"/>
      <c r="F114" s="131"/>
    </row>
    <row r="115" spans="1:6" x14ac:dyDescent="0.3">
      <c r="A115" s="131"/>
      <c r="B115" s="131"/>
      <c r="C115" s="131"/>
      <c r="D115" s="131"/>
      <c r="E115" s="131"/>
      <c r="F115" s="131"/>
    </row>
    <row r="116" spans="1:6" x14ac:dyDescent="0.3">
      <c r="A116" s="131"/>
      <c r="B116" s="131"/>
      <c r="C116" s="131"/>
      <c r="D116" s="131"/>
      <c r="E116" s="131"/>
      <c r="F116" s="131"/>
    </row>
    <row r="117" spans="1:6" x14ac:dyDescent="0.3">
      <c r="A117" s="131"/>
      <c r="B117" s="131"/>
      <c r="C117" s="131"/>
      <c r="D117" s="131"/>
      <c r="E117" s="131"/>
      <c r="F117" s="131"/>
    </row>
    <row r="118" spans="1:6" x14ac:dyDescent="0.3">
      <c r="A118" s="131"/>
      <c r="B118" s="131"/>
      <c r="C118" s="131"/>
      <c r="D118" s="131"/>
      <c r="E118" s="131"/>
      <c r="F118" s="131"/>
    </row>
    <row r="119" spans="1:6" x14ac:dyDescent="0.3">
      <c r="A119" s="131"/>
      <c r="B119" s="131"/>
      <c r="C119" s="131"/>
      <c r="D119" s="131"/>
      <c r="E119" s="131"/>
      <c r="F119" s="131"/>
    </row>
    <row r="120" spans="1:6" x14ac:dyDescent="0.3">
      <c r="A120" s="131"/>
      <c r="B120" s="131"/>
      <c r="C120" s="131"/>
      <c r="D120" s="131"/>
      <c r="E120" s="131"/>
      <c r="F120" s="131"/>
    </row>
    <row r="121" spans="1:6" x14ac:dyDescent="0.3">
      <c r="A121" s="131"/>
      <c r="B121" s="131"/>
      <c r="C121" s="131"/>
      <c r="D121" s="131"/>
      <c r="E121" s="131"/>
      <c r="F121" s="131"/>
    </row>
    <row r="122" spans="1:6" x14ac:dyDescent="0.3">
      <c r="A122" s="131"/>
      <c r="B122" s="131"/>
      <c r="C122" s="131"/>
      <c r="D122" s="131"/>
      <c r="E122" s="131"/>
      <c r="F122" s="131"/>
    </row>
    <row r="123" spans="1:6" x14ac:dyDescent="0.3">
      <c r="A123" s="131"/>
      <c r="B123" s="131"/>
      <c r="C123" s="131"/>
      <c r="D123" s="131"/>
      <c r="E123" s="131"/>
      <c r="F123" s="131"/>
    </row>
    <row r="124" spans="1:6" x14ac:dyDescent="0.3">
      <c r="A124" s="131"/>
      <c r="B124" s="131"/>
      <c r="C124" s="131"/>
      <c r="D124" s="131"/>
      <c r="E124" s="131"/>
      <c r="F124" s="131"/>
    </row>
    <row r="125" spans="1:6" x14ac:dyDescent="0.3">
      <c r="A125" s="131"/>
      <c r="B125" s="131"/>
      <c r="C125" s="131"/>
      <c r="D125" s="131"/>
      <c r="E125" s="131"/>
      <c r="F125" s="131"/>
    </row>
    <row r="126" spans="1:6" x14ac:dyDescent="0.3">
      <c r="A126" s="131"/>
      <c r="B126" s="131"/>
      <c r="C126" s="131"/>
      <c r="D126" s="131"/>
      <c r="E126" s="131"/>
      <c r="F126" s="131"/>
    </row>
    <row r="127" spans="1:6" x14ac:dyDescent="0.3">
      <c r="A127" s="131"/>
      <c r="B127" s="131"/>
      <c r="C127" s="131"/>
      <c r="D127" s="131"/>
      <c r="E127" s="131"/>
      <c r="F127" s="131"/>
    </row>
    <row r="128" spans="1:6" x14ac:dyDescent="0.3">
      <c r="A128" s="131"/>
      <c r="B128" s="131"/>
      <c r="C128" s="131"/>
      <c r="D128" s="131"/>
      <c r="E128" s="131"/>
      <c r="F128" s="131"/>
    </row>
    <row r="129" spans="1:6" x14ac:dyDescent="0.3">
      <c r="A129" s="131"/>
      <c r="B129" s="131"/>
      <c r="C129" s="131"/>
      <c r="D129" s="131"/>
      <c r="E129" s="131"/>
      <c r="F129" s="131"/>
    </row>
    <row r="130" spans="1:6" x14ac:dyDescent="0.3">
      <c r="A130" s="131"/>
      <c r="B130" s="131"/>
      <c r="C130" s="131"/>
      <c r="D130" s="131"/>
      <c r="E130" s="131"/>
      <c r="F130" s="131"/>
    </row>
    <row r="131" spans="1:6" x14ac:dyDescent="0.3">
      <c r="A131" s="131"/>
      <c r="B131" s="131"/>
      <c r="C131" s="131"/>
      <c r="D131" s="131"/>
      <c r="E131" s="131"/>
      <c r="F131" s="131"/>
    </row>
    <row r="132" spans="1:6" x14ac:dyDescent="0.3">
      <c r="A132" s="131"/>
      <c r="B132" s="131"/>
      <c r="C132" s="131"/>
      <c r="D132" s="131"/>
      <c r="E132" s="131"/>
      <c r="F132" s="131"/>
    </row>
    <row r="133" spans="1:6" x14ac:dyDescent="0.3">
      <c r="A133" s="131"/>
      <c r="B133" s="131"/>
      <c r="C133" s="131"/>
      <c r="D133" s="131"/>
      <c r="E133" s="131"/>
      <c r="F133" s="131"/>
    </row>
    <row r="134" spans="1:6" x14ac:dyDescent="0.3">
      <c r="A134" s="131"/>
      <c r="B134" s="131"/>
      <c r="C134" s="131"/>
      <c r="D134" s="131"/>
      <c r="E134" s="131"/>
      <c r="F134" s="131"/>
    </row>
    <row r="135" spans="1:6" x14ac:dyDescent="0.3">
      <c r="A135" s="131"/>
      <c r="B135" s="131"/>
      <c r="C135" s="131"/>
      <c r="D135" s="131"/>
      <c r="E135" s="131"/>
      <c r="F135" s="131"/>
    </row>
    <row r="136" spans="1:6" x14ac:dyDescent="0.3">
      <c r="A136" s="131"/>
      <c r="B136" s="131"/>
      <c r="C136" s="131"/>
      <c r="D136" s="131"/>
      <c r="E136" s="131"/>
      <c r="F136" s="131"/>
    </row>
    <row r="137" spans="1:6" x14ac:dyDescent="0.3">
      <c r="A137" s="131"/>
      <c r="B137" s="131"/>
      <c r="C137" s="131"/>
      <c r="D137" s="131"/>
      <c r="E137" s="131"/>
      <c r="F137" s="131"/>
    </row>
    <row r="138" spans="1:6" x14ac:dyDescent="0.3">
      <c r="A138" s="131"/>
      <c r="B138" s="131"/>
      <c r="C138" s="131"/>
      <c r="D138" s="131"/>
      <c r="E138" s="131"/>
      <c r="F138" s="131"/>
    </row>
    <row r="139" spans="1:6" x14ac:dyDescent="0.3">
      <c r="A139" s="131"/>
      <c r="B139" s="131"/>
      <c r="C139" s="131"/>
      <c r="D139" s="131"/>
      <c r="E139" s="131"/>
      <c r="F139" s="131"/>
    </row>
    <row r="140" spans="1:6" x14ac:dyDescent="0.3">
      <c r="A140" s="131"/>
      <c r="B140" s="131"/>
      <c r="C140" s="131"/>
      <c r="D140" s="131"/>
      <c r="E140" s="131"/>
      <c r="F140" s="131"/>
    </row>
    <row r="141" spans="1:6" x14ac:dyDescent="0.3">
      <c r="A141" s="131"/>
      <c r="B141" s="131"/>
      <c r="C141" s="131"/>
      <c r="D141" s="131"/>
      <c r="E141" s="131"/>
      <c r="F141" s="131"/>
    </row>
    <row r="142" spans="1:6" x14ac:dyDescent="0.3">
      <c r="A142" s="131"/>
      <c r="B142" s="131"/>
      <c r="C142" s="131"/>
      <c r="D142" s="131"/>
      <c r="E142" s="131"/>
      <c r="F142" s="131"/>
    </row>
    <row r="143" spans="1:6" x14ac:dyDescent="0.3">
      <c r="A143" s="131"/>
      <c r="B143" s="131"/>
      <c r="C143" s="131"/>
      <c r="D143" s="131"/>
      <c r="E143" s="131"/>
      <c r="F143" s="131"/>
    </row>
    <row r="144" spans="1:6" x14ac:dyDescent="0.3">
      <c r="A144" s="131"/>
      <c r="B144" s="131"/>
      <c r="C144" s="131"/>
      <c r="D144" s="131"/>
      <c r="E144" s="131"/>
      <c r="F144" s="131"/>
    </row>
    <row r="145" spans="1:6" x14ac:dyDescent="0.3">
      <c r="A145" s="131"/>
      <c r="B145" s="131"/>
      <c r="C145" s="131"/>
      <c r="D145" s="131"/>
      <c r="E145" s="131"/>
      <c r="F145" s="131"/>
    </row>
    <row r="146" spans="1:6" x14ac:dyDescent="0.3">
      <c r="A146" s="131"/>
      <c r="B146" s="131"/>
      <c r="C146" s="131"/>
      <c r="D146" s="131"/>
      <c r="E146" s="131"/>
      <c r="F146" s="131"/>
    </row>
    <row r="147" spans="1:6" x14ac:dyDescent="0.3">
      <c r="A147" s="131"/>
      <c r="B147" s="131"/>
      <c r="C147" s="131"/>
      <c r="D147" s="131"/>
      <c r="E147" s="131"/>
      <c r="F147" s="131"/>
    </row>
    <row r="148" spans="1:6" x14ac:dyDescent="0.3">
      <c r="A148" s="131"/>
      <c r="B148" s="131"/>
      <c r="C148" s="131"/>
      <c r="D148" s="131"/>
      <c r="E148" s="131"/>
      <c r="F148" s="131"/>
    </row>
    <row r="149" spans="1:6" x14ac:dyDescent="0.3">
      <c r="A149" s="131"/>
      <c r="B149" s="131"/>
      <c r="C149" s="131"/>
      <c r="D149" s="131"/>
      <c r="E149" s="131"/>
      <c r="F149" s="131"/>
    </row>
    <row r="150" spans="1:6" x14ac:dyDescent="0.3">
      <c r="A150" s="131"/>
      <c r="B150" s="131"/>
      <c r="C150" s="131"/>
      <c r="D150" s="131"/>
      <c r="E150" s="131"/>
      <c r="F150" s="131"/>
    </row>
    <row r="151" spans="1:6" x14ac:dyDescent="0.3">
      <c r="A151" s="131"/>
      <c r="B151" s="131"/>
      <c r="C151" s="131"/>
      <c r="D151" s="131"/>
      <c r="E151" s="131"/>
      <c r="F151" s="131"/>
    </row>
    <row r="152" spans="1:6" x14ac:dyDescent="0.3">
      <c r="A152" s="131"/>
      <c r="B152" s="131"/>
      <c r="C152" s="131"/>
      <c r="D152" s="131"/>
      <c r="E152" s="131"/>
      <c r="F152" s="131"/>
    </row>
    <row r="153" spans="1:6" x14ac:dyDescent="0.3">
      <c r="A153" s="131"/>
      <c r="B153" s="131"/>
      <c r="C153" s="131"/>
      <c r="D153" s="131"/>
      <c r="E153" s="131"/>
      <c r="F153" s="131"/>
    </row>
    <row r="154" spans="1:6" x14ac:dyDescent="0.3">
      <c r="A154" s="131"/>
      <c r="B154" s="131"/>
      <c r="C154" s="131"/>
      <c r="D154" s="131"/>
      <c r="E154" s="131"/>
      <c r="F154" s="131"/>
    </row>
    <row r="155" spans="1:6" x14ac:dyDescent="0.3">
      <c r="A155" s="131"/>
      <c r="B155" s="131"/>
      <c r="C155" s="131"/>
      <c r="D155" s="131"/>
      <c r="E155" s="131"/>
      <c r="F155" s="131"/>
    </row>
    <row r="156" spans="1:6" x14ac:dyDescent="0.3">
      <c r="A156" s="131"/>
      <c r="B156" s="131"/>
      <c r="C156" s="131"/>
      <c r="D156" s="131"/>
      <c r="E156" s="131"/>
      <c r="F156" s="131"/>
    </row>
    <row r="157" spans="1:6" x14ac:dyDescent="0.3">
      <c r="A157" s="131"/>
      <c r="B157" s="131"/>
      <c r="C157" s="131"/>
      <c r="D157" s="131"/>
      <c r="E157" s="131"/>
      <c r="F157" s="131"/>
    </row>
    <row r="158" spans="1:6" x14ac:dyDescent="0.3">
      <c r="A158" s="131"/>
      <c r="B158" s="131"/>
      <c r="C158" s="131"/>
      <c r="D158" s="131"/>
      <c r="E158" s="131"/>
      <c r="F158" s="131"/>
    </row>
    <row r="159" spans="1:6" x14ac:dyDescent="0.3">
      <c r="A159" s="131"/>
      <c r="B159" s="131"/>
      <c r="C159" s="131"/>
      <c r="D159" s="131"/>
      <c r="E159" s="131"/>
      <c r="F159" s="131"/>
    </row>
    <row r="160" spans="1:6" x14ac:dyDescent="0.3">
      <c r="A160" s="131"/>
      <c r="B160" s="131"/>
      <c r="C160" s="131"/>
      <c r="D160" s="131"/>
      <c r="E160" s="131"/>
      <c r="F160" s="131"/>
    </row>
    <row r="161" spans="1:6" x14ac:dyDescent="0.3">
      <c r="A161" s="131"/>
      <c r="B161" s="131"/>
      <c r="C161" s="131"/>
      <c r="D161" s="131"/>
      <c r="E161" s="131"/>
      <c r="F161" s="131"/>
    </row>
    <row r="162" spans="1:6" x14ac:dyDescent="0.3">
      <c r="A162" s="131"/>
      <c r="B162" s="131"/>
      <c r="C162" s="131"/>
      <c r="D162" s="131"/>
      <c r="E162" s="131"/>
      <c r="F162" s="131"/>
    </row>
    <row r="163" spans="1:6" x14ac:dyDescent="0.3">
      <c r="A163" s="131"/>
      <c r="B163" s="131"/>
      <c r="C163" s="131"/>
      <c r="D163" s="131"/>
      <c r="E163" s="131"/>
      <c r="F163" s="131"/>
    </row>
    <row r="164" spans="1:6" x14ac:dyDescent="0.3">
      <c r="A164" s="131"/>
      <c r="B164" s="131"/>
      <c r="C164" s="131"/>
      <c r="D164" s="131"/>
      <c r="E164" s="131"/>
      <c r="F164" s="131"/>
    </row>
    <row r="165" spans="1:6" x14ac:dyDescent="0.3">
      <c r="A165" s="131"/>
      <c r="B165" s="131"/>
      <c r="C165" s="131"/>
      <c r="D165" s="131"/>
      <c r="E165" s="131"/>
      <c r="F165" s="131"/>
    </row>
    <row r="166" spans="1:6" x14ac:dyDescent="0.3">
      <c r="A166" s="131"/>
      <c r="B166" s="131"/>
      <c r="C166" s="131"/>
      <c r="D166" s="131"/>
      <c r="E166" s="131"/>
      <c r="F166" s="131"/>
    </row>
    <row r="167" spans="1:6" x14ac:dyDescent="0.3">
      <c r="A167" s="131"/>
      <c r="B167" s="131"/>
      <c r="C167" s="131"/>
      <c r="D167" s="131"/>
      <c r="E167" s="131"/>
      <c r="F167" s="131"/>
    </row>
    <row r="168" spans="1:6" x14ac:dyDescent="0.3">
      <c r="A168" s="131"/>
      <c r="B168" s="131"/>
      <c r="C168" s="131"/>
      <c r="D168" s="131"/>
      <c r="E168" s="131"/>
      <c r="F168" s="131"/>
    </row>
    <row r="169" spans="1:6" x14ac:dyDescent="0.3">
      <c r="A169" s="131"/>
      <c r="B169" s="131"/>
      <c r="C169" s="131"/>
      <c r="D169" s="131"/>
      <c r="E169" s="131"/>
      <c r="F169" s="131"/>
    </row>
    <row r="170" spans="1:6" x14ac:dyDescent="0.3">
      <c r="A170" s="131"/>
      <c r="B170" s="131"/>
      <c r="C170" s="131"/>
      <c r="D170" s="131"/>
      <c r="E170" s="131"/>
      <c r="F170" s="131"/>
    </row>
    <row r="171" spans="1:6" x14ac:dyDescent="0.3">
      <c r="A171" s="131"/>
      <c r="B171" s="131"/>
      <c r="C171" s="131"/>
      <c r="D171" s="131"/>
      <c r="E171" s="131"/>
      <c r="F171" s="131"/>
    </row>
    <row r="172" spans="1:6" x14ac:dyDescent="0.3">
      <c r="A172" s="131"/>
      <c r="B172" s="131"/>
      <c r="C172" s="131"/>
      <c r="D172" s="131"/>
      <c r="E172" s="131"/>
      <c r="F172" s="131"/>
    </row>
    <row r="173" spans="1:6" x14ac:dyDescent="0.3">
      <c r="A173" s="131"/>
      <c r="B173" s="131"/>
      <c r="C173" s="131"/>
      <c r="D173" s="131"/>
      <c r="E173" s="131"/>
      <c r="F173" s="131"/>
    </row>
    <row r="174" spans="1:6" x14ac:dyDescent="0.3">
      <c r="A174" s="131"/>
      <c r="B174" s="131"/>
      <c r="C174" s="131"/>
      <c r="D174" s="131"/>
      <c r="E174" s="131"/>
      <c r="F174" s="131"/>
    </row>
    <row r="175" spans="1:6" x14ac:dyDescent="0.3">
      <c r="A175" s="131"/>
      <c r="B175" s="131"/>
      <c r="C175" s="131"/>
      <c r="D175" s="131"/>
      <c r="E175" s="131"/>
      <c r="F175" s="131"/>
    </row>
    <row r="176" spans="1:6" x14ac:dyDescent="0.3">
      <c r="A176" s="131"/>
      <c r="B176" s="131"/>
      <c r="C176" s="131"/>
      <c r="D176" s="131"/>
      <c r="E176" s="131"/>
      <c r="F176" s="131"/>
    </row>
    <row r="177" spans="1:6" x14ac:dyDescent="0.3">
      <c r="A177" s="131"/>
      <c r="B177" s="131"/>
      <c r="C177" s="131"/>
      <c r="D177" s="131"/>
      <c r="E177" s="131"/>
      <c r="F177" s="131"/>
    </row>
    <row r="178" spans="1:6" x14ac:dyDescent="0.3">
      <c r="A178" s="131"/>
      <c r="B178" s="131"/>
      <c r="C178" s="131"/>
      <c r="D178" s="131"/>
      <c r="E178" s="131"/>
      <c r="F178" s="131"/>
    </row>
    <row r="179" spans="1:6" x14ac:dyDescent="0.3">
      <c r="A179" s="131"/>
      <c r="B179" s="131"/>
      <c r="C179" s="131"/>
      <c r="D179" s="131"/>
      <c r="E179" s="131"/>
      <c r="F179" s="131"/>
    </row>
    <row r="180" spans="1:6" x14ac:dyDescent="0.3">
      <c r="A180" s="131"/>
      <c r="B180" s="131"/>
      <c r="C180" s="131"/>
      <c r="D180" s="131"/>
      <c r="E180" s="131"/>
      <c r="F180" s="131"/>
    </row>
    <row r="181" spans="1:6" x14ac:dyDescent="0.3">
      <c r="A181" s="131"/>
      <c r="B181" s="131"/>
      <c r="C181" s="131"/>
      <c r="D181" s="131"/>
      <c r="E181" s="131"/>
      <c r="F181" s="131"/>
    </row>
    <row r="182" spans="1:6" x14ac:dyDescent="0.3">
      <c r="A182" s="131"/>
      <c r="B182" s="131"/>
      <c r="C182" s="131"/>
      <c r="D182" s="131"/>
      <c r="E182" s="131"/>
      <c r="F182" s="131"/>
    </row>
    <row r="183" spans="1:6" x14ac:dyDescent="0.3">
      <c r="A183" s="131"/>
      <c r="B183" s="131"/>
      <c r="C183" s="131"/>
      <c r="D183" s="131"/>
      <c r="E183" s="131"/>
      <c r="F183" s="131"/>
    </row>
    <row r="184" spans="1:6" x14ac:dyDescent="0.3">
      <c r="A184" s="131"/>
      <c r="B184" s="131"/>
      <c r="C184" s="131"/>
      <c r="D184" s="131"/>
      <c r="E184" s="131"/>
      <c r="F184" s="131"/>
    </row>
    <row r="185" spans="1:6" x14ac:dyDescent="0.3">
      <c r="A185" s="131"/>
      <c r="B185" s="131"/>
      <c r="C185" s="131"/>
      <c r="D185" s="131"/>
      <c r="E185" s="131"/>
      <c r="F185" s="131"/>
    </row>
    <row r="186" spans="1:6" x14ac:dyDescent="0.3">
      <c r="A186" s="131"/>
      <c r="B186" s="131"/>
      <c r="C186" s="131"/>
      <c r="D186" s="131"/>
      <c r="E186" s="131"/>
      <c r="F186" s="131"/>
    </row>
    <row r="187" spans="1:6" x14ac:dyDescent="0.3">
      <c r="A187" s="131"/>
      <c r="B187" s="131"/>
      <c r="C187" s="131"/>
      <c r="D187" s="131"/>
      <c r="E187" s="131"/>
      <c r="F187" s="131"/>
    </row>
    <row r="188" spans="1:6" x14ac:dyDescent="0.3">
      <c r="A188" s="131"/>
      <c r="B188" s="131"/>
      <c r="C188" s="131"/>
      <c r="D188" s="131"/>
      <c r="E188" s="131"/>
      <c r="F188" s="131"/>
    </row>
    <row r="189" spans="1:6" x14ac:dyDescent="0.3">
      <c r="A189" s="131"/>
      <c r="B189" s="131"/>
      <c r="C189" s="131"/>
      <c r="D189" s="131"/>
      <c r="E189" s="131"/>
      <c r="F189" s="131"/>
    </row>
    <row r="190" spans="1:6" x14ac:dyDescent="0.3">
      <c r="A190" s="131"/>
      <c r="B190" s="131"/>
      <c r="C190" s="131"/>
      <c r="D190" s="131"/>
      <c r="E190" s="131"/>
      <c r="F190" s="131"/>
    </row>
    <row r="191" spans="1:6" x14ac:dyDescent="0.3">
      <c r="A191" s="131"/>
      <c r="B191" s="131"/>
      <c r="C191" s="131"/>
      <c r="D191" s="131"/>
      <c r="E191" s="131"/>
      <c r="F191" s="131"/>
    </row>
    <row r="192" spans="1:6" x14ac:dyDescent="0.3">
      <c r="A192" s="131"/>
      <c r="B192" s="131"/>
      <c r="C192" s="131"/>
      <c r="D192" s="131"/>
      <c r="E192" s="131"/>
      <c r="F192" s="131"/>
    </row>
    <row r="193" spans="1:6" x14ac:dyDescent="0.3">
      <c r="A193" s="131"/>
      <c r="B193" s="131"/>
      <c r="C193" s="131"/>
      <c r="D193" s="131"/>
      <c r="E193" s="131"/>
      <c r="F193" s="131"/>
    </row>
    <row r="194" spans="1:6" x14ac:dyDescent="0.3">
      <c r="A194" s="131"/>
      <c r="B194" s="131"/>
      <c r="C194" s="131"/>
      <c r="D194" s="131"/>
      <c r="E194" s="131"/>
      <c r="F194" s="131"/>
    </row>
    <row r="195" spans="1:6" x14ac:dyDescent="0.3">
      <c r="A195" s="131"/>
      <c r="B195" s="131"/>
      <c r="C195" s="131"/>
      <c r="D195" s="131"/>
      <c r="E195" s="131"/>
      <c r="F195" s="131"/>
    </row>
    <row r="196" spans="1:6" x14ac:dyDescent="0.3">
      <c r="A196" s="131"/>
      <c r="B196" s="131"/>
      <c r="C196" s="131"/>
      <c r="D196" s="131"/>
      <c r="E196" s="131"/>
      <c r="F196" s="131"/>
    </row>
    <row r="197" spans="1:6" x14ac:dyDescent="0.3">
      <c r="A197" s="131"/>
      <c r="B197" s="131"/>
      <c r="C197" s="131"/>
      <c r="D197" s="131"/>
      <c r="E197" s="131"/>
      <c r="F197" s="131"/>
    </row>
    <row r="198" spans="1:6" x14ac:dyDescent="0.3">
      <c r="A198" s="131"/>
      <c r="B198" s="131"/>
      <c r="C198" s="131"/>
      <c r="D198" s="131"/>
      <c r="E198" s="131"/>
      <c r="F198" s="131"/>
    </row>
    <row r="199" spans="1:6" x14ac:dyDescent="0.3">
      <c r="A199" s="131"/>
      <c r="B199" s="131"/>
      <c r="C199" s="131"/>
      <c r="D199" s="131"/>
      <c r="E199" s="131"/>
      <c r="F199" s="131"/>
    </row>
    <row r="200" spans="1:6" x14ac:dyDescent="0.3">
      <c r="A200" s="131"/>
      <c r="B200" s="131"/>
      <c r="C200" s="131"/>
      <c r="D200" s="131"/>
      <c r="E200" s="131"/>
      <c r="F200" s="131"/>
    </row>
    <row r="201" spans="1:6" x14ac:dyDescent="0.3">
      <c r="A201" s="131"/>
      <c r="B201" s="131"/>
      <c r="C201" s="131"/>
      <c r="D201" s="131"/>
      <c r="E201" s="131"/>
      <c r="F201" s="131"/>
    </row>
    <row r="202" spans="1:6" x14ac:dyDescent="0.3">
      <c r="A202" s="131"/>
      <c r="B202" s="131"/>
      <c r="C202" s="131"/>
      <c r="D202" s="131"/>
      <c r="E202" s="131"/>
      <c r="F202" s="131"/>
    </row>
    <row r="203" spans="1:6" x14ac:dyDescent="0.3">
      <c r="A203" s="131"/>
      <c r="B203" s="131"/>
      <c r="C203" s="131"/>
      <c r="D203" s="131"/>
      <c r="E203" s="131"/>
      <c r="F203" s="131"/>
    </row>
    <row r="204" spans="1:6" x14ac:dyDescent="0.3">
      <c r="A204" s="131"/>
      <c r="B204" s="131"/>
      <c r="C204" s="131"/>
      <c r="D204" s="131"/>
      <c r="E204" s="131"/>
      <c r="F204" s="131"/>
    </row>
    <row r="205" spans="1:6" x14ac:dyDescent="0.3">
      <c r="A205" s="131"/>
      <c r="B205" s="131"/>
      <c r="C205" s="131"/>
      <c r="D205" s="131"/>
      <c r="E205" s="131"/>
      <c r="F205" s="131"/>
    </row>
    <row r="206" spans="1:6" x14ac:dyDescent="0.3">
      <c r="A206" s="131"/>
      <c r="B206" s="131"/>
      <c r="C206" s="131"/>
      <c r="D206" s="131"/>
      <c r="E206" s="131"/>
      <c r="F206" s="131"/>
    </row>
    <row r="207" spans="1:6" x14ac:dyDescent="0.3">
      <c r="A207" s="131"/>
      <c r="B207" s="131"/>
      <c r="C207" s="131"/>
      <c r="D207" s="131"/>
      <c r="E207" s="131"/>
      <c r="F207" s="131"/>
    </row>
    <row r="208" spans="1:6" x14ac:dyDescent="0.3">
      <c r="A208" s="131"/>
      <c r="B208" s="131"/>
      <c r="C208" s="131"/>
      <c r="D208" s="131"/>
      <c r="E208" s="131"/>
      <c r="F208" s="131"/>
    </row>
    <row r="209" spans="1:6" x14ac:dyDescent="0.3">
      <c r="A209" s="131"/>
      <c r="B209" s="131"/>
      <c r="C209" s="131"/>
      <c r="D209" s="131"/>
      <c r="E209" s="131"/>
      <c r="F209" s="131"/>
    </row>
    <row r="210" spans="1:6" x14ac:dyDescent="0.3">
      <c r="A210" s="131"/>
      <c r="B210" s="131"/>
      <c r="C210" s="131"/>
      <c r="D210" s="131"/>
      <c r="E210" s="131"/>
      <c r="F210" s="131"/>
    </row>
    <row r="211" spans="1:6" x14ac:dyDescent="0.3">
      <c r="A211" s="131"/>
      <c r="B211" s="131"/>
      <c r="C211" s="131"/>
      <c r="D211" s="131"/>
      <c r="E211" s="131"/>
      <c r="F211" s="131"/>
    </row>
    <row r="212" spans="1:6" x14ac:dyDescent="0.3">
      <c r="A212" s="131"/>
      <c r="B212" s="131"/>
      <c r="C212" s="131"/>
      <c r="D212" s="131"/>
      <c r="E212" s="131"/>
      <c r="F212" s="131"/>
    </row>
    <row r="213" spans="1:6" x14ac:dyDescent="0.3">
      <c r="A213" s="131"/>
      <c r="B213" s="131"/>
      <c r="C213" s="131"/>
      <c r="D213" s="131"/>
      <c r="E213" s="131"/>
      <c r="F213" s="131"/>
    </row>
    <row r="214" spans="1:6" x14ac:dyDescent="0.3">
      <c r="A214" s="131"/>
      <c r="B214" s="131"/>
      <c r="C214" s="131"/>
      <c r="D214" s="131"/>
      <c r="E214" s="131"/>
      <c r="F214" s="131"/>
    </row>
    <row r="215" spans="1:6" x14ac:dyDescent="0.3">
      <c r="A215" s="131"/>
      <c r="B215" s="131"/>
      <c r="C215" s="131"/>
      <c r="D215" s="131"/>
      <c r="E215" s="131"/>
      <c r="F215" s="131"/>
    </row>
    <row r="216" spans="1:6" x14ac:dyDescent="0.3">
      <c r="A216" s="131"/>
      <c r="B216" s="131"/>
      <c r="C216" s="131"/>
      <c r="D216" s="131"/>
      <c r="E216" s="131"/>
      <c r="F216" s="131"/>
    </row>
    <row r="217" spans="1:6" x14ac:dyDescent="0.3">
      <c r="A217" s="131"/>
      <c r="B217" s="131"/>
      <c r="C217" s="131"/>
      <c r="D217" s="131"/>
      <c r="E217" s="131"/>
      <c r="F217" s="131"/>
    </row>
    <row r="218" spans="1:6" x14ac:dyDescent="0.3">
      <c r="A218" s="131"/>
      <c r="B218" s="131"/>
      <c r="C218" s="131"/>
      <c r="D218" s="131"/>
      <c r="E218" s="131"/>
      <c r="F218" s="131"/>
    </row>
    <row r="219" spans="1:6" x14ac:dyDescent="0.3">
      <c r="A219" s="131"/>
      <c r="B219" s="131"/>
      <c r="C219" s="131"/>
      <c r="D219" s="131"/>
      <c r="E219" s="131"/>
      <c r="F219" s="131"/>
    </row>
    <row r="220" spans="1:6" x14ac:dyDescent="0.3">
      <c r="A220" s="131"/>
      <c r="B220" s="131"/>
      <c r="C220" s="131"/>
      <c r="D220" s="131"/>
      <c r="E220" s="131"/>
      <c r="F220" s="131"/>
    </row>
    <row r="221" spans="1:6" x14ac:dyDescent="0.3">
      <c r="A221" s="131"/>
      <c r="B221" s="131"/>
      <c r="C221" s="131"/>
      <c r="D221" s="131"/>
      <c r="E221" s="131"/>
      <c r="F221" s="131"/>
    </row>
    <row r="222" spans="1:6" x14ac:dyDescent="0.3">
      <c r="A222" s="131"/>
      <c r="B222" s="131"/>
      <c r="C222" s="131"/>
      <c r="D222" s="131"/>
      <c r="E222" s="131"/>
      <c r="F222" s="131"/>
    </row>
    <row r="223" spans="1:6" x14ac:dyDescent="0.3">
      <c r="A223" s="131"/>
      <c r="B223" s="131"/>
      <c r="C223" s="131"/>
      <c r="D223" s="131"/>
      <c r="E223" s="131"/>
      <c r="F223" s="131"/>
    </row>
    <row r="224" spans="1:6" x14ac:dyDescent="0.3">
      <c r="A224" s="131"/>
      <c r="B224" s="131"/>
      <c r="C224" s="131"/>
      <c r="D224" s="131"/>
      <c r="E224" s="131"/>
      <c r="F224" s="131"/>
    </row>
    <row r="225" spans="1:6" x14ac:dyDescent="0.3">
      <c r="A225" s="131"/>
      <c r="B225" s="131"/>
      <c r="C225" s="131"/>
      <c r="D225" s="131"/>
      <c r="E225" s="131"/>
      <c r="F225" s="131"/>
    </row>
    <row r="226" spans="1:6" x14ac:dyDescent="0.3">
      <c r="A226" s="131"/>
      <c r="B226" s="131"/>
      <c r="C226" s="131"/>
      <c r="D226" s="131"/>
      <c r="E226" s="131"/>
      <c r="F226" s="131"/>
    </row>
    <row r="227" spans="1:6" x14ac:dyDescent="0.3">
      <c r="A227" s="131"/>
      <c r="B227" s="131"/>
      <c r="C227" s="131"/>
      <c r="D227" s="131"/>
      <c r="E227" s="131"/>
      <c r="F227" s="131"/>
    </row>
    <row r="228" spans="1:6" x14ac:dyDescent="0.3">
      <c r="A228" s="131"/>
      <c r="B228" s="131"/>
      <c r="C228" s="131"/>
      <c r="D228" s="131"/>
      <c r="E228" s="131"/>
      <c r="F228" s="131"/>
    </row>
    <row r="229" spans="1:6" x14ac:dyDescent="0.3">
      <c r="A229" s="131"/>
      <c r="B229" s="131"/>
      <c r="C229" s="131"/>
      <c r="D229" s="131"/>
      <c r="E229" s="131"/>
      <c r="F229" s="131"/>
    </row>
    <row r="230" spans="1:6" x14ac:dyDescent="0.3">
      <c r="A230" s="131"/>
      <c r="B230" s="131"/>
      <c r="C230" s="131"/>
      <c r="D230" s="131"/>
      <c r="E230" s="131"/>
      <c r="F230" s="131"/>
    </row>
    <row r="231" spans="1:6" x14ac:dyDescent="0.3">
      <c r="A231" s="131"/>
      <c r="B231" s="131"/>
      <c r="C231" s="131"/>
      <c r="D231" s="131"/>
      <c r="E231" s="131"/>
      <c r="F231" s="131"/>
    </row>
    <row r="232" spans="1:6" x14ac:dyDescent="0.3">
      <c r="A232" s="131"/>
      <c r="B232" s="131"/>
      <c r="C232" s="131"/>
      <c r="D232" s="131"/>
      <c r="E232" s="131"/>
      <c r="F232" s="131"/>
    </row>
    <row r="233" spans="1:6" x14ac:dyDescent="0.3">
      <c r="A233" s="131"/>
      <c r="B233" s="131"/>
      <c r="C233" s="131"/>
      <c r="D233" s="131"/>
      <c r="E233" s="131"/>
      <c r="F233" s="131"/>
    </row>
    <row r="234" spans="1:6" x14ac:dyDescent="0.3">
      <c r="A234" s="131"/>
      <c r="B234" s="131"/>
      <c r="C234" s="131"/>
      <c r="D234" s="131"/>
      <c r="E234" s="131"/>
      <c r="F234" s="131"/>
    </row>
    <row r="235" spans="1:6" x14ac:dyDescent="0.3">
      <c r="A235" s="131"/>
      <c r="B235" s="131"/>
      <c r="C235" s="131"/>
      <c r="D235" s="131"/>
      <c r="E235" s="131"/>
      <c r="F235" s="131"/>
    </row>
    <row r="236" spans="1:6" x14ac:dyDescent="0.3">
      <c r="A236" s="131"/>
      <c r="B236" s="131"/>
      <c r="C236" s="131"/>
      <c r="D236" s="131"/>
      <c r="E236" s="131"/>
      <c r="F236" s="131"/>
    </row>
    <row r="237" spans="1:6" x14ac:dyDescent="0.3">
      <c r="A237" s="131"/>
      <c r="B237" s="131"/>
      <c r="C237" s="131"/>
      <c r="D237" s="131"/>
      <c r="E237" s="131"/>
      <c r="F237" s="131"/>
    </row>
    <row r="238" spans="1:6" x14ac:dyDescent="0.3">
      <c r="A238" s="131"/>
      <c r="B238" s="131"/>
      <c r="C238" s="131"/>
      <c r="D238" s="131"/>
      <c r="E238" s="131"/>
      <c r="F238" s="131"/>
    </row>
    <row r="239" spans="1:6" x14ac:dyDescent="0.3">
      <c r="A239" s="131"/>
      <c r="B239" s="131"/>
      <c r="C239" s="131"/>
      <c r="D239" s="131"/>
      <c r="E239" s="131"/>
      <c r="F239" s="131"/>
    </row>
    <row r="240" spans="1:6" x14ac:dyDescent="0.3">
      <c r="A240" s="131"/>
      <c r="B240" s="131"/>
      <c r="C240" s="131"/>
      <c r="D240" s="131"/>
      <c r="E240" s="131"/>
      <c r="F240" s="131"/>
    </row>
    <row r="241" spans="1:6" x14ac:dyDescent="0.3">
      <c r="A241" s="131"/>
      <c r="B241" s="131"/>
      <c r="C241" s="131"/>
      <c r="D241" s="131"/>
      <c r="E241" s="131"/>
      <c r="F241" s="131"/>
    </row>
    <row r="242" spans="1:6" x14ac:dyDescent="0.3">
      <c r="A242" s="131"/>
      <c r="B242" s="131"/>
      <c r="C242" s="131"/>
      <c r="D242" s="131"/>
      <c r="E242" s="131"/>
      <c r="F242" s="131"/>
    </row>
    <row r="243" spans="1:6" x14ac:dyDescent="0.3">
      <c r="A243" s="131"/>
      <c r="B243" s="131"/>
      <c r="C243" s="131"/>
      <c r="D243" s="131"/>
      <c r="E243" s="131"/>
      <c r="F243" s="131"/>
    </row>
    <row r="244" spans="1:6" x14ac:dyDescent="0.3">
      <c r="A244" s="131"/>
      <c r="B244" s="131"/>
      <c r="C244" s="131"/>
      <c r="D244" s="131"/>
      <c r="E244" s="131"/>
      <c r="F244" s="131"/>
    </row>
    <row r="245" spans="1:6" x14ac:dyDescent="0.3">
      <c r="A245" s="131"/>
      <c r="B245" s="131"/>
      <c r="C245" s="131"/>
      <c r="D245" s="131"/>
      <c r="E245" s="131"/>
      <c r="F245" s="131"/>
    </row>
    <row r="246" spans="1:6" x14ac:dyDescent="0.3">
      <c r="A246" s="131"/>
      <c r="B246" s="131"/>
      <c r="C246" s="131"/>
      <c r="D246" s="131"/>
      <c r="E246" s="131"/>
      <c r="F246" s="131"/>
    </row>
    <row r="247" spans="1:6" x14ac:dyDescent="0.3">
      <c r="A247" s="131"/>
      <c r="B247" s="131"/>
      <c r="C247" s="131"/>
      <c r="D247" s="131"/>
      <c r="E247" s="131"/>
      <c r="F247" s="131"/>
    </row>
    <row r="248" spans="1:6" x14ac:dyDescent="0.3">
      <c r="A248" s="131"/>
      <c r="B248" s="131"/>
      <c r="C248" s="131"/>
      <c r="D248" s="131"/>
      <c r="E248" s="131"/>
      <c r="F248" s="131"/>
    </row>
    <row r="249" spans="1:6" x14ac:dyDescent="0.3">
      <c r="A249" s="131"/>
      <c r="B249" s="131"/>
      <c r="C249" s="131"/>
      <c r="D249" s="131"/>
      <c r="E249" s="131"/>
      <c r="F249" s="131"/>
    </row>
    <row r="250" spans="1:6" x14ac:dyDescent="0.3">
      <c r="A250" s="131"/>
      <c r="B250" s="131"/>
      <c r="C250" s="131"/>
      <c r="D250" s="131"/>
      <c r="E250" s="131"/>
      <c r="F250" s="131"/>
    </row>
    <row r="251" spans="1:6" x14ac:dyDescent="0.3">
      <c r="A251" s="131"/>
      <c r="B251" s="131"/>
      <c r="C251" s="131"/>
      <c r="D251" s="131"/>
      <c r="E251" s="131"/>
      <c r="F251" s="131"/>
    </row>
    <row r="252" spans="1:6" x14ac:dyDescent="0.3">
      <c r="A252" s="131"/>
      <c r="B252" s="131"/>
      <c r="C252" s="131"/>
      <c r="D252" s="131"/>
      <c r="E252" s="131"/>
      <c r="F252" s="131"/>
    </row>
    <row r="253" spans="1:6" x14ac:dyDescent="0.3">
      <c r="A253" s="131"/>
      <c r="B253" s="131"/>
      <c r="C253" s="131"/>
      <c r="D253" s="131"/>
      <c r="E253" s="131"/>
      <c r="F253" s="131"/>
    </row>
    <row r="254" spans="1:6" x14ac:dyDescent="0.3">
      <c r="A254" s="131"/>
      <c r="B254" s="131"/>
      <c r="C254" s="131"/>
      <c r="D254" s="131"/>
      <c r="E254" s="131"/>
      <c r="F254" s="131"/>
    </row>
    <row r="255" spans="1:6" x14ac:dyDescent="0.3">
      <c r="A255" s="131"/>
      <c r="B255" s="131"/>
      <c r="C255" s="131"/>
      <c r="D255" s="131"/>
      <c r="E255" s="131"/>
      <c r="F255" s="131"/>
    </row>
    <row r="256" spans="1:6" x14ac:dyDescent="0.3">
      <c r="A256" s="131"/>
      <c r="B256" s="131"/>
      <c r="C256" s="131"/>
      <c r="D256" s="131"/>
      <c r="E256" s="131"/>
      <c r="F256" s="131"/>
    </row>
    <row r="257" spans="1:6" x14ac:dyDescent="0.3">
      <c r="A257" s="131"/>
      <c r="B257" s="131"/>
      <c r="C257" s="131"/>
      <c r="D257" s="131"/>
      <c r="E257" s="131"/>
      <c r="F257" s="131"/>
    </row>
    <row r="258" spans="1:6" x14ac:dyDescent="0.3">
      <c r="A258" s="131"/>
      <c r="B258" s="131"/>
      <c r="C258" s="131"/>
      <c r="D258" s="131"/>
      <c r="E258" s="131"/>
      <c r="F258" s="131"/>
    </row>
    <row r="259" spans="1:6" x14ac:dyDescent="0.3">
      <c r="A259" s="131"/>
      <c r="B259" s="131"/>
      <c r="C259" s="131"/>
      <c r="D259" s="131"/>
      <c r="E259" s="131"/>
      <c r="F259" s="131"/>
    </row>
    <row r="260" spans="1:6" x14ac:dyDescent="0.3">
      <c r="A260" s="131"/>
      <c r="B260" s="131"/>
      <c r="C260" s="131"/>
      <c r="D260" s="131"/>
      <c r="E260" s="131"/>
      <c r="F260" s="131"/>
    </row>
    <row r="261" spans="1:6" x14ac:dyDescent="0.3">
      <c r="A261" s="131"/>
      <c r="B261" s="131"/>
      <c r="C261" s="131"/>
      <c r="D261" s="131"/>
      <c r="E261" s="131"/>
      <c r="F261" s="131"/>
    </row>
    <row r="262" spans="1:6" x14ac:dyDescent="0.3">
      <c r="A262" s="131"/>
      <c r="B262" s="131"/>
      <c r="C262" s="131"/>
      <c r="D262" s="131"/>
      <c r="E262" s="131"/>
      <c r="F262" s="131"/>
    </row>
    <row r="263" spans="1:6" x14ac:dyDescent="0.3">
      <c r="A263" s="131"/>
      <c r="B263" s="131"/>
      <c r="C263" s="131"/>
      <c r="D263" s="131"/>
      <c r="E263" s="131"/>
      <c r="F263" s="131"/>
    </row>
    <row r="264" spans="1:6" x14ac:dyDescent="0.3">
      <c r="A264" s="131"/>
      <c r="B264" s="131"/>
      <c r="C264" s="131"/>
      <c r="D264" s="131"/>
      <c r="E264" s="131"/>
      <c r="F264" s="131"/>
    </row>
    <row r="265" spans="1:6" x14ac:dyDescent="0.3">
      <c r="A265" s="131"/>
      <c r="B265" s="131"/>
      <c r="C265" s="131"/>
      <c r="D265" s="131"/>
      <c r="E265" s="131"/>
      <c r="F265" s="131"/>
    </row>
    <row r="266" spans="1:6" x14ac:dyDescent="0.3">
      <c r="A266" s="131"/>
      <c r="B266" s="131"/>
      <c r="C266" s="131"/>
      <c r="D266" s="131"/>
      <c r="E266" s="131"/>
      <c r="F266" s="131"/>
    </row>
    <row r="267" spans="1:6" x14ac:dyDescent="0.3">
      <c r="A267" s="131"/>
      <c r="B267" s="131"/>
      <c r="C267" s="131"/>
      <c r="D267" s="131"/>
      <c r="E267" s="131"/>
      <c r="F267" s="131"/>
    </row>
    <row r="268" spans="1:6" x14ac:dyDescent="0.3">
      <c r="A268" s="131"/>
      <c r="B268" s="131"/>
      <c r="C268" s="131"/>
      <c r="D268" s="131"/>
      <c r="E268" s="131"/>
      <c r="F268" s="131"/>
    </row>
    <row r="269" spans="1:6" x14ac:dyDescent="0.3">
      <c r="A269" s="131"/>
      <c r="B269" s="131"/>
      <c r="C269" s="131"/>
      <c r="D269" s="131"/>
      <c r="E269" s="131"/>
      <c r="F269" s="131"/>
    </row>
    <row r="270" spans="1:6" x14ac:dyDescent="0.3">
      <c r="A270" s="131"/>
      <c r="B270" s="131"/>
      <c r="C270" s="131"/>
      <c r="D270" s="131"/>
      <c r="E270" s="131"/>
      <c r="F270" s="131"/>
    </row>
    <row r="271" spans="1:6" x14ac:dyDescent="0.3">
      <c r="A271" s="131"/>
      <c r="B271" s="131"/>
      <c r="C271" s="131"/>
      <c r="D271" s="131"/>
      <c r="E271" s="131"/>
      <c r="F271" s="131"/>
    </row>
    <row r="272" spans="1:6" x14ac:dyDescent="0.3">
      <c r="A272" s="131"/>
      <c r="B272" s="131"/>
      <c r="C272" s="131"/>
      <c r="D272" s="131"/>
      <c r="E272" s="131"/>
      <c r="F272" s="131"/>
    </row>
    <row r="273" spans="1:6" x14ac:dyDescent="0.3">
      <c r="A273" s="131"/>
      <c r="B273" s="131"/>
      <c r="C273" s="131"/>
      <c r="D273" s="131"/>
      <c r="E273" s="131"/>
      <c r="F273" s="131"/>
    </row>
    <row r="274" spans="1:6" x14ac:dyDescent="0.3">
      <c r="A274" s="131"/>
      <c r="B274" s="131"/>
      <c r="C274" s="131"/>
      <c r="D274" s="131"/>
      <c r="E274" s="131"/>
      <c r="F274" s="131"/>
    </row>
    <row r="275" spans="1:6" x14ac:dyDescent="0.3">
      <c r="A275" s="131"/>
      <c r="B275" s="131"/>
      <c r="C275" s="131"/>
      <c r="D275" s="131"/>
      <c r="E275" s="131"/>
      <c r="F275" s="131"/>
    </row>
    <row r="276" spans="1:6" x14ac:dyDescent="0.3">
      <c r="A276" s="131"/>
      <c r="B276" s="131"/>
      <c r="C276" s="131"/>
      <c r="D276" s="131"/>
      <c r="E276" s="131"/>
      <c r="F276" s="131"/>
    </row>
    <row r="277" spans="1:6" x14ac:dyDescent="0.3">
      <c r="A277" s="131"/>
      <c r="B277" s="131"/>
      <c r="C277" s="131"/>
      <c r="D277" s="131"/>
      <c r="E277" s="131"/>
      <c r="F277" s="131"/>
    </row>
    <row r="278" spans="1:6" x14ac:dyDescent="0.3">
      <c r="A278" s="131"/>
      <c r="B278" s="131"/>
      <c r="C278" s="131"/>
      <c r="D278" s="131"/>
      <c r="E278" s="131"/>
      <c r="F278" s="131"/>
    </row>
    <row r="279" spans="1:6" x14ac:dyDescent="0.3">
      <c r="A279" s="131"/>
      <c r="B279" s="131"/>
      <c r="C279" s="131"/>
      <c r="D279" s="131"/>
      <c r="E279" s="131"/>
      <c r="F279" s="131"/>
    </row>
    <row r="280" spans="1:6" x14ac:dyDescent="0.3">
      <c r="A280" s="131"/>
      <c r="B280" s="131"/>
      <c r="C280" s="131"/>
      <c r="D280" s="131"/>
      <c r="E280" s="131"/>
      <c r="F280" s="131"/>
    </row>
    <row r="281" spans="1:6" x14ac:dyDescent="0.3">
      <c r="A281" s="131"/>
      <c r="B281" s="131"/>
      <c r="C281" s="131"/>
      <c r="D281" s="131"/>
      <c r="E281" s="131"/>
      <c r="F281" s="131"/>
    </row>
    <row r="282" spans="1:6" x14ac:dyDescent="0.3">
      <c r="A282" s="131"/>
      <c r="B282" s="131"/>
      <c r="C282" s="131"/>
      <c r="D282" s="131"/>
      <c r="E282" s="131"/>
      <c r="F282" s="131"/>
    </row>
    <row r="283" spans="1:6" x14ac:dyDescent="0.3">
      <c r="A283" s="131"/>
      <c r="B283" s="131"/>
      <c r="C283" s="131"/>
      <c r="D283" s="131"/>
      <c r="E283" s="131"/>
      <c r="F283" s="131"/>
    </row>
    <row r="284" spans="1:6" x14ac:dyDescent="0.3">
      <c r="A284" s="131"/>
      <c r="B284" s="131"/>
      <c r="C284" s="131"/>
      <c r="D284" s="131"/>
      <c r="E284" s="131"/>
      <c r="F284" s="131"/>
    </row>
    <row r="285" spans="1:6" x14ac:dyDescent="0.3">
      <c r="A285" s="131"/>
      <c r="B285" s="131"/>
      <c r="C285" s="131"/>
      <c r="D285" s="131"/>
      <c r="E285" s="131"/>
      <c r="F285" s="131"/>
    </row>
    <row r="286" spans="1:6" x14ac:dyDescent="0.3">
      <c r="A286" s="131"/>
      <c r="B286" s="131"/>
      <c r="C286" s="131"/>
      <c r="D286" s="131"/>
      <c r="E286" s="131"/>
      <c r="F286" s="131"/>
    </row>
    <row r="287" spans="1:6" x14ac:dyDescent="0.3">
      <c r="A287" s="131"/>
      <c r="B287" s="131"/>
      <c r="C287" s="131"/>
      <c r="D287" s="131"/>
      <c r="E287" s="131"/>
      <c r="F287" s="131"/>
    </row>
    <row r="288" spans="1:6" x14ac:dyDescent="0.3">
      <c r="A288" s="131"/>
      <c r="B288" s="131"/>
      <c r="C288" s="131"/>
      <c r="D288" s="131"/>
      <c r="E288" s="131"/>
      <c r="F288" s="131"/>
    </row>
    <row r="289" spans="1:6" x14ac:dyDescent="0.3">
      <c r="A289" s="131"/>
      <c r="B289" s="131"/>
      <c r="C289" s="131"/>
      <c r="D289" s="131"/>
      <c r="E289" s="131"/>
      <c r="F289" s="131"/>
    </row>
    <row r="290" spans="1:6" x14ac:dyDescent="0.3">
      <c r="A290" s="131"/>
      <c r="B290" s="131"/>
      <c r="C290" s="131"/>
      <c r="D290" s="131"/>
      <c r="E290" s="131"/>
      <c r="F290" s="131"/>
    </row>
    <row r="291" spans="1:6" x14ac:dyDescent="0.3">
      <c r="A291" s="131"/>
      <c r="B291" s="131"/>
      <c r="C291" s="131"/>
      <c r="D291" s="131"/>
      <c r="E291" s="131"/>
      <c r="F291" s="131"/>
    </row>
    <row r="292" spans="1:6" x14ac:dyDescent="0.3">
      <c r="A292" s="131"/>
      <c r="B292" s="131"/>
      <c r="C292" s="131"/>
      <c r="D292" s="131"/>
      <c r="E292" s="131"/>
      <c r="F292" s="131"/>
    </row>
    <row r="293" spans="1:6" x14ac:dyDescent="0.3">
      <c r="A293" s="131"/>
      <c r="B293" s="131"/>
      <c r="C293" s="131"/>
      <c r="D293" s="131"/>
      <c r="E293" s="131"/>
      <c r="F293" s="131"/>
    </row>
    <row r="294" spans="1:6" x14ac:dyDescent="0.3">
      <c r="A294" s="131"/>
      <c r="B294" s="131"/>
      <c r="C294" s="131"/>
      <c r="D294" s="131"/>
      <c r="E294" s="131"/>
      <c r="F294" s="131"/>
    </row>
    <row r="295" spans="1:6" x14ac:dyDescent="0.3">
      <c r="A295" s="131"/>
      <c r="B295" s="131"/>
      <c r="C295" s="131"/>
      <c r="D295" s="131"/>
      <c r="E295" s="131"/>
      <c r="F295" s="131"/>
    </row>
    <row r="296" spans="1:6" x14ac:dyDescent="0.3">
      <c r="A296" s="131"/>
      <c r="B296" s="131"/>
      <c r="C296" s="131"/>
      <c r="D296" s="131"/>
      <c r="E296" s="131"/>
      <c r="F296" s="131"/>
    </row>
    <row r="297" spans="1:6" x14ac:dyDescent="0.3">
      <c r="A297" s="131"/>
      <c r="B297" s="131"/>
      <c r="C297" s="131"/>
      <c r="D297" s="131"/>
      <c r="E297" s="131"/>
      <c r="F297" s="131"/>
    </row>
    <row r="298" spans="1:6" x14ac:dyDescent="0.3">
      <c r="A298" s="131"/>
      <c r="B298" s="131"/>
      <c r="C298" s="131"/>
      <c r="D298" s="131"/>
      <c r="E298" s="131"/>
      <c r="F298" s="131"/>
    </row>
    <row r="299" spans="1:6" x14ac:dyDescent="0.3">
      <c r="A299" s="131"/>
      <c r="B299" s="131"/>
      <c r="C299" s="131"/>
      <c r="D299" s="131"/>
      <c r="E299" s="131"/>
      <c r="F299" s="131"/>
    </row>
    <row r="300" spans="1:6" x14ac:dyDescent="0.3">
      <c r="A300" s="131"/>
      <c r="B300" s="131"/>
      <c r="C300" s="131"/>
      <c r="D300" s="131"/>
      <c r="E300" s="131"/>
      <c r="F300" s="131"/>
    </row>
    <row r="301" spans="1:6" x14ac:dyDescent="0.3">
      <c r="A301" s="131"/>
      <c r="B301" s="131"/>
      <c r="C301" s="131"/>
      <c r="D301" s="131"/>
      <c r="E301" s="131"/>
      <c r="F301" s="131"/>
    </row>
    <row r="302" spans="1:6" x14ac:dyDescent="0.3">
      <c r="A302" s="131"/>
      <c r="B302" s="131"/>
      <c r="C302" s="131"/>
      <c r="D302" s="131"/>
      <c r="E302" s="131"/>
      <c r="F302" s="131"/>
    </row>
    <row r="303" spans="1:6" x14ac:dyDescent="0.3">
      <c r="A303" s="131"/>
      <c r="B303" s="131"/>
      <c r="C303" s="131"/>
      <c r="D303" s="131"/>
      <c r="E303" s="131"/>
      <c r="F303" s="131"/>
    </row>
    <row r="304" spans="1:6" x14ac:dyDescent="0.3">
      <c r="A304" s="131"/>
      <c r="B304" s="131"/>
      <c r="C304" s="131"/>
      <c r="D304" s="131"/>
      <c r="E304" s="131"/>
      <c r="F304" s="131"/>
    </row>
    <row r="305" spans="1:6" x14ac:dyDescent="0.3">
      <c r="A305" s="131"/>
      <c r="B305" s="131"/>
      <c r="C305" s="131"/>
      <c r="D305" s="131"/>
      <c r="E305" s="131"/>
      <c r="F305" s="131"/>
    </row>
    <row r="306" spans="1:6" x14ac:dyDescent="0.3">
      <c r="A306" s="131"/>
      <c r="B306" s="131"/>
      <c r="C306" s="131"/>
      <c r="D306" s="131"/>
      <c r="E306" s="131"/>
      <c r="F306" s="131"/>
    </row>
    <row r="307" spans="1:6" x14ac:dyDescent="0.3">
      <c r="A307" s="131"/>
      <c r="B307" s="131"/>
      <c r="C307" s="131"/>
      <c r="D307" s="131"/>
      <c r="E307" s="131"/>
      <c r="F307" s="131"/>
    </row>
    <row r="308" spans="1:6" x14ac:dyDescent="0.3">
      <c r="A308" s="131"/>
      <c r="B308" s="131"/>
      <c r="C308" s="131"/>
      <c r="D308" s="131"/>
      <c r="E308" s="131"/>
      <c r="F308" s="131"/>
    </row>
    <row r="309" spans="1:6" x14ac:dyDescent="0.3">
      <c r="A309" s="131"/>
      <c r="B309" s="131"/>
      <c r="C309" s="131"/>
      <c r="D309" s="131"/>
      <c r="E309" s="131"/>
      <c r="F309" s="131"/>
    </row>
    <row r="310" spans="1:6" x14ac:dyDescent="0.3">
      <c r="A310" s="131"/>
      <c r="B310" s="131"/>
      <c r="C310" s="131"/>
      <c r="D310" s="131"/>
      <c r="E310" s="131"/>
      <c r="F310" s="131"/>
    </row>
    <row r="311" spans="1:6" x14ac:dyDescent="0.3">
      <c r="A311" s="131"/>
      <c r="B311" s="131"/>
      <c r="C311" s="131"/>
      <c r="D311" s="131"/>
      <c r="E311" s="131"/>
      <c r="F311" s="131"/>
    </row>
    <row r="312" spans="1:6" x14ac:dyDescent="0.3">
      <c r="A312" s="131"/>
      <c r="B312" s="131"/>
      <c r="C312" s="131"/>
      <c r="D312" s="131"/>
      <c r="E312" s="131"/>
      <c r="F312" s="131"/>
    </row>
    <row r="313" spans="1:6" x14ac:dyDescent="0.3">
      <c r="A313" s="131"/>
      <c r="B313" s="131"/>
      <c r="C313" s="131"/>
      <c r="D313" s="131"/>
      <c r="E313" s="131"/>
      <c r="F313" s="131"/>
    </row>
    <row r="314" spans="1:6" x14ac:dyDescent="0.3">
      <c r="A314" s="131"/>
      <c r="B314" s="131"/>
      <c r="C314" s="131"/>
      <c r="D314" s="131"/>
      <c r="E314" s="131"/>
      <c r="F314" s="131"/>
    </row>
    <row r="315" spans="1:6" x14ac:dyDescent="0.3">
      <c r="A315" s="131"/>
      <c r="B315" s="131"/>
      <c r="C315" s="131"/>
      <c r="D315" s="131"/>
      <c r="E315" s="131"/>
      <c r="F315" s="131"/>
    </row>
    <row r="316" spans="1:6" x14ac:dyDescent="0.3">
      <c r="A316" s="131"/>
      <c r="B316" s="131"/>
      <c r="C316" s="131"/>
      <c r="D316" s="131"/>
      <c r="E316" s="131"/>
      <c r="F316" s="131"/>
    </row>
    <row r="317" spans="1:6" x14ac:dyDescent="0.3">
      <c r="A317" s="131"/>
      <c r="B317" s="131"/>
      <c r="C317" s="131"/>
      <c r="D317" s="131"/>
      <c r="E317" s="131"/>
      <c r="F317" s="131"/>
    </row>
    <row r="318" spans="1:6" x14ac:dyDescent="0.3">
      <c r="A318" s="131"/>
      <c r="B318" s="131"/>
      <c r="C318" s="131"/>
      <c r="D318" s="131"/>
      <c r="E318" s="131"/>
      <c r="F318" s="131"/>
    </row>
    <row r="319" spans="1:6" x14ac:dyDescent="0.3">
      <c r="A319" s="131"/>
      <c r="B319" s="131"/>
      <c r="C319" s="131"/>
      <c r="D319" s="131"/>
      <c r="E319" s="131"/>
      <c r="F319" s="131"/>
    </row>
    <row r="320" spans="1:6" x14ac:dyDescent="0.3">
      <c r="A320" s="131"/>
      <c r="B320" s="131"/>
      <c r="C320" s="131"/>
      <c r="D320" s="131"/>
      <c r="E320" s="131"/>
      <c r="F320" s="131"/>
    </row>
    <row r="321" spans="1:6" x14ac:dyDescent="0.3">
      <c r="A321" s="131"/>
      <c r="B321" s="131"/>
      <c r="C321" s="131"/>
      <c r="D321" s="131"/>
      <c r="E321" s="131"/>
      <c r="F321" s="131"/>
    </row>
    <row r="322" spans="1:6" x14ac:dyDescent="0.3">
      <c r="A322" s="131"/>
      <c r="B322" s="131"/>
      <c r="C322" s="131"/>
      <c r="D322" s="131"/>
      <c r="E322" s="131"/>
      <c r="F322" s="131"/>
    </row>
    <row r="323" spans="1:6" x14ac:dyDescent="0.3">
      <c r="A323" s="131"/>
      <c r="B323" s="131"/>
      <c r="C323" s="131"/>
      <c r="D323" s="131"/>
      <c r="E323" s="131"/>
      <c r="F323" s="131"/>
    </row>
    <row r="324" spans="1:6" x14ac:dyDescent="0.3">
      <c r="A324" s="131"/>
      <c r="B324" s="131"/>
      <c r="C324" s="131"/>
      <c r="D324" s="131"/>
      <c r="E324" s="131"/>
      <c r="F324" s="131"/>
    </row>
    <row r="325" spans="1:6" x14ac:dyDescent="0.3">
      <c r="A325" s="131"/>
      <c r="B325" s="131"/>
      <c r="C325" s="131"/>
      <c r="D325" s="131"/>
      <c r="E325" s="131"/>
      <c r="F325" s="131"/>
    </row>
    <row r="326" spans="1:6" x14ac:dyDescent="0.3">
      <c r="A326" s="131"/>
      <c r="B326" s="131"/>
      <c r="C326" s="131"/>
      <c r="D326" s="131"/>
      <c r="E326" s="131"/>
      <c r="F326" s="131"/>
    </row>
    <row r="327" spans="1:6" x14ac:dyDescent="0.3">
      <c r="A327" s="131"/>
      <c r="B327" s="131"/>
      <c r="C327" s="131"/>
      <c r="D327" s="131"/>
      <c r="E327" s="131"/>
      <c r="F327" s="131"/>
    </row>
    <row r="328" spans="1:6" x14ac:dyDescent="0.3">
      <c r="A328" s="131"/>
      <c r="B328" s="131"/>
      <c r="C328" s="131"/>
      <c r="D328" s="131"/>
      <c r="E328" s="131"/>
      <c r="F328" s="131"/>
    </row>
    <row r="329" spans="1:6" x14ac:dyDescent="0.3">
      <c r="A329" s="131"/>
      <c r="B329" s="131"/>
      <c r="C329" s="131"/>
      <c r="D329" s="131"/>
      <c r="E329" s="131"/>
      <c r="F329" s="131"/>
    </row>
    <row r="330" spans="1:6" x14ac:dyDescent="0.3">
      <c r="A330" s="131"/>
      <c r="B330" s="131"/>
      <c r="C330" s="131"/>
      <c r="D330" s="131"/>
      <c r="E330" s="131"/>
      <c r="F330" s="131"/>
    </row>
    <row r="331" spans="1:6" x14ac:dyDescent="0.3">
      <c r="A331" s="131"/>
      <c r="B331" s="131"/>
      <c r="C331" s="131"/>
      <c r="D331" s="131"/>
      <c r="E331" s="131"/>
      <c r="F331" s="131"/>
    </row>
    <row r="332" spans="1:6" x14ac:dyDescent="0.3">
      <c r="A332" s="131"/>
      <c r="B332" s="131"/>
      <c r="C332" s="131"/>
      <c r="D332" s="131"/>
      <c r="E332" s="131"/>
      <c r="F332" s="131"/>
    </row>
    <row r="333" spans="1:6" x14ac:dyDescent="0.3">
      <c r="A333" s="131"/>
      <c r="B333" s="131"/>
      <c r="C333" s="131"/>
      <c r="D333" s="131"/>
      <c r="E333" s="131"/>
      <c r="F333" s="131"/>
    </row>
    <row r="334" spans="1:6" x14ac:dyDescent="0.3">
      <c r="A334" s="131"/>
      <c r="B334" s="131"/>
      <c r="C334" s="131"/>
      <c r="D334" s="131"/>
      <c r="E334" s="131"/>
      <c r="F334" s="131"/>
    </row>
    <row r="335" spans="1:6" x14ac:dyDescent="0.3">
      <c r="A335" s="131"/>
      <c r="B335" s="131"/>
      <c r="C335" s="131"/>
      <c r="D335" s="131"/>
      <c r="E335" s="131"/>
      <c r="F335" s="131"/>
    </row>
    <row r="336" spans="1:6" x14ac:dyDescent="0.3">
      <c r="A336" s="131"/>
      <c r="B336" s="131"/>
      <c r="C336" s="131"/>
      <c r="D336" s="131"/>
      <c r="E336" s="131"/>
      <c r="F336" s="131"/>
    </row>
    <row r="337" spans="1:6" x14ac:dyDescent="0.3">
      <c r="A337" s="131"/>
      <c r="B337" s="131"/>
      <c r="C337" s="131"/>
      <c r="D337" s="131"/>
      <c r="E337" s="131"/>
      <c r="F337" s="131"/>
    </row>
    <row r="338" spans="1:6" x14ac:dyDescent="0.3">
      <c r="A338" s="131"/>
      <c r="B338" s="131"/>
      <c r="C338" s="131"/>
      <c r="D338" s="131"/>
      <c r="E338" s="131"/>
      <c r="F338" s="131"/>
    </row>
    <row r="339" spans="1:6" x14ac:dyDescent="0.3">
      <c r="A339" s="131"/>
      <c r="B339" s="131"/>
      <c r="C339" s="131"/>
      <c r="D339" s="131"/>
      <c r="E339" s="131"/>
      <c r="F339" s="131"/>
    </row>
    <row r="340" spans="1:6" x14ac:dyDescent="0.3">
      <c r="A340" s="131"/>
      <c r="B340" s="131"/>
      <c r="C340" s="131"/>
      <c r="D340" s="131"/>
      <c r="E340" s="131"/>
      <c r="F340" s="131"/>
    </row>
    <row r="341" spans="1:6" x14ac:dyDescent="0.3">
      <c r="A341" s="131"/>
      <c r="B341" s="131"/>
      <c r="C341" s="131"/>
      <c r="D341" s="131"/>
      <c r="E341" s="131"/>
      <c r="F341" s="131"/>
    </row>
    <row r="342" spans="1:6" x14ac:dyDescent="0.3">
      <c r="A342" s="131"/>
      <c r="B342" s="131"/>
      <c r="C342" s="131"/>
      <c r="D342" s="131"/>
      <c r="E342" s="131"/>
      <c r="F342" s="131"/>
    </row>
    <row r="343" spans="1:6" x14ac:dyDescent="0.3">
      <c r="A343" s="131"/>
      <c r="B343" s="131"/>
      <c r="C343" s="131"/>
      <c r="D343" s="131"/>
      <c r="E343" s="131"/>
      <c r="F343" s="131"/>
    </row>
    <row r="344" spans="1:6" x14ac:dyDescent="0.3">
      <c r="A344" s="131"/>
      <c r="B344" s="131"/>
      <c r="C344" s="131"/>
      <c r="D344" s="131"/>
      <c r="E344" s="131"/>
      <c r="F344" s="131"/>
    </row>
    <row r="345" spans="1:6" x14ac:dyDescent="0.3">
      <c r="A345" s="131"/>
      <c r="B345" s="131"/>
      <c r="C345" s="131"/>
      <c r="D345" s="131"/>
      <c r="E345" s="131"/>
      <c r="F345" s="131"/>
    </row>
    <row r="346" spans="1:6" x14ac:dyDescent="0.3">
      <c r="A346" s="131"/>
      <c r="B346" s="131"/>
      <c r="C346" s="131"/>
      <c r="D346" s="131"/>
      <c r="E346" s="131"/>
      <c r="F346" s="131"/>
    </row>
    <row r="347" spans="1:6" x14ac:dyDescent="0.3">
      <c r="A347" s="131"/>
      <c r="B347" s="131"/>
      <c r="C347" s="131"/>
      <c r="D347" s="131"/>
      <c r="E347" s="131"/>
      <c r="F347" s="131"/>
    </row>
    <row r="348" spans="1:6" x14ac:dyDescent="0.3">
      <c r="A348" s="131"/>
      <c r="B348" s="131"/>
      <c r="C348" s="131"/>
      <c r="D348" s="131"/>
      <c r="E348" s="131"/>
      <c r="F348" s="131"/>
    </row>
    <row r="349" spans="1:6" x14ac:dyDescent="0.3">
      <c r="A349" s="131"/>
      <c r="B349" s="131"/>
      <c r="C349" s="131"/>
      <c r="D349" s="131"/>
      <c r="E349" s="131"/>
      <c r="F349" s="131"/>
    </row>
    <row r="350" spans="1:6" x14ac:dyDescent="0.3">
      <c r="A350" s="131"/>
      <c r="B350" s="131"/>
      <c r="C350" s="131"/>
      <c r="D350" s="131"/>
      <c r="E350" s="131"/>
      <c r="F350" s="131"/>
    </row>
    <row r="351" spans="1:6" x14ac:dyDescent="0.3">
      <c r="A351" s="131"/>
      <c r="B351" s="131"/>
      <c r="C351" s="131"/>
      <c r="D351" s="131"/>
      <c r="E351" s="131"/>
      <c r="F351" s="131"/>
    </row>
    <row r="352" spans="1:6" x14ac:dyDescent="0.3">
      <c r="A352" s="131"/>
      <c r="B352" s="131"/>
      <c r="C352" s="131"/>
      <c r="D352" s="131"/>
      <c r="E352" s="131"/>
      <c r="F352" s="131"/>
    </row>
    <row r="353" spans="1:6" x14ac:dyDescent="0.3">
      <c r="A353" s="131"/>
      <c r="B353" s="131"/>
      <c r="C353" s="131"/>
      <c r="D353" s="131"/>
      <c r="E353" s="131"/>
      <c r="F353" s="131"/>
    </row>
    <row r="354" spans="1:6" x14ac:dyDescent="0.3">
      <c r="A354" s="131"/>
      <c r="B354" s="131"/>
      <c r="C354" s="131"/>
      <c r="D354" s="131"/>
      <c r="E354" s="131"/>
      <c r="F354" s="131"/>
    </row>
    <row r="355" spans="1:6" x14ac:dyDescent="0.3">
      <c r="A355" s="131"/>
      <c r="B355" s="131"/>
      <c r="C355" s="131"/>
      <c r="D355" s="131"/>
      <c r="E355" s="131"/>
      <c r="F355" s="131"/>
    </row>
    <row r="356" spans="1:6" x14ac:dyDescent="0.3">
      <c r="A356" s="131"/>
      <c r="B356" s="131"/>
      <c r="C356" s="131"/>
      <c r="D356" s="131"/>
      <c r="E356" s="131"/>
      <c r="F356" s="131"/>
    </row>
    <row r="357" spans="1:6" x14ac:dyDescent="0.3">
      <c r="A357" s="131"/>
      <c r="B357" s="131"/>
      <c r="C357" s="131"/>
      <c r="D357" s="131"/>
      <c r="E357" s="131"/>
      <c r="F357" s="131"/>
    </row>
    <row r="358" spans="1:6" x14ac:dyDescent="0.3">
      <c r="A358" s="131"/>
      <c r="B358" s="131"/>
      <c r="C358" s="131"/>
      <c r="D358" s="131"/>
      <c r="E358" s="131"/>
      <c r="F358" s="131"/>
    </row>
    <row r="359" spans="1:6" x14ac:dyDescent="0.3">
      <c r="A359" s="131"/>
      <c r="B359" s="131"/>
      <c r="C359" s="131"/>
      <c r="D359" s="131"/>
      <c r="E359" s="131"/>
      <c r="F359" s="131"/>
    </row>
    <row r="360" spans="1:6" x14ac:dyDescent="0.3">
      <c r="A360" s="131"/>
      <c r="B360" s="131"/>
      <c r="C360" s="131"/>
      <c r="D360" s="131"/>
      <c r="E360" s="131"/>
      <c r="F360" s="131"/>
    </row>
    <row r="361" spans="1:6" x14ac:dyDescent="0.3">
      <c r="A361" s="131"/>
      <c r="B361" s="131"/>
      <c r="C361" s="131"/>
      <c r="D361" s="131"/>
      <c r="E361" s="131"/>
      <c r="F361" s="131"/>
    </row>
    <row r="362" spans="1:6" x14ac:dyDescent="0.3">
      <c r="A362" s="131"/>
      <c r="B362" s="131"/>
      <c r="C362" s="131"/>
      <c r="D362" s="131"/>
      <c r="E362" s="131"/>
      <c r="F362" s="131"/>
    </row>
    <row r="363" spans="1:6" x14ac:dyDescent="0.3">
      <c r="A363" s="131"/>
      <c r="B363" s="131"/>
      <c r="C363" s="131"/>
      <c r="D363" s="131"/>
      <c r="E363" s="131"/>
      <c r="F363" s="131"/>
    </row>
    <row r="364" spans="1:6" x14ac:dyDescent="0.3">
      <c r="A364" s="131"/>
      <c r="B364" s="131"/>
      <c r="C364" s="131"/>
      <c r="D364" s="131"/>
      <c r="E364" s="131"/>
      <c r="F364" s="131"/>
    </row>
    <row r="365" spans="1:6" x14ac:dyDescent="0.3">
      <c r="A365" s="131"/>
      <c r="B365" s="131"/>
      <c r="C365" s="131"/>
      <c r="D365" s="131"/>
      <c r="E365" s="131"/>
      <c r="F365" s="131"/>
    </row>
    <row r="366" spans="1:6" x14ac:dyDescent="0.3">
      <c r="A366" s="131"/>
      <c r="B366" s="131"/>
      <c r="C366" s="131"/>
      <c r="D366" s="131"/>
      <c r="E366" s="131"/>
      <c r="F366" s="131"/>
    </row>
    <row r="367" spans="1:6" x14ac:dyDescent="0.3">
      <c r="A367" s="131"/>
      <c r="B367" s="131"/>
      <c r="C367" s="131"/>
      <c r="D367" s="131"/>
      <c r="E367" s="131"/>
      <c r="F367" s="131"/>
    </row>
    <row r="368" spans="1:6" x14ac:dyDescent="0.3">
      <c r="A368" s="131"/>
      <c r="B368" s="131"/>
      <c r="C368" s="131"/>
      <c r="D368" s="131"/>
      <c r="E368" s="131"/>
      <c r="F368" s="131"/>
    </row>
    <row r="369" spans="1:6" x14ac:dyDescent="0.3">
      <c r="A369" s="131"/>
      <c r="B369" s="131"/>
      <c r="C369" s="131"/>
      <c r="D369" s="131"/>
      <c r="E369" s="131"/>
      <c r="F369" s="131"/>
    </row>
    <row r="370" spans="1:6" x14ac:dyDescent="0.3">
      <c r="A370" s="131"/>
      <c r="B370" s="131"/>
      <c r="C370" s="131"/>
      <c r="D370" s="131"/>
      <c r="E370" s="131"/>
      <c r="F370" s="131"/>
    </row>
    <row r="371" spans="1:6" x14ac:dyDescent="0.3">
      <c r="A371" s="131"/>
      <c r="B371" s="131"/>
      <c r="C371" s="131"/>
      <c r="D371" s="131"/>
      <c r="E371" s="131"/>
      <c r="F371" s="131"/>
    </row>
    <row r="372" spans="1:6" x14ac:dyDescent="0.3">
      <c r="A372" s="131"/>
      <c r="B372" s="131"/>
      <c r="C372" s="131"/>
      <c r="D372" s="131"/>
      <c r="E372" s="131"/>
      <c r="F372" s="131"/>
    </row>
    <row r="373" spans="1:6" x14ac:dyDescent="0.3">
      <c r="A373" s="131"/>
      <c r="B373" s="131"/>
      <c r="C373" s="131"/>
      <c r="D373" s="131"/>
      <c r="E373" s="131"/>
      <c r="F373" s="131"/>
    </row>
    <row r="374" spans="1:6" x14ac:dyDescent="0.3">
      <c r="A374" s="131"/>
      <c r="B374" s="131"/>
      <c r="C374" s="131"/>
      <c r="D374" s="131"/>
      <c r="E374" s="131"/>
      <c r="F374" s="131"/>
    </row>
    <row r="375" spans="1:6" x14ac:dyDescent="0.3">
      <c r="A375" s="131"/>
      <c r="B375" s="131"/>
      <c r="C375" s="131"/>
      <c r="D375" s="131"/>
      <c r="E375" s="131"/>
      <c r="F375" s="131"/>
    </row>
    <row r="376" spans="1:6" x14ac:dyDescent="0.3">
      <c r="A376" s="131"/>
      <c r="B376" s="131"/>
      <c r="C376" s="131"/>
      <c r="D376" s="131"/>
      <c r="E376" s="131"/>
      <c r="F376" s="131"/>
    </row>
    <row r="377" spans="1:6" x14ac:dyDescent="0.3">
      <c r="A377" s="131"/>
      <c r="B377" s="131"/>
      <c r="C377" s="131"/>
      <c r="D377" s="131"/>
      <c r="E377" s="131"/>
      <c r="F377" s="131"/>
    </row>
    <row r="378" spans="1:6" x14ac:dyDescent="0.3">
      <c r="A378" s="131"/>
      <c r="B378" s="131"/>
      <c r="C378" s="131"/>
      <c r="D378" s="131"/>
      <c r="E378" s="131"/>
      <c r="F378" s="131"/>
    </row>
    <row r="379" spans="1:6" x14ac:dyDescent="0.3">
      <c r="A379" s="131"/>
      <c r="B379" s="131"/>
      <c r="C379" s="131"/>
      <c r="D379" s="131"/>
      <c r="E379" s="131"/>
      <c r="F379" s="131"/>
    </row>
    <row r="380" spans="1:6" x14ac:dyDescent="0.3">
      <c r="A380" s="131"/>
      <c r="B380" s="131"/>
      <c r="C380" s="131"/>
      <c r="D380" s="131"/>
      <c r="E380" s="131"/>
      <c r="F380" s="131"/>
    </row>
    <row r="381" spans="1:6" x14ac:dyDescent="0.3">
      <c r="A381" s="131"/>
      <c r="B381" s="131"/>
      <c r="C381" s="131"/>
      <c r="D381" s="131"/>
      <c r="E381" s="131"/>
      <c r="F381" s="131"/>
    </row>
    <row r="382" spans="1:6" x14ac:dyDescent="0.3">
      <c r="A382" s="131"/>
      <c r="B382" s="131"/>
      <c r="C382" s="131"/>
      <c r="D382" s="131"/>
      <c r="E382" s="131"/>
      <c r="F382" s="131"/>
    </row>
    <row r="383" spans="1:6" x14ac:dyDescent="0.3">
      <c r="A383" s="131"/>
      <c r="B383" s="131"/>
      <c r="C383" s="131"/>
      <c r="D383" s="131"/>
      <c r="E383" s="131"/>
      <c r="F383" s="131"/>
    </row>
    <row r="384" spans="1:6" x14ac:dyDescent="0.3">
      <c r="A384" s="131"/>
      <c r="B384" s="131"/>
      <c r="C384" s="131"/>
      <c r="D384" s="131"/>
      <c r="E384" s="131"/>
      <c r="F384" s="131"/>
    </row>
    <row r="385" spans="1:6" x14ac:dyDescent="0.3">
      <c r="A385" s="131"/>
      <c r="B385" s="131"/>
      <c r="C385" s="131"/>
      <c r="D385" s="131"/>
      <c r="E385" s="131"/>
      <c r="F385" s="131"/>
    </row>
    <row r="386" spans="1:6" x14ac:dyDescent="0.3">
      <c r="A386" s="131"/>
      <c r="B386" s="131"/>
      <c r="C386" s="131"/>
      <c r="D386" s="131"/>
      <c r="E386" s="131"/>
      <c r="F386" s="131"/>
    </row>
    <row r="387" spans="1:6" x14ac:dyDescent="0.3">
      <c r="A387" s="131"/>
      <c r="B387" s="131"/>
      <c r="C387" s="131"/>
      <c r="D387" s="131"/>
      <c r="E387" s="131"/>
      <c r="F387" s="131"/>
    </row>
    <row r="388" spans="1:6" x14ac:dyDescent="0.3">
      <c r="A388" s="131"/>
      <c r="B388" s="131"/>
      <c r="C388" s="131"/>
      <c r="D388" s="131"/>
      <c r="E388" s="131"/>
      <c r="F388" s="131"/>
    </row>
    <row r="389" spans="1:6" x14ac:dyDescent="0.3">
      <c r="A389" s="131"/>
      <c r="B389" s="131"/>
      <c r="C389" s="131"/>
      <c r="D389" s="131"/>
      <c r="E389" s="131"/>
      <c r="F389" s="131"/>
    </row>
    <row r="390" spans="1:6" x14ac:dyDescent="0.3">
      <c r="A390" s="131"/>
      <c r="B390" s="131"/>
      <c r="C390" s="131"/>
      <c r="D390" s="131"/>
      <c r="E390" s="131"/>
      <c r="F390" s="131"/>
    </row>
    <row r="391" spans="1:6" x14ac:dyDescent="0.3">
      <c r="A391" s="131"/>
      <c r="B391" s="131"/>
      <c r="C391" s="131"/>
      <c r="D391" s="131"/>
      <c r="E391" s="131"/>
      <c r="F391" s="131"/>
    </row>
    <row r="392" spans="1:6" x14ac:dyDescent="0.3">
      <c r="A392" s="131"/>
      <c r="B392" s="131"/>
      <c r="C392" s="131"/>
      <c r="D392" s="131"/>
      <c r="E392" s="131"/>
      <c r="F392" s="131"/>
    </row>
    <row r="393" spans="1:6" x14ac:dyDescent="0.3">
      <c r="A393" s="131"/>
      <c r="B393" s="131"/>
      <c r="C393" s="131"/>
      <c r="D393" s="131"/>
      <c r="E393" s="131"/>
      <c r="F393" s="131"/>
    </row>
    <row r="394" spans="1:6" x14ac:dyDescent="0.3">
      <c r="A394" s="131"/>
      <c r="B394" s="131"/>
      <c r="C394" s="131"/>
      <c r="D394" s="131"/>
      <c r="E394" s="131"/>
      <c r="F394" s="131"/>
    </row>
    <row r="395" spans="1:6" x14ac:dyDescent="0.3">
      <c r="A395" s="131"/>
      <c r="B395" s="131"/>
      <c r="C395" s="131"/>
      <c r="D395" s="131"/>
      <c r="E395" s="131"/>
      <c r="F395" s="131"/>
    </row>
    <row r="396" spans="1:6" x14ac:dyDescent="0.3">
      <c r="A396" s="131"/>
      <c r="B396" s="131"/>
      <c r="C396" s="131"/>
      <c r="D396" s="131"/>
      <c r="E396" s="131"/>
      <c r="F396" s="131"/>
    </row>
    <row r="397" spans="1:6" x14ac:dyDescent="0.3">
      <c r="A397" s="131"/>
      <c r="B397" s="131"/>
      <c r="C397" s="131"/>
      <c r="D397" s="131"/>
      <c r="E397" s="131"/>
      <c r="F397" s="131"/>
    </row>
    <row r="398" spans="1:6" x14ac:dyDescent="0.3">
      <c r="A398" s="131"/>
      <c r="B398" s="131"/>
      <c r="C398" s="131"/>
      <c r="D398" s="131"/>
      <c r="E398" s="131"/>
      <c r="F398" s="131"/>
    </row>
    <row r="399" spans="1:6" x14ac:dyDescent="0.3">
      <c r="A399" s="131"/>
      <c r="B399" s="131"/>
      <c r="C399" s="131"/>
      <c r="D399" s="131"/>
      <c r="E399" s="131"/>
      <c r="F399" s="131"/>
    </row>
    <row r="400" spans="1:6" x14ac:dyDescent="0.3">
      <c r="A400" s="131"/>
      <c r="B400" s="131"/>
      <c r="C400" s="131"/>
      <c r="D400" s="131"/>
      <c r="E400" s="131"/>
      <c r="F400" s="131"/>
    </row>
    <row r="401" spans="1:6" x14ac:dyDescent="0.3">
      <c r="A401" s="131"/>
      <c r="B401" s="131"/>
      <c r="C401" s="131"/>
      <c r="D401" s="131"/>
      <c r="E401" s="131"/>
      <c r="F401" s="131"/>
    </row>
    <row r="402" spans="1:6" x14ac:dyDescent="0.3">
      <c r="A402" s="131"/>
      <c r="B402" s="131"/>
      <c r="C402" s="131"/>
      <c r="D402" s="131"/>
      <c r="E402" s="131"/>
      <c r="F402" s="131"/>
    </row>
    <row r="403" spans="1:6" x14ac:dyDescent="0.3">
      <c r="A403" s="131"/>
      <c r="B403" s="131"/>
      <c r="C403" s="131"/>
      <c r="D403" s="131"/>
      <c r="E403" s="131"/>
      <c r="F403" s="131"/>
    </row>
    <row r="404" spans="1:6" x14ac:dyDescent="0.3">
      <c r="A404" s="131"/>
      <c r="B404" s="131"/>
      <c r="C404" s="131"/>
      <c r="D404" s="131"/>
      <c r="E404" s="131"/>
      <c r="F404" s="131"/>
    </row>
    <row r="405" spans="1:6" x14ac:dyDescent="0.3">
      <c r="A405" s="131"/>
      <c r="B405" s="131"/>
      <c r="C405" s="131"/>
      <c r="D405" s="131"/>
      <c r="E405" s="131"/>
      <c r="F405" s="131"/>
    </row>
    <row r="406" spans="1:6" x14ac:dyDescent="0.3">
      <c r="A406" s="131"/>
      <c r="B406" s="131"/>
      <c r="C406" s="131"/>
      <c r="D406" s="131"/>
      <c r="E406" s="131"/>
      <c r="F406" s="131"/>
    </row>
    <row r="407" spans="1:6" x14ac:dyDescent="0.3">
      <c r="A407" s="131"/>
      <c r="B407" s="131"/>
      <c r="C407" s="131"/>
      <c r="D407" s="131"/>
      <c r="E407" s="131"/>
      <c r="F407" s="131"/>
    </row>
    <row r="408" spans="1:6" x14ac:dyDescent="0.3">
      <c r="A408" s="131"/>
      <c r="B408" s="131"/>
      <c r="C408" s="131"/>
      <c r="D408" s="131"/>
      <c r="E408" s="131"/>
      <c r="F408" s="131"/>
    </row>
    <row r="409" spans="1:6" x14ac:dyDescent="0.3">
      <c r="A409" s="131"/>
      <c r="B409" s="131"/>
      <c r="C409" s="131"/>
      <c r="D409" s="131"/>
      <c r="E409" s="131"/>
      <c r="F409" s="131"/>
    </row>
    <row r="410" spans="1:6" x14ac:dyDescent="0.3">
      <c r="A410" s="131"/>
      <c r="B410" s="131"/>
      <c r="C410" s="131"/>
      <c r="D410" s="131"/>
      <c r="E410" s="131"/>
      <c r="F410" s="131"/>
    </row>
    <row r="411" spans="1:6" x14ac:dyDescent="0.3">
      <c r="A411" s="131"/>
      <c r="B411" s="131"/>
      <c r="C411" s="131"/>
      <c r="D411" s="131"/>
      <c r="E411" s="131"/>
      <c r="F411" s="131"/>
    </row>
    <row r="412" spans="1:6" x14ac:dyDescent="0.3">
      <c r="A412" s="131"/>
      <c r="B412" s="131"/>
      <c r="C412" s="131"/>
      <c r="D412" s="131"/>
      <c r="E412" s="131"/>
      <c r="F412" s="131"/>
    </row>
    <row r="413" spans="1:6" x14ac:dyDescent="0.3">
      <c r="A413" s="131"/>
      <c r="B413" s="131"/>
      <c r="C413" s="131"/>
      <c r="D413" s="131"/>
      <c r="E413" s="131"/>
      <c r="F413" s="131"/>
    </row>
    <row r="414" spans="1:6" x14ac:dyDescent="0.3">
      <c r="A414" s="131"/>
      <c r="B414" s="131"/>
      <c r="C414" s="131"/>
      <c r="D414" s="131"/>
      <c r="E414" s="131"/>
      <c r="F414" s="131"/>
    </row>
    <row r="415" spans="1:6" x14ac:dyDescent="0.3">
      <c r="A415" s="131"/>
      <c r="B415" s="131"/>
      <c r="C415" s="131"/>
      <c r="D415" s="131"/>
      <c r="E415" s="131"/>
      <c r="F415" s="131"/>
    </row>
    <row r="416" spans="1:6" x14ac:dyDescent="0.3">
      <c r="A416" s="131"/>
      <c r="B416" s="131"/>
      <c r="C416" s="131"/>
      <c r="D416" s="131"/>
      <c r="E416" s="131"/>
      <c r="F416" s="131"/>
    </row>
    <row r="417" spans="1:6" x14ac:dyDescent="0.3">
      <c r="A417" s="131"/>
      <c r="B417" s="131"/>
      <c r="C417" s="131"/>
      <c r="D417" s="131"/>
      <c r="E417" s="131"/>
      <c r="F417" s="131"/>
    </row>
    <row r="418" spans="1:6" x14ac:dyDescent="0.3">
      <c r="A418" s="131"/>
      <c r="B418" s="131"/>
      <c r="C418" s="131"/>
      <c r="D418" s="131"/>
      <c r="E418" s="131"/>
      <c r="F418" s="131"/>
    </row>
    <row r="419" spans="1:6" x14ac:dyDescent="0.3">
      <c r="A419" s="131"/>
      <c r="B419" s="131"/>
      <c r="C419" s="131"/>
      <c r="D419" s="131"/>
      <c r="E419" s="131"/>
      <c r="F419" s="131"/>
    </row>
    <row r="420" spans="1:6" x14ac:dyDescent="0.3">
      <c r="A420" s="131"/>
      <c r="B420" s="131"/>
      <c r="C420" s="131"/>
      <c r="D420" s="131"/>
      <c r="E420" s="131"/>
      <c r="F420" s="131"/>
    </row>
    <row r="421" spans="1:6" x14ac:dyDescent="0.3">
      <c r="A421" s="131"/>
      <c r="B421" s="131"/>
      <c r="C421" s="131"/>
      <c r="D421" s="131"/>
      <c r="E421" s="131"/>
      <c r="F421" s="131"/>
    </row>
    <row r="422" spans="1:6" x14ac:dyDescent="0.3">
      <c r="A422" s="131"/>
      <c r="B422" s="131"/>
      <c r="C422" s="131"/>
      <c r="D422" s="131"/>
      <c r="E422" s="131"/>
      <c r="F422" s="131"/>
    </row>
    <row r="423" spans="1:6" x14ac:dyDescent="0.3">
      <c r="A423" s="131"/>
      <c r="B423" s="131"/>
      <c r="C423" s="131"/>
      <c r="D423" s="131"/>
      <c r="E423" s="131"/>
      <c r="F423" s="131"/>
    </row>
    <row r="424" spans="1:6" x14ac:dyDescent="0.3">
      <c r="A424" s="131"/>
      <c r="B424" s="131"/>
      <c r="C424" s="131"/>
      <c r="D424" s="131"/>
      <c r="E424" s="131"/>
      <c r="F424" s="131"/>
    </row>
    <row r="425" spans="1:6" x14ac:dyDescent="0.3">
      <c r="A425" s="131"/>
      <c r="B425" s="131"/>
      <c r="C425" s="131"/>
      <c r="D425" s="131"/>
      <c r="E425" s="131"/>
      <c r="F425" s="131"/>
    </row>
    <row r="426" spans="1:6" x14ac:dyDescent="0.3">
      <c r="A426" s="131"/>
      <c r="B426" s="131"/>
      <c r="C426" s="131"/>
      <c r="D426" s="131"/>
      <c r="E426" s="131"/>
      <c r="F426" s="131"/>
    </row>
    <row r="427" spans="1:6" x14ac:dyDescent="0.3">
      <c r="A427" s="131"/>
      <c r="B427" s="131"/>
      <c r="C427" s="131"/>
      <c r="D427" s="131"/>
      <c r="E427" s="131"/>
      <c r="F427" s="131"/>
    </row>
    <row r="428" spans="1:6" x14ac:dyDescent="0.3">
      <c r="A428" s="131"/>
      <c r="B428" s="131"/>
      <c r="C428" s="131"/>
      <c r="D428" s="131"/>
      <c r="E428" s="131"/>
      <c r="F428" s="131"/>
    </row>
    <row r="429" spans="1:6" x14ac:dyDescent="0.3">
      <c r="A429" s="131"/>
      <c r="B429" s="131"/>
      <c r="C429" s="131"/>
      <c r="D429" s="131"/>
      <c r="E429" s="131"/>
      <c r="F429" s="131"/>
    </row>
    <row r="430" spans="1:6" x14ac:dyDescent="0.3">
      <c r="A430" s="131"/>
      <c r="B430" s="131"/>
      <c r="C430" s="131"/>
      <c r="D430" s="131"/>
      <c r="E430" s="131"/>
      <c r="F430" s="131"/>
    </row>
    <row r="431" spans="1:6" x14ac:dyDescent="0.3">
      <c r="A431" s="131"/>
      <c r="B431" s="131"/>
      <c r="C431" s="131"/>
      <c r="D431" s="131"/>
      <c r="E431" s="131"/>
      <c r="F431" s="131"/>
    </row>
    <row r="432" spans="1:6" x14ac:dyDescent="0.3">
      <c r="A432" s="131"/>
      <c r="B432" s="131"/>
      <c r="C432" s="131"/>
      <c r="D432" s="131"/>
      <c r="E432" s="131"/>
      <c r="F432" s="131"/>
    </row>
    <row r="433" spans="1:6" x14ac:dyDescent="0.3">
      <c r="A433" s="131"/>
      <c r="B433" s="131"/>
      <c r="C433" s="131"/>
      <c r="D433" s="131"/>
      <c r="E433" s="131"/>
      <c r="F433" s="131"/>
    </row>
    <row r="434" spans="1:6" x14ac:dyDescent="0.3">
      <c r="A434" s="131"/>
      <c r="B434" s="131"/>
      <c r="C434" s="131"/>
      <c r="D434" s="131"/>
      <c r="E434" s="131"/>
      <c r="F434" s="131"/>
    </row>
    <row r="435" spans="1:6" x14ac:dyDescent="0.3">
      <c r="A435" s="131"/>
      <c r="B435" s="131"/>
      <c r="C435" s="131"/>
      <c r="D435" s="131"/>
      <c r="E435" s="131"/>
      <c r="F435" s="131"/>
    </row>
    <row r="436" spans="1:6" x14ac:dyDescent="0.3">
      <c r="A436" s="131"/>
      <c r="B436" s="131"/>
      <c r="C436" s="131"/>
      <c r="D436" s="131"/>
      <c r="E436" s="131"/>
      <c r="F436" s="131"/>
    </row>
    <row r="437" spans="1:6" x14ac:dyDescent="0.3">
      <c r="A437" s="131"/>
      <c r="B437" s="131"/>
      <c r="C437" s="131"/>
      <c r="D437" s="131"/>
      <c r="E437" s="131"/>
      <c r="F437" s="131"/>
    </row>
    <row r="438" spans="1:6" x14ac:dyDescent="0.3">
      <c r="A438" s="131"/>
      <c r="B438" s="131"/>
      <c r="C438" s="131"/>
      <c r="D438" s="131"/>
      <c r="E438" s="131"/>
      <c r="F438" s="131"/>
    </row>
    <row r="439" spans="1:6" x14ac:dyDescent="0.3">
      <c r="A439" s="131"/>
      <c r="B439" s="131"/>
      <c r="C439" s="131"/>
      <c r="D439" s="131"/>
      <c r="E439" s="131"/>
      <c r="F439" s="131"/>
    </row>
    <row r="440" spans="1:6" x14ac:dyDescent="0.3">
      <c r="A440" s="131"/>
      <c r="B440" s="131"/>
      <c r="C440" s="131"/>
      <c r="D440" s="131"/>
      <c r="E440" s="131"/>
      <c r="F440" s="131"/>
    </row>
    <row r="441" spans="1:6" x14ac:dyDescent="0.3">
      <c r="A441" s="131"/>
      <c r="B441" s="131"/>
      <c r="C441" s="131"/>
      <c r="D441" s="131"/>
      <c r="E441" s="131"/>
      <c r="F441" s="131"/>
    </row>
    <row r="442" spans="1:6" x14ac:dyDescent="0.3">
      <c r="A442" s="131"/>
      <c r="B442" s="131"/>
      <c r="C442" s="131"/>
      <c r="D442" s="131"/>
      <c r="E442" s="131"/>
      <c r="F442" s="131"/>
    </row>
    <row r="443" spans="1:6" x14ac:dyDescent="0.3">
      <c r="A443" s="131"/>
      <c r="B443" s="131"/>
      <c r="C443" s="131"/>
      <c r="D443" s="131"/>
      <c r="E443" s="131"/>
      <c r="F443" s="131"/>
    </row>
    <row r="444" spans="1:6" x14ac:dyDescent="0.3">
      <c r="A444" s="131"/>
      <c r="B444" s="131"/>
      <c r="C444" s="131"/>
      <c r="D444" s="131"/>
      <c r="E444" s="131"/>
      <c r="F444" s="131"/>
    </row>
    <row r="445" spans="1:6" x14ac:dyDescent="0.3">
      <c r="A445" s="131"/>
      <c r="B445" s="131"/>
      <c r="C445" s="131"/>
      <c r="D445" s="131"/>
      <c r="E445" s="131"/>
      <c r="F445" s="131"/>
    </row>
    <row r="446" spans="1:6" x14ac:dyDescent="0.3">
      <c r="A446" s="131"/>
      <c r="B446" s="131"/>
      <c r="C446" s="131"/>
      <c r="D446" s="131"/>
      <c r="E446" s="131"/>
      <c r="F446" s="131"/>
    </row>
    <row r="447" spans="1:6" x14ac:dyDescent="0.3">
      <c r="A447" s="131"/>
      <c r="B447" s="131"/>
      <c r="C447" s="131"/>
      <c r="D447" s="131"/>
      <c r="E447" s="131"/>
      <c r="F447" s="131"/>
    </row>
    <row r="448" spans="1:6" x14ac:dyDescent="0.3">
      <c r="A448" s="131"/>
      <c r="B448" s="131"/>
      <c r="C448" s="131"/>
      <c r="D448" s="131"/>
      <c r="E448" s="131"/>
      <c r="F448" s="131"/>
    </row>
    <row r="449" spans="1:6" x14ac:dyDescent="0.3">
      <c r="A449" s="131"/>
      <c r="B449" s="131"/>
      <c r="C449" s="131"/>
      <c r="D449" s="131"/>
      <c r="E449" s="131"/>
      <c r="F449" s="131"/>
    </row>
    <row r="450" spans="1:6" x14ac:dyDescent="0.3">
      <c r="A450" s="131"/>
      <c r="B450" s="131"/>
      <c r="C450" s="131"/>
      <c r="D450" s="131"/>
      <c r="E450" s="131"/>
      <c r="F450" s="131"/>
    </row>
    <row r="451" spans="1:6" x14ac:dyDescent="0.3">
      <c r="A451" s="131"/>
      <c r="B451" s="131"/>
      <c r="C451" s="131"/>
      <c r="D451" s="131"/>
      <c r="E451" s="131"/>
      <c r="F451" s="131"/>
    </row>
    <row r="452" spans="1:6" x14ac:dyDescent="0.3">
      <c r="A452" s="131"/>
      <c r="B452" s="131"/>
      <c r="C452" s="131"/>
      <c r="D452" s="131"/>
      <c r="E452" s="131"/>
      <c r="F452" s="131"/>
    </row>
    <row r="453" spans="1:6" x14ac:dyDescent="0.3">
      <c r="A453" s="131"/>
      <c r="B453" s="131"/>
      <c r="C453" s="131"/>
      <c r="D453" s="131"/>
      <c r="E453" s="131"/>
      <c r="F453" s="131"/>
    </row>
    <row r="454" spans="1:6" x14ac:dyDescent="0.3">
      <c r="A454" s="131"/>
      <c r="B454" s="131"/>
      <c r="C454" s="131"/>
      <c r="D454" s="131"/>
      <c r="E454" s="131"/>
      <c r="F454" s="131"/>
    </row>
    <row r="455" spans="1:6" x14ac:dyDescent="0.3">
      <c r="A455" s="131"/>
      <c r="B455" s="131"/>
      <c r="C455" s="131"/>
      <c r="D455" s="131"/>
      <c r="E455" s="131"/>
      <c r="F455" s="131"/>
    </row>
    <row r="456" spans="1:6" x14ac:dyDescent="0.3">
      <c r="A456" s="131"/>
      <c r="B456" s="131"/>
      <c r="C456" s="131"/>
      <c r="D456" s="131"/>
      <c r="E456" s="131"/>
      <c r="F456" s="131"/>
    </row>
    <row r="457" spans="1:6" x14ac:dyDescent="0.3">
      <c r="A457" s="131"/>
      <c r="B457" s="131"/>
      <c r="C457" s="131"/>
      <c r="D457" s="131"/>
      <c r="E457" s="131"/>
      <c r="F457" s="131"/>
    </row>
    <row r="458" spans="1:6" x14ac:dyDescent="0.3">
      <c r="A458" s="131"/>
      <c r="B458" s="131"/>
      <c r="C458" s="131"/>
      <c r="D458" s="131"/>
      <c r="E458" s="131"/>
      <c r="F458" s="131"/>
    </row>
    <row r="459" spans="1:6" x14ac:dyDescent="0.3">
      <c r="A459" s="131"/>
      <c r="B459" s="131"/>
      <c r="C459" s="131"/>
      <c r="D459" s="131"/>
      <c r="E459" s="131"/>
      <c r="F459" s="131"/>
    </row>
    <row r="460" spans="1:6" x14ac:dyDescent="0.3">
      <c r="A460" s="131"/>
      <c r="B460" s="131"/>
      <c r="C460" s="131"/>
      <c r="D460" s="131"/>
      <c r="E460" s="131"/>
      <c r="F460" s="131"/>
    </row>
    <row r="461" spans="1:6" x14ac:dyDescent="0.3">
      <c r="A461" s="131"/>
      <c r="B461" s="131"/>
      <c r="C461" s="131"/>
      <c r="D461" s="131"/>
      <c r="E461" s="131"/>
      <c r="F461" s="131"/>
    </row>
    <row r="462" spans="1:6" x14ac:dyDescent="0.3">
      <c r="A462" s="131"/>
      <c r="B462" s="131"/>
      <c r="C462" s="131"/>
      <c r="D462" s="131"/>
      <c r="E462" s="131"/>
      <c r="F462" s="131"/>
    </row>
    <row r="463" spans="1:6" x14ac:dyDescent="0.3">
      <c r="A463" s="131"/>
      <c r="B463" s="131"/>
      <c r="C463" s="131"/>
      <c r="D463" s="131"/>
      <c r="E463" s="131"/>
      <c r="F463" s="131"/>
    </row>
    <row r="464" spans="1:6" x14ac:dyDescent="0.3">
      <c r="A464" s="131"/>
      <c r="B464" s="131"/>
      <c r="C464" s="131"/>
      <c r="D464" s="131"/>
      <c r="E464" s="131"/>
      <c r="F464" s="131"/>
    </row>
    <row r="465" spans="1:6" x14ac:dyDescent="0.3">
      <c r="A465" s="131"/>
      <c r="B465" s="131"/>
      <c r="C465" s="131"/>
      <c r="D465" s="131"/>
      <c r="E465" s="131"/>
      <c r="F465" s="131"/>
    </row>
    <row r="466" spans="1:6" x14ac:dyDescent="0.3">
      <c r="A466" s="131"/>
      <c r="B466" s="131"/>
      <c r="C466" s="131"/>
      <c r="D466" s="131"/>
      <c r="E466" s="131"/>
      <c r="F466" s="131"/>
    </row>
    <row r="467" spans="1:6" x14ac:dyDescent="0.3">
      <c r="A467" s="131"/>
      <c r="B467" s="131"/>
      <c r="C467" s="131"/>
      <c r="D467" s="131"/>
      <c r="E467" s="131"/>
      <c r="F467" s="131"/>
    </row>
    <row r="468" spans="1:6" x14ac:dyDescent="0.3">
      <c r="A468" s="131"/>
      <c r="B468" s="131"/>
      <c r="C468" s="131"/>
      <c r="D468" s="131"/>
      <c r="E468" s="131"/>
      <c r="F468" s="131"/>
    </row>
    <row r="469" spans="1:6" x14ac:dyDescent="0.3">
      <c r="A469" s="131"/>
      <c r="B469" s="131"/>
      <c r="C469" s="131"/>
      <c r="D469" s="131"/>
      <c r="E469" s="131"/>
      <c r="F469" s="131"/>
    </row>
    <row r="470" spans="1:6" x14ac:dyDescent="0.3">
      <c r="A470" s="131"/>
      <c r="B470" s="131"/>
      <c r="C470" s="131"/>
      <c r="D470" s="131"/>
      <c r="E470" s="131"/>
      <c r="F470" s="131"/>
    </row>
    <row r="471" spans="1:6" x14ac:dyDescent="0.3">
      <c r="A471" s="131"/>
      <c r="B471" s="131"/>
      <c r="C471" s="131"/>
      <c r="D471" s="131"/>
      <c r="E471" s="131"/>
      <c r="F471" s="131"/>
    </row>
    <row r="472" spans="1:6" x14ac:dyDescent="0.3">
      <c r="A472" s="131"/>
      <c r="B472" s="131"/>
      <c r="C472" s="131"/>
      <c r="D472" s="131"/>
      <c r="E472" s="131"/>
      <c r="F472" s="131"/>
    </row>
    <row r="473" spans="1:6" x14ac:dyDescent="0.3">
      <c r="A473" s="131"/>
      <c r="B473" s="131"/>
      <c r="C473" s="131"/>
      <c r="D473" s="131"/>
      <c r="E473" s="131"/>
      <c r="F473" s="131"/>
    </row>
    <row r="474" spans="1:6" x14ac:dyDescent="0.3">
      <c r="A474" s="131"/>
      <c r="B474" s="131"/>
      <c r="C474" s="131"/>
      <c r="D474" s="131"/>
      <c r="E474" s="131"/>
      <c r="F474" s="131"/>
    </row>
    <row r="475" spans="1:6" x14ac:dyDescent="0.3">
      <c r="A475" s="131"/>
      <c r="B475" s="131"/>
      <c r="C475" s="131"/>
      <c r="D475" s="131"/>
      <c r="E475" s="131"/>
      <c r="F475" s="131"/>
    </row>
    <row r="476" spans="1:6" x14ac:dyDescent="0.3">
      <c r="A476" s="131"/>
      <c r="B476" s="131"/>
      <c r="C476" s="131"/>
      <c r="D476" s="131"/>
      <c r="E476" s="131"/>
      <c r="F476" s="131"/>
    </row>
    <row r="477" spans="1:6" x14ac:dyDescent="0.3">
      <c r="A477" s="131"/>
      <c r="B477" s="131"/>
      <c r="C477" s="131"/>
      <c r="D477" s="131"/>
      <c r="E477" s="131"/>
      <c r="F477" s="131"/>
    </row>
    <row r="478" spans="1:6" x14ac:dyDescent="0.3">
      <c r="A478" s="131"/>
      <c r="B478" s="131"/>
      <c r="C478" s="131"/>
      <c r="D478" s="131"/>
      <c r="E478" s="131"/>
      <c r="F478" s="131"/>
    </row>
    <row r="479" spans="1:6" x14ac:dyDescent="0.3">
      <c r="A479" s="131"/>
      <c r="B479" s="131"/>
      <c r="C479" s="131"/>
      <c r="D479" s="131"/>
      <c r="E479" s="131"/>
      <c r="F479" s="131"/>
    </row>
    <row r="480" spans="1:6" x14ac:dyDescent="0.3">
      <c r="A480" s="131"/>
      <c r="B480" s="131"/>
      <c r="C480" s="131"/>
      <c r="D480" s="131"/>
      <c r="E480" s="131"/>
      <c r="F480" s="131"/>
    </row>
    <row r="481" spans="1:6" x14ac:dyDescent="0.3">
      <c r="A481" s="131"/>
      <c r="B481" s="131"/>
      <c r="C481" s="131"/>
      <c r="D481" s="131"/>
      <c r="E481" s="131"/>
      <c r="F481" s="131"/>
    </row>
    <row r="482" spans="1:6" x14ac:dyDescent="0.3">
      <c r="A482" s="131"/>
      <c r="B482" s="131"/>
      <c r="C482" s="131"/>
      <c r="D482" s="131"/>
      <c r="E482" s="131"/>
      <c r="F482" s="131"/>
    </row>
    <row r="483" spans="1:6" x14ac:dyDescent="0.3">
      <c r="A483" s="131"/>
      <c r="B483" s="131"/>
      <c r="C483" s="131"/>
      <c r="D483" s="131"/>
      <c r="E483" s="131"/>
      <c r="F483" s="131"/>
    </row>
    <row r="484" spans="1:6" x14ac:dyDescent="0.3">
      <c r="A484" s="131"/>
      <c r="B484" s="131"/>
      <c r="C484" s="131"/>
      <c r="D484" s="131"/>
      <c r="E484" s="131"/>
      <c r="F484" s="131"/>
    </row>
    <row r="485" spans="1:6" x14ac:dyDescent="0.3">
      <c r="A485" s="131"/>
      <c r="B485" s="131"/>
      <c r="C485" s="131"/>
      <c r="D485" s="131"/>
      <c r="E485" s="131"/>
      <c r="F485" s="131"/>
    </row>
    <row r="486" spans="1:6" x14ac:dyDescent="0.3">
      <c r="A486" s="131"/>
      <c r="B486" s="131"/>
      <c r="C486" s="131"/>
      <c r="D486" s="131"/>
      <c r="E486" s="131"/>
      <c r="F486" s="131"/>
    </row>
    <row r="487" spans="1:6" x14ac:dyDescent="0.3">
      <c r="A487" s="131"/>
      <c r="B487" s="131"/>
      <c r="C487" s="131"/>
      <c r="D487" s="131"/>
      <c r="E487" s="131"/>
      <c r="F487" s="131"/>
    </row>
    <row r="488" spans="1:6" x14ac:dyDescent="0.3">
      <c r="A488" s="131"/>
      <c r="B488" s="131"/>
      <c r="C488" s="131"/>
      <c r="D488" s="131"/>
      <c r="E488" s="131"/>
      <c r="F488" s="131"/>
    </row>
    <row r="489" spans="1:6" x14ac:dyDescent="0.3">
      <c r="A489" s="131"/>
      <c r="B489" s="131"/>
      <c r="C489" s="131"/>
      <c r="D489" s="131"/>
      <c r="E489" s="131"/>
      <c r="F489" s="131"/>
    </row>
    <row r="490" spans="1:6" x14ac:dyDescent="0.3">
      <c r="A490" s="131"/>
      <c r="B490" s="131"/>
      <c r="C490" s="131"/>
      <c r="D490" s="131"/>
      <c r="E490" s="131"/>
      <c r="F490" s="131"/>
    </row>
    <row r="491" spans="1:6" x14ac:dyDescent="0.3">
      <c r="A491" s="131"/>
      <c r="B491" s="131"/>
      <c r="C491" s="131"/>
      <c r="D491" s="131"/>
      <c r="E491" s="131"/>
      <c r="F491" s="131"/>
    </row>
    <row r="492" spans="1:6" x14ac:dyDescent="0.3">
      <c r="A492" s="131"/>
      <c r="B492" s="131"/>
      <c r="C492" s="131"/>
      <c r="D492" s="131"/>
      <c r="E492" s="131"/>
      <c r="F492" s="131"/>
    </row>
    <row r="493" spans="1:6" x14ac:dyDescent="0.3">
      <c r="A493" s="131"/>
      <c r="B493" s="131"/>
      <c r="C493" s="131"/>
      <c r="D493" s="131"/>
      <c r="E493" s="131"/>
      <c r="F493" s="131"/>
    </row>
    <row r="494" spans="1:6" x14ac:dyDescent="0.3">
      <c r="A494" s="131"/>
      <c r="B494" s="131"/>
      <c r="C494" s="131"/>
      <c r="D494" s="131"/>
      <c r="E494" s="131"/>
      <c r="F494" s="131"/>
    </row>
    <row r="495" spans="1:6" x14ac:dyDescent="0.3">
      <c r="A495" s="131"/>
      <c r="B495" s="131"/>
      <c r="C495" s="131"/>
      <c r="D495" s="131"/>
      <c r="E495" s="131"/>
      <c r="F495" s="131"/>
    </row>
    <row r="496" spans="1:6" x14ac:dyDescent="0.3">
      <c r="A496" s="131"/>
      <c r="B496" s="131"/>
      <c r="C496" s="131"/>
      <c r="D496" s="131"/>
      <c r="E496" s="131"/>
      <c r="F496" s="131"/>
    </row>
    <row r="497" spans="1:6" x14ac:dyDescent="0.3">
      <c r="A497" s="131"/>
      <c r="B497" s="131"/>
      <c r="C497" s="131"/>
      <c r="D497" s="131"/>
      <c r="E497" s="131"/>
      <c r="F497" s="131"/>
    </row>
    <row r="498" spans="1:6" x14ac:dyDescent="0.3">
      <c r="A498" s="131"/>
      <c r="B498" s="131"/>
      <c r="C498" s="131"/>
      <c r="D498" s="131"/>
      <c r="E498" s="131"/>
      <c r="F498" s="131"/>
    </row>
    <row r="499" spans="1:6" x14ac:dyDescent="0.3">
      <c r="A499" s="131"/>
      <c r="B499" s="131"/>
      <c r="C499" s="131"/>
      <c r="D499" s="131"/>
      <c r="E499" s="131"/>
      <c r="F499" s="131"/>
    </row>
    <row r="500" spans="1:6" x14ac:dyDescent="0.3">
      <c r="A500" s="131"/>
      <c r="B500" s="131"/>
      <c r="C500" s="131"/>
      <c r="D500" s="131"/>
      <c r="E500" s="131"/>
      <c r="F500" s="131"/>
    </row>
    <row r="501" spans="1:6" x14ac:dyDescent="0.3">
      <c r="A501" s="131"/>
      <c r="B501" s="131"/>
      <c r="C501" s="131"/>
      <c r="D501" s="131"/>
      <c r="E501" s="131"/>
      <c r="F501" s="131"/>
    </row>
    <row r="502" spans="1:6" x14ac:dyDescent="0.3">
      <c r="A502" s="131"/>
      <c r="B502" s="131"/>
      <c r="C502" s="131"/>
      <c r="D502" s="131"/>
      <c r="E502" s="131"/>
      <c r="F502" s="131"/>
    </row>
    <row r="503" spans="1:6" x14ac:dyDescent="0.3">
      <c r="A503" s="131"/>
      <c r="B503" s="131"/>
      <c r="C503" s="131"/>
      <c r="D503" s="131"/>
      <c r="E503" s="131"/>
      <c r="F503" s="131"/>
    </row>
    <row r="504" spans="1:6" x14ac:dyDescent="0.3">
      <c r="A504" s="131"/>
      <c r="B504" s="131"/>
      <c r="C504" s="131"/>
      <c r="D504" s="131"/>
      <c r="E504" s="131"/>
      <c r="F504" s="131"/>
    </row>
    <row r="505" spans="1:6" x14ac:dyDescent="0.3">
      <c r="A505" s="131"/>
      <c r="B505" s="131"/>
      <c r="C505" s="131"/>
      <c r="D505" s="131"/>
      <c r="E505" s="131"/>
      <c r="F505" s="131"/>
    </row>
    <row r="506" spans="1:6" x14ac:dyDescent="0.3">
      <c r="A506" s="131"/>
      <c r="B506" s="131"/>
      <c r="C506" s="131"/>
      <c r="D506" s="131"/>
      <c r="E506" s="131"/>
      <c r="F506" s="131"/>
    </row>
    <row r="507" spans="1:6" x14ac:dyDescent="0.3">
      <c r="A507" s="131"/>
      <c r="B507" s="131"/>
      <c r="C507" s="131"/>
      <c r="D507" s="131"/>
      <c r="E507" s="131"/>
      <c r="F507" s="131"/>
    </row>
    <row r="508" spans="1:6" x14ac:dyDescent="0.3">
      <c r="A508" s="131"/>
      <c r="B508" s="131"/>
      <c r="C508" s="131"/>
      <c r="D508" s="131"/>
      <c r="E508" s="131"/>
      <c r="F508" s="131"/>
    </row>
    <row r="509" spans="1:6" x14ac:dyDescent="0.3">
      <c r="A509" s="131"/>
      <c r="B509" s="131"/>
      <c r="C509" s="131"/>
      <c r="D509" s="131"/>
      <c r="E509" s="131"/>
      <c r="F509" s="131"/>
    </row>
    <row r="510" spans="1:6" x14ac:dyDescent="0.3">
      <c r="A510" s="131"/>
      <c r="B510" s="131"/>
      <c r="C510" s="131"/>
      <c r="D510" s="131"/>
      <c r="E510" s="131"/>
      <c r="F510" s="131"/>
    </row>
    <row r="511" spans="1:6" x14ac:dyDescent="0.3">
      <c r="A511" s="131"/>
      <c r="B511" s="131"/>
      <c r="C511" s="131"/>
      <c r="D511" s="131"/>
      <c r="E511" s="131"/>
      <c r="F511" s="131"/>
    </row>
    <row r="512" spans="1:6" x14ac:dyDescent="0.3">
      <c r="A512" s="131"/>
      <c r="B512" s="131"/>
      <c r="C512" s="131"/>
      <c r="D512" s="131"/>
      <c r="E512" s="131"/>
      <c r="F512" s="131"/>
    </row>
    <row r="513" spans="1:6" x14ac:dyDescent="0.3">
      <c r="A513" s="131"/>
      <c r="B513" s="131"/>
      <c r="C513" s="131"/>
      <c r="D513" s="131"/>
      <c r="E513" s="131"/>
      <c r="F513" s="131"/>
    </row>
    <row r="514" spans="1:6" x14ac:dyDescent="0.3">
      <c r="A514" s="131"/>
      <c r="B514" s="131"/>
      <c r="C514" s="131"/>
      <c r="D514" s="131"/>
      <c r="E514" s="131"/>
      <c r="F514" s="131"/>
    </row>
    <row r="515" spans="1:6" x14ac:dyDescent="0.3">
      <c r="A515" s="131"/>
      <c r="B515" s="131"/>
      <c r="C515" s="131"/>
      <c r="D515" s="131"/>
      <c r="E515" s="131"/>
      <c r="F515" s="131"/>
    </row>
    <row r="516" spans="1:6" x14ac:dyDescent="0.3">
      <c r="A516" s="131"/>
      <c r="B516" s="131"/>
      <c r="C516" s="131"/>
      <c r="D516" s="131"/>
      <c r="E516" s="131"/>
      <c r="F516" s="131"/>
    </row>
    <row r="517" spans="1:6" x14ac:dyDescent="0.3">
      <c r="A517" s="131"/>
      <c r="B517" s="131"/>
      <c r="C517" s="131"/>
      <c r="D517" s="131"/>
      <c r="E517" s="131"/>
      <c r="F517" s="131"/>
    </row>
    <row r="518" spans="1:6" x14ac:dyDescent="0.3">
      <c r="A518" s="131"/>
      <c r="B518" s="131"/>
      <c r="C518" s="131"/>
      <c r="D518" s="131"/>
      <c r="E518" s="131"/>
      <c r="F518" s="131"/>
    </row>
    <row r="519" spans="1:6" x14ac:dyDescent="0.3">
      <c r="A519" s="131"/>
      <c r="B519" s="131"/>
      <c r="C519" s="131"/>
      <c r="D519" s="131"/>
      <c r="E519" s="131"/>
      <c r="F519" s="131"/>
    </row>
    <row r="520" spans="1:6" x14ac:dyDescent="0.3">
      <c r="A520" s="131"/>
      <c r="B520" s="131"/>
      <c r="C520" s="131"/>
      <c r="D520" s="131"/>
      <c r="E520" s="131"/>
      <c r="F520" s="131"/>
    </row>
    <row r="521" spans="1:6" x14ac:dyDescent="0.3">
      <c r="A521" s="131"/>
      <c r="B521" s="131"/>
      <c r="C521" s="131"/>
      <c r="D521" s="131"/>
      <c r="E521" s="131"/>
      <c r="F521" s="131"/>
    </row>
    <row r="522" spans="1:6" x14ac:dyDescent="0.3">
      <c r="A522" s="131"/>
      <c r="B522" s="131"/>
      <c r="C522" s="131"/>
      <c r="D522" s="131"/>
      <c r="E522" s="131"/>
      <c r="F522" s="131"/>
    </row>
    <row r="523" spans="1:6" x14ac:dyDescent="0.3">
      <c r="A523" s="131"/>
      <c r="B523" s="131"/>
      <c r="C523" s="131"/>
      <c r="D523" s="131"/>
      <c r="E523" s="131"/>
      <c r="F523" s="131"/>
    </row>
    <row r="524" spans="1:6" x14ac:dyDescent="0.3">
      <c r="A524" s="131"/>
      <c r="B524" s="131"/>
      <c r="C524" s="131"/>
      <c r="D524" s="131"/>
      <c r="E524" s="131"/>
      <c r="F524" s="131"/>
    </row>
    <row r="525" spans="1:6" x14ac:dyDescent="0.3">
      <c r="A525" s="131"/>
      <c r="B525" s="131"/>
      <c r="C525" s="131"/>
      <c r="D525" s="131"/>
      <c r="E525" s="131"/>
      <c r="F525" s="131"/>
    </row>
    <row r="526" spans="1:6" x14ac:dyDescent="0.3">
      <c r="A526" s="131"/>
      <c r="B526" s="131"/>
      <c r="C526" s="131"/>
      <c r="D526" s="131"/>
      <c r="E526" s="131"/>
      <c r="F526" s="131"/>
    </row>
    <row r="527" spans="1:6" x14ac:dyDescent="0.3">
      <c r="A527" s="131"/>
      <c r="B527" s="131"/>
      <c r="C527" s="131"/>
      <c r="D527" s="131"/>
      <c r="E527" s="131"/>
      <c r="F527" s="131"/>
    </row>
    <row r="528" spans="1:6" x14ac:dyDescent="0.3">
      <c r="A528" s="131"/>
      <c r="B528" s="131"/>
      <c r="C528" s="131"/>
      <c r="D528" s="131"/>
      <c r="E528" s="131"/>
      <c r="F528" s="131"/>
    </row>
    <row r="529" spans="1:6" x14ac:dyDescent="0.3">
      <c r="A529" s="131"/>
      <c r="B529" s="131"/>
      <c r="C529" s="131"/>
      <c r="D529" s="131"/>
      <c r="E529" s="131"/>
      <c r="F529" s="131"/>
    </row>
    <row r="530" spans="1:6" x14ac:dyDescent="0.3">
      <c r="A530" s="131"/>
      <c r="B530" s="131"/>
      <c r="C530" s="131"/>
      <c r="D530" s="131"/>
      <c r="E530" s="131"/>
      <c r="F530" s="131"/>
    </row>
    <row r="531" spans="1:6" x14ac:dyDescent="0.3">
      <c r="A531" s="131"/>
      <c r="B531" s="131"/>
      <c r="C531" s="131"/>
      <c r="D531" s="131"/>
      <c r="E531" s="131"/>
      <c r="F531" s="131"/>
    </row>
    <row r="532" spans="1:6" x14ac:dyDescent="0.3">
      <c r="A532" s="131"/>
      <c r="B532" s="131"/>
      <c r="C532" s="131"/>
      <c r="D532" s="131"/>
      <c r="E532" s="131"/>
      <c r="F532" s="131"/>
    </row>
    <row r="533" spans="1:6" x14ac:dyDescent="0.3">
      <c r="A533" s="131"/>
      <c r="B533" s="131"/>
      <c r="C533" s="131"/>
      <c r="D533" s="131"/>
      <c r="E533" s="131"/>
      <c r="F533" s="131"/>
    </row>
    <row r="534" spans="1:6" x14ac:dyDescent="0.3">
      <c r="A534" s="131"/>
      <c r="B534" s="131"/>
      <c r="C534" s="131"/>
      <c r="D534" s="131"/>
      <c r="E534" s="131"/>
      <c r="F534" s="131"/>
    </row>
    <row r="535" spans="1:6" x14ac:dyDescent="0.3">
      <c r="A535" s="131"/>
      <c r="B535" s="131"/>
      <c r="C535" s="131"/>
      <c r="D535" s="131"/>
      <c r="E535" s="131"/>
      <c r="F535" s="131"/>
    </row>
    <row r="536" spans="1:6" x14ac:dyDescent="0.3">
      <c r="A536" s="131"/>
      <c r="B536" s="131"/>
      <c r="C536" s="131"/>
      <c r="D536" s="131"/>
      <c r="E536" s="131"/>
      <c r="F536" s="131"/>
    </row>
    <row r="537" spans="1:6" x14ac:dyDescent="0.3">
      <c r="A537" s="131"/>
      <c r="B537" s="131"/>
      <c r="C537" s="131"/>
      <c r="D537" s="131"/>
      <c r="E537" s="131"/>
      <c r="F537" s="131"/>
    </row>
    <row r="538" spans="1:6" x14ac:dyDescent="0.3">
      <c r="A538" s="131"/>
      <c r="B538" s="131"/>
      <c r="C538" s="131"/>
      <c r="D538" s="131"/>
      <c r="E538" s="131"/>
      <c r="F538" s="131"/>
    </row>
    <row r="539" spans="1:6" x14ac:dyDescent="0.3">
      <c r="A539" s="131"/>
      <c r="B539" s="131"/>
      <c r="C539" s="131"/>
      <c r="D539" s="131"/>
      <c r="E539" s="131"/>
      <c r="F539" s="131"/>
    </row>
    <row r="540" spans="1:6" x14ac:dyDescent="0.3">
      <c r="A540" s="131"/>
      <c r="B540" s="131"/>
      <c r="C540" s="131"/>
      <c r="D540" s="131"/>
      <c r="E540" s="131"/>
      <c r="F540" s="131"/>
    </row>
    <row r="541" spans="1:6" x14ac:dyDescent="0.3">
      <c r="A541" s="131"/>
      <c r="B541" s="131"/>
      <c r="C541" s="131"/>
      <c r="D541" s="131"/>
      <c r="E541" s="131"/>
      <c r="F541" s="131"/>
    </row>
    <row r="542" spans="1:6" x14ac:dyDescent="0.3">
      <c r="A542" s="131"/>
      <c r="B542" s="131"/>
      <c r="C542" s="131"/>
      <c r="D542" s="131"/>
      <c r="E542" s="131"/>
      <c r="F542" s="131"/>
    </row>
    <row r="543" spans="1:6" x14ac:dyDescent="0.3">
      <c r="A543" s="131"/>
      <c r="B543" s="131"/>
      <c r="C543" s="131"/>
      <c r="D543" s="131"/>
      <c r="E543" s="131"/>
      <c r="F543" s="131"/>
    </row>
    <row r="544" spans="1:6" x14ac:dyDescent="0.3">
      <c r="A544" s="131"/>
      <c r="B544" s="131"/>
      <c r="C544" s="131"/>
      <c r="D544" s="131"/>
      <c r="E544" s="131"/>
      <c r="F544" s="131"/>
    </row>
    <row r="545" spans="1:6" x14ac:dyDescent="0.3">
      <c r="A545" s="131"/>
      <c r="B545" s="131"/>
      <c r="C545" s="131"/>
      <c r="D545" s="131"/>
      <c r="E545" s="131"/>
      <c r="F545" s="131"/>
    </row>
    <row r="546" spans="1:6" x14ac:dyDescent="0.3">
      <c r="A546" s="131"/>
      <c r="B546" s="131"/>
      <c r="C546" s="131"/>
      <c r="D546" s="131"/>
      <c r="E546" s="131"/>
      <c r="F546" s="131"/>
    </row>
    <row r="547" spans="1:6" x14ac:dyDescent="0.3">
      <c r="A547" s="131"/>
      <c r="B547" s="131"/>
      <c r="C547" s="131"/>
      <c r="D547" s="131"/>
      <c r="E547" s="131"/>
      <c r="F547" s="131"/>
    </row>
    <row r="548" spans="1:6" x14ac:dyDescent="0.3">
      <c r="A548" s="131"/>
      <c r="B548" s="131"/>
      <c r="C548" s="131"/>
      <c r="D548" s="131"/>
      <c r="E548" s="131"/>
      <c r="F548" s="131"/>
    </row>
    <row r="549" spans="1:6" x14ac:dyDescent="0.3">
      <c r="A549" s="131"/>
      <c r="B549" s="131"/>
      <c r="C549" s="131"/>
      <c r="D549" s="131"/>
      <c r="E549" s="131"/>
      <c r="F549" s="131"/>
    </row>
    <row r="550" spans="1:6" x14ac:dyDescent="0.3">
      <c r="A550" s="131"/>
      <c r="B550" s="131"/>
      <c r="C550" s="131"/>
      <c r="D550" s="131"/>
      <c r="E550" s="131"/>
      <c r="F550" s="131"/>
    </row>
    <row r="551" spans="1:6" x14ac:dyDescent="0.3">
      <c r="A551" s="131"/>
      <c r="B551" s="131"/>
      <c r="C551" s="131"/>
      <c r="D551" s="131"/>
      <c r="E551" s="131"/>
      <c r="F551" s="131"/>
    </row>
    <row r="552" spans="1:6" x14ac:dyDescent="0.3">
      <c r="A552" s="131"/>
      <c r="B552" s="131"/>
      <c r="C552" s="131"/>
      <c r="D552" s="131"/>
      <c r="E552" s="131"/>
      <c r="F552" s="131"/>
    </row>
    <row r="553" spans="1:6" x14ac:dyDescent="0.3">
      <c r="A553" s="131"/>
      <c r="B553" s="131"/>
      <c r="C553" s="131"/>
      <c r="D553" s="131"/>
      <c r="E553" s="131"/>
      <c r="F553" s="131"/>
    </row>
    <row r="554" spans="1:6" x14ac:dyDescent="0.3">
      <c r="A554" s="131"/>
      <c r="B554" s="131"/>
      <c r="C554" s="131"/>
      <c r="D554" s="131"/>
      <c r="E554" s="131"/>
      <c r="F554" s="131"/>
    </row>
    <row r="555" spans="1:6" x14ac:dyDescent="0.3">
      <c r="A555" s="131"/>
      <c r="B555" s="131"/>
      <c r="C555" s="131"/>
      <c r="D555" s="131"/>
      <c r="E555" s="131"/>
      <c r="F555" s="131"/>
    </row>
    <row r="556" spans="1:6" x14ac:dyDescent="0.3">
      <c r="A556" s="131"/>
      <c r="B556" s="131"/>
      <c r="C556" s="131"/>
      <c r="D556" s="131"/>
      <c r="E556" s="131"/>
      <c r="F556" s="131"/>
    </row>
    <row r="557" spans="1:6" x14ac:dyDescent="0.3">
      <c r="A557" s="131"/>
      <c r="B557" s="131"/>
      <c r="C557" s="131"/>
      <c r="D557" s="131"/>
      <c r="E557" s="131"/>
      <c r="F557" s="131"/>
    </row>
    <row r="558" spans="1:6" x14ac:dyDescent="0.3">
      <c r="A558" s="131"/>
      <c r="B558" s="131"/>
      <c r="C558" s="131"/>
      <c r="D558" s="131"/>
      <c r="E558" s="131"/>
      <c r="F558" s="131"/>
    </row>
    <row r="559" spans="1:6" x14ac:dyDescent="0.3">
      <c r="A559" s="131"/>
      <c r="B559" s="131"/>
      <c r="C559" s="131"/>
      <c r="D559" s="131"/>
      <c r="E559" s="131"/>
      <c r="F559" s="131"/>
    </row>
    <row r="560" spans="1:6" x14ac:dyDescent="0.3">
      <c r="A560" s="131"/>
      <c r="B560" s="131"/>
      <c r="C560" s="131"/>
      <c r="D560" s="131"/>
      <c r="E560" s="131"/>
      <c r="F560" s="131"/>
    </row>
    <row r="561" spans="1:6" x14ac:dyDescent="0.3">
      <c r="A561" s="131"/>
      <c r="B561" s="131"/>
      <c r="C561" s="131"/>
      <c r="D561" s="131"/>
      <c r="E561" s="131"/>
      <c r="F561" s="131"/>
    </row>
    <row r="562" spans="1:6" x14ac:dyDescent="0.3">
      <c r="A562" s="131"/>
      <c r="B562" s="131"/>
      <c r="C562" s="131"/>
      <c r="D562" s="131"/>
      <c r="E562" s="131"/>
      <c r="F562" s="131"/>
    </row>
    <row r="563" spans="1:6" x14ac:dyDescent="0.3">
      <c r="A563" s="131"/>
      <c r="B563" s="131"/>
      <c r="C563" s="131"/>
      <c r="D563" s="131"/>
      <c r="E563" s="131"/>
      <c r="F563" s="131"/>
    </row>
    <row r="564" spans="1:6" x14ac:dyDescent="0.3">
      <c r="A564" s="131"/>
      <c r="B564" s="131"/>
      <c r="C564" s="131"/>
      <c r="D564" s="131"/>
      <c r="E564" s="131"/>
      <c r="F564" s="131"/>
    </row>
    <row r="565" spans="1:6" x14ac:dyDescent="0.3">
      <c r="A565" s="131"/>
      <c r="B565" s="131"/>
      <c r="C565" s="131"/>
      <c r="D565" s="131"/>
      <c r="E565" s="131"/>
      <c r="F565" s="131"/>
    </row>
    <row r="566" spans="1:6" x14ac:dyDescent="0.3">
      <c r="A566" s="131"/>
      <c r="B566" s="131"/>
      <c r="C566" s="131"/>
      <c r="D566" s="131"/>
      <c r="E566" s="131"/>
      <c r="F566" s="131"/>
    </row>
    <row r="567" spans="1:6" x14ac:dyDescent="0.3">
      <c r="A567" s="131"/>
      <c r="B567" s="131"/>
      <c r="C567" s="131"/>
      <c r="D567" s="131"/>
      <c r="E567" s="131"/>
      <c r="F567" s="131"/>
    </row>
    <row r="568" spans="1:6" x14ac:dyDescent="0.3">
      <c r="A568" s="131"/>
      <c r="B568" s="131"/>
      <c r="C568" s="131"/>
      <c r="D568" s="131"/>
      <c r="E568" s="131"/>
      <c r="F568" s="131"/>
    </row>
    <row r="569" spans="1:6" x14ac:dyDescent="0.3">
      <c r="A569" s="131"/>
      <c r="B569" s="131"/>
      <c r="C569" s="131"/>
      <c r="D569" s="131"/>
      <c r="E569" s="131"/>
      <c r="F569" s="131"/>
    </row>
    <row r="570" spans="1:6" x14ac:dyDescent="0.3">
      <c r="A570" s="131"/>
      <c r="B570" s="131"/>
      <c r="C570" s="131"/>
      <c r="D570" s="131"/>
      <c r="E570" s="131"/>
      <c r="F570" s="131"/>
    </row>
    <row r="571" spans="1:6" x14ac:dyDescent="0.3">
      <c r="A571" s="131"/>
      <c r="B571" s="131"/>
      <c r="C571" s="131"/>
      <c r="D571" s="131"/>
      <c r="E571" s="131"/>
      <c r="F571" s="131"/>
    </row>
    <row r="572" spans="1:6" x14ac:dyDescent="0.3">
      <c r="A572" s="131"/>
      <c r="B572" s="131"/>
      <c r="C572" s="131"/>
      <c r="D572" s="131"/>
      <c r="E572" s="131"/>
      <c r="F572" s="131"/>
    </row>
    <row r="573" spans="1:6" x14ac:dyDescent="0.3">
      <c r="A573" s="131"/>
      <c r="B573" s="131"/>
      <c r="C573" s="131"/>
      <c r="D573" s="131"/>
      <c r="E573" s="131"/>
      <c r="F573" s="131"/>
    </row>
    <row r="574" spans="1:6" x14ac:dyDescent="0.3">
      <c r="A574" s="131"/>
      <c r="B574" s="131"/>
      <c r="C574" s="131"/>
      <c r="D574" s="131"/>
      <c r="E574" s="131"/>
      <c r="F574" s="131"/>
    </row>
    <row r="575" spans="1:6" x14ac:dyDescent="0.3">
      <c r="A575" s="131"/>
      <c r="B575" s="131"/>
      <c r="C575" s="131"/>
      <c r="D575" s="131"/>
      <c r="E575" s="131"/>
      <c r="F575" s="131"/>
    </row>
    <row r="576" spans="1:6" x14ac:dyDescent="0.3">
      <c r="A576" s="131"/>
      <c r="B576" s="131"/>
      <c r="C576" s="131"/>
      <c r="D576" s="131"/>
      <c r="E576" s="131"/>
      <c r="F576" s="131"/>
    </row>
    <row r="577" spans="1:6" x14ac:dyDescent="0.3">
      <c r="A577" s="131"/>
      <c r="B577" s="131"/>
      <c r="C577" s="131"/>
      <c r="D577" s="131"/>
      <c r="E577" s="131"/>
      <c r="F577" s="131"/>
    </row>
    <row r="578" spans="1:6" x14ac:dyDescent="0.3">
      <c r="A578" s="131"/>
      <c r="B578" s="131"/>
      <c r="C578" s="131"/>
      <c r="D578" s="131"/>
      <c r="E578" s="131"/>
      <c r="F578" s="131"/>
    </row>
    <row r="579" spans="1:6" x14ac:dyDescent="0.3">
      <c r="A579" s="131"/>
      <c r="B579" s="131"/>
      <c r="C579" s="131"/>
      <c r="D579" s="131"/>
      <c r="E579" s="131"/>
      <c r="F579" s="131"/>
    </row>
    <row r="580" spans="1:6" x14ac:dyDescent="0.3">
      <c r="A580" s="131"/>
      <c r="B580" s="131"/>
      <c r="C580" s="131"/>
      <c r="D580" s="131"/>
      <c r="E580" s="131"/>
      <c r="F580" s="131"/>
    </row>
    <row r="581" spans="1:6" x14ac:dyDescent="0.3">
      <c r="A581" s="131"/>
      <c r="B581" s="131"/>
      <c r="C581" s="131"/>
      <c r="D581" s="131"/>
      <c r="E581" s="131"/>
      <c r="F581" s="131"/>
    </row>
    <row r="582" spans="1:6" x14ac:dyDescent="0.3">
      <c r="A582" s="131"/>
      <c r="B582" s="131"/>
      <c r="C582" s="131"/>
      <c r="D582" s="131"/>
      <c r="E582" s="131"/>
      <c r="F582" s="131"/>
    </row>
    <row r="583" spans="1:6" x14ac:dyDescent="0.3">
      <c r="A583" s="131"/>
      <c r="B583" s="131"/>
      <c r="C583" s="131"/>
      <c r="D583" s="131"/>
      <c r="E583" s="131"/>
      <c r="F583" s="131"/>
    </row>
    <row r="584" spans="1:6" x14ac:dyDescent="0.3">
      <c r="A584" s="131"/>
      <c r="B584" s="131"/>
      <c r="C584" s="131"/>
      <c r="D584" s="131"/>
      <c r="E584" s="131"/>
      <c r="F584" s="131"/>
    </row>
    <row r="585" spans="1:6" x14ac:dyDescent="0.3">
      <c r="A585" s="131"/>
      <c r="B585" s="131"/>
      <c r="C585" s="131"/>
      <c r="D585" s="131"/>
      <c r="E585" s="131"/>
      <c r="F585" s="131"/>
    </row>
    <row r="586" spans="1:6" x14ac:dyDescent="0.3">
      <c r="A586" s="131"/>
      <c r="B586" s="131"/>
      <c r="C586" s="131"/>
      <c r="D586" s="131"/>
      <c r="E586" s="131"/>
      <c r="F586" s="131"/>
    </row>
    <row r="587" spans="1:6" x14ac:dyDescent="0.3">
      <c r="A587" s="131"/>
      <c r="B587" s="131"/>
      <c r="C587" s="131"/>
      <c r="D587" s="131"/>
      <c r="E587" s="131"/>
      <c r="F587" s="131"/>
    </row>
    <row r="588" spans="1:6" x14ac:dyDescent="0.3">
      <c r="A588" s="131"/>
      <c r="B588" s="131"/>
      <c r="C588" s="131"/>
      <c r="D588" s="131"/>
      <c r="E588" s="131"/>
      <c r="F588" s="131"/>
    </row>
    <row r="589" spans="1:6" x14ac:dyDescent="0.3">
      <c r="A589" s="131"/>
      <c r="B589" s="131"/>
      <c r="C589" s="131"/>
      <c r="D589" s="131"/>
      <c r="E589" s="131"/>
      <c r="F589" s="131"/>
    </row>
    <row r="590" spans="1:6" x14ac:dyDescent="0.3">
      <c r="A590" s="131"/>
      <c r="B590" s="131"/>
      <c r="C590" s="131"/>
      <c r="D590" s="131"/>
      <c r="E590" s="131"/>
      <c r="F590" s="131"/>
    </row>
    <row r="591" spans="1:6" x14ac:dyDescent="0.3">
      <c r="A591" s="131"/>
      <c r="B591" s="131"/>
      <c r="C591" s="131"/>
      <c r="D591" s="131"/>
      <c r="E591" s="131"/>
      <c r="F591" s="131"/>
    </row>
    <row r="592" spans="1:6" x14ac:dyDescent="0.3">
      <c r="A592" s="131"/>
      <c r="B592" s="131"/>
      <c r="C592" s="131"/>
      <c r="D592" s="131"/>
      <c r="E592" s="131"/>
      <c r="F592" s="131"/>
    </row>
    <row r="593" spans="1:6" x14ac:dyDescent="0.3">
      <c r="A593" s="131"/>
      <c r="B593" s="131"/>
      <c r="C593" s="131"/>
      <c r="D593" s="131"/>
      <c r="E593" s="131"/>
      <c r="F593" s="131"/>
    </row>
    <row r="594" spans="1:6" x14ac:dyDescent="0.3">
      <c r="A594" s="131"/>
      <c r="B594" s="131"/>
      <c r="C594" s="131"/>
      <c r="D594" s="131"/>
      <c r="E594" s="131"/>
      <c r="F594" s="131"/>
    </row>
    <row r="595" spans="1:6" x14ac:dyDescent="0.3">
      <c r="A595" s="131"/>
      <c r="B595" s="131"/>
      <c r="C595" s="131"/>
      <c r="D595" s="131"/>
      <c r="E595" s="131"/>
      <c r="F595" s="131"/>
    </row>
    <row r="596" spans="1:6" x14ac:dyDescent="0.3">
      <c r="A596" s="131"/>
      <c r="B596" s="131"/>
      <c r="C596" s="131"/>
      <c r="D596" s="131"/>
      <c r="E596" s="131"/>
      <c r="F596" s="131"/>
    </row>
    <row r="597" spans="1:6" x14ac:dyDescent="0.3">
      <c r="A597" s="131"/>
      <c r="B597" s="131"/>
      <c r="C597" s="131"/>
      <c r="D597" s="131"/>
      <c r="E597" s="131"/>
      <c r="F597" s="131"/>
    </row>
    <row r="598" spans="1:6" x14ac:dyDescent="0.3">
      <c r="A598" s="131"/>
      <c r="B598" s="131"/>
      <c r="C598" s="131"/>
      <c r="D598" s="131"/>
      <c r="E598" s="131"/>
      <c r="F598" s="131"/>
    </row>
    <row r="599" spans="1:6" x14ac:dyDescent="0.3">
      <c r="A599" s="131"/>
      <c r="B599" s="131"/>
      <c r="C599" s="131"/>
      <c r="D599" s="131"/>
      <c r="E599" s="131"/>
      <c r="F599" s="131"/>
    </row>
    <row r="600" spans="1:6" x14ac:dyDescent="0.3">
      <c r="A600" s="131"/>
      <c r="B600" s="131"/>
      <c r="C600" s="131"/>
      <c r="D600" s="131"/>
      <c r="E600" s="131"/>
      <c r="F600" s="131"/>
    </row>
    <row r="601" spans="1:6" x14ac:dyDescent="0.3">
      <c r="A601" s="131"/>
      <c r="B601" s="131"/>
      <c r="C601" s="131"/>
      <c r="D601" s="131"/>
      <c r="E601" s="131"/>
      <c r="F601" s="131"/>
    </row>
    <row r="602" spans="1:6" x14ac:dyDescent="0.3">
      <c r="A602" s="131"/>
      <c r="B602" s="131"/>
      <c r="C602" s="131"/>
      <c r="D602" s="131"/>
      <c r="E602" s="131"/>
      <c r="F602" s="131"/>
    </row>
    <row r="603" spans="1:6" x14ac:dyDescent="0.3">
      <c r="A603" s="131"/>
      <c r="B603" s="131"/>
      <c r="C603" s="131"/>
      <c r="D603" s="131"/>
      <c r="E603" s="131"/>
      <c r="F603" s="131"/>
    </row>
    <row r="604" spans="1:6" x14ac:dyDescent="0.3">
      <c r="A604" s="131"/>
      <c r="B604" s="131"/>
      <c r="C604" s="131"/>
      <c r="D604" s="131"/>
      <c r="E604" s="131"/>
      <c r="F604" s="131"/>
    </row>
    <row r="605" spans="1:6" x14ac:dyDescent="0.3">
      <c r="A605" s="131"/>
      <c r="B605" s="131"/>
      <c r="C605" s="131"/>
      <c r="D605" s="131"/>
      <c r="E605" s="131"/>
      <c r="F605" s="131"/>
    </row>
    <row r="606" spans="1:6" x14ac:dyDescent="0.3">
      <c r="A606" s="131"/>
      <c r="B606" s="131"/>
      <c r="C606" s="131"/>
      <c r="D606" s="131"/>
      <c r="E606" s="131"/>
      <c r="F606" s="131"/>
    </row>
    <row r="607" spans="1:6" x14ac:dyDescent="0.3">
      <c r="A607" s="131"/>
      <c r="B607" s="131"/>
      <c r="C607" s="131"/>
      <c r="D607" s="131"/>
      <c r="E607" s="131"/>
      <c r="F607" s="131"/>
    </row>
    <row r="608" spans="1:6" x14ac:dyDescent="0.3">
      <c r="A608" s="131"/>
      <c r="B608" s="131"/>
      <c r="C608" s="131"/>
      <c r="D608" s="131"/>
      <c r="E608" s="131"/>
      <c r="F608" s="131"/>
    </row>
    <row r="609" spans="1:6" x14ac:dyDescent="0.3">
      <c r="A609" s="131"/>
      <c r="B609" s="131"/>
      <c r="C609" s="131"/>
      <c r="D609" s="131"/>
      <c r="E609" s="131"/>
      <c r="F609" s="131"/>
    </row>
    <row r="610" spans="1:6" x14ac:dyDescent="0.3">
      <c r="A610" s="131"/>
      <c r="B610" s="131"/>
      <c r="C610" s="131"/>
      <c r="D610" s="131"/>
      <c r="E610" s="131"/>
      <c r="F610" s="131"/>
    </row>
    <row r="611" spans="1:6" x14ac:dyDescent="0.3">
      <c r="A611" s="131"/>
      <c r="B611" s="131"/>
      <c r="C611" s="131"/>
      <c r="D611" s="131"/>
      <c r="E611" s="131"/>
      <c r="F611" s="131"/>
    </row>
    <row r="612" spans="1:6" x14ac:dyDescent="0.3">
      <c r="A612" s="131"/>
      <c r="B612" s="131"/>
      <c r="C612" s="131"/>
      <c r="D612" s="131"/>
      <c r="E612" s="131"/>
      <c r="F612" s="131"/>
    </row>
    <row r="613" spans="1:6" x14ac:dyDescent="0.3">
      <c r="A613" s="131"/>
      <c r="B613" s="131"/>
      <c r="C613" s="131"/>
      <c r="D613" s="131"/>
      <c r="E613" s="131"/>
      <c r="F613" s="131"/>
    </row>
    <row r="614" spans="1:6" x14ac:dyDescent="0.3">
      <c r="A614" s="131"/>
      <c r="B614" s="131"/>
      <c r="C614" s="131"/>
      <c r="D614" s="131"/>
      <c r="E614" s="131"/>
      <c r="F614" s="131"/>
    </row>
    <row r="615" spans="1:6" x14ac:dyDescent="0.3">
      <c r="A615" s="131"/>
      <c r="B615" s="131"/>
      <c r="C615" s="131"/>
      <c r="D615" s="131"/>
      <c r="E615" s="131"/>
      <c r="F615" s="131"/>
    </row>
    <row r="616" spans="1:6" x14ac:dyDescent="0.3">
      <c r="A616" s="131"/>
      <c r="B616" s="131"/>
      <c r="C616" s="131"/>
      <c r="D616" s="131"/>
      <c r="E616" s="131"/>
      <c r="F616" s="131"/>
    </row>
    <row r="617" spans="1:6" x14ac:dyDescent="0.3">
      <c r="A617" s="131"/>
      <c r="B617" s="131"/>
      <c r="C617" s="131"/>
      <c r="D617" s="131"/>
      <c r="E617" s="131"/>
      <c r="F617" s="131"/>
    </row>
    <row r="618" spans="1:6" x14ac:dyDescent="0.3">
      <c r="A618" s="131"/>
      <c r="B618" s="131"/>
      <c r="C618" s="131"/>
      <c r="D618" s="131"/>
      <c r="E618" s="131"/>
      <c r="F618" s="131"/>
    </row>
    <row r="619" spans="1:6" x14ac:dyDescent="0.3">
      <c r="A619" s="131"/>
      <c r="B619" s="131"/>
      <c r="C619" s="131"/>
      <c r="D619" s="131"/>
      <c r="E619" s="131"/>
      <c r="F619" s="131"/>
    </row>
    <row r="620" spans="1:6" x14ac:dyDescent="0.3">
      <c r="A620" s="131"/>
      <c r="B620" s="131"/>
      <c r="C620" s="131"/>
      <c r="D620" s="131"/>
      <c r="E620" s="131"/>
      <c r="F620" s="131"/>
    </row>
    <row r="621" spans="1:6" x14ac:dyDescent="0.3">
      <c r="A621" s="131"/>
      <c r="B621" s="131"/>
      <c r="C621" s="131"/>
      <c r="D621" s="131"/>
      <c r="E621" s="131"/>
      <c r="F621" s="131"/>
    </row>
    <row r="622" spans="1:6" x14ac:dyDescent="0.3">
      <c r="A622" s="131"/>
      <c r="B622" s="131"/>
      <c r="C622" s="131"/>
      <c r="D622" s="131"/>
      <c r="E622" s="131"/>
      <c r="F622" s="131"/>
    </row>
    <row r="623" spans="1:6" x14ac:dyDescent="0.3">
      <c r="A623" s="131"/>
      <c r="B623" s="131"/>
      <c r="C623" s="131"/>
      <c r="D623" s="131"/>
      <c r="E623" s="131"/>
      <c r="F623" s="131"/>
    </row>
    <row r="624" spans="1:6" x14ac:dyDescent="0.3">
      <c r="A624" s="131"/>
      <c r="B624" s="131"/>
      <c r="C624" s="131"/>
      <c r="D624" s="131"/>
      <c r="E624" s="131"/>
      <c r="F624" s="131"/>
    </row>
    <row r="625" spans="1:6" x14ac:dyDescent="0.3">
      <c r="A625" s="131"/>
      <c r="B625" s="131"/>
      <c r="C625" s="131"/>
      <c r="D625" s="131"/>
      <c r="E625" s="131"/>
      <c r="F625" s="131"/>
    </row>
    <row r="626" spans="1:6" x14ac:dyDescent="0.3">
      <c r="A626" s="131"/>
      <c r="B626" s="131"/>
      <c r="C626" s="131"/>
      <c r="D626" s="131"/>
      <c r="E626" s="131"/>
      <c r="F626" s="131"/>
    </row>
    <row r="627" spans="1:6" x14ac:dyDescent="0.3">
      <c r="A627" s="131"/>
      <c r="B627" s="131"/>
      <c r="C627" s="131"/>
      <c r="D627" s="131"/>
      <c r="E627" s="131"/>
      <c r="F627" s="131"/>
    </row>
    <row r="628" spans="1:6" x14ac:dyDescent="0.3">
      <c r="A628" s="131"/>
      <c r="B628" s="131"/>
      <c r="C628" s="131"/>
      <c r="D628" s="131"/>
      <c r="E628" s="131"/>
      <c r="F628" s="131"/>
    </row>
    <row r="629" spans="1:6" x14ac:dyDescent="0.3">
      <c r="A629" s="131"/>
      <c r="B629" s="131"/>
      <c r="C629" s="131"/>
      <c r="D629" s="131"/>
      <c r="E629" s="131"/>
      <c r="F629" s="131"/>
    </row>
    <row r="630" spans="1:6" x14ac:dyDescent="0.3">
      <c r="A630" s="131"/>
      <c r="B630" s="131"/>
      <c r="C630" s="131"/>
      <c r="D630" s="131"/>
      <c r="E630" s="131"/>
      <c r="F630" s="131"/>
    </row>
    <row r="631" spans="1:6" x14ac:dyDescent="0.3">
      <c r="A631" s="131"/>
      <c r="B631" s="131"/>
      <c r="C631" s="131"/>
      <c r="D631" s="131"/>
      <c r="E631" s="131"/>
      <c r="F631" s="131"/>
    </row>
    <row r="632" spans="1:6" x14ac:dyDescent="0.3">
      <c r="A632" s="131"/>
      <c r="B632" s="131"/>
      <c r="C632" s="131"/>
      <c r="D632" s="131"/>
      <c r="E632" s="131"/>
      <c r="F632" s="131"/>
    </row>
    <row r="633" spans="1:6" x14ac:dyDescent="0.3">
      <c r="A633" s="131"/>
      <c r="B633" s="131"/>
      <c r="C633" s="131"/>
      <c r="D633" s="131"/>
      <c r="E633" s="131"/>
      <c r="F633" s="131"/>
    </row>
    <row r="634" spans="1:6" x14ac:dyDescent="0.3">
      <c r="A634" s="131"/>
      <c r="B634" s="131"/>
      <c r="C634" s="131"/>
      <c r="D634" s="131"/>
      <c r="E634" s="131"/>
      <c r="F634" s="131"/>
    </row>
    <row r="635" spans="1:6" x14ac:dyDescent="0.3">
      <c r="A635" s="131"/>
      <c r="B635" s="131"/>
      <c r="C635" s="131"/>
      <c r="D635" s="131"/>
      <c r="E635" s="131"/>
      <c r="F635" s="131"/>
    </row>
    <row r="636" spans="1:6" x14ac:dyDescent="0.3">
      <c r="A636" s="131"/>
      <c r="B636" s="131"/>
      <c r="C636" s="131"/>
      <c r="D636" s="131"/>
      <c r="E636" s="131"/>
      <c r="F636" s="131"/>
    </row>
    <row r="637" spans="1:6" x14ac:dyDescent="0.3">
      <c r="A637" s="131"/>
      <c r="B637" s="131"/>
      <c r="C637" s="131"/>
      <c r="D637" s="131"/>
      <c r="E637" s="131"/>
      <c r="F637" s="131"/>
    </row>
    <row r="638" spans="1:6" x14ac:dyDescent="0.3">
      <c r="A638" s="131"/>
      <c r="B638" s="131"/>
      <c r="C638" s="131"/>
      <c r="D638" s="131"/>
      <c r="E638" s="131"/>
      <c r="F638" s="131"/>
    </row>
    <row r="639" spans="1:6" x14ac:dyDescent="0.3">
      <c r="A639" s="131"/>
      <c r="B639" s="131"/>
      <c r="C639" s="131"/>
      <c r="D639" s="131"/>
      <c r="E639" s="131"/>
      <c r="F639" s="131"/>
    </row>
    <row r="640" spans="1:6" x14ac:dyDescent="0.3">
      <c r="A640" s="131"/>
      <c r="B640" s="131"/>
      <c r="C640" s="131"/>
      <c r="D640" s="131"/>
      <c r="E640" s="131"/>
      <c r="F640" s="131"/>
    </row>
    <row r="641" spans="1:6" x14ac:dyDescent="0.3">
      <c r="A641" s="131"/>
      <c r="B641" s="131"/>
      <c r="C641" s="131"/>
      <c r="D641" s="131"/>
      <c r="E641" s="131"/>
      <c r="F641" s="131"/>
    </row>
    <row r="642" spans="1:6" x14ac:dyDescent="0.3">
      <c r="A642" s="131"/>
      <c r="B642" s="131"/>
      <c r="C642" s="131"/>
      <c r="D642" s="131"/>
      <c r="E642" s="131"/>
      <c r="F642" s="131"/>
    </row>
    <row r="643" spans="1:6" x14ac:dyDescent="0.3">
      <c r="A643" s="131"/>
      <c r="B643" s="131"/>
      <c r="C643" s="131"/>
      <c r="D643" s="131"/>
      <c r="E643" s="131"/>
      <c r="F643" s="131"/>
    </row>
    <row r="644" spans="1:6" x14ac:dyDescent="0.3">
      <c r="A644" s="131"/>
      <c r="B644" s="131"/>
      <c r="C644" s="131"/>
      <c r="D644" s="131"/>
      <c r="E644" s="131"/>
      <c r="F644" s="131"/>
    </row>
    <row r="645" spans="1:6" x14ac:dyDescent="0.3">
      <c r="A645" s="131"/>
      <c r="B645" s="131"/>
      <c r="C645" s="131"/>
      <c r="D645" s="131"/>
      <c r="E645" s="131"/>
      <c r="F645" s="131"/>
    </row>
    <row r="646" spans="1:6" x14ac:dyDescent="0.3">
      <c r="A646" s="131"/>
      <c r="B646" s="131"/>
      <c r="C646" s="131"/>
      <c r="D646" s="131"/>
      <c r="E646" s="131"/>
      <c r="F646" s="131"/>
    </row>
    <row r="647" spans="1:6" x14ac:dyDescent="0.3">
      <c r="A647" s="131"/>
      <c r="B647" s="131"/>
      <c r="C647" s="131"/>
      <c r="D647" s="131"/>
      <c r="E647" s="131"/>
      <c r="F647" s="131"/>
    </row>
    <row r="648" spans="1:6" x14ac:dyDescent="0.3">
      <c r="A648" s="131"/>
      <c r="B648" s="131"/>
      <c r="C648" s="131"/>
      <c r="D648" s="131"/>
      <c r="E648" s="131"/>
      <c r="F648" s="131"/>
    </row>
    <row r="649" spans="1:6" x14ac:dyDescent="0.3">
      <c r="A649" s="131"/>
      <c r="B649" s="131"/>
      <c r="C649" s="131"/>
      <c r="D649" s="131"/>
      <c r="E649" s="131"/>
      <c r="F649" s="131"/>
    </row>
    <row r="650" spans="1:6" x14ac:dyDescent="0.3">
      <c r="A650" s="131"/>
      <c r="B650" s="131"/>
      <c r="C650" s="131"/>
      <c r="D650" s="131"/>
      <c r="E650" s="131"/>
      <c r="F650" s="131"/>
    </row>
    <row r="651" spans="1:6" x14ac:dyDescent="0.3">
      <c r="A651" s="131"/>
      <c r="B651" s="131"/>
      <c r="C651" s="131"/>
      <c r="D651" s="131"/>
      <c r="E651" s="131"/>
      <c r="F651" s="131"/>
    </row>
    <row r="652" spans="1:6" x14ac:dyDescent="0.3">
      <c r="A652" s="131"/>
      <c r="B652" s="131"/>
      <c r="C652" s="131"/>
      <c r="D652" s="131"/>
      <c r="E652" s="131"/>
      <c r="F652" s="131"/>
    </row>
    <row r="653" spans="1:6" x14ac:dyDescent="0.3">
      <c r="A653" s="131"/>
      <c r="B653" s="131"/>
      <c r="C653" s="131"/>
      <c r="D653" s="131"/>
      <c r="E653" s="131"/>
      <c r="F653" s="131"/>
    </row>
    <row r="654" spans="1:6" x14ac:dyDescent="0.3">
      <c r="A654" s="131"/>
      <c r="B654" s="131"/>
      <c r="C654" s="131"/>
      <c r="D654" s="131"/>
      <c r="E654" s="131"/>
      <c r="F654" s="131"/>
    </row>
    <row r="655" spans="1:6" x14ac:dyDescent="0.3">
      <c r="A655" s="131"/>
      <c r="B655" s="131"/>
      <c r="C655" s="131"/>
      <c r="D655" s="131"/>
      <c r="E655" s="131"/>
      <c r="F655" s="131"/>
    </row>
    <row r="656" spans="1:6" x14ac:dyDescent="0.3">
      <c r="A656" s="131"/>
      <c r="B656" s="131"/>
      <c r="C656" s="131"/>
      <c r="D656" s="131"/>
      <c r="E656" s="131"/>
      <c r="F656" s="131"/>
    </row>
    <row r="657" spans="1:6" x14ac:dyDescent="0.3">
      <c r="A657" s="131"/>
      <c r="B657" s="131"/>
      <c r="C657" s="131"/>
      <c r="D657" s="131"/>
      <c r="E657" s="131"/>
      <c r="F657" s="131"/>
    </row>
    <row r="658" spans="1:6" x14ac:dyDescent="0.3">
      <c r="A658" s="131"/>
      <c r="B658" s="131"/>
      <c r="C658" s="131"/>
      <c r="D658" s="131"/>
      <c r="E658" s="131"/>
      <c r="F658" s="131"/>
    </row>
    <row r="659" spans="1:6" x14ac:dyDescent="0.3">
      <c r="A659" s="131"/>
      <c r="B659" s="131"/>
      <c r="C659" s="131"/>
      <c r="D659" s="131"/>
      <c r="E659" s="131"/>
      <c r="F659" s="131"/>
    </row>
    <row r="660" spans="1:6" x14ac:dyDescent="0.3">
      <c r="A660" s="131"/>
      <c r="B660" s="131"/>
      <c r="C660" s="131"/>
      <c r="D660" s="131"/>
      <c r="E660" s="131"/>
      <c r="F660" s="131"/>
    </row>
    <row r="661" spans="1:6" x14ac:dyDescent="0.3">
      <c r="A661" s="131"/>
      <c r="B661" s="131"/>
      <c r="C661" s="131"/>
      <c r="D661" s="131"/>
      <c r="E661" s="131"/>
      <c r="F661" s="131"/>
    </row>
    <row r="662" spans="1:6" x14ac:dyDescent="0.3">
      <c r="A662" s="131"/>
      <c r="B662" s="131"/>
      <c r="C662" s="131"/>
      <c r="D662" s="131"/>
      <c r="E662" s="131"/>
      <c r="F662" s="131"/>
    </row>
    <row r="663" spans="1:6" x14ac:dyDescent="0.3">
      <c r="A663" s="131"/>
      <c r="B663" s="131"/>
      <c r="C663" s="131"/>
      <c r="D663" s="131"/>
      <c r="E663" s="131"/>
      <c r="F663" s="131"/>
    </row>
    <row r="664" spans="1:6" x14ac:dyDescent="0.3">
      <c r="A664" s="131"/>
      <c r="B664" s="131"/>
      <c r="C664" s="131"/>
      <c r="D664" s="131"/>
      <c r="E664" s="131"/>
      <c r="F664" s="131"/>
    </row>
    <row r="665" spans="1:6" x14ac:dyDescent="0.3">
      <c r="A665" s="131"/>
      <c r="B665" s="131"/>
      <c r="C665" s="131"/>
      <c r="D665" s="131"/>
      <c r="E665" s="131"/>
      <c r="F665" s="131"/>
    </row>
    <row r="666" spans="1:6" x14ac:dyDescent="0.3">
      <c r="A666" s="131"/>
      <c r="B666" s="131"/>
      <c r="C666" s="131"/>
      <c r="D666" s="131"/>
      <c r="E666" s="131"/>
      <c r="F666" s="131"/>
    </row>
    <row r="667" spans="1:6" x14ac:dyDescent="0.3">
      <c r="A667" s="131"/>
      <c r="B667" s="131"/>
      <c r="C667" s="131"/>
      <c r="D667" s="131"/>
      <c r="E667" s="131"/>
      <c r="F667" s="131"/>
    </row>
    <row r="668" spans="1:6" x14ac:dyDescent="0.3">
      <c r="A668" s="131"/>
      <c r="B668" s="131"/>
      <c r="C668" s="131"/>
      <c r="D668" s="131"/>
      <c r="E668" s="131"/>
      <c r="F668" s="131"/>
    </row>
    <row r="669" spans="1:6" x14ac:dyDescent="0.3">
      <c r="A669" s="131"/>
      <c r="B669" s="131"/>
      <c r="C669" s="131"/>
      <c r="D669" s="131"/>
      <c r="E669" s="131"/>
      <c r="F669" s="131"/>
    </row>
    <row r="670" spans="1:6" x14ac:dyDescent="0.3">
      <c r="A670" s="131"/>
      <c r="B670" s="131"/>
      <c r="C670" s="131"/>
      <c r="D670" s="131"/>
      <c r="E670" s="131"/>
      <c r="F670" s="131"/>
    </row>
    <row r="671" spans="1:6" x14ac:dyDescent="0.3">
      <c r="A671" s="131"/>
      <c r="B671" s="131"/>
      <c r="C671" s="131"/>
      <c r="D671" s="131"/>
      <c r="E671" s="131"/>
      <c r="F671" s="131"/>
    </row>
    <row r="672" spans="1:6" x14ac:dyDescent="0.3">
      <c r="A672" s="131"/>
      <c r="B672" s="131"/>
      <c r="C672" s="131"/>
      <c r="D672" s="131"/>
      <c r="E672" s="131"/>
      <c r="F672" s="131"/>
    </row>
    <row r="673" spans="1:6" x14ac:dyDescent="0.3">
      <c r="A673" s="131"/>
      <c r="B673" s="131"/>
      <c r="C673" s="131"/>
      <c r="D673" s="131"/>
      <c r="E673" s="131"/>
      <c r="F673" s="131"/>
    </row>
    <row r="674" spans="1:6" x14ac:dyDescent="0.3">
      <c r="A674" s="131"/>
      <c r="B674" s="131"/>
      <c r="C674" s="131"/>
      <c r="D674" s="131"/>
      <c r="E674" s="131"/>
      <c r="F674" s="131"/>
    </row>
    <row r="675" spans="1:6" x14ac:dyDescent="0.3">
      <c r="A675" s="131"/>
      <c r="B675" s="131"/>
      <c r="C675" s="131"/>
      <c r="D675" s="131"/>
      <c r="E675" s="131"/>
      <c r="F675" s="131"/>
    </row>
    <row r="676" spans="1:6" x14ac:dyDescent="0.3">
      <c r="A676" s="131"/>
      <c r="B676" s="131"/>
      <c r="C676" s="131"/>
      <c r="D676" s="131"/>
      <c r="E676" s="131"/>
      <c r="F676" s="131"/>
    </row>
    <row r="677" spans="1:6" x14ac:dyDescent="0.3">
      <c r="A677" s="131"/>
      <c r="B677" s="131"/>
      <c r="C677" s="131"/>
      <c r="D677" s="131"/>
      <c r="E677" s="131"/>
      <c r="F677" s="131"/>
    </row>
    <row r="678" spans="1:6" x14ac:dyDescent="0.3">
      <c r="A678" s="131"/>
      <c r="B678" s="131"/>
      <c r="C678" s="131"/>
      <c r="D678" s="131"/>
      <c r="E678" s="131"/>
      <c r="F678" s="131"/>
    </row>
    <row r="679" spans="1:6" x14ac:dyDescent="0.3">
      <c r="A679" s="131"/>
      <c r="B679" s="131"/>
      <c r="C679" s="131"/>
      <c r="D679" s="131"/>
      <c r="E679" s="131"/>
      <c r="F679" s="131"/>
    </row>
    <row r="680" spans="1:6" x14ac:dyDescent="0.3">
      <c r="A680" s="131"/>
      <c r="B680" s="131"/>
      <c r="C680" s="131"/>
      <c r="D680" s="131"/>
      <c r="E680" s="131"/>
      <c r="F680" s="131"/>
    </row>
    <row r="681" spans="1:6" x14ac:dyDescent="0.3">
      <c r="A681" s="131"/>
      <c r="B681" s="131"/>
      <c r="C681" s="131"/>
      <c r="D681" s="131"/>
      <c r="E681" s="131"/>
      <c r="F681" s="131"/>
    </row>
    <row r="682" spans="1:6" x14ac:dyDescent="0.3">
      <c r="A682" s="131"/>
      <c r="B682" s="131"/>
      <c r="C682" s="131"/>
      <c r="D682" s="131"/>
      <c r="E682" s="131"/>
      <c r="F682" s="131"/>
    </row>
    <row r="683" spans="1:6" x14ac:dyDescent="0.3">
      <c r="A683" s="131"/>
      <c r="B683" s="131"/>
      <c r="C683" s="131"/>
      <c r="D683" s="131"/>
      <c r="E683" s="131"/>
      <c r="F683" s="131"/>
    </row>
    <row r="684" spans="1:6" x14ac:dyDescent="0.3">
      <c r="A684" s="131"/>
      <c r="B684" s="131"/>
      <c r="C684" s="131"/>
      <c r="D684" s="131"/>
      <c r="E684" s="131"/>
      <c r="F684" s="131"/>
    </row>
    <row r="685" spans="1:6" x14ac:dyDescent="0.3">
      <c r="A685" s="131"/>
      <c r="B685" s="131"/>
      <c r="C685" s="131"/>
      <c r="D685" s="131"/>
      <c r="E685" s="131"/>
      <c r="F685" s="131"/>
    </row>
    <row r="686" spans="1:6" x14ac:dyDescent="0.3">
      <c r="A686" s="131"/>
      <c r="B686" s="131"/>
      <c r="C686" s="131"/>
      <c r="D686" s="131"/>
      <c r="E686" s="131"/>
      <c r="F686" s="131"/>
    </row>
    <row r="687" spans="1:6" x14ac:dyDescent="0.3">
      <c r="A687" s="131"/>
      <c r="B687" s="131"/>
      <c r="C687" s="131"/>
      <c r="D687" s="131"/>
      <c r="E687" s="131"/>
      <c r="F687" s="131"/>
    </row>
    <row r="688" spans="1:6" x14ac:dyDescent="0.3">
      <c r="A688" s="131"/>
      <c r="B688" s="131"/>
      <c r="C688" s="131"/>
      <c r="D688" s="131"/>
      <c r="E688" s="131"/>
      <c r="F688" s="131"/>
    </row>
    <row r="689" spans="1:6" x14ac:dyDescent="0.3">
      <c r="A689" s="131"/>
      <c r="B689" s="131"/>
      <c r="C689" s="131"/>
      <c r="D689" s="131"/>
      <c r="E689" s="131"/>
      <c r="F689" s="131"/>
    </row>
    <row r="690" spans="1:6" x14ac:dyDescent="0.3">
      <c r="A690" s="131"/>
      <c r="B690" s="131"/>
      <c r="C690" s="131"/>
      <c r="D690" s="131"/>
      <c r="E690" s="131"/>
      <c r="F690" s="131"/>
    </row>
    <row r="691" spans="1:6" x14ac:dyDescent="0.3">
      <c r="A691" s="131"/>
      <c r="B691" s="131"/>
      <c r="C691" s="131"/>
      <c r="D691" s="131"/>
      <c r="E691" s="131"/>
      <c r="F691" s="131"/>
    </row>
    <row r="692" spans="1:6" x14ac:dyDescent="0.3">
      <c r="A692" s="131"/>
      <c r="B692" s="131"/>
      <c r="C692" s="131"/>
      <c r="D692" s="131"/>
      <c r="E692" s="131"/>
      <c r="F692" s="131"/>
    </row>
    <row r="693" spans="1:6" x14ac:dyDescent="0.3">
      <c r="A693" s="131"/>
      <c r="B693" s="131"/>
      <c r="C693" s="131"/>
      <c r="D693" s="131"/>
      <c r="E693" s="131"/>
      <c r="F693" s="131"/>
    </row>
    <row r="694" spans="1:6" x14ac:dyDescent="0.3">
      <c r="A694" s="131"/>
      <c r="B694" s="131"/>
      <c r="C694" s="131"/>
      <c r="D694" s="131"/>
      <c r="E694" s="131"/>
      <c r="F694" s="131"/>
    </row>
    <row r="695" spans="1:6" x14ac:dyDescent="0.3">
      <c r="A695" s="131"/>
      <c r="B695" s="131"/>
      <c r="C695" s="131"/>
      <c r="D695" s="131"/>
      <c r="E695" s="131"/>
      <c r="F695" s="131"/>
    </row>
    <row r="696" spans="1:6" x14ac:dyDescent="0.3">
      <c r="A696" s="131"/>
      <c r="B696" s="131"/>
      <c r="C696" s="131"/>
      <c r="D696" s="131"/>
      <c r="E696" s="131"/>
      <c r="F696" s="131"/>
    </row>
    <row r="697" spans="1:6" x14ac:dyDescent="0.3">
      <c r="A697" s="131"/>
      <c r="B697" s="131"/>
      <c r="C697" s="131"/>
      <c r="D697" s="131"/>
      <c r="E697" s="131"/>
      <c r="F697" s="131"/>
    </row>
    <row r="698" spans="1:6" x14ac:dyDescent="0.3">
      <c r="A698" s="131"/>
      <c r="B698" s="131"/>
      <c r="C698" s="131"/>
      <c r="D698" s="131"/>
      <c r="E698" s="131"/>
      <c r="F698" s="131"/>
    </row>
    <row r="699" spans="1:6" x14ac:dyDescent="0.3">
      <c r="A699" s="131"/>
      <c r="B699" s="131"/>
      <c r="C699" s="131"/>
      <c r="D699" s="131"/>
      <c r="E699" s="131"/>
      <c r="F699" s="131"/>
    </row>
    <row r="700" spans="1:6" x14ac:dyDescent="0.3">
      <c r="A700" s="131"/>
      <c r="B700" s="131"/>
      <c r="C700" s="131"/>
      <c r="D700" s="131"/>
      <c r="E700" s="131"/>
      <c r="F700" s="131"/>
    </row>
    <row r="701" spans="1:6" x14ac:dyDescent="0.3">
      <c r="A701" s="131"/>
      <c r="B701" s="131"/>
      <c r="C701" s="131"/>
      <c r="D701" s="131"/>
      <c r="E701" s="131"/>
      <c r="F701" s="131"/>
    </row>
    <row r="702" spans="1:6" x14ac:dyDescent="0.3">
      <c r="A702" s="131"/>
      <c r="B702" s="131"/>
      <c r="C702" s="131"/>
      <c r="D702" s="131"/>
      <c r="E702" s="131"/>
      <c r="F702" s="131"/>
    </row>
    <row r="703" spans="1:6" x14ac:dyDescent="0.3">
      <c r="A703" s="131"/>
      <c r="B703" s="131"/>
      <c r="C703" s="131"/>
      <c r="D703" s="131"/>
      <c r="E703" s="131"/>
      <c r="F703" s="131"/>
    </row>
    <row r="704" spans="1:6" x14ac:dyDescent="0.3">
      <c r="A704" s="131"/>
      <c r="B704" s="131"/>
      <c r="C704" s="131"/>
      <c r="D704" s="131"/>
      <c r="E704" s="131"/>
      <c r="F704" s="131"/>
    </row>
    <row r="705" spans="1:6" x14ac:dyDescent="0.3">
      <c r="A705" s="131"/>
      <c r="B705" s="131"/>
      <c r="C705" s="131"/>
      <c r="D705" s="131"/>
      <c r="E705" s="131"/>
      <c r="F705" s="131"/>
    </row>
    <row r="706" spans="1:6" x14ac:dyDescent="0.3">
      <c r="A706" s="131"/>
      <c r="B706" s="131"/>
      <c r="C706" s="131"/>
      <c r="D706" s="131"/>
      <c r="E706" s="131"/>
      <c r="F706" s="131"/>
    </row>
    <row r="707" spans="1:6" x14ac:dyDescent="0.3">
      <c r="A707" s="131"/>
      <c r="B707" s="131"/>
      <c r="C707" s="131"/>
      <c r="D707" s="131"/>
      <c r="E707" s="131"/>
      <c r="F707" s="131"/>
    </row>
    <row r="708" spans="1:6" x14ac:dyDescent="0.3">
      <c r="A708" s="131"/>
      <c r="B708" s="131"/>
      <c r="C708" s="131"/>
      <c r="D708" s="131"/>
      <c r="E708" s="131"/>
      <c r="F708" s="131"/>
    </row>
    <row r="709" spans="1:6" x14ac:dyDescent="0.3">
      <c r="A709" s="131"/>
      <c r="B709" s="131"/>
      <c r="C709" s="131"/>
      <c r="D709" s="131"/>
      <c r="E709" s="131"/>
      <c r="F709" s="131"/>
    </row>
    <row r="710" spans="1:6" x14ac:dyDescent="0.3">
      <c r="A710" s="131"/>
      <c r="B710" s="131"/>
      <c r="C710" s="131"/>
      <c r="D710" s="131"/>
      <c r="E710" s="131"/>
      <c r="F710" s="131"/>
    </row>
    <row r="711" spans="1:6" x14ac:dyDescent="0.3">
      <c r="A711" s="131"/>
      <c r="B711" s="131"/>
      <c r="C711" s="131"/>
      <c r="D711" s="131"/>
      <c r="E711" s="131"/>
      <c r="F711" s="131"/>
    </row>
    <row r="712" spans="1:6" x14ac:dyDescent="0.3">
      <c r="A712" s="131"/>
      <c r="B712" s="131"/>
      <c r="C712" s="131"/>
      <c r="D712" s="131"/>
      <c r="E712" s="131"/>
      <c r="F712" s="131"/>
    </row>
    <row r="713" spans="1:6" x14ac:dyDescent="0.3">
      <c r="A713" s="131"/>
      <c r="B713" s="131"/>
      <c r="C713" s="131"/>
      <c r="D713" s="131"/>
      <c r="E713" s="131"/>
      <c r="F713" s="131"/>
    </row>
    <row r="714" spans="1:6" x14ac:dyDescent="0.3">
      <c r="A714" s="131"/>
      <c r="B714" s="131"/>
      <c r="C714" s="131"/>
      <c r="D714" s="131"/>
      <c r="E714" s="131"/>
      <c r="F714" s="131"/>
    </row>
    <row r="715" spans="1:6" x14ac:dyDescent="0.3">
      <c r="A715" s="131"/>
      <c r="B715" s="131"/>
      <c r="C715" s="131"/>
      <c r="D715" s="131"/>
      <c r="E715" s="131"/>
      <c r="F715" s="131"/>
    </row>
    <row r="716" spans="1:6" x14ac:dyDescent="0.3">
      <c r="A716" s="131"/>
      <c r="B716" s="131"/>
      <c r="C716" s="131"/>
      <c r="D716" s="131"/>
      <c r="E716" s="131"/>
      <c r="F716" s="131"/>
    </row>
    <row r="717" spans="1:6" x14ac:dyDescent="0.3">
      <c r="A717" s="131"/>
      <c r="B717" s="131"/>
      <c r="C717" s="131"/>
      <c r="D717" s="131"/>
      <c r="E717" s="131"/>
      <c r="F717" s="131"/>
    </row>
    <row r="718" spans="1:6" x14ac:dyDescent="0.3">
      <c r="A718" s="131"/>
      <c r="B718" s="131"/>
      <c r="C718" s="131"/>
      <c r="D718" s="131"/>
      <c r="E718" s="131"/>
      <c r="F718" s="131"/>
    </row>
    <row r="719" spans="1:6" x14ac:dyDescent="0.3">
      <c r="A719" s="131"/>
      <c r="B719" s="131"/>
      <c r="C719" s="131"/>
      <c r="D719" s="131"/>
      <c r="E719" s="131"/>
      <c r="F719" s="131"/>
    </row>
    <row r="720" spans="1:6" x14ac:dyDescent="0.3">
      <c r="A720" s="131"/>
      <c r="B720" s="131"/>
      <c r="C720" s="131"/>
      <c r="D720" s="131"/>
      <c r="E720" s="131"/>
      <c r="F720" s="131"/>
    </row>
    <row r="721" spans="1:6" x14ac:dyDescent="0.3">
      <c r="A721" s="131"/>
      <c r="B721" s="131"/>
      <c r="C721" s="131"/>
      <c r="D721" s="131"/>
      <c r="E721" s="131"/>
      <c r="F721" s="131"/>
    </row>
    <row r="722" spans="1:6" x14ac:dyDescent="0.3">
      <c r="A722" s="131"/>
      <c r="B722" s="131"/>
      <c r="C722" s="131"/>
      <c r="D722" s="131"/>
      <c r="E722" s="131"/>
      <c r="F722" s="131"/>
    </row>
    <row r="723" spans="1:6" x14ac:dyDescent="0.3">
      <c r="A723" s="131"/>
      <c r="B723" s="131"/>
      <c r="C723" s="131"/>
      <c r="D723" s="131"/>
      <c r="E723" s="131"/>
      <c r="F723" s="131"/>
    </row>
    <row r="724" spans="1:6" x14ac:dyDescent="0.3">
      <c r="A724" s="131"/>
      <c r="B724" s="131"/>
      <c r="C724" s="131"/>
      <c r="D724" s="131"/>
      <c r="E724" s="131"/>
      <c r="F724" s="131"/>
    </row>
    <row r="725" spans="1:6" x14ac:dyDescent="0.3">
      <c r="A725" s="131"/>
      <c r="B725" s="131"/>
      <c r="C725" s="131"/>
      <c r="D725" s="131"/>
      <c r="E725" s="131"/>
      <c r="F725" s="131"/>
    </row>
    <row r="726" spans="1:6" x14ac:dyDescent="0.3">
      <c r="A726" s="131"/>
      <c r="B726" s="131"/>
      <c r="C726" s="131"/>
      <c r="D726" s="131"/>
      <c r="E726" s="131"/>
      <c r="F726" s="131"/>
    </row>
    <row r="727" spans="1:6" x14ac:dyDescent="0.3">
      <c r="A727" s="131"/>
      <c r="B727" s="131"/>
      <c r="C727" s="131"/>
      <c r="D727" s="131"/>
      <c r="E727" s="131"/>
      <c r="F727" s="131"/>
    </row>
    <row r="728" spans="1:6" x14ac:dyDescent="0.3">
      <c r="A728" s="131"/>
      <c r="B728" s="131"/>
      <c r="C728" s="131"/>
      <c r="D728" s="131"/>
      <c r="E728" s="131"/>
      <c r="F728" s="131"/>
    </row>
    <row r="729" spans="1:6" x14ac:dyDescent="0.3">
      <c r="A729" s="131"/>
      <c r="B729" s="131"/>
      <c r="C729" s="131"/>
      <c r="D729" s="131"/>
      <c r="E729" s="131"/>
      <c r="F729" s="131"/>
    </row>
    <row r="730" spans="1:6" x14ac:dyDescent="0.3">
      <c r="A730" s="131"/>
      <c r="B730" s="131"/>
      <c r="C730" s="131"/>
      <c r="D730" s="131"/>
      <c r="E730" s="131"/>
      <c r="F730" s="131"/>
    </row>
    <row r="731" spans="1:6" x14ac:dyDescent="0.3">
      <c r="A731" s="131"/>
      <c r="B731" s="131"/>
      <c r="C731" s="131"/>
      <c r="D731" s="131"/>
      <c r="E731" s="131"/>
      <c r="F731" s="131"/>
    </row>
    <row r="732" spans="1:6" x14ac:dyDescent="0.3">
      <c r="A732" s="131"/>
      <c r="B732" s="131"/>
      <c r="C732" s="131"/>
      <c r="D732" s="131"/>
      <c r="E732" s="131"/>
      <c r="F732" s="131"/>
    </row>
    <row r="733" spans="1:6" x14ac:dyDescent="0.3">
      <c r="A733" s="131"/>
      <c r="B733" s="131"/>
      <c r="C733" s="131"/>
      <c r="D733" s="131"/>
      <c r="E733" s="131"/>
      <c r="F733" s="131"/>
    </row>
    <row r="734" spans="1:6" x14ac:dyDescent="0.3">
      <c r="A734" s="131"/>
      <c r="B734" s="131"/>
      <c r="C734" s="131"/>
      <c r="D734" s="131"/>
      <c r="E734" s="131"/>
      <c r="F734" s="131"/>
    </row>
    <row r="735" spans="1:6" x14ac:dyDescent="0.3">
      <c r="A735" s="131"/>
      <c r="B735" s="131"/>
      <c r="C735" s="131"/>
      <c r="D735" s="131"/>
      <c r="E735" s="131"/>
      <c r="F735" s="131"/>
    </row>
    <row r="736" spans="1:6" x14ac:dyDescent="0.3">
      <c r="A736" s="131"/>
      <c r="B736" s="131"/>
      <c r="C736" s="131"/>
      <c r="D736" s="131"/>
      <c r="E736" s="131"/>
      <c r="F736" s="131"/>
    </row>
    <row r="737" spans="1:6" x14ac:dyDescent="0.3">
      <c r="A737" s="131"/>
      <c r="B737" s="131"/>
      <c r="C737" s="131"/>
      <c r="D737" s="131"/>
      <c r="E737" s="131"/>
      <c r="F737" s="131"/>
    </row>
    <row r="738" spans="1:6" x14ac:dyDescent="0.3">
      <c r="A738" s="131"/>
      <c r="B738" s="131"/>
      <c r="C738" s="131"/>
      <c r="D738" s="131"/>
      <c r="E738" s="131"/>
      <c r="F738" s="131"/>
    </row>
    <row r="739" spans="1:6" x14ac:dyDescent="0.3">
      <c r="A739" s="131"/>
      <c r="B739" s="131"/>
      <c r="C739" s="131"/>
      <c r="D739" s="131"/>
      <c r="E739" s="131"/>
      <c r="F739" s="131"/>
    </row>
    <row r="740" spans="1:6" x14ac:dyDescent="0.3">
      <c r="A740" s="131"/>
      <c r="B740" s="131"/>
      <c r="C740" s="131"/>
      <c r="D740" s="131"/>
      <c r="E740" s="131"/>
      <c r="F740" s="131"/>
    </row>
    <row r="741" spans="1:6" x14ac:dyDescent="0.3">
      <c r="A741" s="131"/>
      <c r="B741" s="131"/>
      <c r="C741" s="131"/>
      <c r="D741" s="131"/>
      <c r="E741" s="131"/>
      <c r="F741" s="131"/>
    </row>
    <row r="742" spans="1:6" x14ac:dyDescent="0.3">
      <c r="A742" s="131"/>
      <c r="B742" s="131"/>
      <c r="C742" s="131"/>
      <c r="D742" s="131"/>
      <c r="E742" s="131"/>
      <c r="F742" s="131"/>
    </row>
    <row r="743" spans="1:6" x14ac:dyDescent="0.3">
      <c r="A743" s="131"/>
      <c r="B743" s="131"/>
      <c r="C743" s="131"/>
      <c r="D743" s="131"/>
      <c r="E743" s="131"/>
      <c r="F743" s="131"/>
    </row>
    <row r="744" spans="1:6" x14ac:dyDescent="0.3">
      <c r="A744" s="131"/>
      <c r="B744" s="131"/>
      <c r="C744" s="131"/>
      <c r="D744" s="131"/>
      <c r="E744" s="131"/>
      <c r="F744" s="131"/>
    </row>
    <row r="745" spans="1:6" x14ac:dyDescent="0.3">
      <c r="A745" s="131"/>
      <c r="B745" s="131"/>
      <c r="C745" s="131"/>
      <c r="D745" s="131"/>
      <c r="E745" s="131"/>
      <c r="F745" s="131"/>
    </row>
    <row r="746" spans="1:6" x14ac:dyDescent="0.3">
      <c r="A746" s="131"/>
      <c r="B746" s="131"/>
      <c r="C746" s="131"/>
      <c r="D746" s="131"/>
      <c r="E746" s="131"/>
      <c r="F746" s="131"/>
    </row>
    <row r="747" spans="1:6" x14ac:dyDescent="0.3">
      <c r="A747" s="131"/>
      <c r="B747" s="131"/>
      <c r="C747" s="131"/>
      <c r="D747" s="131"/>
      <c r="E747" s="131"/>
      <c r="F747" s="131"/>
    </row>
    <row r="748" spans="1:6" x14ac:dyDescent="0.3">
      <c r="A748" s="131"/>
      <c r="B748" s="131"/>
      <c r="C748" s="131"/>
      <c r="D748" s="131"/>
      <c r="E748" s="131"/>
      <c r="F748" s="131"/>
    </row>
    <row r="749" spans="1:6" x14ac:dyDescent="0.3">
      <c r="A749" s="131"/>
      <c r="B749" s="131"/>
      <c r="C749" s="131"/>
      <c r="D749" s="131"/>
      <c r="E749" s="131"/>
      <c r="F749" s="131"/>
    </row>
    <row r="750" spans="1:6" x14ac:dyDescent="0.3">
      <c r="A750" s="131"/>
      <c r="B750" s="131"/>
      <c r="C750" s="131"/>
      <c r="D750" s="131"/>
      <c r="E750" s="131"/>
      <c r="F750" s="131"/>
    </row>
    <row r="751" spans="1:6" x14ac:dyDescent="0.3">
      <c r="A751" s="131"/>
      <c r="B751" s="131"/>
      <c r="C751" s="131"/>
      <c r="D751" s="131"/>
      <c r="E751" s="131"/>
      <c r="F751" s="131"/>
    </row>
    <row r="752" spans="1:6" x14ac:dyDescent="0.3">
      <c r="A752" s="131"/>
      <c r="B752" s="131"/>
      <c r="C752" s="131"/>
      <c r="D752" s="131"/>
      <c r="E752" s="131"/>
      <c r="F752" s="131"/>
    </row>
    <row r="753" spans="1:6" x14ac:dyDescent="0.3">
      <c r="A753" s="131"/>
      <c r="B753" s="131"/>
      <c r="C753" s="131"/>
      <c r="D753" s="131"/>
      <c r="E753" s="131"/>
      <c r="F753" s="131"/>
    </row>
    <row r="754" spans="1:6" x14ac:dyDescent="0.3">
      <c r="A754" s="131"/>
      <c r="B754" s="131"/>
      <c r="C754" s="131"/>
      <c r="D754" s="131"/>
      <c r="E754" s="131"/>
      <c r="F754" s="131"/>
    </row>
    <row r="755" spans="1:6" x14ac:dyDescent="0.3">
      <c r="A755" s="131"/>
      <c r="B755" s="131"/>
      <c r="C755" s="131"/>
      <c r="D755" s="131"/>
      <c r="E755" s="131"/>
      <c r="F755" s="131"/>
    </row>
    <row r="756" spans="1:6" x14ac:dyDescent="0.3">
      <c r="A756" s="131"/>
      <c r="B756" s="131"/>
      <c r="C756" s="131"/>
      <c r="D756" s="131"/>
      <c r="E756" s="131"/>
      <c r="F756" s="131"/>
    </row>
    <row r="757" spans="1:6" x14ac:dyDescent="0.3">
      <c r="A757" s="131"/>
      <c r="B757" s="131"/>
      <c r="C757" s="131"/>
      <c r="D757" s="131"/>
      <c r="E757" s="131"/>
      <c r="F757" s="131"/>
    </row>
    <row r="758" spans="1:6" x14ac:dyDescent="0.3">
      <c r="A758" s="131"/>
      <c r="B758" s="131"/>
      <c r="C758" s="131"/>
      <c r="D758" s="131"/>
      <c r="E758" s="131"/>
      <c r="F758" s="131"/>
    </row>
    <row r="759" spans="1:6" x14ac:dyDescent="0.3">
      <c r="A759" s="131"/>
      <c r="B759" s="131"/>
      <c r="C759" s="131"/>
      <c r="D759" s="131"/>
      <c r="E759" s="131"/>
      <c r="F759" s="131"/>
    </row>
    <row r="760" spans="1:6" x14ac:dyDescent="0.3">
      <c r="A760" s="131"/>
      <c r="B760" s="131"/>
      <c r="C760" s="131"/>
      <c r="D760" s="131"/>
      <c r="E760" s="131"/>
      <c r="F760" s="131"/>
    </row>
    <row r="761" spans="1:6" x14ac:dyDescent="0.3">
      <c r="A761" s="131"/>
      <c r="B761" s="131"/>
      <c r="C761" s="131"/>
      <c r="D761" s="131"/>
      <c r="E761" s="131"/>
      <c r="F761" s="131"/>
    </row>
    <row r="762" spans="1:6" x14ac:dyDescent="0.3">
      <c r="A762" s="131"/>
      <c r="B762" s="131"/>
      <c r="C762" s="131"/>
      <c r="D762" s="131"/>
      <c r="E762" s="131"/>
      <c r="F762" s="131"/>
    </row>
    <row r="763" spans="1:6" x14ac:dyDescent="0.3">
      <c r="A763" s="131"/>
      <c r="B763" s="131"/>
      <c r="C763" s="131"/>
      <c r="D763" s="131"/>
      <c r="E763" s="131"/>
      <c r="F763" s="131"/>
    </row>
    <row r="764" spans="1:6" x14ac:dyDescent="0.3">
      <c r="A764" s="131"/>
      <c r="B764" s="131"/>
      <c r="C764" s="131"/>
      <c r="D764" s="131"/>
      <c r="E764" s="131"/>
      <c r="F764" s="131"/>
    </row>
    <row r="765" spans="1:6" x14ac:dyDescent="0.3">
      <c r="A765" s="131"/>
      <c r="B765" s="131"/>
      <c r="C765" s="131"/>
      <c r="D765" s="131"/>
      <c r="E765" s="131"/>
      <c r="F765" s="131"/>
    </row>
    <row r="766" spans="1:6" x14ac:dyDescent="0.3">
      <c r="A766" s="131"/>
      <c r="B766" s="131"/>
      <c r="C766" s="131"/>
      <c r="D766" s="131"/>
      <c r="E766" s="131"/>
      <c r="F766" s="131"/>
    </row>
    <row r="767" spans="1:6" x14ac:dyDescent="0.3">
      <c r="A767" s="131"/>
      <c r="B767" s="131"/>
      <c r="C767" s="131"/>
      <c r="D767" s="131"/>
      <c r="E767" s="131"/>
      <c r="F767" s="131"/>
    </row>
    <row r="768" spans="1:6" x14ac:dyDescent="0.3">
      <c r="A768" s="131"/>
      <c r="B768" s="131"/>
      <c r="C768" s="131"/>
      <c r="D768" s="131"/>
      <c r="E768" s="131"/>
      <c r="F768" s="131"/>
    </row>
    <row r="769" spans="1:6" x14ac:dyDescent="0.3">
      <c r="A769" s="131"/>
      <c r="B769" s="131"/>
      <c r="C769" s="131"/>
      <c r="D769" s="131"/>
      <c r="E769" s="131"/>
      <c r="F769" s="131"/>
    </row>
    <row r="770" spans="1:6" x14ac:dyDescent="0.3">
      <c r="A770" s="131"/>
      <c r="B770" s="131"/>
      <c r="C770" s="131"/>
      <c r="D770" s="131"/>
      <c r="E770" s="131"/>
      <c r="F770" s="131"/>
    </row>
    <row r="771" spans="1:6" x14ac:dyDescent="0.3">
      <c r="A771" s="131"/>
      <c r="B771" s="131"/>
      <c r="C771" s="131"/>
      <c r="D771" s="131"/>
      <c r="E771" s="131"/>
      <c r="F771" s="131"/>
    </row>
    <row r="772" spans="1:6" x14ac:dyDescent="0.3">
      <c r="A772" s="131"/>
      <c r="B772" s="131"/>
      <c r="C772" s="131"/>
      <c r="D772" s="131"/>
      <c r="E772" s="131"/>
      <c r="F772" s="131"/>
    </row>
    <row r="773" spans="1:6" x14ac:dyDescent="0.3">
      <c r="A773" s="131"/>
      <c r="B773" s="131"/>
      <c r="C773" s="131"/>
      <c r="D773" s="131"/>
      <c r="E773" s="131"/>
      <c r="F773" s="131"/>
    </row>
    <row r="774" spans="1:6" x14ac:dyDescent="0.3">
      <c r="A774" s="131"/>
      <c r="B774" s="131"/>
      <c r="C774" s="131"/>
      <c r="D774" s="131"/>
      <c r="E774" s="131"/>
      <c r="F774" s="131"/>
    </row>
    <row r="775" spans="1:6" x14ac:dyDescent="0.3">
      <c r="A775" s="131"/>
      <c r="B775" s="131"/>
      <c r="C775" s="131"/>
      <c r="D775" s="131"/>
      <c r="E775" s="131"/>
      <c r="F775" s="131"/>
    </row>
    <row r="776" spans="1:6" x14ac:dyDescent="0.3">
      <c r="A776" s="131"/>
      <c r="B776" s="131"/>
      <c r="C776" s="131"/>
      <c r="D776" s="131"/>
      <c r="E776" s="131"/>
      <c r="F776" s="131"/>
    </row>
    <row r="777" spans="1:6" x14ac:dyDescent="0.3">
      <c r="A777" s="131"/>
      <c r="B777" s="131"/>
      <c r="C777" s="131"/>
      <c r="D777" s="131"/>
      <c r="E777" s="131"/>
      <c r="F777" s="131"/>
    </row>
    <row r="778" spans="1:6" x14ac:dyDescent="0.3">
      <c r="A778" s="131"/>
      <c r="B778" s="131"/>
      <c r="C778" s="131"/>
      <c r="D778" s="131"/>
      <c r="E778" s="131"/>
      <c r="F778" s="131"/>
    </row>
    <row r="779" spans="1:6" x14ac:dyDescent="0.3">
      <c r="A779" s="131"/>
      <c r="B779" s="131"/>
      <c r="C779" s="131"/>
      <c r="D779" s="131"/>
      <c r="E779" s="131"/>
      <c r="F779" s="131"/>
    </row>
    <row r="780" spans="1:6" x14ac:dyDescent="0.3">
      <c r="A780" s="131"/>
      <c r="B780" s="131"/>
      <c r="C780" s="131"/>
      <c r="D780" s="131"/>
      <c r="E780" s="131"/>
      <c r="F780" s="131"/>
    </row>
    <row r="781" spans="1:6" x14ac:dyDescent="0.3">
      <c r="A781" s="131"/>
      <c r="B781" s="131"/>
      <c r="C781" s="131"/>
      <c r="D781" s="131"/>
      <c r="E781" s="131"/>
      <c r="F781" s="131"/>
    </row>
    <row r="782" spans="1:6" x14ac:dyDescent="0.3">
      <c r="A782" s="131"/>
      <c r="B782" s="131"/>
      <c r="C782" s="131"/>
      <c r="D782" s="131"/>
      <c r="E782" s="131"/>
      <c r="F782" s="131"/>
    </row>
    <row r="783" spans="1:6" x14ac:dyDescent="0.3">
      <c r="A783" s="131"/>
      <c r="B783" s="131"/>
      <c r="C783" s="131"/>
      <c r="D783" s="131"/>
      <c r="E783" s="131"/>
      <c r="F783" s="131"/>
    </row>
    <row r="784" spans="1:6" x14ac:dyDescent="0.3">
      <c r="A784" s="131"/>
      <c r="B784" s="131"/>
      <c r="C784" s="131"/>
      <c r="D784" s="131"/>
      <c r="E784" s="131"/>
      <c r="F784" s="131"/>
    </row>
    <row r="785" spans="1:6" x14ac:dyDescent="0.3">
      <c r="A785" s="131"/>
      <c r="B785" s="131"/>
      <c r="C785" s="131"/>
      <c r="D785" s="131"/>
      <c r="E785" s="131"/>
      <c r="F785" s="131"/>
    </row>
    <row r="786" spans="1:6" x14ac:dyDescent="0.3">
      <c r="A786" s="131"/>
      <c r="B786" s="131"/>
      <c r="C786" s="131"/>
      <c r="D786" s="131"/>
      <c r="E786" s="131"/>
      <c r="F786" s="131"/>
    </row>
    <row r="787" spans="1:6" x14ac:dyDescent="0.3">
      <c r="A787" s="131"/>
      <c r="B787" s="131"/>
      <c r="C787" s="131"/>
      <c r="D787" s="131"/>
      <c r="E787" s="131"/>
      <c r="F787" s="131"/>
    </row>
    <row r="788" spans="1:6" x14ac:dyDescent="0.3">
      <c r="A788" s="131"/>
      <c r="B788" s="131"/>
      <c r="C788" s="131"/>
      <c r="D788" s="131"/>
      <c r="E788" s="131"/>
      <c r="F788" s="131"/>
    </row>
    <row r="789" spans="1:6" x14ac:dyDescent="0.3">
      <c r="A789" s="131"/>
      <c r="B789" s="131"/>
      <c r="C789" s="131"/>
      <c r="D789" s="131"/>
      <c r="E789" s="131"/>
      <c r="F789" s="131"/>
    </row>
    <row r="790" spans="1:6" x14ac:dyDescent="0.3">
      <c r="A790" s="131"/>
      <c r="B790" s="131"/>
      <c r="C790" s="131"/>
      <c r="D790" s="131"/>
      <c r="E790" s="131"/>
      <c r="F790" s="131"/>
    </row>
    <row r="791" spans="1:6" x14ac:dyDescent="0.3">
      <c r="A791" s="131"/>
      <c r="B791" s="131"/>
      <c r="C791" s="131"/>
      <c r="D791" s="131"/>
      <c r="E791" s="131"/>
      <c r="F791" s="131"/>
    </row>
    <row r="792" spans="1:6" x14ac:dyDescent="0.3">
      <c r="A792" s="131"/>
      <c r="B792" s="131"/>
      <c r="C792" s="131"/>
      <c r="D792" s="131"/>
      <c r="E792" s="131"/>
      <c r="F792" s="131"/>
    </row>
    <row r="793" spans="1:6" x14ac:dyDescent="0.3">
      <c r="A793" s="131"/>
      <c r="B793" s="131"/>
      <c r="C793" s="131"/>
      <c r="D793" s="131"/>
      <c r="E793" s="131"/>
      <c r="F793" s="131"/>
    </row>
    <row r="794" spans="1:6" x14ac:dyDescent="0.3">
      <c r="A794" s="131"/>
      <c r="B794" s="131"/>
      <c r="C794" s="131"/>
      <c r="D794" s="131"/>
      <c r="E794" s="131"/>
      <c r="F794" s="131"/>
    </row>
    <row r="795" spans="1:6" x14ac:dyDescent="0.3">
      <c r="A795" s="131"/>
      <c r="B795" s="131"/>
      <c r="C795" s="131"/>
      <c r="D795" s="131"/>
      <c r="E795" s="131"/>
      <c r="F795" s="131"/>
    </row>
    <row r="796" spans="1:6" x14ac:dyDescent="0.3">
      <c r="A796" s="131"/>
      <c r="B796" s="131"/>
      <c r="C796" s="131"/>
      <c r="D796" s="131"/>
      <c r="E796" s="131"/>
      <c r="F796" s="131"/>
    </row>
    <row r="797" spans="1:6" x14ac:dyDescent="0.3">
      <c r="A797" s="131"/>
      <c r="B797" s="131"/>
      <c r="C797" s="131"/>
      <c r="D797" s="131"/>
      <c r="E797" s="131"/>
      <c r="F797" s="131"/>
    </row>
    <row r="798" spans="1:6" x14ac:dyDescent="0.3">
      <c r="A798" s="131"/>
      <c r="B798" s="131"/>
      <c r="C798" s="131"/>
      <c r="D798" s="131"/>
      <c r="E798" s="131"/>
      <c r="F798" s="131"/>
    </row>
    <row r="799" spans="1:6" x14ac:dyDescent="0.3">
      <c r="A799" s="131"/>
      <c r="B799" s="131"/>
      <c r="C799" s="131"/>
      <c r="D799" s="131"/>
      <c r="E799" s="131"/>
      <c r="F799" s="131"/>
    </row>
    <row r="800" spans="1:6" x14ac:dyDescent="0.3">
      <c r="A800" s="131"/>
      <c r="B800" s="131"/>
      <c r="C800" s="131"/>
      <c r="D800" s="131"/>
      <c r="E800" s="131"/>
      <c r="F800" s="131"/>
    </row>
    <row r="801" spans="1:6" x14ac:dyDescent="0.3">
      <c r="A801" s="131"/>
      <c r="B801" s="131"/>
      <c r="C801" s="131"/>
      <c r="D801" s="131"/>
      <c r="E801" s="131"/>
      <c r="F801" s="131"/>
    </row>
    <row r="802" spans="1:6" x14ac:dyDescent="0.3">
      <c r="A802" s="131"/>
      <c r="B802" s="131"/>
      <c r="C802" s="131"/>
      <c r="D802" s="131"/>
      <c r="E802" s="131"/>
      <c r="F802" s="131"/>
    </row>
    <row r="803" spans="1:6" x14ac:dyDescent="0.3">
      <c r="A803" s="131"/>
      <c r="B803" s="131"/>
      <c r="C803" s="131"/>
      <c r="D803" s="131"/>
      <c r="E803" s="131"/>
      <c r="F803" s="131"/>
    </row>
    <row r="804" spans="1:6" x14ac:dyDescent="0.3">
      <c r="A804" s="131"/>
      <c r="B804" s="131"/>
      <c r="C804" s="131"/>
      <c r="D804" s="131"/>
      <c r="E804" s="131"/>
      <c r="F804" s="131"/>
    </row>
    <row r="805" spans="1:6" x14ac:dyDescent="0.3">
      <c r="A805" s="131"/>
      <c r="B805" s="131"/>
      <c r="C805" s="131"/>
      <c r="D805" s="131"/>
      <c r="E805" s="131"/>
      <c r="F805" s="131"/>
    </row>
    <row r="806" spans="1:6" x14ac:dyDescent="0.3">
      <c r="A806" s="131"/>
      <c r="B806" s="131"/>
      <c r="C806" s="131"/>
      <c r="D806" s="131"/>
      <c r="E806" s="131"/>
      <c r="F806" s="131"/>
    </row>
    <row r="807" spans="1:6" x14ac:dyDescent="0.3">
      <c r="A807" s="131"/>
      <c r="B807" s="131"/>
      <c r="C807" s="131"/>
      <c r="D807" s="131"/>
      <c r="E807" s="131"/>
      <c r="F807" s="131"/>
    </row>
    <row r="808" spans="1:6" x14ac:dyDescent="0.3">
      <c r="A808" s="131"/>
      <c r="B808" s="131"/>
      <c r="C808" s="131"/>
      <c r="D808" s="131"/>
      <c r="E808" s="131"/>
      <c r="F808" s="131"/>
    </row>
    <row r="809" spans="1:6" x14ac:dyDescent="0.3">
      <c r="A809" s="131"/>
      <c r="B809" s="131"/>
      <c r="C809" s="131"/>
      <c r="D809" s="131"/>
      <c r="E809" s="131"/>
      <c r="F809" s="131"/>
    </row>
    <row r="810" spans="1:6" x14ac:dyDescent="0.3">
      <c r="A810" s="131"/>
      <c r="B810" s="131"/>
      <c r="C810" s="131"/>
      <c r="D810" s="131"/>
      <c r="E810" s="131"/>
      <c r="F810" s="131"/>
    </row>
    <row r="811" spans="1:6" x14ac:dyDescent="0.3">
      <c r="A811" s="131"/>
      <c r="B811" s="131"/>
      <c r="C811" s="131"/>
      <c r="D811" s="131"/>
      <c r="E811" s="131"/>
      <c r="F811" s="131"/>
    </row>
    <row r="812" spans="1:6" x14ac:dyDescent="0.3">
      <c r="A812" s="131"/>
      <c r="B812" s="131"/>
      <c r="C812" s="131"/>
      <c r="D812" s="131"/>
      <c r="E812" s="131"/>
      <c r="F812" s="131"/>
    </row>
    <row r="813" spans="1:6" x14ac:dyDescent="0.3">
      <c r="A813" s="131"/>
      <c r="B813" s="131"/>
      <c r="C813" s="131"/>
      <c r="D813" s="131"/>
      <c r="E813" s="131"/>
      <c r="F813" s="131"/>
    </row>
    <row r="814" spans="1:6" x14ac:dyDescent="0.3">
      <c r="A814" s="131"/>
      <c r="B814" s="131"/>
      <c r="C814" s="131"/>
      <c r="D814" s="131"/>
      <c r="E814" s="131"/>
      <c r="F814" s="131"/>
    </row>
    <row r="815" spans="1:6" x14ac:dyDescent="0.3">
      <c r="A815" s="131"/>
      <c r="B815" s="131"/>
      <c r="C815" s="131"/>
      <c r="D815" s="131"/>
      <c r="E815" s="131"/>
      <c r="F815" s="131"/>
    </row>
    <row r="816" spans="1:6" x14ac:dyDescent="0.3">
      <c r="A816" s="131"/>
      <c r="B816" s="131"/>
      <c r="C816" s="131"/>
      <c r="D816" s="131"/>
      <c r="E816" s="131"/>
      <c r="F816" s="131"/>
    </row>
    <row r="817" spans="1:6" x14ac:dyDescent="0.3">
      <c r="A817" s="131"/>
      <c r="B817" s="131"/>
      <c r="C817" s="131"/>
      <c r="D817" s="131"/>
      <c r="E817" s="131"/>
      <c r="F817" s="131"/>
    </row>
    <row r="818" spans="1:6" x14ac:dyDescent="0.3">
      <c r="A818" s="131"/>
      <c r="B818" s="131"/>
      <c r="C818" s="131"/>
      <c r="D818" s="131"/>
      <c r="E818" s="131"/>
      <c r="F818" s="131"/>
    </row>
    <row r="819" spans="1:6" x14ac:dyDescent="0.3">
      <c r="A819" s="131"/>
      <c r="B819" s="131"/>
      <c r="C819" s="131"/>
      <c r="D819" s="131"/>
      <c r="E819" s="131"/>
      <c r="F819" s="131"/>
    </row>
    <row r="820" spans="1:6" x14ac:dyDescent="0.3">
      <c r="A820" s="131"/>
      <c r="B820" s="131"/>
      <c r="C820" s="131"/>
      <c r="D820" s="131"/>
      <c r="E820" s="131"/>
      <c r="F820" s="131"/>
    </row>
    <row r="821" spans="1:6" x14ac:dyDescent="0.3">
      <c r="A821" s="131"/>
      <c r="B821" s="131"/>
      <c r="C821" s="131"/>
      <c r="D821" s="131"/>
      <c r="E821" s="131"/>
      <c r="F821" s="131"/>
    </row>
    <row r="822" spans="1:6" x14ac:dyDescent="0.3">
      <c r="A822" s="131"/>
      <c r="B822" s="131"/>
      <c r="C822" s="131"/>
      <c r="D822" s="131"/>
      <c r="E822" s="131"/>
      <c r="F822" s="131"/>
    </row>
    <row r="823" spans="1:6" x14ac:dyDescent="0.3">
      <c r="A823" s="131"/>
      <c r="B823" s="131"/>
      <c r="C823" s="131"/>
      <c r="D823" s="131"/>
      <c r="E823" s="131"/>
      <c r="F823" s="131"/>
    </row>
    <row r="824" spans="1:6" x14ac:dyDescent="0.3">
      <c r="A824" s="131"/>
      <c r="B824" s="131"/>
      <c r="C824" s="131"/>
      <c r="D824" s="131"/>
      <c r="E824" s="131"/>
      <c r="F824" s="131"/>
    </row>
    <row r="825" spans="1:6" x14ac:dyDescent="0.3">
      <c r="A825" s="131"/>
      <c r="B825" s="131"/>
      <c r="C825" s="131"/>
      <c r="D825" s="131"/>
      <c r="E825" s="131"/>
      <c r="F825" s="131"/>
    </row>
    <row r="826" spans="1:6" x14ac:dyDescent="0.3">
      <c r="A826" s="131"/>
      <c r="B826" s="131"/>
      <c r="C826" s="131"/>
      <c r="D826" s="131"/>
      <c r="E826" s="131"/>
      <c r="F826" s="131"/>
    </row>
    <row r="827" spans="1:6" x14ac:dyDescent="0.3">
      <c r="A827" s="131"/>
      <c r="B827" s="131"/>
      <c r="C827" s="131"/>
      <c r="D827" s="131"/>
      <c r="E827" s="131"/>
      <c r="F827" s="131"/>
    </row>
    <row r="828" spans="1:6" x14ac:dyDescent="0.3">
      <c r="A828" s="131"/>
      <c r="B828" s="131"/>
      <c r="C828" s="131"/>
      <c r="D828" s="131"/>
      <c r="E828" s="131"/>
      <c r="F828" s="131"/>
    </row>
    <row r="829" spans="1:6" x14ac:dyDescent="0.3">
      <c r="A829" s="131"/>
      <c r="B829" s="131"/>
      <c r="C829" s="131"/>
      <c r="D829" s="131"/>
      <c r="E829" s="131"/>
      <c r="F829" s="131"/>
    </row>
    <row r="830" spans="1:6" x14ac:dyDescent="0.3">
      <c r="A830" s="131"/>
      <c r="B830" s="131"/>
      <c r="C830" s="131"/>
      <c r="D830" s="131"/>
      <c r="E830" s="131"/>
      <c r="F830" s="131"/>
    </row>
    <row r="831" spans="1:6" x14ac:dyDescent="0.3">
      <c r="A831" s="131"/>
      <c r="B831" s="131"/>
      <c r="C831" s="131"/>
      <c r="D831" s="131"/>
      <c r="E831" s="131"/>
      <c r="F831" s="131"/>
    </row>
    <row r="832" spans="1:6" x14ac:dyDescent="0.3">
      <c r="A832" s="131"/>
      <c r="B832" s="131"/>
      <c r="C832" s="131"/>
      <c r="D832" s="131"/>
      <c r="E832" s="131"/>
      <c r="F832" s="131"/>
    </row>
    <row r="833" spans="1:6" x14ac:dyDescent="0.3">
      <c r="A833" s="131"/>
      <c r="B833" s="131"/>
      <c r="C833" s="131"/>
      <c r="D833" s="131"/>
      <c r="E833" s="131"/>
      <c r="F833" s="131"/>
    </row>
    <row r="834" spans="1:6" x14ac:dyDescent="0.3">
      <c r="A834" s="131"/>
      <c r="B834" s="131"/>
      <c r="C834" s="131"/>
      <c r="D834" s="131"/>
      <c r="E834" s="131"/>
      <c r="F834" s="131"/>
    </row>
    <row r="835" spans="1:6" x14ac:dyDescent="0.3">
      <c r="A835" s="131"/>
      <c r="B835" s="131"/>
      <c r="C835" s="131"/>
      <c r="D835" s="131"/>
      <c r="E835" s="131"/>
      <c r="F835" s="131"/>
    </row>
    <row r="836" spans="1:6" x14ac:dyDescent="0.3">
      <c r="A836" s="131"/>
      <c r="B836" s="131"/>
      <c r="C836" s="131"/>
      <c r="D836" s="131"/>
      <c r="E836" s="131"/>
      <c r="F836" s="131"/>
    </row>
    <row r="837" spans="1:6" x14ac:dyDescent="0.3">
      <c r="A837" s="131"/>
      <c r="B837" s="131"/>
      <c r="C837" s="131"/>
      <c r="D837" s="131"/>
      <c r="E837" s="131"/>
      <c r="F837" s="131"/>
    </row>
    <row r="838" spans="1:6" x14ac:dyDescent="0.3">
      <c r="A838" s="131"/>
      <c r="B838" s="131"/>
      <c r="C838" s="131"/>
      <c r="D838" s="131"/>
      <c r="E838" s="131"/>
      <c r="F838" s="131"/>
    </row>
    <row r="839" spans="1:6" x14ac:dyDescent="0.3">
      <c r="A839" s="131"/>
      <c r="B839" s="131"/>
      <c r="C839" s="131"/>
      <c r="D839" s="131"/>
      <c r="E839" s="131"/>
      <c r="F839" s="131"/>
    </row>
    <row r="840" spans="1:6" x14ac:dyDescent="0.3">
      <c r="A840" s="131"/>
      <c r="B840" s="131"/>
      <c r="C840" s="131"/>
      <c r="D840" s="131"/>
      <c r="E840" s="131"/>
      <c r="F840" s="131"/>
    </row>
    <row r="841" spans="1:6" x14ac:dyDescent="0.3">
      <c r="A841" s="131"/>
      <c r="B841" s="131"/>
      <c r="C841" s="131"/>
      <c r="D841" s="131"/>
      <c r="E841" s="131"/>
      <c r="F841" s="131"/>
    </row>
    <row r="842" spans="1:6" x14ac:dyDescent="0.3">
      <c r="A842" s="131"/>
      <c r="B842" s="131"/>
      <c r="C842" s="131"/>
      <c r="D842" s="131"/>
      <c r="E842" s="131"/>
      <c r="F842" s="131"/>
    </row>
    <row r="843" spans="1:6" x14ac:dyDescent="0.3">
      <c r="A843" s="131"/>
      <c r="B843" s="131"/>
      <c r="C843" s="131"/>
      <c r="D843" s="131"/>
      <c r="E843" s="131"/>
      <c r="F843" s="131"/>
    </row>
    <row r="844" spans="1:6" x14ac:dyDescent="0.3">
      <c r="A844" s="131"/>
      <c r="B844" s="131"/>
      <c r="C844" s="131"/>
      <c r="D844" s="131"/>
      <c r="E844" s="131"/>
      <c r="F844" s="131"/>
    </row>
    <row r="845" spans="1:6" x14ac:dyDescent="0.3">
      <c r="A845" s="131"/>
      <c r="B845" s="131"/>
      <c r="C845" s="131"/>
      <c r="D845" s="131"/>
      <c r="E845" s="131"/>
      <c r="F845" s="131"/>
    </row>
    <row r="846" spans="1:6" x14ac:dyDescent="0.3">
      <c r="A846" s="131"/>
      <c r="B846" s="131"/>
      <c r="C846" s="131"/>
      <c r="D846" s="131"/>
      <c r="E846" s="131"/>
      <c r="F846" s="131"/>
    </row>
    <row r="847" spans="1:6" x14ac:dyDescent="0.3">
      <c r="A847" s="131"/>
      <c r="B847" s="131"/>
      <c r="C847" s="131"/>
      <c r="D847" s="131"/>
      <c r="E847" s="131"/>
      <c r="F847" s="131"/>
    </row>
    <row r="848" spans="1:6" x14ac:dyDescent="0.3">
      <c r="A848" s="131"/>
      <c r="B848" s="131"/>
      <c r="C848" s="131"/>
      <c r="D848" s="131"/>
      <c r="E848" s="131"/>
      <c r="F848" s="131"/>
    </row>
    <row r="849" spans="1:6" x14ac:dyDescent="0.3">
      <c r="A849" s="131"/>
      <c r="B849" s="131"/>
      <c r="C849" s="131"/>
      <c r="D849" s="131"/>
      <c r="E849" s="131"/>
      <c r="F849" s="131"/>
    </row>
    <row r="850" spans="1:6" x14ac:dyDescent="0.3">
      <c r="A850" s="131"/>
      <c r="B850" s="131"/>
      <c r="C850" s="131"/>
      <c r="D850" s="131"/>
      <c r="E850" s="131"/>
      <c r="F850" s="131"/>
    </row>
    <row r="851" spans="1:6" x14ac:dyDescent="0.3">
      <c r="A851" s="131"/>
      <c r="B851" s="131"/>
      <c r="C851" s="131"/>
      <c r="D851" s="131"/>
      <c r="E851" s="131"/>
      <c r="F851" s="131"/>
    </row>
    <row r="852" spans="1:6" x14ac:dyDescent="0.3">
      <c r="A852" s="131"/>
      <c r="B852" s="131"/>
      <c r="C852" s="131"/>
      <c r="D852" s="131"/>
      <c r="E852" s="131"/>
      <c r="F852" s="131"/>
    </row>
    <row r="853" spans="1:6" x14ac:dyDescent="0.3">
      <c r="A853" s="131"/>
      <c r="B853" s="131"/>
      <c r="C853" s="131"/>
      <c r="D853" s="131"/>
      <c r="E853" s="131"/>
      <c r="F853" s="131"/>
    </row>
    <row r="854" spans="1:6" x14ac:dyDescent="0.3">
      <c r="A854" s="131"/>
      <c r="B854" s="131"/>
      <c r="C854" s="131"/>
      <c r="D854" s="131"/>
      <c r="E854" s="131"/>
      <c r="F854" s="131"/>
    </row>
    <row r="855" spans="1:6" x14ac:dyDescent="0.3">
      <c r="A855" s="131"/>
      <c r="B855" s="131"/>
      <c r="C855" s="131"/>
      <c r="D855" s="131"/>
      <c r="E855" s="131"/>
      <c r="F855" s="131"/>
    </row>
    <row r="856" spans="1:6" x14ac:dyDescent="0.3">
      <c r="A856" s="131"/>
      <c r="B856" s="131"/>
      <c r="C856" s="131"/>
      <c r="D856" s="131"/>
      <c r="E856" s="131"/>
      <c r="F856" s="131"/>
    </row>
    <row r="857" spans="1:6" x14ac:dyDescent="0.3">
      <c r="A857" s="131"/>
      <c r="B857" s="131"/>
      <c r="C857" s="131"/>
      <c r="D857" s="131"/>
      <c r="E857" s="131"/>
      <c r="F857" s="131"/>
    </row>
    <row r="858" spans="1:6" x14ac:dyDescent="0.3">
      <c r="A858" s="131"/>
      <c r="B858" s="131"/>
      <c r="C858" s="131"/>
      <c r="D858" s="131"/>
      <c r="E858" s="131"/>
      <c r="F858" s="131"/>
    </row>
    <row r="859" spans="1:6" x14ac:dyDescent="0.3">
      <c r="A859" s="131"/>
      <c r="B859" s="131"/>
      <c r="C859" s="131"/>
      <c r="D859" s="131"/>
      <c r="E859" s="131"/>
      <c r="F859" s="131"/>
    </row>
    <row r="860" spans="1:6" x14ac:dyDescent="0.3">
      <c r="A860" s="131"/>
      <c r="B860" s="131"/>
      <c r="C860" s="131"/>
      <c r="D860" s="131"/>
      <c r="E860" s="131"/>
      <c r="F860" s="131"/>
    </row>
    <row r="861" spans="1:6" x14ac:dyDescent="0.3">
      <c r="A861" s="131"/>
      <c r="B861" s="131"/>
      <c r="C861" s="131"/>
      <c r="D861" s="131"/>
      <c r="E861" s="131"/>
      <c r="F861" s="131"/>
    </row>
    <row r="862" spans="1:6" x14ac:dyDescent="0.3">
      <c r="A862" s="131"/>
      <c r="B862" s="131"/>
      <c r="C862" s="131"/>
      <c r="D862" s="131"/>
      <c r="E862" s="131"/>
      <c r="F862" s="131"/>
    </row>
    <row r="863" spans="1:6" x14ac:dyDescent="0.3">
      <c r="A863" s="131"/>
      <c r="B863" s="131"/>
      <c r="C863" s="131"/>
      <c r="D863" s="131"/>
      <c r="E863" s="131"/>
      <c r="F863" s="131"/>
    </row>
    <row r="864" spans="1:6" x14ac:dyDescent="0.3">
      <c r="A864" s="131"/>
      <c r="B864" s="131"/>
      <c r="C864" s="131"/>
      <c r="D864" s="131"/>
      <c r="E864" s="131"/>
      <c r="F864" s="131"/>
    </row>
    <row r="865" spans="1:6" x14ac:dyDescent="0.3">
      <c r="A865" s="131"/>
      <c r="B865" s="131"/>
      <c r="C865" s="131"/>
      <c r="D865" s="131"/>
      <c r="E865" s="131"/>
      <c r="F865" s="131"/>
    </row>
    <row r="866" spans="1:6" x14ac:dyDescent="0.3">
      <c r="A866" s="131"/>
      <c r="B866" s="131"/>
      <c r="C866" s="131"/>
      <c r="D866" s="131"/>
      <c r="E866" s="131"/>
      <c r="F866" s="131"/>
    </row>
    <row r="867" spans="1:6" x14ac:dyDescent="0.3">
      <c r="A867" s="131"/>
      <c r="B867" s="131"/>
      <c r="C867" s="131"/>
      <c r="D867" s="131"/>
      <c r="E867" s="131"/>
      <c r="F867" s="131"/>
    </row>
    <row r="868" spans="1:6" x14ac:dyDescent="0.3">
      <c r="A868" s="131"/>
      <c r="B868" s="131"/>
      <c r="C868" s="131"/>
      <c r="D868" s="131"/>
      <c r="E868" s="131"/>
      <c r="F868" s="131"/>
    </row>
    <row r="869" spans="1:6" x14ac:dyDescent="0.3">
      <c r="A869" s="131"/>
      <c r="B869" s="131"/>
      <c r="C869" s="131"/>
      <c r="D869" s="131"/>
      <c r="E869" s="131"/>
      <c r="F869" s="131"/>
    </row>
    <row r="870" spans="1:6" x14ac:dyDescent="0.3">
      <c r="A870" s="131"/>
      <c r="B870" s="131"/>
      <c r="C870" s="131"/>
      <c r="D870" s="131"/>
      <c r="E870" s="131"/>
      <c r="F870" s="131"/>
    </row>
    <row r="871" spans="1:6" x14ac:dyDescent="0.3">
      <c r="A871" s="131"/>
      <c r="B871" s="131"/>
      <c r="C871" s="131"/>
      <c r="D871" s="131"/>
      <c r="E871" s="131"/>
      <c r="F871" s="131"/>
    </row>
    <row r="872" spans="1:6" x14ac:dyDescent="0.3">
      <c r="A872" s="131"/>
      <c r="B872" s="131"/>
      <c r="C872" s="131"/>
      <c r="D872" s="131"/>
      <c r="E872" s="131"/>
      <c r="F872" s="131"/>
    </row>
    <row r="873" spans="1:6" x14ac:dyDescent="0.3">
      <c r="A873" s="131"/>
      <c r="B873" s="131"/>
      <c r="C873" s="131"/>
      <c r="D873" s="131"/>
      <c r="E873" s="131"/>
      <c r="F873" s="131"/>
    </row>
    <row r="874" spans="1:6" x14ac:dyDescent="0.3">
      <c r="A874" s="131"/>
      <c r="B874" s="131"/>
      <c r="C874" s="131"/>
      <c r="D874" s="131"/>
      <c r="E874" s="131"/>
      <c r="F874" s="131"/>
    </row>
    <row r="875" spans="1:6" x14ac:dyDescent="0.3">
      <c r="A875" s="131"/>
      <c r="B875" s="131"/>
      <c r="C875" s="131"/>
      <c r="D875" s="131"/>
      <c r="E875" s="131"/>
      <c r="F875" s="131"/>
    </row>
    <row r="876" spans="1:6" x14ac:dyDescent="0.3">
      <c r="A876" s="131"/>
      <c r="B876" s="131"/>
      <c r="C876" s="131"/>
      <c r="D876" s="131"/>
      <c r="E876" s="131"/>
      <c r="F876" s="131"/>
    </row>
    <row r="877" spans="1:6" x14ac:dyDescent="0.3">
      <c r="A877" s="131"/>
      <c r="B877" s="131"/>
      <c r="C877" s="131"/>
      <c r="D877" s="131"/>
      <c r="E877" s="131"/>
      <c r="F877" s="131"/>
    </row>
    <row r="878" spans="1:6" x14ac:dyDescent="0.3">
      <c r="A878" s="131"/>
      <c r="B878" s="131"/>
      <c r="C878" s="131"/>
      <c r="D878" s="131"/>
      <c r="E878" s="131"/>
      <c r="F878" s="131"/>
    </row>
    <row r="879" spans="1:6" x14ac:dyDescent="0.3">
      <c r="A879" s="131"/>
      <c r="B879" s="131"/>
      <c r="C879" s="131"/>
      <c r="D879" s="131"/>
      <c r="E879" s="131"/>
      <c r="F879" s="131"/>
    </row>
    <row r="880" spans="1:6" x14ac:dyDescent="0.3">
      <c r="A880" s="131"/>
      <c r="B880" s="131"/>
      <c r="C880" s="131"/>
      <c r="D880" s="131"/>
      <c r="E880" s="131"/>
      <c r="F880" s="131"/>
    </row>
    <row r="881" spans="1:6" x14ac:dyDescent="0.3">
      <c r="A881" s="131"/>
      <c r="B881" s="131"/>
      <c r="C881" s="131"/>
      <c r="D881" s="131"/>
      <c r="E881" s="131"/>
      <c r="F881" s="131"/>
    </row>
    <row r="882" spans="1:6" x14ac:dyDescent="0.3">
      <c r="A882" s="131"/>
      <c r="B882" s="131"/>
      <c r="C882" s="131"/>
      <c r="D882" s="131"/>
      <c r="E882" s="131"/>
      <c r="F882" s="131"/>
    </row>
    <row r="883" spans="1:6" x14ac:dyDescent="0.3">
      <c r="A883" s="131"/>
      <c r="B883" s="131"/>
      <c r="C883" s="131"/>
      <c r="D883" s="131"/>
      <c r="E883" s="131"/>
      <c r="F883" s="131"/>
    </row>
    <row r="884" spans="1:6" x14ac:dyDescent="0.3">
      <c r="A884" s="131"/>
      <c r="B884" s="131"/>
      <c r="C884" s="131"/>
      <c r="D884" s="131"/>
      <c r="E884" s="131"/>
      <c r="F884" s="131"/>
    </row>
    <row r="885" spans="1:6" x14ac:dyDescent="0.3">
      <c r="A885" s="131"/>
      <c r="B885" s="131"/>
      <c r="C885" s="131"/>
      <c r="D885" s="131"/>
      <c r="E885" s="131"/>
      <c r="F885" s="131"/>
    </row>
    <row r="886" spans="1:6" x14ac:dyDescent="0.3">
      <c r="A886" s="131"/>
      <c r="B886" s="131"/>
      <c r="C886" s="131"/>
      <c r="D886" s="131"/>
      <c r="E886" s="131"/>
      <c r="F886" s="131"/>
    </row>
    <row r="887" spans="1:6" x14ac:dyDescent="0.3">
      <c r="A887" s="131"/>
      <c r="B887" s="131"/>
      <c r="C887" s="131"/>
      <c r="D887" s="131"/>
      <c r="E887" s="131"/>
      <c r="F887" s="131"/>
    </row>
    <row r="888" spans="1:6" x14ac:dyDescent="0.3">
      <c r="A888" s="131"/>
      <c r="B888" s="131"/>
      <c r="C888" s="131"/>
      <c r="D888" s="131"/>
      <c r="E888" s="131"/>
      <c r="F888" s="131"/>
    </row>
    <row r="889" spans="1:6" x14ac:dyDescent="0.3">
      <c r="A889" s="131"/>
      <c r="B889" s="131"/>
      <c r="C889" s="131"/>
      <c r="D889" s="131"/>
      <c r="E889" s="131"/>
      <c r="F889" s="131"/>
    </row>
    <row r="890" spans="1:6" x14ac:dyDescent="0.3">
      <c r="A890" s="131"/>
      <c r="B890" s="131"/>
      <c r="C890" s="131"/>
      <c r="D890" s="131"/>
      <c r="E890" s="131"/>
      <c r="F890" s="131"/>
    </row>
    <row r="891" spans="1:6" x14ac:dyDescent="0.3">
      <c r="A891" s="131"/>
      <c r="B891" s="131"/>
      <c r="C891" s="131"/>
      <c r="D891" s="131"/>
      <c r="E891" s="131"/>
      <c r="F891" s="131"/>
    </row>
    <row r="892" spans="1:6" x14ac:dyDescent="0.3">
      <c r="A892" s="131"/>
      <c r="B892" s="131"/>
      <c r="C892" s="131"/>
      <c r="D892" s="131"/>
      <c r="E892" s="131"/>
      <c r="F892" s="131"/>
    </row>
    <row r="893" spans="1:6" x14ac:dyDescent="0.3">
      <c r="A893" s="131"/>
      <c r="B893" s="131"/>
      <c r="C893" s="131"/>
      <c r="D893" s="131"/>
      <c r="E893" s="131"/>
      <c r="F893" s="131"/>
    </row>
    <row r="894" spans="1:6" x14ac:dyDescent="0.3">
      <c r="A894" s="131"/>
      <c r="B894" s="131"/>
      <c r="C894" s="131"/>
      <c r="D894" s="131"/>
      <c r="E894" s="131"/>
      <c r="F894" s="131"/>
    </row>
    <row r="895" spans="1:6" x14ac:dyDescent="0.3">
      <c r="A895" s="131"/>
      <c r="B895" s="131"/>
      <c r="C895" s="131"/>
      <c r="D895" s="131"/>
      <c r="E895" s="131"/>
      <c r="F895" s="131"/>
    </row>
    <row r="896" spans="1:6" x14ac:dyDescent="0.3">
      <c r="A896" s="131"/>
      <c r="B896" s="131"/>
      <c r="C896" s="131"/>
      <c r="D896" s="131"/>
      <c r="E896" s="131"/>
      <c r="F896" s="131"/>
    </row>
    <row r="897" spans="1:6" x14ac:dyDescent="0.3">
      <c r="A897" s="131"/>
      <c r="B897" s="131"/>
      <c r="C897" s="131"/>
      <c r="D897" s="131"/>
      <c r="E897" s="131"/>
      <c r="F897" s="131"/>
    </row>
    <row r="898" spans="1:6" x14ac:dyDescent="0.3">
      <c r="A898" s="131"/>
      <c r="B898" s="131"/>
      <c r="C898" s="131"/>
      <c r="D898" s="131"/>
      <c r="E898" s="131"/>
      <c r="F898" s="131"/>
    </row>
    <row r="899" spans="1:6" x14ac:dyDescent="0.3">
      <c r="A899" s="131"/>
      <c r="B899" s="131"/>
      <c r="C899" s="131"/>
      <c r="D899" s="131"/>
      <c r="E899" s="131"/>
      <c r="F899" s="131"/>
    </row>
    <row r="900" spans="1:6" x14ac:dyDescent="0.3">
      <c r="A900" s="131"/>
      <c r="B900" s="131"/>
      <c r="C900" s="131"/>
      <c r="D900" s="131"/>
      <c r="E900" s="131"/>
      <c r="F900" s="131"/>
    </row>
    <row r="901" spans="1:6" x14ac:dyDescent="0.3">
      <c r="A901" s="131"/>
      <c r="B901" s="131"/>
      <c r="C901" s="131"/>
      <c r="D901" s="131"/>
      <c r="E901" s="131"/>
      <c r="F901" s="131"/>
    </row>
    <row r="902" spans="1:6" x14ac:dyDescent="0.3">
      <c r="A902" s="131"/>
      <c r="B902" s="131"/>
      <c r="C902" s="131"/>
      <c r="D902" s="131"/>
      <c r="E902" s="131"/>
      <c r="F902" s="131"/>
    </row>
    <row r="903" spans="1:6" x14ac:dyDescent="0.3">
      <c r="A903" s="131"/>
      <c r="B903" s="131"/>
      <c r="C903" s="131"/>
      <c r="D903" s="131"/>
      <c r="E903" s="131"/>
      <c r="F903" s="131"/>
    </row>
    <row r="904" spans="1:6" x14ac:dyDescent="0.3">
      <c r="A904" s="131"/>
      <c r="B904" s="131"/>
      <c r="C904" s="131"/>
      <c r="D904" s="131"/>
      <c r="E904" s="131"/>
      <c r="F904" s="131"/>
    </row>
    <row r="905" spans="1:6" x14ac:dyDescent="0.3">
      <c r="A905" s="131"/>
      <c r="B905" s="131"/>
      <c r="C905" s="131"/>
      <c r="D905" s="131"/>
      <c r="E905" s="131"/>
      <c r="F905" s="131"/>
    </row>
    <row r="906" spans="1:6" x14ac:dyDescent="0.3">
      <c r="A906" s="131"/>
      <c r="B906" s="131"/>
      <c r="C906" s="131"/>
      <c r="D906" s="131"/>
      <c r="E906" s="131"/>
      <c r="F906" s="131"/>
    </row>
    <row r="907" spans="1:6" x14ac:dyDescent="0.3">
      <c r="A907" s="131"/>
      <c r="B907" s="131"/>
      <c r="C907" s="131"/>
      <c r="D907" s="131"/>
      <c r="E907" s="131"/>
      <c r="F907" s="131"/>
    </row>
    <row r="908" spans="1:6" x14ac:dyDescent="0.3">
      <c r="A908" s="131"/>
      <c r="B908" s="131"/>
      <c r="C908" s="131"/>
      <c r="D908" s="131"/>
      <c r="E908" s="131"/>
      <c r="F908" s="131"/>
    </row>
    <row r="909" spans="1:6" x14ac:dyDescent="0.3">
      <c r="A909" s="131"/>
      <c r="B909" s="131"/>
      <c r="C909" s="131"/>
      <c r="D909" s="131"/>
      <c r="E909" s="131"/>
      <c r="F909" s="131"/>
    </row>
    <row r="910" spans="1:6" x14ac:dyDescent="0.3">
      <c r="A910" s="131"/>
      <c r="B910" s="131"/>
      <c r="C910" s="131"/>
      <c r="D910" s="131"/>
      <c r="E910" s="131"/>
      <c r="F910" s="131"/>
    </row>
    <row r="911" spans="1:6" x14ac:dyDescent="0.3">
      <c r="A911" s="131"/>
      <c r="B911" s="131"/>
      <c r="C911" s="131"/>
      <c r="D911" s="131"/>
      <c r="E911" s="131"/>
      <c r="F911" s="131"/>
    </row>
    <row r="912" spans="1:6" x14ac:dyDescent="0.3">
      <c r="A912" s="131"/>
      <c r="B912" s="131"/>
      <c r="C912" s="131"/>
      <c r="D912" s="131"/>
      <c r="E912" s="131"/>
      <c r="F912" s="131"/>
    </row>
    <row r="913" spans="1:6" x14ac:dyDescent="0.3">
      <c r="A913" s="131"/>
      <c r="B913" s="131"/>
      <c r="C913" s="131"/>
      <c r="D913" s="131"/>
      <c r="E913" s="131"/>
      <c r="F913" s="131"/>
    </row>
    <row r="914" spans="1:6" x14ac:dyDescent="0.3">
      <c r="A914" s="131"/>
      <c r="B914" s="131"/>
      <c r="C914" s="131"/>
      <c r="D914" s="131"/>
      <c r="E914" s="131"/>
      <c r="F914" s="131"/>
    </row>
    <row r="915" spans="1:6" x14ac:dyDescent="0.3">
      <c r="A915" s="131"/>
      <c r="B915" s="131"/>
      <c r="C915" s="131"/>
      <c r="D915" s="131"/>
      <c r="E915" s="131"/>
      <c r="F915" s="131"/>
    </row>
    <row r="916" spans="1:6" x14ac:dyDescent="0.3">
      <c r="A916" s="131"/>
      <c r="B916" s="131"/>
      <c r="C916" s="131"/>
      <c r="D916" s="131"/>
      <c r="E916" s="131"/>
      <c r="F916" s="131"/>
    </row>
    <row r="917" spans="1:6" x14ac:dyDescent="0.3">
      <c r="A917" s="131"/>
      <c r="B917" s="131"/>
      <c r="C917" s="131"/>
      <c r="D917" s="131"/>
      <c r="E917" s="131"/>
      <c r="F917" s="131"/>
    </row>
    <row r="918" spans="1:6" x14ac:dyDescent="0.3">
      <c r="A918" s="131"/>
      <c r="B918" s="131"/>
      <c r="C918" s="131"/>
      <c r="D918" s="131"/>
      <c r="E918" s="131"/>
      <c r="F918" s="131"/>
    </row>
    <row r="919" spans="1:6" x14ac:dyDescent="0.3">
      <c r="A919" s="131"/>
      <c r="B919" s="131"/>
      <c r="C919" s="131"/>
      <c r="D919" s="131"/>
      <c r="E919" s="131"/>
      <c r="F919" s="131"/>
    </row>
    <row r="920" spans="1:6" x14ac:dyDescent="0.3">
      <c r="A920" s="131"/>
      <c r="B920" s="131"/>
      <c r="C920" s="131"/>
      <c r="D920" s="131"/>
      <c r="E920" s="131"/>
      <c r="F920" s="131"/>
    </row>
    <row r="921" spans="1:6" x14ac:dyDescent="0.3">
      <c r="A921" s="131"/>
      <c r="B921" s="131"/>
      <c r="C921" s="131"/>
      <c r="D921" s="131"/>
      <c r="E921" s="131"/>
      <c r="F921" s="131"/>
    </row>
    <row r="922" spans="1:6" x14ac:dyDescent="0.3">
      <c r="A922" s="131"/>
      <c r="B922" s="131"/>
      <c r="C922" s="131"/>
      <c r="D922" s="131"/>
      <c r="E922" s="131"/>
      <c r="F922" s="131"/>
    </row>
    <row r="923" spans="1:6" x14ac:dyDescent="0.3">
      <c r="A923" s="131"/>
      <c r="B923" s="131"/>
      <c r="C923" s="131"/>
      <c r="D923" s="131"/>
      <c r="E923" s="131"/>
      <c r="F923" s="131"/>
    </row>
    <row r="924" spans="1:6" x14ac:dyDescent="0.3">
      <c r="A924" s="131"/>
      <c r="B924" s="131"/>
      <c r="C924" s="131"/>
      <c r="D924" s="131"/>
      <c r="E924" s="131"/>
      <c r="F924" s="131"/>
    </row>
    <row r="925" spans="1:6" x14ac:dyDescent="0.3">
      <c r="A925" s="131"/>
      <c r="B925" s="131"/>
      <c r="C925" s="131"/>
      <c r="D925" s="131"/>
      <c r="E925" s="131"/>
      <c r="F925" s="131"/>
    </row>
    <row r="926" spans="1:6" x14ac:dyDescent="0.3">
      <c r="A926" s="131"/>
      <c r="B926" s="131"/>
      <c r="C926" s="131"/>
      <c r="D926" s="131"/>
      <c r="E926" s="131"/>
      <c r="F926" s="131"/>
    </row>
    <row r="927" spans="1:6" x14ac:dyDescent="0.3">
      <c r="A927" s="131"/>
      <c r="B927" s="131"/>
      <c r="C927" s="131"/>
      <c r="D927" s="131"/>
      <c r="E927" s="131"/>
      <c r="F927" s="131"/>
    </row>
    <row r="928" spans="1:6" x14ac:dyDescent="0.3">
      <c r="A928" s="131"/>
      <c r="B928" s="131"/>
      <c r="C928" s="131"/>
      <c r="D928" s="131"/>
      <c r="E928" s="131"/>
      <c r="F928" s="131"/>
    </row>
    <row r="929" spans="1:6" x14ac:dyDescent="0.3">
      <c r="A929" s="131"/>
      <c r="B929" s="131"/>
      <c r="C929" s="131"/>
      <c r="D929" s="131"/>
      <c r="E929" s="131"/>
      <c r="F929" s="131"/>
    </row>
    <row r="930" spans="1:6" x14ac:dyDescent="0.3">
      <c r="A930" s="131"/>
      <c r="B930" s="131"/>
      <c r="C930" s="131"/>
      <c r="D930" s="131"/>
      <c r="E930" s="131"/>
      <c r="F930" s="131"/>
    </row>
    <row r="931" spans="1:6" x14ac:dyDescent="0.3">
      <c r="A931" s="131"/>
      <c r="B931" s="131"/>
      <c r="C931" s="131"/>
      <c r="D931" s="131"/>
      <c r="E931" s="131"/>
      <c r="F931" s="131"/>
    </row>
    <row r="932" spans="1:6" x14ac:dyDescent="0.3">
      <c r="A932" s="131"/>
      <c r="B932" s="131"/>
      <c r="C932" s="131"/>
      <c r="D932" s="131"/>
      <c r="E932" s="131"/>
      <c r="F932" s="131"/>
    </row>
    <row r="933" spans="1:6" x14ac:dyDescent="0.3">
      <c r="A933" s="131"/>
      <c r="B933" s="131"/>
      <c r="C933" s="131"/>
      <c r="D933" s="131"/>
      <c r="E933" s="131"/>
      <c r="F933" s="131"/>
    </row>
    <row r="934" spans="1:6" x14ac:dyDescent="0.3">
      <c r="A934" s="131"/>
      <c r="B934" s="131"/>
      <c r="C934" s="131"/>
      <c r="D934" s="131"/>
      <c r="E934" s="131"/>
      <c r="F934" s="131"/>
    </row>
    <row r="935" spans="1:6" x14ac:dyDescent="0.3">
      <c r="A935" s="131"/>
      <c r="B935" s="131"/>
      <c r="C935" s="131"/>
      <c r="D935" s="131"/>
      <c r="E935" s="131"/>
      <c r="F935" s="131"/>
    </row>
    <row r="936" spans="1:6" x14ac:dyDescent="0.3">
      <c r="A936" s="131"/>
      <c r="B936" s="131"/>
      <c r="C936" s="131"/>
      <c r="D936" s="131"/>
      <c r="E936" s="131"/>
      <c r="F936" s="131"/>
    </row>
    <row r="937" spans="1:6" x14ac:dyDescent="0.3">
      <c r="A937" s="131"/>
      <c r="B937" s="131"/>
      <c r="C937" s="131"/>
      <c r="D937" s="131"/>
      <c r="E937" s="131"/>
      <c r="F937" s="131"/>
    </row>
    <row r="938" spans="1:6" x14ac:dyDescent="0.3">
      <c r="A938" s="131"/>
      <c r="B938" s="131"/>
      <c r="C938" s="131"/>
      <c r="D938" s="131"/>
      <c r="E938" s="131"/>
      <c r="F938" s="131"/>
    </row>
    <row r="939" spans="1:6" x14ac:dyDescent="0.3">
      <c r="A939" s="131"/>
      <c r="B939" s="131"/>
      <c r="C939" s="131"/>
      <c r="D939" s="131"/>
      <c r="E939" s="131"/>
      <c r="F939" s="131"/>
    </row>
    <row r="940" spans="1:6" x14ac:dyDescent="0.3">
      <c r="A940" s="131"/>
      <c r="B940" s="131"/>
      <c r="C940" s="131"/>
      <c r="D940" s="131"/>
      <c r="E940" s="131"/>
      <c r="F940" s="131"/>
    </row>
    <row r="941" spans="1:6" x14ac:dyDescent="0.3">
      <c r="A941" s="131"/>
      <c r="B941" s="131"/>
      <c r="C941" s="131"/>
      <c r="D941" s="131"/>
      <c r="E941" s="131"/>
      <c r="F941" s="131"/>
    </row>
    <row r="942" spans="1:6" x14ac:dyDescent="0.3">
      <c r="A942" s="131"/>
      <c r="B942" s="131"/>
      <c r="C942" s="131"/>
      <c r="D942" s="131"/>
      <c r="E942" s="131"/>
      <c r="F942" s="131"/>
    </row>
    <row r="943" spans="1:6" x14ac:dyDescent="0.3">
      <c r="A943" s="131"/>
      <c r="B943" s="131"/>
      <c r="C943" s="131"/>
      <c r="D943" s="131"/>
      <c r="E943" s="131"/>
      <c r="F943" s="131"/>
    </row>
    <row r="944" spans="1:6" x14ac:dyDescent="0.3">
      <c r="A944" s="131"/>
      <c r="B944" s="131"/>
      <c r="C944" s="131"/>
      <c r="D944" s="131"/>
      <c r="E944" s="131"/>
      <c r="F944" s="131"/>
    </row>
    <row r="945" spans="1:6" x14ac:dyDescent="0.3">
      <c r="A945" s="131"/>
      <c r="B945" s="131"/>
      <c r="C945" s="131"/>
      <c r="D945" s="131"/>
      <c r="E945" s="131"/>
      <c r="F945" s="131"/>
    </row>
    <row r="946" spans="1:6" x14ac:dyDescent="0.3">
      <c r="A946" s="131"/>
      <c r="B946" s="131"/>
      <c r="C946" s="131"/>
      <c r="D946" s="131"/>
      <c r="E946" s="131"/>
      <c r="F946" s="131"/>
    </row>
    <row r="947" spans="1:6" x14ac:dyDescent="0.3">
      <c r="A947" s="131"/>
      <c r="B947" s="131"/>
      <c r="C947" s="131"/>
      <c r="D947" s="131"/>
      <c r="E947" s="131"/>
      <c r="F947" s="131"/>
    </row>
    <row r="948" spans="1:6" x14ac:dyDescent="0.3">
      <c r="A948" s="131"/>
      <c r="B948" s="131"/>
      <c r="C948" s="131"/>
      <c r="D948" s="131"/>
      <c r="E948" s="131"/>
      <c r="F948" s="131"/>
    </row>
    <row r="949" spans="1:6" x14ac:dyDescent="0.3">
      <c r="A949" s="131"/>
      <c r="B949" s="131"/>
      <c r="C949" s="131"/>
      <c r="D949" s="131"/>
      <c r="E949" s="131"/>
      <c r="F949" s="131"/>
    </row>
    <row r="950" spans="1:6" x14ac:dyDescent="0.3">
      <c r="A950" s="131"/>
      <c r="B950" s="131"/>
      <c r="C950" s="131"/>
      <c r="D950" s="131"/>
      <c r="E950" s="131"/>
      <c r="F950" s="131"/>
    </row>
    <row r="951" spans="1:6" x14ac:dyDescent="0.3">
      <c r="A951" s="131"/>
      <c r="B951" s="131"/>
      <c r="C951" s="131"/>
      <c r="D951" s="131"/>
      <c r="E951" s="131"/>
      <c r="F951" s="131"/>
    </row>
    <row r="952" spans="1:6" x14ac:dyDescent="0.3">
      <c r="A952" s="131"/>
      <c r="B952" s="131"/>
      <c r="C952" s="131"/>
      <c r="D952" s="131"/>
      <c r="E952" s="131"/>
      <c r="F952" s="131"/>
    </row>
    <row r="953" spans="1:6" x14ac:dyDescent="0.3">
      <c r="A953" s="131"/>
      <c r="B953" s="131"/>
      <c r="C953" s="131"/>
      <c r="D953" s="131"/>
      <c r="E953" s="131"/>
      <c r="F953" s="131"/>
    </row>
    <row r="954" spans="1:6" x14ac:dyDescent="0.3">
      <c r="A954" s="131"/>
      <c r="B954" s="131"/>
      <c r="C954" s="131"/>
      <c r="D954" s="131"/>
      <c r="E954" s="131"/>
      <c r="F954" s="131"/>
    </row>
    <row r="955" spans="1:6" x14ac:dyDescent="0.3">
      <c r="A955" s="131"/>
      <c r="B955" s="131"/>
      <c r="C955" s="131"/>
      <c r="D955" s="131"/>
      <c r="E955" s="131"/>
      <c r="F955" s="131"/>
    </row>
    <row r="956" spans="1:6" x14ac:dyDescent="0.3">
      <c r="A956" s="131"/>
      <c r="B956" s="131"/>
      <c r="C956" s="131"/>
      <c r="D956" s="131"/>
      <c r="E956" s="131"/>
      <c r="F956" s="131"/>
    </row>
    <row r="957" spans="1:6" x14ac:dyDescent="0.3">
      <c r="A957" s="131"/>
      <c r="B957" s="131"/>
      <c r="C957" s="131"/>
      <c r="D957" s="131"/>
      <c r="E957" s="131"/>
      <c r="F957" s="131"/>
    </row>
    <row r="958" spans="1:6" x14ac:dyDescent="0.3">
      <c r="A958" s="131"/>
      <c r="B958" s="131"/>
      <c r="C958" s="131"/>
      <c r="D958" s="131"/>
      <c r="E958" s="131"/>
      <c r="F958" s="131"/>
    </row>
    <row r="959" spans="1:6" x14ac:dyDescent="0.3">
      <c r="A959" s="131"/>
      <c r="B959" s="131"/>
      <c r="C959" s="131"/>
      <c r="D959" s="131"/>
      <c r="E959" s="131"/>
      <c r="F959" s="131"/>
    </row>
    <row r="960" spans="1:6" x14ac:dyDescent="0.3">
      <c r="A960" s="131"/>
      <c r="B960" s="131"/>
      <c r="C960" s="131"/>
      <c r="D960" s="131"/>
      <c r="E960" s="131"/>
      <c r="F960" s="131"/>
    </row>
    <row r="961" spans="1:6" x14ac:dyDescent="0.3">
      <c r="A961" s="131"/>
      <c r="B961" s="131"/>
      <c r="C961" s="131"/>
      <c r="D961" s="131"/>
      <c r="E961" s="131"/>
      <c r="F961" s="131"/>
    </row>
    <row r="962" spans="1:6" x14ac:dyDescent="0.3">
      <c r="A962" s="131"/>
      <c r="B962" s="131"/>
      <c r="C962" s="131"/>
      <c r="D962" s="131"/>
      <c r="E962" s="131"/>
      <c r="F962" s="131"/>
    </row>
    <row r="963" spans="1:6" x14ac:dyDescent="0.3">
      <c r="A963" s="131"/>
      <c r="B963" s="131"/>
      <c r="C963" s="131"/>
      <c r="D963" s="131"/>
      <c r="E963" s="131"/>
      <c r="F963" s="131"/>
    </row>
    <row r="964" spans="1:6" x14ac:dyDescent="0.3">
      <c r="A964" s="131"/>
      <c r="B964" s="131"/>
      <c r="C964" s="131"/>
      <c r="D964" s="131"/>
      <c r="E964" s="131"/>
      <c r="F964" s="131"/>
    </row>
    <row r="965" spans="1:6" x14ac:dyDescent="0.3">
      <c r="A965" s="131"/>
      <c r="B965" s="131"/>
      <c r="C965" s="131"/>
      <c r="D965" s="131"/>
      <c r="E965" s="131"/>
      <c r="F965" s="131"/>
    </row>
    <row r="966" spans="1:6" x14ac:dyDescent="0.3">
      <c r="A966" s="131"/>
      <c r="B966" s="131"/>
      <c r="C966" s="131"/>
      <c r="D966" s="131"/>
      <c r="E966" s="131"/>
      <c r="F966" s="131"/>
    </row>
    <row r="967" spans="1:6" x14ac:dyDescent="0.3">
      <c r="A967" s="131"/>
      <c r="B967" s="131"/>
      <c r="C967" s="131"/>
      <c r="D967" s="131"/>
      <c r="E967" s="131"/>
      <c r="F967" s="131"/>
    </row>
    <row r="968" spans="1:6" x14ac:dyDescent="0.3">
      <c r="A968" s="131"/>
      <c r="B968" s="131"/>
      <c r="C968" s="131"/>
      <c r="D968" s="131"/>
      <c r="E968" s="131"/>
      <c r="F968" s="131"/>
    </row>
    <row r="969" spans="1:6" x14ac:dyDescent="0.3">
      <c r="A969" s="131"/>
      <c r="B969" s="131"/>
      <c r="C969" s="131"/>
      <c r="D969" s="131"/>
      <c r="E969" s="131"/>
      <c r="F969" s="131"/>
    </row>
    <row r="970" spans="1:6" x14ac:dyDescent="0.3">
      <c r="A970" s="131"/>
      <c r="B970" s="131"/>
      <c r="C970" s="131"/>
      <c r="D970" s="131"/>
      <c r="E970" s="131"/>
      <c r="F970" s="131"/>
    </row>
    <row r="971" spans="1:6" x14ac:dyDescent="0.3">
      <c r="A971" s="131"/>
      <c r="B971" s="131"/>
      <c r="C971" s="131"/>
      <c r="D971" s="131"/>
      <c r="E971" s="131"/>
      <c r="F971" s="131"/>
    </row>
    <row r="972" spans="1:6" x14ac:dyDescent="0.3">
      <c r="A972" s="131"/>
      <c r="B972" s="131"/>
      <c r="C972" s="131"/>
      <c r="D972" s="131"/>
      <c r="E972" s="131"/>
      <c r="F972" s="131"/>
    </row>
    <row r="973" spans="1:6" x14ac:dyDescent="0.3">
      <c r="A973" s="131"/>
      <c r="B973" s="131"/>
      <c r="C973" s="131"/>
      <c r="D973" s="131"/>
      <c r="E973" s="131"/>
      <c r="F973" s="131"/>
    </row>
    <row r="974" spans="1:6" x14ac:dyDescent="0.3">
      <c r="A974" s="131"/>
      <c r="B974" s="131"/>
      <c r="C974" s="131"/>
      <c r="D974" s="131"/>
      <c r="E974" s="131"/>
      <c r="F974" s="131"/>
    </row>
    <row r="975" spans="1:6" x14ac:dyDescent="0.3">
      <c r="A975" s="131"/>
      <c r="B975" s="131"/>
      <c r="C975" s="131"/>
      <c r="D975" s="131"/>
      <c r="E975" s="131"/>
      <c r="F975" s="131"/>
    </row>
    <row r="976" spans="1:6" x14ac:dyDescent="0.3">
      <c r="A976" s="131"/>
      <c r="B976" s="131"/>
      <c r="C976" s="131"/>
      <c r="D976" s="131"/>
      <c r="E976" s="131"/>
      <c r="F976" s="131"/>
    </row>
    <row r="977" spans="1:6" x14ac:dyDescent="0.3">
      <c r="A977" s="131"/>
      <c r="B977" s="131"/>
      <c r="C977" s="131"/>
      <c r="D977" s="131"/>
      <c r="E977" s="131"/>
      <c r="F977" s="131"/>
    </row>
    <row r="978" spans="1:6" x14ac:dyDescent="0.3">
      <c r="A978" s="131"/>
      <c r="B978" s="131"/>
      <c r="C978" s="131"/>
      <c r="D978" s="131"/>
      <c r="E978" s="131"/>
      <c r="F978" s="131"/>
    </row>
    <row r="979" spans="1:6" x14ac:dyDescent="0.3">
      <c r="A979" s="131"/>
      <c r="B979" s="131"/>
      <c r="C979" s="131"/>
      <c r="D979" s="131"/>
      <c r="E979" s="131"/>
      <c r="F979" s="131"/>
    </row>
    <row r="980" spans="1:6" x14ac:dyDescent="0.3">
      <c r="A980" s="131"/>
      <c r="B980" s="131"/>
      <c r="C980" s="131"/>
      <c r="D980" s="131"/>
      <c r="E980" s="131"/>
      <c r="F980" s="131"/>
    </row>
    <row r="981" spans="1:6" x14ac:dyDescent="0.3">
      <c r="A981" s="131"/>
      <c r="B981" s="131"/>
      <c r="C981" s="131"/>
      <c r="D981" s="131"/>
      <c r="E981" s="131"/>
      <c r="F981" s="131"/>
    </row>
    <row r="982" spans="1:6" x14ac:dyDescent="0.3">
      <c r="A982" s="131"/>
      <c r="B982" s="131"/>
      <c r="C982" s="131"/>
      <c r="D982" s="131"/>
      <c r="E982" s="131"/>
      <c r="F982" s="131"/>
    </row>
    <row r="983" spans="1:6" x14ac:dyDescent="0.3">
      <c r="A983" s="131"/>
      <c r="B983" s="131"/>
      <c r="C983" s="131"/>
      <c r="D983" s="131"/>
      <c r="E983" s="131"/>
      <c r="F983" s="131"/>
    </row>
    <row r="984" spans="1:6" x14ac:dyDescent="0.3">
      <c r="A984" s="131"/>
      <c r="B984" s="131"/>
      <c r="C984" s="131"/>
      <c r="D984" s="131"/>
      <c r="E984" s="131"/>
      <c r="F984" s="131"/>
    </row>
    <row r="985" spans="1:6" x14ac:dyDescent="0.3">
      <c r="A985" s="131"/>
      <c r="B985" s="131"/>
      <c r="C985" s="131"/>
      <c r="D985" s="131"/>
      <c r="E985" s="131"/>
      <c r="F985" s="131"/>
    </row>
    <row r="986" spans="1:6" x14ac:dyDescent="0.3">
      <c r="A986" s="131"/>
      <c r="B986" s="131"/>
      <c r="C986" s="131"/>
      <c r="D986" s="131"/>
      <c r="E986" s="131"/>
      <c r="F986" s="131"/>
    </row>
    <row r="987" spans="1:6" x14ac:dyDescent="0.3">
      <c r="A987" s="131"/>
      <c r="B987" s="131"/>
      <c r="C987" s="131"/>
      <c r="D987" s="131"/>
      <c r="E987" s="131"/>
      <c r="F987" s="131"/>
    </row>
    <row r="988" spans="1:6" x14ac:dyDescent="0.3">
      <c r="A988" s="131"/>
      <c r="B988" s="131"/>
      <c r="C988" s="131"/>
      <c r="D988" s="131"/>
      <c r="E988" s="131"/>
      <c r="F988" s="131"/>
    </row>
    <row r="989" spans="1:6" x14ac:dyDescent="0.3">
      <c r="A989" s="131"/>
      <c r="B989" s="131"/>
      <c r="C989" s="131"/>
      <c r="D989" s="131"/>
      <c r="E989" s="131"/>
      <c r="F989" s="131"/>
    </row>
    <row r="990" spans="1:6" x14ac:dyDescent="0.3">
      <c r="A990" s="131"/>
      <c r="B990" s="131"/>
      <c r="C990" s="131"/>
      <c r="D990" s="131"/>
      <c r="E990" s="131"/>
      <c r="F990" s="131"/>
    </row>
    <row r="991" spans="1:6" x14ac:dyDescent="0.3">
      <c r="A991" s="131"/>
      <c r="B991" s="131"/>
      <c r="C991" s="131"/>
      <c r="D991" s="131"/>
      <c r="E991" s="131"/>
      <c r="F991" s="131"/>
    </row>
    <row r="992" spans="1:6" x14ac:dyDescent="0.3">
      <c r="A992" s="131"/>
      <c r="B992" s="131"/>
      <c r="C992" s="131"/>
      <c r="D992" s="131"/>
      <c r="E992" s="131"/>
      <c r="F992" s="131"/>
    </row>
    <row r="993" spans="1:6" x14ac:dyDescent="0.3">
      <c r="A993" s="131"/>
      <c r="B993" s="131"/>
      <c r="C993" s="131"/>
      <c r="D993" s="131"/>
      <c r="E993" s="131"/>
      <c r="F993" s="131"/>
    </row>
    <row r="994" spans="1:6" x14ac:dyDescent="0.3">
      <c r="A994" s="131"/>
      <c r="B994" s="131"/>
      <c r="C994" s="131"/>
      <c r="D994" s="131"/>
      <c r="E994" s="131"/>
      <c r="F994" s="131"/>
    </row>
    <row r="995" spans="1:6" x14ac:dyDescent="0.3">
      <c r="A995" s="131"/>
      <c r="B995" s="131"/>
      <c r="C995" s="131"/>
      <c r="D995" s="131"/>
      <c r="E995" s="131"/>
      <c r="F995" s="131"/>
    </row>
    <row r="996" spans="1:6" x14ac:dyDescent="0.3">
      <c r="A996" s="131"/>
      <c r="B996" s="131"/>
      <c r="C996" s="131"/>
      <c r="D996" s="131"/>
      <c r="E996" s="131"/>
      <c r="F996" s="131"/>
    </row>
    <row r="997" spans="1:6" x14ac:dyDescent="0.3">
      <c r="A997" s="131"/>
      <c r="B997" s="131"/>
      <c r="C997" s="131"/>
      <c r="D997" s="131"/>
      <c r="E997" s="131"/>
      <c r="F997" s="131"/>
    </row>
    <row r="998" spans="1:6" x14ac:dyDescent="0.3">
      <c r="A998" s="131"/>
      <c r="B998" s="131"/>
      <c r="C998" s="131"/>
      <c r="D998" s="131"/>
      <c r="E998" s="131"/>
      <c r="F998" s="131"/>
    </row>
    <row r="999" spans="1:6" x14ac:dyDescent="0.3">
      <c r="A999" s="131"/>
      <c r="B999" s="131"/>
      <c r="C999" s="131"/>
      <c r="D999" s="131"/>
      <c r="E999" s="131"/>
      <c r="F999" s="131"/>
    </row>
    <row r="1000" spans="1:6" x14ac:dyDescent="0.3">
      <c r="A1000" s="131"/>
      <c r="B1000" s="131"/>
      <c r="C1000" s="131"/>
      <c r="D1000" s="131"/>
      <c r="E1000" s="131"/>
      <c r="F1000" s="131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655FB-7B18-4E6B-89EC-405273A79027}">
  <sheetPr codeName="Sheet12"/>
  <dimension ref="A1:F1000"/>
  <sheetViews>
    <sheetView workbookViewId="0">
      <selection activeCell="D5" sqref="D5"/>
    </sheetView>
  </sheetViews>
  <sheetFormatPr defaultRowHeight="14.4" x14ac:dyDescent="0.3"/>
  <cols>
    <col min="1" max="1" width="7.33203125" customWidth="1"/>
    <col min="2" max="2" width="6" bestFit="1" customWidth="1"/>
    <col min="3" max="3" width="4" bestFit="1" customWidth="1"/>
    <col min="4" max="4" width="13.109375" bestFit="1" customWidth="1"/>
    <col min="5" max="5" width="12.109375" style="48" bestFit="1" customWidth="1"/>
    <col min="6" max="6" width="11" bestFit="1" customWidth="1"/>
  </cols>
  <sheetData>
    <row r="1" spans="1:6" x14ac:dyDescent="0.3">
      <c r="E1"/>
    </row>
    <row r="2" spans="1:6" x14ac:dyDescent="0.3">
      <c r="E2"/>
    </row>
    <row r="3" spans="1:6" x14ac:dyDescent="0.3">
      <c r="E3"/>
    </row>
    <row r="4" spans="1:6" x14ac:dyDescent="0.3">
      <c r="E4"/>
    </row>
    <row r="5" spans="1:6" x14ac:dyDescent="0.3">
      <c r="A5" s="131" t="s">
        <v>1155</v>
      </c>
      <c r="B5" s="131" t="s">
        <v>1156</v>
      </c>
      <c r="C5" s="131" t="s">
        <v>873</v>
      </c>
      <c r="D5" s="131" t="s">
        <v>1161</v>
      </c>
      <c r="E5" s="131">
        <v>293.38978199999997</v>
      </c>
      <c r="F5" s="131"/>
    </row>
    <row r="6" spans="1:6" x14ac:dyDescent="0.3">
      <c r="A6" s="131" t="s">
        <v>1155</v>
      </c>
      <c r="B6" s="131" t="s">
        <v>1164</v>
      </c>
      <c r="C6" s="131" t="s">
        <v>873</v>
      </c>
      <c r="D6" s="131" t="s">
        <v>1165</v>
      </c>
      <c r="E6" s="131">
        <v>94.540199999999999</v>
      </c>
      <c r="F6" s="131"/>
    </row>
    <row r="7" spans="1:6" x14ac:dyDescent="0.3">
      <c r="A7" s="131" t="s">
        <v>1155</v>
      </c>
      <c r="B7" s="131" t="s">
        <v>1167</v>
      </c>
      <c r="C7" s="131" t="s">
        <v>873</v>
      </c>
      <c r="D7" s="131" t="s">
        <v>1169</v>
      </c>
      <c r="E7" s="131">
        <v>0</v>
      </c>
      <c r="F7" s="131"/>
    </row>
    <row r="8" spans="1:6" x14ac:dyDescent="0.3">
      <c r="A8" s="131" t="s">
        <v>1155</v>
      </c>
      <c r="B8" s="131" t="s">
        <v>1170</v>
      </c>
      <c r="C8" s="131" t="s">
        <v>873</v>
      </c>
      <c r="D8" s="131" t="s">
        <v>1172</v>
      </c>
      <c r="E8" s="131">
        <v>158.57580899999996</v>
      </c>
      <c r="F8" s="131"/>
    </row>
    <row r="9" spans="1:6" x14ac:dyDescent="0.3">
      <c r="A9" s="131" t="s">
        <v>1155</v>
      </c>
      <c r="B9" s="131" t="s">
        <v>1174</v>
      </c>
      <c r="C9" s="131" t="s">
        <v>873</v>
      </c>
      <c r="D9" s="131" t="s">
        <v>1169</v>
      </c>
      <c r="E9" s="131">
        <v>0</v>
      </c>
      <c r="F9" s="131"/>
    </row>
    <row r="10" spans="1:6" x14ac:dyDescent="0.3">
      <c r="A10" s="131" t="s">
        <v>1155</v>
      </c>
      <c r="B10" s="131" t="s">
        <v>1179</v>
      </c>
      <c r="C10" s="131" t="s">
        <v>873</v>
      </c>
      <c r="D10" s="131" t="s">
        <v>1169</v>
      </c>
      <c r="E10" s="131">
        <v>0</v>
      </c>
      <c r="F10" s="131"/>
    </row>
    <row r="11" spans="1:6" x14ac:dyDescent="0.3">
      <c r="A11" s="131" t="s">
        <v>1155</v>
      </c>
      <c r="B11" s="131" t="s">
        <v>1182</v>
      </c>
      <c r="C11" s="131" t="s">
        <v>873</v>
      </c>
      <c r="D11" s="131" t="s">
        <v>1169</v>
      </c>
      <c r="E11" s="131">
        <v>0</v>
      </c>
      <c r="F11" s="131"/>
    </row>
    <row r="12" spans="1:6" x14ac:dyDescent="0.3">
      <c r="A12" s="131" t="s">
        <v>1155</v>
      </c>
      <c r="B12" s="131" t="s">
        <v>1185</v>
      </c>
      <c r="C12" s="131" t="s">
        <v>873</v>
      </c>
      <c r="D12" s="131" t="s">
        <v>1169</v>
      </c>
      <c r="E12" s="131">
        <v>0</v>
      </c>
      <c r="F12" s="131"/>
    </row>
    <row r="13" spans="1:6" x14ac:dyDescent="0.3">
      <c r="A13" s="131"/>
      <c r="B13" s="131"/>
      <c r="C13" s="131"/>
      <c r="D13" s="131"/>
      <c r="E13" s="131"/>
      <c r="F13" s="131"/>
    </row>
    <row r="14" spans="1:6" x14ac:dyDescent="0.3">
      <c r="A14" s="131"/>
      <c r="B14" s="131"/>
      <c r="C14" s="131"/>
      <c r="D14" s="131"/>
      <c r="E14" s="131"/>
      <c r="F14" s="131"/>
    </row>
    <row r="15" spans="1:6" x14ac:dyDescent="0.3">
      <c r="A15" s="131"/>
      <c r="B15" s="131"/>
      <c r="C15" s="131"/>
      <c r="D15" s="131"/>
      <c r="E15" s="131"/>
      <c r="F15" s="131"/>
    </row>
    <row r="16" spans="1:6" x14ac:dyDescent="0.3">
      <c r="A16" s="131"/>
      <c r="B16" s="131"/>
      <c r="C16" s="131"/>
      <c r="D16" s="131"/>
      <c r="E16" s="131"/>
      <c r="F16" s="131"/>
    </row>
    <row r="17" spans="1:6" x14ac:dyDescent="0.3">
      <c r="A17" s="131"/>
      <c r="B17" s="131"/>
      <c r="C17" s="131"/>
      <c r="D17" s="131"/>
      <c r="E17" s="131"/>
      <c r="F17" s="131"/>
    </row>
    <row r="18" spans="1:6" x14ac:dyDescent="0.3">
      <c r="A18" s="131"/>
      <c r="B18" s="131"/>
      <c r="C18" s="131"/>
      <c r="D18" s="131"/>
      <c r="E18" s="131"/>
      <c r="F18" s="131"/>
    </row>
    <row r="19" spans="1:6" x14ac:dyDescent="0.3">
      <c r="A19" s="131"/>
      <c r="B19" s="131"/>
      <c r="C19" s="131"/>
      <c r="D19" s="131"/>
      <c r="E19" s="131"/>
      <c r="F19" s="131"/>
    </row>
    <row r="20" spans="1:6" x14ac:dyDescent="0.3">
      <c r="A20" s="131"/>
      <c r="B20" s="131"/>
      <c r="C20" s="131"/>
      <c r="D20" s="131"/>
      <c r="E20" s="131"/>
      <c r="F20" s="131"/>
    </row>
    <row r="21" spans="1:6" x14ac:dyDescent="0.3">
      <c r="A21" s="131"/>
      <c r="B21" s="131"/>
      <c r="C21" s="131"/>
      <c r="D21" s="131"/>
      <c r="E21" s="131"/>
      <c r="F21" s="131"/>
    </row>
    <row r="22" spans="1:6" x14ac:dyDescent="0.3">
      <c r="A22" s="131"/>
      <c r="B22" s="131"/>
      <c r="C22" s="131"/>
      <c r="D22" s="131"/>
      <c r="E22" s="131"/>
      <c r="F22" s="131"/>
    </row>
    <row r="23" spans="1:6" x14ac:dyDescent="0.3">
      <c r="A23" s="131"/>
      <c r="B23" s="131"/>
      <c r="C23" s="131"/>
      <c r="D23" s="131"/>
      <c r="E23" s="131"/>
      <c r="F23" s="131"/>
    </row>
    <row r="24" spans="1:6" x14ac:dyDescent="0.3">
      <c r="A24" s="131"/>
      <c r="B24" s="131"/>
      <c r="C24" s="131"/>
      <c r="D24" s="131"/>
      <c r="E24" s="131"/>
      <c r="F24" s="131"/>
    </row>
    <row r="25" spans="1:6" x14ac:dyDescent="0.3">
      <c r="A25" s="131"/>
      <c r="B25" s="131"/>
      <c r="C25" s="131"/>
      <c r="D25" s="131"/>
      <c r="E25" s="131"/>
      <c r="F25" s="131"/>
    </row>
    <row r="26" spans="1:6" x14ac:dyDescent="0.3">
      <c r="A26" s="131"/>
      <c r="B26" s="131"/>
      <c r="C26" s="131"/>
      <c r="D26" s="131"/>
      <c r="E26" s="131"/>
      <c r="F26" s="131"/>
    </row>
    <row r="27" spans="1:6" x14ac:dyDescent="0.3">
      <c r="A27" s="131"/>
      <c r="B27" s="131"/>
      <c r="C27" s="131"/>
      <c r="D27" s="131"/>
      <c r="E27" s="131"/>
      <c r="F27" s="131"/>
    </row>
    <row r="28" spans="1:6" x14ac:dyDescent="0.3">
      <c r="A28" s="131"/>
      <c r="B28" s="131"/>
      <c r="C28" s="131"/>
      <c r="D28" s="131"/>
      <c r="E28" s="131"/>
      <c r="F28" s="131"/>
    </row>
    <row r="29" spans="1:6" x14ac:dyDescent="0.3">
      <c r="A29" s="131"/>
      <c r="B29" s="131"/>
      <c r="C29" s="131"/>
      <c r="D29" s="131"/>
      <c r="E29" s="131"/>
      <c r="F29" s="131"/>
    </row>
    <row r="30" spans="1:6" x14ac:dyDescent="0.3">
      <c r="A30" s="131"/>
      <c r="B30" s="131"/>
      <c r="C30" s="131"/>
      <c r="D30" s="131"/>
      <c r="E30" s="131"/>
      <c r="F30" s="131"/>
    </row>
    <row r="31" spans="1:6" x14ac:dyDescent="0.3">
      <c r="A31" s="131"/>
      <c r="B31" s="131"/>
      <c r="C31" s="131"/>
      <c r="D31" s="131"/>
      <c r="E31" s="131"/>
      <c r="F31" s="131"/>
    </row>
    <row r="32" spans="1:6" x14ac:dyDescent="0.3">
      <c r="A32" s="131"/>
      <c r="B32" s="131"/>
      <c r="C32" s="131"/>
      <c r="D32" s="131"/>
      <c r="E32" s="131"/>
      <c r="F32" s="131"/>
    </row>
    <row r="33" spans="1:6" x14ac:dyDescent="0.3">
      <c r="A33" s="131"/>
      <c r="B33" s="131"/>
      <c r="C33" s="131"/>
      <c r="D33" s="131"/>
      <c r="E33" s="131"/>
      <c r="F33" s="131"/>
    </row>
    <row r="34" spans="1:6" x14ac:dyDescent="0.3">
      <c r="A34" s="131"/>
      <c r="B34" s="131"/>
      <c r="C34" s="131"/>
      <c r="D34" s="131"/>
      <c r="E34" s="131"/>
      <c r="F34" s="131"/>
    </row>
    <row r="35" spans="1:6" x14ac:dyDescent="0.3">
      <c r="A35" s="131"/>
      <c r="B35" s="131"/>
      <c r="C35" s="131"/>
      <c r="D35" s="131"/>
      <c r="E35" s="131"/>
      <c r="F35" s="131"/>
    </row>
    <row r="36" spans="1:6" x14ac:dyDescent="0.3">
      <c r="A36" s="131"/>
      <c r="B36" s="131"/>
      <c r="C36" s="131"/>
      <c r="D36" s="131"/>
      <c r="E36" s="131"/>
      <c r="F36" s="131"/>
    </row>
    <row r="37" spans="1:6" x14ac:dyDescent="0.3">
      <c r="A37" s="131"/>
      <c r="B37" s="131"/>
      <c r="C37" s="131"/>
      <c r="D37" s="131"/>
      <c r="E37" s="131"/>
      <c r="F37" s="131"/>
    </row>
    <row r="38" spans="1:6" x14ac:dyDescent="0.3">
      <c r="A38" s="131"/>
      <c r="B38" s="131"/>
      <c r="C38" s="131"/>
      <c r="D38" s="131"/>
      <c r="E38" s="131"/>
      <c r="F38" s="131"/>
    </row>
    <row r="39" spans="1:6" x14ac:dyDescent="0.3">
      <c r="A39" s="131"/>
      <c r="B39" s="131"/>
      <c r="C39" s="131"/>
      <c r="D39" s="131"/>
      <c r="E39" s="131"/>
      <c r="F39" s="131"/>
    </row>
    <row r="40" spans="1:6" x14ac:dyDescent="0.3">
      <c r="A40" s="131"/>
      <c r="B40" s="131"/>
      <c r="C40" s="131"/>
      <c r="D40" s="131"/>
      <c r="E40" s="131"/>
      <c r="F40" s="131"/>
    </row>
    <row r="41" spans="1:6" x14ac:dyDescent="0.3">
      <c r="A41" s="131"/>
      <c r="B41" s="131"/>
      <c r="C41" s="131"/>
      <c r="D41" s="131"/>
      <c r="E41" s="131"/>
      <c r="F41" s="131"/>
    </row>
    <row r="42" spans="1:6" x14ac:dyDescent="0.3">
      <c r="A42" s="131"/>
      <c r="B42" s="131"/>
      <c r="C42" s="131"/>
      <c r="D42" s="131"/>
      <c r="E42" s="131"/>
      <c r="F42" s="131"/>
    </row>
    <row r="43" spans="1:6" x14ac:dyDescent="0.3">
      <c r="A43" s="131"/>
      <c r="B43" s="131"/>
      <c r="C43" s="131"/>
      <c r="D43" s="131"/>
      <c r="E43" s="131"/>
      <c r="F43" s="131"/>
    </row>
    <row r="44" spans="1:6" x14ac:dyDescent="0.3">
      <c r="A44" s="131"/>
      <c r="B44" s="131"/>
      <c r="C44" s="131"/>
      <c r="D44" s="131"/>
      <c r="E44" s="131"/>
      <c r="F44" s="131"/>
    </row>
    <row r="45" spans="1:6" x14ac:dyDescent="0.3">
      <c r="A45" s="131"/>
      <c r="B45" s="131"/>
      <c r="C45" s="131"/>
      <c r="D45" s="131"/>
      <c r="E45" s="131"/>
      <c r="F45" s="131"/>
    </row>
    <row r="46" spans="1:6" x14ac:dyDescent="0.3">
      <c r="A46" s="131"/>
      <c r="B46" s="131"/>
      <c r="C46" s="131"/>
      <c r="D46" s="131"/>
      <c r="E46" s="131"/>
      <c r="F46" s="131"/>
    </row>
    <row r="47" spans="1:6" x14ac:dyDescent="0.3">
      <c r="A47" s="131"/>
      <c r="B47" s="131"/>
      <c r="C47" s="131"/>
      <c r="D47" s="131"/>
      <c r="E47" s="131"/>
      <c r="F47" s="131"/>
    </row>
    <row r="48" spans="1:6" x14ac:dyDescent="0.3">
      <c r="A48" s="131"/>
      <c r="B48" s="131"/>
      <c r="C48" s="131"/>
      <c r="D48" s="131"/>
      <c r="E48" s="131"/>
      <c r="F48" s="131"/>
    </row>
    <row r="49" spans="1:6" x14ac:dyDescent="0.3">
      <c r="A49" s="131"/>
      <c r="B49" s="131"/>
      <c r="C49" s="131"/>
      <c r="D49" s="131"/>
      <c r="E49" s="131"/>
      <c r="F49" s="131"/>
    </row>
    <row r="50" spans="1:6" x14ac:dyDescent="0.3">
      <c r="A50" s="131"/>
      <c r="B50" s="131"/>
      <c r="C50" s="131"/>
      <c r="D50" s="131"/>
      <c r="E50" s="131"/>
      <c r="F50" s="131"/>
    </row>
    <row r="51" spans="1:6" x14ac:dyDescent="0.3">
      <c r="A51" s="131"/>
      <c r="B51" s="131"/>
      <c r="C51" s="131"/>
      <c r="D51" s="131"/>
      <c r="E51" s="131"/>
      <c r="F51" s="131"/>
    </row>
    <row r="52" spans="1:6" x14ac:dyDescent="0.3">
      <c r="A52" s="131"/>
      <c r="B52" s="131"/>
      <c r="C52" s="131"/>
      <c r="D52" s="131"/>
      <c r="E52" s="131"/>
      <c r="F52" s="131"/>
    </row>
    <row r="53" spans="1:6" x14ac:dyDescent="0.3">
      <c r="A53" s="131"/>
      <c r="B53" s="131"/>
      <c r="C53" s="131"/>
      <c r="D53" s="131"/>
      <c r="E53" s="131"/>
      <c r="F53" s="131"/>
    </row>
    <row r="54" spans="1:6" x14ac:dyDescent="0.3">
      <c r="A54" s="131"/>
      <c r="B54" s="131"/>
      <c r="C54" s="131"/>
      <c r="D54" s="131"/>
      <c r="E54" s="131"/>
      <c r="F54" s="131"/>
    </row>
    <row r="55" spans="1:6" x14ac:dyDescent="0.3">
      <c r="A55" s="131"/>
      <c r="B55" s="131"/>
      <c r="C55" s="131"/>
      <c r="D55" s="131"/>
      <c r="E55" s="131"/>
      <c r="F55" s="131"/>
    </row>
    <row r="56" spans="1:6" x14ac:dyDescent="0.3">
      <c r="A56" s="131"/>
      <c r="B56" s="131"/>
      <c r="C56" s="131"/>
      <c r="D56" s="131"/>
      <c r="E56" s="131"/>
      <c r="F56" s="131"/>
    </row>
    <row r="57" spans="1:6" x14ac:dyDescent="0.3">
      <c r="A57" s="131"/>
      <c r="B57" s="131"/>
      <c r="C57" s="131"/>
      <c r="D57" s="131"/>
      <c r="E57" s="131"/>
      <c r="F57" s="131"/>
    </row>
    <row r="58" spans="1:6" x14ac:dyDescent="0.3">
      <c r="A58" s="131"/>
      <c r="B58" s="131"/>
      <c r="C58" s="131"/>
      <c r="D58" s="131"/>
      <c r="E58" s="131"/>
      <c r="F58" s="131"/>
    </row>
    <row r="59" spans="1:6" x14ac:dyDescent="0.3">
      <c r="A59" s="131"/>
      <c r="B59" s="131"/>
      <c r="C59" s="131"/>
      <c r="D59" s="131"/>
      <c r="E59" s="131"/>
      <c r="F59" s="131"/>
    </row>
    <row r="60" spans="1:6" x14ac:dyDescent="0.3">
      <c r="A60" s="131"/>
      <c r="B60" s="131"/>
      <c r="C60" s="131"/>
      <c r="D60" s="131"/>
      <c r="E60" s="131"/>
      <c r="F60" s="131"/>
    </row>
    <row r="61" spans="1:6" x14ac:dyDescent="0.3">
      <c r="A61" s="131"/>
      <c r="B61" s="131"/>
      <c r="C61" s="131"/>
      <c r="D61" s="131"/>
      <c r="E61" s="131"/>
      <c r="F61" s="131"/>
    </row>
    <row r="62" spans="1:6" x14ac:dyDescent="0.3">
      <c r="A62" s="131"/>
      <c r="B62" s="131"/>
      <c r="C62" s="131"/>
      <c r="D62" s="131"/>
      <c r="E62" s="131"/>
      <c r="F62" s="131"/>
    </row>
    <row r="63" spans="1:6" x14ac:dyDescent="0.3">
      <c r="A63" s="131"/>
      <c r="B63" s="131"/>
      <c r="C63" s="131"/>
      <c r="D63" s="131"/>
      <c r="E63" s="131"/>
      <c r="F63" s="131"/>
    </row>
    <row r="64" spans="1:6" x14ac:dyDescent="0.3">
      <c r="A64" s="131"/>
      <c r="B64" s="131"/>
      <c r="C64" s="131"/>
      <c r="D64" s="131"/>
      <c r="E64" s="131"/>
      <c r="F64" s="131"/>
    </row>
    <row r="65" spans="1:6" x14ac:dyDescent="0.3">
      <c r="A65" s="131"/>
      <c r="B65" s="131"/>
      <c r="C65" s="131"/>
      <c r="D65" s="131"/>
      <c r="E65" s="131"/>
      <c r="F65" s="131"/>
    </row>
    <row r="66" spans="1:6" x14ac:dyDescent="0.3">
      <c r="A66" s="131"/>
      <c r="B66" s="131"/>
      <c r="C66" s="131"/>
      <c r="D66" s="131"/>
      <c r="E66" s="131"/>
      <c r="F66" s="131"/>
    </row>
    <row r="67" spans="1:6" x14ac:dyDescent="0.3">
      <c r="A67" s="131"/>
      <c r="B67" s="131"/>
      <c r="C67" s="131"/>
      <c r="D67" s="131"/>
      <c r="E67" s="131"/>
      <c r="F67" s="131"/>
    </row>
    <row r="68" spans="1:6" x14ac:dyDescent="0.3">
      <c r="A68" s="131"/>
      <c r="B68" s="131"/>
      <c r="C68" s="131"/>
      <c r="D68" s="131"/>
      <c r="E68" s="131"/>
      <c r="F68" s="131"/>
    </row>
    <row r="69" spans="1:6" x14ac:dyDescent="0.3">
      <c r="A69" s="131"/>
      <c r="B69" s="131"/>
      <c r="C69" s="131"/>
      <c r="D69" s="131"/>
      <c r="E69" s="131"/>
      <c r="F69" s="131"/>
    </row>
    <row r="70" spans="1:6" x14ac:dyDescent="0.3">
      <c r="A70" s="131"/>
      <c r="B70" s="131"/>
      <c r="C70" s="131"/>
      <c r="D70" s="131"/>
      <c r="E70" s="131"/>
      <c r="F70" s="131"/>
    </row>
    <row r="71" spans="1:6" x14ac:dyDescent="0.3">
      <c r="A71" s="131"/>
      <c r="B71" s="131"/>
      <c r="C71" s="131"/>
      <c r="D71" s="131"/>
      <c r="E71" s="131"/>
      <c r="F71" s="131"/>
    </row>
    <row r="72" spans="1:6" x14ac:dyDescent="0.3">
      <c r="A72" s="131"/>
      <c r="B72" s="131"/>
      <c r="C72" s="131"/>
      <c r="D72" s="131"/>
      <c r="E72" s="131"/>
      <c r="F72" s="131"/>
    </row>
    <row r="73" spans="1:6" x14ac:dyDescent="0.3">
      <c r="A73" s="131"/>
      <c r="B73" s="131"/>
      <c r="C73" s="131"/>
      <c r="D73" s="131"/>
      <c r="E73" s="131"/>
      <c r="F73" s="131"/>
    </row>
    <row r="74" spans="1:6" x14ac:dyDescent="0.3">
      <c r="A74" s="131"/>
      <c r="B74" s="131"/>
      <c r="C74" s="131"/>
      <c r="D74" s="131"/>
      <c r="E74" s="131"/>
      <c r="F74" s="131"/>
    </row>
    <row r="75" spans="1:6" x14ac:dyDescent="0.3">
      <c r="A75" s="131"/>
      <c r="B75" s="131"/>
      <c r="C75" s="131"/>
      <c r="D75" s="131"/>
      <c r="E75" s="131"/>
      <c r="F75" s="131"/>
    </row>
    <row r="76" spans="1:6" x14ac:dyDescent="0.3">
      <c r="A76" s="131"/>
      <c r="B76" s="131"/>
      <c r="C76" s="131"/>
      <c r="D76" s="131"/>
      <c r="E76" s="131"/>
      <c r="F76" s="131"/>
    </row>
    <row r="77" spans="1:6" x14ac:dyDescent="0.3">
      <c r="A77" s="131"/>
      <c r="B77" s="131"/>
      <c r="C77" s="131"/>
      <c r="D77" s="131"/>
      <c r="E77" s="131"/>
      <c r="F77" s="131"/>
    </row>
    <row r="78" spans="1:6" x14ac:dyDescent="0.3">
      <c r="A78" s="131"/>
      <c r="B78" s="131"/>
      <c r="C78" s="131"/>
      <c r="D78" s="131"/>
      <c r="E78" s="131"/>
      <c r="F78" s="131"/>
    </row>
    <row r="79" spans="1:6" x14ac:dyDescent="0.3">
      <c r="A79" s="131"/>
      <c r="B79" s="131"/>
      <c r="C79" s="131"/>
      <c r="D79" s="131"/>
      <c r="E79" s="131"/>
      <c r="F79" s="131"/>
    </row>
    <row r="80" spans="1:6" x14ac:dyDescent="0.3">
      <c r="A80" s="131"/>
      <c r="B80" s="131"/>
      <c r="C80" s="131"/>
      <c r="D80" s="131"/>
      <c r="E80" s="131"/>
      <c r="F80" s="131"/>
    </row>
    <row r="81" spans="1:6" x14ac:dyDescent="0.3">
      <c r="A81" s="131"/>
      <c r="B81" s="131"/>
      <c r="C81" s="131"/>
      <c r="D81" s="131"/>
      <c r="E81" s="131"/>
      <c r="F81" s="131"/>
    </row>
    <row r="82" spans="1:6" x14ac:dyDescent="0.3">
      <c r="A82" s="131"/>
      <c r="B82" s="131"/>
      <c r="C82" s="131"/>
      <c r="D82" s="131"/>
      <c r="E82" s="131"/>
      <c r="F82" s="131"/>
    </row>
    <row r="83" spans="1:6" x14ac:dyDescent="0.3">
      <c r="A83" s="131"/>
      <c r="B83" s="131"/>
      <c r="C83" s="131"/>
      <c r="D83" s="131"/>
      <c r="E83" s="131"/>
      <c r="F83" s="131"/>
    </row>
    <row r="84" spans="1:6" x14ac:dyDescent="0.3">
      <c r="A84" s="131"/>
      <c r="B84" s="131"/>
      <c r="C84" s="131"/>
      <c r="D84" s="131"/>
      <c r="E84" s="131"/>
      <c r="F84" s="131"/>
    </row>
    <row r="85" spans="1:6" x14ac:dyDescent="0.3">
      <c r="A85" s="131"/>
      <c r="B85" s="131"/>
      <c r="C85" s="131"/>
      <c r="D85" s="131"/>
      <c r="E85" s="131"/>
      <c r="F85" s="131"/>
    </row>
    <row r="86" spans="1:6" x14ac:dyDescent="0.3">
      <c r="A86" s="131"/>
      <c r="B86" s="131"/>
      <c r="C86" s="131"/>
      <c r="D86" s="131"/>
      <c r="E86" s="131"/>
      <c r="F86" s="131"/>
    </row>
    <row r="87" spans="1:6" x14ac:dyDescent="0.3">
      <c r="A87" s="131"/>
      <c r="B87" s="131"/>
      <c r="C87" s="131"/>
      <c r="D87" s="131"/>
      <c r="E87" s="131"/>
      <c r="F87" s="131"/>
    </row>
    <row r="88" spans="1:6" x14ac:dyDescent="0.3">
      <c r="A88" s="131"/>
      <c r="B88" s="131"/>
      <c r="C88" s="131"/>
      <c r="D88" s="131"/>
      <c r="E88" s="131"/>
      <c r="F88" s="131"/>
    </row>
    <row r="89" spans="1:6" x14ac:dyDescent="0.3">
      <c r="A89" s="131"/>
      <c r="B89" s="131"/>
      <c r="C89" s="131"/>
      <c r="D89" s="131"/>
      <c r="E89" s="131"/>
      <c r="F89" s="131"/>
    </row>
    <row r="90" spans="1:6" x14ac:dyDescent="0.3">
      <c r="A90" s="131"/>
      <c r="B90" s="131"/>
      <c r="C90" s="131"/>
      <c r="D90" s="131"/>
      <c r="E90" s="131"/>
      <c r="F90" s="131"/>
    </row>
    <row r="91" spans="1:6" x14ac:dyDescent="0.3">
      <c r="A91" s="131"/>
      <c r="B91" s="131"/>
      <c r="C91" s="131"/>
      <c r="D91" s="131"/>
      <c r="E91" s="131"/>
      <c r="F91" s="131"/>
    </row>
    <row r="92" spans="1:6" x14ac:dyDescent="0.3">
      <c r="A92" s="131"/>
      <c r="B92" s="131"/>
      <c r="C92" s="131"/>
      <c r="D92" s="131"/>
      <c r="E92" s="131"/>
      <c r="F92" s="131"/>
    </row>
    <row r="93" spans="1:6" x14ac:dyDescent="0.3">
      <c r="A93" s="131"/>
      <c r="B93" s="131"/>
      <c r="C93" s="131"/>
      <c r="D93" s="131"/>
      <c r="E93" s="131"/>
      <c r="F93" s="131"/>
    </row>
    <row r="94" spans="1:6" x14ac:dyDescent="0.3">
      <c r="A94" s="131"/>
      <c r="B94" s="131"/>
      <c r="C94" s="131"/>
      <c r="D94" s="131"/>
      <c r="E94" s="131"/>
      <c r="F94" s="131"/>
    </row>
    <row r="95" spans="1:6" x14ac:dyDescent="0.3">
      <c r="A95" s="131"/>
      <c r="B95" s="131"/>
      <c r="C95" s="131"/>
      <c r="D95" s="131"/>
      <c r="E95" s="131"/>
      <c r="F95" s="131"/>
    </row>
    <row r="96" spans="1:6" x14ac:dyDescent="0.3">
      <c r="A96" s="131"/>
      <c r="B96" s="131"/>
      <c r="C96" s="131"/>
      <c r="D96" s="131"/>
      <c r="E96" s="131"/>
      <c r="F96" s="131"/>
    </row>
    <row r="97" spans="1:6" x14ac:dyDescent="0.3">
      <c r="A97" s="131"/>
      <c r="B97" s="131"/>
      <c r="C97" s="131"/>
      <c r="D97" s="131"/>
      <c r="E97" s="131"/>
      <c r="F97" s="131"/>
    </row>
    <row r="98" spans="1:6" x14ac:dyDescent="0.3">
      <c r="A98" s="131"/>
      <c r="B98" s="131"/>
      <c r="C98" s="131"/>
      <c r="D98" s="131"/>
      <c r="E98" s="131"/>
      <c r="F98" s="131"/>
    </row>
    <row r="99" spans="1:6" x14ac:dyDescent="0.3">
      <c r="A99" s="131"/>
      <c r="B99" s="131"/>
      <c r="C99" s="131"/>
      <c r="D99" s="131"/>
      <c r="E99" s="131"/>
      <c r="F99" s="131"/>
    </row>
    <row r="100" spans="1:6" x14ac:dyDescent="0.3">
      <c r="A100" s="131"/>
      <c r="B100" s="131"/>
      <c r="C100" s="131"/>
      <c r="D100" s="131"/>
      <c r="E100" s="131"/>
      <c r="F100" s="131"/>
    </row>
    <row r="101" spans="1:6" x14ac:dyDescent="0.3">
      <c r="A101" s="131"/>
      <c r="B101" s="131"/>
      <c r="C101" s="131"/>
      <c r="D101" s="131"/>
      <c r="E101" s="131"/>
      <c r="F101" s="131"/>
    </row>
    <row r="102" spans="1:6" x14ac:dyDescent="0.3">
      <c r="A102" s="131"/>
      <c r="B102" s="131"/>
      <c r="C102" s="131"/>
      <c r="D102" s="131"/>
      <c r="E102" s="131"/>
      <c r="F102" s="131"/>
    </row>
    <row r="103" spans="1:6" x14ac:dyDescent="0.3">
      <c r="A103" s="131"/>
      <c r="B103" s="131"/>
      <c r="C103" s="131"/>
      <c r="D103" s="131"/>
      <c r="E103" s="131"/>
      <c r="F103" s="131"/>
    </row>
    <row r="104" spans="1:6" x14ac:dyDescent="0.3">
      <c r="A104" s="131"/>
      <c r="B104" s="131"/>
      <c r="C104" s="131"/>
      <c r="D104" s="131"/>
      <c r="E104" s="131"/>
      <c r="F104" s="131"/>
    </row>
    <row r="105" spans="1:6" x14ac:dyDescent="0.3">
      <c r="A105" s="131"/>
      <c r="B105" s="131"/>
      <c r="C105" s="131"/>
      <c r="D105" s="131"/>
      <c r="E105" s="131"/>
      <c r="F105" s="131"/>
    </row>
    <row r="106" spans="1:6" x14ac:dyDescent="0.3">
      <c r="A106" s="131"/>
      <c r="B106" s="131"/>
      <c r="C106" s="131"/>
      <c r="D106" s="131"/>
      <c r="E106" s="131"/>
      <c r="F106" s="131"/>
    </row>
    <row r="107" spans="1:6" x14ac:dyDescent="0.3">
      <c r="A107" s="131"/>
      <c r="B107" s="131"/>
      <c r="C107" s="131"/>
      <c r="D107" s="131"/>
      <c r="E107" s="131"/>
      <c r="F107" s="131"/>
    </row>
    <row r="108" spans="1:6" x14ac:dyDescent="0.3">
      <c r="A108" s="131"/>
      <c r="B108" s="131"/>
      <c r="C108" s="131"/>
      <c r="D108" s="131"/>
      <c r="E108" s="131"/>
      <c r="F108" s="131"/>
    </row>
    <row r="109" spans="1:6" x14ac:dyDescent="0.3">
      <c r="A109" s="131"/>
      <c r="B109" s="131"/>
      <c r="C109" s="131"/>
      <c r="D109" s="131"/>
      <c r="E109" s="131"/>
      <c r="F109" s="131"/>
    </row>
    <row r="110" spans="1:6" x14ac:dyDescent="0.3">
      <c r="A110" s="131"/>
      <c r="B110" s="131"/>
      <c r="C110" s="131"/>
      <c r="D110" s="131"/>
      <c r="E110" s="131"/>
      <c r="F110" s="131"/>
    </row>
    <row r="111" spans="1:6" x14ac:dyDescent="0.3">
      <c r="A111" s="131"/>
      <c r="B111" s="131"/>
      <c r="C111" s="131"/>
      <c r="D111" s="131"/>
      <c r="E111" s="131"/>
      <c r="F111" s="131"/>
    </row>
    <row r="112" spans="1:6" x14ac:dyDescent="0.3">
      <c r="A112" s="131"/>
      <c r="B112" s="131"/>
      <c r="C112" s="131"/>
      <c r="D112" s="131"/>
      <c r="E112" s="131"/>
      <c r="F112" s="131"/>
    </row>
    <row r="113" spans="1:6" x14ac:dyDescent="0.3">
      <c r="A113" s="131"/>
      <c r="B113" s="131"/>
      <c r="C113" s="131"/>
      <c r="D113" s="131"/>
      <c r="E113" s="131"/>
      <c r="F113" s="131"/>
    </row>
    <row r="114" spans="1:6" x14ac:dyDescent="0.3">
      <c r="A114" s="131"/>
      <c r="B114" s="131"/>
      <c r="C114" s="131"/>
      <c r="D114" s="131"/>
      <c r="E114" s="131"/>
      <c r="F114" s="131"/>
    </row>
    <row r="115" spans="1:6" x14ac:dyDescent="0.3">
      <c r="A115" s="131"/>
      <c r="B115" s="131"/>
      <c r="C115" s="131"/>
      <c r="D115" s="131"/>
      <c r="E115" s="131"/>
      <c r="F115" s="131"/>
    </row>
    <row r="116" spans="1:6" x14ac:dyDescent="0.3">
      <c r="A116" s="131"/>
      <c r="B116" s="131"/>
      <c r="C116" s="131"/>
      <c r="D116" s="131"/>
      <c r="E116" s="131"/>
      <c r="F116" s="131"/>
    </row>
    <row r="117" spans="1:6" x14ac:dyDescent="0.3">
      <c r="A117" s="131"/>
      <c r="B117" s="131"/>
      <c r="C117" s="131"/>
      <c r="D117" s="131"/>
      <c r="E117" s="131"/>
      <c r="F117" s="131"/>
    </row>
    <row r="118" spans="1:6" x14ac:dyDescent="0.3">
      <c r="A118" s="131"/>
      <c r="B118" s="131"/>
      <c r="C118" s="131"/>
      <c r="D118" s="131"/>
      <c r="E118" s="131"/>
      <c r="F118" s="131"/>
    </row>
    <row r="119" spans="1:6" x14ac:dyDescent="0.3">
      <c r="A119" s="131"/>
      <c r="B119" s="131"/>
      <c r="C119" s="131"/>
      <c r="D119" s="131"/>
      <c r="E119" s="131"/>
      <c r="F119" s="131"/>
    </row>
    <row r="120" spans="1:6" x14ac:dyDescent="0.3">
      <c r="A120" s="131"/>
      <c r="B120" s="131"/>
      <c r="C120" s="131"/>
      <c r="D120" s="131"/>
      <c r="E120" s="131"/>
      <c r="F120" s="131"/>
    </row>
    <row r="121" spans="1:6" x14ac:dyDescent="0.3">
      <c r="A121" s="131"/>
      <c r="B121" s="131"/>
      <c r="C121" s="131"/>
      <c r="D121" s="131"/>
      <c r="E121" s="131"/>
      <c r="F121" s="131"/>
    </row>
    <row r="122" spans="1:6" x14ac:dyDescent="0.3">
      <c r="A122" s="131"/>
      <c r="B122" s="131"/>
      <c r="C122" s="131"/>
      <c r="D122" s="131"/>
      <c r="E122" s="131"/>
      <c r="F122" s="131"/>
    </row>
    <row r="123" spans="1:6" x14ac:dyDescent="0.3">
      <c r="A123" s="131"/>
      <c r="B123" s="131"/>
      <c r="C123" s="131"/>
      <c r="D123" s="131"/>
      <c r="E123" s="131"/>
      <c r="F123" s="131"/>
    </row>
    <row r="124" spans="1:6" x14ac:dyDescent="0.3">
      <c r="A124" s="131"/>
      <c r="B124" s="131"/>
      <c r="C124" s="131"/>
      <c r="D124" s="131"/>
      <c r="E124" s="131"/>
      <c r="F124" s="131"/>
    </row>
    <row r="125" spans="1:6" x14ac:dyDescent="0.3">
      <c r="A125" s="131"/>
      <c r="B125" s="131"/>
      <c r="C125" s="131"/>
      <c r="D125" s="131"/>
      <c r="E125" s="131"/>
      <c r="F125" s="131"/>
    </row>
    <row r="126" spans="1:6" x14ac:dyDescent="0.3">
      <c r="A126" s="131"/>
      <c r="B126" s="131"/>
      <c r="C126" s="131"/>
      <c r="D126" s="131"/>
      <c r="E126" s="131"/>
      <c r="F126" s="131"/>
    </row>
    <row r="127" spans="1:6" x14ac:dyDescent="0.3">
      <c r="A127" s="131"/>
      <c r="B127" s="131"/>
      <c r="C127" s="131"/>
      <c r="D127" s="131"/>
      <c r="E127" s="131"/>
      <c r="F127" s="131"/>
    </row>
    <row r="128" spans="1:6" x14ac:dyDescent="0.3">
      <c r="A128" s="131"/>
      <c r="B128" s="131"/>
      <c r="C128" s="131"/>
      <c r="D128" s="131"/>
      <c r="E128" s="131"/>
      <c r="F128" s="131"/>
    </row>
    <row r="129" spans="1:6" x14ac:dyDescent="0.3">
      <c r="A129" s="131"/>
      <c r="B129" s="131"/>
      <c r="C129" s="131"/>
      <c r="D129" s="131"/>
      <c r="E129" s="131"/>
      <c r="F129" s="131"/>
    </row>
    <row r="130" spans="1:6" x14ac:dyDescent="0.3">
      <c r="A130" s="131"/>
      <c r="B130" s="131"/>
      <c r="C130" s="131"/>
      <c r="D130" s="131"/>
      <c r="E130" s="131"/>
      <c r="F130" s="131"/>
    </row>
    <row r="131" spans="1:6" x14ac:dyDescent="0.3">
      <c r="A131" s="131"/>
      <c r="B131" s="131"/>
      <c r="C131" s="131"/>
      <c r="D131" s="131"/>
      <c r="E131" s="131"/>
      <c r="F131" s="131"/>
    </row>
    <row r="132" spans="1:6" x14ac:dyDescent="0.3">
      <c r="A132" s="131"/>
      <c r="B132" s="131"/>
      <c r="C132" s="131"/>
      <c r="D132" s="131"/>
      <c r="E132" s="131"/>
      <c r="F132" s="131"/>
    </row>
    <row r="133" spans="1:6" x14ac:dyDescent="0.3">
      <c r="A133" s="131"/>
      <c r="B133" s="131"/>
      <c r="C133" s="131"/>
      <c r="D133" s="131"/>
      <c r="E133" s="131"/>
      <c r="F133" s="131"/>
    </row>
    <row r="134" spans="1:6" x14ac:dyDescent="0.3">
      <c r="A134" s="131"/>
      <c r="B134" s="131"/>
      <c r="C134" s="131"/>
      <c r="D134" s="131"/>
      <c r="E134" s="131"/>
      <c r="F134" s="131"/>
    </row>
    <row r="135" spans="1:6" x14ac:dyDescent="0.3">
      <c r="A135" s="131"/>
      <c r="B135" s="131"/>
      <c r="C135" s="131"/>
      <c r="D135" s="131"/>
      <c r="E135" s="131"/>
      <c r="F135" s="131"/>
    </row>
    <row r="136" spans="1:6" x14ac:dyDescent="0.3">
      <c r="A136" s="131"/>
      <c r="B136" s="131"/>
      <c r="C136" s="131"/>
      <c r="D136" s="131"/>
      <c r="E136" s="131"/>
      <c r="F136" s="131"/>
    </row>
    <row r="137" spans="1:6" x14ac:dyDescent="0.3">
      <c r="A137" s="131"/>
      <c r="B137" s="131"/>
      <c r="C137" s="131"/>
      <c r="D137" s="131"/>
      <c r="E137" s="131"/>
      <c r="F137" s="131"/>
    </row>
    <row r="138" spans="1:6" x14ac:dyDescent="0.3">
      <c r="A138" s="131"/>
      <c r="B138" s="131"/>
      <c r="C138" s="131"/>
      <c r="D138" s="131"/>
      <c r="E138" s="131"/>
      <c r="F138" s="131"/>
    </row>
    <row r="139" spans="1:6" x14ac:dyDescent="0.3">
      <c r="A139" s="131"/>
      <c r="B139" s="131"/>
      <c r="C139" s="131"/>
      <c r="D139" s="131"/>
      <c r="E139" s="131"/>
      <c r="F139" s="131"/>
    </row>
    <row r="140" spans="1:6" x14ac:dyDescent="0.3">
      <c r="A140" s="131"/>
      <c r="B140" s="131"/>
      <c r="C140" s="131"/>
      <c r="D140" s="131"/>
      <c r="E140" s="131"/>
      <c r="F140" s="131"/>
    </row>
    <row r="141" spans="1:6" x14ac:dyDescent="0.3">
      <c r="A141" s="131"/>
      <c r="B141" s="131"/>
      <c r="C141" s="131"/>
      <c r="D141" s="131"/>
      <c r="E141" s="131"/>
      <c r="F141" s="131"/>
    </row>
    <row r="142" spans="1:6" x14ac:dyDescent="0.3">
      <c r="A142" s="131"/>
      <c r="B142" s="131"/>
      <c r="C142" s="131"/>
      <c r="D142" s="131"/>
      <c r="E142" s="131"/>
      <c r="F142" s="131"/>
    </row>
    <row r="143" spans="1:6" x14ac:dyDescent="0.3">
      <c r="A143" s="131"/>
      <c r="B143" s="131"/>
      <c r="C143" s="131"/>
      <c r="D143" s="131"/>
      <c r="E143" s="131"/>
      <c r="F143" s="131"/>
    </row>
    <row r="144" spans="1:6" x14ac:dyDescent="0.3">
      <c r="A144" s="131"/>
      <c r="B144" s="131"/>
      <c r="C144" s="131"/>
      <c r="D144" s="131"/>
      <c r="E144" s="131"/>
      <c r="F144" s="131"/>
    </row>
    <row r="145" spans="1:6" x14ac:dyDescent="0.3">
      <c r="A145" s="131"/>
      <c r="B145" s="131"/>
      <c r="C145" s="131"/>
      <c r="D145" s="131"/>
      <c r="E145" s="131"/>
      <c r="F145" s="131"/>
    </row>
    <row r="146" spans="1:6" x14ac:dyDescent="0.3">
      <c r="A146" s="131"/>
      <c r="B146" s="131"/>
      <c r="C146" s="131"/>
      <c r="D146" s="131"/>
      <c r="E146" s="131"/>
      <c r="F146" s="131"/>
    </row>
    <row r="147" spans="1:6" x14ac:dyDescent="0.3">
      <c r="A147" s="131"/>
      <c r="B147" s="131"/>
      <c r="C147" s="131"/>
      <c r="D147" s="131"/>
      <c r="E147" s="131"/>
      <c r="F147" s="131"/>
    </row>
    <row r="148" spans="1:6" x14ac:dyDescent="0.3">
      <c r="A148" s="131"/>
      <c r="B148" s="131"/>
      <c r="C148" s="131"/>
      <c r="D148" s="131"/>
      <c r="E148" s="131"/>
      <c r="F148" s="131"/>
    </row>
    <row r="149" spans="1:6" x14ac:dyDescent="0.3">
      <c r="A149" s="131"/>
      <c r="B149" s="131"/>
      <c r="C149" s="131"/>
      <c r="D149" s="131"/>
      <c r="E149" s="131"/>
      <c r="F149" s="131"/>
    </row>
    <row r="150" spans="1:6" x14ac:dyDescent="0.3">
      <c r="A150" s="131"/>
      <c r="B150" s="131"/>
      <c r="C150" s="131"/>
      <c r="D150" s="131"/>
      <c r="E150" s="131"/>
      <c r="F150" s="131"/>
    </row>
    <row r="151" spans="1:6" x14ac:dyDescent="0.3">
      <c r="A151" s="131"/>
      <c r="B151" s="131"/>
      <c r="C151" s="131"/>
      <c r="D151" s="131"/>
      <c r="E151" s="131"/>
      <c r="F151" s="131"/>
    </row>
    <row r="152" spans="1:6" x14ac:dyDescent="0.3">
      <c r="A152" s="131"/>
      <c r="B152" s="131"/>
      <c r="C152" s="131"/>
      <c r="D152" s="131"/>
      <c r="E152" s="131"/>
      <c r="F152" s="131"/>
    </row>
    <row r="153" spans="1:6" x14ac:dyDescent="0.3">
      <c r="A153" s="131"/>
      <c r="B153" s="131"/>
      <c r="C153" s="131"/>
      <c r="D153" s="131"/>
      <c r="E153" s="131"/>
      <c r="F153" s="131"/>
    </row>
    <row r="154" spans="1:6" x14ac:dyDescent="0.3">
      <c r="A154" s="131"/>
      <c r="B154" s="131"/>
      <c r="C154" s="131"/>
      <c r="D154" s="131"/>
      <c r="E154" s="131"/>
      <c r="F154" s="131"/>
    </row>
    <row r="155" spans="1:6" x14ac:dyDescent="0.3">
      <c r="A155" s="131"/>
      <c r="B155" s="131"/>
      <c r="C155" s="131"/>
      <c r="D155" s="131"/>
      <c r="E155" s="131"/>
      <c r="F155" s="131"/>
    </row>
    <row r="156" spans="1:6" x14ac:dyDescent="0.3">
      <c r="A156" s="131"/>
      <c r="B156" s="131"/>
      <c r="C156" s="131"/>
      <c r="D156" s="131"/>
      <c r="E156" s="131"/>
      <c r="F156" s="131"/>
    </row>
    <row r="157" spans="1:6" x14ac:dyDescent="0.3">
      <c r="A157" s="131"/>
      <c r="B157" s="131"/>
      <c r="C157" s="131"/>
      <c r="D157" s="131"/>
      <c r="E157" s="131"/>
      <c r="F157" s="131"/>
    </row>
    <row r="158" spans="1:6" x14ac:dyDescent="0.3">
      <c r="A158" s="131"/>
      <c r="B158" s="131"/>
      <c r="C158" s="131"/>
      <c r="D158" s="131"/>
      <c r="E158" s="131"/>
      <c r="F158" s="131"/>
    </row>
    <row r="159" spans="1:6" x14ac:dyDescent="0.3">
      <c r="A159" s="131"/>
      <c r="B159" s="131"/>
      <c r="C159" s="131"/>
      <c r="D159" s="131"/>
      <c r="E159" s="131"/>
      <c r="F159" s="131"/>
    </row>
    <row r="160" spans="1:6" x14ac:dyDescent="0.3">
      <c r="A160" s="131"/>
      <c r="B160" s="131"/>
      <c r="C160" s="131"/>
      <c r="D160" s="131"/>
      <c r="E160" s="131"/>
      <c r="F160" s="131"/>
    </row>
    <row r="161" spans="1:6" x14ac:dyDescent="0.3">
      <c r="A161" s="131"/>
      <c r="B161" s="131"/>
      <c r="C161" s="131"/>
      <c r="D161" s="131"/>
      <c r="E161" s="131"/>
      <c r="F161" s="131"/>
    </row>
    <row r="162" spans="1:6" x14ac:dyDescent="0.3">
      <c r="A162" s="131"/>
      <c r="B162" s="131"/>
      <c r="C162" s="131"/>
      <c r="D162" s="131"/>
      <c r="E162" s="131"/>
      <c r="F162" s="131"/>
    </row>
    <row r="163" spans="1:6" x14ac:dyDescent="0.3">
      <c r="A163" s="131"/>
      <c r="B163" s="131"/>
      <c r="C163" s="131"/>
      <c r="D163" s="131"/>
      <c r="E163" s="131"/>
      <c r="F163" s="131"/>
    </row>
    <row r="164" spans="1:6" x14ac:dyDescent="0.3">
      <c r="A164" s="131"/>
      <c r="B164" s="131"/>
      <c r="C164" s="131"/>
      <c r="D164" s="131"/>
      <c r="E164" s="131"/>
      <c r="F164" s="131"/>
    </row>
    <row r="165" spans="1:6" x14ac:dyDescent="0.3">
      <c r="A165" s="131"/>
      <c r="B165" s="131"/>
      <c r="C165" s="131"/>
      <c r="D165" s="131"/>
      <c r="E165" s="131"/>
      <c r="F165" s="131"/>
    </row>
    <row r="166" spans="1:6" x14ac:dyDescent="0.3">
      <c r="A166" s="131"/>
      <c r="B166" s="131"/>
      <c r="C166" s="131"/>
      <c r="D166" s="131"/>
      <c r="E166" s="131"/>
      <c r="F166" s="131"/>
    </row>
    <row r="167" spans="1:6" x14ac:dyDescent="0.3">
      <c r="A167" s="131"/>
      <c r="B167" s="131"/>
      <c r="C167" s="131"/>
      <c r="D167" s="131"/>
      <c r="E167" s="131"/>
      <c r="F167" s="131"/>
    </row>
    <row r="168" spans="1:6" x14ac:dyDescent="0.3">
      <c r="A168" s="131"/>
      <c r="B168" s="131"/>
      <c r="C168" s="131"/>
      <c r="D168" s="131"/>
      <c r="E168" s="131"/>
      <c r="F168" s="131"/>
    </row>
    <row r="169" spans="1:6" x14ac:dyDescent="0.3">
      <c r="A169" s="131"/>
      <c r="B169" s="131"/>
      <c r="C169" s="131"/>
      <c r="D169" s="131"/>
      <c r="E169" s="131"/>
      <c r="F169" s="131"/>
    </row>
    <row r="170" spans="1:6" x14ac:dyDescent="0.3">
      <c r="A170" s="131"/>
      <c r="B170" s="131"/>
      <c r="C170" s="131"/>
      <c r="D170" s="131"/>
      <c r="E170" s="131"/>
      <c r="F170" s="131"/>
    </row>
    <row r="171" spans="1:6" x14ac:dyDescent="0.3">
      <c r="A171" s="131"/>
      <c r="B171" s="131"/>
      <c r="C171" s="131"/>
      <c r="D171" s="131"/>
      <c r="E171" s="131"/>
      <c r="F171" s="131"/>
    </row>
    <row r="172" spans="1:6" x14ac:dyDescent="0.3">
      <c r="A172" s="131"/>
      <c r="B172" s="131"/>
      <c r="C172" s="131"/>
      <c r="D172" s="131"/>
      <c r="E172" s="131"/>
      <c r="F172" s="131"/>
    </row>
    <row r="173" spans="1:6" x14ac:dyDescent="0.3">
      <c r="A173" s="131"/>
      <c r="B173" s="131"/>
      <c r="C173" s="131"/>
      <c r="D173" s="131"/>
      <c r="E173" s="131"/>
      <c r="F173" s="131"/>
    </row>
    <row r="174" spans="1:6" x14ac:dyDescent="0.3">
      <c r="A174" s="131"/>
      <c r="B174" s="131"/>
      <c r="C174" s="131"/>
      <c r="D174" s="131"/>
      <c r="E174" s="131"/>
      <c r="F174" s="131"/>
    </row>
    <row r="175" spans="1:6" x14ac:dyDescent="0.3">
      <c r="A175" s="131"/>
      <c r="B175" s="131"/>
      <c r="C175" s="131"/>
      <c r="D175" s="131"/>
      <c r="E175" s="131"/>
      <c r="F175" s="131"/>
    </row>
    <row r="176" spans="1:6" x14ac:dyDescent="0.3">
      <c r="A176" s="131"/>
      <c r="B176" s="131"/>
      <c r="C176" s="131"/>
      <c r="D176" s="131"/>
      <c r="E176" s="131"/>
      <c r="F176" s="131"/>
    </row>
    <row r="177" spans="1:6" x14ac:dyDescent="0.3">
      <c r="A177" s="131"/>
      <c r="B177" s="131"/>
      <c r="C177" s="131"/>
      <c r="D177" s="131"/>
      <c r="E177" s="131"/>
      <c r="F177" s="131"/>
    </row>
    <row r="178" spans="1:6" x14ac:dyDescent="0.3">
      <c r="A178" s="131"/>
      <c r="B178" s="131"/>
      <c r="C178" s="131"/>
      <c r="D178" s="131"/>
      <c r="E178" s="131"/>
      <c r="F178" s="131"/>
    </row>
    <row r="179" spans="1:6" x14ac:dyDescent="0.3">
      <c r="A179" s="131"/>
      <c r="B179" s="131"/>
      <c r="C179" s="131"/>
      <c r="D179" s="131"/>
      <c r="E179" s="131"/>
      <c r="F179" s="131"/>
    </row>
    <row r="180" spans="1:6" x14ac:dyDescent="0.3">
      <c r="A180" s="131"/>
      <c r="B180" s="131"/>
      <c r="C180" s="131"/>
      <c r="D180" s="131"/>
      <c r="E180" s="131"/>
      <c r="F180" s="131"/>
    </row>
    <row r="181" spans="1:6" x14ac:dyDescent="0.3">
      <c r="A181" s="131"/>
      <c r="B181" s="131"/>
      <c r="C181" s="131"/>
      <c r="D181" s="131"/>
      <c r="E181" s="131"/>
      <c r="F181" s="131"/>
    </row>
    <row r="182" spans="1:6" x14ac:dyDescent="0.3">
      <c r="A182" s="131"/>
      <c r="B182" s="131"/>
      <c r="C182" s="131"/>
      <c r="D182" s="131"/>
      <c r="E182" s="131"/>
      <c r="F182" s="131"/>
    </row>
    <row r="183" spans="1:6" x14ac:dyDescent="0.3">
      <c r="A183" s="131"/>
      <c r="B183" s="131"/>
      <c r="C183" s="131"/>
      <c r="D183" s="131"/>
      <c r="E183" s="131"/>
      <c r="F183" s="131"/>
    </row>
    <row r="184" spans="1:6" x14ac:dyDescent="0.3">
      <c r="A184" s="131"/>
      <c r="B184" s="131"/>
      <c r="C184" s="131"/>
      <c r="D184" s="131"/>
      <c r="E184" s="131"/>
      <c r="F184" s="131"/>
    </row>
    <row r="185" spans="1:6" x14ac:dyDescent="0.3">
      <c r="A185" s="131"/>
      <c r="B185" s="131"/>
      <c r="C185" s="131"/>
      <c r="D185" s="131"/>
      <c r="E185" s="131"/>
      <c r="F185" s="131"/>
    </row>
    <row r="186" spans="1:6" x14ac:dyDescent="0.3">
      <c r="A186" s="131"/>
      <c r="B186" s="131"/>
      <c r="C186" s="131"/>
      <c r="D186" s="131"/>
      <c r="E186" s="131"/>
      <c r="F186" s="131"/>
    </row>
    <row r="187" spans="1:6" x14ac:dyDescent="0.3">
      <c r="A187" s="131"/>
      <c r="B187" s="131"/>
      <c r="C187" s="131"/>
      <c r="D187" s="131"/>
      <c r="E187" s="131"/>
      <c r="F187" s="131"/>
    </row>
    <row r="188" spans="1:6" x14ac:dyDescent="0.3">
      <c r="A188" s="131"/>
      <c r="B188" s="131"/>
      <c r="C188" s="131"/>
      <c r="D188" s="131"/>
      <c r="E188" s="131"/>
      <c r="F188" s="131"/>
    </row>
    <row r="189" spans="1:6" x14ac:dyDescent="0.3">
      <c r="A189" s="131"/>
      <c r="B189" s="131"/>
      <c r="C189" s="131"/>
      <c r="D189" s="131"/>
      <c r="E189" s="131"/>
      <c r="F189" s="131"/>
    </row>
    <row r="190" spans="1:6" x14ac:dyDescent="0.3">
      <c r="A190" s="131"/>
      <c r="B190" s="131"/>
      <c r="C190" s="131"/>
      <c r="D190" s="131"/>
      <c r="E190" s="131"/>
      <c r="F190" s="131"/>
    </row>
    <row r="191" spans="1:6" x14ac:dyDescent="0.3">
      <c r="A191" s="131"/>
      <c r="B191" s="131"/>
      <c r="C191" s="131"/>
      <c r="D191" s="131"/>
      <c r="E191" s="131"/>
      <c r="F191" s="131"/>
    </row>
    <row r="192" spans="1:6" x14ac:dyDescent="0.3">
      <c r="A192" s="131"/>
      <c r="B192" s="131"/>
      <c r="C192" s="131"/>
      <c r="D192" s="131"/>
      <c r="E192" s="131"/>
      <c r="F192" s="131"/>
    </row>
    <row r="193" spans="1:6" x14ac:dyDescent="0.3">
      <c r="A193" s="131"/>
      <c r="B193" s="131"/>
      <c r="C193" s="131"/>
      <c r="D193" s="131"/>
      <c r="E193" s="131"/>
      <c r="F193" s="131"/>
    </row>
    <row r="194" spans="1:6" x14ac:dyDescent="0.3">
      <c r="A194" s="131"/>
      <c r="B194" s="131"/>
      <c r="C194" s="131"/>
      <c r="D194" s="131"/>
      <c r="E194" s="131"/>
      <c r="F194" s="131"/>
    </row>
    <row r="195" spans="1:6" x14ac:dyDescent="0.3">
      <c r="A195" s="131"/>
      <c r="B195" s="131"/>
      <c r="C195" s="131"/>
      <c r="D195" s="131"/>
      <c r="E195" s="131"/>
      <c r="F195" s="131"/>
    </row>
    <row r="196" spans="1:6" x14ac:dyDescent="0.3">
      <c r="A196" s="131"/>
      <c r="B196" s="131"/>
      <c r="C196" s="131"/>
      <c r="D196" s="131"/>
      <c r="E196" s="131"/>
      <c r="F196" s="131"/>
    </row>
    <row r="197" spans="1:6" x14ac:dyDescent="0.3">
      <c r="A197" s="131"/>
      <c r="B197" s="131"/>
      <c r="C197" s="131"/>
      <c r="D197" s="131"/>
      <c r="E197" s="131"/>
      <c r="F197" s="131"/>
    </row>
    <row r="198" spans="1:6" x14ac:dyDescent="0.3">
      <c r="A198" s="131"/>
      <c r="B198" s="131"/>
      <c r="C198" s="131"/>
      <c r="D198" s="131"/>
      <c r="E198" s="131"/>
      <c r="F198" s="131"/>
    </row>
    <row r="199" spans="1:6" x14ac:dyDescent="0.3">
      <c r="A199" s="131"/>
      <c r="B199" s="131"/>
      <c r="C199" s="131"/>
      <c r="D199" s="131"/>
      <c r="E199" s="131"/>
      <c r="F199" s="131"/>
    </row>
    <row r="200" spans="1:6" x14ac:dyDescent="0.3">
      <c r="A200" s="131"/>
      <c r="B200" s="131"/>
      <c r="C200" s="131"/>
      <c r="D200" s="131"/>
      <c r="E200" s="131"/>
      <c r="F200" s="131"/>
    </row>
    <row r="201" spans="1:6" x14ac:dyDescent="0.3">
      <c r="A201" s="131"/>
      <c r="B201" s="131"/>
      <c r="C201" s="131"/>
      <c r="D201" s="131"/>
      <c r="E201" s="131"/>
      <c r="F201" s="131"/>
    </row>
    <row r="202" spans="1:6" x14ac:dyDescent="0.3">
      <c r="A202" s="131"/>
      <c r="B202" s="131"/>
      <c r="C202" s="131"/>
      <c r="D202" s="131"/>
      <c r="E202" s="131"/>
      <c r="F202" s="131"/>
    </row>
    <row r="203" spans="1:6" x14ac:dyDescent="0.3">
      <c r="A203" s="131"/>
      <c r="B203" s="131"/>
      <c r="C203" s="131"/>
      <c r="D203" s="131"/>
      <c r="E203" s="131"/>
      <c r="F203" s="131"/>
    </row>
    <row r="204" spans="1:6" x14ac:dyDescent="0.3">
      <c r="A204" s="131"/>
      <c r="B204" s="131"/>
      <c r="C204" s="131"/>
      <c r="D204" s="131"/>
      <c r="E204" s="131"/>
      <c r="F204" s="131"/>
    </row>
    <row r="205" spans="1:6" x14ac:dyDescent="0.3">
      <c r="A205" s="131"/>
      <c r="B205" s="131"/>
      <c r="C205" s="131"/>
      <c r="D205" s="131"/>
      <c r="E205" s="131"/>
      <c r="F205" s="131"/>
    </row>
    <row r="206" spans="1:6" x14ac:dyDescent="0.3">
      <c r="A206" s="131"/>
      <c r="B206" s="131"/>
      <c r="C206" s="131"/>
      <c r="D206" s="131"/>
      <c r="E206" s="131"/>
      <c r="F206" s="131"/>
    </row>
    <row r="207" spans="1:6" x14ac:dyDescent="0.3">
      <c r="A207" s="131"/>
      <c r="B207" s="131"/>
      <c r="C207" s="131"/>
      <c r="D207" s="131"/>
      <c r="E207" s="131"/>
      <c r="F207" s="131"/>
    </row>
    <row r="208" spans="1:6" x14ac:dyDescent="0.3">
      <c r="A208" s="131"/>
      <c r="B208" s="131"/>
      <c r="C208" s="131"/>
      <c r="D208" s="131"/>
      <c r="E208" s="131"/>
      <c r="F208" s="131"/>
    </row>
    <row r="209" spans="1:6" x14ac:dyDescent="0.3">
      <c r="A209" s="131"/>
      <c r="B209" s="131"/>
      <c r="C209" s="131"/>
      <c r="D209" s="131"/>
      <c r="E209" s="131"/>
      <c r="F209" s="131"/>
    </row>
    <row r="210" spans="1:6" x14ac:dyDescent="0.3">
      <c r="A210" s="131"/>
      <c r="B210" s="131"/>
      <c r="C210" s="131"/>
      <c r="D210" s="131"/>
      <c r="E210" s="131"/>
      <c r="F210" s="131"/>
    </row>
    <row r="211" spans="1:6" x14ac:dyDescent="0.3">
      <c r="A211" s="131"/>
      <c r="B211" s="131"/>
      <c r="C211" s="131"/>
      <c r="D211" s="131"/>
      <c r="E211" s="131"/>
      <c r="F211" s="131"/>
    </row>
    <row r="212" spans="1:6" x14ac:dyDescent="0.3">
      <c r="A212" s="131"/>
      <c r="B212" s="131"/>
      <c r="C212" s="131"/>
      <c r="D212" s="131"/>
      <c r="E212" s="131"/>
      <c r="F212" s="131"/>
    </row>
    <row r="213" spans="1:6" x14ac:dyDescent="0.3">
      <c r="A213" s="131"/>
      <c r="B213" s="131"/>
      <c r="C213" s="131"/>
      <c r="D213" s="131"/>
      <c r="E213" s="131"/>
      <c r="F213" s="131"/>
    </row>
    <row r="214" spans="1:6" x14ac:dyDescent="0.3">
      <c r="A214" s="131"/>
      <c r="B214" s="131"/>
      <c r="C214" s="131"/>
      <c r="D214" s="131"/>
      <c r="E214" s="131"/>
      <c r="F214" s="131"/>
    </row>
    <row r="215" spans="1:6" x14ac:dyDescent="0.3">
      <c r="A215" s="131"/>
      <c r="B215" s="131"/>
      <c r="C215" s="131"/>
      <c r="D215" s="131"/>
      <c r="E215" s="131"/>
      <c r="F215" s="131"/>
    </row>
    <row r="216" spans="1:6" x14ac:dyDescent="0.3">
      <c r="A216" s="131"/>
      <c r="B216" s="131"/>
      <c r="C216" s="131"/>
      <c r="D216" s="131"/>
      <c r="E216" s="131"/>
      <c r="F216" s="131"/>
    </row>
    <row r="217" spans="1:6" x14ac:dyDescent="0.3">
      <c r="A217" s="131"/>
      <c r="B217" s="131"/>
      <c r="C217" s="131"/>
      <c r="D217" s="131"/>
      <c r="E217" s="131"/>
      <c r="F217" s="131"/>
    </row>
    <row r="218" spans="1:6" x14ac:dyDescent="0.3">
      <c r="A218" s="131"/>
      <c r="B218" s="131"/>
      <c r="C218" s="131"/>
      <c r="D218" s="131"/>
      <c r="E218" s="131"/>
      <c r="F218" s="131"/>
    </row>
    <row r="219" spans="1:6" x14ac:dyDescent="0.3">
      <c r="A219" s="131"/>
      <c r="B219" s="131"/>
      <c r="C219" s="131"/>
      <c r="D219" s="131"/>
      <c r="E219" s="131"/>
      <c r="F219" s="131"/>
    </row>
    <row r="220" spans="1:6" x14ac:dyDescent="0.3">
      <c r="A220" s="131"/>
      <c r="B220" s="131"/>
      <c r="C220" s="131"/>
      <c r="D220" s="131"/>
      <c r="E220" s="131"/>
      <c r="F220" s="131"/>
    </row>
    <row r="221" spans="1:6" x14ac:dyDescent="0.3">
      <c r="A221" s="131"/>
      <c r="B221" s="131"/>
      <c r="C221" s="131"/>
      <c r="D221" s="131"/>
      <c r="E221" s="131"/>
      <c r="F221" s="131"/>
    </row>
    <row r="222" spans="1:6" x14ac:dyDescent="0.3">
      <c r="A222" s="131"/>
      <c r="B222" s="131"/>
      <c r="C222" s="131"/>
      <c r="D222" s="131"/>
      <c r="E222" s="131"/>
      <c r="F222" s="131"/>
    </row>
    <row r="223" spans="1:6" x14ac:dyDescent="0.3">
      <c r="A223" s="131"/>
      <c r="B223" s="131"/>
      <c r="C223" s="131"/>
      <c r="D223" s="131"/>
      <c r="E223" s="131"/>
      <c r="F223" s="131"/>
    </row>
    <row r="224" spans="1:6" x14ac:dyDescent="0.3">
      <c r="A224" s="131"/>
      <c r="B224" s="131"/>
      <c r="C224" s="131"/>
      <c r="D224" s="131"/>
      <c r="E224" s="131"/>
      <c r="F224" s="131"/>
    </row>
    <row r="225" spans="1:6" x14ac:dyDescent="0.3">
      <c r="A225" s="131"/>
      <c r="B225" s="131"/>
      <c r="C225" s="131"/>
      <c r="D225" s="131"/>
      <c r="E225" s="131"/>
      <c r="F225" s="131"/>
    </row>
    <row r="226" spans="1:6" x14ac:dyDescent="0.3">
      <c r="A226" s="131"/>
      <c r="B226" s="131"/>
      <c r="C226" s="131"/>
      <c r="D226" s="131"/>
      <c r="E226" s="131"/>
      <c r="F226" s="131"/>
    </row>
    <row r="227" spans="1:6" x14ac:dyDescent="0.3">
      <c r="A227" s="131"/>
      <c r="B227" s="131"/>
      <c r="C227" s="131"/>
      <c r="D227" s="131"/>
      <c r="E227" s="131"/>
      <c r="F227" s="131"/>
    </row>
    <row r="228" spans="1:6" x14ac:dyDescent="0.3">
      <c r="A228" s="131"/>
      <c r="B228" s="131"/>
      <c r="C228" s="131"/>
      <c r="D228" s="131"/>
      <c r="E228" s="131"/>
      <c r="F228" s="131"/>
    </row>
    <row r="229" spans="1:6" x14ac:dyDescent="0.3">
      <c r="A229" s="131"/>
      <c r="B229" s="131"/>
      <c r="C229" s="131"/>
      <c r="D229" s="131"/>
      <c r="E229" s="131"/>
      <c r="F229" s="131"/>
    </row>
    <row r="230" spans="1:6" x14ac:dyDescent="0.3">
      <c r="A230" s="131"/>
      <c r="B230" s="131"/>
      <c r="C230" s="131"/>
      <c r="D230" s="131"/>
      <c r="E230" s="131"/>
      <c r="F230" s="131"/>
    </row>
    <row r="231" spans="1:6" x14ac:dyDescent="0.3">
      <c r="A231" s="131"/>
      <c r="B231" s="131"/>
      <c r="C231" s="131"/>
      <c r="D231" s="131"/>
      <c r="E231" s="131"/>
      <c r="F231" s="131"/>
    </row>
    <row r="232" spans="1:6" x14ac:dyDescent="0.3">
      <c r="A232" s="131"/>
      <c r="B232" s="131"/>
      <c r="C232" s="131"/>
      <c r="D232" s="131"/>
      <c r="E232" s="131"/>
      <c r="F232" s="131"/>
    </row>
    <row r="233" spans="1:6" x14ac:dyDescent="0.3">
      <c r="A233" s="131"/>
      <c r="B233" s="131"/>
      <c r="C233" s="131"/>
      <c r="D233" s="131"/>
      <c r="E233" s="133"/>
      <c r="F233" s="131"/>
    </row>
    <row r="234" spans="1:6" x14ac:dyDescent="0.3">
      <c r="A234" s="131"/>
      <c r="B234" s="131"/>
      <c r="C234" s="131"/>
      <c r="D234" s="131"/>
      <c r="E234" s="133"/>
      <c r="F234" s="131"/>
    </row>
    <row r="235" spans="1:6" x14ac:dyDescent="0.3">
      <c r="A235" s="131"/>
      <c r="B235" s="131"/>
      <c r="C235" s="131"/>
      <c r="D235" s="131"/>
      <c r="E235" s="133"/>
      <c r="F235" s="131"/>
    </row>
    <row r="236" spans="1:6" x14ac:dyDescent="0.3">
      <c r="A236" s="131"/>
      <c r="B236" s="131"/>
      <c r="C236" s="131"/>
      <c r="D236" s="131"/>
      <c r="E236" s="133"/>
      <c r="F236" s="131"/>
    </row>
    <row r="237" spans="1:6" x14ac:dyDescent="0.3">
      <c r="A237" s="131"/>
      <c r="B237" s="131"/>
      <c r="C237" s="131"/>
      <c r="D237" s="131"/>
      <c r="E237" s="133"/>
      <c r="F237" s="131"/>
    </row>
    <row r="238" spans="1:6" x14ac:dyDescent="0.3">
      <c r="A238" s="131"/>
      <c r="B238" s="131"/>
      <c r="C238" s="131"/>
      <c r="D238" s="131"/>
      <c r="E238" s="133"/>
      <c r="F238" s="131"/>
    </row>
    <row r="239" spans="1:6" x14ac:dyDescent="0.3">
      <c r="A239" s="131"/>
      <c r="B239" s="131"/>
      <c r="C239" s="131"/>
      <c r="D239" s="131"/>
      <c r="E239" s="133"/>
      <c r="F239" s="131"/>
    </row>
    <row r="240" spans="1:6" x14ac:dyDescent="0.3">
      <c r="A240" s="131"/>
      <c r="B240" s="131"/>
      <c r="C240" s="131"/>
      <c r="D240" s="131"/>
      <c r="E240" s="133"/>
      <c r="F240" s="131"/>
    </row>
    <row r="241" spans="1:6" x14ac:dyDescent="0.3">
      <c r="A241" s="131"/>
      <c r="B241" s="131"/>
      <c r="C241" s="131"/>
      <c r="D241" s="131"/>
      <c r="E241" s="133"/>
      <c r="F241" s="131"/>
    </row>
    <row r="242" spans="1:6" x14ac:dyDescent="0.3">
      <c r="A242" s="131"/>
      <c r="B242" s="131"/>
      <c r="C242" s="131"/>
      <c r="D242" s="131"/>
      <c r="E242" s="133"/>
      <c r="F242" s="131"/>
    </row>
    <row r="243" spans="1:6" x14ac:dyDescent="0.3">
      <c r="A243" s="131"/>
      <c r="B243" s="131"/>
      <c r="C243" s="131"/>
      <c r="D243" s="131"/>
      <c r="E243" s="133"/>
      <c r="F243" s="131"/>
    </row>
    <row r="244" spans="1:6" x14ac:dyDescent="0.3">
      <c r="A244" s="131"/>
      <c r="B244" s="131"/>
      <c r="C244" s="131"/>
      <c r="D244" s="131"/>
      <c r="E244" s="133"/>
      <c r="F244" s="131"/>
    </row>
    <row r="245" spans="1:6" x14ac:dyDescent="0.3">
      <c r="A245" s="131"/>
      <c r="B245" s="131"/>
      <c r="C245" s="131"/>
      <c r="D245" s="131"/>
      <c r="E245" s="133"/>
      <c r="F245" s="131"/>
    </row>
    <row r="246" spans="1:6" x14ac:dyDescent="0.3">
      <c r="A246" s="131"/>
      <c r="B246" s="131"/>
      <c r="C246" s="131"/>
      <c r="D246" s="131"/>
      <c r="E246" s="133"/>
      <c r="F246" s="131"/>
    </row>
    <row r="247" spans="1:6" x14ac:dyDescent="0.3">
      <c r="A247" s="131"/>
      <c r="B247" s="131"/>
      <c r="C247" s="131"/>
      <c r="D247" s="131"/>
      <c r="E247" s="133"/>
      <c r="F247" s="131"/>
    </row>
    <row r="248" spans="1:6" x14ac:dyDescent="0.3">
      <c r="A248" s="131"/>
      <c r="B248" s="131"/>
      <c r="C248" s="131"/>
      <c r="D248" s="131"/>
      <c r="E248" s="133"/>
      <c r="F248" s="131"/>
    </row>
    <row r="249" spans="1:6" x14ac:dyDescent="0.3">
      <c r="A249" s="131"/>
      <c r="B249" s="131"/>
      <c r="C249" s="131"/>
      <c r="D249" s="131"/>
      <c r="E249" s="133"/>
      <c r="F249" s="131"/>
    </row>
    <row r="250" spans="1:6" x14ac:dyDescent="0.3">
      <c r="A250" s="131"/>
      <c r="B250" s="131"/>
      <c r="C250" s="131"/>
      <c r="D250" s="131"/>
      <c r="E250" s="133"/>
      <c r="F250" s="131"/>
    </row>
    <row r="251" spans="1:6" x14ac:dyDescent="0.3">
      <c r="A251" s="131"/>
      <c r="B251" s="131"/>
      <c r="C251" s="131"/>
      <c r="D251" s="131"/>
      <c r="E251" s="133"/>
      <c r="F251" s="131"/>
    </row>
    <row r="252" spans="1:6" x14ac:dyDescent="0.3">
      <c r="A252" s="131"/>
      <c r="B252" s="131"/>
      <c r="C252" s="131"/>
      <c r="D252" s="131"/>
      <c r="E252" s="133"/>
      <c r="F252" s="131"/>
    </row>
    <row r="253" spans="1:6" x14ac:dyDescent="0.3">
      <c r="A253" s="131"/>
      <c r="B253" s="131"/>
      <c r="C253" s="131"/>
      <c r="D253" s="131"/>
      <c r="E253" s="133"/>
      <c r="F253" s="131"/>
    </row>
    <row r="254" spans="1:6" x14ac:dyDescent="0.3">
      <c r="A254" s="131"/>
      <c r="B254" s="131"/>
      <c r="C254" s="131"/>
      <c r="D254" s="131"/>
      <c r="E254" s="133"/>
      <c r="F254" s="131"/>
    </row>
    <row r="255" spans="1:6" x14ac:dyDescent="0.3">
      <c r="A255" s="131"/>
      <c r="B255" s="131"/>
      <c r="C255" s="131"/>
      <c r="D255" s="131"/>
      <c r="E255" s="133"/>
      <c r="F255" s="131"/>
    </row>
    <row r="256" spans="1:6" x14ac:dyDescent="0.3">
      <c r="A256" s="131"/>
      <c r="B256" s="131"/>
      <c r="C256" s="131"/>
      <c r="D256" s="131"/>
      <c r="E256" s="133"/>
      <c r="F256" s="131"/>
    </row>
    <row r="257" spans="1:6" x14ac:dyDescent="0.3">
      <c r="A257" s="131"/>
      <c r="B257" s="131"/>
      <c r="C257" s="131"/>
      <c r="D257" s="131"/>
      <c r="E257" s="133"/>
      <c r="F257" s="131"/>
    </row>
    <row r="258" spans="1:6" x14ac:dyDescent="0.3">
      <c r="A258" s="131"/>
      <c r="B258" s="131"/>
      <c r="C258" s="131"/>
      <c r="D258" s="131"/>
      <c r="E258" s="133"/>
      <c r="F258" s="131"/>
    </row>
    <row r="259" spans="1:6" x14ac:dyDescent="0.3">
      <c r="A259" s="131"/>
      <c r="B259" s="131"/>
      <c r="C259" s="131"/>
      <c r="D259" s="131"/>
      <c r="E259" s="133"/>
      <c r="F259" s="131"/>
    </row>
    <row r="260" spans="1:6" x14ac:dyDescent="0.3">
      <c r="A260" s="131"/>
      <c r="B260" s="131"/>
      <c r="C260" s="131"/>
      <c r="D260" s="131"/>
      <c r="E260" s="133"/>
      <c r="F260" s="131"/>
    </row>
    <row r="261" spans="1:6" x14ac:dyDescent="0.3">
      <c r="A261" s="131"/>
      <c r="B261" s="131"/>
      <c r="C261" s="131"/>
      <c r="D261" s="131"/>
      <c r="E261" s="133"/>
      <c r="F261" s="131"/>
    </row>
    <row r="262" spans="1:6" x14ac:dyDescent="0.3">
      <c r="A262" s="131"/>
      <c r="B262" s="131"/>
      <c r="C262" s="131"/>
      <c r="D262" s="131"/>
      <c r="E262" s="133"/>
      <c r="F262" s="131"/>
    </row>
    <row r="263" spans="1:6" x14ac:dyDescent="0.3">
      <c r="A263" s="131"/>
      <c r="B263" s="131"/>
      <c r="C263" s="131"/>
      <c r="D263" s="131"/>
      <c r="E263" s="133"/>
      <c r="F263" s="131"/>
    </row>
    <row r="264" spans="1:6" x14ac:dyDescent="0.3">
      <c r="A264" s="131"/>
      <c r="B264" s="131"/>
      <c r="C264" s="131"/>
      <c r="D264" s="131"/>
      <c r="E264" s="133"/>
      <c r="F264" s="131"/>
    </row>
    <row r="265" spans="1:6" x14ac:dyDescent="0.3">
      <c r="A265" s="131"/>
      <c r="B265" s="131"/>
      <c r="C265" s="131"/>
      <c r="D265" s="131"/>
      <c r="E265" s="133"/>
      <c r="F265" s="131"/>
    </row>
    <row r="266" spans="1:6" x14ac:dyDescent="0.3">
      <c r="A266" s="131"/>
      <c r="B266" s="131"/>
      <c r="C266" s="131"/>
      <c r="D266" s="131"/>
      <c r="E266" s="133"/>
      <c r="F266" s="131"/>
    </row>
    <row r="267" spans="1:6" x14ac:dyDescent="0.3">
      <c r="A267" s="131"/>
      <c r="B267" s="131"/>
      <c r="C267" s="131"/>
      <c r="D267" s="131"/>
      <c r="E267" s="133"/>
      <c r="F267" s="131"/>
    </row>
    <row r="268" spans="1:6" x14ac:dyDescent="0.3">
      <c r="A268" s="131"/>
      <c r="B268" s="131"/>
      <c r="C268" s="131"/>
      <c r="D268" s="131"/>
      <c r="E268" s="133"/>
      <c r="F268" s="131"/>
    </row>
    <row r="269" spans="1:6" x14ac:dyDescent="0.3">
      <c r="A269" s="131"/>
      <c r="B269" s="131"/>
      <c r="C269" s="131"/>
      <c r="D269" s="131"/>
      <c r="E269" s="133"/>
      <c r="F269" s="131"/>
    </row>
    <row r="270" spans="1:6" x14ac:dyDescent="0.3">
      <c r="A270" s="131"/>
      <c r="B270" s="131"/>
      <c r="C270" s="131"/>
      <c r="D270" s="131"/>
      <c r="E270" s="133"/>
      <c r="F270" s="131"/>
    </row>
    <row r="271" spans="1:6" x14ac:dyDescent="0.3">
      <c r="A271" s="131"/>
      <c r="B271" s="131"/>
      <c r="C271" s="131"/>
      <c r="D271" s="131"/>
      <c r="E271" s="133"/>
      <c r="F271" s="131"/>
    </row>
    <row r="272" spans="1:6" x14ac:dyDescent="0.3">
      <c r="A272" s="131"/>
      <c r="B272" s="131"/>
      <c r="C272" s="131"/>
      <c r="D272" s="131"/>
      <c r="E272" s="133"/>
      <c r="F272" s="131"/>
    </row>
    <row r="273" spans="1:6" x14ac:dyDescent="0.3">
      <c r="A273" s="131"/>
      <c r="B273" s="131"/>
      <c r="C273" s="131"/>
      <c r="D273" s="131"/>
      <c r="E273" s="133"/>
      <c r="F273" s="131"/>
    </row>
    <row r="274" spans="1:6" x14ac:dyDescent="0.3">
      <c r="A274" s="131"/>
      <c r="B274" s="131"/>
      <c r="C274" s="131"/>
      <c r="D274" s="131"/>
      <c r="E274" s="133"/>
      <c r="F274" s="131"/>
    </row>
    <row r="275" spans="1:6" x14ac:dyDescent="0.3">
      <c r="A275" s="131"/>
      <c r="B275" s="131"/>
      <c r="C275" s="131"/>
      <c r="D275" s="131"/>
      <c r="E275" s="133"/>
      <c r="F275" s="131"/>
    </row>
    <row r="276" spans="1:6" x14ac:dyDescent="0.3">
      <c r="A276" s="131"/>
      <c r="B276" s="131"/>
      <c r="C276" s="131"/>
      <c r="D276" s="131"/>
      <c r="E276" s="133"/>
      <c r="F276" s="131"/>
    </row>
    <row r="277" spans="1:6" x14ac:dyDescent="0.3">
      <c r="A277" s="131"/>
      <c r="B277" s="131"/>
      <c r="C277" s="131"/>
      <c r="D277" s="131"/>
      <c r="E277" s="133"/>
      <c r="F277" s="131"/>
    </row>
    <row r="278" spans="1:6" x14ac:dyDescent="0.3">
      <c r="A278" s="131"/>
      <c r="B278" s="131"/>
      <c r="C278" s="131"/>
      <c r="D278" s="131"/>
      <c r="E278" s="133"/>
      <c r="F278" s="131"/>
    </row>
    <row r="279" spans="1:6" x14ac:dyDescent="0.3">
      <c r="A279" s="131"/>
      <c r="B279" s="131"/>
      <c r="C279" s="131"/>
      <c r="D279" s="131"/>
      <c r="E279" s="133"/>
      <c r="F279" s="131"/>
    </row>
    <row r="280" spans="1:6" x14ac:dyDescent="0.3">
      <c r="A280" s="131"/>
      <c r="B280" s="131"/>
      <c r="C280" s="131"/>
      <c r="D280" s="131"/>
      <c r="E280" s="133"/>
      <c r="F280" s="131"/>
    </row>
    <row r="281" spans="1:6" x14ac:dyDescent="0.3">
      <c r="A281" s="131"/>
      <c r="B281" s="131"/>
      <c r="C281" s="131"/>
      <c r="D281" s="131"/>
      <c r="E281" s="133"/>
      <c r="F281" s="131"/>
    </row>
    <row r="282" spans="1:6" x14ac:dyDescent="0.3">
      <c r="A282" s="131"/>
      <c r="B282" s="131"/>
      <c r="C282" s="131"/>
      <c r="D282" s="131"/>
      <c r="E282" s="133"/>
      <c r="F282" s="131"/>
    </row>
    <row r="283" spans="1:6" x14ac:dyDescent="0.3">
      <c r="A283" s="131"/>
      <c r="B283" s="131"/>
      <c r="C283" s="131"/>
      <c r="D283" s="131"/>
      <c r="E283" s="133"/>
      <c r="F283" s="131"/>
    </row>
    <row r="284" spans="1:6" x14ac:dyDescent="0.3">
      <c r="A284" s="131"/>
      <c r="B284" s="131"/>
      <c r="C284" s="131"/>
      <c r="D284" s="131"/>
      <c r="E284" s="133"/>
      <c r="F284" s="131"/>
    </row>
    <row r="285" spans="1:6" x14ac:dyDescent="0.3">
      <c r="A285" s="131"/>
      <c r="B285" s="131"/>
      <c r="C285" s="131"/>
      <c r="D285" s="131"/>
      <c r="E285" s="133"/>
      <c r="F285" s="131"/>
    </row>
    <row r="286" spans="1:6" x14ac:dyDescent="0.3">
      <c r="A286" s="131"/>
      <c r="B286" s="131"/>
      <c r="C286" s="131"/>
      <c r="D286" s="131"/>
      <c r="E286" s="133"/>
      <c r="F286" s="131"/>
    </row>
    <row r="287" spans="1:6" x14ac:dyDescent="0.3">
      <c r="A287" s="131"/>
      <c r="B287" s="131"/>
      <c r="C287" s="131"/>
      <c r="D287" s="131"/>
      <c r="E287" s="133"/>
      <c r="F287" s="131"/>
    </row>
    <row r="288" spans="1:6" x14ac:dyDescent="0.3">
      <c r="A288" s="131"/>
      <c r="B288" s="131"/>
      <c r="C288" s="131"/>
      <c r="D288" s="131"/>
      <c r="E288" s="133"/>
      <c r="F288" s="131"/>
    </row>
    <row r="289" spans="1:6" x14ac:dyDescent="0.3">
      <c r="A289" s="131"/>
      <c r="B289" s="131"/>
      <c r="C289" s="131"/>
      <c r="D289" s="131"/>
      <c r="E289" s="133"/>
      <c r="F289" s="131"/>
    </row>
    <row r="290" spans="1:6" x14ac:dyDescent="0.3">
      <c r="A290" s="131"/>
      <c r="B290" s="131"/>
      <c r="C290" s="131"/>
      <c r="D290" s="131"/>
      <c r="E290" s="133"/>
      <c r="F290" s="131"/>
    </row>
    <row r="291" spans="1:6" x14ac:dyDescent="0.3">
      <c r="A291" s="131"/>
      <c r="B291" s="131"/>
      <c r="C291" s="131"/>
      <c r="D291" s="131"/>
      <c r="E291" s="133"/>
      <c r="F291" s="131"/>
    </row>
    <row r="292" spans="1:6" x14ac:dyDescent="0.3">
      <c r="A292" s="131"/>
      <c r="B292" s="131"/>
      <c r="C292" s="131"/>
      <c r="D292" s="131"/>
      <c r="E292" s="133"/>
      <c r="F292" s="131"/>
    </row>
    <row r="293" spans="1:6" x14ac:dyDescent="0.3">
      <c r="A293" s="131"/>
      <c r="B293" s="131"/>
      <c r="C293" s="131"/>
      <c r="D293" s="131"/>
      <c r="E293" s="133"/>
      <c r="F293" s="131"/>
    </row>
    <row r="294" spans="1:6" x14ac:dyDescent="0.3">
      <c r="A294" s="131"/>
      <c r="B294" s="131"/>
      <c r="C294" s="131"/>
      <c r="D294" s="131"/>
      <c r="E294" s="133"/>
      <c r="F294" s="131"/>
    </row>
    <row r="295" spans="1:6" x14ac:dyDescent="0.3">
      <c r="A295" s="131"/>
      <c r="B295" s="131"/>
      <c r="C295" s="131"/>
      <c r="D295" s="131"/>
      <c r="E295" s="133"/>
      <c r="F295" s="131"/>
    </row>
    <row r="296" spans="1:6" x14ac:dyDescent="0.3">
      <c r="A296" s="131"/>
      <c r="B296" s="131"/>
      <c r="C296" s="131"/>
      <c r="D296" s="131"/>
      <c r="E296" s="133"/>
      <c r="F296" s="131"/>
    </row>
    <row r="297" spans="1:6" x14ac:dyDescent="0.3">
      <c r="A297" s="131"/>
      <c r="B297" s="131"/>
      <c r="C297" s="131"/>
      <c r="D297" s="131"/>
      <c r="E297" s="133"/>
      <c r="F297" s="131"/>
    </row>
    <row r="298" spans="1:6" x14ac:dyDescent="0.3">
      <c r="A298" s="131"/>
      <c r="B298" s="131"/>
      <c r="C298" s="131"/>
      <c r="D298" s="131"/>
      <c r="E298" s="133"/>
      <c r="F298" s="131"/>
    </row>
    <row r="299" spans="1:6" x14ac:dyDescent="0.3">
      <c r="A299" s="131"/>
      <c r="B299" s="131"/>
      <c r="C299" s="131"/>
      <c r="D299" s="131"/>
      <c r="E299" s="133"/>
      <c r="F299" s="131"/>
    </row>
    <row r="300" spans="1:6" x14ac:dyDescent="0.3">
      <c r="A300" s="131"/>
      <c r="B300" s="131"/>
      <c r="C300" s="131"/>
      <c r="D300" s="131"/>
      <c r="E300" s="133"/>
      <c r="F300" s="131"/>
    </row>
    <row r="301" spans="1:6" x14ac:dyDescent="0.3">
      <c r="A301" s="131"/>
      <c r="B301" s="131"/>
      <c r="C301" s="131"/>
      <c r="D301" s="131"/>
      <c r="E301" s="133"/>
      <c r="F301" s="131"/>
    </row>
    <row r="302" spans="1:6" x14ac:dyDescent="0.3">
      <c r="A302" s="131"/>
      <c r="B302" s="131"/>
      <c r="C302" s="131"/>
      <c r="D302" s="131"/>
      <c r="E302" s="133"/>
      <c r="F302" s="131"/>
    </row>
    <row r="303" spans="1:6" x14ac:dyDescent="0.3">
      <c r="A303" s="131"/>
      <c r="B303" s="131"/>
      <c r="C303" s="131"/>
      <c r="D303" s="131"/>
      <c r="E303" s="133"/>
      <c r="F303" s="131"/>
    </row>
    <row r="304" spans="1:6" x14ac:dyDescent="0.3">
      <c r="A304" s="131"/>
      <c r="B304" s="131"/>
      <c r="C304" s="131"/>
      <c r="D304" s="131"/>
      <c r="E304" s="133"/>
      <c r="F304" s="131"/>
    </row>
    <row r="305" spans="1:6" x14ac:dyDescent="0.3">
      <c r="A305" s="131"/>
      <c r="B305" s="131"/>
      <c r="C305" s="131"/>
      <c r="D305" s="131"/>
      <c r="E305" s="133"/>
      <c r="F305" s="131"/>
    </row>
    <row r="306" spans="1:6" x14ac:dyDescent="0.3">
      <c r="A306" s="131"/>
      <c r="B306" s="131"/>
      <c r="C306" s="131"/>
      <c r="D306" s="131"/>
      <c r="E306" s="133"/>
      <c r="F306" s="131"/>
    </row>
    <row r="307" spans="1:6" x14ac:dyDescent="0.3">
      <c r="A307" s="131"/>
      <c r="B307" s="131"/>
      <c r="C307" s="131"/>
      <c r="D307" s="131"/>
      <c r="E307" s="133"/>
      <c r="F307" s="131"/>
    </row>
    <row r="308" spans="1:6" x14ac:dyDescent="0.3">
      <c r="A308" s="131"/>
      <c r="B308" s="131"/>
      <c r="C308" s="131"/>
      <c r="D308" s="131"/>
      <c r="E308" s="133"/>
      <c r="F308" s="131"/>
    </row>
    <row r="309" spans="1:6" x14ac:dyDescent="0.3">
      <c r="A309" s="131"/>
      <c r="B309" s="131"/>
      <c r="C309" s="131"/>
      <c r="D309" s="131"/>
      <c r="E309" s="133"/>
      <c r="F309" s="131"/>
    </row>
    <row r="310" spans="1:6" x14ac:dyDescent="0.3">
      <c r="A310" s="131"/>
      <c r="B310" s="131"/>
      <c r="C310" s="131"/>
      <c r="D310" s="131"/>
      <c r="E310" s="133"/>
      <c r="F310" s="131"/>
    </row>
    <row r="311" spans="1:6" x14ac:dyDescent="0.3">
      <c r="A311" s="131"/>
      <c r="B311" s="131"/>
      <c r="C311" s="131"/>
      <c r="D311" s="131"/>
      <c r="E311" s="133"/>
      <c r="F311" s="131"/>
    </row>
    <row r="312" spans="1:6" x14ac:dyDescent="0.3">
      <c r="A312" s="131"/>
      <c r="B312" s="131"/>
      <c r="C312" s="131"/>
      <c r="D312" s="131"/>
      <c r="E312" s="133"/>
      <c r="F312" s="131"/>
    </row>
    <row r="313" spans="1:6" x14ac:dyDescent="0.3">
      <c r="A313" s="131"/>
      <c r="B313" s="131"/>
      <c r="C313" s="131"/>
      <c r="D313" s="131"/>
      <c r="E313" s="133"/>
      <c r="F313" s="131"/>
    </row>
    <row r="314" spans="1:6" x14ac:dyDescent="0.3">
      <c r="A314" s="131"/>
      <c r="B314" s="131"/>
      <c r="C314" s="131"/>
      <c r="D314" s="131"/>
      <c r="E314" s="133"/>
      <c r="F314" s="131"/>
    </row>
    <row r="315" spans="1:6" x14ac:dyDescent="0.3">
      <c r="A315" s="131"/>
      <c r="B315" s="131"/>
      <c r="C315" s="131"/>
      <c r="D315" s="131"/>
      <c r="E315" s="133"/>
      <c r="F315" s="131"/>
    </row>
    <row r="316" spans="1:6" x14ac:dyDescent="0.3">
      <c r="A316" s="131"/>
      <c r="B316" s="131"/>
      <c r="C316" s="131"/>
      <c r="D316" s="131"/>
      <c r="E316" s="133"/>
      <c r="F316" s="131"/>
    </row>
    <row r="317" spans="1:6" x14ac:dyDescent="0.3">
      <c r="A317" s="131"/>
      <c r="B317" s="131"/>
      <c r="C317" s="131"/>
      <c r="D317" s="131"/>
      <c r="E317" s="133"/>
      <c r="F317" s="131"/>
    </row>
    <row r="318" spans="1:6" x14ac:dyDescent="0.3">
      <c r="A318" s="131"/>
      <c r="B318" s="131"/>
      <c r="C318" s="131"/>
      <c r="D318" s="131"/>
      <c r="E318" s="133"/>
      <c r="F318" s="131"/>
    </row>
    <row r="319" spans="1:6" x14ac:dyDescent="0.3">
      <c r="A319" s="131"/>
      <c r="B319" s="131"/>
      <c r="C319" s="131"/>
      <c r="D319" s="131"/>
      <c r="E319" s="133"/>
      <c r="F319" s="131"/>
    </row>
    <row r="320" spans="1:6" x14ac:dyDescent="0.3">
      <c r="A320" s="131"/>
      <c r="B320" s="131"/>
      <c r="C320" s="131"/>
      <c r="D320" s="131"/>
      <c r="E320" s="133"/>
      <c r="F320" s="131"/>
    </row>
    <row r="321" spans="1:6" x14ac:dyDescent="0.3">
      <c r="A321" s="131"/>
      <c r="B321" s="131"/>
      <c r="C321" s="131"/>
      <c r="D321" s="131"/>
      <c r="E321" s="133"/>
      <c r="F321" s="131"/>
    </row>
    <row r="322" spans="1:6" x14ac:dyDescent="0.3">
      <c r="A322" s="131"/>
      <c r="B322" s="131"/>
      <c r="C322" s="131"/>
      <c r="D322" s="131"/>
      <c r="E322" s="133"/>
      <c r="F322" s="131"/>
    </row>
    <row r="323" spans="1:6" x14ac:dyDescent="0.3">
      <c r="A323" s="131"/>
      <c r="B323" s="131"/>
      <c r="C323" s="131"/>
      <c r="D323" s="131"/>
      <c r="E323" s="133"/>
      <c r="F323" s="131"/>
    </row>
    <row r="324" spans="1:6" x14ac:dyDescent="0.3">
      <c r="A324" s="131"/>
      <c r="B324" s="131"/>
      <c r="C324" s="131"/>
      <c r="D324" s="131"/>
      <c r="E324" s="133"/>
      <c r="F324" s="131"/>
    </row>
    <row r="325" spans="1:6" x14ac:dyDescent="0.3">
      <c r="A325" s="131"/>
      <c r="B325" s="131"/>
      <c r="C325" s="131"/>
      <c r="D325" s="131"/>
      <c r="E325" s="133"/>
      <c r="F325" s="131"/>
    </row>
    <row r="326" spans="1:6" x14ac:dyDescent="0.3">
      <c r="A326" s="131"/>
      <c r="B326" s="131"/>
      <c r="C326" s="131"/>
      <c r="D326" s="131"/>
      <c r="E326" s="133"/>
      <c r="F326" s="131"/>
    </row>
    <row r="327" spans="1:6" x14ac:dyDescent="0.3">
      <c r="A327" s="131"/>
      <c r="B327" s="131"/>
      <c r="C327" s="131"/>
      <c r="D327" s="131"/>
      <c r="E327" s="133"/>
      <c r="F327" s="131"/>
    </row>
    <row r="328" spans="1:6" x14ac:dyDescent="0.3">
      <c r="A328" s="131"/>
      <c r="B328" s="131"/>
      <c r="C328" s="131"/>
      <c r="D328" s="131"/>
      <c r="E328" s="133"/>
      <c r="F328" s="131"/>
    </row>
    <row r="329" spans="1:6" x14ac:dyDescent="0.3">
      <c r="A329" s="131"/>
      <c r="B329" s="131"/>
      <c r="C329" s="131"/>
      <c r="D329" s="131"/>
      <c r="E329" s="133"/>
      <c r="F329" s="131"/>
    </row>
    <row r="330" spans="1:6" x14ac:dyDescent="0.3">
      <c r="A330" s="131"/>
      <c r="B330" s="131"/>
      <c r="C330" s="131"/>
      <c r="D330" s="131"/>
      <c r="E330" s="133"/>
      <c r="F330" s="131"/>
    </row>
    <row r="331" spans="1:6" x14ac:dyDescent="0.3">
      <c r="A331" s="131"/>
      <c r="B331" s="131"/>
      <c r="C331" s="131"/>
      <c r="D331" s="131"/>
      <c r="E331" s="133"/>
      <c r="F331" s="131"/>
    </row>
    <row r="332" spans="1:6" x14ac:dyDescent="0.3">
      <c r="A332" s="131"/>
      <c r="B332" s="131"/>
      <c r="C332" s="131"/>
      <c r="D332" s="131"/>
      <c r="E332" s="133"/>
      <c r="F332" s="131"/>
    </row>
    <row r="333" spans="1:6" x14ac:dyDescent="0.3">
      <c r="A333" s="131"/>
      <c r="B333" s="131"/>
      <c r="C333" s="131"/>
      <c r="D333" s="131"/>
      <c r="E333" s="133"/>
      <c r="F333" s="131"/>
    </row>
    <row r="334" spans="1:6" x14ac:dyDescent="0.3">
      <c r="A334" s="131"/>
      <c r="B334" s="131"/>
      <c r="C334" s="131"/>
      <c r="D334" s="131"/>
      <c r="E334" s="133"/>
      <c r="F334" s="131"/>
    </row>
    <row r="335" spans="1:6" x14ac:dyDescent="0.3">
      <c r="A335" s="131"/>
      <c r="B335" s="131"/>
      <c r="C335" s="131"/>
      <c r="D335" s="131"/>
      <c r="E335" s="133"/>
      <c r="F335" s="131"/>
    </row>
    <row r="336" spans="1:6" x14ac:dyDescent="0.3">
      <c r="A336" s="131"/>
      <c r="B336" s="131"/>
      <c r="C336" s="131"/>
      <c r="D336" s="131"/>
      <c r="E336" s="133"/>
      <c r="F336" s="131"/>
    </row>
    <row r="337" spans="1:6" x14ac:dyDescent="0.3">
      <c r="A337" s="131"/>
      <c r="B337" s="131"/>
      <c r="C337" s="131"/>
      <c r="D337" s="131"/>
      <c r="E337" s="133"/>
      <c r="F337" s="131"/>
    </row>
    <row r="338" spans="1:6" x14ac:dyDescent="0.3">
      <c r="A338" s="131"/>
      <c r="B338" s="131"/>
      <c r="C338" s="131"/>
      <c r="D338" s="131"/>
      <c r="E338" s="133"/>
      <c r="F338" s="131"/>
    </row>
    <row r="339" spans="1:6" x14ac:dyDescent="0.3">
      <c r="A339" s="131"/>
      <c r="B339" s="131"/>
      <c r="C339" s="131"/>
      <c r="D339" s="131"/>
      <c r="E339" s="133"/>
      <c r="F339" s="131"/>
    </row>
    <row r="340" spans="1:6" x14ac:dyDescent="0.3">
      <c r="A340" s="131"/>
      <c r="B340" s="131"/>
      <c r="C340" s="131"/>
      <c r="D340" s="131"/>
      <c r="E340" s="133"/>
      <c r="F340" s="131"/>
    </row>
    <row r="341" spans="1:6" x14ac:dyDescent="0.3">
      <c r="A341" s="131"/>
      <c r="B341" s="131"/>
      <c r="C341" s="131"/>
      <c r="D341" s="131"/>
      <c r="E341" s="133"/>
      <c r="F341" s="131"/>
    </row>
    <row r="342" spans="1:6" x14ac:dyDescent="0.3">
      <c r="A342" s="131"/>
      <c r="B342" s="131"/>
      <c r="C342" s="131"/>
      <c r="D342" s="131"/>
      <c r="E342" s="133"/>
      <c r="F342" s="131"/>
    </row>
    <row r="343" spans="1:6" x14ac:dyDescent="0.3">
      <c r="A343" s="131"/>
      <c r="B343" s="131"/>
      <c r="C343" s="131"/>
      <c r="D343" s="131"/>
      <c r="E343" s="133"/>
      <c r="F343" s="131"/>
    </row>
    <row r="344" spans="1:6" x14ac:dyDescent="0.3">
      <c r="A344" s="131"/>
      <c r="B344" s="131"/>
      <c r="C344" s="131"/>
      <c r="D344" s="131"/>
      <c r="E344" s="133"/>
      <c r="F344" s="131"/>
    </row>
    <row r="345" spans="1:6" x14ac:dyDescent="0.3">
      <c r="A345" s="131"/>
      <c r="B345" s="131"/>
      <c r="C345" s="131"/>
      <c r="D345" s="131"/>
      <c r="E345" s="133"/>
      <c r="F345" s="131"/>
    </row>
    <row r="346" spans="1:6" x14ac:dyDescent="0.3">
      <c r="A346" s="131"/>
      <c r="B346" s="131"/>
      <c r="C346" s="131"/>
      <c r="D346" s="131"/>
      <c r="E346" s="133"/>
      <c r="F346" s="131"/>
    </row>
    <row r="347" spans="1:6" x14ac:dyDescent="0.3">
      <c r="A347" s="131"/>
      <c r="B347" s="131"/>
      <c r="C347" s="131"/>
      <c r="D347" s="131"/>
      <c r="E347" s="133"/>
      <c r="F347" s="131"/>
    </row>
    <row r="348" spans="1:6" x14ac:dyDescent="0.3">
      <c r="A348" s="131"/>
      <c r="B348" s="131"/>
      <c r="C348" s="131"/>
      <c r="D348" s="131"/>
      <c r="E348" s="133"/>
      <c r="F348" s="131"/>
    </row>
    <row r="349" spans="1:6" x14ac:dyDescent="0.3">
      <c r="A349" s="131"/>
      <c r="B349" s="131"/>
      <c r="C349" s="131"/>
      <c r="D349" s="131"/>
      <c r="E349" s="133"/>
      <c r="F349" s="131"/>
    </row>
    <row r="350" spans="1:6" x14ac:dyDescent="0.3">
      <c r="A350" s="131"/>
      <c r="B350" s="131"/>
      <c r="C350" s="131"/>
      <c r="D350" s="131"/>
      <c r="E350" s="133"/>
      <c r="F350" s="131"/>
    </row>
    <row r="351" spans="1:6" x14ac:dyDescent="0.3">
      <c r="A351" s="131"/>
      <c r="B351" s="131"/>
      <c r="C351" s="131"/>
      <c r="D351" s="131"/>
      <c r="E351" s="133"/>
      <c r="F351" s="131"/>
    </row>
    <row r="352" spans="1:6" x14ac:dyDescent="0.3">
      <c r="A352" s="131"/>
      <c r="B352" s="131"/>
      <c r="C352" s="131"/>
      <c r="D352" s="131"/>
      <c r="E352" s="133"/>
      <c r="F352" s="131"/>
    </row>
    <row r="353" spans="1:6" x14ac:dyDescent="0.3">
      <c r="A353" s="131"/>
      <c r="B353" s="131"/>
      <c r="C353" s="131"/>
      <c r="D353" s="131"/>
      <c r="E353" s="133"/>
      <c r="F353" s="131"/>
    </row>
    <row r="354" spans="1:6" x14ac:dyDescent="0.3">
      <c r="A354" s="131"/>
      <c r="B354" s="131"/>
      <c r="C354" s="131"/>
      <c r="D354" s="131"/>
      <c r="E354" s="133"/>
      <c r="F354" s="131"/>
    </row>
    <row r="355" spans="1:6" x14ac:dyDescent="0.3">
      <c r="A355" s="131"/>
      <c r="B355" s="131"/>
      <c r="C355" s="131"/>
      <c r="D355" s="131"/>
      <c r="E355" s="133"/>
      <c r="F355" s="131"/>
    </row>
    <row r="356" spans="1:6" x14ac:dyDescent="0.3">
      <c r="A356" s="131"/>
      <c r="B356" s="131"/>
      <c r="C356" s="131"/>
      <c r="D356" s="131"/>
      <c r="E356" s="133"/>
      <c r="F356" s="131"/>
    </row>
    <row r="357" spans="1:6" x14ac:dyDescent="0.3">
      <c r="A357" s="131"/>
      <c r="B357" s="131"/>
      <c r="C357" s="131"/>
      <c r="D357" s="131"/>
      <c r="E357" s="133"/>
      <c r="F357" s="131"/>
    </row>
    <row r="358" spans="1:6" x14ac:dyDescent="0.3">
      <c r="A358" s="131"/>
      <c r="B358" s="131"/>
      <c r="C358" s="131"/>
      <c r="D358" s="131"/>
      <c r="E358" s="133"/>
      <c r="F358" s="131"/>
    </row>
    <row r="359" spans="1:6" x14ac:dyDescent="0.3">
      <c r="A359" s="131"/>
      <c r="B359" s="131"/>
      <c r="C359" s="131"/>
      <c r="D359" s="131"/>
      <c r="E359" s="133"/>
      <c r="F359" s="131"/>
    </row>
    <row r="360" spans="1:6" x14ac:dyDescent="0.3">
      <c r="A360" s="131"/>
      <c r="B360" s="131"/>
      <c r="C360" s="131"/>
      <c r="D360" s="131"/>
      <c r="E360" s="133"/>
      <c r="F360" s="131"/>
    </row>
    <row r="361" spans="1:6" x14ac:dyDescent="0.3">
      <c r="A361" s="131"/>
      <c r="B361" s="131"/>
      <c r="C361" s="131"/>
      <c r="D361" s="131"/>
      <c r="E361" s="133"/>
      <c r="F361" s="131"/>
    </row>
    <row r="362" spans="1:6" x14ac:dyDescent="0.3">
      <c r="A362" s="131"/>
      <c r="B362" s="131"/>
      <c r="C362" s="131"/>
      <c r="D362" s="131"/>
      <c r="E362" s="133"/>
      <c r="F362" s="131"/>
    </row>
    <row r="363" spans="1:6" x14ac:dyDescent="0.3">
      <c r="A363" s="131"/>
      <c r="B363" s="131"/>
      <c r="C363" s="131"/>
      <c r="D363" s="131"/>
      <c r="E363" s="133"/>
      <c r="F363" s="131"/>
    </row>
    <row r="364" spans="1:6" x14ac:dyDescent="0.3">
      <c r="A364" s="131"/>
      <c r="B364" s="131"/>
      <c r="C364" s="131"/>
      <c r="D364" s="131"/>
      <c r="E364" s="133"/>
      <c r="F364" s="131"/>
    </row>
    <row r="365" spans="1:6" x14ac:dyDescent="0.3">
      <c r="A365" s="131"/>
      <c r="B365" s="131"/>
      <c r="C365" s="131"/>
      <c r="D365" s="131"/>
      <c r="E365" s="133"/>
      <c r="F365" s="131"/>
    </row>
    <row r="366" spans="1:6" x14ac:dyDescent="0.3">
      <c r="A366" s="131"/>
      <c r="B366" s="131"/>
      <c r="C366" s="131"/>
      <c r="D366" s="131"/>
      <c r="E366" s="133"/>
      <c r="F366" s="131"/>
    </row>
    <row r="367" spans="1:6" x14ac:dyDescent="0.3">
      <c r="A367" s="131"/>
      <c r="B367" s="131"/>
      <c r="C367" s="131"/>
      <c r="D367" s="131"/>
      <c r="E367" s="133"/>
      <c r="F367" s="131"/>
    </row>
    <row r="368" spans="1:6" x14ac:dyDescent="0.3">
      <c r="A368" s="131"/>
      <c r="B368" s="131"/>
      <c r="C368" s="131"/>
      <c r="D368" s="131"/>
      <c r="E368" s="133"/>
      <c r="F368" s="131"/>
    </row>
    <row r="369" spans="1:6" x14ac:dyDescent="0.3">
      <c r="A369" s="131"/>
      <c r="B369" s="131"/>
      <c r="C369" s="131"/>
      <c r="D369" s="131"/>
      <c r="E369" s="133"/>
      <c r="F369" s="131"/>
    </row>
    <row r="370" spans="1:6" x14ac:dyDescent="0.3">
      <c r="A370" s="131"/>
      <c r="B370" s="131"/>
      <c r="C370" s="131"/>
      <c r="D370" s="131"/>
      <c r="E370" s="133"/>
      <c r="F370" s="131"/>
    </row>
    <row r="371" spans="1:6" x14ac:dyDescent="0.3">
      <c r="A371" s="131"/>
      <c r="B371" s="131"/>
      <c r="C371" s="131"/>
      <c r="D371" s="131"/>
      <c r="E371" s="133"/>
      <c r="F371" s="131"/>
    </row>
    <row r="372" spans="1:6" x14ac:dyDescent="0.3">
      <c r="A372" s="131"/>
      <c r="B372" s="131"/>
      <c r="C372" s="131"/>
      <c r="D372" s="131"/>
      <c r="E372" s="133"/>
      <c r="F372" s="131"/>
    </row>
    <row r="373" spans="1:6" x14ac:dyDescent="0.3">
      <c r="A373" s="131"/>
      <c r="B373" s="131"/>
      <c r="C373" s="131"/>
      <c r="D373" s="131"/>
      <c r="E373" s="133"/>
      <c r="F373" s="131"/>
    </row>
    <row r="374" spans="1:6" x14ac:dyDescent="0.3">
      <c r="A374" s="131"/>
      <c r="B374" s="131"/>
      <c r="C374" s="131"/>
      <c r="D374" s="131"/>
      <c r="E374" s="133"/>
      <c r="F374" s="131"/>
    </row>
    <row r="375" spans="1:6" x14ac:dyDescent="0.3">
      <c r="A375" s="131"/>
      <c r="B375" s="131"/>
      <c r="C375" s="131"/>
      <c r="D375" s="131"/>
      <c r="E375" s="133"/>
      <c r="F375" s="131"/>
    </row>
    <row r="376" spans="1:6" x14ac:dyDescent="0.3">
      <c r="A376" s="131"/>
      <c r="B376" s="131"/>
      <c r="C376" s="131"/>
      <c r="D376" s="131"/>
      <c r="E376" s="133"/>
      <c r="F376" s="131"/>
    </row>
    <row r="377" spans="1:6" x14ac:dyDescent="0.3">
      <c r="A377" s="131"/>
      <c r="B377" s="131"/>
      <c r="C377" s="131"/>
      <c r="D377" s="131"/>
      <c r="E377" s="133"/>
      <c r="F377" s="131"/>
    </row>
    <row r="378" spans="1:6" x14ac:dyDescent="0.3">
      <c r="A378" s="131"/>
      <c r="B378" s="131"/>
      <c r="C378" s="131"/>
      <c r="D378" s="131"/>
      <c r="E378" s="133"/>
      <c r="F378" s="131"/>
    </row>
    <row r="379" spans="1:6" x14ac:dyDescent="0.3">
      <c r="A379" s="131"/>
      <c r="B379" s="131"/>
      <c r="C379" s="131"/>
      <c r="D379" s="131"/>
      <c r="E379" s="133"/>
      <c r="F379" s="131"/>
    </row>
    <row r="380" spans="1:6" x14ac:dyDescent="0.3">
      <c r="A380" s="131"/>
      <c r="B380" s="131"/>
      <c r="C380" s="131"/>
      <c r="D380" s="131"/>
      <c r="E380" s="133"/>
      <c r="F380" s="131"/>
    </row>
    <row r="381" spans="1:6" x14ac:dyDescent="0.3">
      <c r="A381" s="131"/>
      <c r="B381" s="131"/>
      <c r="C381" s="131"/>
      <c r="D381" s="131"/>
      <c r="E381" s="133"/>
      <c r="F381" s="131"/>
    </row>
    <row r="382" spans="1:6" x14ac:dyDescent="0.3">
      <c r="A382" s="131"/>
      <c r="B382" s="131"/>
      <c r="C382" s="131"/>
      <c r="D382" s="131"/>
      <c r="E382" s="133"/>
      <c r="F382" s="131"/>
    </row>
    <row r="383" spans="1:6" x14ac:dyDescent="0.3">
      <c r="A383" s="131"/>
      <c r="B383" s="131"/>
      <c r="C383" s="131"/>
      <c r="D383" s="131"/>
      <c r="E383" s="133"/>
      <c r="F383" s="131"/>
    </row>
    <row r="384" spans="1:6" x14ac:dyDescent="0.3">
      <c r="A384" s="131"/>
      <c r="B384" s="131"/>
      <c r="C384" s="131"/>
      <c r="D384" s="131"/>
      <c r="E384" s="133"/>
      <c r="F384" s="131"/>
    </row>
    <row r="385" spans="1:6" x14ac:dyDescent="0.3">
      <c r="A385" s="131"/>
      <c r="B385" s="131"/>
      <c r="C385" s="131"/>
      <c r="D385" s="131"/>
      <c r="E385" s="133"/>
      <c r="F385" s="131"/>
    </row>
    <row r="386" spans="1:6" x14ac:dyDescent="0.3">
      <c r="A386" s="131"/>
      <c r="B386" s="131"/>
      <c r="C386" s="131"/>
      <c r="D386" s="131"/>
      <c r="E386" s="133"/>
      <c r="F386" s="131"/>
    </row>
    <row r="387" spans="1:6" x14ac:dyDescent="0.3">
      <c r="A387" s="131"/>
      <c r="B387" s="131"/>
      <c r="C387" s="131"/>
      <c r="D387" s="131"/>
      <c r="E387" s="133"/>
      <c r="F387" s="131"/>
    </row>
    <row r="388" spans="1:6" x14ac:dyDescent="0.3">
      <c r="A388" s="131"/>
      <c r="B388" s="131"/>
      <c r="C388" s="131"/>
      <c r="D388" s="131"/>
      <c r="E388" s="133"/>
      <c r="F388" s="131"/>
    </row>
    <row r="389" spans="1:6" x14ac:dyDescent="0.3">
      <c r="A389" s="131"/>
      <c r="B389" s="131"/>
      <c r="C389" s="131"/>
      <c r="D389" s="131"/>
      <c r="E389" s="133"/>
      <c r="F389" s="131"/>
    </row>
    <row r="390" spans="1:6" x14ac:dyDescent="0.3">
      <c r="A390" s="131"/>
      <c r="B390" s="131"/>
      <c r="C390" s="131"/>
      <c r="D390" s="131"/>
      <c r="E390" s="133"/>
      <c r="F390" s="131"/>
    </row>
    <row r="391" spans="1:6" x14ac:dyDescent="0.3">
      <c r="A391" s="131"/>
      <c r="B391" s="131"/>
      <c r="C391" s="131"/>
      <c r="D391" s="131"/>
      <c r="E391" s="133"/>
      <c r="F391" s="131"/>
    </row>
    <row r="392" spans="1:6" x14ac:dyDescent="0.3">
      <c r="A392" s="131"/>
      <c r="B392" s="131"/>
      <c r="C392" s="131"/>
      <c r="D392" s="131"/>
      <c r="E392" s="133"/>
      <c r="F392" s="131"/>
    </row>
    <row r="393" spans="1:6" x14ac:dyDescent="0.3">
      <c r="A393" s="131"/>
      <c r="B393" s="131"/>
      <c r="C393" s="131"/>
      <c r="D393" s="131"/>
      <c r="E393" s="133"/>
      <c r="F393" s="131"/>
    </row>
    <row r="394" spans="1:6" x14ac:dyDescent="0.3">
      <c r="A394" s="131"/>
      <c r="B394" s="131"/>
      <c r="C394" s="131"/>
      <c r="D394" s="131"/>
      <c r="E394" s="133"/>
      <c r="F394" s="131"/>
    </row>
    <row r="395" spans="1:6" x14ac:dyDescent="0.3">
      <c r="A395" s="131"/>
      <c r="B395" s="131"/>
      <c r="C395" s="131"/>
      <c r="D395" s="131"/>
      <c r="E395" s="133"/>
      <c r="F395" s="131"/>
    </row>
    <row r="396" spans="1:6" x14ac:dyDescent="0.3">
      <c r="A396" s="131"/>
      <c r="B396" s="131"/>
      <c r="C396" s="131"/>
      <c r="D396" s="131"/>
      <c r="E396" s="133"/>
      <c r="F396" s="131"/>
    </row>
    <row r="397" spans="1:6" x14ac:dyDescent="0.3">
      <c r="A397" s="131"/>
      <c r="B397" s="131"/>
      <c r="C397" s="131"/>
      <c r="D397" s="131"/>
      <c r="E397" s="133"/>
      <c r="F397" s="131"/>
    </row>
    <row r="398" spans="1:6" x14ac:dyDescent="0.3">
      <c r="A398" s="131"/>
      <c r="B398" s="131"/>
      <c r="C398" s="131"/>
      <c r="D398" s="131"/>
      <c r="E398" s="133"/>
      <c r="F398" s="131"/>
    </row>
    <row r="399" spans="1:6" x14ac:dyDescent="0.3">
      <c r="A399" s="131"/>
      <c r="B399" s="131"/>
      <c r="C399" s="131"/>
      <c r="D399" s="131"/>
      <c r="E399" s="133"/>
      <c r="F399" s="131"/>
    </row>
    <row r="400" spans="1:6" x14ac:dyDescent="0.3">
      <c r="A400" s="131"/>
      <c r="B400" s="131"/>
      <c r="C400" s="131"/>
      <c r="D400" s="131"/>
      <c r="E400" s="133"/>
      <c r="F400" s="131"/>
    </row>
    <row r="401" spans="1:6" x14ac:dyDescent="0.3">
      <c r="A401" s="131"/>
      <c r="B401" s="131"/>
      <c r="C401" s="131"/>
      <c r="D401" s="131"/>
      <c r="E401" s="133"/>
      <c r="F401" s="131"/>
    </row>
    <row r="402" spans="1:6" x14ac:dyDescent="0.3">
      <c r="A402" s="131"/>
      <c r="B402" s="131"/>
      <c r="C402" s="131"/>
      <c r="D402" s="131"/>
      <c r="E402" s="133"/>
      <c r="F402" s="131"/>
    </row>
    <row r="403" spans="1:6" x14ac:dyDescent="0.3">
      <c r="A403" s="131"/>
      <c r="B403" s="131"/>
      <c r="C403" s="131"/>
      <c r="D403" s="131"/>
      <c r="E403" s="133"/>
      <c r="F403" s="131"/>
    </row>
    <row r="404" spans="1:6" x14ac:dyDescent="0.3">
      <c r="A404" s="131"/>
      <c r="B404" s="131"/>
      <c r="C404" s="131"/>
      <c r="D404" s="131"/>
      <c r="E404" s="133"/>
      <c r="F404" s="131"/>
    </row>
    <row r="405" spans="1:6" x14ac:dyDescent="0.3">
      <c r="A405" s="131"/>
      <c r="B405" s="131"/>
      <c r="C405" s="131"/>
      <c r="D405" s="131"/>
      <c r="E405" s="133"/>
      <c r="F405" s="131"/>
    </row>
    <row r="406" spans="1:6" x14ac:dyDescent="0.3">
      <c r="A406" s="131"/>
      <c r="B406" s="131"/>
      <c r="C406" s="131"/>
      <c r="D406" s="131"/>
      <c r="E406" s="133"/>
      <c r="F406" s="131"/>
    </row>
    <row r="407" spans="1:6" x14ac:dyDescent="0.3">
      <c r="A407" s="131"/>
      <c r="B407" s="131"/>
      <c r="C407" s="131"/>
      <c r="D407" s="131"/>
      <c r="E407" s="133"/>
      <c r="F407" s="131"/>
    </row>
    <row r="408" spans="1:6" x14ac:dyDescent="0.3">
      <c r="A408" s="131"/>
      <c r="B408" s="131"/>
      <c r="C408" s="131"/>
      <c r="D408" s="131"/>
      <c r="E408" s="133"/>
      <c r="F408" s="131"/>
    </row>
    <row r="409" spans="1:6" x14ac:dyDescent="0.3">
      <c r="A409" s="131"/>
      <c r="B409" s="131"/>
      <c r="C409" s="131"/>
      <c r="D409" s="131"/>
      <c r="E409" s="133"/>
      <c r="F409" s="131"/>
    </row>
    <row r="410" spans="1:6" x14ac:dyDescent="0.3">
      <c r="A410" s="131"/>
      <c r="B410" s="131"/>
      <c r="C410" s="131"/>
      <c r="D410" s="131"/>
      <c r="E410" s="133"/>
      <c r="F410" s="131"/>
    </row>
    <row r="411" spans="1:6" x14ac:dyDescent="0.3">
      <c r="A411" s="131"/>
      <c r="B411" s="131"/>
      <c r="C411" s="131"/>
      <c r="D411" s="131"/>
      <c r="E411" s="133"/>
      <c r="F411" s="131"/>
    </row>
    <row r="412" spans="1:6" x14ac:dyDescent="0.3">
      <c r="A412" s="131"/>
      <c r="B412" s="131"/>
      <c r="C412" s="131"/>
      <c r="D412" s="131"/>
      <c r="E412" s="133"/>
      <c r="F412" s="131"/>
    </row>
    <row r="413" spans="1:6" x14ac:dyDescent="0.3">
      <c r="A413" s="131"/>
      <c r="B413" s="131"/>
      <c r="C413" s="131"/>
      <c r="D413" s="131"/>
      <c r="E413" s="133"/>
      <c r="F413" s="131"/>
    </row>
    <row r="414" spans="1:6" x14ac:dyDescent="0.3">
      <c r="A414" s="131"/>
      <c r="B414" s="131"/>
      <c r="C414" s="131"/>
      <c r="D414" s="131"/>
      <c r="E414" s="133"/>
      <c r="F414" s="131"/>
    </row>
    <row r="415" spans="1:6" x14ac:dyDescent="0.3">
      <c r="A415" s="131"/>
      <c r="B415" s="131"/>
      <c r="C415" s="131"/>
      <c r="D415" s="131"/>
      <c r="E415" s="133"/>
      <c r="F415" s="131"/>
    </row>
    <row r="416" spans="1:6" x14ac:dyDescent="0.3">
      <c r="A416" s="131"/>
      <c r="B416" s="131"/>
      <c r="C416" s="131"/>
      <c r="D416" s="131"/>
      <c r="E416" s="133"/>
      <c r="F416" s="131"/>
    </row>
    <row r="417" spans="1:6" x14ac:dyDescent="0.3">
      <c r="A417" s="131"/>
      <c r="B417" s="131"/>
      <c r="C417" s="131"/>
      <c r="D417" s="131"/>
      <c r="E417" s="133"/>
      <c r="F417" s="131"/>
    </row>
    <row r="418" spans="1:6" x14ac:dyDescent="0.3">
      <c r="A418" s="131"/>
      <c r="B418" s="131"/>
      <c r="C418" s="131"/>
      <c r="D418" s="131"/>
      <c r="E418" s="133"/>
      <c r="F418" s="131"/>
    </row>
    <row r="419" spans="1:6" x14ac:dyDescent="0.3">
      <c r="A419" s="131"/>
      <c r="B419" s="131"/>
      <c r="C419" s="131"/>
      <c r="D419" s="131"/>
      <c r="E419" s="133"/>
      <c r="F419" s="131"/>
    </row>
    <row r="420" spans="1:6" x14ac:dyDescent="0.3">
      <c r="A420" s="131"/>
      <c r="B420" s="131"/>
      <c r="C420" s="131"/>
      <c r="D420" s="131"/>
      <c r="E420" s="133"/>
      <c r="F420" s="131"/>
    </row>
    <row r="421" spans="1:6" x14ac:dyDescent="0.3">
      <c r="A421" s="131"/>
      <c r="B421" s="131"/>
      <c r="C421" s="131"/>
      <c r="D421" s="131"/>
      <c r="E421" s="133"/>
      <c r="F421" s="131"/>
    </row>
    <row r="422" spans="1:6" x14ac:dyDescent="0.3">
      <c r="A422" s="131"/>
      <c r="B422" s="131"/>
      <c r="C422" s="131"/>
      <c r="D422" s="131"/>
      <c r="E422" s="133"/>
      <c r="F422" s="131"/>
    </row>
    <row r="423" spans="1:6" x14ac:dyDescent="0.3">
      <c r="A423" s="131"/>
      <c r="B423" s="131"/>
      <c r="C423" s="131"/>
      <c r="D423" s="131"/>
      <c r="E423" s="133"/>
      <c r="F423" s="131"/>
    </row>
    <row r="424" spans="1:6" x14ac:dyDescent="0.3">
      <c r="A424" s="131"/>
      <c r="B424" s="131"/>
      <c r="C424" s="131"/>
      <c r="D424" s="131"/>
      <c r="E424" s="133"/>
      <c r="F424" s="131"/>
    </row>
    <row r="425" spans="1:6" x14ac:dyDescent="0.3">
      <c r="A425" s="131"/>
      <c r="B425" s="131"/>
      <c r="C425" s="131"/>
      <c r="D425" s="131"/>
      <c r="E425" s="133"/>
      <c r="F425" s="131"/>
    </row>
    <row r="426" spans="1:6" x14ac:dyDescent="0.3">
      <c r="A426" s="131"/>
      <c r="B426" s="131"/>
      <c r="C426" s="131"/>
      <c r="D426" s="131"/>
      <c r="E426" s="133"/>
      <c r="F426" s="131"/>
    </row>
    <row r="427" spans="1:6" x14ac:dyDescent="0.3">
      <c r="A427" s="131"/>
      <c r="B427" s="131"/>
      <c r="C427" s="131"/>
      <c r="D427" s="131"/>
      <c r="E427" s="133"/>
      <c r="F427" s="131"/>
    </row>
    <row r="428" spans="1:6" x14ac:dyDescent="0.3">
      <c r="A428" s="131"/>
      <c r="B428" s="131"/>
      <c r="C428" s="131"/>
      <c r="D428" s="131"/>
      <c r="E428" s="133"/>
      <c r="F428" s="131"/>
    </row>
    <row r="429" spans="1:6" x14ac:dyDescent="0.3">
      <c r="A429" s="131"/>
      <c r="B429" s="131"/>
      <c r="C429" s="131"/>
      <c r="D429" s="131"/>
      <c r="E429" s="133"/>
      <c r="F429" s="131"/>
    </row>
    <row r="430" spans="1:6" x14ac:dyDescent="0.3">
      <c r="A430" s="131"/>
      <c r="B430" s="131"/>
      <c r="C430" s="131"/>
      <c r="D430" s="131"/>
      <c r="E430" s="133"/>
      <c r="F430" s="131"/>
    </row>
    <row r="431" spans="1:6" x14ac:dyDescent="0.3">
      <c r="A431" s="131"/>
      <c r="B431" s="131"/>
      <c r="C431" s="131"/>
      <c r="D431" s="131"/>
      <c r="E431" s="133"/>
      <c r="F431" s="131"/>
    </row>
    <row r="432" spans="1:6" x14ac:dyDescent="0.3">
      <c r="A432" s="131"/>
      <c r="B432" s="131"/>
      <c r="C432" s="131"/>
      <c r="D432" s="131"/>
      <c r="E432" s="133"/>
      <c r="F432" s="131"/>
    </row>
    <row r="433" spans="1:6" x14ac:dyDescent="0.3">
      <c r="A433" s="131"/>
      <c r="B433" s="131"/>
      <c r="C433" s="131"/>
      <c r="D433" s="131"/>
      <c r="E433" s="133"/>
      <c r="F433" s="131"/>
    </row>
    <row r="434" spans="1:6" x14ac:dyDescent="0.3">
      <c r="A434" s="131"/>
      <c r="B434" s="131"/>
      <c r="C434" s="131"/>
      <c r="D434" s="131"/>
      <c r="E434" s="133"/>
      <c r="F434" s="131"/>
    </row>
    <row r="435" spans="1:6" x14ac:dyDescent="0.3">
      <c r="A435" s="131"/>
      <c r="B435" s="131"/>
      <c r="C435" s="131"/>
      <c r="D435" s="131"/>
      <c r="E435" s="133"/>
      <c r="F435" s="131"/>
    </row>
    <row r="436" spans="1:6" x14ac:dyDescent="0.3">
      <c r="A436" s="131"/>
      <c r="B436" s="131"/>
      <c r="C436" s="131"/>
      <c r="D436" s="131"/>
      <c r="E436" s="133"/>
      <c r="F436" s="131"/>
    </row>
    <row r="437" spans="1:6" x14ac:dyDescent="0.3">
      <c r="A437" s="131"/>
      <c r="B437" s="131"/>
      <c r="C437" s="131"/>
      <c r="D437" s="131"/>
      <c r="E437" s="133"/>
      <c r="F437" s="131"/>
    </row>
    <row r="438" spans="1:6" x14ac:dyDescent="0.3">
      <c r="A438" s="131"/>
      <c r="B438" s="131"/>
      <c r="C438" s="131"/>
      <c r="D438" s="131"/>
      <c r="E438" s="133"/>
      <c r="F438" s="131"/>
    </row>
    <row r="439" spans="1:6" x14ac:dyDescent="0.3">
      <c r="A439" s="131"/>
      <c r="B439" s="131"/>
      <c r="C439" s="131"/>
      <c r="D439" s="131"/>
      <c r="E439" s="133"/>
      <c r="F439" s="131"/>
    </row>
    <row r="440" spans="1:6" x14ac:dyDescent="0.3">
      <c r="A440" s="131"/>
      <c r="B440" s="131"/>
      <c r="C440" s="131"/>
      <c r="D440" s="131"/>
      <c r="E440" s="133"/>
      <c r="F440" s="131"/>
    </row>
    <row r="441" spans="1:6" x14ac:dyDescent="0.3">
      <c r="A441" s="131"/>
      <c r="B441" s="131"/>
      <c r="C441" s="131"/>
      <c r="D441" s="131"/>
      <c r="E441" s="133"/>
      <c r="F441" s="131"/>
    </row>
    <row r="442" spans="1:6" x14ac:dyDescent="0.3">
      <c r="A442" s="131"/>
      <c r="B442" s="131"/>
      <c r="C442" s="131"/>
      <c r="D442" s="131"/>
      <c r="E442" s="133"/>
      <c r="F442" s="131"/>
    </row>
    <row r="443" spans="1:6" x14ac:dyDescent="0.3">
      <c r="A443" s="131"/>
      <c r="B443" s="131"/>
      <c r="C443" s="131"/>
      <c r="D443" s="131"/>
      <c r="E443" s="133"/>
      <c r="F443" s="131"/>
    </row>
    <row r="444" spans="1:6" x14ac:dyDescent="0.3">
      <c r="A444" s="131"/>
      <c r="B444" s="131"/>
      <c r="C444" s="131"/>
      <c r="D444" s="131"/>
      <c r="E444" s="133"/>
      <c r="F444" s="131"/>
    </row>
    <row r="445" spans="1:6" x14ac:dyDescent="0.3">
      <c r="A445" s="131"/>
      <c r="B445" s="131"/>
      <c r="C445" s="131"/>
      <c r="D445" s="131"/>
      <c r="E445" s="133"/>
      <c r="F445" s="131"/>
    </row>
    <row r="446" spans="1:6" x14ac:dyDescent="0.3">
      <c r="A446" s="131"/>
      <c r="B446" s="131"/>
      <c r="C446" s="131"/>
      <c r="D446" s="131"/>
      <c r="E446" s="133"/>
      <c r="F446" s="131"/>
    </row>
    <row r="447" spans="1:6" x14ac:dyDescent="0.3">
      <c r="A447" s="131"/>
      <c r="B447" s="131"/>
      <c r="C447" s="131"/>
      <c r="D447" s="131"/>
      <c r="E447" s="133"/>
      <c r="F447" s="131"/>
    </row>
    <row r="448" spans="1:6" x14ac:dyDescent="0.3">
      <c r="A448" s="131"/>
      <c r="B448" s="131"/>
      <c r="C448" s="131"/>
      <c r="D448" s="131"/>
      <c r="E448" s="133"/>
      <c r="F448" s="131"/>
    </row>
    <row r="449" spans="1:6" x14ac:dyDescent="0.3">
      <c r="A449" s="131"/>
      <c r="B449" s="131"/>
      <c r="C449" s="131"/>
      <c r="D449" s="131"/>
      <c r="E449" s="133"/>
      <c r="F449" s="131"/>
    </row>
    <row r="450" spans="1:6" x14ac:dyDescent="0.3">
      <c r="A450" s="131"/>
      <c r="B450" s="131"/>
      <c r="C450" s="131"/>
      <c r="D450" s="131"/>
      <c r="E450" s="133"/>
      <c r="F450" s="131"/>
    </row>
    <row r="451" spans="1:6" x14ac:dyDescent="0.3">
      <c r="A451" s="131"/>
      <c r="B451" s="131"/>
      <c r="C451" s="131"/>
      <c r="D451" s="131"/>
      <c r="E451" s="133"/>
      <c r="F451" s="131"/>
    </row>
    <row r="452" spans="1:6" x14ac:dyDescent="0.3">
      <c r="A452" s="131"/>
      <c r="B452" s="131"/>
      <c r="C452" s="131"/>
      <c r="D452" s="131"/>
      <c r="E452" s="133"/>
      <c r="F452" s="131"/>
    </row>
    <row r="453" spans="1:6" x14ac:dyDescent="0.3">
      <c r="A453" s="131"/>
      <c r="B453" s="131"/>
      <c r="C453" s="131"/>
      <c r="D453" s="131"/>
      <c r="E453" s="133"/>
      <c r="F453" s="131"/>
    </row>
    <row r="454" spans="1:6" x14ac:dyDescent="0.3">
      <c r="A454" s="131"/>
      <c r="B454" s="131"/>
      <c r="C454" s="131"/>
      <c r="D454" s="131"/>
      <c r="E454" s="133"/>
      <c r="F454" s="131"/>
    </row>
    <row r="455" spans="1:6" x14ac:dyDescent="0.3">
      <c r="A455" s="131"/>
      <c r="B455" s="131"/>
      <c r="C455" s="131"/>
      <c r="D455" s="131"/>
      <c r="E455" s="133"/>
      <c r="F455" s="131"/>
    </row>
    <row r="456" spans="1:6" x14ac:dyDescent="0.3">
      <c r="A456" s="131"/>
      <c r="B456" s="131"/>
      <c r="C456" s="131"/>
      <c r="D456" s="131"/>
      <c r="E456" s="133"/>
      <c r="F456" s="131"/>
    </row>
    <row r="457" spans="1:6" x14ac:dyDescent="0.3">
      <c r="A457" s="131"/>
      <c r="B457" s="131"/>
      <c r="C457" s="131"/>
      <c r="D457" s="131"/>
      <c r="E457" s="133"/>
      <c r="F457" s="131"/>
    </row>
    <row r="458" spans="1:6" x14ac:dyDescent="0.3">
      <c r="A458" s="131"/>
      <c r="B458" s="131"/>
      <c r="C458" s="131"/>
      <c r="D458" s="131"/>
      <c r="E458" s="133"/>
      <c r="F458" s="131"/>
    </row>
    <row r="459" spans="1:6" x14ac:dyDescent="0.3">
      <c r="A459" s="131"/>
      <c r="B459" s="131"/>
      <c r="C459" s="131"/>
      <c r="D459" s="131"/>
      <c r="E459" s="133"/>
      <c r="F459" s="131"/>
    </row>
    <row r="460" spans="1:6" x14ac:dyDescent="0.3">
      <c r="A460" s="131"/>
      <c r="B460" s="131"/>
      <c r="C460" s="131"/>
      <c r="D460" s="131"/>
      <c r="E460" s="133"/>
      <c r="F460" s="131"/>
    </row>
    <row r="461" spans="1:6" x14ac:dyDescent="0.3">
      <c r="A461" s="131"/>
      <c r="B461" s="131"/>
      <c r="C461" s="131"/>
      <c r="D461" s="131"/>
      <c r="E461" s="133"/>
      <c r="F461" s="131"/>
    </row>
    <row r="462" spans="1:6" x14ac:dyDescent="0.3">
      <c r="A462" s="131"/>
      <c r="B462" s="131"/>
      <c r="C462" s="131"/>
      <c r="D462" s="131"/>
      <c r="E462" s="133"/>
      <c r="F462" s="131"/>
    </row>
    <row r="463" spans="1:6" x14ac:dyDescent="0.3">
      <c r="A463" s="131"/>
      <c r="B463" s="131"/>
      <c r="C463" s="131"/>
      <c r="D463" s="131"/>
      <c r="E463" s="133"/>
      <c r="F463" s="131"/>
    </row>
    <row r="464" spans="1:6" x14ac:dyDescent="0.3">
      <c r="A464" s="131"/>
      <c r="B464" s="131"/>
      <c r="C464" s="131"/>
      <c r="D464" s="131"/>
      <c r="E464" s="133"/>
      <c r="F464" s="131"/>
    </row>
    <row r="465" spans="1:6" x14ac:dyDescent="0.3">
      <c r="A465" s="131"/>
      <c r="B465" s="131"/>
      <c r="C465" s="131"/>
      <c r="D465" s="131"/>
      <c r="E465" s="133"/>
      <c r="F465" s="131"/>
    </row>
    <row r="466" spans="1:6" x14ac:dyDescent="0.3">
      <c r="A466" s="131"/>
      <c r="B466" s="131"/>
      <c r="C466" s="131"/>
      <c r="D466" s="131"/>
      <c r="E466" s="133"/>
      <c r="F466" s="131"/>
    </row>
    <row r="467" spans="1:6" x14ac:dyDescent="0.3">
      <c r="A467" s="131"/>
      <c r="B467" s="131"/>
      <c r="C467" s="131"/>
      <c r="D467" s="131"/>
      <c r="E467" s="133"/>
      <c r="F467" s="131"/>
    </row>
    <row r="468" spans="1:6" x14ac:dyDescent="0.3">
      <c r="A468" s="131"/>
      <c r="B468" s="131"/>
      <c r="C468" s="131"/>
      <c r="D468" s="131"/>
      <c r="E468" s="133"/>
      <c r="F468" s="131"/>
    </row>
    <row r="469" spans="1:6" x14ac:dyDescent="0.3">
      <c r="A469" s="131"/>
      <c r="B469" s="131"/>
      <c r="C469" s="131"/>
      <c r="D469" s="131"/>
      <c r="E469" s="133"/>
      <c r="F469" s="131"/>
    </row>
    <row r="470" spans="1:6" x14ac:dyDescent="0.3">
      <c r="A470" s="131"/>
      <c r="B470" s="131"/>
      <c r="C470" s="131"/>
      <c r="D470" s="131"/>
      <c r="E470" s="133"/>
      <c r="F470" s="131"/>
    </row>
    <row r="471" spans="1:6" x14ac:dyDescent="0.3">
      <c r="A471" s="131"/>
      <c r="B471" s="131"/>
      <c r="C471" s="131"/>
      <c r="D471" s="131"/>
      <c r="E471" s="133"/>
      <c r="F471" s="131"/>
    </row>
    <row r="472" spans="1:6" x14ac:dyDescent="0.3">
      <c r="A472" s="131"/>
      <c r="B472" s="131"/>
      <c r="C472" s="131"/>
      <c r="D472" s="131"/>
      <c r="E472" s="133"/>
      <c r="F472" s="131"/>
    </row>
    <row r="473" spans="1:6" x14ac:dyDescent="0.3">
      <c r="A473" s="131"/>
      <c r="B473" s="131"/>
      <c r="C473" s="131"/>
      <c r="D473" s="131"/>
      <c r="E473" s="133"/>
      <c r="F473" s="131"/>
    </row>
    <row r="474" spans="1:6" x14ac:dyDescent="0.3">
      <c r="A474" s="131"/>
      <c r="B474" s="131"/>
      <c r="C474" s="131"/>
      <c r="D474" s="131"/>
      <c r="E474" s="133"/>
      <c r="F474" s="131"/>
    </row>
    <row r="475" spans="1:6" x14ac:dyDescent="0.3">
      <c r="A475" s="131"/>
      <c r="B475" s="131"/>
      <c r="C475" s="131"/>
      <c r="D475" s="131"/>
      <c r="E475" s="133"/>
      <c r="F475" s="131"/>
    </row>
    <row r="476" spans="1:6" x14ac:dyDescent="0.3">
      <c r="A476" s="131"/>
      <c r="B476" s="131"/>
      <c r="C476" s="131"/>
      <c r="D476" s="131"/>
      <c r="E476" s="133"/>
      <c r="F476" s="131"/>
    </row>
    <row r="477" spans="1:6" x14ac:dyDescent="0.3">
      <c r="A477" s="131"/>
      <c r="B477" s="131"/>
      <c r="C477" s="131"/>
      <c r="D477" s="131"/>
      <c r="E477" s="133"/>
      <c r="F477" s="131"/>
    </row>
    <row r="478" spans="1:6" x14ac:dyDescent="0.3">
      <c r="A478" s="131"/>
      <c r="B478" s="131"/>
      <c r="C478" s="131"/>
      <c r="D478" s="131"/>
      <c r="E478" s="133"/>
      <c r="F478" s="131"/>
    </row>
    <row r="479" spans="1:6" x14ac:dyDescent="0.3">
      <c r="A479" s="131"/>
      <c r="B479" s="131"/>
      <c r="C479" s="131"/>
      <c r="D479" s="131"/>
      <c r="E479" s="133"/>
      <c r="F479" s="131"/>
    </row>
    <row r="480" spans="1:6" x14ac:dyDescent="0.3">
      <c r="A480" s="131"/>
      <c r="B480" s="131"/>
      <c r="C480" s="131"/>
      <c r="D480" s="131"/>
      <c r="E480" s="133"/>
      <c r="F480" s="131"/>
    </row>
    <row r="481" spans="1:6" x14ac:dyDescent="0.3">
      <c r="A481" s="131"/>
      <c r="B481" s="131"/>
      <c r="C481" s="131"/>
      <c r="D481" s="131"/>
      <c r="E481" s="133"/>
      <c r="F481" s="131"/>
    </row>
    <row r="482" spans="1:6" x14ac:dyDescent="0.3">
      <c r="A482" s="131"/>
      <c r="B482" s="131"/>
      <c r="C482" s="131"/>
      <c r="D482" s="131"/>
      <c r="E482" s="133"/>
      <c r="F482" s="131"/>
    </row>
    <row r="483" spans="1:6" x14ac:dyDescent="0.3">
      <c r="A483" s="131"/>
      <c r="B483" s="131"/>
      <c r="C483" s="131"/>
      <c r="D483" s="131"/>
      <c r="E483" s="133"/>
      <c r="F483" s="131"/>
    </row>
    <row r="484" spans="1:6" x14ac:dyDescent="0.3">
      <c r="A484" s="131"/>
      <c r="B484" s="131"/>
      <c r="C484" s="131"/>
      <c r="D484" s="131"/>
      <c r="E484" s="133"/>
      <c r="F484" s="131"/>
    </row>
    <row r="485" spans="1:6" x14ac:dyDescent="0.3">
      <c r="A485" s="131"/>
      <c r="B485" s="131"/>
      <c r="C485" s="131"/>
      <c r="D485" s="131"/>
      <c r="E485" s="133"/>
      <c r="F485" s="131"/>
    </row>
    <row r="486" spans="1:6" x14ac:dyDescent="0.3">
      <c r="A486" s="131"/>
      <c r="B486" s="131"/>
      <c r="C486" s="131"/>
      <c r="D486" s="131"/>
      <c r="E486" s="133"/>
      <c r="F486" s="131"/>
    </row>
    <row r="487" spans="1:6" x14ac:dyDescent="0.3">
      <c r="A487" s="131"/>
      <c r="B487" s="131"/>
      <c r="C487" s="131"/>
      <c r="D487" s="131"/>
      <c r="E487" s="133"/>
      <c r="F487" s="131"/>
    </row>
    <row r="488" spans="1:6" x14ac:dyDescent="0.3">
      <c r="A488" s="131"/>
      <c r="B488" s="131"/>
      <c r="C488" s="131"/>
      <c r="D488" s="131"/>
      <c r="E488" s="133"/>
      <c r="F488" s="131"/>
    </row>
    <row r="489" spans="1:6" x14ac:dyDescent="0.3">
      <c r="A489" s="131"/>
      <c r="B489" s="131"/>
      <c r="C489" s="131"/>
      <c r="D489" s="131"/>
      <c r="E489" s="133"/>
      <c r="F489" s="131"/>
    </row>
    <row r="490" spans="1:6" x14ac:dyDescent="0.3">
      <c r="A490" s="131"/>
      <c r="B490" s="131"/>
      <c r="C490" s="131"/>
      <c r="D490" s="131"/>
      <c r="E490" s="133"/>
      <c r="F490" s="131"/>
    </row>
    <row r="491" spans="1:6" x14ac:dyDescent="0.3">
      <c r="A491" s="131"/>
      <c r="B491" s="131"/>
      <c r="C491" s="131"/>
      <c r="D491" s="131"/>
      <c r="E491" s="133"/>
      <c r="F491" s="131"/>
    </row>
    <row r="492" spans="1:6" x14ac:dyDescent="0.3">
      <c r="A492" s="131"/>
      <c r="B492" s="131"/>
      <c r="C492" s="131"/>
      <c r="D492" s="131"/>
      <c r="E492" s="133"/>
      <c r="F492" s="131"/>
    </row>
    <row r="493" spans="1:6" x14ac:dyDescent="0.3">
      <c r="A493" s="131"/>
      <c r="B493" s="131"/>
      <c r="C493" s="131"/>
      <c r="D493" s="131"/>
      <c r="E493" s="133"/>
      <c r="F493" s="131"/>
    </row>
    <row r="494" spans="1:6" x14ac:dyDescent="0.3">
      <c r="A494" s="131"/>
      <c r="B494" s="131"/>
      <c r="C494" s="131"/>
      <c r="D494" s="131"/>
      <c r="E494" s="133"/>
      <c r="F494" s="131"/>
    </row>
    <row r="495" spans="1:6" x14ac:dyDescent="0.3">
      <c r="A495" s="131"/>
      <c r="B495" s="131"/>
      <c r="C495" s="131"/>
      <c r="D495" s="131"/>
      <c r="E495" s="133"/>
      <c r="F495" s="131"/>
    </row>
    <row r="496" spans="1:6" x14ac:dyDescent="0.3">
      <c r="A496" s="131"/>
      <c r="B496" s="131"/>
      <c r="C496" s="131"/>
      <c r="D496" s="131"/>
      <c r="E496" s="133"/>
      <c r="F496" s="131"/>
    </row>
    <row r="497" spans="1:6" x14ac:dyDescent="0.3">
      <c r="A497" s="131"/>
      <c r="B497" s="131"/>
      <c r="C497" s="131"/>
      <c r="D497" s="131"/>
      <c r="E497" s="133"/>
      <c r="F497" s="131"/>
    </row>
    <row r="498" spans="1:6" x14ac:dyDescent="0.3">
      <c r="A498" s="131"/>
      <c r="B498" s="131"/>
      <c r="C498" s="131"/>
      <c r="D498" s="131"/>
      <c r="E498" s="133"/>
      <c r="F498" s="131"/>
    </row>
    <row r="499" spans="1:6" x14ac:dyDescent="0.3">
      <c r="A499" s="131"/>
      <c r="B499" s="131"/>
      <c r="C499" s="131"/>
      <c r="D499" s="131"/>
      <c r="E499" s="133"/>
      <c r="F499" s="131"/>
    </row>
    <row r="500" spans="1:6" x14ac:dyDescent="0.3">
      <c r="A500" s="131"/>
      <c r="B500" s="131"/>
      <c r="C500" s="131"/>
      <c r="D500" s="131"/>
      <c r="E500" s="133"/>
      <c r="F500" s="131"/>
    </row>
    <row r="501" spans="1:6" x14ac:dyDescent="0.3">
      <c r="A501" s="131"/>
      <c r="B501" s="131"/>
      <c r="C501" s="131"/>
      <c r="D501" s="131"/>
      <c r="E501" s="133"/>
      <c r="F501" s="131"/>
    </row>
    <row r="502" spans="1:6" x14ac:dyDescent="0.3">
      <c r="A502" s="131"/>
      <c r="B502" s="131"/>
      <c r="C502" s="131"/>
      <c r="D502" s="131"/>
      <c r="E502" s="133"/>
      <c r="F502" s="131"/>
    </row>
    <row r="503" spans="1:6" x14ac:dyDescent="0.3">
      <c r="A503" s="131"/>
      <c r="B503" s="131"/>
      <c r="C503" s="131"/>
      <c r="D503" s="131"/>
      <c r="E503" s="133"/>
      <c r="F503" s="131"/>
    </row>
    <row r="504" spans="1:6" x14ac:dyDescent="0.3">
      <c r="A504" s="131"/>
      <c r="B504" s="131"/>
      <c r="C504" s="131"/>
      <c r="D504" s="131"/>
      <c r="E504" s="133"/>
      <c r="F504" s="131"/>
    </row>
    <row r="505" spans="1:6" x14ac:dyDescent="0.3">
      <c r="A505" s="131"/>
      <c r="B505" s="131"/>
      <c r="C505" s="131"/>
      <c r="D505" s="131"/>
      <c r="E505" s="133"/>
      <c r="F505" s="131"/>
    </row>
    <row r="506" spans="1:6" x14ac:dyDescent="0.3">
      <c r="A506" s="131"/>
      <c r="B506" s="131"/>
      <c r="C506" s="131"/>
      <c r="D506" s="131"/>
      <c r="E506" s="133"/>
      <c r="F506" s="131"/>
    </row>
    <row r="507" spans="1:6" x14ac:dyDescent="0.3">
      <c r="A507" s="131"/>
      <c r="B507" s="131"/>
      <c r="C507" s="131"/>
      <c r="D507" s="131"/>
      <c r="E507" s="133"/>
      <c r="F507" s="131"/>
    </row>
    <row r="508" spans="1:6" x14ac:dyDescent="0.3">
      <c r="A508" s="131"/>
      <c r="B508" s="131"/>
      <c r="C508" s="131"/>
      <c r="D508" s="131"/>
      <c r="E508" s="133"/>
      <c r="F508" s="131"/>
    </row>
    <row r="509" spans="1:6" x14ac:dyDescent="0.3">
      <c r="A509" s="131"/>
      <c r="B509" s="131"/>
      <c r="C509" s="131"/>
      <c r="D509" s="131"/>
      <c r="E509" s="133"/>
      <c r="F509" s="131"/>
    </row>
    <row r="510" spans="1:6" x14ac:dyDescent="0.3">
      <c r="A510" s="131"/>
      <c r="B510" s="131"/>
      <c r="C510" s="131"/>
      <c r="D510" s="131"/>
      <c r="E510" s="133"/>
      <c r="F510" s="131"/>
    </row>
    <row r="511" spans="1:6" x14ac:dyDescent="0.3">
      <c r="A511" s="131"/>
      <c r="B511" s="131"/>
      <c r="C511" s="131"/>
      <c r="D511" s="131"/>
      <c r="E511" s="133"/>
      <c r="F511" s="131"/>
    </row>
    <row r="512" spans="1:6" x14ac:dyDescent="0.3">
      <c r="A512" s="131"/>
      <c r="B512" s="131"/>
      <c r="C512" s="131"/>
      <c r="D512" s="131"/>
      <c r="E512" s="133"/>
      <c r="F512" s="131"/>
    </row>
    <row r="513" spans="1:6" x14ac:dyDescent="0.3">
      <c r="A513" s="131"/>
      <c r="B513" s="131"/>
      <c r="C513" s="131"/>
      <c r="D513" s="131"/>
      <c r="E513" s="133"/>
      <c r="F513" s="131"/>
    </row>
    <row r="514" spans="1:6" x14ac:dyDescent="0.3">
      <c r="A514" s="131"/>
      <c r="B514" s="131"/>
      <c r="C514" s="131"/>
      <c r="D514" s="131"/>
      <c r="E514" s="133"/>
      <c r="F514" s="131"/>
    </row>
    <row r="515" spans="1:6" x14ac:dyDescent="0.3">
      <c r="A515" s="131"/>
      <c r="B515" s="131"/>
      <c r="C515" s="131"/>
      <c r="D515" s="131"/>
      <c r="E515" s="133"/>
      <c r="F515" s="131"/>
    </row>
    <row r="516" spans="1:6" x14ac:dyDescent="0.3">
      <c r="A516" s="131"/>
      <c r="B516" s="131"/>
      <c r="C516" s="131"/>
      <c r="D516" s="131"/>
      <c r="E516" s="133"/>
      <c r="F516" s="131"/>
    </row>
    <row r="517" spans="1:6" x14ac:dyDescent="0.3">
      <c r="A517" s="131"/>
      <c r="B517" s="131"/>
      <c r="C517" s="131"/>
      <c r="D517" s="131"/>
      <c r="E517" s="133"/>
      <c r="F517" s="131"/>
    </row>
    <row r="518" spans="1:6" x14ac:dyDescent="0.3">
      <c r="A518" s="131"/>
      <c r="B518" s="131"/>
      <c r="C518" s="131"/>
      <c r="D518" s="131"/>
      <c r="E518" s="133"/>
      <c r="F518" s="131"/>
    </row>
    <row r="519" spans="1:6" x14ac:dyDescent="0.3">
      <c r="A519" s="131"/>
      <c r="B519" s="131"/>
      <c r="C519" s="131"/>
      <c r="D519" s="131"/>
      <c r="E519" s="133"/>
      <c r="F519" s="131"/>
    </row>
    <row r="520" spans="1:6" x14ac:dyDescent="0.3">
      <c r="A520" s="131"/>
      <c r="B520" s="131"/>
      <c r="C520" s="131"/>
      <c r="D520" s="131"/>
      <c r="E520" s="133"/>
      <c r="F520" s="131"/>
    </row>
    <row r="521" spans="1:6" x14ac:dyDescent="0.3">
      <c r="A521" s="131"/>
      <c r="B521" s="131"/>
      <c r="C521" s="131"/>
      <c r="D521" s="131"/>
      <c r="E521" s="133"/>
      <c r="F521" s="131"/>
    </row>
    <row r="522" spans="1:6" x14ac:dyDescent="0.3">
      <c r="A522" s="131"/>
      <c r="B522" s="131"/>
      <c r="C522" s="131"/>
      <c r="D522" s="131"/>
      <c r="E522" s="133"/>
      <c r="F522" s="131"/>
    </row>
    <row r="523" spans="1:6" x14ac:dyDescent="0.3">
      <c r="A523" s="131"/>
      <c r="B523" s="131"/>
      <c r="C523" s="131"/>
      <c r="D523" s="131"/>
      <c r="E523" s="133"/>
      <c r="F523" s="131"/>
    </row>
    <row r="524" spans="1:6" x14ac:dyDescent="0.3">
      <c r="A524" s="131"/>
      <c r="B524" s="131"/>
      <c r="C524" s="131"/>
      <c r="D524" s="131"/>
      <c r="E524" s="133"/>
      <c r="F524" s="131"/>
    </row>
    <row r="525" spans="1:6" x14ac:dyDescent="0.3">
      <c r="A525" s="131"/>
      <c r="B525" s="131"/>
      <c r="C525" s="131"/>
      <c r="D525" s="131"/>
      <c r="E525" s="133"/>
      <c r="F525" s="131"/>
    </row>
    <row r="526" spans="1:6" x14ac:dyDescent="0.3">
      <c r="A526" s="131"/>
      <c r="B526" s="131"/>
      <c r="C526" s="131"/>
      <c r="D526" s="131"/>
      <c r="E526" s="133"/>
      <c r="F526" s="131"/>
    </row>
    <row r="527" spans="1:6" x14ac:dyDescent="0.3">
      <c r="A527" s="131"/>
      <c r="B527" s="131"/>
      <c r="C527" s="131"/>
      <c r="D527" s="131"/>
      <c r="E527" s="133"/>
      <c r="F527" s="131"/>
    </row>
    <row r="528" spans="1:6" x14ac:dyDescent="0.3">
      <c r="A528" s="131"/>
      <c r="B528" s="131"/>
      <c r="C528" s="131"/>
      <c r="D528" s="131"/>
      <c r="E528" s="133"/>
      <c r="F528" s="131"/>
    </row>
    <row r="529" spans="1:6" x14ac:dyDescent="0.3">
      <c r="A529" s="131"/>
      <c r="B529" s="131"/>
      <c r="C529" s="131"/>
      <c r="D529" s="131"/>
      <c r="E529" s="133"/>
      <c r="F529" s="131"/>
    </row>
    <row r="530" spans="1:6" x14ac:dyDescent="0.3">
      <c r="A530" s="131"/>
      <c r="B530" s="131"/>
      <c r="C530" s="131"/>
      <c r="D530" s="131"/>
      <c r="E530" s="133"/>
      <c r="F530" s="131"/>
    </row>
    <row r="531" spans="1:6" x14ac:dyDescent="0.3">
      <c r="A531" s="131"/>
      <c r="B531" s="131"/>
      <c r="C531" s="131"/>
      <c r="D531" s="131"/>
      <c r="E531" s="133"/>
      <c r="F531" s="131"/>
    </row>
    <row r="532" spans="1:6" x14ac:dyDescent="0.3">
      <c r="A532" s="131"/>
      <c r="B532" s="131"/>
      <c r="C532" s="131"/>
      <c r="D532" s="131"/>
      <c r="E532" s="133"/>
      <c r="F532" s="131"/>
    </row>
    <row r="533" spans="1:6" x14ac:dyDescent="0.3">
      <c r="A533" s="131"/>
      <c r="B533" s="131"/>
      <c r="C533" s="131"/>
      <c r="D533" s="131"/>
      <c r="E533" s="133"/>
      <c r="F533" s="131"/>
    </row>
    <row r="534" spans="1:6" x14ac:dyDescent="0.3">
      <c r="A534" s="131"/>
      <c r="B534" s="131"/>
      <c r="C534" s="131"/>
      <c r="D534" s="131"/>
      <c r="E534" s="133"/>
      <c r="F534" s="131"/>
    </row>
    <row r="535" spans="1:6" x14ac:dyDescent="0.3">
      <c r="A535" s="131"/>
      <c r="B535" s="131"/>
      <c r="C535" s="131"/>
      <c r="D535" s="131"/>
      <c r="E535" s="133"/>
      <c r="F535" s="131"/>
    </row>
    <row r="536" spans="1:6" x14ac:dyDescent="0.3">
      <c r="A536" s="131"/>
      <c r="B536" s="131"/>
      <c r="C536" s="131"/>
      <c r="D536" s="131"/>
      <c r="E536" s="133"/>
      <c r="F536" s="131"/>
    </row>
    <row r="537" spans="1:6" x14ac:dyDescent="0.3">
      <c r="A537" s="131"/>
      <c r="B537" s="131"/>
      <c r="C537" s="131"/>
      <c r="D537" s="131"/>
      <c r="E537" s="133"/>
      <c r="F537" s="131"/>
    </row>
    <row r="538" spans="1:6" x14ac:dyDescent="0.3">
      <c r="A538" s="131"/>
      <c r="B538" s="131"/>
      <c r="C538" s="131"/>
      <c r="D538" s="131"/>
      <c r="E538" s="133"/>
      <c r="F538" s="131"/>
    </row>
    <row r="539" spans="1:6" x14ac:dyDescent="0.3">
      <c r="A539" s="131"/>
      <c r="B539" s="131"/>
      <c r="C539" s="131"/>
      <c r="D539" s="131"/>
      <c r="E539" s="133"/>
      <c r="F539" s="131"/>
    </row>
    <row r="540" spans="1:6" x14ac:dyDescent="0.3">
      <c r="A540" s="131"/>
      <c r="B540" s="131"/>
      <c r="C540" s="131"/>
      <c r="D540" s="131"/>
      <c r="E540" s="133"/>
      <c r="F540" s="131"/>
    </row>
    <row r="541" spans="1:6" x14ac:dyDescent="0.3">
      <c r="A541" s="131"/>
      <c r="B541" s="131"/>
      <c r="C541" s="131"/>
      <c r="D541" s="131"/>
      <c r="E541" s="133"/>
      <c r="F541" s="131"/>
    </row>
    <row r="542" spans="1:6" x14ac:dyDescent="0.3">
      <c r="A542" s="131"/>
      <c r="B542" s="131"/>
      <c r="C542" s="131"/>
      <c r="D542" s="131"/>
      <c r="E542" s="133"/>
      <c r="F542" s="131"/>
    </row>
    <row r="543" spans="1:6" x14ac:dyDescent="0.3">
      <c r="A543" s="131"/>
      <c r="B543" s="131"/>
      <c r="C543" s="131"/>
      <c r="D543" s="131"/>
      <c r="E543" s="133"/>
      <c r="F543" s="131"/>
    </row>
    <row r="544" spans="1:6" x14ac:dyDescent="0.3">
      <c r="A544" s="131"/>
      <c r="B544" s="131"/>
      <c r="C544" s="131"/>
      <c r="D544" s="131"/>
      <c r="E544" s="133"/>
      <c r="F544" s="131"/>
    </row>
    <row r="545" spans="1:6" x14ac:dyDescent="0.3">
      <c r="A545" s="131"/>
      <c r="B545" s="131"/>
      <c r="C545" s="131"/>
      <c r="D545" s="131"/>
      <c r="E545" s="133"/>
      <c r="F545" s="131"/>
    </row>
    <row r="546" spans="1:6" x14ac:dyDescent="0.3">
      <c r="A546" s="131"/>
      <c r="B546" s="131"/>
      <c r="C546" s="131"/>
      <c r="D546" s="131"/>
      <c r="E546" s="133"/>
      <c r="F546" s="131"/>
    </row>
    <row r="547" spans="1:6" x14ac:dyDescent="0.3">
      <c r="A547" s="131"/>
      <c r="B547" s="131"/>
      <c r="C547" s="131"/>
      <c r="D547" s="131"/>
      <c r="E547" s="133"/>
      <c r="F547" s="131"/>
    </row>
    <row r="548" spans="1:6" x14ac:dyDescent="0.3">
      <c r="A548" s="131"/>
      <c r="B548" s="131"/>
      <c r="C548" s="131"/>
      <c r="D548" s="131"/>
      <c r="E548" s="133"/>
      <c r="F548" s="131"/>
    </row>
    <row r="549" spans="1:6" x14ac:dyDescent="0.3">
      <c r="A549" s="131"/>
      <c r="B549" s="131"/>
      <c r="C549" s="131"/>
      <c r="D549" s="131"/>
      <c r="E549" s="133"/>
      <c r="F549" s="131"/>
    </row>
    <row r="550" spans="1:6" x14ac:dyDescent="0.3">
      <c r="A550" s="131"/>
      <c r="B550" s="131"/>
      <c r="C550" s="131"/>
      <c r="D550" s="131"/>
      <c r="E550" s="133"/>
      <c r="F550" s="131"/>
    </row>
    <row r="551" spans="1:6" x14ac:dyDescent="0.3">
      <c r="A551" s="131"/>
      <c r="B551" s="131"/>
      <c r="C551" s="131"/>
      <c r="D551" s="131"/>
      <c r="E551" s="133"/>
      <c r="F551" s="131"/>
    </row>
    <row r="552" spans="1:6" x14ac:dyDescent="0.3">
      <c r="A552" s="131"/>
      <c r="B552" s="131"/>
      <c r="C552" s="131"/>
      <c r="D552" s="131"/>
      <c r="E552" s="133"/>
      <c r="F552" s="131"/>
    </row>
    <row r="553" spans="1:6" x14ac:dyDescent="0.3">
      <c r="A553" s="131"/>
      <c r="B553" s="131"/>
      <c r="C553" s="131"/>
      <c r="D553" s="131"/>
      <c r="E553" s="133"/>
      <c r="F553" s="131"/>
    </row>
    <row r="554" spans="1:6" x14ac:dyDescent="0.3">
      <c r="A554" s="131"/>
      <c r="B554" s="131"/>
      <c r="C554" s="131"/>
      <c r="D554" s="131"/>
      <c r="E554" s="133"/>
      <c r="F554" s="131"/>
    </row>
    <row r="555" spans="1:6" x14ac:dyDescent="0.3">
      <c r="A555" s="131"/>
      <c r="B555" s="131"/>
      <c r="C555" s="131"/>
      <c r="D555" s="131"/>
      <c r="E555" s="133"/>
      <c r="F555" s="131"/>
    </row>
    <row r="556" spans="1:6" x14ac:dyDescent="0.3">
      <c r="A556" s="131"/>
      <c r="B556" s="131"/>
      <c r="C556" s="131"/>
      <c r="D556" s="131"/>
      <c r="E556" s="133"/>
      <c r="F556" s="131"/>
    </row>
    <row r="557" spans="1:6" x14ac:dyDescent="0.3">
      <c r="A557" s="131"/>
      <c r="B557" s="131"/>
      <c r="C557" s="131"/>
      <c r="D557" s="131"/>
      <c r="E557" s="133"/>
      <c r="F557" s="131"/>
    </row>
    <row r="558" spans="1:6" x14ac:dyDescent="0.3">
      <c r="A558" s="131"/>
      <c r="B558" s="131"/>
      <c r="C558" s="131"/>
      <c r="D558" s="131"/>
      <c r="E558" s="133"/>
      <c r="F558" s="131"/>
    </row>
    <row r="559" spans="1:6" x14ac:dyDescent="0.3">
      <c r="A559" s="131"/>
      <c r="B559" s="131"/>
      <c r="C559" s="131"/>
      <c r="D559" s="131"/>
      <c r="E559" s="133"/>
      <c r="F559" s="131"/>
    </row>
    <row r="560" spans="1:6" x14ac:dyDescent="0.3">
      <c r="A560" s="131"/>
      <c r="B560" s="131"/>
      <c r="C560" s="131"/>
      <c r="D560" s="131"/>
      <c r="E560" s="133"/>
      <c r="F560" s="131"/>
    </row>
    <row r="561" spans="1:6" x14ac:dyDescent="0.3">
      <c r="A561" s="131"/>
      <c r="B561" s="131"/>
      <c r="C561" s="131"/>
      <c r="D561" s="131"/>
      <c r="E561" s="133"/>
      <c r="F561" s="131"/>
    </row>
    <row r="562" spans="1:6" x14ac:dyDescent="0.3">
      <c r="A562" s="131"/>
      <c r="B562" s="131"/>
      <c r="C562" s="131"/>
      <c r="D562" s="131"/>
      <c r="E562" s="133"/>
      <c r="F562" s="131"/>
    </row>
    <row r="563" spans="1:6" x14ac:dyDescent="0.3">
      <c r="A563" s="131"/>
      <c r="B563" s="131"/>
      <c r="C563" s="131"/>
      <c r="D563" s="131"/>
      <c r="E563" s="133"/>
      <c r="F563" s="131"/>
    </row>
    <row r="564" spans="1:6" x14ac:dyDescent="0.3">
      <c r="A564" s="131"/>
      <c r="B564" s="131"/>
      <c r="C564" s="131"/>
      <c r="D564" s="131"/>
      <c r="E564" s="133"/>
      <c r="F564" s="131"/>
    </row>
    <row r="565" spans="1:6" x14ac:dyDescent="0.3">
      <c r="A565" s="131"/>
      <c r="B565" s="131"/>
      <c r="C565" s="131"/>
      <c r="D565" s="131"/>
      <c r="E565" s="133"/>
      <c r="F565" s="131"/>
    </row>
    <row r="566" spans="1:6" x14ac:dyDescent="0.3">
      <c r="A566" s="131"/>
      <c r="B566" s="131"/>
      <c r="C566" s="131"/>
      <c r="D566" s="131"/>
      <c r="E566" s="133"/>
      <c r="F566" s="131"/>
    </row>
    <row r="567" spans="1:6" x14ac:dyDescent="0.3">
      <c r="A567" s="131"/>
      <c r="B567" s="131"/>
      <c r="C567" s="131"/>
      <c r="D567" s="131"/>
      <c r="E567" s="133"/>
      <c r="F567" s="131"/>
    </row>
    <row r="568" spans="1:6" x14ac:dyDescent="0.3">
      <c r="A568" s="131"/>
      <c r="B568" s="131"/>
      <c r="C568" s="131"/>
      <c r="D568" s="131"/>
      <c r="E568" s="133"/>
      <c r="F568" s="131"/>
    </row>
    <row r="569" spans="1:6" x14ac:dyDescent="0.3">
      <c r="A569" s="131"/>
      <c r="B569" s="131"/>
      <c r="C569" s="131"/>
      <c r="D569" s="131"/>
      <c r="E569" s="133"/>
      <c r="F569" s="131"/>
    </row>
    <row r="570" spans="1:6" x14ac:dyDescent="0.3">
      <c r="A570" s="131"/>
      <c r="B570" s="131"/>
      <c r="C570" s="131"/>
      <c r="D570" s="131"/>
      <c r="E570" s="133"/>
      <c r="F570" s="131"/>
    </row>
    <row r="571" spans="1:6" x14ac:dyDescent="0.3">
      <c r="A571" s="131"/>
      <c r="B571" s="131"/>
      <c r="C571" s="131"/>
      <c r="D571" s="131"/>
      <c r="E571" s="133"/>
      <c r="F571" s="131"/>
    </row>
    <row r="572" spans="1:6" x14ac:dyDescent="0.3">
      <c r="A572" s="131"/>
      <c r="B572" s="131"/>
      <c r="C572" s="131"/>
      <c r="D572" s="131"/>
      <c r="E572" s="133"/>
      <c r="F572" s="131"/>
    </row>
    <row r="573" spans="1:6" x14ac:dyDescent="0.3">
      <c r="A573" s="131"/>
      <c r="B573" s="131"/>
      <c r="C573" s="131"/>
      <c r="D573" s="131"/>
      <c r="E573" s="133"/>
      <c r="F573" s="131"/>
    </row>
    <row r="574" spans="1:6" x14ac:dyDescent="0.3">
      <c r="A574" s="131"/>
      <c r="B574" s="131"/>
      <c r="C574" s="131"/>
      <c r="D574" s="131"/>
      <c r="E574" s="133"/>
      <c r="F574" s="131"/>
    </row>
    <row r="575" spans="1:6" x14ac:dyDescent="0.3">
      <c r="A575" s="131"/>
      <c r="B575" s="131"/>
      <c r="C575" s="131"/>
      <c r="D575" s="131"/>
      <c r="E575" s="133"/>
      <c r="F575" s="131"/>
    </row>
    <row r="576" spans="1:6" x14ac:dyDescent="0.3">
      <c r="A576" s="131"/>
      <c r="B576" s="131"/>
      <c r="C576" s="131"/>
      <c r="D576" s="131"/>
      <c r="E576" s="133"/>
      <c r="F576" s="131"/>
    </row>
    <row r="577" spans="1:6" x14ac:dyDescent="0.3">
      <c r="A577" s="131"/>
      <c r="B577" s="131"/>
      <c r="C577" s="131"/>
      <c r="D577" s="131"/>
      <c r="E577" s="133"/>
      <c r="F577" s="131"/>
    </row>
    <row r="578" spans="1:6" x14ac:dyDescent="0.3">
      <c r="A578" s="131"/>
      <c r="B578" s="131"/>
      <c r="C578" s="131"/>
      <c r="D578" s="131"/>
      <c r="E578" s="133"/>
      <c r="F578" s="131"/>
    </row>
    <row r="579" spans="1:6" x14ac:dyDescent="0.3">
      <c r="A579" s="131"/>
      <c r="B579" s="131"/>
      <c r="C579" s="131"/>
      <c r="D579" s="131"/>
      <c r="E579" s="133"/>
      <c r="F579" s="131"/>
    </row>
    <row r="580" spans="1:6" x14ac:dyDescent="0.3">
      <c r="A580" s="131"/>
      <c r="B580" s="131"/>
      <c r="C580" s="131"/>
      <c r="D580" s="131"/>
      <c r="E580" s="133"/>
      <c r="F580" s="131"/>
    </row>
    <row r="581" spans="1:6" x14ac:dyDescent="0.3">
      <c r="A581" s="131"/>
      <c r="B581" s="131"/>
      <c r="C581" s="131"/>
      <c r="D581" s="131"/>
      <c r="E581" s="133"/>
      <c r="F581" s="131"/>
    </row>
    <row r="582" spans="1:6" x14ac:dyDescent="0.3">
      <c r="A582" s="131"/>
      <c r="B582" s="131"/>
      <c r="C582" s="131"/>
      <c r="D582" s="131"/>
      <c r="E582" s="133"/>
      <c r="F582" s="131"/>
    </row>
    <row r="583" spans="1:6" x14ac:dyDescent="0.3">
      <c r="A583" s="131"/>
      <c r="B583" s="131"/>
      <c r="C583" s="131"/>
      <c r="D583" s="131"/>
      <c r="E583" s="133"/>
      <c r="F583" s="131"/>
    </row>
    <row r="584" spans="1:6" x14ac:dyDescent="0.3">
      <c r="A584" s="131"/>
      <c r="B584" s="131"/>
      <c r="C584" s="131"/>
      <c r="D584" s="131"/>
      <c r="E584" s="133"/>
      <c r="F584" s="131"/>
    </row>
    <row r="585" spans="1:6" x14ac:dyDescent="0.3">
      <c r="A585" s="131"/>
      <c r="B585" s="131"/>
      <c r="C585" s="131"/>
      <c r="D585" s="131"/>
      <c r="E585" s="133"/>
      <c r="F585" s="131"/>
    </row>
    <row r="586" spans="1:6" x14ac:dyDescent="0.3">
      <c r="A586" s="131"/>
      <c r="B586" s="131"/>
      <c r="C586" s="131"/>
      <c r="D586" s="131"/>
      <c r="E586" s="133"/>
      <c r="F586" s="131"/>
    </row>
    <row r="587" spans="1:6" x14ac:dyDescent="0.3">
      <c r="A587" s="131"/>
      <c r="B587" s="131"/>
      <c r="C587" s="131"/>
      <c r="D587" s="131"/>
      <c r="E587" s="133"/>
      <c r="F587" s="131"/>
    </row>
    <row r="588" spans="1:6" x14ac:dyDescent="0.3">
      <c r="A588" s="131"/>
      <c r="B588" s="131"/>
      <c r="C588" s="131"/>
      <c r="D588" s="131"/>
      <c r="E588" s="133"/>
      <c r="F588" s="131"/>
    </row>
    <row r="589" spans="1:6" x14ac:dyDescent="0.3">
      <c r="A589" s="131"/>
      <c r="B589" s="131"/>
      <c r="C589" s="131"/>
      <c r="D589" s="131"/>
      <c r="E589" s="133"/>
      <c r="F589" s="131"/>
    </row>
    <row r="590" spans="1:6" x14ac:dyDescent="0.3">
      <c r="A590" s="131"/>
      <c r="B590" s="131"/>
      <c r="C590" s="131"/>
      <c r="D590" s="131"/>
      <c r="E590" s="133"/>
      <c r="F590" s="131"/>
    </row>
    <row r="591" spans="1:6" x14ac:dyDescent="0.3">
      <c r="A591" s="131"/>
      <c r="B591" s="131"/>
      <c r="C591" s="131"/>
      <c r="D591" s="131"/>
      <c r="E591" s="133"/>
      <c r="F591" s="131"/>
    </row>
    <row r="592" spans="1:6" x14ac:dyDescent="0.3">
      <c r="A592" s="131"/>
      <c r="B592" s="131"/>
      <c r="C592" s="131"/>
      <c r="D592" s="131"/>
      <c r="E592" s="133"/>
      <c r="F592" s="131"/>
    </row>
    <row r="593" spans="1:6" x14ac:dyDescent="0.3">
      <c r="A593" s="131"/>
      <c r="B593" s="131"/>
      <c r="C593" s="131"/>
      <c r="D593" s="131"/>
      <c r="E593" s="133"/>
      <c r="F593" s="131"/>
    </row>
    <row r="594" spans="1:6" x14ac:dyDescent="0.3">
      <c r="A594" s="131"/>
      <c r="B594" s="131"/>
      <c r="C594" s="131"/>
      <c r="D594" s="131"/>
      <c r="E594" s="133"/>
      <c r="F594" s="131"/>
    </row>
    <row r="595" spans="1:6" x14ac:dyDescent="0.3">
      <c r="A595" s="131"/>
      <c r="B595" s="131"/>
      <c r="C595" s="131"/>
      <c r="D595" s="131"/>
      <c r="E595" s="133"/>
      <c r="F595" s="131"/>
    </row>
    <row r="596" spans="1:6" x14ac:dyDescent="0.3">
      <c r="A596" s="131"/>
      <c r="B596" s="131"/>
      <c r="C596" s="131"/>
      <c r="D596" s="131"/>
      <c r="E596" s="133"/>
      <c r="F596" s="131"/>
    </row>
    <row r="597" spans="1:6" x14ac:dyDescent="0.3">
      <c r="A597" s="131"/>
      <c r="B597" s="131"/>
      <c r="C597" s="131"/>
      <c r="D597" s="131"/>
      <c r="E597" s="133"/>
      <c r="F597" s="131"/>
    </row>
    <row r="598" spans="1:6" x14ac:dyDescent="0.3">
      <c r="A598" s="131"/>
      <c r="B598" s="131"/>
      <c r="C598" s="131"/>
      <c r="D598" s="131"/>
      <c r="E598" s="133"/>
      <c r="F598" s="131"/>
    </row>
    <row r="599" spans="1:6" x14ac:dyDescent="0.3">
      <c r="A599" s="131"/>
      <c r="B599" s="131"/>
      <c r="C599" s="131"/>
      <c r="D599" s="131"/>
      <c r="E599" s="133"/>
      <c r="F599" s="131"/>
    </row>
    <row r="600" spans="1:6" x14ac:dyDescent="0.3">
      <c r="A600" s="131"/>
      <c r="B600" s="131"/>
      <c r="C600" s="131"/>
      <c r="D600" s="131"/>
      <c r="E600" s="133"/>
      <c r="F600" s="131"/>
    </row>
    <row r="601" spans="1:6" x14ac:dyDescent="0.3">
      <c r="A601" s="131"/>
      <c r="B601" s="131"/>
      <c r="C601" s="131"/>
      <c r="D601" s="131"/>
      <c r="E601" s="133"/>
      <c r="F601" s="131"/>
    </row>
    <row r="602" spans="1:6" x14ac:dyDescent="0.3">
      <c r="A602" s="131"/>
      <c r="B602" s="131"/>
      <c r="C602" s="131"/>
      <c r="D602" s="131"/>
      <c r="E602" s="133"/>
      <c r="F602" s="131"/>
    </row>
    <row r="603" spans="1:6" x14ac:dyDescent="0.3">
      <c r="A603" s="131"/>
      <c r="B603" s="131"/>
      <c r="C603" s="131"/>
      <c r="D603" s="131"/>
      <c r="E603" s="133"/>
      <c r="F603" s="131"/>
    </row>
    <row r="604" spans="1:6" x14ac:dyDescent="0.3">
      <c r="A604" s="131"/>
      <c r="B604" s="131"/>
      <c r="C604" s="131"/>
      <c r="D604" s="131"/>
      <c r="E604" s="133"/>
      <c r="F604" s="131"/>
    </row>
    <row r="605" spans="1:6" x14ac:dyDescent="0.3">
      <c r="A605" s="131"/>
      <c r="B605" s="131"/>
      <c r="C605" s="131"/>
      <c r="D605" s="131"/>
      <c r="E605" s="133"/>
      <c r="F605" s="131"/>
    </row>
    <row r="606" spans="1:6" x14ac:dyDescent="0.3">
      <c r="A606" s="131"/>
      <c r="B606" s="131"/>
      <c r="C606" s="131"/>
      <c r="D606" s="131"/>
      <c r="E606" s="133"/>
      <c r="F606" s="131"/>
    </row>
    <row r="607" spans="1:6" x14ac:dyDescent="0.3">
      <c r="A607" s="131"/>
      <c r="B607" s="131"/>
      <c r="C607" s="131"/>
      <c r="D607" s="131"/>
      <c r="E607" s="133"/>
      <c r="F607" s="131"/>
    </row>
    <row r="608" spans="1:6" x14ac:dyDescent="0.3">
      <c r="A608" s="131"/>
      <c r="B608" s="131"/>
      <c r="C608" s="131"/>
      <c r="D608" s="131"/>
      <c r="E608" s="133"/>
      <c r="F608" s="131"/>
    </row>
    <row r="609" spans="1:6" x14ac:dyDescent="0.3">
      <c r="A609" s="131"/>
      <c r="B609" s="131"/>
      <c r="C609" s="131"/>
      <c r="D609" s="131"/>
      <c r="E609" s="133"/>
      <c r="F609" s="131"/>
    </row>
    <row r="610" spans="1:6" x14ac:dyDescent="0.3">
      <c r="A610" s="131"/>
      <c r="B610" s="131"/>
      <c r="C610" s="131"/>
      <c r="D610" s="131"/>
      <c r="E610" s="133"/>
      <c r="F610" s="131"/>
    </row>
    <row r="611" spans="1:6" x14ac:dyDescent="0.3">
      <c r="A611" s="131"/>
      <c r="B611" s="131"/>
      <c r="C611" s="131"/>
      <c r="D611" s="131"/>
      <c r="E611" s="133"/>
      <c r="F611" s="131"/>
    </row>
    <row r="612" spans="1:6" x14ac:dyDescent="0.3">
      <c r="A612" s="131"/>
      <c r="B612" s="131"/>
      <c r="C612" s="131"/>
      <c r="D612" s="131"/>
      <c r="E612" s="133"/>
      <c r="F612" s="131"/>
    </row>
    <row r="613" spans="1:6" x14ac:dyDescent="0.3">
      <c r="A613" s="131"/>
      <c r="B613" s="131"/>
      <c r="C613" s="131"/>
      <c r="D613" s="131"/>
      <c r="E613" s="133"/>
      <c r="F613" s="131"/>
    </row>
    <row r="614" spans="1:6" x14ac:dyDescent="0.3">
      <c r="A614" s="131"/>
      <c r="B614" s="131"/>
      <c r="C614" s="131"/>
      <c r="D614" s="131"/>
      <c r="E614" s="133"/>
      <c r="F614" s="131"/>
    </row>
    <row r="615" spans="1:6" x14ac:dyDescent="0.3">
      <c r="A615" s="131"/>
      <c r="B615" s="131"/>
      <c r="C615" s="131"/>
      <c r="D615" s="131"/>
      <c r="E615" s="133"/>
      <c r="F615" s="131"/>
    </row>
    <row r="616" spans="1:6" x14ac:dyDescent="0.3">
      <c r="A616" s="131"/>
      <c r="B616" s="131"/>
      <c r="C616" s="131"/>
      <c r="D616" s="131"/>
      <c r="E616" s="133"/>
      <c r="F616" s="131"/>
    </row>
    <row r="617" spans="1:6" x14ac:dyDescent="0.3">
      <c r="A617" s="131"/>
      <c r="B617" s="131"/>
      <c r="C617" s="131"/>
      <c r="D617" s="131"/>
      <c r="E617" s="133"/>
      <c r="F617" s="131"/>
    </row>
    <row r="618" spans="1:6" x14ac:dyDescent="0.3">
      <c r="A618" s="131"/>
      <c r="B618" s="131"/>
      <c r="C618" s="131"/>
      <c r="D618" s="131"/>
      <c r="E618" s="133"/>
      <c r="F618" s="131"/>
    </row>
    <row r="619" spans="1:6" x14ac:dyDescent="0.3">
      <c r="A619" s="131"/>
      <c r="B619" s="131"/>
      <c r="C619" s="131"/>
      <c r="D619" s="131"/>
      <c r="E619" s="133"/>
      <c r="F619" s="131"/>
    </row>
    <row r="620" spans="1:6" x14ac:dyDescent="0.3">
      <c r="A620" s="131"/>
      <c r="B620" s="131"/>
      <c r="C620" s="131"/>
      <c r="D620" s="131"/>
      <c r="E620" s="133"/>
      <c r="F620" s="131"/>
    </row>
    <row r="621" spans="1:6" x14ac:dyDescent="0.3">
      <c r="A621" s="131"/>
      <c r="B621" s="131"/>
      <c r="C621" s="131"/>
      <c r="D621" s="131"/>
      <c r="E621" s="133"/>
      <c r="F621" s="131"/>
    </row>
    <row r="622" spans="1:6" x14ac:dyDescent="0.3">
      <c r="A622" s="131"/>
      <c r="B622" s="131"/>
      <c r="C622" s="131"/>
      <c r="D622" s="131"/>
      <c r="E622" s="133"/>
      <c r="F622" s="131"/>
    </row>
    <row r="623" spans="1:6" x14ac:dyDescent="0.3">
      <c r="A623" s="131"/>
      <c r="B623" s="131"/>
      <c r="C623" s="131"/>
      <c r="D623" s="131"/>
      <c r="E623" s="133"/>
      <c r="F623" s="131"/>
    </row>
    <row r="624" spans="1:6" x14ac:dyDescent="0.3">
      <c r="A624" s="131"/>
      <c r="B624" s="131"/>
      <c r="C624" s="131"/>
      <c r="D624" s="131"/>
      <c r="E624" s="133"/>
      <c r="F624" s="131"/>
    </row>
    <row r="625" spans="1:6" x14ac:dyDescent="0.3">
      <c r="A625" s="131"/>
      <c r="B625" s="131"/>
      <c r="C625" s="131"/>
      <c r="D625" s="131"/>
      <c r="E625" s="133"/>
      <c r="F625" s="131"/>
    </row>
    <row r="626" spans="1:6" x14ac:dyDescent="0.3">
      <c r="A626" s="131"/>
      <c r="B626" s="131"/>
      <c r="C626" s="131"/>
      <c r="D626" s="131"/>
      <c r="E626" s="133"/>
      <c r="F626" s="131"/>
    </row>
    <row r="627" spans="1:6" x14ac:dyDescent="0.3">
      <c r="A627" s="131"/>
      <c r="B627" s="131"/>
      <c r="C627" s="131"/>
      <c r="D627" s="131"/>
      <c r="E627" s="133"/>
      <c r="F627" s="131"/>
    </row>
    <row r="628" spans="1:6" x14ac:dyDescent="0.3">
      <c r="A628" s="131"/>
      <c r="B628" s="131"/>
      <c r="C628" s="131"/>
      <c r="D628" s="131"/>
      <c r="E628" s="133"/>
      <c r="F628" s="131"/>
    </row>
    <row r="629" spans="1:6" x14ac:dyDescent="0.3">
      <c r="A629" s="131"/>
      <c r="B629" s="131"/>
      <c r="C629" s="131"/>
      <c r="D629" s="131"/>
      <c r="E629" s="133"/>
      <c r="F629" s="131"/>
    </row>
    <row r="630" spans="1:6" x14ac:dyDescent="0.3">
      <c r="A630" s="131"/>
      <c r="B630" s="131"/>
      <c r="C630" s="131"/>
      <c r="D630" s="131"/>
      <c r="E630" s="133"/>
      <c r="F630" s="131"/>
    </row>
    <row r="631" spans="1:6" x14ac:dyDescent="0.3">
      <c r="A631" s="131"/>
      <c r="B631" s="131"/>
      <c r="C631" s="131"/>
      <c r="D631" s="131"/>
      <c r="E631" s="133"/>
      <c r="F631" s="131"/>
    </row>
    <row r="632" spans="1:6" x14ac:dyDescent="0.3">
      <c r="A632" s="131"/>
      <c r="B632" s="131"/>
      <c r="C632" s="131"/>
      <c r="D632" s="131"/>
      <c r="E632" s="133"/>
      <c r="F632" s="131"/>
    </row>
    <row r="633" spans="1:6" x14ac:dyDescent="0.3">
      <c r="A633" s="131"/>
      <c r="B633" s="131"/>
      <c r="C633" s="131"/>
      <c r="D633" s="131"/>
      <c r="E633" s="133"/>
      <c r="F633" s="131"/>
    </row>
    <row r="634" spans="1:6" x14ac:dyDescent="0.3">
      <c r="A634" s="131"/>
      <c r="B634" s="131"/>
      <c r="C634" s="131"/>
      <c r="D634" s="131"/>
      <c r="E634" s="133"/>
      <c r="F634" s="131"/>
    </row>
    <row r="635" spans="1:6" x14ac:dyDescent="0.3">
      <c r="A635" s="131"/>
      <c r="B635" s="131"/>
      <c r="C635" s="131"/>
      <c r="D635" s="131"/>
      <c r="E635" s="133"/>
      <c r="F635" s="131"/>
    </row>
    <row r="636" spans="1:6" x14ac:dyDescent="0.3">
      <c r="A636" s="131"/>
      <c r="B636" s="131"/>
      <c r="C636" s="131"/>
      <c r="D636" s="131"/>
      <c r="E636" s="133"/>
      <c r="F636" s="131"/>
    </row>
    <row r="637" spans="1:6" x14ac:dyDescent="0.3">
      <c r="A637" s="131"/>
      <c r="B637" s="131"/>
      <c r="C637" s="131"/>
      <c r="D637" s="131"/>
      <c r="E637" s="133"/>
      <c r="F637" s="131"/>
    </row>
    <row r="638" spans="1:6" x14ac:dyDescent="0.3">
      <c r="A638" s="131"/>
      <c r="B638" s="131"/>
      <c r="C638" s="131"/>
      <c r="D638" s="131"/>
      <c r="E638" s="133"/>
      <c r="F638" s="131"/>
    </row>
    <row r="639" spans="1:6" x14ac:dyDescent="0.3">
      <c r="A639" s="131"/>
      <c r="B639" s="131"/>
      <c r="C639" s="131"/>
      <c r="D639" s="131"/>
      <c r="E639" s="133"/>
      <c r="F639" s="131"/>
    </row>
    <row r="640" spans="1:6" x14ac:dyDescent="0.3">
      <c r="A640" s="131"/>
      <c r="B640" s="131"/>
      <c r="C640" s="131"/>
      <c r="D640" s="131"/>
      <c r="E640" s="133"/>
      <c r="F640" s="131"/>
    </row>
    <row r="641" spans="1:6" x14ac:dyDescent="0.3">
      <c r="A641" s="131"/>
      <c r="B641" s="131"/>
      <c r="C641" s="131"/>
      <c r="D641" s="131"/>
      <c r="E641" s="133"/>
      <c r="F641" s="131"/>
    </row>
    <row r="642" spans="1:6" x14ac:dyDescent="0.3">
      <c r="A642" s="131"/>
      <c r="B642" s="131"/>
      <c r="C642" s="131"/>
      <c r="D642" s="131"/>
      <c r="E642" s="133"/>
      <c r="F642" s="131"/>
    </row>
    <row r="643" spans="1:6" x14ac:dyDescent="0.3">
      <c r="A643" s="131"/>
      <c r="B643" s="131"/>
      <c r="C643" s="131"/>
      <c r="D643" s="131"/>
      <c r="E643" s="133"/>
      <c r="F643" s="131"/>
    </row>
    <row r="644" spans="1:6" x14ac:dyDescent="0.3">
      <c r="A644" s="131"/>
      <c r="B644" s="131"/>
      <c r="C644" s="131"/>
      <c r="D644" s="131"/>
      <c r="E644" s="133"/>
      <c r="F644" s="131"/>
    </row>
    <row r="645" spans="1:6" x14ac:dyDescent="0.3">
      <c r="A645" s="131"/>
      <c r="B645" s="131"/>
      <c r="C645" s="131"/>
      <c r="D645" s="131"/>
      <c r="E645" s="133"/>
      <c r="F645" s="131"/>
    </row>
    <row r="646" spans="1:6" x14ac:dyDescent="0.3">
      <c r="A646" s="131"/>
      <c r="B646" s="131"/>
      <c r="C646" s="131"/>
      <c r="D646" s="131"/>
      <c r="E646" s="133"/>
      <c r="F646" s="131"/>
    </row>
    <row r="647" spans="1:6" x14ac:dyDescent="0.3">
      <c r="A647" s="131"/>
      <c r="B647" s="131"/>
      <c r="C647" s="131"/>
      <c r="D647" s="131"/>
      <c r="E647" s="133"/>
      <c r="F647" s="131"/>
    </row>
    <row r="648" spans="1:6" x14ac:dyDescent="0.3">
      <c r="A648" s="131"/>
      <c r="B648" s="131"/>
      <c r="C648" s="131"/>
      <c r="D648" s="131"/>
      <c r="E648" s="133"/>
      <c r="F648" s="131"/>
    </row>
    <row r="649" spans="1:6" x14ac:dyDescent="0.3">
      <c r="A649" s="131"/>
      <c r="B649" s="131"/>
      <c r="C649" s="131"/>
      <c r="D649" s="131"/>
      <c r="E649" s="133"/>
      <c r="F649" s="131"/>
    </row>
    <row r="650" spans="1:6" x14ac:dyDescent="0.3">
      <c r="A650" s="131"/>
      <c r="B650" s="131"/>
      <c r="C650" s="131"/>
      <c r="D650" s="131"/>
      <c r="E650" s="133"/>
      <c r="F650" s="131"/>
    </row>
    <row r="651" spans="1:6" x14ac:dyDescent="0.3">
      <c r="A651" s="131"/>
      <c r="B651" s="131"/>
      <c r="C651" s="131"/>
      <c r="D651" s="131"/>
      <c r="E651" s="133"/>
      <c r="F651" s="131"/>
    </row>
    <row r="652" spans="1:6" x14ac:dyDescent="0.3">
      <c r="A652" s="131"/>
      <c r="B652" s="131"/>
      <c r="C652" s="131"/>
      <c r="D652" s="131"/>
      <c r="E652" s="133"/>
      <c r="F652" s="131"/>
    </row>
    <row r="653" spans="1:6" x14ac:dyDescent="0.3">
      <c r="A653" s="131"/>
      <c r="B653" s="131"/>
      <c r="C653" s="131"/>
      <c r="D653" s="131"/>
      <c r="E653" s="133"/>
      <c r="F653" s="131"/>
    </row>
    <row r="654" spans="1:6" x14ac:dyDescent="0.3">
      <c r="A654" s="131"/>
      <c r="B654" s="131"/>
      <c r="C654" s="131"/>
      <c r="D654" s="131"/>
      <c r="E654" s="133"/>
      <c r="F654" s="131"/>
    </row>
    <row r="655" spans="1:6" x14ac:dyDescent="0.3">
      <c r="A655" s="131"/>
      <c r="B655" s="131"/>
      <c r="C655" s="131"/>
      <c r="D655" s="131"/>
      <c r="E655" s="133"/>
      <c r="F655" s="131"/>
    </row>
    <row r="656" spans="1:6" x14ac:dyDescent="0.3">
      <c r="A656" s="131"/>
      <c r="B656" s="131"/>
      <c r="C656" s="131"/>
      <c r="D656" s="131"/>
      <c r="E656" s="133"/>
      <c r="F656" s="131"/>
    </row>
    <row r="657" spans="1:6" x14ac:dyDescent="0.3">
      <c r="A657" s="131"/>
      <c r="B657" s="131"/>
      <c r="C657" s="131"/>
      <c r="D657" s="131"/>
      <c r="E657" s="133"/>
      <c r="F657" s="131"/>
    </row>
    <row r="658" spans="1:6" x14ac:dyDescent="0.3">
      <c r="A658" s="131"/>
      <c r="B658" s="131"/>
      <c r="C658" s="131"/>
      <c r="D658" s="131"/>
      <c r="E658" s="133"/>
      <c r="F658" s="131"/>
    </row>
    <row r="659" spans="1:6" x14ac:dyDescent="0.3">
      <c r="A659" s="131"/>
      <c r="B659" s="131"/>
      <c r="C659" s="131"/>
      <c r="D659" s="131"/>
      <c r="E659" s="133"/>
      <c r="F659" s="131"/>
    </row>
    <row r="660" spans="1:6" x14ac:dyDescent="0.3">
      <c r="A660" s="131"/>
      <c r="B660" s="131"/>
      <c r="C660" s="131"/>
      <c r="D660" s="131"/>
      <c r="E660" s="133"/>
      <c r="F660" s="131"/>
    </row>
    <row r="661" spans="1:6" x14ac:dyDescent="0.3">
      <c r="A661" s="131"/>
      <c r="B661" s="131"/>
      <c r="C661" s="131"/>
      <c r="D661" s="131"/>
      <c r="E661" s="133"/>
      <c r="F661" s="131"/>
    </row>
    <row r="662" spans="1:6" x14ac:dyDescent="0.3">
      <c r="A662" s="131"/>
      <c r="B662" s="131"/>
      <c r="C662" s="131"/>
      <c r="D662" s="131"/>
      <c r="E662" s="133"/>
      <c r="F662" s="131"/>
    </row>
    <row r="663" spans="1:6" x14ac:dyDescent="0.3">
      <c r="A663" s="131"/>
      <c r="B663" s="131"/>
      <c r="C663" s="131"/>
      <c r="D663" s="131"/>
      <c r="E663" s="133"/>
      <c r="F663" s="131"/>
    </row>
    <row r="664" spans="1:6" x14ac:dyDescent="0.3">
      <c r="A664" s="131"/>
      <c r="B664" s="131"/>
      <c r="C664" s="131"/>
      <c r="D664" s="131"/>
      <c r="E664" s="133"/>
      <c r="F664" s="131"/>
    </row>
    <row r="665" spans="1:6" x14ac:dyDescent="0.3">
      <c r="A665" s="131"/>
      <c r="B665" s="131"/>
      <c r="C665" s="131"/>
      <c r="D665" s="131"/>
      <c r="E665" s="133"/>
      <c r="F665" s="131"/>
    </row>
    <row r="666" spans="1:6" x14ac:dyDescent="0.3">
      <c r="A666" s="131"/>
      <c r="B666" s="131"/>
      <c r="C666" s="131"/>
      <c r="D666" s="131"/>
      <c r="E666" s="133"/>
      <c r="F666" s="131"/>
    </row>
    <row r="667" spans="1:6" x14ac:dyDescent="0.3">
      <c r="A667" s="131"/>
      <c r="B667" s="131"/>
      <c r="C667" s="131"/>
      <c r="D667" s="131"/>
      <c r="E667" s="133"/>
      <c r="F667" s="131"/>
    </row>
    <row r="668" spans="1:6" x14ac:dyDescent="0.3">
      <c r="A668" s="131"/>
      <c r="B668" s="131"/>
      <c r="C668" s="131"/>
      <c r="D668" s="131"/>
      <c r="E668" s="133"/>
      <c r="F668" s="131"/>
    </row>
    <row r="669" spans="1:6" x14ac:dyDescent="0.3">
      <c r="A669" s="131"/>
      <c r="B669" s="131"/>
      <c r="C669" s="131"/>
      <c r="D669" s="131"/>
      <c r="E669" s="133"/>
      <c r="F669" s="131"/>
    </row>
    <row r="670" spans="1:6" x14ac:dyDescent="0.3">
      <c r="A670" s="131"/>
      <c r="B670" s="131"/>
      <c r="C670" s="131"/>
      <c r="D670" s="131"/>
      <c r="E670" s="133"/>
      <c r="F670" s="131"/>
    </row>
    <row r="671" spans="1:6" x14ac:dyDescent="0.3">
      <c r="A671" s="131"/>
      <c r="B671" s="131"/>
      <c r="C671" s="131"/>
      <c r="D671" s="131"/>
      <c r="E671" s="133"/>
      <c r="F671" s="131"/>
    </row>
    <row r="672" spans="1:6" x14ac:dyDescent="0.3">
      <c r="A672" s="131"/>
      <c r="B672" s="131"/>
      <c r="C672" s="131"/>
      <c r="D672" s="131"/>
      <c r="E672" s="133"/>
      <c r="F672" s="131"/>
    </row>
    <row r="673" spans="1:6" x14ac:dyDescent="0.3">
      <c r="A673" s="131"/>
      <c r="B673" s="131"/>
      <c r="C673" s="131"/>
      <c r="D673" s="131"/>
      <c r="E673" s="133"/>
      <c r="F673" s="131"/>
    </row>
    <row r="674" spans="1:6" x14ac:dyDescent="0.3">
      <c r="A674" s="131"/>
      <c r="B674" s="131"/>
      <c r="C674" s="131"/>
      <c r="D674" s="131"/>
      <c r="E674" s="133"/>
      <c r="F674" s="131"/>
    </row>
    <row r="675" spans="1:6" x14ac:dyDescent="0.3">
      <c r="A675" s="131"/>
      <c r="B675" s="131"/>
      <c r="C675" s="131"/>
      <c r="D675" s="131"/>
      <c r="E675" s="133"/>
      <c r="F675" s="131"/>
    </row>
    <row r="676" spans="1:6" x14ac:dyDescent="0.3">
      <c r="A676" s="131"/>
      <c r="B676" s="131"/>
      <c r="C676" s="131"/>
      <c r="D676" s="131"/>
      <c r="E676" s="133"/>
      <c r="F676" s="131"/>
    </row>
    <row r="677" spans="1:6" x14ac:dyDescent="0.3">
      <c r="A677" s="131"/>
      <c r="B677" s="131"/>
      <c r="C677" s="131"/>
      <c r="D677" s="131"/>
      <c r="E677" s="133"/>
      <c r="F677" s="131"/>
    </row>
    <row r="678" spans="1:6" x14ac:dyDescent="0.3">
      <c r="A678" s="131"/>
      <c r="B678" s="131"/>
      <c r="C678" s="131"/>
      <c r="D678" s="131"/>
      <c r="E678" s="133"/>
      <c r="F678" s="131"/>
    </row>
    <row r="679" spans="1:6" x14ac:dyDescent="0.3">
      <c r="A679" s="131"/>
      <c r="B679" s="131"/>
      <c r="C679" s="131"/>
      <c r="D679" s="131"/>
      <c r="E679" s="133"/>
      <c r="F679" s="131"/>
    </row>
    <row r="680" spans="1:6" x14ac:dyDescent="0.3">
      <c r="A680" s="131"/>
      <c r="B680" s="131"/>
      <c r="C680" s="131"/>
      <c r="D680" s="131"/>
      <c r="E680" s="133"/>
      <c r="F680" s="131"/>
    </row>
    <row r="681" spans="1:6" x14ac:dyDescent="0.3">
      <c r="A681" s="131"/>
      <c r="B681" s="131"/>
      <c r="C681" s="131"/>
      <c r="D681" s="131"/>
      <c r="E681" s="133"/>
      <c r="F681" s="131"/>
    </row>
    <row r="682" spans="1:6" x14ac:dyDescent="0.3">
      <c r="A682" s="131"/>
      <c r="B682" s="131"/>
      <c r="C682" s="131"/>
      <c r="D682" s="131"/>
      <c r="E682" s="133"/>
      <c r="F682" s="131"/>
    </row>
    <row r="683" spans="1:6" x14ac:dyDescent="0.3">
      <c r="A683" s="131"/>
      <c r="B683" s="131"/>
      <c r="C683" s="131"/>
      <c r="D683" s="131"/>
      <c r="E683" s="133"/>
      <c r="F683" s="131"/>
    </row>
    <row r="684" spans="1:6" x14ac:dyDescent="0.3">
      <c r="A684" s="131"/>
      <c r="B684" s="131"/>
      <c r="C684" s="131"/>
      <c r="D684" s="131"/>
      <c r="E684" s="133"/>
      <c r="F684" s="131"/>
    </row>
    <row r="685" spans="1:6" x14ac:dyDescent="0.3">
      <c r="A685" s="131"/>
      <c r="B685" s="131"/>
      <c r="C685" s="131"/>
      <c r="D685" s="131"/>
      <c r="E685" s="133"/>
      <c r="F685" s="131"/>
    </row>
    <row r="686" spans="1:6" x14ac:dyDescent="0.3">
      <c r="A686" s="131"/>
      <c r="B686" s="131"/>
      <c r="C686" s="131"/>
      <c r="D686" s="131"/>
      <c r="E686" s="133"/>
      <c r="F686" s="131"/>
    </row>
    <row r="687" spans="1:6" x14ac:dyDescent="0.3">
      <c r="A687" s="131"/>
      <c r="B687" s="131"/>
      <c r="C687" s="131"/>
      <c r="D687" s="131"/>
      <c r="E687" s="133"/>
      <c r="F687" s="131"/>
    </row>
    <row r="688" spans="1:6" x14ac:dyDescent="0.3">
      <c r="A688" s="131"/>
      <c r="B688" s="131"/>
      <c r="C688" s="131"/>
      <c r="D688" s="131"/>
      <c r="E688" s="133"/>
      <c r="F688" s="131"/>
    </row>
    <row r="689" spans="1:6" x14ac:dyDescent="0.3">
      <c r="A689" s="131"/>
      <c r="B689" s="131"/>
      <c r="C689" s="131"/>
      <c r="D689" s="131"/>
      <c r="E689" s="133"/>
      <c r="F689" s="131"/>
    </row>
    <row r="690" spans="1:6" x14ac:dyDescent="0.3">
      <c r="A690" s="131"/>
      <c r="B690" s="131"/>
      <c r="C690" s="131"/>
      <c r="D690" s="131"/>
      <c r="E690" s="133"/>
      <c r="F690" s="131"/>
    </row>
    <row r="691" spans="1:6" x14ac:dyDescent="0.3">
      <c r="A691" s="131"/>
      <c r="B691" s="131"/>
      <c r="C691" s="131"/>
      <c r="D691" s="131"/>
      <c r="E691" s="133"/>
      <c r="F691" s="131"/>
    </row>
    <row r="692" spans="1:6" x14ac:dyDescent="0.3">
      <c r="A692" s="131"/>
      <c r="B692" s="131"/>
      <c r="C692" s="131"/>
      <c r="D692" s="131"/>
      <c r="E692" s="133"/>
      <c r="F692" s="131"/>
    </row>
    <row r="693" spans="1:6" x14ac:dyDescent="0.3">
      <c r="A693" s="131"/>
      <c r="B693" s="131"/>
      <c r="C693" s="131"/>
      <c r="D693" s="131"/>
      <c r="E693" s="133"/>
      <c r="F693" s="131"/>
    </row>
    <row r="694" spans="1:6" x14ac:dyDescent="0.3">
      <c r="A694" s="131"/>
      <c r="B694" s="131"/>
      <c r="C694" s="131"/>
      <c r="D694" s="131"/>
      <c r="E694" s="133"/>
      <c r="F694" s="131"/>
    </row>
    <row r="695" spans="1:6" x14ac:dyDescent="0.3">
      <c r="A695" s="131"/>
      <c r="B695" s="131"/>
      <c r="C695" s="131"/>
      <c r="D695" s="131"/>
      <c r="E695" s="133"/>
      <c r="F695" s="131"/>
    </row>
    <row r="696" spans="1:6" x14ac:dyDescent="0.3">
      <c r="A696" s="131"/>
      <c r="B696" s="131"/>
      <c r="C696" s="131"/>
      <c r="D696" s="131"/>
      <c r="E696" s="133"/>
      <c r="F696" s="131"/>
    </row>
    <row r="697" spans="1:6" x14ac:dyDescent="0.3">
      <c r="A697" s="131"/>
      <c r="B697" s="131"/>
      <c r="C697" s="131"/>
      <c r="D697" s="131"/>
      <c r="E697" s="133"/>
      <c r="F697" s="131"/>
    </row>
    <row r="698" spans="1:6" x14ac:dyDescent="0.3">
      <c r="A698" s="131"/>
      <c r="B698" s="131"/>
      <c r="C698" s="131"/>
      <c r="D698" s="131"/>
      <c r="E698" s="133"/>
      <c r="F698" s="131"/>
    </row>
    <row r="699" spans="1:6" x14ac:dyDescent="0.3">
      <c r="A699" s="131"/>
      <c r="B699" s="131"/>
      <c r="C699" s="131"/>
      <c r="D699" s="131"/>
      <c r="E699" s="133"/>
      <c r="F699" s="131"/>
    </row>
    <row r="700" spans="1:6" x14ac:dyDescent="0.3">
      <c r="A700" s="131"/>
      <c r="B700" s="131"/>
      <c r="C700" s="131"/>
      <c r="D700" s="131"/>
      <c r="E700" s="133"/>
      <c r="F700" s="131"/>
    </row>
    <row r="701" spans="1:6" x14ac:dyDescent="0.3">
      <c r="A701" s="131"/>
      <c r="B701" s="131"/>
      <c r="C701" s="131"/>
      <c r="D701" s="131"/>
      <c r="E701" s="133"/>
      <c r="F701" s="131"/>
    </row>
    <row r="702" spans="1:6" x14ac:dyDescent="0.3">
      <c r="A702" s="131"/>
      <c r="B702" s="131"/>
      <c r="C702" s="131"/>
      <c r="D702" s="131"/>
      <c r="E702" s="133"/>
      <c r="F702" s="131"/>
    </row>
    <row r="703" spans="1:6" x14ac:dyDescent="0.3">
      <c r="A703" s="131"/>
      <c r="B703" s="131"/>
      <c r="C703" s="131"/>
      <c r="D703" s="131"/>
      <c r="E703" s="133"/>
      <c r="F703" s="131"/>
    </row>
    <row r="704" spans="1:6" x14ac:dyDescent="0.3">
      <c r="A704" s="131"/>
      <c r="B704" s="131"/>
      <c r="C704" s="131"/>
      <c r="D704" s="131"/>
      <c r="E704" s="133"/>
      <c r="F704" s="131"/>
    </row>
    <row r="705" spans="1:6" x14ac:dyDescent="0.3">
      <c r="A705" s="131"/>
      <c r="B705" s="131"/>
      <c r="C705" s="131"/>
      <c r="D705" s="131"/>
      <c r="E705" s="133"/>
      <c r="F705" s="131"/>
    </row>
    <row r="706" spans="1:6" x14ac:dyDescent="0.3">
      <c r="A706" s="131"/>
      <c r="B706" s="131"/>
      <c r="C706" s="131"/>
      <c r="D706" s="131"/>
      <c r="E706" s="133"/>
      <c r="F706" s="131"/>
    </row>
    <row r="707" spans="1:6" x14ac:dyDescent="0.3">
      <c r="A707" s="131"/>
      <c r="B707" s="131"/>
      <c r="C707" s="131"/>
      <c r="D707" s="131"/>
      <c r="E707" s="133"/>
      <c r="F707" s="131"/>
    </row>
    <row r="708" spans="1:6" x14ac:dyDescent="0.3">
      <c r="A708" s="131"/>
      <c r="B708" s="131"/>
      <c r="C708" s="131"/>
      <c r="D708" s="131"/>
      <c r="E708" s="133"/>
      <c r="F708" s="131"/>
    </row>
    <row r="709" spans="1:6" x14ac:dyDescent="0.3">
      <c r="A709" s="131"/>
      <c r="B709" s="131"/>
      <c r="C709" s="131"/>
      <c r="D709" s="131"/>
      <c r="E709" s="133"/>
      <c r="F709" s="131"/>
    </row>
    <row r="710" spans="1:6" x14ac:dyDescent="0.3">
      <c r="A710" s="131"/>
      <c r="B710" s="131"/>
      <c r="C710" s="131"/>
      <c r="D710" s="131"/>
      <c r="E710" s="133"/>
      <c r="F710" s="131"/>
    </row>
    <row r="711" spans="1:6" x14ac:dyDescent="0.3">
      <c r="A711" s="131"/>
      <c r="B711" s="131"/>
      <c r="C711" s="131"/>
      <c r="D711" s="131"/>
      <c r="E711" s="133"/>
      <c r="F711" s="131"/>
    </row>
    <row r="712" spans="1:6" x14ac:dyDescent="0.3">
      <c r="A712" s="131"/>
      <c r="B712" s="131"/>
      <c r="C712" s="131"/>
      <c r="D712" s="131"/>
      <c r="E712" s="133"/>
      <c r="F712" s="131"/>
    </row>
    <row r="713" spans="1:6" x14ac:dyDescent="0.3">
      <c r="A713" s="131"/>
      <c r="B713" s="131"/>
      <c r="C713" s="131"/>
      <c r="D713" s="131"/>
      <c r="E713" s="133"/>
      <c r="F713" s="131"/>
    </row>
    <row r="714" spans="1:6" x14ac:dyDescent="0.3">
      <c r="A714" s="131"/>
      <c r="B714" s="131"/>
      <c r="C714" s="131"/>
      <c r="D714" s="131"/>
      <c r="E714" s="133"/>
      <c r="F714" s="131"/>
    </row>
    <row r="715" spans="1:6" x14ac:dyDescent="0.3">
      <c r="A715" s="131"/>
      <c r="B715" s="131"/>
      <c r="C715" s="131"/>
      <c r="D715" s="131"/>
      <c r="E715" s="133"/>
      <c r="F715" s="131"/>
    </row>
    <row r="716" spans="1:6" x14ac:dyDescent="0.3">
      <c r="A716" s="131"/>
      <c r="B716" s="131"/>
      <c r="C716" s="131"/>
      <c r="D716" s="131"/>
      <c r="E716" s="133"/>
      <c r="F716" s="131"/>
    </row>
    <row r="717" spans="1:6" x14ac:dyDescent="0.3">
      <c r="A717" s="131"/>
      <c r="B717" s="131"/>
      <c r="C717" s="131"/>
      <c r="D717" s="131"/>
      <c r="E717" s="133"/>
      <c r="F717" s="131"/>
    </row>
    <row r="718" spans="1:6" x14ac:dyDescent="0.3">
      <c r="A718" s="131"/>
      <c r="B718" s="131"/>
      <c r="C718" s="131"/>
      <c r="D718" s="131"/>
      <c r="E718" s="133"/>
      <c r="F718" s="131"/>
    </row>
    <row r="719" spans="1:6" x14ac:dyDescent="0.3">
      <c r="A719" s="131"/>
      <c r="B719" s="131"/>
      <c r="C719" s="131"/>
      <c r="D719" s="131"/>
      <c r="E719" s="133"/>
      <c r="F719" s="131"/>
    </row>
    <row r="720" spans="1:6" x14ac:dyDescent="0.3">
      <c r="A720" s="131"/>
      <c r="B720" s="131"/>
      <c r="C720" s="131"/>
      <c r="D720" s="131"/>
      <c r="E720" s="133"/>
      <c r="F720" s="131"/>
    </row>
    <row r="721" spans="1:6" x14ac:dyDescent="0.3">
      <c r="A721" s="131"/>
      <c r="B721" s="131"/>
      <c r="C721" s="131"/>
      <c r="D721" s="131"/>
      <c r="E721" s="133"/>
      <c r="F721" s="131"/>
    </row>
    <row r="722" spans="1:6" x14ac:dyDescent="0.3">
      <c r="A722" s="131"/>
      <c r="B722" s="131"/>
      <c r="C722" s="131"/>
      <c r="D722" s="131"/>
      <c r="E722" s="133"/>
      <c r="F722" s="131"/>
    </row>
    <row r="723" spans="1:6" x14ac:dyDescent="0.3">
      <c r="A723" s="131"/>
      <c r="B723" s="131"/>
      <c r="C723" s="131"/>
      <c r="D723" s="131"/>
      <c r="E723" s="133"/>
      <c r="F723" s="131"/>
    </row>
    <row r="724" spans="1:6" x14ac:dyDescent="0.3">
      <c r="A724" s="131"/>
      <c r="B724" s="131"/>
      <c r="C724" s="131"/>
      <c r="D724" s="131"/>
      <c r="E724" s="133"/>
      <c r="F724" s="131"/>
    </row>
    <row r="725" spans="1:6" x14ac:dyDescent="0.3">
      <c r="A725" s="131"/>
      <c r="B725" s="131"/>
      <c r="C725" s="131"/>
      <c r="D725" s="131"/>
      <c r="E725" s="133"/>
      <c r="F725" s="131"/>
    </row>
    <row r="726" spans="1:6" x14ac:dyDescent="0.3">
      <c r="A726" s="131"/>
      <c r="B726" s="131"/>
      <c r="C726" s="131"/>
      <c r="D726" s="131"/>
      <c r="E726" s="133"/>
      <c r="F726" s="131"/>
    </row>
    <row r="727" spans="1:6" x14ac:dyDescent="0.3">
      <c r="A727" s="131"/>
      <c r="B727" s="131"/>
      <c r="C727" s="131"/>
      <c r="D727" s="131"/>
      <c r="E727" s="133"/>
      <c r="F727" s="131"/>
    </row>
    <row r="728" spans="1:6" x14ac:dyDescent="0.3">
      <c r="A728" s="131"/>
      <c r="B728" s="131"/>
      <c r="C728" s="131"/>
      <c r="D728" s="131"/>
      <c r="E728" s="133"/>
      <c r="F728" s="131"/>
    </row>
    <row r="729" spans="1:6" x14ac:dyDescent="0.3">
      <c r="A729" s="131"/>
      <c r="B729" s="131"/>
      <c r="C729" s="131"/>
      <c r="D729" s="131"/>
      <c r="E729" s="133"/>
      <c r="F729" s="131"/>
    </row>
    <row r="730" spans="1:6" x14ac:dyDescent="0.3">
      <c r="A730" s="131"/>
      <c r="B730" s="131"/>
      <c r="C730" s="131"/>
      <c r="D730" s="131"/>
      <c r="E730" s="133"/>
      <c r="F730" s="131"/>
    </row>
    <row r="731" spans="1:6" x14ac:dyDescent="0.3">
      <c r="A731" s="131"/>
      <c r="B731" s="131"/>
      <c r="C731" s="131"/>
      <c r="D731" s="131"/>
      <c r="E731" s="133"/>
      <c r="F731" s="131"/>
    </row>
    <row r="732" spans="1:6" x14ac:dyDescent="0.3">
      <c r="A732" s="131"/>
      <c r="B732" s="131"/>
      <c r="C732" s="131"/>
      <c r="D732" s="131"/>
      <c r="E732" s="133"/>
      <c r="F732" s="131"/>
    </row>
    <row r="733" spans="1:6" x14ac:dyDescent="0.3">
      <c r="A733" s="131"/>
      <c r="B733" s="131"/>
      <c r="C733" s="131"/>
      <c r="D733" s="131"/>
      <c r="E733" s="133"/>
      <c r="F733" s="131"/>
    </row>
    <row r="734" spans="1:6" x14ac:dyDescent="0.3">
      <c r="A734" s="131"/>
      <c r="B734" s="131"/>
      <c r="C734" s="131"/>
      <c r="D734" s="131"/>
      <c r="E734" s="133"/>
      <c r="F734" s="131"/>
    </row>
    <row r="735" spans="1:6" x14ac:dyDescent="0.3">
      <c r="A735" s="131"/>
      <c r="B735" s="131"/>
      <c r="C735" s="131"/>
      <c r="D735" s="131"/>
      <c r="E735" s="133"/>
      <c r="F735" s="131"/>
    </row>
    <row r="736" spans="1:6" x14ac:dyDescent="0.3">
      <c r="A736" s="131"/>
      <c r="B736" s="131"/>
      <c r="C736" s="131"/>
      <c r="D736" s="131"/>
      <c r="E736" s="133"/>
      <c r="F736" s="131"/>
    </row>
    <row r="737" spans="1:6" x14ac:dyDescent="0.3">
      <c r="A737" s="131"/>
      <c r="B737" s="131"/>
      <c r="C737" s="131"/>
      <c r="D737" s="131"/>
      <c r="E737" s="133"/>
      <c r="F737" s="131"/>
    </row>
    <row r="738" spans="1:6" x14ac:dyDescent="0.3">
      <c r="A738" s="131"/>
      <c r="B738" s="131"/>
      <c r="C738" s="131"/>
      <c r="D738" s="131"/>
      <c r="E738" s="133"/>
      <c r="F738" s="131"/>
    </row>
    <row r="739" spans="1:6" x14ac:dyDescent="0.3">
      <c r="A739" s="131"/>
      <c r="B739" s="131"/>
      <c r="C739" s="131"/>
      <c r="D739" s="131"/>
      <c r="E739" s="133"/>
      <c r="F739" s="131"/>
    </row>
    <row r="740" spans="1:6" x14ac:dyDescent="0.3">
      <c r="A740" s="131"/>
      <c r="B740" s="131"/>
      <c r="C740" s="131"/>
      <c r="D740" s="131"/>
      <c r="E740" s="133"/>
      <c r="F740" s="131"/>
    </row>
    <row r="741" spans="1:6" x14ac:dyDescent="0.3">
      <c r="A741" s="131"/>
      <c r="B741" s="131"/>
      <c r="C741" s="131"/>
      <c r="D741" s="131"/>
      <c r="E741" s="133"/>
      <c r="F741" s="131"/>
    </row>
    <row r="742" spans="1:6" x14ac:dyDescent="0.3">
      <c r="A742" s="131"/>
      <c r="B742" s="131"/>
      <c r="C742" s="131"/>
      <c r="D742" s="131"/>
      <c r="E742" s="133"/>
      <c r="F742" s="131"/>
    </row>
    <row r="743" spans="1:6" x14ac:dyDescent="0.3">
      <c r="A743" s="131"/>
      <c r="B743" s="131"/>
      <c r="C743" s="131"/>
      <c r="D743" s="131"/>
      <c r="E743" s="133"/>
      <c r="F743" s="131"/>
    </row>
    <row r="744" spans="1:6" x14ac:dyDescent="0.3">
      <c r="A744" s="131"/>
      <c r="B744" s="131"/>
      <c r="C744" s="131"/>
      <c r="D744" s="131"/>
      <c r="E744" s="133"/>
      <c r="F744" s="131"/>
    </row>
    <row r="745" spans="1:6" x14ac:dyDescent="0.3">
      <c r="A745" s="131"/>
      <c r="B745" s="131"/>
      <c r="C745" s="131"/>
      <c r="D745" s="131"/>
      <c r="E745" s="133"/>
      <c r="F745" s="131"/>
    </row>
    <row r="746" spans="1:6" x14ac:dyDescent="0.3">
      <c r="A746" s="131"/>
      <c r="B746" s="131"/>
      <c r="C746" s="131"/>
      <c r="D746" s="131"/>
      <c r="E746" s="133"/>
      <c r="F746" s="131"/>
    </row>
    <row r="747" spans="1:6" x14ac:dyDescent="0.3">
      <c r="A747" s="131"/>
      <c r="B747" s="131"/>
      <c r="C747" s="131"/>
      <c r="D747" s="131"/>
      <c r="E747" s="133"/>
      <c r="F747" s="131"/>
    </row>
    <row r="748" spans="1:6" x14ac:dyDescent="0.3">
      <c r="A748" s="131"/>
      <c r="B748" s="131"/>
      <c r="C748" s="131"/>
      <c r="D748" s="131"/>
      <c r="E748" s="133"/>
      <c r="F748" s="131"/>
    </row>
    <row r="749" spans="1:6" x14ac:dyDescent="0.3">
      <c r="A749" s="131"/>
      <c r="B749" s="131"/>
      <c r="C749" s="131"/>
      <c r="D749" s="131"/>
      <c r="E749" s="133"/>
      <c r="F749" s="131"/>
    </row>
    <row r="750" spans="1:6" x14ac:dyDescent="0.3">
      <c r="A750" s="131"/>
      <c r="B750" s="131"/>
      <c r="C750" s="131"/>
      <c r="D750" s="131"/>
      <c r="E750" s="133"/>
      <c r="F750" s="131"/>
    </row>
    <row r="751" spans="1:6" x14ac:dyDescent="0.3">
      <c r="A751" s="131"/>
      <c r="B751" s="131"/>
      <c r="C751" s="131"/>
      <c r="D751" s="131"/>
      <c r="E751" s="133"/>
      <c r="F751" s="131"/>
    </row>
    <row r="752" spans="1:6" x14ac:dyDescent="0.3">
      <c r="A752" s="131"/>
      <c r="B752" s="131"/>
      <c r="C752" s="131"/>
      <c r="D752" s="131"/>
      <c r="E752" s="133"/>
      <c r="F752" s="131"/>
    </row>
    <row r="753" spans="1:6" x14ac:dyDescent="0.3">
      <c r="A753" s="131"/>
      <c r="B753" s="131"/>
      <c r="C753" s="131"/>
      <c r="D753" s="131"/>
      <c r="E753" s="133"/>
      <c r="F753" s="131"/>
    </row>
    <row r="754" spans="1:6" x14ac:dyDescent="0.3">
      <c r="A754" s="131"/>
      <c r="B754" s="131"/>
      <c r="C754" s="131"/>
      <c r="D754" s="131"/>
      <c r="E754" s="133"/>
      <c r="F754" s="131"/>
    </row>
    <row r="755" spans="1:6" x14ac:dyDescent="0.3">
      <c r="A755" s="131"/>
      <c r="B755" s="131"/>
      <c r="C755" s="131"/>
      <c r="D755" s="131"/>
      <c r="E755" s="133"/>
      <c r="F755" s="131"/>
    </row>
    <row r="756" spans="1:6" x14ac:dyDescent="0.3">
      <c r="A756" s="131"/>
      <c r="B756" s="131"/>
      <c r="C756" s="131"/>
      <c r="D756" s="131"/>
      <c r="E756" s="133"/>
      <c r="F756" s="131"/>
    </row>
    <row r="757" spans="1:6" x14ac:dyDescent="0.3">
      <c r="A757" s="131"/>
      <c r="B757" s="131"/>
      <c r="C757" s="131"/>
      <c r="D757" s="131"/>
      <c r="E757" s="133"/>
      <c r="F757" s="131"/>
    </row>
    <row r="758" spans="1:6" x14ac:dyDescent="0.3">
      <c r="A758" s="131"/>
      <c r="B758" s="131"/>
      <c r="C758" s="131"/>
      <c r="D758" s="131"/>
      <c r="E758" s="133"/>
      <c r="F758" s="131"/>
    </row>
    <row r="759" spans="1:6" x14ac:dyDescent="0.3">
      <c r="A759" s="131"/>
      <c r="B759" s="131"/>
      <c r="C759" s="131"/>
      <c r="D759" s="131"/>
      <c r="E759" s="133"/>
      <c r="F759" s="131"/>
    </row>
    <row r="760" spans="1:6" x14ac:dyDescent="0.3">
      <c r="A760" s="131"/>
      <c r="B760" s="131"/>
      <c r="C760" s="131"/>
      <c r="D760" s="131"/>
      <c r="E760" s="133"/>
      <c r="F760" s="131"/>
    </row>
    <row r="761" spans="1:6" x14ac:dyDescent="0.3">
      <c r="A761" s="131"/>
      <c r="B761" s="131"/>
      <c r="C761" s="131"/>
      <c r="D761" s="131"/>
      <c r="E761" s="133"/>
      <c r="F761" s="131"/>
    </row>
    <row r="762" spans="1:6" x14ac:dyDescent="0.3">
      <c r="A762" s="131"/>
      <c r="B762" s="131"/>
      <c r="C762" s="131"/>
      <c r="D762" s="131"/>
      <c r="E762" s="133"/>
      <c r="F762" s="131"/>
    </row>
    <row r="763" spans="1:6" x14ac:dyDescent="0.3">
      <c r="A763" s="131"/>
      <c r="B763" s="131"/>
      <c r="C763" s="131"/>
      <c r="D763" s="131"/>
      <c r="E763" s="133"/>
      <c r="F763" s="131"/>
    </row>
    <row r="764" spans="1:6" x14ac:dyDescent="0.3">
      <c r="A764" s="131"/>
      <c r="B764" s="131"/>
      <c r="C764" s="131"/>
      <c r="D764" s="131"/>
      <c r="E764" s="133"/>
      <c r="F764" s="131"/>
    </row>
    <row r="765" spans="1:6" x14ac:dyDescent="0.3">
      <c r="A765" s="131"/>
      <c r="B765" s="131"/>
      <c r="C765" s="131"/>
      <c r="D765" s="131"/>
      <c r="E765" s="133"/>
      <c r="F765" s="131"/>
    </row>
    <row r="766" spans="1:6" x14ac:dyDescent="0.3">
      <c r="A766" s="131"/>
      <c r="B766" s="131"/>
      <c r="C766" s="131"/>
      <c r="D766" s="131"/>
      <c r="E766" s="133"/>
      <c r="F766" s="131"/>
    </row>
    <row r="767" spans="1:6" x14ac:dyDescent="0.3">
      <c r="A767" s="131"/>
      <c r="B767" s="131"/>
      <c r="C767" s="131"/>
      <c r="D767" s="131"/>
      <c r="E767" s="133"/>
      <c r="F767" s="131"/>
    </row>
    <row r="768" spans="1:6" x14ac:dyDescent="0.3">
      <c r="A768" s="131"/>
      <c r="B768" s="131"/>
      <c r="C768" s="131"/>
      <c r="D768" s="131"/>
      <c r="E768" s="133"/>
      <c r="F768" s="131"/>
    </row>
    <row r="769" spans="1:6" x14ac:dyDescent="0.3">
      <c r="A769" s="131"/>
      <c r="B769" s="131"/>
      <c r="C769" s="131"/>
      <c r="D769" s="131"/>
      <c r="E769" s="133"/>
      <c r="F769" s="131"/>
    </row>
    <row r="770" spans="1:6" x14ac:dyDescent="0.3">
      <c r="A770" s="131"/>
      <c r="B770" s="131"/>
      <c r="C770" s="131"/>
      <c r="D770" s="131"/>
      <c r="E770" s="133"/>
      <c r="F770" s="131"/>
    </row>
    <row r="771" spans="1:6" x14ac:dyDescent="0.3">
      <c r="A771" s="131"/>
      <c r="B771" s="131"/>
      <c r="C771" s="131"/>
      <c r="D771" s="131"/>
      <c r="E771" s="133"/>
      <c r="F771" s="131"/>
    </row>
    <row r="772" spans="1:6" x14ac:dyDescent="0.3">
      <c r="A772" s="131"/>
      <c r="B772" s="131"/>
      <c r="C772" s="131"/>
      <c r="D772" s="131"/>
      <c r="E772" s="133"/>
      <c r="F772" s="131"/>
    </row>
    <row r="773" spans="1:6" x14ac:dyDescent="0.3">
      <c r="A773" s="131"/>
      <c r="B773" s="131"/>
      <c r="C773" s="131"/>
      <c r="D773" s="131"/>
      <c r="E773" s="133"/>
      <c r="F773" s="131"/>
    </row>
    <row r="774" spans="1:6" x14ac:dyDescent="0.3">
      <c r="A774" s="131"/>
      <c r="B774" s="131"/>
      <c r="C774" s="131"/>
      <c r="D774" s="131"/>
      <c r="E774" s="133"/>
      <c r="F774" s="131"/>
    </row>
    <row r="775" spans="1:6" x14ac:dyDescent="0.3">
      <c r="A775" s="131"/>
      <c r="B775" s="131"/>
      <c r="C775" s="131"/>
      <c r="D775" s="131"/>
      <c r="E775" s="133"/>
      <c r="F775" s="131"/>
    </row>
    <row r="776" spans="1:6" x14ac:dyDescent="0.3">
      <c r="A776" s="131"/>
      <c r="B776" s="131"/>
      <c r="C776" s="131"/>
      <c r="D776" s="131"/>
      <c r="E776" s="133"/>
      <c r="F776" s="131"/>
    </row>
    <row r="777" spans="1:6" x14ac:dyDescent="0.3">
      <c r="A777" s="131"/>
      <c r="B777" s="131"/>
      <c r="C777" s="131"/>
      <c r="D777" s="131"/>
      <c r="E777" s="133"/>
      <c r="F777" s="131"/>
    </row>
    <row r="778" spans="1:6" x14ac:dyDescent="0.3">
      <c r="A778" s="131"/>
      <c r="B778" s="131"/>
      <c r="C778" s="131"/>
      <c r="D778" s="131"/>
      <c r="E778" s="133"/>
      <c r="F778" s="131"/>
    </row>
    <row r="779" spans="1:6" x14ac:dyDescent="0.3">
      <c r="A779" s="131"/>
      <c r="B779" s="131"/>
      <c r="C779" s="131"/>
      <c r="D779" s="131"/>
      <c r="E779" s="133"/>
      <c r="F779" s="131"/>
    </row>
    <row r="780" spans="1:6" x14ac:dyDescent="0.3">
      <c r="A780" s="131"/>
      <c r="B780" s="131"/>
      <c r="C780" s="131"/>
      <c r="D780" s="131"/>
      <c r="E780" s="133"/>
      <c r="F780" s="131"/>
    </row>
    <row r="781" spans="1:6" x14ac:dyDescent="0.3">
      <c r="A781" s="131"/>
      <c r="B781" s="131"/>
      <c r="C781" s="131"/>
      <c r="D781" s="131"/>
      <c r="E781" s="133"/>
      <c r="F781" s="131"/>
    </row>
    <row r="782" spans="1:6" x14ac:dyDescent="0.3">
      <c r="A782" s="131"/>
      <c r="B782" s="131"/>
      <c r="C782" s="131"/>
      <c r="D782" s="131"/>
      <c r="E782" s="133"/>
      <c r="F782" s="131"/>
    </row>
    <row r="783" spans="1:6" x14ac:dyDescent="0.3">
      <c r="A783" s="131"/>
      <c r="B783" s="131"/>
      <c r="C783" s="131"/>
      <c r="D783" s="131"/>
      <c r="E783" s="133"/>
      <c r="F783" s="131"/>
    </row>
    <row r="784" spans="1:6" x14ac:dyDescent="0.3">
      <c r="A784" s="131"/>
      <c r="B784" s="131"/>
      <c r="C784" s="131"/>
      <c r="D784" s="131"/>
      <c r="E784" s="133"/>
      <c r="F784" s="131"/>
    </row>
    <row r="785" spans="1:6" x14ac:dyDescent="0.3">
      <c r="A785" s="131"/>
      <c r="B785" s="131"/>
      <c r="C785" s="131"/>
      <c r="D785" s="131"/>
      <c r="E785" s="133"/>
      <c r="F785" s="131"/>
    </row>
    <row r="786" spans="1:6" x14ac:dyDescent="0.3">
      <c r="A786" s="131"/>
      <c r="B786" s="131"/>
      <c r="C786" s="131"/>
      <c r="D786" s="131"/>
      <c r="E786" s="133"/>
      <c r="F786" s="131"/>
    </row>
    <row r="787" spans="1:6" x14ac:dyDescent="0.3">
      <c r="A787" s="131"/>
      <c r="B787" s="131"/>
      <c r="C787" s="131"/>
      <c r="D787" s="131"/>
      <c r="E787" s="133"/>
      <c r="F787" s="131"/>
    </row>
    <row r="788" spans="1:6" x14ac:dyDescent="0.3">
      <c r="A788" s="131"/>
      <c r="B788" s="131"/>
      <c r="C788" s="131"/>
      <c r="D788" s="131"/>
      <c r="E788" s="133"/>
      <c r="F788" s="131"/>
    </row>
    <row r="789" spans="1:6" x14ac:dyDescent="0.3">
      <c r="A789" s="131"/>
      <c r="B789" s="131"/>
      <c r="C789" s="131"/>
      <c r="D789" s="131"/>
      <c r="E789" s="133"/>
      <c r="F789" s="131"/>
    </row>
    <row r="790" spans="1:6" x14ac:dyDescent="0.3">
      <c r="A790" s="131"/>
      <c r="B790" s="131"/>
      <c r="C790" s="131"/>
      <c r="D790" s="131"/>
      <c r="E790" s="133"/>
      <c r="F790" s="131"/>
    </row>
    <row r="791" spans="1:6" x14ac:dyDescent="0.3">
      <c r="A791" s="131"/>
      <c r="B791" s="131"/>
      <c r="C791" s="131"/>
      <c r="D791" s="131"/>
      <c r="E791" s="133"/>
      <c r="F791" s="131"/>
    </row>
    <row r="792" spans="1:6" x14ac:dyDescent="0.3">
      <c r="A792" s="131"/>
      <c r="B792" s="131"/>
      <c r="C792" s="131"/>
      <c r="D792" s="131"/>
      <c r="E792" s="133"/>
      <c r="F792" s="131"/>
    </row>
    <row r="793" spans="1:6" x14ac:dyDescent="0.3">
      <c r="A793" s="131"/>
      <c r="B793" s="131"/>
      <c r="C793" s="131"/>
      <c r="D793" s="131"/>
      <c r="E793" s="133"/>
      <c r="F793" s="131"/>
    </row>
    <row r="794" spans="1:6" x14ac:dyDescent="0.3">
      <c r="A794" s="131"/>
      <c r="B794" s="131"/>
      <c r="C794" s="131"/>
      <c r="D794" s="131"/>
      <c r="E794" s="133"/>
      <c r="F794" s="131"/>
    </row>
    <row r="795" spans="1:6" x14ac:dyDescent="0.3">
      <c r="A795" s="131"/>
      <c r="B795" s="131"/>
      <c r="C795" s="131"/>
      <c r="D795" s="131"/>
      <c r="E795" s="133"/>
      <c r="F795" s="131"/>
    </row>
    <row r="796" spans="1:6" x14ac:dyDescent="0.3">
      <c r="A796" s="131"/>
      <c r="B796" s="131"/>
      <c r="C796" s="131"/>
      <c r="D796" s="131"/>
      <c r="E796" s="133"/>
      <c r="F796" s="131"/>
    </row>
    <row r="797" spans="1:6" x14ac:dyDescent="0.3">
      <c r="A797" s="131"/>
      <c r="B797" s="131"/>
      <c r="C797" s="131"/>
      <c r="D797" s="131"/>
      <c r="E797" s="133"/>
      <c r="F797" s="131"/>
    </row>
    <row r="798" spans="1:6" x14ac:dyDescent="0.3">
      <c r="A798" s="131"/>
      <c r="B798" s="131"/>
      <c r="C798" s="131"/>
      <c r="D798" s="131"/>
      <c r="E798" s="133"/>
      <c r="F798" s="131"/>
    </row>
    <row r="799" spans="1:6" x14ac:dyDescent="0.3">
      <c r="A799" s="131"/>
      <c r="B799" s="131"/>
      <c r="C799" s="131"/>
      <c r="D799" s="131"/>
      <c r="E799" s="133"/>
      <c r="F799" s="131"/>
    </row>
    <row r="800" spans="1:6" x14ac:dyDescent="0.3">
      <c r="A800" s="131"/>
      <c r="B800" s="131"/>
      <c r="C800" s="131"/>
      <c r="D800" s="131"/>
      <c r="E800" s="133"/>
      <c r="F800" s="131"/>
    </row>
    <row r="801" spans="1:6" x14ac:dyDescent="0.3">
      <c r="A801" s="131"/>
      <c r="B801" s="131"/>
      <c r="C801" s="131"/>
      <c r="D801" s="131"/>
      <c r="E801" s="133"/>
      <c r="F801" s="131"/>
    </row>
    <row r="802" spans="1:6" x14ac:dyDescent="0.3">
      <c r="A802" s="131"/>
      <c r="B802" s="131"/>
      <c r="C802" s="131"/>
      <c r="D802" s="131"/>
      <c r="E802" s="133"/>
      <c r="F802" s="131"/>
    </row>
    <row r="803" spans="1:6" x14ac:dyDescent="0.3">
      <c r="A803" s="131"/>
      <c r="B803" s="131"/>
      <c r="C803" s="131"/>
      <c r="D803" s="131"/>
      <c r="E803" s="133"/>
      <c r="F803" s="131"/>
    </row>
    <row r="804" spans="1:6" x14ac:dyDescent="0.3">
      <c r="A804" s="131"/>
      <c r="B804" s="131"/>
      <c r="C804" s="131"/>
      <c r="D804" s="131"/>
      <c r="E804" s="133"/>
      <c r="F804" s="131"/>
    </row>
    <row r="805" spans="1:6" x14ac:dyDescent="0.3">
      <c r="A805" s="131"/>
      <c r="B805" s="131"/>
      <c r="C805" s="131"/>
      <c r="D805" s="131"/>
      <c r="E805" s="133"/>
      <c r="F805" s="131"/>
    </row>
    <row r="806" spans="1:6" x14ac:dyDescent="0.3">
      <c r="A806" s="131"/>
      <c r="B806" s="131"/>
      <c r="C806" s="131"/>
      <c r="D806" s="131"/>
      <c r="E806" s="133"/>
      <c r="F806" s="131"/>
    </row>
    <row r="807" spans="1:6" x14ac:dyDescent="0.3">
      <c r="A807" s="131"/>
      <c r="B807" s="131"/>
      <c r="C807" s="131"/>
      <c r="D807" s="131"/>
      <c r="E807" s="133"/>
      <c r="F807" s="131"/>
    </row>
    <row r="808" spans="1:6" x14ac:dyDescent="0.3">
      <c r="A808" s="131"/>
      <c r="B808" s="131"/>
      <c r="C808" s="131"/>
      <c r="D808" s="131"/>
      <c r="E808" s="133"/>
      <c r="F808" s="131"/>
    </row>
    <row r="809" spans="1:6" x14ac:dyDescent="0.3">
      <c r="A809" s="131"/>
      <c r="B809" s="131"/>
      <c r="C809" s="131"/>
      <c r="D809" s="131"/>
      <c r="E809" s="133"/>
      <c r="F809" s="131"/>
    </row>
    <row r="810" spans="1:6" x14ac:dyDescent="0.3">
      <c r="A810" s="131"/>
      <c r="B810" s="131"/>
      <c r="C810" s="131"/>
      <c r="D810" s="131"/>
      <c r="E810" s="133"/>
      <c r="F810" s="131"/>
    </row>
    <row r="811" spans="1:6" x14ac:dyDescent="0.3">
      <c r="A811" s="131"/>
      <c r="B811" s="131"/>
      <c r="C811" s="131"/>
      <c r="D811" s="131"/>
      <c r="E811" s="133"/>
      <c r="F811" s="131"/>
    </row>
    <row r="812" spans="1:6" x14ac:dyDescent="0.3">
      <c r="A812" s="131"/>
      <c r="B812" s="131"/>
      <c r="C812" s="131"/>
      <c r="D812" s="131"/>
      <c r="E812" s="133"/>
      <c r="F812" s="131"/>
    </row>
    <row r="813" spans="1:6" x14ac:dyDescent="0.3">
      <c r="A813" s="131"/>
      <c r="B813" s="131"/>
      <c r="C813" s="131"/>
      <c r="D813" s="131"/>
      <c r="E813" s="133"/>
      <c r="F813" s="131"/>
    </row>
    <row r="814" spans="1:6" x14ac:dyDescent="0.3">
      <c r="A814" s="131"/>
      <c r="B814" s="131"/>
      <c r="C814" s="131"/>
      <c r="D814" s="131"/>
      <c r="E814" s="133"/>
      <c r="F814" s="131"/>
    </row>
    <row r="815" spans="1:6" x14ac:dyDescent="0.3">
      <c r="A815" s="131"/>
      <c r="B815" s="131"/>
      <c r="C815" s="131"/>
      <c r="D815" s="131"/>
      <c r="E815" s="133"/>
      <c r="F815" s="131"/>
    </row>
    <row r="816" spans="1:6" x14ac:dyDescent="0.3">
      <c r="A816" s="131"/>
      <c r="B816" s="131"/>
      <c r="C816" s="131"/>
      <c r="D816" s="131"/>
      <c r="E816" s="133"/>
      <c r="F816" s="131"/>
    </row>
    <row r="817" spans="1:6" x14ac:dyDescent="0.3">
      <c r="A817" s="131"/>
      <c r="B817" s="131"/>
      <c r="C817" s="131"/>
      <c r="D817" s="131"/>
      <c r="E817" s="133"/>
      <c r="F817" s="131"/>
    </row>
    <row r="818" spans="1:6" x14ac:dyDescent="0.3">
      <c r="A818" s="131"/>
      <c r="B818" s="131"/>
      <c r="C818" s="131"/>
      <c r="D818" s="131"/>
      <c r="E818" s="133"/>
      <c r="F818" s="131"/>
    </row>
    <row r="819" spans="1:6" x14ac:dyDescent="0.3">
      <c r="A819" s="131"/>
      <c r="B819" s="131"/>
      <c r="C819" s="131"/>
      <c r="D819" s="131"/>
      <c r="E819" s="133"/>
      <c r="F819" s="131"/>
    </row>
    <row r="820" spans="1:6" x14ac:dyDescent="0.3">
      <c r="A820" s="131"/>
      <c r="B820" s="131"/>
      <c r="C820" s="131"/>
      <c r="D820" s="131"/>
      <c r="E820" s="133"/>
      <c r="F820" s="131"/>
    </row>
    <row r="821" spans="1:6" x14ac:dyDescent="0.3">
      <c r="A821" s="131"/>
      <c r="B821" s="131"/>
      <c r="C821" s="131"/>
      <c r="D821" s="131"/>
      <c r="E821" s="133"/>
      <c r="F821" s="131"/>
    </row>
    <row r="822" spans="1:6" x14ac:dyDescent="0.3">
      <c r="A822" s="131"/>
      <c r="B822" s="131"/>
      <c r="C822" s="131"/>
      <c r="D822" s="131"/>
      <c r="E822" s="133"/>
      <c r="F822" s="131"/>
    </row>
    <row r="823" spans="1:6" x14ac:dyDescent="0.3">
      <c r="A823" s="131"/>
      <c r="B823" s="131"/>
      <c r="C823" s="131"/>
      <c r="D823" s="131"/>
      <c r="E823" s="133"/>
      <c r="F823" s="131"/>
    </row>
    <row r="824" spans="1:6" x14ac:dyDescent="0.3">
      <c r="A824" s="131"/>
      <c r="B824" s="131"/>
      <c r="C824" s="131"/>
      <c r="D824" s="131"/>
      <c r="E824" s="133"/>
      <c r="F824" s="131"/>
    </row>
    <row r="825" spans="1:6" x14ac:dyDescent="0.3">
      <c r="A825" s="131"/>
      <c r="B825" s="131"/>
      <c r="C825" s="131"/>
      <c r="D825" s="131"/>
      <c r="E825" s="133"/>
      <c r="F825" s="131"/>
    </row>
    <row r="826" spans="1:6" x14ac:dyDescent="0.3">
      <c r="A826" s="131"/>
      <c r="B826" s="131"/>
      <c r="C826" s="131"/>
      <c r="D826" s="131"/>
      <c r="E826" s="133"/>
      <c r="F826" s="131"/>
    </row>
    <row r="827" spans="1:6" x14ac:dyDescent="0.3">
      <c r="A827" s="131"/>
      <c r="B827" s="131"/>
      <c r="C827" s="131"/>
      <c r="D827" s="131"/>
      <c r="E827" s="133"/>
      <c r="F827" s="131"/>
    </row>
    <row r="828" spans="1:6" x14ac:dyDescent="0.3">
      <c r="A828" s="131"/>
      <c r="B828" s="131"/>
      <c r="C828" s="131"/>
      <c r="D828" s="131"/>
      <c r="E828" s="133"/>
      <c r="F828" s="131"/>
    </row>
    <row r="829" spans="1:6" x14ac:dyDescent="0.3">
      <c r="A829" s="131"/>
      <c r="B829" s="131"/>
      <c r="C829" s="131"/>
      <c r="D829" s="131"/>
      <c r="E829" s="133"/>
      <c r="F829" s="131"/>
    </row>
    <row r="830" spans="1:6" x14ac:dyDescent="0.3">
      <c r="A830" s="131"/>
      <c r="B830" s="131"/>
      <c r="C830" s="131"/>
      <c r="D830" s="131"/>
      <c r="E830" s="133"/>
      <c r="F830" s="131"/>
    </row>
    <row r="831" spans="1:6" x14ac:dyDescent="0.3">
      <c r="A831" s="131"/>
      <c r="B831" s="131"/>
      <c r="C831" s="131"/>
      <c r="D831" s="131"/>
      <c r="E831" s="133"/>
      <c r="F831" s="131"/>
    </row>
    <row r="832" spans="1:6" x14ac:dyDescent="0.3">
      <c r="A832" s="131"/>
      <c r="B832" s="131"/>
      <c r="C832" s="131"/>
      <c r="D832" s="131"/>
      <c r="E832" s="133"/>
      <c r="F832" s="131"/>
    </row>
    <row r="833" spans="1:6" x14ac:dyDescent="0.3">
      <c r="A833" s="131"/>
      <c r="B833" s="131"/>
      <c r="C833" s="131"/>
      <c r="D833" s="131"/>
      <c r="E833" s="133"/>
      <c r="F833" s="131"/>
    </row>
    <row r="834" spans="1:6" x14ac:dyDescent="0.3">
      <c r="A834" s="131"/>
      <c r="B834" s="131"/>
      <c r="C834" s="131"/>
      <c r="D834" s="131"/>
      <c r="E834" s="133"/>
      <c r="F834" s="131"/>
    </row>
    <row r="835" spans="1:6" x14ac:dyDescent="0.3">
      <c r="A835" s="131"/>
      <c r="B835" s="131"/>
      <c r="C835" s="131"/>
      <c r="D835" s="131"/>
      <c r="E835" s="133"/>
      <c r="F835" s="131"/>
    </row>
    <row r="836" spans="1:6" x14ac:dyDescent="0.3">
      <c r="A836" s="131"/>
      <c r="B836" s="131"/>
      <c r="C836" s="131"/>
      <c r="D836" s="131"/>
      <c r="E836" s="133"/>
      <c r="F836" s="131"/>
    </row>
    <row r="837" spans="1:6" x14ac:dyDescent="0.3">
      <c r="A837" s="131"/>
      <c r="B837" s="131"/>
      <c r="C837" s="131"/>
      <c r="D837" s="131"/>
      <c r="E837" s="133"/>
      <c r="F837" s="131"/>
    </row>
    <row r="838" spans="1:6" x14ac:dyDescent="0.3">
      <c r="A838" s="131"/>
      <c r="B838" s="131"/>
      <c r="C838" s="131"/>
      <c r="D838" s="131"/>
      <c r="E838" s="133"/>
      <c r="F838" s="131"/>
    </row>
    <row r="839" spans="1:6" x14ac:dyDescent="0.3">
      <c r="A839" s="131"/>
      <c r="B839" s="131"/>
      <c r="C839" s="131"/>
      <c r="D839" s="131"/>
      <c r="E839" s="133"/>
      <c r="F839" s="131"/>
    </row>
    <row r="840" spans="1:6" x14ac:dyDescent="0.3">
      <c r="A840" s="131"/>
      <c r="B840" s="131"/>
      <c r="C840" s="131"/>
      <c r="D840" s="131"/>
      <c r="E840" s="133"/>
      <c r="F840" s="131"/>
    </row>
    <row r="841" spans="1:6" x14ac:dyDescent="0.3">
      <c r="A841" s="131"/>
      <c r="B841" s="131"/>
      <c r="C841" s="131"/>
      <c r="D841" s="131"/>
      <c r="E841" s="133"/>
      <c r="F841" s="131"/>
    </row>
    <row r="842" spans="1:6" x14ac:dyDescent="0.3">
      <c r="A842" s="131"/>
      <c r="B842" s="131"/>
      <c r="C842" s="131"/>
      <c r="D842" s="131"/>
      <c r="E842" s="133"/>
      <c r="F842" s="131"/>
    </row>
    <row r="843" spans="1:6" x14ac:dyDescent="0.3">
      <c r="A843" s="131"/>
      <c r="B843" s="131"/>
      <c r="C843" s="131"/>
      <c r="D843" s="131"/>
      <c r="E843" s="133"/>
      <c r="F843" s="131"/>
    </row>
    <row r="844" spans="1:6" x14ac:dyDescent="0.3">
      <c r="A844" s="131"/>
      <c r="B844" s="131"/>
      <c r="C844" s="131"/>
      <c r="D844" s="131"/>
      <c r="E844" s="133"/>
      <c r="F844" s="131"/>
    </row>
    <row r="845" spans="1:6" x14ac:dyDescent="0.3">
      <c r="A845" s="131"/>
      <c r="B845" s="131"/>
      <c r="C845" s="131"/>
      <c r="D845" s="131"/>
      <c r="E845" s="133"/>
      <c r="F845" s="131"/>
    </row>
    <row r="846" spans="1:6" x14ac:dyDescent="0.3">
      <c r="A846" s="131"/>
      <c r="B846" s="131"/>
      <c r="C846" s="131"/>
      <c r="D846" s="131"/>
      <c r="E846" s="133"/>
      <c r="F846" s="131"/>
    </row>
    <row r="847" spans="1:6" x14ac:dyDescent="0.3">
      <c r="A847" s="131"/>
      <c r="B847" s="131"/>
      <c r="C847" s="131"/>
      <c r="D847" s="131"/>
      <c r="E847" s="133"/>
      <c r="F847" s="131"/>
    </row>
    <row r="848" spans="1:6" x14ac:dyDescent="0.3">
      <c r="A848" s="131"/>
      <c r="B848" s="131"/>
      <c r="C848" s="131"/>
      <c r="D848" s="131"/>
      <c r="E848" s="133"/>
      <c r="F848" s="131"/>
    </row>
    <row r="849" spans="1:6" x14ac:dyDescent="0.3">
      <c r="A849" s="131"/>
      <c r="B849" s="131"/>
      <c r="C849" s="131"/>
      <c r="D849" s="131"/>
      <c r="E849" s="133"/>
      <c r="F849" s="131"/>
    </row>
    <row r="850" spans="1:6" x14ac:dyDescent="0.3">
      <c r="A850" s="131"/>
      <c r="B850" s="131"/>
      <c r="C850" s="131"/>
      <c r="D850" s="131"/>
      <c r="E850" s="133"/>
      <c r="F850" s="131"/>
    </row>
    <row r="851" spans="1:6" x14ac:dyDescent="0.3">
      <c r="A851" s="131"/>
      <c r="B851" s="131"/>
      <c r="C851" s="131"/>
      <c r="D851" s="131"/>
      <c r="E851" s="133"/>
      <c r="F851" s="131"/>
    </row>
    <row r="852" spans="1:6" x14ac:dyDescent="0.3">
      <c r="A852" s="131"/>
      <c r="B852" s="131"/>
      <c r="C852" s="131"/>
      <c r="D852" s="131"/>
      <c r="E852" s="133"/>
      <c r="F852" s="131"/>
    </row>
    <row r="853" spans="1:6" x14ac:dyDescent="0.3">
      <c r="A853" s="131"/>
      <c r="B853" s="131"/>
      <c r="C853" s="131"/>
      <c r="D853" s="131"/>
      <c r="E853" s="133"/>
      <c r="F853" s="131"/>
    </row>
    <row r="854" spans="1:6" x14ac:dyDescent="0.3">
      <c r="A854" s="131"/>
      <c r="B854" s="131"/>
      <c r="C854" s="131"/>
      <c r="D854" s="131"/>
      <c r="E854" s="133"/>
      <c r="F854" s="131"/>
    </row>
    <row r="855" spans="1:6" x14ac:dyDescent="0.3">
      <c r="A855" s="131"/>
      <c r="B855" s="131"/>
      <c r="C855" s="131"/>
      <c r="D855" s="131"/>
      <c r="E855" s="133"/>
      <c r="F855" s="131"/>
    </row>
    <row r="856" spans="1:6" x14ac:dyDescent="0.3">
      <c r="A856" s="131"/>
      <c r="B856" s="131"/>
      <c r="C856" s="131"/>
      <c r="D856" s="131"/>
      <c r="E856" s="133"/>
      <c r="F856" s="131"/>
    </row>
    <row r="857" spans="1:6" x14ac:dyDescent="0.3">
      <c r="A857" s="131"/>
      <c r="B857" s="131"/>
      <c r="C857" s="131"/>
      <c r="D857" s="131"/>
      <c r="E857" s="133"/>
      <c r="F857" s="131"/>
    </row>
    <row r="858" spans="1:6" x14ac:dyDescent="0.3">
      <c r="A858" s="131"/>
      <c r="B858" s="131"/>
      <c r="C858" s="131"/>
      <c r="D858" s="131"/>
      <c r="E858" s="133"/>
      <c r="F858" s="131"/>
    </row>
    <row r="859" spans="1:6" x14ac:dyDescent="0.3">
      <c r="A859" s="131"/>
      <c r="B859" s="131"/>
      <c r="C859" s="131"/>
      <c r="D859" s="131"/>
      <c r="E859" s="133"/>
      <c r="F859" s="131"/>
    </row>
    <row r="860" spans="1:6" x14ac:dyDescent="0.3">
      <c r="A860" s="131"/>
      <c r="B860" s="131"/>
      <c r="C860" s="131"/>
      <c r="D860" s="131"/>
      <c r="E860" s="133"/>
      <c r="F860" s="131"/>
    </row>
    <row r="861" spans="1:6" x14ac:dyDescent="0.3">
      <c r="A861" s="131"/>
      <c r="B861" s="131"/>
      <c r="C861" s="131"/>
      <c r="D861" s="131"/>
      <c r="E861" s="133"/>
      <c r="F861" s="131"/>
    </row>
    <row r="862" spans="1:6" x14ac:dyDescent="0.3">
      <c r="A862" s="131"/>
      <c r="B862" s="131"/>
      <c r="C862" s="131"/>
      <c r="D862" s="131"/>
      <c r="E862" s="133"/>
      <c r="F862" s="131"/>
    </row>
    <row r="863" spans="1:6" x14ac:dyDescent="0.3">
      <c r="A863" s="131"/>
      <c r="B863" s="131"/>
      <c r="C863" s="131"/>
      <c r="D863" s="131"/>
      <c r="E863" s="133"/>
      <c r="F863" s="131"/>
    </row>
    <row r="864" spans="1:6" x14ac:dyDescent="0.3">
      <c r="A864" s="131"/>
      <c r="B864" s="131"/>
      <c r="C864" s="131"/>
      <c r="D864" s="131"/>
      <c r="E864" s="133"/>
      <c r="F864" s="131"/>
    </row>
    <row r="865" spans="1:6" x14ac:dyDescent="0.3">
      <c r="A865" s="131"/>
      <c r="B865" s="131"/>
      <c r="C865" s="131"/>
      <c r="D865" s="131"/>
      <c r="E865" s="133"/>
      <c r="F865" s="131"/>
    </row>
    <row r="866" spans="1:6" x14ac:dyDescent="0.3">
      <c r="A866" s="131"/>
      <c r="B866" s="131"/>
      <c r="C866" s="131"/>
      <c r="D866" s="131"/>
      <c r="E866" s="133"/>
      <c r="F866" s="131"/>
    </row>
    <row r="867" spans="1:6" x14ac:dyDescent="0.3">
      <c r="A867" s="131"/>
      <c r="B867" s="131"/>
      <c r="C867" s="131"/>
      <c r="D867" s="131"/>
      <c r="E867" s="133"/>
      <c r="F867" s="131"/>
    </row>
    <row r="868" spans="1:6" x14ac:dyDescent="0.3">
      <c r="A868" s="131"/>
      <c r="B868" s="131"/>
      <c r="C868" s="131"/>
      <c r="D868" s="131"/>
      <c r="E868" s="133"/>
      <c r="F868" s="131"/>
    </row>
    <row r="869" spans="1:6" x14ac:dyDescent="0.3">
      <c r="A869" s="131"/>
      <c r="B869" s="131"/>
      <c r="C869" s="131"/>
      <c r="D869" s="131"/>
      <c r="E869" s="133"/>
      <c r="F869" s="131"/>
    </row>
    <row r="870" spans="1:6" x14ac:dyDescent="0.3">
      <c r="A870" s="131"/>
      <c r="B870" s="131"/>
      <c r="C870" s="131"/>
      <c r="D870" s="131"/>
      <c r="E870" s="133"/>
      <c r="F870" s="131"/>
    </row>
    <row r="871" spans="1:6" x14ac:dyDescent="0.3">
      <c r="A871" s="131"/>
      <c r="B871" s="131"/>
      <c r="C871" s="131"/>
      <c r="D871" s="131"/>
      <c r="E871" s="133"/>
      <c r="F871" s="131"/>
    </row>
    <row r="872" spans="1:6" x14ac:dyDescent="0.3">
      <c r="A872" s="131"/>
      <c r="B872" s="131"/>
      <c r="C872" s="131"/>
      <c r="D872" s="131"/>
      <c r="E872" s="133"/>
      <c r="F872" s="131"/>
    </row>
    <row r="873" spans="1:6" x14ac:dyDescent="0.3">
      <c r="A873" s="131"/>
      <c r="B873" s="131"/>
      <c r="C873" s="131"/>
      <c r="D873" s="131"/>
      <c r="E873" s="133"/>
      <c r="F873" s="131"/>
    </row>
    <row r="874" spans="1:6" x14ac:dyDescent="0.3">
      <c r="A874" s="131"/>
      <c r="B874" s="131"/>
      <c r="C874" s="131"/>
      <c r="D874" s="131"/>
      <c r="E874" s="133"/>
      <c r="F874" s="131"/>
    </row>
    <row r="875" spans="1:6" x14ac:dyDescent="0.3">
      <c r="A875" s="131"/>
      <c r="B875" s="131"/>
      <c r="C875" s="131"/>
      <c r="D875" s="131"/>
      <c r="E875" s="133"/>
      <c r="F875" s="131"/>
    </row>
    <row r="876" spans="1:6" x14ac:dyDescent="0.3">
      <c r="A876" s="131"/>
      <c r="B876" s="131"/>
      <c r="C876" s="131"/>
      <c r="D876" s="131"/>
      <c r="E876" s="133"/>
      <c r="F876" s="131"/>
    </row>
    <row r="877" spans="1:6" x14ac:dyDescent="0.3">
      <c r="A877" s="131"/>
      <c r="B877" s="131"/>
      <c r="C877" s="131"/>
      <c r="D877" s="131"/>
      <c r="E877" s="133"/>
      <c r="F877" s="131"/>
    </row>
    <row r="878" spans="1:6" x14ac:dyDescent="0.3">
      <c r="A878" s="131"/>
      <c r="B878" s="131"/>
      <c r="C878" s="131"/>
      <c r="D878" s="131"/>
      <c r="E878" s="133"/>
      <c r="F878" s="131"/>
    </row>
    <row r="879" spans="1:6" x14ac:dyDescent="0.3">
      <c r="A879" s="131"/>
      <c r="B879" s="131"/>
      <c r="C879" s="131"/>
      <c r="D879" s="131"/>
      <c r="E879" s="133"/>
      <c r="F879" s="131"/>
    </row>
    <row r="880" spans="1:6" x14ac:dyDescent="0.3">
      <c r="A880" s="131"/>
      <c r="B880" s="131"/>
      <c r="C880" s="131"/>
      <c r="D880" s="131"/>
      <c r="E880" s="133"/>
      <c r="F880" s="131"/>
    </row>
    <row r="881" spans="1:6" x14ac:dyDescent="0.3">
      <c r="A881" s="131"/>
      <c r="B881" s="131"/>
      <c r="C881" s="131"/>
      <c r="D881" s="131"/>
      <c r="E881" s="133"/>
      <c r="F881" s="131"/>
    </row>
    <row r="882" spans="1:6" x14ac:dyDescent="0.3">
      <c r="A882" s="131"/>
      <c r="B882" s="131"/>
      <c r="C882" s="131"/>
      <c r="D882" s="131"/>
      <c r="E882" s="133"/>
      <c r="F882" s="131"/>
    </row>
    <row r="883" spans="1:6" x14ac:dyDescent="0.3">
      <c r="A883" s="131"/>
      <c r="B883" s="131"/>
      <c r="C883" s="131"/>
      <c r="D883" s="131"/>
      <c r="E883" s="133"/>
      <c r="F883" s="131"/>
    </row>
    <row r="884" spans="1:6" x14ac:dyDescent="0.3">
      <c r="A884" s="131"/>
      <c r="B884" s="131"/>
      <c r="C884" s="131"/>
      <c r="D884" s="131"/>
      <c r="E884" s="133"/>
      <c r="F884" s="131"/>
    </row>
    <row r="885" spans="1:6" x14ac:dyDescent="0.3">
      <c r="A885" s="131"/>
      <c r="B885" s="131"/>
      <c r="C885" s="131"/>
      <c r="D885" s="131"/>
      <c r="E885" s="133"/>
      <c r="F885" s="131"/>
    </row>
    <row r="886" spans="1:6" x14ac:dyDescent="0.3">
      <c r="A886" s="131"/>
      <c r="B886" s="131"/>
      <c r="C886" s="131"/>
      <c r="D886" s="131"/>
      <c r="E886" s="133"/>
      <c r="F886" s="131"/>
    </row>
    <row r="887" spans="1:6" x14ac:dyDescent="0.3">
      <c r="A887" s="131"/>
      <c r="B887" s="131"/>
      <c r="C887" s="131"/>
      <c r="D887" s="131"/>
      <c r="E887" s="133"/>
      <c r="F887" s="131"/>
    </row>
    <row r="888" spans="1:6" x14ac:dyDescent="0.3">
      <c r="A888" s="131"/>
      <c r="B888" s="131"/>
      <c r="C888" s="131"/>
      <c r="D888" s="131"/>
      <c r="E888" s="133"/>
      <c r="F888" s="131"/>
    </row>
    <row r="889" spans="1:6" x14ac:dyDescent="0.3">
      <c r="A889" s="131"/>
      <c r="B889" s="131"/>
      <c r="C889" s="131"/>
      <c r="D889" s="131"/>
      <c r="E889" s="133"/>
      <c r="F889" s="131"/>
    </row>
    <row r="890" spans="1:6" x14ac:dyDescent="0.3">
      <c r="A890" s="131"/>
      <c r="B890" s="131"/>
      <c r="C890" s="131"/>
      <c r="D890" s="131"/>
      <c r="E890" s="133"/>
      <c r="F890" s="131"/>
    </row>
    <row r="891" spans="1:6" x14ac:dyDescent="0.3">
      <c r="A891" s="131"/>
      <c r="B891" s="131"/>
      <c r="C891" s="131"/>
      <c r="D891" s="131"/>
      <c r="E891" s="133"/>
      <c r="F891" s="131"/>
    </row>
    <row r="892" spans="1:6" x14ac:dyDescent="0.3">
      <c r="A892" s="131"/>
      <c r="B892" s="131"/>
      <c r="C892" s="131"/>
      <c r="D892" s="131"/>
      <c r="E892" s="133"/>
      <c r="F892" s="131"/>
    </row>
    <row r="893" spans="1:6" x14ac:dyDescent="0.3">
      <c r="A893" s="131"/>
      <c r="B893" s="131"/>
      <c r="C893" s="131"/>
      <c r="D893" s="131"/>
      <c r="E893" s="133"/>
      <c r="F893" s="131"/>
    </row>
    <row r="894" spans="1:6" x14ac:dyDescent="0.3">
      <c r="A894" s="131"/>
      <c r="B894" s="131"/>
      <c r="C894" s="131"/>
      <c r="D894" s="131"/>
      <c r="E894" s="133"/>
      <c r="F894" s="131"/>
    </row>
    <row r="895" spans="1:6" x14ac:dyDescent="0.3">
      <c r="A895" s="131"/>
      <c r="B895" s="131"/>
      <c r="C895" s="131"/>
      <c r="D895" s="131"/>
      <c r="E895" s="133"/>
      <c r="F895" s="131"/>
    </row>
    <row r="896" spans="1:6" x14ac:dyDescent="0.3">
      <c r="A896" s="131"/>
      <c r="B896" s="131"/>
      <c r="C896" s="131"/>
      <c r="D896" s="131"/>
      <c r="E896" s="133"/>
      <c r="F896" s="131"/>
    </row>
    <row r="897" spans="1:6" x14ac:dyDescent="0.3">
      <c r="A897" s="131"/>
      <c r="B897" s="131"/>
      <c r="C897" s="131"/>
      <c r="D897" s="131"/>
      <c r="E897" s="133"/>
      <c r="F897" s="131"/>
    </row>
    <row r="898" spans="1:6" x14ac:dyDescent="0.3">
      <c r="A898" s="131"/>
      <c r="B898" s="131"/>
      <c r="C898" s="131"/>
      <c r="D898" s="131"/>
      <c r="E898" s="133"/>
      <c r="F898" s="131"/>
    </row>
    <row r="899" spans="1:6" x14ac:dyDescent="0.3">
      <c r="A899" s="131"/>
      <c r="B899" s="131"/>
      <c r="C899" s="131"/>
      <c r="D899" s="131"/>
      <c r="E899" s="133"/>
      <c r="F899" s="131"/>
    </row>
    <row r="900" spans="1:6" x14ac:dyDescent="0.3">
      <c r="A900" s="131"/>
      <c r="B900" s="131"/>
      <c r="C900" s="131"/>
      <c r="D900" s="131"/>
      <c r="E900" s="133"/>
      <c r="F900" s="131"/>
    </row>
    <row r="901" spans="1:6" x14ac:dyDescent="0.3">
      <c r="A901" s="131"/>
      <c r="B901" s="131"/>
      <c r="C901" s="131"/>
      <c r="D901" s="131"/>
      <c r="E901" s="133"/>
      <c r="F901" s="131"/>
    </row>
    <row r="902" spans="1:6" x14ac:dyDescent="0.3">
      <c r="A902" s="131"/>
      <c r="B902" s="131"/>
      <c r="C902" s="131"/>
      <c r="D902" s="131"/>
      <c r="E902" s="133"/>
      <c r="F902" s="131"/>
    </row>
    <row r="903" spans="1:6" x14ac:dyDescent="0.3">
      <c r="A903" s="131"/>
      <c r="B903" s="131"/>
      <c r="C903" s="131"/>
      <c r="D903" s="131"/>
      <c r="E903" s="133"/>
      <c r="F903" s="131"/>
    </row>
    <row r="904" spans="1:6" x14ac:dyDescent="0.3">
      <c r="A904" s="131"/>
      <c r="B904" s="131"/>
      <c r="C904" s="131"/>
      <c r="D904" s="131"/>
      <c r="E904" s="133"/>
      <c r="F904" s="131"/>
    </row>
    <row r="905" spans="1:6" x14ac:dyDescent="0.3">
      <c r="A905" s="131"/>
      <c r="B905" s="131"/>
      <c r="C905" s="131"/>
      <c r="D905" s="131"/>
      <c r="E905" s="133"/>
      <c r="F905" s="131"/>
    </row>
    <row r="906" spans="1:6" x14ac:dyDescent="0.3">
      <c r="A906" s="131"/>
      <c r="B906" s="131"/>
      <c r="C906" s="131"/>
      <c r="D906" s="131"/>
      <c r="E906" s="133"/>
      <c r="F906" s="131"/>
    </row>
    <row r="907" spans="1:6" x14ac:dyDescent="0.3">
      <c r="A907" s="131"/>
      <c r="B907" s="131"/>
      <c r="C907" s="131"/>
      <c r="D907" s="131"/>
      <c r="E907" s="133"/>
      <c r="F907" s="131"/>
    </row>
    <row r="908" spans="1:6" x14ac:dyDescent="0.3">
      <c r="A908" s="131"/>
      <c r="B908" s="131"/>
      <c r="C908" s="131"/>
      <c r="D908" s="131"/>
      <c r="E908" s="133"/>
      <c r="F908" s="131"/>
    </row>
    <row r="909" spans="1:6" x14ac:dyDescent="0.3">
      <c r="A909" s="131"/>
      <c r="B909" s="131"/>
      <c r="C909" s="131"/>
      <c r="D909" s="131"/>
      <c r="E909" s="133"/>
      <c r="F909" s="131"/>
    </row>
    <row r="910" spans="1:6" x14ac:dyDescent="0.3">
      <c r="A910" s="131"/>
      <c r="B910" s="131"/>
      <c r="C910" s="131"/>
      <c r="D910" s="131"/>
      <c r="E910" s="133"/>
      <c r="F910" s="131"/>
    </row>
    <row r="911" spans="1:6" x14ac:dyDescent="0.3">
      <c r="A911" s="131"/>
      <c r="B911" s="131"/>
      <c r="C911" s="131"/>
      <c r="D911" s="131"/>
      <c r="E911" s="133"/>
      <c r="F911" s="131"/>
    </row>
    <row r="912" spans="1:6" x14ac:dyDescent="0.3">
      <c r="A912" s="131"/>
      <c r="B912" s="131"/>
      <c r="C912" s="131"/>
      <c r="D912" s="131"/>
      <c r="E912" s="133"/>
      <c r="F912" s="131"/>
    </row>
    <row r="913" spans="1:6" x14ac:dyDescent="0.3">
      <c r="A913" s="131"/>
      <c r="B913" s="131"/>
      <c r="C913" s="131"/>
      <c r="D913" s="131"/>
      <c r="E913" s="133"/>
      <c r="F913" s="131"/>
    </row>
    <row r="914" spans="1:6" x14ac:dyDescent="0.3">
      <c r="A914" s="131"/>
      <c r="B914" s="131"/>
      <c r="C914" s="131"/>
      <c r="D914" s="131"/>
      <c r="E914" s="133"/>
      <c r="F914" s="131"/>
    </row>
    <row r="915" spans="1:6" x14ac:dyDescent="0.3">
      <c r="A915" s="131"/>
      <c r="B915" s="131"/>
      <c r="C915" s="131"/>
      <c r="D915" s="131"/>
      <c r="E915" s="133"/>
      <c r="F915" s="131"/>
    </row>
    <row r="916" spans="1:6" x14ac:dyDescent="0.3">
      <c r="A916" s="131"/>
      <c r="B916" s="131"/>
      <c r="C916" s="131"/>
      <c r="D916" s="131"/>
      <c r="E916" s="133"/>
      <c r="F916" s="131"/>
    </row>
    <row r="917" spans="1:6" x14ac:dyDescent="0.3">
      <c r="A917" s="131"/>
      <c r="B917" s="131"/>
      <c r="C917" s="131"/>
      <c r="D917" s="131"/>
      <c r="E917" s="133"/>
      <c r="F917" s="131"/>
    </row>
    <row r="918" spans="1:6" x14ac:dyDescent="0.3">
      <c r="A918" s="131"/>
      <c r="B918" s="131"/>
      <c r="C918" s="131"/>
      <c r="D918" s="131"/>
      <c r="E918" s="133"/>
      <c r="F918" s="131"/>
    </row>
    <row r="919" spans="1:6" x14ac:dyDescent="0.3">
      <c r="A919" s="131"/>
      <c r="B919" s="131"/>
      <c r="C919" s="131"/>
      <c r="D919" s="131"/>
      <c r="E919" s="133"/>
      <c r="F919" s="131"/>
    </row>
    <row r="920" spans="1:6" x14ac:dyDescent="0.3">
      <c r="A920" s="131"/>
      <c r="B920" s="131"/>
      <c r="C920" s="131"/>
      <c r="D920" s="131"/>
      <c r="E920" s="133"/>
      <c r="F920" s="131"/>
    </row>
    <row r="921" spans="1:6" x14ac:dyDescent="0.3">
      <c r="A921" s="131"/>
      <c r="B921" s="131"/>
      <c r="C921" s="131"/>
      <c r="D921" s="131"/>
      <c r="E921" s="133"/>
      <c r="F921" s="131"/>
    </row>
    <row r="922" spans="1:6" x14ac:dyDescent="0.3">
      <c r="A922" s="131"/>
      <c r="B922" s="131"/>
      <c r="C922" s="131"/>
      <c r="D922" s="131"/>
      <c r="E922" s="133"/>
      <c r="F922" s="131"/>
    </row>
    <row r="923" spans="1:6" x14ac:dyDescent="0.3">
      <c r="A923" s="131"/>
      <c r="B923" s="131"/>
      <c r="C923" s="131"/>
      <c r="D923" s="131"/>
      <c r="E923" s="133"/>
      <c r="F923" s="131"/>
    </row>
    <row r="924" spans="1:6" x14ac:dyDescent="0.3">
      <c r="A924" s="131"/>
      <c r="B924" s="131"/>
      <c r="C924" s="131"/>
      <c r="D924" s="131"/>
      <c r="E924" s="133"/>
      <c r="F924" s="131"/>
    </row>
    <row r="925" spans="1:6" x14ac:dyDescent="0.3">
      <c r="A925" s="131"/>
      <c r="B925" s="131"/>
      <c r="C925" s="131"/>
      <c r="D925" s="131"/>
      <c r="E925" s="133"/>
      <c r="F925" s="131"/>
    </row>
    <row r="926" spans="1:6" x14ac:dyDescent="0.3">
      <c r="A926" s="131"/>
      <c r="B926" s="131"/>
      <c r="C926" s="131"/>
      <c r="D926" s="131"/>
      <c r="E926" s="133"/>
      <c r="F926" s="131"/>
    </row>
    <row r="927" spans="1:6" x14ac:dyDescent="0.3">
      <c r="A927" s="131"/>
      <c r="B927" s="131"/>
      <c r="C927" s="131"/>
      <c r="D927" s="131"/>
      <c r="E927" s="133"/>
      <c r="F927" s="131"/>
    </row>
    <row r="928" spans="1:6" x14ac:dyDescent="0.3">
      <c r="A928" s="131"/>
      <c r="B928" s="131"/>
      <c r="C928" s="131"/>
      <c r="D928" s="131"/>
      <c r="E928" s="133"/>
      <c r="F928" s="131"/>
    </row>
    <row r="929" spans="1:6" x14ac:dyDescent="0.3">
      <c r="A929" s="131"/>
      <c r="B929" s="131"/>
      <c r="C929" s="131"/>
      <c r="D929" s="131"/>
      <c r="E929" s="133"/>
      <c r="F929" s="131"/>
    </row>
    <row r="930" spans="1:6" x14ac:dyDescent="0.3">
      <c r="A930" s="131"/>
      <c r="B930" s="131"/>
      <c r="C930" s="131"/>
      <c r="D930" s="131"/>
      <c r="E930" s="133"/>
      <c r="F930" s="131"/>
    </row>
    <row r="931" spans="1:6" x14ac:dyDescent="0.3">
      <c r="A931" s="131"/>
      <c r="B931" s="131"/>
      <c r="C931" s="131"/>
      <c r="D931" s="131"/>
      <c r="E931" s="133"/>
      <c r="F931" s="131"/>
    </row>
    <row r="932" spans="1:6" x14ac:dyDescent="0.3">
      <c r="A932" s="131"/>
      <c r="B932" s="131"/>
      <c r="C932" s="131"/>
      <c r="D932" s="131"/>
      <c r="E932" s="133"/>
      <c r="F932" s="131"/>
    </row>
    <row r="933" spans="1:6" x14ac:dyDescent="0.3">
      <c r="A933" s="131"/>
      <c r="B933" s="131"/>
      <c r="C933" s="131"/>
      <c r="D933" s="131"/>
      <c r="E933" s="133"/>
      <c r="F933" s="131"/>
    </row>
    <row r="934" spans="1:6" x14ac:dyDescent="0.3">
      <c r="A934" s="131"/>
      <c r="B934" s="131"/>
      <c r="C934" s="131"/>
      <c r="D934" s="131"/>
      <c r="E934" s="133"/>
      <c r="F934" s="131"/>
    </row>
    <row r="935" spans="1:6" x14ac:dyDescent="0.3">
      <c r="A935" s="131"/>
      <c r="B935" s="131"/>
      <c r="C935" s="131"/>
      <c r="D935" s="131"/>
      <c r="E935" s="133"/>
      <c r="F935" s="131"/>
    </row>
    <row r="936" spans="1:6" x14ac:dyDescent="0.3">
      <c r="A936" s="131"/>
      <c r="B936" s="131"/>
      <c r="C936" s="131"/>
      <c r="D936" s="131"/>
      <c r="E936" s="133"/>
      <c r="F936" s="131"/>
    </row>
    <row r="937" spans="1:6" x14ac:dyDescent="0.3">
      <c r="A937" s="131"/>
      <c r="B937" s="131"/>
      <c r="C937" s="131"/>
      <c r="D937" s="131"/>
      <c r="E937" s="133"/>
      <c r="F937" s="131"/>
    </row>
    <row r="938" spans="1:6" x14ac:dyDescent="0.3">
      <c r="A938" s="131"/>
      <c r="B938" s="131"/>
      <c r="C938" s="131"/>
      <c r="D938" s="131"/>
      <c r="E938" s="133"/>
      <c r="F938" s="131"/>
    </row>
    <row r="939" spans="1:6" x14ac:dyDescent="0.3">
      <c r="A939" s="131"/>
      <c r="B939" s="131"/>
      <c r="C939" s="131"/>
      <c r="D939" s="131"/>
      <c r="E939" s="133"/>
      <c r="F939" s="131"/>
    </row>
    <row r="940" spans="1:6" x14ac:dyDescent="0.3">
      <c r="A940" s="131"/>
      <c r="B940" s="131"/>
      <c r="C940" s="131"/>
      <c r="D940" s="131"/>
      <c r="E940" s="133"/>
      <c r="F940" s="131"/>
    </row>
    <row r="941" spans="1:6" x14ac:dyDescent="0.3">
      <c r="A941" s="131"/>
      <c r="B941" s="131"/>
      <c r="C941" s="131"/>
      <c r="D941" s="131"/>
      <c r="E941" s="133"/>
      <c r="F941" s="131"/>
    </row>
    <row r="942" spans="1:6" x14ac:dyDescent="0.3">
      <c r="A942" s="131"/>
      <c r="B942" s="131"/>
      <c r="C942" s="131"/>
      <c r="D942" s="131"/>
      <c r="E942" s="133"/>
      <c r="F942" s="131"/>
    </row>
    <row r="943" spans="1:6" x14ac:dyDescent="0.3">
      <c r="A943" s="131"/>
      <c r="B943" s="131"/>
      <c r="C943" s="131"/>
      <c r="D943" s="131"/>
      <c r="E943" s="133"/>
      <c r="F943" s="131"/>
    </row>
    <row r="944" spans="1:6" x14ac:dyDescent="0.3">
      <c r="A944" s="131"/>
      <c r="B944" s="131"/>
      <c r="C944" s="131"/>
      <c r="D944" s="131"/>
      <c r="E944" s="133"/>
      <c r="F944" s="131"/>
    </row>
    <row r="945" spans="1:6" x14ac:dyDescent="0.3">
      <c r="A945" s="131"/>
      <c r="B945" s="131"/>
      <c r="C945" s="131"/>
      <c r="D945" s="131"/>
      <c r="E945" s="133"/>
      <c r="F945" s="131"/>
    </row>
    <row r="946" spans="1:6" x14ac:dyDescent="0.3">
      <c r="A946" s="131"/>
      <c r="B946" s="131"/>
      <c r="C946" s="131"/>
      <c r="D946" s="131"/>
      <c r="E946" s="133"/>
      <c r="F946" s="131"/>
    </row>
    <row r="947" spans="1:6" x14ac:dyDescent="0.3">
      <c r="A947" s="131"/>
      <c r="B947" s="131"/>
      <c r="C947" s="131"/>
      <c r="D947" s="131"/>
      <c r="E947" s="133"/>
      <c r="F947" s="131"/>
    </row>
    <row r="948" spans="1:6" x14ac:dyDescent="0.3">
      <c r="A948" s="131"/>
      <c r="B948" s="131"/>
      <c r="C948" s="131"/>
      <c r="D948" s="131"/>
      <c r="E948" s="133"/>
      <c r="F948" s="131"/>
    </row>
    <row r="949" spans="1:6" x14ac:dyDescent="0.3">
      <c r="A949" s="131"/>
      <c r="B949" s="131"/>
      <c r="C949" s="131"/>
      <c r="D949" s="131"/>
      <c r="E949" s="133"/>
      <c r="F949" s="131"/>
    </row>
    <row r="950" spans="1:6" x14ac:dyDescent="0.3">
      <c r="A950" s="131"/>
      <c r="B950" s="131"/>
      <c r="C950" s="131"/>
      <c r="D950" s="131"/>
      <c r="E950" s="133"/>
      <c r="F950" s="131"/>
    </row>
    <row r="951" spans="1:6" x14ac:dyDescent="0.3">
      <c r="A951" s="131"/>
      <c r="B951" s="131"/>
      <c r="C951" s="131"/>
      <c r="D951" s="131"/>
      <c r="E951" s="133"/>
      <c r="F951" s="131"/>
    </row>
    <row r="952" spans="1:6" x14ac:dyDescent="0.3">
      <c r="A952" s="131"/>
      <c r="B952" s="131"/>
      <c r="C952" s="131"/>
      <c r="D952" s="131"/>
      <c r="E952" s="133"/>
      <c r="F952" s="131"/>
    </row>
    <row r="953" spans="1:6" x14ac:dyDescent="0.3">
      <c r="A953" s="131"/>
      <c r="B953" s="131"/>
      <c r="C953" s="131"/>
      <c r="D953" s="131"/>
      <c r="E953" s="133"/>
      <c r="F953" s="131"/>
    </row>
    <row r="954" spans="1:6" x14ac:dyDescent="0.3">
      <c r="A954" s="131"/>
      <c r="B954" s="131"/>
      <c r="C954" s="131"/>
      <c r="D954" s="131"/>
      <c r="E954" s="133"/>
      <c r="F954" s="131"/>
    </row>
    <row r="955" spans="1:6" x14ac:dyDescent="0.3">
      <c r="A955" s="131"/>
      <c r="B955" s="131"/>
      <c r="C955" s="131"/>
      <c r="D955" s="131"/>
      <c r="E955" s="133"/>
      <c r="F955" s="131"/>
    </row>
    <row r="956" spans="1:6" x14ac:dyDescent="0.3">
      <c r="A956" s="131"/>
      <c r="B956" s="131"/>
      <c r="C956" s="131"/>
      <c r="D956" s="131"/>
      <c r="E956" s="133"/>
      <c r="F956" s="131"/>
    </row>
    <row r="957" spans="1:6" x14ac:dyDescent="0.3">
      <c r="A957" s="131"/>
      <c r="B957" s="131"/>
      <c r="C957" s="131"/>
      <c r="D957" s="131"/>
      <c r="E957" s="133"/>
      <c r="F957" s="131"/>
    </row>
    <row r="958" spans="1:6" x14ac:dyDescent="0.3">
      <c r="A958" s="131"/>
      <c r="B958" s="131"/>
      <c r="C958" s="131"/>
      <c r="D958" s="131"/>
      <c r="E958" s="133"/>
      <c r="F958" s="131"/>
    </row>
    <row r="959" spans="1:6" x14ac:dyDescent="0.3">
      <c r="A959" s="131"/>
      <c r="B959" s="131"/>
      <c r="C959" s="131"/>
      <c r="D959" s="131"/>
      <c r="E959" s="133"/>
      <c r="F959" s="131"/>
    </row>
    <row r="960" spans="1:6" x14ac:dyDescent="0.3">
      <c r="A960" s="131"/>
      <c r="B960" s="131"/>
      <c r="C960" s="131"/>
      <c r="D960" s="131"/>
      <c r="E960" s="133"/>
      <c r="F960" s="131"/>
    </row>
    <row r="961" spans="1:6" x14ac:dyDescent="0.3">
      <c r="A961" s="131"/>
      <c r="B961" s="131"/>
      <c r="C961" s="131"/>
      <c r="D961" s="131"/>
      <c r="E961" s="133"/>
      <c r="F961" s="131"/>
    </row>
    <row r="962" spans="1:6" x14ac:dyDescent="0.3">
      <c r="A962" s="131"/>
      <c r="B962" s="131"/>
      <c r="C962" s="131"/>
      <c r="D962" s="131"/>
      <c r="E962" s="133"/>
      <c r="F962" s="131"/>
    </row>
    <row r="963" spans="1:6" x14ac:dyDescent="0.3">
      <c r="A963" s="131"/>
      <c r="B963" s="131"/>
      <c r="C963" s="131"/>
      <c r="D963" s="131"/>
      <c r="E963" s="133"/>
      <c r="F963" s="131"/>
    </row>
    <row r="964" spans="1:6" x14ac:dyDescent="0.3">
      <c r="A964" s="131"/>
      <c r="B964" s="131"/>
      <c r="C964" s="131"/>
      <c r="D964" s="131"/>
      <c r="E964" s="133"/>
      <c r="F964" s="131"/>
    </row>
    <row r="965" spans="1:6" x14ac:dyDescent="0.3">
      <c r="A965" s="131"/>
      <c r="B965" s="131"/>
      <c r="C965" s="131"/>
      <c r="D965" s="131"/>
      <c r="E965" s="133"/>
      <c r="F965" s="131"/>
    </row>
    <row r="966" spans="1:6" x14ac:dyDescent="0.3">
      <c r="A966" s="131"/>
      <c r="B966" s="131"/>
      <c r="C966" s="131"/>
      <c r="D966" s="131"/>
      <c r="E966" s="133"/>
      <c r="F966" s="131"/>
    </row>
    <row r="967" spans="1:6" x14ac:dyDescent="0.3">
      <c r="A967" s="131"/>
      <c r="B967" s="131"/>
      <c r="C967" s="131"/>
      <c r="D967" s="131"/>
      <c r="E967" s="133"/>
      <c r="F967" s="131"/>
    </row>
    <row r="968" spans="1:6" x14ac:dyDescent="0.3">
      <c r="A968" s="131"/>
      <c r="B968" s="131"/>
      <c r="C968" s="131"/>
      <c r="D968" s="131"/>
      <c r="E968" s="133"/>
      <c r="F968" s="131"/>
    </row>
    <row r="969" spans="1:6" x14ac:dyDescent="0.3">
      <c r="A969" s="131"/>
      <c r="B969" s="131"/>
      <c r="C969" s="131"/>
      <c r="D969" s="131"/>
      <c r="E969" s="133"/>
      <c r="F969" s="131"/>
    </row>
    <row r="970" spans="1:6" x14ac:dyDescent="0.3">
      <c r="A970" s="131"/>
      <c r="B970" s="131"/>
      <c r="C970" s="131"/>
      <c r="D970" s="131"/>
      <c r="E970" s="133"/>
      <c r="F970" s="131"/>
    </row>
    <row r="971" spans="1:6" x14ac:dyDescent="0.3">
      <c r="A971" s="131"/>
      <c r="B971" s="131"/>
      <c r="C971" s="131"/>
      <c r="D971" s="131"/>
      <c r="E971" s="133"/>
      <c r="F971" s="131"/>
    </row>
    <row r="972" spans="1:6" x14ac:dyDescent="0.3">
      <c r="A972" s="131"/>
      <c r="B972" s="131"/>
      <c r="C972" s="131"/>
      <c r="D972" s="131"/>
      <c r="E972" s="133"/>
      <c r="F972" s="131"/>
    </row>
    <row r="973" spans="1:6" x14ac:dyDescent="0.3">
      <c r="A973" s="131"/>
      <c r="B973" s="131"/>
      <c r="C973" s="131"/>
      <c r="D973" s="131"/>
      <c r="E973" s="133"/>
      <c r="F973" s="131"/>
    </row>
    <row r="974" spans="1:6" x14ac:dyDescent="0.3">
      <c r="A974" s="131"/>
      <c r="B974" s="131"/>
      <c r="C974" s="131"/>
      <c r="D974" s="131"/>
      <c r="E974" s="133"/>
      <c r="F974" s="131"/>
    </row>
    <row r="975" spans="1:6" x14ac:dyDescent="0.3">
      <c r="A975" s="131"/>
      <c r="B975" s="131"/>
      <c r="C975" s="131"/>
      <c r="D975" s="131"/>
      <c r="E975" s="133"/>
      <c r="F975" s="131"/>
    </row>
    <row r="976" spans="1:6" x14ac:dyDescent="0.3">
      <c r="A976" s="131"/>
      <c r="B976" s="131"/>
      <c r="C976" s="131"/>
      <c r="D976" s="131"/>
      <c r="E976" s="133"/>
      <c r="F976" s="131"/>
    </row>
    <row r="977" spans="1:6" x14ac:dyDescent="0.3">
      <c r="A977" s="131"/>
      <c r="B977" s="131"/>
      <c r="C977" s="131"/>
      <c r="D977" s="131"/>
      <c r="E977" s="133"/>
      <c r="F977" s="131"/>
    </row>
    <row r="978" spans="1:6" x14ac:dyDescent="0.3">
      <c r="A978" s="131"/>
      <c r="B978" s="131"/>
      <c r="C978" s="131"/>
      <c r="D978" s="131"/>
      <c r="E978" s="133"/>
      <c r="F978" s="131"/>
    </row>
    <row r="979" spans="1:6" x14ac:dyDescent="0.3">
      <c r="A979" s="131"/>
      <c r="B979" s="131"/>
      <c r="C979" s="131"/>
      <c r="D979" s="131"/>
      <c r="E979" s="133"/>
      <c r="F979" s="131"/>
    </row>
    <row r="980" spans="1:6" x14ac:dyDescent="0.3">
      <c r="A980" s="131"/>
      <c r="B980" s="131"/>
      <c r="C980" s="131"/>
      <c r="D980" s="131"/>
      <c r="E980" s="133"/>
      <c r="F980" s="131"/>
    </row>
    <row r="981" spans="1:6" x14ac:dyDescent="0.3">
      <c r="A981" s="131"/>
      <c r="B981" s="131"/>
      <c r="C981" s="131"/>
      <c r="D981" s="131"/>
      <c r="E981" s="133"/>
      <c r="F981" s="131"/>
    </row>
    <row r="982" spans="1:6" x14ac:dyDescent="0.3">
      <c r="A982" s="131"/>
      <c r="B982" s="131"/>
      <c r="C982" s="131"/>
      <c r="D982" s="131"/>
      <c r="E982" s="133"/>
      <c r="F982" s="131"/>
    </row>
    <row r="983" spans="1:6" x14ac:dyDescent="0.3">
      <c r="A983" s="131"/>
      <c r="B983" s="131"/>
      <c r="C983" s="131"/>
      <c r="D983" s="131"/>
      <c r="E983" s="133"/>
      <c r="F983" s="131"/>
    </row>
    <row r="984" spans="1:6" x14ac:dyDescent="0.3">
      <c r="A984" s="131"/>
      <c r="B984" s="131"/>
      <c r="C984" s="131"/>
      <c r="D984" s="131"/>
      <c r="E984" s="133"/>
      <c r="F984" s="131"/>
    </row>
    <row r="985" spans="1:6" x14ac:dyDescent="0.3">
      <c r="A985" s="131"/>
      <c r="B985" s="131"/>
      <c r="C985" s="131"/>
      <c r="D985" s="131"/>
      <c r="E985" s="133"/>
      <c r="F985" s="131"/>
    </row>
    <row r="986" spans="1:6" x14ac:dyDescent="0.3">
      <c r="A986" s="131"/>
      <c r="B986" s="131"/>
      <c r="C986" s="131"/>
      <c r="D986" s="131"/>
      <c r="E986" s="133"/>
      <c r="F986" s="131"/>
    </row>
    <row r="987" spans="1:6" x14ac:dyDescent="0.3">
      <c r="A987" s="131"/>
      <c r="B987" s="131"/>
      <c r="C987" s="131"/>
      <c r="D987" s="131"/>
      <c r="E987" s="133"/>
      <c r="F987" s="131"/>
    </row>
    <row r="988" spans="1:6" x14ac:dyDescent="0.3">
      <c r="A988" s="131"/>
      <c r="B988" s="131"/>
      <c r="C988" s="131"/>
      <c r="D988" s="131"/>
      <c r="E988" s="133"/>
      <c r="F988" s="131"/>
    </row>
    <row r="989" spans="1:6" x14ac:dyDescent="0.3">
      <c r="A989" s="131"/>
      <c r="B989" s="131"/>
      <c r="C989" s="131"/>
      <c r="D989" s="131"/>
      <c r="E989" s="133"/>
      <c r="F989" s="131"/>
    </row>
    <row r="990" spans="1:6" x14ac:dyDescent="0.3">
      <c r="A990" s="131"/>
      <c r="B990" s="131"/>
      <c r="C990" s="131"/>
      <c r="D990" s="131"/>
      <c r="E990" s="133"/>
      <c r="F990" s="131"/>
    </row>
    <row r="991" spans="1:6" x14ac:dyDescent="0.3">
      <c r="A991" s="131"/>
      <c r="B991" s="131"/>
      <c r="C991" s="131"/>
      <c r="D991" s="131"/>
      <c r="E991" s="133"/>
      <c r="F991" s="131"/>
    </row>
    <row r="992" spans="1:6" x14ac:dyDescent="0.3">
      <c r="A992" s="131"/>
      <c r="B992" s="131"/>
      <c r="C992" s="131"/>
      <c r="D992" s="131"/>
      <c r="E992" s="133"/>
      <c r="F992" s="131"/>
    </row>
    <row r="993" spans="1:6" x14ac:dyDescent="0.3">
      <c r="A993" s="131"/>
      <c r="B993" s="131"/>
      <c r="C993" s="131"/>
      <c r="D993" s="131"/>
      <c r="E993" s="133"/>
      <c r="F993" s="131"/>
    </row>
    <row r="994" spans="1:6" x14ac:dyDescent="0.3">
      <c r="A994" s="131"/>
      <c r="B994" s="131"/>
      <c r="C994" s="131"/>
      <c r="D994" s="131"/>
      <c r="E994" s="133"/>
      <c r="F994" s="131"/>
    </row>
    <row r="995" spans="1:6" x14ac:dyDescent="0.3">
      <c r="A995" s="131"/>
      <c r="B995" s="131"/>
      <c r="C995" s="131"/>
      <c r="D995" s="131"/>
      <c r="E995" s="133"/>
      <c r="F995" s="131"/>
    </row>
    <row r="996" spans="1:6" x14ac:dyDescent="0.3">
      <c r="A996" s="131"/>
      <c r="B996" s="131"/>
      <c r="C996" s="131"/>
      <c r="D996" s="131"/>
      <c r="E996" s="133"/>
      <c r="F996" s="131"/>
    </row>
    <row r="997" spans="1:6" x14ac:dyDescent="0.3">
      <c r="A997" s="131"/>
      <c r="B997" s="131"/>
      <c r="C997" s="131"/>
      <c r="D997" s="131"/>
      <c r="E997" s="133"/>
      <c r="F997" s="131"/>
    </row>
    <row r="998" spans="1:6" x14ac:dyDescent="0.3">
      <c r="A998" s="131"/>
      <c r="B998" s="131"/>
      <c r="C998" s="131"/>
      <c r="D998" s="131"/>
      <c r="E998" s="133"/>
      <c r="F998" s="131"/>
    </row>
    <row r="999" spans="1:6" x14ac:dyDescent="0.3">
      <c r="A999" s="131"/>
      <c r="B999" s="131"/>
      <c r="C999" s="131"/>
      <c r="D999" s="131"/>
      <c r="E999" s="133"/>
      <c r="F999" s="131"/>
    </row>
    <row r="1000" spans="1:6" x14ac:dyDescent="0.3">
      <c r="A1000" s="131"/>
      <c r="B1000" s="131"/>
      <c r="C1000" s="131"/>
      <c r="D1000" s="131"/>
      <c r="E1000" s="133"/>
      <c r="F1000" s="131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7B9112-29A2-4CD1-BB88-7EA4DEFAA855}">
  <sheetPr codeName="Sheet13"/>
  <dimension ref="A5:F1000"/>
  <sheetViews>
    <sheetView workbookViewId="0">
      <selection activeCell="E14" sqref="E14"/>
    </sheetView>
  </sheetViews>
  <sheetFormatPr defaultRowHeight="14.4" x14ac:dyDescent="0.3"/>
  <cols>
    <col min="1" max="1" width="7.33203125" customWidth="1"/>
    <col min="2" max="2" width="6" bestFit="1" customWidth="1"/>
    <col min="3" max="3" width="4" bestFit="1" customWidth="1"/>
    <col min="4" max="4" width="13.109375" bestFit="1" customWidth="1"/>
    <col min="5" max="5" width="12.109375" bestFit="1" customWidth="1"/>
    <col min="6" max="6" width="11" bestFit="1" customWidth="1"/>
  </cols>
  <sheetData>
    <row r="5" spans="1:6" x14ac:dyDescent="0.3">
      <c r="A5" s="131"/>
      <c r="B5" s="131"/>
      <c r="C5" s="131"/>
      <c r="D5" s="131"/>
      <c r="E5" s="131"/>
      <c r="F5" s="131"/>
    </row>
    <row r="6" spans="1:6" x14ac:dyDescent="0.3">
      <c r="A6" s="131"/>
      <c r="B6" s="131"/>
      <c r="C6" s="131"/>
      <c r="D6" s="131"/>
      <c r="E6" s="131"/>
      <c r="F6" s="131"/>
    </row>
    <row r="7" spans="1:6" x14ac:dyDescent="0.3">
      <c r="A7" s="131"/>
      <c r="B7" s="131"/>
      <c r="C7" s="131"/>
      <c r="D7" s="131"/>
      <c r="E7" s="131"/>
      <c r="F7" s="131"/>
    </row>
    <row r="8" spans="1:6" x14ac:dyDescent="0.3">
      <c r="A8" s="131"/>
      <c r="B8" s="131"/>
      <c r="C8" s="131"/>
      <c r="D8" s="131"/>
      <c r="E8" s="131"/>
      <c r="F8" s="131"/>
    </row>
    <row r="9" spans="1:6" x14ac:dyDescent="0.3">
      <c r="A9" s="131"/>
      <c r="B9" s="131"/>
      <c r="C9" s="131"/>
      <c r="D9" s="131"/>
      <c r="E9" s="131"/>
      <c r="F9" s="131"/>
    </row>
    <row r="10" spans="1:6" x14ac:dyDescent="0.3">
      <c r="A10" s="131"/>
      <c r="B10" s="131"/>
      <c r="C10" s="131"/>
      <c r="D10" s="131"/>
      <c r="E10" s="131"/>
      <c r="F10" s="131"/>
    </row>
    <row r="11" spans="1:6" x14ac:dyDescent="0.3">
      <c r="A11" s="131"/>
      <c r="B11" s="131"/>
      <c r="C11" s="131"/>
      <c r="D11" s="131"/>
      <c r="E11" s="131"/>
      <c r="F11" s="131"/>
    </row>
    <row r="12" spans="1:6" x14ac:dyDescent="0.3">
      <c r="A12" s="131"/>
      <c r="B12" s="131"/>
      <c r="C12" s="131"/>
      <c r="D12" s="131"/>
      <c r="E12" s="131"/>
      <c r="F12" s="131"/>
    </row>
    <row r="13" spans="1:6" x14ac:dyDescent="0.3">
      <c r="A13" s="131"/>
      <c r="B13" s="131"/>
      <c r="C13" s="131"/>
      <c r="D13" s="131"/>
      <c r="E13" s="131"/>
      <c r="F13" s="131"/>
    </row>
    <row r="14" spans="1:6" x14ac:dyDescent="0.3">
      <c r="A14" s="131"/>
      <c r="B14" s="131"/>
      <c r="C14" s="131"/>
      <c r="D14" s="131"/>
      <c r="E14" s="131"/>
      <c r="F14" s="131"/>
    </row>
    <row r="15" spans="1:6" x14ac:dyDescent="0.3">
      <c r="A15" s="131"/>
      <c r="B15" s="131"/>
      <c r="C15" s="131"/>
      <c r="D15" s="131"/>
      <c r="E15" s="131"/>
      <c r="F15" s="131"/>
    </row>
    <row r="16" spans="1:6" x14ac:dyDescent="0.3">
      <c r="A16" s="131"/>
      <c r="B16" s="131"/>
      <c r="C16" s="131"/>
      <c r="D16" s="131"/>
      <c r="E16" s="131"/>
      <c r="F16" s="131"/>
    </row>
    <row r="17" spans="1:6" x14ac:dyDescent="0.3">
      <c r="A17" s="131"/>
      <c r="B17" s="131"/>
      <c r="C17" s="131"/>
      <c r="D17" s="131"/>
      <c r="E17" s="131"/>
      <c r="F17" s="131"/>
    </row>
    <row r="18" spans="1:6" x14ac:dyDescent="0.3">
      <c r="A18" s="131"/>
      <c r="B18" s="131"/>
      <c r="C18" s="131"/>
      <c r="D18" s="131"/>
      <c r="E18" s="131"/>
      <c r="F18" s="131"/>
    </row>
    <row r="19" spans="1:6" x14ac:dyDescent="0.3">
      <c r="A19" s="131"/>
      <c r="B19" s="131"/>
      <c r="C19" s="131"/>
      <c r="D19" s="131"/>
      <c r="E19" s="131"/>
      <c r="F19" s="131"/>
    </row>
    <row r="20" spans="1:6" x14ac:dyDescent="0.3">
      <c r="A20" s="131"/>
      <c r="B20" s="131"/>
      <c r="C20" s="131"/>
      <c r="D20" s="131"/>
      <c r="E20" s="131"/>
      <c r="F20" s="131"/>
    </row>
    <row r="21" spans="1:6" x14ac:dyDescent="0.3">
      <c r="A21" s="131"/>
      <c r="B21" s="131"/>
      <c r="C21" s="131"/>
      <c r="D21" s="131"/>
      <c r="E21" s="131"/>
      <c r="F21" s="131"/>
    </row>
    <row r="22" spans="1:6" x14ac:dyDescent="0.3">
      <c r="A22" s="131"/>
      <c r="B22" s="131"/>
      <c r="C22" s="131"/>
      <c r="D22" s="131"/>
      <c r="E22" s="131"/>
      <c r="F22" s="131"/>
    </row>
    <row r="23" spans="1:6" x14ac:dyDescent="0.3">
      <c r="A23" s="131"/>
      <c r="B23" s="131"/>
      <c r="C23" s="131"/>
      <c r="D23" s="131"/>
      <c r="E23" s="131"/>
      <c r="F23" s="131"/>
    </row>
    <row r="24" spans="1:6" x14ac:dyDescent="0.3">
      <c r="A24" s="131"/>
      <c r="B24" s="131"/>
      <c r="C24" s="131"/>
      <c r="D24" s="131"/>
      <c r="E24" s="131"/>
      <c r="F24" s="131"/>
    </row>
    <row r="25" spans="1:6" x14ac:dyDescent="0.3">
      <c r="A25" s="131"/>
      <c r="B25" s="131"/>
      <c r="C25" s="131"/>
      <c r="D25" s="131"/>
      <c r="E25" s="131"/>
      <c r="F25" s="131"/>
    </row>
    <row r="26" spans="1:6" x14ac:dyDescent="0.3">
      <c r="A26" s="131"/>
      <c r="B26" s="131"/>
      <c r="C26" s="131"/>
      <c r="D26" s="131"/>
      <c r="E26" s="131"/>
      <c r="F26" s="131"/>
    </row>
    <row r="27" spans="1:6" x14ac:dyDescent="0.3">
      <c r="A27" s="131"/>
      <c r="B27" s="131"/>
      <c r="C27" s="131"/>
      <c r="D27" s="131"/>
      <c r="E27" s="131"/>
      <c r="F27" s="131"/>
    </row>
    <row r="28" spans="1:6" x14ac:dyDescent="0.3">
      <c r="A28" s="131"/>
      <c r="B28" s="131"/>
      <c r="C28" s="131"/>
      <c r="D28" s="131"/>
      <c r="E28" s="131"/>
      <c r="F28" s="131"/>
    </row>
    <row r="29" spans="1:6" x14ac:dyDescent="0.3">
      <c r="A29" s="131"/>
      <c r="B29" s="131"/>
      <c r="C29" s="131"/>
      <c r="D29" s="131"/>
      <c r="E29" s="131"/>
      <c r="F29" s="131"/>
    </row>
    <row r="30" spans="1:6" x14ac:dyDescent="0.3">
      <c r="A30" s="131"/>
      <c r="B30" s="131"/>
      <c r="C30" s="131"/>
      <c r="D30" s="131"/>
      <c r="E30" s="131"/>
      <c r="F30" s="131"/>
    </row>
    <row r="31" spans="1:6" x14ac:dyDescent="0.3">
      <c r="A31" s="131"/>
      <c r="B31" s="131"/>
      <c r="C31" s="131"/>
      <c r="D31" s="131"/>
      <c r="E31" s="131"/>
      <c r="F31" s="131"/>
    </row>
    <row r="32" spans="1:6" x14ac:dyDescent="0.3">
      <c r="A32" s="131"/>
      <c r="B32" s="131"/>
      <c r="C32" s="131"/>
      <c r="D32" s="131"/>
      <c r="E32" s="131"/>
      <c r="F32" s="131"/>
    </row>
    <row r="33" spans="1:6" x14ac:dyDescent="0.3">
      <c r="A33" s="131"/>
      <c r="B33" s="131"/>
      <c r="C33" s="131"/>
      <c r="D33" s="131"/>
      <c r="E33" s="131"/>
      <c r="F33" s="131"/>
    </row>
    <row r="34" spans="1:6" x14ac:dyDescent="0.3">
      <c r="A34" s="131"/>
      <c r="B34" s="131"/>
      <c r="C34" s="131"/>
      <c r="D34" s="131"/>
      <c r="E34" s="131"/>
      <c r="F34" s="131"/>
    </row>
    <row r="35" spans="1:6" x14ac:dyDescent="0.3">
      <c r="A35" s="131"/>
      <c r="B35" s="131"/>
      <c r="C35" s="131"/>
      <c r="D35" s="131"/>
      <c r="E35" s="131"/>
      <c r="F35" s="131"/>
    </row>
    <row r="36" spans="1:6" x14ac:dyDescent="0.3">
      <c r="A36" s="131"/>
      <c r="B36" s="131"/>
      <c r="C36" s="131"/>
      <c r="D36" s="131"/>
      <c r="E36" s="131"/>
      <c r="F36" s="131"/>
    </row>
    <row r="37" spans="1:6" x14ac:dyDescent="0.3">
      <c r="A37" s="131"/>
      <c r="B37" s="131"/>
      <c r="C37" s="131"/>
      <c r="D37" s="131"/>
      <c r="E37" s="131"/>
      <c r="F37" s="131"/>
    </row>
    <row r="38" spans="1:6" x14ac:dyDescent="0.3">
      <c r="A38" s="131"/>
      <c r="B38" s="131"/>
      <c r="C38" s="131"/>
      <c r="D38" s="131"/>
      <c r="E38" s="131"/>
      <c r="F38" s="131"/>
    </row>
    <row r="39" spans="1:6" x14ac:dyDescent="0.3">
      <c r="A39" s="131"/>
      <c r="B39" s="131"/>
      <c r="C39" s="131"/>
      <c r="D39" s="131"/>
      <c r="E39" s="131"/>
      <c r="F39" s="131"/>
    </row>
    <row r="40" spans="1:6" x14ac:dyDescent="0.3">
      <c r="A40" s="131"/>
      <c r="B40" s="131"/>
      <c r="C40" s="131"/>
      <c r="D40" s="131"/>
      <c r="E40" s="131"/>
      <c r="F40" s="131"/>
    </row>
    <row r="41" spans="1:6" x14ac:dyDescent="0.3">
      <c r="A41" s="131"/>
      <c r="B41" s="131"/>
      <c r="C41" s="131"/>
      <c r="D41" s="131"/>
      <c r="E41" s="131"/>
      <c r="F41" s="131"/>
    </row>
    <row r="42" spans="1:6" x14ac:dyDescent="0.3">
      <c r="A42" s="131"/>
      <c r="B42" s="131"/>
      <c r="C42" s="131"/>
      <c r="D42" s="131"/>
      <c r="E42" s="131"/>
      <c r="F42" s="131"/>
    </row>
    <row r="43" spans="1:6" x14ac:dyDescent="0.3">
      <c r="A43" s="131"/>
      <c r="B43" s="131"/>
      <c r="C43" s="131"/>
      <c r="D43" s="131"/>
      <c r="E43" s="131"/>
      <c r="F43" s="131"/>
    </row>
    <row r="44" spans="1:6" x14ac:dyDescent="0.3">
      <c r="A44" s="131"/>
      <c r="B44" s="131"/>
      <c r="C44" s="131"/>
      <c r="D44" s="131"/>
      <c r="E44" s="131"/>
      <c r="F44" s="131"/>
    </row>
    <row r="45" spans="1:6" x14ac:dyDescent="0.3">
      <c r="A45" s="131"/>
      <c r="B45" s="131"/>
      <c r="C45" s="131"/>
      <c r="D45" s="131"/>
      <c r="E45" s="131"/>
      <c r="F45" s="131"/>
    </row>
    <row r="46" spans="1:6" x14ac:dyDescent="0.3">
      <c r="A46" s="131"/>
      <c r="B46" s="131"/>
      <c r="C46" s="131"/>
      <c r="D46" s="131"/>
      <c r="E46" s="131"/>
      <c r="F46" s="131"/>
    </row>
    <row r="47" spans="1:6" x14ac:dyDescent="0.3">
      <c r="A47" s="131"/>
      <c r="B47" s="131"/>
      <c r="C47" s="131"/>
      <c r="D47" s="131"/>
      <c r="E47" s="131"/>
      <c r="F47" s="131"/>
    </row>
    <row r="48" spans="1:6" x14ac:dyDescent="0.3">
      <c r="A48" s="131"/>
      <c r="B48" s="131"/>
      <c r="C48" s="131"/>
      <c r="D48" s="131"/>
      <c r="E48" s="131"/>
      <c r="F48" s="131"/>
    </row>
    <row r="49" spans="1:6" x14ac:dyDescent="0.3">
      <c r="A49" s="131"/>
      <c r="B49" s="131"/>
      <c r="C49" s="131"/>
      <c r="D49" s="131"/>
      <c r="E49" s="131"/>
      <c r="F49" s="131"/>
    </row>
    <row r="50" spans="1:6" x14ac:dyDescent="0.3">
      <c r="A50" s="131"/>
      <c r="B50" s="131"/>
      <c r="C50" s="131"/>
      <c r="D50" s="131"/>
      <c r="E50" s="131"/>
      <c r="F50" s="131"/>
    </row>
    <row r="51" spans="1:6" x14ac:dyDescent="0.3">
      <c r="A51" s="131"/>
      <c r="B51" s="131"/>
      <c r="C51" s="131"/>
      <c r="D51" s="131"/>
      <c r="E51" s="131"/>
      <c r="F51" s="131"/>
    </row>
    <row r="52" spans="1:6" x14ac:dyDescent="0.3">
      <c r="A52" s="131"/>
      <c r="B52" s="131"/>
      <c r="C52" s="131"/>
      <c r="D52" s="131"/>
      <c r="E52" s="131"/>
      <c r="F52" s="131"/>
    </row>
    <row r="53" spans="1:6" x14ac:dyDescent="0.3">
      <c r="A53" s="131"/>
      <c r="B53" s="131"/>
      <c r="C53" s="131"/>
      <c r="D53" s="131"/>
      <c r="E53" s="131"/>
      <c r="F53" s="131"/>
    </row>
    <row r="54" spans="1:6" x14ac:dyDescent="0.3">
      <c r="A54" s="131"/>
      <c r="B54" s="131"/>
      <c r="C54" s="131"/>
      <c r="D54" s="131"/>
      <c r="E54" s="131"/>
      <c r="F54" s="131"/>
    </row>
    <row r="55" spans="1:6" x14ac:dyDescent="0.3">
      <c r="A55" s="131"/>
      <c r="B55" s="131"/>
      <c r="C55" s="131"/>
      <c r="D55" s="131"/>
      <c r="E55" s="131"/>
      <c r="F55" s="131"/>
    </row>
    <row r="56" spans="1:6" x14ac:dyDescent="0.3">
      <c r="A56" s="131"/>
      <c r="B56" s="131"/>
      <c r="C56" s="131"/>
      <c r="D56" s="131"/>
      <c r="E56" s="131"/>
      <c r="F56" s="131"/>
    </row>
    <row r="57" spans="1:6" x14ac:dyDescent="0.3">
      <c r="A57" s="131"/>
      <c r="B57" s="131"/>
      <c r="C57" s="131"/>
      <c r="D57" s="131"/>
      <c r="E57" s="131"/>
      <c r="F57" s="131"/>
    </row>
    <row r="58" spans="1:6" x14ac:dyDescent="0.3">
      <c r="A58" s="131"/>
      <c r="B58" s="131"/>
      <c r="C58" s="131"/>
      <c r="D58" s="131"/>
      <c r="E58" s="131"/>
      <c r="F58" s="131"/>
    </row>
    <row r="59" spans="1:6" x14ac:dyDescent="0.3">
      <c r="A59" s="131"/>
      <c r="B59" s="131"/>
      <c r="C59" s="131"/>
      <c r="D59" s="131"/>
      <c r="E59" s="131"/>
      <c r="F59" s="131"/>
    </row>
    <row r="60" spans="1:6" x14ac:dyDescent="0.3">
      <c r="A60" s="131"/>
      <c r="B60" s="131"/>
      <c r="C60" s="131"/>
      <c r="D60" s="131"/>
      <c r="E60" s="131"/>
      <c r="F60" s="131"/>
    </row>
    <row r="61" spans="1:6" x14ac:dyDescent="0.3">
      <c r="A61" s="131"/>
      <c r="B61" s="131"/>
      <c r="C61" s="131"/>
      <c r="D61" s="131"/>
      <c r="E61" s="131"/>
      <c r="F61" s="131"/>
    </row>
    <row r="62" spans="1:6" x14ac:dyDescent="0.3">
      <c r="A62" s="131"/>
      <c r="B62" s="131"/>
      <c r="C62" s="131"/>
      <c r="D62" s="131"/>
      <c r="E62" s="131"/>
      <c r="F62" s="131"/>
    </row>
    <row r="63" spans="1:6" x14ac:dyDescent="0.3">
      <c r="A63" s="131"/>
      <c r="B63" s="131"/>
      <c r="C63" s="131"/>
      <c r="D63" s="131"/>
      <c r="E63" s="131"/>
      <c r="F63" s="131"/>
    </row>
    <row r="64" spans="1:6" x14ac:dyDescent="0.3">
      <c r="A64" s="131"/>
      <c r="B64" s="131"/>
      <c r="C64" s="131"/>
      <c r="D64" s="131"/>
      <c r="E64" s="131"/>
      <c r="F64" s="131"/>
    </row>
    <row r="65" spans="1:6" x14ac:dyDescent="0.3">
      <c r="A65" s="131"/>
      <c r="B65" s="131"/>
      <c r="C65" s="131"/>
      <c r="D65" s="131"/>
      <c r="E65" s="131"/>
      <c r="F65" s="131"/>
    </row>
    <row r="66" spans="1:6" x14ac:dyDescent="0.3">
      <c r="A66" s="131"/>
      <c r="B66" s="131"/>
      <c r="C66" s="131"/>
      <c r="D66" s="131"/>
      <c r="E66" s="131"/>
      <c r="F66" s="131"/>
    </row>
    <row r="67" spans="1:6" x14ac:dyDescent="0.3">
      <c r="A67" s="131"/>
      <c r="B67" s="131"/>
      <c r="C67" s="131"/>
      <c r="D67" s="131"/>
      <c r="E67" s="131"/>
      <c r="F67" s="131"/>
    </row>
    <row r="68" spans="1:6" x14ac:dyDescent="0.3">
      <c r="A68" s="131"/>
      <c r="B68" s="131"/>
      <c r="C68" s="131"/>
      <c r="D68" s="131"/>
      <c r="E68" s="131"/>
      <c r="F68" s="131"/>
    </row>
    <row r="69" spans="1:6" x14ac:dyDescent="0.3">
      <c r="A69" s="131"/>
      <c r="B69" s="131"/>
      <c r="C69" s="131"/>
      <c r="D69" s="131"/>
      <c r="E69" s="131"/>
      <c r="F69" s="131"/>
    </row>
    <row r="70" spans="1:6" x14ac:dyDescent="0.3">
      <c r="A70" s="131"/>
      <c r="B70" s="131"/>
      <c r="C70" s="131"/>
      <c r="D70" s="131"/>
      <c r="E70" s="131"/>
      <c r="F70" s="131"/>
    </row>
    <row r="71" spans="1:6" x14ac:dyDescent="0.3">
      <c r="A71" s="131"/>
      <c r="B71" s="131"/>
      <c r="C71" s="131"/>
      <c r="D71" s="131"/>
      <c r="E71" s="131"/>
      <c r="F71" s="131"/>
    </row>
    <row r="72" spans="1:6" x14ac:dyDescent="0.3">
      <c r="A72" s="131"/>
      <c r="B72" s="131"/>
      <c r="C72" s="131"/>
      <c r="D72" s="131"/>
      <c r="E72" s="131"/>
      <c r="F72" s="131"/>
    </row>
    <row r="73" spans="1:6" x14ac:dyDescent="0.3">
      <c r="A73" s="131"/>
      <c r="B73" s="131"/>
      <c r="C73" s="131"/>
      <c r="D73" s="131"/>
      <c r="E73" s="131"/>
      <c r="F73" s="131"/>
    </row>
    <row r="74" spans="1:6" x14ac:dyDescent="0.3">
      <c r="A74" s="131"/>
      <c r="B74" s="131"/>
      <c r="C74" s="131"/>
      <c r="D74" s="131"/>
      <c r="E74" s="131"/>
      <c r="F74" s="131"/>
    </row>
    <row r="75" spans="1:6" x14ac:dyDescent="0.3">
      <c r="A75" s="131"/>
      <c r="B75" s="131"/>
      <c r="C75" s="131"/>
      <c r="D75" s="131"/>
      <c r="E75" s="131"/>
      <c r="F75" s="131"/>
    </row>
    <row r="76" spans="1:6" x14ac:dyDescent="0.3">
      <c r="A76" s="131"/>
      <c r="B76" s="131"/>
      <c r="C76" s="131"/>
      <c r="D76" s="131"/>
      <c r="E76" s="131"/>
      <c r="F76" s="131"/>
    </row>
    <row r="77" spans="1:6" x14ac:dyDescent="0.3">
      <c r="A77" s="131"/>
      <c r="B77" s="131"/>
      <c r="C77" s="131"/>
      <c r="D77" s="131"/>
      <c r="E77" s="131"/>
      <c r="F77" s="131"/>
    </row>
    <row r="78" spans="1:6" x14ac:dyDescent="0.3">
      <c r="A78" s="131"/>
      <c r="B78" s="131"/>
      <c r="C78" s="131"/>
      <c r="D78" s="131"/>
      <c r="E78" s="131"/>
      <c r="F78" s="131"/>
    </row>
    <row r="79" spans="1:6" x14ac:dyDescent="0.3">
      <c r="A79" s="131"/>
      <c r="B79" s="131"/>
      <c r="C79" s="131"/>
      <c r="D79" s="131"/>
      <c r="E79" s="131"/>
      <c r="F79" s="131"/>
    </row>
    <row r="80" spans="1:6" x14ac:dyDescent="0.3">
      <c r="A80" s="131"/>
      <c r="B80" s="131"/>
      <c r="C80" s="131"/>
      <c r="D80" s="131"/>
      <c r="E80" s="131"/>
      <c r="F80" s="131"/>
    </row>
    <row r="81" spans="1:6" x14ac:dyDescent="0.3">
      <c r="A81" s="131"/>
      <c r="B81" s="131"/>
      <c r="C81" s="131"/>
      <c r="D81" s="131"/>
      <c r="E81" s="131"/>
      <c r="F81" s="131"/>
    </row>
    <row r="82" spans="1:6" x14ac:dyDescent="0.3">
      <c r="A82" s="131"/>
      <c r="B82" s="131"/>
      <c r="C82" s="131"/>
      <c r="D82" s="131"/>
      <c r="E82" s="131"/>
      <c r="F82" s="131"/>
    </row>
    <row r="83" spans="1:6" x14ac:dyDescent="0.3">
      <c r="A83" s="131"/>
      <c r="B83" s="131"/>
      <c r="C83" s="131"/>
      <c r="D83" s="131"/>
      <c r="E83" s="131"/>
      <c r="F83" s="131"/>
    </row>
    <row r="84" spans="1:6" x14ac:dyDescent="0.3">
      <c r="A84" s="131"/>
      <c r="B84" s="131"/>
      <c r="C84" s="131"/>
      <c r="D84" s="131"/>
      <c r="E84" s="131"/>
      <c r="F84" s="131"/>
    </row>
    <row r="85" spans="1:6" x14ac:dyDescent="0.3">
      <c r="A85" s="131"/>
      <c r="B85" s="131"/>
      <c r="C85" s="131"/>
      <c r="D85" s="131"/>
      <c r="E85" s="131"/>
      <c r="F85" s="131"/>
    </row>
    <row r="86" spans="1:6" x14ac:dyDescent="0.3">
      <c r="A86" s="131"/>
      <c r="B86" s="131"/>
      <c r="C86" s="131"/>
      <c r="D86" s="131"/>
      <c r="E86" s="131"/>
      <c r="F86" s="131"/>
    </row>
    <row r="87" spans="1:6" x14ac:dyDescent="0.3">
      <c r="A87" s="131"/>
      <c r="B87" s="131"/>
      <c r="C87" s="131"/>
      <c r="D87" s="131"/>
      <c r="E87" s="131"/>
      <c r="F87" s="131"/>
    </row>
    <row r="88" spans="1:6" x14ac:dyDescent="0.3">
      <c r="A88" s="131"/>
      <c r="B88" s="131"/>
      <c r="C88" s="131"/>
      <c r="D88" s="131"/>
      <c r="E88" s="131"/>
      <c r="F88" s="131"/>
    </row>
    <row r="89" spans="1:6" x14ac:dyDescent="0.3">
      <c r="A89" s="131"/>
      <c r="B89" s="131"/>
      <c r="C89" s="131"/>
      <c r="D89" s="131"/>
      <c r="E89" s="131"/>
      <c r="F89" s="131"/>
    </row>
    <row r="90" spans="1:6" x14ac:dyDescent="0.3">
      <c r="A90" s="131"/>
      <c r="B90" s="131"/>
      <c r="C90" s="131"/>
      <c r="D90" s="131"/>
      <c r="E90" s="131"/>
      <c r="F90" s="131"/>
    </row>
    <row r="91" spans="1:6" x14ac:dyDescent="0.3">
      <c r="A91" s="131"/>
      <c r="B91" s="131"/>
      <c r="C91" s="131"/>
      <c r="D91" s="131"/>
      <c r="E91" s="131"/>
      <c r="F91" s="131"/>
    </row>
    <row r="92" spans="1:6" x14ac:dyDescent="0.3">
      <c r="A92" s="131"/>
      <c r="B92" s="131"/>
      <c r="C92" s="131"/>
      <c r="D92" s="131"/>
      <c r="E92" s="131"/>
      <c r="F92" s="131"/>
    </row>
    <row r="93" spans="1:6" x14ac:dyDescent="0.3">
      <c r="A93" s="131"/>
      <c r="B93" s="131"/>
      <c r="C93" s="131"/>
      <c r="D93" s="131"/>
      <c r="E93" s="131"/>
      <c r="F93" s="131"/>
    </row>
    <row r="94" spans="1:6" x14ac:dyDescent="0.3">
      <c r="A94" s="131"/>
      <c r="B94" s="131"/>
      <c r="C94" s="131"/>
      <c r="D94" s="131"/>
      <c r="E94" s="131"/>
      <c r="F94" s="131"/>
    </row>
    <row r="95" spans="1:6" x14ac:dyDescent="0.3">
      <c r="A95" s="131"/>
      <c r="B95" s="131"/>
      <c r="C95" s="131"/>
      <c r="D95" s="131"/>
      <c r="E95" s="131"/>
      <c r="F95" s="131"/>
    </row>
    <row r="96" spans="1:6" x14ac:dyDescent="0.3">
      <c r="A96" s="131"/>
      <c r="B96" s="131"/>
      <c r="C96" s="131"/>
      <c r="D96" s="131"/>
      <c r="E96" s="131"/>
      <c r="F96" s="131"/>
    </row>
    <row r="97" spans="1:6" x14ac:dyDescent="0.3">
      <c r="A97" s="131"/>
      <c r="B97" s="131"/>
      <c r="C97" s="131"/>
      <c r="D97" s="131"/>
      <c r="E97" s="131"/>
      <c r="F97" s="131"/>
    </row>
    <row r="98" spans="1:6" x14ac:dyDescent="0.3">
      <c r="A98" s="131"/>
      <c r="B98" s="131"/>
      <c r="C98" s="131"/>
      <c r="D98" s="131"/>
      <c r="E98" s="131"/>
      <c r="F98" s="131"/>
    </row>
    <row r="99" spans="1:6" x14ac:dyDescent="0.3">
      <c r="A99" s="131"/>
      <c r="B99" s="131"/>
      <c r="C99" s="131"/>
      <c r="D99" s="131"/>
      <c r="E99" s="131"/>
      <c r="F99" s="131"/>
    </row>
    <row r="100" spans="1:6" x14ac:dyDescent="0.3">
      <c r="A100" s="131"/>
      <c r="B100" s="131"/>
      <c r="C100" s="131"/>
      <c r="D100" s="131"/>
      <c r="E100" s="131"/>
      <c r="F100" s="131"/>
    </row>
    <row r="101" spans="1:6" x14ac:dyDescent="0.3">
      <c r="A101" s="131"/>
      <c r="B101" s="131"/>
      <c r="C101" s="131"/>
      <c r="D101" s="131"/>
      <c r="E101" s="131"/>
      <c r="F101" s="131"/>
    </row>
    <row r="102" spans="1:6" x14ac:dyDescent="0.3">
      <c r="A102" s="131"/>
      <c r="B102" s="131"/>
      <c r="C102" s="131"/>
      <c r="D102" s="131"/>
      <c r="E102" s="131"/>
      <c r="F102" s="131"/>
    </row>
    <row r="103" spans="1:6" x14ac:dyDescent="0.3">
      <c r="A103" s="131"/>
      <c r="B103" s="131"/>
      <c r="C103" s="131"/>
      <c r="D103" s="131"/>
      <c r="E103" s="131"/>
      <c r="F103" s="131"/>
    </row>
    <row r="104" spans="1:6" x14ac:dyDescent="0.3">
      <c r="A104" s="131"/>
      <c r="B104" s="131"/>
      <c r="C104" s="131"/>
      <c r="D104" s="131"/>
      <c r="E104" s="131"/>
      <c r="F104" s="131"/>
    </row>
    <row r="105" spans="1:6" x14ac:dyDescent="0.3">
      <c r="A105" s="131"/>
      <c r="B105" s="131"/>
      <c r="C105" s="131"/>
      <c r="D105" s="131"/>
      <c r="E105" s="131"/>
      <c r="F105" s="131"/>
    </row>
    <row r="106" spans="1:6" x14ac:dyDescent="0.3">
      <c r="A106" s="131"/>
      <c r="B106" s="131"/>
      <c r="C106" s="131"/>
      <c r="D106" s="131"/>
      <c r="E106" s="131"/>
      <c r="F106" s="131"/>
    </row>
    <row r="107" spans="1:6" x14ac:dyDescent="0.3">
      <c r="A107" s="131"/>
      <c r="B107" s="131"/>
      <c r="C107" s="131"/>
      <c r="D107" s="131"/>
      <c r="E107" s="131"/>
      <c r="F107" s="131"/>
    </row>
    <row r="108" spans="1:6" x14ac:dyDescent="0.3">
      <c r="A108" s="131"/>
      <c r="B108" s="131"/>
      <c r="C108" s="131"/>
      <c r="D108" s="131"/>
      <c r="E108" s="131"/>
      <c r="F108" s="131"/>
    </row>
    <row r="109" spans="1:6" x14ac:dyDescent="0.3">
      <c r="A109" s="131"/>
      <c r="B109" s="131"/>
      <c r="C109" s="131"/>
      <c r="D109" s="131"/>
      <c r="E109" s="131"/>
      <c r="F109" s="131"/>
    </row>
    <row r="110" spans="1:6" x14ac:dyDescent="0.3">
      <c r="A110" s="131"/>
      <c r="B110" s="131"/>
      <c r="C110" s="131"/>
      <c r="D110" s="131"/>
      <c r="E110" s="131"/>
      <c r="F110" s="131"/>
    </row>
    <row r="111" spans="1:6" x14ac:dyDescent="0.3">
      <c r="A111" s="131"/>
      <c r="B111" s="131"/>
      <c r="C111" s="131"/>
      <c r="D111" s="131"/>
      <c r="E111" s="131"/>
      <c r="F111" s="131"/>
    </row>
    <row r="112" spans="1:6" x14ac:dyDescent="0.3">
      <c r="A112" s="131"/>
      <c r="B112" s="131"/>
      <c r="C112" s="131"/>
      <c r="D112" s="131"/>
      <c r="E112" s="131"/>
      <c r="F112" s="131"/>
    </row>
    <row r="113" spans="1:6" x14ac:dyDescent="0.3">
      <c r="A113" s="131"/>
      <c r="B113" s="131"/>
      <c r="C113" s="131"/>
      <c r="D113" s="131"/>
      <c r="E113" s="131"/>
      <c r="F113" s="131"/>
    </row>
    <row r="114" spans="1:6" x14ac:dyDescent="0.3">
      <c r="A114" s="131"/>
      <c r="B114" s="131"/>
      <c r="C114" s="131"/>
      <c r="D114" s="131"/>
      <c r="E114" s="131"/>
      <c r="F114" s="131"/>
    </row>
    <row r="115" spans="1:6" x14ac:dyDescent="0.3">
      <c r="A115" s="131"/>
      <c r="B115" s="131"/>
      <c r="C115" s="131"/>
      <c r="D115" s="131"/>
      <c r="E115" s="131"/>
      <c r="F115" s="131"/>
    </row>
    <row r="116" spans="1:6" x14ac:dyDescent="0.3">
      <c r="A116" s="131"/>
      <c r="B116" s="131"/>
      <c r="C116" s="131"/>
      <c r="D116" s="131"/>
      <c r="E116" s="131"/>
      <c r="F116" s="131"/>
    </row>
    <row r="117" spans="1:6" x14ac:dyDescent="0.3">
      <c r="A117" s="131"/>
      <c r="B117" s="131"/>
      <c r="C117" s="131"/>
      <c r="D117" s="131"/>
      <c r="E117" s="131"/>
      <c r="F117" s="131"/>
    </row>
    <row r="118" spans="1:6" x14ac:dyDescent="0.3">
      <c r="A118" s="131"/>
      <c r="B118" s="131"/>
      <c r="C118" s="131"/>
      <c r="D118" s="131"/>
      <c r="E118" s="131"/>
      <c r="F118" s="131"/>
    </row>
    <row r="119" spans="1:6" x14ac:dyDescent="0.3">
      <c r="A119" s="131"/>
      <c r="B119" s="131"/>
      <c r="C119" s="131"/>
      <c r="D119" s="131"/>
      <c r="E119" s="131"/>
      <c r="F119" s="131"/>
    </row>
    <row r="120" spans="1:6" x14ac:dyDescent="0.3">
      <c r="A120" s="131"/>
      <c r="B120" s="131"/>
      <c r="C120" s="131"/>
      <c r="D120" s="131"/>
      <c r="E120" s="131"/>
      <c r="F120" s="131"/>
    </row>
    <row r="121" spans="1:6" x14ac:dyDescent="0.3">
      <c r="A121" s="131"/>
      <c r="B121" s="131"/>
      <c r="C121" s="131"/>
      <c r="D121" s="131"/>
      <c r="E121" s="131"/>
      <c r="F121" s="131"/>
    </row>
    <row r="122" spans="1:6" x14ac:dyDescent="0.3">
      <c r="A122" s="131"/>
      <c r="B122" s="131"/>
      <c r="C122" s="131"/>
      <c r="D122" s="131"/>
      <c r="E122" s="131"/>
      <c r="F122" s="131"/>
    </row>
    <row r="123" spans="1:6" x14ac:dyDescent="0.3">
      <c r="A123" s="131"/>
      <c r="B123" s="131"/>
      <c r="C123" s="131"/>
      <c r="D123" s="131"/>
      <c r="E123" s="131"/>
      <c r="F123" s="131"/>
    </row>
    <row r="124" spans="1:6" x14ac:dyDescent="0.3">
      <c r="A124" s="131"/>
      <c r="B124" s="131"/>
      <c r="C124" s="131"/>
      <c r="D124" s="131"/>
      <c r="E124" s="131"/>
      <c r="F124" s="131"/>
    </row>
    <row r="125" spans="1:6" x14ac:dyDescent="0.3">
      <c r="A125" s="131"/>
      <c r="B125" s="131"/>
      <c r="C125" s="131"/>
      <c r="D125" s="131"/>
      <c r="E125" s="131"/>
      <c r="F125" s="131"/>
    </row>
    <row r="126" spans="1:6" x14ac:dyDescent="0.3">
      <c r="A126" s="131"/>
      <c r="B126" s="131"/>
      <c r="C126" s="131"/>
      <c r="D126" s="131"/>
      <c r="E126" s="131"/>
      <c r="F126" s="131"/>
    </row>
    <row r="127" spans="1:6" x14ac:dyDescent="0.3">
      <c r="A127" s="131"/>
      <c r="B127" s="131"/>
      <c r="C127" s="131"/>
      <c r="D127" s="131"/>
      <c r="E127" s="131"/>
      <c r="F127" s="131"/>
    </row>
    <row r="128" spans="1:6" x14ac:dyDescent="0.3">
      <c r="A128" s="131"/>
      <c r="B128" s="131"/>
      <c r="C128" s="131"/>
      <c r="D128" s="131"/>
      <c r="E128" s="131"/>
      <c r="F128" s="131"/>
    </row>
    <row r="129" spans="1:6" x14ac:dyDescent="0.3">
      <c r="A129" s="131"/>
      <c r="B129" s="131"/>
      <c r="C129" s="131"/>
      <c r="D129" s="131"/>
      <c r="E129" s="131"/>
      <c r="F129" s="131"/>
    </row>
    <row r="130" spans="1:6" x14ac:dyDescent="0.3">
      <c r="A130" s="131"/>
      <c r="B130" s="131"/>
      <c r="C130" s="131"/>
      <c r="D130" s="131"/>
      <c r="E130" s="131"/>
      <c r="F130" s="131"/>
    </row>
    <row r="131" spans="1:6" x14ac:dyDescent="0.3">
      <c r="A131" s="131"/>
      <c r="B131" s="131"/>
      <c r="C131" s="131"/>
      <c r="D131" s="131"/>
      <c r="E131" s="131"/>
      <c r="F131" s="131"/>
    </row>
    <row r="132" spans="1:6" x14ac:dyDescent="0.3">
      <c r="A132" s="131"/>
      <c r="B132" s="131"/>
      <c r="C132" s="131"/>
      <c r="D132" s="131"/>
      <c r="E132" s="131"/>
      <c r="F132" s="131"/>
    </row>
    <row r="133" spans="1:6" x14ac:dyDescent="0.3">
      <c r="A133" s="131"/>
      <c r="B133" s="131"/>
      <c r="C133" s="131"/>
      <c r="D133" s="131"/>
      <c r="E133" s="131"/>
      <c r="F133" s="131"/>
    </row>
    <row r="134" spans="1:6" x14ac:dyDescent="0.3">
      <c r="A134" s="131"/>
      <c r="B134" s="131"/>
      <c r="C134" s="131"/>
      <c r="D134" s="131"/>
      <c r="E134" s="131"/>
      <c r="F134" s="131"/>
    </row>
    <row r="135" spans="1:6" x14ac:dyDescent="0.3">
      <c r="A135" s="131"/>
      <c r="B135" s="131"/>
      <c r="C135" s="131"/>
      <c r="D135" s="131"/>
      <c r="E135" s="131"/>
      <c r="F135" s="131"/>
    </row>
    <row r="136" spans="1:6" x14ac:dyDescent="0.3">
      <c r="A136" s="131"/>
      <c r="B136" s="131"/>
      <c r="C136" s="131"/>
      <c r="D136" s="131"/>
      <c r="E136" s="131"/>
      <c r="F136" s="131"/>
    </row>
    <row r="137" spans="1:6" x14ac:dyDescent="0.3">
      <c r="A137" s="131"/>
      <c r="B137" s="131"/>
      <c r="C137" s="131"/>
      <c r="D137" s="131"/>
      <c r="E137" s="131"/>
      <c r="F137" s="131"/>
    </row>
    <row r="138" spans="1:6" x14ac:dyDescent="0.3">
      <c r="A138" s="131"/>
      <c r="B138" s="131"/>
      <c r="C138" s="131"/>
      <c r="D138" s="131"/>
      <c r="E138" s="131"/>
      <c r="F138" s="131"/>
    </row>
    <row r="139" spans="1:6" x14ac:dyDescent="0.3">
      <c r="A139" s="131"/>
      <c r="B139" s="131"/>
      <c r="C139" s="131"/>
      <c r="D139" s="131"/>
      <c r="E139" s="131"/>
      <c r="F139" s="131"/>
    </row>
    <row r="140" spans="1:6" x14ac:dyDescent="0.3">
      <c r="A140" s="131"/>
      <c r="B140" s="131"/>
      <c r="C140" s="131"/>
      <c r="D140" s="131"/>
      <c r="E140" s="131"/>
      <c r="F140" s="131"/>
    </row>
    <row r="141" spans="1:6" x14ac:dyDescent="0.3">
      <c r="A141" s="131"/>
      <c r="B141" s="131"/>
      <c r="C141" s="131"/>
      <c r="D141" s="131"/>
      <c r="E141" s="131"/>
      <c r="F141" s="131"/>
    </row>
    <row r="142" spans="1:6" x14ac:dyDescent="0.3">
      <c r="A142" s="131"/>
      <c r="B142" s="131"/>
      <c r="C142" s="131"/>
      <c r="D142" s="131"/>
      <c r="E142" s="131"/>
      <c r="F142" s="131"/>
    </row>
    <row r="143" spans="1:6" x14ac:dyDescent="0.3">
      <c r="A143" s="131"/>
      <c r="B143" s="131"/>
      <c r="C143" s="131"/>
      <c r="D143" s="131"/>
      <c r="E143" s="131"/>
      <c r="F143" s="131"/>
    </row>
    <row r="144" spans="1:6" x14ac:dyDescent="0.3">
      <c r="A144" s="131"/>
      <c r="B144" s="131"/>
      <c r="C144" s="131"/>
      <c r="D144" s="131"/>
      <c r="E144" s="131"/>
      <c r="F144" s="131"/>
    </row>
    <row r="145" spans="1:6" x14ac:dyDescent="0.3">
      <c r="A145" s="131"/>
      <c r="B145" s="131"/>
      <c r="C145" s="131"/>
      <c r="D145" s="131"/>
      <c r="E145" s="131"/>
      <c r="F145" s="131"/>
    </row>
    <row r="146" spans="1:6" x14ac:dyDescent="0.3">
      <c r="A146" s="131"/>
      <c r="B146" s="131"/>
      <c r="C146" s="131"/>
      <c r="D146" s="131"/>
      <c r="E146" s="131"/>
      <c r="F146" s="131"/>
    </row>
    <row r="147" spans="1:6" x14ac:dyDescent="0.3">
      <c r="A147" s="131"/>
      <c r="B147" s="131"/>
      <c r="C147" s="131"/>
      <c r="D147" s="131"/>
      <c r="E147" s="131"/>
      <c r="F147" s="131"/>
    </row>
    <row r="148" spans="1:6" x14ac:dyDescent="0.3">
      <c r="A148" s="131"/>
      <c r="B148" s="131"/>
      <c r="C148" s="131"/>
      <c r="D148" s="131"/>
      <c r="E148" s="131"/>
      <c r="F148" s="131"/>
    </row>
    <row r="149" spans="1:6" x14ac:dyDescent="0.3">
      <c r="A149" s="131"/>
      <c r="B149" s="131"/>
      <c r="C149" s="131"/>
      <c r="D149" s="131"/>
      <c r="E149" s="131"/>
      <c r="F149" s="131"/>
    </row>
    <row r="150" spans="1:6" x14ac:dyDescent="0.3">
      <c r="A150" s="131"/>
      <c r="B150" s="131"/>
      <c r="C150" s="131"/>
      <c r="D150" s="131"/>
      <c r="E150" s="131"/>
      <c r="F150" s="131"/>
    </row>
    <row r="151" spans="1:6" x14ac:dyDescent="0.3">
      <c r="A151" s="131"/>
      <c r="B151" s="131"/>
      <c r="C151" s="131"/>
      <c r="D151" s="131"/>
      <c r="E151" s="131"/>
      <c r="F151" s="131"/>
    </row>
    <row r="152" spans="1:6" x14ac:dyDescent="0.3">
      <c r="A152" s="131"/>
      <c r="B152" s="131"/>
      <c r="C152" s="131"/>
      <c r="D152" s="131"/>
      <c r="E152" s="131"/>
      <c r="F152" s="131"/>
    </row>
    <row r="153" spans="1:6" x14ac:dyDescent="0.3">
      <c r="A153" s="131"/>
      <c r="B153" s="131"/>
      <c r="C153" s="131"/>
      <c r="D153" s="131"/>
      <c r="E153" s="131"/>
      <c r="F153" s="131"/>
    </row>
    <row r="154" spans="1:6" x14ac:dyDescent="0.3">
      <c r="A154" s="131"/>
      <c r="B154" s="131"/>
      <c r="C154" s="131"/>
      <c r="D154" s="131"/>
      <c r="E154" s="131"/>
      <c r="F154" s="131"/>
    </row>
    <row r="155" spans="1:6" x14ac:dyDescent="0.3">
      <c r="A155" s="131"/>
      <c r="B155" s="131"/>
      <c r="C155" s="131"/>
      <c r="D155" s="131"/>
      <c r="E155" s="131"/>
      <c r="F155" s="131"/>
    </row>
    <row r="156" spans="1:6" x14ac:dyDescent="0.3">
      <c r="A156" s="131"/>
      <c r="B156" s="131"/>
      <c r="C156" s="131"/>
      <c r="D156" s="131"/>
      <c r="E156" s="131"/>
      <c r="F156" s="131"/>
    </row>
    <row r="157" spans="1:6" x14ac:dyDescent="0.3">
      <c r="A157" s="131"/>
      <c r="B157" s="131"/>
      <c r="C157" s="131"/>
      <c r="D157" s="131"/>
      <c r="E157" s="131"/>
      <c r="F157" s="131"/>
    </row>
    <row r="158" spans="1:6" x14ac:dyDescent="0.3">
      <c r="A158" s="131"/>
      <c r="B158" s="131"/>
      <c r="C158" s="131"/>
      <c r="D158" s="131"/>
      <c r="E158" s="131"/>
      <c r="F158" s="131"/>
    </row>
    <row r="159" spans="1:6" x14ac:dyDescent="0.3">
      <c r="A159" s="131"/>
      <c r="B159" s="131"/>
      <c r="C159" s="131"/>
      <c r="D159" s="131"/>
      <c r="E159" s="131"/>
      <c r="F159" s="131"/>
    </row>
    <row r="160" spans="1:6" x14ac:dyDescent="0.3">
      <c r="A160" s="131"/>
      <c r="B160" s="131"/>
      <c r="C160" s="131"/>
      <c r="D160" s="131"/>
      <c r="E160" s="131"/>
      <c r="F160" s="131"/>
    </row>
    <row r="161" spans="1:6" x14ac:dyDescent="0.3">
      <c r="A161" s="131"/>
      <c r="B161" s="131"/>
      <c r="C161" s="131"/>
      <c r="D161" s="131"/>
      <c r="E161" s="131"/>
      <c r="F161" s="131"/>
    </row>
    <row r="162" spans="1:6" x14ac:dyDescent="0.3">
      <c r="A162" s="131"/>
      <c r="B162" s="131"/>
      <c r="C162" s="131"/>
      <c r="D162" s="131"/>
      <c r="E162" s="131"/>
      <c r="F162" s="131"/>
    </row>
    <row r="163" spans="1:6" x14ac:dyDescent="0.3">
      <c r="A163" s="131"/>
      <c r="B163" s="131"/>
      <c r="C163" s="131"/>
      <c r="D163" s="131"/>
      <c r="E163" s="131"/>
      <c r="F163" s="131"/>
    </row>
    <row r="164" spans="1:6" x14ac:dyDescent="0.3">
      <c r="A164" s="131"/>
      <c r="B164" s="131"/>
      <c r="C164" s="131"/>
      <c r="D164" s="131"/>
      <c r="E164" s="131"/>
      <c r="F164" s="131"/>
    </row>
    <row r="165" spans="1:6" x14ac:dyDescent="0.3">
      <c r="A165" s="131"/>
      <c r="B165" s="131"/>
      <c r="C165" s="131"/>
      <c r="D165" s="131"/>
      <c r="E165" s="131"/>
      <c r="F165" s="131"/>
    </row>
    <row r="166" spans="1:6" x14ac:dyDescent="0.3">
      <c r="A166" s="131"/>
      <c r="B166" s="131"/>
      <c r="C166" s="131"/>
      <c r="D166" s="131"/>
      <c r="E166" s="131"/>
      <c r="F166" s="131"/>
    </row>
    <row r="167" spans="1:6" x14ac:dyDescent="0.3">
      <c r="A167" s="131"/>
      <c r="B167" s="131"/>
      <c r="C167" s="131"/>
      <c r="D167" s="131"/>
      <c r="E167" s="131"/>
      <c r="F167" s="131"/>
    </row>
    <row r="168" spans="1:6" x14ac:dyDescent="0.3">
      <c r="A168" s="131"/>
      <c r="B168" s="131"/>
      <c r="C168" s="131"/>
      <c r="D168" s="131"/>
      <c r="E168" s="131"/>
      <c r="F168" s="131"/>
    </row>
    <row r="169" spans="1:6" x14ac:dyDescent="0.3">
      <c r="A169" s="131"/>
      <c r="B169" s="131"/>
      <c r="C169" s="131"/>
      <c r="D169" s="131"/>
      <c r="E169" s="131"/>
      <c r="F169" s="131"/>
    </row>
    <row r="170" spans="1:6" x14ac:dyDescent="0.3">
      <c r="A170" s="131"/>
      <c r="B170" s="131"/>
      <c r="C170" s="131"/>
      <c r="D170" s="131"/>
      <c r="E170" s="131"/>
      <c r="F170" s="131"/>
    </row>
    <row r="171" spans="1:6" x14ac:dyDescent="0.3">
      <c r="A171" s="131"/>
      <c r="B171" s="131"/>
      <c r="C171" s="131"/>
      <c r="D171" s="131"/>
      <c r="E171" s="131"/>
      <c r="F171" s="131"/>
    </row>
    <row r="172" spans="1:6" x14ac:dyDescent="0.3">
      <c r="A172" s="131"/>
      <c r="B172" s="131"/>
      <c r="C172" s="131"/>
      <c r="D172" s="131"/>
      <c r="E172" s="131"/>
      <c r="F172" s="131"/>
    </row>
    <row r="173" spans="1:6" x14ac:dyDescent="0.3">
      <c r="A173" s="131"/>
      <c r="B173" s="131"/>
      <c r="C173" s="131"/>
      <c r="D173" s="131"/>
      <c r="E173" s="131"/>
      <c r="F173" s="131"/>
    </row>
    <row r="174" spans="1:6" x14ac:dyDescent="0.3">
      <c r="A174" s="131"/>
      <c r="B174" s="131"/>
      <c r="C174" s="131"/>
      <c r="D174" s="131"/>
      <c r="E174" s="131"/>
      <c r="F174" s="131"/>
    </row>
    <row r="175" spans="1:6" x14ac:dyDescent="0.3">
      <c r="A175" s="131"/>
      <c r="B175" s="131"/>
      <c r="C175" s="131"/>
      <c r="D175" s="131"/>
      <c r="E175" s="131"/>
      <c r="F175" s="131"/>
    </row>
    <row r="176" spans="1:6" x14ac:dyDescent="0.3">
      <c r="A176" s="131"/>
      <c r="B176" s="131"/>
      <c r="C176" s="131"/>
      <c r="D176" s="131"/>
      <c r="E176" s="131"/>
      <c r="F176" s="131"/>
    </row>
    <row r="177" spans="1:6" x14ac:dyDescent="0.3">
      <c r="A177" s="131"/>
      <c r="B177" s="131"/>
      <c r="C177" s="131"/>
      <c r="D177" s="131"/>
      <c r="E177" s="131"/>
      <c r="F177" s="131"/>
    </row>
    <row r="178" spans="1:6" x14ac:dyDescent="0.3">
      <c r="A178" s="131"/>
      <c r="B178" s="131"/>
      <c r="C178" s="131"/>
      <c r="D178" s="131"/>
      <c r="E178" s="131"/>
      <c r="F178" s="131"/>
    </row>
    <row r="179" spans="1:6" x14ac:dyDescent="0.3">
      <c r="A179" s="131"/>
      <c r="B179" s="131"/>
      <c r="C179" s="131"/>
      <c r="D179" s="131"/>
      <c r="E179" s="131"/>
      <c r="F179" s="131"/>
    </row>
    <row r="180" spans="1:6" x14ac:dyDescent="0.3">
      <c r="A180" s="131"/>
      <c r="B180" s="131"/>
      <c r="C180" s="131"/>
      <c r="D180" s="131"/>
      <c r="E180" s="131"/>
      <c r="F180" s="131"/>
    </row>
    <row r="181" spans="1:6" x14ac:dyDescent="0.3">
      <c r="A181" s="131"/>
      <c r="B181" s="131"/>
      <c r="C181" s="131"/>
      <c r="D181" s="131"/>
      <c r="E181" s="131"/>
      <c r="F181" s="131"/>
    </row>
    <row r="182" spans="1:6" x14ac:dyDescent="0.3">
      <c r="A182" s="131"/>
      <c r="B182" s="131"/>
      <c r="C182" s="131"/>
      <c r="D182" s="131"/>
      <c r="E182" s="131"/>
      <c r="F182" s="131"/>
    </row>
    <row r="183" spans="1:6" x14ac:dyDescent="0.3">
      <c r="A183" s="131"/>
      <c r="B183" s="131"/>
      <c r="C183" s="131"/>
      <c r="D183" s="131"/>
      <c r="E183" s="131"/>
      <c r="F183" s="131"/>
    </row>
    <row r="184" spans="1:6" x14ac:dyDescent="0.3">
      <c r="A184" s="131"/>
      <c r="B184" s="131"/>
      <c r="C184" s="131"/>
      <c r="D184" s="131"/>
      <c r="E184" s="131"/>
      <c r="F184" s="131"/>
    </row>
    <row r="185" spans="1:6" x14ac:dyDescent="0.3">
      <c r="A185" s="131"/>
      <c r="B185" s="131"/>
      <c r="C185" s="131"/>
      <c r="D185" s="131"/>
      <c r="E185" s="131"/>
      <c r="F185" s="131"/>
    </row>
    <row r="186" spans="1:6" x14ac:dyDescent="0.3">
      <c r="A186" s="131"/>
      <c r="B186" s="131"/>
      <c r="C186" s="131"/>
      <c r="D186" s="131"/>
      <c r="E186" s="131"/>
      <c r="F186" s="131"/>
    </row>
    <row r="187" spans="1:6" x14ac:dyDescent="0.3">
      <c r="A187" s="131"/>
      <c r="B187" s="131"/>
      <c r="C187" s="131"/>
      <c r="D187" s="131"/>
      <c r="E187" s="131"/>
      <c r="F187" s="131"/>
    </row>
    <row r="188" spans="1:6" x14ac:dyDescent="0.3">
      <c r="A188" s="131"/>
      <c r="B188" s="131"/>
      <c r="C188" s="131"/>
      <c r="D188" s="131"/>
      <c r="E188" s="131"/>
      <c r="F188" s="131"/>
    </row>
    <row r="189" spans="1:6" x14ac:dyDescent="0.3">
      <c r="A189" s="131"/>
      <c r="B189" s="131"/>
      <c r="C189" s="131"/>
      <c r="D189" s="131"/>
      <c r="E189" s="131"/>
      <c r="F189" s="131"/>
    </row>
    <row r="190" spans="1:6" x14ac:dyDescent="0.3">
      <c r="A190" s="131"/>
      <c r="B190" s="131"/>
      <c r="C190" s="131"/>
      <c r="D190" s="131"/>
      <c r="E190" s="131"/>
      <c r="F190" s="131"/>
    </row>
    <row r="191" spans="1:6" x14ac:dyDescent="0.3">
      <c r="A191" s="131"/>
      <c r="B191" s="131"/>
      <c r="C191" s="131"/>
      <c r="D191" s="131"/>
      <c r="E191" s="131"/>
      <c r="F191" s="131"/>
    </row>
    <row r="192" spans="1:6" x14ac:dyDescent="0.3">
      <c r="A192" s="131"/>
      <c r="B192" s="131"/>
      <c r="C192" s="131"/>
      <c r="D192" s="131"/>
      <c r="E192" s="131"/>
      <c r="F192" s="131"/>
    </row>
    <row r="193" spans="1:6" x14ac:dyDescent="0.3">
      <c r="A193" s="131"/>
      <c r="B193" s="131"/>
      <c r="C193" s="131"/>
      <c r="D193" s="131"/>
      <c r="E193" s="131"/>
      <c r="F193" s="131"/>
    </row>
    <row r="194" spans="1:6" x14ac:dyDescent="0.3">
      <c r="A194" s="131"/>
      <c r="B194" s="131"/>
      <c r="C194" s="131"/>
      <c r="D194" s="131"/>
      <c r="E194" s="131"/>
      <c r="F194" s="131"/>
    </row>
    <row r="195" spans="1:6" x14ac:dyDescent="0.3">
      <c r="A195" s="131"/>
      <c r="B195" s="131"/>
      <c r="C195" s="131"/>
      <c r="D195" s="131"/>
      <c r="E195" s="131"/>
      <c r="F195" s="131"/>
    </row>
    <row r="196" spans="1:6" x14ac:dyDescent="0.3">
      <c r="A196" s="131"/>
      <c r="B196" s="131"/>
      <c r="C196" s="131"/>
      <c r="D196" s="131"/>
      <c r="E196" s="131"/>
      <c r="F196" s="131"/>
    </row>
    <row r="197" spans="1:6" x14ac:dyDescent="0.3">
      <c r="A197" s="131"/>
      <c r="B197" s="131"/>
      <c r="C197" s="131"/>
      <c r="D197" s="131"/>
      <c r="E197" s="131"/>
      <c r="F197" s="131"/>
    </row>
    <row r="198" spans="1:6" x14ac:dyDescent="0.3">
      <c r="A198" s="131"/>
      <c r="B198" s="131"/>
      <c r="C198" s="131"/>
      <c r="D198" s="131"/>
      <c r="E198" s="131"/>
      <c r="F198" s="131"/>
    </row>
    <row r="199" spans="1:6" x14ac:dyDescent="0.3">
      <c r="A199" s="131"/>
      <c r="B199" s="131"/>
      <c r="C199" s="131"/>
      <c r="D199" s="131"/>
      <c r="E199" s="131"/>
      <c r="F199" s="131"/>
    </row>
    <row r="200" spans="1:6" x14ac:dyDescent="0.3">
      <c r="A200" s="131"/>
      <c r="B200" s="131"/>
      <c r="C200" s="131"/>
      <c r="D200" s="131"/>
      <c r="E200" s="131"/>
      <c r="F200" s="131"/>
    </row>
    <row r="201" spans="1:6" x14ac:dyDescent="0.3">
      <c r="A201" s="131"/>
      <c r="B201" s="131"/>
      <c r="C201" s="131"/>
      <c r="D201" s="131"/>
      <c r="E201" s="131"/>
      <c r="F201" s="131"/>
    </row>
    <row r="202" spans="1:6" x14ac:dyDescent="0.3">
      <c r="A202" s="131"/>
      <c r="B202" s="131"/>
      <c r="C202" s="131"/>
      <c r="D202" s="131"/>
      <c r="E202" s="131"/>
      <c r="F202" s="131"/>
    </row>
    <row r="203" spans="1:6" x14ac:dyDescent="0.3">
      <c r="A203" s="131"/>
      <c r="B203" s="131"/>
      <c r="C203" s="131"/>
      <c r="D203" s="131"/>
      <c r="E203" s="131"/>
      <c r="F203" s="131"/>
    </row>
    <row r="204" spans="1:6" x14ac:dyDescent="0.3">
      <c r="A204" s="131"/>
      <c r="B204" s="131"/>
      <c r="C204" s="131"/>
      <c r="D204" s="131"/>
      <c r="E204" s="131"/>
      <c r="F204" s="131"/>
    </row>
    <row r="205" spans="1:6" x14ac:dyDescent="0.3">
      <c r="A205" s="131"/>
      <c r="B205" s="131"/>
      <c r="C205" s="131"/>
      <c r="D205" s="131"/>
      <c r="E205" s="131"/>
      <c r="F205" s="131"/>
    </row>
    <row r="206" spans="1:6" x14ac:dyDescent="0.3">
      <c r="A206" s="131"/>
      <c r="B206" s="131"/>
      <c r="C206" s="131"/>
      <c r="D206" s="131"/>
      <c r="E206" s="131"/>
      <c r="F206" s="131"/>
    </row>
    <row r="207" spans="1:6" x14ac:dyDescent="0.3">
      <c r="A207" s="131"/>
      <c r="B207" s="131"/>
      <c r="C207" s="131"/>
      <c r="D207" s="131"/>
      <c r="E207" s="131"/>
      <c r="F207" s="131"/>
    </row>
    <row r="208" spans="1:6" x14ac:dyDescent="0.3">
      <c r="A208" s="131"/>
      <c r="B208" s="131"/>
      <c r="C208" s="131"/>
      <c r="D208" s="131"/>
      <c r="E208" s="131"/>
      <c r="F208" s="131"/>
    </row>
    <row r="209" spans="1:6" x14ac:dyDescent="0.3">
      <c r="A209" s="131"/>
      <c r="B209" s="131"/>
      <c r="C209" s="131"/>
      <c r="D209" s="131"/>
      <c r="E209" s="131"/>
      <c r="F209" s="131"/>
    </row>
    <row r="210" spans="1:6" x14ac:dyDescent="0.3">
      <c r="A210" s="131"/>
      <c r="B210" s="131"/>
      <c r="C210" s="131"/>
      <c r="D210" s="131"/>
      <c r="E210" s="131"/>
      <c r="F210" s="131"/>
    </row>
    <row r="211" spans="1:6" x14ac:dyDescent="0.3">
      <c r="A211" s="131"/>
      <c r="B211" s="131"/>
      <c r="C211" s="131"/>
      <c r="D211" s="131"/>
      <c r="E211" s="131"/>
      <c r="F211" s="131"/>
    </row>
    <row r="212" spans="1:6" x14ac:dyDescent="0.3">
      <c r="A212" s="131"/>
      <c r="B212" s="131"/>
      <c r="C212" s="131"/>
      <c r="D212" s="131"/>
      <c r="E212" s="131"/>
      <c r="F212" s="131"/>
    </row>
    <row r="213" spans="1:6" x14ac:dyDescent="0.3">
      <c r="A213" s="131"/>
      <c r="B213" s="131"/>
      <c r="C213" s="131"/>
      <c r="D213" s="131"/>
      <c r="E213" s="131"/>
      <c r="F213" s="131"/>
    </row>
    <row r="214" spans="1:6" x14ac:dyDescent="0.3">
      <c r="A214" s="131"/>
      <c r="B214" s="131"/>
      <c r="C214" s="131"/>
      <c r="D214" s="131"/>
      <c r="E214" s="131"/>
      <c r="F214" s="131"/>
    </row>
    <row r="215" spans="1:6" x14ac:dyDescent="0.3">
      <c r="A215" s="131"/>
      <c r="B215" s="131"/>
      <c r="C215" s="131"/>
      <c r="D215" s="131"/>
      <c r="E215" s="131"/>
      <c r="F215" s="131"/>
    </row>
    <row r="216" spans="1:6" x14ac:dyDescent="0.3">
      <c r="A216" s="131"/>
      <c r="B216" s="131"/>
      <c r="C216" s="131"/>
      <c r="D216" s="131"/>
      <c r="E216" s="131"/>
      <c r="F216" s="131"/>
    </row>
    <row r="217" spans="1:6" x14ac:dyDescent="0.3">
      <c r="A217" s="131"/>
      <c r="B217" s="131"/>
      <c r="C217" s="131"/>
      <c r="D217" s="131"/>
      <c r="E217" s="131"/>
      <c r="F217" s="131"/>
    </row>
    <row r="218" spans="1:6" x14ac:dyDescent="0.3">
      <c r="A218" s="131"/>
      <c r="B218" s="131"/>
      <c r="C218" s="131"/>
      <c r="D218" s="131"/>
      <c r="E218" s="131"/>
      <c r="F218" s="131"/>
    </row>
    <row r="219" spans="1:6" x14ac:dyDescent="0.3">
      <c r="A219" s="131"/>
      <c r="B219" s="131"/>
      <c r="C219" s="131"/>
      <c r="D219" s="131"/>
      <c r="E219" s="131"/>
      <c r="F219" s="131"/>
    </row>
    <row r="220" spans="1:6" x14ac:dyDescent="0.3">
      <c r="A220" s="131"/>
      <c r="B220" s="131"/>
      <c r="C220" s="131"/>
      <c r="D220" s="131"/>
      <c r="E220" s="131"/>
      <c r="F220" s="131"/>
    </row>
    <row r="221" spans="1:6" x14ac:dyDescent="0.3">
      <c r="A221" s="131"/>
      <c r="B221" s="131"/>
      <c r="C221" s="131"/>
      <c r="D221" s="131"/>
      <c r="E221" s="131"/>
      <c r="F221" s="131"/>
    </row>
    <row r="222" spans="1:6" x14ac:dyDescent="0.3">
      <c r="A222" s="131"/>
      <c r="B222" s="131"/>
      <c r="C222" s="131"/>
      <c r="D222" s="131"/>
      <c r="E222" s="131"/>
      <c r="F222" s="131"/>
    </row>
    <row r="223" spans="1:6" x14ac:dyDescent="0.3">
      <c r="A223" s="131"/>
      <c r="B223" s="131"/>
      <c r="C223" s="131"/>
      <c r="D223" s="131"/>
      <c r="E223" s="131"/>
      <c r="F223" s="131"/>
    </row>
    <row r="224" spans="1:6" x14ac:dyDescent="0.3">
      <c r="A224" s="131"/>
      <c r="B224" s="131"/>
      <c r="C224" s="131"/>
      <c r="D224" s="131"/>
      <c r="E224" s="131"/>
      <c r="F224" s="131"/>
    </row>
    <row r="225" spans="1:6" x14ac:dyDescent="0.3">
      <c r="A225" s="131"/>
      <c r="B225" s="131"/>
      <c r="C225" s="131"/>
      <c r="D225" s="131"/>
      <c r="E225" s="131"/>
      <c r="F225" s="131"/>
    </row>
    <row r="226" spans="1:6" x14ac:dyDescent="0.3">
      <c r="A226" s="131"/>
      <c r="B226" s="131"/>
      <c r="C226" s="131"/>
      <c r="D226" s="131"/>
      <c r="E226" s="131"/>
      <c r="F226" s="131"/>
    </row>
    <row r="227" spans="1:6" x14ac:dyDescent="0.3">
      <c r="A227" s="131"/>
      <c r="B227" s="131"/>
      <c r="C227" s="131"/>
      <c r="D227" s="131"/>
      <c r="E227" s="131"/>
      <c r="F227" s="131"/>
    </row>
    <row r="228" spans="1:6" x14ac:dyDescent="0.3">
      <c r="A228" s="131"/>
      <c r="B228" s="131"/>
      <c r="C228" s="131"/>
      <c r="D228" s="131"/>
      <c r="E228" s="131"/>
      <c r="F228" s="131"/>
    </row>
    <row r="229" spans="1:6" x14ac:dyDescent="0.3">
      <c r="A229" s="131"/>
      <c r="B229" s="131"/>
      <c r="C229" s="131"/>
      <c r="D229" s="131"/>
      <c r="E229" s="131"/>
      <c r="F229" s="131"/>
    </row>
    <row r="230" spans="1:6" x14ac:dyDescent="0.3">
      <c r="A230" s="131"/>
      <c r="B230" s="131"/>
      <c r="C230" s="131"/>
      <c r="D230" s="131"/>
      <c r="E230" s="131"/>
      <c r="F230" s="131"/>
    </row>
    <row r="231" spans="1:6" x14ac:dyDescent="0.3">
      <c r="A231" s="131"/>
      <c r="B231" s="131"/>
      <c r="C231" s="131"/>
      <c r="D231" s="131"/>
      <c r="E231" s="131"/>
      <c r="F231" s="131"/>
    </row>
    <row r="232" spans="1:6" x14ac:dyDescent="0.3">
      <c r="A232" s="131"/>
      <c r="B232" s="131"/>
      <c r="C232" s="131"/>
      <c r="D232" s="131"/>
      <c r="E232" s="131"/>
      <c r="F232" s="131"/>
    </row>
    <row r="233" spans="1:6" x14ac:dyDescent="0.3">
      <c r="A233" s="131"/>
      <c r="B233" s="131"/>
      <c r="C233" s="131"/>
      <c r="D233" s="131"/>
      <c r="E233" s="131"/>
      <c r="F233" s="131"/>
    </row>
    <row r="234" spans="1:6" x14ac:dyDescent="0.3">
      <c r="A234" s="131"/>
      <c r="B234" s="131"/>
      <c r="C234" s="131"/>
      <c r="D234" s="131"/>
      <c r="E234" s="131"/>
      <c r="F234" s="131"/>
    </row>
    <row r="235" spans="1:6" x14ac:dyDescent="0.3">
      <c r="A235" s="131"/>
      <c r="B235" s="131"/>
      <c r="C235" s="131"/>
      <c r="D235" s="131"/>
      <c r="E235" s="131"/>
      <c r="F235" s="131"/>
    </row>
    <row r="236" spans="1:6" x14ac:dyDescent="0.3">
      <c r="A236" s="131"/>
      <c r="B236" s="131"/>
      <c r="C236" s="131"/>
      <c r="D236" s="131"/>
      <c r="E236" s="131"/>
      <c r="F236" s="131"/>
    </row>
    <row r="237" spans="1:6" x14ac:dyDescent="0.3">
      <c r="A237" s="131"/>
      <c r="B237" s="131"/>
      <c r="C237" s="131"/>
      <c r="D237" s="131"/>
      <c r="E237" s="131"/>
      <c r="F237" s="131"/>
    </row>
    <row r="238" spans="1:6" x14ac:dyDescent="0.3">
      <c r="A238" s="131"/>
      <c r="B238" s="131"/>
      <c r="C238" s="131"/>
      <c r="D238" s="131"/>
      <c r="E238" s="131"/>
      <c r="F238" s="131"/>
    </row>
    <row r="239" spans="1:6" x14ac:dyDescent="0.3">
      <c r="A239" s="131"/>
      <c r="B239" s="131"/>
      <c r="C239" s="131"/>
      <c r="D239" s="131"/>
      <c r="E239" s="131"/>
      <c r="F239" s="131"/>
    </row>
    <row r="240" spans="1:6" x14ac:dyDescent="0.3">
      <c r="A240" s="131"/>
      <c r="B240" s="131"/>
      <c r="C240" s="131"/>
      <c r="D240" s="131"/>
      <c r="E240" s="131"/>
      <c r="F240" s="131"/>
    </row>
    <row r="241" spans="1:6" x14ac:dyDescent="0.3">
      <c r="A241" s="131"/>
      <c r="B241" s="131"/>
      <c r="C241" s="131"/>
      <c r="D241" s="131"/>
      <c r="E241" s="131"/>
      <c r="F241" s="131"/>
    </row>
    <row r="242" spans="1:6" x14ac:dyDescent="0.3">
      <c r="A242" s="131"/>
      <c r="B242" s="131"/>
      <c r="C242" s="131"/>
      <c r="D242" s="131"/>
      <c r="E242" s="131"/>
      <c r="F242" s="131"/>
    </row>
    <row r="243" spans="1:6" x14ac:dyDescent="0.3">
      <c r="A243" s="131"/>
      <c r="B243" s="131"/>
      <c r="C243" s="131"/>
      <c r="D243" s="131"/>
      <c r="E243" s="131"/>
      <c r="F243" s="131"/>
    </row>
    <row r="244" spans="1:6" x14ac:dyDescent="0.3">
      <c r="A244" s="131"/>
      <c r="B244" s="131"/>
      <c r="C244" s="131"/>
      <c r="D244" s="131"/>
      <c r="E244" s="131"/>
      <c r="F244" s="131"/>
    </row>
    <row r="245" spans="1:6" x14ac:dyDescent="0.3">
      <c r="A245" s="131"/>
      <c r="B245" s="131"/>
      <c r="C245" s="131"/>
      <c r="D245" s="131"/>
      <c r="E245" s="131"/>
      <c r="F245" s="131"/>
    </row>
    <row r="246" spans="1:6" x14ac:dyDescent="0.3">
      <c r="A246" s="131"/>
      <c r="B246" s="131"/>
      <c r="C246" s="131"/>
      <c r="D246" s="131"/>
      <c r="E246" s="131"/>
      <c r="F246" s="131"/>
    </row>
    <row r="247" spans="1:6" x14ac:dyDescent="0.3">
      <c r="A247" s="131"/>
      <c r="B247" s="131"/>
      <c r="C247" s="131"/>
      <c r="D247" s="131"/>
      <c r="E247" s="131"/>
      <c r="F247" s="131"/>
    </row>
    <row r="248" spans="1:6" x14ac:dyDescent="0.3">
      <c r="A248" s="131"/>
      <c r="B248" s="131"/>
      <c r="C248" s="131"/>
      <c r="D248" s="131"/>
      <c r="E248" s="131"/>
      <c r="F248" s="131"/>
    </row>
    <row r="249" spans="1:6" x14ac:dyDescent="0.3">
      <c r="A249" s="131"/>
      <c r="B249" s="131"/>
      <c r="C249" s="131"/>
      <c r="D249" s="131"/>
      <c r="E249" s="131"/>
      <c r="F249" s="131"/>
    </row>
    <row r="250" spans="1:6" x14ac:dyDescent="0.3">
      <c r="A250" s="131"/>
      <c r="B250" s="131"/>
      <c r="C250" s="131"/>
      <c r="D250" s="131"/>
      <c r="E250" s="131"/>
      <c r="F250" s="131"/>
    </row>
    <row r="251" spans="1:6" x14ac:dyDescent="0.3">
      <c r="A251" s="131"/>
      <c r="B251" s="131"/>
      <c r="C251" s="131"/>
      <c r="D251" s="131"/>
      <c r="E251" s="131"/>
      <c r="F251" s="131"/>
    </row>
    <row r="252" spans="1:6" x14ac:dyDescent="0.3">
      <c r="A252" s="131"/>
      <c r="B252" s="131"/>
      <c r="C252" s="131"/>
      <c r="D252" s="131"/>
      <c r="E252" s="131"/>
      <c r="F252" s="131"/>
    </row>
    <row r="253" spans="1:6" x14ac:dyDescent="0.3">
      <c r="A253" s="131"/>
      <c r="B253" s="131"/>
      <c r="C253" s="131"/>
      <c r="D253" s="131"/>
      <c r="E253" s="131"/>
      <c r="F253" s="131"/>
    </row>
    <row r="254" spans="1:6" x14ac:dyDescent="0.3">
      <c r="A254" s="131"/>
      <c r="B254" s="131"/>
      <c r="C254" s="131"/>
      <c r="D254" s="131"/>
      <c r="E254" s="131"/>
      <c r="F254" s="131"/>
    </row>
    <row r="255" spans="1:6" x14ac:dyDescent="0.3">
      <c r="A255" s="131"/>
      <c r="B255" s="131"/>
      <c r="C255" s="131"/>
      <c r="D255" s="131"/>
      <c r="E255" s="131"/>
      <c r="F255" s="131"/>
    </row>
    <row r="256" spans="1:6" x14ac:dyDescent="0.3">
      <c r="A256" s="131"/>
      <c r="B256" s="131"/>
      <c r="C256" s="131"/>
      <c r="D256" s="131"/>
      <c r="E256" s="131"/>
      <c r="F256" s="131"/>
    </row>
    <row r="257" spans="1:6" x14ac:dyDescent="0.3">
      <c r="A257" s="131"/>
      <c r="B257" s="131"/>
      <c r="C257" s="131"/>
      <c r="D257" s="131"/>
      <c r="E257" s="131"/>
      <c r="F257" s="131"/>
    </row>
    <row r="258" spans="1:6" x14ac:dyDescent="0.3">
      <c r="A258" s="131"/>
      <c r="B258" s="131"/>
      <c r="C258" s="131"/>
      <c r="D258" s="131"/>
      <c r="E258" s="131"/>
      <c r="F258" s="131"/>
    </row>
    <row r="259" spans="1:6" x14ac:dyDescent="0.3">
      <c r="A259" s="131"/>
      <c r="B259" s="131"/>
      <c r="C259" s="131"/>
      <c r="D259" s="131"/>
      <c r="E259" s="131"/>
      <c r="F259" s="131"/>
    </row>
    <row r="260" spans="1:6" x14ac:dyDescent="0.3">
      <c r="A260" s="131"/>
      <c r="B260" s="131"/>
      <c r="C260" s="131"/>
      <c r="D260" s="131"/>
      <c r="E260" s="131"/>
      <c r="F260" s="131"/>
    </row>
    <row r="261" spans="1:6" x14ac:dyDescent="0.3">
      <c r="A261" s="131"/>
      <c r="B261" s="131"/>
      <c r="C261" s="131"/>
      <c r="D261" s="131"/>
      <c r="E261" s="131"/>
      <c r="F261" s="131"/>
    </row>
    <row r="262" spans="1:6" x14ac:dyDescent="0.3">
      <c r="A262" s="131"/>
      <c r="B262" s="131"/>
      <c r="C262" s="131"/>
      <c r="D262" s="131"/>
      <c r="E262" s="131"/>
      <c r="F262" s="131"/>
    </row>
    <row r="263" spans="1:6" x14ac:dyDescent="0.3">
      <c r="A263" s="131"/>
      <c r="B263" s="131"/>
      <c r="C263" s="131"/>
      <c r="D263" s="131"/>
      <c r="E263" s="131"/>
      <c r="F263" s="131"/>
    </row>
    <row r="264" spans="1:6" x14ac:dyDescent="0.3">
      <c r="A264" s="131"/>
      <c r="B264" s="131"/>
      <c r="C264" s="131"/>
      <c r="D264" s="131"/>
      <c r="E264" s="131"/>
      <c r="F264" s="131"/>
    </row>
    <row r="265" spans="1:6" x14ac:dyDescent="0.3">
      <c r="A265" s="131"/>
      <c r="B265" s="131"/>
      <c r="C265" s="131"/>
      <c r="D265" s="131"/>
      <c r="E265" s="131"/>
      <c r="F265" s="131"/>
    </row>
    <row r="266" spans="1:6" x14ac:dyDescent="0.3">
      <c r="A266" s="131"/>
      <c r="B266" s="131"/>
      <c r="C266" s="131"/>
      <c r="D266" s="131"/>
      <c r="E266" s="131"/>
      <c r="F266" s="131"/>
    </row>
    <row r="267" spans="1:6" x14ac:dyDescent="0.3">
      <c r="A267" s="131"/>
      <c r="B267" s="131"/>
      <c r="C267" s="131"/>
      <c r="D267" s="131"/>
      <c r="E267" s="131"/>
      <c r="F267" s="131"/>
    </row>
    <row r="268" spans="1:6" x14ac:dyDescent="0.3">
      <c r="A268" s="131"/>
      <c r="B268" s="131"/>
      <c r="C268" s="131"/>
      <c r="D268" s="131"/>
      <c r="E268" s="131"/>
      <c r="F268" s="131"/>
    </row>
    <row r="269" spans="1:6" x14ac:dyDescent="0.3">
      <c r="A269" s="131"/>
      <c r="B269" s="131"/>
      <c r="C269" s="131"/>
      <c r="D269" s="131"/>
      <c r="E269" s="131"/>
      <c r="F269" s="131"/>
    </row>
    <row r="270" spans="1:6" x14ac:dyDescent="0.3">
      <c r="A270" s="131"/>
      <c r="B270" s="131"/>
      <c r="C270" s="131"/>
      <c r="D270" s="131"/>
      <c r="E270" s="131"/>
      <c r="F270" s="131"/>
    </row>
    <row r="271" spans="1:6" x14ac:dyDescent="0.3">
      <c r="A271" s="131"/>
      <c r="B271" s="131"/>
      <c r="C271" s="131"/>
      <c r="D271" s="131"/>
      <c r="E271" s="131"/>
      <c r="F271" s="131"/>
    </row>
    <row r="272" spans="1:6" x14ac:dyDescent="0.3">
      <c r="A272" s="131"/>
      <c r="B272" s="131"/>
      <c r="C272" s="131"/>
      <c r="D272" s="131"/>
      <c r="E272" s="131"/>
      <c r="F272" s="131"/>
    </row>
    <row r="273" spans="1:6" x14ac:dyDescent="0.3">
      <c r="A273" s="131"/>
      <c r="B273" s="131"/>
      <c r="C273" s="131"/>
      <c r="D273" s="131"/>
      <c r="E273" s="131"/>
      <c r="F273" s="131"/>
    </row>
    <row r="274" spans="1:6" x14ac:dyDescent="0.3">
      <c r="A274" s="131"/>
      <c r="B274" s="131"/>
      <c r="C274" s="131"/>
      <c r="D274" s="131"/>
      <c r="E274" s="131"/>
      <c r="F274" s="131"/>
    </row>
    <row r="275" spans="1:6" x14ac:dyDescent="0.3">
      <c r="A275" s="131"/>
      <c r="B275" s="131"/>
      <c r="C275" s="131"/>
      <c r="D275" s="131"/>
      <c r="E275" s="131"/>
      <c r="F275" s="131"/>
    </row>
    <row r="276" spans="1:6" x14ac:dyDescent="0.3">
      <c r="A276" s="131"/>
      <c r="B276" s="131"/>
      <c r="C276" s="131"/>
      <c r="D276" s="131"/>
      <c r="E276" s="131"/>
      <c r="F276" s="131"/>
    </row>
    <row r="277" spans="1:6" x14ac:dyDescent="0.3">
      <c r="A277" s="131"/>
      <c r="B277" s="131"/>
      <c r="C277" s="131"/>
      <c r="D277" s="131"/>
      <c r="E277" s="131"/>
      <c r="F277" s="131"/>
    </row>
    <row r="278" spans="1:6" x14ac:dyDescent="0.3">
      <c r="A278" s="131"/>
      <c r="B278" s="131"/>
      <c r="C278" s="131"/>
      <c r="D278" s="131"/>
      <c r="E278" s="131"/>
      <c r="F278" s="131"/>
    </row>
    <row r="279" spans="1:6" x14ac:dyDescent="0.3">
      <c r="A279" s="131"/>
      <c r="B279" s="131"/>
      <c r="C279" s="131"/>
      <c r="D279" s="131"/>
      <c r="E279" s="131"/>
      <c r="F279" s="131"/>
    </row>
    <row r="280" spans="1:6" x14ac:dyDescent="0.3">
      <c r="A280" s="131"/>
      <c r="B280" s="131"/>
      <c r="C280" s="131"/>
      <c r="D280" s="131"/>
      <c r="E280" s="131"/>
      <c r="F280" s="131"/>
    </row>
    <row r="281" spans="1:6" x14ac:dyDescent="0.3">
      <c r="A281" s="131"/>
      <c r="B281" s="131"/>
      <c r="C281" s="131"/>
      <c r="D281" s="131"/>
      <c r="E281" s="131"/>
      <c r="F281" s="131"/>
    </row>
    <row r="282" spans="1:6" x14ac:dyDescent="0.3">
      <c r="A282" s="131"/>
      <c r="B282" s="131"/>
      <c r="C282" s="131"/>
      <c r="D282" s="131"/>
      <c r="E282" s="131"/>
      <c r="F282" s="131"/>
    </row>
    <row r="283" spans="1:6" x14ac:dyDescent="0.3">
      <c r="A283" s="131"/>
      <c r="B283" s="131"/>
      <c r="C283" s="131"/>
      <c r="D283" s="131"/>
      <c r="E283" s="131"/>
      <c r="F283" s="131"/>
    </row>
    <row r="284" spans="1:6" x14ac:dyDescent="0.3">
      <c r="A284" s="131"/>
      <c r="B284" s="131"/>
      <c r="C284" s="131"/>
      <c r="D284" s="131"/>
      <c r="E284" s="131"/>
      <c r="F284" s="131"/>
    </row>
    <row r="285" spans="1:6" x14ac:dyDescent="0.3">
      <c r="A285" s="131"/>
      <c r="B285" s="131"/>
      <c r="C285" s="131"/>
      <c r="D285" s="131"/>
      <c r="E285" s="131"/>
      <c r="F285" s="131"/>
    </row>
    <row r="286" spans="1:6" x14ac:dyDescent="0.3">
      <c r="A286" s="131"/>
      <c r="B286" s="131"/>
      <c r="C286" s="131"/>
      <c r="D286" s="131"/>
      <c r="E286" s="131"/>
      <c r="F286" s="131"/>
    </row>
    <row r="287" spans="1:6" x14ac:dyDescent="0.3">
      <c r="A287" s="131"/>
      <c r="B287" s="131"/>
      <c r="C287" s="131"/>
      <c r="D287" s="131"/>
      <c r="E287" s="131"/>
      <c r="F287" s="131"/>
    </row>
    <row r="288" spans="1:6" x14ac:dyDescent="0.3">
      <c r="A288" s="131"/>
      <c r="B288" s="131"/>
      <c r="C288" s="131"/>
      <c r="D288" s="131"/>
      <c r="E288" s="131"/>
      <c r="F288" s="131"/>
    </row>
    <row r="289" spans="1:6" x14ac:dyDescent="0.3">
      <c r="A289" s="131"/>
      <c r="B289" s="131"/>
      <c r="C289" s="131"/>
      <c r="D289" s="131"/>
      <c r="E289" s="131"/>
      <c r="F289" s="131"/>
    </row>
    <row r="290" spans="1:6" x14ac:dyDescent="0.3">
      <c r="A290" s="131"/>
      <c r="B290" s="131"/>
      <c r="C290" s="131"/>
      <c r="D290" s="131"/>
      <c r="E290" s="131"/>
      <c r="F290" s="131"/>
    </row>
    <row r="291" spans="1:6" x14ac:dyDescent="0.3">
      <c r="A291" s="131"/>
      <c r="B291" s="131"/>
      <c r="C291" s="131"/>
      <c r="D291" s="131"/>
      <c r="E291" s="131"/>
      <c r="F291" s="131"/>
    </row>
    <row r="292" spans="1:6" x14ac:dyDescent="0.3">
      <c r="A292" s="131"/>
      <c r="B292" s="131"/>
      <c r="C292" s="131"/>
      <c r="D292" s="131"/>
      <c r="E292" s="131"/>
      <c r="F292" s="131"/>
    </row>
    <row r="293" spans="1:6" x14ac:dyDescent="0.3">
      <c r="A293" s="131"/>
      <c r="B293" s="131"/>
      <c r="C293" s="131"/>
      <c r="D293" s="131"/>
      <c r="E293" s="131"/>
      <c r="F293" s="131"/>
    </row>
    <row r="294" spans="1:6" x14ac:dyDescent="0.3">
      <c r="A294" s="131"/>
      <c r="B294" s="131"/>
      <c r="C294" s="131"/>
      <c r="D294" s="131"/>
      <c r="E294" s="131"/>
      <c r="F294" s="131"/>
    </row>
    <row r="295" spans="1:6" x14ac:dyDescent="0.3">
      <c r="A295" s="131"/>
      <c r="B295" s="131"/>
      <c r="C295" s="131"/>
      <c r="D295" s="131"/>
      <c r="E295" s="131"/>
      <c r="F295" s="131"/>
    </row>
    <row r="296" spans="1:6" x14ac:dyDescent="0.3">
      <c r="A296" s="131"/>
      <c r="B296" s="131"/>
      <c r="C296" s="131"/>
      <c r="D296" s="131"/>
      <c r="E296" s="131"/>
      <c r="F296" s="131"/>
    </row>
    <row r="297" spans="1:6" x14ac:dyDescent="0.3">
      <c r="A297" s="131"/>
      <c r="B297" s="131"/>
      <c r="C297" s="131"/>
      <c r="D297" s="131"/>
      <c r="E297" s="131"/>
      <c r="F297" s="131"/>
    </row>
    <row r="298" spans="1:6" x14ac:dyDescent="0.3">
      <c r="A298" s="131"/>
      <c r="B298" s="131"/>
      <c r="C298" s="131"/>
      <c r="D298" s="131"/>
      <c r="E298" s="131"/>
      <c r="F298" s="131"/>
    </row>
    <row r="299" spans="1:6" x14ac:dyDescent="0.3">
      <c r="A299" s="131"/>
      <c r="B299" s="131"/>
      <c r="C299" s="131"/>
      <c r="D299" s="131"/>
      <c r="E299" s="131"/>
      <c r="F299" s="131"/>
    </row>
    <row r="300" spans="1:6" x14ac:dyDescent="0.3">
      <c r="A300" s="131"/>
      <c r="B300" s="131"/>
      <c r="C300" s="131"/>
      <c r="D300" s="131"/>
      <c r="E300" s="131"/>
      <c r="F300" s="131"/>
    </row>
    <row r="301" spans="1:6" x14ac:dyDescent="0.3">
      <c r="A301" s="131"/>
      <c r="B301" s="131"/>
      <c r="C301" s="131"/>
      <c r="D301" s="131"/>
      <c r="E301" s="131"/>
      <c r="F301" s="131"/>
    </row>
    <row r="302" spans="1:6" x14ac:dyDescent="0.3">
      <c r="A302" s="131"/>
      <c r="B302" s="131"/>
      <c r="C302" s="131"/>
      <c r="D302" s="131"/>
      <c r="E302" s="131"/>
      <c r="F302" s="131"/>
    </row>
    <row r="303" spans="1:6" x14ac:dyDescent="0.3">
      <c r="A303" s="131"/>
      <c r="B303" s="131"/>
      <c r="C303" s="131"/>
      <c r="D303" s="131"/>
      <c r="E303" s="131"/>
      <c r="F303" s="131"/>
    </row>
    <row r="304" spans="1:6" x14ac:dyDescent="0.3">
      <c r="A304" s="131"/>
      <c r="B304" s="131"/>
      <c r="C304" s="131"/>
      <c r="D304" s="131"/>
      <c r="E304" s="131"/>
      <c r="F304" s="131"/>
    </row>
    <row r="305" spans="1:6" x14ac:dyDescent="0.3">
      <c r="A305" s="131"/>
      <c r="B305" s="131"/>
      <c r="C305" s="131"/>
      <c r="D305" s="131"/>
      <c r="E305" s="131"/>
      <c r="F305" s="131"/>
    </row>
    <row r="306" spans="1:6" x14ac:dyDescent="0.3">
      <c r="A306" s="131"/>
      <c r="B306" s="131"/>
      <c r="C306" s="131"/>
      <c r="D306" s="131"/>
      <c r="E306" s="131"/>
      <c r="F306" s="131"/>
    </row>
    <row r="307" spans="1:6" x14ac:dyDescent="0.3">
      <c r="A307" s="131"/>
      <c r="B307" s="131"/>
      <c r="C307" s="131"/>
      <c r="D307" s="131"/>
      <c r="E307" s="131"/>
      <c r="F307" s="131"/>
    </row>
    <row r="308" spans="1:6" x14ac:dyDescent="0.3">
      <c r="A308" s="131"/>
      <c r="B308" s="131"/>
      <c r="C308" s="131"/>
      <c r="D308" s="131"/>
      <c r="E308" s="131"/>
      <c r="F308" s="131"/>
    </row>
    <row r="309" spans="1:6" x14ac:dyDescent="0.3">
      <c r="A309" s="131"/>
      <c r="B309" s="131"/>
      <c r="C309" s="131"/>
      <c r="D309" s="131"/>
      <c r="E309" s="131"/>
      <c r="F309" s="131"/>
    </row>
    <row r="310" spans="1:6" x14ac:dyDescent="0.3">
      <c r="A310" s="131"/>
      <c r="B310" s="131"/>
      <c r="C310" s="131"/>
      <c r="D310" s="131"/>
      <c r="E310" s="131"/>
      <c r="F310" s="131"/>
    </row>
    <row r="311" spans="1:6" x14ac:dyDescent="0.3">
      <c r="A311" s="131"/>
      <c r="B311" s="131"/>
      <c r="C311" s="131"/>
      <c r="D311" s="131"/>
      <c r="E311" s="131"/>
      <c r="F311" s="131"/>
    </row>
    <row r="312" spans="1:6" x14ac:dyDescent="0.3">
      <c r="A312" s="131"/>
      <c r="B312" s="131"/>
      <c r="C312" s="131"/>
      <c r="D312" s="131"/>
      <c r="E312" s="131"/>
      <c r="F312" s="131"/>
    </row>
    <row r="313" spans="1:6" x14ac:dyDescent="0.3">
      <c r="A313" s="131"/>
      <c r="B313" s="131"/>
      <c r="C313" s="131"/>
      <c r="D313" s="131"/>
      <c r="E313" s="131"/>
      <c r="F313" s="131"/>
    </row>
    <row r="314" spans="1:6" x14ac:dyDescent="0.3">
      <c r="A314" s="131"/>
      <c r="B314" s="131"/>
      <c r="C314" s="131"/>
      <c r="D314" s="131"/>
      <c r="E314" s="131"/>
      <c r="F314" s="131"/>
    </row>
    <row r="315" spans="1:6" x14ac:dyDescent="0.3">
      <c r="A315" s="131"/>
      <c r="B315" s="131"/>
      <c r="C315" s="131"/>
      <c r="D315" s="131"/>
      <c r="E315" s="131"/>
      <c r="F315" s="131"/>
    </row>
    <row r="316" spans="1:6" x14ac:dyDescent="0.3">
      <c r="A316" s="131"/>
      <c r="B316" s="131"/>
      <c r="C316" s="131"/>
      <c r="D316" s="131"/>
      <c r="E316" s="131"/>
      <c r="F316" s="131"/>
    </row>
    <row r="317" spans="1:6" x14ac:dyDescent="0.3">
      <c r="A317" s="131"/>
      <c r="B317" s="131"/>
      <c r="C317" s="131"/>
      <c r="D317" s="131"/>
      <c r="E317" s="131"/>
      <c r="F317" s="131"/>
    </row>
    <row r="318" spans="1:6" x14ac:dyDescent="0.3">
      <c r="A318" s="131"/>
      <c r="B318" s="131"/>
      <c r="C318" s="131"/>
      <c r="D318" s="131"/>
      <c r="E318" s="131"/>
      <c r="F318" s="131"/>
    </row>
    <row r="319" spans="1:6" x14ac:dyDescent="0.3">
      <c r="A319" s="131"/>
      <c r="B319" s="131"/>
      <c r="C319" s="131"/>
      <c r="D319" s="131"/>
      <c r="E319" s="131"/>
      <c r="F319" s="131"/>
    </row>
    <row r="320" spans="1:6" x14ac:dyDescent="0.3">
      <c r="A320" s="131"/>
      <c r="B320" s="131"/>
      <c r="C320" s="131"/>
      <c r="D320" s="131"/>
      <c r="E320" s="131"/>
      <c r="F320" s="131"/>
    </row>
    <row r="321" spans="1:6" x14ac:dyDescent="0.3">
      <c r="A321" s="131"/>
      <c r="B321" s="131"/>
      <c r="C321" s="131"/>
      <c r="D321" s="131"/>
      <c r="E321" s="131"/>
      <c r="F321" s="131"/>
    </row>
    <row r="322" spans="1:6" x14ac:dyDescent="0.3">
      <c r="A322" s="131"/>
      <c r="B322" s="131"/>
      <c r="C322" s="131"/>
      <c r="D322" s="131"/>
      <c r="E322" s="131"/>
      <c r="F322" s="131"/>
    </row>
    <row r="323" spans="1:6" x14ac:dyDescent="0.3">
      <c r="A323" s="131"/>
      <c r="B323" s="131"/>
      <c r="C323" s="131"/>
      <c r="D323" s="131"/>
      <c r="E323" s="131"/>
      <c r="F323" s="131"/>
    </row>
    <row r="324" spans="1:6" x14ac:dyDescent="0.3">
      <c r="A324" s="131"/>
      <c r="B324" s="131"/>
      <c r="C324" s="131"/>
      <c r="D324" s="131"/>
      <c r="E324" s="131"/>
      <c r="F324" s="131"/>
    </row>
    <row r="325" spans="1:6" x14ac:dyDescent="0.3">
      <c r="A325" s="131"/>
      <c r="B325" s="131"/>
      <c r="C325" s="131"/>
      <c r="D325" s="131"/>
      <c r="E325" s="131"/>
      <c r="F325" s="131"/>
    </row>
    <row r="326" spans="1:6" x14ac:dyDescent="0.3">
      <c r="A326" s="131"/>
      <c r="B326" s="131"/>
      <c r="C326" s="131"/>
      <c r="D326" s="131"/>
      <c r="E326" s="131"/>
      <c r="F326" s="131"/>
    </row>
    <row r="327" spans="1:6" x14ac:dyDescent="0.3">
      <c r="A327" s="131"/>
      <c r="B327" s="131"/>
      <c r="C327" s="131"/>
      <c r="D327" s="131"/>
      <c r="E327" s="131"/>
      <c r="F327" s="131"/>
    </row>
    <row r="328" spans="1:6" x14ac:dyDescent="0.3">
      <c r="A328" s="131"/>
      <c r="B328" s="131"/>
      <c r="C328" s="131"/>
      <c r="D328" s="131"/>
      <c r="E328" s="131"/>
      <c r="F328" s="131"/>
    </row>
    <row r="329" spans="1:6" x14ac:dyDescent="0.3">
      <c r="A329" s="131"/>
      <c r="B329" s="131"/>
      <c r="C329" s="131"/>
      <c r="D329" s="131"/>
      <c r="E329" s="131"/>
      <c r="F329" s="131"/>
    </row>
    <row r="330" spans="1:6" x14ac:dyDescent="0.3">
      <c r="A330" s="131"/>
      <c r="B330" s="131"/>
      <c r="C330" s="131"/>
      <c r="D330" s="131"/>
      <c r="E330" s="131"/>
      <c r="F330" s="131"/>
    </row>
    <row r="331" spans="1:6" x14ac:dyDescent="0.3">
      <c r="A331" s="131"/>
      <c r="B331" s="131"/>
      <c r="C331" s="131"/>
      <c r="D331" s="131"/>
      <c r="E331" s="131"/>
      <c r="F331" s="131"/>
    </row>
    <row r="332" spans="1:6" x14ac:dyDescent="0.3">
      <c r="A332" s="131"/>
      <c r="B332" s="131"/>
      <c r="C332" s="131"/>
      <c r="D332" s="131"/>
      <c r="E332" s="131"/>
      <c r="F332" s="131"/>
    </row>
    <row r="333" spans="1:6" x14ac:dyDescent="0.3">
      <c r="A333" s="131"/>
      <c r="B333" s="131"/>
      <c r="C333" s="131"/>
      <c r="D333" s="131"/>
      <c r="E333" s="131"/>
      <c r="F333" s="131"/>
    </row>
    <row r="334" spans="1:6" x14ac:dyDescent="0.3">
      <c r="A334" s="131"/>
      <c r="B334" s="131"/>
      <c r="C334" s="131"/>
      <c r="D334" s="131"/>
      <c r="E334" s="131"/>
      <c r="F334" s="131"/>
    </row>
    <row r="335" spans="1:6" x14ac:dyDescent="0.3">
      <c r="A335" s="131"/>
      <c r="B335" s="131"/>
      <c r="C335" s="131"/>
      <c r="D335" s="131"/>
      <c r="E335" s="131"/>
      <c r="F335" s="131"/>
    </row>
    <row r="336" spans="1:6" x14ac:dyDescent="0.3">
      <c r="A336" s="131"/>
      <c r="B336" s="131"/>
      <c r="C336" s="131"/>
      <c r="D336" s="131"/>
      <c r="E336" s="131"/>
      <c r="F336" s="131"/>
    </row>
    <row r="337" spans="1:6" x14ac:dyDescent="0.3">
      <c r="A337" s="131"/>
      <c r="B337" s="131"/>
      <c r="C337" s="131"/>
      <c r="D337" s="131"/>
      <c r="E337" s="131"/>
      <c r="F337" s="131"/>
    </row>
    <row r="338" spans="1:6" x14ac:dyDescent="0.3">
      <c r="A338" s="131"/>
      <c r="B338" s="131"/>
      <c r="C338" s="131"/>
      <c r="D338" s="131"/>
      <c r="E338" s="131"/>
      <c r="F338" s="131"/>
    </row>
    <row r="339" spans="1:6" x14ac:dyDescent="0.3">
      <c r="A339" s="131"/>
      <c r="B339" s="131"/>
      <c r="C339" s="131"/>
      <c r="D339" s="131"/>
      <c r="E339" s="131"/>
      <c r="F339" s="131"/>
    </row>
    <row r="340" spans="1:6" x14ac:dyDescent="0.3">
      <c r="A340" s="131"/>
      <c r="B340" s="131"/>
      <c r="C340" s="131"/>
      <c r="D340" s="131"/>
      <c r="E340" s="131"/>
      <c r="F340" s="131"/>
    </row>
    <row r="341" spans="1:6" x14ac:dyDescent="0.3">
      <c r="A341" s="131"/>
      <c r="B341" s="131"/>
      <c r="C341" s="131"/>
      <c r="D341" s="131"/>
      <c r="E341" s="131"/>
      <c r="F341" s="131"/>
    </row>
    <row r="342" spans="1:6" x14ac:dyDescent="0.3">
      <c r="A342" s="131"/>
      <c r="B342" s="131"/>
      <c r="C342" s="131"/>
      <c r="D342" s="131"/>
      <c r="E342" s="131"/>
      <c r="F342" s="131"/>
    </row>
    <row r="343" spans="1:6" x14ac:dyDescent="0.3">
      <c r="A343" s="131"/>
      <c r="B343" s="131"/>
      <c r="C343" s="131"/>
      <c r="D343" s="131"/>
      <c r="E343" s="131"/>
      <c r="F343" s="131"/>
    </row>
    <row r="344" spans="1:6" x14ac:dyDescent="0.3">
      <c r="A344" s="131"/>
      <c r="B344" s="131"/>
      <c r="C344" s="131"/>
      <c r="D344" s="131"/>
      <c r="E344" s="131"/>
      <c r="F344" s="131"/>
    </row>
    <row r="345" spans="1:6" x14ac:dyDescent="0.3">
      <c r="A345" s="131"/>
      <c r="B345" s="131"/>
      <c r="C345" s="131"/>
      <c r="D345" s="131"/>
      <c r="E345" s="131"/>
      <c r="F345" s="131"/>
    </row>
    <row r="346" spans="1:6" x14ac:dyDescent="0.3">
      <c r="A346" s="131"/>
      <c r="B346" s="131"/>
      <c r="C346" s="131"/>
      <c r="D346" s="131"/>
      <c r="E346" s="131"/>
      <c r="F346" s="131"/>
    </row>
    <row r="347" spans="1:6" x14ac:dyDescent="0.3">
      <c r="A347" s="131"/>
      <c r="B347" s="131"/>
      <c r="C347" s="131"/>
      <c r="D347" s="131"/>
      <c r="E347" s="131"/>
      <c r="F347" s="131"/>
    </row>
    <row r="348" spans="1:6" x14ac:dyDescent="0.3">
      <c r="A348" s="131"/>
      <c r="B348" s="131"/>
      <c r="C348" s="131"/>
      <c r="D348" s="131"/>
      <c r="E348" s="131"/>
      <c r="F348" s="131"/>
    </row>
    <row r="349" spans="1:6" x14ac:dyDescent="0.3">
      <c r="A349" s="131"/>
      <c r="B349" s="131"/>
      <c r="C349" s="131"/>
      <c r="D349" s="131"/>
      <c r="E349" s="131"/>
      <c r="F349" s="131"/>
    </row>
    <row r="350" spans="1:6" x14ac:dyDescent="0.3">
      <c r="A350" s="131"/>
      <c r="B350" s="131"/>
      <c r="C350" s="131"/>
      <c r="D350" s="131"/>
      <c r="E350" s="131"/>
      <c r="F350" s="131"/>
    </row>
    <row r="351" spans="1:6" x14ac:dyDescent="0.3">
      <c r="A351" s="131"/>
      <c r="B351" s="131"/>
      <c r="C351" s="131"/>
      <c r="D351" s="131"/>
      <c r="E351" s="131"/>
      <c r="F351" s="131"/>
    </row>
    <row r="352" spans="1:6" x14ac:dyDescent="0.3">
      <c r="A352" s="131"/>
      <c r="B352" s="131"/>
      <c r="C352" s="131"/>
      <c r="D352" s="131"/>
      <c r="E352" s="131"/>
      <c r="F352" s="131"/>
    </row>
    <row r="353" spans="1:6" x14ac:dyDescent="0.3">
      <c r="A353" s="131"/>
      <c r="B353" s="131"/>
      <c r="C353" s="131"/>
      <c r="D353" s="131"/>
      <c r="E353" s="131"/>
      <c r="F353" s="131"/>
    </row>
    <row r="354" spans="1:6" x14ac:dyDescent="0.3">
      <c r="A354" s="131"/>
      <c r="B354" s="131"/>
      <c r="C354" s="131"/>
      <c r="D354" s="131"/>
      <c r="E354" s="131"/>
      <c r="F354" s="131"/>
    </row>
    <row r="355" spans="1:6" x14ac:dyDescent="0.3">
      <c r="A355" s="131"/>
      <c r="B355" s="131"/>
      <c r="C355" s="131"/>
      <c r="D355" s="131"/>
      <c r="E355" s="131"/>
      <c r="F355" s="131"/>
    </row>
    <row r="356" spans="1:6" x14ac:dyDescent="0.3">
      <c r="A356" s="131"/>
      <c r="B356" s="131"/>
      <c r="C356" s="131"/>
      <c r="D356" s="131"/>
      <c r="E356" s="131"/>
      <c r="F356" s="131"/>
    </row>
    <row r="357" spans="1:6" x14ac:dyDescent="0.3">
      <c r="A357" s="131"/>
      <c r="B357" s="131"/>
      <c r="C357" s="131"/>
      <c r="D357" s="131"/>
      <c r="E357" s="131"/>
      <c r="F357" s="131"/>
    </row>
    <row r="358" spans="1:6" x14ac:dyDescent="0.3">
      <c r="A358" s="131"/>
      <c r="B358" s="131"/>
      <c r="C358" s="131"/>
      <c r="D358" s="131"/>
      <c r="E358" s="131"/>
      <c r="F358" s="131"/>
    </row>
    <row r="359" spans="1:6" x14ac:dyDescent="0.3">
      <c r="A359" s="131"/>
      <c r="B359" s="131"/>
      <c r="C359" s="131"/>
      <c r="D359" s="131"/>
      <c r="E359" s="131"/>
      <c r="F359" s="131"/>
    </row>
    <row r="360" spans="1:6" x14ac:dyDescent="0.3">
      <c r="A360" s="131"/>
      <c r="B360" s="131"/>
      <c r="C360" s="131"/>
      <c r="D360" s="131"/>
      <c r="E360" s="131"/>
      <c r="F360" s="131"/>
    </row>
    <row r="361" spans="1:6" x14ac:dyDescent="0.3">
      <c r="A361" s="131"/>
      <c r="B361" s="131"/>
      <c r="C361" s="131"/>
      <c r="D361" s="131"/>
      <c r="E361" s="131"/>
      <c r="F361" s="131"/>
    </row>
    <row r="362" spans="1:6" x14ac:dyDescent="0.3">
      <c r="A362" s="131"/>
      <c r="B362" s="131"/>
      <c r="C362" s="131"/>
      <c r="D362" s="131"/>
      <c r="E362" s="131"/>
      <c r="F362" s="131"/>
    </row>
    <row r="363" spans="1:6" x14ac:dyDescent="0.3">
      <c r="A363" s="131"/>
      <c r="B363" s="131"/>
      <c r="C363" s="131"/>
      <c r="D363" s="131"/>
      <c r="E363" s="131"/>
      <c r="F363" s="131"/>
    </row>
    <row r="364" spans="1:6" x14ac:dyDescent="0.3">
      <c r="A364" s="131"/>
      <c r="B364" s="131"/>
      <c r="C364" s="131"/>
      <c r="D364" s="131"/>
      <c r="E364" s="131"/>
      <c r="F364" s="131"/>
    </row>
    <row r="365" spans="1:6" x14ac:dyDescent="0.3">
      <c r="A365" s="131"/>
      <c r="B365" s="131"/>
      <c r="C365" s="131"/>
      <c r="D365" s="131"/>
      <c r="E365" s="131"/>
      <c r="F365" s="131"/>
    </row>
    <row r="366" spans="1:6" x14ac:dyDescent="0.3">
      <c r="A366" s="131"/>
      <c r="B366" s="131"/>
      <c r="C366" s="131"/>
      <c r="D366" s="131"/>
      <c r="E366" s="131"/>
      <c r="F366" s="131"/>
    </row>
    <row r="367" spans="1:6" x14ac:dyDescent="0.3">
      <c r="A367" s="131"/>
      <c r="B367" s="131"/>
      <c r="C367" s="131"/>
      <c r="D367" s="131"/>
      <c r="E367" s="131"/>
      <c r="F367" s="131"/>
    </row>
    <row r="368" spans="1:6" x14ac:dyDescent="0.3">
      <c r="A368" s="131"/>
      <c r="B368" s="131"/>
      <c r="C368" s="131"/>
      <c r="D368" s="131"/>
      <c r="E368" s="131"/>
      <c r="F368" s="131"/>
    </row>
    <row r="369" spans="1:6" x14ac:dyDescent="0.3">
      <c r="A369" s="131"/>
      <c r="B369" s="131"/>
      <c r="C369" s="131"/>
      <c r="D369" s="131"/>
      <c r="E369" s="131"/>
      <c r="F369" s="131"/>
    </row>
    <row r="370" spans="1:6" x14ac:dyDescent="0.3">
      <c r="A370" s="131"/>
      <c r="B370" s="131"/>
      <c r="C370" s="131"/>
      <c r="D370" s="131"/>
      <c r="E370" s="131"/>
      <c r="F370" s="131"/>
    </row>
    <row r="371" spans="1:6" x14ac:dyDescent="0.3">
      <c r="A371" s="131"/>
      <c r="B371" s="131"/>
      <c r="C371" s="131"/>
      <c r="D371" s="131"/>
      <c r="E371" s="131"/>
      <c r="F371" s="131"/>
    </row>
    <row r="372" spans="1:6" x14ac:dyDescent="0.3">
      <c r="A372" s="131"/>
      <c r="B372" s="131"/>
      <c r="C372" s="131"/>
      <c r="D372" s="131"/>
      <c r="E372" s="131"/>
      <c r="F372" s="131"/>
    </row>
    <row r="373" spans="1:6" x14ac:dyDescent="0.3">
      <c r="A373" s="131"/>
      <c r="B373" s="131"/>
      <c r="C373" s="131"/>
      <c r="D373" s="131"/>
      <c r="E373" s="131"/>
      <c r="F373" s="131"/>
    </row>
    <row r="374" spans="1:6" x14ac:dyDescent="0.3">
      <c r="A374" s="131"/>
      <c r="B374" s="131"/>
      <c r="C374" s="131"/>
      <c r="D374" s="131"/>
      <c r="E374" s="131"/>
      <c r="F374" s="131"/>
    </row>
    <row r="375" spans="1:6" x14ac:dyDescent="0.3">
      <c r="A375" s="131"/>
      <c r="B375" s="131"/>
      <c r="C375" s="131"/>
      <c r="D375" s="131"/>
      <c r="E375" s="131"/>
      <c r="F375" s="131"/>
    </row>
    <row r="376" spans="1:6" x14ac:dyDescent="0.3">
      <c r="A376" s="131"/>
      <c r="B376" s="131"/>
      <c r="C376" s="131"/>
      <c r="D376" s="131"/>
      <c r="E376" s="131"/>
      <c r="F376" s="131"/>
    </row>
    <row r="377" spans="1:6" x14ac:dyDescent="0.3">
      <c r="A377" s="131"/>
      <c r="B377" s="131"/>
      <c r="C377" s="131"/>
      <c r="D377" s="131"/>
      <c r="E377" s="131"/>
      <c r="F377" s="131"/>
    </row>
    <row r="378" spans="1:6" x14ac:dyDescent="0.3">
      <c r="A378" s="131"/>
      <c r="B378" s="131"/>
      <c r="C378" s="131"/>
      <c r="D378" s="131"/>
      <c r="E378" s="131"/>
      <c r="F378" s="131"/>
    </row>
    <row r="379" spans="1:6" x14ac:dyDescent="0.3">
      <c r="A379" s="131"/>
      <c r="B379" s="131"/>
      <c r="C379" s="131"/>
      <c r="D379" s="131"/>
      <c r="E379" s="131"/>
      <c r="F379" s="131"/>
    </row>
    <row r="380" spans="1:6" x14ac:dyDescent="0.3">
      <c r="A380" s="131"/>
      <c r="B380" s="131"/>
      <c r="C380" s="131"/>
      <c r="D380" s="131"/>
      <c r="E380" s="131"/>
      <c r="F380" s="131"/>
    </row>
    <row r="381" spans="1:6" x14ac:dyDescent="0.3">
      <c r="A381" s="131"/>
      <c r="B381" s="131"/>
      <c r="C381" s="131"/>
      <c r="D381" s="131"/>
      <c r="E381" s="131"/>
      <c r="F381" s="131"/>
    </row>
    <row r="382" spans="1:6" x14ac:dyDescent="0.3">
      <c r="A382" s="131"/>
      <c r="B382" s="131"/>
      <c r="C382" s="131"/>
      <c r="D382" s="131"/>
      <c r="E382" s="131"/>
      <c r="F382" s="131"/>
    </row>
    <row r="383" spans="1:6" x14ac:dyDescent="0.3">
      <c r="A383" s="131"/>
      <c r="B383" s="131"/>
      <c r="C383" s="131"/>
      <c r="D383" s="131"/>
      <c r="E383" s="131"/>
      <c r="F383" s="131"/>
    </row>
    <row r="384" spans="1:6" x14ac:dyDescent="0.3">
      <c r="A384" s="131"/>
      <c r="B384" s="131"/>
      <c r="C384" s="131"/>
      <c r="D384" s="131"/>
      <c r="E384" s="131"/>
      <c r="F384" s="131"/>
    </row>
    <row r="385" spans="1:6" x14ac:dyDescent="0.3">
      <c r="A385" s="131"/>
      <c r="B385" s="131"/>
      <c r="C385" s="131"/>
      <c r="D385" s="131"/>
      <c r="E385" s="131"/>
      <c r="F385" s="131"/>
    </row>
    <row r="386" spans="1:6" x14ac:dyDescent="0.3">
      <c r="A386" s="131"/>
      <c r="B386" s="131"/>
      <c r="C386" s="131"/>
      <c r="D386" s="131"/>
      <c r="E386" s="131"/>
      <c r="F386" s="131"/>
    </row>
    <row r="387" spans="1:6" x14ac:dyDescent="0.3">
      <c r="A387" s="131"/>
      <c r="B387" s="131"/>
      <c r="C387" s="131"/>
      <c r="D387" s="131"/>
      <c r="E387" s="131"/>
      <c r="F387" s="131"/>
    </row>
    <row r="388" spans="1:6" x14ac:dyDescent="0.3">
      <c r="A388" s="131"/>
      <c r="B388" s="131"/>
      <c r="C388" s="131"/>
      <c r="D388" s="131"/>
      <c r="E388" s="131"/>
      <c r="F388" s="131"/>
    </row>
    <row r="389" spans="1:6" x14ac:dyDescent="0.3">
      <c r="A389" s="131"/>
      <c r="B389" s="131"/>
      <c r="C389" s="131"/>
      <c r="D389" s="131"/>
      <c r="E389" s="131"/>
      <c r="F389" s="131"/>
    </row>
    <row r="390" spans="1:6" x14ac:dyDescent="0.3">
      <c r="A390" s="131"/>
      <c r="B390" s="131"/>
      <c r="C390" s="131"/>
      <c r="D390" s="131"/>
      <c r="E390" s="131"/>
      <c r="F390" s="131"/>
    </row>
    <row r="391" spans="1:6" x14ac:dyDescent="0.3">
      <c r="A391" s="131"/>
      <c r="B391" s="131"/>
      <c r="C391" s="131"/>
      <c r="D391" s="131"/>
      <c r="E391" s="131"/>
      <c r="F391" s="131"/>
    </row>
    <row r="392" spans="1:6" x14ac:dyDescent="0.3">
      <c r="A392" s="131"/>
      <c r="B392" s="131"/>
      <c r="C392" s="131"/>
      <c r="D392" s="131"/>
      <c r="E392" s="131"/>
      <c r="F392" s="131"/>
    </row>
    <row r="393" spans="1:6" x14ac:dyDescent="0.3">
      <c r="A393" s="131"/>
      <c r="B393" s="131"/>
      <c r="C393" s="131"/>
      <c r="D393" s="131"/>
      <c r="E393" s="131"/>
      <c r="F393" s="131"/>
    </row>
    <row r="394" spans="1:6" x14ac:dyDescent="0.3">
      <c r="A394" s="131"/>
      <c r="B394" s="131"/>
      <c r="C394" s="131"/>
      <c r="D394" s="131"/>
      <c r="E394" s="131"/>
      <c r="F394" s="131"/>
    </row>
    <row r="395" spans="1:6" x14ac:dyDescent="0.3">
      <c r="A395" s="131"/>
      <c r="B395" s="131"/>
      <c r="C395" s="131"/>
      <c r="D395" s="131"/>
      <c r="E395" s="131"/>
      <c r="F395" s="131"/>
    </row>
    <row r="396" spans="1:6" x14ac:dyDescent="0.3">
      <c r="A396" s="131"/>
      <c r="B396" s="131"/>
      <c r="C396" s="131"/>
      <c r="D396" s="131"/>
      <c r="E396" s="131"/>
      <c r="F396" s="131"/>
    </row>
    <row r="397" spans="1:6" x14ac:dyDescent="0.3">
      <c r="A397" s="131"/>
      <c r="B397" s="131"/>
      <c r="C397" s="131"/>
      <c r="D397" s="131"/>
      <c r="E397" s="131"/>
      <c r="F397" s="131"/>
    </row>
    <row r="398" spans="1:6" x14ac:dyDescent="0.3">
      <c r="A398" s="131"/>
      <c r="B398" s="131"/>
      <c r="C398" s="131"/>
      <c r="D398" s="131"/>
      <c r="E398" s="131"/>
      <c r="F398" s="131"/>
    </row>
    <row r="399" spans="1:6" x14ac:dyDescent="0.3">
      <c r="A399" s="131"/>
      <c r="B399" s="131"/>
      <c r="C399" s="131"/>
      <c r="D399" s="131"/>
      <c r="E399" s="131"/>
      <c r="F399" s="131"/>
    </row>
    <row r="400" spans="1:6" x14ac:dyDescent="0.3">
      <c r="A400" s="131"/>
      <c r="B400" s="131"/>
      <c r="C400" s="131"/>
      <c r="D400" s="131"/>
      <c r="E400" s="131"/>
      <c r="F400" s="131"/>
    </row>
    <row r="401" spans="1:6" x14ac:dyDescent="0.3">
      <c r="A401" s="131"/>
      <c r="B401" s="131"/>
      <c r="C401" s="131"/>
      <c r="D401" s="131"/>
      <c r="E401" s="131"/>
      <c r="F401" s="131"/>
    </row>
    <row r="402" spans="1:6" x14ac:dyDescent="0.3">
      <c r="A402" s="131"/>
      <c r="B402" s="131"/>
      <c r="C402" s="131"/>
      <c r="D402" s="131"/>
      <c r="E402" s="131"/>
      <c r="F402" s="131"/>
    </row>
    <row r="403" spans="1:6" x14ac:dyDescent="0.3">
      <c r="A403" s="131"/>
      <c r="B403" s="131"/>
      <c r="C403" s="131"/>
      <c r="D403" s="131"/>
      <c r="E403" s="131"/>
      <c r="F403" s="131"/>
    </row>
    <row r="404" spans="1:6" x14ac:dyDescent="0.3">
      <c r="A404" s="131"/>
      <c r="B404" s="131"/>
      <c r="C404" s="131"/>
      <c r="D404" s="131"/>
      <c r="E404" s="131"/>
      <c r="F404" s="131"/>
    </row>
    <row r="405" spans="1:6" x14ac:dyDescent="0.3">
      <c r="A405" s="131"/>
      <c r="B405" s="131"/>
      <c r="C405" s="131"/>
      <c r="D405" s="131"/>
      <c r="E405" s="131"/>
      <c r="F405" s="131"/>
    </row>
    <row r="406" spans="1:6" x14ac:dyDescent="0.3">
      <c r="A406" s="131"/>
      <c r="B406" s="131"/>
      <c r="C406" s="131"/>
      <c r="D406" s="131"/>
      <c r="E406" s="131"/>
      <c r="F406" s="131"/>
    </row>
    <row r="407" spans="1:6" x14ac:dyDescent="0.3">
      <c r="A407" s="131"/>
      <c r="B407" s="131"/>
      <c r="C407" s="131"/>
      <c r="D407" s="131"/>
      <c r="E407" s="131"/>
      <c r="F407" s="131"/>
    </row>
    <row r="408" spans="1:6" x14ac:dyDescent="0.3">
      <c r="A408" s="131"/>
      <c r="B408" s="131"/>
      <c r="C408" s="131"/>
      <c r="D408" s="131"/>
      <c r="E408" s="131"/>
      <c r="F408" s="131"/>
    </row>
    <row r="409" spans="1:6" x14ac:dyDescent="0.3">
      <c r="A409" s="131"/>
      <c r="B409" s="131"/>
      <c r="C409" s="131"/>
      <c r="D409" s="131"/>
      <c r="E409" s="131"/>
      <c r="F409" s="131"/>
    </row>
    <row r="410" spans="1:6" x14ac:dyDescent="0.3">
      <c r="A410" s="131"/>
      <c r="B410" s="131"/>
      <c r="C410" s="131"/>
      <c r="D410" s="131"/>
      <c r="E410" s="131"/>
      <c r="F410" s="131"/>
    </row>
    <row r="411" spans="1:6" x14ac:dyDescent="0.3">
      <c r="A411" s="131"/>
      <c r="B411" s="131"/>
      <c r="C411" s="131"/>
      <c r="D411" s="131"/>
      <c r="E411" s="131"/>
      <c r="F411" s="131"/>
    </row>
    <row r="412" spans="1:6" x14ac:dyDescent="0.3">
      <c r="A412" s="131"/>
      <c r="B412" s="131"/>
      <c r="C412" s="131"/>
      <c r="D412" s="131"/>
      <c r="E412" s="131"/>
      <c r="F412" s="131"/>
    </row>
    <row r="413" spans="1:6" x14ac:dyDescent="0.3">
      <c r="A413" s="131"/>
      <c r="B413" s="131"/>
      <c r="C413" s="131"/>
      <c r="D413" s="131"/>
      <c r="E413" s="131"/>
      <c r="F413" s="131"/>
    </row>
    <row r="414" spans="1:6" x14ac:dyDescent="0.3">
      <c r="A414" s="131"/>
      <c r="B414" s="131"/>
      <c r="C414" s="131"/>
      <c r="D414" s="131"/>
      <c r="E414" s="131"/>
      <c r="F414" s="131"/>
    </row>
    <row r="415" spans="1:6" x14ac:dyDescent="0.3">
      <c r="A415" s="131"/>
      <c r="B415" s="131"/>
      <c r="C415" s="131"/>
      <c r="D415" s="131"/>
      <c r="E415" s="131"/>
      <c r="F415" s="131"/>
    </row>
    <row r="416" spans="1:6" x14ac:dyDescent="0.3">
      <c r="A416" s="131"/>
      <c r="B416" s="131"/>
      <c r="C416" s="131"/>
      <c r="D416" s="131"/>
      <c r="E416" s="131"/>
      <c r="F416" s="131"/>
    </row>
    <row r="417" spans="1:6" x14ac:dyDescent="0.3">
      <c r="A417" s="131"/>
      <c r="B417" s="131"/>
      <c r="C417" s="131"/>
      <c r="D417" s="131"/>
      <c r="E417" s="131"/>
      <c r="F417" s="131"/>
    </row>
    <row r="418" spans="1:6" x14ac:dyDescent="0.3">
      <c r="A418" s="131"/>
      <c r="B418" s="131"/>
      <c r="C418" s="131"/>
      <c r="D418" s="131"/>
      <c r="E418" s="131"/>
      <c r="F418" s="131"/>
    </row>
    <row r="419" spans="1:6" x14ac:dyDescent="0.3">
      <c r="A419" s="131"/>
      <c r="B419" s="131"/>
      <c r="C419" s="131"/>
      <c r="D419" s="131"/>
      <c r="E419" s="131"/>
      <c r="F419" s="131"/>
    </row>
    <row r="420" spans="1:6" x14ac:dyDescent="0.3">
      <c r="A420" s="131"/>
      <c r="B420" s="131"/>
      <c r="C420" s="131"/>
      <c r="D420" s="131"/>
      <c r="E420" s="131"/>
      <c r="F420" s="131"/>
    </row>
    <row r="421" spans="1:6" x14ac:dyDescent="0.3">
      <c r="A421" s="131"/>
      <c r="B421" s="131"/>
      <c r="C421" s="131"/>
      <c r="D421" s="131"/>
      <c r="E421" s="131"/>
      <c r="F421" s="131"/>
    </row>
    <row r="422" spans="1:6" x14ac:dyDescent="0.3">
      <c r="A422" s="131"/>
      <c r="B422" s="131"/>
      <c r="C422" s="131"/>
      <c r="D422" s="131"/>
      <c r="E422" s="131"/>
      <c r="F422" s="131"/>
    </row>
    <row r="423" spans="1:6" x14ac:dyDescent="0.3">
      <c r="A423" s="131"/>
      <c r="B423" s="131"/>
      <c r="C423" s="131"/>
      <c r="D423" s="131"/>
      <c r="E423" s="131"/>
      <c r="F423" s="131"/>
    </row>
    <row r="424" spans="1:6" x14ac:dyDescent="0.3">
      <c r="A424" s="131"/>
      <c r="B424" s="131"/>
      <c r="C424" s="131"/>
      <c r="D424" s="131"/>
      <c r="E424" s="131"/>
      <c r="F424" s="131"/>
    </row>
    <row r="425" spans="1:6" x14ac:dyDescent="0.3">
      <c r="A425" s="131"/>
      <c r="B425" s="131"/>
      <c r="C425" s="131"/>
      <c r="D425" s="131"/>
      <c r="E425" s="131"/>
      <c r="F425" s="131"/>
    </row>
    <row r="426" spans="1:6" x14ac:dyDescent="0.3">
      <c r="A426" s="131"/>
      <c r="B426" s="131"/>
      <c r="C426" s="131"/>
      <c r="D426" s="131"/>
      <c r="E426" s="131"/>
      <c r="F426" s="131"/>
    </row>
    <row r="427" spans="1:6" x14ac:dyDescent="0.3">
      <c r="A427" s="131"/>
      <c r="B427" s="131"/>
      <c r="C427" s="131"/>
      <c r="D427" s="131"/>
      <c r="E427" s="131"/>
      <c r="F427" s="131"/>
    </row>
    <row r="428" spans="1:6" x14ac:dyDescent="0.3">
      <c r="A428" s="131"/>
      <c r="B428" s="131"/>
      <c r="C428" s="131"/>
      <c r="D428" s="131"/>
      <c r="E428" s="131"/>
      <c r="F428" s="131"/>
    </row>
    <row r="429" spans="1:6" x14ac:dyDescent="0.3">
      <c r="A429" s="131"/>
      <c r="B429" s="131"/>
      <c r="C429" s="131"/>
      <c r="D429" s="131"/>
      <c r="E429" s="131"/>
      <c r="F429" s="131"/>
    </row>
    <row r="430" spans="1:6" x14ac:dyDescent="0.3">
      <c r="A430" s="131"/>
      <c r="B430" s="131"/>
      <c r="C430" s="131"/>
      <c r="D430" s="131"/>
      <c r="E430" s="131"/>
      <c r="F430" s="131"/>
    </row>
    <row r="431" spans="1:6" x14ac:dyDescent="0.3">
      <c r="A431" s="131"/>
      <c r="B431" s="131"/>
      <c r="C431" s="131"/>
      <c r="D431" s="131"/>
      <c r="E431" s="131"/>
      <c r="F431" s="131"/>
    </row>
    <row r="432" spans="1:6" x14ac:dyDescent="0.3">
      <c r="A432" s="131"/>
      <c r="B432" s="131"/>
      <c r="C432" s="131"/>
      <c r="D432" s="131"/>
      <c r="E432" s="131"/>
      <c r="F432" s="131"/>
    </row>
    <row r="433" spans="1:6" x14ac:dyDescent="0.3">
      <c r="A433" s="131"/>
      <c r="B433" s="131"/>
      <c r="C433" s="131"/>
      <c r="D433" s="131"/>
      <c r="E433" s="131"/>
      <c r="F433" s="131"/>
    </row>
    <row r="434" spans="1:6" x14ac:dyDescent="0.3">
      <c r="A434" s="131"/>
      <c r="B434" s="131"/>
      <c r="C434" s="131"/>
      <c r="D434" s="131"/>
      <c r="E434" s="131"/>
      <c r="F434" s="131"/>
    </row>
    <row r="435" spans="1:6" x14ac:dyDescent="0.3">
      <c r="A435" s="131"/>
      <c r="B435" s="131"/>
      <c r="C435" s="131"/>
      <c r="D435" s="131"/>
      <c r="E435" s="131"/>
      <c r="F435" s="131"/>
    </row>
    <row r="436" spans="1:6" x14ac:dyDescent="0.3">
      <c r="A436" s="131"/>
      <c r="B436" s="131"/>
      <c r="C436" s="131"/>
      <c r="D436" s="131"/>
      <c r="E436" s="131"/>
      <c r="F436" s="131"/>
    </row>
    <row r="437" spans="1:6" x14ac:dyDescent="0.3">
      <c r="A437" s="131"/>
      <c r="B437" s="131"/>
      <c r="C437" s="131"/>
      <c r="D437" s="131"/>
      <c r="E437" s="131"/>
      <c r="F437" s="131"/>
    </row>
    <row r="438" spans="1:6" x14ac:dyDescent="0.3">
      <c r="A438" s="131"/>
      <c r="B438" s="131"/>
      <c r="C438" s="131"/>
      <c r="D438" s="131"/>
      <c r="E438" s="131"/>
      <c r="F438" s="131"/>
    </row>
    <row r="439" spans="1:6" x14ac:dyDescent="0.3">
      <c r="A439" s="131"/>
      <c r="B439" s="131"/>
      <c r="C439" s="131"/>
      <c r="D439" s="131"/>
      <c r="E439" s="131"/>
      <c r="F439" s="131"/>
    </row>
    <row r="440" spans="1:6" x14ac:dyDescent="0.3">
      <c r="A440" s="131"/>
      <c r="B440" s="131"/>
      <c r="C440" s="131"/>
      <c r="D440" s="131"/>
      <c r="E440" s="131"/>
      <c r="F440" s="131"/>
    </row>
    <row r="441" spans="1:6" x14ac:dyDescent="0.3">
      <c r="A441" s="131"/>
      <c r="B441" s="131"/>
      <c r="C441" s="131"/>
      <c r="D441" s="131"/>
      <c r="E441" s="131"/>
      <c r="F441" s="131"/>
    </row>
    <row r="442" spans="1:6" x14ac:dyDescent="0.3">
      <c r="A442" s="131"/>
      <c r="B442" s="131"/>
      <c r="C442" s="131"/>
      <c r="D442" s="131"/>
      <c r="E442" s="131"/>
      <c r="F442" s="131"/>
    </row>
    <row r="443" spans="1:6" x14ac:dyDescent="0.3">
      <c r="A443" s="131"/>
      <c r="B443" s="131"/>
      <c r="C443" s="131"/>
      <c r="D443" s="131"/>
      <c r="E443" s="131"/>
      <c r="F443" s="131"/>
    </row>
    <row r="444" spans="1:6" x14ac:dyDescent="0.3">
      <c r="A444" s="131"/>
      <c r="B444" s="131"/>
      <c r="C444" s="131"/>
      <c r="D444" s="131"/>
      <c r="E444" s="131"/>
      <c r="F444" s="131"/>
    </row>
    <row r="445" spans="1:6" x14ac:dyDescent="0.3">
      <c r="A445" s="131"/>
      <c r="B445" s="131"/>
      <c r="C445" s="131"/>
      <c r="D445" s="131"/>
      <c r="E445" s="131"/>
      <c r="F445" s="131"/>
    </row>
    <row r="446" spans="1:6" x14ac:dyDescent="0.3">
      <c r="A446" s="131"/>
      <c r="B446" s="131"/>
      <c r="C446" s="131"/>
      <c r="D446" s="131"/>
      <c r="E446" s="131"/>
      <c r="F446" s="131"/>
    </row>
    <row r="447" spans="1:6" x14ac:dyDescent="0.3">
      <c r="A447" s="131"/>
      <c r="B447" s="131"/>
      <c r="C447" s="131"/>
      <c r="D447" s="131"/>
      <c r="E447" s="131"/>
      <c r="F447" s="131"/>
    </row>
    <row r="448" spans="1:6" x14ac:dyDescent="0.3">
      <c r="A448" s="131"/>
      <c r="B448" s="131"/>
      <c r="C448" s="131"/>
      <c r="D448" s="131"/>
      <c r="E448" s="131"/>
      <c r="F448" s="131"/>
    </row>
    <row r="449" spans="1:6" x14ac:dyDescent="0.3">
      <c r="A449" s="131"/>
      <c r="B449" s="131"/>
      <c r="C449" s="131"/>
      <c r="D449" s="131"/>
      <c r="E449" s="131"/>
      <c r="F449" s="131"/>
    </row>
    <row r="450" spans="1:6" x14ac:dyDescent="0.3">
      <c r="A450" s="131"/>
      <c r="B450" s="131"/>
      <c r="C450" s="131"/>
      <c r="D450" s="131"/>
      <c r="E450" s="131"/>
      <c r="F450" s="131"/>
    </row>
    <row r="451" spans="1:6" x14ac:dyDescent="0.3">
      <c r="A451" s="131"/>
      <c r="B451" s="131"/>
      <c r="C451" s="131"/>
      <c r="D451" s="131"/>
      <c r="E451" s="131"/>
      <c r="F451" s="131"/>
    </row>
    <row r="452" spans="1:6" x14ac:dyDescent="0.3">
      <c r="A452" s="131"/>
      <c r="B452" s="131"/>
      <c r="C452" s="131"/>
      <c r="D452" s="131"/>
      <c r="E452" s="131"/>
      <c r="F452" s="131"/>
    </row>
    <row r="453" spans="1:6" x14ac:dyDescent="0.3">
      <c r="A453" s="131"/>
      <c r="B453" s="131"/>
      <c r="C453" s="131"/>
      <c r="D453" s="131"/>
      <c r="E453" s="131"/>
      <c r="F453" s="131"/>
    </row>
    <row r="454" spans="1:6" x14ac:dyDescent="0.3">
      <c r="A454" s="131"/>
      <c r="B454" s="131"/>
      <c r="C454" s="131"/>
      <c r="D454" s="131"/>
      <c r="E454" s="131"/>
      <c r="F454" s="131"/>
    </row>
    <row r="455" spans="1:6" x14ac:dyDescent="0.3">
      <c r="A455" s="131"/>
      <c r="B455" s="131"/>
      <c r="C455" s="131"/>
      <c r="D455" s="131"/>
      <c r="E455" s="131"/>
      <c r="F455" s="131"/>
    </row>
    <row r="456" spans="1:6" x14ac:dyDescent="0.3">
      <c r="A456" s="131"/>
      <c r="B456" s="131"/>
      <c r="C456" s="131"/>
      <c r="D456" s="131"/>
      <c r="E456" s="131"/>
      <c r="F456" s="131"/>
    </row>
    <row r="457" spans="1:6" x14ac:dyDescent="0.3">
      <c r="A457" s="131"/>
      <c r="B457" s="131"/>
      <c r="C457" s="131"/>
      <c r="D457" s="131"/>
      <c r="E457" s="131"/>
      <c r="F457" s="131"/>
    </row>
    <row r="458" spans="1:6" x14ac:dyDescent="0.3">
      <c r="A458" s="131"/>
      <c r="B458" s="131"/>
      <c r="C458" s="131"/>
      <c r="D458" s="131"/>
      <c r="E458" s="131"/>
      <c r="F458" s="131"/>
    </row>
    <row r="459" spans="1:6" x14ac:dyDescent="0.3">
      <c r="A459" s="131"/>
      <c r="B459" s="131"/>
      <c r="C459" s="131"/>
      <c r="D459" s="131"/>
      <c r="E459" s="131"/>
      <c r="F459" s="131"/>
    </row>
    <row r="460" spans="1:6" x14ac:dyDescent="0.3">
      <c r="A460" s="131"/>
      <c r="B460" s="131"/>
      <c r="C460" s="131"/>
      <c r="D460" s="131"/>
      <c r="E460" s="131"/>
      <c r="F460" s="131"/>
    </row>
    <row r="461" spans="1:6" x14ac:dyDescent="0.3">
      <c r="A461" s="131"/>
      <c r="B461" s="131"/>
      <c r="C461" s="131"/>
      <c r="D461" s="131"/>
      <c r="E461" s="131"/>
      <c r="F461" s="131"/>
    </row>
    <row r="462" spans="1:6" x14ac:dyDescent="0.3">
      <c r="A462" s="131"/>
      <c r="B462" s="131"/>
      <c r="C462" s="131"/>
      <c r="D462" s="131"/>
      <c r="E462" s="131"/>
      <c r="F462" s="131"/>
    </row>
    <row r="463" spans="1:6" x14ac:dyDescent="0.3">
      <c r="A463" s="131"/>
      <c r="B463" s="131"/>
      <c r="C463" s="131"/>
      <c r="D463" s="131"/>
      <c r="E463" s="131"/>
      <c r="F463" s="131"/>
    </row>
    <row r="464" spans="1:6" x14ac:dyDescent="0.3">
      <c r="A464" s="131"/>
      <c r="B464" s="131"/>
      <c r="C464" s="131"/>
      <c r="D464" s="131"/>
      <c r="E464" s="131"/>
      <c r="F464" s="131"/>
    </row>
    <row r="465" spans="1:6" x14ac:dyDescent="0.3">
      <c r="A465" s="131"/>
      <c r="B465" s="131"/>
      <c r="C465" s="131"/>
      <c r="D465" s="131"/>
      <c r="E465" s="131"/>
      <c r="F465" s="131"/>
    </row>
    <row r="466" spans="1:6" x14ac:dyDescent="0.3">
      <c r="A466" s="131"/>
      <c r="B466" s="131"/>
      <c r="C466" s="131"/>
      <c r="D466" s="131"/>
      <c r="E466" s="131"/>
      <c r="F466" s="131"/>
    </row>
    <row r="467" spans="1:6" x14ac:dyDescent="0.3">
      <c r="A467" s="131"/>
      <c r="B467" s="131"/>
      <c r="C467" s="131"/>
      <c r="D467" s="131"/>
      <c r="E467" s="131"/>
      <c r="F467" s="131"/>
    </row>
    <row r="468" spans="1:6" x14ac:dyDescent="0.3">
      <c r="A468" s="131"/>
      <c r="B468" s="131"/>
      <c r="C468" s="131"/>
      <c r="D468" s="131"/>
      <c r="E468" s="131"/>
      <c r="F468" s="131"/>
    </row>
    <row r="469" spans="1:6" x14ac:dyDescent="0.3">
      <c r="A469" s="131"/>
      <c r="B469" s="131"/>
      <c r="C469" s="131"/>
      <c r="D469" s="131"/>
      <c r="E469" s="131"/>
      <c r="F469" s="131"/>
    </row>
    <row r="470" spans="1:6" x14ac:dyDescent="0.3">
      <c r="A470" s="131"/>
      <c r="B470" s="131"/>
      <c r="C470" s="131"/>
      <c r="D470" s="131"/>
      <c r="E470" s="131"/>
      <c r="F470" s="131"/>
    </row>
    <row r="471" spans="1:6" x14ac:dyDescent="0.3">
      <c r="A471" s="131"/>
      <c r="B471" s="131"/>
      <c r="C471" s="131"/>
      <c r="D471" s="131"/>
      <c r="E471" s="131"/>
      <c r="F471" s="131"/>
    </row>
    <row r="472" spans="1:6" x14ac:dyDescent="0.3">
      <c r="A472" s="131"/>
      <c r="B472" s="131"/>
      <c r="C472" s="131"/>
      <c r="D472" s="131"/>
      <c r="E472" s="131"/>
      <c r="F472" s="131"/>
    </row>
    <row r="473" spans="1:6" x14ac:dyDescent="0.3">
      <c r="A473" s="131"/>
      <c r="B473" s="131"/>
      <c r="C473" s="131"/>
      <c r="D473" s="131"/>
      <c r="E473" s="131"/>
      <c r="F473" s="131"/>
    </row>
    <row r="474" spans="1:6" x14ac:dyDescent="0.3">
      <c r="A474" s="131"/>
      <c r="B474" s="131"/>
      <c r="C474" s="131"/>
      <c r="D474" s="131"/>
      <c r="E474" s="131"/>
      <c r="F474" s="131"/>
    </row>
    <row r="475" spans="1:6" x14ac:dyDescent="0.3">
      <c r="A475" s="131"/>
      <c r="B475" s="131"/>
      <c r="C475" s="131"/>
      <c r="D475" s="131"/>
      <c r="E475" s="131"/>
      <c r="F475" s="131"/>
    </row>
    <row r="476" spans="1:6" x14ac:dyDescent="0.3">
      <c r="A476" s="131"/>
      <c r="B476" s="131"/>
      <c r="C476" s="131"/>
      <c r="D476" s="131"/>
      <c r="E476" s="131"/>
      <c r="F476" s="131"/>
    </row>
    <row r="477" spans="1:6" x14ac:dyDescent="0.3">
      <c r="A477" s="131"/>
      <c r="B477" s="131"/>
      <c r="C477" s="131"/>
      <c r="D477" s="131"/>
      <c r="E477" s="131"/>
      <c r="F477" s="131"/>
    </row>
    <row r="478" spans="1:6" x14ac:dyDescent="0.3">
      <c r="A478" s="131"/>
      <c r="B478" s="131"/>
      <c r="C478" s="131"/>
      <c r="D478" s="131"/>
      <c r="E478" s="131"/>
      <c r="F478" s="131"/>
    </row>
    <row r="479" spans="1:6" x14ac:dyDescent="0.3">
      <c r="A479" s="131"/>
      <c r="B479" s="131"/>
      <c r="C479" s="131"/>
      <c r="D479" s="131"/>
      <c r="E479" s="131"/>
      <c r="F479" s="131"/>
    </row>
    <row r="480" spans="1:6" x14ac:dyDescent="0.3">
      <c r="A480" s="131"/>
      <c r="B480" s="131"/>
      <c r="C480" s="131"/>
      <c r="D480" s="131"/>
      <c r="E480" s="131"/>
      <c r="F480" s="131"/>
    </row>
    <row r="481" spans="1:6" x14ac:dyDescent="0.3">
      <c r="A481" s="131"/>
      <c r="B481" s="131"/>
      <c r="C481" s="131"/>
      <c r="D481" s="131"/>
      <c r="E481" s="131"/>
      <c r="F481" s="131"/>
    </row>
    <row r="482" spans="1:6" x14ac:dyDescent="0.3">
      <c r="A482" s="131"/>
      <c r="B482" s="131"/>
      <c r="C482" s="131"/>
      <c r="D482" s="131"/>
      <c r="E482" s="131"/>
      <c r="F482" s="131"/>
    </row>
    <row r="483" spans="1:6" x14ac:dyDescent="0.3">
      <c r="A483" s="131"/>
      <c r="B483" s="131"/>
      <c r="C483" s="131"/>
      <c r="D483" s="131"/>
      <c r="E483" s="131"/>
      <c r="F483" s="131"/>
    </row>
    <row r="484" spans="1:6" x14ac:dyDescent="0.3">
      <c r="A484" s="131"/>
      <c r="B484" s="131"/>
      <c r="C484" s="131"/>
      <c r="D484" s="131"/>
      <c r="E484" s="131"/>
      <c r="F484" s="131"/>
    </row>
    <row r="485" spans="1:6" x14ac:dyDescent="0.3">
      <c r="A485" s="131"/>
      <c r="B485" s="131"/>
      <c r="C485" s="131"/>
      <c r="D485" s="131"/>
      <c r="E485" s="131"/>
      <c r="F485" s="131"/>
    </row>
    <row r="486" spans="1:6" x14ac:dyDescent="0.3">
      <c r="A486" s="131"/>
      <c r="B486" s="131"/>
      <c r="C486" s="131"/>
      <c r="D486" s="131"/>
      <c r="E486" s="131"/>
      <c r="F486" s="131"/>
    </row>
    <row r="487" spans="1:6" x14ac:dyDescent="0.3">
      <c r="A487" s="131"/>
      <c r="B487" s="131"/>
      <c r="C487" s="131"/>
      <c r="D487" s="131"/>
      <c r="E487" s="131"/>
      <c r="F487" s="131"/>
    </row>
    <row r="488" spans="1:6" x14ac:dyDescent="0.3">
      <c r="A488" s="131"/>
      <c r="B488" s="131"/>
      <c r="C488" s="131"/>
      <c r="D488" s="131"/>
      <c r="E488" s="131"/>
      <c r="F488" s="131"/>
    </row>
    <row r="489" spans="1:6" x14ac:dyDescent="0.3">
      <c r="A489" s="131"/>
      <c r="B489" s="131"/>
      <c r="C489" s="131"/>
      <c r="D489" s="131"/>
      <c r="E489" s="131"/>
      <c r="F489" s="131"/>
    </row>
    <row r="490" spans="1:6" x14ac:dyDescent="0.3">
      <c r="A490" s="131"/>
      <c r="B490" s="131"/>
      <c r="C490" s="131"/>
      <c r="D490" s="131"/>
      <c r="E490" s="131"/>
      <c r="F490" s="131"/>
    </row>
    <row r="491" spans="1:6" x14ac:dyDescent="0.3">
      <c r="A491" s="131"/>
      <c r="B491" s="131"/>
      <c r="C491" s="131"/>
      <c r="D491" s="131"/>
      <c r="E491" s="131"/>
      <c r="F491" s="131"/>
    </row>
    <row r="492" spans="1:6" x14ac:dyDescent="0.3">
      <c r="A492" s="131"/>
      <c r="B492" s="131"/>
      <c r="C492" s="131"/>
      <c r="D492" s="131"/>
      <c r="E492" s="131"/>
      <c r="F492" s="131"/>
    </row>
    <row r="493" spans="1:6" x14ac:dyDescent="0.3">
      <c r="A493" s="131"/>
      <c r="B493" s="131"/>
      <c r="C493" s="131"/>
      <c r="D493" s="131"/>
      <c r="E493" s="131"/>
      <c r="F493" s="131"/>
    </row>
    <row r="494" spans="1:6" x14ac:dyDescent="0.3">
      <c r="A494" s="131"/>
      <c r="B494" s="131"/>
      <c r="C494" s="131"/>
      <c r="D494" s="131"/>
      <c r="E494" s="131"/>
      <c r="F494" s="131"/>
    </row>
    <row r="495" spans="1:6" x14ac:dyDescent="0.3">
      <c r="A495" s="131"/>
      <c r="B495" s="131"/>
      <c r="C495" s="131"/>
      <c r="D495" s="131"/>
      <c r="E495" s="131"/>
      <c r="F495" s="131"/>
    </row>
    <row r="496" spans="1:6" x14ac:dyDescent="0.3">
      <c r="A496" s="131"/>
      <c r="B496" s="131"/>
      <c r="C496" s="131"/>
      <c r="D496" s="131"/>
      <c r="E496" s="131"/>
      <c r="F496" s="131"/>
    </row>
    <row r="497" spans="1:6" x14ac:dyDescent="0.3">
      <c r="A497" s="131"/>
      <c r="B497" s="131"/>
      <c r="C497" s="131"/>
      <c r="D497" s="131"/>
      <c r="E497" s="131"/>
      <c r="F497" s="131"/>
    </row>
    <row r="498" spans="1:6" x14ac:dyDescent="0.3">
      <c r="A498" s="131"/>
      <c r="B498" s="131"/>
      <c r="C498" s="131"/>
      <c r="D498" s="131"/>
      <c r="E498" s="131"/>
      <c r="F498" s="131"/>
    </row>
    <row r="499" spans="1:6" x14ac:dyDescent="0.3">
      <c r="A499" s="131"/>
      <c r="B499" s="131"/>
      <c r="C499" s="131"/>
      <c r="D499" s="131"/>
      <c r="E499" s="131"/>
      <c r="F499" s="131"/>
    </row>
    <row r="500" spans="1:6" x14ac:dyDescent="0.3">
      <c r="A500" s="131"/>
      <c r="B500" s="131"/>
      <c r="C500" s="131"/>
      <c r="D500" s="131"/>
      <c r="E500" s="131"/>
      <c r="F500" s="131"/>
    </row>
    <row r="501" spans="1:6" x14ac:dyDescent="0.3">
      <c r="A501" s="131"/>
      <c r="B501" s="131"/>
      <c r="C501" s="131"/>
      <c r="D501" s="131"/>
      <c r="E501" s="131"/>
      <c r="F501" s="131"/>
    </row>
    <row r="502" spans="1:6" x14ac:dyDescent="0.3">
      <c r="A502" s="131"/>
      <c r="B502" s="131"/>
      <c r="C502" s="131"/>
      <c r="D502" s="131"/>
      <c r="E502" s="131"/>
      <c r="F502" s="131"/>
    </row>
    <row r="503" spans="1:6" x14ac:dyDescent="0.3">
      <c r="A503" s="131"/>
      <c r="B503" s="131"/>
      <c r="C503" s="131"/>
      <c r="D503" s="131"/>
      <c r="E503" s="131"/>
      <c r="F503" s="131"/>
    </row>
    <row r="504" spans="1:6" x14ac:dyDescent="0.3">
      <c r="A504" s="131"/>
      <c r="B504" s="131"/>
      <c r="C504" s="131"/>
      <c r="D504" s="131"/>
      <c r="E504" s="131"/>
      <c r="F504" s="131"/>
    </row>
    <row r="505" spans="1:6" x14ac:dyDescent="0.3">
      <c r="A505" s="131"/>
      <c r="B505" s="131"/>
      <c r="C505" s="131"/>
      <c r="D505" s="131"/>
      <c r="E505" s="131"/>
      <c r="F505" s="131"/>
    </row>
    <row r="506" spans="1:6" x14ac:dyDescent="0.3">
      <c r="A506" s="131"/>
      <c r="B506" s="131"/>
      <c r="C506" s="131"/>
      <c r="D506" s="131"/>
      <c r="E506" s="131"/>
      <c r="F506" s="131"/>
    </row>
    <row r="507" spans="1:6" x14ac:dyDescent="0.3">
      <c r="A507" s="131"/>
      <c r="B507" s="131"/>
      <c r="C507" s="131"/>
      <c r="D507" s="131"/>
      <c r="E507" s="131"/>
      <c r="F507" s="131"/>
    </row>
    <row r="508" spans="1:6" x14ac:dyDescent="0.3">
      <c r="A508" s="131"/>
      <c r="B508" s="131"/>
      <c r="C508" s="131"/>
      <c r="D508" s="131"/>
      <c r="E508" s="131"/>
      <c r="F508" s="131"/>
    </row>
    <row r="509" spans="1:6" x14ac:dyDescent="0.3">
      <c r="A509" s="131"/>
      <c r="B509" s="131"/>
      <c r="C509" s="131"/>
      <c r="D509" s="131"/>
      <c r="E509" s="131"/>
      <c r="F509" s="131"/>
    </row>
    <row r="510" spans="1:6" x14ac:dyDescent="0.3">
      <c r="A510" s="131"/>
      <c r="B510" s="131"/>
      <c r="C510" s="131"/>
      <c r="D510" s="131"/>
      <c r="E510" s="131"/>
      <c r="F510" s="131"/>
    </row>
    <row r="511" spans="1:6" x14ac:dyDescent="0.3">
      <c r="A511" s="131"/>
      <c r="B511" s="131"/>
      <c r="C511" s="131"/>
      <c r="D511" s="131"/>
      <c r="E511" s="131"/>
      <c r="F511" s="131"/>
    </row>
    <row r="512" spans="1:6" x14ac:dyDescent="0.3">
      <c r="A512" s="131"/>
      <c r="B512" s="131"/>
      <c r="C512" s="131"/>
      <c r="D512" s="131"/>
      <c r="E512" s="131"/>
      <c r="F512" s="131"/>
    </row>
    <row r="513" spans="1:6" x14ac:dyDescent="0.3">
      <c r="A513" s="131"/>
      <c r="B513" s="131"/>
      <c r="C513" s="131"/>
      <c r="D513" s="131"/>
      <c r="E513" s="131"/>
      <c r="F513" s="131"/>
    </row>
    <row r="514" spans="1:6" x14ac:dyDescent="0.3">
      <c r="A514" s="131"/>
      <c r="B514" s="131"/>
      <c r="C514" s="131"/>
      <c r="D514" s="131"/>
      <c r="E514" s="131"/>
      <c r="F514" s="131"/>
    </row>
    <row r="515" spans="1:6" x14ac:dyDescent="0.3">
      <c r="A515" s="131"/>
      <c r="B515" s="131"/>
      <c r="C515" s="131"/>
      <c r="D515" s="131"/>
      <c r="E515" s="131"/>
      <c r="F515" s="131"/>
    </row>
    <row r="516" spans="1:6" x14ac:dyDescent="0.3">
      <c r="A516" s="131"/>
      <c r="B516" s="131"/>
      <c r="C516" s="131"/>
      <c r="D516" s="131"/>
      <c r="E516" s="131"/>
      <c r="F516" s="131"/>
    </row>
    <row r="517" spans="1:6" x14ac:dyDescent="0.3">
      <c r="A517" s="131"/>
      <c r="B517" s="131"/>
      <c r="C517" s="131"/>
      <c r="D517" s="131"/>
      <c r="E517" s="131"/>
      <c r="F517" s="131"/>
    </row>
    <row r="518" spans="1:6" x14ac:dyDescent="0.3">
      <c r="A518" s="131"/>
      <c r="B518" s="131"/>
      <c r="C518" s="131"/>
      <c r="D518" s="131"/>
      <c r="E518" s="131"/>
      <c r="F518" s="131"/>
    </row>
    <row r="519" spans="1:6" x14ac:dyDescent="0.3">
      <c r="A519" s="131"/>
      <c r="B519" s="131"/>
      <c r="C519" s="131"/>
      <c r="D519" s="131"/>
      <c r="E519" s="131"/>
      <c r="F519" s="131"/>
    </row>
    <row r="520" spans="1:6" x14ac:dyDescent="0.3">
      <c r="A520" s="131"/>
      <c r="B520" s="131"/>
      <c r="C520" s="131"/>
      <c r="D520" s="131"/>
      <c r="E520" s="131"/>
      <c r="F520" s="131"/>
    </row>
    <row r="521" spans="1:6" x14ac:dyDescent="0.3">
      <c r="A521" s="131"/>
      <c r="B521" s="131"/>
      <c r="C521" s="131"/>
      <c r="D521" s="131"/>
      <c r="E521" s="131"/>
      <c r="F521" s="131"/>
    </row>
    <row r="522" spans="1:6" x14ac:dyDescent="0.3">
      <c r="A522" s="131"/>
      <c r="B522" s="131"/>
      <c r="C522" s="131"/>
      <c r="D522" s="131"/>
      <c r="E522" s="131"/>
      <c r="F522" s="131"/>
    </row>
    <row r="523" spans="1:6" x14ac:dyDescent="0.3">
      <c r="A523" s="131"/>
      <c r="B523" s="131"/>
      <c r="C523" s="131"/>
      <c r="D523" s="131"/>
      <c r="E523" s="131"/>
      <c r="F523" s="131"/>
    </row>
    <row r="524" spans="1:6" x14ac:dyDescent="0.3">
      <c r="A524" s="131"/>
      <c r="B524" s="131"/>
      <c r="C524" s="131"/>
      <c r="D524" s="131"/>
      <c r="E524" s="131"/>
      <c r="F524" s="131"/>
    </row>
    <row r="525" spans="1:6" x14ac:dyDescent="0.3">
      <c r="A525" s="131"/>
      <c r="B525" s="131"/>
      <c r="C525" s="131"/>
      <c r="D525" s="131"/>
      <c r="E525" s="131"/>
      <c r="F525" s="131"/>
    </row>
    <row r="526" spans="1:6" x14ac:dyDescent="0.3">
      <c r="A526" s="131"/>
      <c r="B526" s="131"/>
      <c r="C526" s="131"/>
      <c r="D526" s="131"/>
      <c r="E526" s="131"/>
      <c r="F526" s="131"/>
    </row>
    <row r="527" spans="1:6" x14ac:dyDescent="0.3">
      <c r="A527" s="131"/>
      <c r="B527" s="131"/>
      <c r="C527" s="131"/>
      <c r="D527" s="131"/>
      <c r="E527" s="131"/>
      <c r="F527" s="131"/>
    </row>
    <row r="528" spans="1:6" x14ac:dyDescent="0.3">
      <c r="A528" s="131"/>
      <c r="B528" s="131"/>
      <c r="C528" s="131"/>
      <c r="D528" s="131"/>
      <c r="E528" s="131"/>
      <c r="F528" s="131"/>
    </row>
    <row r="529" spans="1:6" x14ac:dyDescent="0.3">
      <c r="A529" s="131"/>
      <c r="B529" s="131"/>
      <c r="C529" s="131"/>
      <c r="D529" s="131"/>
      <c r="E529" s="131"/>
      <c r="F529" s="131"/>
    </row>
    <row r="530" spans="1:6" x14ac:dyDescent="0.3">
      <c r="A530" s="131"/>
      <c r="B530" s="131"/>
      <c r="C530" s="131"/>
      <c r="D530" s="131"/>
      <c r="E530" s="131"/>
      <c r="F530" s="131"/>
    </row>
    <row r="531" spans="1:6" x14ac:dyDescent="0.3">
      <c r="A531" s="131"/>
      <c r="B531" s="131"/>
      <c r="C531" s="131"/>
      <c r="D531" s="131"/>
      <c r="E531" s="131"/>
      <c r="F531" s="131"/>
    </row>
    <row r="532" spans="1:6" x14ac:dyDescent="0.3">
      <c r="A532" s="131"/>
      <c r="B532" s="131"/>
      <c r="C532" s="131"/>
      <c r="D532" s="131"/>
      <c r="E532" s="131"/>
      <c r="F532" s="131"/>
    </row>
    <row r="533" spans="1:6" x14ac:dyDescent="0.3">
      <c r="A533" s="131"/>
      <c r="B533" s="131"/>
      <c r="C533" s="131"/>
      <c r="D533" s="131"/>
      <c r="E533" s="131"/>
      <c r="F533" s="131"/>
    </row>
    <row r="534" spans="1:6" x14ac:dyDescent="0.3">
      <c r="A534" s="131"/>
      <c r="B534" s="131"/>
      <c r="C534" s="131"/>
      <c r="D534" s="131"/>
      <c r="E534" s="131"/>
      <c r="F534" s="131"/>
    </row>
    <row r="535" spans="1:6" x14ac:dyDescent="0.3">
      <c r="A535" s="131"/>
      <c r="B535" s="131"/>
      <c r="C535" s="131"/>
      <c r="D535" s="131"/>
      <c r="E535" s="131"/>
      <c r="F535" s="131"/>
    </row>
    <row r="536" spans="1:6" x14ac:dyDescent="0.3">
      <c r="A536" s="131"/>
      <c r="B536" s="131"/>
      <c r="C536" s="131"/>
      <c r="D536" s="131"/>
      <c r="E536" s="131"/>
      <c r="F536" s="131"/>
    </row>
    <row r="537" spans="1:6" x14ac:dyDescent="0.3">
      <c r="A537" s="131"/>
      <c r="B537" s="131"/>
      <c r="C537" s="131"/>
      <c r="D537" s="131"/>
      <c r="E537" s="131"/>
      <c r="F537" s="131"/>
    </row>
    <row r="538" spans="1:6" x14ac:dyDescent="0.3">
      <c r="A538" s="131"/>
      <c r="B538" s="131"/>
      <c r="C538" s="131"/>
      <c r="D538" s="131"/>
      <c r="E538" s="131"/>
      <c r="F538" s="131"/>
    </row>
    <row r="539" spans="1:6" x14ac:dyDescent="0.3">
      <c r="A539" s="131"/>
      <c r="B539" s="131"/>
      <c r="C539" s="131"/>
      <c r="D539" s="131"/>
      <c r="E539" s="131"/>
      <c r="F539" s="131"/>
    </row>
    <row r="540" spans="1:6" x14ac:dyDescent="0.3">
      <c r="A540" s="131"/>
      <c r="B540" s="131"/>
      <c r="C540" s="131"/>
      <c r="D540" s="131"/>
      <c r="E540" s="131"/>
      <c r="F540" s="131"/>
    </row>
    <row r="541" spans="1:6" x14ac:dyDescent="0.3">
      <c r="A541" s="131"/>
      <c r="B541" s="131"/>
      <c r="C541" s="131"/>
      <c r="D541" s="131"/>
      <c r="E541" s="131"/>
      <c r="F541" s="131"/>
    </row>
    <row r="542" spans="1:6" x14ac:dyDescent="0.3">
      <c r="A542" s="131"/>
      <c r="B542" s="131"/>
      <c r="C542" s="131"/>
      <c r="D542" s="131"/>
      <c r="E542" s="131"/>
      <c r="F542" s="131"/>
    </row>
    <row r="543" spans="1:6" x14ac:dyDescent="0.3">
      <c r="A543" s="131"/>
      <c r="B543" s="131"/>
      <c r="C543" s="131"/>
      <c r="D543" s="131"/>
      <c r="E543" s="131"/>
      <c r="F543" s="131"/>
    </row>
    <row r="544" spans="1:6" x14ac:dyDescent="0.3">
      <c r="A544" s="131"/>
      <c r="B544" s="131"/>
      <c r="C544" s="131"/>
      <c r="D544" s="131"/>
      <c r="E544" s="131"/>
      <c r="F544" s="131"/>
    </row>
    <row r="545" spans="1:6" x14ac:dyDescent="0.3">
      <c r="A545" s="131"/>
      <c r="B545" s="131"/>
      <c r="C545" s="131"/>
      <c r="D545" s="131"/>
      <c r="E545" s="131"/>
      <c r="F545" s="131"/>
    </row>
    <row r="546" spans="1:6" x14ac:dyDescent="0.3">
      <c r="A546" s="131"/>
      <c r="B546" s="131"/>
      <c r="C546" s="131"/>
      <c r="D546" s="131"/>
      <c r="E546" s="131"/>
      <c r="F546" s="131"/>
    </row>
    <row r="547" spans="1:6" x14ac:dyDescent="0.3">
      <c r="A547" s="131"/>
      <c r="B547" s="131"/>
      <c r="C547" s="131"/>
      <c r="D547" s="131"/>
      <c r="E547" s="131"/>
      <c r="F547" s="131"/>
    </row>
    <row r="548" spans="1:6" x14ac:dyDescent="0.3">
      <c r="A548" s="131"/>
      <c r="B548" s="131"/>
      <c r="C548" s="131"/>
      <c r="D548" s="131"/>
      <c r="E548" s="131"/>
      <c r="F548" s="131"/>
    </row>
    <row r="549" spans="1:6" x14ac:dyDescent="0.3">
      <c r="A549" s="131"/>
      <c r="B549" s="131"/>
      <c r="C549" s="131"/>
      <c r="D549" s="131"/>
      <c r="E549" s="131"/>
      <c r="F549" s="131"/>
    </row>
    <row r="550" spans="1:6" x14ac:dyDescent="0.3">
      <c r="A550" s="131"/>
      <c r="B550" s="131"/>
      <c r="C550" s="131"/>
      <c r="D550" s="131"/>
      <c r="E550" s="131"/>
      <c r="F550" s="131"/>
    </row>
    <row r="551" spans="1:6" x14ac:dyDescent="0.3">
      <c r="A551" s="131"/>
      <c r="B551" s="131"/>
      <c r="C551" s="131"/>
      <c r="D551" s="131"/>
      <c r="E551" s="131"/>
      <c r="F551" s="131"/>
    </row>
    <row r="552" spans="1:6" x14ac:dyDescent="0.3">
      <c r="A552" s="131"/>
      <c r="B552" s="131"/>
      <c r="C552" s="131"/>
      <c r="D552" s="131"/>
      <c r="E552" s="131"/>
      <c r="F552" s="131"/>
    </row>
    <row r="553" spans="1:6" x14ac:dyDescent="0.3">
      <c r="A553" s="131"/>
      <c r="B553" s="131"/>
      <c r="C553" s="131"/>
      <c r="D553" s="131"/>
      <c r="E553" s="131"/>
      <c r="F553" s="131"/>
    </row>
    <row r="554" spans="1:6" x14ac:dyDescent="0.3">
      <c r="A554" s="131"/>
      <c r="B554" s="131"/>
      <c r="C554" s="131"/>
      <c r="D554" s="131"/>
      <c r="E554" s="131"/>
      <c r="F554" s="131"/>
    </row>
    <row r="555" spans="1:6" x14ac:dyDescent="0.3">
      <c r="A555" s="131"/>
      <c r="B555" s="131"/>
      <c r="C555" s="131"/>
      <c r="D555" s="131"/>
      <c r="E555" s="131"/>
      <c r="F555" s="131"/>
    </row>
    <row r="556" spans="1:6" x14ac:dyDescent="0.3">
      <c r="A556" s="131"/>
      <c r="B556" s="131"/>
      <c r="C556" s="131"/>
      <c r="D556" s="131"/>
      <c r="E556" s="131"/>
      <c r="F556" s="131"/>
    </row>
    <row r="557" spans="1:6" x14ac:dyDescent="0.3">
      <c r="A557" s="131"/>
      <c r="B557" s="131"/>
      <c r="C557" s="131"/>
      <c r="D557" s="131"/>
      <c r="E557" s="131"/>
      <c r="F557" s="131"/>
    </row>
    <row r="558" spans="1:6" x14ac:dyDescent="0.3">
      <c r="A558" s="131"/>
      <c r="B558" s="131"/>
      <c r="C558" s="131"/>
      <c r="D558" s="131"/>
      <c r="E558" s="131"/>
      <c r="F558" s="131"/>
    </row>
    <row r="559" spans="1:6" x14ac:dyDescent="0.3">
      <c r="A559" s="131"/>
      <c r="B559" s="131"/>
      <c r="C559" s="131"/>
      <c r="D559" s="131"/>
      <c r="E559" s="131"/>
      <c r="F559" s="131"/>
    </row>
    <row r="560" spans="1:6" x14ac:dyDescent="0.3">
      <c r="A560" s="131"/>
      <c r="B560" s="131"/>
      <c r="C560" s="131"/>
      <c r="D560" s="131"/>
      <c r="E560" s="131"/>
      <c r="F560" s="131"/>
    </row>
    <row r="561" spans="1:6" x14ac:dyDescent="0.3">
      <c r="A561" s="131"/>
      <c r="B561" s="131"/>
      <c r="C561" s="131"/>
      <c r="D561" s="131"/>
      <c r="E561" s="131"/>
      <c r="F561" s="131"/>
    </row>
    <row r="562" spans="1:6" x14ac:dyDescent="0.3">
      <c r="A562" s="131"/>
      <c r="B562" s="131"/>
      <c r="C562" s="131"/>
      <c r="D562" s="131"/>
      <c r="E562" s="131"/>
      <c r="F562" s="131"/>
    </row>
    <row r="563" spans="1:6" x14ac:dyDescent="0.3">
      <c r="A563" s="131"/>
      <c r="B563" s="131"/>
      <c r="C563" s="131"/>
      <c r="D563" s="131"/>
      <c r="E563" s="131"/>
      <c r="F563" s="131"/>
    </row>
    <row r="564" spans="1:6" x14ac:dyDescent="0.3">
      <c r="A564" s="131"/>
      <c r="B564" s="131"/>
      <c r="C564" s="131"/>
      <c r="D564" s="131"/>
      <c r="E564" s="131"/>
      <c r="F564" s="131"/>
    </row>
    <row r="565" spans="1:6" x14ac:dyDescent="0.3">
      <c r="A565" s="131"/>
      <c r="B565" s="131"/>
      <c r="C565" s="131"/>
      <c r="D565" s="131"/>
      <c r="E565" s="131"/>
      <c r="F565" s="131"/>
    </row>
    <row r="566" spans="1:6" x14ac:dyDescent="0.3">
      <c r="A566" s="131"/>
      <c r="B566" s="131"/>
      <c r="C566" s="131"/>
      <c r="D566" s="131"/>
      <c r="E566" s="131"/>
      <c r="F566" s="131"/>
    </row>
    <row r="567" spans="1:6" x14ac:dyDescent="0.3">
      <c r="A567" s="131"/>
      <c r="B567" s="131"/>
      <c r="C567" s="131"/>
      <c r="D567" s="131"/>
      <c r="E567" s="131"/>
      <c r="F567" s="131"/>
    </row>
    <row r="568" spans="1:6" x14ac:dyDescent="0.3">
      <c r="A568" s="131"/>
      <c r="B568" s="131"/>
      <c r="C568" s="131"/>
      <c r="D568" s="131"/>
      <c r="E568" s="131"/>
      <c r="F568" s="131"/>
    </row>
    <row r="569" spans="1:6" x14ac:dyDescent="0.3">
      <c r="A569" s="131"/>
      <c r="B569" s="131"/>
      <c r="C569" s="131"/>
      <c r="D569" s="131"/>
      <c r="E569" s="131"/>
      <c r="F569" s="131"/>
    </row>
    <row r="570" spans="1:6" x14ac:dyDescent="0.3">
      <c r="A570" s="131"/>
      <c r="B570" s="131"/>
      <c r="C570" s="131"/>
      <c r="D570" s="131"/>
      <c r="E570" s="131"/>
      <c r="F570" s="131"/>
    </row>
    <row r="571" spans="1:6" x14ac:dyDescent="0.3">
      <c r="A571" s="131"/>
      <c r="B571" s="131"/>
      <c r="C571" s="131"/>
      <c r="D571" s="131"/>
      <c r="E571" s="131"/>
      <c r="F571" s="131"/>
    </row>
    <row r="572" spans="1:6" x14ac:dyDescent="0.3">
      <c r="A572" s="131"/>
      <c r="B572" s="131"/>
      <c r="C572" s="131"/>
      <c r="D572" s="131"/>
      <c r="E572" s="131"/>
      <c r="F572" s="131"/>
    </row>
    <row r="573" spans="1:6" x14ac:dyDescent="0.3">
      <c r="A573" s="131"/>
      <c r="B573" s="131"/>
      <c r="C573" s="131"/>
      <c r="D573" s="131"/>
      <c r="E573" s="131"/>
      <c r="F573" s="131"/>
    </row>
    <row r="574" spans="1:6" x14ac:dyDescent="0.3">
      <c r="A574" s="131"/>
      <c r="B574" s="131"/>
      <c r="C574" s="131"/>
      <c r="D574" s="131"/>
      <c r="E574" s="131"/>
      <c r="F574" s="131"/>
    </row>
    <row r="575" spans="1:6" x14ac:dyDescent="0.3">
      <c r="A575" s="131"/>
      <c r="B575" s="131"/>
      <c r="C575" s="131"/>
      <c r="D575" s="131"/>
      <c r="E575" s="131"/>
      <c r="F575" s="131"/>
    </row>
    <row r="576" spans="1:6" x14ac:dyDescent="0.3">
      <c r="A576" s="131"/>
      <c r="B576" s="131"/>
      <c r="C576" s="131"/>
      <c r="D576" s="131"/>
      <c r="E576" s="131"/>
      <c r="F576" s="131"/>
    </row>
    <row r="577" spans="1:6" x14ac:dyDescent="0.3">
      <c r="A577" s="131"/>
      <c r="B577" s="131"/>
      <c r="C577" s="131"/>
      <c r="D577" s="131"/>
      <c r="E577" s="131"/>
      <c r="F577" s="131"/>
    </row>
    <row r="578" spans="1:6" x14ac:dyDescent="0.3">
      <c r="A578" s="131"/>
      <c r="B578" s="131"/>
      <c r="C578" s="131"/>
      <c r="D578" s="131"/>
      <c r="E578" s="131"/>
      <c r="F578" s="131"/>
    </row>
    <row r="579" spans="1:6" x14ac:dyDescent="0.3">
      <c r="A579" s="131"/>
      <c r="B579" s="131"/>
      <c r="C579" s="131"/>
      <c r="D579" s="131"/>
      <c r="E579" s="131"/>
      <c r="F579" s="131"/>
    </row>
    <row r="580" spans="1:6" x14ac:dyDescent="0.3">
      <c r="A580" s="131"/>
      <c r="B580" s="131"/>
      <c r="C580" s="131"/>
      <c r="D580" s="131"/>
      <c r="E580" s="131"/>
      <c r="F580" s="131"/>
    </row>
    <row r="581" spans="1:6" x14ac:dyDescent="0.3">
      <c r="A581" s="131"/>
      <c r="B581" s="131"/>
      <c r="C581" s="131"/>
      <c r="D581" s="131"/>
      <c r="E581" s="131"/>
      <c r="F581" s="131"/>
    </row>
    <row r="582" spans="1:6" x14ac:dyDescent="0.3">
      <c r="A582" s="131"/>
      <c r="B582" s="131"/>
      <c r="C582" s="131"/>
      <c r="D582" s="131"/>
      <c r="E582" s="131"/>
      <c r="F582" s="131"/>
    </row>
    <row r="583" spans="1:6" x14ac:dyDescent="0.3">
      <c r="A583" s="131"/>
      <c r="B583" s="131"/>
      <c r="C583" s="131"/>
      <c r="D583" s="131"/>
      <c r="E583" s="131"/>
      <c r="F583" s="131"/>
    </row>
    <row r="584" spans="1:6" x14ac:dyDescent="0.3">
      <c r="A584" s="131"/>
      <c r="B584" s="131"/>
      <c r="C584" s="131"/>
      <c r="D584" s="131"/>
      <c r="E584" s="131"/>
      <c r="F584" s="131"/>
    </row>
    <row r="585" spans="1:6" x14ac:dyDescent="0.3">
      <c r="A585" s="131"/>
      <c r="B585" s="131"/>
      <c r="C585" s="131"/>
      <c r="D585" s="131"/>
      <c r="E585" s="131"/>
      <c r="F585" s="131"/>
    </row>
    <row r="586" spans="1:6" x14ac:dyDescent="0.3">
      <c r="A586" s="131"/>
      <c r="B586" s="131"/>
      <c r="C586" s="131"/>
      <c r="D586" s="131"/>
      <c r="E586" s="131"/>
      <c r="F586" s="131"/>
    </row>
    <row r="587" spans="1:6" x14ac:dyDescent="0.3">
      <c r="A587" s="131"/>
      <c r="B587" s="131"/>
      <c r="C587" s="131"/>
      <c r="D587" s="131"/>
      <c r="E587" s="131"/>
      <c r="F587" s="131"/>
    </row>
    <row r="588" spans="1:6" x14ac:dyDescent="0.3">
      <c r="A588" s="131"/>
      <c r="B588" s="131"/>
      <c r="C588" s="131"/>
      <c r="D588" s="131"/>
      <c r="E588" s="131"/>
      <c r="F588" s="131"/>
    </row>
    <row r="589" spans="1:6" x14ac:dyDescent="0.3">
      <c r="A589" s="131"/>
      <c r="B589" s="131"/>
      <c r="C589" s="131"/>
      <c r="D589" s="131"/>
      <c r="E589" s="131"/>
      <c r="F589" s="131"/>
    </row>
    <row r="590" spans="1:6" x14ac:dyDescent="0.3">
      <c r="A590" s="131"/>
      <c r="B590" s="131"/>
      <c r="C590" s="131"/>
      <c r="D590" s="131"/>
      <c r="E590" s="131"/>
      <c r="F590" s="131"/>
    </row>
    <row r="591" spans="1:6" x14ac:dyDescent="0.3">
      <c r="A591" s="131"/>
      <c r="B591" s="131"/>
      <c r="C591" s="131"/>
      <c r="D591" s="131"/>
      <c r="E591" s="131"/>
      <c r="F591" s="131"/>
    </row>
    <row r="592" spans="1:6" x14ac:dyDescent="0.3">
      <c r="A592" s="131"/>
      <c r="B592" s="131"/>
      <c r="C592" s="131"/>
      <c r="D592" s="131"/>
      <c r="E592" s="131"/>
      <c r="F592" s="131"/>
    </row>
    <row r="593" spans="1:6" x14ac:dyDescent="0.3">
      <c r="A593" s="131"/>
      <c r="B593" s="131"/>
      <c r="C593" s="131"/>
      <c r="D593" s="131"/>
      <c r="E593" s="131"/>
      <c r="F593" s="131"/>
    </row>
    <row r="594" spans="1:6" x14ac:dyDescent="0.3">
      <c r="A594" s="131"/>
      <c r="B594" s="131"/>
      <c r="C594" s="131"/>
      <c r="D594" s="131"/>
      <c r="E594" s="131"/>
      <c r="F594" s="131"/>
    </row>
    <row r="595" spans="1:6" x14ac:dyDescent="0.3">
      <c r="A595" s="131"/>
      <c r="B595" s="131"/>
      <c r="C595" s="131"/>
      <c r="D595" s="131"/>
      <c r="E595" s="131"/>
      <c r="F595" s="131"/>
    </row>
    <row r="596" spans="1:6" x14ac:dyDescent="0.3">
      <c r="A596" s="131"/>
      <c r="B596" s="131"/>
      <c r="C596" s="131"/>
      <c r="D596" s="131"/>
      <c r="E596" s="131"/>
      <c r="F596" s="131"/>
    </row>
    <row r="597" spans="1:6" x14ac:dyDescent="0.3">
      <c r="A597" s="131"/>
      <c r="B597" s="131"/>
      <c r="C597" s="131"/>
      <c r="D597" s="131"/>
      <c r="E597" s="131"/>
      <c r="F597" s="131"/>
    </row>
    <row r="598" spans="1:6" x14ac:dyDescent="0.3">
      <c r="A598" s="131"/>
      <c r="B598" s="131"/>
      <c r="C598" s="131"/>
      <c r="D598" s="131"/>
      <c r="E598" s="131"/>
      <c r="F598" s="131"/>
    </row>
    <row r="599" spans="1:6" x14ac:dyDescent="0.3">
      <c r="A599" s="131"/>
      <c r="B599" s="131"/>
      <c r="C599" s="131"/>
      <c r="D599" s="131"/>
      <c r="E599" s="131"/>
      <c r="F599" s="131"/>
    </row>
    <row r="600" spans="1:6" x14ac:dyDescent="0.3">
      <c r="A600" s="131"/>
      <c r="B600" s="131"/>
      <c r="C600" s="131"/>
      <c r="D600" s="131"/>
      <c r="E600" s="131"/>
      <c r="F600" s="131"/>
    </row>
    <row r="601" spans="1:6" x14ac:dyDescent="0.3">
      <c r="A601" s="131"/>
      <c r="B601" s="131"/>
      <c r="C601" s="131"/>
      <c r="D601" s="131"/>
      <c r="E601" s="131"/>
      <c r="F601" s="131"/>
    </row>
    <row r="602" spans="1:6" x14ac:dyDescent="0.3">
      <c r="A602" s="131"/>
      <c r="B602" s="131"/>
      <c r="C602" s="131"/>
      <c r="D602" s="131"/>
      <c r="E602" s="131"/>
      <c r="F602" s="131"/>
    </row>
    <row r="603" spans="1:6" x14ac:dyDescent="0.3">
      <c r="A603" s="131"/>
      <c r="B603" s="131"/>
      <c r="C603" s="131"/>
      <c r="D603" s="131"/>
      <c r="E603" s="131"/>
      <c r="F603" s="131"/>
    </row>
    <row r="604" spans="1:6" x14ac:dyDescent="0.3">
      <c r="A604" s="131"/>
      <c r="B604" s="131"/>
      <c r="C604" s="131"/>
      <c r="D604" s="131"/>
      <c r="E604" s="131"/>
      <c r="F604" s="131"/>
    </row>
    <row r="605" spans="1:6" x14ac:dyDescent="0.3">
      <c r="A605" s="131"/>
      <c r="B605" s="131"/>
      <c r="C605" s="131"/>
      <c r="D605" s="131"/>
      <c r="E605" s="131"/>
      <c r="F605" s="131"/>
    </row>
    <row r="606" spans="1:6" x14ac:dyDescent="0.3">
      <c r="A606" s="131"/>
      <c r="B606" s="131"/>
      <c r="C606" s="131"/>
      <c r="D606" s="131"/>
      <c r="E606" s="131"/>
      <c r="F606" s="131"/>
    </row>
    <row r="607" spans="1:6" x14ac:dyDescent="0.3">
      <c r="A607" s="131"/>
      <c r="B607" s="131"/>
      <c r="C607" s="131"/>
      <c r="D607" s="131"/>
      <c r="E607" s="131"/>
      <c r="F607" s="131"/>
    </row>
    <row r="608" spans="1:6" x14ac:dyDescent="0.3">
      <c r="A608" s="131"/>
      <c r="B608" s="131"/>
      <c r="C608" s="131"/>
      <c r="D608" s="131"/>
      <c r="E608" s="131"/>
      <c r="F608" s="131"/>
    </row>
    <row r="609" spans="1:6" x14ac:dyDescent="0.3">
      <c r="A609" s="131"/>
      <c r="B609" s="131"/>
      <c r="C609" s="131"/>
      <c r="D609" s="131"/>
      <c r="E609" s="131"/>
      <c r="F609" s="131"/>
    </row>
    <row r="610" spans="1:6" x14ac:dyDescent="0.3">
      <c r="A610" s="131"/>
      <c r="B610" s="131"/>
      <c r="C610" s="131"/>
      <c r="D610" s="131"/>
      <c r="E610" s="131"/>
      <c r="F610" s="131"/>
    </row>
    <row r="611" spans="1:6" x14ac:dyDescent="0.3">
      <c r="A611" s="131"/>
      <c r="B611" s="131"/>
      <c r="C611" s="131"/>
      <c r="D611" s="131"/>
      <c r="E611" s="131"/>
      <c r="F611" s="131"/>
    </row>
    <row r="612" spans="1:6" x14ac:dyDescent="0.3">
      <c r="A612" s="131"/>
      <c r="B612" s="131"/>
      <c r="C612" s="131"/>
      <c r="D612" s="131"/>
      <c r="E612" s="131"/>
      <c r="F612" s="131"/>
    </row>
    <row r="613" spans="1:6" x14ac:dyDescent="0.3">
      <c r="A613" s="131"/>
      <c r="B613" s="131"/>
      <c r="C613" s="131"/>
      <c r="D613" s="131"/>
      <c r="E613" s="131"/>
      <c r="F613" s="131"/>
    </row>
    <row r="614" spans="1:6" x14ac:dyDescent="0.3">
      <c r="A614" s="131"/>
      <c r="B614" s="131"/>
      <c r="C614" s="131"/>
      <c r="D614" s="131"/>
      <c r="E614" s="131"/>
      <c r="F614" s="131"/>
    </row>
    <row r="615" spans="1:6" x14ac:dyDescent="0.3">
      <c r="A615" s="131"/>
      <c r="B615" s="131"/>
      <c r="C615" s="131"/>
      <c r="D615" s="131"/>
      <c r="E615" s="131"/>
      <c r="F615" s="131"/>
    </row>
    <row r="616" spans="1:6" x14ac:dyDescent="0.3">
      <c r="A616" s="131"/>
      <c r="B616" s="131"/>
      <c r="C616" s="131"/>
      <c r="D616" s="131"/>
      <c r="E616" s="131"/>
      <c r="F616" s="131"/>
    </row>
    <row r="617" spans="1:6" x14ac:dyDescent="0.3">
      <c r="A617" s="131"/>
      <c r="B617" s="131"/>
      <c r="C617" s="131"/>
      <c r="D617" s="131"/>
      <c r="E617" s="131"/>
      <c r="F617" s="131"/>
    </row>
    <row r="618" spans="1:6" x14ac:dyDescent="0.3">
      <c r="A618" s="131"/>
      <c r="B618" s="131"/>
      <c r="C618" s="131"/>
      <c r="D618" s="131"/>
      <c r="E618" s="131"/>
      <c r="F618" s="131"/>
    </row>
    <row r="619" spans="1:6" x14ac:dyDescent="0.3">
      <c r="A619" s="131"/>
      <c r="B619" s="131"/>
      <c r="C619" s="131"/>
      <c r="D619" s="131"/>
      <c r="E619" s="131"/>
      <c r="F619" s="131"/>
    </row>
    <row r="620" spans="1:6" x14ac:dyDescent="0.3">
      <c r="A620" s="131"/>
      <c r="B620" s="131"/>
      <c r="C620" s="131"/>
      <c r="D620" s="131"/>
      <c r="E620" s="131"/>
      <c r="F620" s="131"/>
    </row>
    <row r="621" spans="1:6" x14ac:dyDescent="0.3">
      <c r="A621" s="131"/>
      <c r="B621" s="131"/>
      <c r="C621" s="131"/>
      <c r="D621" s="131"/>
      <c r="E621" s="131"/>
      <c r="F621" s="131"/>
    </row>
    <row r="622" spans="1:6" x14ac:dyDescent="0.3">
      <c r="A622" s="131"/>
      <c r="B622" s="131"/>
      <c r="C622" s="131"/>
      <c r="D622" s="131"/>
      <c r="E622" s="131"/>
      <c r="F622" s="131"/>
    </row>
    <row r="623" spans="1:6" x14ac:dyDescent="0.3">
      <c r="A623" s="131"/>
      <c r="B623" s="131"/>
      <c r="C623" s="131"/>
      <c r="D623" s="131"/>
      <c r="E623" s="131"/>
      <c r="F623" s="131"/>
    </row>
    <row r="624" spans="1:6" x14ac:dyDescent="0.3">
      <c r="A624" s="131"/>
      <c r="B624" s="131"/>
      <c r="C624" s="131"/>
      <c r="D624" s="131"/>
      <c r="E624" s="131"/>
      <c r="F624" s="131"/>
    </row>
    <row r="625" spans="1:6" x14ac:dyDescent="0.3">
      <c r="A625" s="131"/>
      <c r="B625" s="131"/>
      <c r="C625" s="131"/>
      <c r="D625" s="131"/>
      <c r="E625" s="131"/>
      <c r="F625" s="131"/>
    </row>
    <row r="626" spans="1:6" x14ac:dyDescent="0.3">
      <c r="A626" s="131"/>
      <c r="B626" s="131"/>
      <c r="C626" s="131"/>
      <c r="D626" s="131"/>
      <c r="E626" s="131"/>
      <c r="F626" s="131"/>
    </row>
    <row r="627" spans="1:6" x14ac:dyDescent="0.3">
      <c r="A627" s="131"/>
      <c r="B627" s="131"/>
      <c r="C627" s="131"/>
      <c r="D627" s="131"/>
      <c r="E627" s="131"/>
      <c r="F627" s="131"/>
    </row>
    <row r="628" spans="1:6" x14ac:dyDescent="0.3">
      <c r="A628" s="131"/>
      <c r="B628" s="131"/>
      <c r="C628" s="131"/>
      <c r="D628" s="131"/>
      <c r="E628" s="131"/>
      <c r="F628" s="131"/>
    </row>
    <row r="629" spans="1:6" x14ac:dyDescent="0.3">
      <c r="A629" s="131"/>
      <c r="B629" s="131"/>
      <c r="C629" s="131"/>
      <c r="D629" s="131"/>
      <c r="E629" s="131"/>
      <c r="F629" s="131"/>
    </row>
    <row r="630" spans="1:6" x14ac:dyDescent="0.3">
      <c r="A630" s="131"/>
      <c r="B630" s="131"/>
      <c r="C630" s="131"/>
      <c r="D630" s="131"/>
      <c r="E630" s="131"/>
      <c r="F630" s="131"/>
    </row>
    <row r="631" spans="1:6" x14ac:dyDescent="0.3">
      <c r="A631" s="131"/>
      <c r="B631" s="131"/>
      <c r="C631" s="131"/>
      <c r="D631" s="131"/>
      <c r="E631" s="131"/>
      <c r="F631" s="131"/>
    </row>
    <row r="632" spans="1:6" x14ac:dyDescent="0.3">
      <c r="A632" s="131"/>
      <c r="B632" s="131"/>
      <c r="C632" s="131"/>
      <c r="D632" s="131"/>
      <c r="E632" s="131"/>
      <c r="F632" s="131"/>
    </row>
    <row r="633" spans="1:6" x14ac:dyDescent="0.3">
      <c r="A633" s="131"/>
      <c r="B633" s="131"/>
      <c r="C633" s="131"/>
      <c r="D633" s="131"/>
      <c r="E633" s="131"/>
      <c r="F633" s="131"/>
    </row>
    <row r="634" spans="1:6" x14ac:dyDescent="0.3">
      <c r="A634" s="131"/>
      <c r="B634" s="131"/>
      <c r="C634" s="131"/>
      <c r="D634" s="131"/>
      <c r="E634" s="131"/>
      <c r="F634" s="131"/>
    </row>
    <row r="635" spans="1:6" x14ac:dyDescent="0.3">
      <c r="A635" s="131"/>
      <c r="B635" s="131"/>
      <c r="C635" s="131"/>
      <c r="D635" s="131"/>
      <c r="E635" s="131"/>
      <c r="F635" s="131"/>
    </row>
    <row r="636" spans="1:6" x14ac:dyDescent="0.3">
      <c r="A636" s="131"/>
      <c r="B636" s="131"/>
      <c r="C636" s="131"/>
      <c r="D636" s="131"/>
      <c r="E636" s="131"/>
      <c r="F636" s="131"/>
    </row>
    <row r="637" spans="1:6" x14ac:dyDescent="0.3">
      <c r="A637" s="131"/>
      <c r="B637" s="131"/>
      <c r="C637" s="131"/>
      <c r="D637" s="131"/>
      <c r="E637" s="131"/>
      <c r="F637" s="131"/>
    </row>
    <row r="638" spans="1:6" x14ac:dyDescent="0.3">
      <c r="A638" s="131"/>
      <c r="B638" s="131"/>
      <c r="C638" s="131"/>
      <c r="D638" s="131"/>
      <c r="E638" s="131"/>
      <c r="F638" s="131"/>
    </row>
    <row r="639" spans="1:6" x14ac:dyDescent="0.3">
      <c r="A639" s="131"/>
      <c r="B639" s="131"/>
      <c r="C639" s="131"/>
      <c r="D639" s="131"/>
      <c r="E639" s="131"/>
      <c r="F639" s="131"/>
    </row>
    <row r="640" spans="1:6" x14ac:dyDescent="0.3">
      <c r="A640" s="131"/>
      <c r="B640" s="131"/>
      <c r="C640" s="131"/>
      <c r="D640" s="131"/>
      <c r="E640" s="131"/>
      <c r="F640" s="131"/>
    </row>
    <row r="641" spans="1:6" x14ac:dyDescent="0.3">
      <c r="A641" s="131"/>
      <c r="B641" s="131"/>
      <c r="C641" s="131"/>
      <c r="D641" s="131"/>
      <c r="E641" s="131"/>
      <c r="F641" s="131"/>
    </row>
    <row r="642" spans="1:6" x14ac:dyDescent="0.3">
      <c r="A642" s="131"/>
      <c r="B642" s="131"/>
      <c r="C642" s="131"/>
      <c r="D642" s="131"/>
      <c r="E642" s="131"/>
      <c r="F642" s="131"/>
    </row>
    <row r="643" spans="1:6" x14ac:dyDescent="0.3">
      <c r="A643" s="131"/>
      <c r="B643" s="131"/>
      <c r="C643" s="131"/>
      <c r="D643" s="131"/>
      <c r="E643" s="131"/>
      <c r="F643" s="131"/>
    </row>
    <row r="644" spans="1:6" x14ac:dyDescent="0.3">
      <c r="A644" s="131"/>
      <c r="B644" s="131"/>
      <c r="C644" s="131"/>
      <c r="D644" s="131"/>
      <c r="E644" s="131"/>
      <c r="F644" s="131"/>
    </row>
    <row r="645" spans="1:6" x14ac:dyDescent="0.3">
      <c r="A645" s="131"/>
      <c r="B645" s="131"/>
      <c r="C645" s="131"/>
      <c r="D645" s="131"/>
      <c r="E645" s="131"/>
      <c r="F645" s="131"/>
    </row>
    <row r="646" spans="1:6" x14ac:dyDescent="0.3">
      <c r="A646" s="131"/>
      <c r="B646" s="131"/>
      <c r="C646" s="131"/>
      <c r="D646" s="131"/>
      <c r="E646" s="131"/>
      <c r="F646" s="131"/>
    </row>
    <row r="647" spans="1:6" x14ac:dyDescent="0.3">
      <c r="A647" s="131"/>
      <c r="B647" s="131"/>
      <c r="C647" s="131"/>
      <c r="D647" s="131"/>
      <c r="E647" s="131"/>
      <c r="F647" s="131"/>
    </row>
    <row r="648" spans="1:6" x14ac:dyDescent="0.3">
      <c r="A648" s="131"/>
      <c r="B648" s="131"/>
      <c r="C648" s="131"/>
      <c r="D648" s="131"/>
      <c r="E648" s="131"/>
      <c r="F648" s="131"/>
    </row>
    <row r="649" spans="1:6" x14ac:dyDescent="0.3">
      <c r="A649" s="131"/>
      <c r="B649" s="131"/>
      <c r="C649" s="131"/>
      <c r="D649" s="131"/>
      <c r="E649" s="131"/>
      <c r="F649" s="131"/>
    </row>
    <row r="650" spans="1:6" x14ac:dyDescent="0.3">
      <c r="A650" s="131"/>
      <c r="B650" s="131"/>
      <c r="C650" s="131"/>
      <c r="D650" s="131"/>
      <c r="E650" s="131"/>
      <c r="F650" s="131"/>
    </row>
    <row r="651" spans="1:6" x14ac:dyDescent="0.3">
      <c r="A651" s="131"/>
      <c r="B651" s="131"/>
      <c r="C651" s="131"/>
      <c r="D651" s="131"/>
      <c r="E651" s="131"/>
      <c r="F651" s="131"/>
    </row>
    <row r="652" spans="1:6" x14ac:dyDescent="0.3">
      <c r="A652" s="131"/>
      <c r="B652" s="131"/>
      <c r="C652" s="131"/>
      <c r="D652" s="131"/>
      <c r="E652" s="131"/>
      <c r="F652" s="131"/>
    </row>
    <row r="653" spans="1:6" x14ac:dyDescent="0.3">
      <c r="A653" s="131"/>
      <c r="B653" s="131"/>
      <c r="C653" s="131"/>
      <c r="D653" s="131"/>
      <c r="E653" s="131"/>
      <c r="F653" s="131"/>
    </row>
    <row r="654" spans="1:6" x14ac:dyDescent="0.3">
      <c r="A654" s="131"/>
      <c r="B654" s="131"/>
      <c r="C654" s="131"/>
      <c r="D654" s="131"/>
      <c r="E654" s="131"/>
      <c r="F654" s="131"/>
    </row>
    <row r="655" spans="1:6" x14ac:dyDescent="0.3">
      <c r="A655" s="131"/>
      <c r="B655" s="131"/>
      <c r="C655" s="131"/>
      <c r="D655" s="131"/>
      <c r="E655" s="131"/>
      <c r="F655" s="131"/>
    </row>
    <row r="656" spans="1:6" x14ac:dyDescent="0.3">
      <c r="A656" s="131"/>
      <c r="B656" s="131"/>
      <c r="C656" s="131"/>
      <c r="D656" s="131"/>
      <c r="E656" s="131"/>
      <c r="F656" s="131"/>
    </row>
    <row r="657" spans="1:6" x14ac:dyDescent="0.3">
      <c r="A657" s="131"/>
      <c r="B657" s="131"/>
      <c r="C657" s="131"/>
      <c r="D657" s="131"/>
      <c r="E657" s="131"/>
      <c r="F657" s="131"/>
    </row>
    <row r="658" spans="1:6" x14ac:dyDescent="0.3">
      <c r="A658" s="131"/>
      <c r="B658" s="131"/>
      <c r="C658" s="131"/>
      <c r="D658" s="131"/>
      <c r="E658" s="131"/>
      <c r="F658" s="131"/>
    </row>
    <row r="659" spans="1:6" x14ac:dyDescent="0.3">
      <c r="A659" s="131"/>
      <c r="B659" s="131"/>
      <c r="C659" s="131"/>
      <c r="D659" s="131"/>
      <c r="E659" s="131"/>
      <c r="F659" s="131"/>
    </row>
    <row r="660" spans="1:6" x14ac:dyDescent="0.3">
      <c r="A660" s="131"/>
      <c r="B660" s="131"/>
      <c r="C660" s="131"/>
      <c r="D660" s="131"/>
      <c r="E660" s="131"/>
      <c r="F660" s="131"/>
    </row>
    <row r="661" spans="1:6" x14ac:dyDescent="0.3">
      <c r="A661" s="131"/>
      <c r="B661" s="131"/>
      <c r="C661" s="131"/>
      <c r="D661" s="131"/>
      <c r="E661" s="131"/>
      <c r="F661" s="131"/>
    </row>
    <row r="662" spans="1:6" x14ac:dyDescent="0.3">
      <c r="A662" s="131"/>
      <c r="B662" s="131"/>
      <c r="C662" s="131"/>
      <c r="D662" s="131"/>
      <c r="E662" s="131"/>
      <c r="F662" s="131"/>
    </row>
    <row r="663" spans="1:6" x14ac:dyDescent="0.3">
      <c r="A663" s="131"/>
      <c r="B663" s="131"/>
      <c r="C663" s="131"/>
      <c r="D663" s="131"/>
      <c r="E663" s="131"/>
      <c r="F663" s="131"/>
    </row>
    <row r="664" spans="1:6" x14ac:dyDescent="0.3">
      <c r="A664" s="131"/>
      <c r="B664" s="131"/>
      <c r="C664" s="131"/>
      <c r="D664" s="131"/>
      <c r="E664" s="131"/>
      <c r="F664" s="131"/>
    </row>
    <row r="665" spans="1:6" x14ac:dyDescent="0.3">
      <c r="A665" s="131"/>
      <c r="B665" s="131"/>
      <c r="C665" s="131"/>
      <c r="D665" s="131"/>
      <c r="E665" s="131"/>
      <c r="F665" s="131"/>
    </row>
    <row r="666" spans="1:6" x14ac:dyDescent="0.3">
      <c r="A666" s="131"/>
      <c r="B666" s="131"/>
      <c r="C666" s="131"/>
      <c r="D666" s="131"/>
      <c r="E666" s="131"/>
      <c r="F666" s="131"/>
    </row>
    <row r="667" spans="1:6" x14ac:dyDescent="0.3">
      <c r="A667" s="131"/>
      <c r="B667" s="131"/>
      <c r="C667" s="131"/>
      <c r="D667" s="131"/>
      <c r="E667" s="131"/>
      <c r="F667" s="131"/>
    </row>
    <row r="668" spans="1:6" x14ac:dyDescent="0.3">
      <c r="A668" s="131"/>
      <c r="B668" s="131"/>
      <c r="C668" s="131"/>
      <c r="D668" s="131"/>
      <c r="E668" s="131"/>
      <c r="F668" s="131"/>
    </row>
    <row r="669" spans="1:6" x14ac:dyDescent="0.3">
      <c r="A669" s="131"/>
      <c r="B669" s="131"/>
      <c r="C669" s="131"/>
      <c r="D669" s="131"/>
      <c r="E669" s="131"/>
      <c r="F669" s="131"/>
    </row>
    <row r="670" spans="1:6" x14ac:dyDescent="0.3">
      <c r="A670" s="131"/>
      <c r="B670" s="131"/>
      <c r="C670" s="131"/>
      <c r="D670" s="131"/>
      <c r="E670" s="131"/>
      <c r="F670" s="131"/>
    </row>
    <row r="671" spans="1:6" x14ac:dyDescent="0.3">
      <c r="A671" s="131"/>
      <c r="B671" s="131"/>
      <c r="C671" s="131"/>
      <c r="D671" s="131"/>
      <c r="E671" s="131"/>
      <c r="F671" s="131"/>
    </row>
    <row r="672" spans="1:6" x14ac:dyDescent="0.3">
      <c r="A672" s="131"/>
      <c r="B672" s="131"/>
      <c r="C672" s="131"/>
      <c r="D672" s="131"/>
      <c r="E672" s="131"/>
      <c r="F672" s="131"/>
    </row>
    <row r="673" spans="1:6" x14ac:dyDescent="0.3">
      <c r="A673" s="131"/>
      <c r="B673" s="131"/>
      <c r="C673" s="131"/>
      <c r="D673" s="131"/>
      <c r="E673" s="131"/>
      <c r="F673" s="131"/>
    </row>
    <row r="674" spans="1:6" x14ac:dyDescent="0.3">
      <c r="A674" s="131"/>
      <c r="B674" s="131"/>
      <c r="C674" s="131"/>
      <c r="D674" s="131"/>
      <c r="E674" s="131"/>
      <c r="F674" s="131"/>
    </row>
    <row r="675" spans="1:6" x14ac:dyDescent="0.3">
      <c r="A675" s="131"/>
      <c r="B675" s="131"/>
      <c r="C675" s="131"/>
      <c r="D675" s="131"/>
      <c r="E675" s="131"/>
      <c r="F675" s="131"/>
    </row>
    <row r="676" spans="1:6" x14ac:dyDescent="0.3">
      <c r="A676" s="131"/>
      <c r="B676" s="131"/>
      <c r="C676" s="131"/>
      <c r="D676" s="131"/>
      <c r="E676" s="131"/>
      <c r="F676" s="131"/>
    </row>
    <row r="677" spans="1:6" x14ac:dyDescent="0.3">
      <c r="A677" s="131"/>
      <c r="B677" s="131"/>
      <c r="C677" s="131"/>
      <c r="D677" s="131"/>
      <c r="E677" s="131"/>
      <c r="F677" s="131"/>
    </row>
    <row r="678" spans="1:6" x14ac:dyDescent="0.3">
      <c r="A678" s="131"/>
      <c r="B678" s="131"/>
      <c r="C678" s="131"/>
      <c r="D678" s="131"/>
      <c r="E678" s="131"/>
      <c r="F678" s="131"/>
    </row>
    <row r="679" spans="1:6" x14ac:dyDescent="0.3">
      <c r="A679" s="131"/>
      <c r="B679" s="131"/>
      <c r="C679" s="131"/>
      <c r="D679" s="131"/>
      <c r="E679" s="131"/>
      <c r="F679" s="131"/>
    </row>
    <row r="680" spans="1:6" x14ac:dyDescent="0.3">
      <c r="A680" s="131"/>
      <c r="B680" s="131"/>
      <c r="C680" s="131"/>
      <c r="D680" s="131"/>
      <c r="E680" s="131"/>
      <c r="F680" s="131"/>
    </row>
    <row r="681" spans="1:6" x14ac:dyDescent="0.3">
      <c r="A681" s="131"/>
      <c r="B681" s="131"/>
      <c r="C681" s="131"/>
      <c r="D681" s="131"/>
      <c r="E681" s="131"/>
      <c r="F681" s="131"/>
    </row>
    <row r="682" spans="1:6" x14ac:dyDescent="0.3">
      <c r="A682" s="131"/>
      <c r="B682" s="131"/>
      <c r="C682" s="131"/>
      <c r="D682" s="131"/>
      <c r="E682" s="131"/>
      <c r="F682" s="131"/>
    </row>
    <row r="683" spans="1:6" x14ac:dyDescent="0.3">
      <c r="A683" s="131"/>
      <c r="B683" s="131"/>
      <c r="C683" s="131"/>
      <c r="D683" s="131"/>
      <c r="E683" s="131"/>
      <c r="F683" s="131"/>
    </row>
    <row r="684" spans="1:6" x14ac:dyDescent="0.3">
      <c r="A684" s="131"/>
      <c r="B684" s="131"/>
      <c r="C684" s="131"/>
      <c r="D684" s="131"/>
      <c r="E684" s="131"/>
      <c r="F684" s="131"/>
    </row>
    <row r="685" spans="1:6" x14ac:dyDescent="0.3">
      <c r="A685" s="131"/>
      <c r="B685" s="131"/>
      <c r="C685" s="131"/>
      <c r="D685" s="131"/>
      <c r="E685" s="131"/>
      <c r="F685" s="131"/>
    </row>
    <row r="686" spans="1:6" x14ac:dyDescent="0.3">
      <c r="A686" s="131"/>
      <c r="B686" s="131"/>
      <c r="C686" s="131"/>
      <c r="D686" s="131"/>
      <c r="E686" s="131"/>
      <c r="F686" s="131"/>
    </row>
    <row r="687" spans="1:6" x14ac:dyDescent="0.3">
      <c r="A687" s="131"/>
      <c r="B687" s="131"/>
      <c r="C687" s="131"/>
      <c r="D687" s="131"/>
      <c r="E687" s="131"/>
      <c r="F687" s="131"/>
    </row>
    <row r="688" spans="1:6" x14ac:dyDescent="0.3">
      <c r="A688" s="131"/>
      <c r="B688" s="131"/>
      <c r="C688" s="131"/>
      <c r="D688" s="131"/>
      <c r="E688" s="131"/>
      <c r="F688" s="131"/>
    </row>
    <row r="689" spans="1:6" x14ac:dyDescent="0.3">
      <c r="A689" s="131"/>
      <c r="B689" s="131"/>
      <c r="C689" s="131"/>
      <c r="D689" s="131"/>
      <c r="E689" s="131"/>
      <c r="F689" s="131"/>
    </row>
    <row r="690" spans="1:6" x14ac:dyDescent="0.3">
      <c r="A690" s="131"/>
      <c r="B690" s="131"/>
      <c r="C690" s="131"/>
      <c r="D690" s="131"/>
      <c r="E690" s="131"/>
      <c r="F690" s="131"/>
    </row>
    <row r="691" spans="1:6" x14ac:dyDescent="0.3">
      <c r="A691" s="131"/>
      <c r="B691" s="131"/>
      <c r="C691" s="131"/>
      <c r="D691" s="131"/>
      <c r="E691" s="131"/>
      <c r="F691" s="131"/>
    </row>
    <row r="692" spans="1:6" x14ac:dyDescent="0.3">
      <c r="A692" s="131"/>
      <c r="B692" s="131"/>
      <c r="C692" s="131"/>
      <c r="D692" s="131"/>
      <c r="E692" s="131"/>
      <c r="F692" s="131"/>
    </row>
    <row r="693" spans="1:6" x14ac:dyDescent="0.3">
      <c r="A693" s="131"/>
      <c r="B693" s="131"/>
      <c r="C693" s="131"/>
      <c r="D693" s="131"/>
      <c r="E693" s="131"/>
      <c r="F693" s="131"/>
    </row>
    <row r="694" spans="1:6" x14ac:dyDescent="0.3">
      <c r="A694" s="131"/>
      <c r="B694" s="131"/>
      <c r="C694" s="131"/>
      <c r="D694" s="131"/>
      <c r="E694" s="131"/>
      <c r="F694" s="131"/>
    </row>
    <row r="695" spans="1:6" x14ac:dyDescent="0.3">
      <c r="A695" s="131"/>
      <c r="B695" s="131"/>
      <c r="C695" s="131"/>
      <c r="D695" s="131"/>
      <c r="E695" s="131"/>
      <c r="F695" s="131"/>
    </row>
    <row r="696" spans="1:6" x14ac:dyDescent="0.3">
      <c r="A696" s="131"/>
      <c r="B696" s="131"/>
      <c r="C696" s="131"/>
      <c r="D696" s="131"/>
      <c r="E696" s="131"/>
      <c r="F696" s="131"/>
    </row>
    <row r="697" spans="1:6" x14ac:dyDescent="0.3">
      <c r="A697" s="131"/>
      <c r="B697" s="131"/>
      <c r="C697" s="131"/>
      <c r="D697" s="131"/>
      <c r="E697" s="131"/>
      <c r="F697" s="131"/>
    </row>
    <row r="698" spans="1:6" x14ac:dyDescent="0.3">
      <c r="A698" s="131"/>
      <c r="B698" s="131"/>
      <c r="C698" s="131"/>
      <c r="D698" s="131"/>
      <c r="E698" s="131"/>
      <c r="F698" s="131"/>
    </row>
    <row r="699" spans="1:6" x14ac:dyDescent="0.3">
      <c r="A699" s="131"/>
      <c r="B699" s="131"/>
      <c r="C699" s="131"/>
      <c r="D699" s="131"/>
      <c r="E699" s="131"/>
      <c r="F699" s="131"/>
    </row>
    <row r="700" spans="1:6" x14ac:dyDescent="0.3">
      <c r="A700" s="131"/>
      <c r="B700" s="131"/>
      <c r="C700" s="131"/>
      <c r="D700" s="131"/>
      <c r="E700" s="131"/>
      <c r="F700" s="131"/>
    </row>
    <row r="701" spans="1:6" x14ac:dyDescent="0.3">
      <c r="A701" s="131"/>
      <c r="B701" s="131"/>
      <c r="C701" s="131"/>
      <c r="D701" s="131"/>
      <c r="E701" s="131"/>
      <c r="F701" s="131"/>
    </row>
    <row r="702" spans="1:6" x14ac:dyDescent="0.3">
      <c r="A702" s="131"/>
      <c r="B702" s="131"/>
      <c r="C702" s="131"/>
      <c r="D702" s="131"/>
      <c r="E702" s="131"/>
      <c r="F702" s="131"/>
    </row>
    <row r="703" spans="1:6" x14ac:dyDescent="0.3">
      <c r="A703" s="131"/>
      <c r="B703" s="131"/>
      <c r="C703" s="131"/>
      <c r="D703" s="131"/>
      <c r="E703" s="131"/>
      <c r="F703" s="131"/>
    </row>
    <row r="704" spans="1:6" x14ac:dyDescent="0.3">
      <c r="A704" s="131"/>
      <c r="B704" s="131"/>
      <c r="C704" s="131"/>
      <c r="D704" s="131"/>
      <c r="E704" s="131"/>
      <c r="F704" s="131"/>
    </row>
    <row r="705" spans="1:6" x14ac:dyDescent="0.3">
      <c r="A705" s="131"/>
      <c r="B705" s="131"/>
      <c r="C705" s="131"/>
      <c r="D705" s="131"/>
      <c r="E705" s="131"/>
      <c r="F705" s="131"/>
    </row>
    <row r="706" spans="1:6" x14ac:dyDescent="0.3">
      <c r="A706" s="131"/>
      <c r="B706" s="131"/>
      <c r="C706" s="131"/>
      <c r="D706" s="131"/>
      <c r="E706" s="131"/>
      <c r="F706" s="131"/>
    </row>
    <row r="707" spans="1:6" x14ac:dyDescent="0.3">
      <c r="A707" s="131"/>
      <c r="B707" s="131"/>
      <c r="C707" s="131"/>
      <c r="D707" s="131"/>
      <c r="E707" s="131"/>
      <c r="F707" s="131"/>
    </row>
    <row r="708" spans="1:6" x14ac:dyDescent="0.3">
      <c r="A708" s="131"/>
      <c r="B708" s="131"/>
      <c r="C708" s="131"/>
      <c r="D708" s="131"/>
      <c r="E708" s="131"/>
      <c r="F708" s="131"/>
    </row>
    <row r="709" spans="1:6" x14ac:dyDescent="0.3">
      <c r="A709" s="131"/>
      <c r="B709" s="131"/>
      <c r="C709" s="131"/>
      <c r="D709" s="131"/>
      <c r="E709" s="131"/>
      <c r="F709" s="131"/>
    </row>
    <row r="710" spans="1:6" x14ac:dyDescent="0.3">
      <c r="A710" s="131"/>
      <c r="B710" s="131"/>
      <c r="C710" s="131"/>
      <c r="D710" s="131"/>
      <c r="E710" s="131"/>
      <c r="F710" s="131"/>
    </row>
    <row r="711" spans="1:6" x14ac:dyDescent="0.3">
      <c r="A711" s="131"/>
      <c r="B711" s="131"/>
      <c r="C711" s="131"/>
      <c r="D711" s="131"/>
      <c r="E711" s="131"/>
      <c r="F711" s="131"/>
    </row>
    <row r="712" spans="1:6" x14ac:dyDescent="0.3">
      <c r="A712" s="131"/>
      <c r="B712" s="131"/>
      <c r="C712" s="131"/>
      <c r="D712" s="131"/>
      <c r="E712" s="131"/>
      <c r="F712" s="131"/>
    </row>
    <row r="713" spans="1:6" x14ac:dyDescent="0.3">
      <c r="A713" s="131"/>
      <c r="B713" s="131"/>
      <c r="C713" s="131"/>
      <c r="D713" s="131"/>
      <c r="E713" s="131"/>
      <c r="F713" s="131"/>
    </row>
    <row r="714" spans="1:6" x14ac:dyDescent="0.3">
      <c r="A714" s="131"/>
      <c r="B714" s="131"/>
      <c r="C714" s="131"/>
      <c r="D714" s="131"/>
      <c r="E714" s="131"/>
      <c r="F714" s="131"/>
    </row>
    <row r="715" spans="1:6" x14ac:dyDescent="0.3">
      <c r="A715" s="131"/>
      <c r="B715" s="131"/>
      <c r="C715" s="131"/>
      <c r="D715" s="131"/>
      <c r="E715" s="131"/>
      <c r="F715" s="131"/>
    </row>
    <row r="716" spans="1:6" x14ac:dyDescent="0.3">
      <c r="A716" s="131"/>
      <c r="B716" s="131"/>
      <c r="C716" s="131"/>
      <c r="D716" s="131"/>
      <c r="E716" s="131"/>
      <c r="F716" s="131"/>
    </row>
    <row r="717" spans="1:6" x14ac:dyDescent="0.3">
      <c r="A717" s="131"/>
      <c r="B717" s="131"/>
      <c r="C717" s="131"/>
      <c r="D717" s="131"/>
      <c r="E717" s="131"/>
      <c r="F717" s="131"/>
    </row>
    <row r="718" spans="1:6" x14ac:dyDescent="0.3">
      <c r="A718" s="131"/>
      <c r="B718" s="131"/>
      <c r="C718" s="131"/>
      <c r="D718" s="131"/>
      <c r="E718" s="131"/>
      <c r="F718" s="131"/>
    </row>
    <row r="719" spans="1:6" x14ac:dyDescent="0.3">
      <c r="A719" s="131"/>
      <c r="B719" s="131"/>
      <c r="C719" s="131"/>
      <c r="D719" s="131"/>
      <c r="E719" s="131"/>
      <c r="F719" s="131"/>
    </row>
    <row r="720" spans="1:6" x14ac:dyDescent="0.3">
      <c r="A720" s="131"/>
      <c r="B720" s="131"/>
      <c r="C720" s="131"/>
      <c r="D720" s="131"/>
      <c r="E720" s="131"/>
      <c r="F720" s="131"/>
    </row>
    <row r="721" spans="1:6" x14ac:dyDescent="0.3">
      <c r="A721" s="131"/>
      <c r="B721" s="131"/>
      <c r="C721" s="131"/>
      <c r="D721" s="131"/>
      <c r="E721" s="131"/>
      <c r="F721" s="131"/>
    </row>
    <row r="722" spans="1:6" x14ac:dyDescent="0.3">
      <c r="A722" s="131"/>
      <c r="B722" s="131"/>
      <c r="C722" s="131"/>
      <c r="D722" s="131"/>
      <c r="E722" s="131"/>
      <c r="F722" s="131"/>
    </row>
    <row r="723" spans="1:6" x14ac:dyDescent="0.3">
      <c r="A723" s="131"/>
      <c r="B723" s="131"/>
      <c r="C723" s="131"/>
      <c r="D723" s="131"/>
      <c r="E723" s="131"/>
      <c r="F723" s="131"/>
    </row>
    <row r="724" spans="1:6" x14ac:dyDescent="0.3">
      <c r="A724" s="131"/>
      <c r="B724" s="131"/>
      <c r="C724" s="131"/>
      <c r="D724" s="131"/>
      <c r="E724" s="131"/>
      <c r="F724" s="131"/>
    </row>
    <row r="725" spans="1:6" x14ac:dyDescent="0.3">
      <c r="A725" s="131"/>
      <c r="B725" s="131"/>
      <c r="C725" s="131"/>
      <c r="D725" s="131"/>
      <c r="E725" s="131"/>
      <c r="F725" s="131"/>
    </row>
    <row r="726" spans="1:6" x14ac:dyDescent="0.3">
      <c r="A726" s="131"/>
      <c r="B726" s="131"/>
      <c r="C726" s="131"/>
      <c r="D726" s="131"/>
      <c r="E726" s="131"/>
      <c r="F726" s="131"/>
    </row>
    <row r="727" spans="1:6" x14ac:dyDescent="0.3">
      <c r="A727" s="131"/>
      <c r="B727" s="131"/>
      <c r="C727" s="131"/>
      <c r="D727" s="131"/>
      <c r="E727" s="131"/>
      <c r="F727" s="131"/>
    </row>
    <row r="728" spans="1:6" x14ac:dyDescent="0.3">
      <c r="A728" s="131"/>
      <c r="B728" s="131"/>
      <c r="C728" s="131"/>
      <c r="D728" s="131"/>
      <c r="E728" s="131"/>
      <c r="F728" s="131"/>
    </row>
    <row r="729" spans="1:6" x14ac:dyDescent="0.3">
      <c r="A729" s="131"/>
      <c r="B729" s="131"/>
      <c r="C729" s="131"/>
      <c r="D729" s="131"/>
      <c r="E729" s="131"/>
      <c r="F729" s="131"/>
    </row>
    <row r="730" spans="1:6" x14ac:dyDescent="0.3">
      <c r="A730" s="131"/>
      <c r="B730" s="131"/>
      <c r="C730" s="131"/>
      <c r="D730" s="131"/>
      <c r="E730" s="131"/>
      <c r="F730" s="131"/>
    </row>
    <row r="731" spans="1:6" x14ac:dyDescent="0.3">
      <c r="A731" s="131"/>
      <c r="B731" s="131"/>
      <c r="C731" s="131"/>
      <c r="D731" s="131"/>
      <c r="E731" s="131"/>
      <c r="F731" s="131"/>
    </row>
    <row r="732" spans="1:6" x14ac:dyDescent="0.3">
      <c r="A732" s="131"/>
      <c r="B732" s="131"/>
      <c r="C732" s="131"/>
      <c r="D732" s="131"/>
      <c r="E732" s="131"/>
      <c r="F732" s="131"/>
    </row>
    <row r="733" spans="1:6" x14ac:dyDescent="0.3">
      <c r="A733" s="131"/>
      <c r="B733" s="131"/>
      <c r="C733" s="131"/>
      <c r="D733" s="131"/>
      <c r="E733" s="131"/>
      <c r="F733" s="131"/>
    </row>
    <row r="734" spans="1:6" x14ac:dyDescent="0.3">
      <c r="A734" s="131"/>
      <c r="B734" s="131"/>
      <c r="C734" s="131"/>
      <c r="D734" s="131"/>
      <c r="E734" s="131"/>
      <c r="F734" s="131"/>
    </row>
    <row r="735" spans="1:6" x14ac:dyDescent="0.3">
      <c r="A735" s="131"/>
      <c r="B735" s="131"/>
      <c r="C735" s="131"/>
      <c r="D735" s="131"/>
      <c r="E735" s="131"/>
      <c r="F735" s="131"/>
    </row>
    <row r="736" spans="1:6" x14ac:dyDescent="0.3">
      <c r="A736" s="131"/>
      <c r="B736" s="131"/>
      <c r="C736" s="131"/>
      <c r="D736" s="131"/>
      <c r="E736" s="131"/>
      <c r="F736" s="131"/>
    </row>
    <row r="737" spans="1:6" x14ac:dyDescent="0.3">
      <c r="A737" s="131"/>
      <c r="B737" s="131"/>
      <c r="C737" s="131"/>
      <c r="D737" s="131"/>
      <c r="E737" s="131"/>
      <c r="F737" s="131"/>
    </row>
    <row r="738" spans="1:6" x14ac:dyDescent="0.3">
      <c r="A738" s="131"/>
      <c r="B738" s="131"/>
      <c r="C738" s="131"/>
      <c r="D738" s="131"/>
      <c r="E738" s="131"/>
      <c r="F738" s="131"/>
    </row>
    <row r="739" spans="1:6" x14ac:dyDescent="0.3">
      <c r="A739" s="131"/>
      <c r="B739" s="131"/>
      <c r="C739" s="131"/>
      <c r="D739" s="131"/>
      <c r="E739" s="131"/>
      <c r="F739" s="131"/>
    </row>
    <row r="740" spans="1:6" x14ac:dyDescent="0.3">
      <c r="A740" s="131"/>
      <c r="B740" s="131"/>
      <c r="C740" s="131"/>
      <c r="D740" s="131"/>
      <c r="E740" s="131"/>
      <c r="F740" s="131"/>
    </row>
    <row r="741" spans="1:6" x14ac:dyDescent="0.3">
      <c r="A741" s="131"/>
      <c r="B741" s="131"/>
      <c r="C741" s="131"/>
      <c r="D741" s="131"/>
      <c r="E741" s="131"/>
      <c r="F741" s="131"/>
    </row>
    <row r="742" spans="1:6" x14ac:dyDescent="0.3">
      <c r="A742" s="131"/>
      <c r="B742" s="131"/>
      <c r="C742" s="131"/>
      <c r="D742" s="131"/>
      <c r="E742" s="131"/>
      <c r="F742" s="131"/>
    </row>
    <row r="743" spans="1:6" x14ac:dyDescent="0.3">
      <c r="A743" s="131"/>
      <c r="B743" s="131"/>
      <c r="C743" s="131"/>
      <c r="D743" s="131"/>
      <c r="E743" s="131"/>
      <c r="F743" s="131"/>
    </row>
    <row r="744" spans="1:6" x14ac:dyDescent="0.3">
      <c r="A744" s="131"/>
      <c r="B744" s="131"/>
      <c r="C744" s="131"/>
      <c r="D744" s="131"/>
      <c r="E744" s="131"/>
      <c r="F744" s="131"/>
    </row>
    <row r="745" spans="1:6" x14ac:dyDescent="0.3">
      <c r="A745" s="131"/>
      <c r="B745" s="131"/>
      <c r="C745" s="131"/>
      <c r="D745" s="131"/>
      <c r="E745" s="131"/>
      <c r="F745" s="131"/>
    </row>
    <row r="746" spans="1:6" x14ac:dyDescent="0.3">
      <c r="A746" s="131"/>
      <c r="B746" s="131"/>
      <c r="C746" s="131"/>
      <c r="D746" s="131"/>
      <c r="E746" s="131"/>
      <c r="F746" s="131"/>
    </row>
    <row r="747" spans="1:6" x14ac:dyDescent="0.3">
      <c r="A747" s="131"/>
      <c r="B747" s="131"/>
      <c r="C747" s="131"/>
      <c r="D747" s="131"/>
      <c r="E747" s="131"/>
      <c r="F747" s="131"/>
    </row>
    <row r="748" spans="1:6" x14ac:dyDescent="0.3">
      <c r="A748" s="131"/>
      <c r="B748" s="131"/>
      <c r="C748" s="131"/>
      <c r="D748" s="131"/>
      <c r="E748" s="131"/>
      <c r="F748" s="131"/>
    </row>
    <row r="749" spans="1:6" x14ac:dyDescent="0.3">
      <c r="A749" s="131"/>
      <c r="B749" s="131"/>
      <c r="C749" s="131"/>
      <c r="D749" s="131"/>
      <c r="E749" s="131"/>
      <c r="F749" s="131"/>
    </row>
    <row r="750" spans="1:6" x14ac:dyDescent="0.3">
      <c r="A750" s="131"/>
      <c r="B750" s="131"/>
      <c r="C750" s="131"/>
      <c r="D750" s="131"/>
      <c r="E750" s="131"/>
      <c r="F750" s="131"/>
    </row>
    <row r="751" spans="1:6" x14ac:dyDescent="0.3">
      <c r="A751" s="131"/>
      <c r="B751" s="131"/>
      <c r="C751" s="131"/>
      <c r="D751" s="131"/>
      <c r="E751" s="131"/>
      <c r="F751" s="131"/>
    </row>
    <row r="752" spans="1:6" x14ac:dyDescent="0.3">
      <c r="A752" s="131"/>
      <c r="B752" s="131"/>
      <c r="C752" s="131"/>
      <c r="D752" s="131"/>
      <c r="E752" s="131"/>
      <c r="F752" s="131"/>
    </row>
    <row r="753" spans="1:6" x14ac:dyDescent="0.3">
      <c r="A753" s="131"/>
      <c r="B753" s="131"/>
      <c r="C753" s="131"/>
      <c r="D753" s="131"/>
      <c r="E753" s="131"/>
      <c r="F753" s="131"/>
    </row>
    <row r="754" spans="1:6" x14ac:dyDescent="0.3">
      <c r="A754" s="131"/>
      <c r="B754" s="131"/>
      <c r="C754" s="131"/>
      <c r="D754" s="131"/>
      <c r="E754" s="131"/>
      <c r="F754" s="131"/>
    </row>
    <row r="755" spans="1:6" x14ac:dyDescent="0.3">
      <c r="A755" s="131"/>
      <c r="B755" s="131"/>
      <c r="C755" s="131"/>
      <c r="D755" s="131"/>
      <c r="E755" s="131"/>
      <c r="F755" s="131"/>
    </row>
    <row r="756" spans="1:6" x14ac:dyDescent="0.3">
      <c r="A756" s="131"/>
      <c r="B756" s="131"/>
      <c r="C756" s="131"/>
      <c r="D756" s="131"/>
      <c r="E756" s="131"/>
      <c r="F756" s="131"/>
    </row>
    <row r="757" spans="1:6" x14ac:dyDescent="0.3">
      <c r="A757" s="131"/>
      <c r="B757" s="131"/>
      <c r="C757" s="131"/>
      <c r="D757" s="131"/>
      <c r="E757" s="131"/>
      <c r="F757" s="131"/>
    </row>
    <row r="758" spans="1:6" x14ac:dyDescent="0.3">
      <c r="A758" s="131"/>
      <c r="B758" s="131"/>
      <c r="C758" s="131"/>
      <c r="D758" s="131"/>
      <c r="E758" s="131"/>
      <c r="F758" s="131"/>
    </row>
    <row r="759" spans="1:6" x14ac:dyDescent="0.3">
      <c r="A759" s="131"/>
      <c r="B759" s="131"/>
      <c r="C759" s="131"/>
      <c r="D759" s="131"/>
      <c r="E759" s="131"/>
      <c r="F759" s="131"/>
    </row>
    <row r="760" spans="1:6" x14ac:dyDescent="0.3">
      <c r="A760" s="131"/>
      <c r="B760" s="131"/>
      <c r="C760" s="131"/>
      <c r="D760" s="131"/>
      <c r="E760" s="131"/>
      <c r="F760" s="131"/>
    </row>
    <row r="761" spans="1:6" x14ac:dyDescent="0.3">
      <c r="A761" s="131"/>
      <c r="B761" s="131"/>
      <c r="C761" s="131"/>
      <c r="D761" s="131"/>
      <c r="E761" s="131"/>
      <c r="F761" s="131"/>
    </row>
    <row r="762" spans="1:6" x14ac:dyDescent="0.3">
      <c r="A762" s="131"/>
      <c r="B762" s="131"/>
      <c r="C762" s="131"/>
      <c r="D762" s="131"/>
      <c r="E762" s="131"/>
      <c r="F762" s="131"/>
    </row>
    <row r="763" spans="1:6" x14ac:dyDescent="0.3">
      <c r="A763" s="131"/>
      <c r="B763" s="131"/>
      <c r="C763" s="131"/>
      <c r="D763" s="131"/>
      <c r="E763" s="131"/>
      <c r="F763" s="131"/>
    </row>
    <row r="764" spans="1:6" x14ac:dyDescent="0.3">
      <c r="A764" s="131"/>
      <c r="B764" s="131"/>
      <c r="C764" s="131"/>
      <c r="D764" s="131"/>
      <c r="E764" s="131"/>
      <c r="F764" s="131"/>
    </row>
    <row r="765" spans="1:6" x14ac:dyDescent="0.3">
      <c r="A765" s="131"/>
      <c r="B765" s="131"/>
      <c r="C765" s="131"/>
      <c r="D765" s="131"/>
      <c r="E765" s="131"/>
      <c r="F765" s="131"/>
    </row>
    <row r="766" spans="1:6" x14ac:dyDescent="0.3">
      <c r="A766" s="131"/>
      <c r="B766" s="131"/>
      <c r="C766" s="131"/>
      <c r="D766" s="131"/>
      <c r="E766" s="131"/>
      <c r="F766" s="131"/>
    </row>
    <row r="767" spans="1:6" x14ac:dyDescent="0.3">
      <c r="A767" s="131"/>
      <c r="B767" s="131"/>
      <c r="C767" s="131"/>
      <c r="D767" s="131"/>
      <c r="E767" s="131"/>
      <c r="F767" s="131"/>
    </row>
    <row r="768" spans="1:6" x14ac:dyDescent="0.3">
      <c r="A768" s="131"/>
      <c r="B768" s="131"/>
      <c r="C768" s="131"/>
      <c r="D768" s="131"/>
      <c r="E768" s="131"/>
      <c r="F768" s="131"/>
    </row>
    <row r="769" spans="1:6" x14ac:dyDescent="0.3">
      <c r="A769" s="131"/>
      <c r="B769" s="131"/>
      <c r="C769" s="131"/>
      <c r="D769" s="131"/>
      <c r="E769" s="131"/>
      <c r="F769" s="131"/>
    </row>
    <row r="770" spans="1:6" x14ac:dyDescent="0.3">
      <c r="A770" s="131"/>
      <c r="B770" s="131"/>
      <c r="C770" s="131"/>
      <c r="D770" s="131"/>
      <c r="E770" s="131"/>
      <c r="F770" s="131"/>
    </row>
    <row r="771" spans="1:6" x14ac:dyDescent="0.3">
      <c r="A771" s="131"/>
      <c r="B771" s="131"/>
      <c r="C771" s="131"/>
      <c r="D771" s="131"/>
      <c r="E771" s="131"/>
      <c r="F771" s="131"/>
    </row>
    <row r="772" spans="1:6" x14ac:dyDescent="0.3">
      <c r="A772" s="131"/>
      <c r="B772" s="131"/>
      <c r="C772" s="131"/>
      <c r="D772" s="131"/>
      <c r="E772" s="131"/>
      <c r="F772" s="131"/>
    </row>
    <row r="773" spans="1:6" x14ac:dyDescent="0.3">
      <c r="A773" s="131"/>
      <c r="B773" s="131"/>
      <c r="C773" s="131"/>
      <c r="D773" s="131"/>
      <c r="E773" s="131"/>
      <c r="F773" s="131"/>
    </row>
    <row r="774" spans="1:6" x14ac:dyDescent="0.3">
      <c r="A774" s="131"/>
      <c r="B774" s="131"/>
      <c r="C774" s="131"/>
      <c r="D774" s="131"/>
      <c r="E774" s="131"/>
      <c r="F774" s="131"/>
    </row>
    <row r="775" spans="1:6" x14ac:dyDescent="0.3">
      <c r="A775" s="131"/>
      <c r="B775" s="131"/>
      <c r="C775" s="131"/>
      <c r="D775" s="131"/>
      <c r="E775" s="131"/>
      <c r="F775" s="131"/>
    </row>
    <row r="776" spans="1:6" x14ac:dyDescent="0.3">
      <c r="A776" s="131"/>
      <c r="B776" s="131"/>
      <c r="C776" s="131"/>
      <c r="D776" s="131"/>
      <c r="E776" s="131"/>
      <c r="F776" s="131"/>
    </row>
    <row r="777" spans="1:6" x14ac:dyDescent="0.3">
      <c r="A777" s="131"/>
      <c r="B777" s="131"/>
      <c r="C777" s="131"/>
      <c r="D777" s="131"/>
      <c r="E777" s="131"/>
      <c r="F777" s="131"/>
    </row>
    <row r="778" spans="1:6" x14ac:dyDescent="0.3">
      <c r="A778" s="131"/>
      <c r="B778" s="131"/>
      <c r="C778" s="131"/>
      <c r="D778" s="131"/>
      <c r="E778" s="131"/>
      <c r="F778" s="131"/>
    </row>
    <row r="779" spans="1:6" x14ac:dyDescent="0.3">
      <c r="A779" s="131"/>
      <c r="B779" s="131"/>
      <c r="C779" s="131"/>
      <c r="D779" s="131"/>
      <c r="E779" s="131"/>
      <c r="F779" s="131"/>
    </row>
    <row r="780" spans="1:6" x14ac:dyDescent="0.3">
      <c r="A780" s="131"/>
      <c r="B780" s="131"/>
      <c r="C780" s="131"/>
      <c r="D780" s="131"/>
      <c r="E780" s="131"/>
      <c r="F780" s="131"/>
    </row>
    <row r="781" spans="1:6" x14ac:dyDescent="0.3">
      <c r="A781" s="131"/>
      <c r="B781" s="131"/>
      <c r="C781" s="131"/>
      <c r="D781" s="131"/>
      <c r="E781" s="131"/>
      <c r="F781" s="131"/>
    </row>
    <row r="782" spans="1:6" x14ac:dyDescent="0.3">
      <c r="A782" s="131"/>
      <c r="B782" s="131"/>
      <c r="C782" s="131"/>
      <c r="D782" s="131"/>
      <c r="E782" s="131"/>
      <c r="F782" s="131"/>
    </row>
    <row r="783" spans="1:6" x14ac:dyDescent="0.3">
      <c r="A783" s="131"/>
      <c r="B783" s="131"/>
      <c r="C783" s="131"/>
      <c r="D783" s="131"/>
      <c r="E783" s="131"/>
      <c r="F783" s="131"/>
    </row>
    <row r="784" spans="1:6" x14ac:dyDescent="0.3">
      <c r="A784" s="131"/>
      <c r="B784" s="131"/>
      <c r="C784" s="131"/>
      <c r="D784" s="131"/>
      <c r="E784" s="131"/>
      <c r="F784" s="131"/>
    </row>
    <row r="785" spans="1:6" x14ac:dyDescent="0.3">
      <c r="A785" s="131"/>
      <c r="B785" s="131"/>
      <c r="C785" s="131"/>
      <c r="D785" s="131"/>
      <c r="E785" s="131"/>
      <c r="F785" s="131"/>
    </row>
    <row r="786" spans="1:6" x14ac:dyDescent="0.3">
      <c r="A786" s="131"/>
      <c r="B786" s="131"/>
      <c r="C786" s="131"/>
      <c r="D786" s="131"/>
      <c r="E786" s="131"/>
      <c r="F786" s="131"/>
    </row>
    <row r="787" spans="1:6" x14ac:dyDescent="0.3">
      <c r="A787" s="131"/>
      <c r="B787" s="131"/>
      <c r="C787" s="131"/>
      <c r="D787" s="131"/>
      <c r="E787" s="131"/>
      <c r="F787" s="131"/>
    </row>
    <row r="788" spans="1:6" x14ac:dyDescent="0.3">
      <c r="A788" s="131"/>
      <c r="B788" s="131"/>
      <c r="C788" s="131"/>
      <c r="D788" s="131"/>
      <c r="E788" s="131"/>
      <c r="F788" s="131"/>
    </row>
    <row r="789" spans="1:6" x14ac:dyDescent="0.3">
      <c r="A789" s="131"/>
      <c r="B789" s="131"/>
      <c r="C789" s="131"/>
      <c r="D789" s="131"/>
      <c r="E789" s="131"/>
      <c r="F789" s="131"/>
    </row>
    <row r="790" spans="1:6" x14ac:dyDescent="0.3">
      <c r="A790" s="131"/>
      <c r="B790" s="131"/>
      <c r="C790" s="131"/>
      <c r="D790" s="131"/>
      <c r="E790" s="131"/>
      <c r="F790" s="131"/>
    </row>
    <row r="791" spans="1:6" x14ac:dyDescent="0.3">
      <c r="A791" s="131"/>
      <c r="B791" s="131"/>
      <c r="C791" s="131"/>
      <c r="D791" s="131"/>
      <c r="E791" s="131"/>
      <c r="F791" s="131"/>
    </row>
    <row r="792" spans="1:6" x14ac:dyDescent="0.3">
      <c r="A792" s="131"/>
      <c r="B792" s="131"/>
      <c r="C792" s="131"/>
      <c r="D792" s="131"/>
      <c r="E792" s="131"/>
      <c r="F792" s="131"/>
    </row>
    <row r="793" spans="1:6" x14ac:dyDescent="0.3">
      <c r="A793" s="131"/>
      <c r="B793" s="131"/>
      <c r="C793" s="131"/>
      <c r="D793" s="131"/>
      <c r="E793" s="131"/>
      <c r="F793" s="131"/>
    </row>
    <row r="794" spans="1:6" x14ac:dyDescent="0.3">
      <c r="A794" s="131"/>
      <c r="B794" s="131"/>
      <c r="C794" s="131"/>
      <c r="D794" s="131"/>
      <c r="E794" s="131"/>
      <c r="F794" s="131"/>
    </row>
    <row r="795" spans="1:6" x14ac:dyDescent="0.3">
      <c r="A795" s="131"/>
      <c r="B795" s="131"/>
      <c r="C795" s="131"/>
      <c r="D795" s="131"/>
      <c r="E795" s="131"/>
      <c r="F795" s="131"/>
    </row>
    <row r="796" spans="1:6" x14ac:dyDescent="0.3">
      <c r="A796" s="131"/>
      <c r="B796" s="131"/>
      <c r="C796" s="131"/>
      <c r="D796" s="131"/>
      <c r="E796" s="131"/>
      <c r="F796" s="131"/>
    </row>
    <row r="797" spans="1:6" x14ac:dyDescent="0.3">
      <c r="A797" s="131"/>
      <c r="B797" s="131"/>
      <c r="C797" s="131"/>
      <c r="D797" s="131"/>
      <c r="E797" s="131"/>
      <c r="F797" s="131"/>
    </row>
    <row r="798" spans="1:6" x14ac:dyDescent="0.3">
      <c r="A798" s="131"/>
      <c r="B798" s="131"/>
      <c r="C798" s="131"/>
      <c r="D798" s="131"/>
      <c r="E798" s="131"/>
      <c r="F798" s="131"/>
    </row>
    <row r="799" spans="1:6" x14ac:dyDescent="0.3">
      <c r="A799" s="131"/>
      <c r="B799" s="131"/>
      <c r="C799" s="131"/>
      <c r="D799" s="131"/>
      <c r="E799" s="131"/>
      <c r="F799" s="131"/>
    </row>
    <row r="800" spans="1:6" x14ac:dyDescent="0.3">
      <c r="A800" s="131"/>
      <c r="B800" s="131"/>
      <c r="C800" s="131"/>
      <c r="D800" s="131"/>
      <c r="E800" s="131"/>
      <c r="F800" s="131"/>
    </row>
    <row r="801" spans="1:6" x14ac:dyDescent="0.3">
      <c r="A801" s="131"/>
      <c r="B801" s="131"/>
      <c r="C801" s="131"/>
      <c r="D801" s="131"/>
      <c r="E801" s="131"/>
      <c r="F801" s="131"/>
    </row>
    <row r="802" spans="1:6" x14ac:dyDescent="0.3">
      <c r="A802" s="131"/>
      <c r="B802" s="131"/>
      <c r="C802" s="131"/>
      <c r="D802" s="131"/>
      <c r="E802" s="131"/>
      <c r="F802" s="131"/>
    </row>
    <row r="803" spans="1:6" x14ac:dyDescent="0.3">
      <c r="A803" s="131"/>
      <c r="B803" s="131"/>
      <c r="C803" s="131"/>
      <c r="D803" s="131"/>
      <c r="E803" s="131"/>
      <c r="F803" s="131"/>
    </row>
    <row r="804" spans="1:6" x14ac:dyDescent="0.3">
      <c r="A804" s="131"/>
      <c r="B804" s="131"/>
      <c r="C804" s="131"/>
      <c r="D804" s="131"/>
      <c r="E804" s="131"/>
      <c r="F804" s="131"/>
    </row>
    <row r="805" spans="1:6" x14ac:dyDescent="0.3">
      <c r="A805" s="131"/>
      <c r="B805" s="131"/>
      <c r="C805" s="131"/>
      <c r="D805" s="131"/>
      <c r="E805" s="131"/>
      <c r="F805" s="131"/>
    </row>
    <row r="806" spans="1:6" x14ac:dyDescent="0.3">
      <c r="A806" s="131"/>
      <c r="B806" s="131"/>
      <c r="C806" s="131"/>
      <c r="D806" s="131"/>
      <c r="E806" s="131"/>
      <c r="F806" s="131"/>
    </row>
    <row r="807" spans="1:6" x14ac:dyDescent="0.3">
      <c r="A807" s="131"/>
      <c r="B807" s="131"/>
      <c r="C807" s="131"/>
      <c r="D807" s="131"/>
      <c r="E807" s="131"/>
      <c r="F807" s="131"/>
    </row>
    <row r="808" spans="1:6" x14ac:dyDescent="0.3">
      <c r="A808" s="131"/>
      <c r="B808" s="131"/>
      <c r="C808" s="131"/>
      <c r="D808" s="131"/>
      <c r="E808" s="131"/>
      <c r="F808" s="131"/>
    </row>
    <row r="809" spans="1:6" x14ac:dyDescent="0.3">
      <c r="A809" s="131"/>
      <c r="B809" s="131"/>
      <c r="C809" s="131"/>
      <c r="D809" s="131"/>
      <c r="E809" s="131"/>
      <c r="F809" s="131"/>
    </row>
    <row r="810" spans="1:6" x14ac:dyDescent="0.3">
      <c r="A810" s="131"/>
      <c r="B810" s="131"/>
      <c r="C810" s="131"/>
      <c r="D810" s="131"/>
      <c r="E810" s="131"/>
      <c r="F810" s="131"/>
    </row>
    <row r="811" spans="1:6" x14ac:dyDescent="0.3">
      <c r="A811" s="131"/>
      <c r="B811" s="131"/>
      <c r="C811" s="131"/>
      <c r="D811" s="131"/>
      <c r="E811" s="131"/>
      <c r="F811" s="131"/>
    </row>
    <row r="812" spans="1:6" x14ac:dyDescent="0.3">
      <c r="A812" s="131"/>
      <c r="B812" s="131"/>
      <c r="C812" s="131"/>
      <c r="D812" s="131"/>
      <c r="E812" s="131"/>
      <c r="F812" s="131"/>
    </row>
    <row r="813" spans="1:6" x14ac:dyDescent="0.3">
      <c r="A813" s="131"/>
      <c r="B813" s="131"/>
      <c r="C813" s="131"/>
      <c r="D813" s="131"/>
      <c r="E813" s="131"/>
      <c r="F813" s="131"/>
    </row>
    <row r="814" spans="1:6" x14ac:dyDescent="0.3">
      <c r="A814" s="131"/>
      <c r="B814" s="131"/>
      <c r="C814" s="131"/>
      <c r="D814" s="131"/>
      <c r="E814" s="131"/>
      <c r="F814" s="131"/>
    </row>
    <row r="815" spans="1:6" x14ac:dyDescent="0.3">
      <c r="A815" s="131"/>
      <c r="B815" s="131"/>
      <c r="C815" s="131"/>
      <c r="D815" s="131"/>
      <c r="E815" s="131"/>
      <c r="F815" s="131"/>
    </row>
    <row r="816" spans="1:6" x14ac:dyDescent="0.3">
      <c r="A816" s="131"/>
      <c r="B816" s="131"/>
      <c r="C816" s="131"/>
      <c r="D816" s="131"/>
      <c r="E816" s="131"/>
      <c r="F816" s="131"/>
    </row>
    <row r="817" spans="1:6" x14ac:dyDescent="0.3">
      <c r="A817" s="131"/>
      <c r="B817" s="131"/>
      <c r="C817" s="131"/>
      <c r="D817" s="131"/>
      <c r="E817" s="131"/>
      <c r="F817" s="131"/>
    </row>
    <row r="818" spans="1:6" x14ac:dyDescent="0.3">
      <c r="A818" s="131"/>
      <c r="B818" s="131"/>
      <c r="C818" s="131"/>
      <c r="D818" s="131"/>
      <c r="E818" s="131"/>
      <c r="F818" s="131"/>
    </row>
    <row r="819" spans="1:6" x14ac:dyDescent="0.3">
      <c r="A819" s="131"/>
      <c r="B819" s="131"/>
      <c r="C819" s="131"/>
      <c r="D819" s="131"/>
      <c r="E819" s="131"/>
      <c r="F819" s="131"/>
    </row>
    <row r="820" spans="1:6" x14ac:dyDescent="0.3">
      <c r="A820" s="131"/>
      <c r="B820" s="131"/>
      <c r="C820" s="131"/>
      <c r="D820" s="131"/>
      <c r="E820" s="131"/>
      <c r="F820" s="131"/>
    </row>
    <row r="821" spans="1:6" x14ac:dyDescent="0.3">
      <c r="A821" s="131"/>
      <c r="B821" s="131"/>
      <c r="C821" s="131"/>
      <c r="D821" s="131"/>
      <c r="E821" s="131"/>
      <c r="F821" s="131"/>
    </row>
    <row r="822" spans="1:6" x14ac:dyDescent="0.3">
      <c r="A822" s="131"/>
      <c r="B822" s="131"/>
      <c r="C822" s="131"/>
      <c r="D822" s="131"/>
      <c r="E822" s="131"/>
      <c r="F822" s="131"/>
    </row>
    <row r="823" spans="1:6" x14ac:dyDescent="0.3">
      <c r="A823" s="131"/>
      <c r="B823" s="131"/>
      <c r="C823" s="131"/>
      <c r="D823" s="131"/>
      <c r="E823" s="131"/>
      <c r="F823" s="131"/>
    </row>
    <row r="824" spans="1:6" x14ac:dyDescent="0.3">
      <c r="A824" s="131"/>
      <c r="B824" s="131"/>
      <c r="C824" s="131"/>
      <c r="D824" s="131"/>
      <c r="E824" s="131"/>
      <c r="F824" s="131"/>
    </row>
    <row r="825" spans="1:6" x14ac:dyDescent="0.3">
      <c r="A825" s="131"/>
      <c r="B825" s="131"/>
      <c r="C825" s="131"/>
      <c r="D825" s="131"/>
      <c r="E825" s="131"/>
      <c r="F825" s="131"/>
    </row>
    <row r="826" spans="1:6" x14ac:dyDescent="0.3">
      <c r="A826" s="131"/>
      <c r="B826" s="131"/>
      <c r="C826" s="131"/>
      <c r="D826" s="131"/>
      <c r="E826" s="131"/>
      <c r="F826" s="131"/>
    </row>
    <row r="827" spans="1:6" x14ac:dyDescent="0.3">
      <c r="A827" s="131"/>
      <c r="B827" s="131"/>
      <c r="C827" s="131"/>
      <c r="D827" s="131"/>
      <c r="E827" s="131"/>
      <c r="F827" s="131"/>
    </row>
    <row r="828" spans="1:6" x14ac:dyDescent="0.3">
      <c r="A828" s="131"/>
      <c r="B828" s="131"/>
      <c r="C828" s="131"/>
      <c r="D828" s="131"/>
      <c r="E828" s="131"/>
      <c r="F828" s="131"/>
    </row>
    <row r="829" spans="1:6" x14ac:dyDescent="0.3">
      <c r="A829" s="131"/>
      <c r="B829" s="131"/>
      <c r="C829" s="131"/>
      <c r="D829" s="131"/>
      <c r="E829" s="131"/>
      <c r="F829" s="131"/>
    </row>
    <row r="830" spans="1:6" x14ac:dyDescent="0.3">
      <c r="A830" s="131"/>
      <c r="B830" s="131"/>
      <c r="C830" s="131"/>
      <c r="D830" s="131"/>
      <c r="E830" s="131"/>
      <c r="F830" s="131"/>
    </row>
    <row r="831" spans="1:6" x14ac:dyDescent="0.3">
      <c r="A831" s="131"/>
      <c r="B831" s="131"/>
      <c r="C831" s="131"/>
      <c r="D831" s="131"/>
      <c r="E831" s="131"/>
      <c r="F831" s="131"/>
    </row>
    <row r="832" spans="1:6" x14ac:dyDescent="0.3">
      <c r="A832" s="131"/>
      <c r="B832" s="131"/>
      <c r="C832" s="131"/>
      <c r="D832" s="131"/>
      <c r="E832" s="131"/>
      <c r="F832" s="131"/>
    </row>
    <row r="833" spans="1:6" x14ac:dyDescent="0.3">
      <c r="A833" s="131"/>
      <c r="B833" s="131"/>
      <c r="C833" s="131"/>
      <c r="D833" s="131"/>
      <c r="E833" s="131"/>
      <c r="F833" s="131"/>
    </row>
    <row r="834" spans="1:6" x14ac:dyDescent="0.3">
      <c r="A834" s="131"/>
      <c r="B834" s="131"/>
      <c r="C834" s="131"/>
      <c r="D834" s="131"/>
      <c r="E834" s="131"/>
      <c r="F834" s="131"/>
    </row>
    <row r="835" spans="1:6" x14ac:dyDescent="0.3">
      <c r="A835" s="131"/>
      <c r="B835" s="131"/>
      <c r="C835" s="131"/>
      <c r="D835" s="131"/>
      <c r="E835" s="131"/>
      <c r="F835" s="131"/>
    </row>
    <row r="836" spans="1:6" x14ac:dyDescent="0.3">
      <c r="A836" s="131"/>
      <c r="B836" s="131"/>
      <c r="C836" s="131"/>
      <c r="D836" s="131"/>
      <c r="E836" s="131"/>
      <c r="F836" s="131"/>
    </row>
    <row r="837" spans="1:6" x14ac:dyDescent="0.3">
      <c r="A837" s="131"/>
      <c r="B837" s="131"/>
      <c r="C837" s="131"/>
      <c r="D837" s="131"/>
      <c r="E837" s="131"/>
      <c r="F837" s="131"/>
    </row>
    <row r="838" spans="1:6" x14ac:dyDescent="0.3">
      <c r="A838" s="131"/>
      <c r="B838" s="131"/>
      <c r="C838" s="131"/>
      <c r="D838" s="131"/>
      <c r="E838" s="131"/>
      <c r="F838" s="131"/>
    </row>
    <row r="839" spans="1:6" x14ac:dyDescent="0.3">
      <c r="A839" s="131"/>
      <c r="B839" s="131"/>
      <c r="C839" s="131"/>
      <c r="D839" s="131"/>
      <c r="E839" s="131"/>
      <c r="F839" s="131"/>
    </row>
    <row r="840" spans="1:6" x14ac:dyDescent="0.3">
      <c r="A840" s="131"/>
      <c r="B840" s="131"/>
      <c r="C840" s="131"/>
      <c r="D840" s="131"/>
      <c r="E840" s="131"/>
      <c r="F840" s="131"/>
    </row>
    <row r="841" spans="1:6" x14ac:dyDescent="0.3">
      <c r="A841" s="131"/>
      <c r="B841" s="131"/>
      <c r="C841" s="131"/>
      <c r="D841" s="131"/>
      <c r="E841" s="131"/>
      <c r="F841" s="131"/>
    </row>
    <row r="842" spans="1:6" x14ac:dyDescent="0.3">
      <c r="A842" s="131"/>
      <c r="B842" s="131"/>
      <c r="C842" s="131"/>
      <c r="D842" s="131"/>
      <c r="E842" s="131"/>
      <c r="F842" s="131"/>
    </row>
    <row r="843" spans="1:6" x14ac:dyDescent="0.3">
      <c r="A843" s="131"/>
      <c r="B843" s="131"/>
      <c r="C843" s="131"/>
      <c r="D843" s="131"/>
      <c r="E843" s="131"/>
      <c r="F843" s="131"/>
    </row>
    <row r="844" spans="1:6" x14ac:dyDescent="0.3">
      <c r="A844" s="131"/>
      <c r="B844" s="131"/>
      <c r="C844" s="131"/>
      <c r="D844" s="131"/>
      <c r="E844" s="131"/>
      <c r="F844" s="131"/>
    </row>
    <row r="845" spans="1:6" x14ac:dyDescent="0.3">
      <c r="A845" s="131"/>
      <c r="B845" s="131"/>
      <c r="C845" s="131"/>
      <c r="D845" s="131"/>
      <c r="E845" s="131"/>
      <c r="F845" s="131"/>
    </row>
    <row r="846" spans="1:6" x14ac:dyDescent="0.3">
      <c r="A846" s="131"/>
      <c r="B846" s="131"/>
      <c r="C846" s="131"/>
      <c r="D846" s="131"/>
      <c r="E846" s="131"/>
      <c r="F846" s="131"/>
    </row>
    <row r="847" spans="1:6" x14ac:dyDescent="0.3">
      <c r="A847" s="131"/>
      <c r="B847" s="131"/>
      <c r="C847" s="131"/>
      <c r="D847" s="131"/>
      <c r="E847" s="131"/>
      <c r="F847" s="131"/>
    </row>
    <row r="848" spans="1:6" x14ac:dyDescent="0.3">
      <c r="A848" s="131"/>
      <c r="B848" s="131"/>
      <c r="C848" s="131"/>
      <c r="D848" s="131"/>
      <c r="E848" s="131"/>
      <c r="F848" s="131"/>
    </row>
    <row r="849" spans="1:6" x14ac:dyDescent="0.3">
      <c r="A849" s="131"/>
      <c r="B849" s="131"/>
      <c r="C849" s="131"/>
      <c r="D849" s="131"/>
      <c r="E849" s="131"/>
      <c r="F849" s="131"/>
    </row>
    <row r="850" spans="1:6" x14ac:dyDescent="0.3">
      <c r="A850" s="131"/>
      <c r="B850" s="131"/>
      <c r="C850" s="131"/>
      <c r="D850" s="131"/>
      <c r="E850" s="131"/>
      <c r="F850" s="131"/>
    </row>
    <row r="851" spans="1:6" x14ac:dyDescent="0.3">
      <c r="A851" s="131"/>
      <c r="B851" s="131"/>
      <c r="C851" s="131"/>
      <c r="D851" s="131"/>
      <c r="E851" s="131"/>
      <c r="F851" s="131"/>
    </row>
    <row r="852" spans="1:6" x14ac:dyDescent="0.3">
      <c r="A852" s="131"/>
      <c r="B852" s="131"/>
      <c r="C852" s="131"/>
      <c r="D852" s="131"/>
      <c r="E852" s="131"/>
      <c r="F852" s="131"/>
    </row>
    <row r="853" spans="1:6" x14ac:dyDescent="0.3">
      <c r="A853" s="131"/>
      <c r="B853" s="131"/>
      <c r="C853" s="131"/>
      <c r="D853" s="131"/>
      <c r="E853" s="131"/>
      <c r="F853" s="131"/>
    </row>
    <row r="854" spans="1:6" x14ac:dyDescent="0.3">
      <c r="A854" s="131"/>
      <c r="B854" s="131"/>
      <c r="C854" s="131"/>
      <c r="D854" s="131"/>
      <c r="E854" s="131"/>
      <c r="F854" s="131"/>
    </row>
    <row r="855" spans="1:6" x14ac:dyDescent="0.3">
      <c r="A855" s="131"/>
      <c r="B855" s="131"/>
      <c r="C855" s="131"/>
      <c r="D855" s="131"/>
      <c r="E855" s="131"/>
      <c r="F855" s="131"/>
    </row>
    <row r="856" spans="1:6" x14ac:dyDescent="0.3">
      <c r="A856" s="131"/>
      <c r="B856" s="131"/>
      <c r="C856" s="131"/>
      <c r="D856" s="131"/>
      <c r="E856" s="131"/>
      <c r="F856" s="131"/>
    </row>
    <row r="857" spans="1:6" x14ac:dyDescent="0.3">
      <c r="A857" s="131"/>
      <c r="B857" s="131"/>
      <c r="C857" s="131"/>
      <c r="D857" s="131"/>
      <c r="E857" s="131"/>
      <c r="F857" s="131"/>
    </row>
    <row r="858" spans="1:6" x14ac:dyDescent="0.3">
      <c r="A858" s="131"/>
      <c r="B858" s="131"/>
      <c r="C858" s="131"/>
      <c r="D858" s="131"/>
      <c r="E858" s="131"/>
      <c r="F858" s="131"/>
    </row>
    <row r="859" spans="1:6" x14ac:dyDescent="0.3">
      <c r="A859" s="131"/>
      <c r="B859" s="131"/>
      <c r="C859" s="131"/>
      <c r="D859" s="131"/>
      <c r="E859" s="131"/>
      <c r="F859" s="131"/>
    </row>
    <row r="860" spans="1:6" x14ac:dyDescent="0.3">
      <c r="A860" s="131"/>
      <c r="B860" s="131"/>
      <c r="C860" s="131"/>
      <c r="D860" s="131"/>
      <c r="E860" s="131"/>
      <c r="F860" s="131"/>
    </row>
    <row r="861" spans="1:6" x14ac:dyDescent="0.3">
      <c r="A861" s="131"/>
      <c r="B861" s="131"/>
      <c r="C861" s="131"/>
      <c r="D861" s="131"/>
      <c r="E861" s="131"/>
      <c r="F861" s="131"/>
    </row>
    <row r="862" spans="1:6" x14ac:dyDescent="0.3">
      <c r="A862" s="131"/>
      <c r="B862" s="131"/>
      <c r="C862" s="131"/>
      <c r="D862" s="131"/>
      <c r="E862" s="131"/>
      <c r="F862" s="131"/>
    </row>
    <row r="863" spans="1:6" x14ac:dyDescent="0.3">
      <c r="A863" s="131"/>
      <c r="B863" s="131"/>
      <c r="C863" s="131"/>
      <c r="D863" s="131"/>
      <c r="E863" s="131"/>
      <c r="F863" s="131"/>
    </row>
    <row r="864" spans="1:6" x14ac:dyDescent="0.3">
      <c r="A864" s="131"/>
      <c r="B864" s="131"/>
      <c r="C864" s="131"/>
      <c r="D864" s="131"/>
      <c r="E864" s="131"/>
      <c r="F864" s="131"/>
    </row>
    <row r="865" spans="1:6" x14ac:dyDescent="0.3">
      <c r="A865" s="131"/>
      <c r="B865" s="131"/>
      <c r="C865" s="131"/>
      <c r="D865" s="131"/>
      <c r="E865" s="131"/>
      <c r="F865" s="131"/>
    </row>
    <row r="866" spans="1:6" x14ac:dyDescent="0.3">
      <c r="A866" s="131"/>
      <c r="B866" s="131"/>
      <c r="C866" s="131"/>
      <c r="D866" s="131"/>
      <c r="E866" s="131"/>
      <c r="F866" s="131"/>
    </row>
    <row r="867" spans="1:6" x14ac:dyDescent="0.3">
      <c r="A867" s="131"/>
      <c r="B867" s="131"/>
      <c r="C867" s="131"/>
      <c r="D867" s="131"/>
      <c r="E867" s="131"/>
      <c r="F867" s="131"/>
    </row>
    <row r="868" spans="1:6" x14ac:dyDescent="0.3">
      <c r="A868" s="131"/>
      <c r="B868" s="131"/>
      <c r="C868" s="131"/>
      <c r="D868" s="131"/>
      <c r="E868" s="131"/>
      <c r="F868" s="131"/>
    </row>
    <row r="869" spans="1:6" x14ac:dyDescent="0.3">
      <c r="A869" s="131"/>
      <c r="B869" s="131"/>
      <c r="C869" s="131"/>
      <c r="D869" s="131"/>
      <c r="E869" s="131"/>
      <c r="F869" s="131"/>
    </row>
    <row r="870" spans="1:6" x14ac:dyDescent="0.3">
      <c r="A870" s="131"/>
      <c r="B870" s="131"/>
      <c r="C870" s="131"/>
      <c r="D870" s="131"/>
      <c r="E870" s="131"/>
      <c r="F870" s="131"/>
    </row>
    <row r="871" spans="1:6" x14ac:dyDescent="0.3">
      <c r="A871" s="131"/>
      <c r="B871" s="131"/>
      <c r="C871" s="131"/>
      <c r="D871" s="131"/>
      <c r="E871" s="131"/>
      <c r="F871" s="131"/>
    </row>
    <row r="872" spans="1:6" x14ac:dyDescent="0.3">
      <c r="A872" s="131"/>
      <c r="B872" s="131"/>
      <c r="C872" s="131"/>
      <c r="D872" s="131"/>
      <c r="E872" s="131"/>
      <c r="F872" s="131"/>
    </row>
    <row r="873" spans="1:6" x14ac:dyDescent="0.3">
      <c r="A873" s="131"/>
      <c r="B873" s="131"/>
      <c r="C873" s="131"/>
      <c r="D873" s="131"/>
      <c r="E873" s="131"/>
      <c r="F873" s="131"/>
    </row>
    <row r="874" spans="1:6" x14ac:dyDescent="0.3">
      <c r="A874" s="131"/>
      <c r="B874" s="131"/>
      <c r="C874" s="131"/>
      <c r="D874" s="131"/>
      <c r="E874" s="131"/>
      <c r="F874" s="131"/>
    </row>
    <row r="875" spans="1:6" x14ac:dyDescent="0.3">
      <c r="A875" s="131"/>
      <c r="B875" s="131"/>
      <c r="C875" s="131"/>
      <c r="D875" s="131"/>
      <c r="E875" s="131"/>
      <c r="F875" s="131"/>
    </row>
    <row r="876" spans="1:6" x14ac:dyDescent="0.3">
      <c r="A876" s="131"/>
      <c r="B876" s="131"/>
      <c r="C876" s="131"/>
      <c r="D876" s="131"/>
      <c r="E876" s="131"/>
      <c r="F876" s="131"/>
    </row>
    <row r="877" spans="1:6" x14ac:dyDescent="0.3">
      <c r="A877" s="131"/>
      <c r="B877" s="131"/>
      <c r="C877" s="131"/>
      <c r="D877" s="131"/>
      <c r="E877" s="131"/>
      <c r="F877" s="131"/>
    </row>
    <row r="878" spans="1:6" x14ac:dyDescent="0.3">
      <c r="A878" s="131"/>
      <c r="B878" s="131"/>
      <c r="C878" s="131"/>
      <c r="D878" s="131"/>
      <c r="E878" s="131"/>
      <c r="F878" s="131"/>
    </row>
    <row r="879" spans="1:6" x14ac:dyDescent="0.3">
      <c r="A879" s="131"/>
      <c r="B879" s="131"/>
      <c r="C879" s="131"/>
      <c r="D879" s="131"/>
      <c r="E879" s="131"/>
      <c r="F879" s="131"/>
    </row>
    <row r="880" spans="1:6" x14ac:dyDescent="0.3">
      <c r="A880" s="131"/>
      <c r="B880" s="131"/>
      <c r="C880" s="131"/>
      <c r="D880" s="131"/>
      <c r="E880" s="131"/>
      <c r="F880" s="131"/>
    </row>
    <row r="881" spans="1:6" x14ac:dyDescent="0.3">
      <c r="A881" s="131"/>
      <c r="B881" s="131"/>
      <c r="C881" s="131"/>
      <c r="D881" s="131"/>
      <c r="E881" s="131"/>
      <c r="F881" s="131"/>
    </row>
    <row r="882" spans="1:6" x14ac:dyDescent="0.3">
      <c r="A882" s="131"/>
      <c r="B882" s="131"/>
      <c r="C882" s="131"/>
      <c r="D882" s="131"/>
      <c r="E882" s="131"/>
      <c r="F882" s="131"/>
    </row>
    <row r="883" spans="1:6" x14ac:dyDescent="0.3">
      <c r="A883" s="131"/>
      <c r="B883" s="131"/>
      <c r="C883" s="131"/>
      <c r="D883" s="131"/>
      <c r="E883" s="131"/>
      <c r="F883" s="131"/>
    </row>
    <row r="884" spans="1:6" x14ac:dyDescent="0.3">
      <c r="A884" s="131"/>
      <c r="B884" s="131"/>
      <c r="C884" s="131"/>
      <c r="D884" s="131"/>
      <c r="E884" s="131"/>
      <c r="F884" s="131"/>
    </row>
    <row r="885" spans="1:6" x14ac:dyDescent="0.3">
      <c r="A885" s="131"/>
      <c r="B885" s="131"/>
      <c r="C885" s="131"/>
      <c r="D885" s="131"/>
      <c r="E885" s="131"/>
      <c r="F885" s="131"/>
    </row>
    <row r="886" spans="1:6" x14ac:dyDescent="0.3">
      <c r="A886" s="131"/>
      <c r="B886" s="131"/>
      <c r="C886" s="131"/>
      <c r="D886" s="131"/>
      <c r="E886" s="131"/>
      <c r="F886" s="131"/>
    </row>
    <row r="887" spans="1:6" x14ac:dyDescent="0.3">
      <c r="A887" s="131"/>
      <c r="B887" s="131"/>
      <c r="C887" s="131"/>
      <c r="D887" s="131"/>
      <c r="E887" s="131"/>
      <c r="F887" s="131"/>
    </row>
    <row r="888" spans="1:6" x14ac:dyDescent="0.3">
      <c r="A888" s="131"/>
      <c r="B888" s="131"/>
      <c r="C888" s="131"/>
      <c r="D888" s="131"/>
      <c r="E888" s="131"/>
      <c r="F888" s="131"/>
    </row>
    <row r="889" spans="1:6" x14ac:dyDescent="0.3">
      <c r="A889" s="131"/>
      <c r="B889" s="131"/>
      <c r="C889" s="131"/>
      <c r="D889" s="131"/>
      <c r="E889" s="131"/>
      <c r="F889" s="131"/>
    </row>
    <row r="890" spans="1:6" x14ac:dyDescent="0.3">
      <c r="A890" s="131"/>
      <c r="B890" s="131"/>
      <c r="C890" s="131"/>
      <c r="D890" s="131"/>
      <c r="E890" s="131"/>
      <c r="F890" s="131"/>
    </row>
    <row r="891" spans="1:6" x14ac:dyDescent="0.3">
      <c r="A891" s="131"/>
      <c r="B891" s="131"/>
      <c r="C891" s="131"/>
      <c r="D891" s="131"/>
      <c r="E891" s="131"/>
      <c r="F891" s="131"/>
    </row>
    <row r="892" spans="1:6" x14ac:dyDescent="0.3">
      <c r="A892" s="131"/>
      <c r="B892" s="131"/>
      <c r="C892" s="131"/>
      <c r="D892" s="131"/>
      <c r="E892" s="131"/>
      <c r="F892" s="131"/>
    </row>
    <row r="893" spans="1:6" x14ac:dyDescent="0.3">
      <c r="A893" s="131"/>
      <c r="B893" s="131"/>
      <c r="C893" s="131"/>
      <c r="D893" s="131"/>
      <c r="E893" s="131"/>
      <c r="F893" s="131"/>
    </row>
    <row r="894" spans="1:6" x14ac:dyDescent="0.3">
      <c r="A894" s="131"/>
      <c r="B894" s="131"/>
      <c r="C894" s="131"/>
      <c r="D894" s="131"/>
      <c r="E894" s="131"/>
      <c r="F894" s="131"/>
    </row>
    <row r="895" spans="1:6" x14ac:dyDescent="0.3">
      <c r="A895" s="131"/>
      <c r="B895" s="131"/>
      <c r="C895" s="131"/>
      <c r="D895" s="131"/>
      <c r="E895" s="131"/>
      <c r="F895" s="131"/>
    </row>
    <row r="896" spans="1:6" x14ac:dyDescent="0.3">
      <c r="A896" s="131"/>
      <c r="B896" s="131"/>
      <c r="C896" s="131"/>
      <c r="D896" s="131"/>
      <c r="E896" s="131"/>
      <c r="F896" s="131"/>
    </row>
    <row r="897" spans="1:6" x14ac:dyDescent="0.3">
      <c r="A897" s="131"/>
      <c r="B897" s="131"/>
      <c r="C897" s="131"/>
      <c r="D897" s="131"/>
      <c r="E897" s="131"/>
      <c r="F897" s="131"/>
    </row>
    <row r="898" spans="1:6" x14ac:dyDescent="0.3">
      <c r="A898" s="131"/>
      <c r="B898" s="131"/>
      <c r="C898" s="131"/>
      <c r="D898" s="131"/>
      <c r="E898" s="131"/>
      <c r="F898" s="131"/>
    </row>
    <row r="899" spans="1:6" x14ac:dyDescent="0.3">
      <c r="A899" s="131"/>
      <c r="B899" s="131"/>
      <c r="C899" s="131"/>
      <c r="D899" s="131"/>
      <c r="E899" s="131"/>
      <c r="F899" s="131"/>
    </row>
    <row r="900" spans="1:6" x14ac:dyDescent="0.3">
      <c r="A900" s="131"/>
      <c r="B900" s="131"/>
      <c r="C900" s="131"/>
      <c r="D900" s="131"/>
      <c r="E900" s="131"/>
      <c r="F900" s="131"/>
    </row>
    <row r="901" spans="1:6" x14ac:dyDescent="0.3">
      <c r="A901" s="131"/>
      <c r="B901" s="131"/>
      <c r="C901" s="131"/>
      <c r="D901" s="131"/>
      <c r="E901" s="131"/>
      <c r="F901" s="131"/>
    </row>
    <row r="902" spans="1:6" x14ac:dyDescent="0.3">
      <c r="A902" s="131"/>
      <c r="B902" s="131"/>
      <c r="C902" s="131"/>
      <c r="D902" s="131"/>
      <c r="E902" s="131"/>
      <c r="F902" s="131"/>
    </row>
    <row r="903" spans="1:6" x14ac:dyDescent="0.3">
      <c r="A903" s="131"/>
      <c r="B903" s="131"/>
      <c r="C903" s="131"/>
      <c r="D903" s="131"/>
      <c r="E903" s="131"/>
      <c r="F903" s="131"/>
    </row>
    <row r="904" spans="1:6" x14ac:dyDescent="0.3">
      <c r="A904" s="131"/>
      <c r="B904" s="131"/>
      <c r="C904" s="131"/>
      <c r="D904" s="131"/>
      <c r="E904" s="131"/>
      <c r="F904" s="131"/>
    </row>
    <row r="905" spans="1:6" x14ac:dyDescent="0.3">
      <c r="A905" s="131"/>
      <c r="B905" s="131"/>
      <c r="C905" s="131"/>
      <c r="D905" s="131"/>
      <c r="E905" s="131"/>
      <c r="F905" s="131"/>
    </row>
    <row r="906" spans="1:6" x14ac:dyDescent="0.3">
      <c r="A906" s="131"/>
      <c r="B906" s="131"/>
      <c r="C906" s="131"/>
      <c r="D906" s="131"/>
      <c r="E906" s="131"/>
      <c r="F906" s="131"/>
    </row>
    <row r="907" spans="1:6" x14ac:dyDescent="0.3">
      <c r="A907" s="131"/>
      <c r="B907" s="131"/>
      <c r="C907" s="131"/>
      <c r="D907" s="131"/>
      <c r="E907" s="131"/>
      <c r="F907" s="131"/>
    </row>
    <row r="908" spans="1:6" x14ac:dyDescent="0.3">
      <c r="A908" s="131"/>
      <c r="B908" s="131"/>
      <c r="C908" s="131"/>
      <c r="D908" s="131"/>
      <c r="E908" s="131"/>
      <c r="F908" s="131"/>
    </row>
    <row r="909" spans="1:6" x14ac:dyDescent="0.3">
      <c r="A909" s="131"/>
      <c r="B909" s="131"/>
      <c r="C909" s="131"/>
      <c r="D909" s="131"/>
      <c r="E909" s="131"/>
      <c r="F909" s="131"/>
    </row>
    <row r="910" spans="1:6" x14ac:dyDescent="0.3">
      <c r="A910" s="131"/>
      <c r="B910" s="131"/>
      <c r="C910" s="131"/>
      <c r="D910" s="131"/>
      <c r="E910" s="131"/>
      <c r="F910" s="131"/>
    </row>
    <row r="911" spans="1:6" x14ac:dyDescent="0.3">
      <c r="A911" s="131"/>
      <c r="B911" s="131"/>
      <c r="C911" s="131"/>
      <c r="D911" s="131"/>
      <c r="E911" s="131"/>
      <c r="F911" s="131"/>
    </row>
    <row r="912" spans="1:6" x14ac:dyDescent="0.3">
      <c r="A912" s="131"/>
      <c r="B912" s="131"/>
      <c r="C912" s="131"/>
      <c r="D912" s="131"/>
      <c r="E912" s="131"/>
      <c r="F912" s="131"/>
    </row>
    <row r="913" spans="1:6" x14ac:dyDescent="0.3">
      <c r="A913" s="131"/>
      <c r="B913" s="131"/>
      <c r="C913" s="131"/>
      <c r="D913" s="131"/>
      <c r="E913" s="131"/>
      <c r="F913" s="131"/>
    </row>
    <row r="914" spans="1:6" x14ac:dyDescent="0.3">
      <c r="A914" s="131"/>
      <c r="B914" s="131"/>
      <c r="C914" s="131"/>
      <c r="D914" s="131"/>
      <c r="E914" s="131"/>
      <c r="F914" s="131"/>
    </row>
    <row r="915" spans="1:6" x14ac:dyDescent="0.3">
      <c r="A915" s="131"/>
      <c r="B915" s="131"/>
      <c r="C915" s="131"/>
      <c r="D915" s="131"/>
      <c r="E915" s="131"/>
      <c r="F915" s="131"/>
    </row>
    <row r="916" spans="1:6" x14ac:dyDescent="0.3">
      <c r="A916" s="131"/>
      <c r="B916" s="131"/>
      <c r="C916" s="131"/>
      <c r="D916" s="131"/>
      <c r="E916" s="131"/>
      <c r="F916" s="131"/>
    </row>
    <row r="917" spans="1:6" x14ac:dyDescent="0.3">
      <c r="A917" s="131"/>
      <c r="B917" s="131"/>
      <c r="C917" s="131"/>
      <c r="D917" s="131"/>
      <c r="E917" s="131"/>
      <c r="F917" s="131"/>
    </row>
    <row r="918" spans="1:6" x14ac:dyDescent="0.3">
      <c r="A918" s="131"/>
      <c r="B918" s="131"/>
      <c r="C918" s="131"/>
      <c r="D918" s="131"/>
      <c r="E918" s="131"/>
      <c r="F918" s="131"/>
    </row>
    <row r="919" spans="1:6" x14ac:dyDescent="0.3">
      <c r="A919" s="131"/>
      <c r="B919" s="131"/>
      <c r="C919" s="131"/>
      <c r="D919" s="131"/>
      <c r="E919" s="131"/>
      <c r="F919" s="131"/>
    </row>
    <row r="920" spans="1:6" x14ac:dyDescent="0.3">
      <c r="A920" s="131"/>
      <c r="B920" s="131"/>
      <c r="C920" s="131"/>
      <c r="D920" s="131"/>
      <c r="E920" s="131"/>
      <c r="F920" s="131"/>
    </row>
    <row r="921" spans="1:6" x14ac:dyDescent="0.3">
      <c r="A921" s="131"/>
      <c r="B921" s="131"/>
      <c r="C921" s="131"/>
      <c r="D921" s="131"/>
      <c r="E921" s="131"/>
      <c r="F921" s="131"/>
    </row>
    <row r="922" spans="1:6" x14ac:dyDescent="0.3">
      <c r="A922" s="131"/>
      <c r="B922" s="131"/>
      <c r="C922" s="131"/>
      <c r="D922" s="131"/>
      <c r="E922" s="131"/>
      <c r="F922" s="131"/>
    </row>
    <row r="923" spans="1:6" x14ac:dyDescent="0.3">
      <c r="A923" s="131"/>
      <c r="B923" s="131"/>
      <c r="C923" s="131"/>
      <c r="D923" s="131"/>
      <c r="E923" s="131"/>
      <c r="F923" s="131"/>
    </row>
    <row r="924" spans="1:6" x14ac:dyDescent="0.3">
      <c r="A924" s="131"/>
      <c r="B924" s="131"/>
      <c r="C924" s="131"/>
      <c r="D924" s="131"/>
      <c r="E924" s="131"/>
      <c r="F924" s="131"/>
    </row>
    <row r="925" spans="1:6" x14ac:dyDescent="0.3">
      <c r="A925" s="131"/>
      <c r="B925" s="131"/>
      <c r="C925" s="131"/>
      <c r="D925" s="131"/>
      <c r="E925" s="131"/>
      <c r="F925" s="131"/>
    </row>
    <row r="926" spans="1:6" x14ac:dyDescent="0.3">
      <c r="A926" s="131"/>
      <c r="B926" s="131"/>
      <c r="C926" s="131"/>
      <c r="D926" s="131"/>
      <c r="E926" s="131"/>
      <c r="F926" s="131"/>
    </row>
    <row r="927" spans="1:6" x14ac:dyDescent="0.3">
      <c r="A927" s="131"/>
      <c r="B927" s="131"/>
      <c r="C927" s="131"/>
      <c r="D927" s="131"/>
      <c r="E927" s="131"/>
      <c r="F927" s="131"/>
    </row>
    <row r="928" spans="1:6" x14ac:dyDescent="0.3">
      <c r="A928" s="131"/>
      <c r="B928" s="131"/>
      <c r="C928" s="131"/>
      <c r="D928" s="131"/>
      <c r="E928" s="131"/>
      <c r="F928" s="131"/>
    </row>
    <row r="929" spans="1:6" x14ac:dyDescent="0.3">
      <c r="A929" s="131"/>
      <c r="B929" s="131"/>
      <c r="C929" s="131"/>
      <c r="D929" s="131"/>
      <c r="E929" s="131"/>
      <c r="F929" s="131"/>
    </row>
    <row r="930" spans="1:6" x14ac:dyDescent="0.3">
      <c r="A930" s="131"/>
      <c r="B930" s="131"/>
      <c r="C930" s="131"/>
      <c r="D930" s="131"/>
      <c r="E930" s="131"/>
      <c r="F930" s="131"/>
    </row>
    <row r="931" spans="1:6" x14ac:dyDescent="0.3">
      <c r="A931" s="131"/>
      <c r="B931" s="131"/>
      <c r="C931" s="131"/>
      <c r="D931" s="131"/>
      <c r="E931" s="131"/>
      <c r="F931" s="131"/>
    </row>
    <row r="932" spans="1:6" x14ac:dyDescent="0.3">
      <c r="A932" s="131"/>
      <c r="B932" s="131"/>
      <c r="C932" s="131"/>
      <c r="D932" s="131"/>
      <c r="E932" s="131"/>
      <c r="F932" s="131"/>
    </row>
    <row r="933" spans="1:6" x14ac:dyDescent="0.3">
      <c r="A933" s="131"/>
      <c r="B933" s="131"/>
      <c r="C933" s="131"/>
      <c r="D933" s="131"/>
      <c r="E933" s="131"/>
      <c r="F933" s="131"/>
    </row>
    <row r="934" spans="1:6" x14ac:dyDescent="0.3">
      <c r="A934" s="131"/>
      <c r="B934" s="131"/>
      <c r="C934" s="131"/>
      <c r="D934" s="131"/>
      <c r="E934" s="131"/>
      <c r="F934" s="131"/>
    </row>
    <row r="935" spans="1:6" x14ac:dyDescent="0.3">
      <c r="A935" s="131"/>
      <c r="B935" s="131"/>
      <c r="C935" s="131"/>
      <c r="D935" s="131"/>
      <c r="E935" s="131"/>
      <c r="F935" s="131"/>
    </row>
    <row r="936" spans="1:6" x14ac:dyDescent="0.3">
      <c r="A936" s="131"/>
      <c r="B936" s="131"/>
      <c r="C936" s="131"/>
      <c r="D936" s="131"/>
      <c r="E936" s="131"/>
      <c r="F936" s="131"/>
    </row>
    <row r="937" spans="1:6" x14ac:dyDescent="0.3">
      <c r="A937" s="131"/>
      <c r="B937" s="131"/>
      <c r="C937" s="131"/>
      <c r="D937" s="131"/>
      <c r="E937" s="131"/>
      <c r="F937" s="131"/>
    </row>
    <row r="938" spans="1:6" x14ac:dyDescent="0.3">
      <c r="A938" s="131"/>
      <c r="B938" s="131"/>
      <c r="C938" s="131"/>
      <c r="D938" s="131"/>
      <c r="E938" s="131"/>
      <c r="F938" s="131"/>
    </row>
    <row r="939" spans="1:6" x14ac:dyDescent="0.3">
      <c r="A939" s="131"/>
      <c r="B939" s="131"/>
      <c r="C939" s="131"/>
      <c r="D939" s="131"/>
      <c r="E939" s="131"/>
      <c r="F939" s="131"/>
    </row>
    <row r="940" spans="1:6" x14ac:dyDescent="0.3">
      <c r="A940" s="131"/>
      <c r="B940" s="131"/>
      <c r="C940" s="131"/>
      <c r="D940" s="131"/>
      <c r="E940" s="131"/>
      <c r="F940" s="131"/>
    </row>
    <row r="941" spans="1:6" x14ac:dyDescent="0.3">
      <c r="A941" s="131"/>
      <c r="B941" s="131"/>
      <c r="C941" s="131"/>
      <c r="D941" s="131"/>
      <c r="E941" s="131"/>
      <c r="F941" s="131"/>
    </row>
    <row r="942" spans="1:6" x14ac:dyDescent="0.3">
      <c r="A942" s="131"/>
      <c r="B942" s="131"/>
      <c r="C942" s="131"/>
      <c r="D942" s="131"/>
      <c r="E942" s="131"/>
      <c r="F942" s="131"/>
    </row>
    <row r="943" spans="1:6" x14ac:dyDescent="0.3">
      <c r="A943" s="131"/>
      <c r="B943" s="131"/>
      <c r="C943" s="131"/>
      <c r="D943" s="131"/>
      <c r="E943" s="131"/>
      <c r="F943" s="131"/>
    </row>
    <row r="944" spans="1:6" x14ac:dyDescent="0.3">
      <c r="A944" s="131"/>
      <c r="B944" s="131"/>
      <c r="C944" s="131"/>
      <c r="D944" s="131"/>
      <c r="E944" s="131"/>
      <c r="F944" s="131"/>
    </row>
    <row r="945" spans="1:6" x14ac:dyDescent="0.3">
      <c r="A945" s="131"/>
      <c r="B945" s="131"/>
      <c r="C945" s="131"/>
      <c r="D945" s="131"/>
      <c r="E945" s="131"/>
      <c r="F945" s="131"/>
    </row>
    <row r="946" spans="1:6" x14ac:dyDescent="0.3">
      <c r="A946" s="131"/>
      <c r="B946" s="131"/>
      <c r="C946" s="131"/>
      <c r="D946" s="131"/>
      <c r="E946" s="131"/>
      <c r="F946" s="131"/>
    </row>
    <row r="947" spans="1:6" x14ac:dyDescent="0.3">
      <c r="A947" s="131"/>
      <c r="B947" s="131"/>
      <c r="C947" s="131"/>
      <c r="D947" s="131"/>
      <c r="E947" s="131"/>
      <c r="F947" s="131"/>
    </row>
    <row r="948" spans="1:6" x14ac:dyDescent="0.3">
      <c r="A948" s="131"/>
      <c r="B948" s="131"/>
      <c r="C948" s="131"/>
      <c r="D948" s="131"/>
      <c r="E948" s="131"/>
      <c r="F948" s="131"/>
    </row>
    <row r="949" spans="1:6" x14ac:dyDescent="0.3">
      <c r="A949" s="131"/>
      <c r="B949" s="131"/>
      <c r="C949" s="131"/>
      <c r="D949" s="131"/>
      <c r="E949" s="131"/>
      <c r="F949" s="131"/>
    </row>
    <row r="950" spans="1:6" x14ac:dyDescent="0.3">
      <c r="A950" s="131"/>
      <c r="B950" s="131"/>
      <c r="C950" s="131"/>
      <c r="D950" s="131"/>
      <c r="E950" s="131"/>
      <c r="F950" s="131"/>
    </row>
    <row r="951" spans="1:6" x14ac:dyDescent="0.3">
      <c r="A951" s="131"/>
      <c r="B951" s="131"/>
      <c r="C951" s="131"/>
      <c r="D951" s="131"/>
      <c r="E951" s="131"/>
      <c r="F951" s="131"/>
    </row>
    <row r="952" spans="1:6" x14ac:dyDescent="0.3">
      <c r="A952" s="131"/>
      <c r="B952" s="131"/>
      <c r="C952" s="131"/>
      <c r="D952" s="131"/>
      <c r="E952" s="131"/>
      <c r="F952" s="131"/>
    </row>
    <row r="953" spans="1:6" x14ac:dyDescent="0.3">
      <c r="A953" s="131"/>
      <c r="B953" s="131"/>
      <c r="C953" s="131"/>
      <c r="D953" s="131"/>
      <c r="E953" s="131"/>
      <c r="F953" s="131"/>
    </row>
    <row r="954" spans="1:6" x14ac:dyDescent="0.3">
      <c r="A954" s="131"/>
      <c r="B954" s="131"/>
      <c r="C954" s="131"/>
      <c r="D954" s="131"/>
      <c r="E954" s="131"/>
      <c r="F954" s="131"/>
    </row>
    <row r="955" spans="1:6" x14ac:dyDescent="0.3">
      <c r="A955" s="131"/>
      <c r="B955" s="131"/>
      <c r="C955" s="131"/>
      <c r="D955" s="131"/>
      <c r="E955" s="131"/>
      <c r="F955" s="131"/>
    </row>
    <row r="956" spans="1:6" x14ac:dyDescent="0.3">
      <c r="A956" s="131"/>
      <c r="B956" s="131"/>
      <c r="C956" s="131"/>
      <c r="D956" s="131"/>
      <c r="E956" s="131"/>
      <c r="F956" s="131"/>
    </row>
    <row r="957" spans="1:6" x14ac:dyDescent="0.3">
      <c r="A957" s="131"/>
      <c r="B957" s="131"/>
      <c r="C957" s="131"/>
      <c r="D957" s="131"/>
      <c r="E957" s="131"/>
      <c r="F957" s="131"/>
    </row>
    <row r="958" spans="1:6" x14ac:dyDescent="0.3">
      <c r="A958" s="131"/>
      <c r="B958" s="131"/>
      <c r="C958" s="131"/>
      <c r="D958" s="131"/>
      <c r="E958" s="131"/>
      <c r="F958" s="131"/>
    </row>
    <row r="959" spans="1:6" x14ac:dyDescent="0.3">
      <c r="A959" s="131"/>
      <c r="B959" s="131"/>
      <c r="C959" s="131"/>
      <c r="D959" s="131"/>
      <c r="E959" s="131"/>
      <c r="F959" s="131"/>
    </row>
    <row r="960" spans="1:6" x14ac:dyDescent="0.3">
      <c r="A960" s="131"/>
      <c r="B960" s="131"/>
      <c r="C960" s="131"/>
      <c r="D960" s="131"/>
      <c r="E960" s="131"/>
      <c r="F960" s="131"/>
    </row>
    <row r="961" spans="1:6" x14ac:dyDescent="0.3">
      <c r="A961" s="131"/>
      <c r="B961" s="131"/>
      <c r="C961" s="131"/>
      <c r="D961" s="131"/>
      <c r="E961" s="131"/>
      <c r="F961" s="131"/>
    </row>
    <row r="962" spans="1:6" x14ac:dyDescent="0.3">
      <c r="A962" s="131"/>
      <c r="B962" s="131"/>
      <c r="C962" s="131"/>
      <c r="D962" s="131"/>
      <c r="E962" s="131"/>
      <c r="F962" s="131"/>
    </row>
    <row r="963" spans="1:6" x14ac:dyDescent="0.3">
      <c r="A963" s="131"/>
      <c r="B963" s="131"/>
      <c r="C963" s="131"/>
      <c r="D963" s="131"/>
      <c r="E963" s="131"/>
      <c r="F963" s="131"/>
    </row>
    <row r="964" spans="1:6" x14ac:dyDescent="0.3">
      <c r="A964" s="131"/>
      <c r="B964" s="131"/>
      <c r="C964" s="131"/>
      <c r="D964" s="131"/>
      <c r="E964" s="131"/>
      <c r="F964" s="131"/>
    </row>
    <row r="965" spans="1:6" x14ac:dyDescent="0.3">
      <c r="A965" s="131"/>
      <c r="B965" s="131"/>
      <c r="C965" s="131"/>
      <c r="D965" s="131"/>
      <c r="E965" s="131"/>
      <c r="F965" s="131"/>
    </row>
    <row r="966" spans="1:6" x14ac:dyDescent="0.3">
      <c r="A966" s="131"/>
      <c r="B966" s="131"/>
      <c r="C966" s="131"/>
      <c r="D966" s="131"/>
      <c r="E966" s="131"/>
      <c r="F966" s="131"/>
    </row>
    <row r="967" spans="1:6" x14ac:dyDescent="0.3">
      <c r="A967" s="131"/>
      <c r="B967" s="131"/>
      <c r="C967" s="131"/>
      <c r="D967" s="131"/>
      <c r="E967" s="131"/>
      <c r="F967" s="131"/>
    </row>
    <row r="968" spans="1:6" x14ac:dyDescent="0.3">
      <c r="A968" s="131"/>
      <c r="B968" s="131"/>
      <c r="C968" s="131"/>
      <c r="D968" s="131"/>
      <c r="E968" s="131"/>
      <c r="F968" s="131"/>
    </row>
    <row r="969" spans="1:6" x14ac:dyDescent="0.3">
      <c r="A969" s="131"/>
      <c r="B969" s="131"/>
      <c r="C969" s="131"/>
      <c r="D969" s="131"/>
      <c r="E969" s="131"/>
      <c r="F969" s="131"/>
    </row>
    <row r="970" spans="1:6" x14ac:dyDescent="0.3">
      <c r="A970" s="131"/>
      <c r="B970" s="131"/>
      <c r="C970" s="131"/>
      <c r="D970" s="131"/>
      <c r="E970" s="131"/>
      <c r="F970" s="131"/>
    </row>
    <row r="971" spans="1:6" x14ac:dyDescent="0.3">
      <c r="A971" s="131"/>
      <c r="B971" s="131"/>
      <c r="C971" s="131"/>
      <c r="D971" s="131"/>
      <c r="E971" s="131"/>
      <c r="F971" s="131"/>
    </row>
    <row r="972" spans="1:6" x14ac:dyDescent="0.3">
      <c r="A972" s="131"/>
      <c r="B972" s="131"/>
      <c r="C972" s="131"/>
      <c r="D972" s="131"/>
      <c r="E972" s="131"/>
      <c r="F972" s="131"/>
    </row>
    <row r="973" spans="1:6" x14ac:dyDescent="0.3">
      <c r="A973" s="131"/>
      <c r="B973" s="131"/>
      <c r="C973" s="131"/>
      <c r="D973" s="131"/>
      <c r="E973" s="131"/>
      <c r="F973" s="131"/>
    </row>
    <row r="974" spans="1:6" x14ac:dyDescent="0.3">
      <c r="A974" s="131"/>
      <c r="B974" s="131"/>
      <c r="C974" s="131"/>
      <c r="D974" s="131"/>
      <c r="E974" s="131"/>
      <c r="F974" s="131"/>
    </row>
    <row r="975" spans="1:6" x14ac:dyDescent="0.3">
      <c r="A975" s="131"/>
      <c r="B975" s="131"/>
      <c r="C975" s="131"/>
      <c r="D975" s="131"/>
      <c r="E975" s="131"/>
      <c r="F975" s="131"/>
    </row>
    <row r="976" spans="1:6" x14ac:dyDescent="0.3">
      <c r="A976" s="131"/>
      <c r="B976" s="131"/>
      <c r="C976" s="131"/>
      <c r="D976" s="131"/>
      <c r="E976" s="131"/>
      <c r="F976" s="131"/>
    </row>
    <row r="977" spans="1:6" x14ac:dyDescent="0.3">
      <c r="A977" s="131"/>
      <c r="B977" s="131"/>
      <c r="C977" s="131"/>
      <c r="D977" s="131"/>
      <c r="E977" s="131"/>
      <c r="F977" s="131"/>
    </row>
    <row r="978" spans="1:6" x14ac:dyDescent="0.3">
      <c r="A978" s="131"/>
      <c r="B978" s="131"/>
      <c r="C978" s="131"/>
      <c r="D978" s="131"/>
      <c r="E978" s="131"/>
      <c r="F978" s="131"/>
    </row>
    <row r="979" spans="1:6" x14ac:dyDescent="0.3">
      <c r="A979" s="131"/>
      <c r="B979" s="131"/>
      <c r="C979" s="131"/>
      <c r="D979" s="131"/>
      <c r="E979" s="131"/>
      <c r="F979" s="131"/>
    </row>
    <row r="980" spans="1:6" x14ac:dyDescent="0.3">
      <c r="A980" s="131"/>
      <c r="B980" s="131"/>
      <c r="C980" s="131"/>
      <c r="D980" s="131"/>
      <c r="E980" s="131"/>
      <c r="F980" s="131"/>
    </row>
    <row r="981" spans="1:6" x14ac:dyDescent="0.3">
      <c r="A981" s="131"/>
      <c r="B981" s="131"/>
      <c r="C981" s="131"/>
      <c r="D981" s="131"/>
      <c r="E981" s="131"/>
      <c r="F981" s="131"/>
    </row>
    <row r="982" spans="1:6" x14ac:dyDescent="0.3">
      <c r="A982" s="131"/>
      <c r="B982" s="131"/>
      <c r="C982" s="131"/>
      <c r="D982" s="131"/>
      <c r="E982" s="131"/>
      <c r="F982" s="131"/>
    </row>
    <row r="983" spans="1:6" x14ac:dyDescent="0.3">
      <c r="A983" s="131"/>
      <c r="B983" s="131"/>
      <c r="C983" s="131"/>
      <c r="D983" s="131"/>
      <c r="E983" s="131"/>
      <c r="F983" s="131"/>
    </row>
    <row r="984" spans="1:6" x14ac:dyDescent="0.3">
      <c r="A984" s="131"/>
      <c r="B984" s="131"/>
      <c r="C984" s="131"/>
      <c r="D984" s="131"/>
      <c r="E984" s="131"/>
      <c r="F984" s="131"/>
    </row>
    <row r="985" spans="1:6" x14ac:dyDescent="0.3">
      <c r="A985" s="131"/>
      <c r="B985" s="131"/>
      <c r="C985" s="131"/>
      <c r="D985" s="131"/>
      <c r="E985" s="131"/>
      <c r="F985" s="131"/>
    </row>
    <row r="986" spans="1:6" x14ac:dyDescent="0.3">
      <c r="A986" s="131"/>
      <c r="B986" s="131"/>
      <c r="C986" s="131"/>
      <c r="D986" s="131"/>
      <c r="E986" s="131"/>
      <c r="F986" s="131"/>
    </row>
    <row r="987" spans="1:6" x14ac:dyDescent="0.3">
      <c r="A987" s="131"/>
      <c r="B987" s="131"/>
      <c r="C987" s="131"/>
      <c r="D987" s="131"/>
      <c r="E987" s="131"/>
      <c r="F987" s="131"/>
    </row>
    <row r="988" spans="1:6" x14ac:dyDescent="0.3">
      <c r="A988" s="131"/>
      <c r="B988" s="131"/>
      <c r="C988" s="131"/>
      <c r="D988" s="131"/>
      <c r="E988" s="131"/>
      <c r="F988" s="131"/>
    </row>
    <row r="989" spans="1:6" x14ac:dyDescent="0.3">
      <c r="A989" s="131"/>
      <c r="B989" s="131"/>
      <c r="C989" s="131"/>
      <c r="D989" s="131"/>
      <c r="E989" s="131"/>
      <c r="F989" s="131"/>
    </row>
    <row r="990" spans="1:6" x14ac:dyDescent="0.3">
      <c r="A990" s="131"/>
      <c r="B990" s="131"/>
      <c r="C990" s="131"/>
      <c r="D990" s="131"/>
      <c r="E990" s="131"/>
      <c r="F990" s="131"/>
    </row>
    <row r="991" spans="1:6" x14ac:dyDescent="0.3">
      <c r="A991" s="131"/>
      <c r="B991" s="131"/>
      <c r="C991" s="131"/>
      <c r="D991" s="131"/>
      <c r="E991" s="131"/>
      <c r="F991" s="131"/>
    </row>
    <row r="992" spans="1:6" x14ac:dyDescent="0.3">
      <c r="A992" s="131"/>
      <c r="B992" s="131"/>
      <c r="C992" s="131"/>
      <c r="D992" s="131"/>
      <c r="E992" s="131"/>
      <c r="F992" s="131"/>
    </row>
    <row r="993" spans="1:6" x14ac:dyDescent="0.3">
      <c r="A993" s="131"/>
      <c r="B993" s="131"/>
      <c r="C993" s="131"/>
      <c r="D993" s="131"/>
      <c r="E993" s="131"/>
      <c r="F993" s="131"/>
    </row>
    <row r="994" spans="1:6" x14ac:dyDescent="0.3">
      <c r="A994" s="131"/>
      <c r="B994" s="131"/>
      <c r="C994" s="131"/>
      <c r="D994" s="131"/>
      <c r="E994" s="131"/>
      <c r="F994" s="131"/>
    </row>
    <row r="995" spans="1:6" x14ac:dyDescent="0.3">
      <c r="A995" s="131"/>
      <c r="B995" s="131"/>
      <c r="C995" s="131"/>
      <c r="D995" s="131"/>
      <c r="E995" s="131"/>
      <c r="F995" s="131"/>
    </row>
    <row r="996" spans="1:6" x14ac:dyDescent="0.3">
      <c r="A996" s="131"/>
      <c r="B996" s="131"/>
      <c r="C996" s="131"/>
      <c r="D996" s="131"/>
      <c r="E996" s="131"/>
      <c r="F996" s="131"/>
    </row>
    <row r="997" spans="1:6" x14ac:dyDescent="0.3">
      <c r="A997" s="131"/>
      <c r="B997" s="131"/>
      <c r="C997" s="131"/>
      <c r="D997" s="131"/>
      <c r="E997" s="131"/>
      <c r="F997" s="131"/>
    </row>
    <row r="998" spans="1:6" x14ac:dyDescent="0.3">
      <c r="A998" s="131"/>
      <c r="B998" s="131"/>
      <c r="C998" s="131"/>
      <c r="D998" s="131"/>
      <c r="E998" s="131"/>
      <c r="F998" s="131"/>
    </row>
    <row r="999" spans="1:6" x14ac:dyDescent="0.3">
      <c r="A999" s="131"/>
      <c r="B999" s="131"/>
      <c r="C999" s="131"/>
      <c r="D999" s="131"/>
      <c r="E999" s="131"/>
      <c r="F999" s="131"/>
    </row>
    <row r="1000" spans="1:6" x14ac:dyDescent="0.3">
      <c r="A1000" s="131"/>
      <c r="B1000" s="131"/>
      <c r="C1000" s="131"/>
      <c r="D1000" s="131"/>
      <c r="E1000" s="131"/>
      <c r="F1000" s="131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A99B84-5DE1-49F4-9B64-AA5989470585}">
  <sheetPr codeName="Sheet14"/>
  <dimension ref="A5:F1000"/>
  <sheetViews>
    <sheetView workbookViewId="0">
      <selection activeCell="C8" sqref="C8"/>
    </sheetView>
  </sheetViews>
  <sheetFormatPr defaultRowHeight="14.4" x14ac:dyDescent="0.3"/>
  <cols>
    <col min="1" max="1" width="7.33203125" customWidth="1"/>
    <col min="2" max="2" width="6" bestFit="1" customWidth="1"/>
    <col min="3" max="3" width="4" bestFit="1" customWidth="1"/>
    <col min="4" max="4" width="13.109375" bestFit="1" customWidth="1"/>
    <col min="5" max="5" width="12.109375" bestFit="1" customWidth="1"/>
    <col min="6" max="6" width="11" bestFit="1" customWidth="1"/>
  </cols>
  <sheetData>
    <row r="5" spans="1:6" x14ac:dyDescent="0.3">
      <c r="A5" s="131" t="s">
        <v>1155</v>
      </c>
      <c r="B5" s="131" t="s">
        <v>1174</v>
      </c>
      <c r="C5" s="131" t="s">
        <v>1176</v>
      </c>
      <c r="D5" s="131" t="s">
        <v>1177</v>
      </c>
      <c r="E5" s="131">
        <v>41</v>
      </c>
      <c r="F5" s="131"/>
    </row>
    <row r="6" spans="1:6" x14ac:dyDescent="0.3">
      <c r="A6" s="131" t="s">
        <v>1155</v>
      </c>
      <c r="B6" s="131" t="s">
        <v>1174</v>
      </c>
      <c r="C6" s="131" t="s">
        <v>1178</v>
      </c>
      <c r="D6" s="131" t="s">
        <v>1177</v>
      </c>
      <c r="E6" s="131">
        <v>41</v>
      </c>
      <c r="F6" s="131"/>
    </row>
    <row r="7" spans="1:6" x14ac:dyDescent="0.3">
      <c r="A7" s="131"/>
      <c r="B7" s="131"/>
      <c r="C7" s="131"/>
      <c r="D7" s="131"/>
      <c r="E7" s="131"/>
      <c r="F7" s="131"/>
    </row>
    <row r="8" spans="1:6" x14ac:dyDescent="0.3">
      <c r="A8" s="131"/>
      <c r="B8" s="131"/>
      <c r="C8" s="131"/>
      <c r="D8" s="131"/>
      <c r="E8" s="131"/>
      <c r="F8" s="131"/>
    </row>
    <row r="9" spans="1:6" x14ac:dyDescent="0.3">
      <c r="A9" s="131"/>
      <c r="B9" s="131"/>
      <c r="C9" s="131"/>
      <c r="D9" s="131"/>
      <c r="E9" s="131"/>
      <c r="F9" s="131"/>
    </row>
    <row r="10" spans="1:6" x14ac:dyDescent="0.3">
      <c r="A10" s="131"/>
      <c r="B10" s="131"/>
      <c r="C10" s="131"/>
      <c r="D10" s="131"/>
      <c r="E10" s="131"/>
      <c r="F10" s="131"/>
    </row>
    <row r="11" spans="1:6" x14ac:dyDescent="0.3">
      <c r="A11" s="131"/>
      <c r="B11" s="131"/>
      <c r="C11" s="131"/>
      <c r="D11" s="131"/>
      <c r="E11" s="131"/>
      <c r="F11" s="131"/>
    </row>
    <row r="12" spans="1:6" x14ac:dyDescent="0.3">
      <c r="A12" s="131"/>
      <c r="B12" s="131"/>
      <c r="C12" s="131"/>
      <c r="D12" s="131"/>
      <c r="E12" s="131"/>
      <c r="F12" s="131"/>
    </row>
    <row r="13" spans="1:6" x14ac:dyDescent="0.3">
      <c r="A13" s="131"/>
      <c r="B13" s="131"/>
      <c r="C13" s="131"/>
      <c r="D13" s="131"/>
      <c r="E13" s="131"/>
      <c r="F13" s="131"/>
    </row>
    <row r="14" spans="1:6" x14ac:dyDescent="0.3">
      <c r="A14" s="131"/>
      <c r="B14" s="131"/>
      <c r="C14" s="131"/>
      <c r="D14" s="131"/>
      <c r="E14" s="131"/>
      <c r="F14" s="131"/>
    </row>
    <row r="15" spans="1:6" x14ac:dyDescent="0.3">
      <c r="A15" s="131"/>
      <c r="B15" s="131"/>
      <c r="C15" s="131"/>
      <c r="D15" s="131"/>
      <c r="E15" s="131"/>
      <c r="F15" s="131"/>
    </row>
    <row r="16" spans="1:6" x14ac:dyDescent="0.3">
      <c r="A16" s="131"/>
      <c r="B16" s="131"/>
      <c r="C16" s="131"/>
      <c r="D16" s="131"/>
      <c r="E16" s="131"/>
      <c r="F16" s="131"/>
    </row>
    <row r="17" spans="1:6" x14ac:dyDescent="0.3">
      <c r="A17" s="131"/>
      <c r="B17" s="131"/>
      <c r="C17" s="131"/>
      <c r="D17" s="131"/>
      <c r="E17" s="131"/>
      <c r="F17" s="131"/>
    </row>
    <row r="18" spans="1:6" x14ac:dyDescent="0.3">
      <c r="A18" s="131"/>
      <c r="B18" s="131"/>
      <c r="C18" s="131"/>
      <c r="D18" s="131"/>
      <c r="E18" s="131"/>
      <c r="F18" s="131"/>
    </row>
    <row r="19" spans="1:6" x14ac:dyDescent="0.3">
      <c r="A19" s="131"/>
      <c r="B19" s="131"/>
      <c r="C19" s="131"/>
      <c r="D19" s="131"/>
      <c r="E19" s="131"/>
      <c r="F19" s="131"/>
    </row>
    <row r="20" spans="1:6" x14ac:dyDescent="0.3">
      <c r="A20" s="131"/>
      <c r="B20" s="131"/>
      <c r="C20" s="131"/>
      <c r="D20" s="131"/>
      <c r="E20" s="131"/>
      <c r="F20" s="131"/>
    </row>
    <row r="21" spans="1:6" x14ac:dyDescent="0.3">
      <c r="A21" s="131"/>
      <c r="B21" s="131"/>
      <c r="C21" s="131"/>
      <c r="D21" s="131"/>
      <c r="E21" s="131"/>
      <c r="F21" s="131"/>
    </row>
    <row r="22" spans="1:6" x14ac:dyDescent="0.3">
      <c r="A22" s="131"/>
      <c r="B22" s="131"/>
      <c r="C22" s="131"/>
      <c r="D22" s="131"/>
      <c r="E22" s="131"/>
      <c r="F22" s="131"/>
    </row>
    <row r="23" spans="1:6" x14ac:dyDescent="0.3">
      <c r="A23" s="131"/>
      <c r="B23" s="131"/>
      <c r="C23" s="131"/>
      <c r="D23" s="131"/>
      <c r="E23" s="131"/>
      <c r="F23" s="131"/>
    </row>
    <row r="24" spans="1:6" x14ac:dyDescent="0.3">
      <c r="A24" s="131"/>
      <c r="B24" s="131"/>
      <c r="C24" s="131"/>
      <c r="D24" s="131"/>
      <c r="E24" s="131"/>
      <c r="F24" s="131"/>
    </row>
    <row r="25" spans="1:6" x14ac:dyDescent="0.3">
      <c r="A25" s="131"/>
      <c r="B25" s="131"/>
      <c r="C25" s="131"/>
      <c r="D25" s="131"/>
      <c r="E25" s="131"/>
      <c r="F25" s="131"/>
    </row>
    <row r="26" spans="1:6" x14ac:dyDescent="0.3">
      <c r="A26" s="131"/>
      <c r="B26" s="131"/>
      <c r="C26" s="131"/>
      <c r="D26" s="131"/>
      <c r="E26" s="131"/>
      <c r="F26" s="131"/>
    </row>
    <row r="27" spans="1:6" x14ac:dyDescent="0.3">
      <c r="A27" s="131"/>
      <c r="B27" s="131"/>
      <c r="C27" s="131"/>
      <c r="D27" s="131"/>
      <c r="E27" s="131"/>
      <c r="F27" s="131"/>
    </row>
    <row r="28" spans="1:6" x14ac:dyDescent="0.3">
      <c r="A28" s="131"/>
      <c r="B28" s="131"/>
      <c r="C28" s="131"/>
      <c r="D28" s="131"/>
      <c r="E28" s="131"/>
      <c r="F28" s="131"/>
    </row>
    <row r="29" spans="1:6" x14ac:dyDescent="0.3">
      <c r="A29" s="131"/>
      <c r="B29" s="131"/>
      <c r="C29" s="131"/>
      <c r="D29" s="131"/>
      <c r="E29" s="131"/>
      <c r="F29" s="131"/>
    </row>
    <row r="30" spans="1:6" x14ac:dyDescent="0.3">
      <c r="A30" s="131"/>
      <c r="B30" s="131"/>
      <c r="C30" s="131"/>
      <c r="D30" s="131"/>
      <c r="E30" s="131"/>
      <c r="F30" s="131"/>
    </row>
    <row r="31" spans="1:6" x14ac:dyDescent="0.3">
      <c r="A31" s="131"/>
      <c r="B31" s="131"/>
      <c r="C31" s="131"/>
      <c r="D31" s="131"/>
      <c r="E31" s="131"/>
      <c r="F31" s="131"/>
    </row>
    <row r="32" spans="1:6" x14ac:dyDescent="0.3">
      <c r="A32" s="131"/>
      <c r="B32" s="131"/>
      <c r="C32" s="131"/>
      <c r="D32" s="131"/>
      <c r="E32" s="131"/>
      <c r="F32" s="131"/>
    </row>
    <row r="33" spans="1:6" x14ac:dyDescent="0.3">
      <c r="A33" s="131"/>
      <c r="B33" s="131"/>
      <c r="C33" s="131"/>
      <c r="D33" s="131"/>
      <c r="E33" s="131"/>
      <c r="F33" s="131"/>
    </row>
    <row r="34" spans="1:6" x14ac:dyDescent="0.3">
      <c r="A34" s="131"/>
      <c r="B34" s="131"/>
      <c r="C34" s="131"/>
      <c r="D34" s="131"/>
      <c r="E34" s="131"/>
      <c r="F34" s="131"/>
    </row>
    <row r="35" spans="1:6" x14ac:dyDescent="0.3">
      <c r="A35" s="131"/>
      <c r="B35" s="131"/>
      <c r="C35" s="131"/>
      <c r="D35" s="131"/>
      <c r="E35" s="131"/>
      <c r="F35" s="131"/>
    </row>
    <row r="36" spans="1:6" x14ac:dyDescent="0.3">
      <c r="A36" s="131"/>
      <c r="B36" s="131"/>
      <c r="C36" s="131"/>
      <c r="D36" s="131"/>
      <c r="E36" s="131"/>
      <c r="F36" s="131"/>
    </row>
    <row r="37" spans="1:6" x14ac:dyDescent="0.3">
      <c r="A37" s="131"/>
      <c r="B37" s="131"/>
      <c r="C37" s="131"/>
      <c r="D37" s="131"/>
      <c r="E37" s="131"/>
      <c r="F37" s="131"/>
    </row>
    <row r="38" spans="1:6" x14ac:dyDescent="0.3">
      <c r="A38" s="131"/>
      <c r="B38" s="131"/>
      <c r="C38" s="131"/>
      <c r="D38" s="131"/>
      <c r="E38" s="131"/>
      <c r="F38" s="131"/>
    </row>
    <row r="39" spans="1:6" x14ac:dyDescent="0.3">
      <c r="A39" s="131"/>
      <c r="B39" s="131"/>
      <c r="C39" s="131"/>
      <c r="D39" s="131"/>
      <c r="E39" s="131"/>
      <c r="F39" s="131"/>
    </row>
    <row r="40" spans="1:6" x14ac:dyDescent="0.3">
      <c r="A40" s="131"/>
      <c r="B40" s="131"/>
      <c r="C40" s="131"/>
      <c r="D40" s="131"/>
      <c r="E40" s="131"/>
      <c r="F40" s="131"/>
    </row>
    <row r="41" spans="1:6" x14ac:dyDescent="0.3">
      <c r="A41" s="131"/>
      <c r="B41" s="131"/>
      <c r="C41" s="131"/>
      <c r="D41" s="131"/>
      <c r="E41" s="131"/>
      <c r="F41" s="131"/>
    </row>
    <row r="42" spans="1:6" x14ac:dyDescent="0.3">
      <c r="A42" s="131"/>
      <c r="B42" s="131"/>
      <c r="C42" s="131"/>
      <c r="D42" s="131"/>
      <c r="E42" s="131"/>
      <c r="F42" s="131"/>
    </row>
    <row r="43" spans="1:6" x14ac:dyDescent="0.3">
      <c r="A43" s="131"/>
      <c r="B43" s="131"/>
      <c r="C43" s="131"/>
      <c r="D43" s="131"/>
      <c r="E43" s="131"/>
      <c r="F43" s="131"/>
    </row>
    <row r="44" spans="1:6" x14ac:dyDescent="0.3">
      <c r="A44" s="131"/>
      <c r="B44" s="131"/>
      <c r="C44" s="131"/>
      <c r="D44" s="131"/>
      <c r="E44" s="131"/>
      <c r="F44" s="131"/>
    </row>
    <row r="45" spans="1:6" x14ac:dyDescent="0.3">
      <c r="A45" s="131"/>
      <c r="B45" s="131"/>
      <c r="C45" s="131"/>
      <c r="D45" s="131"/>
      <c r="E45" s="131"/>
      <c r="F45" s="131"/>
    </row>
    <row r="46" spans="1:6" x14ac:dyDescent="0.3">
      <c r="A46" s="131"/>
      <c r="B46" s="131"/>
      <c r="C46" s="131"/>
      <c r="D46" s="131"/>
      <c r="E46" s="131"/>
      <c r="F46" s="131"/>
    </row>
    <row r="47" spans="1:6" x14ac:dyDescent="0.3">
      <c r="A47" s="131"/>
      <c r="B47" s="131"/>
      <c r="C47" s="131"/>
      <c r="D47" s="131"/>
      <c r="E47" s="131"/>
      <c r="F47" s="131"/>
    </row>
    <row r="48" spans="1:6" x14ac:dyDescent="0.3">
      <c r="A48" s="131"/>
      <c r="B48" s="131"/>
      <c r="C48" s="131"/>
      <c r="D48" s="131"/>
      <c r="E48" s="131"/>
      <c r="F48" s="131"/>
    </row>
    <row r="49" spans="1:6" x14ac:dyDescent="0.3">
      <c r="A49" s="131"/>
      <c r="B49" s="131"/>
      <c r="C49" s="131"/>
      <c r="D49" s="131"/>
      <c r="E49" s="131"/>
      <c r="F49" s="131"/>
    </row>
    <row r="50" spans="1:6" x14ac:dyDescent="0.3">
      <c r="A50" s="131"/>
      <c r="B50" s="131"/>
      <c r="C50" s="131"/>
      <c r="D50" s="131"/>
      <c r="E50" s="131"/>
      <c r="F50" s="131"/>
    </row>
    <row r="51" spans="1:6" x14ac:dyDescent="0.3">
      <c r="A51" s="131"/>
      <c r="B51" s="131"/>
      <c r="C51" s="131"/>
      <c r="D51" s="131"/>
      <c r="E51" s="131"/>
      <c r="F51" s="131"/>
    </row>
    <row r="52" spans="1:6" x14ac:dyDescent="0.3">
      <c r="A52" s="131"/>
      <c r="B52" s="131"/>
      <c r="C52" s="131"/>
      <c r="D52" s="131"/>
      <c r="E52" s="131"/>
      <c r="F52" s="131"/>
    </row>
    <row r="53" spans="1:6" x14ac:dyDescent="0.3">
      <c r="A53" s="131"/>
      <c r="B53" s="131"/>
      <c r="C53" s="131"/>
      <c r="D53" s="131"/>
      <c r="E53" s="131"/>
      <c r="F53" s="131"/>
    </row>
    <row r="54" spans="1:6" x14ac:dyDescent="0.3">
      <c r="A54" s="131"/>
      <c r="B54" s="131"/>
      <c r="C54" s="131"/>
      <c r="D54" s="131"/>
      <c r="E54" s="131"/>
      <c r="F54" s="131"/>
    </row>
    <row r="55" spans="1:6" x14ac:dyDescent="0.3">
      <c r="A55" s="131"/>
      <c r="B55" s="131"/>
      <c r="C55" s="131"/>
      <c r="D55" s="131"/>
      <c r="E55" s="131"/>
      <c r="F55" s="131"/>
    </row>
    <row r="56" spans="1:6" x14ac:dyDescent="0.3">
      <c r="A56" s="131"/>
      <c r="B56" s="131"/>
      <c r="C56" s="131"/>
      <c r="D56" s="131"/>
      <c r="E56" s="131"/>
      <c r="F56" s="131"/>
    </row>
    <row r="57" spans="1:6" x14ac:dyDescent="0.3">
      <c r="A57" s="131"/>
      <c r="B57" s="131"/>
      <c r="C57" s="131"/>
      <c r="D57" s="131"/>
      <c r="E57" s="131"/>
      <c r="F57" s="131"/>
    </row>
    <row r="58" spans="1:6" x14ac:dyDescent="0.3">
      <c r="A58" s="131"/>
      <c r="B58" s="131"/>
      <c r="C58" s="131"/>
      <c r="D58" s="131"/>
      <c r="E58" s="131"/>
      <c r="F58" s="131"/>
    </row>
    <row r="59" spans="1:6" x14ac:dyDescent="0.3">
      <c r="A59" s="131"/>
      <c r="B59" s="131"/>
      <c r="C59" s="131"/>
      <c r="D59" s="131"/>
      <c r="E59" s="131"/>
      <c r="F59" s="131"/>
    </row>
    <row r="60" spans="1:6" x14ac:dyDescent="0.3">
      <c r="A60" s="131"/>
      <c r="B60" s="131"/>
      <c r="C60" s="131"/>
      <c r="D60" s="131"/>
      <c r="E60" s="131"/>
      <c r="F60" s="131"/>
    </row>
    <row r="61" spans="1:6" x14ac:dyDescent="0.3">
      <c r="A61" s="131"/>
      <c r="B61" s="131"/>
      <c r="C61" s="131"/>
      <c r="D61" s="131"/>
      <c r="E61" s="131"/>
      <c r="F61" s="131"/>
    </row>
    <row r="62" spans="1:6" x14ac:dyDescent="0.3">
      <c r="A62" s="131"/>
      <c r="B62" s="131"/>
      <c r="C62" s="131"/>
      <c r="D62" s="131"/>
      <c r="E62" s="131"/>
      <c r="F62" s="131"/>
    </row>
    <row r="63" spans="1:6" x14ac:dyDescent="0.3">
      <c r="A63" s="131"/>
      <c r="B63" s="131"/>
      <c r="C63" s="131"/>
      <c r="D63" s="131"/>
      <c r="E63" s="131"/>
      <c r="F63" s="131"/>
    </row>
    <row r="64" spans="1:6" x14ac:dyDescent="0.3">
      <c r="A64" s="131"/>
      <c r="B64" s="131"/>
      <c r="C64" s="131"/>
      <c r="D64" s="131"/>
      <c r="E64" s="131"/>
      <c r="F64" s="131"/>
    </row>
    <row r="65" spans="1:6" x14ac:dyDescent="0.3">
      <c r="A65" s="131"/>
      <c r="B65" s="131"/>
      <c r="C65" s="131"/>
      <c r="D65" s="131"/>
      <c r="E65" s="131"/>
      <c r="F65" s="131"/>
    </row>
    <row r="66" spans="1:6" x14ac:dyDescent="0.3">
      <c r="A66" s="131"/>
      <c r="B66" s="131"/>
      <c r="C66" s="131"/>
      <c r="D66" s="131"/>
      <c r="E66" s="131"/>
      <c r="F66" s="131"/>
    </row>
    <row r="67" spans="1:6" x14ac:dyDescent="0.3">
      <c r="A67" s="131"/>
      <c r="B67" s="131"/>
      <c r="C67" s="131"/>
      <c r="D67" s="131"/>
      <c r="E67" s="131"/>
      <c r="F67" s="131"/>
    </row>
    <row r="68" spans="1:6" x14ac:dyDescent="0.3">
      <c r="A68" s="131"/>
      <c r="B68" s="131"/>
      <c r="C68" s="131"/>
      <c r="D68" s="131"/>
      <c r="E68" s="131"/>
      <c r="F68" s="131"/>
    </row>
    <row r="69" spans="1:6" x14ac:dyDescent="0.3">
      <c r="A69" s="131"/>
      <c r="B69" s="131"/>
      <c r="C69" s="131"/>
      <c r="D69" s="131"/>
      <c r="E69" s="131"/>
      <c r="F69" s="131"/>
    </row>
    <row r="70" spans="1:6" x14ac:dyDescent="0.3">
      <c r="A70" s="131"/>
      <c r="B70" s="131"/>
      <c r="C70" s="131"/>
      <c r="D70" s="131"/>
      <c r="E70" s="131"/>
      <c r="F70" s="131"/>
    </row>
    <row r="71" spans="1:6" x14ac:dyDescent="0.3">
      <c r="A71" s="131"/>
      <c r="B71" s="131"/>
      <c r="C71" s="131"/>
      <c r="D71" s="131"/>
      <c r="E71" s="131"/>
      <c r="F71" s="131"/>
    </row>
    <row r="72" spans="1:6" x14ac:dyDescent="0.3">
      <c r="A72" s="131"/>
      <c r="B72" s="131"/>
      <c r="C72" s="131"/>
      <c r="D72" s="131"/>
      <c r="E72" s="131"/>
      <c r="F72" s="131"/>
    </row>
    <row r="73" spans="1:6" x14ac:dyDescent="0.3">
      <c r="A73" s="131"/>
      <c r="B73" s="131"/>
      <c r="C73" s="131"/>
      <c r="D73" s="131"/>
      <c r="E73" s="131"/>
      <c r="F73" s="131"/>
    </row>
    <row r="74" spans="1:6" x14ac:dyDescent="0.3">
      <c r="A74" s="131"/>
      <c r="B74" s="131"/>
      <c r="C74" s="131"/>
      <c r="D74" s="131"/>
      <c r="E74" s="131"/>
      <c r="F74" s="131"/>
    </row>
    <row r="75" spans="1:6" x14ac:dyDescent="0.3">
      <c r="A75" s="131"/>
      <c r="B75" s="131"/>
      <c r="C75" s="131"/>
      <c r="D75" s="131"/>
      <c r="E75" s="131"/>
      <c r="F75" s="131"/>
    </row>
    <row r="76" spans="1:6" x14ac:dyDescent="0.3">
      <c r="A76" s="131"/>
      <c r="B76" s="131"/>
      <c r="C76" s="131"/>
      <c r="D76" s="131"/>
      <c r="E76" s="131"/>
      <c r="F76" s="131"/>
    </row>
    <row r="77" spans="1:6" x14ac:dyDescent="0.3">
      <c r="A77" s="131"/>
      <c r="B77" s="131"/>
      <c r="C77" s="131"/>
      <c r="D77" s="131"/>
      <c r="E77" s="131"/>
      <c r="F77" s="131"/>
    </row>
    <row r="78" spans="1:6" x14ac:dyDescent="0.3">
      <c r="A78" s="131"/>
      <c r="B78" s="131"/>
      <c r="C78" s="131"/>
      <c r="D78" s="131"/>
      <c r="E78" s="131"/>
      <c r="F78" s="131"/>
    </row>
    <row r="79" spans="1:6" x14ac:dyDescent="0.3">
      <c r="A79" s="131"/>
      <c r="B79" s="131"/>
      <c r="C79" s="131"/>
      <c r="D79" s="131"/>
      <c r="E79" s="131"/>
      <c r="F79" s="131"/>
    </row>
    <row r="80" spans="1:6" x14ac:dyDescent="0.3">
      <c r="A80" s="131"/>
      <c r="B80" s="131"/>
      <c r="C80" s="131"/>
      <c r="D80" s="131"/>
      <c r="E80" s="131"/>
      <c r="F80" s="131"/>
    </row>
    <row r="81" spans="1:6" x14ac:dyDescent="0.3">
      <c r="A81" s="131"/>
      <c r="B81" s="131"/>
      <c r="C81" s="131"/>
      <c r="D81" s="131"/>
      <c r="E81" s="131"/>
      <c r="F81" s="131"/>
    </row>
    <row r="82" spans="1:6" x14ac:dyDescent="0.3">
      <c r="A82" s="131"/>
      <c r="B82" s="131"/>
      <c r="C82" s="131"/>
      <c r="D82" s="131"/>
      <c r="E82" s="131"/>
      <c r="F82" s="131"/>
    </row>
    <row r="83" spans="1:6" x14ac:dyDescent="0.3">
      <c r="A83" s="131"/>
      <c r="B83" s="131"/>
      <c r="C83" s="131"/>
      <c r="D83" s="131"/>
      <c r="E83" s="131"/>
      <c r="F83" s="131"/>
    </row>
    <row r="84" spans="1:6" x14ac:dyDescent="0.3">
      <c r="A84" s="131"/>
      <c r="B84" s="131"/>
      <c r="C84" s="131"/>
      <c r="D84" s="131"/>
      <c r="E84" s="131"/>
      <c r="F84" s="131"/>
    </row>
    <row r="85" spans="1:6" x14ac:dyDescent="0.3">
      <c r="A85" s="131"/>
      <c r="B85" s="131"/>
      <c r="C85" s="131"/>
      <c r="D85" s="131"/>
      <c r="E85" s="131"/>
      <c r="F85" s="131"/>
    </row>
    <row r="86" spans="1:6" x14ac:dyDescent="0.3">
      <c r="A86" s="131"/>
      <c r="B86" s="131"/>
      <c r="C86" s="131"/>
      <c r="D86" s="131"/>
      <c r="E86" s="131"/>
      <c r="F86" s="131"/>
    </row>
    <row r="87" spans="1:6" x14ac:dyDescent="0.3">
      <c r="A87" s="131"/>
      <c r="B87" s="131"/>
      <c r="C87" s="131"/>
      <c r="D87" s="131"/>
      <c r="E87" s="131"/>
      <c r="F87" s="131"/>
    </row>
    <row r="88" spans="1:6" x14ac:dyDescent="0.3">
      <c r="A88" s="131"/>
      <c r="B88" s="131"/>
      <c r="C88" s="131"/>
      <c r="D88" s="131"/>
      <c r="E88" s="131"/>
      <c r="F88" s="131"/>
    </row>
    <row r="89" spans="1:6" x14ac:dyDescent="0.3">
      <c r="A89" s="131"/>
      <c r="B89" s="131"/>
      <c r="C89" s="131"/>
      <c r="D89" s="131"/>
      <c r="E89" s="131"/>
      <c r="F89" s="131"/>
    </row>
    <row r="90" spans="1:6" x14ac:dyDescent="0.3">
      <c r="A90" s="131"/>
      <c r="B90" s="131"/>
      <c r="C90" s="131"/>
      <c r="D90" s="131"/>
      <c r="E90" s="131"/>
      <c r="F90" s="131"/>
    </row>
    <row r="91" spans="1:6" x14ac:dyDescent="0.3">
      <c r="A91" s="131"/>
      <c r="B91" s="131"/>
      <c r="C91" s="131"/>
      <c r="D91" s="131"/>
      <c r="E91" s="131"/>
      <c r="F91" s="131"/>
    </row>
    <row r="92" spans="1:6" x14ac:dyDescent="0.3">
      <c r="A92" s="131"/>
      <c r="B92" s="131"/>
      <c r="C92" s="131"/>
      <c r="D92" s="131"/>
      <c r="E92" s="131"/>
      <c r="F92" s="131"/>
    </row>
    <row r="93" spans="1:6" x14ac:dyDescent="0.3">
      <c r="A93" s="131"/>
      <c r="B93" s="131"/>
      <c r="C93" s="131"/>
      <c r="D93" s="131"/>
      <c r="E93" s="131"/>
      <c r="F93" s="131"/>
    </row>
    <row r="94" spans="1:6" x14ac:dyDescent="0.3">
      <c r="A94" s="131"/>
      <c r="B94" s="131"/>
      <c r="C94" s="131"/>
      <c r="D94" s="131"/>
      <c r="E94" s="131"/>
      <c r="F94" s="131"/>
    </row>
    <row r="95" spans="1:6" x14ac:dyDescent="0.3">
      <c r="A95" s="131"/>
      <c r="B95" s="131"/>
      <c r="C95" s="131"/>
      <c r="D95" s="131"/>
      <c r="E95" s="131"/>
      <c r="F95" s="131"/>
    </row>
    <row r="96" spans="1:6" x14ac:dyDescent="0.3">
      <c r="A96" s="131"/>
      <c r="B96" s="131"/>
      <c r="C96" s="131"/>
      <c r="D96" s="131"/>
      <c r="E96" s="131"/>
      <c r="F96" s="131"/>
    </row>
    <row r="97" spans="1:6" x14ac:dyDescent="0.3">
      <c r="A97" s="131"/>
      <c r="B97" s="131"/>
      <c r="C97" s="131"/>
      <c r="D97" s="131"/>
      <c r="E97" s="131"/>
      <c r="F97" s="131"/>
    </row>
    <row r="98" spans="1:6" x14ac:dyDescent="0.3">
      <c r="A98" s="131"/>
      <c r="B98" s="131"/>
      <c r="C98" s="131"/>
      <c r="D98" s="131"/>
      <c r="E98" s="131"/>
      <c r="F98" s="131"/>
    </row>
    <row r="99" spans="1:6" x14ac:dyDescent="0.3">
      <c r="A99" s="131"/>
      <c r="B99" s="131"/>
      <c r="C99" s="131"/>
      <c r="D99" s="131"/>
      <c r="E99" s="131"/>
      <c r="F99" s="131"/>
    </row>
    <row r="100" spans="1:6" x14ac:dyDescent="0.3">
      <c r="A100" s="131"/>
      <c r="B100" s="131"/>
      <c r="C100" s="131"/>
      <c r="D100" s="131"/>
      <c r="E100" s="131"/>
      <c r="F100" s="131"/>
    </row>
    <row r="101" spans="1:6" x14ac:dyDescent="0.3">
      <c r="A101" s="131"/>
      <c r="B101" s="131"/>
      <c r="C101" s="131"/>
      <c r="D101" s="131"/>
      <c r="E101" s="131"/>
      <c r="F101" s="131"/>
    </row>
    <row r="102" spans="1:6" x14ac:dyDescent="0.3">
      <c r="A102" s="131"/>
      <c r="B102" s="131"/>
      <c r="C102" s="131"/>
      <c r="D102" s="131"/>
      <c r="E102" s="131"/>
      <c r="F102" s="131"/>
    </row>
    <row r="103" spans="1:6" x14ac:dyDescent="0.3">
      <c r="A103" s="131"/>
      <c r="B103" s="131"/>
      <c r="C103" s="131"/>
      <c r="D103" s="131"/>
      <c r="E103" s="131"/>
      <c r="F103" s="131"/>
    </row>
    <row r="104" spans="1:6" x14ac:dyDescent="0.3">
      <c r="A104" s="131"/>
      <c r="B104" s="131"/>
      <c r="C104" s="131"/>
      <c r="D104" s="131"/>
      <c r="E104" s="131"/>
      <c r="F104" s="131"/>
    </row>
    <row r="105" spans="1:6" x14ac:dyDescent="0.3">
      <c r="A105" s="131"/>
      <c r="B105" s="131"/>
      <c r="C105" s="131"/>
      <c r="D105" s="131"/>
      <c r="E105" s="131"/>
      <c r="F105" s="131"/>
    </row>
    <row r="106" spans="1:6" x14ac:dyDescent="0.3">
      <c r="A106" s="131"/>
      <c r="B106" s="131"/>
      <c r="C106" s="131"/>
      <c r="D106" s="131"/>
      <c r="E106" s="131"/>
      <c r="F106" s="131"/>
    </row>
    <row r="107" spans="1:6" x14ac:dyDescent="0.3">
      <c r="A107" s="131"/>
      <c r="B107" s="131"/>
      <c r="C107" s="131"/>
      <c r="D107" s="131"/>
      <c r="E107" s="131"/>
      <c r="F107" s="131"/>
    </row>
    <row r="108" spans="1:6" x14ac:dyDescent="0.3">
      <c r="A108" s="131"/>
      <c r="B108" s="131"/>
      <c r="C108" s="131"/>
      <c r="D108" s="131"/>
      <c r="E108" s="131"/>
      <c r="F108" s="131"/>
    </row>
    <row r="109" spans="1:6" x14ac:dyDescent="0.3">
      <c r="A109" s="131"/>
      <c r="B109" s="131"/>
      <c r="C109" s="131"/>
      <c r="D109" s="131"/>
      <c r="E109" s="131"/>
      <c r="F109" s="131"/>
    </row>
    <row r="110" spans="1:6" x14ac:dyDescent="0.3">
      <c r="A110" s="131"/>
      <c r="B110" s="131"/>
      <c r="C110" s="131"/>
      <c r="D110" s="131"/>
      <c r="E110" s="131"/>
      <c r="F110" s="131"/>
    </row>
    <row r="111" spans="1:6" x14ac:dyDescent="0.3">
      <c r="A111" s="131"/>
      <c r="B111" s="131"/>
      <c r="C111" s="131"/>
      <c r="D111" s="131"/>
      <c r="E111" s="131"/>
      <c r="F111" s="131"/>
    </row>
    <row r="112" spans="1:6" x14ac:dyDescent="0.3">
      <c r="A112" s="131"/>
      <c r="B112" s="131"/>
      <c r="C112" s="131"/>
      <c r="D112" s="131"/>
      <c r="E112" s="131"/>
      <c r="F112" s="131"/>
    </row>
    <row r="113" spans="1:6" x14ac:dyDescent="0.3">
      <c r="A113" s="131"/>
      <c r="B113" s="131"/>
      <c r="C113" s="131"/>
      <c r="D113" s="131"/>
      <c r="E113" s="131"/>
      <c r="F113" s="131"/>
    </row>
    <row r="114" spans="1:6" x14ac:dyDescent="0.3">
      <c r="A114" s="131"/>
      <c r="B114" s="131"/>
      <c r="C114" s="131"/>
      <c r="D114" s="131"/>
      <c r="E114" s="131"/>
      <c r="F114" s="131"/>
    </row>
    <row r="115" spans="1:6" x14ac:dyDescent="0.3">
      <c r="A115" s="131"/>
      <c r="B115" s="131"/>
      <c r="C115" s="131"/>
      <c r="D115" s="131"/>
      <c r="E115" s="131"/>
      <c r="F115" s="131"/>
    </row>
    <row r="116" spans="1:6" x14ac:dyDescent="0.3">
      <c r="A116" s="131"/>
      <c r="B116" s="131"/>
      <c r="C116" s="131"/>
      <c r="D116" s="131"/>
      <c r="E116" s="131"/>
      <c r="F116" s="131"/>
    </row>
    <row r="117" spans="1:6" x14ac:dyDescent="0.3">
      <c r="A117" s="131"/>
      <c r="B117" s="131"/>
      <c r="C117" s="131"/>
      <c r="D117" s="131"/>
      <c r="E117" s="131"/>
      <c r="F117" s="131"/>
    </row>
    <row r="118" spans="1:6" x14ac:dyDescent="0.3">
      <c r="A118" s="131"/>
      <c r="B118" s="131"/>
      <c r="C118" s="131"/>
      <c r="D118" s="131"/>
      <c r="E118" s="131"/>
      <c r="F118" s="131"/>
    </row>
    <row r="119" spans="1:6" x14ac:dyDescent="0.3">
      <c r="A119" s="131"/>
      <c r="B119" s="131"/>
      <c r="C119" s="131"/>
      <c r="D119" s="131"/>
      <c r="E119" s="131"/>
      <c r="F119" s="131"/>
    </row>
    <row r="120" spans="1:6" x14ac:dyDescent="0.3">
      <c r="A120" s="131"/>
      <c r="B120" s="131"/>
      <c r="C120" s="131"/>
      <c r="D120" s="131"/>
      <c r="E120" s="131"/>
      <c r="F120" s="131"/>
    </row>
    <row r="121" spans="1:6" x14ac:dyDescent="0.3">
      <c r="A121" s="131"/>
      <c r="B121" s="131"/>
      <c r="C121" s="131"/>
      <c r="D121" s="131"/>
      <c r="E121" s="131"/>
      <c r="F121" s="131"/>
    </row>
    <row r="122" spans="1:6" x14ac:dyDescent="0.3">
      <c r="A122" s="131"/>
      <c r="B122" s="131"/>
      <c r="C122" s="131"/>
      <c r="D122" s="131"/>
      <c r="E122" s="131"/>
      <c r="F122" s="131"/>
    </row>
    <row r="123" spans="1:6" x14ac:dyDescent="0.3">
      <c r="A123" s="131"/>
      <c r="B123" s="131"/>
      <c r="C123" s="131"/>
      <c r="D123" s="131"/>
      <c r="E123" s="131"/>
      <c r="F123" s="131"/>
    </row>
    <row r="124" spans="1:6" x14ac:dyDescent="0.3">
      <c r="A124" s="131"/>
      <c r="B124" s="131"/>
      <c r="C124" s="131"/>
      <c r="D124" s="131"/>
      <c r="E124" s="131"/>
      <c r="F124" s="131"/>
    </row>
    <row r="125" spans="1:6" x14ac:dyDescent="0.3">
      <c r="A125" s="131"/>
      <c r="B125" s="131"/>
      <c r="C125" s="131"/>
      <c r="D125" s="131"/>
      <c r="E125" s="131"/>
      <c r="F125" s="131"/>
    </row>
    <row r="126" spans="1:6" x14ac:dyDescent="0.3">
      <c r="A126" s="131"/>
      <c r="B126" s="131"/>
      <c r="C126" s="131"/>
      <c r="D126" s="131"/>
      <c r="E126" s="131"/>
      <c r="F126" s="131"/>
    </row>
    <row r="127" spans="1:6" x14ac:dyDescent="0.3">
      <c r="A127" s="131"/>
      <c r="B127" s="131"/>
      <c r="C127" s="131"/>
      <c r="D127" s="131"/>
      <c r="E127" s="131"/>
      <c r="F127" s="131"/>
    </row>
    <row r="128" spans="1:6" x14ac:dyDescent="0.3">
      <c r="A128" s="131"/>
      <c r="B128" s="131"/>
      <c r="C128" s="131"/>
      <c r="D128" s="131"/>
      <c r="E128" s="131"/>
      <c r="F128" s="131"/>
    </row>
    <row r="129" spans="1:6" x14ac:dyDescent="0.3">
      <c r="A129" s="131"/>
      <c r="B129" s="131"/>
      <c r="C129" s="131"/>
      <c r="D129" s="131"/>
      <c r="E129" s="131"/>
      <c r="F129" s="131"/>
    </row>
    <row r="130" spans="1:6" x14ac:dyDescent="0.3">
      <c r="A130" s="131"/>
      <c r="B130" s="131"/>
      <c r="C130" s="131"/>
      <c r="D130" s="131"/>
      <c r="E130" s="131"/>
      <c r="F130" s="131"/>
    </row>
    <row r="131" spans="1:6" x14ac:dyDescent="0.3">
      <c r="A131" s="131"/>
      <c r="B131" s="131"/>
      <c r="C131" s="131"/>
      <c r="D131" s="131"/>
      <c r="E131" s="131"/>
      <c r="F131" s="131"/>
    </row>
    <row r="132" spans="1:6" x14ac:dyDescent="0.3">
      <c r="A132" s="131"/>
      <c r="B132" s="131"/>
      <c r="C132" s="131"/>
      <c r="D132" s="131"/>
      <c r="E132" s="131"/>
      <c r="F132" s="131"/>
    </row>
    <row r="133" spans="1:6" x14ac:dyDescent="0.3">
      <c r="A133" s="131"/>
      <c r="B133" s="131"/>
      <c r="C133" s="131"/>
      <c r="D133" s="131"/>
      <c r="E133" s="131"/>
      <c r="F133" s="131"/>
    </row>
    <row r="134" spans="1:6" x14ac:dyDescent="0.3">
      <c r="A134" s="131"/>
      <c r="B134" s="131"/>
      <c r="C134" s="131"/>
      <c r="D134" s="131"/>
      <c r="E134" s="131"/>
      <c r="F134" s="131"/>
    </row>
    <row r="135" spans="1:6" x14ac:dyDescent="0.3">
      <c r="A135" s="131"/>
      <c r="B135" s="131"/>
      <c r="C135" s="131"/>
      <c r="D135" s="131"/>
      <c r="E135" s="131"/>
      <c r="F135" s="131"/>
    </row>
    <row r="136" spans="1:6" x14ac:dyDescent="0.3">
      <c r="A136" s="131"/>
      <c r="B136" s="131"/>
      <c r="C136" s="131"/>
      <c r="D136" s="131"/>
      <c r="E136" s="131"/>
      <c r="F136" s="131"/>
    </row>
    <row r="137" spans="1:6" x14ac:dyDescent="0.3">
      <c r="A137" s="131"/>
      <c r="B137" s="131"/>
      <c r="C137" s="131"/>
      <c r="D137" s="131"/>
      <c r="E137" s="131"/>
      <c r="F137" s="131"/>
    </row>
    <row r="138" spans="1:6" x14ac:dyDescent="0.3">
      <c r="A138" s="131"/>
      <c r="B138" s="131"/>
      <c r="C138" s="131"/>
      <c r="D138" s="131"/>
      <c r="E138" s="131"/>
      <c r="F138" s="131"/>
    </row>
    <row r="139" spans="1:6" x14ac:dyDescent="0.3">
      <c r="A139" s="131"/>
      <c r="B139" s="131"/>
      <c r="C139" s="131"/>
      <c r="D139" s="131"/>
      <c r="E139" s="131"/>
      <c r="F139" s="131"/>
    </row>
    <row r="140" spans="1:6" x14ac:dyDescent="0.3">
      <c r="A140" s="131"/>
      <c r="B140" s="131"/>
      <c r="C140" s="131"/>
      <c r="D140" s="131"/>
      <c r="E140" s="131"/>
      <c r="F140" s="131"/>
    </row>
    <row r="141" spans="1:6" x14ac:dyDescent="0.3">
      <c r="A141" s="131"/>
      <c r="B141" s="131"/>
      <c r="C141" s="131"/>
      <c r="D141" s="131"/>
      <c r="E141" s="131"/>
      <c r="F141" s="131"/>
    </row>
    <row r="142" spans="1:6" x14ac:dyDescent="0.3">
      <c r="A142" s="131"/>
      <c r="B142" s="131"/>
      <c r="C142" s="131"/>
      <c r="D142" s="131"/>
      <c r="E142" s="131"/>
      <c r="F142" s="131"/>
    </row>
    <row r="143" spans="1:6" x14ac:dyDescent="0.3">
      <c r="A143" s="131"/>
      <c r="B143" s="131"/>
      <c r="C143" s="131"/>
      <c r="D143" s="131"/>
      <c r="E143" s="131"/>
      <c r="F143" s="131"/>
    </row>
    <row r="144" spans="1:6" x14ac:dyDescent="0.3">
      <c r="A144" s="131"/>
      <c r="B144" s="131"/>
      <c r="C144" s="131"/>
      <c r="D144" s="131"/>
      <c r="E144" s="131"/>
      <c r="F144" s="131"/>
    </row>
    <row r="145" spans="1:6" x14ac:dyDescent="0.3">
      <c r="A145" s="131"/>
      <c r="B145" s="131"/>
      <c r="C145" s="131"/>
      <c r="D145" s="131"/>
      <c r="E145" s="131"/>
      <c r="F145" s="131"/>
    </row>
    <row r="146" spans="1:6" x14ac:dyDescent="0.3">
      <c r="A146" s="131"/>
      <c r="B146" s="131"/>
      <c r="C146" s="131"/>
      <c r="D146" s="131"/>
      <c r="E146" s="131"/>
      <c r="F146" s="131"/>
    </row>
    <row r="147" spans="1:6" x14ac:dyDescent="0.3">
      <c r="A147" s="131"/>
      <c r="B147" s="131"/>
      <c r="C147" s="131"/>
      <c r="D147" s="131"/>
      <c r="E147" s="131"/>
      <c r="F147" s="131"/>
    </row>
    <row r="148" spans="1:6" x14ac:dyDescent="0.3">
      <c r="A148" s="131"/>
      <c r="B148" s="131"/>
      <c r="C148" s="131"/>
      <c r="D148" s="131"/>
      <c r="E148" s="131"/>
      <c r="F148" s="131"/>
    </row>
    <row r="149" spans="1:6" x14ac:dyDescent="0.3">
      <c r="A149" s="131"/>
      <c r="B149" s="131"/>
      <c r="C149" s="131"/>
      <c r="D149" s="131"/>
      <c r="E149" s="131"/>
      <c r="F149" s="131"/>
    </row>
    <row r="150" spans="1:6" x14ac:dyDescent="0.3">
      <c r="A150" s="131"/>
      <c r="B150" s="131"/>
      <c r="C150" s="131"/>
      <c r="D150" s="131"/>
      <c r="E150" s="131"/>
      <c r="F150" s="131"/>
    </row>
    <row r="151" spans="1:6" x14ac:dyDescent="0.3">
      <c r="A151" s="131"/>
      <c r="B151" s="131"/>
      <c r="C151" s="131"/>
      <c r="D151" s="131"/>
      <c r="E151" s="131"/>
      <c r="F151" s="131"/>
    </row>
    <row r="152" spans="1:6" x14ac:dyDescent="0.3">
      <c r="A152" s="131"/>
      <c r="B152" s="131"/>
      <c r="C152" s="131"/>
      <c r="D152" s="131"/>
      <c r="E152" s="131"/>
      <c r="F152" s="131"/>
    </row>
    <row r="153" spans="1:6" x14ac:dyDescent="0.3">
      <c r="A153" s="131"/>
      <c r="B153" s="131"/>
      <c r="C153" s="131"/>
      <c r="D153" s="131"/>
      <c r="E153" s="131"/>
      <c r="F153" s="131"/>
    </row>
    <row r="154" spans="1:6" x14ac:dyDescent="0.3">
      <c r="A154" s="131"/>
      <c r="B154" s="131"/>
      <c r="C154" s="131"/>
      <c r="D154" s="131"/>
      <c r="E154" s="131"/>
      <c r="F154" s="131"/>
    </row>
    <row r="155" spans="1:6" x14ac:dyDescent="0.3">
      <c r="A155" s="131"/>
      <c r="B155" s="131"/>
      <c r="C155" s="131"/>
      <c r="D155" s="131"/>
      <c r="E155" s="131"/>
      <c r="F155" s="131"/>
    </row>
    <row r="156" spans="1:6" x14ac:dyDescent="0.3">
      <c r="A156" s="131"/>
      <c r="B156" s="131"/>
      <c r="C156" s="131"/>
      <c r="D156" s="131"/>
      <c r="E156" s="131"/>
      <c r="F156" s="131"/>
    </row>
    <row r="157" spans="1:6" x14ac:dyDescent="0.3">
      <c r="A157" s="131"/>
      <c r="B157" s="131"/>
      <c r="C157" s="131"/>
      <c r="D157" s="131"/>
      <c r="E157" s="131"/>
      <c r="F157" s="131"/>
    </row>
    <row r="158" spans="1:6" x14ac:dyDescent="0.3">
      <c r="A158" s="131"/>
      <c r="B158" s="131"/>
      <c r="C158" s="131"/>
      <c r="D158" s="131"/>
      <c r="E158" s="131"/>
      <c r="F158" s="131"/>
    </row>
    <row r="159" spans="1:6" x14ac:dyDescent="0.3">
      <c r="A159" s="131"/>
      <c r="B159" s="131"/>
      <c r="C159" s="131"/>
      <c r="D159" s="131"/>
      <c r="E159" s="131"/>
      <c r="F159" s="131"/>
    </row>
    <row r="160" spans="1:6" x14ac:dyDescent="0.3">
      <c r="A160" s="131"/>
      <c r="B160" s="131"/>
      <c r="C160" s="131"/>
      <c r="D160" s="131"/>
      <c r="E160" s="131"/>
      <c r="F160" s="131"/>
    </row>
    <row r="161" spans="1:6" x14ac:dyDescent="0.3">
      <c r="A161" s="131"/>
      <c r="B161" s="131"/>
      <c r="C161" s="131"/>
      <c r="D161" s="131"/>
      <c r="E161" s="131"/>
      <c r="F161" s="131"/>
    </row>
    <row r="162" spans="1:6" x14ac:dyDescent="0.3">
      <c r="A162" s="131"/>
      <c r="B162" s="131"/>
      <c r="C162" s="131"/>
      <c r="D162" s="131"/>
      <c r="E162" s="131"/>
      <c r="F162" s="131"/>
    </row>
    <row r="163" spans="1:6" x14ac:dyDescent="0.3">
      <c r="A163" s="131"/>
      <c r="B163" s="131"/>
      <c r="C163" s="131"/>
      <c r="D163" s="131"/>
      <c r="E163" s="131"/>
      <c r="F163" s="131"/>
    </row>
    <row r="164" spans="1:6" x14ac:dyDescent="0.3">
      <c r="A164" s="131"/>
      <c r="B164" s="131"/>
      <c r="C164" s="131"/>
      <c r="D164" s="131"/>
      <c r="E164" s="131"/>
      <c r="F164" s="131"/>
    </row>
    <row r="165" spans="1:6" x14ac:dyDescent="0.3">
      <c r="A165" s="131"/>
      <c r="B165" s="131"/>
      <c r="C165" s="131"/>
      <c r="D165" s="131"/>
      <c r="E165" s="131"/>
      <c r="F165" s="131"/>
    </row>
    <row r="166" spans="1:6" x14ac:dyDescent="0.3">
      <c r="A166" s="131"/>
      <c r="B166" s="131"/>
      <c r="C166" s="131"/>
      <c r="D166" s="131"/>
      <c r="E166" s="131"/>
      <c r="F166" s="131"/>
    </row>
    <row r="167" spans="1:6" x14ac:dyDescent="0.3">
      <c r="A167" s="131"/>
      <c r="B167" s="131"/>
      <c r="C167" s="131"/>
      <c r="D167" s="131"/>
      <c r="E167" s="131"/>
      <c r="F167" s="131"/>
    </row>
    <row r="168" spans="1:6" x14ac:dyDescent="0.3">
      <c r="A168" s="131"/>
      <c r="B168" s="131"/>
      <c r="C168" s="131"/>
      <c r="D168" s="131"/>
      <c r="E168" s="131"/>
      <c r="F168" s="131"/>
    </row>
    <row r="169" spans="1:6" x14ac:dyDescent="0.3">
      <c r="A169" s="131"/>
      <c r="B169" s="131"/>
      <c r="C169" s="131"/>
      <c r="D169" s="131"/>
      <c r="E169" s="131"/>
      <c r="F169" s="131"/>
    </row>
    <row r="170" spans="1:6" x14ac:dyDescent="0.3">
      <c r="A170" s="131"/>
      <c r="B170" s="131"/>
      <c r="C170" s="131"/>
      <c r="D170" s="131"/>
      <c r="E170" s="131"/>
      <c r="F170" s="131"/>
    </row>
    <row r="171" spans="1:6" x14ac:dyDescent="0.3">
      <c r="A171" s="131"/>
      <c r="B171" s="131"/>
      <c r="C171" s="131"/>
      <c r="D171" s="131"/>
      <c r="E171" s="131"/>
      <c r="F171" s="131"/>
    </row>
    <row r="172" spans="1:6" x14ac:dyDescent="0.3">
      <c r="A172" s="131"/>
      <c r="B172" s="131"/>
      <c r="C172" s="131"/>
      <c r="D172" s="131"/>
      <c r="E172" s="131"/>
      <c r="F172" s="131"/>
    </row>
    <row r="173" spans="1:6" x14ac:dyDescent="0.3">
      <c r="A173" s="131"/>
      <c r="B173" s="131"/>
      <c r="C173" s="131"/>
      <c r="D173" s="131"/>
      <c r="E173" s="131"/>
      <c r="F173" s="131"/>
    </row>
    <row r="174" spans="1:6" x14ac:dyDescent="0.3">
      <c r="A174" s="131"/>
      <c r="B174" s="131"/>
      <c r="C174" s="131"/>
      <c r="D174" s="131"/>
      <c r="E174" s="131"/>
      <c r="F174" s="131"/>
    </row>
    <row r="175" spans="1:6" x14ac:dyDescent="0.3">
      <c r="A175" s="131"/>
      <c r="B175" s="131"/>
      <c r="C175" s="131"/>
      <c r="D175" s="131"/>
      <c r="E175" s="131"/>
      <c r="F175" s="131"/>
    </row>
    <row r="176" spans="1:6" x14ac:dyDescent="0.3">
      <c r="A176" s="131"/>
      <c r="B176" s="131"/>
      <c r="C176" s="131"/>
      <c r="D176" s="131"/>
      <c r="E176" s="131"/>
      <c r="F176" s="131"/>
    </row>
    <row r="177" spans="1:6" x14ac:dyDescent="0.3">
      <c r="A177" s="131"/>
      <c r="B177" s="131"/>
      <c r="C177" s="131"/>
      <c r="D177" s="131"/>
      <c r="E177" s="131"/>
      <c r="F177" s="131"/>
    </row>
    <row r="178" spans="1:6" x14ac:dyDescent="0.3">
      <c r="A178" s="131"/>
      <c r="B178" s="131"/>
      <c r="C178" s="131"/>
      <c r="D178" s="131"/>
      <c r="E178" s="131"/>
      <c r="F178" s="131"/>
    </row>
    <row r="179" spans="1:6" x14ac:dyDescent="0.3">
      <c r="A179" s="131"/>
      <c r="B179" s="131"/>
      <c r="C179" s="131"/>
      <c r="D179" s="131"/>
      <c r="E179" s="131"/>
      <c r="F179" s="131"/>
    </row>
    <row r="180" spans="1:6" x14ac:dyDescent="0.3">
      <c r="A180" s="131"/>
      <c r="B180" s="131"/>
      <c r="C180" s="131"/>
      <c r="D180" s="131"/>
      <c r="E180" s="131"/>
      <c r="F180" s="131"/>
    </row>
    <row r="181" spans="1:6" x14ac:dyDescent="0.3">
      <c r="A181" s="131"/>
      <c r="B181" s="131"/>
      <c r="C181" s="131"/>
      <c r="D181" s="131"/>
      <c r="E181" s="131"/>
      <c r="F181" s="131"/>
    </row>
    <row r="182" spans="1:6" x14ac:dyDescent="0.3">
      <c r="A182" s="131"/>
      <c r="B182" s="131"/>
      <c r="C182" s="131"/>
      <c r="D182" s="131"/>
      <c r="E182" s="131"/>
      <c r="F182" s="131"/>
    </row>
    <row r="183" spans="1:6" x14ac:dyDescent="0.3">
      <c r="A183" s="131"/>
      <c r="B183" s="131"/>
      <c r="C183" s="131"/>
      <c r="D183" s="131"/>
      <c r="E183" s="131"/>
      <c r="F183" s="131"/>
    </row>
    <row r="184" spans="1:6" x14ac:dyDescent="0.3">
      <c r="A184" s="131"/>
      <c r="B184" s="131"/>
      <c r="C184" s="131"/>
      <c r="D184" s="131"/>
      <c r="E184" s="131"/>
      <c r="F184" s="131"/>
    </row>
    <row r="185" spans="1:6" x14ac:dyDescent="0.3">
      <c r="A185" s="131"/>
      <c r="B185" s="131"/>
      <c r="C185" s="131"/>
      <c r="D185" s="131"/>
      <c r="E185" s="131"/>
      <c r="F185" s="131"/>
    </row>
    <row r="186" spans="1:6" x14ac:dyDescent="0.3">
      <c r="A186" s="131"/>
      <c r="B186" s="131"/>
      <c r="C186" s="131"/>
      <c r="D186" s="131"/>
      <c r="E186" s="131"/>
      <c r="F186" s="131"/>
    </row>
    <row r="187" spans="1:6" x14ac:dyDescent="0.3">
      <c r="A187" s="131"/>
      <c r="B187" s="131"/>
      <c r="C187" s="131"/>
      <c r="D187" s="131"/>
      <c r="E187" s="131"/>
      <c r="F187" s="131"/>
    </row>
    <row r="188" spans="1:6" x14ac:dyDescent="0.3">
      <c r="A188" s="131"/>
      <c r="B188" s="131"/>
      <c r="C188" s="131"/>
      <c r="D188" s="131"/>
      <c r="E188" s="131"/>
      <c r="F188" s="131"/>
    </row>
    <row r="189" spans="1:6" x14ac:dyDescent="0.3">
      <c r="A189" s="131"/>
      <c r="B189" s="131"/>
      <c r="C189" s="131"/>
      <c r="D189" s="131"/>
      <c r="E189" s="131"/>
      <c r="F189" s="131"/>
    </row>
    <row r="190" spans="1:6" x14ac:dyDescent="0.3">
      <c r="A190" s="131"/>
      <c r="B190" s="131"/>
      <c r="C190" s="131"/>
      <c r="D190" s="131"/>
      <c r="E190" s="131"/>
      <c r="F190" s="131"/>
    </row>
    <row r="191" spans="1:6" x14ac:dyDescent="0.3">
      <c r="A191" s="131"/>
      <c r="B191" s="131"/>
      <c r="C191" s="131"/>
      <c r="D191" s="131"/>
      <c r="E191" s="131"/>
      <c r="F191" s="131"/>
    </row>
    <row r="192" spans="1:6" x14ac:dyDescent="0.3">
      <c r="A192" s="131"/>
      <c r="B192" s="131"/>
      <c r="C192" s="131"/>
      <c r="D192" s="131"/>
      <c r="E192" s="131"/>
      <c r="F192" s="131"/>
    </row>
    <row r="193" spans="1:6" x14ac:dyDescent="0.3">
      <c r="A193" s="131"/>
      <c r="B193" s="131"/>
      <c r="C193" s="131"/>
      <c r="D193" s="131"/>
      <c r="E193" s="131"/>
      <c r="F193" s="131"/>
    </row>
    <row r="194" spans="1:6" x14ac:dyDescent="0.3">
      <c r="A194" s="131"/>
      <c r="B194" s="131"/>
      <c r="C194" s="131"/>
      <c r="D194" s="131"/>
      <c r="E194" s="131"/>
      <c r="F194" s="131"/>
    </row>
    <row r="195" spans="1:6" x14ac:dyDescent="0.3">
      <c r="A195" s="131"/>
      <c r="B195" s="131"/>
      <c r="C195" s="131"/>
      <c r="D195" s="131"/>
      <c r="E195" s="131"/>
      <c r="F195" s="131"/>
    </row>
    <row r="196" spans="1:6" x14ac:dyDescent="0.3">
      <c r="A196" s="131"/>
      <c r="B196" s="131"/>
      <c r="C196" s="131"/>
      <c r="D196" s="131"/>
      <c r="E196" s="131"/>
      <c r="F196" s="131"/>
    </row>
    <row r="197" spans="1:6" x14ac:dyDescent="0.3">
      <c r="A197" s="131"/>
      <c r="B197" s="131"/>
      <c r="C197" s="131"/>
      <c r="D197" s="131"/>
      <c r="E197" s="131"/>
      <c r="F197" s="131"/>
    </row>
    <row r="198" spans="1:6" x14ac:dyDescent="0.3">
      <c r="A198" s="131"/>
      <c r="B198" s="131"/>
      <c r="C198" s="131"/>
      <c r="D198" s="131"/>
      <c r="E198" s="131"/>
      <c r="F198" s="131"/>
    </row>
    <row r="199" spans="1:6" x14ac:dyDescent="0.3">
      <c r="A199" s="131"/>
      <c r="B199" s="131"/>
      <c r="C199" s="131"/>
      <c r="D199" s="131"/>
      <c r="E199" s="131"/>
      <c r="F199" s="131"/>
    </row>
    <row r="200" spans="1:6" x14ac:dyDescent="0.3">
      <c r="A200" s="131"/>
      <c r="B200" s="131"/>
      <c r="C200" s="131"/>
      <c r="D200" s="131"/>
      <c r="E200" s="131"/>
      <c r="F200" s="131"/>
    </row>
    <row r="201" spans="1:6" x14ac:dyDescent="0.3">
      <c r="A201" s="131"/>
      <c r="B201" s="131"/>
      <c r="C201" s="131"/>
      <c r="D201" s="131"/>
      <c r="E201" s="131"/>
      <c r="F201" s="131"/>
    </row>
    <row r="202" spans="1:6" x14ac:dyDescent="0.3">
      <c r="A202" s="131"/>
      <c r="B202" s="131"/>
      <c r="C202" s="131"/>
      <c r="D202" s="131"/>
      <c r="E202" s="131"/>
      <c r="F202" s="131"/>
    </row>
    <row r="203" spans="1:6" x14ac:dyDescent="0.3">
      <c r="A203" s="131"/>
      <c r="B203" s="131"/>
      <c r="C203" s="131"/>
      <c r="D203" s="131"/>
      <c r="E203" s="131"/>
      <c r="F203" s="131"/>
    </row>
    <row r="204" spans="1:6" x14ac:dyDescent="0.3">
      <c r="A204" s="131"/>
      <c r="B204" s="131"/>
      <c r="C204" s="131"/>
      <c r="D204" s="131"/>
      <c r="E204" s="131"/>
      <c r="F204" s="131"/>
    </row>
    <row r="205" spans="1:6" x14ac:dyDescent="0.3">
      <c r="A205" s="131"/>
      <c r="B205" s="131"/>
      <c r="C205" s="131"/>
      <c r="D205" s="131"/>
      <c r="E205" s="131"/>
      <c r="F205" s="131"/>
    </row>
    <row r="206" spans="1:6" x14ac:dyDescent="0.3">
      <c r="A206" s="131"/>
      <c r="B206" s="131"/>
      <c r="C206" s="131"/>
      <c r="D206" s="131"/>
      <c r="E206" s="131"/>
      <c r="F206" s="131"/>
    </row>
    <row r="207" spans="1:6" x14ac:dyDescent="0.3">
      <c r="A207" s="131"/>
      <c r="B207" s="131"/>
      <c r="C207" s="131"/>
      <c r="D207" s="131"/>
      <c r="E207" s="131"/>
      <c r="F207" s="131"/>
    </row>
    <row r="208" spans="1:6" x14ac:dyDescent="0.3">
      <c r="A208" s="131"/>
      <c r="B208" s="131"/>
      <c r="C208" s="131"/>
      <c r="D208" s="131"/>
      <c r="E208" s="131"/>
      <c r="F208" s="131"/>
    </row>
    <row r="209" spans="1:6" x14ac:dyDescent="0.3">
      <c r="A209" s="131"/>
      <c r="B209" s="131"/>
      <c r="C209" s="131"/>
      <c r="D209" s="131"/>
      <c r="E209" s="131"/>
      <c r="F209" s="131"/>
    </row>
    <row r="210" spans="1:6" x14ac:dyDescent="0.3">
      <c r="A210" s="131"/>
      <c r="B210" s="131"/>
      <c r="C210" s="131"/>
      <c r="D210" s="131"/>
      <c r="E210" s="131"/>
      <c r="F210" s="131"/>
    </row>
    <row r="211" spans="1:6" x14ac:dyDescent="0.3">
      <c r="A211" s="131"/>
      <c r="B211" s="131"/>
      <c r="C211" s="131"/>
      <c r="D211" s="131"/>
      <c r="E211" s="131"/>
      <c r="F211" s="131"/>
    </row>
    <row r="212" spans="1:6" x14ac:dyDescent="0.3">
      <c r="A212" s="131"/>
      <c r="B212" s="131"/>
      <c r="C212" s="131"/>
      <c r="D212" s="131"/>
      <c r="E212" s="131"/>
      <c r="F212" s="131"/>
    </row>
    <row r="213" spans="1:6" x14ac:dyDescent="0.3">
      <c r="A213" s="131"/>
      <c r="B213" s="131"/>
      <c r="C213" s="131"/>
      <c r="D213" s="131"/>
      <c r="E213" s="131"/>
      <c r="F213" s="131"/>
    </row>
    <row r="214" spans="1:6" x14ac:dyDescent="0.3">
      <c r="A214" s="131"/>
      <c r="B214" s="131"/>
      <c r="C214" s="131"/>
      <c r="D214" s="131"/>
      <c r="E214" s="131"/>
      <c r="F214" s="131"/>
    </row>
    <row r="215" spans="1:6" x14ac:dyDescent="0.3">
      <c r="A215" s="131"/>
      <c r="B215" s="131"/>
      <c r="C215" s="131"/>
      <c r="D215" s="131"/>
      <c r="E215" s="131"/>
      <c r="F215" s="131"/>
    </row>
    <row r="216" spans="1:6" x14ac:dyDescent="0.3">
      <c r="A216" s="131"/>
      <c r="B216" s="131"/>
      <c r="C216" s="131"/>
      <c r="D216" s="131"/>
      <c r="E216" s="131"/>
      <c r="F216" s="131"/>
    </row>
    <row r="217" spans="1:6" x14ac:dyDescent="0.3">
      <c r="A217" s="131"/>
      <c r="B217" s="131"/>
      <c r="C217" s="131"/>
      <c r="D217" s="131"/>
      <c r="E217" s="131"/>
      <c r="F217" s="131"/>
    </row>
    <row r="218" spans="1:6" x14ac:dyDescent="0.3">
      <c r="A218" s="131"/>
      <c r="B218" s="131"/>
      <c r="C218" s="131"/>
      <c r="D218" s="131"/>
      <c r="E218" s="131"/>
      <c r="F218" s="131"/>
    </row>
    <row r="219" spans="1:6" x14ac:dyDescent="0.3">
      <c r="A219" s="131"/>
      <c r="B219" s="131"/>
      <c r="C219" s="131"/>
      <c r="D219" s="131"/>
      <c r="E219" s="131"/>
      <c r="F219" s="131"/>
    </row>
    <row r="220" spans="1:6" x14ac:dyDescent="0.3">
      <c r="A220" s="131"/>
      <c r="B220" s="131"/>
      <c r="C220" s="131"/>
      <c r="D220" s="131"/>
      <c r="E220" s="131"/>
      <c r="F220" s="131"/>
    </row>
    <row r="221" spans="1:6" x14ac:dyDescent="0.3">
      <c r="A221" s="131"/>
      <c r="B221" s="131"/>
      <c r="C221" s="131"/>
      <c r="D221" s="131"/>
      <c r="E221" s="131"/>
      <c r="F221" s="131"/>
    </row>
    <row r="222" spans="1:6" x14ac:dyDescent="0.3">
      <c r="A222" s="131"/>
      <c r="B222" s="131"/>
      <c r="C222" s="131"/>
      <c r="D222" s="131"/>
      <c r="E222" s="131"/>
      <c r="F222" s="131"/>
    </row>
    <row r="223" spans="1:6" x14ac:dyDescent="0.3">
      <c r="A223" s="131"/>
      <c r="B223" s="131"/>
      <c r="C223" s="131"/>
      <c r="D223" s="131"/>
      <c r="E223" s="131"/>
      <c r="F223" s="131"/>
    </row>
    <row r="224" spans="1:6" x14ac:dyDescent="0.3">
      <c r="A224" s="131"/>
      <c r="B224" s="131"/>
      <c r="C224" s="131"/>
      <c r="D224" s="131"/>
      <c r="E224" s="131"/>
      <c r="F224" s="131"/>
    </row>
    <row r="225" spans="1:6" x14ac:dyDescent="0.3">
      <c r="A225" s="131"/>
      <c r="B225" s="131"/>
      <c r="C225" s="131"/>
      <c r="D225" s="131"/>
      <c r="E225" s="131"/>
      <c r="F225" s="131"/>
    </row>
    <row r="226" spans="1:6" x14ac:dyDescent="0.3">
      <c r="A226" s="131"/>
      <c r="B226" s="131"/>
      <c r="C226" s="131"/>
      <c r="D226" s="131"/>
      <c r="E226" s="131"/>
      <c r="F226" s="131"/>
    </row>
    <row r="227" spans="1:6" x14ac:dyDescent="0.3">
      <c r="A227" s="131"/>
      <c r="B227" s="131"/>
      <c r="C227" s="131"/>
      <c r="D227" s="131"/>
      <c r="E227" s="131"/>
      <c r="F227" s="131"/>
    </row>
    <row r="228" spans="1:6" x14ac:dyDescent="0.3">
      <c r="A228" s="131"/>
      <c r="B228" s="131"/>
      <c r="C228" s="131"/>
      <c r="D228" s="131"/>
      <c r="E228" s="131"/>
      <c r="F228" s="131"/>
    </row>
    <row r="229" spans="1:6" x14ac:dyDescent="0.3">
      <c r="A229" s="131"/>
      <c r="B229" s="131"/>
      <c r="C229" s="131"/>
      <c r="D229" s="131"/>
      <c r="E229" s="131"/>
      <c r="F229" s="131"/>
    </row>
    <row r="230" spans="1:6" x14ac:dyDescent="0.3">
      <c r="A230" s="131"/>
      <c r="B230" s="131"/>
      <c r="C230" s="131"/>
      <c r="D230" s="131"/>
      <c r="E230" s="131"/>
      <c r="F230" s="131"/>
    </row>
    <row r="231" spans="1:6" x14ac:dyDescent="0.3">
      <c r="A231" s="131"/>
      <c r="B231" s="131"/>
      <c r="C231" s="131"/>
      <c r="D231" s="131"/>
      <c r="E231" s="131"/>
      <c r="F231" s="131"/>
    </row>
    <row r="232" spans="1:6" x14ac:dyDescent="0.3">
      <c r="A232" s="131"/>
      <c r="B232" s="131"/>
      <c r="C232" s="131"/>
      <c r="D232" s="131"/>
      <c r="E232" s="131"/>
      <c r="F232" s="131"/>
    </row>
    <row r="233" spans="1:6" x14ac:dyDescent="0.3">
      <c r="A233" s="131"/>
      <c r="B233" s="131"/>
      <c r="C233" s="131"/>
      <c r="D233" s="131"/>
      <c r="E233" s="131"/>
      <c r="F233" s="131"/>
    </row>
    <row r="234" spans="1:6" x14ac:dyDescent="0.3">
      <c r="A234" s="131"/>
      <c r="B234" s="131"/>
      <c r="C234" s="131"/>
      <c r="D234" s="131"/>
      <c r="E234" s="131"/>
      <c r="F234" s="131"/>
    </row>
    <row r="235" spans="1:6" x14ac:dyDescent="0.3">
      <c r="A235" s="131"/>
      <c r="B235" s="131"/>
      <c r="C235" s="131"/>
      <c r="D235" s="131"/>
      <c r="E235" s="131"/>
      <c r="F235" s="131"/>
    </row>
    <row r="236" spans="1:6" x14ac:dyDescent="0.3">
      <c r="A236" s="131"/>
      <c r="B236" s="131"/>
      <c r="C236" s="131"/>
      <c r="D236" s="131"/>
      <c r="E236" s="131"/>
      <c r="F236" s="131"/>
    </row>
    <row r="237" spans="1:6" x14ac:dyDescent="0.3">
      <c r="A237" s="131"/>
      <c r="B237" s="131"/>
      <c r="C237" s="131"/>
      <c r="D237" s="131"/>
      <c r="E237" s="131"/>
      <c r="F237" s="131"/>
    </row>
    <row r="238" spans="1:6" x14ac:dyDescent="0.3">
      <c r="A238" s="131"/>
      <c r="B238" s="131"/>
      <c r="C238" s="131"/>
      <c r="D238" s="131"/>
      <c r="E238" s="131"/>
      <c r="F238" s="131"/>
    </row>
    <row r="239" spans="1:6" x14ac:dyDescent="0.3">
      <c r="A239" s="131"/>
      <c r="B239" s="131"/>
      <c r="C239" s="131"/>
      <c r="D239" s="131"/>
      <c r="E239" s="131"/>
      <c r="F239" s="131"/>
    </row>
    <row r="240" spans="1:6" x14ac:dyDescent="0.3">
      <c r="A240" s="131"/>
      <c r="B240" s="131"/>
      <c r="C240" s="131"/>
      <c r="D240" s="131"/>
      <c r="E240" s="131"/>
      <c r="F240" s="131"/>
    </row>
    <row r="241" spans="1:6" x14ac:dyDescent="0.3">
      <c r="A241" s="131"/>
      <c r="B241" s="131"/>
      <c r="C241" s="131"/>
      <c r="D241" s="131"/>
      <c r="E241" s="131"/>
      <c r="F241" s="131"/>
    </row>
    <row r="242" spans="1:6" x14ac:dyDescent="0.3">
      <c r="A242" s="131"/>
      <c r="B242" s="131"/>
      <c r="C242" s="131"/>
      <c r="D242" s="131"/>
      <c r="E242" s="131"/>
      <c r="F242" s="131"/>
    </row>
    <row r="243" spans="1:6" x14ac:dyDescent="0.3">
      <c r="A243" s="131"/>
      <c r="B243" s="131"/>
      <c r="C243" s="131"/>
      <c r="D243" s="131"/>
      <c r="E243" s="131"/>
      <c r="F243" s="131"/>
    </row>
    <row r="244" spans="1:6" x14ac:dyDescent="0.3">
      <c r="A244" s="131"/>
      <c r="B244" s="131"/>
      <c r="C244" s="131"/>
      <c r="D244" s="131"/>
      <c r="E244" s="131"/>
      <c r="F244" s="131"/>
    </row>
    <row r="245" spans="1:6" x14ac:dyDescent="0.3">
      <c r="A245" s="131"/>
      <c r="B245" s="131"/>
      <c r="C245" s="131"/>
      <c r="D245" s="131"/>
      <c r="E245" s="131"/>
      <c r="F245" s="131"/>
    </row>
    <row r="246" spans="1:6" x14ac:dyDescent="0.3">
      <c r="A246" s="131"/>
      <c r="B246" s="131"/>
      <c r="C246" s="131"/>
      <c r="D246" s="131"/>
      <c r="E246" s="131"/>
      <c r="F246" s="131"/>
    </row>
    <row r="247" spans="1:6" x14ac:dyDescent="0.3">
      <c r="A247" s="131"/>
      <c r="B247" s="131"/>
      <c r="C247" s="131"/>
      <c r="D247" s="131"/>
      <c r="E247" s="131"/>
      <c r="F247" s="131"/>
    </row>
    <row r="248" spans="1:6" x14ac:dyDescent="0.3">
      <c r="A248" s="131"/>
      <c r="B248" s="131"/>
      <c r="C248" s="131"/>
      <c r="D248" s="131"/>
      <c r="E248" s="131"/>
      <c r="F248" s="131"/>
    </row>
    <row r="249" spans="1:6" x14ac:dyDescent="0.3">
      <c r="A249" s="131"/>
      <c r="B249" s="131"/>
      <c r="C249" s="131"/>
      <c r="D249" s="131"/>
      <c r="E249" s="131"/>
      <c r="F249" s="131"/>
    </row>
    <row r="250" spans="1:6" x14ac:dyDescent="0.3">
      <c r="A250" s="131"/>
      <c r="B250" s="131"/>
      <c r="C250" s="131"/>
      <c r="D250" s="131"/>
      <c r="E250" s="131"/>
      <c r="F250" s="131"/>
    </row>
    <row r="251" spans="1:6" x14ac:dyDescent="0.3">
      <c r="A251" s="131"/>
      <c r="B251" s="131"/>
      <c r="C251" s="131"/>
      <c r="D251" s="131"/>
      <c r="E251" s="131"/>
      <c r="F251" s="131"/>
    </row>
    <row r="252" spans="1:6" x14ac:dyDescent="0.3">
      <c r="A252" s="131"/>
      <c r="B252" s="131"/>
      <c r="C252" s="131"/>
      <c r="D252" s="131"/>
      <c r="E252" s="131"/>
      <c r="F252" s="131"/>
    </row>
    <row r="253" spans="1:6" x14ac:dyDescent="0.3">
      <c r="A253" s="131"/>
      <c r="B253" s="131"/>
      <c r="C253" s="131"/>
      <c r="D253" s="131"/>
      <c r="E253" s="131"/>
      <c r="F253" s="131"/>
    </row>
    <row r="254" spans="1:6" x14ac:dyDescent="0.3">
      <c r="A254" s="131"/>
      <c r="B254" s="131"/>
      <c r="C254" s="131"/>
      <c r="D254" s="131"/>
      <c r="E254" s="131"/>
      <c r="F254" s="131"/>
    </row>
    <row r="255" spans="1:6" x14ac:dyDescent="0.3">
      <c r="A255" s="131"/>
      <c r="B255" s="131"/>
      <c r="C255" s="131"/>
      <c r="D255" s="131"/>
      <c r="E255" s="131"/>
      <c r="F255" s="131"/>
    </row>
    <row r="256" spans="1:6" x14ac:dyDescent="0.3">
      <c r="A256" s="131"/>
      <c r="B256" s="131"/>
      <c r="C256" s="131"/>
      <c r="D256" s="131"/>
      <c r="E256" s="131"/>
      <c r="F256" s="131"/>
    </row>
    <row r="257" spans="1:6" x14ac:dyDescent="0.3">
      <c r="A257" s="131"/>
      <c r="B257" s="131"/>
      <c r="C257" s="131"/>
      <c r="D257" s="131"/>
      <c r="E257" s="131"/>
      <c r="F257" s="131"/>
    </row>
    <row r="258" spans="1:6" x14ac:dyDescent="0.3">
      <c r="A258" s="131"/>
      <c r="B258" s="131"/>
      <c r="C258" s="131"/>
      <c r="D258" s="131"/>
      <c r="E258" s="131"/>
      <c r="F258" s="131"/>
    </row>
    <row r="259" spans="1:6" x14ac:dyDescent="0.3">
      <c r="A259" s="131"/>
      <c r="B259" s="131"/>
      <c r="C259" s="131"/>
      <c r="D259" s="131"/>
      <c r="E259" s="131"/>
      <c r="F259" s="131"/>
    </row>
    <row r="260" spans="1:6" x14ac:dyDescent="0.3">
      <c r="A260" s="131"/>
      <c r="B260" s="131"/>
      <c r="C260" s="131"/>
      <c r="D260" s="131"/>
      <c r="E260" s="131"/>
      <c r="F260" s="131"/>
    </row>
    <row r="261" spans="1:6" x14ac:dyDescent="0.3">
      <c r="A261" s="131"/>
      <c r="B261" s="131"/>
      <c r="C261" s="131"/>
      <c r="D261" s="131"/>
      <c r="E261" s="131"/>
      <c r="F261" s="131"/>
    </row>
    <row r="262" spans="1:6" x14ac:dyDescent="0.3">
      <c r="A262" s="131"/>
      <c r="B262" s="131"/>
      <c r="C262" s="131"/>
      <c r="D262" s="131"/>
      <c r="E262" s="131"/>
      <c r="F262" s="131"/>
    </row>
    <row r="263" spans="1:6" x14ac:dyDescent="0.3">
      <c r="A263" s="131"/>
      <c r="B263" s="131"/>
      <c r="C263" s="131"/>
      <c r="D263" s="131"/>
      <c r="E263" s="131"/>
      <c r="F263" s="131"/>
    </row>
    <row r="264" spans="1:6" x14ac:dyDescent="0.3">
      <c r="A264" s="131"/>
      <c r="B264" s="131"/>
      <c r="C264" s="131"/>
      <c r="D264" s="131"/>
      <c r="E264" s="131"/>
      <c r="F264" s="131"/>
    </row>
    <row r="265" spans="1:6" x14ac:dyDescent="0.3">
      <c r="A265" s="131"/>
      <c r="B265" s="131"/>
      <c r="C265" s="131"/>
      <c r="D265" s="131"/>
      <c r="E265" s="131"/>
      <c r="F265" s="131"/>
    </row>
    <row r="266" spans="1:6" x14ac:dyDescent="0.3">
      <c r="A266" s="131"/>
      <c r="B266" s="131"/>
      <c r="C266" s="131"/>
      <c r="D266" s="131"/>
      <c r="E266" s="131"/>
      <c r="F266" s="131"/>
    </row>
    <row r="267" spans="1:6" x14ac:dyDescent="0.3">
      <c r="A267" s="131"/>
      <c r="B267" s="131"/>
      <c r="C267" s="131"/>
      <c r="D267" s="131"/>
      <c r="E267" s="131"/>
      <c r="F267" s="131"/>
    </row>
    <row r="268" spans="1:6" x14ac:dyDescent="0.3">
      <c r="A268" s="131"/>
      <c r="B268" s="131"/>
      <c r="C268" s="131"/>
      <c r="D268" s="131"/>
      <c r="E268" s="131"/>
      <c r="F268" s="131"/>
    </row>
    <row r="269" spans="1:6" x14ac:dyDescent="0.3">
      <c r="A269" s="131"/>
      <c r="B269" s="131"/>
      <c r="C269" s="131"/>
      <c r="D269" s="131"/>
      <c r="E269" s="131"/>
      <c r="F269" s="131"/>
    </row>
    <row r="270" spans="1:6" x14ac:dyDescent="0.3">
      <c r="A270" s="131"/>
      <c r="B270" s="131"/>
      <c r="C270" s="131"/>
      <c r="D270" s="131"/>
      <c r="E270" s="131"/>
      <c r="F270" s="131"/>
    </row>
    <row r="271" spans="1:6" x14ac:dyDescent="0.3">
      <c r="A271" s="131"/>
      <c r="B271" s="131"/>
      <c r="C271" s="131"/>
      <c r="D271" s="131"/>
      <c r="E271" s="131"/>
      <c r="F271" s="131"/>
    </row>
    <row r="272" spans="1:6" x14ac:dyDescent="0.3">
      <c r="A272" s="131"/>
      <c r="B272" s="131"/>
      <c r="C272" s="131"/>
      <c r="D272" s="131"/>
      <c r="E272" s="131"/>
      <c r="F272" s="131"/>
    </row>
    <row r="273" spans="1:6" x14ac:dyDescent="0.3">
      <c r="A273" s="131"/>
      <c r="B273" s="131"/>
      <c r="C273" s="131"/>
      <c r="D273" s="131"/>
      <c r="E273" s="131"/>
      <c r="F273" s="131"/>
    </row>
    <row r="274" spans="1:6" x14ac:dyDescent="0.3">
      <c r="A274" s="131"/>
      <c r="B274" s="131"/>
      <c r="C274" s="131"/>
      <c r="D274" s="131"/>
      <c r="E274" s="131"/>
      <c r="F274" s="131"/>
    </row>
    <row r="275" spans="1:6" x14ac:dyDescent="0.3">
      <c r="A275" s="131"/>
      <c r="B275" s="131"/>
      <c r="C275" s="131"/>
      <c r="D275" s="131"/>
      <c r="E275" s="131"/>
      <c r="F275" s="131"/>
    </row>
    <row r="276" spans="1:6" x14ac:dyDescent="0.3">
      <c r="A276" s="131"/>
      <c r="B276" s="131"/>
      <c r="C276" s="131"/>
      <c r="D276" s="131"/>
      <c r="E276" s="131"/>
      <c r="F276" s="131"/>
    </row>
    <row r="277" spans="1:6" x14ac:dyDescent="0.3">
      <c r="A277" s="131"/>
      <c r="B277" s="131"/>
      <c r="C277" s="131"/>
      <c r="D277" s="131"/>
      <c r="E277" s="131"/>
      <c r="F277" s="131"/>
    </row>
    <row r="278" spans="1:6" x14ac:dyDescent="0.3">
      <c r="A278" s="131"/>
      <c r="B278" s="131"/>
      <c r="C278" s="131"/>
      <c r="D278" s="131"/>
      <c r="E278" s="131"/>
      <c r="F278" s="131"/>
    </row>
    <row r="279" spans="1:6" x14ac:dyDescent="0.3">
      <c r="A279" s="131"/>
      <c r="B279" s="131"/>
      <c r="C279" s="131"/>
      <c r="D279" s="131"/>
      <c r="E279" s="131"/>
      <c r="F279" s="131"/>
    </row>
    <row r="280" spans="1:6" x14ac:dyDescent="0.3">
      <c r="A280" s="131"/>
      <c r="B280" s="131"/>
      <c r="C280" s="131"/>
      <c r="D280" s="131"/>
      <c r="E280" s="131"/>
      <c r="F280" s="131"/>
    </row>
    <row r="281" spans="1:6" x14ac:dyDescent="0.3">
      <c r="A281" s="131"/>
      <c r="B281" s="131"/>
      <c r="C281" s="131"/>
      <c r="D281" s="131"/>
      <c r="E281" s="131"/>
      <c r="F281" s="131"/>
    </row>
    <row r="282" spans="1:6" x14ac:dyDescent="0.3">
      <c r="A282" s="131"/>
      <c r="B282" s="131"/>
      <c r="C282" s="131"/>
      <c r="D282" s="131"/>
      <c r="E282" s="131"/>
      <c r="F282" s="131"/>
    </row>
    <row r="283" spans="1:6" x14ac:dyDescent="0.3">
      <c r="A283" s="131"/>
      <c r="B283" s="131"/>
      <c r="C283" s="131"/>
      <c r="D283" s="131"/>
      <c r="E283" s="131"/>
      <c r="F283" s="131"/>
    </row>
    <row r="284" spans="1:6" x14ac:dyDescent="0.3">
      <c r="A284" s="131"/>
      <c r="B284" s="131"/>
      <c r="C284" s="131"/>
      <c r="D284" s="131"/>
      <c r="E284" s="131"/>
      <c r="F284" s="131"/>
    </row>
    <row r="285" spans="1:6" x14ac:dyDescent="0.3">
      <c r="A285" s="131"/>
      <c r="B285" s="131"/>
      <c r="C285" s="131"/>
      <c r="D285" s="131"/>
      <c r="E285" s="131"/>
      <c r="F285" s="131"/>
    </row>
    <row r="286" spans="1:6" x14ac:dyDescent="0.3">
      <c r="A286" s="131"/>
      <c r="B286" s="131"/>
      <c r="C286" s="131"/>
      <c r="D286" s="131"/>
      <c r="E286" s="131"/>
      <c r="F286" s="131"/>
    </row>
    <row r="287" spans="1:6" x14ac:dyDescent="0.3">
      <c r="A287" s="131"/>
      <c r="B287" s="131"/>
      <c r="C287" s="131"/>
      <c r="D287" s="131"/>
      <c r="E287" s="131"/>
      <c r="F287" s="131"/>
    </row>
    <row r="288" spans="1:6" x14ac:dyDescent="0.3">
      <c r="A288" s="131"/>
      <c r="B288" s="131"/>
      <c r="C288" s="131"/>
      <c r="D288" s="131"/>
      <c r="E288" s="131"/>
      <c r="F288" s="131"/>
    </row>
    <row r="289" spans="1:6" x14ac:dyDescent="0.3">
      <c r="A289" s="131"/>
      <c r="B289" s="131"/>
      <c r="C289" s="131"/>
      <c r="D289" s="131"/>
      <c r="E289" s="131"/>
      <c r="F289" s="131"/>
    </row>
    <row r="290" spans="1:6" x14ac:dyDescent="0.3">
      <c r="A290" s="131"/>
      <c r="B290" s="131"/>
      <c r="C290" s="131"/>
      <c r="D290" s="131"/>
      <c r="E290" s="131"/>
      <c r="F290" s="131"/>
    </row>
    <row r="291" spans="1:6" x14ac:dyDescent="0.3">
      <c r="A291" s="131"/>
      <c r="B291" s="131"/>
      <c r="C291" s="131"/>
      <c r="D291" s="131"/>
      <c r="E291" s="131"/>
      <c r="F291" s="131"/>
    </row>
    <row r="292" spans="1:6" x14ac:dyDescent="0.3">
      <c r="A292" s="131"/>
      <c r="B292" s="131"/>
      <c r="C292" s="131"/>
      <c r="D292" s="131"/>
      <c r="E292" s="131"/>
      <c r="F292" s="131"/>
    </row>
    <row r="293" spans="1:6" x14ac:dyDescent="0.3">
      <c r="A293" s="131"/>
      <c r="B293" s="131"/>
      <c r="C293" s="131"/>
      <c r="D293" s="131"/>
      <c r="E293" s="131"/>
      <c r="F293" s="131"/>
    </row>
    <row r="294" spans="1:6" x14ac:dyDescent="0.3">
      <c r="A294" s="131"/>
      <c r="B294" s="131"/>
      <c r="C294" s="131"/>
      <c r="D294" s="131"/>
      <c r="E294" s="131"/>
      <c r="F294" s="131"/>
    </row>
    <row r="295" spans="1:6" x14ac:dyDescent="0.3">
      <c r="A295" s="131"/>
      <c r="B295" s="131"/>
      <c r="C295" s="131"/>
      <c r="D295" s="131"/>
      <c r="E295" s="131"/>
      <c r="F295" s="131"/>
    </row>
    <row r="296" spans="1:6" x14ac:dyDescent="0.3">
      <c r="A296" s="131"/>
      <c r="B296" s="131"/>
      <c r="C296" s="131"/>
      <c r="D296" s="131"/>
      <c r="E296" s="131"/>
      <c r="F296" s="131"/>
    </row>
    <row r="297" spans="1:6" x14ac:dyDescent="0.3">
      <c r="A297" s="131"/>
      <c r="B297" s="131"/>
      <c r="C297" s="131"/>
      <c r="D297" s="131"/>
      <c r="E297" s="131"/>
      <c r="F297" s="131"/>
    </row>
    <row r="298" spans="1:6" x14ac:dyDescent="0.3">
      <c r="A298" s="131"/>
      <c r="B298" s="131"/>
      <c r="C298" s="131"/>
      <c r="D298" s="131"/>
      <c r="E298" s="131"/>
      <c r="F298" s="131"/>
    </row>
    <row r="299" spans="1:6" x14ac:dyDescent="0.3">
      <c r="A299" s="131"/>
      <c r="B299" s="131"/>
      <c r="C299" s="131"/>
      <c r="D299" s="131"/>
      <c r="E299" s="131"/>
      <c r="F299" s="131"/>
    </row>
    <row r="300" spans="1:6" x14ac:dyDescent="0.3">
      <c r="A300" s="131"/>
      <c r="B300" s="131"/>
      <c r="C300" s="131"/>
      <c r="D300" s="131"/>
      <c r="E300" s="131"/>
      <c r="F300" s="131"/>
    </row>
    <row r="301" spans="1:6" x14ac:dyDescent="0.3">
      <c r="A301" s="131"/>
      <c r="B301" s="131"/>
      <c r="C301" s="131"/>
      <c r="D301" s="131"/>
      <c r="E301" s="131"/>
      <c r="F301" s="131"/>
    </row>
    <row r="302" spans="1:6" x14ac:dyDescent="0.3">
      <c r="A302" s="131"/>
      <c r="B302" s="131"/>
      <c r="C302" s="131"/>
      <c r="D302" s="131"/>
      <c r="E302" s="131"/>
      <c r="F302" s="131"/>
    </row>
    <row r="303" spans="1:6" x14ac:dyDescent="0.3">
      <c r="A303" s="131"/>
      <c r="B303" s="131"/>
      <c r="C303" s="131"/>
      <c r="D303" s="131"/>
      <c r="E303" s="131"/>
      <c r="F303" s="131"/>
    </row>
    <row r="304" spans="1:6" x14ac:dyDescent="0.3">
      <c r="A304" s="131"/>
      <c r="B304" s="131"/>
      <c r="C304" s="131"/>
      <c r="D304" s="131"/>
      <c r="E304" s="131"/>
      <c r="F304" s="131"/>
    </row>
    <row r="305" spans="1:6" x14ac:dyDescent="0.3">
      <c r="A305" s="131"/>
      <c r="B305" s="131"/>
      <c r="C305" s="131"/>
      <c r="D305" s="131"/>
      <c r="E305" s="131"/>
      <c r="F305" s="131"/>
    </row>
    <row r="306" spans="1:6" x14ac:dyDescent="0.3">
      <c r="A306" s="131"/>
      <c r="B306" s="131"/>
      <c r="C306" s="131"/>
      <c r="D306" s="131"/>
      <c r="E306" s="131"/>
      <c r="F306" s="131"/>
    </row>
    <row r="307" spans="1:6" x14ac:dyDescent="0.3">
      <c r="A307" s="131"/>
      <c r="B307" s="131"/>
      <c r="C307" s="131"/>
      <c r="D307" s="131"/>
      <c r="E307" s="131"/>
      <c r="F307" s="131"/>
    </row>
    <row r="308" spans="1:6" x14ac:dyDescent="0.3">
      <c r="A308" s="131"/>
      <c r="B308" s="131"/>
      <c r="C308" s="131"/>
      <c r="D308" s="131"/>
      <c r="E308" s="131"/>
      <c r="F308" s="131"/>
    </row>
    <row r="309" spans="1:6" x14ac:dyDescent="0.3">
      <c r="A309" s="131"/>
      <c r="B309" s="131"/>
      <c r="C309" s="131"/>
      <c r="D309" s="131"/>
      <c r="E309" s="131"/>
      <c r="F309" s="131"/>
    </row>
    <row r="310" spans="1:6" x14ac:dyDescent="0.3">
      <c r="A310" s="131"/>
      <c r="B310" s="131"/>
      <c r="C310" s="131"/>
      <c r="D310" s="131"/>
      <c r="E310" s="131"/>
      <c r="F310" s="131"/>
    </row>
    <row r="311" spans="1:6" x14ac:dyDescent="0.3">
      <c r="A311" s="131"/>
      <c r="B311" s="131"/>
      <c r="C311" s="131"/>
      <c r="D311" s="131"/>
      <c r="E311" s="131"/>
      <c r="F311" s="131"/>
    </row>
    <row r="312" spans="1:6" x14ac:dyDescent="0.3">
      <c r="A312" s="131"/>
      <c r="B312" s="131"/>
      <c r="C312" s="131"/>
      <c r="D312" s="131"/>
      <c r="E312" s="131"/>
      <c r="F312" s="131"/>
    </row>
    <row r="313" spans="1:6" x14ac:dyDescent="0.3">
      <c r="A313" s="131"/>
      <c r="B313" s="131"/>
      <c r="C313" s="131"/>
      <c r="D313" s="131"/>
      <c r="E313" s="131"/>
      <c r="F313" s="131"/>
    </row>
    <row r="314" spans="1:6" x14ac:dyDescent="0.3">
      <c r="A314" s="131"/>
      <c r="B314" s="131"/>
      <c r="C314" s="131"/>
      <c r="D314" s="131"/>
      <c r="E314" s="131"/>
      <c r="F314" s="131"/>
    </row>
    <row r="315" spans="1:6" x14ac:dyDescent="0.3">
      <c r="A315" s="131"/>
      <c r="B315" s="131"/>
      <c r="C315" s="131"/>
      <c r="D315" s="131"/>
      <c r="E315" s="131"/>
      <c r="F315" s="131"/>
    </row>
    <row r="316" spans="1:6" x14ac:dyDescent="0.3">
      <c r="A316" s="131"/>
      <c r="B316" s="131"/>
      <c r="C316" s="131"/>
      <c r="D316" s="131"/>
      <c r="E316" s="131"/>
      <c r="F316" s="131"/>
    </row>
    <row r="317" spans="1:6" x14ac:dyDescent="0.3">
      <c r="A317" s="131"/>
      <c r="B317" s="131"/>
      <c r="C317" s="131"/>
      <c r="D317" s="131"/>
      <c r="E317" s="131"/>
      <c r="F317" s="131"/>
    </row>
    <row r="318" spans="1:6" x14ac:dyDescent="0.3">
      <c r="A318" s="131"/>
      <c r="B318" s="131"/>
      <c r="C318" s="131"/>
      <c r="D318" s="131"/>
      <c r="E318" s="131"/>
      <c r="F318" s="131"/>
    </row>
    <row r="319" spans="1:6" x14ac:dyDescent="0.3">
      <c r="A319" s="131"/>
      <c r="B319" s="131"/>
      <c r="C319" s="131"/>
      <c r="D319" s="131"/>
      <c r="E319" s="131"/>
      <c r="F319" s="131"/>
    </row>
    <row r="320" spans="1:6" x14ac:dyDescent="0.3">
      <c r="A320" s="131"/>
      <c r="B320" s="131"/>
      <c r="C320" s="131"/>
      <c r="D320" s="131"/>
      <c r="E320" s="131"/>
      <c r="F320" s="131"/>
    </row>
    <row r="321" spans="1:6" x14ac:dyDescent="0.3">
      <c r="A321" s="131"/>
      <c r="B321" s="131"/>
      <c r="C321" s="131"/>
      <c r="D321" s="131"/>
      <c r="E321" s="131"/>
      <c r="F321" s="131"/>
    </row>
    <row r="322" spans="1:6" x14ac:dyDescent="0.3">
      <c r="A322" s="131"/>
      <c r="B322" s="131"/>
      <c r="C322" s="131"/>
      <c r="D322" s="131"/>
      <c r="E322" s="131"/>
      <c r="F322" s="131"/>
    </row>
    <row r="323" spans="1:6" x14ac:dyDescent="0.3">
      <c r="A323" s="131"/>
      <c r="B323" s="131"/>
      <c r="C323" s="131"/>
      <c r="D323" s="131"/>
      <c r="E323" s="131"/>
      <c r="F323" s="131"/>
    </row>
    <row r="324" spans="1:6" x14ac:dyDescent="0.3">
      <c r="A324" s="131"/>
      <c r="B324" s="131"/>
      <c r="C324" s="131"/>
      <c r="D324" s="131"/>
      <c r="E324" s="131"/>
      <c r="F324" s="131"/>
    </row>
    <row r="325" spans="1:6" x14ac:dyDescent="0.3">
      <c r="A325" s="131"/>
      <c r="B325" s="131"/>
      <c r="C325" s="131"/>
      <c r="D325" s="131"/>
      <c r="E325" s="131"/>
      <c r="F325" s="131"/>
    </row>
    <row r="326" spans="1:6" x14ac:dyDescent="0.3">
      <c r="A326" s="131"/>
      <c r="B326" s="131"/>
      <c r="C326" s="131"/>
      <c r="D326" s="131"/>
      <c r="E326" s="131"/>
      <c r="F326" s="131"/>
    </row>
    <row r="327" spans="1:6" x14ac:dyDescent="0.3">
      <c r="A327" s="131"/>
      <c r="B327" s="131"/>
      <c r="C327" s="131"/>
      <c r="D327" s="131"/>
      <c r="E327" s="131"/>
      <c r="F327" s="131"/>
    </row>
    <row r="328" spans="1:6" x14ac:dyDescent="0.3">
      <c r="A328" s="131"/>
      <c r="B328" s="131"/>
      <c r="C328" s="131"/>
      <c r="D328" s="131"/>
      <c r="E328" s="131"/>
      <c r="F328" s="131"/>
    </row>
    <row r="329" spans="1:6" x14ac:dyDescent="0.3">
      <c r="A329" s="131"/>
      <c r="B329" s="131"/>
      <c r="C329" s="131"/>
      <c r="D329" s="131"/>
      <c r="E329" s="131"/>
      <c r="F329" s="131"/>
    </row>
    <row r="330" spans="1:6" x14ac:dyDescent="0.3">
      <c r="A330" s="131"/>
      <c r="B330" s="131"/>
      <c r="C330" s="131"/>
      <c r="D330" s="131"/>
      <c r="E330" s="131"/>
      <c r="F330" s="131"/>
    </row>
    <row r="331" spans="1:6" x14ac:dyDescent="0.3">
      <c r="A331" s="131"/>
      <c r="B331" s="131"/>
      <c r="C331" s="131"/>
      <c r="D331" s="131"/>
      <c r="E331" s="131"/>
      <c r="F331" s="131"/>
    </row>
    <row r="332" spans="1:6" x14ac:dyDescent="0.3">
      <c r="A332" s="131"/>
      <c r="B332" s="131"/>
      <c r="C332" s="131"/>
      <c r="D332" s="131"/>
      <c r="E332" s="131"/>
      <c r="F332" s="131"/>
    </row>
    <row r="333" spans="1:6" x14ac:dyDescent="0.3">
      <c r="A333" s="131"/>
      <c r="B333" s="131"/>
      <c r="C333" s="131"/>
      <c r="D333" s="131"/>
      <c r="E333" s="131"/>
      <c r="F333" s="131"/>
    </row>
    <row r="334" spans="1:6" x14ac:dyDescent="0.3">
      <c r="A334" s="131"/>
      <c r="B334" s="131"/>
      <c r="C334" s="131"/>
      <c r="D334" s="131"/>
      <c r="E334" s="131"/>
      <c r="F334" s="131"/>
    </row>
    <row r="335" spans="1:6" x14ac:dyDescent="0.3">
      <c r="A335" s="131"/>
      <c r="B335" s="131"/>
      <c r="C335" s="131"/>
      <c r="D335" s="131"/>
      <c r="E335" s="131"/>
      <c r="F335" s="131"/>
    </row>
    <row r="336" spans="1:6" x14ac:dyDescent="0.3">
      <c r="A336" s="131"/>
      <c r="B336" s="131"/>
      <c r="C336" s="131"/>
      <c r="D336" s="131"/>
      <c r="E336" s="131"/>
      <c r="F336" s="131"/>
    </row>
    <row r="337" spans="1:6" x14ac:dyDescent="0.3">
      <c r="A337" s="131"/>
      <c r="B337" s="131"/>
      <c r="C337" s="131"/>
      <c r="D337" s="131"/>
      <c r="E337" s="131"/>
      <c r="F337" s="131"/>
    </row>
    <row r="338" spans="1:6" x14ac:dyDescent="0.3">
      <c r="A338" s="131"/>
      <c r="B338" s="131"/>
      <c r="C338" s="131"/>
      <c r="D338" s="131"/>
      <c r="E338" s="131"/>
      <c r="F338" s="131"/>
    </row>
    <row r="339" spans="1:6" x14ac:dyDescent="0.3">
      <c r="A339" s="131"/>
      <c r="B339" s="131"/>
      <c r="C339" s="131"/>
      <c r="D339" s="131"/>
      <c r="E339" s="131"/>
      <c r="F339" s="131"/>
    </row>
    <row r="340" spans="1:6" x14ac:dyDescent="0.3">
      <c r="A340" s="131"/>
      <c r="B340" s="131"/>
      <c r="C340" s="131"/>
      <c r="D340" s="131"/>
      <c r="E340" s="131"/>
      <c r="F340" s="131"/>
    </row>
    <row r="341" spans="1:6" x14ac:dyDescent="0.3">
      <c r="A341" s="131"/>
      <c r="B341" s="131"/>
      <c r="C341" s="131"/>
      <c r="D341" s="131"/>
      <c r="E341" s="131"/>
      <c r="F341" s="131"/>
    </row>
    <row r="342" spans="1:6" x14ac:dyDescent="0.3">
      <c r="A342" s="131"/>
      <c r="B342" s="131"/>
      <c r="C342" s="131"/>
      <c r="D342" s="131"/>
      <c r="E342" s="131"/>
      <c r="F342" s="131"/>
    </row>
    <row r="343" spans="1:6" x14ac:dyDescent="0.3">
      <c r="A343" s="131"/>
      <c r="B343" s="131"/>
      <c r="C343" s="131"/>
      <c r="D343" s="131"/>
      <c r="E343" s="131"/>
      <c r="F343" s="131"/>
    </row>
    <row r="344" spans="1:6" x14ac:dyDescent="0.3">
      <c r="A344" s="131"/>
      <c r="B344" s="131"/>
      <c r="C344" s="131"/>
      <c r="D344" s="131"/>
      <c r="E344" s="131"/>
      <c r="F344" s="131"/>
    </row>
    <row r="345" spans="1:6" x14ac:dyDescent="0.3">
      <c r="A345" s="131"/>
      <c r="B345" s="131"/>
      <c r="C345" s="131"/>
      <c r="D345" s="131"/>
      <c r="E345" s="131"/>
      <c r="F345" s="131"/>
    </row>
    <row r="346" spans="1:6" x14ac:dyDescent="0.3">
      <c r="A346" s="131"/>
      <c r="B346" s="131"/>
      <c r="C346" s="131"/>
      <c r="D346" s="131"/>
      <c r="E346" s="131"/>
      <c r="F346" s="131"/>
    </row>
    <row r="347" spans="1:6" x14ac:dyDescent="0.3">
      <c r="A347" s="131"/>
      <c r="B347" s="131"/>
      <c r="C347" s="131"/>
      <c r="D347" s="131"/>
      <c r="E347" s="131"/>
      <c r="F347" s="131"/>
    </row>
    <row r="348" spans="1:6" x14ac:dyDescent="0.3">
      <c r="A348" s="131"/>
      <c r="B348" s="131"/>
      <c r="C348" s="131"/>
      <c r="D348" s="131"/>
      <c r="E348" s="131"/>
      <c r="F348" s="131"/>
    </row>
    <row r="349" spans="1:6" x14ac:dyDescent="0.3">
      <c r="A349" s="131"/>
      <c r="B349" s="131"/>
      <c r="C349" s="131"/>
      <c r="D349" s="131"/>
      <c r="E349" s="131"/>
      <c r="F349" s="131"/>
    </row>
    <row r="350" spans="1:6" x14ac:dyDescent="0.3">
      <c r="A350" s="131"/>
      <c r="B350" s="131"/>
      <c r="C350" s="131"/>
      <c r="D350" s="131"/>
      <c r="E350" s="131"/>
      <c r="F350" s="131"/>
    </row>
    <row r="351" spans="1:6" x14ac:dyDescent="0.3">
      <c r="A351" s="131"/>
      <c r="B351" s="131"/>
      <c r="C351" s="131"/>
      <c r="D351" s="131"/>
      <c r="E351" s="131"/>
      <c r="F351" s="131"/>
    </row>
    <row r="352" spans="1:6" x14ac:dyDescent="0.3">
      <c r="A352" s="131"/>
      <c r="B352" s="131"/>
      <c r="C352" s="131"/>
      <c r="D352" s="131"/>
      <c r="E352" s="131"/>
      <c r="F352" s="131"/>
    </row>
    <row r="353" spans="1:6" x14ac:dyDescent="0.3">
      <c r="A353" s="131"/>
      <c r="B353" s="131"/>
      <c r="C353" s="131"/>
      <c r="D353" s="131"/>
      <c r="E353" s="131"/>
      <c r="F353" s="131"/>
    </row>
    <row r="354" spans="1:6" x14ac:dyDescent="0.3">
      <c r="A354" s="131"/>
      <c r="B354" s="131"/>
      <c r="C354" s="131"/>
      <c r="D354" s="131"/>
      <c r="E354" s="131"/>
      <c r="F354" s="131"/>
    </row>
    <row r="355" spans="1:6" x14ac:dyDescent="0.3">
      <c r="A355" s="131"/>
      <c r="B355" s="131"/>
      <c r="C355" s="131"/>
      <c r="D355" s="131"/>
      <c r="E355" s="131"/>
      <c r="F355" s="131"/>
    </row>
    <row r="356" spans="1:6" x14ac:dyDescent="0.3">
      <c r="A356" s="131"/>
      <c r="B356" s="131"/>
      <c r="C356" s="131"/>
      <c r="D356" s="131"/>
      <c r="E356" s="131"/>
      <c r="F356" s="131"/>
    </row>
    <row r="357" spans="1:6" x14ac:dyDescent="0.3">
      <c r="A357" s="131"/>
      <c r="B357" s="131"/>
      <c r="C357" s="131"/>
      <c r="D357" s="131"/>
      <c r="E357" s="131"/>
      <c r="F357" s="131"/>
    </row>
    <row r="358" spans="1:6" x14ac:dyDescent="0.3">
      <c r="A358" s="131"/>
      <c r="B358" s="131"/>
      <c r="C358" s="131"/>
      <c r="D358" s="131"/>
      <c r="E358" s="131"/>
      <c r="F358" s="131"/>
    </row>
    <row r="359" spans="1:6" x14ac:dyDescent="0.3">
      <c r="A359" s="131"/>
      <c r="B359" s="131"/>
      <c r="C359" s="131"/>
      <c r="D359" s="131"/>
      <c r="E359" s="131"/>
      <c r="F359" s="131"/>
    </row>
    <row r="360" spans="1:6" x14ac:dyDescent="0.3">
      <c r="A360" s="131"/>
      <c r="B360" s="131"/>
      <c r="C360" s="131"/>
      <c r="D360" s="131"/>
      <c r="E360" s="131"/>
      <c r="F360" s="131"/>
    </row>
    <row r="361" spans="1:6" x14ac:dyDescent="0.3">
      <c r="A361" s="131"/>
      <c r="B361" s="131"/>
      <c r="C361" s="131"/>
      <c r="D361" s="131"/>
      <c r="E361" s="131"/>
      <c r="F361" s="131"/>
    </row>
    <row r="362" spans="1:6" x14ac:dyDescent="0.3">
      <c r="A362" s="131"/>
      <c r="B362" s="131"/>
      <c r="C362" s="131"/>
      <c r="D362" s="131"/>
      <c r="E362" s="131"/>
      <c r="F362" s="131"/>
    </row>
    <row r="363" spans="1:6" x14ac:dyDescent="0.3">
      <c r="A363" s="131"/>
      <c r="B363" s="131"/>
      <c r="C363" s="131"/>
      <c r="D363" s="131"/>
      <c r="E363" s="131"/>
      <c r="F363" s="131"/>
    </row>
    <row r="364" spans="1:6" x14ac:dyDescent="0.3">
      <c r="A364" s="131"/>
      <c r="B364" s="131"/>
      <c r="C364" s="131"/>
      <c r="D364" s="131"/>
      <c r="E364" s="131"/>
      <c r="F364" s="131"/>
    </row>
    <row r="365" spans="1:6" x14ac:dyDescent="0.3">
      <c r="A365" s="131"/>
      <c r="B365" s="131"/>
      <c r="C365" s="131"/>
      <c r="D365" s="131"/>
      <c r="E365" s="131"/>
      <c r="F365" s="131"/>
    </row>
    <row r="366" spans="1:6" x14ac:dyDescent="0.3">
      <c r="A366" s="131"/>
      <c r="B366" s="131"/>
      <c r="C366" s="131"/>
      <c r="D366" s="131"/>
      <c r="E366" s="131"/>
      <c r="F366" s="131"/>
    </row>
    <row r="367" spans="1:6" x14ac:dyDescent="0.3">
      <c r="A367" s="131"/>
      <c r="B367" s="131"/>
      <c r="C367" s="131"/>
      <c r="D367" s="131"/>
      <c r="E367" s="131"/>
      <c r="F367" s="131"/>
    </row>
    <row r="368" spans="1:6" x14ac:dyDescent="0.3">
      <c r="A368" s="131"/>
      <c r="B368" s="131"/>
      <c r="C368" s="131"/>
      <c r="D368" s="131"/>
      <c r="E368" s="131"/>
      <c r="F368" s="131"/>
    </row>
    <row r="369" spans="1:6" x14ac:dyDescent="0.3">
      <c r="A369" s="131"/>
      <c r="B369" s="131"/>
      <c r="C369" s="131"/>
      <c r="D369" s="131"/>
      <c r="E369" s="131"/>
      <c r="F369" s="131"/>
    </row>
    <row r="370" spans="1:6" x14ac:dyDescent="0.3">
      <c r="A370" s="131"/>
      <c r="B370" s="131"/>
      <c r="C370" s="131"/>
      <c r="D370" s="131"/>
      <c r="E370" s="131"/>
      <c r="F370" s="131"/>
    </row>
    <row r="371" spans="1:6" x14ac:dyDescent="0.3">
      <c r="A371" s="131"/>
      <c r="B371" s="131"/>
      <c r="C371" s="131"/>
      <c r="D371" s="131"/>
      <c r="E371" s="131"/>
      <c r="F371" s="131"/>
    </row>
    <row r="372" spans="1:6" x14ac:dyDescent="0.3">
      <c r="A372" s="131"/>
      <c r="B372" s="131"/>
      <c r="C372" s="131"/>
      <c r="D372" s="131"/>
      <c r="E372" s="131"/>
      <c r="F372" s="131"/>
    </row>
    <row r="373" spans="1:6" x14ac:dyDescent="0.3">
      <c r="A373" s="131"/>
      <c r="B373" s="131"/>
      <c r="C373" s="131"/>
      <c r="D373" s="131"/>
      <c r="E373" s="131"/>
      <c r="F373" s="131"/>
    </row>
    <row r="374" spans="1:6" x14ac:dyDescent="0.3">
      <c r="A374" s="131"/>
      <c r="B374" s="131"/>
      <c r="C374" s="131"/>
      <c r="D374" s="131"/>
      <c r="E374" s="131"/>
      <c r="F374" s="131"/>
    </row>
    <row r="375" spans="1:6" x14ac:dyDescent="0.3">
      <c r="A375" s="131"/>
      <c r="B375" s="131"/>
      <c r="C375" s="131"/>
      <c r="D375" s="131"/>
      <c r="E375" s="131"/>
      <c r="F375" s="131"/>
    </row>
    <row r="376" spans="1:6" x14ac:dyDescent="0.3">
      <c r="A376" s="131"/>
      <c r="B376" s="131"/>
      <c r="C376" s="131"/>
      <c r="D376" s="131"/>
      <c r="E376" s="131"/>
      <c r="F376" s="131"/>
    </row>
    <row r="377" spans="1:6" x14ac:dyDescent="0.3">
      <c r="A377" s="131"/>
      <c r="B377" s="131"/>
      <c r="C377" s="131"/>
      <c r="D377" s="131"/>
      <c r="E377" s="131"/>
      <c r="F377" s="131"/>
    </row>
    <row r="378" spans="1:6" x14ac:dyDescent="0.3">
      <c r="A378" s="131"/>
      <c r="B378" s="131"/>
      <c r="C378" s="131"/>
      <c r="D378" s="131"/>
      <c r="E378" s="131"/>
      <c r="F378" s="131"/>
    </row>
    <row r="379" spans="1:6" x14ac:dyDescent="0.3">
      <c r="A379" s="131"/>
      <c r="B379" s="131"/>
      <c r="C379" s="131"/>
      <c r="D379" s="131"/>
      <c r="E379" s="131"/>
      <c r="F379" s="131"/>
    </row>
    <row r="380" spans="1:6" x14ac:dyDescent="0.3">
      <c r="A380" s="131"/>
      <c r="B380" s="131"/>
      <c r="C380" s="131"/>
      <c r="D380" s="131"/>
      <c r="E380" s="131"/>
      <c r="F380" s="131"/>
    </row>
    <row r="381" spans="1:6" x14ac:dyDescent="0.3">
      <c r="A381" s="131"/>
      <c r="B381" s="131"/>
      <c r="C381" s="131"/>
      <c r="D381" s="131"/>
      <c r="E381" s="131"/>
      <c r="F381" s="131"/>
    </row>
    <row r="382" spans="1:6" x14ac:dyDescent="0.3">
      <c r="A382" s="131"/>
      <c r="B382" s="131"/>
      <c r="C382" s="131"/>
      <c r="D382" s="131"/>
      <c r="E382" s="131"/>
      <c r="F382" s="131"/>
    </row>
    <row r="383" spans="1:6" x14ac:dyDescent="0.3">
      <c r="A383" s="131"/>
      <c r="B383" s="131"/>
      <c r="C383" s="131"/>
      <c r="D383" s="131"/>
      <c r="E383" s="131"/>
      <c r="F383" s="131"/>
    </row>
    <row r="384" spans="1:6" x14ac:dyDescent="0.3">
      <c r="A384" s="131"/>
      <c r="B384" s="131"/>
      <c r="C384" s="131"/>
      <c r="D384" s="131"/>
      <c r="E384" s="131"/>
      <c r="F384" s="131"/>
    </row>
    <row r="385" spans="1:6" x14ac:dyDescent="0.3">
      <c r="A385" s="131"/>
      <c r="B385" s="131"/>
      <c r="C385" s="131"/>
      <c r="D385" s="131"/>
      <c r="E385" s="131"/>
      <c r="F385" s="131"/>
    </row>
    <row r="386" spans="1:6" x14ac:dyDescent="0.3">
      <c r="A386" s="131"/>
      <c r="B386" s="131"/>
      <c r="C386" s="131"/>
      <c r="D386" s="131"/>
      <c r="E386" s="131"/>
      <c r="F386" s="131"/>
    </row>
    <row r="387" spans="1:6" x14ac:dyDescent="0.3">
      <c r="A387" s="131"/>
      <c r="B387" s="131"/>
      <c r="C387" s="131"/>
      <c r="D387" s="131"/>
      <c r="E387" s="131"/>
      <c r="F387" s="131"/>
    </row>
    <row r="388" spans="1:6" x14ac:dyDescent="0.3">
      <c r="A388" s="131"/>
      <c r="B388" s="131"/>
      <c r="C388" s="131"/>
      <c r="D388" s="131"/>
      <c r="E388" s="131"/>
      <c r="F388" s="131"/>
    </row>
    <row r="389" spans="1:6" x14ac:dyDescent="0.3">
      <c r="A389" s="131"/>
      <c r="B389" s="131"/>
      <c r="C389" s="131"/>
      <c r="D389" s="131"/>
      <c r="E389" s="131"/>
      <c r="F389" s="131"/>
    </row>
    <row r="390" spans="1:6" x14ac:dyDescent="0.3">
      <c r="A390" s="131"/>
      <c r="B390" s="131"/>
      <c r="C390" s="131"/>
      <c r="D390" s="131"/>
      <c r="E390" s="131"/>
      <c r="F390" s="131"/>
    </row>
    <row r="391" spans="1:6" x14ac:dyDescent="0.3">
      <c r="A391" s="131"/>
      <c r="B391" s="131"/>
      <c r="C391" s="131"/>
      <c r="D391" s="131"/>
      <c r="E391" s="131"/>
      <c r="F391" s="131"/>
    </row>
    <row r="392" spans="1:6" x14ac:dyDescent="0.3">
      <c r="A392" s="131"/>
      <c r="B392" s="131"/>
      <c r="C392" s="131"/>
      <c r="D392" s="131"/>
      <c r="E392" s="131"/>
      <c r="F392" s="131"/>
    </row>
    <row r="393" spans="1:6" x14ac:dyDescent="0.3">
      <c r="A393" s="131"/>
      <c r="B393" s="131"/>
      <c r="C393" s="131"/>
      <c r="D393" s="131"/>
      <c r="E393" s="131"/>
      <c r="F393" s="131"/>
    </row>
    <row r="394" spans="1:6" x14ac:dyDescent="0.3">
      <c r="A394" s="131"/>
      <c r="B394" s="131"/>
      <c r="C394" s="131"/>
      <c r="D394" s="131"/>
      <c r="E394" s="131"/>
      <c r="F394" s="131"/>
    </row>
    <row r="395" spans="1:6" x14ac:dyDescent="0.3">
      <c r="A395" s="131"/>
      <c r="B395" s="131"/>
      <c r="C395" s="131"/>
      <c r="D395" s="131"/>
      <c r="E395" s="131"/>
      <c r="F395" s="131"/>
    </row>
    <row r="396" spans="1:6" x14ac:dyDescent="0.3">
      <c r="A396" s="131"/>
      <c r="B396" s="131"/>
      <c r="C396" s="131"/>
      <c r="D396" s="131"/>
      <c r="E396" s="131"/>
      <c r="F396" s="131"/>
    </row>
    <row r="397" spans="1:6" x14ac:dyDescent="0.3">
      <c r="A397" s="131"/>
      <c r="B397" s="131"/>
      <c r="C397" s="131"/>
      <c r="D397" s="131"/>
      <c r="E397" s="131"/>
      <c r="F397" s="131"/>
    </row>
    <row r="398" spans="1:6" x14ac:dyDescent="0.3">
      <c r="A398" s="131"/>
      <c r="B398" s="131"/>
      <c r="C398" s="131"/>
      <c r="D398" s="131"/>
      <c r="E398" s="131"/>
      <c r="F398" s="131"/>
    </row>
    <row r="399" spans="1:6" x14ac:dyDescent="0.3">
      <c r="A399" s="131"/>
      <c r="B399" s="131"/>
      <c r="C399" s="131"/>
      <c r="D399" s="131"/>
      <c r="E399" s="131"/>
      <c r="F399" s="131"/>
    </row>
    <row r="400" spans="1:6" x14ac:dyDescent="0.3">
      <c r="A400" s="131"/>
      <c r="B400" s="131"/>
      <c r="C400" s="131"/>
      <c r="D400" s="131"/>
      <c r="E400" s="131"/>
      <c r="F400" s="131"/>
    </row>
    <row r="401" spans="1:6" x14ac:dyDescent="0.3">
      <c r="A401" s="131"/>
      <c r="B401" s="131"/>
      <c r="C401" s="131"/>
      <c r="D401" s="131"/>
      <c r="E401" s="131"/>
      <c r="F401" s="131"/>
    </row>
    <row r="402" spans="1:6" x14ac:dyDescent="0.3">
      <c r="A402" s="131"/>
      <c r="B402" s="131"/>
      <c r="C402" s="131"/>
      <c r="D402" s="131"/>
      <c r="E402" s="131"/>
      <c r="F402" s="131"/>
    </row>
    <row r="403" spans="1:6" x14ac:dyDescent="0.3">
      <c r="A403" s="131"/>
      <c r="B403" s="131"/>
      <c r="C403" s="131"/>
      <c r="D403" s="131"/>
      <c r="E403" s="131"/>
      <c r="F403" s="131"/>
    </row>
    <row r="404" spans="1:6" x14ac:dyDescent="0.3">
      <c r="A404" s="131"/>
      <c r="B404" s="131"/>
      <c r="C404" s="131"/>
      <c r="D404" s="131"/>
      <c r="E404" s="131"/>
      <c r="F404" s="131"/>
    </row>
    <row r="405" spans="1:6" x14ac:dyDescent="0.3">
      <c r="A405" s="131"/>
      <c r="B405" s="131"/>
      <c r="C405" s="131"/>
      <c r="D405" s="131"/>
      <c r="E405" s="131"/>
      <c r="F405" s="131"/>
    </row>
    <row r="406" spans="1:6" x14ac:dyDescent="0.3">
      <c r="A406" s="131"/>
      <c r="B406" s="131"/>
      <c r="C406" s="131"/>
      <c r="D406" s="131"/>
      <c r="E406" s="131"/>
      <c r="F406" s="131"/>
    </row>
    <row r="407" spans="1:6" x14ac:dyDescent="0.3">
      <c r="A407" s="131"/>
      <c r="B407" s="131"/>
      <c r="C407" s="131"/>
      <c r="D407" s="131"/>
      <c r="E407" s="131"/>
      <c r="F407" s="131"/>
    </row>
    <row r="408" spans="1:6" x14ac:dyDescent="0.3">
      <c r="A408" s="131"/>
      <c r="B408" s="131"/>
      <c r="C408" s="131"/>
      <c r="D408" s="131"/>
      <c r="E408" s="131"/>
      <c r="F408" s="131"/>
    </row>
    <row r="409" spans="1:6" x14ac:dyDescent="0.3">
      <c r="A409" s="131"/>
      <c r="B409" s="131"/>
      <c r="C409" s="131"/>
      <c r="D409" s="131"/>
      <c r="E409" s="131"/>
      <c r="F409" s="131"/>
    </row>
    <row r="410" spans="1:6" x14ac:dyDescent="0.3">
      <c r="A410" s="131"/>
      <c r="B410" s="131"/>
      <c r="C410" s="131"/>
      <c r="D410" s="131"/>
      <c r="E410" s="131"/>
      <c r="F410" s="131"/>
    </row>
    <row r="411" spans="1:6" x14ac:dyDescent="0.3">
      <c r="A411" s="131"/>
      <c r="B411" s="131"/>
      <c r="C411" s="131"/>
      <c r="D411" s="131"/>
      <c r="E411" s="131"/>
      <c r="F411" s="131"/>
    </row>
    <row r="412" spans="1:6" x14ac:dyDescent="0.3">
      <c r="A412" s="131"/>
      <c r="B412" s="131"/>
      <c r="C412" s="131"/>
      <c r="D412" s="131"/>
      <c r="E412" s="131"/>
      <c r="F412" s="131"/>
    </row>
    <row r="413" spans="1:6" x14ac:dyDescent="0.3">
      <c r="A413" s="131"/>
      <c r="B413" s="131"/>
      <c r="C413" s="131"/>
      <c r="D413" s="131"/>
      <c r="E413" s="131"/>
      <c r="F413" s="131"/>
    </row>
    <row r="414" spans="1:6" x14ac:dyDescent="0.3">
      <c r="A414" s="131"/>
      <c r="B414" s="131"/>
      <c r="C414" s="131"/>
      <c r="D414" s="131"/>
      <c r="E414" s="131"/>
      <c r="F414" s="131"/>
    </row>
    <row r="415" spans="1:6" x14ac:dyDescent="0.3">
      <c r="A415" s="131"/>
      <c r="B415" s="131"/>
      <c r="C415" s="131"/>
      <c r="D415" s="131"/>
      <c r="E415" s="131"/>
      <c r="F415" s="131"/>
    </row>
    <row r="416" spans="1:6" x14ac:dyDescent="0.3">
      <c r="A416" s="131"/>
      <c r="B416" s="131"/>
      <c r="C416" s="131"/>
      <c r="D416" s="131"/>
      <c r="E416" s="131"/>
      <c r="F416" s="131"/>
    </row>
    <row r="417" spans="1:6" x14ac:dyDescent="0.3">
      <c r="A417" s="131"/>
      <c r="B417" s="131"/>
      <c r="C417" s="131"/>
      <c r="D417" s="131"/>
      <c r="E417" s="131"/>
      <c r="F417" s="131"/>
    </row>
    <row r="418" spans="1:6" x14ac:dyDescent="0.3">
      <c r="A418" s="131"/>
      <c r="B418" s="131"/>
      <c r="C418" s="131"/>
      <c r="D418" s="131"/>
      <c r="E418" s="131"/>
      <c r="F418" s="131"/>
    </row>
    <row r="419" spans="1:6" x14ac:dyDescent="0.3">
      <c r="A419" s="131"/>
      <c r="B419" s="131"/>
      <c r="C419" s="131"/>
      <c r="D419" s="131"/>
      <c r="E419" s="131"/>
      <c r="F419" s="131"/>
    </row>
    <row r="420" spans="1:6" x14ac:dyDescent="0.3">
      <c r="A420" s="131"/>
      <c r="B420" s="131"/>
      <c r="C420" s="131"/>
      <c r="D420" s="131"/>
      <c r="E420" s="131"/>
      <c r="F420" s="131"/>
    </row>
    <row r="421" spans="1:6" x14ac:dyDescent="0.3">
      <c r="A421" s="131"/>
      <c r="B421" s="131"/>
      <c r="C421" s="131"/>
      <c r="D421" s="131"/>
      <c r="E421" s="131"/>
      <c r="F421" s="131"/>
    </row>
    <row r="422" spans="1:6" x14ac:dyDescent="0.3">
      <c r="A422" s="131"/>
      <c r="B422" s="131"/>
      <c r="C422" s="131"/>
      <c r="D422" s="131"/>
      <c r="E422" s="131"/>
      <c r="F422" s="131"/>
    </row>
    <row r="423" spans="1:6" x14ac:dyDescent="0.3">
      <c r="A423" s="131"/>
      <c r="B423" s="131"/>
      <c r="C423" s="131"/>
      <c r="D423" s="131"/>
      <c r="E423" s="131"/>
      <c r="F423" s="131"/>
    </row>
    <row r="424" spans="1:6" x14ac:dyDescent="0.3">
      <c r="A424" s="131"/>
      <c r="B424" s="131"/>
      <c r="C424" s="131"/>
      <c r="D424" s="131"/>
      <c r="E424" s="131"/>
      <c r="F424" s="131"/>
    </row>
    <row r="425" spans="1:6" x14ac:dyDescent="0.3">
      <c r="A425" s="131"/>
      <c r="B425" s="131"/>
      <c r="C425" s="131"/>
      <c r="D425" s="131"/>
      <c r="E425" s="131"/>
      <c r="F425" s="131"/>
    </row>
    <row r="426" spans="1:6" x14ac:dyDescent="0.3">
      <c r="A426" s="131"/>
      <c r="B426" s="131"/>
      <c r="C426" s="131"/>
      <c r="D426" s="131"/>
      <c r="E426" s="131"/>
      <c r="F426" s="131"/>
    </row>
    <row r="427" spans="1:6" x14ac:dyDescent="0.3">
      <c r="A427" s="131"/>
      <c r="B427" s="131"/>
      <c r="C427" s="131"/>
      <c r="D427" s="131"/>
      <c r="E427" s="131"/>
      <c r="F427" s="131"/>
    </row>
    <row r="428" spans="1:6" x14ac:dyDescent="0.3">
      <c r="A428" s="131"/>
      <c r="B428" s="131"/>
      <c r="C428" s="131"/>
      <c r="D428" s="131"/>
      <c r="E428" s="131"/>
      <c r="F428" s="131"/>
    </row>
    <row r="429" spans="1:6" x14ac:dyDescent="0.3">
      <c r="A429" s="131"/>
      <c r="B429" s="131"/>
      <c r="C429" s="131"/>
      <c r="D429" s="131"/>
      <c r="E429" s="131"/>
      <c r="F429" s="131"/>
    </row>
    <row r="430" spans="1:6" x14ac:dyDescent="0.3">
      <c r="A430" s="131"/>
      <c r="B430" s="131"/>
      <c r="C430" s="131"/>
      <c r="D430" s="131"/>
      <c r="E430" s="131"/>
      <c r="F430" s="131"/>
    </row>
    <row r="431" spans="1:6" x14ac:dyDescent="0.3">
      <c r="A431" s="131"/>
      <c r="B431" s="131"/>
      <c r="C431" s="131"/>
      <c r="D431" s="131"/>
      <c r="E431" s="131"/>
      <c r="F431" s="131"/>
    </row>
    <row r="432" spans="1:6" x14ac:dyDescent="0.3">
      <c r="A432" s="131"/>
      <c r="B432" s="131"/>
      <c r="C432" s="131"/>
      <c r="D432" s="131"/>
      <c r="E432" s="131"/>
      <c r="F432" s="131"/>
    </row>
    <row r="433" spans="1:6" x14ac:dyDescent="0.3">
      <c r="A433" s="131"/>
      <c r="B433" s="131"/>
      <c r="C433" s="131"/>
      <c r="D433" s="131"/>
      <c r="E433" s="131"/>
      <c r="F433" s="131"/>
    </row>
    <row r="434" spans="1:6" x14ac:dyDescent="0.3">
      <c r="A434" s="131"/>
      <c r="B434" s="131"/>
      <c r="C434" s="131"/>
      <c r="D434" s="131"/>
      <c r="E434" s="131"/>
      <c r="F434" s="131"/>
    </row>
    <row r="435" spans="1:6" x14ac:dyDescent="0.3">
      <c r="A435" s="131"/>
      <c r="B435" s="131"/>
      <c r="C435" s="131"/>
      <c r="D435" s="131"/>
      <c r="E435" s="131"/>
      <c r="F435" s="131"/>
    </row>
    <row r="436" spans="1:6" x14ac:dyDescent="0.3">
      <c r="A436" s="131"/>
      <c r="B436" s="131"/>
      <c r="C436" s="131"/>
      <c r="D436" s="131"/>
      <c r="E436" s="131"/>
      <c r="F436" s="131"/>
    </row>
    <row r="437" spans="1:6" x14ac:dyDescent="0.3">
      <c r="A437" s="131"/>
      <c r="B437" s="131"/>
      <c r="C437" s="131"/>
      <c r="D437" s="131"/>
      <c r="E437" s="131"/>
      <c r="F437" s="131"/>
    </row>
    <row r="438" spans="1:6" x14ac:dyDescent="0.3">
      <c r="A438" s="131"/>
      <c r="B438" s="131"/>
      <c r="C438" s="131"/>
      <c r="D438" s="131"/>
      <c r="E438" s="131"/>
      <c r="F438" s="131"/>
    </row>
    <row r="439" spans="1:6" x14ac:dyDescent="0.3">
      <c r="A439" s="131"/>
      <c r="B439" s="131"/>
      <c r="C439" s="131"/>
      <c r="D439" s="131"/>
      <c r="E439" s="131"/>
      <c r="F439" s="131"/>
    </row>
    <row r="440" spans="1:6" x14ac:dyDescent="0.3">
      <c r="A440" s="131"/>
      <c r="B440" s="131"/>
      <c r="C440" s="131"/>
      <c r="D440" s="131"/>
      <c r="E440" s="131"/>
      <c r="F440" s="131"/>
    </row>
    <row r="441" spans="1:6" x14ac:dyDescent="0.3">
      <c r="A441" s="131"/>
      <c r="B441" s="131"/>
      <c r="C441" s="131"/>
      <c r="D441" s="131"/>
      <c r="E441" s="131"/>
      <c r="F441" s="131"/>
    </row>
    <row r="442" spans="1:6" x14ac:dyDescent="0.3">
      <c r="A442" s="131"/>
      <c r="B442" s="131"/>
      <c r="C442" s="131"/>
      <c r="D442" s="131"/>
      <c r="E442" s="131"/>
      <c r="F442" s="131"/>
    </row>
    <row r="443" spans="1:6" x14ac:dyDescent="0.3">
      <c r="A443" s="131"/>
      <c r="B443" s="131"/>
      <c r="C443" s="131"/>
      <c r="D443" s="131"/>
      <c r="E443" s="131"/>
      <c r="F443" s="131"/>
    </row>
    <row r="444" spans="1:6" x14ac:dyDescent="0.3">
      <c r="A444" s="131"/>
      <c r="B444" s="131"/>
      <c r="C444" s="131"/>
      <c r="D444" s="131"/>
      <c r="E444" s="131"/>
      <c r="F444" s="131"/>
    </row>
    <row r="445" spans="1:6" x14ac:dyDescent="0.3">
      <c r="A445" s="131"/>
      <c r="B445" s="131"/>
      <c r="C445" s="131"/>
      <c r="D445" s="131"/>
      <c r="E445" s="131"/>
      <c r="F445" s="131"/>
    </row>
    <row r="446" spans="1:6" x14ac:dyDescent="0.3">
      <c r="A446" s="131"/>
      <c r="B446" s="131"/>
      <c r="C446" s="131"/>
      <c r="D446" s="131"/>
      <c r="E446" s="131"/>
      <c r="F446" s="131"/>
    </row>
    <row r="447" spans="1:6" x14ac:dyDescent="0.3">
      <c r="A447" s="131"/>
      <c r="B447" s="131"/>
      <c r="C447" s="131"/>
      <c r="D447" s="131"/>
      <c r="E447" s="131"/>
      <c r="F447" s="131"/>
    </row>
    <row r="448" spans="1:6" x14ac:dyDescent="0.3">
      <c r="A448" s="131"/>
      <c r="B448" s="131"/>
      <c r="C448" s="131"/>
      <c r="D448" s="131"/>
      <c r="E448" s="131"/>
      <c r="F448" s="131"/>
    </row>
    <row r="449" spans="1:6" x14ac:dyDescent="0.3">
      <c r="A449" s="131"/>
      <c r="B449" s="131"/>
      <c r="C449" s="131"/>
      <c r="D449" s="131"/>
      <c r="E449" s="131"/>
      <c r="F449" s="131"/>
    </row>
    <row r="450" spans="1:6" x14ac:dyDescent="0.3">
      <c r="A450" s="131"/>
      <c r="B450" s="131"/>
      <c r="C450" s="131"/>
      <c r="D450" s="131"/>
      <c r="E450" s="131"/>
      <c r="F450" s="131"/>
    </row>
    <row r="451" spans="1:6" x14ac:dyDescent="0.3">
      <c r="A451" s="131"/>
      <c r="B451" s="131"/>
      <c r="C451" s="131"/>
      <c r="D451" s="131"/>
      <c r="E451" s="131"/>
      <c r="F451" s="131"/>
    </row>
    <row r="452" spans="1:6" x14ac:dyDescent="0.3">
      <c r="A452" s="131"/>
      <c r="B452" s="131"/>
      <c r="C452" s="131"/>
      <c r="D452" s="131"/>
      <c r="E452" s="131"/>
      <c r="F452" s="131"/>
    </row>
    <row r="453" spans="1:6" x14ac:dyDescent="0.3">
      <c r="A453" s="131"/>
      <c r="B453" s="131"/>
      <c r="C453" s="131"/>
      <c r="D453" s="131"/>
      <c r="E453" s="131"/>
      <c r="F453" s="131"/>
    </row>
    <row r="454" spans="1:6" x14ac:dyDescent="0.3">
      <c r="A454" s="131"/>
      <c r="B454" s="131"/>
      <c r="C454" s="131"/>
      <c r="D454" s="131"/>
      <c r="E454" s="131"/>
      <c r="F454" s="131"/>
    </row>
    <row r="455" spans="1:6" x14ac:dyDescent="0.3">
      <c r="A455" s="131"/>
      <c r="B455" s="131"/>
      <c r="C455" s="131"/>
      <c r="D455" s="131"/>
      <c r="E455" s="131"/>
      <c r="F455" s="131"/>
    </row>
    <row r="456" spans="1:6" x14ac:dyDescent="0.3">
      <c r="A456" s="131"/>
      <c r="B456" s="131"/>
      <c r="C456" s="131"/>
      <c r="D456" s="131"/>
      <c r="E456" s="131"/>
      <c r="F456" s="131"/>
    </row>
    <row r="457" spans="1:6" x14ac:dyDescent="0.3">
      <c r="A457" s="131"/>
      <c r="B457" s="131"/>
      <c r="C457" s="131"/>
      <c r="D457" s="131"/>
      <c r="E457" s="131"/>
      <c r="F457" s="131"/>
    </row>
    <row r="458" spans="1:6" x14ac:dyDescent="0.3">
      <c r="A458" s="131"/>
      <c r="B458" s="131"/>
      <c r="C458" s="131"/>
      <c r="D458" s="131"/>
      <c r="E458" s="131"/>
      <c r="F458" s="131"/>
    </row>
    <row r="459" spans="1:6" x14ac:dyDescent="0.3">
      <c r="A459" s="131"/>
      <c r="B459" s="131"/>
      <c r="C459" s="131"/>
      <c r="D459" s="131"/>
      <c r="E459" s="131"/>
      <c r="F459" s="131"/>
    </row>
    <row r="460" spans="1:6" x14ac:dyDescent="0.3">
      <c r="A460" s="131"/>
      <c r="B460" s="131"/>
      <c r="C460" s="131"/>
      <c r="D460" s="131"/>
      <c r="E460" s="131"/>
      <c r="F460" s="131"/>
    </row>
    <row r="461" spans="1:6" x14ac:dyDescent="0.3">
      <c r="A461" s="131"/>
      <c r="B461" s="131"/>
      <c r="C461" s="131"/>
      <c r="D461" s="131"/>
      <c r="E461" s="131"/>
      <c r="F461" s="131"/>
    </row>
    <row r="462" spans="1:6" x14ac:dyDescent="0.3">
      <c r="A462" s="131"/>
      <c r="B462" s="131"/>
      <c r="C462" s="131"/>
      <c r="D462" s="131"/>
      <c r="E462" s="131"/>
      <c r="F462" s="131"/>
    </row>
    <row r="463" spans="1:6" x14ac:dyDescent="0.3">
      <c r="A463" s="131"/>
      <c r="B463" s="131"/>
      <c r="C463" s="131"/>
      <c r="D463" s="131"/>
      <c r="E463" s="131"/>
      <c r="F463" s="131"/>
    </row>
    <row r="464" spans="1:6" x14ac:dyDescent="0.3">
      <c r="A464" s="131"/>
      <c r="B464" s="131"/>
      <c r="C464" s="131"/>
      <c r="D464" s="131"/>
      <c r="E464" s="131"/>
      <c r="F464" s="131"/>
    </row>
    <row r="465" spans="1:6" x14ac:dyDescent="0.3">
      <c r="A465" s="131"/>
      <c r="B465" s="131"/>
      <c r="C465" s="131"/>
      <c r="D465" s="131"/>
      <c r="E465" s="131"/>
      <c r="F465" s="131"/>
    </row>
    <row r="466" spans="1:6" x14ac:dyDescent="0.3">
      <c r="A466" s="131"/>
      <c r="B466" s="131"/>
      <c r="C466" s="131"/>
      <c r="D466" s="131"/>
      <c r="E466" s="131"/>
      <c r="F466" s="131"/>
    </row>
    <row r="467" spans="1:6" x14ac:dyDescent="0.3">
      <c r="A467" s="131"/>
      <c r="B467" s="131"/>
      <c r="C467" s="131"/>
      <c r="D467" s="131"/>
      <c r="E467" s="131"/>
      <c r="F467" s="131"/>
    </row>
    <row r="468" spans="1:6" x14ac:dyDescent="0.3">
      <c r="A468" s="131"/>
      <c r="B468" s="131"/>
      <c r="C468" s="131"/>
      <c r="D468" s="131"/>
      <c r="E468" s="131"/>
      <c r="F468" s="131"/>
    </row>
    <row r="469" spans="1:6" x14ac:dyDescent="0.3">
      <c r="A469" s="131"/>
      <c r="B469" s="131"/>
      <c r="C469" s="131"/>
      <c r="D469" s="131"/>
      <c r="E469" s="131"/>
      <c r="F469" s="131"/>
    </row>
    <row r="470" spans="1:6" x14ac:dyDescent="0.3">
      <c r="A470" s="131"/>
      <c r="B470" s="131"/>
      <c r="C470" s="131"/>
      <c r="D470" s="131"/>
      <c r="E470" s="131"/>
      <c r="F470" s="131"/>
    </row>
    <row r="471" spans="1:6" x14ac:dyDescent="0.3">
      <c r="A471" s="131"/>
      <c r="B471" s="131"/>
      <c r="C471" s="131"/>
      <c r="D471" s="131"/>
      <c r="E471" s="131"/>
      <c r="F471" s="131"/>
    </row>
    <row r="472" spans="1:6" x14ac:dyDescent="0.3">
      <c r="A472" s="131"/>
      <c r="B472" s="131"/>
      <c r="C472" s="131"/>
      <c r="D472" s="131"/>
      <c r="E472" s="131"/>
      <c r="F472" s="131"/>
    </row>
    <row r="473" spans="1:6" x14ac:dyDescent="0.3">
      <c r="A473" s="131"/>
      <c r="B473" s="131"/>
      <c r="C473" s="131"/>
      <c r="D473" s="131"/>
      <c r="E473" s="131"/>
      <c r="F473" s="131"/>
    </row>
    <row r="474" spans="1:6" x14ac:dyDescent="0.3">
      <c r="A474" s="131"/>
      <c r="B474" s="131"/>
      <c r="C474" s="131"/>
      <c r="D474" s="131"/>
      <c r="E474" s="131"/>
      <c r="F474" s="131"/>
    </row>
    <row r="475" spans="1:6" x14ac:dyDescent="0.3">
      <c r="A475" s="131"/>
      <c r="B475" s="131"/>
      <c r="C475" s="131"/>
      <c r="D475" s="131"/>
      <c r="E475" s="131"/>
      <c r="F475" s="131"/>
    </row>
    <row r="476" spans="1:6" x14ac:dyDescent="0.3">
      <c r="A476" s="131"/>
      <c r="B476" s="131"/>
      <c r="C476" s="131"/>
      <c r="D476" s="131"/>
      <c r="E476" s="131"/>
      <c r="F476" s="131"/>
    </row>
    <row r="477" spans="1:6" x14ac:dyDescent="0.3">
      <c r="A477" s="131"/>
      <c r="B477" s="131"/>
      <c r="C477" s="131"/>
      <c r="D477" s="131"/>
      <c r="E477" s="131"/>
      <c r="F477" s="131"/>
    </row>
    <row r="478" spans="1:6" x14ac:dyDescent="0.3">
      <c r="A478" s="131"/>
      <c r="B478" s="131"/>
      <c r="C478" s="131"/>
      <c r="D478" s="131"/>
      <c r="E478" s="131"/>
      <c r="F478" s="131"/>
    </row>
    <row r="479" spans="1:6" x14ac:dyDescent="0.3">
      <c r="A479" s="131"/>
      <c r="B479" s="131"/>
      <c r="C479" s="131"/>
      <c r="D479" s="131"/>
      <c r="E479" s="131"/>
      <c r="F479" s="131"/>
    </row>
    <row r="480" spans="1:6" x14ac:dyDescent="0.3">
      <c r="A480" s="131"/>
      <c r="B480" s="131"/>
      <c r="C480" s="131"/>
      <c r="D480" s="131"/>
      <c r="E480" s="131"/>
      <c r="F480" s="131"/>
    </row>
    <row r="481" spans="1:6" x14ac:dyDescent="0.3">
      <c r="A481" s="131"/>
      <c r="B481" s="131"/>
      <c r="C481" s="131"/>
      <c r="D481" s="131"/>
      <c r="E481" s="131"/>
      <c r="F481" s="131"/>
    </row>
    <row r="482" spans="1:6" x14ac:dyDescent="0.3">
      <c r="A482" s="131"/>
      <c r="B482" s="131"/>
      <c r="C482" s="131"/>
      <c r="D482" s="131"/>
      <c r="E482" s="131"/>
      <c r="F482" s="131"/>
    </row>
    <row r="483" spans="1:6" x14ac:dyDescent="0.3">
      <c r="A483" s="131"/>
      <c r="B483" s="131"/>
      <c r="C483" s="131"/>
      <c r="D483" s="131"/>
      <c r="E483" s="131"/>
      <c r="F483" s="131"/>
    </row>
    <row r="484" spans="1:6" x14ac:dyDescent="0.3">
      <c r="A484" s="131"/>
      <c r="B484" s="131"/>
      <c r="C484" s="131"/>
      <c r="D484" s="131"/>
      <c r="E484" s="131"/>
      <c r="F484" s="131"/>
    </row>
    <row r="485" spans="1:6" x14ac:dyDescent="0.3">
      <c r="A485" s="131"/>
      <c r="B485" s="131"/>
      <c r="C485" s="131"/>
      <c r="D485" s="131"/>
      <c r="E485" s="131"/>
      <c r="F485" s="131"/>
    </row>
    <row r="486" spans="1:6" x14ac:dyDescent="0.3">
      <c r="A486" s="131"/>
      <c r="B486" s="131"/>
      <c r="C486" s="131"/>
      <c r="D486" s="131"/>
      <c r="E486" s="131"/>
      <c r="F486" s="131"/>
    </row>
    <row r="487" spans="1:6" x14ac:dyDescent="0.3">
      <c r="A487" s="131"/>
      <c r="B487" s="131"/>
      <c r="C487" s="131"/>
      <c r="D487" s="131"/>
      <c r="E487" s="131"/>
      <c r="F487" s="131"/>
    </row>
    <row r="488" spans="1:6" x14ac:dyDescent="0.3">
      <c r="A488" s="131"/>
      <c r="B488" s="131"/>
      <c r="C488" s="131"/>
      <c r="D488" s="131"/>
      <c r="E488" s="131"/>
      <c r="F488" s="131"/>
    </row>
    <row r="489" spans="1:6" x14ac:dyDescent="0.3">
      <c r="A489" s="131"/>
      <c r="B489" s="131"/>
      <c r="C489" s="131"/>
      <c r="D489" s="131"/>
      <c r="E489" s="131"/>
      <c r="F489" s="131"/>
    </row>
    <row r="490" spans="1:6" x14ac:dyDescent="0.3">
      <c r="A490" s="131"/>
      <c r="B490" s="131"/>
      <c r="C490" s="131"/>
      <c r="D490" s="131"/>
      <c r="E490" s="131"/>
      <c r="F490" s="131"/>
    </row>
    <row r="491" spans="1:6" x14ac:dyDescent="0.3">
      <c r="A491" s="131"/>
      <c r="B491" s="131"/>
      <c r="C491" s="131"/>
      <c r="D491" s="131"/>
      <c r="E491" s="131"/>
      <c r="F491" s="131"/>
    </row>
    <row r="492" spans="1:6" x14ac:dyDescent="0.3">
      <c r="A492" s="131"/>
      <c r="B492" s="131"/>
      <c r="C492" s="131"/>
      <c r="D492" s="131"/>
      <c r="E492" s="131"/>
      <c r="F492" s="131"/>
    </row>
    <row r="493" spans="1:6" x14ac:dyDescent="0.3">
      <c r="A493" s="131"/>
      <c r="B493" s="131"/>
      <c r="C493" s="131"/>
      <c r="D493" s="131"/>
      <c r="E493" s="131"/>
      <c r="F493" s="131"/>
    </row>
    <row r="494" spans="1:6" x14ac:dyDescent="0.3">
      <c r="A494" s="131"/>
      <c r="B494" s="131"/>
      <c r="C494" s="131"/>
      <c r="D494" s="131"/>
      <c r="E494" s="131"/>
      <c r="F494" s="131"/>
    </row>
    <row r="495" spans="1:6" x14ac:dyDescent="0.3">
      <c r="A495" s="131"/>
      <c r="B495" s="131"/>
      <c r="C495" s="131"/>
      <c r="D495" s="131"/>
      <c r="E495" s="131"/>
      <c r="F495" s="131"/>
    </row>
    <row r="496" spans="1:6" x14ac:dyDescent="0.3">
      <c r="A496" s="131"/>
      <c r="B496" s="131"/>
      <c r="C496" s="131"/>
      <c r="D496" s="131"/>
      <c r="E496" s="131"/>
      <c r="F496" s="131"/>
    </row>
    <row r="497" spans="1:6" x14ac:dyDescent="0.3">
      <c r="A497" s="131"/>
      <c r="B497" s="131"/>
      <c r="C497" s="131"/>
      <c r="D497" s="131"/>
      <c r="E497" s="131"/>
      <c r="F497" s="131"/>
    </row>
    <row r="498" spans="1:6" x14ac:dyDescent="0.3">
      <c r="A498" s="131"/>
      <c r="B498" s="131"/>
      <c r="C498" s="131"/>
      <c r="D498" s="131"/>
      <c r="E498" s="131"/>
      <c r="F498" s="131"/>
    </row>
    <row r="499" spans="1:6" x14ac:dyDescent="0.3">
      <c r="A499" s="131"/>
      <c r="B499" s="131"/>
      <c r="C499" s="131"/>
      <c r="D499" s="131"/>
      <c r="E499" s="131"/>
      <c r="F499" s="131"/>
    </row>
    <row r="500" spans="1:6" x14ac:dyDescent="0.3">
      <c r="A500" s="131"/>
      <c r="B500" s="131"/>
      <c r="C500" s="131"/>
      <c r="D500" s="131"/>
      <c r="E500" s="131"/>
      <c r="F500" s="131"/>
    </row>
    <row r="501" spans="1:6" x14ac:dyDescent="0.3">
      <c r="A501" s="131"/>
      <c r="B501" s="131"/>
      <c r="C501" s="131"/>
      <c r="D501" s="131"/>
      <c r="E501" s="131"/>
      <c r="F501" s="131"/>
    </row>
    <row r="502" spans="1:6" x14ac:dyDescent="0.3">
      <c r="A502" s="131"/>
      <c r="B502" s="131"/>
      <c r="C502" s="131"/>
      <c r="D502" s="131"/>
      <c r="E502" s="131"/>
      <c r="F502" s="131"/>
    </row>
    <row r="503" spans="1:6" x14ac:dyDescent="0.3">
      <c r="A503" s="131"/>
      <c r="B503" s="131"/>
      <c r="C503" s="131"/>
      <c r="D503" s="131"/>
      <c r="E503" s="131"/>
      <c r="F503" s="131"/>
    </row>
    <row r="504" spans="1:6" x14ac:dyDescent="0.3">
      <c r="A504" s="131"/>
      <c r="B504" s="131"/>
      <c r="C504" s="131"/>
      <c r="D504" s="131"/>
      <c r="E504" s="131"/>
      <c r="F504" s="131"/>
    </row>
    <row r="505" spans="1:6" x14ac:dyDescent="0.3">
      <c r="A505" s="131"/>
      <c r="B505" s="131"/>
      <c r="C505" s="131"/>
      <c r="D505" s="131"/>
      <c r="E505" s="131"/>
      <c r="F505" s="131"/>
    </row>
    <row r="506" spans="1:6" x14ac:dyDescent="0.3">
      <c r="A506" s="131"/>
      <c r="B506" s="131"/>
      <c r="C506" s="131"/>
      <c r="D506" s="131"/>
      <c r="E506" s="131"/>
      <c r="F506" s="131"/>
    </row>
    <row r="507" spans="1:6" x14ac:dyDescent="0.3">
      <c r="A507" s="131"/>
      <c r="B507" s="131"/>
      <c r="C507" s="131"/>
      <c r="D507" s="131"/>
      <c r="E507" s="131"/>
      <c r="F507" s="131"/>
    </row>
    <row r="508" spans="1:6" x14ac:dyDescent="0.3">
      <c r="A508" s="131"/>
      <c r="B508" s="131"/>
      <c r="C508" s="131"/>
      <c r="D508" s="131"/>
      <c r="E508" s="131"/>
      <c r="F508" s="131"/>
    </row>
    <row r="509" spans="1:6" x14ac:dyDescent="0.3">
      <c r="A509" s="131"/>
      <c r="B509" s="131"/>
      <c r="C509" s="131"/>
      <c r="D509" s="131"/>
      <c r="E509" s="131"/>
      <c r="F509" s="131"/>
    </row>
    <row r="510" spans="1:6" x14ac:dyDescent="0.3">
      <c r="A510" s="131"/>
      <c r="B510" s="131"/>
      <c r="C510" s="131"/>
      <c r="D510" s="131"/>
      <c r="E510" s="131"/>
      <c r="F510" s="131"/>
    </row>
    <row r="511" spans="1:6" x14ac:dyDescent="0.3">
      <c r="A511" s="131"/>
      <c r="B511" s="131"/>
      <c r="C511" s="131"/>
      <c r="D511" s="131"/>
      <c r="E511" s="131"/>
      <c r="F511" s="131"/>
    </row>
    <row r="512" spans="1:6" x14ac:dyDescent="0.3">
      <c r="A512" s="131"/>
      <c r="B512" s="131"/>
      <c r="C512" s="131"/>
      <c r="D512" s="131"/>
      <c r="E512" s="131"/>
      <c r="F512" s="131"/>
    </row>
    <row r="513" spans="1:6" x14ac:dyDescent="0.3">
      <c r="A513" s="131"/>
      <c r="B513" s="131"/>
      <c r="C513" s="131"/>
      <c r="D513" s="131"/>
      <c r="E513" s="131"/>
      <c r="F513" s="131"/>
    </row>
    <row r="514" spans="1:6" x14ac:dyDescent="0.3">
      <c r="A514" s="131"/>
      <c r="B514" s="131"/>
      <c r="C514" s="131"/>
      <c r="D514" s="131"/>
      <c r="E514" s="131"/>
      <c r="F514" s="131"/>
    </row>
    <row r="515" spans="1:6" x14ac:dyDescent="0.3">
      <c r="A515" s="131"/>
      <c r="B515" s="131"/>
      <c r="C515" s="131"/>
      <c r="D515" s="131"/>
      <c r="E515" s="131"/>
      <c r="F515" s="131"/>
    </row>
    <row r="516" spans="1:6" x14ac:dyDescent="0.3">
      <c r="A516" s="131"/>
      <c r="B516" s="131"/>
      <c r="C516" s="131"/>
      <c r="D516" s="131"/>
      <c r="E516" s="131"/>
      <c r="F516" s="131"/>
    </row>
    <row r="517" spans="1:6" x14ac:dyDescent="0.3">
      <c r="A517" s="131"/>
      <c r="B517" s="131"/>
      <c r="C517" s="131"/>
      <c r="D517" s="131"/>
      <c r="E517" s="131"/>
      <c r="F517" s="131"/>
    </row>
    <row r="518" spans="1:6" x14ac:dyDescent="0.3">
      <c r="A518" s="131"/>
      <c r="B518" s="131"/>
      <c r="C518" s="131"/>
      <c r="D518" s="131"/>
      <c r="E518" s="131"/>
      <c r="F518" s="131"/>
    </row>
    <row r="519" spans="1:6" x14ac:dyDescent="0.3">
      <c r="A519" s="131"/>
      <c r="B519" s="131"/>
      <c r="C519" s="131"/>
      <c r="D519" s="131"/>
      <c r="E519" s="131"/>
      <c r="F519" s="131"/>
    </row>
    <row r="520" spans="1:6" x14ac:dyDescent="0.3">
      <c r="A520" s="131"/>
      <c r="B520" s="131"/>
      <c r="C520" s="131"/>
      <c r="D520" s="131"/>
      <c r="E520" s="131"/>
      <c r="F520" s="131"/>
    </row>
    <row r="521" spans="1:6" x14ac:dyDescent="0.3">
      <c r="A521" s="131"/>
      <c r="B521" s="131"/>
      <c r="C521" s="131"/>
      <c r="D521" s="131"/>
      <c r="E521" s="131"/>
      <c r="F521" s="131"/>
    </row>
    <row r="522" spans="1:6" x14ac:dyDescent="0.3">
      <c r="A522" s="131"/>
      <c r="B522" s="131"/>
      <c r="C522" s="131"/>
      <c r="D522" s="131"/>
      <c r="E522" s="131"/>
      <c r="F522" s="131"/>
    </row>
    <row r="523" spans="1:6" x14ac:dyDescent="0.3">
      <c r="A523" s="131"/>
      <c r="B523" s="131"/>
      <c r="C523" s="131"/>
      <c r="D523" s="131"/>
      <c r="E523" s="131"/>
      <c r="F523" s="131"/>
    </row>
    <row r="524" spans="1:6" x14ac:dyDescent="0.3">
      <c r="A524" s="131"/>
      <c r="B524" s="131"/>
      <c r="C524" s="131"/>
      <c r="D524" s="131"/>
      <c r="E524" s="131"/>
      <c r="F524" s="131"/>
    </row>
    <row r="525" spans="1:6" x14ac:dyDescent="0.3">
      <c r="A525" s="131"/>
      <c r="B525" s="131"/>
      <c r="C525" s="131"/>
      <c r="D525" s="131"/>
      <c r="E525" s="131"/>
      <c r="F525" s="131"/>
    </row>
    <row r="526" spans="1:6" x14ac:dyDescent="0.3">
      <c r="A526" s="131"/>
      <c r="B526" s="131"/>
      <c r="C526" s="131"/>
      <c r="D526" s="131"/>
      <c r="E526" s="131"/>
      <c r="F526" s="131"/>
    </row>
    <row r="527" spans="1:6" x14ac:dyDescent="0.3">
      <c r="A527" s="131"/>
      <c r="B527" s="131"/>
      <c r="C527" s="131"/>
      <c r="D527" s="131"/>
      <c r="E527" s="131"/>
      <c r="F527" s="131"/>
    </row>
    <row r="528" spans="1:6" x14ac:dyDescent="0.3">
      <c r="A528" s="131"/>
      <c r="B528" s="131"/>
      <c r="C528" s="131"/>
      <c r="D528" s="131"/>
      <c r="E528" s="131"/>
      <c r="F528" s="131"/>
    </row>
    <row r="529" spans="1:6" x14ac:dyDescent="0.3">
      <c r="A529" s="131"/>
      <c r="B529" s="131"/>
      <c r="C529" s="131"/>
      <c r="D529" s="131"/>
      <c r="E529" s="131"/>
      <c r="F529" s="131"/>
    </row>
    <row r="530" spans="1:6" x14ac:dyDescent="0.3">
      <c r="A530" s="131"/>
      <c r="B530" s="131"/>
      <c r="C530" s="131"/>
      <c r="D530" s="131"/>
      <c r="E530" s="131"/>
      <c r="F530" s="131"/>
    </row>
    <row r="531" spans="1:6" x14ac:dyDescent="0.3">
      <c r="A531" s="131"/>
      <c r="B531" s="131"/>
      <c r="C531" s="131"/>
      <c r="D531" s="131"/>
      <c r="E531" s="131"/>
      <c r="F531" s="131"/>
    </row>
    <row r="532" spans="1:6" x14ac:dyDescent="0.3">
      <c r="A532" s="131"/>
      <c r="B532" s="131"/>
      <c r="C532" s="131"/>
      <c r="D532" s="131"/>
      <c r="E532" s="131"/>
      <c r="F532" s="131"/>
    </row>
    <row r="533" spans="1:6" x14ac:dyDescent="0.3">
      <c r="A533" s="131"/>
      <c r="B533" s="131"/>
      <c r="C533" s="131"/>
      <c r="D533" s="131"/>
      <c r="E533" s="131"/>
      <c r="F533" s="131"/>
    </row>
    <row r="534" spans="1:6" x14ac:dyDescent="0.3">
      <c r="A534" s="131"/>
      <c r="B534" s="131"/>
      <c r="C534" s="131"/>
      <c r="D534" s="131"/>
      <c r="E534" s="131"/>
      <c r="F534" s="131"/>
    </row>
    <row r="535" spans="1:6" x14ac:dyDescent="0.3">
      <c r="A535" s="131"/>
      <c r="B535" s="131"/>
      <c r="C535" s="131"/>
      <c r="D535" s="131"/>
      <c r="E535" s="131"/>
      <c r="F535" s="131"/>
    </row>
    <row r="536" spans="1:6" x14ac:dyDescent="0.3">
      <c r="A536" s="131"/>
      <c r="B536" s="131"/>
      <c r="C536" s="131"/>
      <c r="D536" s="131"/>
      <c r="E536" s="131"/>
      <c r="F536" s="131"/>
    </row>
    <row r="537" spans="1:6" x14ac:dyDescent="0.3">
      <c r="A537" s="131"/>
      <c r="B537" s="131"/>
      <c r="C537" s="131"/>
      <c r="D537" s="131"/>
      <c r="E537" s="131"/>
      <c r="F537" s="131"/>
    </row>
    <row r="538" spans="1:6" x14ac:dyDescent="0.3">
      <c r="A538" s="131"/>
      <c r="B538" s="131"/>
      <c r="C538" s="131"/>
      <c r="D538" s="131"/>
      <c r="E538" s="131"/>
      <c r="F538" s="131"/>
    </row>
    <row r="539" spans="1:6" x14ac:dyDescent="0.3">
      <c r="A539" s="131"/>
      <c r="B539" s="131"/>
      <c r="C539" s="131"/>
      <c r="D539" s="131"/>
      <c r="E539" s="131"/>
      <c r="F539" s="131"/>
    </row>
    <row r="540" spans="1:6" x14ac:dyDescent="0.3">
      <c r="A540" s="131"/>
      <c r="B540" s="131"/>
      <c r="C540" s="131"/>
      <c r="D540" s="131"/>
      <c r="E540" s="131"/>
      <c r="F540" s="131"/>
    </row>
    <row r="541" spans="1:6" x14ac:dyDescent="0.3">
      <c r="A541" s="131"/>
      <c r="B541" s="131"/>
      <c r="C541" s="131"/>
      <c r="D541" s="131"/>
      <c r="E541" s="131"/>
      <c r="F541" s="131"/>
    </row>
    <row r="542" spans="1:6" x14ac:dyDescent="0.3">
      <c r="A542" s="131"/>
      <c r="B542" s="131"/>
      <c r="C542" s="131"/>
      <c r="D542" s="131"/>
      <c r="E542" s="131"/>
      <c r="F542" s="131"/>
    </row>
    <row r="543" spans="1:6" x14ac:dyDescent="0.3">
      <c r="A543" s="131"/>
      <c r="B543" s="131"/>
      <c r="C543" s="131"/>
      <c r="D543" s="131"/>
      <c r="E543" s="131"/>
      <c r="F543" s="131"/>
    </row>
    <row r="544" spans="1:6" x14ac:dyDescent="0.3">
      <c r="A544" s="131"/>
      <c r="B544" s="131"/>
      <c r="C544" s="131"/>
      <c r="D544" s="131"/>
      <c r="E544" s="131"/>
      <c r="F544" s="131"/>
    </row>
    <row r="545" spans="1:6" x14ac:dyDescent="0.3">
      <c r="A545" s="131"/>
      <c r="B545" s="131"/>
      <c r="C545" s="131"/>
      <c r="D545" s="131"/>
      <c r="E545" s="131"/>
      <c r="F545" s="131"/>
    </row>
    <row r="546" spans="1:6" x14ac:dyDescent="0.3">
      <c r="A546" s="131"/>
      <c r="B546" s="131"/>
      <c r="C546" s="131"/>
      <c r="D546" s="131"/>
      <c r="E546" s="131"/>
      <c r="F546" s="131"/>
    </row>
    <row r="547" spans="1:6" x14ac:dyDescent="0.3">
      <c r="A547" s="131"/>
      <c r="B547" s="131"/>
      <c r="C547" s="131"/>
      <c r="D547" s="131"/>
      <c r="E547" s="131"/>
      <c r="F547" s="131"/>
    </row>
    <row r="548" spans="1:6" x14ac:dyDescent="0.3">
      <c r="A548" s="131"/>
      <c r="B548" s="131"/>
      <c r="C548" s="131"/>
      <c r="D548" s="131"/>
      <c r="E548" s="131"/>
      <c r="F548" s="131"/>
    </row>
    <row r="549" spans="1:6" x14ac:dyDescent="0.3">
      <c r="A549" s="131"/>
      <c r="B549" s="131"/>
      <c r="C549" s="131"/>
      <c r="D549" s="131"/>
      <c r="E549" s="131"/>
      <c r="F549" s="131"/>
    </row>
    <row r="550" spans="1:6" x14ac:dyDescent="0.3">
      <c r="A550" s="131"/>
      <c r="B550" s="131"/>
      <c r="C550" s="131"/>
      <c r="D550" s="131"/>
      <c r="E550" s="131"/>
      <c r="F550" s="131"/>
    </row>
    <row r="551" spans="1:6" x14ac:dyDescent="0.3">
      <c r="A551" s="131"/>
      <c r="B551" s="131"/>
      <c r="C551" s="131"/>
      <c r="D551" s="131"/>
      <c r="E551" s="131"/>
      <c r="F551" s="131"/>
    </row>
    <row r="552" spans="1:6" x14ac:dyDescent="0.3">
      <c r="A552" s="131"/>
      <c r="B552" s="131"/>
      <c r="C552" s="131"/>
      <c r="D552" s="131"/>
      <c r="E552" s="131"/>
      <c r="F552" s="131"/>
    </row>
    <row r="553" spans="1:6" x14ac:dyDescent="0.3">
      <c r="A553" s="131"/>
      <c r="B553" s="131"/>
      <c r="C553" s="131"/>
      <c r="D553" s="131"/>
      <c r="E553" s="131"/>
      <c r="F553" s="131"/>
    </row>
    <row r="554" spans="1:6" x14ac:dyDescent="0.3">
      <c r="A554" s="131"/>
      <c r="B554" s="131"/>
      <c r="C554" s="131"/>
      <c r="D554" s="131"/>
      <c r="E554" s="131"/>
      <c r="F554" s="131"/>
    </row>
    <row r="555" spans="1:6" x14ac:dyDescent="0.3">
      <c r="A555" s="131"/>
      <c r="B555" s="131"/>
      <c r="C555" s="131"/>
      <c r="D555" s="131"/>
      <c r="E555" s="131"/>
      <c r="F555" s="131"/>
    </row>
    <row r="556" spans="1:6" x14ac:dyDescent="0.3">
      <c r="A556" s="131"/>
      <c r="B556" s="131"/>
      <c r="C556" s="131"/>
      <c r="D556" s="131"/>
      <c r="E556" s="131"/>
      <c r="F556" s="131"/>
    </row>
    <row r="557" spans="1:6" x14ac:dyDescent="0.3">
      <c r="A557" s="131"/>
      <c r="B557" s="131"/>
      <c r="C557" s="131"/>
      <c r="D557" s="131"/>
      <c r="E557" s="131"/>
      <c r="F557" s="131"/>
    </row>
    <row r="558" spans="1:6" x14ac:dyDescent="0.3">
      <c r="A558" s="131"/>
      <c r="B558" s="131"/>
      <c r="C558" s="131"/>
      <c r="D558" s="131"/>
      <c r="E558" s="131"/>
      <c r="F558" s="131"/>
    </row>
    <row r="559" spans="1:6" x14ac:dyDescent="0.3">
      <c r="A559" s="131"/>
      <c r="B559" s="131"/>
      <c r="C559" s="131"/>
      <c r="D559" s="131"/>
      <c r="E559" s="131"/>
      <c r="F559" s="131"/>
    </row>
    <row r="560" spans="1:6" x14ac:dyDescent="0.3">
      <c r="A560" s="131"/>
      <c r="B560" s="131"/>
      <c r="C560" s="131"/>
      <c r="D560" s="131"/>
      <c r="E560" s="131"/>
      <c r="F560" s="131"/>
    </row>
    <row r="561" spans="1:6" x14ac:dyDescent="0.3">
      <c r="A561" s="131"/>
      <c r="B561" s="131"/>
      <c r="C561" s="131"/>
      <c r="D561" s="131"/>
      <c r="E561" s="131"/>
      <c r="F561" s="131"/>
    </row>
    <row r="562" spans="1:6" x14ac:dyDescent="0.3">
      <c r="A562" s="131"/>
      <c r="B562" s="131"/>
      <c r="C562" s="131"/>
      <c r="D562" s="131"/>
      <c r="E562" s="131"/>
      <c r="F562" s="131"/>
    </row>
    <row r="563" spans="1:6" x14ac:dyDescent="0.3">
      <c r="A563" s="131"/>
      <c r="B563" s="131"/>
      <c r="C563" s="131"/>
      <c r="D563" s="131"/>
      <c r="E563" s="131"/>
      <c r="F563" s="131"/>
    </row>
    <row r="564" spans="1:6" x14ac:dyDescent="0.3">
      <c r="A564" s="131"/>
      <c r="B564" s="131"/>
      <c r="C564" s="131"/>
      <c r="D564" s="131"/>
      <c r="E564" s="131"/>
      <c r="F564" s="131"/>
    </row>
    <row r="565" spans="1:6" x14ac:dyDescent="0.3">
      <c r="A565" s="131"/>
      <c r="B565" s="131"/>
      <c r="C565" s="131"/>
      <c r="D565" s="131"/>
      <c r="E565" s="131"/>
      <c r="F565" s="131"/>
    </row>
    <row r="566" spans="1:6" x14ac:dyDescent="0.3">
      <c r="A566" s="131"/>
      <c r="B566" s="131"/>
      <c r="C566" s="131"/>
      <c r="D566" s="131"/>
      <c r="E566" s="131"/>
      <c r="F566" s="131"/>
    </row>
    <row r="567" spans="1:6" x14ac:dyDescent="0.3">
      <c r="A567" s="131"/>
      <c r="B567" s="131"/>
      <c r="C567" s="131"/>
      <c r="D567" s="131"/>
      <c r="E567" s="131"/>
      <c r="F567" s="131"/>
    </row>
    <row r="568" spans="1:6" x14ac:dyDescent="0.3">
      <c r="A568" s="131"/>
      <c r="B568" s="131"/>
      <c r="C568" s="131"/>
      <c r="D568" s="131"/>
      <c r="E568" s="131"/>
      <c r="F568" s="131"/>
    </row>
    <row r="569" spans="1:6" x14ac:dyDescent="0.3">
      <c r="A569" s="131"/>
      <c r="B569" s="131"/>
      <c r="C569" s="131"/>
      <c r="D569" s="131"/>
      <c r="E569" s="131"/>
      <c r="F569" s="131"/>
    </row>
    <row r="570" spans="1:6" x14ac:dyDescent="0.3">
      <c r="A570" s="131"/>
      <c r="B570" s="131"/>
      <c r="C570" s="131"/>
      <c r="D570" s="131"/>
      <c r="E570" s="131"/>
      <c r="F570" s="131"/>
    </row>
    <row r="571" spans="1:6" x14ac:dyDescent="0.3">
      <c r="A571" s="131"/>
      <c r="B571" s="131"/>
      <c r="C571" s="131"/>
      <c r="D571" s="131"/>
      <c r="E571" s="131"/>
      <c r="F571" s="131"/>
    </row>
    <row r="572" spans="1:6" x14ac:dyDescent="0.3">
      <c r="A572" s="131"/>
      <c r="B572" s="131"/>
      <c r="C572" s="131"/>
      <c r="D572" s="131"/>
      <c r="E572" s="131"/>
      <c r="F572" s="131"/>
    </row>
    <row r="573" spans="1:6" x14ac:dyDescent="0.3">
      <c r="A573" s="131"/>
      <c r="B573" s="131"/>
      <c r="C573" s="131"/>
      <c r="D573" s="131"/>
      <c r="E573" s="131"/>
      <c r="F573" s="131"/>
    </row>
    <row r="574" spans="1:6" x14ac:dyDescent="0.3">
      <c r="A574" s="131"/>
      <c r="B574" s="131"/>
      <c r="C574" s="131"/>
      <c r="D574" s="131"/>
      <c r="E574" s="131"/>
      <c r="F574" s="131"/>
    </row>
    <row r="575" spans="1:6" x14ac:dyDescent="0.3">
      <c r="A575" s="131"/>
      <c r="B575" s="131"/>
      <c r="C575" s="131"/>
      <c r="D575" s="131"/>
      <c r="E575" s="131"/>
      <c r="F575" s="131"/>
    </row>
    <row r="576" spans="1:6" x14ac:dyDescent="0.3">
      <c r="A576" s="131"/>
      <c r="B576" s="131"/>
      <c r="C576" s="131"/>
      <c r="D576" s="131"/>
      <c r="E576" s="131"/>
      <c r="F576" s="131"/>
    </row>
    <row r="577" spans="1:6" x14ac:dyDescent="0.3">
      <c r="A577" s="131"/>
      <c r="B577" s="131"/>
      <c r="C577" s="131"/>
      <c r="D577" s="131"/>
      <c r="E577" s="131"/>
      <c r="F577" s="131"/>
    </row>
    <row r="578" spans="1:6" x14ac:dyDescent="0.3">
      <c r="A578" s="131"/>
      <c r="B578" s="131"/>
      <c r="C578" s="131"/>
      <c r="D578" s="131"/>
      <c r="E578" s="131"/>
      <c r="F578" s="131"/>
    </row>
    <row r="579" spans="1:6" x14ac:dyDescent="0.3">
      <c r="A579" s="131"/>
      <c r="B579" s="131"/>
      <c r="C579" s="131"/>
      <c r="D579" s="131"/>
      <c r="E579" s="131"/>
      <c r="F579" s="131"/>
    </row>
    <row r="580" spans="1:6" x14ac:dyDescent="0.3">
      <c r="A580" s="131"/>
      <c r="B580" s="131"/>
      <c r="C580" s="131"/>
      <c r="D580" s="131"/>
      <c r="E580" s="131"/>
      <c r="F580" s="131"/>
    </row>
    <row r="581" spans="1:6" x14ac:dyDescent="0.3">
      <c r="A581" s="131"/>
      <c r="B581" s="131"/>
      <c r="C581" s="131"/>
      <c r="D581" s="131"/>
      <c r="E581" s="131"/>
      <c r="F581" s="131"/>
    </row>
    <row r="582" spans="1:6" x14ac:dyDescent="0.3">
      <c r="A582" s="131"/>
      <c r="B582" s="131"/>
      <c r="C582" s="131"/>
      <c r="D582" s="131"/>
      <c r="E582" s="131"/>
      <c r="F582" s="131"/>
    </row>
    <row r="583" spans="1:6" x14ac:dyDescent="0.3">
      <c r="A583" s="131"/>
      <c r="B583" s="131"/>
      <c r="C583" s="131"/>
      <c r="D583" s="131"/>
      <c r="E583" s="131"/>
      <c r="F583" s="131"/>
    </row>
    <row r="584" spans="1:6" x14ac:dyDescent="0.3">
      <c r="A584" s="131"/>
      <c r="B584" s="131"/>
      <c r="C584" s="131"/>
      <c r="D584" s="131"/>
      <c r="E584" s="131"/>
      <c r="F584" s="131"/>
    </row>
    <row r="585" spans="1:6" x14ac:dyDescent="0.3">
      <c r="A585" s="131"/>
      <c r="B585" s="131"/>
      <c r="C585" s="131"/>
      <c r="D585" s="131"/>
      <c r="E585" s="131"/>
      <c r="F585" s="131"/>
    </row>
    <row r="586" spans="1:6" x14ac:dyDescent="0.3">
      <c r="A586" s="131"/>
      <c r="B586" s="131"/>
      <c r="C586" s="131"/>
      <c r="D586" s="131"/>
      <c r="E586" s="131"/>
      <c r="F586" s="131"/>
    </row>
    <row r="587" spans="1:6" x14ac:dyDescent="0.3">
      <c r="A587" s="131"/>
      <c r="B587" s="131"/>
      <c r="C587" s="131"/>
      <c r="D587" s="131"/>
      <c r="E587" s="131"/>
      <c r="F587" s="131"/>
    </row>
    <row r="588" spans="1:6" x14ac:dyDescent="0.3">
      <c r="A588" s="131"/>
      <c r="B588" s="131"/>
      <c r="C588" s="131"/>
      <c r="D588" s="131"/>
      <c r="E588" s="131"/>
      <c r="F588" s="131"/>
    </row>
    <row r="589" spans="1:6" x14ac:dyDescent="0.3">
      <c r="A589" s="131"/>
      <c r="B589" s="131"/>
      <c r="C589" s="131"/>
      <c r="D589" s="131"/>
      <c r="E589" s="131"/>
      <c r="F589" s="131"/>
    </row>
    <row r="590" spans="1:6" x14ac:dyDescent="0.3">
      <c r="A590" s="131"/>
      <c r="B590" s="131"/>
      <c r="C590" s="131"/>
      <c r="D590" s="131"/>
      <c r="E590" s="131"/>
      <c r="F590" s="131"/>
    </row>
    <row r="591" spans="1:6" x14ac:dyDescent="0.3">
      <c r="A591" s="131"/>
      <c r="B591" s="131"/>
      <c r="C591" s="131"/>
      <c r="D591" s="131"/>
      <c r="E591" s="131"/>
      <c r="F591" s="131"/>
    </row>
    <row r="592" spans="1:6" x14ac:dyDescent="0.3">
      <c r="A592" s="131"/>
      <c r="B592" s="131"/>
      <c r="C592" s="131"/>
      <c r="D592" s="131"/>
      <c r="E592" s="131"/>
      <c r="F592" s="131"/>
    </row>
    <row r="593" spans="1:6" x14ac:dyDescent="0.3">
      <c r="A593" s="131"/>
      <c r="B593" s="131"/>
      <c r="C593" s="131"/>
      <c r="D593" s="131"/>
      <c r="E593" s="131"/>
      <c r="F593" s="131"/>
    </row>
    <row r="594" spans="1:6" x14ac:dyDescent="0.3">
      <c r="A594" s="131"/>
      <c r="B594" s="131"/>
      <c r="C594" s="131"/>
      <c r="D594" s="131"/>
      <c r="E594" s="131"/>
      <c r="F594" s="131"/>
    </row>
    <row r="595" spans="1:6" x14ac:dyDescent="0.3">
      <c r="A595" s="131"/>
      <c r="B595" s="131"/>
      <c r="C595" s="131"/>
      <c r="D595" s="131"/>
      <c r="E595" s="131"/>
      <c r="F595" s="131"/>
    </row>
    <row r="596" spans="1:6" x14ac:dyDescent="0.3">
      <c r="A596" s="131"/>
      <c r="B596" s="131"/>
      <c r="C596" s="131"/>
      <c r="D596" s="131"/>
      <c r="E596" s="131"/>
      <c r="F596" s="131"/>
    </row>
    <row r="597" spans="1:6" x14ac:dyDescent="0.3">
      <c r="A597" s="131"/>
      <c r="B597" s="131"/>
      <c r="C597" s="131"/>
      <c r="D597" s="131"/>
      <c r="E597" s="131"/>
      <c r="F597" s="131"/>
    </row>
    <row r="598" spans="1:6" x14ac:dyDescent="0.3">
      <c r="A598" s="131"/>
      <c r="B598" s="131"/>
      <c r="C598" s="131"/>
      <c r="D598" s="131"/>
      <c r="E598" s="131"/>
      <c r="F598" s="131"/>
    </row>
    <row r="599" spans="1:6" x14ac:dyDescent="0.3">
      <c r="A599" s="131"/>
      <c r="B599" s="131"/>
      <c r="C599" s="131"/>
      <c r="D599" s="131"/>
      <c r="E599" s="131"/>
      <c r="F599" s="131"/>
    </row>
    <row r="600" spans="1:6" x14ac:dyDescent="0.3">
      <c r="A600" s="131"/>
      <c r="B600" s="131"/>
      <c r="C600" s="131"/>
      <c r="D600" s="131"/>
      <c r="E600" s="131"/>
      <c r="F600" s="131"/>
    </row>
    <row r="601" spans="1:6" x14ac:dyDescent="0.3">
      <c r="A601" s="131"/>
      <c r="B601" s="131"/>
      <c r="C601" s="131"/>
      <c r="D601" s="131"/>
      <c r="E601" s="131"/>
      <c r="F601" s="131"/>
    </row>
    <row r="602" spans="1:6" x14ac:dyDescent="0.3">
      <c r="A602" s="131"/>
      <c r="B602" s="131"/>
      <c r="C602" s="131"/>
      <c r="D602" s="131"/>
      <c r="E602" s="131"/>
      <c r="F602" s="131"/>
    </row>
    <row r="603" spans="1:6" x14ac:dyDescent="0.3">
      <c r="A603" s="131"/>
      <c r="B603" s="131"/>
      <c r="C603" s="131"/>
      <c r="D603" s="131"/>
      <c r="E603" s="131"/>
      <c r="F603" s="131"/>
    </row>
    <row r="604" spans="1:6" x14ac:dyDescent="0.3">
      <c r="A604" s="131"/>
      <c r="B604" s="131"/>
      <c r="C604" s="131"/>
      <c r="D604" s="131"/>
      <c r="E604" s="131"/>
      <c r="F604" s="131"/>
    </row>
    <row r="605" spans="1:6" x14ac:dyDescent="0.3">
      <c r="A605" s="131"/>
      <c r="B605" s="131"/>
      <c r="C605" s="131"/>
      <c r="D605" s="131"/>
      <c r="E605" s="131"/>
      <c r="F605" s="131"/>
    </row>
    <row r="606" spans="1:6" x14ac:dyDescent="0.3">
      <c r="A606" s="131"/>
      <c r="B606" s="131"/>
      <c r="C606" s="131"/>
      <c r="D606" s="131"/>
      <c r="E606" s="131"/>
      <c r="F606" s="131"/>
    </row>
    <row r="607" spans="1:6" x14ac:dyDescent="0.3">
      <c r="A607" s="131"/>
      <c r="B607" s="131"/>
      <c r="C607" s="131"/>
      <c r="D607" s="131"/>
      <c r="E607" s="131"/>
      <c r="F607" s="131"/>
    </row>
    <row r="608" spans="1:6" x14ac:dyDescent="0.3">
      <c r="A608" s="131"/>
      <c r="B608" s="131"/>
      <c r="C608" s="131"/>
      <c r="D608" s="131"/>
      <c r="E608" s="131"/>
      <c r="F608" s="131"/>
    </row>
    <row r="609" spans="1:6" x14ac:dyDescent="0.3">
      <c r="A609" s="131"/>
      <c r="B609" s="131"/>
      <c r="C609" s="131"/>
      <c r="D609" s="131"/>
      <c r="E609" s="131"/>
      <c r="F609" s="131"/>
    </row>
    <row r="610" spans="1:6" x14ac:dyDescent="0.3">
      <c r="A610" s="131"/>
      <c r="B610" s="131"/>
      <c r="C610" s="131"/>
      <c r="D610" s="131"/>
      <c r="E610" s="131"/>
      <c r="F610" s="131"/>
    </row>
    <row r="611" spans="1:6" x14ac:dyDescent="0.3">
      <c r="A611" s="131"/>
      <c r="B611" s="131"/>
      <c r="C611" s="131"/>
      <c r="D611" s="131"/>
      <c r="E611" s="131"/>
      <c r="F611" s="131"/>
    </row>
    <row r="612" spans="1:6" x14ac:dyDescent="0.3">
      <c r="A612" s="131"/>
      <c r="B612" s="131"/>
      <c r="C612" s="131"/>
      <c r="D612" s="131"/>
      <c r="E612" s="131"/>
      <c r="F612" s="131"/>
    </row>
    <row r="613" spans="1:6" x14ac:dyDescent="0.3">
      <c r="A613" s="131"/>
      <c r="B613" s="131"/>
      <c r="C613" s="131"/>
      <c r="D613" s="131"/>
      <c r="E613" s="131"/>
      <c r="F613" s="131"/>
    </row>
    <row r="614" spans="1:6" x14ac:dyDescent="0.3">
      <c r="A614" s="131"/>
      <c r="B614" s="131"/>
      <c r="C614" s="131"/>
      <c r="D614" s="131"/>
      <c r="E614" s="131"/>
      <c r="F614" s="131"/>
    </row>
    <row r="615" spans="1:6" x14ac:dyDescent="0.3">
      <c r="A615" s="131"/>
      <c r="B615" s="131"/>
      <c r="C615" s="131"/>
      <c r="D615" s="131"/>
      <c r="E615" s="131"/>
      <c r="F615" s="131"/>
    </row>
    <row r="616" spans="1:6" x14ac:dyDescent="0.3">
      <c r="A616" s="131"/>
      <c r="B616" s="131"/>
      <c r="C616" s="131"/>
      <c r="D616" s="131"/>
      <c r="E616" s="131"/>
      <c r="F616" s="131"/>
    </row>
    <row r="617" spans="1:6" x14ac:dyDescent="0.3">
      <c r="A617" s="131"/>
      <c r="B617" s="131"/>
      <c r="C617" s="131"/>
      <c r="D617" s="131"/>
      <c r="E617" s="131"/>
      <c r="F617" s="131"/>
    </row>
    <row r="618" spans="1:6" x14ac:dyDescent="0.3">
      <c r="A618" s="131"/>
      <c r="B618" s="131"/>
      <c r="C618" s="131"/>
      <c r="D618" s="131"/>
      <c r="E618" s="131"/>
      <c r="F618" s="131"/>
    </row>
    <row r="619" spans="1:6" x14ac:dyDescent="0.3">
      <c r="A619" s="131"/>
      <c r="B619" s="131"/>
      <c r="C619" s="131"/>
      <c r="D619" s="131"/>
      <c r="E619" s="131"/>
      <c r="F619" s="131"/>
    </row>
    <row r="620" spans="1:6" x14ac:dyDescent="0.3">
      <c r="A620" s="131"/>
      <c r="B620" s="131"/>
      <c r="C620" s="131"/>
      <c r="D620" s="131"/>
      <c r="E620" s="131"/>
      <c r="F620" s="131"/>
    </row>
    <row r="621" spans="1:6" x14ac:dyDescent="0.3">
      <c r="A621" s="131"/>
      <c r="B621" s="131"/>
      <c r="C621" s="131"/>
      <c r="D621" s="131"/>
      <c r="E621" s="131"/>
      <c r="F621" s="131"/>
    </row>
    <row r="622" spans="1:6" x14ac:dyDescent="0.3">
      <c r="A622" s="131"/>
      <c r="B622" s="131"/>
      <c r="C622" s="131"/>
      <c r="D622" s="131"/>
      <c r="E622" s="131"/>
      <c r="F622" s="131"/>
    </row>
    <row r="623" spans="1:6" x14ac:dyDescent="0.3">
      <c r="A623" s="131"/>
      <c r="B623" s="131"/>
      <c r="C623" s="131"/>
      <c r="D623" s="131"/>
      <c r="E623" s="131"/>
      <c r="F623" s="131"/>
    </row>
    <row r="624" spans="1:6" x14ac:dyDescent="0.3">
      <c r="A624" s="131"/>
      <c r="B624" s="131"/>
      <c r="C624" s="131"/>
      <c r="D624" s="131"/>
      <c r="E624" s="131"/>
      <c r="F624" s="131"/>
    </row>
    <row r="625" spans="1:6" x14ac:dyDescent="0.3">
      <c r="A625" s="131"/>
      <c r="B625" s="131"/>
      <c r="C625" s="131"/>
      <c r="D625" s="131"/>
      <c r="E625" s="131"/>
      <c r="F625" s="131"/>
    </row>
    <row r="626" spans="1:6" x14ac:dyDescent="0.3">
      <c r="A626" s="131"/>
      <c r="B626" s="131"/>
      <c r="C626" s="131"/>
      <c r="D626" s="131"/>
      <c r="E626" s="131"/>
      <c r="F626" s="131"/>
    </row>
    <row r="627" spans="1:6" x14ac:dyDescent="0.3">
      <c r="A627" s="131"/>
      <c r="B627" s="131"/>
      <c r="C627" s="131"/>
      <c r="D627" s="131"/>
      <c r="E627" s="131"/>
      <c r="F627" s="131"/>
    </row>
    <row r="628" spans="1:6" x14ac:dyDescent="0.3">
      <c r="A628" s="131"/>
      <c r="B628" s="131"/>
      <c r="C628" s="131"/>
      <c r="D628" s="131"/>
      <c r="E628" s="131"/>
      <c r="F628" s="131"/>
    </row>
    <row r="629" spans="1:6" x14ac:dyDescent="0.3">
      <c r="A629" s="131"/>
      <c r="B629" s="131"/>
      <c r="C629" s="131"/>
      <c r="D629" s="131"/>
      <c r="E629" s="131"/>
      <c r="F629" s="131"/>
    </row>
    <row r="630" spans="1:6" x14ac:dyDescent="0.3">
      <c r="A630" s="131"/>
      <c r="B630" s="131"/>
      <c r="C630" s="131"/>
      <c r="D630" s="131"/>
      <c r="E630" s="131"/>
      <c r="F630" s="131"/>
    </row>
    <row r="631" spans="1:6" x14ac:dyDescent="0.3">
      <c r="A631" s="131"/>
      <c r="B631" s="131"/>
      <c r="C631" s="131"/>
      <c r="D631" s="131"/>
      <c r="E631" s="131"/>
      <c r="F631" s="131"/>
    </row>
    <row r="632" spans="1:6" x14ac:dyDescent="0.3">
      <c r="A632" s="131"/>
      <c r="B632" s="131"/>
      <c r="C632" s="131"/>
      <c r="D632" s="131"/>
      <c r="E632" s="131"/>
      <c r="F632" s="131"/>
    </row>
    <row r="633" spans="1:6" x14ac:dyDescent="0.3">
      <c r="A633" s="131"/>
      <c r="B633" s="131"/>
      <c r="C633" s="131"/>
      <c r="D633" s="131"/>
      <c r="E633" s="131"/>
      <c r="F633" s="131"/>
    </row>
    <row r="634" spans="1:6" x14ac:dyDescent="0.3">
      <c r="A634" s="131"/>
      <c r="B634" s="131"/>
      <c r="C634" s="131"/>
      <c r="D634" s="131"/>
      <c r="E634" s="131"/>
      <c r="F634" s="131"/>
    </row>
    <row r="635" spans="1:6" x14ac:dyDescent="0.3">
      <c r="A635" s="131"/>
      <c r="B635" s="131"/>
      <c r="C635" s="131"/>
      <c r="D635" s="131"/>
      <c r="E635" s="131"/>
      <c r="F635" s="131"/>
    </row>
    <row r="636" spans="1:6" x14ac:dyDescent="0.3">
      <c r="A636" s="131"/>
      <c r="B636" s="131"/>
      <c r="C636" s="131"/>
      <c r="D636" s="131"/>
      <c r="E636" s="131"/>
      <c r="F636" s="131"/>
    </row>
    <row r="637" spans="1:6" x14ac:dyDescent="0.3">
      <c r="A637" s="131"/>
      <c r="B637" s="131"/>
      <c r="C637" s="131"/>
      <c r="D637" s="131"/>
      <c r="E637" s="131"/>
      <c r="F637" s="131"/>
    </row>
    <row r="638" spans="1:6" x14ac:dyDescent="0.3">
      <c r="A638" s="131"/>
      <c r="B638" s="131"/>
      <c r="C638" s="131"/>
      <c r="D638" s="131"/>
      <c r="E638" s="131"/>
      <c r="F638" s="131"/>
    </row>
    <row r="639" spans="1:6" x14ac:dyDescent="0.3">
      <c r="A639" s="131"/>
      <c r="B639" s="131"/>
      <c r="C639" s="131"/>
      <c r="D639" s="131"/>
      <c r="E639" s="131"/>
      <c r="F639" s="131"/>
    </row>
    <row r="640" spans="1:6" x14ac:dyDescent="0.3">
      <c r="A640" s="131"/>
      <c r="B640" s="131"/>
      <c r="C640" s="131"/>
      <c r="D640" s="131"/>
      <c r="E640" s="131"/>
      <c r="F640" s="131"/>
    </row>
    <row r="641" spans="1:6" x14ac:dyDescent="0.3">
      <c r="A641" s="131"/>
      <c r="B641" s="131"/>
      <c r="C641" s="131"/>
      <c r="D641" s="131"/>
      <c r="E641" s="131"/>
      <c r="F641" s="131"/>
    </row>
    <row r="642" spans="1:6" x14ac:dyDescent="0.3">
      <c r="A642" s="131"/>
      <c r="B642" s="131"/>
      <c r="C642" s="131"/>
      <c r="D642" s="131"/>
      <c r="E642" s="131"/>
      <c r="F642" s="131"/>
    </row>
    <row r="643" spans="1:6" x14ac:dyDescent="0.3">
      <c r="A643" s="131"/>
      <c r="B643" s="131"/>
      <c r="C643" s="131"/>
      <c r="D643" s="131"/>
      <c r="E643" s="131"/>
      <c r="F643" s="131"/>
    </row>
    <row r="644" spans="1:6" x14ac:dyDescent="0.3">
      <c r="A644" s="131"/>
      <c r="B644" s="131"/>
      <c r="C644" s="131"/>
      <c r="D644" s="131"/>
      <c r="E644" s="131"/>
      <c r="F644" s="131"/>
    </row>
    <row r="645" spans="1:6" x14ac:dyDescent="0.3">
      <c r="A645" s="131"/>
      <c r="B645" s="131"/>
      <c r="C645" s="131"/>
      <c r="D645" s="131"/>
      <c r="E645" s="131"/>
      <c r="F645" s="131"/>
    </row>
    <row r="646" spans="1:6" x14ac:dyDescent="0.3">
      <c r="A646" s="131"/>
      <c r="B646" s="131"/>
      <c r="C646" s="131"/>
      <c r="D646" s="131"/>
      <c r="E646" s="131"/>
      <c r="F646" s="131"/>
    </row>
    <row r="647" spans="1:6" x14ac:dyDescent="0.3">
      <c r="A647" s="131"/>
      <c r="B647" s="131"/>
      <c r="C647" s="131"/>
      <c r="D647" s="131"/>
      <c r="E647" s="131"/>
      <c r="F647" s="131"/>
    </row>
    <row r="648" spans="1:6" x14ac:dyDescent="0.3">
      <c r="A648" s="131"/>
      <c r="B648" s="131"/>
      <c r="C648" s="131"/>
      <c r="D648" s="131"/>
      <c r="E648" s="131"/>
      <c r="F648" s="131"/>
    </row>
    <row r="649" spans="1:6" x14ac:dyDescent="0.3">
      <c r="A649" s="131"/>
      <c r="B649" s="131"/>
      <c r="C649" s="131"/>
      <c r="D649" s="131"/>
      <c r="E649" s="131"/>
      <c r="F649" s="131"/>
    </row>
    <row r="650" spans="1:6" x14ac:dyDescent="0.3">
      <c r="A650" s="131"/>
      <c r="B650" s="131"/>
      <c r="C650" s="131"/>
      <c r="D650" s="131"/>
      <c r="E650" s="131"/>
      <c r="F650" s="131"/>
    </row>
    <row r="651" spans="1:6" x14ac:dyDescent="0.3">
      <c r="A651" s="131"/>
      <c r="B651" s="131"/>
      <c r="C651" s="131"/>
      <c r="D651" s="131"/>
      <c r="E651" s="131"/>
      <c r="F651" s="131"/>
    </row>
    <row r="652" spans="1:6" x14ac:dyDescent="0.3">
      <c r="A652" s="131"/>
      <c r="B652" s="131"/>
      <c r="C652" s="131"/>
      <c r="D652" s="131"/>
      <c r="E652" s="131"/>
      <c r="F652" s="131"/>
    </row>
    <row r="653" spans="1:6" x14ac:dyDescent="0.3">
      <c r="A653" s="131"/>
      <c r="B653" s="131"/>
      <c r="C653" s="131"/>
      <c r="D653" s="131"/>
      <c r="E653" s="131"/>
      <c r="F653" s="131"/>
    </row>
    <row r="654" spans="1:6" x14ac:dyDescent="0.3">
      <c r="A654" s="131"/>
      <c r="B654" s="131"/>
      <c r="C654" s="131"/>
      <c r="D654" s="131"/>
      <c r="E654" s="131"/>
      <c r="F654" s="131"/>
    </row>
    <row r="655" spans="1:6" x14ac:dyDescent="0.3">
      <c r="A655" s="131"/>
      <c r="B655" s="131"/>
      <c r="C655" s="131"/>
      <c r="D655" s="131"/>
      <c r="E655" s="131"/>
      <c r="F655" s="131"/>
    </row>
    <row r="656" spans="1:6" x14ac:dyDescent="0.3">
      <c r="A656" s="131"/>
      <c r="B656" s="131"/>
      <c r="C656" s="131"/>
      <c r="D656" s="131"/>
      <c r="E656" s="131"/>
      <c r="F656" s="131"/>
    </row>
    <row r="657" spans="1:6" x14ac:dyDescent="0.3">
      <c r="A657" s="131"/>
      <c r="B657" s="131"/>
      <c r="C657" s="131"/>
      <c r="D657" s="131"/>
      <c r="E657" s="131"/>
      <c r="F657" s="131"/>
    </row>
    <row r="658" spans="1:6" x14ac:dyDescent="0.3">
      <c r="A658" s="131"/>
      <c r="B658" s="131"/>
      <c r="C658" s="131"/>
      <c r="D658" s="131"/>
      <c r="E658" s="131"/>
      <c r="F658" s="131"/>
    </row>
    <row r="659" spans="1:6" x14ac:dyDescent="0.3">
      <c r="A659" s="131"/>
      <c r="B659" s="131"/>
      <c r="C659" s="131"/>
      <c r="D659" s="131"/>
      <c r="E659" s="131"/>
      <c r="F659" s="131"/>
    </row>
    <row r="660" spans="1:6" x14ac:dyDescent="0.3">
      <c r="A660" s="131"/>
      <c r="B660" s="131"/>
      <c r="C660" s="131"/>
      <c r="D660" s="131"/>
      <c r="E660" s="131"/>
      <c r="F660" s="131"/>
    </row>
    <row r="661" spans="1:6" x14ac:dyDescent="0.3">
      <c r="A661" s="131"/>
      <c r="B661" s="131"/>
      <c r="C661" s="131"/>
      <c r="D661" s="131"/>
      <c r="E661" s="131"/>
      <c r="F661" s="131"/>
    </row>
    <row r="662" spans="1:6" x14ac:dyDescent="0.3">
      <c r="A662" s="131"/>
      <c r="B662" s="131"/>
      <c r="C662" s="131"/>
      <c r="D662" s="131"/>
      <c r="E662" s="131"/>
      <c r="F662" s="131"/>
    </row>
    <row r="663" spans="1:6" x14ac:dyDescent="0.3">
      <c r="A663" s="131"/>
      <c r="B663" s="131"/>
      <c r="C663" s="131"/>
      <c r="D663" s="131"/>
      <c r="E663" s="131"/>
      <c r="F663" s="131"/>
    </row>
    <row r="664" spans="1:6" x14ac:dyDescent="0.3">
      <c r="A664" s="131"/>
      <c r="B664" s="131"/>
      <c r="C664" s="131"/>
      <c r="D664" s="131"/>
      <c r="E664" s="131"/>
      <c r="F664" s="131"/>
    </row>
    <row r="665" spans="1:6" x14ac:dyDescent="0.3">
      <c r="A665" s="131"/>
      <c r="B665" s="131"/>
      <c r="C665" s="131"/>
      <c r="D665" s="131"/>
      <c r="E665" s="131"/>
      <c r="F665" s="131"/>
    </row>
    <row r="666" spans="1:6" x14ac:dyDescent="0.3">
      <c r="A666" s="131"/>
      <c r="B666" s="131"/>
      <c r="C666" s="131"/>
      <c r="D666" s="131"/>
      <c r="E666" s="131"/>
      <c r="F666" s="131"/>
    </row>
    <row r="667" spans="1:6" x14ac:dyDescent="0.3">
      <c r="A667" s="131"/>
      <c r="B667" s="131"/>
      <c r="C667" s="131"/>
      <c r="D667" s="131"/>
      <c r="E667" s="131"/>
      <c r="F667" s="131"/>
    </row>
    <row r="668" spans="1:6" x14ac:dyDescent="0.3">
      <c r="A668" s="131"/>
      <c r="B668" s="131"/>
      <c r="C668" s="131"/>
      <c r="D668" s="131"/>
      <c r="E668" s="131"/>
      <c r="F668" s="131"/>
    </row>
    <row r="669" spans="1:6" x14ac:dyDescent="0.3">
      <c r="A669" s="131"/>
      <c r="B669" s="131"/>
      <c r="C669" s="131"/>
      <c r="D669" s="131"/>
      <c r="E669" s="131"/>
      <c r="F669" s="131"/>
    </row>
    <row r="670" spans="1:6" x14ac:dyDescent="0.3">
      <c r="A670" s="131"/>
      <c r="B670" s="131"/>
      <c r="C670" s="131"/>
      <c r="D670" s="131"/>
      <c r="E670" s="131"/>
      <c r="F670" s="131"/>
    </row>
    <row r="671" spans="1:6" x14ac:dyDescent="0.3">
      <c r="A671" s="131"/>
      <c r="B671" s="131"/>
      <c r="C671" s="131"/>
      <c r="D671" s="131"/>
      <c r="E671" s="131"/>
      <c r="F671" s="131"/>
    </row>
    <row r="672" spans="1:6" x14ac:dyDescent="0.3">
      <c r="A672" s="131"/>
      <c r="B672" s="131"/>
      <c r="C672" s="131"/>
      <c r="D672" s="131"/>
      <c r="E672" s="131"/>
      <c r="F672" s="131"/>
    </row>
    <row r="673" spans="1:6" x14ac:dyDescent="0.3">
      <c r="A673" s="131"/>
      <c r="B673" s="131"/>
      <c r="C673" s="131"/>
      <c r="D673" s="131"/>
      <c r="E673" s="131"/>
      <c r="F673" s="131"/>
    </row>
    <row r="674" spans="1:6" x14ac:dyDescent="0.3">
      <c r="A674" s="131"/>
      <c r="B674" s="131"/>
      <c r="C674" s="131"/>
      <c r="D674" s="131"/>
      <c r="E674" s="131"/>
      <c r="F674" s="131"/>
    </row>
    <row r="675" spans="1:6" x14ac:dyDescent="0.3">
      <c r="A675" s="131"/>
      <c r="B675" s="131"/>
      <c r="C675" s="131"/>
      <c r="D675" s="131"/>
      <c r="E675" s="131"/>
      <c r="F675" s="131"/>
    </row>
    <row r="676" spans="1:6" x14ac:dyDescent="0.3">
      <c r="A676" s="131"/>
      <c r="B676" s="131"/>
      <c r="C676" s="131"/>
      <c r="D676" s="131"/>
      <c r="E676" s="131"/>
      <c r="F676" s="131"/>
    </row>
    <row r="677" spans="1:6" x14ac:dyDescent="0.3">
      <c r="A677" s="131"/>
      <c r="B677" s="131"/>
      <c r="C677" s="131"/>
      <c r="D677" s="131"/>
      <c r="E677" s="131"/>
      <c r="F677" s="131"/>
    </row>
    <row r="678" spans="1:6" x14ac:dyDescent="0.3">
      <c r="A678" s="131"/>
      <c r="B678" s="131"/>
      <c r="C678" s="131"/>
      <c r="D678" s="131"/>
      <c r="E678" s="131"/>
      <c r="F678" s="131"/>
    </row>
    <row r="679" spans="1:6" x14ac:dyDescent="0.3">
      <c r="A679" s="131"/>
      <c r="B679" s="131"/>
      <c r="C679" s="131"/>
      <c r="D679" s="131"/>
      <c r="E679" s="131"/>
      <c r="F679" s="131"/>
    </row>
    <row r="680" spans="1:6" x14ac:dyDescent="0.3">
      <c r="A680" s="131"/>
      <c r="B680" s="131"/>
      <c r="C680" s="131"/>
      <c r="D680" s="131"/>
      <c r="E680" s="131"/>
      <c r="F680" s="131"/>
    </row>
    <row r="681" spans="1:6" x14ac:dyDescent="0.3">
      <c r="A681" s="131"/>
      <c r="B681" s="131"/>
      <c r="C681" s="131"/>
      <c r="D681" s="131"/>
      <c r="E681" s="131"/>
      <c r="F681" s="131"/>
    </row>
    <row r="682" spans="1:6" x14ac:dyDescent="0.3">
      <c r="A682" s="131"/>
      <c r="B682" s="131"/>
      <c r="C682" s="131"/>
      <c r="D682" s="131"/>
      <c r="E682" s="131"/>
      <c r="F682" s="131"/>
    </row>
    <row r="683" spans="1:6" x14ac:dyDescent="0.3">
      <c r="A683" s="131"/>
      <c r="B683" s="131"/>
      <c r="C683" s="131"/>
      <c r="D683" s="131"/>
      <c r="E683" s="131"/>
      <c r="F683" s="131"/>
    </row>
    <row r="684" spans="1:6" x14ac:dyDescent="0.3">
      <c r="A684" s="131"/>
      <c r="B684" s="131"/>
      <c r="C684" s="131"/>
      <c r="D684" s="131"/>
      <c r="E684" s="131"/>
      <c r="F684" s="131"/>
    </row>
    <row r="685" spans="1:6" x14ac:dyDescent="0.3">
      <c r="A685" s="131"/>
      <c r="B685" s="131"/>
      <c r="C685" s="131"/>
      <c r="D685" s="131"/>
      <c r="E685" s="131"/>
      <c r="F685" s="131"/>
    </row>
    <row r="686" spans="1:6" x14ac:dyDescent="0.3">
      <c r="A686" s="131"/>
      <c r="B686" s="131"/>
      <c r="C686" s="131"/>
      <c r="D686" s="131"/>
      <c r="E686" s="131"/>
      <c r="F686" s="131"/>
    </row>
    <row r="687" spans="1:6" x14ac:dyDescent="0.3">
      <c r="A687" s="131"/>
      <c r="B687" s="131"/>
      <c r="C687" s="131"/>
      <c r="D687" s="131"/>
      <c r="E687" s="131"/>
      <c r="F687" s="131"/>
    </row>
    <row r="688" spans="1:6" x14ac:dyDescent="0.3">
      <c r="A688" s="131"/>
      <c r="B688" s="131"/>
      <c r="C688" s="131"/>
      <c r="D688" s="131"/>
      <c r="E688" s="131"/>
      <c r="F688" s="131"/>
    </row>
    <row r="689" spans="1:6" x14ac:dyDescent="0.3">
      <c r="A689" s="131"/>
      <c r="B689" s="131"/>
      <c r="C689" s="131"/>
      <c r="D689" s="131"/>
      <c r="E689" s="131"/>
      <c r="F689" s="131"/>
    </row>
    <row r="690" spans="1:6" x14ac:dyDescent="0.3">
      <c r="A690" s="131"/>
      <c r="B690" s="131"/>
      <c r="C690" s="131"/>
      <c r="D690" s="131"/>
      <c r="E690" s="131"/>
      <c r="F690" s="131"/>
    </row>
    <row r="691" spans="1:6" x14ac:dyDescent="0.3">
      <c r="A691" s="131"/>
      <c r="B691" s="131"/>
      <c r="C691" s="131"/>
      <c r="D691" s="131"/>
      <c r="E691" s="131"/>
      <c r="F691" s="131"/>
    </row>
    <row r="692" spans="1:6" x14ac:dyDescent="0.3">
      <c r="A692" s="131"/>
      <c r="B692" s="131"/>
      <c r="C692" s="131"/>
      <c r="D692" s="131"/>
      <c r="E692" s="131"/>
      <c r="F692" s="131"/>
    </row>
    <row r="693" spans="1:6" x14ac:dyDescent="0.3">
      <c r="A693" s="131"/>
      <c r="B693" s="131"/>
      <c r="C693" s="131"/>
      <c r="D693" s="131"/>
      <c r="E693" s="131"/>
      <c r="F693" s="131"/>
    </row>
    <row r="694" spans="1:6" x14ac:dyDescent="0.3">
      <c r="A694" s="131"/>
      <c r="B694" s="131"/>
      <c r="C694" s="131"/>
      <c r="D694" s="131"/>
      <c r="E694" s="131"/>
      <c r="F694" s="131"/>
    </row>
    <row r="695" spans="1:6" x14ac:dyDescent="0.3">
      <c r="A695" s="131"/>
      <c r="B695" s="131"/>
      <c r="C695" s="131"/>
      <c r="D695" s="131"/>
      <c r="E695" s="131"/>
      <c r="F695" s="131"/>
    </row>
    <row r="696" spans="1:6" x14ac:dyDescent="0.3">
      <c r="A696" s="131"/>
      <c r="B696" s="131"/>
      <c r="C696" s="131"/>
      <c r="D696" s="131"/>
      <c r="E696" s="131"/>
      <c r="F696" s="131"/>
    </row>
    <row r="697" spans="1:6" x14ac:dyDescent="0.3">
      <c r="A697" s="131"/>
      <c r="B697" s="131"/>
      <c r="C697" s="131"/>
      <c r="D697" s="131"/>
      <c r="E697" s="131"/>
      <c r="F697" s="131"/>
    </row>
    <row r="698" spans="1:6" x14ac:dyDescent="0.3">
      <c r="A698" s="131"/>
      <c r="B698" s="131"/>
      <c r="C698" s="131"/>
      <c r="D698" s="131"/>
      <c r="E698" s="131"/>
      <c r="F698" s="131"/>
    </row>
    <row r="699" spans="1:6" x14ac:dyDescent="0.3">
      <c r="A699" s="131"/>
      <c r="B699" s="131"/>
      <c r="C699" s="131"/>
      <c r="D699" s="131"/>
      <c r="E699" s="131"/>
      <c r="F699" s="131"/>
    </row>
    <row r="700" spans="1:6" x14ac:dyDescent="0.3">
      <c r="A700" s="131"/>
      <c r="B700" s="131"/>
      <c r="C700" s="131"/>
      <c r="D700" s="131"/>
      <c r="E700" s="131"/>
      <c r="F700" s="131"/>
    </row>
    <row r="701" spans="1:6" x14ac:dyDescent="0.3">
      <c r="A701" s="131"/>
      <c r="B701" s="131"/>
      <c r="C701" s="131"/>
      <c r="D701" s="131"/>
      <c r="E701" s="131"/>
      <c r="F701" s="131"/>
    </row>
    <row r="702" spans="1:6" x14ac:dyDescent="0.3">
      <c r="A702" s="131"/>
      <c r="B702" s="131"/>
      <c r="C702" s="131"/>
      <c r="D702" s="131"/>
      <c r="E702" s="131"/>
      <c r="F702" s="131"/>
    </row>
    <row r="703" spans="1:6" x14ac:dyDescent="0.3">
      <c r="A703" s="131"/>
      <c r="B703" s="131"/>
      <c r="C703" s="131"/>
      <c r="D703" s="131"/>
      <c r="E703" s="131"/>
      <c r="F703" s="131"/>
    </row>
    <row r="704" spans="1:6" x14ac:dyDescent="0.3">
      <c r="A704" s="131"/>
      <c r="B704" s="131"/>
      <c r="C704" s="131"/>
      <c r="D704" s="131"/>
      <c r="E704" s="131"/>
      <c r="F704" s="131"/>
    </row>
    <row r="705" spans="1:6" x14ac:dyDescent="0.3">
      <c r="A705" s="131"/>
      <c r="B705" s="131"/>
      <c r="C705" s="131"/>
      <c r="D705" s="131"/>
      <c r="E705" s="131"/>
      <c r="F705" s="131"/>
    </row>
    <row r="706" spans="1:6" x14ac:dyDescent="0.3">
      <c r="A706" s="131"/>
      <c r="B706" s="131"/>
      <c r="C706" s="131"/>
      <c r="D706" s="131"/>
      <c r="E706" s="131"/>
      <c r="F706" s="131"/>
    </row>
    <row r="707" spans="1:6" x14ac:dyDescent="0.3">
      <c r="A707" s="131"/>
      <c r="B707" s="131"/>
      <c r="C707" s="131"/>
      <c r="D707" s="131"/>
      <c r="E707" s="131"/>
      <c r="F707" s="131"/>
    </row>
    <row r="708" spans="1:6" x14ac:dyDescent="0.3">
      <c r="A708" s="131"/>
      <c r="B708" s="131"/>
      <c r="C708" s="131"/>
      <c r="D708" s="131"/>
      <c r="E708" s="131"/>
      <c r="F708" s="131"/>
    </row>
    <row r="709" spans="1:6" x14ac:dyDescent="0.3">
      <c r="A709" s="131"/>
      <c r="B709" s="131"/>
      <c r="C709" s="131"/>
      <c r="D709" s="131"/>
      <c r="E709" s="131"/>
      <c r="F709" s="131"/>
    </row>
    <row r="710" spans="1:6" x14ac:dyDescent="0.3">
      <c r="A710" s="131"/>
      <c r="B710" s="131"/>
      <c r="C710" s="131"/>
      <c r="D710" s="131"/>
      <c r="E710" s="131"/>
      <c r="F710" s="131"/>
    </row>
    <row r="711" spans="1:6" x14ac:dyDescent="0.3">
      <c r="A711" s="131"/>
      <c r="B711" s="131"/>
      <c r="C711" s="131"/>
      <c r="D711" s="131"/>
      <c r="E711" s="131"/>
      <c r="F711" s="131"/>
    </row>
    <row r="712" spans="1:6" x14ac:dyDescent="0.3">
      <c r="A712" s="131"/>
      <c r="B712" s="131"/>
      <c r="C712" s="131"/>
      <c r="D712" s="131"/>
      <c r="E712" s="131"/>
      <c r="F712" s="131"/>
    </row>
    <row r="713" spans="1:6" x14ac:dyDescent="0.3">
      <c r="A713" s="131"/>
      <c r="B713" s="131"/>
      <c r="C713" s="131"/>
      <c r="D713" s="131"/>
      <c r="E713" s="131"/>
      <c r="F713" s="131"/>
    </row>
    <row r="714" spans="1:6" x14ac:dyDescent="0.3">
      <c r="A714" s="131"/>
      <c r="B714" s="131"/>
      <c r="C714" s="131"/>
      <c r="D714" s="131"/>
      <c r="E714" s="131"/>
      <c r="F714" s="131"/>
    </row>
    <row r="715" spans="1:6" x14ac:dyDescent="0.3">
      <c r="A715" s="131"/>
      <c r="B715" s="131"/>
      <c r="C715" s="131"/>
      <c r="D715" s="131"/>
      <c r="E715" s="131"/>
      <c r="F715" s="131"/>
    </row>
    <row r="716" spans="1:6" x14ac:dyDescent="0.3">
      <c r="A716" s="131"/>
      <c r="B716" s="131"/>
      <c r="C716" s="131"/>
      <c r="D716" s="131"/>
      <c r="E716" s="131"/>
      <c r="F716" s="131"/>
    </row>
    <row r="717" spans="1:6" x14ac:dyDescent="0.3">
      <c r="A717" s="131"/>
      <c r="B717" s="131"/>
      <c r="C717" s="131"/>
      <c r="D717" s="131"/>
      <c r="E717" s="131"/>
      <c r="F717" s="131"/>
    </row>
    <row r="718" spans="1:6" x14ac:dyDescent="0.3">
      <c r="A718" s="131"/>
      <c r="B718" s="131"/>
      <c r="C718" s="131"/>
      <c r="D718" s="131"/>
      <c r="E718" s="131"/>
      <c r="F718" s="131"/>
    </row>
    <row r="719" spans="1:6" x14ac:dyDescent="0.3">
      <c r="A719" s="131"/>
      <c r="B719" s="131"/>
      <c r="C719" s="131"/>
      <c r="D719" s="131"/>
      <c r="E719" s="131"/>
      <c r="F719" s="131"/>
    </row>
    <row r="720" spans="1:6" x14ac:dyDescent="0.3">
      <c r="A720" s="131"/>
      <c r="B720" s="131"/>
      <c r="C720" s="131"/>
      <c r="D720" s="131"/>
      <c r="E720" s="131"/>
      <c r="F720" s="131"/>
    </row>
    <row r="721" spans="1:6" x14ac:dyDescent="0.3">
      <c r="A721" s="131"/>
      <c r="B721" s="131"/>
      <c r="C721" s="131"/>
      <c r="D721" s="131"/>
      <c r="E721" s="131"/>
      <c r="F721" s="131"/>
    </row>
    <row r="722" spans="1:6" x14ac:dyDescent="0.3">
      <c r="A722" s="131"/>
      <c r="B722" s="131"/>
      <c r="C722" s="131"/>
      <c r="D722" s="131"/>
      <c r="E722" s="131"/>
      <c r="F722" s="131"/>
    </row>
    <row r="723" spans="1:6" x14ac:dyDescent="0.3">
      <c r="A723" s="131"/>
      <c r="B723" s="131"/>
      <c r="C723" s="131"/>
      <c r="D723" s="131"/>
      <c r="E723" s="131"/>
      <c r="F723" s="131"/>
    </row>
    <row r="724" spans="1:6" x14ac:dyDescent="0.3">
      <c r="A724" s="131"/>
      <c r="B724" s="131"/>
      <c r="C724" s="131"/>
      <c r="D724" s="131"/>
      <c r="E724" s="131"/>
      <c r="F724" s="131"/>
    </row>
    <row r="725" spans="1:6" x14ac:dyDescent="0.3">
      <c r="A725" s="131"/>
      <c r="B725" s="131"/>
      <c r="C725" s="131"/>
      <c r="D725" s="131"/>
      <c r="E725" s="131"/>
      <c r="F725" s="131"/>
    </row>
    <row r="726" spans="1:6" x14ac:dyDescent="0.3">
      <c r="A726" s="131"/>
      <c r="B726" s="131"/>
      <c r="C726" s="131"/>
      <c r="D726" s="131"/>
      <c r="E726" s="131"/>
      <c r="F726" s="131"/>
    </row>
    <row r="727" spans="1:6" x14ac:dyDescent="0.3">
      <c r="A727" s="131"/>
      <c r="B727" s="131"/>
      <c r="C727" s="131"/>
      <c r="D727" s="131"/>
      <c r="E727" s="131"/>
      <c r="F727" s="131"/>
    </row>
    <row r="728" spans="1:6" x14ac:dyDescent="0.3">
      <c r="A728" s="131"/>
      <c r="B728" s="131"/>
      <c r="C728" s="131"/>
      <c r="D728" s="131"/>
      <c r="E728" s="131"/>
      <c r="F728" s="131"/>
    </row>
    <row r="729" spans="1:6" x14ac:dyDescent="0.3">
      <c r="A729" s="131"/>
      <c r="B729" s="131"/>
      <c r="C729" s="131"/>
      <c r="D729" s="131"/>
      <c r="E729" s="131"/>
      <c r="F729" s="131"/>
    </row>
    <row r="730" spans="1:6" x14ac:dyDescent="0.3">
      <c r="A730" s="131"/>
      <c r="B730" s="131"/>
      <c r="C730" s="131"/>
      <c r="D730" s="131"/>
      <c r="E730" s="131"/>
      <c r="F730" s="131"/>
    </row>
    <row r="731" spans="1:6" x14ac:dyDescent="0.3">
      <c r="A731" s="131"/>
      <c r="B731" s="131"/>
      <c r="C731" s="131"/>
      <c r="D731" s="131"/>
      <c r="E731" s="131"/>
      <c r="F731" s="131"/>
    </row>
    <row r="732" spans="1:6" x14ac:dyDescent="0.3">
      <c r="A732" s="131"/>
      <c r="B732" s="131"/>
      <c r="C732" s="131"/>
      <c r="D732" s="131"/>
      <c r="E732" s="131"/>
      <c r="F732" s="131"/>
    </row>
    <row r="733" spans="1:6" x14ac:dyDescent="0.3">
      <c r="A733" s="131"/>
      <c r="B733" s="131"/>
      <c r="C733" s="131"/>
      <c r="D733" s="131"/>
      <c r="E733" s="131"/>
      <c r="F733" s="131"/>
    </row>
    <row r="734" spans="1:6" x14ac:dyDescent="0.3">
      <c r="A734" s="131"/>
      <c r="B734" s="131"/>
      <c r="C734" s="131"/>
      <c r="D734" s="131"/>
      <c r="E734" s="131"/>
      <c r="F734" s="131"/>
    </row>
    <row r="735" spans="1:6" x14ac:dyDescent="0.3">
      <c r="A735" s="131"/>
      <c r="B735" s="131"/>
      <c r="C735" s="131"/>
      <c r="D735" s="131"/>
      <c r="E735" s="131"/>
      <c r="F735" s="131"/>
    </row>
    <row r="736" spans="1:6" x14ac:dyDescent="0.3">
      <c r="A736" s="131"/>
      <c r="B736" s="131"/>
      <c r="C736" s="131"/>
      <c r="D736" s="131"/>
      <c r="E736" s="131"/>
      <c r="F736" s="131"/>
    </row>
    <row r="737" spans="1:6" x14ac:dyDescent="0.3">
      <c r="A737" s="131"/>
      <c r="B737" s="131"/>
      <c r="C737" s="131"/>
      <c r="D737" s="131"/>
      <c r="E737" s="131"/>
      <c r="F737" s="131"/>
    </row>
    <row r="738" spans="1:6" x14ac:dyDescent="0.3">
      <c r="A738" s="131"/>
      <c r="B738" s="131"/>
      <c r="C738" s="131"/>
      <c r="D738" s="131"/>
      <c r="E738" s="131"/>
      <c r="F738" s="131"/>
    </row>
    <row r="739" spans="1:6" x14ac:dyDescent="0.3">
      <c r="A739" s="131"/>
      <c r="B739" s="131"/>
      <c r="C739" s="131"/>
      <c r="D739" s="131"/>
      <c r="E739" s="131"/>
      <c r="F739" s="131"/>
    </row>
    <row r="740" spans="1:6" x14ac:dyDescent="0.3">
      <c r="A740" s="131"/>
      <c r="B740" s="131"/>
      <c r="C740" s="131"/>
      <c r="D740" s="131"/>
      <c r="E740" s="131"/>
      <c r="F740" s="131"/>
    </row>
    <row r="741" spans="1:6" x14ac:dyDescent="0.3">
      <c r="A741" s="131"/>
      <c r="B741" s="131"/>
      <c r="C741" s="131"/>
      <c r="D741" s="131"/>
      <c r="E741" s="131"/>
      <c r="F741" s="131"/>
    </row>
    <row r="742" spans="1:6" x14ac:dyDescent="0.3">
      <c r="A742" s="131"/>
      <c r="B742" s="131"/>
      <c r="C742" s="131"/>
      <c r="D742" s="131"/>
      <c r="E742" s="131"/>
      <c r="F742" s="131"/>
    </row>
    <row r="743" spans="1:6" x14ac:dyDescent="0.3">
      <c r="A743" s="131"/>
      <c r="B743" s="131"/>
      <c r="C743" s="131"/>
      <c r="D743" s="131"/>
      <c r="E743" s="131"/>
      <c r="F743" s="131"/>
    </row>
    <row r="744" spans="1:6" x14ac:dyDescent="0.3">
      <c r="A744" s="131"/>
      <c r="B744" s="131"/>
      <c r="C744" s="131"/>
      <c r="D744" s="131"/>
      <c r="E744" s="131"/>
      <c r="F744" s="131"/>
    </row>
    <row r="745" spans="1:6" x14ac:dyDescent="0.3">
      <c r="A745" s="131"/>
      <c r="B745" s="131"/>
      <c r="C745" s="131"/>
      <c r="D745" s="131"/>
      <c r="E745" s="131"/>
      <c r="F745" s="131"/>
    </row>
    <row r="746" spans="1:6" x14ac:dyDescent="0.3">
      <c r="A746" s="131"/>
      <c r="B746" s="131"/>
      <c r="C746" s="131"/>
      <c r="D746" s="131"/>
      <c r="E746" s="131"/>
      <c r="F746" s="131"/>
    </row>
    <row r="747" spans="1:6" x14ac:dyDescent="0.3">
      <c r="A747" s="131"/>
      <c r="B747" s="131"/>
      <c r="C747" s="131"/>
      <c r="D747" s="131"/>
      <c r="E747" s="131"/>
      <c r="F747" s="131"/>
    </row>
    <row r="748" spans="1:6" x14ac:dyDescent="0.3">
      <c r="A748" s="131"/>
      <c r="B748" s="131"/>
      <c r="C748" s="131"/>
      <c r="D748" s="131"/>
      <c r="E748" s="131"/>
      <c r="F748" s="131"/>
    </row>
    <row r="749" spans="1:6" x14ac:dyDescent="0.3">
      <c r="A749" s="131"/>
      <c r="B749" s="131"/>
      <c r="C749" s="131"/>
      <c r="D749" s="131"/>
      <c r="E749" s="131"/>
      <c r="F749" s="131"/>
    </row>
    <row r="750" spans="1:6" x14ac:dyDescent="0.3">
      <c r="A750" s="131"/>
      <c r="B750" s="131"/>
      <c r="C750" s="131"/>
      <c r="D750" s="131"/>
      <c r="E750" s="131"/>
      <c r="F750" s="131"/>
    </row>
    <row r="751" spans="1:6" x14ac:dyDescent="0.3">
      <c r="A751" s="131"/>
      <c r="B751" s="131"/>
      <c r="C751" s="131"/>
      <c r="D751" s="131"/>
      <c r="E751" s="131"/>
      <c r="F751" s="131"/>
    </row>
    <row r="752" spans="1:6" x14ac:dyDescent="0.3">
      <c r="A752" s="131"/>
      <c r="B752" s="131"/>
      <c r="C752" s="131"/>
      <c r="D752" s="131"/>
      <c r="E752" s="131"/>
      <c r="F752" s="131"/>
    </row>
    <row r="753" spans="1:6" x14ac:dyDescent="0.3">
      <c r="A753" s="131"/>
      <c r="B753" s="131"/>
      <c r="C753" s="131"/>
      <c r="D753" s="131"/>
      <c r="E753" s="131"/>
      <c r="F753" s="131"/>
    </row>
    <row r="754" spans="1:6" x14ac:dyDescent="0.3">
      <c r="A754" s="131"/>
      <c r="B754" s="131"/>
      <c r="C754" s="131"/>
      <c r="D754" s="131"/>
      <c r="E754" s="131"/>
      <c r="F754" s="131"/>
    </row>
    <row r="755" spans="1:6" x14ac:dyDescent="0.3">
      <c r="A755" s="131"/>
      <c r="B755" s="131"/>
      <c r="C755" s="131"/>
      <c r="D755" s="131"/>
      <c r="E755" s="131"/>
      <c r="F755" s="131"/>
    </row>
    <row r="756" spans="1:6" x14ac:dyDescent="0.3">
      <c r="A756" s="131"/>
      <c r="B756" s="131"/>
      <c r="C756" s="131"/>
      <c r="D756" s="131"/>
      <c r="E756" s="131"/>
      <c r="F756" s="131"/>
    </row>
    <row r="757" spans="1:6" x14ac:dyDescent="0.3">
      <c r="A757" s="131"/>
      <c r="B757" s="131"/>
      <c r="C757" s="131"/>
      <c r="D757" s="131"/>
      <c r="E757" s="131"/>
      <c r="F757" s="131"/>
    </row>
    <row r="758" spans="1:6" x14ac:dyDescent="0.3">
      <c r="A758" s="131"/>
      <c r="B758" s="131"/>
      <c r="C758" s="131"/>
      <c r="D758" s="131"/>
      <c r="E758" s="131"/>
      <c r="F758" s="131"/>
    </row>
    <row r="759" spans="1:6" x14ac:dyDescent="0.3">
      <c r="A759" s="131"/>
      <c r="B759" s="131"/>
      <c r="C759" s="131"/>
      <c r="D759" s="131"/>
      <c r="E759" s="131"/>
      <c r="F759" s="131"/>
    </row>
    <row r="760" spans="1:6" x14ac:dyDescent="0.3">
      <c r="A760" s="131"/>
      <c r="B760" s="131"/>
      <c r="C760" s="131"/>
      <c r="D760" s="131"/>
      <c r="E760" s="131"/>
      <c r="F760" s="131"/>
    </row>
    <row r="761" spans="1:6" x14ac:dyDescent="0.3">
      <c r="A761" s="131"/>
      <c r="B761" s="131"/>
      <c r="C761" s="131"/>
      <c r="D761" s="131"/>
      <c r="E761" s="131"/>
      <c r="F761" s="131"/>
    </row>
    <row r="762" spans="1:6" x14ac:dyDescent="0.3">
      <c r="A762" s="131"/>
      <c r="B762" s="131"/>
      <c r="C762" s="131"/>
      <c r="D762" s="131"/>
      <c r="E762" s="131"/>
      <c r="F762" s="131"/>
    </row>
    <row r="763" spans="1:6" x14ac:dyDescent="0.3">
      <c r="A763" s="131"/>
      <c r="B763" s="131"/>
      <c r="C763" s="131"/>
      <c r="D763" s="131"/>
      <c r="E763" s="131"/>
      <c r="F763" s="131"/>
    </row>
    <row r="764" spans="1:6" x14ac:dyDescent="0.3">
      <c r="A764" s="131"/>
      <c r="B764" s="131"/>
      <c r="C764" s="131"/>
      <c r="D764" s="131"/>
      <c r="E764" s="131"/>
      <c r="F764" s="131"/>
    </row>
    <row r="765" spans="1:6" x14ac:dyDescent="0.3">
      <c r="A765" s="131"/>
      <c r="B765" s="131"/>
      <c r="C765" s="131"/>
      <c r="D765" s="131"/>
      <c r="E765" s="131"/>
      <c r="F765" s="131"/>
    </row>
    <row r="766" spans="1:6" x14ac:dyDescent="0.3">
      <c r="A766" s="131"/>
      <c r="B766" s="131"/>
      <c r="C766" s="131"/>
      <c r="D766" s="131"/>
      <c r="E766" s="131"/>
      <c r="F766" s="131"/>
    </row>
    <row r="767" spans="1:6" x14ac:dyDescent="0.3">
      <c r="A767" s="131"/>
      <c r="B767" s="131"/>
      <c r="C767" s="131"/>
      <c r="D767" s="131"/>
      <c r="E767" s="131"/>
      <c r="F767" s="131"/>
    </row>
    <row r="768" spans="1:6" x14ac:dyDescent="0.3">
      <c r="A768" s="131"/>
      <c r="B768" s="131"/>
      <c r="C768" s="131"/>
      <c r="D768" s="131"/>
      <c r="E768" s="131"/>
      <c r="F768" s="131"/>
    </row>
    <row r="769" spans="1:6" x14ac:dyDescent="0.3">
      <c r="A769" s="131"/>
      <c r="B769" s="131"/>
      <c r="C769" s="131"/>
      <c r="D769" s="131"/>
      <c r="E769" s="131"/>
      <c r="F769" s="131"/>
    </row>
    <row r="770" spans="1:6" x14ac:dyDescent="0.3">
      <c r="A770" s="131"/>
      <c r="B770" s="131"/>
      <c r="C770" s="131"/>
      <c r="D770" s="131"/>
      <c r="E770" s="131"/>
      <c r="F770" s="131"/>
    </row>
    <row r="771" spans="1:6" x14ac:dyDescent="0.3">
      <c r="A771" s="131"/>
      <c r="B771" s="131"/>
      <c r="C771" s="131"/>
      <c r="D771" s="131"/>
      <c r="E771" s="131"/>
      <c r="F771" s="131"/>
    </row>
    <row r="772" spans="1:6" x14ac:dyDescent="0.3">
      <c r="A772" s="131"/>
      <c r="B772" s="131"/>
      <c r="C772" s="131"/>
      <c r="D772" s="131"/>
      <c r="E772" s="131"/>
      <c r="F772" s="131"/>
    </row>
    <row r="773" spans="1:6" x14ac:dyDescent="0.3">
      <c r="A773" s="131"/>
      <c r="B773" s="131"/>
      <c r="C773" s="131"/>
      <c r="D773" s="131"/>
      <c r="E773" s="131"/>
      <c r="F773" s="131"/>
    </row>
    <row r="774" spans="1:6" x14ac:dyDescent="0.3">
      <c r="A774" s="131"/>
      <c r="B774" s="131"/>
      <c r="C774" s="131"/>
      <c r="D774" s="131"/>
      <c r="E774" s="131"/>
      <c r="F774" s="131"/>
    </row>
    <row r="775" spans="1:6" x14ac:dyDescent="0.3">
      <c r="A775" s="131"/>
      <c r="B775" s="131"/>
      <c r="C775" s="131"/>
      <c r="D775" s="131"/>
      <c r="E775" s="131"/>
      <c r="F775" s="131"/>
    </row>
    <row r="776" spans="1:6" x14ac:dyDescent="0.3">
      <c r="A776" s="131"/>
      <c r="B776" s="131"/>
      <c r="C776" s="131"/>
      <c r="D776" s="131"/>
      <c r="E776" s="131"/>
      <c r="F776" s="131"/>
    </row>
    <row r="777" spans="1:6" x14ac:dyDescent="0.3">
      <c r="A777" s="131"/>
      <c r="B777" s="131"/>
      <c r="C777" s="131"/>
      <c r="D777" s="131"/>
      <c r="E777" s="131"/>
      <c r="F777" s="131"/>
    </row>
    <row r="778" spans="1:6" x14ac:dyDescent="0.3">
      <c r="A778" s="131"/>
      <c r="B778" s="131"/>
      <c r="C778" s="131"/>
      <c r="D778" s="131"/>
      <c r="E778" s="131"/>
      <c r="F778" s="131"/>
    </row>
    <row r="779" spans="1:6" x14ac:dyDescent="0.3">
      <c r="A779" s="131"/>
      <c r="B779" s="131"/>
      <c r="C779" s="131"/>
      <c r="D779" s="131"/>
      <c r="E779" s="131"/>
      <c r="F779" s="131"/>
    </row>
    <row r="780" spans="1:6" x14ac:dyDescent="0.3">
      <c r="A780" s="131"/>
      <c r="B780" s="131"/>
      <c r="C780" s="131"/>
      <c r="D780" s="131"/>
      <c r="E780" s="131"/>
      <c r="F780" s="131"/>
    </row>
    <row r="781" spans="1:6" x14ac:dyDescent="0.3">
      <c r="A781" s="131"/>
      <c r="B781" s="131"/>
      <c r="C781" s="131"/>
      <c r="D781" s="131"/>
      <c r="E781" s="131"/>
      <c r="F781" s="131"/>
    </row>
    <row r="782" spans="1:6" x14ac:dyDescent="0.3">
      <c r="A782" s="131"/>
      <c r="B782" s="131"/>
      <c r="C782" s="131"/>
      <c r="D782" s="131"/>
      <c r="E782" s="131"/>
      <c r="F782" s="131"/>
    </row>
    <row r="783" spans="1:6" x14ac:dyDescent="0.3">
      <c r="A783" s="131"/>
      <c r="B783" s="131"/>
      <c r="C783" s="131"/>
      <c r="D783" s="131"/>
      <c r="E783" s="131"/>
      <c r="F783" s="131"/>
    </row>
    <row r="784" spans="1:6" x14ac:dyDescent="0.3">
      <c r="A784" s="131"/>
      <c r="B784" s="131"/>
      <c r="C784" s="131"/>
      <c r="D784" s="131"/>
      <c r="E784" s="131"/>
      <c r="F784" s="131"/>
    </row>
    <row r="785" spans="1:6" x14ac:dyDescent="0.3">
      <c r="A785" s="131"/>
      <c r="B785" s="131"/>
      <c r="C785" s="131"/>
      <c r="D785" s="131"/>
      <c r="E785" s="131"/>
      <c r="F785" s="131"/>
    </row>
    <row r="786" spans="1:6" x14ac:dyDescent="0.3">
      <c r="A786" s="131"/>
      <c r="B786" s="131"/>
      <c r="C786" s="131"/>
      <c r="D786" s="131"/>
      <c r="E786" s="131"/>
      <c r="F786" s="131"/>
    </row>
    <row r="787" spans="1:6" x14ac:dyDescent="0.3">
      <c r="A787" s="131"/>
      <c r="B787" s="131"/>
      <c r="C787" s="131"/>
      <c r="D787" s="131"/>
      <c r="E787" s="131"/>
      <c r="F787" s="131"/>
    </row>
    <row r="788" spans="1:6" x14ac:dyDescent="0.3">
      <c r="A788" s="131"/>
      <c r="B788" s="131"/>
      <c r="C788" s="131"/>
      <c r="D788" s="131"/>
      <c r="E788" s="131"/>
      <c r="F788" s="131"/>
    </row>
    <row r="789" spans="1:6" x14ac:dyDescent="0.3">
      <c r="A789" s="131"/>
      <c r="B789" s="131"/>
      <c r="C789" s="131"/>
      <c r="D789" s="131"/>
      <c r="E789" s="131"/>
      <c r="F789" s="131"/>
    </row>
    <row r="790" spans="1:6" x14ac:dyDescent="0.3">
      <c r="A790" s="131"/>
      <c r="B790" s="131"/>
      <c r="C790" s="131"/>
      <c r="D790" s="131"/>
      <c r="E790" s="131"/>
      <c r="F790" s="131"/>
    </row>
    <row r="791" spans="1:6" x14ac:dyDescent="0.3">
      <c r="A791" s="131"/>
      <c r="B791" s="131"/>
      <c r="C791" s="131"/>
      <c r="D791" s="131"/>
      <c r="E791" s="131"/>
      <c r="F791" s="131"/>
    </row>
    <row r="792" spans="1:6" x14ac:dyDescent="0.3">
      <c r="A792" s="131"/>
      <c r="B792" s="131"/>
      <c r="C792" s="131"/>
      <c r="D792" s="131"/>
      <c r="E792" s="131"/>
      <c r="F792" s="131"/>
    </row>
    <row r="793" spans="1:6" x14ac:dyDescent="0.3">
      <c r="A793" s="131"/>
      <c r="B793" s="131"/>
      <c r="C793" s="131"/>
      <c r="D793" s="131"/>
      <c r="E793" s="131"/>
      <c r="F793" s="131"/>
    </row>
    <row r="794" spans="1:6" x14ac:dyDescent="0.3">
      <c r="A794" s="131"/>
      <c r="B794" s="131"/>
      <c r="C794" s="131"/>
      <c r="D794" s="131"/>
      <c r="E794" s="131"/>
      <c r="F794" s="131"/>
    </row>
    <row r="795" spans="1:6" x14ac:dyDescent="0.3">
      <c r="A795" s="131"/>
      <c r="B795" s="131"/>
      <c r="C795" s="131"/>
      <c r="D795" s="131"/>
      <c r="E795" s="131"/>
      <c r="F795" s="131"/>
    </row>
    <row r="796" spans="1:6" x14ac:dyDescent="0.3">
      <c r="A796" s="131"/>
      <c r="B796" s="131"/>
      <c r="C796" s="131"/>
      <c r="D796" s="131"/>
      <c r="E796" s="131"/>
      <c r="F796" s="131"/>
    </row>
    <row r="797" spans="1:6" x14ac:dyDescent="0.3">
      <c r="A797" s="131"/>
      <c r="B797" s="131"/>
      <c r="C797" s="131"/>
      <c r="D797" s="131"/>
      <c r="E797" s="131"/>
      <c r="F797" s="131"/>
    </row>
    <row r="798" spans="1:6" x14ac:dyDescent="0.3">
      <c r="A798" s="131"/>
      <c r="B798" s="131"/>
      <c r="C798" s="131"/>
      <c r="D798" s="131"/>
      <c r="E798" s="131"/>
      <c r="F798" s="131"/>
    </row>
    <row r="799" spans="1:6" x14ac:dyDescent="0.3">
      <c r="A799" s="131"/>
      <c r="B799" s="131"/>
      <c r="C799" s="131"/>
      <c r="D799" s="131"/>
      <c r="E799" s="131"/>
      <c r="F799" s="131"/>
    </row>
    <row r="800" spans="1:6" x14ac:dyDescent="0.3">
      <c r="A800" s="131"/>
      <c r="B800" s="131"/>
      <c r="C800" s="131"/>
      <c r="D800" s="131"/>
      <c r="E800" s="131"/>
      <c r="F800" s="131"/>
    </row>
    <row r="801" spans="1:6" x14ac:dyDescent="0.3">
      <c r="A801" s="131"/>
      <c r="B801" s="131"/>
      <c r="C801" s="131"/>
      <c r="D801" s="131"/>
      <c r="E801" s="131"/>
      <c r="F801" s="131"/>
    </row>
    <row r="802" spans="1:6" x14ac:dyDescent="0.3">
      <c r="A802" s="131"/>
      <c r="B802" s="131"/>
      <c r="C802" s="131"/>
      <c r="D802" s="131"/>
      <c r="E802" s="131"/>
      <c r="F802" s="131"/>
    </row>
    <row r="803" spans="1:6" x14ac:dyDescent="0.3">
      <c r="A803" s="131"/>
      <c r="B803" s="131"/>
      <c r="C803" s="131"/>
      <c r="D803" s="131"/>
      <c r="E803" s="131"/>
      <c r="F803" s="131"/>
    </row>
    <row r="804" spans="1:6" x14ac:dyDescent="0.3">
      <c r="A804" s="131"/>
      <c r="B804" s="131"/>
      <c r="C804" s="131"/>
      <c r="D804" s="131"/>
      <c r="E804" s="131"/>
      <c r="F804" s="131"/>
    </row>
    <row r="805" spans="1:6" x14ac:dyDescent="0.3">
      <c r="A805" s="131"/>
      <c r="B805" s="131"/>
      <c r="C805" s="131"/>
      <c r="D805" s="131"/>
      <c r="E805" s="131"/>
      <c r="F805" s="131"/>
    </row>
    <row r="806" spans="1:6" x14ac:dyDescent="0.3">
      <c r="A806" s="131"/>
      <c r="B806" s="131"/>
      <c r="C806" s="131"/>
      <c r="D806" s="131"/>
      <c r="E806" s="131"/>
      <c r="F806" s="131"/>
    </row>
    <row r="807" spans="1:6" x14ac:dyDescent="0.3">
      <c r="A807" s="131"/>
      <c r="B807" s="131"/>
      <c r="C807" s="131"/>
      <c r="D807" s="131"/>
      <c r="E807" s="131"/>
      <c r="F807" s="131"/>
    </row>
    <row r="808" spans="1:6" x14ac:dyDescent="0.3">
      <c r="A808" s="131"/>
      <c r="B808" s="131"/>
      <c r="C808" s="131"/>
      <c r="D808" s="131"/>
      <c r="E808" s="131"/>
      <c r="F808" s="131"/>
    </row>
    <row r="809" spans="1:6" x14ac:dyDescent="0.3">
      <c r="A809" s="131"/>
      <c r="B809" s="131"/>
      <c r="C809" s="131"/>
      <c r="D809" s="131"/>
      <c r="E809" s="131"/>
      <c r="F809" s="131"/>
    </row>
    <row r="810" spans="1:6" x14ac:dyDescent="0.3">
      <c r="A810" s="131"/>
      <c r="B810" s="131"/>
      <c r="C810" s="131"/>
      <c r="D810" s="131"/>
      <c r="E810" s="131"/>
      <c r="F810" s="131"/>
    </row>
    <row r="811" spans="1:6" x14ac:dyDescent="0.3">
      <c r="A811" s="131"/>
      <c r="B811" s="131"/>
      <c r="C811" s="131"/>
      <c r="D811" s="131"/>
      <c r="E811" s="131"/>
      <c r="F811" s="131"/>
    </row>
    <row r="812" spans="1:6" x14ac:dyDescent="0.3">
      <c r="A812" s="131"/>
      <c r="B812" s="131"/>
      <c r="C812" s="131"/>
      <c r="D812" s="131"/>
      <c r="E812" s="131"/>
      <c r="F812" s="131"/>
    </row>
    <row r="813" spans="1:6" x14ac:dyDescent="0.3">
      <c r="A813" s="131"/>
      <c r="B813" s="131"/>
      <c r="C813" s="131"/>
      <c r="D813" s="131"/>
      <c r="E813" s="131"/>
      <c r="F813" s="131"/>
    </row>
    <row r="814" spans="1:6" x14ac:dyDescent="0.3">
      <c r="A814" s="131"/>
      <c r="B814" s="131"/>
      <c r="C814" s="131"/>
      <c r="D814" s="131"/>
      <c r="E814" s="131"/>
      <c r="F814" s="131"/>
    </row>
    <row r="815" spans="1:6" x14ac:dyDescent="0.3">
      <c r="A815" s="131"/>
      <c r="B815" s="131"/>
      <c r="C815" s="131"/>
      <c r="D815" s="131"/>
      <c r="E815" s="131"/>
      <c r="F815" s="131"/>
    </row>
    <row r="816" spans="1:6" x14ac:dyDescent="0.3">
      <c r="A816" s="131"/>
      <c r="B816" s="131"/>
      <c r="C816" s="131"/>
      <c r="D816" s="131"/>
      <c r="E816" s="131"/>
      <c r="F816" s="131"/>
    </row>
    <row r="817" spans="1:6" x14ac:dyDescent="0.3">
      <c r="A817" s="131"/>
      <c r="B817" s="131"/>
      <c r="C817" s="131"/>
      <c r="D817" s="131"/>
      <c r="E817" s="131"/>
      <c r="F817" s="131"/>
    </row>
    <row r="818" spans="1:6" x14ac:dyDescent="0.3">
      <c r="A818" s="131"/>
      <c r="B818" s="131"/>
      <c r="C818" s="131"/>
      <c r="D818" s="131"/>
      <c r="E818" s="131"/>
      <c r="F818" s="131"/>
    </row>
    <row r="819" spans="1:6" x14ac:dyDescent="0.3">
      <c r="A819" s="131"/>
      <c r="B819" s="131"/>
      <c r="C819" s="131"/>
      <c r="D819" s="131"/>
      <c r="E819" s="131"/>
      <c r="F819" s="131"/>
    </row>
    <row r="820" spans="1:6" x14ac:dyDescent="0.3">
      <c r="A820" s="131"/>
      <c r="B820" s="131"/>
      <c r="C820" s="131"/>
      <c r="D820" s="131"/>
      <c r="E820" s="131"/>
      <c r="F820" s="131"/>
    </row>
    <row r="821" spans="1:6" x14ac:dyDescent="0.3">
      <c r="A821" s="131"/>
      <c r="B821" s="131"/>
      <c r="C821" s="131"/>
      <c r="D821" s="131"/>
      <c r="E821" s="131"/>
      <c r="F821" s="131"/>
    </row>
    <row r="822" spans="1:6" x14ac:dyDescent="0.3">
      <c r="A822" s="131"/>
      <c r="B822" s="131"/>
      <c r="C822" s="131"/>
      <c r="D822" s="131"/>
      <c r="E822" s="131"/>
      <c r="F822" s="131"/>
    </row>
    <row r="823" spans="1:6" x14ac:dyDescent="0.3">
      <c r="A823" s="131"/>
      <c r="B823" s="131"/>
      <c r="C823" s="131"/>
      <c r="D823" s="131"/>
      <c r="E823" s="131"/>
      <c r="F823" s="131"/>
    </row>
    <row r="824" spans="1:6" x14ac:dyDescent="0.3">
      <c r="A824" s="131"/>
      <c r="B824" s="131"/>
      <c r="C824" s="131"/>
      <c r="D824" s="131"/>
      <c r="E824" s="131"/>
      <c r="F824" s="131"/>
    </row>
    <row r="825" spans="1:6" x14ac:dyDescent="0.3">
      <c r="A825" s="131"/>
      <c r="B825" s="131"/>
      <c r="C825" s="131"/>
      <c r="D825" s="131"/>
      <c r="E825" s="131"/>
      <c r="F825" s="131"/>
    </row>
    <row r="826" spans="1:6" x14ac:dyDescent="0.3">
      <c r="A826" s="131"/>
      <c r="B826" s="131"/>
      <c r="C826" s="131"/>
      <c r="D826" s="131"/>
      <c r="E826" s="131"/>
      <c r="F826" s="131"/>
    </row>
    <row r="827" spans="1:6" x14ac:dyDescent="0.3">
      <c r="A827" s="131"/>
      <c r="B827" s="131"/>
      <c r="C827" s="131"/>
      <c r="D827" s="131"/>
      <c r="E827" s="131"/>
      <c r="F827" s="131"/>
    </row>
    <row r="828" spans="1:6" x14ac:dyDescent="0.3">
      <c r="A828" s="131"/>
      <c r="B828" s="131"/>
      <c r="C828" s="131"/>
      <c r="D828" s="131"/>
      <c r="E828" s="131"/>
      <c r="F828" s="131"/>
    </row>
    <row r="829" spans="1:6" x14ac:dyDescent="0.3">
      <c r="A829" s="131"/>
      <c r="B829" s="131"/>
      <c r="C829" s="131"/>
      <c r="D829" s="131"/>
      <c r="E829" s="131"/>
      <c r="F829" s="131"/>
    </row>
    <row r="830" spans="1:6" x14ac:dyDescent="0.3">
      <c r="A830" s="131"/>
      <c r="B830" s="131"/>
      <c r="C830" s="131"/>
      <c r="D830" s="131"/>
      <c r="E830" s="131"/>
      <c r="F830" s="131"/>
    </row>
    <row r="831" spans="1:6" x14ac:dyDescent="0.3">
      <c r="A831" s="131"/>
      <c r="B831" s="131"/>
      <c r="C831" s="131"/>
      <c r="D831" s="131"/>
      <c r="E831" s="131"/>
      <c r="F831" s="131"/>
    </row>
    <row r="832" spans="1:6" x14ac:dyDescent="0.3">
      <c r="A832" s="131"/>
      <c r="B832" s="131"/>
      <c r="C832" s="131"/>
      <c r="D832" s="131"/>
      <c r="E832" s="131"/>
      <c r="F832" s="131"/>
    </row>
    <row r="833" spans="1:6" x14ac:dyDescent="0.3">
      <c r="A833" s="131"/>
      <c r="B833" s="131"/>
      <c r="C833" s="131"/>
      <c r="D833" s="131"/>
      <c r="E833" s="131"/>
      <c r="F833" s="131"/>
    </row>
    <row r="834" spans="1:6" x14ac:dyDescent="0.3">
      <c r="A834" s="131"/>
      <c r="B834" s="131"/>
      <c r="C834" s="131"/>
      <c r="D834" s="131"/>
      <c r="E834" s="131"/>
      <c r="F834" s="131"/>
    </row>
    <row r="835" spans="1:6" x14ac:dyDescent="0.3">
      <c r="A835" s="131"/>
      <c r="B835" s="131"/>
      <c r="C835" s="131"/>
      <c r="D835" s="131"/>
      <c r="E835" s="131"/>
      <c r="F835" s="131"/>
    </row>
    <row r="836" spans="1:6" x14ac:dyDescent="0.3">
      <c r="A836" s="131"/>
      <c r="B836" s="131"/>
      <c r="C836" s="131"/>
      <c r="D836" s="131"/>
      <c r="E836" s="131"/>
      <c r="F836" s="131"/>
    </row>
    <row r="837" spans="1:6" x14ac:dyDescent="0.3">
      <c r="A837" s="131"/>
      <c r="B837" s="131"/>
      <c r="C837" s="131"/>
      <c r="D837" s="131"/>
      <c r="E837" s="131"/>
      <c r="F837" s="131"/>
    </row>
    <row r="838" spans="1:6" x14ac:dyDescent="0.3">
      <c r="A838" s="131"/>
      <c r="B838" s="131"/>
      <c r="C838" s="131"/>
      <c r="D838" s="131"/>
      <c r="E838" s="131"/>
      <c r="F838" s="131"/>
    </row>
    <row r="839" spans="1:6" x14ac:dyDescent="0.3">
      <c r="A839" s="131"/>
      <c r="B839" s="131"/>
      <c r="C839" s="131"/>
      <c r="D839" s="131"/>
      <c r="E839" s="131"/>
      <c r="F839" s="131"/>
    </row>
    <row r="840" spans="1:6" x14ac:dyDescent="0.3">
      <c r="A840" s="131"/>
      <c r="B840" s="131"/>
      <c r="C840" s="131"/>
      <c r="D840" s="131"/>
      <c r="E840" s="131"/>
      <c r="F840" s="131"/>
    </row>
    <row r="841" spans="1:6" x14ac:dyDescent="0.3">
      <c r="A841" s="131"/>
      <c r="B841" s="131"/>
      <c r="C841" s="131"/>
      <c r="D841" s="131"/>
      <c r="E841" s="131"/>
      <c r="F841" s="131"/>
    </row>
    <row r="842" spans="1:6" x14ac:dyDescent="0.3">
      <c r="A842" s="131"/>
      <c r="B842" s="131"/>
      <c r="C842" s="131"/>
      <c r="D842" s="131"/>
      <c r="E842" s="131"/>
      <c r="F842" s="131"/>
    </row>
    <row r="843" spans="1:6" x14ac:dyDescent="0.3">
      <c r="A843" s="131"/>
      <c r="B843" s="131"/>
      <c r="C843" s="131"/>
      <c r="D843" s="131"/>
      <c r="E843" s="131"/>
      <c r="F843" s="131"/>
    </row>
    <row r="844" spans="1:6" x14ac:dyDescent="0.3">
      <c r="A844" s="131"/>
      <c r="B844" s="131"/>
      <c r="C844" s="131"/>
      <c r="D844" s="131"/>
      <c r="E844" s="131"/>
      <c r="F844" s="131"/>
    </row>
    <row r="845" spans="1:6" x14ac:dyDescent="0.3">
      <c r="A845" s="131"/>
      <c r="B845" s="131"/>
      <c r="C845" s="131"/>
      <c r="D845" s="131"/>
      <c r="E845" s="131"/>
      <c r="F845" s="131"/>
    </row>
    <row r="846" spans="1:6" x14ac:dyDescent="0.3">
      <c r="A846" s="131"/>
      <c r="B846" s="131"/>
      <c r="C846" s="131"/>
      <c r="D846" s="131"/>
      <c r="E846" s="131"/>
      <c r="F846" s="131"/>
    </row>
    <row r="847" spans="1:6" x14ac:dyDescent="0.3">
      <c r="A847" s="131"/>
      <c r="B847" s="131"/>
      <c r="C847" s="131"/>
      <c r="D847" s="131"/>
      <c r="E847" s="131"/>
      <c r="F847" s="131"/>
    </row>
    <row r="848" spans="1:6" x14ac:dyDescent="0.3">
      <c r="A848" s="131"/>
      <c r="B848" s="131"/>
      <c r="C848" s="131"/>
      <c r="D848" s="131"/>
      <c r="E848" s="131"/>
      <c r="F848" s="131"/>
    </row>
    <row r="849" spans="1:6" x14ac:dyDescent="0.3">
      <c r="A849" s="131"/>
      <c r="B849" s="131"/>
      <c r="C849" s="131"/>
      <c r="D849" s="131"/>
      <c r="E849" s="131"/>
      <c r="F849" s="131"/>
    </row>
    <row r="850" spans="1:6" x14ac:dyDescent="0.3">
      <c r="A850" s="131"/>
      <c r="B850" s="131"/>
      <c r="C850" s="131"/>
      <c r="D850" s="131"/>
      <c r="E850" s="131"/>
      <c r="F850" s="131"/>
    </row>
    <row r="851" spans="1:6" x14ac:dyDescent="0.3">
      <c r="A851" s="131"/>
      <c r="B851" s="131"/>
      <c r="C851" s="131"/>
      <c r="D851" s="131"/>
      <c r="E851" s="131"/>
      <c r="F851" s="131"/>
    </row>
    <row r="852" spans="1:6" x14ac:dyDescent="0.3">
      <c r="A852" s="131"/>
      <c r="B852" s="131"/>
      <c r="C852" s="131"/>
      <c r="D852" s="131"/>
      <c r="E852" s="131"/>
      <c r="F852" s="131"/>
    </row>
    <row r="853" spans="1:6" x14ac:dyDescent="0.3">
      <c r="A853" s="131"/>
      <c r="B853" s="131"/>
      <c r="C853" s="131"/>
      <c r="D853" s="131"/>
      <c r="E853" s="131"/>
      <c r="F853" s="131"/>
    </row>
    <row r="854" spans="1:6" x14ac:dyDescent="0.3">
      <c r="A854" s="131"/>
      <c r="B854" s="131"/>
      <c r="C854" s="131"/>
      <c r="D854" s="131"/>
      <c r="E854" s="131"/>
      <c r="F854" s="131"/>
    </row>
    <row r="855" spans="1:6" x14ac:dyDescent="0.3">
      <c r="A855" s="131"/>
      <c r="B855" s="131"/>
      <c r="C855" s="131"/>
      <c r="D855" s="131"/>
      <c r="E855" s="131"/>
      <c r="F855" s="131"/>
    </row>
    <row r="856" spans="1:6" x14ac:dyDescent="0.3">
      <c r="A856" s="131"/>
      <c r="B856" s="131"/>
      <c r="C856" s="131"/>
      <c r="D856" s="131"/>
      <c r="E856" s="131"/>
      <c r="F856" s="131"/>
    </row>
    <row r="857" spans="1:6" x14ac:dyDescent="0.3">
      <c r="A857" s="131"/>
      <c r="B857" s="131"/>
      <c r="C857" s="131"/>
      <c r="D857" s="131"/>
      <c r="E857" s="131"/>
      <c r="F857" s="131"/>
    </row>
    <row r="858" spans="1:6" x14ac:dyDescent="0.3">
      <c r="A858" s="131"/>
      <c r="B858" s="131"/>
      <c r="C858" s="131"/>
      <c r="D858" s="131"/>
      <c r="E858" s="131"/>
      <c r="F858" s="131"/>
    </row>
    <row r="859" spans="1:6" x14ac:dyDescent="0.3">
      <c r="A859" s="131"/>
      <c r="B859" s="131"/>
      <c r="C859" s="131"/>
      <c r="D859" s="131"/>
      <c r="E859" s="131"/>
      <c r="F859" s="131"/>
    </row>
    <row r="860" spans="1:6" x14ac:dyDescent="0.3">
      <c r="A860" s="131"/>
      <c r="B860" s="131"/>
      <c r="C860" s="131"/>
      <c r="D860" s="131"/>
      <c r="E860" s="131"/>
      <c r="F860" s="131"/>
    </row>
    <row r="861" spans="1:6" x14ac:dyDescent="0.3">
      <c r="A861" s="131"/>
      <c r="B861" s="131"/>
      <c r="C861" s="131"/>
      <c r="D861" s="131"/>
      <c r="E861" s="131"/>
      <c r="F861" s="131"/>
    </row>
    <row r="862" spans="1:6" x14ac:dyDescent="0.3">
      <c r="A862" s="131"/>
      <c r="B862" s="131"/>
      <c r="C862" s="131"/>
      <c r="D862" s="131"/>
      <c r="E862" s="131"/>
      <c r="F862" s="131"/>
    </row>
    <row r="863" spans="1:6" x14ac:dyDescent="0.3">
      <c r="A863" s="131"/>
      <c r="B863" s="131"/>
      <c r="C863" s="131"/>
      <c r="D863" s="131"/>
      <c r="E863" s="131"/>
      <c r="F863" s="131"/>
    </row>
    <row r="864" spans="1:6" x14ac:dyDescent="0.3">
      <c r="A864" s="131"/>
      <c r="B864" s="131"/>
      <c r="C864" s="131"/>
      <c r="D864" s="131"/>
      <c r="E864" s="131"/>
      <c r="F864" s="131"/>
    </row>
    <row r="865" spans="1:6" x14ac:dyDescent="0.3">
      <c r="A865" s="131"/>
      <c r="B865" s="131"/>
      <c r="C865" s="131"/>
      <c r="D865" s="131"/>
      <c r="E865" s="131"/>
      <c r="F865" s="131"/>
    </row>
    <row r="866" spans="1:6" x14ac:dyDescent="0.3">
      <c r="A866" s="131"/>
      <c r="B866" s="131"/>
      <c r="C866" s="131"/>
      <c r="D866" s="131"/>
      <c r="E866" s="131"/>
      <c r="F866" s="131"/>
    </row>
    <row r="867" spans="1:6" x14ac:dyDescent="0.3">
      <c r="A867" s="131"/>
      <c r="B867" s="131"/>
      <c r="C867" s="131"/>
      <c r="D867" s="131"/>
      <c r="E867" s="131"/>
      <c r="F867" s="131"/>
    </row>
    <row r="868" spans="1:6" x14ac:dyDescent="0.3">
      <c r="A868" s="131"/>
      <c r="B868" s="131"/>
      <c r="C868" s="131"/>
      <c r="D868" s="131"/>
      <c r="E868" s="131"/>
      <c r="F868" s="131"/>
    </row>
    <row r="869" spans="1:6" x14ac:dyDescent="0.3">
      <c r="A869" s="131"/>
      <c r="B869" s="131"/>
      <c r="C869" s="131"/>
      <c r="D869" s="131"/>
      <c r="E869" s="131"/>
      <c r="F869" s="131"/>
    </row>
    <row r="870" spans="1:6" x14ac:dyDescent="0.3">
      <c r="A870" s="131"/>
      <c r="B870" s="131"/>
      <c r="C870" s="131"/>
      <c r="D870" s="131"/>
      <c r="E870" s="131"/>
      <c r="F870" s="131"/>
    </row>
    <row r="871" spans="1:6" x14ac:dyDescent="0.3">
      <c r="A871" s="131"/>
      <c r="B871" s="131"/>
      <c r="C871" s="131"/>
      <c r="D871" s="131"/>
      <c r="E871" s="131"/>
      <c r="F871" s="131"/>
    </row>
    <row r="872" spans="1:6" x14ac:dyDescent="0.3">
      <c r="A872" s="131"/>
      <c r="B872" s="131"/>
      <c r="C872" s="131"/>
      <c r="D872" s="131"/>
      <c r="E872" s="131"/>
      <c r="F872" s="131"/>
    </row>
    <row r="873" spans="1:6" x14ac:dyDescent="0.3">
      <c r="A873" s="131"/>
      <c r="B873" s="131"/>
      <c r="C873" s="131"/>
      <c r="D873" s="131"/>
      <c r="E873" s="131"/>
      <c r="F873" s="131"/>
    </row>
    <row r="874" spans="1:6" x14ac:dyDescent="0.3">
      <c r="A874" s="131"/>
      <c r="B874" s="131"/>
      <c r="C874" s="131"/>
      <c r="D874" s="131"/>
      <c r="E874" s="131"/>
      <c r="F874" s="131"/>
    </row>
    <row r="875" spans="1:6" x14ac:dyDescent="0.3">
      <c r="A875" s="131"/>
      <c r="B875" s="131"/>
      <c r="C875" s="131"/>
      <c r="D875" s="131"/>
      <c r="E875" s="131"/>
      <c r="F875" s="131"/>
    </row>
    <row r="876" spans="1:6" x14ac:dyDescent="0.3">
      <c r="A876" s="131"/>
      <c r="B876" s="131"/>
      <c r="C876" s="131"/>
      <c r="D876" s="131"/>
      <c r="E876" s="131"/>
      <c r="F876" s="131"/>
    </row>
    <row r="877" spans="1:6" x14ac:dyDescent="0.3">
      <c r="A877" s="131"/>
      <c r="B877" s="131"/>
      <c r="C877" s="131"/>
      <c r="D877" s="131"/>
      <c r="E877" s="131"/>
      <c r="F877" s="131"/>
    </row>
    <row r="878" spans="1:6" x14ac:dyDescent="0.3">
      <c r="A878" s="131"/>
      <c r="B878" s="131"/>
      <c r="C878" s="131"/>
      <c r="D878" s="131"/>
      <c r="E878" s="131"/>
      <c r="F878" s="131"/>
    </row>
    <row r="879" spans="1:6" x14ac:dyDescent="0.3">
      <c r="A879" s="131"/>
      <c r="B879" s="131"/>
      <c r="C879" s="131"/>
      <c r="D879" s="131"/>
      <c r="E879" s="131"/>
      <c r="F879" s="131"/>
    </row>
    <row r="880" spans="1:6" x14ac:dyDescent="0.3">
      <c r="A880" s="131"/>
      <c r="B880" s="131"/>
      <c r="C880" s="131"/>
      <c r="D880" s="131"/>
      <c r="E880" s="131"/>
      <c r="F880" s="131"/>
    </row>
    <row r="881" spans="1:6" x14ac:dyDescent="0.3">
      <c r="A881" s="131"/>
      <c r="B881" s="131"/>
      <c r="C881" s="131"/>
      <c r="D881" s="131"/>
      <c r="E881" s="131"/>
      <c r="F881" s="131"/>
    </row>
    <row r="882" spans="1:6" x14ac:dyDescent="0.3">
      <c r="A882" s="131"/>
      <c r="B882" s="131"/>
      <c r="C882" s="131"/>
      <c r="D882" s="131"/>
      <c r="E882" s="131"/>
      <c r="F882" s="131"/>
    </row>
    <row r="883" spans="1:6" x14ac:dyDescent="0.3">
      <c r="A883" s="131"/>
      <c r="B883" s="131"/>
      <c r="C883" s="131"/>
      <c r="D883" s="131"/>
      <c r="E883" s="131"/>
      <c r="F883" s="131"/>
    </row>
    <row r="884" spans="1:6" x14ac:dyDescent="0.3">
      <c r="A884" s="131"/>
      <c r="B884" s="131"/>
      <c r="C884" s="131"/>
      <c r="D884" s="131"/>
      <c r="E884" s="131"/>
      <c r="F884" s="131"/>
    </row>
    <row r="885" spans="1:6" x14ac:dyDescent="0.3">
      <c r="A885" s="131"/>
      <c r="B885" s="131"/>
      <c r="C885" s="131"/>
      <c r="D885" s="131"/>
      <c r="E885" s="131"/>
      <c r="F885" s="131"/>
    </row>
    <row r="886" spans="1:6" x14ac:dyDescent="0.3">
      <c r="A886" s="131"/>
      <c r="B886" s="131"/>
      <c r="C886" s="131"/>
      <c r="D886" s="131"/>
      <c r="E886" s="131"/>
      <c r="F886" s="131"/>
    </row>
    <row r="887" spans="1:6" x14ac:dyDescent="0.3">
      <c r="A887" s="131"/>
      <c r="B887" s="131"/>
      <c r="C887" s="131"/>
      <c r="D887" s="131"/>
      <c r="E887" s="131"/>
      <c r="F887" s="131"/>
    </row>
    <row r="888" spans="1:6" x14ac:dyDescent="0.3">
      <c r="A888" s="131"/>
      <c r="B888" s="131"/>
      <c r="C888" s="131"/>
      <c r="D888" s="131"/>
      <c r="E888" s="131"/>
      <c r="F888" s="131"/>
    </row>
    <row r="889" spans="1:6" x14ac:dyDescent="0.3">
      <c r="A889" s="131"/>
      <c r="B889" s="131"/>
      <c r="C889" s="131"/>
      <c r="D889" s="131"/>
      <c r="E889" s="131"/>
      <c r="F889" s="131"/>
    </row>
    <row r="890" spans="1:6" x14ac:dyDescent="0.3">
      <c r="A890" s="131"/>
      <c r="B890" s="131"/>
      <c r="C890" s="131"/>
      <c r="D890" s="131"/>
      <c r="E890" s="131"/>
      <c r="F890" s="131"/>
    </row>
    <row r="891" spans="1:6" x14ac:dyDescent="0.3">
      <c r="A891" s="131"/>
      <c r="B891" s="131"/>
      <c r="C891" s="131"/>
      <c r="D891" s="131"/>
      <c r="E891" s="131"/>
      <c r="F891" s="131"/>
    </row>
    <row r="892" spans="1:6" x14ac:dyDescent="0.3">
      <c r="A892" s="131"/>
      <c r="B892" s="131"/>
      <c r="C892" s="131"/>
      <c r="D892" s="131"/>
      <c r="E892" s="131"/>
      <c r="F892" s="131"/>
    </row>
    <row r="893" spans="1:6" x14ac:dyDescent="0.3">
      <c r="A893" s="131"/>
      <c r="B893" s="131"/>
      <c r="C893" s="131"/>
      <c r="D893" s="131"/>
      <c r="E893" s="131"/>
      <c r="F893" s="131"/>
    </row>
    <row r="894" spans="1:6" x14ac:dyDescent="0.3">
      <c r="A894" s="131"/>
      <c r="B894" s="131"/>
      <c r="C894" s="131"/>
      <c r="D894" s="131"/>
      <c r="E894" s="131"/>
      <c r="F894" s="131"/>
    </row>
    <row r="895" spans="1:6" x14ac:dyDescent="0.3">
      <c r="A895" s="131"/>
      <c r="B895" s="131"/>
      <c r="C895" s="131"/>
      <c r="D895" s="131"/>
      <c r="E895" s="131"/>
      <c r="F895" s="131"/>
    </row>
    <row r="896" spans="1:6" x14ac:dyDescent="0.3">
      <c r="A896" s="131"/>
      <c r="B896" s="131"/>
      <c r="C896" s="131"/>
      <c r="D896" s="131"/>
      <c r="E896" s="131"/>
      <c r="F896" s="131"/>
    </row>
    <row r="897" spans="1:6" x14ac:dyDescent="0.3">
      <c r="A897" s="131"/>
      <c r="B897" s="131"/>
      <c r="C897" s="131"/>
      <c r="D897" s="131"/>
      <c r="E897" s="131"/>
      <c r="F897" s="131"/>
    </row>
    <row r="898" spans="1:6" x14ac:dyDescent="0.3">
      <c r="A898" s="131"/>
      <c r="B898" s="131"/>
      <c r="C898" s="131"/>
      <c r="D898" s="131"/>
      <c r="E898" s="131"/>
      <c r="F898" s="131"/>
    </row>
    <row r="899" spans="1:6" x14ac:dyDescent="0.3">
      <c r="A899" s="131"/>
      <c r="B899" s="131"/>
      <c r="C899" s="131"/>
      <c r="D899" s="131"/>
      <c r="E899" s="131"/>
      <c r="F899" s="131"/>
    </row>
    <row r="900" spans="1:6" x14ac:dyDescent="0.3">
      <c r="A900" s="131"/>
      <c r="B900" s="131"/>
      <c r="C900" s="131"/>
      <c r="D900" s="131"/>
      <c r="E900" s="131"/>
      <c r="F900" s="131"/>
    </row>
    <row r="901" spans="1:6" x14ac:dyDescent="0.3">
      <c r="A901" s="131"/>
      <c r="B901" s="131"/>
      <c r="C901" s="131"/>
      <c r="D901" s="131"/>
      <c r="E901" s="131"/>
      <c r="F901" s="131"/>
    </row>
    <row r="902" spans="1:6" x14ac:dyDescent="0.3">
      <c r="A902" s="131"/>
      <c r="B902" s="131"/>
      <c r="C902" s="131"/>
      <c r="D902" s="131"/>
      <c r="E902" s="131"/>
      <c r="F902" s="131"/>
    </row>
    <row r="903" spans="1:6" x14ac:dyDescent="0.3">
      <c r="A903" s="131"/>
      <c r="B903" s="131"/>
      <c r="C903" s="131"/>
      <c r="D903" s="131"/>
      <c r="E903" s="131"/>
      <c r="F903" s="131"/>
    </row>
    <row r="904" spans="1:6" x14ac:dyDescent="0.3">
      <c r="A904" s="131"/>
      <c r="B904" s="131"/>
      <c r="C904" s="131"/>
      <c r="D904" s="131"/>
      <c r="E904" s="131"/>
      <c r="F904" s="131"/>
    </row>
    <row r="905" spans="1:6" x14ac:dyDescent="0.3">
      <c r="A905" s="131"/>
      <c r="B905" s="131"/>
      <c r="C905" s="131"/>
      <c r="D905" s="131"/>
      <c r="E905" s="131"/>
      <c r="F905" s="131"/>
    </row>
    <row r="906" spans="1:6" x14ac:dyDescent="0.3">
      <c r="A906" s="131"/>
      <c r="B906" s="131"/>
      <c r="C906" s="131"/>
      <c r="D906" s="131"/>
      <c r="E906" s="131"/>
      <c r="F906" s="131"/>
    </row>
    <row r="907" spans="1:6" x14ac:dyDescent="0.3">
      <c r="A907" s="131"/>
      <c r="B907" s="131"/>
      <c r="C907" s="131"/>
      <c r="D907" s="131"/>
      <c r="E907" s="131"/>
      <c r="F907" s="131"/>
    </row>
    <row r="908" spans="1:6" x14ac:dyDescent="0.3">
      <c r="A908" s="131"/>
      <c r="B908" s="131"/>
      <c r="C908" s="131"/>
      <c r="D908" s="131"/>
      <c r="E908" s="131"/>
      <c r="F908" s="131"/>
    </row>
    <row r="909" spans="1:6" x14ac:dyDescent="0.3">
      <c r="A909" s="131"/>
      <c r="B909" s="131"/>
      <c r="C909" s="131"/>
      <c r="D909" s="131"/>
      <c r="E909" s="131"/>
      <c r="F909" s="131"/>
    </row>
    <row r="910" spans="1:6" x14ac:dyDescent="0.3">
      <c r="A910" s="131"/>
      <c r="B910" s="131"/>
      <c r="C910" s="131"/>
      <c r="D910" s="131"/>
      <c r="E910" s="131"/>
      <c r="F910" s="131"/>
    </row>
    <row r="911" spans="1:6" x14ac:dyDescent="0.3">
      <c r="A911" s="131"/>
      <c r="B911" s="131"/>
      <c r="C911" s="131"/>
      <c r="D911" s="131"/>
      <c r="E911" s="131"/>
      <c r="F911" s="131"/>
    </row>
    <row r="912" spans="1:6" x14ac:dyDescent="0.3">
      <c r="A912" s="131"/>
      <c r="B912" s="131"/>
      <c r="C912" s="131"/>
      <c r="D912" s="131"/>
      <c r="E912" s="131"/>
      <c r="F912" s="131"/>
    </row>
    <row r="913" spans="1:6" x14ac:dyDescent="0.3">
      <c r="A913" s="131"/>
      <c r="B913" s="131"/>
      <c r="C913" s="131"/>
      <c r="D913" s="131"/>
      <c r="E913" s="131"/>
      <c r="F913" s="131"/>
    </row>
    <row r="914" spans="1:6" x14ac:dyDescent="0.3">
      <c r="A914" s="131"/>
      <c r="B914" s="131"/>
      <c r="C914" s="131"/>
      <c r="D914" s="131"/>
      <c r="E914" s="131"/>
      <c r="F914" s="131"/>
    </row>
    <row r="915" spans="1:6" x14ac:dyDescent="0.3">
      <c r="A915" s="131"/>
      <c r="B915" s="131"/>
      <c r="C915" s="131"/>
      <c r="D915" s="131"/>
      <c r="E915" s="131"/>
      <c r="F915" s="131"/>
    </row>
    <row r="916" spans="1:6" x14ac:dyDescent="0.3">
      <c r="A916" s="131"/>
      <c r="B916" s="131"/>
      <c r="C916" s="131"/>
      <c r="D916" s="131"/>
      <c r="E916" s="131"/>
      <c r="F916" s="131"/>
    </row>
    <row r="917" spans="1:6" x14ac:dyDescent="0.3">
      <c r="A917" s="131"/>
      <c r="B917" s="131"/>
      <c r="C917" s="131"/>
      <c r="D917" s="131"/>
      <c r="E917" s="131"/>
      <c r="F917" s="131"/>
    </row>
    <row r="918" spans="1:6" x14ac:dyDescent="0.3">
      <c r="A918" s="131"/>
      <c r="B918" s="131"/>
      <c r="C918" s="131"/>
      <c r="D918" s="131"/>
      <c r="E918" s="131"/>
      <c r="F918" s="131"/>
    </row>
    <row r="919" spans="1:6" x14ac:dyDescent="0.3">
      <c r="A919" s="131"/>
      <c r="B919" s="131"/>
      <c r="C919" s="131"/>
      <c r="D919" s="131"/>
      <c r="E919" s="131"/>
      <c r="F919" s="131"/>
    </row>
    <row r="920" spans="1:6" x14ac:dyDescent="0.3">
      <c r="A920" s="131"/>
      <c r="B920" s="131"/>
      <c r="C920" s="131"/>
      <c r="D920" s="131"/>
      <c r="E920" s="131"/>
      <c r="F920" s="131"/>
    </row>
    <row r="921" spans="1:6" x14ac:dyDescent="0.3">
      <c r="A921" s="131"/>
      <c r="B921" s="131"/>
      <c r="C921" s="131"/>
      <c r="D921" s="131"/>
      <c r="E921" s="131"/>
      <c r="F921" s="131"/>
    </row>
    <row r="922" spans="1:6" x14ac:dyDescent="0.3">
      <c r="A922" s="131"/>
      <c r="B922" s="131"/>
      <c r="C922" s="131"/>
      <c r="D922" s="131"/>
      <c r="E922" s="131"/>
      <c r="F922" s="131"/>
    </row>
    <row r="923" spans="1:6" x14ac:dyDescent="0.3">
      <c r="A923" s="131"/>
      <c r="B923" s="131"/>
      <c r="C923" s="131"/>
      <c r="D923" s="131"/>
      <c r="E923" s="131"/>
      <c r="F923" s="131"/>
    </row>
    <row r="924" spans="1:6" x14ac:dyDescent="0.3">
      <c r="A924" s="131"/>
      <c r="B924" s="131"/>
      <c r="C924" s="131"/>
      <c r="D924" s="131"/>
      <c r="E924" s="131"/>
      <c r="F924" s="131"/>
    </row>
    <row r="925" spans="1:6" x14ac:dyDescent="0.3">
      <c r="A925" s="131"/>
      <c r="B925" s="131"/>
      <c r="C925" s="131"/>
      <c r="D925" s="131"/>
      <c r="E925" s="131"/>
      <c r="F925" s="131"/>
    </row>
    <row r="926" spans="1:6" x14ac:dyDescent="0.3">
      <c r="A926" s="131"/>
      <c r="B926" s="131"/>
      <c r="C926" s="131"/>
      <c r="D926" s="131"/>
      <c r="E926" s="131"/>
      <c r="F926" s="131"/>
    </row>
    <row r="927" spans="1:6" x14ac:dyDescent="0.3">
      <c r="A927" s="131"/>
      <c r="B927" s="131"/>
      <c r="C927" s="131"/>
      <c r="D927" s="131"/>
      <c r="E927" s="131"/>
      <c r="F927" s="131"/>
    </row>
    <row r="928" spans="1:6" x14ac:dyDescent="0.3">
      <c r="A928" s="131"/>
      <c r="B928" s="131"/>
      <c r="C928" s="131"/>
      <c r="D928" s="131"/>
      <c r="E928" s="131"/>
      <c r="F928" s="131"/>
    </row>
    <row r="929" spans="1:6" x14ac:dyDescent="0.3">
      <c r="A929" s="131"/>
      <c r="B929" s="131"/>
      <c r="C929" s="131"/>
      <c r="D929" s="131"/>
      <c r="E929" s="131"/>
      <c r="F929" s="131"/>
    </row>
    <row r="930" spans="1:6" x14ac:dyDescent="0.3">
      <c r="A930" s="131"/>
      <c r="B930" s="131"/>
      <c r="C930" s="131"/>
      <c r="D930" s="131"/>
      <c r="E930" s="131"/>
      <c r="F930" s="131"/>
    </row>
    <row r="931" spans="1:6" x14ac:dyDescent="0.3">
      <c r="A931" s="131"/>
      <c r="B931" s="131"/>
      <c r="C931" s="131"/>
      <c r="D931" s="131"/>
      <c r="E931" s="131"/>
      <c r="F931" s="131"/>
    </row>
    <row r="932" spans="1:6" x14ac:dyDescent="0.3">
      <c r="A932" s="131"/>
      <c r="B932" s="131"/>
      <c r="C932" s="131"/>
      <c r="D932" s="131"/>
      <c r="E932" s="131"/>
      <c r="F932" s="131"/>
    </row>
    <row r="933" spans="1:6" x14ac:dyDescent="0.3">
      <c r="A933" s="131"/>
      <c r="B933" s="131"/>
      <c r="C933" s="131"/>
      <c r="D933" s="131"/>
      <c r="E933" s="131"/>
      <c r="F933" s="131"/>
    </row>
    <row r="934" spans="1:6" x14ac:dyDescent="0.3">
      <c r="A934" s="131"/>
      <c r="B934" s="131"/>
      <c r="C934" s="131"/>
      <c r="D934" s="131"/>
      <c r="E934" s="131"/>
      <c r="F934" s="131"/>
    </row>
    <row r="935" spans="1:6" x14ac:dyDescent="0.3">
      <c r="A935" s="131"/>
      <c r="B935" s="131"/>
      <c r="C935" s="131"/>
      <c r="D935" s="131"/>
      <c r="E935" s="131"/>
      <c r="F935" s="131"/>
    </row>
    <row r="936" spans="1:6" x14ac:dyDescent="0.3">
      <c r="A936" s="131"/>
      <c r="B936" s="131"/>
      <c r="C936" s="131"/>
      <c r="D936" s="131"/>
      <c r="E936" s="131"/>
      <c r="F936" s="131"/>
    </row>
    <row r="937" spans="1:6" x14ac:dyDescent="0.3">
      <c r="A937" s="131"/>
      <c r="B937" s="131"/>
      <c r="C937" s="131"/>
      <c r="D937" s="131"/>
      <c r="E937" s="131"/>
      <c r="F937" s="131"/>
    </row>
    <row r="938" spans="1:6" x14ac:dyDescent="0.3">
      <c r="A938" s="131"/>
      <c r="B938" s="131"/>
      <c r="C938" s="131"/>
      <c r="D938" s="131"/>
      <c r="E938" s="131"/>
      <c r="F938" s="131"/>
    </row>
    <row r="939" spans="1:6" x14ac:dyDescent="0.3">
      <c r="A939" s="131"/>
      <c r="B939" s="131"/>
      <c r="C939" s="131"/>
      <c r="D939" s="131"/>
      <c r="E939" s="131"/>
      <c r="F939" s="131"/>
    </row>
    <row r="940" spans="1:6" x14ac:dyDescent="0.3">
      <c r="A940" s="131"/>
      <c r="B940" s="131"/>
      <c r="C940" s="131"/>
      <c r="D940" s="131"/>
      <c r="E940" s="131"/>
      <c r="F940" s="131"/>
    </row>
    <row r="941" spans="1:6" x14ac:dyDescent="0.3">
      <c r="A941" s="131"/>
      <c r="B941" s="131"/>
      <c r="C941" s="131"/>
      <c r="D941" s="131"/>
      <c r="E941" s="131"/>
      <c r="F941" s="131"/>
    </row>
    <row r="942" spans="1:6" x14ac:dyDescent="0.3">
      <c r="A942" s="131"/>
      <c r="B942" s="131"/>
      <c r="C942" s="131"/>
      <c r="D942" s="131"/>
      <c r="E942" s="131"/>
      <c r="F942" s="131"/>
    </row>
    <row r="943" spans="1:6" x14ac:dyDescent="0.3">
      <c r="A943" s="131"/>
      <c r="B943" s="131"/>
      <c r="C943" s="131"/>
      <c r="D943" s="131"/>
      <c r="E943" s="131"/>
      <c r="F943" s="131"/>
    </row>
    <row r="944" spans="1:6" x14ac:dyDescent="0.3">
      <c r="A944" s="131"/>
      <c r="B944" s="131"/>
      <c r="C944" s="131"/>
      <c r="D944" s="131"/>
      <c r="E944" s="131"/>
      <c r="F944" s="131"/>
    </row>
    <row r="945" spans="1:6" x14ac:dyDescent="0.3">
      <c r="A945" s="131"/>
      <c r="B945" s="131"/>
      <c r="C945" s="131"/>
      <c r="D945" s="131"/>
      <c r="E945" s="131"/>
      <c r="F945" s="131"/>
    </row>
    <row r="946" spans="1:6" x14ac:dyDescent="0.3">
      <c r="A946" s="131"/>
      <c r="B946" s="131"/>
      <c r="C946" s="131"/>
      <c r="D946" s="131"/>
      <c r="E946" s="131"/>
      <c r="F946" s="131"/>
    </row>
    <row r="947" spans="1:6" x14ac:dyDescent="0.3">
      <c r="A947" s="131"/>
      <c r="B947" s="131"/>
      <c r="C947" s="131"/>
      <c r="D947" s="131"/>
      <c r="E947" s="131"/>
      <c r="F947" s="131"/>
    </row>
    <row r="948" spans="1:6" x14ac:dyDescent="0.3">
      <c r="A948" s="131"/>
      <c r="B948" s="131"/>
      <c r="C948" s="131"/>
      <c r="D948" s="131"/>
      <c r="E948" s="131"/>
      <c r="F948" s="131"/>
    </row>
    <row r="949" spans="1:6" x14ac:dyDescent="0.3">
      <c r="A949" s="131"/>
      <c r="B949" s="131"/>
      <c r="C949" s="131"/>
      <c r="D949" s="131"/>
      <c r="E949" s="131"/>
      <c r="F949" s="131"/>
    </row>
    <row r="950" spans="1:6" x14ac:dyDescent="0.3">
      <c r="A950" s="131"/>
      <c r="B950" s="131"/>
      <c r="C950" s="131"/>
      <c r="D950" s="131"/>
      <c r="E950" s="131"/>
      <c r="F950" s="131"/>
    </row>
    <row r="951" spans="1:6" x14ac:dyDescent="0.3">
      <c r="A951" s="131"/>
      <c r="B951" s="131"/>
      <c r="C951" s="131"/>
      <c r="D951" s="131"/>
      <c r="E951" s="131"/>
      <c r="F951" s="131"/>
    </row>
    <row r="952" spans="1:6" x14ac:dyDescent="0.3">
      <c r="A952" s="131"/>
      <c r="B952" s="131"/>
      <c r="C952" s="131"/>
      <c r="D952" s="131"/>
      <c r="E952" s="131"/>
      <c r="F952" s="131"/>
    </row>
    <row r="953" spans="1:6" x14ac:dyDescent="0.3">
      <c r="A953" s="131"/>
      <c r="B953" s="131"/>
      <c r="C953" s="131"/>
      <c r="D953" s="131"/>
      <c r="E953" s="131"/>
      <c r="F953" s="131"/>
    </row>
    <row r="954" spans="1:6" x14ac:dyDescent="0.3">
      <c r="A954" s="131"/>
      <c r="B954" s="131"/>
      <c r="C954" s="131"/>
      <c r="D954" s="131"/>
      <c r="E954" s="131"/>
      <c r="F954" s="131"/>
    </row>
    <row r="955" spans="1:6" x14ac:dyDescent="0.3">
      <c r="A955" s="131"/>
      <c r="B955" s="131"/>
      <c r="C955" s="131"/>
      <c r="D955" s="131"/>
      <c r="E955" s="131"/>
      <c r="F955" s="131"/>
    </row>
    <row r="956" spans="1:6" x14ac:dyDescent="0.3">
      <c r="A956" s="131"/>
      <c r="B956" s="131"/>
      <c r="C956" s="131"/>
      <c r="D956" s="131"/>
      <c r="E956" s="131"/>
      <c r="F956" s="131"/>
    </row>
    <row r="957" spans="1:6" x14ac:dyDescent="0.3">
      <c r="A957" s="131"/>
      <c r="B957" s="131"/>
      <c r="C957" s="131"/>
      <c r="D957" s="131"/>
      <c r="E957" s="131"/>
      <c r="F957" s="131"/>
    </row>
    <row r="958" spans="1:6" x14ac:dyDescent="0.3">
      <c r="A958" s="131"/>
      <c r="B958" s="131"/>
      <c r="C958" s="131"/>
      <c r="D958" s="131"/>
      <c r="E958" s="131"/>
      <c r="F958" s="131"/>
    </row>
    <row r="959" spans="1:6" x14ac:dyDescent="0.3">
      <c r="A959" s="131"/>
      <c r="B959" s="131"/>
      <c r="C959" s="131"/>
      <c r="D959" s="131"/>
      <c r="E959" s="131"/>
      <c r="F959" s="131"/>
    </row>
    <row r="960" spans="1:6" x14ac:dyDescent="0.3">
      <c r="A960" s="131"/>
      <c r="B960" s="131"/>
      <c r="C960" s="131"/>
      <c r="D960" s="131"/>
      <c r="E960" s="131"/>
      <c r="F960" s="131"/>
    </row>
    <row r="961" spans="1:6" x14ac:dyDescent="0.3">
      <c r="A961" s="131"/>
      <c r="B961" s="131"/>
      <c r="C961" s="131"/>
      <c r="D961" s="131"/>
      <c r="E961" s="131"/>
      <c r="F961" s="131"/>
    </row>
    <row r="962" spans="1:6" x14ac:dyDescent="0.3">
      <c r="A962" s="131"/>
      <c r="B962" s="131"/>
      <c r="C962" s="131"/>
      <c r="D962" s="131"/>
      <c r="E962" s="131"/>
      <c r="F962" s="131"/>
    </row>
    <row r="963" spans="1:6" x14ac:dyDescent="0.3">
      <c r="A963" s="131"/>
      <c r="B963" s="131"/>
      <c r="C963" s="131"/>
      <c r="D963" s="131"/>
      <c r="E963" s="131"/>
      <c r="F963" s="131"/>
    </row>
    <row r="964" spans="1:6" x14ac:dyDescent="0.3">
      <c r="A964" s="131"/>
      <c r="B964" s="131"/>
      <c r="C964" s="131"/>
      <c r="D964" s="131"/>
      <c r="E964" s="131"/>
      <c r="F964" s="131"/>
    </row>
    <row r="965" spans="1:6" x14ac:dyDescent="0.3">
      <c r="A965" s="131"/>
      <c r="B965" s="131"/>
      <c r="C965" s="131"/>
      <c r="D965" s="131"/>
      <c r="E965" s="131"/>
      <c r="F965" s="131"/>
    </row>
    <row r="966" spans="1:6" x14ac:dyDescent="0.3">
      <c r="A966" s="131"/>
      <c r="B966" s="131"/>
      <c r="C966" s="131"/>
      <c r="D966" s="131"/>
      <c r="E966" s="131"/>
      <c r="F966" s="131"/>
    </row>
    <row r="967" spans="1:6" x14ac:dyDescent="0.3">
      <c r="A967" s="131"/>
      <c r="B967" s="131"/>
      <c r="C967" s="131"/>
      <c r="D967" s="131"/>
      <c r="E967" s="131"/>
      <c r="F967" s="131"/>
    </row>
    <row r="968" spans="1:6" x14ac:dyDescent="0.3">
      <c r="A968" s="131"/>
      <c r="B968" s="131"/>
      <c r="C968" s="131"/>
      <c r="D968" s="131"/>
      <c r="E968" s="131"/>
      <c r="F968" s="131"/>
    </row>
    <row r="969" spans="1:6" x14ac:dyDescent="0.3">
      <c r="A969" s="131"/>
      <c r="B969" s="131"/>
      <c r="C969" s="131"/>
      <c r="D969" s="131"/>
      <c r="E969" s="131"/>
      <c r="F969" s="131"/>
    </row>
    <row r="970" spans="1:6" x14ac:dyDescent="0.3">
      <c r="A970" s="131"/>
      <c r="B970" s="131"/>
      <c r="C970" s="131"/>
      <c r="D970" s="131"/>
      <c r="E970" s="131"/>
      <c r="F970" s="131"/>
    </row>
    <row r="971" spans="1:6" x14ac:dyDescent="0.3">
      <c r="A971" s="131"/>
      <c r="B971" s="131"/>
      <c r="C971" s="131"/>
      <c r="D971" s="131"/>
      <c r="E971" s="131"/>
      <c r="F971" s="131"/>
    </row>
    <row r="972" spans="1:6" x14ac:dyDescent="0.3">
      <c r="A972" s="131"/>
      <c r="B972" s="131"/>
      <c r="C972" s="131"/>
      <c r="D972" s="131"/>
      <c r="E972" s="131"/>
      <c r="F972" s="131"/>
    </row>
    <row r="973" spans="1:6" x14ac:dyDescent="0.3">
      <c r="A973" s="131"/>
      <c r="B973" s="131"/>
      <c r="C973" s="131"/>
      <c r="D973" s="131"/>
      <c r="E973" s="131"/>
      <c r="F973" s="131"/>
    </row>
    <row r="974" spans="1:6" x14ac:dyDescent="0.3">
      <c r="A974" s="131"/>
      <c r="B974" s="131"/>
      <c r="C974" s="131"/>
      <c r="D974" s="131"/>
      <c r="E974" s="131"/>
      <c r="F974" s="131"/>
    </row>
    <row r="975" spans="1:6" x14ac:dyDescent="0.3">
      <c r="A975" s="131"/>
      <c r="B975" s="131"/>
      <c r="C975" s="131"/>
      <c r="D975" s="131"/>
      <c r="E975" s="131"/>
      <c r="F975" s="131"/>
    </row>
    <row r="976" spans="1:6" x14ac:dyDescent="0.3">
      <c r="A976" s="131"/>
      <c r="B976" s="131"/>
      <c r="C976" s="131"/>
      <c r="D976" s="131"/>
      <c r="E976" s="131"/>
      <c r="F976" s="131"/>
    </row>
    <row r="977" spans="1:6" x14ac:dyDescent="0.3">
      <c r="A977" s="131"/>
      <c r="B977" s="131"/>
      <c r="C977" s="131"/>
      <c r="D977" s="131"/>
      <c r="E977" s="131"/>
      <c r="F977" s="131"/>
    </row>
    <row r="978" spans="1:6" x14ac:dyDescent="0.3">
      <c r="A978" s="131"/>
      <c r="B978" s="131"/>
      <c r="C978" s="131"/>
      <c r="D978" s="131"/>
      <c r="E978" s="131"/>
      <c r="F978" s="131"/>
    </row>
    <row r="979" spans="1:6" x14ac:dyDescent="0.3">
      <c r="A979" s="131"/>
      <c r="B979" s="131"/>
      <c r="C979" s="131"/>
      <c r="D979" s="131"/>
      <c r="E979" s="131"/>
      <c r="F979" s="131"/>
    </row>
    <row r="980" spans="1:6" x14ac:dyDescent="0.3">
      <c r="A980" s="131"/>
      <c r="B980" s="131"/>
      <c r="C980" s="131"/>
      <c r="D980" s="131"/>
      <c r="E980" s="131"/>
      <c r="F980" s="131"/>
    </row>
    <row r="981" spans="1:6" x14ac:dyDescent="0.3">
      <c r="A981" s="131"/>
      <c r="B981" s="131"/>
      <c r="C981" s="131"/>
      <c r="D981" s="131"/>
      <c r="E981" s="131"/>
      <c r="F981" s="131"/>
    </row>
    <row r="982" spans="1:6" x14ac:dyDescent="0.3">
      <c r="A982" s="131"/>
      <c r="B982" s="131"/>
      <c r="C982" s="131"/>
      <c r="D982" s="131"/>
      <c r="E982" s="131"/>
      <c r="F982" s="131"/>
    </row>
    <row r="983" spans="1:6" x14ac:dyDescent="0.3">
      <c r="A983" s="131"/>
      <c r="B983" s="131"/>
      <c r="C983" s="131"/>
      <c r="D983" s="131"/>
      <c r="E983" s="131"/>
      <c r="F983" s="131"/>
    </row>
    <row r="984" spans="1:6" x14ac:dyDescent="0.3">
      <c r="A984" s="131"/>
      <c r="B984" s="131"/>
      <c r="C984" s="131"/>
      <c r="D984" s="131"/>
      <c r="E984" s="131"/>
      <c r="F984" s="131"/>
    </row>
    <row r="985" spans="1:6" x14ac:dyDescent="0.3">
      <c r="A985" s="131"/>
      <c r="B985" s="131"/>
      <c r="C985" s="131"/>
      <c r="D985" s="131"/>
      <c r="E985" s="131"/>
      <c r="F985" s="131"/>
    </row>
    <row r="986" spans="1:6" x14ac:dyDescent="0.3">
      <c r="A986" s="131"/>
      <c r="B986" s="131"/>
      <c r="C986" s="131"/>
      <c r="D986" s="131"/>
      <c r="E986" s="131"/>
      <c r="F986" s="131"/>
    </row>
    <row r="987" spans="1:6" x14ac:dyDescent="0.3">
      <c r="A987" s="131"/>
      <c r="B987" s="131"/>
      <c r="C987" s="131"/>
      <c r="D987" s="131"/>
      <c r="E987" s="131"/>
      <c r="F987" s="131"/>
    </row>
    <row r="988" spans="1:6" x14ac:dyDescent="0.3">
      <c r="A988" s="131"/>
      <c r="B988" s="131"/>
      <c r="C988" s="131"/>
      <c r="D988" s="131"/>
      <c r="E988" s="131"/>
      <c r="F988" s="131"/>
    </row>
    <row r="989" spans="1:6" x14ac:dyDescent="0.3">
      <c r="A989" s="131"/>
      <c r="B989" s="131"/>
      <c r="C989" s="131"/>
      <c r="D989" s="131"/>
      <c r="E989" s="131"/>
      <c r="F989" s="131"/>
    </row>
    <row r="990" spans="1:6" x14ac:dyDescent="0.3">
      <c r="A990" s="131"/>
      <c r="B990" s="131"/>
      <c r="C990" s="131"/>
      <c r="D990" s="131"/>
      <c r="E990" s="131"/>
      <c r="F990" s="131"/>
    </row>
    <row r="991" spans="1:6" x14ac:dyDescent="0.3">
      <c r="A991" s="131"/>
      <c r="B991" s="131"/>
      <c r="C991" s="131"/>
      <c r="D991" s="131"/>
      <c r="E991" s="131"/>
      <c r="F991" s="131"/>
    </row>
    <row r="992" spans="1:6" x14ac:dyDescent="0.3">
      <c r="A992" s="131"/>
      <c r="B992" s="131"/>
      <c r="C992" s="131"/>
      <c r="D992" s="131"/>
      <c r="E992" s="131"/>
      <c r="F992" s="131"/>
    </row>
    <row r="993" spans="1:6" x14ac:dyDescent="0.3">
      <c r="A993" s="131"/>
      <c r="B993" s="131"/>
      <c r="C993" s="131"/>
      <c r="D993" s="131"/>
      <c r="E993" s="131"/>
      <c r="F993" s="131"/>
    </row>
    <row r="994" spans="1:6" x14ac:dyDescent="0.3">
      <c r="A994" s="131"/>
      <c r="B994" s="131"/>
      <c r="C994" s="131"/>
      <c r="D994" s="131"/>
      <c r="E994" s="131"/>
      <c r="F994" s="131"/>
    </row>
    <row r="995" spans="1:6" x14ac:dyDescent="0.3">
      <c r="A995" s="131"/>
      <c r="B995" s="131"/>
      <c r="C995" s="131"/>
      <c r="D995" s="131"/>
      <c r="E995" s="131"/>
      <c r="F995" s="131"/>
    </row>
    <row r="996" spans="1:6" x14ac:dyDescent="0.3">
      <c r="A996" s="131"/>
      <c r="B996" s="131"/>
      <c r="C996" s="131"/>
      <c r="D996" s="131"/>
      <c r="E996" s="131"/>
      <c r="F996" s="131"/>
    </row>
    <row r="997" spans="1:6" x14ac:dyDescent="0.3">
      <c r="A997" s="131"/>
      <c r="B997" s="131"/>
      <c r="C997" s="131"/>
      <c r="D997" s="131"/>
      <c r="E997" s="131"/>
      <c r="F997" s="131"/>
    </row>
    <row r="998" spans="1:6" x14ac:dyDescent="0.3">
      <c r="A998" s="131"/>
      <c r="B998" s="131"/>
      <c r="C998" s="131"/>
      <c r="D998" s="131"/>
      <c r="E998" s="131"/>
      <c r="F998" s="131"/>
    </row>
    <row r="999" spans="1:6" x14ac:dyDescent="0.3">
      <c r="A999" s="131"/>
      <c r="B999" s="131"/>
      <c r="C999" s="131"/>
      <c r="D999" s="131"/>
      <c r="E999" s="131"/>
      <c r="F999" s="131"/>
    </row>
    <row r="1000" spans="1:6" x14ac:dyDescent="0.3">
      <c r="A1000" s="131"/>
      <c r="B1000" s="131"/>
      <c r="C1000" s="131"/>
      <c r="D1000" s="131"/>
      <c r="E1000" s="131"/>
      <c r="F1000" s="131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2E62EE-68B1-4FF9-938C-16CDAAB2BB15}">
  <sheetPr codeName="Sheet15"/>
  <dimension ref="A5:F1000"/>
  <sheetViews>
    <sheetView workbookViewId="0">
      <selection activeCell="D5" sqref="D5:D8"/>
    </sheetView>
  </sheetViews>
  <sheetFormatPr defaultRowHeight="14.4" x14ac:dyDescent="0.3"/>
  <cols>
    <col min="1" max="1" width="7.33203125" customWidth="1"/>
    <col min="2" max="2" width="6" bestFit="1" customWidth="1"/>
    <col min="3" max="3" width="4" bestFit="1" customWidth="1"/>
    <col min="4" max="4" width="13.109375" bestFit="1" customWidth="1"/>
    <col min="5" max="5" width="12.109375" bestFit="1" customWidth="1"/>
    <col min="6" max="6" width="11" bestFit="1" customWidth="1"/>
  </cols>
  <sheetData>
    <row r="5" spans="1:6" x14ac:dyDescent="0.3">
      <c r="A5" s="131" t="s">
        <v>1155</v>
      </c>
      <c r="B5" s="131" t="s">
        <v>1156</v>
      </c>
      <c r="C5" s="131" t="s">
        <v>1162</v>
      </c>
      <c r="D5" s="131" t="s">
        <v>1163</v>
      </c>
      <c r="E5" s="131">
        <v>504.44</v>
      </c>
      <c r="F5" s="131"/>
    </row>
    <row r="6" spans="1:6" x14ac:dyDescent="0.3">
      <c r="A6" s="131" t="s">
        <v>1155</v>
      </c>
      <c r="B6" s="131" t="s">
        <v>1156</v>
      </c>
      <c r="C6" s="131" t="s">
        <v>874</v>
      </c>
      <c r="D6" s="131" t="s">
        <v>1163</v>
      </c>
      <c r="E6" s="131">
        <v>504.44</v>
      </c>
      <c r="F6" s="131"/>
    </row>
    <row r="7" spans="1:6" x14ac:dyDescent="0.3">
      <c r="A7" s="131" t="s">
        <v>1155</v>
      </c>
      <c r="B7" s="131" t="s">
        <v>1170</v>
      </c>
      <c r="C7" s="131" t="s">
        <v>1162</v>
      </c>
      <c r="D7" s="131" t="s">
        <v>1173</v>
      </c>
      <c r="E7" s="131">
        <v>504.4</v>
      </c>
      <c r="F7" s="131"/>
    </row>
    <row r="8" spans="1:6" x14ac:dyDescent="0.3">
      <c r="A8" s="131" t="s">
        <v>1155</v>
      </c>
      <c r="B8" s="131" t="s">
        <v>1170</v>
      </c>
      <c r="C8" s="131" t="s">
        <v>874</v>
      </c>
      <c r="D8" s="131" t="s">
        <v>1173</v>
      </c>
      <c r="E8" s="131">
        <v>504.4</v>
      </c>
      <c r="F8" s="131"/>
    </row>
    <row r="9" spans="1:6" x14ac:dyDescent="0.3">
      <c r="A9" s="131"/>
      <c r="B9" s="131"/>
      <c r="C9" s="131"/>
      <c r="D9" s="131"/>
      <c r="E9" s="131"/>
      <c r="F9" s="131"/>
    </row>
    <row r="10" spans="1:6" x14ac:dyDescent="0.3">
      <c r="A10" s="131"/>
      <c r="B10" s="131"/>
      <c r="C10" s="131"/>
      <c r="D10" s="131"/>
      <c r="E10" s="131"/>
      <c r="F10" s="131"/>
    </row>
    <row r="11" spans="1:6" x14ac:dyDescent="0.3">
      <c r="A11" s="131"/>
      <c r="B11" s="131"/>
      <c r="C11" s="131"/>
      <c r="D11" s="131"/>
      <c r="E11" s="131"/>
      <c r="F11" s="131"/>
    </row>
    <row r="12" spans="1:6" x14ac:dyDescent="0.3">
      <c r="A12" s="131"/>
      <c r="B12" s="131"/>
      <c r="C12" s="131"/>
      <c r="D12" s="131"/>
      <c r="E12" s="131"/>
      <c r="F12" s="131"/>
    </row>
    <row r="13" spans="1:6" x14ac:dyDescent="0.3">
      <c r="A13" s="131"/>
      <c r="B13" s="131"/>
      <c r="C13" s="131"/>
      <c r="D13" s="131"/>
      <c r="E13" s="131"/>
      <c r="F13" s="131"/>
    </row>
    <row r="14" spans="1:6" x14ac:dyDescent="0.3">
      <c r="A14" s="131"/>
      <c r="B14" s="131"/>
      <c r="C14" s="131"/>
      <c r="D14" s="131"/>
      <c r="E14" s="131"/>
      <c r="F14" s="131"/>
    </row>
    <row r="15" spans="1:6" x14ac:dyDescent="0.3">
      <c r="A15" s="131"/>
      <c r="B15" s="131"/>
      <c r="C15" s="131"/>
      <c r="D15" s="131"/>
      <c r="E15" s="131"/>
      <c r="F15" s="131"/>
    </row>
    <row r="16" spans="1:6" x14ac:dyDescent="0.3">
      <c r="A16" s="131"/>
      <c r="B16" s="131"/>
      <c r="C16" s="131"/>
      <c r="D16" s="131"/>
      <c r="E16" s="131"/>
      <c r="F16" s="131"/>
    </row>
    <row r="17" spans="1:6" x14ac:dyDescent="0.3">
      <c r="A17" s="131"/>
      <c r="B17" s="131"/>
      <c r="C17" s="131"/>
      <c r="D17" s="131"/>
      <c r="E17" s="131"/>
      <c r="F17" s="131"/>
    </row>
    <row r="18" spans="1:6" x14ac:dyDescent="0.3">
      <c r="A18" s="131"/>
      <c r="B18" s="131"/>
      <c r="C18" s="131"/>
      <c r="D18" s="131"/>
      <c r="E18" s="131"/>
      <c r="F18" s="131"/>
    </row>
    <row r="19" spans="1:6" x14ac:dyDescent="0.3">
      <c r="A19" s="131"/>
      <c r="B19" s="131"/>
      <c r="C19" s="131"/>
      <c r="D19" s="131"/>
      <c r="E19" s="131"/>
      <c r="F19" s="131"/>
    </row>
    <row r="20" spans="1:6" x14ac:dyDescent="0.3">
      <c r="A20" s="131"/>
      <c r="B20" s="131"/>
      <c r="C20" s="131"/>
      <c r="D20" s="131"/>
      <c r="E20" s="131"/>
      <c r="F20" s="131"/>
    </row>
    <row r="21" spans="1:6" x14ac:dyDescent="0.3">
      <c r="A21" s="131"/>
      <c r="B21" s="131"/>
      <c r="C21" s="131"/>
      <c r="D21" s="131"/>
      <c r="E21" s="131"/>
      <c r="F21" s="131"/>
    </row>
    <row r="22" spans="1:6" x14ac:dyDescent="0.3">
      <c r="A22" s="131"/>
      <c r="B22" s="131"/>
      <c r="C22" s="131"/>
      <c r="D22" s="131"/>
      <c r="E22" s="131"/>
      <c r="F22" s="131"/>
    </row>
    <row r="23" spans="1:6" x14ac:dyDescent="0.3">
      <c r="A23" s="131"/>
      <c r="B23" s="131"/>
      <c r="C23" s="131"/>
      <c r="D23" s="131"/>
      <c r="E23" s="131"/>
      <c r="F23" s="131"/>
    </row>
    <row r="24" spans="1:6" x14ac:dyDescent="0.3">
      <c r="A24" s="131"/>
      <c r="B24" s="131"/>
      <c r="C24" s="131"/>
      <c r="D24" s="131"/>
      <c r="E24" s="131"/>
      <c r="F24" s="131"/>
    </row>
    <row r="25" spans="1:6" x14ac:dyDescent="0.3">
      <c r="A25" s="131"/>
      <c r="B25" s="131"/>
      <c r="C25" s="131"/>
      <c r="D25" s="131"/>
      <c r="E25" s="131"/>
      <c r="F25" s="131"/>
    </row>
    <row r="26" spans="1:6" x14ac:dyDescent="0.3">
      <c r="A26" s="131"/>
      <c r="B26" s="131"/>
      <c r="C26" s="131"/>
      <c r="D26" s="131"/>
      <c r="E26" s="131"/>
      <c r="F26" s="131"/>
    </row>
    <row r="27" spans="1:6" x14ac:dyDescent="0.3">
      <c r="A27" s="131"/>
      <c r="B27" s="131"/>
      <c r="C27" s="131"/>
      <c r="D27" s="131"/>
      <c r="E27" s="131"/>
      <c r="F27" s="131"/>
    </row>
    <row r="28" spans="1:6" x14ac:dyDescent="0.3">
      <c r="A28" s="131"/>
      <c r="B28" s="131"/>
      <c r="C28" s="131"/>
      <c r="D28" s="131"/>
      <c r="E28" s="131"/>
      <c r="F28" s="131"/>
    </row>
    <row r="29" spans="1:6" x14ac:dyDescent="0.3">
      <c r="A29" s="131"/>
      <c r="B29" s="131"/>
      <c r="C29" s="131"/>
      <c r="D29" s="131"/>
      <c r="E29" s="131"/>
      <c r="F29" s="131"/>
    </row>
    <row r="30" spans="1:6" x14ac:dyDescent="0.3">
      <c r="A30" s="131"/>
      <c r="B30" s="131"/>
      <c r="C30" s="131"/>
      <c r="D30" s="131"/>
      <c r="E30" s="131"/>
      <c r="F30" s="131"/>
    </row>
    <row r="31" spans="1:6" x14ac:dyDescent="0.3">
      <c r="A31" s="131"/>
      <c r="B31" s="131"/>
      <c r="C31" s="131"/>
      <c r="D31" s="131"/>
      <c r="E31" s="131"/>
      <c r="F31" s="131"/>
    </row>
    <row r="32" spans="1:6" x14ac:dyDescent="0.3">
      <c r="A32" s="131"/>
      <c r="B32" s="131"/>
      <c r="C32" s="131"/>
      <c r="D32" s="131"/>
      <c r="E32" s="131"/>
      <c r="F32" s="131"/>
    </row>
    <row r="33" spans="1:6" x14ac:dyDescent="0.3">
      <c r="A33" s="131"/>
      <c r="B33" s="131"/>
      <c r="C33" s="131"/>
      <c r="D33" s="131"/>
      <c r="E33" s="131"/>
      <c r="F33" s="131"/>
    </row>
    <row r="34" spans="1:6" x14ac:dyDescent="0.3">
      <c r="A34" s="131"/>
      <c r="B34" s="131"/>
      <c r="C34" s="131"/>
      <c r="D34" s="131"/>
      <c r="E34" s="131"/>
      <c r="F34" s="131"/>
    </row>
    <row r="35" spans="1:6" x14ac:dyDescent="0.3">
      <c r="A35" s="131"/>
      <c r="B35" s="131"/>
      <c r="C35" s="131"/>
      <c r="D35" s="131"/>
      <c r="E35" s="131"/>
      <c r="F35" s="131"/>
    </row>
    <row r="36" spans="1:6" x14ac:dyDescent="0.3">
      <c r="A36" s="131"/>
      <c r="B36" s="131"/>
      <c r="C36" s="131"/>
      <c r="D36" s="131"/>
      <c r="E36" s="131"/>
      <c r="F36" s="131"/>
    </row>
    <row r="37" spans="1:6" x14ac:dyDescent="0.3">
      <c r="A37" s="131"/>
      <c r="B37" s="131"/>
      <c r="C37" s="131"/>
      <c r="D37" s="131"/>
      <c r="E37" s="131"/>
      <c r="F37" s="131"/>
    </row>
    <row r="38" spans="1:6" x14ac:dyDescent="0.3">
      <c r="A38" s="131"/>
      <c r="B38" s="131"/>
      <c r="C38" s="131"/>
      <c r="D38" s="131"/>
      <c r="E38" s="131"/>
      <c r="F38" s="131"/>
    </row>
    <row r="39" spans="1:6" x14ac:dyDescent="0.3">
      <c r="A39" s="131"/>
      <c r="B39" s="131"/>
      <c r="C39" s="131"/>
      <c r="D39" s="131"/>
      <c r="E39" s="131"/>
      <c r="F39" s="131"/>
    </row>
    <row r="40" spans="1:6" x14ac:dyDescent="0.3">
      <c r="A40" s="131"/>
      <c r="B40" s="131"/>
      <c r="C40" s="131"/>
      <c r="D40" s="131"/>
      <c r="E40" s="131"/>
      <c r="F40" s="131"/>
    </row>
    <row r="41" spans="1:6" x14ac:dyDescent="0.3">
      <c r="A41" s="131"/>
      <c r="B41" s="131"/>
      <c r="C41" s="131"/>
      <c r="D41" s="131"/>
      <c r="E41" s="131"/>
      <c r="F41" s="131"/>
    </row>
    <row r="42" spans="1:6" x14ac:dyDescent="0.3">
      <c r="A42" s="131"/>
      <c r="B42" s="131"/>
      <c r="C42" s="131"/>
      <c r="D42" s="131"/>
      <c r="E42" s="131"/>
      <c r="F42" s="131"/>
    </row>
    <row r="43" spans="1:6" x14ac:dyDescent="0.3">
      <c r="A43" s="131"/>
      <c r="B43" s="131"/>
      <c r="C43" s="131"/>
      <c r="D43" s="131"/>
      <c r="E43" s="131"/>
      <c r="F43" s="131"/>
    </row>
    <row r="44" spans="1:6" x14ac:dyDescent="0.3">
      <c r="A44" s="131"/>
      <c r="B44" s="131"/>
      <c r="C44" s="131"/>
      <c r="D44" s="131"/>
      <c r="E44" s="131"/>
      <c r="F44" s="131"/>
    </row>
    <row r="45" spans="1:6" x14ac:dyDescent="0.3">
      <c r="A45" s="131"/>
      <c r="B45" s="131"/>
      <c r="C45" s="131"/>
      <c r="D45" s="131"/>
      <c r="E45" s="131"/>
      <c r="F45" s="131"/>
    </row>
    <row r="46" spans="1:6" x14ac:dyDescent="0.3">
      <c r="A46" s="131"/>
      <c r="B46" s="131"/>
      <c r="C46" s="131"/>
      <c r="D46" s="131"/>
      <c r="E46" s="131"/>
      <c r="F46" s="131"/>
    </row>
    <row r="47" spans="1:6" x14ac:dyDescent="0.3">
      <c r="A47" s="131"/>
      <c r="B47" s="131"/>
      <c r="C47" s="131"/>
      <c r="D47" s="131"/>
      <c r="E47" s="131"/>
      <c r="F47" s="131"/>
    </row>
    <row r="48" spans="1:6" x14ac:dyDescent="0.3">
      <c r="A48" s="131"/>
      <c r="B48" s="131"/>
      <c r="C48" s="131"/>
      <c r="D48" s="131"/>
      <c r="E48" s="131"/>
      <c r="F48" s="131"/>
    </row>
    <row r="49" spans="1:6" x14ac:dyDescent="0.3">
      <c r="A49" s="131"/>
      <c r="B49" s="131"/>
      <c r="C49" s="131"/>
      <c r="D49" s="131"/>
      <c r="E49" s="131"/>
      <c r="F49" s="131"/>
    </row>
    <row r="50" spans="1:6" x14ac:dyDescent="0.3">
      <c r="A50" s="131"/>
      <c r="B50" s="131"/>
      <c r="C50" s="131"/>
      <c r="D50" s="131"/>
      <c r="E50" s="131"/>
      <c r="F50" s="131"/>
    </row>
    <row r="51" spans="1:6" x14ac:dyDescent="0.3">
      <c r="A51" s="131"/>
      <c r="B51" s="131"/>
      <c r="C51" s="131"/>
      <c r="D51" s="131"/>
      <c r="E51" s="131"/>
      <c r="F51" s="131"/>
    </row>
    <row r="52" spans="1:6" x14ac:dyDescent="0.3">
      <c r="A52" s="131"/>
      <c r="B52" s="131"/>
      <c r="C52" s="131"/>
      <c r="D52" s="131"/>
      <c r="E52" s="131"/>
      <c r="F52" s="131"/>
    </row>
    <row r="53" spans="1:6" x14ac:dyDescent="0.3">
      <c r="A53" s="131"/>
      <c r="B53" s="131"/>
      <c r="C53" s="131"/>
      <c r="D53" s="131"/>
      <c r="E53" s="131"/>
      <c r="F53" s="131"/>
    </row>
    <row r="54" spans="1:6" x14ac:dyDescent="0.3">
      <c r="A54" s="131"/>
      <c r="B54" s="131"/>
      <c r="C54" s="131"/>
      <c r="D54" s="131"/>
      <c r="E54" s="131"/>
      <c r="F54" s="131"/>
    </row>
    <row r="55" spans="1:6" x14ac:dyDescent="0.3">
      <c r="A55" s="131"/>
      <c r="B55" s="131"/>
      <c r="C55" s="131"/>
      <c r="D55" s="131"/>
      <c r="E55" s="131"/>
      <c r="F55" s="131"/>
    </row>
    <row r="56" spans="1:6" x14ac:dyDescent="0.3">
      <c r="A56" s="131"/>
      <c r="B56" s="131"/>
      <c r="C56" s="131"/>
      <c r="D56" s="131"/>
      <c r="E56" s="131"/>
      <c r="F56" s="131"/>
    </row>
    <row r="57" spans="1:6" x14ac:dyDescent="0.3">
      <c r="A57" s="131"/>
      <c r="B57" s="131"/>
      <c r="C57" s="131"/>
      <c r="D57" s="131"/>
      <c r="E57" s="131"/>
      <c r="F57" s="131"/>
    </row>
    <row r="58" spans="1:6" x14ac:dyDescent="0.3">
      <c r="A58" s="131"/>
      <c r="B58" s="131"/>
      <c r="C58" s="131"/>
      <c r="D58" s="131"/>
      <c r="E58" s="131"/>
      <c r="F58" s="131"/>
    </row>
    <row r="59" spans="1:6" x14ac:dyDescent="0.3">
      <c r="A59" s="131"/>
      <c r="B59" s="131"/>
      <c r="C59" s="131"/>
      <c r="D59" s="131"/>
      <c r="E59" s="131"/>
      <c r="F59" s="131"/>
    </row>
    <row r="60" spans="1:6" x14ac:dyDescent="0.3">
      <c r="A60" s="131"/>
      <c r="B60" s="131"/>
      <c r="C60" s="131"/>
      <c r="D60" s="131"/>
      <c r="E60" s="131"/>
      <c r="F60" s="131"/>
    </row>
    <row r="61" spans="1:6" x14ac:dyDescent="0.3">
      <c r="A61" s="131"/>
      <c r="B61" s="131"/>
      <c r="C61" s="131"/>
      <c r="D61" s="131"/>
      <c r="E61" s="131"/>
      <c r="F61" s="131"/>
    </row>
    <row r="62" spans="1:6" x14ac:dyDescent="0.3">
      <c r="A62" s="131"/>
      <c r="B62" s="131"/>
      <c r="C62" s="131"/>
      <c r="D62" s="131"/>
      <c r="E62" s="131"/>
      <c r="F62" s="131"/>
    </row>
    <row r="63" spans="1:6" x14ac:dyDescent="0.3">
      <c r="A63" s="131"/>
      <c r="B63" s="131"/>
      <c r="C63" s="131"/>
      <c r="D63" s="131"/>
      <c r="E63" s="131"/>
      <c r="F63" s="131"/>
    </row>
    <row r="64" spans="1:6" x14ac:dyDescent="0.3">
      <c r="A64" s="131"/>
      <c r="B64" s="131"/>
      <c r="C64" s="131"/>
      <c r="D64" s="131"/>
      <c r="E64" s="131"/>
      <c r="F64" s="131"/>
    </row>
    <row r="65" spans="1:6" x14ac:dyDescent="0.3">
      <c r="A65" s="131"/>
      <c r="B65" s="131"/>
      <c r="C65" s="131"/>
      <c r="D65" s="131"/>
      <c r="E65" s="131"/>
      <c r="F65" s="131"/>
    </row>
    <row r="66" spans="1:6" x14ac:dyDescent="0.3">
      <c r="A66" s="131"/>
      <c r="B66" s="131"/>
      <c r="C66" s="131"/>
      <c r="D66" s="131"/>
      <c r="E66" s="131"/>
      <c r="F66" s="131"/>
    </row>
    <row r="67" spans="1:6" x14ac:dyDescent="0.3">
      <c r="A67" s="131"/>
      <c r="B67" s="131"/>
      <c r="C67" s="131"/>
      <c r="D67" s="131"/>
      <c r="E67" s="131"/>
      <c r="F67" s="131"/>
    </row>
    <row r="68" spans="1:6" x14ac:dyDescent="0.3">
      <c r="A68" s="131"/>
      <c r="B68" s="131"/>
      <c r="C68" s="131"/>
      <c r="D68" s="131"/>
      <c r="E68" s="131"/>
      <c r="F68" s="131"/>
    </row>
    <row r="69" spans="1:6" x14ac:dyDescent="0.3">
      <c r="A69" s="131"/>
      <c r="B69" s="131"/>
      <c r="C69" s="131"/>
      <c r="D69" s="131"/>
      <c r="E69" s="131"/>
      <c r="F69" s="131"/>
    </row>
    <row r="70" spans="1:6" x14ac:dyDescent="0.3">
      <c r="A70" s="131"/>
      <c r="B70" s="131"/>
      <c r="C70" s="131"/>
      <c r="D70" s="131"/>
      <c r="E70" s="131"/>
      <c r="F70" s="131"/>
    </row>
    <row r="71" spans="1:6" x14ac:dyDescent="0.3">
      <c r="A71" s="131"/>
      <c r="B71" s="131"/>
      <c r="C71" s="131"/>
      <c r="D71" s="131"/>
      <c r="E71" s="131"/>
      <c r="F71" s="131"/>
    </row>
    <row r="72" spans="1:6" x14ac:dyDescent="0.3">
      <c r="A72" s="131"/>
      <c r="B72" s="131"/>
      <c r="C72" s="131"/>
      <c r="D72" s="131"/>
      <c r="E72" s="131"/>
      <c r="F72" s="131"/>
    </row>
    <row r="73" spans="1:6" x14ac:dyDescent="0.3">
      <c r="A73" s="131"/>
      <c r="B73" s="131"/>
      <c r="C73" s="131"/>
      <c r="D73" s="131"/>
      <c r="E73" s="131"/>
      <c r="F73" s="131"/>
    </row>
    <row r="74" spans="1:6" x14ac:dyDescent="0.3">
      <c r="A74" s="131"/>
      <c r="B74" s="131"/>
      <c r="C74" s="131"/>
      <c r="D74" s="131"/>
      <c r="E74" s="131"/>
      <c r="F74" s="131"/>
    </row>
    <row r="75" spans="1:6" x14ac:dyDescent="0.3">
      <c r="A75" s="131"/>
      <c r="B75" s="131"/>
      <c r="C75" s="131"/>
      <c r="D75" s="131"/>
      <c r="E75" s="131"/>
      <c r="F75" s="131"/>
    </row>
    <row r="76" spans="1:6" x14ac:dyDescent="0.3">
      <c r="A76" s="131"/>
      <c r="B76" s="131"/>
      <c r="C76" s="131"/>
      <c r="D76" s="131"/>
      <c r="E76" s="131"/>
      <c r="F76" s="131"/>
    </row>
    <row r="77" spans="1:6" x14ac:dyDescent="0.3">
      <c r="A77" s="131"/>
      <c r="B77" s="131"/>
      <c r="C77" s="131"/>
      <c r="D77" s="131"/>
      <c r="E77" s="131"/>
      <c r="F77" s="131"/>
    </row>
    <row r="78" spans="1:6" x14ac:dyDescent="0.3">
      <c r="A78" s="131"/>
      <c r="B78" s="131"/>
      <c r="C78" s="131"/>
      <c r="D78" s="131"/>
      <c r="E78" s="131"/>
      <c r="F78" s="131"/>
    </row>
    <row r="79" spans="1:6" x14ac:dyDescent="0.3">
      <c r="A79" s="131"/>
      <c r="B79" s="131"/>
      <c r="C79" s="131"/>
      <c r="D79" s="131"/>
      <c r="E79" s="131"/>
      <c r="F79" s="131"/>
    </row>
    <row r="80" spans="1:6" x14ac:dyDescent="0.3">
      <c r="A80" s="131"/>
      <c r="B80" s="131"/>
      <c r="C80" s="131"/>
      <c r="D80" s="131"/>
      <c r="E80" s="131"/>
      <c r="F80" s="131"/>
    </row>
    <row r="81" spans="1:6" x14ac:dyDescent="0.3">
      <c r="A81" s="131"/>
      <c r="B81" s="131"/>
      <c r="C81" s="131"/>
      <c r="D81" s="131"/>
      <c r="E81" s="131"/>
      <c r="F81" s="131"/>
    </row>
    <row r="82" spans="1:6" x14ac:dyDescent="0.3">
      <c r="A82" s="131"/>
      <c r="B82" s="131"/>
      <c r="C82" s="131"/>
      <c r="D82" s="131"/>
      <c r="E82" s="131"/>
      <c r="F82" s="131"/>
    </row>
    <row r="83" spans="1:6" x14ac:dyDescent="0.3">
      <c r="A83" s="131"/>
      <c r="B83" s="131"/>
      <c r="C83" s="131"/>
      <c r="D83" s="131"/>
      <c r="E83" s="131"/>
      <c r="F83" s="131"/>
    </row>
    <row r="84" spans="1:6" x14ac:dyDescent="0.3">
      <c r="A84" s="131"/>
      <c r="B84" s="131"/>
      <c r="C84" s="131"/>
      <c r="D84" s="131"/>
      <c r="E84" s="131"/>
      <c r="F84" s="131"/>
    </row>
    <row r="85" spans="1:6" x14ac:dyDescent="0.3">
      <c r="A85" s="131"/>
      <c r="B85" s="131"/>
      <c r="C85" s="131"/>
      <c r="D85" s="131"/>
      <c r="E85" s="131"/>
      <c r="F85" s="131"/>
    </row>
    <row r="86" spans="1:6" x14ac:dyDescent="0.3">
      <c r="A86" s="131"/>
      <c r="B86" s="131"/>
      <c r="C86" s="131"/>
      <c r="D86" s="131"/>
      <c r="E86" s="131"/>
      <c r="F86" s="131"/>
    </row>
    <row r="87" spans="1:6" x14ac:dyDescent="0.3">
      <c r="A87" s="131"/>
      <c r="B87" s="131"/>
      <c r="C87" s="131"/>
      <c r="D87" s="131"/>
      <c r="E87" s="131"/>
      <c r="F87" s="131"/>
    </row>
    <row r="88" spans="1:6" x14ac:dyDescent="0.3">
      <c r="A88" s="131"/>
      <c r="B88" s="131"/>
      <c r="C88" s="131"/>
      <c r="D88" s="131"/>
      <c r="E88" s="131"/>
      <c r="F88" s="131"/>
    </row>
    <row r="89" spans="1:6" x14ac:dyDescent="0.3">
      <c r="A89" s="131"/>
      <c r="B89" s="131"/>
      <c r="C89" s="131"/>
      <c r="D89" s="131"/>
      <c r="E89" s="131"/>
      <c r="F89" s="131"/>
    </row>
    <row r="90" spans="1:6" x14ac:dyDescent="0.3">
      <c r="A90" s="131"/>
      <c r="B90" s="131"/>
      <c r="C90" s="131"/>
      <c r="D90" s="131"/>
      <c r="E90" s="131"/>
      <c r="F90" s="131"/>
    </row>
    <row r="91" spans="1:6" x14ac:dyDescent="0.3">
      <c r="A91" s="131"/>
      <c r="B91" s="131"/>
      <c r="C91" s="131"/>
      <c r="D91" s="131"/>
      <c r="E91" s="131"/>
      <c r="F91" s="131"/>
    </row>
    <row r="92" spans="1:6" x14ac:dyDescent="0.3">
      <c r="A92" s="131"/>
      <c r="B92" s="131"/>
      <c r="C92" s="131"/>
      <c r="D92" s="131"/>
      <c r="E92" s="131"/>
      <c r="F92" s="131"/>
    </row>
    <row r="93" spans="1:6" x14ac:dyDescent="0.3">
      <c r="A93" s="131"/>
      <c r="B93" s="131"/>
      <c r="C93" s="131"/>
      <c r="D93" s="131"/>
      <c r="E93" s="131"/>
      <c r="F93" s="131"/>
    </row>
    <row r="94" spans="1:6" x14ac:dyDescent="0.3">
      <c r="A94" s="131"/>
      <c r="B94" s="131"/>
      <c r="C94" s="131"/>
      <c r="D94" s="131"/>
      <c r="E94" s="131"/>
      <c r="F94" s="131"/>
    </row>
    <row r="95" spans="1:6" x14ac:dyDescent="0.3">
      <c r="A95" s="131"/>
      <c r="B95" s="131"/>
      <c r="C95" s="131"/>
      <c r="D95" s="131"/>
      <c r="E95" s="131"/>
      <c r="F95" s="131"/>
    </row>
    <row r="96" spans="1:6" x14ac:dyDescent="0.3">
      <c r="A96" s="131"/>
      <c r="B96" s="131"/>
      <c r="C96" s="131"/>
      <c r="D96" s="131"/>
      <c r="E96" s="131"/>
      <c r="F96" s="131"/>
    </row>
    <row r="97" spans="1:6" x14ac:dyDescent="0.3">
      <c r="A97" s="131"/>
      <c r="B97" s="131"/>
      <c r="C97" s="131"/>
      <c r="D97" s="131"/>
      <c r="E97" s="131"/>
      <c r="F97" s="131"/>
    </row>
    <row r="98" spans="1:6" x14ac:dyDescent="0.3">
      <c r="A98" s="131"/>
      <c r="B98" s="131"/>
      <c r="C98" s="131"/>
      <c r="D98" s="131"/>
      <c r="E98" s="131"/>
      <c r="F98" s="131"/>
    </row>
    <row r="99" spans="1:6" x14ac:dyDescent="0.3">
      <c r="A99" s="131"/>
      <c r="B99" s="131"/>
      <c r="C99" s="131"/>
      <c r="D99" s="131"/>
      <c r="E99" s="131"/>
      <c r="F99" s="131"/>
    </row>
    <row r="100" spans="1:6" x14ac:dyDescent="0.3">
      <c r="A100" s="131"/>
      <c r="B100" s="131"/>
      <c r="C100" s="131"/>
      <c r="D100" s="131"/>
      <c r="E100" s="131"/>
      <c r="F100" s="131"/>
    </row>
    <row r="101" spans="1:6" x14ac:dyDescent="0.3">
      <c r="A101" s="131"/>
      <c r="B101" s="131"/>
      <c r="C101" s="131"/>
      <c r="D101" s="131"/>
      <c r="E101" s="131"/>
      <c r="F101" s="131"/>
    </row>
    <row r="102" spans="1:6" x14ac:dyDescent="0.3">
      <c r="A102" s="131"/>
      <c r="B102" s="131"/>
      <c r="C102" s="131"/>
      <c r="D102" s="131"/>
      <c r="E102" s="131"/>
      <c r="F102" s="131"/>
    </row>
    <row r="103" spans="1:6" x14ac:dyDescent="0.3">
      <c r="A103" s="131"/>
      <c r="B103" s="131"/>
      <c r="C103" s="131"/>
      <c r="D103" s="131"/>
      <c r="E103" s="131"/>
      <c r="F103" s="131"/>
    </row>
    <row r="104" spans="1:6" x14ac:dyDescent="0.3">
      <c r="A104" s="131"/>
      <c r="B104" s="131"/>
      <c r="C104" s="131"/>
      <c r="D104" s="131"/>
      <c r="E104" s="131"/>
      <c r="F104" s="131"/>
    </row>
    <row r="105" spans="1:6" x14ac:dyDescent="0.3">
      <c r="A105" s="131"/>
      <c r="B105" s="131"/>
      <c r="C105" s="131"/>
      <c r="D105" s="131"/>
      <c r="E105" s="131"/>
      <c r="F105" s="131"/>
    </row>
    <row r="106" spans="1:6" x14ac:dyDescent="0.3">
      <c r="A106" s="131"/>
      <c r="B106" s="131"/>
      <c r="C106" s="131"/>
      <c r="D106" s="131"/>
      <c r="E106" s="131"/>
      <c r="F106" s="131"/>
    </row>
    <row r="107" spans="1:6" x14ac:dyDescent="0.3">
      <c r="A107" s="131"/>
      <c r="B107" s="131"/>
      <c r="C107" s="131"/>
      <c r="D107" s="131"/>
      <c r="E107" s="131"/>
      <c r="F107" s="131"/>
    </row>
    <row r="108" spans="1:6" x14ac:dyDescent="0.3">
      <c r="A108" s="131"/>
      <c r="B108" s="131"/>
      <c r="C108" s="131"/>
      <c r="D108" s="131"/>
      <c r="E108" s="131"/>
      <c r="F108" s="131"/>
    </row>
    <row r="109" spans="1:6" x14ac:dyDescent="0.3">
      <c r="A109" s="131"/>
      <c r="B109" s="131"/>
      <c r="C109" s="131"/>
      <c r="D109" s="131"/>
      <c r="E109" s="131"/>
      <c r="F109" s="131"/>
    </row>
    <row r="110" spans="1:6" x14ac:dyDescent="0.3">
      <c r="A110" s="131"/>
      <c r="B110" s="131"/>
      <c r="C110" s="131"/>
      <c r="D110" s="131"/>
      <c r="E110" s="131"/>
      <c r="F110" s="131"/>
    </row>
    <row r="111" spans="1:6" x14ac:dyDescent="0.3">
      <c r="A111" s="131"/>
      <c r="B111" s="131"/>
      <c r="C111" s="131"/>
      <c r="D111" s="131"/>
      <c r="E111" s="131"/>
      <c r="F111" s="131"/>
    </row>
    <row r="112" spans="1:6" x14ac:dyDescent="0.3">
      <c r="A112" s="131"/>
      <c r="B112" s="131"/>
      <c r="C112" s="131"/>
      <c r="D112" s="131"/>
      <c r="E112" s="131"/>
      <c r="F112" s="131"/>
    </row>
    <row r="113" spans="1:6" x14ac:dyDescent="0.3">
      <c r="A113" s="131"/>
      <c r="B113" s="131"/>
      <c r="C113" s="131"/>
      <c r="D113" s="131"/>
      <c r="E113" s="131"/>
      <c r="F113" s="131"/>
    </row>
    <row r="114" spans="1:6" x14ac:dyDescent="0.3">
      <c r="A114" s="131"/>
      <c r="B114" s="131"/>
      <c r="C114" s="131"/>
      <c r="D114" s="131"/>
      <c r="E114" s="131"/>
      <c r="F114" s="131"/>
    </row>
    <row r="115" spans="1:6" x14ac:dyDescent="0.3">
      <c r="A115" s="131"/>
      <c r="B115" s="131"/>
      <c r="C115" s="131"/>
      <c r="D115" s="131"/>
      <c r="E115" s="131"/>
      <c r="F115" s="131"/>
    </row>
    <row r="116" spans="1:6" x14ac:dyDescent="0.3">
      <c r="A116" s="131"/>
      <c r="B116" s="131"/>
      <c r="C116" s="131"/>
      <c r="D116" s="131"/>
      <c r="E116" s="131"/>
      <c r="F116" s="131"/>
    </row>
    <row r="117" spans="1:6" x14ac:dyDescent="0.3">
      <c r="A117" s="131"/>
      <c r="B117" s="131"/>
      <c r="C117" s="131"/>
      <c r="D117" s="131"/>
      <c r="E117" s="131"/>
      <c r="F117" s="131"/>
    </row>
    <row r="118" spans="1:6" x14ac:dyDescent="0.3">
      <c r="A118" s="131"/>
      <c r="B118" s="131"/>
      <c r="C118" s="131"/>
      <c r="D118" s="131"/>
      <c r="E118" s="131"/>
      <c r="F118" s="131"/>
    </row>
    <row r="119" spans="1:6" x14ac:dyDescent="0.3">
      <c r="A119" s="131"/>
      <c r="B119" s="131"/>
      <c r="C119" s="131"/>
      <c r="D119" s="131"/>
      <c r="E119" s="131"/>
      <c r="F119" s="131"/>
    </row>
    <row r="120" spans="1:6" x14ac:dyDescent="0.3">
      <c r="A120" s="131"/>
      <c r="B120" s="131"/>
      <c r="C120" s="131"/>
      <c r="D120" s="131"/>
      <c r="E120" s="131"/>
      <c r="F120" s="131"/>
    </row>
    <row r="121" spans="1:6" x14ac:dyDescent="0.3">
      <c r="A121" s="131"/>
      <c r="B121" s="131"/>
      <c r="C121" s="131"/>
      <c r="D121" s="131"/>
      <c r="E121" s="131"/>
      <c r="F121" s="131"/>
    </row>
    <row r="122" spans="1:6" x14ac:dyDescent="0.3">
      <c r="A122" s="131"/>
      <c r="B122" s="131"/>
      <c r="C122" s="131"/>
      <c r="D122" s="131"/>
      <c r="E122" s="131"/>
      <c r="F122" s="131"/>
    </row>
    <row r="123" spans="1:6" x14ac:dyDescent="0.3">
      <c r="A123" s="131"/>
      <c r="B123" s="131"/>
      <c r="C123" s="131"/>
      <c r="D123" s="131"/>
      <c r="E123" s="131"/>
      <c r="F123" s="131"/>
    </row>
    <row r="124" spans="1:6" x14ac:dyDescent="0.3">
      <c r="A124" s="131"/>
      <c r="B124" s="131"/>
      <c r="C124" s="131"/>
      <c r="D124" s="131"/>
      <c r="E124" s="131"/>
      <c r="F124" s="131"/>
    </row>
    <row r="125" spans="1:6" x14ac:dyDescent="0.3">
      <c r="A125" s="131"/>
      <c r="B125" s="131"/>
      <c r="C125" s="131"/>
      <c r="D125" s="131"/>
      <c r="E125" s="131"/>
      <c r="F125" s="131"/>
    </row>
    <row r="126" spans="1:6" x14ac:dyDescent="0.3">
      <c r="A126" s="131"/>
      <c r="B126" s="131"/>
      <c r="C126" s="131"/>
      <c r="D126" s="131"/>
      <c r="E126" s="131"/>
      <c r="F126" s="131"/>
    </row>
    <row r="127" spans="1:6" x14ac:dyDescent="0.3">
      <c r="A127" s="131"/>
      <c r="B127" s="131"/>
      <c r="C127" s="131"/>
      <c r="D127" s="131"/>
      <c r="E127" s="131"/>
      <c r="F127" s="131"/>
    </row>
    <row r="128" spans="1:6" x14ac:dyDescent="0.3">
      <c r="A128" s="131"/>
      <c r="B128" s="131"/>
      <c r="C128" s="131"/>
      <c r="D128" s="131"/>
      <c r="E128" s="131"/>
      <c r="F128" s="131"/>
    </row>
    <row r="129" spans="1:6" x14ac:dyDescent="0.3">
      <c r="A129" s="131"/>
      <c r="B129" s="131"/>
      <c r="C129" s="131"/>
      <c r="D129" s="131"/>
      <c r="E129" s="131"/>
      <c r="F129" s="131"/>
    </row>
    <row r="130" spans="1:6" x14ac:dyDescent="0.3">
      <c r="A130" s="131"/>
      <c r="B130" s="131"/>
      <c r="C130" s="131"/>
      <c r="D130" s="131"/>
      <c r="E130" s="131"/>
      <c r="F130" s="131"/>
    </row>
    <row r="131" spans="1:6" x14ac:dyDescent="0.3">
      <c r="A131" s="131"/>
      <c r="B131" s="131"/>
      <c r="C131" s="131"/>
      <c r="D131" s="131"/>
      <c r="E131" s="131"/>
      <c r="F131" s="131"/>
    </row>
    <row r="132" spans="1:6" x14ac:dyDescent="0.3">
      <c r="A132" s="131"/>
      <c r="B132" s="131"/>
      <c r="C132" s="131"/>
      <c r="D132" s="131"/>
      <c r="E132" s="131"/>
      <c r="F132" s="131"/>
    </row>
    <row r="133" spans="1:6" x14ac:dyDescent="0.3">
      <c r="A133" s="131"/>
      <c r="B133" s="131"/>
      <c r="C133" s="131"/>
      <c r="D133" s="131"/>
      <c r="E133" s="131"/>
      <c r="F133" s="131"/>
    </row>
    <row r="134" spans="1:6" x14ac:dyDescent="0.3">
      <c r="A134" s="131"/>
      <c r="B134" s="131"/>
      <c r="C134" s="131"/>
      <c r="D134" s="131"/>
      <c r="E134" s="131"/>
      <c r="F134" s="131"/>
    </row>
    <row r="135" spans="1:6" x14ac:dyDescent="0.3">
      <c r="A135" s="131"/>
      <c r="B135" s="131"/>
      <c r="C135" s="131"/>
      <c r="D135" s="131"/>
      <c r="E135" s="131"/>
      <c r="F135" s="131"/>
    </row>
    <row r="136" spans="1:6" x14ac:dyDescent="0.3">
      <c r="A136" s="131"/>
      <c r="B136" s="131"/>
      <c r="C136" s="131"/>
      <c r="D136" s="131"/>
      <c r="E136" s="131"/>
      <c r="F136" s="131"/>
    </row>
    <row r="137" spans="1:6" x14ac:dyDescent="0.3">
      <c r="A137" s="131"/>
      <c r="B137" s="131"/>
      <c r="C137" s="131"/>
      <c r="D137" s="131"/>
      <c r="E137" s="131"/>
      <c r="F137" s="131"/>
    </row>
    <row r="138" spans="1:6" x14ac:dyDescent="0.3">
      <c r="A138" s="131"/>
      <c r="B138" s="131"/>
      <c r="C138" s="131"/>
      <c r="D138" s="131"/>
      <c r="E138" s="131"/>
      <c r="F138" s="131"/>
    </row>
    <row r="139" spans="1:6" x14ac:dyDescent="0.3">
      <c r="A139" s="131"/>
      <c r="B139" s="131"/>
      <c r="C139" s="131"/>
      <c r="D139" s="131"/>
      <c r="E139" s="131"/>
      <c r="F139" s="131"/>
    </row>
    <row r="140" spans="1:6" x14ac:dyDescent="0.3">
      <c r="A140" s="131"/>
      <c r="B140" s="131"/>
      <c r="C140" s="131"/>
      <c r="D140" s="131"/>
      <c r="E140" s="131"/>
      <c r="F140" s="131"/>
    </row>
    <row r="141" spans="1:6" x14ac:dyDescent="0.3">
      <c r="A141" s="131"/>
      <c r="B141" s="131"/>
      <c r="C141" s="131"/>
      <c r="D141" s="131"/>
      <c r="E141" s="131"/>
      <c r="F141" s="131"/>
    </row>
    <row r="142" spans="1:6" x14ac:dyDescent="0.3">
      <c r="A142" s="131"/>
      <c r="B142" s="131"/>
      <c r="C142" s="131"/>
      <c r="D142" s="131"/>
      <c r="E142" s="131"/>
      <c r="F142" s="131"/>
    </row>
    <row r="143" spans="1:6" x14ac:dyDescent="0.3">
      <c r="A143" s="131"/>
      <c r="B143" s="131"/>
      <c r="C143" s="131"/>
      <c r="D143" s="131"/>
      <c r="E143" s="131"/>
      <c r="F143" s="131"/>
    </row>
    <row r="144" spans="1:6" x14ac:dyDescent="0.3">
      <c r="A144" s="131"/>
      <c r="B144" s="131"/>
      <c r="C144" s="131"/>
      <c r="D144" s="131"/>
      <c r="E144" s="131"/>
      <c r="F144" s="131"/>
    </row>
    <row r="145" spans="1:6" x14ac:dyDescent="0.3">
      <c r="A145" s="131"/>
      <c r="B145" s="131"/>
      <c r="C145" s="131"/>
      <c r="D145" s="131"/>
      <c r="E145" s="131"/>
      <c r="F145" s="131"/>
    </row>
    <row r="146" spans="1:6" x14ac:dyDescent="0.3">
      <c r="A146" s="131"/>
      <c r="B146" s="131"/>
      <c r="C146" s="131"/>
      <c r="D146" s="131"/>
      <c r="E146" s="131"/>
      <c r="F146" s="131"/>
    </row>
    <row r="147" spans="1:6" x14ac:dyDescent="0.3">
      <c r="A147" s="131"/>
      <c r="B147" s="131"/>
      <c r="C147" s="131"/>
      <c r="D147" s="131"/>
      <c r="E147" s="131"/>
      <c r="F147" s="131"/>
    </row>
    <row r="148" spans="1:6" x14ac:dyDescent="0.3">
      <c r="A148" s="131"/>
      <c r="B148" s="131"/>
      <c r="C148" s="131"/>
      <c r="D148" s="131"/>
      <c r="E148" s="131"/>
      <c r="F148" s="131"/>
    </row>
    <row r="149" spans="1:6" x14ac:dyDescent="0.3">
      <c r="A149" s="131"/>
      <c r="B149" s="131"/>
      <c r="C149" s="131"/>
      <c r="D149" s="131"/>
      <c r="E149" s="131"/>
      <c r="F149" s="131"/>
    </row>
    <row r="150" spans="1:6" x14ac:dyDescent="0.3">
      <c r="A150" s="131"/>
      <c r="B150" s="131"/>
      <c r="C150" s="131"/>
      <c r="D150" s="131"/>
      <c r="E150" s="131"/>
      <c r="F150" s="131"/>
    </row>
    <row r="151" spans="1:6" x14ac:dyDescent="0.3">
      <c r="A151" s="131"/>
      <c r="B151" s="131"/>
      <c r="C151" s="131"/>
      <c r="D151" s="131"/>
      <c r="E151" s="131"/>
      <c r="F151" s="131"/>
    </row>
    <row r="152" spans="1:6" x14ac:dyDescent="0.3">
      <c r="A152" s="131"/>
      <c r="B152" s="131"/>
      <c r="C152" s="131"/>
      <c r="D152" s="131"/>
      <c r="E152" s="131"/>
      <c r="F152" s="131"/>
    </row>
    <row r="153" spans="1:6" x14ac:dyDescent="0.3">
      <c r="A153" s="131"/>
      <c r="B153" s="131"/>
      <c r="C153" s="131"/>
      <c r="D153" s="131"/>
      <c r="E153" s="131"/>
      <c r="F153" s="131"/>
    </row>
    <row r="154" spans="1:6" x14ac:dyDescent="0.3">
      <c r="A154" s="131"/>
      <c r="B154" s="131"/>
      <c r="C154" s="131"/>
      <c r="D154" s="131"/>
      <c r="E154" s="131"/>
      <c r="F154" s="131"/>
    </row>
    <row r="155" spans="1:6" x14ac:dyDescent="0.3">
      <c r="A155" s="131"/>
      <c r="B155" s="131"/>
      <c r="C155" s="131"/>
      <c r="D155" s="131"/>
      <c r="E155" s="131"/>
      <c r="F155" s="131"/>
    </row>
    <row r="156" spans="1:6" x14ac:dyDescent="0.3">
      <c r="A156" s="131"/>
      <c r="B156" s="131"/>
      <c r="C156" s="131"/>
      <c r="D156" s="131"/>
      <c r="E156" s="131"/>
      <c r="F156" s="131"/>
    </row>
    <row r="157" spans="1:6" x14ac:dyDescent="0.3">
      <c r="A157" s="131"/>
      <c r="B157" s="131"/>
      <c r="C157" s="131"/>
      <c r="D157" s="131"/>
      <c r="E157" s="131"/>
      <c r="F157" s="131"/>
    </row>
    <row r="158" spans="1:6" x14ac:dyDescent="0.3">
      <c r="A158" s="131"/>
      <c r="B158" s="131"/>
      <c r="C158" s="131"/>
      <c r="D158" s="131"/>
      <c r="E158" s="131"/>
      <c r="F158" s="131"/>
    </row>
    <row r="159" spans="1:6" x14ac:dyDescent="0.3">
      <c r="A159" s="131"/>
      <c r="B159" s="131"/>
      <c r="C159" s="131"/>
      <c r="D159" s="131"/>
      <c r="E159" s="131"/>
      <c r="F159" s="131"/>
    </row>
    <row r="160" spans="1:6" x14ac:dyDescent="0.3">
      <c r="A160" s="131"/>
      <c r="B160" s="131"/>
      <c r="C160" s="131"/>
      <c r="D160" s="131"/>
      <c r="E160" s="131"/>
      <c r="F160" s="131"/>
    </row>
    <row r="161" spans="1:6" x14ac:dyDescent="0.3">
      <c r="A161" s="131"/>
      <c r="B161" s="131"/>
      <c r="C161" s="131"/>
      <c r="D161" s="131"/>
      <c r="E161" s="131"/>
      <c r="F161" s="131"/>
    </row>
    <row r="162" spans="1:6" x14ac:dyDescent="0.3">
      <c r="A162" s="131"/>
      <c r="B162" s="131"/>
      <c r="C162" s="131"/>
      <c r="D162" s="131"/>
      <c r="E162" s="131"/>
      <c r="F162" s="131"/>
    </row>
    <row r="163" spans="1:6" x14ac:dyDescent="0.3">
      <c r="A163" s="131"/>
      <c r="B163" s="131"/>
      <c r="C163" s="131"/>
      <c r="D163" s="131"/>
      <c r="E163" s="131"/>
      <c r="F163" s="131"/>
    </row>
    <row r="164" spans="1:6" x14ac:dyDescent="0.3">
      <c r="A164" s="131"/>
      <c r="B164" s="131"/>
      <c r="C164" s="131"/>
      <c r="D164" s="131"/>
      <c r="E164" s="131"/>
      <c r="F164" s="131"/>
    </row>
    <row r="165" spans="1:6" x14ac:dyDescent="0.3">
      <c r="A165" s="131"/>
      <c r="B165" s="131"/>
      <c r="C165" s="131"/>
      <c r="D165" s="131"/>
      <c r="E165" s="131"/>
      <c r="F165" s="131"/>
    </row>
    <row r="166" spans="1:6" x14ac:dyDescent="0.3">
      <c r="A166" s="131"/>
      <c r="B166" s="131"/>
      <c r="C166" s="131"/>
      <c r="D166" s="131"/>
      <c r="E166" s="131"/>
      <c r="F166" s="131"/>
    </row>
    <row r="167" spans="1:6" x14ac:dyDescent="0.3">
      <c r="A167" s="131"/>
      <c r="B167" s="131"/>
      <c r="C167" s="131"/>
      <c r="D167" s="131"/>
      <c r="E167" s="131"/>
      <c r="F167" s="131"/>
    </row>
    <row r="168" spans="1:6" x14ac:dyDescent="0.3">
      <c r="A168" s="131"/>
      <c r="B168" s="131"/>
      <c r="C168" s="131"/>
      <c r="D168" s="131"/>
      <c r="E168" s="131"/>
      <c r="F168" s="131"/>
    </row>
    <row r="169" spans="1:6" x14ac:dyDescent="0.3">
      <c r="A169" s="131"/>
      <c r="B169" s="131"/>
      <c r="C169" s="131"/>
      <c r="D169" s="131"/>
      <c r="E169" s="131"/>
      <c r="F169" s="131"/>
    </row>
    <row r="170" spans="1:6" x14ac:dyDescent="0.3">
      <c r="A170" s="131"/>
      <c r="B170" s="131"/>
      <c r="C170" s="131"/>
      <c r="D170" s="131"/>
      <c r="E170" s="131"/>
      <c r="F170" s="131"/>
    </row>
    <row r="171" spans="1:6" x14ac:dyDescent="0.3">
      <c r="A171" s="131"/>
      <c r="B171" s="131"/>
      <c r="C171" s="131"/>
      <c r="D171" s="131"/>
      <c r="E171" s="131"/>
      <c r="F171" s="131"/>
    </row>
    <row r="172" spans="1:6" x14ac:dyDescent="0.3">
      <c r="A172" s="131"/>
      <c r="B172" s="131"/>
      <c r="C172" s="131"/>
      <c r="D172" s="131"/>
      <c r="E172" s="131"/>
      <c r="F172" s="131"/>
    </row>
    <row r="173" spans="1:6" x14ac:dyDescent="0.3">
      <c r="A173" s="131"/>
      <c r="B173" s="131"/>
      <c r="C173" s="131"/>
      <c r="D173" s="131"/>
      <c r="E173" s="131"/>
      <c r="F173" s="131"/>
    </row>
    <row r="174" spans="1:6" x14ac:dyDescent="0.3">
      <c r="A174" s="131"/>
      <c r="B174" s="131"/>
      <c r="C174" s="131"/>
      <c r="D174" s="131"/>
      <c r="E174" s="131"/>
      <c r="F174" s="131"/>
    </row>
    <row r="175" spans="1:6" x14ac:dyDescent="0.3">
      <c r="A175" s="131"/>
      <c r="B175" s="131"/>
      <c r="C175" s="131"/>
      <c r="D175" s="131"/>
      <c r="E175" s="131"/>
      <c r="F175" s="131"/>
    </row>
    <row r="176" spans="1:6" x14ac:dyDescent="0.3">
      <c r="A176" s="131"/>
      <c r="B176" s="131"/>
      <c r="C176" s="131"/>
      <c r="D176" s="131"/>
      <c r="E176" s="131"/>
      <c r="F176" s="131"/>
    </row>
    <row r="177" spans="1:6" x14ac:dyDescent="0.3">
      <c r="A177" s="131"/>
      <c r="B177" s="131"/>
      <c r="C177" s="131"/>
      <c r="D177" s="131"/>
      <c r="E177" s="131"/>
      <c r="F177" s="131"/>
    </row>
    <row r="178" spans="1:6" x14ac:dyDescent="0.3">
      <c r="A178" s="131"/>
      <c r="B178" s="131"/>
      <c r="C178" s="131"/>
      <c r="D178" s="131"/>
      <c r="E178" s="131"/>
      <c r="F178" s="131"/>
    </row>
    <row r="179" spans="1:6" x14ac:dyDescent="0.3">
      <c r="A179" s="131"/>
      <c r="B179" s="131"/>
      <c r="C179" s="131"/>
      <c r="D179" s="131"/>
      <c r="E179" s="131"/>
      <c r="F179" s="131"/>
    </row>
    <row r="180" spans="1:6" x14ac:dyDescent="0.3">
      <c r="A180" s="131"/>
      <c r="B180" s="131"/>
      <c r="C180" s="131"/>
      <c r="D180" s="131"/>
      <c r="E180" s="131"/>
      <c r="F180" s="131"/>
    </row>
    <row r="181" spans="1:6" x14ac:dyDescent="0.3">
      <c r="A181" s="131"/>
      <c r="B181" s="131"/>
      <c r="C181" s="131"/>
      <c r="D181" s="131"/>
      <c r="E181" s="131"/>
      <c r="F181" s="131"/>
    </row>
    <row r="182" spans="1:6" x14ac:dyDescent="0.3">
      <c r="A182" s="131"/>
      <c r="B182" s="131"/>
      <c r="C182" s="131"/>
      <c r="D182" s="131"/>
      <c r="E182" s="131"/>
      <c r="F182" s="131"/>
    </row>
    <row r="183" spans="1:6" x14ac:dyDescent="0.3">
      <c r="A183" s="131"/>
      <c r="B183" s="131"/>
      <c r="C183" s="131"/>
      <c r="D183" s="131"/>
      <c r="E183" s="131"/>
      <c r="F183" s="131"/>
    </row>
    <row r="184" spans="1:6" x14ac:dyDescent="0.3">
      <c r="A184" s="131"/>
      <c r="B184" s="131"/>
      <c r="C184" s="131"/>
      <c r="D184" s="131"/>
      <c r="E184" s="131"/>
      <c r="F184" s="131"/>
    </row>
    <row r="185" spans="1:6" x14ac:dyDescent="0.3">
      <c r="A185" s="131"/>
      <c r="B185" s="131"/>
      <c r="C185" s="131"/>
      <c r="D185" s="131"/>
      <c r="E185" s="131"/>
      <c r="F185" s="131"/>
    </row>
    <row r="186" spans="1:6" x14ac:dyDescent="0.3">
      <c r="A186" s="131"/>
      <c r="B186" s="131"/>
      <c r="C186" s="131"/>
      <c r="D186" s="131"/>
      <c r="E186" s="131"/>
      <c r="F186" s="131"/>
    </row>
    <row r="187" spans="1:6" x14ac:dyDescent="0.3">
      <c r="A187" s="131"/>
      <c r="B187" s="131"/>
      <c r="C187" s="131"/>
      <c r="D187" s="131"/>
      <c r="E187" s="131"/>
      <c r="F187" s="131"/>
    </row>
    <row r="188" spans="1:6" x14ac:dyDescent="0.3">
      <c r="A188" s="131"/>
      <c r="B188" s="131"/>
      <c r="C188" s="131"/>
      <c r="D188" s="131"/>
      <c r="E188" s="131"/>
      <c r="F188" s="131"/>
    </row>
    <row r="189" spans="1:6" x14ac:dyDescent="0.3">
      <c r="A189" s="131"/>
      <c r="B189" s="131"/>
      <c r="C189" s="131"/>
      <c r="D189" s="131"/>
      <c r="E189" s="131"/>
      <c r="F189" s="131"/>
    </row>
    <row r="190" spans="1:6" x14ac:dyDescent="0.3">
      <c r="A190" s="131"/>
      <c r="B190" s="131"/>
      <c r="C190" s="131"/>
      <c r="D190" s="131"/>
      <c r="E190" s="131"/>
      <c r="F190" s="131"/>
    </row>
    <row r="191" spans="1:6" x14ac:dyDescent="0.3">
      <c r="A191" s="131"/>
      <c r="B191" s="131"/>
      <c r="C191" s="131"/>
      <c r="D191" s="131"/>
      <c r="E191" s="131"/>
      <c r="F191" s="131"/>
    </row>
    <row r="192" spans="1:6" x14ac:dyDescent="0.3">
      <c r="A192" s="131"/>
      <c r="B192" s="131"/>
      <c r="C192" s="131"/>
      <c r="D192" s="131"/>
      <c r="E192" s="131"/>
      <c r="F192" s="131"/>
    </row>
    <row r="193" spans="1:6" x14ac:dyDescent="0.3">
      <c r="A193" s="131"/>
      <c r="B193" s="131"/>
      <c r="C193" s="131"/>
      <c r="D193" s="131"/>
      <c r="E193" s="131"/>
      <c r="F193" s="131"/>
    </row>
    <row r="194" spans="1:6" x14ac:dyDescent="0.3">
      <c r="A194" s="131"/>
      <c r="B194" s="131"/>
      <c r="C194" s="131"/>
      <c r="D194" s="131"/>
      <c r="E194" s="131"/>
      <c r="F194" s="131"/>
    </row>
    <row r="195" spans="1:6" x14ac:dyDescent="0.3">
      <c r="A195" s="131"/>
      <c r="B195" s="131"/>
      <c r="C195" s="131"/>
      <c r="D195" s="131"/>
      <c r="E195" s="131"/>
      <c r="F195" s="131"/>
    </row>
    <row r="196" spans="1:6" x14ac:dyDescent="0.3">
      <c r="A196" s="131"/>
      <c r="B196" s="131"/>
      <c r="C196" s="131"/>
      <c r="D196" s="131"/>
      <c r="E196" s="131"/>
      <c r="F196" s="131"/>
    </row>
    <row r="197" spans="1:6" x14ac:dyDescent="0.3">
      <c r="A197" s="131"/>
      <c r="B197" s="131"/>
      <c r="C197" s="131"/>
      <c r="D197" s="131"/>
      <c r="E197" s="131"/>
      <c r="F197" s="131"/>
    </row>
    <row r="198" spans="1:6" x14ac:dyDescent="0.3">
      <c r="A198" s="131"/>
      <c r="B198" s="131"/>
      <c r="C198" s="131"/>
      <c r="D198" s="131"/>
      <c r="E198" s="131"/>
      <c r="F198" s="131"/>
    </row>
    <row r="199" spans="1:6" x14ac:dyDescent="0.3">
      <c r="A199" s="131"/>
      <c r="B199" s="131"/>
      <c r="C199" s="131"/>
      <c r="D199" s="131"/>
      <c r="E199" s="131"/>
      <c r="F199" s="131"/>
    </row>
    <row r="200" spans="1:6" x14ac:dyDescent="0.3">
      <c r="A200" s="131"/>
      <c r="B200" s="131"/>
      <c r="C200" s="131"/>
      <c r="D200" s="131"/>
      <c r="E200" s="131"/>
      <c r="F200" s="131"/>
    </row>
    <row r="201" spans="1:6" x14ac:dyDescent="0.3">
      <c r="A201" s="131"/>
      <c r="B201" s="131"/>
      <c r="C201" s="131"/>
      <c r="D201" s="131"/>
      <c r="E201" s="131"/>
      <c r="F201" s="131"/>
    </row>
    <row r="202" spans="1:6" x14ac:dyDescent="0.3">
      <c r="A202" s="131"/>
      <c r="B202" s="131"/>
      <c r="C202" s="131"/>
      <c r="D202" s="131"/>
      <c r="E202" s="131"/>
      <c r="F202" s="131"/>
    </row>
    <row r="203" spans="1:6" x14ac:dyDescent="0.3">
      <c r="A203" s="131"/>
      <c r="B203" s="131"/>
      <c r="C203" s="131"/>
      <c r="D203" s="131"/>
      <c r="E203" s="131"/>
      <c r="F203" s="131"/>
    </row>
    <row r="204" spans="1:6" x14ac:dyDescent="0.3">
      <c r="A204" s="131"/>
      <c r="B204" s="131"/>
      <c r="C204" s="131"/>
      <c r="D204" s="131"/>
      <c r="E204" s="131"/>
      <c r="F204" s="131"/>
    </row>
    <row r="205" spans="1:6" x14ac:dyDescent="0.3">
      <c r="A205" s="131"/>
      <c r="B205" s="131"/>
      <c r="C205" s="131"/>
      <c r="D205" s="131"/>
      <c r="E205" s="131"/>
      <c r="F205" s="131"/>
    </row>
    <row r="206" spans="1:6" x14ac:dyDescent="0.3">
      <c r="A206" s="131"/>
      <c r="B206" s="131"/>
      <c r="C206" s="131"/>
      <c r="D206" s="131"/>
      <c r="E206" s="131"/>
      <c r="F206" s="131"/>
    </row>
    <row r="207" spans="1:6" x14ac:dyDescent="0.3">
      <c r="A207" s="131"/>
      <c r="B207" s="131"/>
      <c r="C207" s="131"/>
      <c r="D207" s="131"/>
      <c r="E207" s="131"/>
      <c r="F207" s="131"/>
    </row>
    <row r="208" spans="1:6" x14ac:dyDescent="0.3">
      <c r="A208" s="131"/>
      <c r="B208" s="131"/>
      <c r="C208" s="131"/>
      <c r="D208" s="131"/>
      <c r="E208" s="131"/>
      <c r="F208" s="131"/>
    </row>
    <row r="209" spans="1:6" x14ac:dyDescent="0.3">
      <c r="A209" s="131"/>
      <c r="B209" s="131"/>
      <c r="C209" s="131"/>
      <c r="D209" s="131"/>
      <c r="E209" s="131"/>
      <c r="F209" s="131"/>
    </row>
    <row r="210" spans="1:6" x14ac:dyDescent="0.3">
      <c r="A210" s="131"/>
      <c r="B210" s="131"/>
      <c r="C210" s="131"/>
      <c r="D210" s="131"/>
      <c r="E210" s="131"/>
      <c r="F210" s="131"/>
    </row>
    <row r="211" spans="1:6" x14ac:dyDescent="0.3">
      <c r="A211" s="131"/>
      <c r="B211" s="131"/>
      <c r="C211" s="131"/>
      <c r="D211" s="131"/>
      <c r="E211" s="131"/>
      <c r="F211" s="131"/>
    </row>
    <row r="212" spans="1:6" x14ac:dyDescent="0.3">
      <c r="A212" s="131"/>
      <c r="B212" s="131"/>
      <c r="C212" s="131"/>
      <c r="D212" s="131"/>
      <c r="E212" s="131"/>
      <c r="F212" s="131"/>
    </row>
    <row r="213" spans="1:6" x14ac:dyDescent="0.3">
      <c r="A213" s="131"/>
      <c r="B213" s="131"/>
      <c r="C213" s="131"/>
      <c r="D213" s="131"/>
      <c r="E213" s="131"/>
      <c r="F213" s="131"/>
    </row>
    <row r="214" spans="1:6" x14ac:dyDescent="0.3">
      <c r="A214" s="131"/>
      <c r="B214" s="131"/>
      <c r="C214" s="131"/>
      <c r="D214" s="131"/>
      <c r="E214" s="131"/>
      <c r="F214" s="131"/>
    </row>
    <row r="215" spans="1:6" x14ac:dyDescent="0.3">
      <c r="A215" s="131"/>
      <c r="B215" s="131"/>
      <c r="C215" s="131"/>
      <c r="D215" s="131"/>
      <c r="E215" s="131"/>
      <c r="F215" s="131"/>
    </row>
    <row r="216" spans="1:6" x14ac:dyDescent="0.3">
      <c r="A216" s="131"/>
      <c r="B216" s="131"/>
      <c r="C216" s="131"/>
      <c r="D216" s="131"/>
      <c r="E216" s="131"/>
      <c r="F216" s="131"/>
    </row>
    <row r="217" spans="1:6" x14ac:dyDescent="0.3">
      <c r="A217" s="131"/>
      <c r="B217" s="131"/>
      <c r="C217" s="131"/>
      <c r="D217" s="131"/>
      <c r="E217" s="131"/>
      <c r="F217" s="131"/>
    </row>
    <row r="218" spans="1:6" x14ac:dyDescent="0.3">
      <c r="A218" s="131"/>
      <c r="B218" s="131"/>
      <c r="C218" s="131"/>
      <c r="D218" s="131"/>
      <c r="E218" s="131"/>
      <c r="F218" s="131"/>
    </row>
    <row r="219" spans="1:6" x14ac:dyDescent="0.3">
      <c r="A219" s="131"/>
      <c r="B219" s="131"/>
      <c r="C219" s="131"/>
      <c r="D219" s="131"/>
      <c r="E219" s="131"/>
      <c r="F219" s="131"/>
    </row>
    <row r="220" spans="1:6" x14ac:dyDescent="0.3">
      <c r="A220" s="131"/>
      <c r="B220" s="131"/>
      <c r="C220" s="131"/>
      <c r="D220" s="131"/>
      <c r="E220" s="131"/>
      <c r="F220" s="131"/>
    </row>
    <row r="221" spans="1:6" x14ac:dyDescent="0.3">
      <c r="A221" s="131"/>
      <c r="B221" s="131"/>
      <c r="C221" s="131"/>
      <c r="D221" s="131"/>
      <c r="E221" s="131"/>
      <c r="F221" s="131"/>
    </row>
    <row r="222" spans="1:6" x14ac:dyDescent="0.3">
      <c r="A222" s="131"/>
      <c r="B222" s="131"/>
      <c r="C222" s="131"/>
      <c r="D222" s="131"/>
      <c r="E222" s="131"/>
      <c r="F222" s="131"/>
    </row>
    <row r="223" spans="1:6" x14ac:dyDescent="0.3">
      <c r="A223" s="131"/>
      <c r="B223" s="131"/>
      <c r="C223" s="131"/>
      <c r="D223" s="131"/>
      <c r="E223" s="131"/>
      <c r="F223" s="131"/>
    </row>
    <row r="224" spans="1:6" x14ac:dyDescent="0.3">
      <c r="A224" s="131"/>
      <c r="B224" s="131"/>
      <c r="C224" s="131"/>
      <c r="D224" s="131"/>
      <c r="E224" s="131"/>
      <c r="F224" s="131"/>
    </row>
    <row r="225" spans="1:6" x14ac:dyDescent="0.3">
      <c r="A225" s="131"/>
      <c r="B225" s="131"/>
      <c r="C225" s="131"/>
      <c r="D225" s="131"/>
      <c r="E225" s="131"/>
      <c r="F225" s="131"/>
    </row>
    <row r="226" spans="1:6" x14ac:dyDescent="0.3">
      <c r="A226" s="131"/>
      <c r="B226" s="131"/>
      <c r="C226" s="131"/>
      <c r="D226" s="131"/>
      <c r="E226" s="131"/>
      <c r="F226" s="131"/>
    </row>
    <row r="227" spans="1:6" x14ac:dyDescent="0.3">
      <c r="A227" s="131"/>
      <c r="B227" s="131"/>
      <c r="C227" s="131"/>
      <c r="D227" s="131"/>
      <c r="E227" s="131"/>
      <c r="F227" s="131"/>
    </row>
    <row r="228" spans="1:6" x14ac:dyDescent="0.3">
      <c r="A228" s="131"/>
      <c r="B228" s="131"/>
      <c r="C228" s="131"/>
      <c r="D228" s="131"/>
      <c r="E228" s="131"/>
      <c r="F228" s="131"/>
    </row>
    <row r="229" spans="1:6" x14ac:dyDescent="0.3">
      <c r="A229" s="131"/>
      <c r="B229" s="131"/>
      <c r="C229" s="131"/>
      <c r="D229" s="131"/>
      <c r="E229" s="131"/>
      <c r="F229" s="131"/>
    </row>
    <row r="230" spans="1:6" x14ac:dyDescent="0.3">
      <c r="A230" s="131"/>
      <c r="B230" s="131"/>
      <c r="C230" s="131"/>
      <c r="D230" s="131"/>
      <c r="E230" s="131"/>
      <c r="F230" s="131"/>
    </row>
    <row r="231" spans="1:6" x14ac:dyDescent="0.3">
      <c r="A231" s="131"/>
      <c r="B231" s="131"/>
      <c r="C231" s="131"/>
      <c r="D231" s="131"/>
      <c r="E231" s="131"/>
      <c r="F231" s="131"/>
    </row>
    <row r="232" spans="1:6" x14ac:dyDescent="0.3">
      <c r="A232" s="131"/>
      <c r="B232" s="131"/>
      <c r="C232" s="131"/>
      <c r="D232" s="131"/>
      <c r="E232" s="131"/>
      <c r="F232" s="131"/>
    </row>
    <row r="233" spans="1:6" x14ac:dyDescent="0.3">
      <c r="A233" s="131"/>
      <c r="B233" s="131"/>
      <c r="C233" s="131"/>
      <c r="D233" s="131"/>
      <c r="E233" s="131"/>
      <c r="F233" s="131"/>
    </row>
    <row r="234" spans="1:6" x14ac:dyDescent="0.3">
      <c r="A234" s="131"/>
      <c r="B234" s="131"/>
      <c r="C234" s="131"/>
      <c r="D234" s="131"/>
      <c r="E234" s="131"/>
      <c r="F234" s="131"/>
    </row>
    <row r="235" spans="1:6" x14ac:dyDescent="0.3">
      <c r="A235" s="131"/>
      <c r="B235" s="131"/>
      <c r="C235" s="131"/>
      <c r="D235" s="131"/>
      <c r="E235" s="131"/>
      <c r="F235" s="131"/>
    </row>
    <row r="236" spans="1:6" x14ac:dyDescent="0.3">
      <c r="A236" s="131"/>
      <c r="B236" s="131"/>
      <c r="C236" s="131"/>
      <c r="D236" s="131"/>
      <c r="E236" s="131"/>
      <c r="F236" s="131"/>
    </row>
    <row r="237" spans="1:6" x14ac:dyDescent="0.3">
      <c r="A237" s="131"/>
      <c r="B237" s="131"/>
      <c r="C237" s="131"/>
      <c r="D237" s="131"/>
      <c r="E237" s="131"/>
      <c r="F237" s="131"/>
    </row>
    <row r="238" spans="1:6" x14ac:dyDescent="0.3">
      <c r="A238" s="131"/>
      <c r="B238" s="131"/>
      <c r="C238" s="131"/>
      <c r="D238" s="131"/>
      <c r="E238" s="131"/>
      <c r="F238" s="131"/>
    </row>
    <row r="239" spans="1:6" x14ac:dyDescent="0.3">
      <c r="A239" s="131"/>
      <c r="B239" s="131"/>
      <c r="C239" s="131"/>
      <c r="D239" s="131"/>
      <c r="E239" s="131"/>
      <c r="F239" s="131"/>
    </row>
    <row r="240" spans="1:6" x14ac:dyDescent="0.3">
      <c r="A240" s="131"/>
      <c r="B240" s="131"/>
      <c r="C240" s="131"/>
      <c r="D240" s="131"/>
      <c r="E240" s="131"/>
      <c r="F240" s="131"/>
    </row>
    <row r="241" spans="1:6" x14ac:dyDescent="0.3">
      <c r="A241" s="131"/>
      <c r="B241" s="131"/>
      <c r="C241" s="131"/>
      <c r="D241" s="131"/>
      <c r="E241" s="131"/>
      <c r="F241" s="131"/>
    </row>
    <row r="242" spans="1:6" x14ac:dyDescent="0.3">
      <c r="A242" s="131"/>
      <c r="B242" s="131"/>
      <c r="C242" s="131"/>
      <c r="D242" s="131"/>
      <c r="E242" s="131"/>
      <c r="F242" s="131"/>
    </row>
    <row r="243" spans="1:6" x14ac:dyDescent="0.3">
      <c r="A243" s="131"/>
      <c r="B243" s="131"/>
      <c r="C243" s="131"/>
      <c r="D243" s="131"/>
      <c r="E243" s="131"/>
      <c r="F243" s="131"/>
    </row>
    <row r="244" spans="1:6" x14ac:dyDescent="0.3">
      <c r="A244" s="131"/>
      <c r="B244" s="131"/>
      <c r="C244" s="131"/>
      <c r="D244" s="131"/>
      <c r="E244" s="131"/>
      <c r="F244" s="131"/>
    </row>
    <row r="245" spans="1:6" x14ac:dyDescent="0.3">
      <c r="A245" s="131"/>
      <c r="B245" s="131"/>
      <c r="C245" s="131"/>
      <c r="D245" s="131"/>
      <c r="E245" s="131"/>
      <c r="F245" s="131"/>
    </row>
    <row r="246" spans="1:6" x14ac:dyDescent="0.3">
      <c r="A246" s="131"/>
      <c r="B246" s="131"/>
      <c r="C246" s="131"/>
      <c r="D246" s="131"/>
      <c r="E246" s="131"/>
      <c r="F246" s="131"/>
    </row>
    <row r="247" spans="1:6" x14ac:dyDescent="0.3">
      <c r="A247" s="131"/>
      <c r="B247" s="131"/>
      <c r="C247" s="131"/>
      <c r="D247" s="131"/>
      <c r="E247" s="131"/>
      <c r="F247" s="131"/>
    </row>
    <row r="248" spans="1:6" x14ac:dyDescent="0.3">
      <c r="A248" s="131"/>
      <c r="B248" s="131"/>
      <c r="C248" s="131"/>
      <c r="D248" s="131"/>
      <c r="E248" s="131"/>
      <c r="F248" s="131"/>
    </row>
    <row r="249" spans="1:6" x14ac:dyDescent="0.3">
      <c r="A249" s="131"/>
      <c r="B249" s="131"/>
      <c r="C249" s="131"/>
      <c r="D249" s="131"/>
      <c r="E249" s="131"/>
      <c r="F249" s="131"/>
    </row>
    <row r="250" spans="1:6" x14ac:dyDescent="0.3">
      <c r="A250" s="131"/>
      <c r="B250" s="131"/>
      <c r="C250" s="131"/>
      <c r="D250" s="131"/>
      <c r="E250" s="131"/>
      <c r="F250" s="131"/>
    </row>
    <row r="251" spans="1:6" x14ac:dyDescent="0.3">
      <c r="A251" s="131"/>
      <c r="B251" s="131"/>
      <c r="C251" s="131"/>
      <c r="D251" s="131"/>
      <c r="E251" s="131"/>
      <c r="F251" s="131"/>
    </row>
    <row r="252" spans="1:6" x14ac:dyDescent="0.3">
      <c r="A252" s="131"/>
      <c r="B252" s="131"/>
      <c r="C252" s="131"/>
      <c r="D252" s="131"/>
      <c r="E252" s="131"/>
      <c r="F252" s="131"/>
    </row>
    <row r="253" spans="1:6" x14ac:dyDescent="0.3">
      <c r="A253" s="131"/>
      <c r="B253" s="131"/>
      <c r="C253" s="131"/>
      <c r="D253" s="131"/>
      <c r="E253" s="131"/>
      <c r="F253" s="131"/>
    </row>
    <row r="254" spans="1:6" x14ac:dyDescent="0.3">
      <c r="A254" s="131"/>
      <c r="B254" s="131"/>
      <c r="C254" s="131"/>
      <c r="D254" s="131"/>
      <c r="E254" s="131"/>
      <c r="F254" s="131"/>
    </row>
    <row r="255" spans="1:6" x14ac:dyDescent="0.3">
      <c r="A255" s="131"/>
      <c r="B255" s="131"/>
      <c r="C255" s="131"/>
      <c r="D255" s="131"/>
      <c r="E255" s="131"/>
      <c r="F255" s="131"/>
    </row>
    <row r="256" spans="1:6" x14ac:dyDescent="0.3">
      <c r="A256" s="131"/>
      <c r="B256" s="131"/>
      <c r="C256" s="131"/>
      <c r="D256" s="131"/>
      <c r="E256" s="131"/>
      <c r="F256" s="131"/>
    </row>
    <row r="257" spans="1:6" x14ac:dyDescent="0.3">
      <c r="A257" s="131"/>
      <c r="B257" s="131"/>
      <c r="C257" s="131"/>
      <c r="D257" s="131"/>
      <c r="E257" s="131"/>
      <c r="F257" s="131"/>
    </row>
    <row r="258" spans="1:6" x14ac:dyDescent="0.3">
      <c r="A258" s="131"/>
      <c r="B258" s="131"/>
      <c r="C258" s="131"/>
      <c r="D258" s="131"/>
      <c r="E258" s="131"/>
      <c r="F258" s="131"/>
    </row>
    <row r="259" spans="1:6" x14ac:dyDescent="0.3">
      <c r="A259" s="131"/>
      <c r="B259" s="131"/>
      <c r="C259" s="131"/>
      <c r="D259" s="131"/>
      <c r="E259" s="131"/>
      <c r="F259" s="131"/>
    </row>
    <row r="260" spans="1:6" x14ac:dyDescent="0.3">
      <c r="A260" s="131"/>
      <c r="B260" s="131"/>
      <c r="C260" s="131"/>
      <c r="D260" s="131"/>
      <c r="E260" s="131"/>
      <c r="F260" s="131"/>
    </row>
    <row r="261" spans="1:6" x14ac:dyDescent="0.3">
      <c r="A261" s="131"/>
      <c r="B261" s="131"/>
      <c r="C261" s="131"/>
      <c r="D261" s="131"/>
      <c r="E261" s="131"/>
      <c r="F261" s="131"/>
    </row>
    <row r="262" spans="1:6" x14ac:dyDescent="0.3">
      <c r="A262" s="131"/>
      <c r="B262" s="131"/>
      <c r="C262" s="131"/>
      <c r="D262" s="131"/>
      <c r="E262" s="131"/>
      <c r="F262" s="131"/>
    </row>
    <row r="263" spans="1:6" x14ac:dyDescent="0.3">
      <c r="A263" s="131"/>
      <c r="B263" s="131"/>
      <c r="C263" s="131"/>
      <c r="D263" s="131"/>
      <c r="E263" s="131"/>
      <c r="F263" s="131"/>
    </row>
    <row r="264" spans="1:6" x14ac:dyDescent="0.3">
      <c r="A264" s="131"/>
      <c r="B264" s="131"/>
      <c r="C264" s="131"/>
      <c r="D264" s="131"/>
      <c r="E264" s="131"/>
      <c r="F264" s="131"/>
    </row>
    <row r="265" spans="1:6" x14ac:dyDescent="0.3">
      <c r="A265" s="131"/>
      <c r="B265" s="131"/>
      <c r="C265" s="131"/>
      <c r="D265" s="131"/>
      <c r="E265" s="131"/>
      <c r="F265" s="131"/>
    </row>
    <row r="266" spans="1:6" x14ac:dyDescent="0.3">
      <c r="A266" s="131"/>
      <c r="B266" s="131"/>
      <c r="C266" s="131"/>
      <c r="D266" s="131"/>
      <c r="E266" s="131"/>
      <c r="F266" s="131"/>
    </row>
    <row r="267" spans="1:6" x14ac:dyDescent="0.3">
      <c r="A267" s="131"/>
      <c r="B267" s="131"/>
      <c r="C267" s="131"/>
      <c r="D267" s="131"/>
      <c r="E267" s="131"/>
      <c r="F267" s="131"/>
    </row>
    <row r="268" spans="1:6" x14ac:dyDescent="0.3">
      <c r="A268" s="131"/>
      <c r="B268" s="131"/>
      <c r="C268" s="131"/>
      <c r="D268" s="131"/>
      <c r="E268" s="131"/>
      <c r="F268" s="131"/>
    </row>
    <row r="269" spans="1:6" x14ac:dyDescent="0.3">
      <c r="A269" s="131"/>
      <c r="B269" s="131"/>
      <c r="C269" s="131"/>
      <c r="D269" s="131"/>
      <c r="E269" s="131"/>
      <c r="F269" s="131"/>
    </row>
    <row r="270" spans="1:6" x14ac:dyDescent="0.3">
      <c r="A270" s="131"/>
      <c r="B270" s="131"/>
      <c r="C270" s="131"/>
      <c r="D270" s="131"/>
      <c r="E270" s="131"/>
      <c r="F270" s="131"/>
    </row>
    <row r="271" spans="1:6" x14ac:dyDescent="0.3">
      <c r="A271" s="131"/>
      <c r="B271" s="131"/>
      <c r="C271" s="131"/>
      <c r="D271" s="131"/>
      <c r="E271" s="131"/>
      <c r="F271" s="131"/>
    </row>
    <row r="272" spans="1:6" x14ac:dyDescent="0.3">
      <c r="A272" s="131"/>
      <c r="B272" s="131"/>
      <c r="C272" s="131"/>
      <c r="D272" s="131"/>
      <c r="E272" s="131"/>
      <c r="F272" s="131"/>
    </row>
    <row r="273" spans="1:6" x14ac:dyDescent="0.3">
      <c r="A273" s="131"/>
      <c r="B273" s="131"/>
      <c r="C273" s="131"/>
      <c r="D273" s="131"/>
      <c r="E273" s="131"/>
      <c r="F273" s="131"/>
    </row>
    <row r="274" spans="1:6" x14ac:dyDescent="0.3">
      <c r="A274" s="131"/>
      <c r="B274" s="131"/>
      <c r="C274" s="131"/>
      <c r="D274" s="131"/>
      <c r="E274" s="131"/>
      <c r="F274" s="131"/>
    </row>
    <row r="275" spans="1:6" x14ac:dyDescent="0.3">
      <c r="A275" s="131"/>
      <c r="B275" s="131"/>
      <c r="C275" s="131"/>
      <c r="D275" s="131"/>
      <c r="E275" s="131"/>
      <c r="F275" s="131"/>
    </row>
    <row r="276" spans="1:6" x14ac:dyDescent="0.3">
      <c r="A276" s="131"/>
      <c r="B276" s="131"/>
      <c r="C276" s="131"/>
      <c r="D276" s="131"/>
      <c r="E276" s="131"/>
      <c r="F276" s="131"/>
    </row>
    <row r="277" spans="1:6" x14ac:dyDescent="0.3">
      <c r="A277" s="131"/>
      <c r="B277" s="131"/>
      <c r="C277" s="131"/>
      <c r="D277" s="131"/>
      <c r="E277" s="131"/>
      <c r="F277" s="131"/>
    </row>
    <row r="278" spans="1:6" x14ac:dyDescent="0.3">
      <c r="A278" s="131"/>
      <c r="B278" s="131"/>
      <c r="C278" s="131"/>
      <c r="D278" s="131"/>
      <c r="E278" s="131"/>
      <c r="F278" s="131"/>
    </row>
    <row r="279" spans="1:6" x14ac:dyDescent="0.3">
      <c r="A279" s="131"/>
      <c r="B279" s="131"/>
      <c r="C279" s="131"/>
      <c r="D279" s="131"/>
      <c r="E279" s="131"/>
      <c r="F279" s="131"/>
    </row>
    <row r="280" spans="1:6" x14ac:dyDescent="0.3">
      <c r="A280" s="131"/>
      <c r="B280" s="131"/>
      <c r="C280" s="131"/>
      <c r="D280" s="131"/>
      <c r="E280" s="131"/>
      <c r="F280" s="131"/>
    </row>
    <row r="281" spans="1:6" x14ac:dyDescent="0.3">
      <c r="A281" s="131"/>
      <c r="B281" s="131"/>
      <c r="C281" s="131"/>
      <c r="D281" s="131"/>
      <c r="E281" s="131"/>
      <c r="F281" s="131"/>
    </row>
    <row r="282" spans="1:6" x14ac:dyDescent="0.3">
      <c r="A282" s="131"/>
      <c r="B282" s="131"/>
      <c r="C282" s="131"/>
      <c r="D282" s="131"/>
      <c r="E282" s="131"/>
      <c r="F282" s="131"/>
    </row>
    <row r="283" spans="1:6" x14ac:dyDescent="0.3">
      <c r="A283" s="131"/>
      <c r="B283" s="131"/>
      <c r="C283" s="131"/>
      <c r="D283" s="131"/>
      <c r="E283" s="131"/>
      <c r="F283" s="131"/>
    </row>
    <row r="284" spans="1:6" x14ac:dyDescent="0.3">
      <c r="A284" s="131"/>
      <c r="B284" s="131"/>
      <c r="C284" s="131"/>
      <c r="D284" s="131"/>
      <c r="E284" s="131"/>
      <c r="F284" s="131"/>
    </row>
    <row r="285" spans="1:6" x14ac:dyDescent="0.3">
      <c r="A285" s="131"/>
      <c r="B285" s="131"/>
      <c r="C285" s="131"/>
      <c r="D285" s="131"/>
      <c r="E285" s="131"/>
      <c r="F285" s="131"/>
    </row>
    <row r="286" spans="1:6" x14ac:dyDescent="0.3">
      <c r="A286" s="131"/>
      <c r="B286" s="131"/>
      <c r="C286" s="131"/>
      <c r="D286" s="131"/>
      <c r="E286" s="131"/>
      <c r="F286" s="131"/>
    </row>
    <row r="287" spans="1:6" x14ac:dyDescent="0.3">
      <c r="A287" s="131"/>
      <c r="B287" s="131"/>
      <c r="C287" s="131"/>
      <c r="D287" s="131"/>
      <c r="E287" s="131"/>
      <c r="F287" s="131"/>
    </row>
    <row r="288" spans="1:6" x14ac:dyDescent="0.3">
      <c r="A288" s="131"/>
      <c r="B288" s="131"/>
      <c r="C288" s="131"/>
      <c r="D288" s="131"/>
      <c r="E288" s="131"/>
      <c r="F288" s="131"/>
    </row>
    <row r="289" spans="1:6" x14ac:dyDescent="0.3">
      <c r="A289" s="131"/>
      <c r="B289" s="131"/>
      <c r="C289" s="131"/>
      <c r="D289" s="131"/>
      <c r="E289" s="131"/>
      <c r="F289" s="131"/>
    </row>
    <row r="290" spans="1:6" x14ac:dyDescent="0.3">
      <c r="A290" s="131"/>
      <c r="B290" s="131"/>
      <c r="C290" s="131"/>
      <c r="D290" s="131"/>
      <c r="E290" s="131"/>
      <c r="F290" s="131"/>
    </row>
    <row r="291" spans="1:6" x14ac:dyDescent="0.3">
      <c r="A291" s="131"/>
      <c r="B291" s="131"/>
      <c r="C291" s="131"/>
      <c r="D291" s="131"/>
      <c r="E291" s="131"/>
      <c r="F291" s="131"/>
    </row>
    <row r="292" spans="1:6" x14ac:dyDescent="0.3">
      <c r="A292" s="131"/>
      <c r="B292" s="131"/>
      <c r="C292" s="131"/>
      <c r="D292" s="131"/>
      <c r="E292" s="131"/>
      <c r="F292" s="131"/>
    </row>
    <row r="293" spans="1:6" x14ac:dyDescent="0.3">
      <c r="A293" s="131"/>
      <c r="B293" s="131"/>
      <c r="C293" s="131"/>
      <c r="D293" s="131"/>
      <c r="E293" s="131"/>
      <c r="F293" s="131"/>
    </row>
    <row r="294" spans="1:6" x14ac:dyDescent="0.3">
      <c r="A294" s="131"/>
      <c r="B294" s="131"/>
      <c r="C294" s="131"/>
      <c r="D294" s="131"/>
      <c r="E294" s="131"/>
      <c r="F294" s="131"/>
    </row>
    <row r="295" spans="1:6" x14ac:dyDescent="0.3">
      <c r="A295" s="131"/>
      <c r="B295" s="131"/>
      <c r="C295" s="131"/>
      <c r="D295" s="131"/>
      <c r="E295" s="131"/>
      <c r="F295" s="131"/>
    </row>
    <row r="296" spans="1:6" x14ac:dyDescent="0.3">
      <c r="A296" s="131"/>
      <c r="B296" s="131"/>
      <c r="C296" s="131"/>
      <c r="D296" s="131"/>
      <c r="E296" s="131"/>
      <c r="F296" s="131"/>
    </row>
    <row r="297" spans="1:6" x14ac:dyDescent="0.3">
      <c r="A297" s="131"/>
      <c r="B297" s="131"/>
      <c r="C297" s="131"/>
      <c r="D297" s="131"/>
      <c r="E297" s="131"/>
      <c r="F297" s="131"/>
    </row>
    <row r="298" spans="1:6" x14ac:dyDescent="0.3">
      <c r="A298" s="131"/>
      <c r="B298" s="131"/>
      <c r="C298" s="131"/>
      <c r="D298" s="131"/>
      <c r="E298" s="131"/>
      <c r="F298" s="131"/>
    </row>
    <row r="299" spans="1:6" x14ac:dyDescent="0.3">
      <c r="A299" s="131"/>
      <c r="B299" s="131"/>
      <c r="C299" s="131"/>
      <c r="D299" s="131"/>
      <c r="E299" s="131"/>
      <c r="F299" s="131"/>
    </row>
    <row r="300" spans="1:6" x14ac:dyDescent="0.3">
      <c r="A300" s="131"/>
      <c r="B300" s="131"/>
      <c r="C300" s="131"/>
      <c r="D300" s="131"/>
      <c r="E300" s="131"/>
      <c r="F300" s="131"/>
    </row>
    <row r="301" spans="1:6" x14ac:dyDescent="0.3">
      <c r="A301" s="131"/>
      <c r="B301" s="131"/>
      <c r="C301" s="131"/>
      <c r="D301" s="131"/>
      <c r="E301" s="131"/>
      <c r="F301" s="131"/>
    </row>
    <row r="302" spans="1:6" x14ac:dyDescent="0.3">
      <c r="A302" s="131"/>
      <c r="B302" s="131"/>
      <c r="C302" s="131"/>
      <c r="D302" s="131"/>
      <c r="E302" s="131"/>
      <c r="F302" s="131"/>
    </row>
    <row r="303" spans="1:6" x14ac:dyDescent="0.3">
      <c r="A303" s="131"/>
      <c r="B303" s="131"/>
      <c r="C303" s="131"/>
      <c r="D303" s="131"/>
      <c r="E303" s="131"/>
      <c r="F303" s="131"/>
    </row>
    <row r="304" spans="1:6" x14ac:dyDescent="0.3">
      <c r="A304" s="131"/>
      <c r="B304" s="131"/>
      <c r="C304" s="131"/>
      <c r="D304" s="131"/>
      <c r="E304" s="131"/>
      <c r="F304" s="131"/>
    </row>
    <row r="305" spans="1:6" x14ac:dyDescent="0.3">
      <c r="A305" s="131"/>
      <c r="B305" s="131"/>
      <c r="C305" s="131"/>
      <c r="D305" s="131"/>
      <c r="E305" s="131"/>
      <c r="F305" s="131"/>
    </row>
    <row r="306" spans="1:6" x14ac:dyDescent="0.3">
      <c r="A306" s="131"/>
      <c r="B306" s="131"/>
      <c r="C306" s="131"/>
      <c r="D306" s="131"/>
      <c r="E306" s="131"/>
      <c r="F306" s="131"/>
    </row>
    <row r="307" spans="1:6" x14ac:dyDescent="0.3">
      <c r="A307" s="131"/>
      <c r="B307" s="131"/>
      <c r="C307" s="131"/>
      <c r="D307" s="131"/>
      <c r="E307" s="131"/>
      <c r="F307" s="131"/>
    </row>
    <row r="308" spans="1:6" x14ac:dyDescent="0.3">
      <c r="A308" s="131"/>
      <c r="B308" s="131"/>
      <c r="C308" s="131"/>
      <c r="D308" s="131"/>
      <c r="E308" s="131"/>
      <c r="F308" s="131"/>
    </row>
    <row r="309" spans="1:6" x14ac:dyDescent="0.3">
      <c r="A309" s="131"/>
      <c r="B309" s="131"/>
      <c r="C309" s="131"/>
      <c r="D309" s="131"/>
      <c r="E309" s="131"/>
      <c r="F309" s="131"/>
    </row>
    <row r="310" spans="1:6" x14ac:dyDescent="0.3">
      <c r="A310" s="131"/>
      <c r="B310" s="131"/>
      <c r="C310" s="131"/>
      <c r="D310" s="131"/>
      <c r="E310" s="131"/>
      <c r="F310" s="131"/>
    </row>
    <row r="311" spans="1:6" x14ac:dyDescent="0.3">
      <c r="A311" s="131"/>
      <c r="B311" s="131"/>
      <c r="C311" s="131"/>
      <c r="D311" s="131"/>
      <c r="E311" s="131"/>
      <c r="F311" s="131"/>
    </row>
    <row r="312" spans="1:6" x14ac:dyDescent="0.3">
      <c r="A312" s="131"/>
      <c r="B312" s="131"/>
      <c r="C312" s="131"/>
      <c r="D312" s="131"/>
      <c r="E312" s="131"/>
      <c r="F312" s="131"/>
    </row>
    <row r="313" spans="1:6" x14ac:dyDescent="0.3">
      <c r="A313" s="131"/>
      <c r="B313" s="131"/>
      <c r="C313" s="131"/>
      <c r="D313" s="131"/>
      <c r="E313" s="131"/>
      <c r="F313" s="131"/>
    </row>
    <row r="314" spans="1:6" x14ac:dyDescent="0.3">
      <c r="A314" s="131"/>
      <c r="B314" s="131"/>
      <c r="C314" s="131"/>
      <c r="D314" s="131"/>
      <c r="E314" s="131"/>
      <c r="F314" s="131"/>
    </row>
    <row r="315" spans="1:6" x14ac:dyDescent="0.3">
      <c r="A315" s="131"/>
      <c r="B315" s="131"/>
      <c r="C315" s="131"/>
      <c r="D315" s="131"/>
      <c r="E315" s="131"/>
      <c r="F315" s="131"/>
    </row>
    <row r="316" spans="1:6" x14ac:dyDescent="0.3">
      <c r="A316" s="131"/>
      <c r="B316" s="131"/>
      <c r="C316" s="131"/>
      <c r="D316" s="131"/>
      <c r="E316" s="131"/>
      <c r="F316" s="131"/>
    </row>
    <row r="317" spans="1:6" x14ac:dyDescent="0.3">
      <c r="A317" s="131"/>
      <c r="B317" s="131"/>
      <c r="C317" s="131"/>
      <c r="D317" s="131"/>
      <c r="E317" s="131"/>
      <c r="F317" s="131"/>
    </row>
    <row r="318" spans="1:6" x14ac:dyDescent="0.3">
      <c r="A318" s="131"/>
      <c r="B318" s="131"/>
      <c r="C318" s="131"/>
      <c r="D318" s="131"/>
      <c r="E318" s="131"/>
      <c r="F318" s="131"/>
    </row>
    <row r="319" spans="1:6" x14ac:dyDescent="0.3">
      <c r="A319" s="131"/>
      <c r="B319" s="131"/>
      <c r="C319" s="131"/>
      <c r="D319" s="131"/>
      <c r="E319" s="131"/>
      <c r="F319" s="131"/>
    </row>
    <row r="320" spans="1:6" x14ac:dyDescent="0.3">
      <c r="A320" s="131"/>
      <c r="B320" s="131"/>
      <c r="C320" s="131"/>
      <c r="D320" s="131"/>
      <c r="E320" s="131"/>
      <c r="F320" s="131"/>
    </row>
    <row r="321" spans="1:6" x14ac:dyDescent="0.3">
      <c r="A321" s="131"/>
      <c r="B321" s="131"/>
      <c r="C321" s="131"/>
      <c r="D321" s="131"/>
      <c r="E321" s="131"/>
      <c r="F321" s="131"/>
    </row>
    <row r="322" spans="1:6" x14ac:dyDescent="0.3">
      <c r="A322" s="131"/>
      <c r="B322" s="131"/>
      <c r="C322" s="131"/>
      <c r="D322" s="131"/>
      <c r="E322" s="131"/>
      <c r="F322" s="131"/>
    </row>
    <row r="323" spans="1:6" x14ac:dyDescent="0.3">
      <c r="A323" s="131"/>
      <c r="B323" s="131"/>
      <c r="C323" s="131"/>
      <c r="D323" s="131"/>
      <c r="E323" s="131"/>
      <c r="F323" s="131"/>
    </row>
    <row r="324" spans="1:6" x14ac:dyDescent="0.3">
      <c r="A324" s="131"/>
      <c r="B324" s="131"/>
      <c r="C324" s="131"/>
      <c r="D324" s="131"/>
      <c r="E324" s="131"/>
      <c r="F324" s="131"/>
    </row>
    <row r="325" spans="1:6" x14ac:dyDescent="0.3">
      <c r="A325" s="131"/>
      <c r="B325" s="131"/>
      <c r="C325" s="131"/>
      <c r="D325" s="131"/>
      <c r="E325" s="131"/>
      <c r="F325" s="131"/>
    </row>
    <row r="326" spans="1:6" x14ac:dyDescent="0.3">
      <c r="A326" s="131"/>
      <c r="B326" s="131"/>
      <c r="C326" s="131"/>
      <c r="D326" s="131"/>
      <c r="E326" s="131"/>
      <c r="F326" s="131"/>
    </row>
    <row r="327" spans="1:6" x14ac:dyDescent="0.3">
      <c r="A327" s="131"/>
      <c r="B327" s="131"/>
      <c r="C327" s="131"/>
      <c r="D327" s="131"/>
      <c r="E327" s="131"/>
      <c r="F327" s="131"/>
    </row>
    <row r="328" spans="1:6" x14ac:dyDescent="0.3">
      <c r="A328" s="131"/>
      <c r="B328" s="131"/>
      <c r="C328" s="131"/>
      <c r="D328" s="131"/>
      <c r="E328" s="131"/>
      <c r="F328" s="131"/>
    </row>
    <row r="329" spans="1:6" x14ac:dyDescent="0.3">
      <c r="A329" s="131"/>
      <c r="B329" s="131"/>
      <c r="C329" s="131"/>
      <c r="D329" s="131"/>
      <c r="E329" s="131"/>
      <c r="F329" s="131"/>
    </row>
    <row r="330" spans="1:6" x14ac:dyDescent="0.3">
      <c r="A330" s="131"/>
      <c r="B330" s="131"/>
      <c r="C330" s="131"/>
      <c r="D330" s="131"/>
      <c r="E330" s="131"/>
      <c r="F330" s="131"/>
    </row>
    <row r="331" spans="1:6" x14ac:dyDescent="0.3">
      <c r="A331" s="131"/>
      <c r="B331" s="131"/>
      <c r="C331" s="131"/>
      <c r="D331" s="131"/>
      <c r="E331" s="131"/>
      <c r="F331" s="131"/>
    </row>
    <row r="332" spans="1:6" x14ac:dyDescent="0.3">
      <c r="A332" s="131"/>
      <c r="B332" s="131"/>
      <c r="C332" s="131"/>
      <c r="D332" s="131"/>
      <c r="E332" s="131"/>
      <c r="F332" s="131"/>
    </row>
    <row r="333" spans="1:6" x14ac:dyDescent="0.3">
      <c r="A333" s="131"/>
      <c r="B333" s="131"/>
      <c r="C333" s="131"/>
      <c r="D333" s="131"/>
      <c r="E333" s="131"/>
      <c r="F333" s="131"/>
    </row>
    <row r="334" spans="1:6" x14ac:dyDescent="0.3">
      <c r="A334" s="131"/>
      <c r="B334" s="131"/>
      <c r="C334" s="131"/>
      <c r="D334" s="131"/>
      <c r="E334" s="131"/>
      <c r="F334" s="131"/>
    </row>
    <row r="335" spans="1:6" x14ac:dyDescent="0.3">
      <c r="A335" s="131"/>
      <c r="B335" s="131"/>
      <c r="C335" s="131"/>
      <c r="D335" s="131"/>
      <c r="E335" s="131"/>
      <c r="F335" s="131"/>
    </row>
    <row r="336" spans="1:6" x14ac:dyDescent="0.3">
      <c r="A336" s="131"/>
      <c r="B336" s="131"/>
      <c r="C336" s="131"/>
      <c r="D336" s="131"/>
      <c r="E336" s="131"/>
      <c r="F336" s="131"/>
    </row>
    <row r="337" spans="1:6" x14ac:dyDescent="0.3">
      <c r="A337" s="131"/>
      <c r="B337" s="131"/>
      <c r="C337" s="131"/>
      <c r="D337" s="131"/>
      <c r="E337" s="131"/>
      <c r="F337" s="131"/>
    </row>
    <row r="338" spans="1:6" x14ac:dyDescent="0.3">
      <c r="A338" s="131"/>
      <c r="B338" s="131"/>
      <c r="C338" s="131"/>
      <c r="D338" s="131"/>
      <c r="E338" s="131"/>
      <c r="F338" s="131"/>
    </row>
    <row r="339" spans="1:6" x14ac:dyDescent="0.3">
      <c r="A339" s="131"/>
      <c r="B339" s="131"/>
      <c r="C339" s="131"/>
      <c r="D339" s="131"/>
      <c r="E339" s="131"/>
      <c r="F339" s="131"/>
    </row>
    <row r="340" spans="1:6" x14ac:dyDescent="0.3">
      <c r="A340" s="131"/>
      <c r="B340" s="131"/>
      <c r="C340" s="131"/>
      <c r="D340" s="131"/>
      <c r="E340" s="131"/>
      <c r="F340" s="131"/>
    </row>
    <row r="341" spans="1:6" x14ac:dyDescent="0.3">
      <c r="A341" s="131"/>
      <c r="B341" s="131"/>
      <c r="C341" s="131"/>
      <c r="D341" s="131"/>
      <c r="E341" s="131"/>
      <c r="F341" s="131"/>
    </row>
    <row r="342" spans="1:6" x14ac:dyDescent="0.3">
      <c r="A342" s="131"/>
      <c r="B342" s="131"/>
      <c r="C342" s="131"/>
      <c r="D342" s="131"/>
      <c r="E342" s="131"/>
      <c r="F342" s="131"/>
    </row>
    <row r="343" spans="1:6" x14ac:dyDescent="0.3">
      <c r="A343" s="131"/>
      <c r="B343" s="131"/>
      <c r="C343" s="131"/>
      <c r="D343" s="131"/>
      <c r="E343" s="131"/>
      <c r="F343" s="131"/>
    </row>
    <row r="344" spans="1:6" x14ac:dyDescent="0.3">
      <c r="A344" s="131"/>
      <c r="B344" s="131"/>
      <c r="C344" s="131"/>
      <c r="D344" s="131"/>
      <c r="E344" s="131"/>
      <c r="F344" s="131"/>
    </row>
    <row r="345" spans="1:6" x14ac:dyDescent="0.3">
      <c r="A345" s="131"/>
      <c r="B345" s="131"/>
      <c r="C345" s="131"/>
      <c r="D345" s="131"/>
      <c r="E345" s="131"/>
      <c r="F345" s="131"/>
    </row>
    <row r="346" spans="1:6" x14ac:dyDescent="0.3">
      <c r="A346" s="131"/>
      <c r="B346" s="131"/>
      <c r="C346" s="131"/>
      <c r="D346" s="131"/>
      <c r="E346" s="131"/>
      <c r="F346" s="131"/>
    </row>
    <row r="347" spans="1:6" x14ac:dyDescent="0.3">
      <c r="A347" s="131"/>
      <c r="B347" s="131"/>
      <c r="C347" s="131"/>
      <c r="D347" s="131"/>
      <c r="E347" s="131"/>
      <c r="F347" s="131"/>
    </row>
    <row r="348" spans="1:6" x14ac:dyDescent="0.3">
      <c r="A348" s="131"/>
      <c r="B348" s="131"/>
      <c r="C348" s="131"/>
      <c r="D348" s="131"/>
      <c r="E348" s="131"/>
      <c r="F348" s="131"/>
    </row>
    <row r="349" spans="1:6" x14ac:dyDescent="0.3">
      <c r="A349" s="131"/>
      <c r="B349" s="131"/>
      <c r="C349" s="131"/>
      <c r="D349" s="131"/>
      <c r="E349" s="131"/>
      <c r="F349" s="131"/>
    </row>
    <row r="350" spans="1:6" x14ac:dyDescent="0.3">
      <c r="A350" s="131"/>
      <c r="B350" s="131"/>
      <c r="C350" s="131"/>
      <c r="D350" s="131"/>
      <c r="E350" s="131"/>
      <c r="F350" s="131"/>
    </row>
    <row r="351" spans="1:6" x14ac:dyDescent="0.3">
      <c r="A351" s="131"/>
      <c r="B351" s="131"/>
      <c r="C351" s="131"/>
      <c r="D351" s="131"/>
      <c r="E351" s="131"/>
      <c r="F351" s="131"/>
    </row>
    <row r="352" spans="1:6" x14ac:dyDescent="0.3">
      <c r="A352" s="131"/>
      <c r="B352" s="131"/>
      <c r="C352" s="131"/>
      <c r="D352" s="131"/>
      <c r="E352" s="131"/>
      <c r="F352" s="131"/>
    </row>
    <row r="353" spans="1:6" x14ac:dyDescent="0.3">
      <c r="A353" s="131"/>
      <c r="B353" s="131"/>
      <c r="C353" s="131"/>
      <c r="D353" s="131"/>
      <c r="E353" s="131"/>
      <c r="F353" s="131"/>
    </row>
    <row r="354" spans="1:6" x14ac:dyDescent="0.3">
      <c r="A354" s="131"/>
      <c r="B354" s="131"/>
      <c r="C354" s="131"/>
      <c r="D354" s="131"/>
      <c r="E354" s="131"/>
      <c r="F354" s="131"/>
    </row>
    <row r="355" spans="1:6" x14ac:dyDescent="0.3">
      <c r="A355" s="131"/>
      <c r="B355" s="131"/>
      <c r="C355" s="131"/>
      <c r="D355" s="131"/>
      <c r="E355" s="131"/>
      <c r="F355" s="131"/>
    </row>
    <row r="356" spans="1:6" x14ac:dyDescent="0.3">
      <c r="A356" s="131"/>
      <c r="B356" s="131"/>
      <c r="C356" s="131"/>
      <c r="D356" s="131"/>
      <c r="E356" s="131"/>
      <c r="F356" s="131"/>
    </row>
    <row r="357" spans="1:6" x14ac:dyDescent="0.3">
      <c r="A357" s="131"/>
      <c r="B357" s="131"/>
      <c r="C357" s="131"/>
      <c r="D357" s="131"/>
      <c r="E357" s="131"/>
      <c r="F357" s="131"/>
    </row>
    <row r="358" spans="1:6" x14ac:dyDescent="0.3">
      <c r="A358" s="131"/>
      <c r="B358" s="131"/>
      <c r="C358" s="131"/>
      <c r="D358" s="131"/>
      <c r="E358" s="131"/>
      <c r="F358" s="131"/>
    </row>
    <row r="359" spans="1:6" x14ac:dyDescent="0.3">
      <c r="A359" s="131"/>
      <c r="B359" s="131"/>
      <c r="C359" s="131"/>
      <c r="D359" s="131"/>
      <c r="E359" s="131"/>
      <c r="F359" s="131"/>
    </row>
    <row r="360" spans="1:6" x14ac:dyDescent="0.3">
      <c r="A360" s="131"/>
      <c r="B360" s="131"/>
      <c r="C360" s="131"/>
      <c r="D360" s="131"/>
      <c r="E360" s="131"/>
      <c r="F360" s="131"/>
    </row>
    <row r="361" spans="1:6" x14ac:dyDescent="0.3">
      <c r="A361" s="131"/>
      <c r="B361" s="131"/>
      <c r="C361" s="131"/>
      <c r="D361" s="131"/>
      <c r="E361" s="131"/>
      <c r="F361" s="131"/>
    </row>
    <row r="362" spans="1:6" x14ac:dyDescent="0.3">
      <c r="A362" s="131"/>
      <c r="B362" s="131"/>
      <c r="C362" s="131"/>
      <c r="D362" s="131"/>
      <c r="E362" s="131"/>
      <c r="F362" s="131"/>
    </row>
    <row r="363" spans="1:6" x14ac:dyDescent="0.3">
      <c r="A363" s="131"/>
      <c r="B363" s="131"/>
      <c r="C363" s="131"/>
      <c r="D363" s="131"/>
      <c r="E363" s="131"/>
      <c r="F363" s="131"/>
    </row>
    <row r="364" spans="1:6" x14ac:dyDescent="0.3">
      <c r="A364" s="131"/>
      <c r="B364" s="131"/>
      <c r="C364" s="131"/>
      <c r="D364" s="131"/>
      <c r="E364" s="131"/>
      <c r="F364" s="131"/>
    </row>
    <row r="365" spans="1:6" x14ac:dyDescent="0.3">
      <c r="A365" s="131"/>
      <c r="B365" s="131"/>
      <c r="C365" s="131"/>
      <c r="D365" s="131"/>
      <c r="E365" s="131"/>
      <c r="F365" s="131"/>
    </row>
    <row r="366" spans="1:6" x14ac:dyDescent="0.3">
      <c r="A366" s="131"/>
      <c r="B366" s="131"/>
      <c r="C366" s="131"/>
      <c r="D366" s="131"/>
      <c r="E366" s="131"/>
      <c r="F366" s="131"/>
    </row>
    <row r="367" spans="1:6" x14ac:dyDescent="0.3">
      <c r="A367" s="131"/>
      <c r="B367" s="131"/>
      <c r="C367" s="131"/>
      <c r="D367" s="131"/>
      <c r="E367" s="131"/>
      <c r="F367" s="131"/>
    </row>
    <row r="368" spans="1:6" x14ac:dyDescent="0.3">
      <c r="A368" s="131"/>
      <c r="B368" s="131"/>
      <c r="C368" s="131"/>
      <c r="D368" s="131"/>
      <c r="E368" s="131"/>
      <c r="F368" s="131"/>
    </row>
    <row r="369" spans="1:6" x14ac:dyDescent="0.3">
      <c r="A369" s="131"/>
      <c r="B369" s="131"/>
      <c r="C369" s="131"/>
      <c r="D369" s="131"/>
      <c r="E369" s="131"/>
      <c r="F369" s="131"/>
    </row>
    <row r="370" spans="1:6" x14ac:dyDescent="0.3">
      <c r="A370" s="131"/>
      <c r="B370" s="131"/>
      <c r="C370" s="131"/>
      <c r="D370" s="131"/>
      <c r="E370" s="131"/>
      <c r="F370" s="131"/>
    </row>
    <row r="371" spans="1:6" x14ac:dyDescent="0.3">
      <c r="A371" s="131"/>
      <c r="B371" s="131"/>
      <c r="C371" s="131"/>
      <c r="D371" s="131"/>
      <c r="E371" s="131"/>
      <c r="F371" s="131"/>
    </row>
    <row r="372" spans="1:6" x14ac:dyDescent="0.3">
      <c r="A372" s="131"/>
      <c r="B372" s="131"/>
      <c r="C372" s="131"/>
      <c r="D372" s="131"/>
      <c r="E372" s="131"/>
      <c r="F372" s="131"/>
    </row>
    <row r="373" spans="1:6" x14ac:dyDescent="0.3">
      <c r="A373" s="131"/>
      <c r="B373" s="131"/>
      <c r="C373" s="131"/>
      <c r="D373" s="131"/>
      <c r="E373" s="131"/>
      <c r="F373" s="131"/>
    </row>
    <row r="374" spans="1:6" x14ac:dyDescent="0.3">
      <c r="A374" s="131"/>
      <c r="B374" s="131"/>
      <c r="C374" s="131"/>
      <c r="D374" s="131"/>
      <c r="E374" s="131"/>
      <c r="F374" s="131"/>
    </row>
    <row r="375" spans="1:6" x14ac:dyDescent="0.3">
      <c r="A375" s="131"/>
      <c r="B375" s="131"/>
      <c r="C375" s="131"/>
      <c r="D375" s="131"/>
      <c r="E375" s="131"/>
      <c r="F375" s="131"/>
    </row>
    <row r="376" spans="1:6" x14ac:dyDescent="0.3">
      <c r="A376" s="131"/>
      <c r="B376" s="131"/>
      <c r="C376" s="131"/>
      <c r="D376" s="131"/>
      <c r="E376" s="131"/>
      <c r="F376" s="131"/>
    </row>
    <row r="377" spans="1:6" x14ac:dyDescent="0.3">
      <c r="A377" s="131"/>
      <c r="B377" s="131"/>
      <c r="C377" s="131"/>
      <c r="D377" s="131"/>
      <c r="E377" s="131"/>
      <c r="F377" s="131"/>
    </row>
    <row r="378" spans="1:6" x14ac:dyDescent="0.3">
      <c r="A378" s="131"/>
      <c r="B378" s="131"/>
      <c r="C378" s="131"/>
      <c r="D378" s="131"/>
      <c r="E378" s="131"/>
      <c r="F378" s="131"/>
    </row>
    <row r="379" spans="1:6" x14ac:dyDescent="0.3">
      <c r="A379" s="131"/>
      <c r="B379" s="131"/>
      <c r="C379" s="131"/>
      <c r="D379" s="131"/>
      <c r="E379" s="131"/>
      <c r="F379" s="131"/>
    </row>
    <row r="380" spans="1:6" x14ac:dyDescent="0.3">
      <c r="A380" s="131"/>
      <c r="B380" s="131"/>
      <c r="C380" s="131"/>
      <c r="D380" s="131"/>
      <c r="E380" s="131"/>
      <c r="F380" s="131"/>
    </row>
    <row r="381" spans="1:6" x14ac:dyDescent="0.3">
      <c r="A381" s="131"/>
      <c r="B381" s="131"/>
      <c r="C381" s="131"/>
      <c r="D381" s="131"/>
      <c r="E381" s="131"/>
      <c r="F381" s="131"/>
    </row>
    <row r="382" spans="1:6" x14ac:dyDescent="0.3">
      <c r="A382" s="131"/>
      <c r="B382" s="131"/>
      <c r="C382" s="131"/>
      <c r="D382" s="131"/>
      <c r="E382" s="131"/>
      <c r="F382" s="131"/>
    </row>
    <row r="383" spans="1:6" x14ac:dyDescent="0.3">
      <c r="A383" s="131"/>
      <c r="B383" s="131"/>
      <c r="C383" s="131"/>
      <c r="D383" s="131"/>
      <c r="E383" s="131"/>
      <c r="F383" s="131"/>
    </row>
    <row r="384" spans="1:6" x14ac:dyDescent="0.3">
      <c r="A384" s="131"/>
      <c r="B384" s="131"/>
      <c r="C384" s="131"/>
      <c r="D384" s="131"/>
      <c r="E384" s="131"/>
      <c r="F384" s="131"/>
    </row>
    <row r="385" spans="1:6" x14ac:dyDescent="0.3">
      <c r="A385" s="131"/>
      <c r="B385" s="131"/>
      <c r="C385" s="131"/>
      <c r="D385" s="131"/>
      <c r="E385" s="131"/>
      <c r="F385" s="131"/>
    </row>
    <row r="386" spans="1:6" x14ac:dyDescent="0.3">
      <c r="A386" s="131"/>
      <c r="B386" s="131"/>
      <c r="C386" s="131"/>
      <c r="D386" s="131"/>
      <c r="E386" s="131"/>
      <c r="F386" s="131"/>
    </row>
    <row r="387" spans="1:6" x14ac:dyDescent="0.3">
      <c r="A387" s="131"/>
      <c r="B387" s="131"/>
      <c r="C387" s="131"/>
      <c r="D387" s="131"/>
      <c r="E387" s="131"/>
      <c r="F387" s="131"/>
    </row>
    <row r="388" spans="1:6" x14ac:dyDescent="0.3">
      <c r="A388" s="131"/>
      <c r="B388" s="131"/>
      <c r="C388" s="131"/>
      <c r="D388" s="131"/>
      <c r="E388" s="131"/>
      <c r="F388" s="131"/>
    </row>
    <row r="389" spans="1:6" x14ac:dyDescent="0.3">
      <c r="A389" s="131"/>
      <c r="B389" s="131"/>
      <c r="C389" s="131"/>
      <c r="D389" s="131"/>
      <c r="E389" s="131"/>
      <c r="F389" s="131"/>
    </row>
    <row r="390" spans="1:6" x14ac:dyDescent="0.3">
      <c r="A390" s="131"/>
      <c r="B390" s="131"/>
      <c r="C390" s="131"/>
      <c r="D390" s="131"/>
      <c r="E390" s="131"/>
      <c r="F390" s="131"/>
    </row>
    <row r="391" spans="1:6" x14ac:dyDescent="0.3">
      <c r="A391" s="131"/>
      <c r="B391" s="131"/>
      <c r="C391" s="131"/>
      <c r="D391" s="131"/>
      <c r="E391" s="131"/>
      <c r="F391" s="131"/>
    </row>
    <row r="392" spans="1:6" x14ac:dyDescent="0.3">
      <c r="A392" s="131"/>
      <c r="B392" s="131"/>
      <c r="C392" s="131"/>
      <c r="D392" s="131"/>
      <c r="E392" s="131"/>
      <c r="F392" s="131"/>
    </row>
    <row r="393" spans="1:6" x14ac:dyDescent="0.3">
      <c r="A393" s="131"/>
      <c r="B393" s="131"/>
      <c r="C393" s="131"/>
      <c r="D393" s="131"/>
      <c r="E393" s="131"/>
      <c r="F393" s="131"/>
    </row>
    <row r="394" spans="1:6" x14ac:dyDescent="0.3">
      <c r="A394" s="131"/>
      <c r="B394" s="131"/>
      <c r="C394" s="131"/>
      <c r="D394" s="131"/>
      <c r="E394" s="131"/>
      <c r="F394" s="131"/>
    </row>
    <row r="395" spans="1:6" x14ac:dyDescent="0.3">
      <c r="A395" s="131"/>
      <c r="B395" s="131"/>
      <c r="C395" s="131"/>
      <c r="D395" s="131"/>
      <c r="E395" s="131"/>
      <c r="F395" s="131"/>
    </row>
    <row r="396" spans="1:6" x14ac:dyDescent="0.3">
      <c r="A396" s="131"/>
      <c r="B396" s="131"/>
      <c r="C396" s="131"/>
      <c r="D396" s="131"/>
      <c r="E396" s="131"/>
      <c r="F396" s="131"/>
    </row>
    <row r="397" spans="1:6" x14ac:dyDescent="0.3">
      <c r="A397" s="131"/>
      <c r="B397" s="131"/>
      <c r="C397" s="131"/>
      <c r="D397" s="131"/>
      <c r="E397" s="131"/>
      <c r="F397" s="131"/>
    </row>
    <row r="398" spans="1:6" x14ac:dyDescent="0.3">
      <c r="A398" s="131"/>
      <c r="B398" s="131"/>
      <c r="C398" s="131"/>
      <c r="D398" s="131"/>
      <c r="E398" s="131"/>
      <c r="F398" s="131"/>
    </row>
    <row r="399" spans="1:6" x14ac:dyDescent="0.3">
      <c r="A399" s="131"/>
      <c r="B399" s="131"/>
      <c r="C399" s="131"/>
      <c r="D399" s="131"/>
      <c r="E399" s="131"/>
      <c r="F399" s="131"/>
    </row>
    <row r="400" spans="1:6" x14ac:dyDescent="0.3">
      <c r="A400" s="131"/>
      <c r="B400" s="131"/>
      <c r="C400" s="131"/>
      <c r="D400" s="131"/>
      <c r="E400" s="131"/>
      <c r="F400" s="131"/>
    </row>
    <row r="401" spans="1:6" x14ac:dyDescent="0.3">
      <c r="A401" s="131"/>
      <c r="B401" s="131"/>
      <c r="C401" s="131"/>
      <c r="D401" s="131"/>
      <c r="E401" s="131"/>
      <c r="F401" s="131"/>
    </row>
    <row r="402" spans="1:6" x14ac:dyDescent="0.3">
      <c r="A402" s="131"/>
      <c r="B402" s="131"/>
      <c r="C402" s="131"/>
      <c r="D402" s="131"/>
      <c r="E402" s="131"/>
      <c r="F402" s="131"/>
    </row>
    <row r="403" spans="1:6" x14ac:dyDescent="0.3">
      <c r="A403" s="131"/>
      <c r="B403" s="131"/>
      <c r="C403" s="131"/>
      <c r="D403" s="131"/>
      <c r="E403" s="131"/>
      <c r="F403" s="131"/>
    </row>
    <row r="404" spans="1:6" x14ac:dyDescent="0.3">
      <c r="A404" s="131"/>
      <c r="B404" s="131"/>
      <c r="C404" s="131"/>
      <c r="D404" s="131"/>
      <c r="E404" s="131"/>
      <c r="F404" s="131"/>
    </row>
    <row r="405" spans="1:6" x14ac:dyDescent="0.3">
      <c r="A405" s="131"/>
      <c r="B405" s="131"/>
      <c r="C405" s="131"/>
      <c r="D405" s="131"/>
      <c r="E405" s="131"/>
      <c r="F405" s="131"/>
    </row>
    <row r="406" spans="1:6" x14ac:dyDescent="0.3">
      <c r="A406" s="131"/>
      <c r="B406" s="131"/>
      <c r="C406" s="131"/>
      <c r="D406" s="131"/>
      <c r="E406" s="131"/>
      <c r="F406" s="131"/>
    </row>
    <row r="407" spans="1:6" x14ac:dyDescent="0.3">
      <c r="A407" s="131"/>
      <c r="B407" s="131"/>
      <c r="C407" s="131"/>
      <c r="D407" s="131"/>
      <c r="E407" s="131"/>
      <c r="F407" s="131"/>
    </row>
    <row r="408" spans="1:6" x14ac:dyDescent="0.3">
      <c r="A408" s="131"/>
      <c r="B408" s="131"/>
      <c r="C408" s="131"/>
      <c r="D408" s="131"/>
      <c r="E408" s="131"/>
      <c r="F408" s="131"/>
    </row>
    <row r="409" spans="1:6" x14ac:dyDescent="0.3">
      <c r="A409" s="131"/>
      <c r="B409" s="131"/>
      <c r="C409" s="131"/>
      <c r="D409" s="131"/>
      <c r="E409" s="131"/>
      <c r="F409" s="131"/>
    </row>
    <row r="410" spans="1:6" x14ac:dyDescent="0.3">
      <c r="A410" s="131"/>
      <c r="B410" s="131"/>
      <c r="C410" s="131"/>
      <c r="D410" s="131"/>
      <c r="E410" s="131"/>
      <c r="F410" s="131"/>
    </row>
    <row r="411" spans="1:6" x14ac:dyDescent="0.3">
      <c r="A411" s="131"/>
      <c r="B411" s="131"/>
      <c r="C411" s="131"/>
      <c r="D411" s="131"/>
      <c r="E411" s="131"/>
      <c r="F411" s="131"/>
    </row>
    <row r="412" spans="1:6" x14ac:dyDescent="0.3">
      <c r="A412" s="131"/>
      <c r="B412" s="131"/>
      <c r="C412" s="131"/>
      <c r="D412" s="131"/>
      <c r="E412" s="131"/>
      <c r="F412" s="131"/>
    </row>
    <row r="413" spans="1:6" x14ac:dyDescent="0.3">
      <c r="A413" s="131"/>
      <c r="B413" s="131"/>
      <c r="C413" s="131"/>
      <c r="D413" s="131"/>
      <c r="E413" s="131"/>
      <c r="F413" s="131"/>
    </row>
    <row r="414" spans="1:6" x14ac:dyDescent="0.3">
      <c r="A414" s="131"/>
      <c r="B414" s="131"/>
      <c r="C414" s="131"/>
      <c r="D414" s="131"/>
      <c r="E414" s="131"/>
      <c r="F414" s="131"/>
    </row>
    <row r="415" spans="1:6" x14ac:dyDescent="0.3">
      <c r="A415" s="131"/>
      <c r="B415" s="131"/>
      <c r="C415" s="131"/>
      <c r="D415" s="131"/>
      <c r="E415" s="131"/>
      <c r="F415" s="131"/>
    </row>
    <row r="416" spans="1:6" x14ac:dyDescent="0.3">
      <c r="A416" s="131"/>
      <c r="B416" s="131"/>
      <c r="C416" s="131"/>
      <c r="D416" s="131"/>
      <c r="E416" s="131"/>
      <c r="F416" s="131"/>
    </row>
    <row r="417" spans="1:6" x14ac:dyDescent="0.3">
      <c r="A417" s="131"/>
      <c r="B417" s="131"/>
      <c r="C417" s="131"/>
      <c r="D417" s="131"/>
      <c r="E417" s="131"/>
      <c r="F417" s="131"/>
    </row>
    <row r="418" spans="1:6" x14ac:dyDescent="0.3">
      <c r="A418" s="131"/>
      <c r="B418" s="131"/>
      <c r="C418" s="131"/>
      <c r="D418" s="131"/>
      <c r="E418" s="131"/>
      <c r="F418" s="131"/>
    </row>
    <row r="419" spans="1:6" x14ac:dyDescent="0.3">
      <c r="A419" s="131"/>
      <c r="B419" s="131"/>
      <c r="C419" s="131"/>
      <c r="D419" s="131"/>
      <c r="E419" s="131"/>
      <c r="F419" s="131"/>
    </row>
    <row r="420" spans="1:6" x14ac:dyDescent="0.3">
      <c r="A420" s="131"/>
      <c r="B420" s="131"/>
      <c r="C420" s="131"/>
      <c r="D420" s="131"/>
      <c r="E420" s="131"/>
      <c r="F420" s="131"/>
    </row>
    <row r="421" spans="1:6" x14ac:dyDescent="0.3">
      <c r="A421" s="131"/>
      <c r="B421" s="131"/>
      <c r="C421" s="131"/>
      <c r="D421" s="131"/>
      <c r="E421" s="131"/>
      <c r="F421" s="131"/>
    </row>
    <row r="422" spans="1:6" x14ac:dyDescent="0.3">
      <c r="A422" s="131"/>
      <c r="B422" s="131"/>
      <c r="C422" s="131"/>
      <c r="D422" s="131"/>
      <c r="E422" s="131"/>
      <c r="F422" s="131"/>
    </row>
    <row r="423" spans="1:6" x14ac:dyDescent="0.3">
      <c r="A423" s="131"/>
      <c r="B423" s="131"/>
      <c r="C423" s="131"/>
      <c r="D423" s="131"/>
      <c r="E423" s="131"/>
      <c r="F423" s="131"/>
    </row>
    <row r="424" spans="1:6" x14ac:dyDescent="0.3">
      <c r="A424" s="131"/>
      <c r="B424" s="131"/>
      <c r="C424" s="131"/>
      <c r="D424" s="131"/>
      <c r="E424" s="131"/>
      <c r="F424" s="131"/>
    </row>
    <row r="425" spans="1:6" x14ac:dyDescent="0.3">
      <c r="A425" s="131"/>
      <c r="B425" s="131"/>
      <c r="C425" s="131"/>
      <c r="D425" s="131"/>
      <c r="E425" s="131"/>
      <c r="F425" s="131"/>
    </row>
    <row r="426" spans="1:6" x14ac:dyDescent="0.3">
      <c r="A426" s="131"/>
      <c r="B426" s="131"/>
      <c r="C426" s="131"/>
      <c r="D426" s="131"/>
      <c r="E426" s="131"/>
      <c r="F426" s="131"/>
    </row>
    <row r="427" spans="1:6" x14ac:dyDescent="0.3">
      <c r="A427" s="131"/>
      <c r="B427" s="131"/>
      <c r="C427" s="131"/>
      <c r="D427" s="131"/>
      <c r="E427" s="131"/>
      <c r="F427" s="131"/>
    </row>
    <row r="428" spans="1:6" x14ac:dyDescent="0.3">
      <c r="A428" s="131"/>
      <c r="B428" s="131"/>
      <c r="C428" s="131"/>
      <c r="D428" s="131"/>
      <c r="E428" s="131"/>
      <c r="F428" s="131"/>
    </row>
    <row r="429" spans="1:6" x14ac:dyDescent="0.3">
      <c r="A429" s="131"/>
      <c r="B429" s="131"/>
      <c r="C429" s="131"/>
      <c r="D429" s="131"/>
      <c r="E429" s="131"/>
      <c r="F429" s="131"/>
    </row>
    <row r="430" spans="1:6" x14ac:dyDescent="0.3">
      <c r="A430" s="131"/>
      <c r="B430" s="131"/>
      <c r="C430" s="131"/>
      <c r="D430" s="131"/>
      <c r="E430" s="131"/>
      <c r="F430" s="131"/>
    </row>
    <row r="431" spans="1:6" x14ac:dyDescent="0.3">
      <c r="A431" s="131"/>
      <c r="B431" s="131"/>
      <c r="C431" s="131"/>
      <c r="D431" s="131"/>
      <c r="E431" s="131"/>
      <c r="F431" s="131"/>
    </row>
    <row r="432" spans="1:6" x14ac:dyDescent="0.3">
      <c r="A432" s="131"/>
      <c r="B432" s="131"/>
      <c r="C432" s="131"/>
      <c r="D432" s="131"/>
      <c r="E432" s="131"/>
      <c r="F432" s="131"/>
    </row>
    <row r="433" spans="1:6" x14ac:dyDescent="0.3">
      <c r="A433" s="131"/>
      <c r="B433" s="131"/>
      <c r="C433" s="131"/>
      <c r="D433" s="131"/>
      <c r="E433" s="131"/>
      <c r="F433" s="131"/>
    </row>
    <row r="434" spans="1:6" x14ac:dyDescent="0.3">
      <c r="A434" s="131"/>
      <c r="B434" s="131"/>
      <c r="C434" s="131"/>
      <c r="D434" s="131"/>
      <c r="E434" s="131"/>
      <c r="F434" s="131"/>
    </row>
    <row r="435" spans="1:6" x14ac:dyDescent="0.3">
      <c r="A435" s="131"/>
      <c r="B435" s="131"/>
      <c r="C435" s="131"/>
      <c r="D435" s="131"/>
      <c r="E435" s="131"/>
      <c r="F435" s="131"/>
    </row>
    <row r="436" spans="1:6" x14ac:dyDescent="0.3">
      <c r="A436" s="131"/>
      <c r="B436" s="131"/>
      <c r="C436" s="131"/>
      <c r="D436" s="131"/>
      <c r="E436" s="131"/>
      <c r="F436" s="131"/>
    </row>
    <row r="437" spans="1:6" x14ac:dyDescent="0.3">
      <c r="A437" s="131"/>
      <c r="B437" s="131"/>
      <c r="C437" s="131"/>
      <c r="D437" s="131"/>
      <c r="E437" s="131"/>
      <c r="F437" s="131"/>
    </row>
    <row r="438" spans="1:6" x14ac:dyDescent="0.3">
      <c r="A438" s="131"/>
      <c r="B438" s="131"/>
      <c r="C438" s="131"/>
      <c r="D438" s="131"/>
      <c r="E438" s="131"/>
      <c r="F438" s="131"/>
    </row>
    <row r="439" spans="1:6" x14ac:dyDescent="0.3">
      <c r="A439" s="131"/>
      <c r="B439" s="131"/>
      <c r="C439" s="131"/>
      <c r="D439" s="131"/>
      <c r="E439" s="131"/>
      <c r="F439" s="131"/>
    </row>
    <row r="440" spans="1:6" x14ac:dyDescent="0.3">
      <c r="A440" s="131"/>
      <c r="B440" s="131"/>
      <c r="C440" s="131"/>
      <c r="D440" s="131"/>
      <c r="E440" s="131"/>
      <c r="F440" s="131"/>
    </row>
    <row r="441" spans="1:6" x14ac:dyDescent="0.3">
      <c r="A441" s="131"/>
      <c r="B441" s="131"/>
      <c r="C441" s="131"/>
      <c r="D441" s="131"/>
      <c r="E441" s="131"/>
      <c r="F441" s="131"/>
    </row>
    <row r="442" spans="1:6" x14ac:dyDescent="0.3">
      <c r="A442" s="131"/>
      <c r="B442" s="131"/>
      <c r="C442" s="131"/>
      <c r="D442" s="131"/>
      <c r="E442" s="131"/>
      <c r="F442" s="131"/>
    </row>
    <row r="443" spans="1:6" x14ac:dyDescent="0.3">
      <c r="A443" s="131"/>
      <c r="B443" s="131"/>
      <c r="C443" s="131"/>
      <c r="D443" s="131"/>
      <c r="E443" s="131"/>
      <c r="F443" s="131"/>
    </row>
    <row r="444" spans="1:6" x14ac:dyDescent="0.3">
      <c r="A444" s="131"/>
      <c r="B444" s="131"/>
      <c r="C444" s="131"/>
      <c r="D444" s="131"/>
      <c r="E444" s="131"/>
      <c r="F444" s="131"/>
    </row>
    <row r="445" spans="1:6" x14ac:dyDescent="0.3">
      <c r="A445" s="131"/>
      <c r="B445" s="131"/>
      <c r="C445" s="131"/>
      <c r="D445" s="131"/>
      <c r="E445" s="131"/>
      <c r="F445" s="131"/>
    </row>
    <row r="446" spans="1:6" x14ac:dyDescent="0.3">
      <c r="A446" s="131"/>
      <c r="B446" s="131"/>
      <c r="C446" s="131"/>
      <c r="D446" s="131"/>
      <c r="E446" s="131"/>
      <c r="F446" s="131"/>
    </row>
    <row r="447" spans="1:6" x14ac:dyDescent="0.3">
      <c r="A447" s="131"/>
      <c r="B447" s="131"/>
      <c r="C447" s="131"/>
      <c r="D447" s="131"/>
      <c r="E447" s="131"/>
      <c r="F447" s="131"/>
    </row>
    <row r="448" spans="1:6" x14ac:dyDescent="0.3">
      <c r="A448" s="131"/>
      <c r="B448" s="131"/>
      <c r="C448" s="131"/>
      <c r="D448" s="131"/>
      <c r="E448" s="131"/>
      <c r="F448" s="131"/>
    </row>
    <row r="449" spans="1:6" x14ac:dyDescent="0.3">
      <c r="A449" s="131"/>
      <c r="B449" s="131"/>
      <c r="C449" s="131"/>
      <c r="D449" s="131"/>
      <c r="E449" s="131"/>
      <c r="F449" s="131"/>
    </row>
    <row r="450" spans="1:6" x14ac:dyDescent="0.3">
      <c r="A450" s="131"/>
      <c r="B450" s="131"/>
      <c r="C450" s="131"/>
      <c r="D450" s="131"/>
      <c r="E450" s="131"/>
      <c r="F450" s="131"/>
    </row>
    <row r="451" spans="1:6" x14ac:dyDescent="0.3">
      <c r="A451" s="131"/>
      <c r="B451" s="131"/>
      <c r="C451" s="131"/>
      <c r="D451" s="131"/>
      <c r="E451" s="131"/>
      <c r="F451" s="131"/>
    </row>
    <row r="452" spans="1:6" x14ac:dyDescent="0.3">
      <c r="A452" s="131"/>
      <c r="B452" s="131"/>
      <c r="C452" s="131"/>
      <c r="D452" s="131"/>
      <c r="E452" s="131"/>
      <c r="F452" s="131"/>
    </row>
    <row r="453" spans="1:6" x14ac:dyDescent="0.3">
      <c r="A453" s="131"/>
      <c r="B453" s="131"/>
      <c r="C453" s="131"/>
      <c r="D453" s="131"/>
      <c r="E453" s="131"/>
      <c r="F453" s="131"/>
    </row>
    <row r="454" spans="1:6" x14ac:dyDescent="0.3">
      <c r="A454" s="131"/>
      <c r="B454" s="131"/>
      <c r="C454" s="131"/>
      <c r="D454" s="131"/>
      <c r="E454" s="131"/>
      <c r="F454" s="131"/>
    </row>
    <row r="455" spans="1:6" x14ac:dyDescent="0.3">
      <c r="A455" s="131"/>
      <c r="B455" s="131"/>
      <c r="C455" s="131"/>
      <c r="D455" s="131"/>
      <c r="E455" s="131"/>
      <c r="F455" s="131"/>
    </row>
    <row r="456" spans="1:6" x14ac:dyDescent="0.3">
      <c r="A456" s="131"/>
      <c r="B456" s="131"/>
      <c r="C456" s="131"/>
      <c r="D456" s="131"/>
      <c r="E456" s="131"/>
      <c r="F456" s="131"/>
    </row>
    <row r="457" spans="1:6" x14ac:dyDescent="0.3">
      <c r="A457" s="131"/>
      <c r="B457" s="131"/>
      <c r="C457" s="131"/>
      <c r="D457" s="131"/>
      <c r="E457" s="131"/>
      <c r="F457" s="131"/>
    </row>
    <row r="458" spans="1:6" x14ac:dyDescent="0.3">
      <c r="A458" s="131"/>
      <c r="B458" s="131"/>
      <c r="C458" s="131"/>
      <c r="D458" s="131"/>
      <c r="E458" s="131"/>
      <c r="F458" s="131"/>
    </row>
    <row r="459" spans="1:6" x14ac:dyDescent="0.3">
      <c r="A459" s="131"/>
      <c r="B459" s="131"/>
      <c r="C459" s="131"/>
      <c r="D459" s="131"/>
      <c r="E459" s="131"/>
      <c r="F459" s="131"/>
    </row>
    <row r="460" spans="1:6" x14ac:dyDescent="0.3">
      <c r="A460" s="131"/>
      <c r="B460" s="131"/>
      <c r="C460" s="131"/>
      <c r="D460" s="131"/>
      <c r="E460" s="131"/>
      <c r="F460" s="131"/>
    </row>
    <row r="461" spans="1:6" x14ac:dyDescent="0.3">
      <c r="A461" s="131"/>
      <c r="B461" s="131"/>
      <c r="C461" s="131"/>
      <c r="D461" s="131"/>
      <c r="E461" s="131"/>
      <c r="F461" s="131"/>
    </row>
    <row r="462" spans="1:6" x14ac:dyDescent="0.3">
      <c r="A462" s="131"/>
      <c r="B462" s="131"/>
      <c r="C462" s="131"/>
      <c r="D462" s="131"/>
      <c r="E462" s="131"/>
      <c r="F462" s="131"/>
    </row>
    <row r="463" spans="1:6" x14ac:dyDescent="0.3">
      <c r="A463" s="131"/>
      <c r="B463" s="131"/>
      <c r="C463" s="131"/>
      <c r="D463" s="131"/>
      <c r="E463" s="131"/>
      <c r="F463" s="131"/>
    </row>
    <row r="464" spans="1:6" x14ac:dyDescent="0.3">
      <c r="A464" s="131"/>
      <c r="B464" s="131"/>
      <c r="C464" s="131"/>
      <c r="D464" s="131"/>
      <c r="E464" s="131"/>
      <c r="F464" s="131"/>
    </row>
    <row r="465" spans="1:6" x14ac:dyDescent="0.3">
      <c r="A465" s="131"/>
      <c r="B465" s="131"/>
      <c r="C465" s="131"/>
      <c r="D465" s="131"/>
      <c r="E465" s="131"/>
      <c r="F465" s="131"/>
    </row>
    <row r="466" spans="1:6" x14ac:dyDescent="0.3">
      <c r="A466" s="131"/>
      <c r="B466" s="131"/>
      <c r="C466" s="131"/>
      <c r="D466" s="131"/>
      <c r="E466" s="131"/>
      <c r="F466" s="131"/>
    </row>
    <row r="467" spans="1:6" x14ac:dyDescent="0.3">
      <c r="A467" s="131"/>
      <c r="B467" s="131"/>
      <c r="C467" s="131"/>
      <c r="D467" s="131"/>
      <c r="E467" s="131"/>
      <c r="F467" s="131"/>
    </row>
    <row r="468" spans="1:6" x14ac:dyDescent="0.3">
      <c r="A468" s="131"/>
      <c r="B468" s="131"/>
      <c r="C468" s="131"/>
      <c r="D468" s="131"/>
      <c r="E468" s="131"/>
      <c r="F468" s="131"/>
    </row>
    <row r="469" spans="1:6" x14ac:dyDescent="0.3">
      <c r="A469" s="131"/>
      <c r="B469" s="131"/>
      <c r="C469" s="131"/>
      <c r="D469" s="131"/>
      <c r="E469" s="131"/>
      <c r="F469" s="131"/>
    </row>
    <row r="470" spans="1:6" x14ac:dyDescent="0.3">
      <c r="A470" s="131"/>
      <c r="B470" s="131"/>
      <c r="C470" s="131"/>
      <c r="D470" s="131"/>
      <c r="E470" s="131"/>
      <c r="F470" s="131"/>
    </row>
    <row r="471" spans="1:6" x14ac:dyDescent="0.3">
      <c r="A471" s="131"/>
      <c r="B471" s="131"/>
      <c r="C471" s="131"/>
      <c r="D471" s="131"/>
      <c r="E471" s="131"/>
      <c r="F471" s="131"/>
    </row>
    <row r="472" spans="1:6" x14ac:dyDescent="0.3">
      <c r="A472" s="131"/>
      <c r="B472" s="131"/>
      <c r="C472" s="131"/>
      <c r="D472" s="131"/>
      <c r="E472" s="131"/>
      <c r="F472" s="131"/>
    </row>
    <row r="473" spans="1:6" x14ac:dyDescent="0.3">
      <c r="A473" s="131"/>
      <c r="B473" s="131"/>
      <c r="C473" s="131"/>
      <c r="D473" s="131"/>
      <c r="E473" s="131"/>
      <c r="F473" s="131"/>
    </row>
    <row r="474" spans="1:6" x14ac:dyDescent="0.3">
      <c r="A474" s="131"/>
      <c r="B474" s="131"/>
      <c r="C474" s="131"/>
      <c r="D474" s="131"/>
      <c r="E474" s="131"/>
      <c r="F474" s="131"/>
    </row>
    <row r="475" spans="1:6" x14ac:dyDescent="0.3">
      <c r="A475" s="131"/>
      <c r="B475" s="131"/>
      <c r="C475" s="131"/>
      <c r="D475" s="131"/>
      <c r="E475" s="131"/>
      <c r="F475" s="131"/>
    </row>
    <row r="476" spans="1:6" x14ac:dyDescent="0.3">
      <c r="A476" s="131"/>
      <c r="B476" s="131"/>
      <c r="C476" s="131"/>
      <c r="D476" s="131"/>
      <c r="E476" s="131"/>
      <c r="F476" s="131"/>
    </row>
    <row r="477" spans="1:6" x14ac:dyDescent="0.3">
      <c r="A477" s="131"/>
      <c r="B477" s="131"/>
      <c r="C477" s="131"/>
      <c r="D477" s="131"/>
      <c r="E477" s="131"/>
      <c r="F477" s="131"/>
    </row>
    <row r="478" spans="1:6" x14ac:dyDescent="0.3">
      <c r="A478" s="131"/>
      <c r="B478" s="131"/>
      <c r="C478" s="131"/>
      <c r="D478" s="131"/>
      <c r="E478" s="131"/>
      <c r="F478" s="131"/>
    </row>
    <row r="479" spans="1:6" x14ac:dyDescent="0.3">
      <c r="A479" s="131"/>
      <c r="B479" s="131"/>
      <c r="C479" s="131"/>
      <c r="D479" s="131"/>
      <c r="E479" s="131"/>
      <c r="F479" s="131"/>
    </row>
    <row r="480" spans="1:6" x14ac:dyDescent="0.3">
      <c r="A480" s="131"/>
      <c r="B480" s="131"/>
      <c r="C480" s="131"/>
      <c r="D480" s="131"/>
      <c r="E480" s="131"/>
      <c r="F480" s="131"/>
    </row>
    <row r="481" spans="1:6" x14ac:dyDescent="0.3">
      <c r="A481" s="131"/>
      <c r="B481" s="131"/>
      <c r="C481" s="131"/>
      <c r="D481" s="131"/>
      <c r="E481" s="131"/>
      <c r="F481" s="131"/>
    </row>
    <row r="482" spans="1:6" x14ac:dyDescent="0.3">
      <c r="A482" s="131"/>
      <c r="B482" s="131"/>
      <c r="C482" s="131"/>
      <c r="D482" s="131"/>
      <c r="E482" s="131"/>
      <c r="F482" s="131"/>
    </row>
    <row r="483" spans="1:6" x14ac:dyDescent="0.3">
      <c r="A483" s="131"/>
      <c r="B483" s="131"/>
      <c r="C483" s="131"/>
      <c r="D483" s="131"/>
      <c r="E483" s="131"/>
      <c r="F483" s="131"/>
    </row>
    <row r="484" spans="1:6" x14ac:dyDescent="0.3">
      <c r="A484" s="131"/>
      <c r="B484" s="131"/>
      <c r="C484" s="131"/>
      <c r="D484" s="131"/>
      <c r="E484" s="131"/>
      <c r="F484" s="131"/>
    </row>
    <row r="485" spans="1:6" x14ac:dyDescent="0.3">
      <c r="A485" s="131"/>
      <c r="B485" s="131"/>
      <c r="C485" s="131"/>
      <c r="D485" s="131"/>
      <c r="E485" s="131"/>
      <c r="F485" s="131"/>
    </row>
    <row r="486" spans="1:6" x14ac:dyDescent="0.3">
      <c r="A486" s="131"/>
      <c r="B486" s="131"/>
      <c r="C486" s="131"/>
      <c r="D486" s="131"/>
      <c r="E486" s="131"/>
      <c r="F486" s="131"/>
    </row>
    <row r="487" spans="1:6" x14ac:dyDescent="0.3">
      <c r="A487" s="131"/>
      <c r="B487" s="131"/>
      <c r="C487" s="131"/>
      <c r="D487" s="131"/>
      <c r="E487" s="131"/>
      <c r="F487" s="131"/>
    </row>
    <row r="488" spans="1:6" x14ac:dyDescent="0.3">
      <c r="A488" s="131"/>
      <c r="B488" s="131"/>
      <c r="C488" s="131"/>
      <c r="D488" s="131"/>
      <c r="E488" s="131"/>
      <c r="F488" s="131"/>
    </row>
    <row r="489" spans="1:6" x14ac:dyDescent="0.3">
      <c r="A489" s="131"/>
      <c r="B489" s="131"/>
      <c r="C489" s="131"/>
      <c r="D489" s="131"/>
      <c r="E489" s="131"/>
      <c r="F489" s="131"/>
    </row>
    <row r="490" spans="1:6" x14ac:dyDescent="0.3">
      <c r="A490" s="131"/>
      <c r="B490" s="131"/>
      <c r="C490" s="131"/>
      <c r="D490" s="131"/>
      <c r="E490" s="131"/>
      <c r="F490" s="131"/>
    </row>
    <row r="491" spans="1:6" x14ac:dyDescent="0.3">
      <c r="A491" s="131"/>
      <c r="B491" s="131"/>
      <c r="C491" s="131"/>
      <c r="D491" s="131"/>
      <c r="E491" s="131"/>
      <c r="F491" s="131"/>
    </row>
    <row r="492" spans="1:6" x14ac:dyDescent="0.3">
      <c r="A492" s="131"/>
      <c r="B492" s="131"/>
      <c r="C492" s="131"/>
      <c r="D492" s="131"/>
      <c r="E492" s="131"/>
      <c r="F492" s="131"/>
    </row>
    <row r="493" spans="1:6" x14ac:dyDescent="0.3">
      <c r="A493" s="131"/>
      <c r="B493" s="131"/>
      <c r="C493" s="131"/>
      <c r="D493" s="131"/>
      <c r="E493" s="131"/>
      <c r="F493" s="131"/>
    </row>
    <row r="494" spans="1:6" x14ac:dyDescent="0.3">
      <c r="A494" s="131"/>
      <c r="B494" s="131"/>
      <c r="C494" s="131"/>
      <c r="D494" s="131"/>
      <c r="E494" s="131"/>
      <c r="F494" s="131"/>
    </row>
    <row r="495" spans="1:6" x14ac:dyDescent="0.3">
      <c r="A495" s="131"/>
      <c r="B495" s="131"/>
      <c r="C495" s="131"/>
      <c r="D495" s="131"/>
      <c r="E495" s="131"/>
      <c r="F495" s="131"/>
    </row>
    <row r="496" spans="1:6" x14ac:dyDescent="0.3">
      <c r="A496" s="131"/>
      <c r="B496" s="131"/>
      <c r="C496" s="131"/>
      <c r="D496" s="131"/>
      <c r="E496" s="131"/>
      <c r="F496" s="131"/>
    </row>
    <row r="497" spans="1:6" x14ac:dyDescent="0.3">
      <c r="A497" s="131"/>
      <c r="B497" s="131"/>
      <c r="C497" s="131"/>
      <c r="D497" s="131"/>
      <c r="E497" s="131"/>
      <c r="F497" s="131"/>
    </row>
    <row r="498" spans="1:6" x14ac:dyDescent="0.3">
      <c r="A498" s="131"/>
      <c r="B498" s="131"/>
      <c r="C498" s="131"/>
      <c r="D498" s="131"/>
      <c r="E498" s="131"/>
      <c r="F498" s="131"/>
    </row>
    <row r="499" spans="1:6" x14ac:dyDescent="0.3">
      <c r="A499" s="131"/>
      <c r="B499" s="131"/>
      <c r="C499" s="131"/>
      <c r="D499" s="131"/>
      <c r="E499" s="131"/>
      <c r="F499" s="131"/>
    </row>
    <row r="500" spans="1:6" x14ac:dyDescent="0.3">
      <c r="A500" s="131"/>
      <c r="B500" s="131"/>
      <c r="C500" s="131"/>
      <c r="D500" s="131"/>
      <c r="E500" s="131"/>
      <c r="F500" s="131"/>
    </row>
    <row r="501" spans="1:6" x14ac:dyDescent="0.3">
      <c r="A501" s="131"/>
      <c r="B501" s="131"/>
      <c r="C501" s="131"/>
      <c r="D501" s="131"/>
      <c r="E501" s="131"/>
      <c r="F501" s="131"/>
    </row>
    <row r="502" spans="1:6" x14ac:dyDescent="0.3">
      <c r="A502" s="131"/>
      <c r="B502" s="131"/>
      <c r="C502" s="131"/>
      <c r="D502" s="131"/>
      <c r="E502" s="131"/>
      <c r="F502" s="131"/>
    </row>
    <row r="503" spans="1:6" x14ac:dyDescent="0.3">
      <c r="A503" s="131"/>
      <c r="B503" s="131"/>
      <c r="C503" s="131"/>
      <c r="D503" s="131"/>
      <c r="E503" s="131"/>
      <c r="F503" s="131"/>
    </row>
    <row r="504" spans="1:6" x14ac:dyDescent="0.3">
      <c r="A504" s="131"/>
      <c r="B504" s="131"/>
      <c r="C504" s="131"/>
      <c r="D504" s="131"/>
      <c r="E504" s="131"/>
      <c r="F504" s="131"/>
    </row>
    <row r="505" spans="1:6" x14ac:dyDescent="0.3">
      <c r="A505" s="131"/>
      <c r="B505" s="131"/>
      <c r="C505" s="131"/>
      <c r="D505" s="131"/>
      <c r="E505" s="131"/>
      <c r="F505" s="131"/>
    </row>
    <row r="506" spans="1:6" x14ac:dyDescent="0.3">
      <c r="A506" s="131"/>
      <c r="B506" s="131"/>
      <c r="C506" s="131"/>
      <c r="D506" s="131"/>
      <c r="E506" s="131"/>
      <c r="F506" s="131"/>
    </row>
    <row r="507" spans="1:6" x14ac:dyDescent="0.3">
      <c r="A507" s="131"/>
      <c r="B507" s="131"/>
      <c r="C507" s="131"/>
      <c r="D507" s="131"/>
      <c r="E507" s="131"/>
      <c r="F507" s="131"/>
    </row>
    <row r="508" spans="1:6" x14ac:dyDescent="0.3">
      <c r="A508" s="131"/>
      <c r="B508" s="131"/>
      <c r="C508" s="131"/>
      <c r="D508" s="131"/>
      <c r="E508" s="131"/>
      <c r="F508" s="131"/>
    </row>
    <row r="509" spans="1:6" x14ac:dyDescent="0.3">
      <c r="A509" s="131"/>
      <c r="B509" s="131"/>
      <c r="C509" s="131"/>
      <c r="D509" s="131"/>
      <c r="E509" s="131"/>
      <c r="F509" s="131"/>
    </row>
    <row r="510" spans="1:6" x14ac:dyDescent="0.3">
      <c r="A510" s="131"/>
      <c r="B510" s="131"/>
      <c r="C510" s="131"/>
      <c r="D510" s="131"/>
      <c r="E510" s="131"/>
      <c r="F510" s="131"/>
    </row>
    <row r="511" spans="1:6" x14ac:dyDescent="0.3">
      <c r="A511" s="131"/>
      <c r="B511" s="131"/>
      <c r="C511" s="131"/>
      <c r="D511" s="131"/>
      <c r="E511" s="131"/>
      <c r="F511" s="131"/>
    </row>
    <row r="512" spans="1:6" x14ac:dyDescent="0.3">
      <c r="A512" s="131"/>
      <c r="B512" s="131"/>
      <c r="C512" s="131"/>
      <c r="D512" s="131"/>
      <c r="E512" s="131"/>
      <c r="F512" s="131"/>
    </row>
    <row r="513" spans="1:6" x14ac:dyDescent="0.3">
      <c r="A513" s="131"/>
      <c r="B513" s="131"/>
      <c r="C513" s="131"/>
      <c r="D513" s="131"/>
      <c r="E513" s="131"/>
      <c r="F513" s="131"/>
    </row>
    <row r="514" spans="1:6" x14ac:dyDescent="0.3">
      <c r="A514" s="131"/>
      <c r="B514" s="131"/>
      <c r="C514" s="131"/>
      <c r="D514" s="131"/>
      <c r="E514" s="131"/>
      <c r="F514" s="131"/>
    </row>
    <row r="515" spans="1:6" x14ac:dyDescent="0.3">
      <c r="A515" s="131"/>
      <c r="B515" s="131"/>
      <c r="C515" s="131"/>
      <c r="D515" s="131"/>
      <c r="E515" s="131"/>
      <c r="F515" s="131"/>
    </row>
    <row r="516" spans="1:6" x14ac:dyDescent="0.3">
      <c r="A516" s="131"/>
      <c r="B516" s="131"/>
      <c r="C516" s="131"/>
      <c r="D516" s="131"/>
      <c r="E516" s="131"/>
      <c r="F516" s="131"/>
    </row>
    <row r="517" spans="1:6" x14ac:dyDescent="0.3">
      <c r="A517" s="131"/>
      <c r="B517" s="131"/>
      <c r="C517" s="131"/>
      <c r="D517" s="131"/>
      <c r="E517" s="131"/>
      <c r="F517" s="131"/>
    </row>
    <row r="518" spans="1:6" x14ac:dyDescent="0.3">
      <c r="A518" s="131"/>
      <c r="B518" s="131"/>
      <c r="C518" s="131"/>
      <c r="D518" s="131"/>
      <c r="E518" s="131"/>
      <c r="F518" s="131"/>
    </row>
    <row r="519" spans="1:6" x14ac:dyDescent="0.3">
      <c r="A519" s="131"/>
      <c r="B519" s="131"/>
      <c r="C519" s="131"/>
      <c r="D519" s="131"/>
      <c r="E519" s="131"/>
      <c r="F519" s="131"/>
    </row>
    <row r="520" spans="1:6" x14ac:dyDescent="0.3">
      <c r="A520" s="131"/>
      <c r="B520" s="131"/>
      <c r="C520" s="131"/>
      <c r="D520" s="131"/>
      <c r="E520" s="131"/>
      <c r="F520" s="131"/>
    </row>
    <row r="521" spans="1:6" x14ac:dyDescent="0.3">
      <c r="A521" s="131"/>
      <c r="B521" s="131"/>
      <c r="C521" s="131"/>
      <c r="D521" s="131"/>
      <c r="E521" s="131"/>
      <c r="F521" s="131"/>
    </row>
    <row r="522" spans="1:6" x14ac:dyDescent="0.3">
      <c r="A522" s="131"/>
      <c r="B522" s="131"/>
      <c r="C522" s="131"/>
      <c r="D522" s="131"/>
      <c r="E522" s="131"/>
      <c r="F522" s="131"/>
    </row>
    <row r="523" spans="1:6" x14ac:dyDescent="0.3">
      <c r="A523" s="131"/>
      <c r="B523" s="131"/>
      <c r="C523" s="131"/>
      <c r="D523" s="131"/>
      <c r="E523" s="131"/>
      <c r="F523" s="131"/>
    </row>
    <row r="524" spans="1:6" x14ac:dyDescent="0.3">
      <c r="A524" s="131"/>
      <c r="B524" s="131"/>
      <c r="C524" s="131"/>
      <c r="D524" s="131"/>
      <c r="E524" s="131"/>
      <c r="F524" s="131"/>
    </row>
    <row r="525" spans="1:6" x14ac:dyDescent="0.3">
      <c r="A525" s="131"/>
      <c r="B525" s="131"/>
      <c r="C525" s="131"/>
      <c r="D525" s="131"/>
      <c r="E525" s="131"/>
      <c r="F525" s="131"/>
    </row>
    <row r="526" spans="1:6" x14ac:dyDescent="0.3">
      <c r="A526" s="131"/>
      <c r="B526" s="131"/>
      <c r="C526" s="131"/>
      <c r="D526" s="131"/>
      <c r="E526" s="131"/>
      <c r="F526" s="131"/>
    </row>
    <row r="527" spans="1:6" x14ac:dyDescent="0.3">
      <c r="A527" s="131"/>
      <c r="B527" s="131"/>
      <c r="C527" s="131"/>
      <c r="D527" s="131"/>
      <c r="E527" s="131"/>
      <c r="F527" s="131"/>
    </row>
    <row r="528" spans="1:6" x14ac:dyDescent="0.3">
      <c r="A528" s="131"/>
      <c r="B528" s="131"/>
      <c r="C528" s="131"/>
      <c r="D528" s="131"/>
      <c r="E528" s="131"/>
      <c r="F528" s="131"/>
    </row>
    <row r="529" spans="1:6" x14ac:dyDescent="0.3">
      <c r="A529" s="131"/>
      <c r="B529" s="131"/>
      <c r="C529" s="131"/>
      <c r="D529" s="131"/>
      <c r="E529" s="131"/>
      <c r="F529" s="131"/>
    </row>
    <row r="530" spans="1:6" x14ac:dyDescent="0.3">
      <c r="A530" s="131"/>
      <c r="B530" s="131"/>
      <c r="C530" s="131"/>
      <c r="D530" s="131"/>
      <c r="E530" s="131"/>
      <c r="F530" s="131"/>
    </row>
    <row r="531" spans="1:6" x14ac:dyDescent="0.3">
      <c r="A531" s="131"/>
      <c r="B531" s="131"/>
      <c r="C531" s="131"/>
      <c r="D531" s="131"/>
      <c r="E531" s="131"/>
      <c r="F531" s="131"/>
    </row>
    <row r="532" spans="1:6" x14ac:dyDescent="0.3">
      <c r="A532" s="131"/>
      <c r="B532" s="131"/>
      <c r="C532" s="131"/>
      <c r="D532" s="131"/>
      <c r="E532" s="131"/>
      <c r="F532" s="131"/>
    </row>
    <row r="533" spans="1:6" x14ac:dyDescent="0.3">
      <c r="A533" s="131"/>
      <c r="B533" s="131"/>
      <c r="C533" s="131"/>
      <c r="D533" s="131"/>
      <c r="E533" s="131"/>
      <c r="F533" s="131"/>
    </row>
    <row r="534" spans="1:6" x14ac:dyDescent="0.3">
      <c r="A534" s="131"/>
      <c r="B534" s="131"/>
      <c r="C534" s="131"/>
      <c r="D534" s="131"/>
      <c r="E534" s="131"/>
      <c r="F534" s="131"/>
    </row>
    <row r="535" spans="1:6" x14ac:dyDescent="0.3">
      <c r="A535" s="131"/>
      <c r="B535" s="131"/>
      <c r="C535" s="131"/>
      <c r="D535" s="131"/>
      <c r="E535" s="131"/>
      <c r="F535" s="131"/>
    </row>
    <row r="536" spans="1:6" x14ac:dyDescent="0.3">
      <c r="A536" s="131"/>
      <c r="B536" s="131"/>
      <c r="C536" s="131"/>
      <c r="D536" s="131"/>
      <c r="E536" s="131"/>
      <c r="F536" s="131"/>
    </row>
    <row r="537" spans="1:6" x14ac:dyDescent="0.3">
      <c r="A537" s="131"/>
      <c r="B537" s="131"/>
      <c r="C537" s="131"/>
      <c r="D537" s="131"/>
      <c r="E537" s="131"/>
      <c r="F537" s="131"/>
    </row>
    <row r="538" spans="1:6" x14ac:dyDescent="0.3">
      <c r="A538" s="131"/>
      <c r="B538" s="131"/>
      <c r="C538" s="131"/>
      <c r="D538" s="131"/>
      <c r="E538" s="131"/>
      <c r="F538" s="131"/>
    </row>
    <row r="539" spans="1:6" x14ac:dyDescent="0.3">
      <c r="A539" s="131"/>
      <c r="B539" s="131"/>
      <c r="C539" s="131"/>
      <c r="D539" s="131"/>
      <c r="E539" s="131"/>
      <c r="F539" s="131"/>
    </row>
    <row r="540" spans="1:6" x14ac:dyDescent="0.3">
      <c r="A540" s="131"/>
      <c r="B540" s="131"/>
      <c r="C540" s="131"/>
      <c r="D540" s="131"/>
      <c r="E540" s="131"/>
      <c r="F540" s="131"/>
    </row>
    <row r="541" spans="1:6" x14ac:dyDescent="0.3">
      <c r="A541" s="131"/>
      <c r="B541" s="131"/>
      <c r="C541" s="131"/>
      <c r="D541" s="131"/>
      <c r="E541" s="131"/>
      <c r="F541" s="131"/>
    </row>
    <row r="542" spans="1:6" x14ac:dyDescent="0.3">
      <c r="A542" s="131"/>
      <c r="B542" s="131"/>
      <c r="C542" s="131"/>
      <c r="D542" s="131"/>
      <c r="E542" s="131"/>
      <c r="F542" s="131"/>
    </row>
    <row r="543" spans="1:6" x14ac:dyDescent="0.3">
      <c r="A543" s="131"/>
      <c r="B543" s="131"/>
      <c r="C543" s="131"/>
      <c r="D543" s="131"/>
      <c r="E543" s="131"/>
      <c r="F543" s="131"/>
    </row>
    <row r="544" spans="1:6" x14ac:dyDescent="0.3">
      <c r="A544" s="131"/>
      <c r="B544" s="131"/>
      <c r="C544" s="131"/>
      <c r="D544" s="131"/>
      <c r="E544" s="131"/>
      <c r="F544" s="131"/>
    </row>
    <row r="545" spans="1:6" x14ac:dyDescent="0.3">
      <c r="A545" s="131"/>
      <c r="B545" s="131"/>
      <c r="C545" s="131"/>
      <c r="D545" s="131"/>
      <c r="E545" s="131"/>
      <c r="F545" s="131"/>
    </row>
    <row r="546" spans="1:6" x14ac:dyDescent="0.3">
      <c r="A546" s="131"/>
      <c r="B546" s="131"/>
      <c r="C546" s="131"/>
      <c r="D546" s="131"/>
      <c r="E546" s="131"/>
      <c r="F546" s="131"/>
    </row>
    <row r="547" spans="1:6" x14ac:dyDescent="0.3">
      <c r="A547" s="131"/>
      <c r="B547" s="131"/>
      <c r="C547" s="131"/>
      <c r="D547" s="131"/>
      <c r="E547" s="131"/>
      <c r="F547" s="131"/>
    </row>
    <row r="548" spans="1:6" x14ac:dyDescent="0.3">
      <c r="A548" s="131"/>
      <c r="B548" s="131"/>
      <c r="C548" s="131"/>
      <c r="D548" s="131"/>
      <c r="E548" s="131"/>
      <c r="F548" s="131"/>
    </row>
    <row r="549" spans="1:6" x14ac:dyDescent="0.3">
      <c r="A549" s="131"/>
      <c r="B549" s="131"/>
      <c r="C549" s="131"/>
      <c r="D549" s="131"/>
      <c r="E549" s="131"/>
      <c r="F549" s="131"/>
    </row>
    <row r="550" spans="1:6" x14ac:dyDescent="0.3">
      <c r="A550" s="131"/>
      <c r="B550" s="131"/>
      <c r="C550" s="131"/>
      <c r="D550" s="131"/>
      <c r="E550" s="131"/>
      <c r="F550" s="131"/>
    </row>
    <row r="551" spans="1:6" x14ac:dyDescent="0.3">
      <c r="A551" s="131"/>
      <c r="B551" s="131"/>
      <c r="C551" s="131"/>
      <c r="D551" s="131"/>
      <c r="E551" s="131"/>
      <c r="F551" s="131"/>
    </row>
    <row r="552" spans="1:6" x14ac:dyDescent="0.3">
      <c r="A552" s="131"/>
      <c r="B552" s="131"/>
      <c r="C552" s="131"/>
      <c r="D552" s="131"/>
      <c r="E552" s="131"/>
      <c r="F552" s="131"/>
    </row>
    <row r="553" spans="1:6" x14ac:dyDescent="0.3">
      <c r="A553" s="131"/>
      <c r="B553" s="131"/>
      <c r="C553" s="131"/>
      <c r="D553" s="131"/>
      <c r="E553" s="131"/>
      <c r="F553" s="131"/>
    </row>
    <row r="554" spans="1:6" x14ac:dyDescent="0.3">
      <c r="A554" s="131"/>
      <c r="B554" s="131"/>
      <c r="C554" s="131"/>
      <c r="D554" s="131"/>
      <c r="E554" s="131"/>
      <c r="F554" s="131"/>
    </row>
    <row r="555" spans="1:6" x14ac:dyDescent="0.3">
      <c r="A555" s="131"/>
      <c r="B555" s="131"/>
      <c r="C555" s="131"/>
      <c r="D555" s="131"/>
      <c r="E555" s="131"/>
      <c r="F555" s="131"/>
    </row>
    <row r="556" spans="1:6" x14ac:dyDescent="0.3">
      <c r="A556" s="131"/>
      <c r="B556" s="131"/>
      <c r="C556" s="131"/>
      <c r="D556" s="131"/>
      <c r="E556" s="131"/>
      <c r="F556" s="131"/>
    </row>
    <row r="557" spans="1:6" x14ac:dyDescent="0.3">
      <c r="A557" s="131"/>
      <c r="B557" s="131"/>
      <c r="C557" s="131"/>
      <c r="D557" s="131"/>
      <c r="E557" s="131"/>
      <c r="F557" s="131"/>
    </row>
    <row r="558" spans="1:6" x14ac:dyDescent="0.3">
      <c r="A558" s="131"/>
      <c r="B558" s="131"/>
      <c r="C558" s="131"/>
      <c r="D558" s="131"/>
      <c r="E558" s="131"/>
      <c r="F558" s="131"/>
    </row>
    <row r="559" spans="1:6" x14ac:dyDescent="0.3">
      <c r="A559" s="131"/>
      <c r="B559" s="131"/>
      <c r="C559" s="131"/>
      <c r="D559" s="131"/>
      <c r="E559" s="131"/>
      <c r="F559" s="131"/>
    </row>
    <row r="560" spans="1:6" x14ac:dyDescent="0.3">
      <c r="A560" s="131"/>
      <c r="B560" s="131"/>
      <c r="C560" s="131"/>
      <c r="D560" s="131"/>
      <c r="E560" s="131"/>
      <c r="F560" s="131"/>
    </row>
    <row r="561" spans="1:6" x14ac:dyDescent="0.3">
      <c r="A561" s="131"/>
      <c r="B561" s="131"/>
      <c r="C561" s="131"/>
      <c r="D561" s="131"/>
      <c r="E561" s="131"/>
      <c r="F561" s="131"/>
    </row>
    <row r="562" spans="1:6" x14ac:dyDescent="0.3">
      <c r="A562" s="131"/>
      <c r="B562" s="131"/>
      <c r="C562" s="131"/>
      <c r="D562" s="131"/>
      <c r="E562" s="131"/>
      <c r="F562" s="131"/>
    </row>
    <row r="563" spans="1:6" x14ac:dyDescent="0.3">
      <c r="A563" s="131"/>
      <c r="B563" s="131"/>
      <c r="C563" s="131"/>
      <c r="D563" s="131"/>
      <c r="E563" s="131"/>
      <c r="F563" s="131"/>
    </row>
    <row r="564" spans="1:6" x14ac:dyDescent="0.3">
      <c r="A564" s="131"/>
      <c r="B564" s="131"/>
      <c r="C564" s="131"/>
      <c r="D564" s="131"/>
      <c r="E564" s="131"/>
      <c r="F564" s="131"/>
    </row>
    <row r="565" spans="1:6" x14ac:dyDescent="0.3">
      <c r="A565" s="131"/>
      <c r="B565" s="131"/>
      <c r="C565" s="131"/>
      <c r="D565" s="131"/>
      <c r="E565" s="131"/>
      <c r="F565" s="131"/>
    </row>
    <row r="566" spans="1:6" x14ac:dyDescent="0.3">
      <c r="A566" s="131"/>
      <c r="B566" s="131"/>
      <c r="C566" s="131"/>
      <c r="D566" s="131"/>
      <c r="E566" s="131"/>
      <c r="F566" s="131"/>
    </row>
    <row r="567" spans="1:6" x14ac:dyDescent="0.3">
      <c r="A567" s="131"/>
      <c r="B567" s="131"/>
      <c r="C567" s="131"/>
      <c r="D567" s="131"/>
      <c r="E567" s="131"/>
      <c r="F567" s="131"/>
    </row>
    <row r="568" spans="1:6" x14ac:dyDescent="0.3">
      <c r="A568" s="131"/>
      <c r="B568" s="131"/>
      <c r="C568" s="131"/>
      <c r="D568" s="131"/>
      <c r="E568" s="131"/>
      <c r="F568" s="131"/>
    </row>
    <row r="569" spans="1:6" x14ac:dyDescent="0.3">
      <c r="A569" s="131"/>
      <c r="B569" s="131"/>
      <c r="C569" s="131"/>
      <c r="D569" s="131"/>
      <c r="E569" s="131"/>
      <c r="F569" s="131"/>
    </row>
    <row r="570" spans="1:6" x14ac:dyDescent="0.3">
      <c r="A570" s="131"/>
      <c r="B570" s="131"/>
      <c r="C570" s="131"/>
      <c r="D570" s="131"/>
      <c r="E570" s="131"/>
      <c r="F570" s="131"/>
    </row>
    <row r="571" spans="1:6" x14ac:dyDescent="0.3">
      <c r="A571" s="131"/>
      <c r="B571" s="131"/>
      <c r="C571" s="131"/>
      <c r="D571" s="131"/>
      <c r="E571" s="131"/>
      <c r="F571" s="131"/>
    </row>
    <row r="572" spans="1:6" x14ac:dyDescent="0.3">
      <c r="A572" s="131"/>
      <c r="B572" s="131"/>
      <c r="C572" s="131"/>
      <c r="D572" s="131"/>
      <c r="E572" s="131"/>
      <c r="F572" s="131"/>
    </row>
    <row r="573" spans="1:6" x14ac:dyDescent="0.3">
      <c r="A573" s="131"/>
      <c r="B573" s="131"/>
      <c r="C573" s="131"/>
      <c r="D573" s="131"/>
      <c r="E573" s="131"/>
      <c r="F573" s="131"/>
    </row>
    <row r="574" spans="1:6" x14ac:dyDescent="0.3">
      <c r="A574" s="131"/>
      <c r="B574" s="131"/>
      <c r="C574" s="131"/>
      <c r="D574" s="131"/>
      <c r="E574" s="131"/>
      <c r="F574" s="131"/>
    </row>
    <row r="575" spans="1:6" x14ac:dyDescent="0.3">
      <c r="A575" s="131"/>
      <c r="B575" s="131"/>
      <c r="C575" s="131"/>
      <c r="D575" s="131"/>
      <c r="E575" s="131"/>
      <c r="F575" s="131"/>
    </row>
    <row r="576" spans="1:6" x14ac:dyDescent="0.3">
      <c r="A576" s="131"/>
      <c r="B576" s="131"/>
      <c r="C576" s="131"/>
      <c r="D576" s="131"/>
      <c r="E576" s="131"/>
      <c r="F576" s="131"/>
    </row>
    <row r="577" spans="1:6" x14ac:dyDescent="0.3">
      <c r="A577" s="131"/>
      <c r="B577" s="131"/>
      <c r="C577" s="131"/>
      <c r="D577" s="131"/>
      <c r="E577" s="131"/>
      <c r="F577" s="131"/>
    </row>
    <row r="578" spans="1:6" x14ac:dyDescent="0.3">
      <c r="A578" s="131"/>
      <c r="B578" s="131"/>
      <c r="C578" s="131"/>
      <c r="D578" s="131"/>
      <c r="E578" s="131"/>
      <c r="F578" s="131"/>
    </row>
    <row r="579" spans="1:6" x14ac:dyDescent="0.3">
      <c r="A579" s="131"/>
      <c r="B579" s="131"/>
      <c r="C579" s="131"/>
      <c r="D579" s="131"/>
      <c r="E579" s="131"/>
      <c r="F579" s="131"/>
    </row>
    <row r="580" spans="1:6" x14ac:dyDescent="0.3">
      <c r="A580" s="131"/>
      <c r="B580" s="131"/>
      <c r="C580" s="131"/>
      <c r="D580" s="131"/>
      <c r="E580" s="131"/>
      <c r="F580" s="131"/>
    </row>
    <row r="581" spans="1:6" x14ac:dyDescent="0.3">
      <c r="A581" s="131"/>
      <c r="B581" s="131"/>
      <c r="C581" s="131"/>
      <c r="D581" s="131"/>
      <c r="E581" s="131"/>
      <c r="F581" s="131"/>
    </row>
    <row r="582" spans="1:6" x14ac:dyDescent="0.3">
      <c r="A582" s="131"/>
      <c r="B582" s="131"/>
      <c r="C582" s="131"/>
      <c r="D582" s="131"/>
      <c r="E582" s="131"/>
      <c r="F582" s="131"/>
    </row>
    <row r="583" spans="1:6" x14ac:dyDescent="0.3">
      <c r="A583" s="131"/>
      <c r="B583" s="131"/>
      <c r="C583" s="131"/>
      <c r="D583" s="131"/>
      <c r="E583" s="131"/>
      <c r="F583" s="131"/>
    </row>
    <row r="584" spans="1:6" x14ac:dyDescent="0.3">
      <c r="A584" s="131"/>
      <c r="B584" s="131"/>
      <c r="C584" s="131"/>
      <c r="D584" s="131"/>
      <c r="E584" s="131"/>
      <c r="F584" s="131"/>
    </row>
    <row r="585" spans="1:6" x14ac:dyDescent="0.3">
      <c r="A585" s="131"/>
      <c r="B585" s="131"/>
      <c r="C585" s="131"/>
      <c r="D585" s="131"/>
      <c r="E585" s="131"/>
      <c r="F585" s="131"/>
    </row>
    <row r="586" spans="1:6" x14ac:dyDescent="0.3">
      <c r="A586" s="131"/>
      <c r="B586" s="131"/>
      <c r="C586" s="131"/>
      <c r="D586" s="131"/>
      <c r="E586" s="131"/>
      <c r="F586" s="131"/>
    </row>
    <row r="587" spans="1:6" x14ac:dyDescent="0.3">
      <c r="A587" s="131"/>
      <c r="B587" s="131"/>
      <c r="C587" s="131"/>
      <c r="D587" s="131"/>
      <c r="E587" s="131"/>
      <c r="F587" s="131"/>
    </row>
    <row r="588" spans="1:6" x14ac:dyDescent="0.3">
      <c r="A588" s="131"/>
      <c r="B588" s="131"/>
      <c r="C588" s="131"/>
      <c r="D588" s="131"/>
      <c r="E588" s="131"/>
      <c r="F588" s="131"/>
    </row>
    <row r="589" spans="1:6" x14ac:dyDescent="0.3">
      <c r="A589" s="131"/>
      <c r="B589" s="131"/>
      <c r="C589" s="131"/>
      <c r="D589" s="131"/>
      <c r="E589" s="131"/>
      <c r="F589" s="131"/>
    </row>
    <row r="590" spans="1:6" x14ac:dyDescent="0.3">
      <c r="A590" s="131"/>
      <c r="B590" s="131"/>
      <c r="C590" s="131"/>
      <c r="D590" s="131"/>
      <c r="E590" s="131"/>
      <c r="F590" s="131"/>
    </row>
    <row r="591" spans="1:6" x14ac:dyDescent="0.3">
      <c r="A591" s="131"/>
      <c r="B591" s="131"/>
      <c r="C591" s="131"/>
      <c r="D591" s="131"/>
      <c r="E591" s="131"/>
      <c r="F591" s="131"/>
    </row>
    <row r="592" spans="1:6" x14ac:dyDescent="0.3">
      <c r="A592" s="131"/>
      <c r="B592" s="131"/>
      <c r="C592" s="131"/>
      <c r="D592" s="131"/>
      <c r="E592" s="131"/>
      <c r="F592" s="131"/>
    </row>
    <row r="593" spans="1:6" x14ac:dyDescent="0.3">
      <c r="A593" s="131"/>
      <c r="B593" s="131"/>
      <c r="C593" s="131"/>
      <c r="D593" s="131"/>
      <c r="E593" s="131"/>
      <c r="F593" s="131"/>
    </row>
    <row r="594" spans="1:6" x14ac:dyDescent="0.3">
      <c r="A594" s="131"/>
      <c r="B594" s="131"/>
      <c r="C594" s="131"/>
      <c r="D594" s="131"/>
      <c r="E594" s="131"/>
      <c r="F594" s="131"/>
    </row>
    <row r="595" spans="1:6" x14ac:dyDescent="0.3">
      <c r="A595" s="131"/>
      <c r="B595" s="131"/>
      <c r="C595" s="131"/>
      <c r="D595" s="131"/>
      <c r="E595" s="131"/>
      <c r="F595" s="131"/>
    </row>
    <row r="596" spans="1:6" x14ac:dyDescent="0.3">
      <c r="A596" s="131"/>
      <c r="B596" s="131"/>
      <c r="C596" s="131"/>
      <c r="D596" s="131"/>
      <c r="E596" s="131"/>
      <c r="F596" s="131"/>
    </row>
    <row r="597" spans="1:6" x14ac:dyDescent="0.3">
      <c r="A597" s="131"/>
      <c r="B597" s="131"/>
      <c r="C597" s="131"/>
      <c r="D597" s="131"/>
      <c r="E597" s="131"/>
      <c r="F597" s="131"/>
    </row>
    <row r="598" spans="1:6" x14ac:dyDescent="0.3">
      <c r="A598" s="131"/>
      <c r="B598" s="131"/>
      <c r="C598" s="131"/>
      <c r="D598" s="131"/>
      <c r="E598" s="131"/>
      <c r="F598" s="131"/>
    </row>
    <row r="599" spans="1:6" x14ac:dyDescent="0.3">
      <c r="A599" s="131"/>
      <c r="B599" s="131"/>
      <c r="C599" s="131"/>
      <c r="D599" s="131"/>
      <c r="E599" s="131"/>
      <c r="F599" s="131"/>
    </row>
    <row r="600" spans="1:6" x14ac:dyDescent="0.3">
      <c r="A600" s="131"/>
      <c r="B600" s="131"/>
      <c r="C600" s="131"/>
      <c r="D600" s="131"/>
      <c r="E600" s="131"/>
      <c r="F600" s="131"/>
    </row>
    <row r="601" spans="1:6" x14ac:dyDescent="0.3">
      <c r="A601" s="131"/>
      <c r="B601" s="131"/>
      <c r="C601" s="131"/>
      <c r="D601" s="131"/>
      <c r="E601" s="131"/>
      <c r="F601" s="131"/>
    </row>
    <row r="602" spans="1:6" x14ac:dyDescent="0.3">
      <c r="A602" s="131"/>
      <c r="B602" s="131"/>
      <c r="C602" s="131"/>
      <c r="D602" s="131"/>
      <c r="E602" s="131"/>
      <c r="F602" s="131"/>
    </row>
    <row r="603" spans="1:6" x14ac:dyDescent="0.3">
      <c r="A603" s="131"/>
      <c r="B603" s="131"/>
      <c r="C603" s="131"/>
      <c r="D603" s="131"/>
      <c r="E603" s="131"/>
      <c r="F603" s="131"/>
    </row>
    <row r="604" spans="1:6" x14ac:dyDescent="0.3">
      <c r="A604" s="131"/>
      <c r="B604" s="131"/>
      <c r="C604" s="131"/>
      <c r="D604" s="131"/>
      <c r="E604" s="131"/>
      <c r="F604" s="131"/>
    </row>
    <row r="605" spans="1:6" x14ac:dyDescent="0.3">
      <c r="A605" s="131"/>
      <c r="B605" s="131"/>
      <c r="C605" s="131"/>
      <c r="D605" s="131"/>
      <c r="E605" s="131"/>
      <c r="F605" s="131"/>
    </row>
    <row r="606" spans="1:6" x14ac:dyDescent="0.3">
      <c r="A606" s="131"/>
      <c r="B606" s="131"/>
      <c r="C606" s="131"/>
      <c r="D606" s="131"/>
      <c r="E606" s="131"/>
      <c r="F606" s="131"/>
    </row>
    <row r="607" spans="1:6" x14ac:dyDescent="0.3">
      <c r="A607" s="131"/>
      <c r="B607" s="131"/>
      <c r="C607" s="131"/>
      <c r="D607" s="131"/>
      <c r="E607" s="131"/>
      <c r="F607" s="131"/>
    </row>
    <row r="608" spans="1:6" x14ac:dyDescent="0.3">
      <c r="A608" s="131"/>
      <c r="B608" s="131"/>
      <c r="C608" s="131"/>
      <c r="D608" s="131"/>
      <c r="E608" s="131"/>
      <c r="F608" s="131"/>
    </row>
    <row r="609" spans="1:6" x14ac:dyDescent="0.3">
      <c r="A609" s="131"/>
      <c r="B609" s="131"/>
      <c r="C609" s="131"/>
      <c r="D609" s="131"/>
      <c r="E609" s="131"/>
      <c r="F609" s="131"/>
    </row>
    <row r="610" spans="1:6" x14ac:dyDescent="0.3">
      <c r="A610" s="131"/>
      <c r="B610" s="131"/>
      <c r="C610" s="131"/>
      <c r="D610" s="131"/>
      <c r="E610" s="131"/>
      <c r="F610" s="131"/>
    </row>
    <row r="611" spans="1:6" x14ac:dyDescent="0.3">
      <c r="A611" s="131"/>
      <c r="B611" s="131"/>
      <c r="C611" s="131"/>
      <c r="D611" s="131"/>
      <c r="E611" s="131"/>
      <c r="F611" s="131"/>
    </row>
    <row r="612" spans="1:6" x14ac:dyDescent="0.3">
      <c r="A612" s="131"/>
      <c r="B612" s="131"/>
      <c r="C612" s="131"/>
      <c r="D612" s="131"/>
      <c r="E612" s="131"/>
      <c r="F612" s="131"/>
    </row>
    <row r="613" spans="1:6" x14ac:dyDescent="0.3">
      <c r="A613" s="131"/>
      <c r="B613" s="131"/>
      <c r="C613" s="131"/>
      <c r="D613" s="131"/>
      <c r="E613" s="131"/>
      <c r="F613" s="131"/>
    </row>
    <row r="614" spans="1:6" x14ac:dyDescent="0.3">
      <c r="A614" s="131"/>
      <c r="B614" s="131"/>
      <c r="C614" s="131"/>
      <c r="D614" s="131"/>
      <c r="E614" s="131"/>
      <c r="F614" s="131"/>
    </row>
    <row r="615" spans="1:6" x14ac:dyDescent="0.3">
      <c r="A615" s="131"/>
      <c r="B615" s="131"/>
      <c r="C615" s="131"/>
      <c r="D615" s="131"/>
      <c r="E615" s="131"/>
      <c r="F615" s="131"/>
    </row>
    <row r="616" spans="1:6" x14ac:dyDescent="0.3">
      <c r="A616" s="131"/>
      <c r="B616" s="131"/>
      <c r="C616" s="131"/>
      <c r="D616" s="131"/>
      <c r="E616" s="131"/>
      <c r="F616" s="131"/>
    </row>
    <row r="617" spans="1:6" x14ac:dyDescent="0.3">
      <c r="A617" s="131"/>
      <c r="B617" s="131"/>
      <c r="C617" s="131"/>
      <c r="D617" s="131"/>
      <c r="E617" s="131"/>
      <c r="F617" s="131"/>
    </row>
    <row r="618" spans="1:6" x14ac:dyDescent="0.3">
      <c r="A618" s="131"/>
      <c r="B618" s="131"/>
      <c r="C618" s="131"/>
      <c r="D618" s="131"/>
      <c r="E618" s="131"/>
      <c r="F618" s="131"/>
    </row>
    <row r="619" spans="1:6" x14ac:dyDescent="0.3">
      <c r="A619" s="131"/>
      <c r="B619" s="131"/>
      <c r="C619" s="131"/>
      <c r="D619" s="131"/>
      <c r="E619" s="131"/>
      <c r="F619" s="131"/>
    </row>
    <row r="620" spans="1:6" x14ac:dyDescent="0.3">
      <c r="A620" s="131"/>
      <c r="B620" s="131"/>
      <c r="C620" s="131"/>
      <c r="D620" s="131"/>
      <c r="E620" s="131"/>
      <c r="F620" s="131"/>
    </row>
    <row r="621" spans="1:6" x14ac:dyDescent="0.3">
      <c r="A621" s="131"/>
      <c r="B621" s="131"/>
      <c r="C621" s="131"/>
      <c r="D621" s="131"/>
      <c r="E621" s="131"/>
      <c r="F621" s="131"/>
    </row>
    <row r="622" spans="1:6" x14ac:dyDescent="0.3">
      <c r="A622" s="131"/>
      <c r="B622" s="131"/>
      <c r="C622" s="131"/>
      <c r="D622" s="131"/>
      <c r="E622" s="131"/>
      <c r="F622" s="131"/>
    </row>
    <row r="623" spans="1:6" x14ac:dyDescent="0.3">
      <c r="A623" s="131"/>
      <c r="B623" s="131"/>
      <c r="C623" s="131"/>
      <c r="D623" s="131"/>
      <c r="E623" s="131"/>
      <c r="F623" s="131"/>
    </row>
    <row r="624" spans="1:6" x14ac:dyDescent="0.3">
      <c r="A624" s="131"/>
      <c r="B624" s="131"/>
      <c r="C624" s="131"/>
      <c r="D624" s="131"/>
      <c r="E624" s="131"/>
      <c r="F624" s="131"/>
    </row>
    <row r="625" spans="1:6" x14ac:dyDescent="0.3">
      <c r="A625" s="131"/>
      <c r="B625" s="131"/>
      <c r="C625" s="131"/>
      <c r="D625" s="131"/>
      <c r="E625" s="131"/>
      <c r="F625" s="131"/>
    </row>
    <row r="626" spans="1:6" x14ac:dyDescent="0.3">
      <c r="A626" s="131"/>
      <c r="B626" s="131"/>
      <c r="C626" s="131"/>
      <c r="D626" s="131"/>
      <c r="E626" s="131"/>
      <c r="F626" s="131"/>
    </row>
    <row r="627" spans="1:6" x14ac:dyDescent="0.3">
      <c r="A627" s="131"/>
      <c r="B627" s="131"/>
      <c r="C627" s="131"/>
      <c r="D627" s="131"/>
      <c r="E627" s="131"/>
      <c r="F627" s="131"/>
    </row>
    <row r="628" spans="1:6" x14ac:dyDescent="0.3">
      <c r="A628" s="131"/>
      <c r="B628" s="131"/>
      <c r="C628" s="131"/>
      <c r="D628" s="131"/>
      <c r="E628" s="131"/>
      <c r="F628" s="131"/>
    </row>
    <row r="629" spans="1:6" x14ac:dyDescent="0.3">
      <c r="A629" s="131"/>
      <c r="B629" s="131"/>
      <c r="C629" s="131"/>
      <c r="D629" s="131"/>
      <c r="E629" s="131"/>
      <c r="F629" s="131"/>
    </row>
    <row r="630" spans="1:6" x14ac:dyDescent="0.3">
      <c r="A630" s="131"/>
      <c r="B630" s="131"/>
      <c r="C630" s="131"/>
      <c r="D630" s="131"/>
      <c r="E630" s="131"/>
      <c r="F630" s="131"/>
    </row>
    <row r="631" spans="1:6" x14ac:dyDescent="0.3">
      <c r="A631" s="131"/>
      <c r="B631" s="131"/>
      <c r="C631" s="131"/>
      <c r="D631" s="131"/>
      <c r="E631" s="131"/>
      <c r="F631" s="131"/>
    </row>
    <row r="632" spans="1:6" x14ac:dyDescent="0.3">
      <c r="A632" s="131"/>
      <c r="B632" s="131"/>
      <c r="C632" s="131"/>
      <c r="D632" s="131"/>
      <c r="E632" s="131"/>
      <c r="F632" s="131"/>
    </row>
    <row r="633" spans="1:6" x14ac:dyDescent="0.3">
      <c r="A633" s="131"/>
      <c r="B633" s="131"/>
      <c r="C633" s="131"/>
      <c r="D633" s="131"/>
      <c r="E633" s="131"/>
      <c r="F633" s="131"/>
    </row>
    <row r="634" spans="1:6" x14ac:dyDescent="0.3">
      <c r="A634" s="131"/>
      <c r="B634" s="131"/>
      <c r="C634" s="131"/>
      <c r="D634" s="131"/>
      <c r="E634" s="131"/>
      <c r="F634" s="131"/>
    </row>
    <row r="635" spans="1:6" x14ac:dyDescent="0.3">
      <c r="A635" s="131"/>
      <c r="B635" s="131"/>
      <c r="C635" s="131"/>
      <c r="D635" s="131"/>
      <c r="E635" s="131"/>
      <c r="F635" s="131"/>
    </row>
    <row r="636" spans="1:6" x14ac:dyDescent="0.3">
      <c r="A636" s="131"/>
      <c r="B636" s="131"/>
      <c r="C636" s="131"/>
      <c r="D636" s="131"/>
      <c r="E636" s="131"/>
      <c r="F636" s="131"/>
    </row>
    <row r="637" spans="1:6" x14ac:dyDescent="0.3">
      <c r="A637" s="131"/>
      <c r="B637" s="131"/>
      <c r="C637" s="131"/>
      <c r="D637" s="131"/>
      <c r="E637" s="131"/>
      <c r="F637" s="131"/>
    </row>
    <row r="638" spans="1:6" x14ac:dyDescent="0.3">
      <c r="A638" s="131"/>
      <c r="B638" s="131"/>
      <c r="C638" s="131"/>
      <c r="D638" s="131"/>
      <c r="E638" s="131"/>
      <c r="F638" s="131"/>
    </row>
    <row r="639" spans="1:6" x14ac:dyDescent="0.3">
      <c r="A639" s="131"/>
      <c r="B639" s="131"/>
      <c r="C639" s="131"/>
      <c r="D639" s="131"/>
      <c r="E639" s="131"/>
      <c r="F639" s="131"/>
    </row>
    <row r="640" spans="1:6" x14ac:dyDescent="0.3">
      <c r="A640" s="131"/>
      <c r="B640" s="131"/>
      <c r="C640" s="131"/>
      <c r="D640" s="131"/>
      <c r="E640" s="131"/>
      <c r="F640" s="131"/>
    </row>
    <row r="641" spans="1:6" x14ac:dyDescent="0.3">
      <c r="A641" s="131"/>
      <c r="B641" s="131"/>
      <c r="C641" s="131"/>
      <c r="D641" s="131"/>
      <c r="E641" s="131"/>
      <c r="F641" s="131"/>
    </row>
    <row r="642" spans="1:6" x14ac:dyDescent="0.3">
      <c r="A642" s="131"/>
      <c r="B642" s="131"/>
      <c r="C642" s="131"/>
      <c r="D642" s="131"/>
      <c r="E642" s="131"/>
      <c r="F642" s="131"/>
    </row>
    <row r="643" spans="1:6" x14ac:dyDescent="0.3">
      <c r="A643" s="131"/>
      <c r="B643" s="131"/>
      <c r="C643" s="131"/>
      <c r="D643" s="131"/>
      <c r="E643" s="131"/>
      <c r="F643" s="131"/>
    </row>
    <row r="644" spans="1:6" x14ac:dyDescent="0.3">
      <c r="A644" s="131"/>
      <c r="B644" s="131"/>
      <c r="C644" s="131"/>
      <c r="D644" s="131"/>
      <c r="E644" s="131"/>
      <c r="F644" s="131"/>
    </row>
    <row r="645" spans="1:6" x14ac:dyDescent="0.3">
      <c r="A645" s="131"/>
      <c r="B645" s="131"/>
      <c r="C645" s="131"/>
      <c r="D645" s="131"/>
      <c r="E645" s="131"/>
      <c r="F645" s="131"/>
    </row>
    <row r="646" spans="1:6" x14ac:dyDescent="0.3">
      <c r="A646" s="131"/>
      <c r="B646" s="131"/>
      <c r="C646" s="131"/>
      <c r="D646" s="131"/>
      <c r="E646" s="131"/>
      <c r="F646" s="131"/>
    </row>
    <row r="647" spans="1:6" x14ac:dyDescent="0.3">
      <c r="A647" s="131"/>
      <c r="B647" s="131"/>
      <c r="C647" s="131"/>
      <c r="D647" s="131"/>
      <c r="E647" s="131"/>
      <c r="F647" s="131"/>
    </row>
    <row r="648" spans="1:6" x14ac:dyDescent="0.3">
      <c r="A648" s="131"/>
      <c r="B648" s="131"/>
      <c r="C648" s="131"/>
      <c r="D648" s="131"/>
      <c r="E648" s="131"/>
      <c r="F648" s="131"/>
    </row>
    <row r="649" spans="1:6" x14ac:dyDescent="0.3">
      <c r="A649" s="131"/>
      <c r="B649" s="131"/>
      <c r="C649" s="131"/>
      <c r="D649" s="131"/>
      <c r="E649" s="131"/>
      <c r="F649" s="131"/>
    </row>
    <row r="650" spans="1:6" x14ac:dyDescent="0.3">
      <c r="A650" s="131"/>
      <c r="B650" s="131"/>
      <c r="C650" s="131"/>
      <c r="D650" s="131"/>
      <c r="E650" s="131"/>
      <c r="F650" s="131"/>
    </row>
    <row r="651" spans="1:6" x14ac:dyDescent="0.3">
      <c r="A651" s="131"/>
      <c r="B651" s="131"/>
      <c r="C651" s="131"/>
      <c r="D651" s="131"/>
      <c r="E651" s="131"/>
      <c r="F651" s="131"/>
    </row>
    <row r="652" spans="1:6" x14ac:dyDescent="0.3">
      <c r="A652" s="131"/>
      <c r="B652" s="131"/>
      <c r="C652" s="131"/>
      <c r="D652" s="131"/>
      <c r="E652" s="131"/>
      <c r="F652" s="131"/>
    </row>
    <row r="653" spans="1:6" x14ac:dyDescent="0.3">
      <c r="A653" s="131"/>
      <c r="B653" s="131"/>
      <c r="C653" s="131"/>
      <c r="D653" s="131"/>
      <c r="E653" s="131"/>
      <c r="F653" s="131"/>
    </row>
    <row r="654" spans="1:6" x14ac:dyDescent="0.3">
      <c r="A654" s="131"/>
      <c r="B654" s="131"/>
      <c r="C654" s="131"/>
      <c r="D654" s="131"/>
      <c r="E654" s="131"/>
      <c r="F654" s="131"/>
    </row>
    <row r="655" spans="1:6" x14ac:dyDescent="0.3">
      <c r="A655" s="131"/>
      <c r="B655" s="131"/>
      <c r="C655" s="131"/>
      <c r="D655" s="131"/>
      <c r="E655" s="131"/>
      <c r="F655" s="131"/>
    </row>
    <row r="656" spans="1:6" x14ac:dyDescent="0.3">
      <c r="A656" s="131"/>
      <c r="B656" s="131"/>
      <c r="C656" s="131"/>
      <c r="D656" s="131"/>
      <c r="E656" s="131"/>
      <c r="F656" s="131"/>
    </row>
    <row r="657" spans="1:6" x14ac:dyDescent="0.3">
      <c r="A657" s="131"/>
      <c r="B657" s="131"/>
      <c r="C657" s="131"/>
      <c r="D657" s="131"/>
      <c r="E657" s="131"/>
      <c r="F657" s="131"/>
    </row>
    <row r="658" spans="1:6" x14ac:dyDescent="0.3">
      <c r="A658" s="131"/>
      <c r="B658" s="131"/>
      <c r="C658" s="131"/>
      <c r="D658" s="131"/>
      <c r="E658" s="131"/>
      <c r="F658" s="131"/>
    </row>
    <row r="659" spans="1:6" x14ac:dyDescent="0.3">
      <c r="A659" s="131"/>
      <c r="B659" s="131"/>
      <c r="C659" s="131"/>
      <c r="D659" s="131"/>
      <c r="E659" s="131"/>
      <c r="F659" s="131"/>
    </row>
    <row r="660" spans="1:6" x14ac:dyDescent="0.3">
      <c r="A660" s="131"/>
      <c r="B660" s="131"/>
      <c r="C660" s="131"/>
      <c r="D660" s="131"/>
      <c r="E660" s="131"/>
      <c r="F660" s="131"/>
    </row>
    <row r="661" spans="1:6" x14ac:dyDescent="0.3">
      <c r="A661" s="131"/>
      <c r="B661" s="131"/>
      <c r="C661" s="131"/>
      <c r="D661" s="131"/>
      <c r="E661" s="131"/>
      <c r="F661" s="131"/>
    </row>
    <row r="662" spans="1:6" x14ac:dyDescent="0.3">
      <c r="A662" s="131"/>
      <c r="B662" s="131"/>
      <c r="C662" s="131"/>
      <c r="D662" s="131"/>
      <c r="E662" s="131"/>
      <c r="F662" s="131"/>
    </row>
    <row r="663" spans="1:6" x14ac:dyDescent="0.3">
      <c r="A663" s="131"/>
      <c r="B663" s="131"/>
      <c r="C663" s="131"/>
      <c r="D663" s="131"/>
      <c r="E663" s="131"/>
      <c r="F663" s="131"/>
    </row>
    <row r="664" spans="1:6" x14ac:dyDescent="0.3">
      <c r="A664" s="131"/>
      <c r="B664" s="131"/>
      <c r="C664" s="131"/>
      <c r="D664" s="131"/>
      <c r="E664" s="131"/>
      <c r="F664" s="131"/>
    </row>
    <row r="665" spans="1:6" x14ac:dyDescent="0.3">
      <c r="A665" s="131"/>
      <c r="B665" s="131"/>
      <c r="C665" s="131"/>
      <c r="D665" s="131"/>
      <c r="E665" s="131"/>
      <c r="F665" s="131"/>
    </row>
    <row r="666" spans="1:6" x14ac:dyDescent="0.3">
      <c r="A666" s="131"/>
      <c r="B666" s="131"/>
      <c r="C666" s="131"/>
      <c r="D666" s="131"/>
      <c r="E666" s="131"/>
      <c r="F666" s="131"/>
    </row>
    <row r="667" spans="1:6" x14ac:dyDescent="0.3">
      <c r="A667" s="131"/>
      <c r="B667" s="131"/>
      <c r="C667" s="131"/>
      <c r="D667" s="131"/>
      <c r="E667" s="131"/>
      <c r="F667" s="131"/>
    </row>
    <row r="668" spans="1:6" x14ac:dyDescent="0.3">
      <c r="A668" s="131"/>
      <c r="B668" s="131"/>
      <c r="C668" s="131"/>
      <c r="D668" s="131"/>
      <c r="E668" s="131"/>
      <c r="F668" s="131"/>
    </row>
    <row r="669" spans="1:6" x14ac:dyDescent="0.3">
      <c r="A669" s="131"/>
      <c r="B669" s="131"/>
      <c r="C669" s="131"/>
      <c r="D669" s="131"/>
      <c r="E669" s="131"/>
      <c r="F669" s="131"/>
    </row>
    <row r="670" spans="1:6" x14ac:dyDescent="0.3">
      <c r="A670" s="131"/>
      <c r="B670" s="131"/>
      <c r="C670" s="131"/>
      <c r="D670" s="131"/>
      <c r="E670" s="131"/>
      <c r="F670" s="131"/>
    </row>
    <row r="671" spans="1:6" x14ac:dyDescent="0.3">
      <c r="A671" s="131"/>
      <c r="B671" s="131"/>
      <c r="C671" s="131"/>
      <c r="D671" s="131"/>
      <c r="E671" s="131"/>
      <c r="F671" s="131"/>
    </row>
    <row r="672" spans="1:6" x14ac:dyDescent="0.3">
      <c r="A672" s="131"/>
      <c r="B672" s="131"/>
      <c r="C672" s="131"/>
      <c r="D672" s="131"/>
      <c r="E672" s="131"/>
      <c r="F672" s="131"/>
    </row>
    <row r="673" spans="1:6" x14ac:dyDescent="0.3">
      <c r="A673" s="131"/>
      <c r="B673" s="131"/>
      <c r="C673" s="131"/>
      <c r="D673" s="131"/>
      <c r="E673" s="131"/>
      <c r="F673" s="131"/>
    </row>
    <row r="674" spans="1:6" x14ac:dyDescent="0.3">
      <c r="A674" s="131"/>
      <c r="B674" s="131"/>
      <c r="C674" s="131"/>
      <c r="D674" s="131"/>
      <c r="E674" s="131"/>
      <c r="F674" s="131"/>
    </row>
    <row r="675" spans="1:6" x14ac:dyDescent="0.3">
      <c r="A675" s="131"/>
      <c r="B675" s="131"/>
      <c r="C675" s="131"/>
      <c r="D675" s="131"/>
      <c r="E675" s="131"/>
      <c r="F675" s="131"/>
    </row>
    <row r="676" spans="1:6" x14ac:dyDescent="0.3">
      <c r="A676" s="131"/>
      <c r="B676" s="131"/>
      <c r="C676" s="131"/>
      <c r="D676" s="131"/>
      <c r="E676" s="131"/>
      <c r="F676" s="131"/>
    </row>
    <row r="677" spans="1:6" x14ac:dyDescent="0.3">
      <c r="A677" s="131"/>
      <c r="B677" s="131"/>
      <c r="C677" s="131"/>
      <c r="D677" s="131"/>
      <c r="E677" s="131"/>
      <c r="F677" s="131"/>
    </row>
    <row r="678" spans="1:6" x14ac:dyDescent="0.3">
      <c r="A678" s="131"/>
      <c r="B678" s="131"/>
      <c r="C678" s="131"/>
      <c r="D678" s="131"/>
      <c r="E678" s="131"/>
      <c r="F678" s="131"/>
    </row>
    <row r="679" spans="1:6" x14ac:dyDescent="0.3">
      <c r="A679" s="131"/>
      <c r="B679" s="131"/>
      <c r="C679" s="131"/>
      <c r="D679" s="131"/>
      <c r="E679" s="131"/>
      <c r="F679" s="131"/>
    </row>
    <row r="680" spans="1:6" x14ac:dyDescent="0.3">
      <c r="A680" s="131"/>
      <c r="B680" s="131"/>
      <c r="C680" s="131"/>
      <c r="D680" s="131"/>
      <c r="E680" s="131"/>
      <c r="F680" s="131"/>
    </row>
    <row r="681" spans="1:6" x14ac:dyDescent="0.3">
      <c r="A681" s="131"/>
      <c r="B681" s="131"/>
      <c r="C681" s="131"/>
      <c r="D681" s="131"/>
      <c r="E681" s="131"/>
      <c r="F681" s="131"/>
    </row>
    <row r="682" spans="1:6" x14ac:dyDescent="0.3">
      <c r="A682" s="131"/>
      <c r="B682" s="131"/>
      <c r="C682" s="131"/>
      <c r="D682" s="131"/>
      <c r="E682" s="131"/>
      <c r="F682" s="131"/>
    </row>
    <row r="683" spans="1:6" x14ac:dyDescent="0.3">
      <c r="A683" s="131"/>
      <c r="B683" s="131"/>
      <c r="C683" s="131"/>
      <c r="D683" s="131"/>
      <c r="E683" s="131"/>
      <c r="F683" s="131"/>
    </row>
    <row r="684" spans="1:6" x14ac:dyDescent="0.3">
      <c r="A684" s="131"/>
      <c r="B684" s="131"/>
      <c r="C684" s="131"/>
      <c r="D684" s="131"/>
      <c r="E684" s="131"/>
      <c r="F684" s="131"/>
    </row>
    <row r="685" spans="1:6" x14ac:dyDescent="0.3">
      <c r="A685" s="131"/>
      <c r="B685" s="131"/>
      <c r="C685" s="131"/>
      <c r="D685" s="131"/>
      <c r="E685" s="131"/>
      <c r="F685" s="131"/>
    </row>
    <row r="686" spans="1:6" x14ac:dyDescent="0.3">
      <c r="A686" s="131"/>
      <c r="B686" s="131"/>
      <c r="C686" s="131"/>
      <c r="D686" s="131"/>
      <c r="E686" s="131"/>
      <c r="F686" s="131"/>
    </row>
    <row r="687" spans="1:6" x14ac:dyDescent="0.3">
      <c r="A687" s="131"/>
      <c r="B687" s="131"/>
      <c r="C687" s="131"/>
      <c r="D687" s="131"/>
      <c r="E687" s="131"/>
      <c r="F687" s="131"/>
    </row>
    <row r="688" spans="1:6" x14ac:dyDescent="0.3">
      <c r="A688" s="131"/>
      <c r="B688" s="131"/>
      <c r="C688" s="131"/>
      <c r="D688" s="131"/>
      <c r="E688" s="131"/>
      <c r="F688" s="131"/>
    </row>
    <row r="689" spans="1:6" x14ac:dyDescent="0.3">
      <c r="A689" s="131"/>
      <c r="B689" s="131"/>
      <c r="C689" s="131"/>
      <c r="D689" s="131"/>
      <c r="E689" s="131"/>
      <c r="F689" s="131"/>
    </row>
    <row r="690" spans="1:6" x14ac:dyDescent="0.3">
      <c r="A690" s="131"/>
      <c r="B690" s="131"/>
      <c r="C690" s="131"/>
      <c r="D690" s="131"/>
      <c r="E690" s="131"/>
      <c r="F690" s="131"/>
    </row>
    <row r="691" spans="1:6" x14ac:dyDescent="0.3">
      <c r="A691" s="131"/>
      <c r="B691" s="131"/>
      <c r="C691" s="131"/>
      <c r="D691" s="131"/>
      <c r="E691" s="131"/>
      <c r="F691" s="131"/>
    </row>
    <row r="692" spans="1:6" x14ac:dyDescent="0.3">
      <c r="A692" s="131"/>
      <c r="B692" s="131"/>
      <c r="C692" s="131"/>
      <c r="D692" s="131"/>
      <c r="E692" s="131"/>
      <c r="F692" s="131"/>
    </row>
    <row r="693" spans="1:6" x14ac:dyDescent="0.3">
      <c r="A693" s="131"/>
      <c r="B693" s="131"/>
      <c r="C693" s="131"/>
      <c r="D693" s="131"/>
      <c r="E693" s="131"/>
      <c r="F693" s="131"/>
    </row>
    <row r="694" spans="1:6" x14ac:dyDescent="0.3">
      <c r="A694" s="131"/>
      <c r="B694" s="131"/>
      <c r="C694" s="131"/>
      <c r="D694" s="131"/>
      <c r="E694" s="131"/>
      <c r="F694" s="131"/>
    </row>
    <row r="695" spans="1:6" x14ac:dyDescent="0.3">
      <c r="A695" s="131"/>
      <c r="B695" s="131"/>
      <c r="C695" s="131"/>
      <c r="D695" s="131"/>
      <c r="E695" s="131"/>
      <c r="F695" s="131"/>
    </row>
    <row r="696" spans="1:6" x14ac:dyDescent="0.3">
      <c r="A696" s="131"/>
      <c r="B696" s="131"/>
      <c r="C696" s="131"/>
      <c r="D696" s="131"/>
      <c r="E696" s="131"/>
      <c r="F696" s="131"/>
    </row>
    <row r="697" spans="1:6" x14ac:dyDescent="0.3">
      <c r="A697" s="131"/>
      <c r="B697" s="131"/>
      <c r="C697" s="131"/>
      <c r="D697" s="131"/>
      <c r="E697" s="131"/>
      <c r="F697" s="131"/>
    </row>
    <row r="698" spans="1:6" x14ac:dyDescent="0.3">
      <c r="A698" s="131"/>
      <c r="B698" s="131"/>
      <c r="C698" s="131"/>
      <c r="D698" s="131"/>
      <c r="E698" s="131"/>
      <c r="F698" s="131"/>
    </row>
    <row r="699" spans="1:6" x14ac:dyDescent="0.3">
      <c r="A699" s="131"/>
      <c r="B699" s="131"/>
      <c r="C699" s="131"/>
      <c r="D699" s="131"/>
      <c r="E699" s="131"/>
      <c r="F699" s="131"/>
    </row>
    <row r="700" spans="1:6" x14ac:dyDescent="0.3">
      <c r="A700" s="131"/>
      <c r="B700" s="131"/>
      <c r="C700" s="131"/>
      <c r="D700" s="131"/>
      <c r="E700" s="131"/>
      <c r="F700" s="131"/>
    </row>
    <row r="701" spans="1:6" x14ac:dyDescent="0.3">
      <c r="A701" s="131"/>
      <c r="B701" s="131"/>
      <c r="C701" s="131"/>
      <c r="D701" s="131"/>
      <c r="E701" s="131"/>
      <c r="F701" s="131"/>
    </row>
    <row r="702" spans="1:6" x14ac:dyDescent="0.3">
      <c r="A702" s="131"/>
      <c r="B702" s="131"/>
      <c r="C702" s="131"/>
      <c r="D702" s="131"/>
      <c r="E702" s="131"/>
      <c r="F702" s="131"/>
    </row>
    <row r="703" spans="1:6" x14ac:dyDescent="0.3">
      <c r="A703" s="131"/>
      <c r="B703" s="131"/>
      <c r="C703" s="131"/>
      <c r="D703" s="131"/>
      <c r="E703" s="131"/>
      <c r="F703" s="131"/>
    </row>
    <row r="704" spans="1:6" x14ac:dyDescent="0.3">
      <c r="A704" s="131"/>
      <c r="B704" s="131"/>
      <c r="C704" s="131"/>
      <c r="D704" s="131"/>
      <c r="E704" s="131"/>
      <c r="F704" s="131"/>
    </row>
    <row r="705" spans="1:6" x14ac:dyDescent="0.3">
      <c r="A705" s="131"/>
      <c r="B705" s="131"/>
      <c r="C705" s="131"/>
      <c r="D705" s="131"/>
      <c r="E705" s="131"/>
      <c r="F705" s="131"/>
    </row>
    <row r="706" spans="1:6" x14ac:dyDescent="0.3">
      <c r="A706" s="131"/>
      <c r="B706" s="131"/>
      <c r="C706" s="131"/>
      <c r="D706" s="131"/>
      <c r="E706" s="131"/>
      <c r="F706" s="131"/>
    </row>
    <row r="707" spans="1:6" x14ac:dyDescent="0.3">
      <c r="A707" s="131"/>
      <c r="B707" s="131"/>
      <c r="C707" s="131"/>
      <c r="D707" s="131"/>
      <c r="E707" s="131"/>
      <c r="F707" s="131"/>
    </row>
    <row r="708" spans="1:6" x14ac:dyDescent="0.3">
      <c r="A708" s="131"/>
      <c r="B708" s="131"/>
      <c r="C708" s="131"/>
      <c r="D708" s="131"/>
      <c r="E708" s="131"/>
      <c r="F708" s="131"/>
    </row>
    <row r="709" spans="1:6" x14ac:dyDescent="0.3">
      <c r="A709" s="131"/>
      <c r="B709" s="131"/>
      <c r="C709" s="131"/>
      <c r="D709" s="131"/>
      <c r="E709" s="131"/>
      <c r="F709" s="131"/>
    </row>
    <row r="710" spans="1:6" x14ac:dyDescent="0.3">
      <c r="A710" s="131"/>
      <c r="B710" s="131"/>
      <c r="C710" s="131"/>
      <c r="D710" s="131"/>
      <c r="E710" s="131"/>
      <c r="F710" s="131"/>
    </row>
    <row r="711" spans="1:6" x14ac:dyDescent="0.3">
      <c r="A711" s="131"/>
      <c r="B711" s="131"/>
      <c r="C711" s="131"/>
      <c r="D711" s="131"/>
      <c r="E711" s="131"/>
      <c r="F711" s="131"/>
    </row>
    <row r="712" spans="1:6" x14ac:dyDescent="0.3">
      <c r="A712" s="131"/>
      <c r="B712" s="131"/>
      <c r="C712" s="131"/>
      <c r="D712" s="131"/>
      <c r="E712" s="131"/>
      <c r="F712" s="131"/>
    </row>
    <row r="713" spans="1:6" x14ac:dyDescent="0.3">
      <c r="A713" s="131"/>
      <c r="B713" s="131"/>
      <c r="C713" s="131"/>
      <c r="D713" s="131"/>
      <c r="E713" s="131"/>
      <c r="F713" s="131"/>
    </row>
    <row r="714" spans="1:6" x14ac:dyDescent="0.3">
      <c r="A714" s="131"/>
      <c r="B714" s="131"/>
      <c r="C714" s="131"/>
      <c r="D714" s="131"/>
      <c r="E714" s="131"/>
      <c r="F714" s="131"/>
    </row>
    <row r="715" spans="1:6" x14ac:dyDescent="0.3">
      <c r="A715" s="131"/>
      <c r="B715" s="131"/>
      <c r="C715" s="131"/>
      <c r="D715" s="131"/>
      <c r="E715" s="131"/>
      <c r="F715" s="131"/>
    </row>
    <row r="716" spans="1:6" x14ac:dyDescent="0.3">
      <c r="A716" s="131"/>
      <c r="B716" s="131"/>
      <c r="C716" s="131"/>
      <c r="D716" s="131"/>
      <c r="E716" s="131"/>
      <c r="F716" s="131"/>
    </row>
    <row r="717" spans="1:6" x14ac:dyDescent="0.3">
      <c r="A717" s="131"/>
      <c r="B717" s="131"/>
      <c r="C717" s="131"/>
      <c r="D717" s="131"/>
      <c r="E717" s="131"/>
      <c r="F717" s="131"/>
    </row>
    <row r="718" spans="1:6" x14ac:dyDescent="0.3">
      <c r="A718" s="131"/>
      <c r="B718" s="131"/>
      <c r="C718" s="131"/>
      <c r="D718" s="131"/>
      <c r="E718" s="131"/>
      <c r="F718" s="131"/>
    </row>
    <row r="719" spans="1:6" x14ac:dyDescent="0.3">
      <c r="A719" s="131"/>
      <c r="B719" s="131"/>
      <c r="C719" s="131"/>
      <c r="D719" s="131"/>
      <c r="E719" s="131"/>
      <c r="F719" s="131"/>
    </row>
    <row r="720" spans="1:6" x14ac:dyDescent="0.3">
      <c r="A720" s="131"/>
      <c r="B720" s="131"/>
      <c r="C720" s="131"/>
      <c r="D720" s="131"/>
      <c r="E720" s="131"/>
      <c r="F720" s="131"/>
    </row>
    <row r="721" spans="1:6" x14ac:dyDescent="0.3">
      <c r="A721" s="131"/>
      <c r="B721" s="131"/>
      <c r="C721" s="131"/>
      <c r="D721" s="131"/>
      <c r="E721" s="131"/>
      <c r="F721" s="131"/>
    </row>
    <row r="722" spans="1:6" x14ac:dyDescent="0.3">
      <c r="A722" s="131"/>
      <c r="B722" s="131"/>
      <c r="C722" s="131"/>
      <c r="D722" s="131"/>
      <c r="E722" s="131"/>
      <c r="F722" s="131"/>
    </row>
    <row r="723" spans="1:6" x14ac:dyDescent="0.3">
      <c r="A723" s="131"/>
      <c r="B723" s="131"/>
      <c r="C723" s="131"/>
      <c r="D723" s="131"/>
      <c r="E723" s="131"/>
      <c r="F723" s="131"/>
    </row>
    <row r="724" spans="1:6" x14ac:dyDescent="0.3">
      <c r="A724" s="131"/>
      <c r="B724" s="131"/>
      <c r="C724" s="131"/>
      <c r="D724" s="131"/>
      <c r="E724" s="131"/>
      <c r="F724" s="131"/>
    </row>
    <row r="725" spans="1:6" x14ac:dyDescent="0.3">
      <c r="A725" s="131"/>
      <c r="B725" s="131"/>
      <c r="C725" s="131"/>
      <c r="D725" s="131"/>
      <c r="E725" s="131"/>
      <c r="F725" s="131"/>
    </row>
    <row r="726" spans="1:6" x14ac:dyDescent="0.3">
      <c r="A726" s="131"/>
      <c r="B726" s="131"/>
      <c r="C726" s="131"/>
      <c r="D726" s="131"/>
      <c r="E726" s="131"/>
      <c r="F726" s="131"/>
    </row>
    <row r="727" spans="1:6" x14ac:dyDescent="0.3">
      <c r="A727" s="131"/>
      <c r="B727" s="131"/>
      <c r="C727" s="131"/>
      <c r="D727" s="131"/>
      <c r="E727" s="131"/>
      <c r="F727" s="131"/>
    </row>
    <row r="728" spans="1:6" x14ac:dyDescent="0.3">
      <c r="A728" s="131"/>
      <c r="B728" s="131"/>
      <c r="C728" s="131"/>
      <c r="D728" s="131"/>
      <c r="E728" s="131"/>
      <c r="F728" s="131"/>
    </row>
    <row r="729" spans="1:6" x14ac:dyDescent="0.3">
      <c r="A729" s="131"/>
      <c r="B729" s="131"/>
      <c r="C729" s="131"/>
      <c r="D729" s="131"/>
      <c r="E729" s="131"/>
      <c r="F729" s="131"/>
    </row>
    <row r="730" spans="1:6" x14ac:dyDescent="0.3">
      <c r="A730" s="131"/>
      <c r="B730" s="131"/>
      <c r="C730" s="131"/>
      <c r="D730" s="131"/>
      <c r="E730" s="131"/>
      <c r="F730" s="131"/>
    </row>
    <row r="731" spans="1:6" x14ac:dyDescent="0.3">
      <c r="A731" s="131"/>
      <c r="B731" s="131"/>
      <c r="C731" s="131"/>
      <c r="D731" s="131"/>
      <c r="E731" s="131"/>
      <c r="F731" s="131"/>
    </row>
    <row r="732" spans="1:6" x14ac:dyDescent="0.3">
      <c r="A732" s="131"/>
      <c r="B732" s="131"/>
      <c r="C732" s="131"/>
      <c r="D732" s="131"/>
      <c r="E732" s="131"/>
      <c r="F732" s="131"/>
    </row>
    <row r="733" spans="1:6" x14ac:dyDescent="0.3">
      <c r="A733" s="131"/>
      <c r="B733" s="131"/>
      <c r="C733" s="131"/>
      <c r="D733" s="131"/>
      <c r="E733" s="131"/>
      <c r="F733" s="131"/>
    </row>
    <row r="734" spans="1:6" x14ac:dyDescent="0.3">
      <c r="A734" s="131"/>
      <c r="B734" s="131"/>
      <c r="C734" s="131"/>
      <c r="D734" s="131"/>
      <c r="E734" s="131"/>
      <c r="F734" s="131"/>
    </row>
    <row r="735" spans="1:6" x14ac:dyDescent="0.3">
      <c r="A735" s="131"/>
      <c r="B735" s="131"/>
      <c r="C735" s="131"/>
      <c r="D735" s="131"/>
      <c r="E735" s="131"/>
      <c r="F735" s="131"/>
    </row>
    <row r="736" spans="1:6" x14ac:dyDescent="0.3">
      <c r="A736" s="131"/>
      <c r="B736" s="131"/>
      <c r="C736" s="131"/>
      <c r="D736" s="131"/>
      <c r="E736" s="131"/>
      <c r="F736" s="131"/>
    </row>
    <row r="737" spans="1:6" x14ac:dyDescent="0.3">
      <c r="A737" s="131"/>
      <c r="B737" s="131"/>
      <c r="C737" s="131"/>
      <c r="D737" s="131"/>
      <c r="E737" s="131"/>
      <c r="F737" s="131"/>
    </row>
    <row r="738" spans="1:6" x14ac:dyDescent="0.3">
      <c r="A738" s="131"/>
      <c r="B738" s="131"/>
      <c r="C738" s="131"/>
      <c r="D738" s="131"/>
      <c r="E738" s="131"/>
      <c r="F738" s="131"/>
    </row>
    <row r="739" spans="1:6" x14ac:dyDescent="0.3">
      <c r="A739" s="131"/>
      <c r="B739" s="131"/>
      <c r="C739" s="131"/>
      <c r="D739" s="131"/>
      <c r="E739" s="131"/>
      <c r="F739" s="131"/>
    </row>
    <row r="740" spans="1:6" x14ac:dyDescent="0.3">
      <c r="A740" s="131"/>
      <c r="B740" s="131"/>
      <c r="C740" s="131"/>
      <c r="D740" s="131"/>
      <c r="E740" s="131"/>
      <c r="F740" s="131"/>
    </row>
    <row r="741" spans="1:6" x14ac:dyDescent="0.3">
      <c r="A741" s="131"/>
      <c r="B741" s="131"/>
      <c r="C741" s="131"/>
      <c r="D741" s="131"/>
      <c r="E741" s="131"/>
      <c r="F741" s="131"/>
    </row>
    <row r="742" spans="1:6" x14ac:dyDescent="0.3">
      <c r="A742" s="131"/>
      <c r="B742" s="131"/>
      <c r="C742" s="131"/>
      <c r="D742" s="131"/>
      <c r="E742" s="131"/>
      <c r="F742" s="131"/>
    </row>
    <row r="743" spans="1:6" x14ac:dyDescent="0.3">
      <c r="A743" s="131"/>
      <c r="B743" s="131"/>
      <c r="C743" s="131"/>
      <c r="D743" s="131"/>
      <c r="E743" s="131"/>
      <c r="F743" s="131"/>
    </row>
    <row r="744" spans="1:6" x14ac:dyDescent="0.3">
      <c r="A744" s="131"/>
      <c r="B744" s="131"/>
      <c r="C744" s="131"/>
      <c r="D744" s="131"/>
      <c r="E744" s="131"/>
      <c r="F744" s="131"/>
    </row>
    <row r="745" spans="1:6" x14ac:dyDescent="0.3">
      <c r="A745" s="131"/>
      <c r="B745" s="131"/>
      <c r="C745" s="131"/>
      <c r="D745" s="131"/>
      <c r="E745" s="131"/>
      <c r="F745" s="131"/>
    </row>
    <row r="746" spans="1:6" x14ac:dyDescent="0.3">
      <c r="A746" s="131"/>
      <c r="B746" s="131"/>
      <c r="C746" s="131"/>
      <c r="D746" s="131"/>
      <c r="E746" s="131"/>
      <c r="F746" s="131"/>
    </row>
    <row r="747" spans="1:6" x14ac:dyDescent="0.3">
      <c r="A747" s="131"/>
      <c r="B747" s="131"/>
      <c r="C747" s="131"/>
      <c r="D747" s="131"/>
      <c r="E747" s="131"/>
      <c r="F747" s="131"/>
    </row>
    <row r="748" spans="1:6" x14ac:dyDescent="0.3">
      <c r="A748" s="131"/>
      <c r="B748" s="131"/>
      <c r="C748" s="131"/>
      <c r="D748" s="131"/>
      <c r="E748" s="131"/>
      <c r="F748" s="131"/>
    </row>
    <row r="749" spans="1:6" x14ac:dyDescent="0.3">
      <c r="A749" s="131"/>
      <c r="B749" s="131"/>
      <c r="C749" s="131"/>
      <c r="D749" s="131"/>
      <c r="E749" s="131"/>
      <c r="F749" s="131"/>
    </row>
    <row r="750" spans="1:6" x14ac:dyDescent="0.3">
      <c r="A750" s="131"/>
      <c r="B750" s="131"/>
      <c r="C750" s="131"/>
      <c r="D750" s="131"/>
      <c r="E750" s="131"/>
      <c r="F750" s="131"/>
    </row>
    <row r="751" spans="1:6" x14ac:dyDescent="0.3">
      <c r="A751" s="131"/>
      <c r="B751" s="131"/>
      <c r="C751" s="131"/>
      <c r="D751" s="131"/>
      <c r="E751" s="131"/>
      <c r="F751" s="131"/>
    </row>
    <row r="752" spans="1:6" x14ac:dyDescent="0.3">
      <c r="A752" s="131"/>
      <c r="B752" s="131"/>
      <c r="C752" s="131"/>
      <c r="D752" s="131"/>
      <c r="E752" s="131"/>
      <c r="F752" s="131"/>
    </row>
    <row r="753" spans="1:6" x14ac:dyDescent="0.3">
      <c r="A753" s="131"/>
      <c r="B753" s="131"/>
      <c r="C753" s="131"/>
      <c r="D753" s="131"/>
      <c r="E753" s="131"/>
      <c r="F753" s="131"/>
    </row>
    <row r="754" spans="1:6" x14ac:dyDescent="0.3">
      <c r="A754" s="131"/>
      <c r="B754" s="131"/>
      <c r="C754" s="131"/>
      <c r="D754" s="131"/>
      <c r="E754" s="131"/>
      <c r="F754" s="131"/>
    </row>
    <row r="755" spans="1:6" x14ac:dyDescent="0.3">
      <c r="A755" s="131"/>
      <c r="B755" s="131"/>
      <c r="C755" s="131"/>
      <c r="D755" s="131"/>
      <c r="E755" s="131"/>
      <c r="F755" s="131"/>
    </row>
    <row r="756" spans="1:6" x14ac:dyDescent="0.3">
      <c r="A756" s="131"/>
      <c r="B756" s="131"/>
      <c r="C756" s="131"/>
      <c r="D756" s="131"/>
      <c r="E756" s="131"/>
      <c r="F756" s="131"/>
    </row>
    <row r="757" spans="1:6" x14ac:dyDescent="0.3">
      <c r="A757" s="131"/>
      <c r="B757" s="131"/>
      <c r="C757" s="131"/>
      <c r="D757" s="131"/>
      <c r="E757" s="131"/>
      <c r="F757" s="131"/>
    </row>
    <row r="758" spans="1:6" x14ac:dyDescent="0.3">
      <c r="A758" s="131"/>
      <c r="B758" s="131"/>
      <c r="C758" s="131"/>
      <c r="D758" s="131"/>
      <c r="E758" s="131"/>
      <c r="F758" s="131"/>
    </row>
    <row r="759" spans="1:6" x14ac:dyDescent="0.3">
      <c r="A759" s="131"/>
      <c r="B759" s="131"/>
      <c r="C759" s="131"/>
      <c r="D759" s="131"/>
      <c r="E759" s="131"/>
      <c r="F759" s="131"/>
    </row>
    <row r="760" spans="1:6" x14ac:dyDescent="0.3">
      <c r="A760" s="131"/>
      <c r="B760" s="131"/>
      <c r="C760" s="131"/>
      <c r="D760" s="131"/>
      <c r="E760" s="131"/>
      <c r="F760" s="131"/>
    </row>
    <row r="761" spans="1:6" x14ac:dyDescent="0.3">
      <c r="A761" s="131"/>
      <c r="B761" s="131"/>
      <c r="C761" s="131"/>
      <c r="D761" s="131"/>
      <c r="E761" s="131"/>
      <c r="F761" s="131"/>
    </row>
    <row r="762" spans="1:6" x14ac:dyDescent="0.3">
      <c r="A762" s="131"/>
      <c r="B762" s="131"/>
      <c r="C762" s="131"/>
      <c r="D762" s="131"/>
      <c r="E762" s="131"/>
      <c r="F762" s="131"/>
    </row>
    <row r="763" spans="1:6" x14ac:dyDescent="0.3">
      <c r="A763" s="131"/>
      <c r="B763" s="131"/>
      <c r="C763" s="131"/>
      <c r="D763" s="131"/>
      <c r="E763" s="131"/>
      <c r="F763" s="131"/>
    </row>
    <row r="764" spans="1:6" x14ac:dyDescent="0.3">
      <c r="A764" s="131"/>
      <c r="B764" s="131"/>
      <c r="C764" s="131"/>
      <c r="D764" s="131"/>
      <c r="E764" s="131"/>
      <c r="F764" s="131"/>
    </row>
    <row r="765" spans="1:6" x14ac:dyDescent="0.3">
      <c r="A765" s="131"/>
      <c r="B765" s="131"/>
      <c r="C765" s="131"/>
      <c r="D765" s="131"/>
      <c r="E765" s="131"/>
      <c r="F765" s="131"/>
    </row>
    <row r="766" spans="1:6" x14ac:dyDescent="0.3">
      <c r="A766" s="131"/>
      <c r="B766" s="131"/>
      <c r="C766" s="131"/>
      <c r="D766" s="131"/>
      <c r="E766" s="131"/>
      <c r="F766" s="131"/>
    </row>
    <row r="767" spans="1:6" x14ac:dyDescent="0.3">
      <c r="A767" s="131"/>
      <c r="B767" s="131"/>
      <c r="C767" s="131"/>
      <c r="D767" s="131"/>
      <c r="E767" s="131"/>
      <c r="F767" s="131"/>
    </row>
    <row r="768" spans="1:6" x14ac:dyDescent="0.3">
      <c r="A768" s="131"/>
      <c r="B768" s="131"/>
      <c r="C768" s="131"/>
      <c r="D768" s="131"/>
      <c r="E768" s="131"/>
      <c r="F768" s="131"/>
    </row>
    <row r="769" spans="1:6" x14ac:dyDescent="0.3">
      <c r="A769" s="131"/>
      <c r="B769" s="131"/>
      <c r="C769" s="131"/>
      <c r="D769" s="131"/>
      <c r="E769" s="131"/>
      <c r="F769" s="131"/>
    </row>
    <row r="770" spans="1:6" x14ac:dyDescent="0.3">
      <c r="A770" s="131"/>
      <c r="B770" s="131"/>
      <c r="C770" s="131"/>
      <c r="D770" s="131"/>
      <c r="E770" s="131"/>
      <c r="F770" s="131"/>
    </row>
    <row r="771" spans="1:6" x14ac:dyDescent="0.3">
      <c r="A771" s="131"/>
      <c r="B771" s="131"/>
      <c r="C771" s="131"/>
      <c r="D771" s="131"/>
      <c r="E771" s="131"/>
      <c r="F771" s="131"/>
    </row>
    <row r="772" spans="1:6" x14ac:dyDescent="0.3">
      <c r="A772" s="131"/>
      <c r="B772" s="131"/>
      <c r="C772" s="131"/>
      <c r="D772" s="131"/>
      <c r="E772" s="131"/>
      <c r="F772" s="131"/>
    </row>
    <row r="773" spans="1:6" x14ac:dyDescent="0.3">
      <c r="A773" s="131"/>
      <c r="B773" s="131"/>
      <c r="C773" s="131"/>
      <c r="D773" s="131"/>
      <c r="E773" s="131"/>
      <c r="F773" s="131"/>
    </row>
    <row r="774" spans="1:6" x14ac:dyDescent="0.3">
      <c r="A774" s="131"/>
      <c r="B774" s="131"/>
      <c r="C774" s="131"/>
      <c r="D774" s="131"/>
      <c r="E774" s="131"/>
      <c r="F774" s="131"/>
    </row>
    <row r="775" spans="1:6" x14ac:dyDescent="0.3">
      <c r="A775" s="131"/>
      <c r="B775" s="131"/>
      <c r="C775" s="131"/>
      <c r="D775" s="131"/>
      <c r="E775" s="131"/>
      <c r="F775" s="131"/>
    </row>
    <row r="776" spans="1:6" x14ac:dyDescent="0.3">
      <c r="A776" s="131"/>
      <c r="B776" s="131"/>
      <c r="C776" s="131"/>
      <c r="D776" s="131"/>
      <c r="E776" s="131"/>
      <c r="F776" s="131"/>
    </row>
    <row r="777" spans="1:6" x14ac:dyDescent="0.3">
      <c r="A777" s="131"/>
      <c r="B777" s="131"/>
      <c r="C777" s="131"/>
      <c r="D777" s="131"/>
      <c r="E777" s="131"/>
      <c r="F777" s="131"/>
    </row>
    <row r="778" spans="1:6" x14ac:dyDescent="0.3">
      <c r="A778" s="131"/>
      <c r="B778" s="131"/>
      <c r="C778" s="131"/>
      <c r="D778" s="131"/>
      <c r="E778" s="131"/>
      <c r="F778" s="131"/>
    </row>
    <row r="779" spans="1:6" x14ac:dyDescent="0.3">
      <c r="A779" s="131"/>
      <c r="B779" s="131"/>
      <c r="C779" s="131"/>
      <c r="D779" s="131"/>
      <c r="E779" s="131"/>
      <c r="F779" s="131"/>
    </row>
    <row r="780" spans="1:6" x14ac:dyDescent="0.3">
      <c r="A780" s="131"/>
      <c r="B780" s="131"/>
      <c r="C780" s="131"/>
      <c r="D780" s="131"/>
      <c r="E780" s="131"/>
      <c r="F780" s="131"/>
    </row>
    <row r="781" spans="1:6" x14ac:dyDescent="0.3">
      <c r="A781" s="131"/>
      <c r="B781" s="131"/>
      <c r="C781" s="131"/>
      <c r="D781" s="131"/>
      <c r="E781" s="131"/>
      <c r="F781" s="131"/>
    </row>
    <row r="782" spans="1:6" x14ac:dyDescent="0.3">
      <c r="A782" s="131"/>
      <c r="B782" s="131"/>
      <c r="C782" s="131"/>
      <c r="D782" s="131"/>
      <c r="E782" s="131"/>
      <c r="F782" s="131"/>
    </row>
    <row r="783" spans="1:6" x14ac:dyDescent="0.3">
      <c r="A783" s="131"/>
      <c r="B783" s="131"/>
      <c r="C783" s="131"/>
      <c r="D783" s="131"/>
      <c r="E783" s="131"/>
      <c r="F783" s="131"/>
    </row>
    <row r="784" spans="1:6" x14ac:dyDescent="0.3">
      <c r="A784" s="131"/>
      <c r="B784" s="131"/>
      <c r="C784" s="131"/>
      <c r="D784" s="131"/>
      <c r="E784" s="131"/>
      <c r="F784" s="131"/>
    </row>
    <row r="785" spans="1:6" x14ac:dyDescent="0.3">
      <c r="A785" s="131"/>
      <c r="B785" s="131"/>
      <c r="C785" s="131"/>
      <c r="D785" s="131"/>
      <c r="E785" s="131"/>
      <c r="F785" s="131"/>
    </row>
    <row r="786" spans="1:6" x14ac:dyDescent="0.3">
      <c r="A786" s="131"/>
      <c r="B786" s="131"/>
      <c r="C786" s="131"/>
      <c r="D786" s="131"/>
      <c r="E786" s="131"/>
      <c r="F786" s="131"/>
    </row>
    <row r="787" spans="1:6" x14ac:dyDescent="0.3">
      <c r="A787" s="131"/>
      <c r="B787" s="131"/>
      <c r="C787" s="131"/>
      <c r="D787" s="131"/>
      <c r="E787" s="131"/>
      <c r="F787" s="131"/>
    </row>
    <row r="788" spans="1:6" x14ac:dyDescent="0.3">
      <c r="A788" s="131"/>
      <c r="B788" s="131"/>
      <c r="C788" s="131"/>
      <c r="D788" s="131"/>
      <c r="E788" s="131"/>
      <c r="F788" s="131"/>
    </row>
    <row r="789" spans="1:6" x14ac:dyDescent="0.3">
      <c r="A789" s="131"/>
      <c r="B789" s="131"/>
      <c r="C789" s="131"/>
      <c r="D789" s="131"/>
      <c r="E789" s="131"/>
      <c r="F789" s="131"/>
    </row>
    <row r="790" spans="1:6" x14ac:dyDescent="0.3">
      <c r="A790" s="131"/>
      <c r="B790" s="131"/>
      <c r="C790" s="131"/>
      <c r="D790" s="131"/>
      <c r="E790" s="131"/>
      <c r="F790" s="131"/>
    </row>
    <row r="791" spans="1:6" x14ac:dyDescent="0.3">
      <c r="A791" s="131"/>
      <c r="B791" s="131"/>
      <c r="C791" s="131"/>
      <c r="D791" s="131"/>
      <c r="E791" s="131"/>
      <c r="F791" s="131"/>
    </row>
    <row r="792" spans="1:6" x14ac:dyDescent="0.3">
      <c r="A792" s="131"/>
      <c r="B792" s="131"/>
      <c r="C792" s="131"/>
      <c r="D792" s="131"/>
      <c r="E792" s="131"/>
      <c r="F792" s="131"/>
    </row>
    <row r="793" spans="1:6" x14ac:dyDescent="0.3">
      <c r="A793" s="131"/>
      <c r="B793" s="131"/>
      <c r="C793" s="131"/>
      <c r="D793" s="131"/>
      <c r="E793" s="131"/>
      <c r="F793" s="131"/>
    </row>
    <row r="794" spans="1:6" x14ac:dyDescent="0.3">
      <c r="A794" s="131"/>
      <c r="B794" s="131"/>
      <c r="C794" s="131"/>
      <c r="D794" s="131"/>
      <c r="E794" s="131"/>
      <c r="F794" s="131"/>
    </row>
    <row r="795" spans="1:6" x14ac:dyDescent="0.3">
      <c r="A795" s="131"/>
      <c r="B795" s="131"/>
      <c r="C795" s="131"/>
      <c r="D795" s="131"/>
      <c r="E795" s="131"/>
      <c r="F795" s="131"/>
    </row>
    <row r="796" spans="1:6" x14ac:dyDescent="0.3">
      <c r="A796" s="131"/>
      <c r="B796" s="131"/>
      <c r="C796" s="131"/>
      <c r="D796" s="131"/>
      <c r="E796" s="131"/>
      <c r="F796" s="131"/>
    </row>
    <row r="797" spans="1:6" x14ac:dyDescent="0.3">
      <c r="A797" s="131"/>
      <c r="B797" s="131"/>
      <c r="C797" s="131"/>
      <c r="D797" s="131"/>
      <c r="E797" s="131"/>
      <c r="F797" s="131"/>
    </row>
    <row r="798" spans="1:6" x14ac:dyDescent="0.3">
      <c r="A798" s="131"/>
      <c r="B798" s="131"/>
      <c r="C798" s="131"/>
      <c r="D798" s="131"/>
      <c r="E798" s="131"/>
      <c r="F798" s="131"/>
    </row>
    <row r="799" spans="1:6" x14ac:dyDescent="0.3">
      <c r="A799" s="131"/>
      <c r="B799" s="131"/>
      <c r="C799" s="131"/>
      <c r="D799" s="131"/>
      <c r="E799" s="131"/>
      <c r="F799" s="131"/>
    </row>
    <row r="800" spans="1:6" x14ac:dyDescent="0.3">
      <c r="A800" s="131"/>
      <c r="B800" s="131"/>
      <c r="C800" s="131"/>
      <c r="D800" s="131"/>
      <c r="E800" s="131"/>
      <c r="F800" s="131"/>
    </row>
    <row r="801" spans="1:6" x14ac:dyDescent="0.3">
      <c r="A801" s="131"/>
      <c r="B801" s="131"/>
      <c r="C801" s="131"/>
      <c r="D801" s="131"/>
      <c r="E801" s="131"/>
      <c r="F801" s="131"/>
    </row>
    <row r="802" spans="1:6" x14ac:dyDescent="0.3">
      <c r="A802" s="131"/>
      <c r="B802" s="131"/>
      <c r="C802" s="131"/>
      <c r="D802" s="131"/>
      <c r="E802" s="131"/>
      <c r="F802" s="131"/>
    </row>
    <row r="803" spans="1:6" x14ac:dyDescent="0.3">
      <c r="A803" s="131"/>
      <c r="B803" s="131"/>
      <c r="C803" s="131"/>
      <c r="D803" s="131"/>
      <c r="E803" s="131"/>
      <c r="F803" s="131"/>
    </row>
    <row r="804" spans="1:6" x14ac:dyDescent="0.3">
      <c r="A804" s="131"/>
      <c r="B804" s="131"/>
      <c r="C804" s="131"/>
      <c r="D804" s="131"/>
      <c r="E804" s="131"/>
      <c r="F804" s="131"/>
    </row>
    <row r="805" spans="1:6" x14ac:dyDescent="0.3">
      <c r="A805" s="131"/>
      <c r="B805" s="131"/>
      <c r="C805" s="131"/>
      <c r="D805" s="131"/>
      <c r="E805" s="131"/>
      <c r="F805" s="131"/>
    </row>
    <row r="806" spans="1:6" x14ac:dyDescent="0.3">
      <c r="A806" s="131"/>
      <c r="B806" s="131"/>
      <c r="C806" s="131"/>
      <c r="D806" s="131"/>
      <c r="E806" s="131"/>
      <c r="F806" s="131"/>
    </row>
    <row r="807" spans="1:6" x14ac:dyDescent="0.3">
      <c r="A807" s="131"/>
      <c r="B807" s="131"/>
      <c r="C807" s="131"/>
      <c r="D807" s="131"/>
      <c r="E807" s="131"/>
      <c r="F807" s="131"/>
    </row>
    <row r="808" spans="1:6" x14ac:dyDescent="0.3">
      <c r="A808" s="131"/>
      <c r="B808" s="131"/>
      <c r="C808" s="131"/>
      <c r="D808" s="131"/>
      <c r="E808" s="131"/>
      <c r="F808" s="131"/>
    </row>
    <row r="809" spans="1:6" x14ac:dyDescent="0.3">
      <c r="A809" s="131"/>
      <c r="B809" s="131"/>
      <c r="C809" s="131"/>
      <c r="D809" s="131"/>
      <c r="E809" s="131"/>
      <c r="F809" s="131"/>
    </row>
    <row r="810" spans="1:6" x14ac:dyDescent="0.3">
      <c r="A810" s="131"/>
      <c r="B810" s="131"/>
      <c r="C810" s="131"/>
      <c r="D810" s="131"/>
      <c r="E810" s="131"/>
      <c r="F810" s="131"/>
    </row>
    <row r="811" spans="1:6" x14ac:dyDescent="0.3">
      <c r="A811" s="131"/>
      <c r="B811" s="131"/>
      <c r="C811" s="131"/>
      <c r="D811" s="131"/>
      <c r="E811" s="131"/>
      <c r="F811" s="131"/>
    </row>
    <row r="812" spans="1:6" x14ac:dyDescent="0.3">
      <c r="A812" s="131"/>
      <c r="B812" s="131"/>
      <c r="C812" s="131"/>
      <c r="D812" s="131"/>
      <c r="E812" s="131"/>
      <c r="F812" s="131"/>
    </row>
    <row r="813" spans="1:6" x14ac:dyDescent="0.3">
      <c r="A813" s="131"/>
      <c r="B813" s="131"/>
      <c r="C813" s="131"/>
      <c r="D813" s="131"/>
      <c r="E813" s="131"/>
      <c r="F813" s="131"/>
    </row>
    <row r="814" spans="1:6" x14ac:dyDescent="0.3">
      <c r="A814" s="131"/>
      <c r="B814" s="131"/>
      <c r="C814" s="131"/>
      <c r="D814" s="131"/>
      <c r="E814" s="131"/>
      <c r="F814" s="131"/>
    </row>
    <row r="815" spans="1:6" x14ac:dyDescent="0.3">
      <c r="A815" s="131"/>
      <c r="B815" s="131"/>
      <c r="C815" s="131"/>
      <c r="D815" s="131"/>
      <c r="E815" s="131"/>
      <c r="F815" s="131"/>
    </row>
    <row r="816" spans="1:6" x14ac:dyDescent="0.3">
      <c r="A816" s="131"/>
      <c r="B816" s="131"/>
      <c r="C816" s="131"/>
      <c r="D816" s="131"/>
      <c r="E816" s="131"/>
      <c r="F816" s="131"/>
    </row>
    <row r="817" spans="1:6" x14ac:dyDescent="0.3">
      <c r="A817" s="131"/>
      <c r="B817" s="131"/>
      <c r="C817" s="131"/>
      <c r="D817" s="131"/>
      <c r="E817" s="131"/>
      <c r="F817" s="131"/>
    </row>
    <row r="818" spans="1:6" x14ac:dyDescent="0.3">
      <c r="A818" s="131"/>
      <c r="B818" s="131"/>
      <c r="C818" s="131"/>
      <c r="D818" s="131"/>
      <c r="E818" s="131"/>
      <c r="F818" s="131"/>
    </row>
    <row r="819" spans="1:6" x14ac:dyDescent="0.3">
      <c r="A819" s="131"/>
      <c r="B819" s="131"/>
      <c r="C819" s="131"/>
      <c r="D819" s="131"/>
      <c r="E819" s="131"/>
      <c r="F819" s="131"/>
    </row>
    <row r="820" spans="1:6" x14ac:dyDescent="0.3">
      <c r="A820" s="131"/>
      <c r="B820" s="131"/>
      <c r="C820" s="131"/>
      <c r="D820" s="131"/>
      <c r="E820" s="131"/>
      <c r="F820" s="131"/>
    </row>
    <row r="821" spans="1:6" x14ac:dyDescent="0.3">
      <c r="A821" s="131"/>
      <c r="B821" s="131"/>
      <c r="C821" s="131"/>
      <c r="D821" s="131"/>
      <c r="E821" s="131"/>
      <c r="F821" s="131"/>
    </row>
    <row r="822" spans="1:6" x14ac:dyDescent="0.3">
      <c r="A822" s="131"/>
      <c r="B822" s="131"/>
      <c r="C822" s="131"/>
      <c r="D822" s="131"/>
      <c r="E822" s="131"/>
      <c r="F822" s="131"/>
    </row>
    <row r="823" spans="1:6" x14ac:dyDescent="0.3">
      <c r="A823" s="131"/>
      <c r="B823" s="131"/>
      <c r="C823" s="131"/>
      <c r="D823" s="131"/>
      <c r="E823" s="131"/>
      <c r="F823" s="131"/>
    </row>
    <row r="824" spans="1:6" x14ac:dyDescent="0.3">
      <c r="A824" s="131"/>
      <c r="B824" s="131"/>
      <c r="C824" s="131"/>
      <c r="D824" s="131"/>
      <c r="E824" s="131"/>
      <c r="F824" s="131"/>
    </row>
    <row r="825" spans="1:6" x14ac:dyDescent="0.3">
      <c r="A825" s="131"/>
      <c r="B825" s="131"/>
      <c r="C825" s="131"/>
      <c r="D825" s="131"/>
      <c r="E825" s="131"/>
      <c r="F825" s="131"/>
    </row>
    <row r="826" spans="1:6" x14ac:dyDescent="0.3">
      <c r="A826" s="131"/>
      <c r="B826" s="131"/>
      <c r="C826" s="131"/>
      <c r="D826" s="131"/>
      <c r="E826" s="131"/>
      <c r="F826" s="131"/>
    </row>
    <row r="827" spans="1:6" x14ac:dyDescent="0.3">
      <c r="A827" s="131"/>
      <c r="B827" s="131"/>
      <c r="C827" s="131"/>
      <c r="D827" s="131"/>
      <c r="E827" s="131"/>
      <c r="F827" s="131"/>
    </row>
    <row r="828" spans="1:6" x14ac:dyDescent="0.3">
      <c r="A828" s="131"/>
      <c r="B828" s="131"/>
      <c r="C828" s="131"/>
      <c r="D828" s="131"/>
      <c r="E828" s="131"/>
      <c r="F828" s="131"/>
    </row>
    <row r="829" spans="1:6" x14ac:dyDescent="0.3">
      <c r="A829" s="131"/>
      <c r="B829" s="131"/>
      <c r="C829" s="131"/>
      <c r="D829" s="131"/>
      <c r="E829" s="131"/>
      <c r="F829" s="131"/>
    </row>
    <row r="830" spans="1:6" x14ac:dyDescent="0.3">
      <c r="A830" s="131"/>
      <c r="B830" s="131"/>
      <c r="C830" s="131"/>
      <c r="D830" s="131"/>
      <c r="E830" s="131"/>
      <c r="F830" s="131"/>
    </row>
    <row r="831" spans="1:6" x14ac:dyDescent="0.3">
      <c r="A831" s="131"/>
      <c r="B831" s="131"/>
      <c r="C831" s="131"/>
      <c r="D831" s="131"/>
      <c r="E831" s="131"/>
      <c r="F831" s="131"/>
    </row>
    <row r="832" spans="1:6" x14ac:dyDescent="0.3">
      <c r="A832" s="131"/>
      <c r="B832" s="131"/>
      <c r="C832" s="131"/>
      <c r="D832" s="131"/>
      <c r="E832" s="131"/>
      <c r="F832" s="131"/>
    </row>
    <row r="833" spans="1:6" x14ac:dyDescent="0.3">
      <c r="A833" s="131"/>
      <c r="B833" s="131"/>
      <c r="C833" s="131"/>
      <c r="D833" s="131"/>
      <c r="E833" s="131"/>
      <c r="F833" s="131"/>
    </row>
    <row r="834" spans="1:6" x14ac:dyDescent="0.3">
      <c r="A834" s="131"/>
      <c r="B834" s="131"/>
      <c r="C834" s="131"/>
      <c r="D834" s="131"/>
      <c r="E834" s="131"/>
      <c r="F834" s="131"/>
    </row>
    <row r="835" spans="1:6" x14ac:dyDescent="0.3">
      <c r="A835" s="131"/>
      <c r="B835" s="131"/>
      <c r="C835" s="131"/>
      <c r="D835" s="131"/>
      <c r="E835" s="131"/>
      <c r="F835" s="131"/>
    </row>
    <row r="836" spans="1:6" x14ac:dyDescent="0.3">
      <c r="A836" s="131"/>
      <c r="B836" s="131"/>
      <c r="C836" s="131"/>
      <c r="D836" s="131"/>
      <c r="E836" s="131"/>
      <c r="F836" s="131"/>
    </row>
    <row r="837" spans="1:6" x14ac:dyDescent="0.3">
      <c r="A837" s="131"/>
      <c r="B837" s="131"/>
      <c r="C837" s="131"/>
      <c r="D837" s="131"/>
      <c r="E837" s="131"/>
      <c r="F837" s="131"/>
    </row>
    <row r="838" spans="1:6" x14ac:dyDescent="0.3">
      <c r="A838" s="131"/>
      <c r="B838" s="131"/>
      <c r="C838" s="131"/>
      <c r="D838" s="131"/>
      <c r="E838" s="131"/>
      <c r="F838" s="131"/>
    </row>
    <row r="839" spans="1:6" x14ac:dyDescent="0.3">
      <c r="A839" s="131"/>
      <c r="B839" s="131"/>
      <c r="C839" s="131"/>
      <c r="D839" s="131"/>
      <c r="E839" s="131"/>
      <c r="F839" s="131"/>
    </row>
    <row r="840" spans="1:6" x14ac:dyDescent="0.3">
      <c r="A840" s="131"/>
      <c r="B840" s="131"/>
      <c r="C840" s="131"/>
      <c r="D840" s="131"/>
      <c r="E840" s="131"/>
      <c r="F840" s="131"/>
    </row>
    <row r="841" spans="1:6" x14ac:dyDescent="0.3">
      <c r="A841" s="131"/>
      <c r="B841" s="131"/>
      <c r="C841" s="131"/>
      <c r="D841" s="131"/>
      <c r="E841" s="131"/>
      <c r="F841" s="131"/>
    </row>
    <row r="842" spans="1:6" x14ac:dyDescent="0.3">
      <c r="A842" s="131"/>
      <c r="B842" s="131"/>
      <c r="C842" s="131"/>
      <c r="D842" s="131"/>
      <c r="E842" s="131"/>
      <c r="F842" s="131"/>
    </row>
    <row r="843" spans="1:6" x14ac:dyDescent="0.3">
      <c r="A843" s="131"/>
      <c r="B843" s="131"/>
      <c r="C843" s="131"/>
      <c r="D843" s="131"/>
      <c r="E843" s="131"/>
      <c r="F843" s="131"/>
    </row>
    <row r="844" spans="1:6" x14ac:dyDescent="0.3">
      <c r="A844" s="131"/>
      <c r="B844" s="131"/>
      <c r="C844" s="131"/>
      <c r="D844" s="131"/>
      <c r="E844" s="131"/>
      <c r="F844" s="131"/>
    </row>
    <row r="845" spans="1:6" x14ac:dyDescent="0.3">
      <c r="A845" s="131"/>
      <c r="B845" s="131"/>
      <c r="C845" s="131"/>
      <c r="D845" s="131"/>
      <c r="E845" s="131"/>
      <c r="F845" s="131"/>
    </row>
    <row r="846" spans="1:6" x14ac:dyDescent="0.3">
      <c r="A846" s="131"/>
      <c r="B846" s="131"/>
      <c r="C846" s="131"/>
      <c r="D846" s="131"/>
      <c r="E846" s="131"/>
      <c r="F846" s="131"/>
    </row>
    <row r="847" spans="1:6" x14ac:dyDescent="0.3">
      <c r="A847" s="131"/>
      <c r="B847" s="131"/>
      <c r="C847" s="131"/>
      <c r="D847" s="131"/>
      <c r="E847" s="131"/>
      <c r="F847" s="131"/>
    </row>
    <row r="848" spans="1:6" x14ac:dyDescent="0.3">
      <c r="A848" s="131"/>
      <c r="B848" s="131"/>
      <c r="C848" s="131"/>
      <c r="D848" s="131"/>
      <c r="E848" s="131"/>
      <c r="F848" s="131"/>
    </row>
    <row r="849" spans="1:6" x14ac:dyDescent="0.3">
      <c r="A849" s="131"/>
      <c r="B849" s="131"/>
      <c r="C849" s="131"/>
      <c r="D849" s="131"/>
      <c r="E849" s="131"/>
      <c r="F849" s="131"/>
    </row>
    <row r="850" spans="1:6" x14ac:dyDescent="0.3">
      <c r="A850" s="131"/>
      <c r="B850" s="131"/>
      <c r="C850" s="131"/>
      <c r="D850" s="131"/>
      <c r="E850" s="131"/>
      <c r="F850" s="131"/>
    </row>
    <row r="851" spans="1:6" x14ac:dyDescent="0.3">
      <c r="A851" s="131"/>
      <c r="B851" s="131"/>
      <c r="C851" s="131"/>
      <c r="D851" s="131"/>
      <c r="E851" s="131"/>
      <c r="F851" s="131"/>
    </row>
    <row r="852" spans="1:6" x14ac:dyDescent="0.3">
      <c r="A852" s="131"/>
      <c r="B852" s="131"/>
      <c r="C852" s="131"/>
      <c r="D852" s="131"/>
      <c r="E852" s="131"/>
      <c r="F852" s="131"/>
    </row>
    <row r="853" spans="1:6" x14ac:dyDescent="0.3">
      <c r="A853" s="131"/>
      <c r="B853" s="131"/>
      <c r="C853" s="131"/>
      <c r="D853" s="131"/>
      <c r="E853" s="131"/>
      <c r="F853" s="131"/>
    </row>
    <row r="854" spans="1:6" x14ac:dyDescent="0.3">
      <c r="A854" s="131"/>
      <c r="B854" s="131"/>
      <c r="C854" s="131"/>
      <c r="D854" s="131"/>
      <c r="E854" s="131"/>
      <c r="F854" s="131"/>
    </row>
    <row r="855" spans="1:6" x14ac:dyDescent="0.3">
      <c r="A855" s="131"/>
      <c r="B855" s="131"/>
      <c r="C855" s="131"/>
      <c r="D855" s="131"/>
      <c r="E855" s="131"/>
      <c r="F855" s="131"/>
    </row>
    <row r="856" spans="1:6" x14ac:dyDescent="0.3">
      <c r="A856" s="131"/>
      <c r="B856" s="131"/>
      <c r="C856" s="131"/>
      <c r="D856" s="131"/>
      <c r="E856" s="131"/>
      <c r="F856" s="131"/>
    </row>
    <row r="857" spans="1:6" x14ac:dyDescent="0.3">
      <c r="A857" s="131"/>
      <c r="B857" s="131"/>
      <c r="C857" s="131"/>
      <c r="D857" s="131"/>
      <c r="E857" s="131"/>
      <c r="F857" s="131"/>
    </row>
    <row r="858" spans="1:6" x14ac:dyDescent="0.3">
      <c r="A858" s="131"/>
      <c r="B858" s="131"/>
      <c r="C858" s="131"/>
      <c r="D858" s="131"/>
      <c r="E858" s="131"/>
      <c r="F858" s="131"/>
    </row>
    <row r="859" spans="1:6" x14ac:dyDescent="0.3">
      <c r="A859" s="131"/>
      <c r="B859" s="131"/>
      <c r="C859" s="131"/>
      <c r="D859" s="131"/>
      <c r="E859" s="131"/>
      <c r="F859" s="131"/>
    </row>
    <row r="860" spans="1:6" x14ac:dyDescent="0.3">
      <c r="A860" s="131"/>
      <c r="B860" s="131"/>
      <c r="C860" s="131"/>
      <c r="D860" s="131"/>
      <c r="E860" s="131"/>
      <c r="F860" s="131"/>
    </row>
    <row r="861" spans="1:6" x14ac:dyDescent="0.3">
      <c r="A861" s="131"/>
      <c r="B861" s="131"/>
      <c r="C861" s="131"/>
      <c r="D861" s="131"/>
      <c r="E861" s="131"/>
      <c r="F861" s="131"/>
    </row>
    <row r="862" spans="1:6" x14ac:dyDescent="0.3">
      <c r="A862" s="131"/>
      <c r="B862" s="131"/>
      <c r="C862" s="131"/>
      <c r="D862" s="131"/>
      <c r="E862" s="131"/>
      <c r="F862" s="131"/>
    </row>
    <row r="863" spans="1:6" x14ac:dyDescent="0.3">
      <c r="A863" s="131"/>
      <c r="B863" s="131"/>
      <c r="C863" s="131"/>
      <c r="D863" s="131"/>
      <c r="E863" s="131"/>
      <c r="F863" s="131"/>
    </row>
    <row r="864" spans="1:6" x14ac:dyDescent="0.3">
      <c r="A864" s="131"/>
      <c r="B864" s="131"/>
      <c r="C864" s="131"/>
      <c r="D864" s="131"/>
      <c r="E864" s="131"/>
      <c r="F864" s="131"/>
    </row>
    <row r="865" spans="1:6" x14ac:dyDescent="0.3">
      <c r="A865" s="131"/>
      <c r="B865" s="131"/>
      <c r="C865" s="131"/>
      <c r="D865" s="131"/>
      <c r="E865" s="131"/>
      <c r="F865" s="131"/>
    </row>
    <row r="866" spans="1:6" x14ac:dyDescent="0.3">
      <c r="A866" s="131"/>
      <c r="B866" s="131"/>
      <c r="C866" s="131"/>
      <c r="D866" s="131"/>
      <c r="E866" s="131"/>
      <c r="F866" s="131"/>
    </row>
    <row r="867" spans="1:6" x14ac:dyDescent="0.3">
      <c r="A867" s="131"/>
      <c r="B867" s="131"/>
      <c r="C867" s="131"/>
      <c r="D867" s="131"/>
      <c r="E867" s="131"/>
      <c r="F867" s="131"/>
    </row>
    <row r="868" spans="1:6" x14ac:dyDescent="0.3">
      <c r="A868" s="131"/>
      <c r="B868" s="131"/>
      <c r="C868" s="131"/>
      <c r="D868" s="131"/>
      <c r="E868" s="131"/>
      <c r="F868" s="131"/>
    </row>
    <row r="869" spans="1:6" x14ac:dyDescent="0.3">
      <c r="A869" s="131"/>
      <c r="B869" s="131"/>
      <c r="C869" s="131"/>
      <c r="D869" s="131"/>
      <c r="E869" s="131"/>
      <c r="F869" s="131"/>
    </row>
    <row r="870" spans="1:6" x14ac:dyDescent="0.3">
      <c r="A870" s="131"/>
      <c r="B870" s="131"/>
      <c r="C870" s="131"/>
      <c r="D870" s="131"/>
      <c r="E870" s="131"/>
      <c r="F870" s="131"/>
    </row>
    <row r="871" spans="1:6" x14ac:dyDescent="0.3">
      <c r="A871" s="131"/>
      <c r="B871" s="131"/>
      <c r="C871" s="131"/>
      <c r="D871" s="131"/>
      <c r="E871" s="131"/>
      <c r="F871" s="131"/>
    </row>
    <row r="872" spans="1:6" x14ac:dyDescent="0.3">
      <c r="A872" s="131"/>
      <c r="B872" s="131"/>
      <c r="C872" s="131"/>
      <c r="D872" s="131"/>
      <c r="E872" s="131"/>
      <c r="F872" s="131"/>
    </row>
    <row r="873" spans="1:6" x14ac:dyDescent="0.3">
      <c r="A873" s="131"/>
      <c r="B873" s="131"/>
      <c r="C873" s="131"/>
      <c r="D873" s="131"/>
      <c r="E873" s="131"/>
      <c r="F873" s="131"/>
    </row>
    <row r="874" spans="1:6" x14ac:dyDescent="0.3">
      <c r="A874" s="131"/>
      <c r="B874" s="131"/>
      <c r="C874" s="131"/>
      <c r="D874" s="131"/>
      <c r="E874" s="131"/>
      <c r="F874" s="131"/>
    </row>
    <row r="875" spans="1:6" x14ac:dyDescent="0.3">
      <c r="A875" s="131"/>
      <c r="B875" s="131"/>
      <c r="C875" s="131"/>
      <c r="D875" s="131"/>
      <c r="E875" s="131"/>
      <c r="F875" s="131"/>
    </row>
    <row r="876" spans="1:6" x14ac:dyDescent="0.3">
      <c r="A876" s="131"/>
      <c r="B876" s="131"/>
      <c r="C876" s="131"/>
      <c r="D876" s="131"/>
      <c r="E876" s="131"/>
      <c r="F876" s="131"/>
    </row>
    <row r="877" spans="1:6" x14ac:dyDescent="0.3">
      <c r="A877" s="131"/>
      <c r="B877" s="131"/>
      <c r="C877" s="131"/>
      <c r="D877" s="131"/>
      <c r="E877" s="131"/>
      <c r="F877" s="131"/>
    </row>
    <row r="878" spans="1:6" x14ac:dyDescent="0.3">
      <c r="A878" s="131"/>
      <c r="B878" s="131"/>
      <c r="C878" s="131"/>
      <c r="D878" s="131"/>
      <c r="E878" s="131"/>
      <c r="F878" s="131"/>
    </row>
    <row r="879" spans="1:6" x14ac:dyDescent="0.3">
      <c r="A879" s="131"/>
      <c r="B879" s="131"/>
      <c r="C879" s="131"/>
      <c r="D879" s="131"/>
      <c r="E879" s="131"/>
      <c r="F879" s="131"/>
    </row>
    <row r="880" spans="1:6" x14ac:dyDescent="0.3">
      <c r="A880" s="131"/>
      <c r="B880" s="131"/>
      <c r="C880" s="131"/>
      <c r="D880" s="131"/>
      <c r="E880" s="131"/>
      <c r="F880" s="131"/>
    </row>
    <row r="881" spans="1:6" x14ac:dyDescent="0.3">
      <c r="A881" s="131"/>
      <c r="B881" s="131"/>
      <c r="C881" s="131"/>
      <c r="D881" s="131"/>
      <c r="E881" s="131"/>
      <c r="F881" s="131"/>
    </row>
    <row r="882" spans="1:6" x14ac:dyDescent="0.3">
      <c r="A882" s="131"/>
      <c r="B882" s="131"/>
      <c r="C882" s="131"/>
      <c r="D882" s="131"/>
      <c r="E882" s="131"/>
      <c r="F882" s="131"/>
    </row>
    <row r="883" spans="1:6" x14ac:dyDescent="0.3">
      <c r="A883" s="131"/>
      <c r="B883" s="131"/>
      <c r="C883" s="131"/>
      <c r="D883" s="131"/>
      <c r="E883" s="131"/>
      <c r="F883" s="131"/>
    </row>
    <row r="884" spans="1:6" x14ac:dyDescent="0.3">
      <c r="A884" s="131"/>
      <c r="B884" s="131"/>
      <c r="C884" s="131"/>
      <c r="D884" s="131"/>
      <c r="E884" s="131"/>
      <c r="F884" s="131"/>
    </row>
    <row r="885" spans="1:6" x14ac:dyDescent="0.3">
      <c r="A885" s="131"/>
      <c r="B885" s="131"/>
      <c r="C885" s="131"/>
      <c r="D885" s="131"/>
      <c r="E885" s="131"/>
      <c r="F885" s="131"/>
    </row>
    <row r="886" spans="1:6" x14ac:dyDescent="0.3">
      <c r="A886" s="131"/>
      <c r="B886" s="131"/>
      <c r="C886" s="131"/>
      <c r="D886" s="131"/>
      <c r="E886" s="131"/>
      <c r="F886" s="131"/>
    </row>
    <row r="887" spans="1:6" x14ac:dyDescent="0.3">
      <c r="A887" s="131"/>
      <c r="B887" s="131"/>
      <c r="C887" s="131"/>
      <c r="D887" s="131"/>
      <c r="E887" s="131"/>
      <c r="F887" s="131"/>
    </row>
    <row r="888" spans="1:6" x14ac:dyDescent="0.3">
      <c r="A888" s="131"/>
      <c r="B888" s="131"/>
      <c r="C888" s="131"/>
      <c r="D888" s="131"/>
      <c r="E888" s="131"/>
      <c r="F888" s="131"/>
    </row>
    <row r="889" spans="1:6" x14ac:dyDescent="0.3">
      <c r="A889" s="131"/>
      <c r="B889" s="131"/>
      <c r="C889" s="131"/>
      <c r="D889" s="131"/>
      <c r="E889" s="131"/>
      <c r="F889" s="131"/>
    </row>
    <row r="890" spans="1:6" x14ac:dyDescent="0.3">
      <c r="A890" s="131"/>
      <c r="B890" s="131"/>
      <c r="C890" s="131"/>
      <c r="D890" s="131"/>
      <c r="E890" s="131"/>
      <c r="F890" s="131"/>
    </row>
    <row r="891" spans="1:6" x14ac:dyDescent="0.3">
      <c r="A891" s="131"/>
      <c r="B891" s="131"/>
      <c r="C891" s="131"/>
      <c r="D891" s="131"/>
      <c r="E891" s="131"/>
      <c r="F891" s="131"/>
    </row>
    <row r="892" spans="1:6" x14ac:dyDescent="0.3">
      <c r="A892" s="131"/>
      <c r="B892" s="131"/>
      <c r="C892" s="131"/>
      <c r="D892" s="131"/>
      <c r="E892" s="131"/>
      <c r="F892" s="131"/>
    </row>
    <row r="893" spans="1:6" x14ac:dyDescent="0.3">
      <c r="A893" s="131"/>
      <c r="B893" s="131"/>
      <c r="C893" s="131"/>
      <c r="D893" s="131"/>
      <c r="E893" s="131"/>
      <c r="F893" s="131"/>
    </row>
    <row r="894" spans="1:6" x14ac:dyDescent="0.3">
      <c r="A894" s="131"/>
      <c r="B894" s="131"/>
      <c r="C894" s="131"/>
      <c r="D894" s="131"/>
      <c r="E894" s="131"/>
      <c r="F894" s="131"/>
    </row>
    <row r="895" spans="1:6" x14ac:dyDescent="0.3">
      <c r="A895" s="131"/>
      <c r="B895" s="131"/>
      <c r="C895" s="131"/>
      <c r="D895" s="131"/>
      <c r="E895" s="131"/>
      <c r="F895" s="131"/>
    </row>
    <row r="896" spans="1:6" x14ac:dyDescent="0.3">
      <c r="A896" s="131"/>
      <c r="B896" s="131"/>
      <c r="C896" s="131"/>
      <c r="D896" s="131"/>
      <c r="E896" s="131"/>
      <c r="F896" s="131"/>
    </row>
    <row r="897" spans="1:6" x14ac:dyDescent="0.3">
      <c r="A897" s="131"/>
      <c r="B897" s="131"/>
      <c r="C897" s="131"/>
      <c r="D897" s="131"/>
      <c r="E897" s="131"/>
      <c r="F897" s="131"/>
    </row>
    <row r="898" spans="1:6" x14ac:dyDescent="0.3">
      <c r="A898" s="131"/>
      <c r="B898" s="131"/>
      <c r="C898" s="131"/>
      <c r="D898" s="131"/>
      <c r="E898" s="131"/>
      <c r="F898" s="131"/>
    </row>
    <row r="899" spans="1:6" x14ac:dyDescent="0.3">
      <c r="A899" s="131"/>
      <c r="B899" s="131"/>
      <c r="C899" s="131"/>
      <c r="D899" s="131"/>
      <c r="E899" s="131"/>
      <c r="F899" s="131"/>
    </row>
    <row r="900" spans="1:6" x14ac:dyDescent="0.3">
      <c r="A900" s="131"/>
      <c r="B900" s="131"/>
      <c r="C900" s="131"/>
      <c r="D900" s="131"/>
      <c r="E900" s="131"/>
      <c r="F900" s="131"/>
    </row>
    <row r="901" spans="1:6" x14ac:dyDescent="0.3">
      <c r="A901" s="131"/>
      <c r="B901" s="131"/>
      <c r="C901" s="131"/>
      <c r="D901" s="131"/>
      <c r="E901" s="131"/>
      <c r="F901" s="131"/>
    </row>
    <row r="902" spans="1:6" x14ac:dyDescent="0.3">
      <c r="A902" s="131"/>
      <c r="B902" s="131"/>
      <c r="C902" s="131"/>
      <c r="D902" s="131"/>
      <c r="E902" s="131"/>
      <c r="F902" s="131"/>
    </row>
    <row r="903" spans="1:6" x14ac:dyDescent="0.3">
      <c r="A903" s="131"/>
      <c r="B903" s="131"/>
      <c r="C903" s="131"/>
      <c r="D903" s="131"/>
      <c r="E903" s="131"/>
      <c r="F903" s="131"/>
    </row>
    <row r="904" spans="1:6" x14ac:dyDescent="0.3">
      <c r="A904" s="131"/>
      <c r="B904" s="131"/>
      <c r="C904" s="131"/>
      <c r="D904" s="131"/>
      <c r="E904" s="131"/>
      <c r="F904" s="131"/>
    </row>
    <row r="905" spans="1:6" x14ac:dyDescent="0.3">
      <c r="A905" s="131"/>
      <c r="B905" s="131"/>
      <c r="C905" s="131"/>
      <c r="D905" s="131"/>
      <c r="E905" s="131"/>
      <c r="F905" s="131"/>
    </row>
    <row r="906" spans="1:6" x14ac:dyDescent="0.3">
      <c r="A906" s="131"/>
      <c r="B906" s="131"/>
      <c r="C906" s="131"/>
      <c r="D906" s="131"/>
      <c r="E906" s="131"/>
      <c r="F906" s="131"/>
    </row>
    <row r="907" spans="1:6" x14ac:dyDescent="0.3">
      <c r="A907" s="131"/>
      <c r="B907" s="131"/>
      <c r="C907" s="131"/>
      <c r="D907" s="131"/>
      <c r="E907" s="131"/>
      <c r="F907" s="131"/>
    </row>
    <row r="908" spans="1:6" x14ac:dyDescent="0.3">
      <c r="A908" s="131"/>
      <c r="B908" s="131"/>
      <c r="C908" s="131"/>
      <c r="D908" s="131"/>
      <c r="E908" s="131"/>
      <c r="F908" s="131"/>
    </row>
    <row r="909" spans="1:6" x14ac:dyDescent="0.3">
      <c r="A909" s="131"/>
      <c r="B909" s="131"/>
      <c r="C909" s="131"/>
      <c r="D909" s="131"/>
      <c r="E909" s="131"/>
      <c r="F909" s="131"/>
    </row>
    <row r="910" spans="1:6" x14ac:dyDescent="0.3">
      <c r="A910" s="131"/>
      <c r="B910" s="131"/>
      <c r="C910" s="131"/>
      <c r="D910" s="131"/>
      <c r="E910" s="131"/>
      <c r="F910" s="131"/>
    </row>
    <row r="911" spans="1:6" x14ac:dyDescent="0.3">
      <c r="A911" s="131"/>
      <c r="B911" s="131"/>
      <c r="C911" s="131"/>
      <c r="D911" s="131"/>
      <c r="E911" s="131"/>
      <c r="F911" s="131"/>
    </row>
    <row r="912" spans="1:6" x14ac:dyDescent="0.3">
      <c r="A912" s="131"/>
      <c r="B912" s="131"/>
      <c r="C912" s="131"/>
      <c r="D912" s="131"/>
      <c r="E912" s="131"/>
      <c r="F912" s="131"/>
    </row>
    <row r="913" spans="1:6" x14ac:dyDescent="0.3">
      <c r="A913" s="131"/>
      <c r="B913" s="131"/>
      <c r="C913" s="131"/>
      <c r="D913" s="131"/>
      <c r="E913" s="131"/>
      <c r="F913" s="131"/>
    </row>
    <row r="914" spans="1:6" x14ac:dyDescent="0.3">
      <c r="A914" s="131"/>
      <c r="B914" s="131"/>
      <c r="C914" s="131"/>
      <c r="D914" s="131"/>
      <c r="E914" s="131"/>
      <c r="F914" s="131"/>
    </row>
    <row r="915" spans="1:6" x14ac:dyDescent="0.3">
      <c r="A915" s="131"/>
      <c r="B915" s="131"/>
      <c r="C915" s="131"/>
      <c r="D915" s="131"/>
      <c r="E915" s="131"/>
      <c r="F915" s="131"/>
    </row>
    <row r="916" spans="1:6" x14ac:dyDescent="0.3">
      <c r="A916" s="131"/>
      <c r="B916" s="131"/>
      <c r="C916" s="131"/>
      <c r="D916" s="131"/>
      <c r="E916" s="131"/>
      <c r="F916" s="131"/>
    </row>
    <row r="917" spans="1:6" x14ac:dyDescent="0.3">
      <c r="A917" s="131"/>
      <c r="B917" s="131"/>
      <c r="C917" s="131"/>
      <c r="D917" s="131"/>
      <c r="E917" s="131"/>
      <c r="F917" s="131"/>
    </row>
    <row r="918" spans="1:6" x14ac:dyDescent="0.3">
      <c r="A918" s="131"/>
      <c r="B918" s="131"/>
      <c r="C918" s="131"/>
      <c r="D918" s="131"/>
      <c r="E918" s="131"/>
      <c r="F918" s="131"/>
    </row>
    <row r="919" spans="1:6" x14ac:dyDescent="0.3">
      <c r="A919" s="131"/>
      <c r="B919" s="131"/>
      <c r="C919" s="131"/>
      <c r="D919" s="131"/>
      <c r="E919" s="131"/>
      <c r="F919" s="131"/>
    </row>
    <row r="920" spans="1:6" x14ac:dyDescent="0.3">
      <c r="A920" s="131"/>
      <c r="B920" s="131"/>
      <c r="C920" s="131"/>
      <c r="D920" s="131"/>
      <c r="E920" s="131"/>
      <c r="F920" s="131"/>
    </row>
    <row r="921" spans="1:6" x14ac:dyDescent="0.3">
      <c r="A921" s="131"/>
      <c r="B921" s="131"/>
      <c r="C921" s="131"/>
      <c r="D921" s="131"/>
      <c r="E921" s="131"/>
      <c r="F921" s="131"/>
    </row>
    <row r="922" spans="1:6" x14ac:dyDescent="0.3">
      <c r="A922" s="131"/>
      <c r="B922" s="131"/>
      <c r="C922" s="131"/>
      <c r="D922" s="131"/>
      <c r="E922" s="131"/>
      <c r="F922" s="131"/>
    </row>
    <row r="923" spans="1:6" x14ac:dyDescent="0.3">
      <c r="A923" s="131"/>
      <c r="B923" s="131"/>
      <c r="C923" s="131"/>
      <c r="D923" s="131"/>
      <c r="E923" s="131"/>
      <c r="F923" s="131"/>
    </row>
    <row r="924" spans="1:6" x14ac:dyDescent="0.3">
      <c r="A924" s="131"/>
      <c r="B924" s="131"/>
      <c r="C924" s="131"/>
      <c r="D924" s="131"/>
      <c r="E924" s="131"/>
      <c r="F924" s="131"/>
    </row>
    <row r="925" spans="1:6" x14ac:dyDescent="0.3">
      <c r="A925" s="131"/>
      <c r="B925" s="131"/>
      <c r="C925" s="131"/>
      <c r="D925" s="131"/>
      <c r="E925" s="131"/>
      <c r="F925" s="131"/>
    </row>
    <row r="926" spans="1:6" x14ac:dyDescent="0.3">
      <c r="A926" s="131"/>
      <c r="B926" s="131"/>
      <c r="C926" s="131"/>
      <c r="D926" s="131"/>
      <c r="E926" s="131"/>
      <c r="F926" s="131"/>
    </row>
    <row r="927" spans="1:6" x14ac:dyDescent="0.3">
      <c r="A927" s="131"/>
      <c r="B927" s="131"/>
      <c r="C927" s="131"/>
      <c r="D927" s="131"/>
      <c r="E927" s="131"/>
      <c r="F927" s="131"/>
    </row>
    <row r="928" spans="1:6" x14ac:dyDescent="0.3">
      <c r="A928" s="131"/>
      <c r="B928" s="131"/>
      <c r="C928" s="131"/>
      <c r="D928" s="131"/>
      <c r="E928" s="131"/>
      <c r="F928" s="131"/>
    </row>
    <row r="929" spans="1:6" x14ac:dyDescent="0.3">
      <c r="A929" s="131"/>
      <c r="B929" s="131"/>
      <c r="C929" s="131"/>
      <c r="D929" s="131"/>
      <c r="E929" s="131"/>
      <c r="F929" s="131"/>
    </row>
    <row r="930" spans="1:6" x14ac:dyDescent="0.3">
      <c r="A930" s="131"/>
      <c r="B930" s="131"/>
      <c r="C930" s="131"/>
      <c r="D930" s="131"/>
      <c r="E930" s="131"/>
      <c r="F930" s="131"/>
    </row>
    <row r="931" spans="1:6" x14ac:dyDescent="0.3">
      <c r="A931" s="131"/>
      <c r="B931" s="131"/>
      <c r="C931" s="131"/>
      <c r="D931" s="131"/>
      <c r="E931" s="131"/>
      <c r="F931" s="131"/>
    </row>
    <row r="932" spans="1:6" x14ac:dyDescent="0.3">
      <c r="A932" s="131"/>
      <c r="B932" s="131"/>
      <c r="C932" s="131"/>
      <c r="D932" s="131"/>
      <c r="E932" s="131"/>
      <c r="F932" s="131"/>
    </row>
    <row r="933" spans="1:6" x14ac:dyDescent="0.3">
      <c r="A933" s="131"/>
      <c r="B933" s="131"/>
      <c r="C933" s="131"/>
      <c r="D933" s="131"/>
      <c r="E933" s="131"/>
      <c r="F933" s="131"/>
    </row>
    <row r="934" spans="1:6" x14ac:dyDescent="0.3">
      <c r="A934" s="131"/>
      <c r="B934" s="131"/>
      <c r="C934" s="131"/>
      <c r="D934" s="131"/>
      <c r="E934" s="131"/>
      <c r="F934" s="131"/>
    </row>
    <row r="935" spans="1:6" x14ac:dyDescent="0.3">
      <c r="A935" s="131"/>
      <c r="B935" s="131"/>
      <c r="C935" s="131"/>
      <c r="D935" s="131"/>
      <c r="E935" s="131"/>
      <c r="F935" s="131"/>
    </row>
    <row r="936" spans="1:6" x14ac:dyDescent="0.3">
      <c r="A936" s="131"/>
      <c r="B936" s="131"/>
      <c r="C936" s="131"/>
      <c r="D936" s="131"/>
      <c r="E936" s="131"/>
      <c r="F936" s="131"/>
    </row>
    <row r="937" spans="1:6" x14ac:dyDescent="0.3">
      <c r="A937" s="131"/>
      <c r="B937" s="131"/>
      <c r="C937" s="131"/>
      <c r="D937" s="131"/>
      <c r="E937" s="131"/>
      <c r="F937" s="131"/>
    </row>
    <row r="938" spans="1:6" x14ac:dyDescent="0.3">
      <c r="A938" s="131"/>
      <c r="B938" s="131"/>
      <c r="C938" s="131"/>
      <c r="D938" s="131"/>
      <c r="E938" s="131"/>
      <c r="F938" s="131"/>
    </row>
    <row r="939" spans="1:6" x14ac:dyDescent="0.3">
      <c r="A939" s="131"/>
      <c r="B939" s="131"/>
      <c r="C939" s="131"/>
      <c r="D939" s="131"/>
      <c r="E939" s="131"/>
      <c r="F939" s="131"/>
    </row>
    <row r="940" spans="1:6" x14ac:dyDescent="0.3">
      <c r="A940" s="131"/>
      <c r="B940" s="131"/>
      <c r="C940" s="131"/>
      <c r="D940" s="131"/>
      <c r="E940" s="131"/>
      <c r="F940" s="131"/>
    </row>
    <row r="941" spans="1:6" x14ac:dyDescent="0.3">
      <c r="A941" s="131"/>
      <c r="B941" s="131"/>
      <c r="C941" s="131"/>
      <c r="D941" s="131"/>
      <c r="E941" s="131"/>
      <c r="F941" s="131"/>
    </row>
    <row r="942" spans="1:6" x14ac:dyDescent="0.3">
      <c r="A942" s="131"/>
      <c r="B942" s="131"/>
      <c r="C942" s="131"/>
      <c r="D942" s="131"/>
      <c r="E942" s="131"/>
      <c r="F942" s="131"/>
    </row>
    <row r="943" spans="1:6" x14ac:dyDescent="0.3">
      <c r="A943" s="131"/>
      <c r="B943" s="131"/>
      <c r="C943" s="131"/>
      <c r="D943" s="131"/>
      <c r="E943" s="131"/>
      <c r="F943" s="131"/>
    </row>
    <row r="944" spans="1:6" x14ac:dyDescent="0.3">
      <c r="A944" s="131"/>
      <c r="B944" s="131"/>
      <c r="C944" s="131"/>
      <c r="D944" s="131"/>
      <c r="E944" s="131"/>
      <c r="F944" s="131"/>
    </row>
    <row r="945" spans="1:6" x14ac:dyDescent="0.3">
      <c r="A945" s="131"/>
      <c r="B945" s="131"/>
      <c r="C945" s="131"/>
      <c r="D945" s="131"/>
      <c r="E945" s="131"/>
      <c r="F945" s="131"/>
    </row>
    <row r="946" spans="1:6" x14ac:dyDescent="0.3">
      <c r="A946" s="131"/>
      <c r="B946" s="131"/>
      <c r="C946" s="131"/>
      <c r="D946" s="131"/>
      <c r="E946" s="131"/>
      <c r="F946" s="131"/>
    </row>
    <row r="947" spans="1:6" x14ac:dyDescent="0.3">
      <c r="A947" s="131"/>
      <c r="B947" s="131"/>
      <c r="C947" s="131"/>
      <c r="D947" s="131"/>
      <c r="E947" s="131"/>
      <c r="F947" s="131"/>
    </row>
    <row r="948" spans="1:6" x14ac:dyDescent="0.3">
      <c r="A948" s="131"/>
      <c r="B948" s="131"/>
      <c r="C948" s="131"/>
      <c r="D948" s="131"/>
      <c r="E948" s="131"/>
      <c r="F948" s="131"/>
    </row>
    <row r="949" spans="1:6" x14ac:dyDescent="0.3">
      <c r="A949" s="131"/>
      <c r="B949" s="131"/>
      <c r="C949" s="131"/>
      <c r="D949" s="131"/>
      <c r="E949" s="131"/>
      <c r="F949" s="131"/>
    </row>
    <row r="950" spans="1:6" x14ac:dyDescent="0.3">
      <c r="A950" s="131"/>
      <c r="B950" s="131"/>
      <c r="C950" s="131"/>
      <c r="D950" s="131"/>
      <c r="E950" s="131"/>
      <c r="F950" s="131"/>
    </row>
    <row r="951" spans="1:6" x14ac:dyDescent="0.3">
      <c r="A951" s="131"/>
      <c r="B951" s="131"/>
      <c r="C951" s="131"/>
      <c r="D951" s="131"/>
      <c r="E951" s="131"/>
      <c r="F951" s="131"/>
    </row>
    <row r="952" spans="1:6" x14ac:dyDescent="0.3">
      <c r="A952" s="131"/>
      <c r="B952" s="131"/>
      <c r="C952" s="131"/>
      <c r="D952" s="131"/>
      <c r="E952" s="131"/>
      <c r="F952" s="131"/>
    </row>
    <row r="953" spans="1:6" x14ac:dyDescent="0.3">
      <c r="A953" s="131"/>
      <c r="B953" s="131"/>
      <c r="C953" s="131"/>
      <c r="D953" s="131"/>
      <c r="E953" s="131"/>
      <c r="F953" s="131"/>
    </row>
    <row r="954" spans="1:6" x14ac:dyDescent="0.3">
      <c r="A954" s="131"/>
      <c r="B954" s="131"/>
      <c r="C954" s="131"/>
      <c r="D954" s="131"/>
      <c r="E954" s="131"/>
      <c r="F954" s="131"/>
    </row>
    <row r="955" spans="1:6" x14ac:dyDescent="0.3">
      <c r="A955" s="131"/>
      <c r="B955" s="131"/>
      <c r="C955" s="131"/>
      <c r="D955" s="131"/>
      <c r="E955" s="131"/>
      <c r="F955" s="131"/>
    </row>
    <row r="956" spans="1:6" x14ac:dyDescent="0.3">
      <c r="A956" s="131"/>
      <c r="B956" s="131"/>
      <c r="C956" s="131"/>
      <c r="D956" s="131"/>
      <c r="E956" s="131"/>
      <c r="F956" s="131"/>
    </row>
    <row r="957" spans="1:6" x14ac:dyDescent="0.3">
      <c r="A957" s="131"/>
      <c r="B957" s="131"/>
      <c r="C957" s="131"/>
      <c r="D957" s="131"/>
      <c r="E957" s="131"/>
      <c r="F957" s="131"/>
    </row>
    <row r="958" spans="1:6" x14ac:dyDescent="0.3">
      <c r="A958" s="131"/>
      <c r="B958" s="131"/>
      <c r="C958" s="131"/>
      <c r="D958" s="131"/>
      <c r="E958" s="131"/>
      <c r="F958" s="131"/>
    </row>
    <row r="959" spans="1:6" x14ac:dyDescent="0.3">
      <c r="A959" s="131"/>
      <c r="B959" s="131"/>
      <c r="C959" s="131"/>
      <c r="D959" s="131"/>
      <c r="E959" s="131"/>
      <c r="F959" s="131"/>
    </row>
    <row r="960" spans="1:6" x14ac:dyDescent="0.3">
      <c r="A960" s="131"/>
      <c r="B960" s="131"/>
      <c r="C960" s="131"/>
      <c r="D960" s="131"/>
      <c r="E960" s="131"/>
      <c r="F960" s="131"/>
    </row>
    <row r="961" spans="1:6" x14ac:dyDescent="0.3">
      <c r="A961" s="131"/>
      <c r="B961" s="131"/>
      <c r="C961" s="131"/>
      <c r="D961" s="131"/>
      <c r="E961" s="131"/>
      <c r="F961" s="131"/>
    </row>
    <row r="962" spans="1:6" x14ac:dyDescent="0.3">
      <c r="A962" s="131"/>
      <c r="B962" s="131"/>
      <c r="C962" s="131"/>
      <c r="D962" s="131"/>
      <c r="E962" s="131"/>
      <c r="F962" s="131"/>
    </row>
    <row r="963" spans="1:6" x14ac:dyDescent="0.3">
      <c r="A963" s="131"/>
      <c r="B963" s="131"/>
      <c r="C963" s="131"/>
      <c r="D963" s="131"/>
      <c r="E963" s="131"/>
      <c r="F963" s="131"/>
    </row>
    <row r="964" spans="1:6" x14ac:dyDescent="0.3">
      <c r="A964" s="131"/>
      <c r="B964" s="131"/>
      <c r="C964" s="131"/>
      <c r="D964" s="131"/>
      <c r="E964" s="131"/>
      <c r="F964" s="131"/>
    </row>
    <row r="965" spans="1:6" x14ac:dyDescent="0.3">
      <c r="A965" s="131"/>
      <c r="B965" s="131"/>
      <c r="C965" s="131"/>
      <c r="D965" s="131"/>
      <c r="E965" s="131"/>
      <c r="F965" s="131"/>
    </row>
    <row r="966" spans="1:6" x14ac:dyDescent="0.3">
      <c r="A966" s="131"/>
      <c r="B966" s="131"/>
      <c r="C966" s="131"/>
      <c r="D966" s="131"/>
      <c r="E966" s="131"/>
      <c r="F966" s="131"/>
    </row>
    <row r="967" spans="1:6" x14ac:dyDescent="0.3">
      <c r="A967" s="131"/>
      <c r="B967" s="131"/>
      <c r="C967" s="131"/>
      <c r="D967" s="131"/>
      <c r="E967" s="131"/>
      <c r="F967" s="131"/>
    </row>
    <row r="968" spans="1:6" x14ac:dyDescent="0.3">
      <c r="A968" s="131"/>
      <c r="B968" s="131"/>
      <c r="C968" s="131"/>
      <c r="D968" s="131"/>
      <c r="E968" s="131"/>
      <c r="F968" s="131"/>
    </row>
    <row r="969" spans="1:6" x14ac:dyDescent="0.3">
      <c r="A969" s="131"/>
      <c r="B969" s="131"/>
      <c r="C969" s="131"/>
      <c r="D969" s="131"/>
      <c r="E969" s="131"/>
      <c r="F969" s="131"/>
    </row>
    <row r="970" spans="1:6" x14ac:dyDescent="0.3">
      <c r="A970" s="131"/>
      <c r="B970" s="131"/>
      <c r="C970" s="131"/>
      <c r="D970" s="131"/>
      <c r="E970" s="131"/>
      <c r="F970" s="131"/>
    </row>
    <row r="971" spans="1:6" x14ac:dyDescent="0.3">
      <c r="A971" s="131"/>
      <c r="B971" s="131"/>
      <c r="C971" s="131"/>
      <c r="D971" s="131"/>
      <c r="E971" s="131"/>
      <c r="F971" s="131"/>
    </row>
    <row r="972" spans="1:6" x14ac:dyDescent="0.3">
      <c r="A972" s="131"/>
      <c r="B972" s="131"/>
      <c r="C972" s="131"/>
      <c r="D972" s="131"/>
      <c r="E972" s="131"/>
      <c r="F972" s="131"/>
    </row>
    <row r="973" spans="1:6" x14ac:dyDescent="0.3">
      <c r="A973" s="131"/>
      <c r="B973" s="131"/>
      <c r="C973" s="131"/>
      <c r="D973" s="131"/>
      <c r="E973" s="131"/>
      <c r="F973" s="131"/>
    </row>
    <row r="974" spans="1:6" x14ac:dyDescent="0.3">
      <c r="A974" s="131"/>
      <c r="B974" s="131"/>
      <c r="C974" s="131"/>
      <c r="D974" s="131"/>
      <c r="E974" s="131"/>
      <c r="F974" s="131"/>
    </row>
    <row r="975" spans="1:6" x14ac:dyDescent="0.3">
      <c r="A975" s="131"/>
      <c r="B975" s="131"/>
      <c r="C975" s="131"/>
      <c r="D975" s="131"/>
      <c r="E975" s="131"/>
      <c r="F975" s="131"/>
    </row>
    <row r="976" spans="1:6" x14ac:dyDescent="0.3">
      <c r="A976" s="131"/>
      <c r="B976" s="131"/>
      <c r="C976" s="131"/>
      <c r="D976" s="131"/>
      <c r="E976" s="131"/>
      <c r="F976" s="131"/>
    </row>
    <row r="977" spans="1:6" x14ac:dyDescent="0.3">
      <c r="A977" s="131"/>
      <c r="B977" s="131"/>
      <c r="C977" s="131"/>
      <c r="D977" s="131"/>
      <c r="E977" s="131"/>
      <c r="F977" s="131"/>
    </row>
    <row r="978" spans="1:6" x14ac:dyDescent="0.3">
      <c r="A978" s="131"/>
      <c r="B978" s="131"/>
      <c r="C978" s="131"/>
      <c r="D978" s="131"/>
      <c r="E978" s="131"/>
      <c r="F978" s="131"/>
    </row>
    <row r="979" spans="1:6" x14ac:dyDescent="0.3">
      <c r="A979" s="131"/>
      <c r="B979" s="131"/>
      <c r="C979" s="131"/>
      <c r="D979" s="131"/>
      <c r="E979" s="131"/>
      <c r="F979" s="131"/>
    </row>
    <row r="980" spans="1:6" x14ac:dyDescent="0.3">
      <c r="A980" s="131"/>
      <c r="B980" s="131"/>
      <c r="C980" s="131"/>
      <c r="D980" s="131"/>
      <c r="E980" s="131"/>
      <c r="F980" s="131"/>
    </row>
    <row r="981" spans="1:6" x14ac:dyDescent="0.3">
      <c r="A981" s="131"/>
      <c r="B981" s="131"/>
      <c r="C981" s="131"/>
      <c r="D981" s="131"/>
      <c r="E981" s="131"/>
      <c r="F981" s="131"/>
    </row>
    <row r="982" spans="1:6" x14ac:dyDescent="0.3">
      <c r="A982" s="131"/>
      <c r="B982" s="131"/>
      <c r="C982" s="131"/>
      <c r="D982" s="131"/>
      <c r="E982" s="131"/>
      <c r="F982" s="131"/>
    </row>
    <row r="983" spans="1:6" x14ac:dyDescent="0.3">
      <c r="A983" s="131"/>
      <c r="B983" s="131"/>
      <c r="C983" s="131"/>
      <c r="D983" s="131"/>
      <c r="E983" s="131"/>
      <c r="F983" s="131"/>
    </row>
    <row r="984" spans="1:6" x14ac:dyDescent="0.3">
      <c r="A984" s="131"/>
      <c r="B984" s="131"/>
      <c r="C984" s="131"/>
      <c r="D984" s="131"/>
      <c r="E984" s="131"/>
      <c r="F984" s="131"/>
    </row>
    <row r="985" spans="1:6" x14ac:dyDescent="0.3">
      <c r="A985" s="131"/>
      <c r="B985" s="131"/>
      <c r="C985" s="131"/>
      <c r="D985" s="131"/>
      <c r="E985" s="131"/>
      <c r="F985" s="131"/>
    </row>
    <row r="986" spans="1:6" x14ac:dyDescent="0.3">
      <c r="A986" s="131"/>
      <c r="B986" s="131"/>
      <c r="C986" s="131"/>
      <c r="D986" s="131"/>
      <c r="E986" s="131"/>
      <c r="F986" s="131"/>
    </row>
    <row r="987" spans="1:6" x14ac:dyDescent="0.3">
      <c r="A987" s="131"/>
      <c r="B987" s="131"/>
      <c r="C987" s="131"/>
      <c r="D987" s="131"/>
      <c r="E987" s="131"/>
      <c r="F987" s="131"/>
    </row>
    <row r="988" spans="1:6" x14ac:dyDescent="0.3">
      <c r="A988" s="131"/>
      <c r="B988" s="131"/>
      <c r="C988" s="131"/>
      <c r="D988" s="131"/>
      <c r="E988" s="131"/>
      <c r="F988" s="131"/>
    </row>
    <row r="989" spans="1:6" x14ac:dyDescent="0.3">
      <c r="A989" s="131"/>
      <c r="B989" s="131"/>
      <c r="C989" s="131"/>
      <c r="D989" s="131"/>
      <c r="E989" s="131"/>
      <c r="F989" s="131"/>
    </row>
    <row r="990" spans="1:6" x14ac:dyDescent="0.3">
      <c r="A990" s="131"/>
      <c r="B990" s="131"/>
      <c r="C990" s="131"/>
      <c r="D990" s="131"/>
      <c r="E990" s="131"/>
      <c r="F990" s="131"/>
    </row>
    <row r="991" spans="1:6" x14ac:dyDescent="0.3">
      <c r="A991" s="131"/>
      <c r="B991" s="131"/>
      <c r="C991" s="131"/>
      <c r="D991" s="131"/>
      <c r="E991" s="131"/>
      <c r="F991" s="131"/>
    </row>
    <row r="992" spans="1:6" x14ac:dyDescent="0.3">
      <c r="A992" s="131"/>
      <c r="B992" s="131"/>
      <c r="C992" s="131"/>
      <c r="D992" s="131"/>
      <c r="E992" s="131"/>
      <c r="F992" s="131"/>
    </row>
    <row r="993" spans="1:6" x14ac:dyDescent="0.3">
      <c r="A993" s="131"/>
      <c r="B993" s="131"/>
      <c r="C993" s="131"/>
      <c r="D993" s="131"/>
      <c r="E993" s="131"/>
      <c r="F993" s="131"/>
    </row>
    <row r="994" spans="1:6" x14ac:dyDescent="0.3">
      <c r="A994" s="131"/>
      <c r="B994" s="131"/>
      <c r="C994" s="131"/>
      <c r="D994" s="131"/>
      <c r="E994" s="131"/>
      <c r="F994" s="131"/>
    </row>
    <row r="995" spans="1:6" x14ac:dyDescent="0.3">
      <c r="A995" s="131"/>
      <c r="B995" s="131"/>
      <c r="C995" s="131"/>
      <c r="D995" s="131"/>
      <c r="E995" s="131"/>
      <c r="F995" s="131"/>
    </row>
    <row r="996" spans="1:6" x14ac:dyDescent="0.3">
      <c r="A996" s="131"/>
      <c r="B996" s="131"/>
      <c r="C996" s="131"/>
      <c r="D996" s="131"/>
      <c r="E996" s="131"/>
      <c r="F996" s="131"/>
    </row>
    <row r="997" spans="1:6" x14ac:dyDescent="0.3">
      <c r="A997" s="131"/>
      <c r="B997" s="131"/>
      <c r="C997" s="131"/>
      <c r="D997" s="131"/>
      <c r="E997" s="131"/>
      <c r="F997" s="131"/>
    </row>
    <row r="998" spans="1:6" x14ac:dyDescent="0.3">
      <c r="A998" s="131"/>
      <c r="B998" s="131"/>
      <c r="C998" s="131"/>
      <c r="D998" s="131"/>
      <c r="E998" s="131"/>
      <c r="F998" s="131"/>
    </row>
    <row r="999" spans="1:6" x14ac:dyDescent="0.3">
      <c r="A999" s="131"/>
      <c r="B999" s="131"/>
      <c r="C999" s="131"/>
      <c r="D999" s="131"/>
      <c r="E999" s="131"/>
      <c r="F999" s="131"/>
    </row>
    <row r="1000" spans="1:6" x14ac:dyDescent="0.3">
      <c r="A1000" s="131"/>
      <c r="B1000" s="131"/>
      <c r="C1000" s="131"/>
      <c r="D1000" s="131"/>
      <c r="E1000" s="131"/>
      <c r="F1000" s="131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8B426-9E45-4951-B4D7-5880A2F60301}">
  <sheetPr codeName="Sheet17"/>
  <dimension ref="A1:A4"/>
  <sheetViews>
    <sheetView workbookViewId="0">
      <selection activeCell="A25" sqref="A25"/>
    </sheetView>
  </sheetViews>
  <sheetFormatPr defaultRowHeight="14.4" x14ac:dyDescent="0.3"/>
  <cols>
    <col min="1" max="1" width="118" bestFit="1" customWidth="1"/>
  </cols>
  <sheetData>
    <row r="1" spans="1:1" x14ac:dyDescent="0.3">
      <c r="A1" s="132" t="s">
        <v>871</v>
      </c>
    </row>
    <row r="2" spans="1:1" x14ac:dyDescent="0.3">
      <c r="A2" t="s">
        <v>879</v>
      </c>
    </row>
    <row r="3" spans="1:1" x14ac:dyDescent="0.3">
      <c r="A3" t="s">
        <v>1166</v>
      </c>
    </row>
    <row r="4" spans="1:1" x14ac:dyDescent="0.3">
      <c r="A4" t="s">
        <v>1186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D987EA-F641-452A-BADE-C6930ECEA042}">
  <sheetPr codeName="Sheet18"/>
  <dimension ref="A1:B3"/>
  <sheetViews>
    <sheetView workbookViewId="0">
      <selection activeCell="B4" sqref="B4"/>
    </sheetView>
  </sheetViews>
  <sheetFormatPr defaultRowHeight="14.4" x14ac:dyDescent="0.3"/>
  <cols>
    <col min="1" max="1" width="18" customWidth="1"/>
    <col min="2" max="2" width="19.77734375" customWidth="1"/>
  </cols>
  <sheetData>
    <row r="1" spans="1:2" x14ac:dyDescent="0.3">
      <c r="A1" s="262" t="s">
        <v>1149</v>
      </c>
      <c r="B1" s="262" t="s">
        <v>1148</v>
      </c>
    </row>
    <row r="3" spans="1:2" x14ac:dyDescent="0.3">
      <c r="A3" t="s">
        <v>1150</v>
      </c>
      <c r="B3" s="263">
        <v>44378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Base 07-2021</vt:lpstr>
      <vt:lpstr>Vendedores</vt:lpstr>
      <vt:lpstr>Gerentes</vt:lpstr>
      <vt:lpstr>Abono 085</vt:lpstr>
      <vt:lpstr>Prêmio William</vt:lpstr>
      <vt:lpstr>Prêmio_Clayton</vt:lpstr>
      <vt:lpstr>Evento 085</vt:lpstr>
      <vt:lpstr>Evento 005</vt:lpstr>
      <vt:lpstr>Evento 078</vt:lpstr>
      <vt:lpstr>Evento 075</vt:lpstr>
      <vt:lpstr>Evento 233</vt:lpstr>
      <vt:lpstr>Evento 144</vt:lpstr>
      <vt:lpstr>Evento 256 232</vt:lpstr>
      <vt:lpstr>Evento 133 315</vt:lpstr>
      <vt:lpstr>Evento 171 314</vt:lpstr>
      <vt:lpstr>Inconsistências</vt:lpstr>
      <vt:lpstr>Parâmetros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Usuário do Windows</dc:creator>
  <cp:lastModifiedBy>Usuário do Windows</cp:lastModifiedBy>
  <dcterms:created xsi:type="dcterms:W3CDTF">2021-07-30T16:27:02Z</dcterms:created>
  <dcterms:modified xsi:type="dcterms:W3CDTF">2021-08-09T20:37:02Z</dcterms:modified>
</cp:coreProperties>
</file>