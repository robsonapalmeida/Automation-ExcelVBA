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33C83E64-9B5E-4707-A92F-CF9F380E3E33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Evento 005" sheetId="8" r:id="rId8"/>
    <sheet name="Evento 078" sheetId="9" r:id="rId9"/>
    <sheet name="Evento 075" sheetId="10" r:id="rId10"/>
    <sheet name="Evento 233" sheetId="11" r:id="rId11"/>
    <sheet name="Evento 144" sheetId="12" r:id="rId12"/>
    <sheet name="Evento 256 232" sheetId="13" r:id="rId13"/>
    <sheet name="Evento 133 315" sheetId="14" r:id="rId14"/>
    <sheet name="Evento 171 314" sheetId="15" r:id="rId15"/>
    <sheet name="Inconsistências" sheetId="17" r:id="rId16"/>
    <sheet name="Parâmetros" sheetId="20" r:id="rId17"/>
  </sheets>
  <functionGroups builtInGroupCount="19"/>
  <externalReferences>
    <externalReference r:id="rId18"/>
    <externalReference r:id="rId19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6" i="1"/>
  <c r="AJ25" i="1"/>
  <c r="AJ28" i="1" l="1"/>
  <c r="AK28" i="1" s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64" i="2" s="1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46" i="2" s="1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28" i="2" s="1"/>
  <c r="J408" i="2"/>
  <c r="J407" i="2"/>
  <c r="J406" i="2"/>
  <c r="J405" i="2"/>
  <c r="J404" i="2"/>
  <c r="J403" i="2"/>
  <c r="J402" i="2"/>
  <c r="J401" i="2"/>
  <c r="J400" i="2"/>
  <c r="J399" i="2"/>
  <c r="J398" i="2"/>
  <c r="J409" i="2" s="1"/>
  <c r="J392" i="2"/>
  <c r="J391" i="2"/>
  <c r="J390" i="2"/>
  <c r="J389" i="2"/>
  <c r="J388" i="2"/>
  <c r="J387" i="2"/>
  <c r="J386" i="2"/>
  <c r="J385" i="2"/>
  <c r="J384" i="2"/>
  <c r="J383" i="2"/>
  <c r="J382" i="2"/>
  <c r="J393" i="2" s="1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57" i="2" s="1"/>
  <c r="J337" i="2"/>
  <c r="J336" i="2"/>
  <c r="J335" i="2"/>
  <c r="J334" i="2"/>
  <c r="J333" i="2"/>
  <c r="J332" i="2"/>
  <c r="J331" i="2"/>
  <c r="J330" i="2"/>
  <c r="J329" i="2"/>
  <c r="J328" i="2"/>
  <c r="J327" i="2"/>
  <c r="J338" i="2" s="1"/>
  <c r="J319" i="2"/>
  <c r="J318" i="2"/>
  <c r="J317" i="2"/>
  <c r="J316" i="2"/>
  <c r="J315" i="2"/>
  <c r="J314" i="2"/>
  <c r="J313" i="2"/>
  <c r="J312" i="2"/>
  <c r="J311" i="2"/>
  <c r="J310" i="2"/>
  <c r="J309" i="2"/>
  <c r="J320" i="2" s="1"/>
  <c r="J302" i="2"/>
  <c r="J301" i="2"/>
  <c r="J300" i="2"/>
  <c r="J299" i="2"/>
  <c r="J298" i="2"/>
  <c r="J297" i="2"/>
  <c r="J296" i="2"/>
  <c r="J295" i="2"/>
  <c r="J294" i="2"/>
  <c r="J293" i="2"/>
  <c r="J292" i="2"/>
  <c r="J303" i="2" s="1"/>
  <c r="J285" i="2"/>
  <c r="J284" i="2"/>
  <c r="J283" i="2"/>
  <c r="J282" i="2"/>
  <c r="J281" i="2"/>
  <c r="J280" i="2"/>
  <c r="J279" i="2"/>
  <c r="J278" i="2"/>
  <c r="J277" i="2"/>
  <c r="J276" i="2"/>
  <c r="J275" i="2"/>
  <c r="J286" i="2" s="1"/>
  <c r="J268" i="2"/>
  <c r="J267" i="2"/>
  <c r="J266" i="2"/>
  <c r="J265" i="2"/>
  <c r="J264" i="2"/>
  <c r="J263" i="2"/>
  <c r="J262" i="2"/>
  <c r="J261" i="2"/>
  <c r="J260" i="2"/>
  <c r="J259" i="2"/>
  <c r="J258" i="2"/>
  <c r="J269" i="2" s="1"/>
  <c r="J251" i="2"/>
  <c r="J250" i="2"/>
  <c r="J249" i="2"/>
  <c r="J248" i="2"/>
  <c r="J247" i="2"/>
  <c r="J246" i="2"/>
  <c r="J245" i="2"/>
  <c r="J244" i="2"/>
  <c r="J243" i="2"/>
  <c r="J242" i="2"/>
  <c r="J241" i="2"/>
  <c r="J252" i="2" s="1"/>
  <c r="J234" i="2"/>
  <c r="J233" i="2"/>
  <c r="J232" i="2"/>
  <c r="J231" i="2"/>
  <c r="J230" i="2"/>
  <c r="J229" i="2"/>
  <c r="J228" i="2"/>
  <c r="J227" i="2"/>
  <c r="J226" i="2"/>
  <c r="J225" i="2"/>
  <c r="J224" i="2"/>
  <c r="J235" i="2" s="1"/>
  <c r="J217" i="2"/>
  <c r="J216" i="2"/>
  <c r="J215" i="2"/>
  <c r="J214" i="2"/>
  <c r="J213" i="2"/>
  <c r="J212" i="2"/>
  <c r="J211" i="2"/>
  <c r="J210" i="2"/>
  <c r="J209" i="2"/>
  <c r="J208" i="2"/>
  <c r="J207" i="2"/>
  <c r="J218" i="2" s="1"/>
  <c r="J200" i="2"/>
  <c r="J199" i="2"/>
  <c r="J198" i="2"/>
  <c r="J197" i="2"/>
  <c r="J196" i="2"/>
  <c r="J195" i="2"/>
  <c r="J194" i="2"/>
  <c r="J193" i="2"/>
  <c r="J192" i="2"/>
  <c r="J191" i="2"/>
  <c r="J190" i="2"/>
  <c r="J201" i="2" s="1"/>
  <c r="J183" i="2"/>
  <c r="J182" i="2"/>
  <c r="J181" i="2"/>
  <c r="J180" i="2"/>
  <c r="J179" i="2"/>
  <c r="J178" i="2"/>
  <c r="J177" i="2"/>
  <c r="J176" i="2"/>
  <c r="J175" i="2"/>
  <c r="J174" i="2"/>
  <c r="J173" i="2"/>
  <c r="J184" i="2" s="1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50" i="2" s="1"/>
  <c r="J132" i="2"/>
  <c r="J131" i="2"/>
  <c r="J130" i="2"/>
  <c r="J129" i="2"/>
  <c r="J128" i="2"/>
  <c r="J127" i="2"/>
  <c r="J126" i="2"/>
  <c r="J125" i="2"/>
  <c r="J124" i="2"/>
  <c r="J123" i="2"/>
  <c r="J122" i="2"/>
  <c r="J133" i="2" s="1"/>
  <c r="J115" i="2"/>
  <c r="J114" i="2"/>
  <c r="J113" i="2"/>
  <c r="J112" i="2"/>
  <c r="J111" i="2"/>
  <c r="J110" i="2"/>
  <c r="J109" i="2"/>
  <c r="J108" i="2"/>
  <c r="J107" i="2"/>
  <c r="J106" i="2"/>
  <c r="J105" i="2"/>
  <c r="J116" i="2" s="1"/>
  <c r="J98" i="2"/>
  <c r="J97" i="2"/>
  <c r="J96" i="2"/>
  <c r="J95" i="2"/>
  <c r="J94" i="2"/>
  <c r="J93" i="2"/>
  <c r="J92" i="2"/>
  <c r="J91" i="2"/>
  <c r="J90" i="2"/>
  <c r="J89" i="2"/>
  <c r="J88" i="2"/>
  <c r="J99" i="2" s="1"/>
  <c r="J81" i="2"/>
  <c r="J80" i="2"/>
  <c r="J79" i="2"/>
  <c r="J78" i="2"/>
  <c r="J77" i="2"/>
  <c r="J76" i="2"/>
  <c r="J75" i="2"/>
  <c r="J74" i="2"/>
  <c r="J73" i="2"/>
  <c r="J72" i="2"/>
  <c r="J71" i="2"/>
  <c r="J82" i="2" s="1"/>
  <c r="J65" i="2"/>
  <c r="J64" i="2"/>
  <c r="J63" i="2"/>
  <c r="J62" i="2"/>
  <c r="J61" i="2"/>
  <c r="J60" i="2"/>
  <c r="J59" i="2"/>
  <c r="J58" i="2"/>
  <c r="J57" i="2"/>
  <c r="J56" i="2"/>
  <c r="J55" i="2"/>
  <c r="J66" i="2" s="1"/>
  <c r="J48" i="2"/>
  <c r="J47" i="2"/>
  <c r="J46" i="2"/>
  <c r="J45" i="2"/>
  <c r="J44" i="2"/>
  <c r="J43" i="2"/>
  <c r="J42" i="2"/>
  <c r="J41" i="2"/>
  <c r="J40" i="2"/>
  <c r="J39" i="2"/>
  <c r="J38" i="2"/>
  <c r="J49" i="2" s="1"/>
  <c r="J31" i="2"/>
  <c r="J30" i="2"/>
  <c r="J29" i="2"/>
  <c r="J28" i="2"/>
  <c r="J27" i="2"/>
  <c r="J26" i="2"/>
  <c r="J25" i="2"/>
  <c r="J24" i="2"/>
  <c r="J23" i="2"/>
  <c r="J22" i="2"/>
  <c r="J21" i="2"/>
  <c r="J32" i="2" s="1"/>
  <c r="J15" i="2"/>
  <c r="J14" i="2"/>
  <c r="J13" i="2"/>
  <c r="J12" i="2"/>
  <c r="J11" i="2"/>
  <c r="J10" i="2"/>
  <c r="J9" i="2"/>
  <c r="J8" i="2"/>
  <c r="J7" i="2"/>
  <c r="J6" i="2"/>
  <c r="J5" i="2"/>
  <c r="J16" i="2" s="1"/>
  <c r="T4" i="1" l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<sst xmlns="http://schemas.openxmlformats.org/spreadsheetml/2006/main" count="6033" uniqueCount="1722">
  <si>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</si>
  <si>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</si>
  <si>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</si>
  <si>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</si>
  <si>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</si>
  <si>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</si>
  <si>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</si>
  <si>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</si>
  <si>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</si>
  <si>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</si>
  <si>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</si>
  <si>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</si>
  <si>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</si>
  <si>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</si>
  <si>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</si>
  <si>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</si>
  <si>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</si>
  <si>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</si>
  <si>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</si>
  <si>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</si>
  <si>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</si>
  <si>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</si>
  <si>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</si>
  <si>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</si>
  <si>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</si>
  <si>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</si>
  <si>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</si>
  <si>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</si>
  <si>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</si>
  <si>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</si>
  <si>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</si>
  <si>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</si>
  <si>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</si>
  <si>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</si>
  <si>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</si>
  <si>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</si>
  <si>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</si>
  <si>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</si>
  <si>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</si>
  <si>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</si>
  <si>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</si>
  <si>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</si>
  <si>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</si>
  <si>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</si>
  <si>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</si>
  <si>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</si>
  <si>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</si>
  <si>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</si>
  <si>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</si>
  <si>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</si>
  <si>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</si>
  <si>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</si>
  <si>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</si>
  <si>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</si>
  <si>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</si>
  <si>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</si>
  <si>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</si>
  <si>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</si>
  <si>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</si>
  <si>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</si>
  <si>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</si>
  <si>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</si>
  <si>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</si>
  <si>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</si>
  <si>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</si>
  <si>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</si>
  <si>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</si>
  <si>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</si>
  <si>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</si>
  <si>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</si>
  <si>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</si>
  <si>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</si>
  <si>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</si>
  <si>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</si>
  <si>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</si>
  <si>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</si>
  <si>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</si>
  <si>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</si>
  <si>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</si>
  <si>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</si>
  <si>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</si>
  <si>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</si>
  <si>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</si>
  <si>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</si>
  <si>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</si>
  <si>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</si>
  <si>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</si>
  <si>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</si>
  <si>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</si>
  <si>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</si>
  <si>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</si>
  <si>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</si>
  <si>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</si>
  <si>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</si>
  <si>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</si>
  <si>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</si>
  <si>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</si>
  <si>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</si>
  <si>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</si>
  <si>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</si>
  <si>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</si>
  <si>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</si>
  <si>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</si>
  <si>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</si>
  <si>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</si>
  <si>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</si>
  <si>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</si>
  <si>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</si>
  <si>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</si>
  <si>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</si>
  <si>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</si>
  <si>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</si>
  <si>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</si>
  <si>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</si>
  <si>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</si>
  <si>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</si>
  <si>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</si>
  <si>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</si>
  <si>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</si>
  <si>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</si>
  <si>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</si>
  <si>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</si>
  <si>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</si>
  <si>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</si>
  <si>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</si>
  <si>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</si>
  <si>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</si>
  <si>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</si>
  <si>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</si>
  <si>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</si>
  <si>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</si>
  <si>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</si>
  <si>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</si>
  <si>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</si>
  <si>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</si>
  <si>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</si>
  <si>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</si>
  <si>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</si>
  <si>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</si>
  <si>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</si>
  <si>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</si>
  <si>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</si>
  <si>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</si>
  <si>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</si>
  <si>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</si>
  <si>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</si>
  <si>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</si>
  <si>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</si>
  <si>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</si>
  <si>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</si>
  <si>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</si>
  <si>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</si>
  <si>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</si>
  <si>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</si>
  <si>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</si>
  <si>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</si>
  <si>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</si>
  <si>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</si>
  <si>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</si>
  <si>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</si>
  <si>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</si>
  <si>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</si>
  <si>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</si>
  <si>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</si>
  <si>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</si>
  <si>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</si>
  <si>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</si>
  <si>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</si>
  <si>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</si>
  <si>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</si>
  <si>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</si>
  <si>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</si>
  <si>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</si>
  <si>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</si>
  <si>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</si>
  <si>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</si>
  <si>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</si>
  <si>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</si>
  <si>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</si>
  <si>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</si>
  <si>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</si>
  <si>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</si>
  <si>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</si>
  <si>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</si>
  <si>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</si>
  <si>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</si>
  <si>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</si>
  <si>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</si>
  <si>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</si>
  <si>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</si>
  <si>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</si>
  <si>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</si>
  <si>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</si>
  <si>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</si>
  <si>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</si>
  <si>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</si>
  <si>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</si>
  <si>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</si>
  <si>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</si>
  <si>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</si>
  <si>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</si>
  <si>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</si>
  <si>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</si>
  <si>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</si>
  <si>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</si>
  <si>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</si>
  <si>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</si>
  <si>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</si>
  <si>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</si>
  <si>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</si>
  <si>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</si>
  <si>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</si>
  <si>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</si>
  <si>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</si>
  <si>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</si>
  <si>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</si>
  <si>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</si>
  <si>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</si>
  <si>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</si>
  <si>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</si>
  <si>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</si>
  <si>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</si>
  <si>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</si>
  <si>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</si>
  <si>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</si>
  <si>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</si>
  <si>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</si>
  <si>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</si>
  <si>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</si>
  <si>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</si>
  <si>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</si>
  <si>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</si>
  <si>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</si>
  <si>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</si>
  <si>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</si>
  <si>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</si>
  <si>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</si>
  <si>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</si>
  <si>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</si>
  <si>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</si>
  <si>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</si>
  <si>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</si>
  <si>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</si>
  <si>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</si>
  <si>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</si>
  <si>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</si>
  <si>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</si>
  <si>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</si>
  <si>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</si>
  <si>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</si>
  <si>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</si>
  <si>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</si>
  <si>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</si>
  <si>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</si>
  <si>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</si>
  <si>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</si>
  <si>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</si>
  <si>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</si>
  <si>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</si>
  <si>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</si>
  <si>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</si>
  <si>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</si>
  <si>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</si>
  <si>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</si>
  <si>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</si>
  <si>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</si>
  <si>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</si>
  <si>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</si>
  <si>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</si>
  <si>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</si>
  <si>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</si>
  <si>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</si>
  <si>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</si>
  <si>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</si>
  <si>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</si>
  <si>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</si>
  <si>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</si>
  <si>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</si>
  <si>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</si>
  <si>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</si>
  <si>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</si>
  <si>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</si>
  <si>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</si>
  <si>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</si>
  <si>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</si>
  <si>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</si>
  <si>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</si>
  <si>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</si>
  <si>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</si>
  <si>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</si>
  <si>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</si>
  <si>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</si>
  <si>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</si>
  <si>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</si>
  <si>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</si>
  <si>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</si>
  <si>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</si>
  <si>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</si>
  <si>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</si>
  <si>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</si>
  <si>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</si>
  <si>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</si>
  <si>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</si>
  <si>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</si>
  <si>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</si>
  <si>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</si>
  <si>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</si>
  <si>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</si>
  <si>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</si>
  <si>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</si>
  <si>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</si>
  <si>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</si>
  <si>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</si>
  <si>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</si>
  <si>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</si>
  <si>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</si>
  <si>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</si>
  <si>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</si>
  <si>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</si>
  <si>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</si>
  <si>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</si>
  <si>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</si>
  <si>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</si>
  <si>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</si>
  <si>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</si>
  <si>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</si>
  <si>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</si>
  <si>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</si>
  <si>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</si>
  <si>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</si>
  <si>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</si>
  <si>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</si>
  <si>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</si>
  <si>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</si>
  <si>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</si>
  <si>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</si>
  <si>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</si>
  <si>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</si>
  <si>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</si>
  <si>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</si>
  <si>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</si>
  <si>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</si>
  <si>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</si>
  <si>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</si>
  <si>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</si>
  <si>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</si>
  <si>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</si>
  <si>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</si>
  <si>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</si>
  <si>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</si>
  <si>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</si>
  <si>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</si>
  <si>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</si>
  <si>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</si>
  <si>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</si>
  <si>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</si>
  <si>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</si>
  <si>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</si>
  <si>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</si>
  <si>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</si>
  <si>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</si>
  <si>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</si>
  <si>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</si>
  <si>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</si>
  <si>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</si>
  <si>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</si>
  <si>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</si>
  <si>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</si>
  <si>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</si>
  <si>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</si>
  <si>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</si>
  <si>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</si>
  <si>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</si>
  <si>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</si>
  <si>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</si>
  <si>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</si>
  <si>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</si>
  <si>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</si>
  <si>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</si>
  <si>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</si>
  <si>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</si>
  <si>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</si>
  <si>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</si>
  <si>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</si>
  <si>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</si>
  <si>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</si>
  <si>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</si>
  <si>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</si>
  <si>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</si>
  <si>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</si>
  <si>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</si>
  <si>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</si>
  <si>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</si>
  <si>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</si>
  <si>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</si>
  <si>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</si>
  <si>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</si>
  <si>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</si>
  <si>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</si>
  <si>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</si>
  <si>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</si>
  <si>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</si>
  <si>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</si>
  <si>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</si>
  <si>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</si>
  <si>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</si>
  <si>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</si>
  <si>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</si>
  <si>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</si>
  <si>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</si>
  <si>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</si>
  <si>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</si>
  <si>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</si>
  <si>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</si>
  <si>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</si>
  <si>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</si>
  <si>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</si>
  <si>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</si>
  <si>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</si>
  <si>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</si>
  <si>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</si>
  <si>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</si>
  <si>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</si>
  <si>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</si>
  <si>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</si>
  <si>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</si>
  <si>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</si>
  <si>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</si>
  <si>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</si>
  <si>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</si>
  <si>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</si>
  <si>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</si>
  <si>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</si>
  <si>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</si>
  <si>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</si>
  <si>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</si>
  <si>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</si>
  <si>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</si>
  <si>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</si>
  <si>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</si>
  <si>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</si>
  <si>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</si>
  <si>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</si>
  <si>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</si>
  <si>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</si>
  <si>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</si>
  <si>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</si>
  <si>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</si>
  <si>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</si>
  <si>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</si>
  <si>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</si>
  <si>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</si>
  <si>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</si>
  <si>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</si>
  <si>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</si>
  <si>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</si>
  <si>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</si>
  <si>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</si>
  <si>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</si>
  <si>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</si>
  <si>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</si>
  <si>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</si>
  <si>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</si>
  <si>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</si>
  <si>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</si>
  <si>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</si>
  <si>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</si>
  <si>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</si>
  <si>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</si>
  <si>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</si>
  <si>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</si>
  <si>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</si>
  <si>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</si>
  <si>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</si>
  <si>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</si>
  <si>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</si>
  <si>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</si>
  <si>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</si>
  <si>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</si>
  <si>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</si>
  <si>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</si>
  <si>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</si>
  <si>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</si>
  <si>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</si>
  <si>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</si>
  <si>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</si>
  <si>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</si>
  <si>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</si>
  <si>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</si>
  <si>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</si>
  <si>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</si>
  <si>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</si>
  <si>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</si>
  <si>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</si>
  <si>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</si>
  <si>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</si>
  <si>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</si>
  <si>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</si>
  <si>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</si>
  <si>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</si>
  <si>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</si>
  <si>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</si>
  <si>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</si>
  <si>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</si>
  <si>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</si>
  <si>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</si>
  <si>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</si>
  <si>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</si>
  <si>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</si>
  <si>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</si>
  <si>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</si>
  <si>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</si>
  <si>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</si>
  <si>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</si>
  <si>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</si>
  <si>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</si>
  <si>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</si>
  <si>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</si>
  <si>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</si>
  <si>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</si>
  <si>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</si>
  <si>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</si>
  <si>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</si>
  <si>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</si>
  <si>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</si>
  <si>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</si>
  <si>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</si>
  <si>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</si>
  <si>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</si>
  <si>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</si>
  <si>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</si>
  <si>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</si>
  <si>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</si>
  <si>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</si>
  <si>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</si>
  <si>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</si>
  <si>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</si>
  <si>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</si>
  <si>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</si>
  <si>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</si>
  <si>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</si>
  <si>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</si>
  <si>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</si>
  <si>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</si>
  <si>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</si>
  <si>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</si>
  <si>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</si>
  <si>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</si>
  <si>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</si>
  <si>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</si>
  <si>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</si>
  <si>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</si>
  <si>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</si>
  <si>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</si>
  <si>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</si>
  <si>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</si>
  <si>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</si>
  <si>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</si>
  <si>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</si>
  <si>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</si>
  <si>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</si>
  <si>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</si>
  <si>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</si>
  <si>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</si>
  <si>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</si>
  <si>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</si>
  <si>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</si>
  <si>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</si>
  <si>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</si>
  <si>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</si>
  <si>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</si>
  <si>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</si>
  <si>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</si>
  <si>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</si>
  <si>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</si>
  <si>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</si>
  <si>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</si>
  <si>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</si>
  <si>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</si>
  <si>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</si>
  <si>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</si>
  <si>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</si>
  <si>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</si>
  <si>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</si>
  <si>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</si>
  <si>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</si>
  <si>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</si>
  <si>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</si>
  <si>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</si>
  <si>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</si>
  <si>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</si>
  <si>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</si>
  <si>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</si>
  <si>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</si>
  <si>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</si>
  <si>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</si>
  <si>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</si>
  <si>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</si>
  <si>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</si>
  <si>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</si>
  <si>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</si>
  <si>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</si>
  <si>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</si>
  <si>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</si>
  <si>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</si>
  <si>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</si>
  <si>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</si>
  <si>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</si>
  <si>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</si>
  <si>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</si>
  <si>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</si>
  <si>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</si>
  <si>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</si>
  <si>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</si>
  <si>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</si>
  <si>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</si>
  <si>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</si>
  <si>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</si>
  <si>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</si>
  <si>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</si>
  <si>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</si>
  <si>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</si>
  <si>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</si>
  <si>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</si>
  <si>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</si>
  <si>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</si>
  <si>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</si>
  <si>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</si>
  <si>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</si>
  <si>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</si>
  <si>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</si>
  <si>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</si>
  <si>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</si>
  <si>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</si>
  <si>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</si>
  <si>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</si>
  <si>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</si>
  <si>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</si>
  <si>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</si>
  <si>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</si>
  <si>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</si>
  <si>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</si>
  <si>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</si>
  <si>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</si>
  <si>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</si>
  <si>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</si>
  <si>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</si>
  <si>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</si>
  <si>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</si>
  <si>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</si>
  <si>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</si>
  <si>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</si>
  <si>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</si>
  <si>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</si>
  <si>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</si>
  <si>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</si>
  <si>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</si>
  <si>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</si>
  <si>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</si>
  <si>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</si>
  <si>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</si>
  <si>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</si>
  <si>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</si>
  <si>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</si>
  <si>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</si>
  <si>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</si>
  <si>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</si>
  <si>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</si>
  <si>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</si>
  <si>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</si>
  <si>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</si>
  <si>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</si>
  <si>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</si>
  <si>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</si>
  <si>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</si>
  <si>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</si>
  <si>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</si>
  <si>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</si>
  <si>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</si>
  <si>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</si>
  <si>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</si>
  <si>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</si>
  <si>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</si>
  <si>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</si>
  <si>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</si>
  <si>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</si>
  <si>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</si>
  <si>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</si>
  <si>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</si>
  <si>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</si>
  <si>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</si>
  <si>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</si>
  <si>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</si>
  <si>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</si>
  <si>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</si>
  <si>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</si>
  <si>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</si>
  <si>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</si>
  <si>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</si>
  <si>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</si>
  <si>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</si>
  <si>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</si>
  <si>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</si>
  <si>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</si>
  <si>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</si>
  <si>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</si>
  <si>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</si>
  <si>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</si>
  <si>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</si>
  <si>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</si>
  <si>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</si>
  <si>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</si>
  <si>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</si>
  <si>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</si>
  <si>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</si>
  <si>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</si>
  <si>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</si>
  <si>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</si>
  <si>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</si>
  <si>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</si>
  <si>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</si>
  <si>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</si>
  <si>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</si>
  <si>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</si>
  <si>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</si>
  <si>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</si>
  <si>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</si>
  <si>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</si>
  <si>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</si>
  <si>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</si>
  <si>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</si>
  <si>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</si>
  <si>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</si>
  <si>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</si>
  <si>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</si>
  <si>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</si>
  <si>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</si>
  <si>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</si>
  <si>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</si>
  <si>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</si>
  <si>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</si>
  <si>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</si>
  <si>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</si>
  <si>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</si>
  <si>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</si>
  <si>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</si>
  <si>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</si>
  <si>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</si>
  <si>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</si>
  <si>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</si>
  <si>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</si>
  <si>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</si>
  <si>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</si>
  <si>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</si>
  <si>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</si>
  <si>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</si>
  <si>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</si>
  <si>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</si>
  <si>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</si>
  <si>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</si>
  <si>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</si>
  <si>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</si>
  <si>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</si>
  <si>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</si>
  <si>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</si>
  <si>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</si>
  <si>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</si>
  <si>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</si>
  <si>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</si>
  <si>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</si>
  <si>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</si>
  <si>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</si>
  <si>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</si>
  <si>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</si>
  <si>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</si>
  <si>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</si>
  <si>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</si>
  <si>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</si>
  <si>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</si>
  <si>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</si>
  <si>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</si>
  <si>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</si>
  <si>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</si>
  <si>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</si>
  <si>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</si>
  <si>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</si>
  <si>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</si>
  <si>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</si>
  <si>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</si>
  <si>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</si>
  <si>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</si>
  <si>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</si>
  <si>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</si>
  <si>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</si>
  <si>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</si>
  <si>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</si>
  <si>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</si>
  <si>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</si>
  <si>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</si>
  <si>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</si>
  <si>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</si>
  <si>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</si>
  <si>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</si>
  <si>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</si>
  <si>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</si>
  <si>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</si>
  <si>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</si>
  <si>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</si>
  <si>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</si>
  <si>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</si>
  <si>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</si>
  <si>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</si>
  <si>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</si>
  <si>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</si>
  <si>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</si>
  <si>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</si>
  <si>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</si>
  <si>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</si>
  <si>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</si>
  <si>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</si>
  <si>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</si>
  <si>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</si>
  <si>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</si>
  <si>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</si>
  <si>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</si>
  <si>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</si>
  <si>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</si>
  <si>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</si>
  <si>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</si>
  <si>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</si>
  <si>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</si>
  <si>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</si>
  <si>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</si>
  <si>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</si>
  <si>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</si>
  <si>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</si>
  <si>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</si>
  <si>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</si>
  <si>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</si>
  <si>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</si>
  <si>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</si>
  <si>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</si>
  <si>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</si>
  <si>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</si>
  <si>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</si>
  <si>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</si>
  <si>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</si>
  <si>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</si>
  <si>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</si>
  <si>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</si>
  <si>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</si>
  <si>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</si>
  <si>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</si>
  <si>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</si>
  <si>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</si>
  <si>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</si>
  <si>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</si>
  <si>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</si>
  <si>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</si>
  <si>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</si>
  <si>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</si>
  <si>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</si>
  <si>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</si>
  <si>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</si>
  <si>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</si>
  <si>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</si>
  <si>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</si>
  <si>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</si>
  <si>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</si>
  <si>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</si>
  <si>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</si>
  <si>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</si>
  <si>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0062</t>
  </si>
  <si>
    <t>00286</t>
  </si>
  <si>
    <t>078</t>
  </si>
  <si>
    <t>000000020000</t>
  </si>
  <si>
    <t>233</t>
  </si>
  <si>
    <t>000000040000</t>
  </si>
  <si>
    <t>144</t>
  </si>
  <si>
    <t>133</t>
  </si>
  <si>
    <t>000000004100</t>
  </si>
  <si>
    <t>315</t>
  </si>
  <si>
    <t>171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</si>
  <si>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</si>
  <si>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</si>
  <si>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</si>
  <si>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</si>
  <si>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</si>
  <si>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</si>
  <si>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00325</t>
  </si>
  <si>
    <t>00106</t>
  </si>
  <si>
    <t>00322</t>
  </si>
  <si>
    <t>00282</t>
  </si>
  <si>
    <t>00316</t>
  </si>
  <si>
    <t>000000000000</t>
  </si>
  <si>
    <t>00266</t>
  </si>
  <si>
    <t>00323</t>
  </si>
  <si>
    <t>000000009454</t>
  </si>
  <si>
    <t>00326</t>
  </si>
  <si>
    <t>00314</t>
  </si>
  <si>
    <t>00303</t>
  </si>
  <si>
    <t>00320</t>
  </si>
  <si>
    <t>00289</t>
  </si>
  <si>
    <t>0093</t>
  </si>
  <si>
    <t>00098</t>
  </si>
  <si>
    <t>00070</t>
  </si>
  <si>
    <t>00090</t>
  </si>
  <si>
    <t>00092</t>
  </si>
  <si>
    <t>000000008339</t>
  </si>
  <si>
    <t>00103</t>
  </si>
  <si>
    <t>00095</t>
  </si>
  <si>
    <t>00036</t>
  </si>
  <si>
    <t>00079</t>
  </si>
  <si>
    <t>00091</t>
  </si>
  <si>
    <t>00102</t>
  </si>
  <si>
    <t>00100</t>
  </si>
  <si>
    <t>0094</t>
  </si>
  <si>
    <t>00003</t>
  </si>
  <si>
    <t>000000008220</t>
  </si>
  <si>
    <t>00006</t>
  </si>
  <si>
    <t>000000015000</t>
  </si>
  <si>
    <t>00055</t>
  </si>
  <si>
    <t>00066</t>
  </si>
  <si>
    <t>00068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</si>
  <si>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</si>
  <si>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</si>
  <si>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</si>
  <si>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</si>
  <si>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</si>
  <si>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</si>
  <si>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</si>
  <si>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</si>
  <si>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</si>
  <si>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</si>
  <si>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</si>
  <si>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</si>
  <si>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</si>
  <si>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</si>
  <si>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</si>
  <si>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</si>
  <si>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</si>
  <si>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</si>
  <si>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</si>
  <si>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</si>
  <si>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</si>
  <si>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</si>
  <si>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</si>
  <si>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</si>
  <si>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</si>
  <si>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</si>
  <si>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</si>
  <si>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</si>
  <si>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</si>
  <si>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</si>
  <si>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</si>
  <si>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</si>
  <si>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</si>
  <si>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</si>
  <si>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</si>
  <si>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</si>
  <si>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</si>
  <si>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</si>
  <si>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</si>
  <si>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</si>
  <si>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</si>
  <si>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</si>
  <si>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</si>
  <si>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</si>
  <si>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</si>
  <si>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</si>
  <si>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</si>
  <si>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</si>
  <si>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</si>
  <si>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</si>
  <si>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</si>
  <si>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</si>
  <si>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</si>
  <si>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</si>
  <si>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</si>
  <si>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</si>
  <si>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000000050444</t>
  </si>
  <si>
    <t>000000053300</t>
  </si>
  <si>
    <t>000000058800</t>
  </si>
  <si>
    <t>000000050440</t>
  </si>
  <si>
    <t>000000020800</t>
  </si>
  <si>
    <t>000000007600</t>
  </si>
  <si>
    <t>00327</t>
  </si>
  <si>
    <t>000000013770</t>
  </si>
  <si>
    <t>000000008950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</si>
  <si>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</si>
  <si>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</si>
  <si>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</si>
  <si>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</si>
  <si>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</si>
  <si>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</si>
  <si>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</si>
  <si>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</si>
  <si>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</si>
  <si>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</si>
  <si>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</si>
  <si>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</si>
  <si>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</si>
  <si>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</si>
  <si>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</si>
  <si>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</si>
  <si>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</si>
  <si>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</si>
  <si>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</si>
  <si>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</si>
  <si>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</si>
  <si>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</si>
  <si>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</si>
  <si>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</si>
  <si>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</si>
  <si>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</si>
  <si>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</si>
  <si>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</si>
  <si>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</si>
  <si>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</si>
  <si>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</si>
  <si>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</si>
  <si>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</si>
  <si>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</si>
  <si>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Alerta - Vendedor não encontrado na planilha vendas.xlsm 62-106 Linha-5 Pasta Base</t>
  </si>
  <si>
    <t>5.446,20</t>
  </si>
  <si>
    <t>2.935,01</t>
  </si>
  <si>
    <t>000000200000</t>
  </si>
  <si>
    <t>00069</t>
  </si>
  <si>
    <t>000000011450</t>
  </si>
  <si>
    <t>000000015390</t>
  </si>
  <si>
    <t>0095</t>
  </si>
  <si>
    <t>00088</t>
  </si>
  <si>
    <t>00056</t>
  </si>
  <si>
    <t>000000030000</t>
  </si>
  <si>
    <t>000000010844</t>
  </si>
  <si>
    <t>00083</t>
  </si>
  <si>
    <t>000000009025</t>
  </si>
  <si>
    <t>3.682,02</t>
  </si>
  <si>
    <t>00084</t>
  </si>
  <si>
    <t>00080</t>
  </si>
  <si>
    <t>00059</t>
  </si>
  <si>
    <t>00085</t>
  </si>
  <si>
    <t>0103</t>
  </si>
  <si>
    <t>00185</t>
  </si>
  <si>
    <t>00193</t>
  </si>
  <si>
    <t>00200</t>
  </si>
  <si>
    <t>00187</t>
  </si>
  <si>
    <t>4.397,46</t>
  </si>
  <si>
    <t>00199</t>
  </si>
  <si>
    <t>00194</t>
  </si>
  <si>
    <t>00202</t>
  </si>
  <si>
    <t>000000001700</t>
  </si>
  <si>
    <t>00184</t>
  </si>
  <si>
    <t>Alerta - Vendedor não encontrado na planilha vendas.xlsm 103-203 Linha-50 Pasta Base</t>
  </si>
  <si>
    <t>00203</t>
  </si>
  <si>
    <t>0104</t>
  </si>
  <si>
    <t>00052</t>
  </si>
  <si>
    <t>000000006930</t>
  </si>
  <si>
    <t>3.609,35</t>
  </si>
  <si>
    <t>00049</t>
  </si>
  <si>
    <t>00033</t>
  </si>
  <si>
    <t>00045</t>
  </si>
  <si>
    <t>00053</t>
  </si>
  <si>
    <t>00041</t>
  </si>
  <si>
    <t>00057</t>
  </si>
  <si>
    <t>000000020020</t>
  </si>
  <si>
    <t>0105</t>
  </si>
  <si>
    <t>00093</t>
  </si>
  <si>
    <t>00104</t>
  </si>
  <si>
    <t>000000008266</t>
  </si>
  <si>
    <t>000000041860</t>
  </si>
  <si>
    <t>3.981,59</t>
  </si>
  <si>
    <t>00061</t>
  </si>
  <si>
    <t>000000043940</t>
  </si>
  <si>
    <t>000000063700</t>
  </si>
  <si>
    <t>00029</t>
  </si>
  <si>
    <t>000000008811</t>
  </si>
  <si>
    <t>000000007860</t>
  </si>
  <si>
    <t>5.722,33</t>
  </si>
  <si>
    <t>0116</t>
  </si>
  <si>
    <t>00143</t>
  </si>
  <si>
    <t>000000004000</t>
  </si>
  <si>
    <t>00164</t>
  </si>
  <si>
    <t>00148</t>
  </si>
  <si>
    <t>00146</t>
  </si>
  <si>
    <t>00175</t>
  </si>
  <si>
    <t>00170</t>
  </si>
  <si>
    <t>00144</t>
  </si>
  <si>
    <t>00169</t>
  </si>
  <si>
    <t>0123</t>
  </si>
  <si>
    <t>00058</t>
  </si>
  <si>
    <t>000000022360</t>
  </si>
  <si>
    <t>00081</t>
  </si>
  <si>
    <t>00075</t>
  </si>
  <si>
    <t>00076</t>
  </si>
  <si>
    <t>000000007134</t>
  </si>
  <si>
    <t>000000024640</t>
  </si>
  <si>
    <t>4.633,48</t>
  </si>
  <si>
    <t>000000056160</t>
  </si>
  <si>
    <t>000000044720</t>
  </si>
  <si>
    <t>0124</t>
  </si>
  <si>
    <t>00002</t>
  </si>
  <si>
    <t>00019</t>
  </si>
  <si>
    <t>000000010000</t>
  </si>
  <si>
    <t>00040</t>
  </si>
  <si>
    <t>00039</t>
  </si>
  <si>
    <t>0125</t>
  </si>
  <si>
    <t>00038</t>
  </si>
  <si>
    <t>000000007036</t>
  </si>
  <si>
    <t>00060</t>
  </si>
  <si>
    <t>000000014580</t>
  </si>
  <si>
    <t>000000022000</t>
  </si>
  <si>
    <t>3.534,40</t>
  </si>
  <si>
    <t>00025</t>
  </si>
  <si>
    <t>00054</t>
  </si>
  <si>
    <t>00048</t>
  </si>
  <si>
    <t>00028</t>
  </si>
  <si>
    <t>000000019440</t>
  </si>
  <si>
    <t>000000034040</t>
  </si>
  <si>
    <t>0126</t>
  </si>
  <si>
    <t>000000007698</t>
  </si>
  <si>
    <t>256</t>
  </si>
  <si>
    <t>232</t>
  </si>
  <si>
    <t>00037</t>
  </si>
  <si>
    <t>5.197,15</t>
  </si>
  <si>
    <t>00001</t>
  </si>
  <si>
    <t>00046</t>
  </si>
  <si>
    <t>2.571,72</t>
  </si>
  <si>
    <t>0127</t>
  </si>
  <si>
    <t>000000009546</t>
  </si>
  <si>
    <t>00082</t>
  </si>
  <si>
    <t>000000003720</t>
  </si>
  <si>
    <t>0139</t>
  </si>
  <si>
    <t>000000002350</t>
  </si>
  <si>
    <t>Coluna U foi zerada. Motivo:Coluna U, utiliza as Celulas S e T, uma das duas não é um valor, verifique  139-24 Linha-110 Pasta Base</t>
  </si>
  <si>
    <t>00024</t>
  </si>
  <si>
    <t>Coluna U foi zerada. Motivo:Coluna U, utiliza as Celulas S e T, uma das duas não é um valor, verifique  139-41 Linha-113 Pasta Base</t>
  </si>
  <si>
    <t>Coluna U foi zerada. Motivo:Coluna U, utiliza as Celulas S e T, uma das duas não é um valor, verifique  139-50 Linha-114 Pasta Base</t>
  </si>
  <si>
    <t>00050</t>
  </si>
  <si>
    <t>5.224,42</t>
  </si>
  <si>
    <t>00051</t>
  </si>
  <si>
    <t>0144</t>
  </si>
  <si>
    <t>000000014000</t>
  </si>
  <si>
    <t>00071</t>
  </si>
  <si>
    <t>000000025740</t>
  </si>
  <si>
    <t>3.663,70</t>
  </si>
  <si>
    <t>00035</t>
  </si>
  <si>
    <t>00074</t>
  </si>
  <si>
    <t>000000003690</t>
  </si>
  <si>
    <t>0154</t>
  </si>
  <si>
    <t>00043</t>
  </si>
  <si>
    <t>000000007440</t>
  </si>
  <si>
    <t>2.000,00</t>
  </si>
  <si>
    <t>00042</t>
  </si>
  <si>
    <t>0156</t>
  </si>
  <si>
    <t>00072</t>
  </si>
  <si>
    <t>00078</t>
  </si>
  <si>
    <t>00067</t>
  </si>
  <si>
    <t>5.217,29</t>
  </si>
  <si>
    <t>000000008767</t>
  </si>
  <si>
    <t>0157</t>
  </si>
  <si>
    <t>00034</t>
  </si>
  <si>
    <t>000000008484</t>
  </si>
  <si>
    <t>000000023400</t>
  </si>
  <si>
    <t>00044</t>
  </si>
  <si>
    <t>00014</t>
  </si>
  <si>
    <t>5.545,40</t>
  </si>
  <si>
    <t>0161</t>
  </si>
  <si>
    <t>000000035490</t>
  </si>
  <si>
    <t>000000057200</t>
  </si>
  <si>
    <t>000000007710</t>
  </si>
  <si>
    <t>4.116,34</t>
  </si>
  <si>
    <t>00032</t>
  </si>
  <si>
    <t>000000023660</t>
  </si>
  <si>
    <t>000000001387</t>
  </si>
  <si>
    <t>000000008522</t>
  </si>
  <si>
    <t>0166</t>
  </si>
  <si>
    <t>000000011000</t>
  </si>
  <si>
    <t>4.623,40</t>
  </si>
  <si>
    <t>00008</t>
  </si>
  <si>
    <t>000000009000</t>
  </si>
  <si>
    <t>Coluna U foi zerada. Motivo:Coluna U, utiliza as Celulas S e T, uma das duas não é um valor, verifique  169-35 Linha-157 Pasta Base</t>
  </si>
  <si>
    <t>0169</t>
  </si>
  <si>
    <t>000000007884</t>
  </si>
  <si>
    <t>5.861,43</t>
  </si>
  <si>
    <t>00016</t>
  </si>
  <si>
    <t>00031</t>
  </si>
  <si>
    <t>00007</t>
  </si>
  <si>
    <t>0173</t>
  </si>
  <si>
    <t>00026</t>
  </si>
  <si>
    <t>00030</t>
  </si>
  <si>
    <t>00005</t>
  </si>
  <si>
    <t>4.309,29</t>
  </si>
  <si>
    <t>000000003400</t>
  </si>
  <si>
    <t>0175</t>
  </si>
  <si>
    <t>00017</t>
  </si>
  <si>
    <t>000000006362</t>
  </si>
  <si>
    <t>000000025300</t>
  </si>
  <si>
    <t>00013</t>
  </si>
  <si>
    <t>000000005988</t>
  </si>
  <si>
    <t>000000042500</t>
  </si>
  <si>
    <t>00011</t>
  </si>
  <si>
    <t>5.088,53</t>
  </si>
  <si>
    <t>00009</t>
  </si>
  <si>
    <t>00018</t>
  </si>
  <si>
    <t>0179</t>
  </si>
  <si>
    <t>00004</t>
  </si>
  <si>
    <t>4.111,07</t>
  </si>
  <si>
    <t>000000026780</t>
  </si>
  <si>
    <t>00012</t>
  </si>
  <si>
    <t>0181</t>
  </si>
  <si>
    <t>000000016600</t>
  </si>
  <si>
    <t>000000006720</t>
  </si>
  <si>
    <t>000000030420</t>
  </si>
  <si>
    <t>8.255,55</t>
  </si>
  <si>
    <t>000000009900</t>
  </si>
  <si>
    <t>000000002800</t>
  </si>
  <si>
    <t>0183</t>
  </si>
  <si>
    <t>00015</t>
  </si>
  <si>
    <t>0185</t>
  </si>
  <si>
    <t>3.801,83</t>
  </si>
  <si>
    <t>000000006330</t>
  </si>
  <si>
    <t>00010</t>
  </si>
  <si>
    <t>0200</t>
  </si>
  <si>
    <t>000000007596</t>
  </si>
  <si>
    <t>00129</t>
  </si>
  <si>
    <t>000000045000</t>
  </si>
  <si>
    <t>00132</t>
  </si>
  <si>
    <t>00130</t>
  </si>
  <si>
    <t>000000006789</t>
  </si>
  <si>
    <t>00133</t>
  </si>
  <si>
    <t>000000048750</t>
  </si>
  <si>
    <t>00120</t>
  </si>
  <si>
    <t>00137</t>
  </si>
  <si>
    <t>000000058500</t>
  </si>
  <si>
    <t>00136</t>
  </si>
  <si>
    <t>000000014168</t>
  </si>
  <si>
    <t>3.885,12</t>
  </si>
  <si>
    <t>7.992,46</t>
  </si>
  <si>
    <t>104-57</t>
  </si>
  <si>
    <t>DESLIGADO</t>
  </si>
  <si>
    <t xml:space="preserve">ASSISTENTE DE LOJA   </t>
  </si>
  <si>
    <t>Coluna U foi zerada. Motivo:Coluna U, utiliza as Celulas S e T, uma das duas não é um valor, verifique  175-1 Linha-181 Pasta Base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</si>
  <si>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</si>
  <si>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</si>
  <si>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</si>
  <si>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</si>
  <si>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</si>
  <si>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</si>
  <si>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</si>
  <si>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</si>
  <si>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</si>
  <si>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</si>
  <si>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</si>
  <si>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</si>
  <si>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</si>
  <si>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</si>
  <si>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</si>
  <si>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</si>
  <si>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</si>
  <si>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</si>
  <si>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</si>
  <si>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</si>
  <si>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</si>
  <si>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</si>
  <si>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</si>
  <si>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</si>
  <si>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</si>
  <si>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</si>
  <si>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</si>
  <si>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</si>
  <si>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</si>
  <si>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</si>
  <si>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</si>
  <si>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</si>
  <si>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</si>
  <si>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</si>
  <si>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</si>
  <si>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</si>
  <si>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</si>
  <si>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</si>
  <si>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</si>
  <si>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</si>
  <si>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</si>
  <si>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</si>
  <si>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</si>
  <si>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</si>
  <si>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</si>
  <si>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</si>
  <si>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</si>
  <si>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</si>
  <si>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</si>
  <si>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</si>
  <si>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</si>
  <si>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</si>
  <si>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</si>
  <si>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</si>
  <si>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</si>
  <si>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</si>
  <si>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</si>
  <si>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</si>
  <si>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</si>
  <si>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</si>
  <si>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</si>
  <si>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</si>
  <si>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</si>
  <si>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</si>
  <si>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</si>
  <si>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</si>
  <si>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</si>
  <si>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</si>
  <si>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</si>
  <si>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</si>
  <si>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</si>
  <si>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</si>
  <si>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</si>
  <si>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</si>
  <si>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</si>
  <si>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</si>
  <si>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</si>
  <si>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</si>
  <si>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</si>
  <si>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</si>
  <si>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</si>
  <si>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</si>
  <si>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</si>
  <si>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</si>
  <si>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</si>
  <si>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</si>
  <si>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</si>
  <si>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</si>
  <si>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</si>
  <si>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</si>
  <si>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</si>
  <si>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</si>
  <si>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</si>
  <si>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</si>
  <si>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</si>
  <si>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</si>
  <si>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</si>
  <si>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</si>
  <si>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</si>
  <si>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</si>
  <si>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</si>
  <si>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</si>
  <si>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</si>
  <si>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</si>
  <si>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</si>
  <si>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</si>
  <si>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</si>
  <si>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</si>
  <si>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</si>
  <si>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</si>
  <si>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</si>
  <si>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</si>
  <si>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</si>
  <si>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</si>
  <si>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</si>
  <si>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</si>
  <si>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</si>
  <si>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</si>
  <si>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</si>
  <si>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</si>
  <si>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</si>
  <si>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</si>
  <si>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</si>
  <si>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</si>
  <si>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</si>
  <si>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</si>
  <si>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</si>
  <si>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</si>
  <si>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</si>
  <si>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</si>
  <si>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</si>
  <si>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</si>
  <si>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</si>
  <si>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</si>
  <si>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</si>
  <si>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</si>
  <si>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</si>
  <si>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</si>
  <si>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</si>
  <si>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</si>
  <si>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</si>
  <si>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</si>
  <si>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</si>
  <si>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</si>
  <si>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</si>
  <si>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</si>
  <si>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</si>
  <si>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</si>
  <si>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</si>
  <si>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000000391186</t>
  </si>
  <si>
    <t>000000069855</t>
  </si>
  <si>
    <t>000000029339</t>
  </si>
  <si>
    <t>000000211434</t>
  </si>
  <si>
    <t>000000015858</t>
  </si>
  <si>
    <t>000000096134</t>
  </si>
  <si>
    <t>000000321172</t>
  </si>
  <si>
    <t>000000057352</t>
  </si>
  <si>
    <t>Alerta - Vendedor não encontrado na planilha vendas.xlsm 62-327 Linha-11 Pasta Base</t>
  </si>
  <si>
    <t>Alerta - Vendedor não encontrado na planilha vendas.xlsm 62-314 Linha-13 Pasta Base</t>
  </si>
  <si>
    <t>000000313151</t>
  </si>
  <si>
    <t>000000055920</t>
  </si>
  <si>
    <t>000000023486</t>
  </si>
  <si>
    <t>000000355775</t>
  </si>
  <si>
    <t>000000063531</t>
  </si>
  <si>
    <t>000000026683</t>
  </si>
  <si>
    <t>000000199264</t>
  </si>
  <si>
    <t>000000035583</t>
  </si>
  <si>
    <t>000000014945</t>
  </si>
  <si>
    <t>000000160585</t>
  </si>
  <si>
    <t>000000012044</t>
  </si>
  <si>
    <t>000000199919</t>
  </si>
  <si>
    <t>000000035700</t>
  </si>
  <si>
    <t>000000199948</t>
  </si>
  <si>
    <t>000000035705</t>
  </si>
  <si>
    <t>000000014996</t>
  </si>
  <si>
    <t>000000185785</t>
  </si>
  <si>
    <t>000000200513</t>
  </si>
  <si>
    <t>000000035806</t>
  </si>
  <si>
    <t>000000200891</t>
  </si>
  <si>
    <t>000000035873</t>
  </si>
  <si>
    <t>000000015067</t>
  </si>
  <si>
    <t>Alerta - Vendedor não encontrado na planilha vendas.xlsm 94-3 Linha-28 Pasta Base</t>
  </si>
  <si>
    <t>000000102419</t>
  </si>
  <si>
    <t>000000042820</t>
  </si>
  <si>
    <t>000000105357</t>
  </si>
  <si>
    <t>000000007902</t>
  </si>
  <si>
    <t>Alerta - Vendedor não encontrado na planilha vendas.xlsm 94-69 Linha-34 Pasta Base</t>
  </si>
  <si>
    <t>000000170319</t>
  </si>
  <si>
    <t>Alerta - Vendedor não encontrado na planilha vendas.xlsm 95-56 Linha-36 Pasta Base</t>
  </si>
  <si>
    <t>000000212165</t>
  </si>
  <si>
    <t>000000015912</t>
  </si>
  <si>
    <t>000000161102</t>
  </si>
  <si>
    <t>000000210422</t>
  </si>
  <si>
    <t>000000032878</t>
  </si>
  <si>
    <t>000000015782</t>
  </si>
  <si>
    <t>000000216130</t>
  </si>
  <si>
    <t>000000033770</t>
  </si>
  <si>
    <t>000000209471</t>
  </si>
  <si>
    <t>000000032730</t>
  </si>
  <si>
    <t>000000015710</t>
  </si>
  <si>
    <t>000000220468</t>
  </si>
  <si>
    <t>000000034448</t>
  </si>
  <si>
    <t>000000016535</t>
  </si>
  <si>
    <t>000000211467</t>
  </si>
  <si>
    <t>000000033042</t>
  </si>
  <si>
    <t>000000015860</t>
  </si>
  <si>
    <t>Alerta - Vendedor não encontrado na planilha vendas.xlsm 104-57 Linha-52 Pasta Base</t>
  </si>
  <si>
    <t>000000205787</t>
  </si>
  <si>
    <t>000000051447</t>
  </si>
  <si>
    <t>000000125782</t>
  </si>
  <si>
    <t>000000205545</t>
  </si>
  <si>
    <t>000000051386</t>
  </si>
  <si>
    <t>000000184471</t>
  </si>
  <si>
    <t>000000013835</t>
  </si>
  <si>
    <t>Alerta - Vendedor não encontrado na planilha vendas.xlsm 105-104 Linha-59 Pasta Base</t>
  </si>
  <si>
    <t>000000291748</t>
  </si>
  <si>
    <t>000000052098</t>
  </si>
  <si>
    <t>000000021881</t>
  </si>
  <si>
    <t>000000103007</t>
  </si>
  <si>
    <t>000000278609</t>
  </si>
  <si>
    <t>000000049752</t>
  </si>
  <si>
    <t>000000083142</t>
  </si>
  <si>
    <t>000000152922</t>
  </si>
  <si>
    <t>000000179857</t>
  </si>
  <si>
    <t>000000231846</t>
  </si>
  <si>
    <t>000000174602</t>
  </si>
  <si>
    <t>000000314500</t>
  </si>
  <si>
    <t>000000188107</t>
  </si>
  <si>
    <t>000000147552</t>
  </si>
  <si>
    <t>000000236460</t>
  </si>
  <si>
    <t>000000028837</t>
  </si>
  <si>
    <t>000000017735</t>
  </si>
  <si>
    <t>Alerta - Vendedor não encontrado na planilha vendas.xlsm 123-81 Linha-77 Pasta Base</t>
  </si>
  <si>
    <t>000000323439</t>
  </si>
  <si>
    <t>000000036754</t>
  </si>
  <si>
    <t>000000024258</t>
  </si>
  <si>
    <t>000000187465</t>
  </si>
  <si>
    <t>000000024667</t>
  </si>
  <si>
    <t>000000204537</t>
  </si>
  <si>
    <t>000000026913</t>
  </si>
  <si>
    <t>000000015340</t>
  </si>
  <si>
    <t>000000259441</t>
  </si>
  <si>
    <t>000000040538</t>
  </si>
  <si>
    <t>000000185296</t>
  </si>
  <si>
    <t>000000028953</t>
  </si>
  <si>
    <t>000000051755</t>
  </si>
  <si>
    <t>000000210726</t>
  </si>
  <si>
    <t>000000032926</t>
  </si>
  <si>
    <t>Alerta - Vendedor não encontrado na planilha vendas.xlsm 125-38 Linha-88 Pasta Base</t>
  </si>
  <si>
    <t>Alerta - Vendedor não encontrado na planilha vendas.xlsm 125-61 Linha-89 Pasta Base</t>
  </si>
  <si>
    <t>000000127234</t>
  </si>
  <si>
    <t>000000009543</t>
  </si>
  <si>
    <t>000000150357</t>
  </si>
  <si>
    <t>000000026849</t>
  </si>
  <si>
    <t>000000173284</t>
  </si>
  <si>
    <t>000000030944</t>
  </si>
  <si>
    <t>000000292227</t>
  </si>
  <si>
    <t>000000045660</t>
  </si>
  <si>
    <t>000000161279</t>
  </si>
  <si>
    <t>000000151293</t>
  </si>
  <si>
    <t>000000181939</t>
  </si>
  <si>
    <t>000000136234</t>
  </si>
  <si>
    <t>000000189943</t>
  </si>
  <si>
    <t>000000141195</t>
  </si>
  <si>
    <t>000000222826</t>
  </si>
  <si>
    <t>000000034817</t>
  </si>
  <si>
    <t>000000016712</t>
  </si>
  <si>
    <t>000000014271</t>
  </si>
  <si>
    <t>000000097761</t>
  </si>
  <si>
    <t>000000118645</t>
  </si>
  <si>
    <t>000000127353</t>
  </si>
  <si>
    <t>000000119332</t>
  </si>
  <si>
    <t>000000189357</t>
  </si>
  <si>
    <t>000000290943</t>
  </si>
  <si>
    <t>000000051954</t>
  </si>
  <si>
    <t>000000046175</t>
  </si>
  <si>
    <t>000000213581</t>
  </si>
  <si>
    <t>000000033372</t>
  </si>
  <si>
    <t>000000144075</t>
  </si>
  <si>
    <t>000000149690</t>
  </si>
  <si>
    <t>000000115091</t>
  </si>
  <si>
    <t>000000019123</t>
  </si>
  <si>
    <t>000000239750</t>
  </si>
  <si>
    <t>000000037461</t>
  </si>
  <si>
    <t>000000017981</t>
  </si>
  <si>
    <t>000000244233</t>
  </si>
  <si>
    <t>000000038161</t>
  </si>
  <si>
    <t>000000018317</t>
  </si>
  <si>
    <t>000000250998</t>
  </si>
  <si>
    <t>000000039218</t>
  </si>
  <si>
    <t>000000249970</t>
  </si>
  <si>
    <t>000000039058</t>
  </si>
  <si>
    <t>000000018748</t>
  </si>
  <si>
    <t>000000222350</t>
  </si>
  <si>
    <t>000000016676</t>
  </si>
  <si>
    <t>000000126842</t>
  </si>
  <si>
    <t>000000257183</t>
  </si>
  <si>
    <t>000000040185</t>
  </si>
  <si>
    <t>000000165088</t>
  </si>
  <si>
    <t>000000251647</t>
  </si>
  <si>
    <t>000000039320</t>
  </si>
  <si>
    <t>000000018874</t>
  </si>
  <si>
    <t>000000072890</t>
  </si>
  <si>
    <t>000000244074</t>
  </si>
  <si>
    <t>000000038137</t>
  </si>
  <si>
    <t>000000170897</t>
  </si>
  <si>
    <t>000000026703</t>
  </si>
  <si>
    <t>000000012817</t>
  </si>
  <si>
    <t>000000180736</t>
  </si>
  <si>
    <t>000000028240</t>
  </si>
  <si>
    <t>000000013555</t>
  </si>
  <si>
    <t>000000245264</t>
  </si>
  <si>
    <t>000000038323</t>
  </si>
  <si>
    <t>000000018395</t>
  </si>
  <si>
    <t>000000238502</t>
  </si>
  <si>
    <t>000000037266</t>
  </si>
  <si>
    <t>000000086496</t>
  </si>
  <si>
    <t>Alerta - Vendedor não encontrado na planilha vendas.xlsm 161-53 Linha-151 Pasta Base</t>
  </si>
  <si>
    <t>000000185617</t>
  </si>
  <si>
    <t>000000194752</t>
  </si>
  <si>
    <t>Alerta - Vendedor não encontrado na planilha vendas.xlsm 166-43 Linha-155 Pasta Base</t>
  </si>
  <si>
    <t>000000150537</t>
  </si>
  <si>
    <t>000000219335</t>
  </si>
  <si>
    <t>000000034271</t>
  </si>
  <si>
    <t>000000170745</t>
  </si>
  <si>
    <t>000000226695</t>
  </si>
  <si>
    <t>000000035421</t>
  </si>
  <si>
    <t>000000180812</t>
  </si>
  <si>
    <t>000000250483</t>
  </si>
  <si>
    <t>000000039138</t>
  </si>
  <si>
    <t>000000243797</t>
  </si>
  <si>
    <t>000000032946</t>
  </si>
  <si>
    <t>000000018285</t>
  </si>
  <si>
    <t>000000188713</t>
  </si>
  <si>
    <t>000000014153</t>
  </si>
  <si>
    <t>Alerta - Vendedor não encontrado na planilha vendas.xlsm 173-5 Linha-169 Pasta Base</t>
  </si>
  <si>
    <t>000000141497</t>
  </si>
  <si>
    <t>000000086997</t>
  </si>
  <si>
    <t>000000143086</t>
  </si>
  <si>
    <t>000000313594</t>
  </si>
  <si>
    <t>000000047514</t>
  </si>
  <si>
    <t>Coluna U foi zerada. Motivo:Coluna U, utiliza as Celulas S e T, uma das duas não é um valor, verifique  175-3 Linha-178 Pasta Base</t>
  </si>
  <si>
    <t>000000198209</t>
  </si>
  <si>
    <t>000000043832</t>
  </si>
  <si>
    <t>000000280386</t>
  </si>
  <si>
    <t>000000042483</t>
  </si>
  <si>
    <t>000000353675</t>
  </si>
  <si>
    <t>000000052011</t>
  </si>
  <si>
    <t>000000072483</t>
  </si>
  <si>
    <t>000000298980</t>
  </si>
  <si>
    <t>000000043968</t>
  </si>
  <si>
    <t>000000022424</t>
  </si>
  <si>
    <t>000000276152</t>
  </si>
  <si>
    <t>000000041841</t>
  </si>
  <si>
    <t>000000020711</t>
  </si>
  <si>
    <t>000000364761</t>
  </si>
  <si>
    <t>000000065136</t>
  </si>
  <si>
    <t>000000221257</t>
  </si>
  <si>
    <t>000000016594</t>
  </si>
  <si>
    <t>000000361713</t>
  </si>
  <si>
    <t>000000064592</t>
  </si>
  <si>
    <t>000000027128</t>
  </si>
  <si>
    <t>Alerta - Vendedor não encontrado na planilha vendas.xlsm 181-34 Linha-195 Pasta Base</t>
  </si>
  <si>
    <t>000000006624</t>
  </si>
  <si>
    <t>Alerta - Vendedor não encontrado na planilha vendas.xlsm 181-36 Linha-196 Pasta Base</t>
  </si>
  <si>
    <t>000000402950</t>
  </si>
  <si>
    <t>000000071955</t>
  </si>
  <si>
    <t>000000345634</t>
  </si>
  <si>
    <t>000000061720</t>
  </si>
  <si>
    <t>000000025923</t>
  </si>
  <si>
    <t>000000148636</t>
  </si>
  <si>
    <t>000000079536</t>
  </si>
  <si>
    <t>000000113991</t>
  </si>
  <si>
    <t>000000112670</t>
  </si>
  <si>
    <t>000000150255</t>
  </si>
  <si>
    <t>000000230738</t>
  </si>
  <si>
    <t>000000041203</t>
  </si>
  <si>
    <t>Alerta - Vendedor não encontrado na planilha vendas.xlsm 200-137 Linha-225 Pasta Base</t>
  </si>
  <si>
    <t>00128</t>
  </si>
  <si>
    <t>000000003972</t>
  </si>
  <si>
    <t>Valor</t>
  </si>
  <si>
    <t>000000006188</t>
  </si>
  <si>
    <t>000000012083</t>
  </si>
  <si>
    <t>000000013860</t>
  </si>
  <si>
    <t>000000007726</t>
  </si>
  <si>
    <t>000000008970</t>
  </si>
  <si>
    <t>000000011469</t>
  </si>
  <si>
    <t>000000013489</t>
  </si>
  <si>
    <t>000000013095</t>
  </si>
  <si>
    <t>000000011454</t>
  </si>
  <si>
    <t>000000011227</t>
  </si>
  <si>
    <t>000000010158</t>
  </si>
  <si>
    <t>000000012382</t>
  </si>
  <si>
    <t>000000010612</t>
  </si>
  <si>
    <t>000000010278</t>
  </si>
  <si>
    <t>000000009054</t>
  </si>
  <si>
    <t>000000011148</t>
  </si>
  <si>
    <t>000000010716</t>
  </si>
  <si>
    <t>000000011269</t>
  </si>
  <si>
    <t>000000003738</t>
  </si>
  <si>
    <t>000000400000</t>
  </si>
  <si>
    <t>Nome Parâmetro</t>
  </si>
  <si>
    <t>Data base geração</t>
  </si>
  <si>
    <t>6.452,20</t>
  </si>
  <si>
    <t>000000645220</t>
  </si>
  <si>
    <t>4.814,46</t>
  </si>
  <si>
    <t>000000481446</t>
  </si>
  <si>
    <t>000000036108</t>
  </si>
  <si>
    <t>2.294,20</t>
  </si>
  <si>
    <t>000000229420</t>
  </si>
  <si>
    <t>3.254,41</t>
  </si>
  <si>
    <t>000000325441</t>
  </si>
  <si>
    <t>3.719,35</t>
  </si>
  <si>
    <t>000000371935</t>
  </si>
  <si>
    <t>000000027895</t>
  </si>
  <si>
    <t>3.493,48</t>
  </si>
  <si>
    <t>000000349348</t>
  </si>
  <si>
    <t>4.087,77</t>
  </si>
  <si>
    <t>000000408777</t>
  </si>
  <si>
    <t>4.709,96</t>
  </si>
  <si>
    <t>000000470996</t>
  </si>
  <si>
    <t>4.707,10</t>
  </si>
  <si>
    <t>000000470710</t>
  </si>
  <si>
    <t>2.823,30</t>
  </si>
  <si>
    <t>000000282330</t>
  </si>
  <si>
    <t>4.553,75</t>
  </si>
  <si>
    <t>000000455375</t>
  </si>
  <si>
    <t>2.237,95</t>
  </si>
  <si>
    <t>000000223795</t>
  </si>
  <si>
    <t>3.713,84</t>
  </si>
  <si>
    <t>000000371384</t>
  </si>
  <si>
    <t>2.754,18</t>
  </si>
  <si>
    <t>000000275418</t>
  </si>
  <si>
    <t>4.801,75</t>
  </si>
  <si>
    <t>000000480175</t>
  </si>
  <si>
    <t>3.387,62</t>
  </si>
  <si>
    <t>000000338762</t>
  </si>
  <si>
    <t>2.855,63</t>
  </si>
  <si>
    <t>000000285563</t>
  </si>
  <si>
    <t>3.284,17</t>
  </si>
  <si>
    <t>000000328417</t>
  </si>
  <si>
    <t>4.509,59</t>
  </si>
  <si>
    <t>000000450959</t>
  </si>
  <si>
    <t>3.655,85</t>
  </si>
  <si>
    <t>000000365585</t>
  </si>
  <si>
    <t>3.957,80</t>
  </si>
  <si>
    <t>000000395780</t>
  </si>
  <si>
    <t>000000100000</t>
  </si>
  <si>
    <t>3.532,55</t>
  </si>
  <si>
    <t>000000353255</t>
  </si>
  <si>
    <t>7.399,86</t>
  </si>
  <si>
    <t>000000739986</t>
  </si>
  <si>
    <t>000000122428</t>
  </si>
  <si>
    <t>000000009182</t>
  </si>
  <si>
    <t>2.946,40</t>
  </si>
  <si>
    <t>000000294640</t>
  </si>
  <si>
    <t>000000086190</t>
  </si>
  <si>
    <t>000000145745</t>
  </si>
  <si>
    <t>000000010931</t>
  </si>
  <si>
    <t>000000115846</t>
  </si>
  <si>
    <t>000000008688</t>
  </si>
  <si>
    <t>000000108173</t>
  </si>
  <si>
    <t>000000008113</t>
  </si>
  <si>
    <t>000000165130</t>
  </si>
  <si>
    <t>000000012385</t>
  </si>
  <si>
    <t>000000167744</t>
  </si>
  <si>
    <t>000000134416</t>
  </si>
  <si>
    <t>000000024003</t>
  </si>
  <si>
    <t>000000010081</t>
  </si>
  <si>
    <t>000000104659</t>
  </si>
  <si>
    <t>000000007849</t>
  </si>
  <si>
    <t>000000150395</t>
  </si>
  <si>
    <t>000000026856</t>
  </si>
  <si>
    <t>000000011280</t>
  </si>
  <si>
    <t>000000070554</t>
  </si>
  <si>
    <t>000000164145</t>
  </si>
  <si>
    <t>000000029312</t>
  </si>
  <si>
    <t>3.241,04</t>
  </si>
  <si>
    <t>000000324104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</si>
</sst>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&quot;R$&quot;\ #,##0.00"/>
    <numFmt numFmtId="166" formatCode="0.0%"/>
    <numFmt numFmtId="167" formatCode="0000"/>
    <numFmt numFmtId="168" formatCode="00000"/>
    <numFmt numFmtId="169" formatCode="000"/>
    <numFmt numFmtId="170" formatCode="000000000000"/>
    <numFmt numFmtId="171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5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43" fontId="4" fillId="9" borderId="1" xfId="3" applyFont="1" applyFill="1" applyBorder="1"/>
    <xf numFmtId="43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164" fontId="5" fillId="0" borderId="1" xfId="0" applyNumberFormat="1" applyFont="1" applyBorder="1"/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43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43" fontId="1" fillId="0" borderId="0" xfId="3" applyFont="1"/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5" fontId="0" fillId="0" borderId="0" xfId="0" applyNumberFormat="1"/>
    <xf numFmtId="165" fontId="7" fillId="8" borderId="1" xfId="0" applyNumberFormat="1" applyFont="1" applyFill="1" applyBorder="1" applyAlignment="1">
      <alignment horizontal="center"/>
    </xf>
    <xf numFmtId="4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5" fontId="17" fillId="5" borderId="1" xfId="0" applyNumberFormat="1" applyFont="1" applyFill="1" applyBorder="1" applyAlignment="1">
      <alignment horizontal="center" vertical="center" wrapText="1"/>
    </xf>
    <xf numFmtId="4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6" fontId="18" fillId="5" borderId="1" xfId="0" applyNumberFormat="1" applyFont="1" applyFill="1" applyBorder="1" applyAlignment="1">
      <alignment horizontal="center"/>
    </xf>
    <xf numFmtId="166" fontId="17" fillId="5" borderId="1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5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5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166" fontId="2" fillId="0" borderId="1" xfId="0" applyNumberFormat="1" applyFont="1" applyBorder="1" applyAlignment="1">
      <alignment horizontal="center"/>
    </xf>
    <xf numFmtId="165" fontId="0" fillId="5" borderId="1" xfId="0" applyNumberFormat="1" applyFill="1" applyBorder="1" applyAlignment="1">
      <alignment horizontal="center"/>
    </xf>
    <xf numFmtId="165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5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6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43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43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7" fontId="0" fillId="20" borderId="0" xfId="0" applyNumberFormat="1" applyFill="1"/>
    <xf numFmtId="168" fontId="0" fillId="20" borderId="0" xfId="0" applyNumberFormat="1" applyFill="1" applyAlignment="1">
      <alignment horizontal="right"/>
    </xf>
    <xf numFmtId="169" fontId="0" fillId="20" borderId="0" xfId="0" applyNumberFormat="1" applyFill="1" applyAlignment="1">
      <alignment horizontal="center"/>
    </xf>
    <xf numFmtId="2" fontId="0" fillId="20" borderId="0" xfId="0" applyNumberFormat="1" applyFill="1"/>
    <xf numFmtId="44" fontId="1" fillId="0" borderId="0" xfId="4" applyFont="1" applyProtection="1"/>
    <xf numFmtId="167" fontId="11" fillId="0" borderId="0" xfId="0" applyNumberFormat="1" applyFont="1"/>
    <xf numFmtId="168" fontId="11" fillId="0" borderId="0" xfId="0" applyNumberFormat="1" applyFont="1" applyAlignment="1">
      <alignment horizontal="right"/>
    </xf>
    <xf numFmtId="169" fontId="8" fillId="0" borderId="0" xfId="0" applyNumberFormat="1" applyFont="1" applyAlignment="1">
      <alignment horizontal="center"/>
    </xf>
    <xf numFmtId="170" fontId="0" fillId="0" borderId="0" xfId="0" applyNumberFormat="1"/>
    <xf numFmtId="44" fontId="11" fillId="0" borderId="0" xfId="4" applyFont="1" applyProtection="1"/>
    <xf numFmtId="49" fontId="0" fillId="0" borderId="0" xfId="0" applyNumberFormat="1"/>
    <xf numFmtId="0" fontId="9" fillId="21" borderId="0" xfId="0" applyFont="1" applyFill="1" applyAlignment="1">
      <alignment horizontal="center" vertical="center"/>
    </xf>
    <xf numFmtId="49" fontId="1" fillId="0" borderId="0" xfId="3" applyNumberFormat="1" applyFont="1"/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43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43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44" fontId="5" fillId="0" borderId="1" xfId="0" applyNumberFormat="1" applyFont="1" applyBorder="1"/>
    <xf numFmtId="164" fontId="5" fillId="0" borderId="0" xfId="0" applyNumberFormat="1" applyFont="1"/>
    <xf numFmtId="4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44" fontId="5" fillId="0" borderId="1" xfId="0" applyNumberFormat="1" applyFont="1" applyFill="1" applyBorder="1" applyAlignment="1">
      <alignment horizontal="center"/>
    </xf>
    <xf numFmtId="4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43" fontId="3" fillId="9" borderId="9" xfId="3" applyFont="1" applyFill="1" applyBorder="1"/>
    <xf numFmtId="164" fontId="5" fillId="0" borderId="9" xfId="0" applyNumberFormat="1" applyFont="1" applyBorder="1"/>
    <xf numFmtId="44" fontId="0" fillId="0" borderId="0" xfId="4" applyFont="1"/>
    <xf numFmtId="0" fontId="0" fillId="0" borderId="1" xfId="0" applyBorder="1" applyAlignment="1">
      <alignment horizontal="center"/>
    </xf>
    <xf numFmtId="165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43" fontId="31" fillId="22" borderId="9" xfId="3" applyFont="1" applyFill="1" applyBorder="1"/>
    <xf numFmtId="1" fontId="31" fillId="22" borderId="1" xfId="0" applyNumberFormat="1" applyFont="1" applyFill="1" applyBorder="1" applyAlignment="1">
      <alignment horizontal="center"/>
    </xf>
    <xf numFmtId="43" fontId="31" fillId="22" borderId="1" xfId="3" applyFont="1" applyFill="1" applyBorder="1"/>
    <xf numFmtId="1" fontId="31" fillId="23" borderId="1" xfId="0" applyNumberFormat="1" applyFont="1" applyFill="1" applyBorder="1" applyAlignment="1">
      <alignment horizontal="center"/>
    </xf>
    <xf numFmtId="0" fontId="31" fillId="22" borderId="1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44" fontId="5" fillId="8" borderId="1" xfId="0" applyNumberFormat="1" applyFont="1" applyFill="1" applyBorder="1" applyAlignment="1">
      <alignment horizontal="center"/>
    </xf>
    <xf numFmtId="44" fontId="5" fillId="8" borderId="1" xfId="0" applyNumberFormat="1" applyFont="1" applyFill="1" applyBorder="1"/>
    <xf numFmtId="0" fontId="32" fillId="0" borderId="1" xfId="0" applyFont="1" applyBorder="1" applyAlignment="1">
      <alignment horizontal="center"/>
    </xf>
    <xf numFmtId="2" fontId="32" fillId="0" borderId="1" xfId="0" applyNumberFormat="1" applyFont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center"/>
    </xf>
    <xf numFmtId="14" fontId="32" fillId="0" borderId="1" xfId="0" applyNumberFormat="1" applyFont="1" applyBorder="1" applyAlignment="1">
      <alignment horizontal="center"/>
    </xf>
    <xf numFmtId="49" fontId="32" fillId="0" borderId="0" xfId="0" applyNumberFormat="1" applyFont="1" applyAlignment="1">
      <alignment horizontal="center"/>
    </xf>
    <xf numFmtId="44" fontId="32" fillId="0" borderId="1" xfId="0" applyNumberFormat="1" applyFont="1" applyFill="1" applyBorder="1" applyAlignment="1">
      <alignment horizontal="center"/>
    </xf>
    <xf numFmtId="44" fontId="32" fillId="0" borderId="1" xfId="0" applyNumberFormat="1" applyFont="1" applyFill="1" applyBorder="1"/>
    <xf numFmtId="44" fontId="32" fillId="0" borderId="1" xfId="0" applyNumberFormat="1" applyFont="1" applyBorder="1"/>
    <xf numFmtId="0" fontId="32" fillId="0" borderId="0" xfId="0" applyFont="1"/>
    <xf numFmtId="164" fontId="32" fillId="0" borderId="1" xfId="0" applyNumberFormat="1" applyFont="1" applyBorder="1"/>
    <xf numFmtId="2" fontId="8" fillId="0" borderId="0" xfId="0" applyNumberFormat="1" applyFont="1"/>
    <xf numFmtId="43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43" fontId="1" fillId="0" borderId="0" xfId="3"/>
    <xf numFmtId="43" fontId="8" fillId="14" borderId="0" xfId="3" applyFont="1" applyFill="1"/>
    <xf numFmtId="43" fontId="5" fillId="0" borderId="1" xfId="3" applyFont="1" applyBorder="1"/>
    <xf numFmtId="43" fontId="5" fillId="5" borderId="1" xfId="3" applyFont="1" applyFill="1" applyBorder="1"/>
    <xf numFmtId="43" fontId="5" fillId="8" borderId="1" xfId="3" applyFont="1" applyFill="1" applyBorder="1"/>
    <xf numFmtId="43" fontId="31" fillId="24" borderId="1" xfId="3" applyFont="1" applyFill="1" applyBorder="1"/>
    <xf numFmtId="43" fontId="5" fillId="0" borderId="1" xfId="3" applyFont="1" applyFill="1" applyBorder="1"/>
    <xf numFmtId="43" fontId="32" fillId="0" borderId="1" xfId="3" applyFont="1" applyBorder="1"/>
    <xf numFmtId="43" fontId="5" fillId="0" borderId="0" xfId="3" applyFont="1"/>
    <xf numFmtId="43" fontId="4" fillId="9" borderId="9" xfId="3" applyFont="1" applyFill="1" applyBorder="1"/>
    <xf numFmtId="43" fontId="5" fillId="0" borderId="9" xfId="3" applyFont="1" applyBorder="1"/>
    <xf numFmtId="43" fontId="5" fillId="5" borderId="0" xfId="3" applyFont="1" applyFill="1"/>
    <xf numFmtId="43" fontId="5" fillId="8" borderId="0" xfId="3" applyFont="1" applyFill="1"/>
    <xf numFmtId="43" fontId="32" fillId="0" borderId="0" xfId="3" applyFont="1"/>
    <xf numFmtId="43" fontId="31" fillId="22" borderId="0" xfId="3" applyFont="1" applyFill="1" applyBorder="1"/>
    <xf numFmtId="0" fontId="6" fillId="0" borderId="0" xfId="0" applyFont="1"/>
    <xf numFmtId="43" fontId="6" fillId="0" borderId="0" xfId="3" applyFont="1"/>
    <xf numFmtId="49" fontId="32" fillId="5" borderId="1" xfId="0" applyNumberFormat="1" applyFont="1" applyFill="1" applyBorder="1"/>
    <xf numFmtId="49" fontId="32" fillId="5" borderId="1" xfId="0" applyNumberFormat="1" applyFont="1" applyFill="1" applyBorder="1" applyAlignment="1">
      <alignment horizontal="center"/>
    </xf>
    <xf numFmtId="14" fontId="32" fillId="5" borderId="1" xfId="0" applyNumberFormat="1" applyFont="1" applyFill="1" applyBorder="1" applyAlignment="1">
      <alignment horizontal="center"/>
    </xf>
    <xf numFmtId="44" fontId="32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3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2" fillId="5" borderId="0" xfId="0" applyFont="1" applyFill="1"/>
    <xf numFmtId="0" fontId="34" fillId="17" borderId="1" xfId="5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/>
    </xf>
    <xf numFmtId="0" fontId="35" fillId="5" borderId="1" xfId="1" applyFont="1" applyFill="1" applyBorder="1" applyAlignment="1">
      <alignment horizontal="center" vertical="center"/>
    </xf>
    <xf numFmtId="166" fontId="36" fillId="5" borderId="1" xfId="0" applyNumberFormat="1" applyFont="1" applyFill="1" applyBorder="1" applyAlignment="1">
      <alignment horizontal="center"/>
    </xf>
    <xf numFmtId="165" fontId="33" fillId="5" borderId="1" xfId="0" applyNumberFormat="1" applyFont="1" applyFill="1" applyBorder="1" applyAlignment="1">
      <alignment horizontal="center" vertical="center"/>
    </xf>
    <xf numFmtId="44" fontId="33" fillId="5" borderId="1" xfId="4" applyFont="1" applyFill="1" applyBorder="1" applyAlignment="1">
      <alignment horizontal="center" vertical="center"/>
    </xf>
    <xf numFmtId="165" fontId="33" fillId="5" borderId="1" xfId="0" applyNumberFormat="1" applyFont="1" applyFill="1" applyBorder="1" applyAlignment="1">
      <alignment horizontal="center" vertical="center" wrapText="1"/>
    </xf>
    <xf numFmtId="0" fontId="33" fillId="5" borderId="1" xfId="0" applyFont="1" applyFill="1" applyBorder="1" applyAlignment="1">
      <alignment horizontal="center" vertical="center"/>
    </xf>
    <xf numFmtId="0" fontId="33" fillId="5" borderId="1" xfId="0" applyFont="1" applyFill="1" applyBorder="1"/>
    <xf numFmtId="0" fontId="36" fillId="5" borderId="1" xfId="0" applyFont="1" applyFill="1" applyBorder="1" applyAlignment="1">
      <alignment horizontal="center"/>
    </xf>
    <xf numFmtId="0" fontId="36" fillId="5" borderId="1" xfId="0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/>
    </xf>
    <xf numFmtId="2" fontId="32" fillId="5" borderId="1" xfId="0" applyNumberFormat="1" applyFont="1" applyFill="1" applyBorder="1" applyAlignment="1">
      <alignment horizontal="center"/>
    </xf>
    <xf numFmtId="49" fontId="32" fillId="5" borderId="0" xfId="0" applyNumberFormat="1" applyFont="1" applyFill="1" applyAlignment="1">
      <alignment horizontal="center"/>
    </xf>
    <xf numFmtId="43" fontId="32" fillId="5" borderId="0" xfId="3" applyFont="1" applyFill="1"/>
    <xf numFmtId="43" fontId="32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43" fontId="6" fillId="0" borderId="0" xfId="3" applyFont="1" applyFill="1"/>
    <xf numFmtId="0" fontId="4" fillId="9" borderId="1" xfId="3" applyNumberFormat="1" applyFont="1" applyFill="1" applyBorder="1"/>
    <xf numFmtId="0" fontId="31" fillId="22" borderId="1" xfId="3" applyNumberFormat="1" applyFont="1" applyFill="1" applyBorder="1"/>
    <xf numFmtId="0" fontId="37" fillId="25" borderId="0" xfId="0" applyFont="1" applyFill="1"/>
    <xf numFmtId="171" fontId="0" fillId="0" borderId="0" xfId="0" applyNumberFormat="1"/>
    <xf numFmtId="43" fontId="5" fillId="0" borderId="0" xfId="0" applyNumberFormat="1" applyFont="1"/>
    <xf numFmtId="43" fontId="32" fillId="5" borderId="0" xfId="0" applyNumberFormat="1" applyFont="1" applyFill="1"/>
    <xf numFmtId="43" fontId="32" fillId="0" borderId="0" xfId="0" applyNumberFormat="1" applyFont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19685"/>
  <ax:ocxPr ax:name="_ExtentY" ax:value="1926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16</xdr:col>
          <xdr:colOff>38100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K232"/>
  <sheetViews>
    <sheetView showGridLines="0" tabSelected="1" topLeftCell="O1" zoomScaleNormal="100" workbookViewId="0">
      <selection activeCell="Y3" sqref="Y3"/>
    </sheetView>
  </sheetViews>
  <sheetFormatPr defaultColWidth="9.109375" defaultRowHeight="12" x14ac:dyDescent="0.25"/>
  <cols>
    <col min="1" max="1" width="8.6640625" style="165" customWidth="1"/>
    <col min="2" max="3" width="9.88671875" style="165" customWidth="1"/>
    <col min="4" max="4" width="31" style="17" customWidth="1"/>
    <col min="5" max="5" width="18.33203125" style="17" bestFit="1" customWidth="1"/>
    <col min="6" max="6" width="13" style="165" customWidth="1"/>
    <col min="7" max="7" width="10" style="165" customWidth="1"/>
    <col min="8" max="8" width="25" style="165" customWidth="1"/>
    <col min="9" max="9" width="3.44140625" style="165" customWidth="1"/>
    <col min="10" max="10" width="10" style="165" customWidth="1"/>
    <col min="11" max="11" width="7.44140625" style="165" customWidth="1"/>
    <col min="12" max="12" width="7.109375" style="166" customWidth="1"/>
    <col min="13" max="13" width="2.44140625" style="165" customWidth="1"/>
    <col min="14" max="14" width="14.33203125" style="154" customWidth="1"/>
    <col min="15" max="15" width="11.33203125" style="154" customWidth="1"/>
    <col min="16" max="16" width="9.6640625" style="154" customWidth="1"/>
    <col min="17" max="18" width="9.109375" style="154" customWidth="1"/>
    <col min="19" max="19" width="12.44140625" style="154" customWidth="1"/>
    <col min="20" max="20" width="11.5546875" style="154" customWidth="1"/>
    <col min="21" max="21" width="10.6640625" style="17" customWidth="1"/>
    <col min="22" max="23" width="9.109375" style="17" customWidth="1"/>
    <col min="24" max="24" width="2" style="17" customWidth="1"/>
    <col min="25" max="25" width="15" style="17" customWidth="1"/>
    <col min="26" max="26" width="1.88671875" style="17" customWidth="1"/>
    <col min="27" max="27" width="12.44140625" style="17" bestFit="1" customWidth="1"/>
    <col min="28" max="30" width="9.109375" style="17"/>
    <col min="31" max="31" width="10.88671875" style="17" bestFit="1" customWidth="1"/>
    <col min="32" max="32" width="12.44140625" style="17" bestFit="1" customWidth="1"/>
    <col min="33" max="34" width="9.109375" style="17"/>
    <col min="35" max="35" width="10.33203125" style="17" bestFit="1" customWidth="1"/>
    <col min="36" max="36" width="10.109375" style="17" bestFit="1" customWidth="1"/>
    <col min="37" max="16384" width="9.109375" style="17"/>
  </cols>
  <sheetData>
    <row r="1" spans="1:36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6" ht="43.5" customHeight="1" x14ac:dyDescent="0.25">
      <c r="A2" s="137" t="s">
        <v>0</v>
      </c>
      <c r="B2" s="138" t="s">
        <v>1</v>
      </c>
      <c r="C2" s="138"/>
      <c r="D2" s="138" t="s">
        <v>2</v>
      </c>
      <c r="E2" s="139" t="s">
        <v>3</v>
      </c>
      <c r="F2" s="138" t="s">
        <v>4</v>
      </c>
      <c r="G2" s="138" t="s">
        <v>5</v>
      </c>
      <c r="H2" s="138" t="s">
        <v>924</v>
      </c>
      <c r="I2" s="140"/>
      <c r="J2" s="141" t="s">
        <v>6</v>
      </c>
      <c r="K2" s="142" t="s">
        <v>7</v>
      </c>
      <c r="L2" s="138" t="s">
        <v>8</v>
      </c>
      <c r="M2" s="15"/>
      <c r="N2" s="143" t="s">
        <v>9</v>
      </c>
      <c r="O2" s="143" t="s">
        <v>10</v>
      </c>
      <c r="P2" s="144" t="s">
        <v>11</v>
      </c>
      <c r="Q2" s="145" t="s">
        <v>12</v>
      </c>
      <c r="R2" s="145" t="s">
        <v>887</v>
      </c>
      <c r="S2" s="144" t="s">
        <v>13</v>
      </c>
      <c r="T2" s="145" t="s">
        <v>886</v>
      </c>
      <c r="U2" s="146" t="s">
        <v>989</v>
      </c>
      <c r="V2" s="147">
        <v>0.06</v>
      </c>
      <c r="W2" s="148" t="s">
        <v>990</v>
      </c>
      <c r="Y2" s="149" t="s">
        <v>14</v>
      </c>
      <c r="AA2" s="151" t="s">
        <v>15</v>
      </c>
      <c r="AB2" s="151" t="s">
        <v>16</v>
      </c>
      <c r="AC2" s="150" t="s">
        <v>17</v>
      </c>
      <c r="AD2" s="151" t="s">
        <v>18</v>
      </c>
      <c r="AE2" s="152" t="s">
        <v>19</v>
      </c>
      <c r="AF2" s="141" t="s">
        <v>20</v>
      </c>
      <c r="AG2" s="150" t="s">
        <v>21</v>
      </c>
      <c r="AH2" s="150" t="s">
        <v>22</v>
      </c>
      <c r="AI2" s="150" t="s">
        <v>991</v>
      </c>
    </row>
    <row r="3" spans="1:36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42685</v>
      </c>
      <c r="H3" s="13" t="s">
        <v>27</v>
      </c>
      <c r="I3" s="15"/>
      <c r="J3" s="186">
        <v>30</v>
      </c>
      <c r="K3" s="5">
        <v>0</v>
      </c>
      <c r="L3" s="186">
        <v>30</v>
      </c>
      <c r="M3" s="15"/>
      <c r="N3" s="155">
        <v>0</v>
      </c>
      <c r="O3" s="155">
        <v>1719</v>
      </c>
      <c r="P3" s="153"/>
      <c r="Q3" s="216">
        <f>IFERROR(VLOOKUP(C3,[1]Planilha1!$C$1:$Q$65536,15,0),0)</f>
        <v>0</v>
      </c>
      <c r="R3" s="216">
        <f>IFERROR(VLOOKUP(C3,[1]Planilha1!$C$1:$R$65536,16,0),0)</f>
        <v>0</v>
      </c>
      <c r="S3" s="216">
        <f>IFERROR(VLOOKUP(C3,[1]Planilha1!$C$1:$S$65536,17,0),0)</f>
        <v>0</v>
      </c>
      <c r="T3" s="216">
        <f>IFERROR(VLOOKUP(C3,[1]Planilha1!$C$1:$T$65536,18,0),0)</f>
        <v>504.44</v>
      </c>
      <c r="U3" s="187">
        <v>504.44</v>
      </c>
      <c r="V3" s="266">
        <v>293.38978199999997</v>
      </c>
      <c r="W3" s="187">
        <v>293.38978199999997</v>
      </c>
      <c r="X3" s="222"/>
      <c r="Y3" s="187">
        <v>1719</v>
      </c>
      <c r="AA3" s="185">
        <v>3911.8637599999997</v>
      </c>
      <c r="AB3" s="185">
        <v>977.96593999999993</v>
      </c>
      <c r="AC3" s="175">
        <v>400</v>
      </c>
      <c r="AD3" s="185">
        <v>698.54709999999989</v>
      </c>
      <c r="AE3" s="185">
        <v>5988.3767999999991</v>
      </c>
      <c r="AF3" s="223">
        <v>0</v>
      </c>
      <c r="AG3" s="175">
        <v>400</v>
      </c>
      <c r="AH3" s="224"/>
      <c r="AI3" s="176"/>
    </row>
    <row r="4" spans="1:36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186">
        <v>30</v>
      </c>
      <c r="K4" s="5">
        <v>0</v>
      </c>
      <c r="L4" s="186">
        <v>30</v>
      </c>
      <c r="M4" s="15"/>
      <c r="N4" s="155">
        <v>1575.67</v>
      </c>
      <c r="O4" s="155"/>
      <c r="P4" s="153">
        <v>97</v>
      </c>
      <c r="Q4" s="216">
        <f>IFERROR(VLOOKUP(C4,[1]Planilha1!$C$1:$Q$65536,15,0),0)</f>
        <v>0</v>
      </c>
      <c r="R4" s="216">
        <f>IFERROR(VLOOKUP(C4,[1]Planilha1!$C$1:$R$65536,16,0),0)</f>
        <v>0</v>
      </c>
      <c r="S4" s="153" t="str">
        <f>IFERROR(VLOOKUP(C4,'[2]Base 06-2021'!$C$1:$T$65536,17,0),0)</f>
        <v>Fretado</v>
      </c>
      <c r="T4" s="216">
        <f>IFERROR(VLOOKUP(C4,[1]Planilha1!$C$1:$T$65536,18,0),0)</f>
        <v>0</v>
      </c>
      <c r="U4" s="187">
        <v>0</v>
      </c>
      <c r="V4" s="266">
        <v>94.540199999999999</v>
      </c>
      <c r="W4" s="187">
        <v>94.540199999999999</v>
      </c>
      <c r="X4" s="222"/>
      <c r="Y4" s="187">
        <v>1575.67</v>
      </c>
      <c r="AA4" s="6"/>
      <c r="AB4" s="6"/>
      <c r="AC4" s="7"/>
      <c r="AD4" s="6"/>
      <c r="AE4" s="6">
        <v>0</v>
      </c>
      <c r="AF4" s="187">
        <v>1575.67</v>
      </c>
      <c r="AG4" s="7"/>
      <c r="AH4" s="216"/>
      <c r="AI4" s="16"/>
    </row>
    <row r="5" spans="1:36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186">
        <v>18</v>
      </c>
      <c r="K5" s="5">
        <v>6</v>
      </c>
      <c r="L5" s="186">
        <v>24</v>
      </c>
      <c r="M5" s="140"/>
      <c r="N5" s="167">
        <v>1406</v>
      </c>
      <c r="O5" s="167"/>
      <c r="P5" s="168"/>
      <c r="Q5" s="216">
        <f>IFERROR(VLOOKUP(C5,[1]Planilha1!$C$1:$Q$65536,15,0),0)</f>
        <v>0</v>
      </c>
      <c r="R5" s="216">
        <f>IFERROR(VLOOKUP(C5,[1]Planilha1!$C$1:$R$65536,16,0),0)</f>
        <v>0</v>
      </c>
      <c r="S5" s="216">
        <f>IFERROR(VLOOKUP(C5,[1]Planilha1!$C$1:$S$65536,17,0),0)</f>
        <v>0</v>
      </c>
      <c r="T5" s="216">
        <f>IFERROR(VLOOKUP(C5,[1]Planilha1!$C$1:$T$65536,18,0),0)</f>
        <v>0</v>
      </c>
      <c r="U5" s="187">
        <v>0</v>
      </c>
      <c r="V5" s="266">
        <v>0</v>
      </c>
      <c r="W5" s="187">
        <v>0</v>
      </c>
      <c r="X5" s="222"/>
      <c r="Y5" s="187">
        <v>843.6</v>
      </c>
      <c r="AA5" s="6"/>
      <c r="AB5" s="6"/>
      <c r="AC5" s="7">
        <v>4000</v>
      </c>
      <c r="AD5" s="6"/>
      <c r="AE5" s="187">
        <v>4000</v>
      </c>
      <c r="AF5" s="6">
        <v>0</v>
      </c>
      <c r="AG5" s="7"/>
      <c r="AH5" s="216"/>
      <c r="AI5" s="16"/>
      <c r="AJ5" s="154"/>
    </row>
    <row r="6" spans="1:36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186">
        <v>30</v>
      </c>
      <c r="K6" s="5">
        <v>0</v>
      </c>
      <c r="L6" s="186">
        <v>30</v>
      </c>
      <c r="M6" s="15"/>
      <c r="N6" s="155">
        <v>0</v>
      </c>
      <c r="O6" s="155">
        <v>1719</v>
      </c>
      <c r="P6" s="153"/>
      <c r="Q6" s="216">
        <f>IFERROR(VLOOKUP(C6,[1]Planilha1!$C$1:$Q$65536,15,0),0)</f>
        <v>0</v>
      </c>
      <c r="R6" s="216">
        <f>IFERROR(VLOOKUP(C6,[1]Planilha1!$C$1:$R$65536,16,0),0)</f>
        <v>0</v>
      </c>
      <c r="S6" s="216">
        <f>IFERROR(VLOOKUP(C6,[1]Planilha1!$C$1:$S$65536,17,0),0)</f>
        <v>0</v>
      </c>
      <c r="T6" s="216">
        <f>IFERROR(VLOOKUP(C6,[1]Planilha1!$C$1:$T$65536,18,0),0)</f>
        <v>504.4</v>
      </c>
      <c r="U6" s="187">
        <v>504.4</v>
      </c>
      <c r="V6" s="266">
        <v>158.57580899999996</v>
      </c>
      <c r="W6" s="187">
        <v>158.57580899999996</v>
      </c>
      <c r="X6" s="222"/>
      <c r="Y6" s="187">
        <v>1719</v>
      </c>
      <c r="AA6" s="187">
        <v>2114.3441199999997</v>
      </c>
      <c r="AB6" s="187">
        <v>528.58602999999994</v>
      </c>
      <c r="AC6" s="7"/>
      <c r="AD6" s="6"/>
      <c r="AE6" s="187">
        <v>2642.9301499999997</v>
      </c>
      <c r="AF6" s="6">
        <v>0</v>
      </c>
      <c r="AG6" s="7"/>
      <c r="AH6" s="216"/>
      <c r="AI6" s="16"/>
    </row>
    <row r="7" spans="1:36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186">
        <v>30</v>
      </c>
      <c r="K7" s="5">
        <v>0</v>
      </c>
      <c r="L7" s="186">
        <v>30</v>
      </c>
      <c r="M7" s="15"/>
      <c r="N7" s="155">
        <v>0</v>
      </c>
      <c r="O7" s="155">
        <v>1719</v>
      </c>
      <c r="P7" s="153"/>
      <c r="Q7" s="216">
        <f>IFERROR(VLOOKUP(C7,[1]Planilha1!$C$1:$Q$65536,15,0),0)</f>
        <v>0</v>
      </c>
      <c r="R7" s="216">
        <f>IFERROR(VLOOKUP(C7,[1]Planilha1!$C$1:$R$65536,16,0),0)</f>
        <v>41</v>
      </c>
      <c r="S7" s="216">
        <f>IFERROR(VLOOKUP(C7,[1]Planilha1!$C$1:$S$65536,17,0),0)</f>
        <v>0</v>
      </c>
      <c r="T7" s="216">
        <f>IFERROR(VLOOKUP(C7,[1]Planilha1!$C$1:$T$65536,18,0),0)</f>
        <v>0</v>
      </c>
      <c r="U7" s="187">
        <v>0</v>
      </c>
      <c r="V7" s="266">
        <v>103.14</v>
      </c>
      <c r="W7" s="187">
        <v>0</v>
      </c>
      <c r="X7" s="222"/>
      <c r="Y7" s="187">
        <v>1719</v>
      </c>
      <c r="AA7" s="187">
        <v>961.3374399999999</v>
      </c>
      <c r="AB7" s="187">
        <v>240.33435999999998</v>
      </c>
      <c r="AC7" s="7"/>
      <c r="AD7" s="6"/>
      <c r="AE7" s="187">
        <v>1201.6717999999998</v>
      </c>
      <c r="AF7" s="187">
        <v>517.32820000000015</v>
      </c>
      <c r="AG7" s="7"/>
      <c r="AH7" s="216"/>
      <c r="AI7" s="16"/>
    </row>
    <row r="8" spans="1:36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186">
        <v>-30</v>
      </c>
      <c r="K8" s="5">
        <v>30</v>
      </c>
      <c r="L8" s="186">
        <v>0</v>
      </c>
      <c r="M8" s="15"/>
      <c r="N8" s="155">
        <v>0</v>
      </c>
      <c r="O8" s="155">
        <v>1719</v>
      </c>
      <c r="P8" s="153"/>
      <c r="Q8" s="216">
        <f>IFERROR(VLOOKUP(C8,[1]Planilha1!$C$1:$Q$65536,15,0),0)</f>
        <v>0</v>
      </c>
      <c r="R8" s="216">
        <f>IFERROR(VLOOKUP(C8,[1]Planilha1!$C$1:$R$65536,16,0),0)</f>
        <v>0</v>
      </c>
      <c r="S8" s="216">
        <f>IFERROR(VLOOKUP(C8,[1]Planilha1!$C$1:$S$65536,17,0),0)</f>
        <v>0</v>
      </c>
      <c r="T8" s="216">
        <f>IFERROR(VLOOKUP(C8,[1]Planilha1!$C$1:$T$65536,18,0),0)</f>
        <v>0</v>
      </c>
      <c r="U8" s="187">
        <v>0</v>
      </c>
      <c r="V8" s="266">
        <v>240.87894599999996</v>
      </c>
      <c r="W8" s="187">
        <v>0</v>
      </c>
      <c r="X8" s="222"/>
      <c r="Y8" s="187">
        <v>-1719</v>
      </c>
      <c r="AA8" s="187">
        <v>3211.7192799999998</v>
      </c>
      <c r="AB8" s="187">
        <v>802.92981999999995</v>
      </c>
      <c r="AC8" s="7"/>
      <c r="AD8" s="187">
        <v>573.5213</v>
      </c>
      <c r="AE8" s="187">
        <v>4588.1704</v>
      </c>
      <c r="AF8" s="6">
        <v>0</v>
      </c>
      <c r="AG8" s="7"/>
      <c r="AH8" s="216"/>
      <c r="AI8" s="16"/>
    </row>
    <row r="9" spans="1:36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186">
        <v>14</v>
      </c>
      <c r="K9" s="5">
        <v>8</v>
      </c>
      <c r="L9" s="186">
        <v>22</v>
      </c>
      <c r="M9" s="15"/>
      <c r="N9" s="167">
        <v>0</v>
      </c>
      <c r="O9" s="167">
        <v>4692.6000000000004</v>
      </c>
      <c r="P9" s="168"/>
      <c r="Q9" s="216">
        <f>IFERROR(VLOOKUP(C9,[1]Planilha1!$C$1:$Q$65536,15,0),0)</f>
        <v>0</v>
      </c>
      <c r="R9" s="216">
        <f>IFERROR(VLOOKUP(C9,[1]Planilha1!$C$1:$R$65536,16,0),0)</f>
        <v>0</v>
      </c>
      <c r="S9" s="216">
        <f>IFERROR(VLOOKUP(C9,[1]Planilha1!$C$1:$S$65536,17,0),0)</f>
        <v>0</v>
      </c>
      <c r="T9" s="216">
        <f>IFERROR(VLOOKUP(C9,[1]Planilha1!$C$1:$T$65536,18,0),0)</f>
        <v>0</v>
      </c>
      <c r="U9" s="187">
        <v>0</v>
      </c>
      <c r="V9" s="266">
        <v>483.91499999999996</v>
      </c>
      <c r="W9" s="187">
        <v>0</v>
      </c>
      <c r="X9" s="222"/>
      <c r="Y9" s="187">
        <v>2189.88</v>
      </c>
      <c r="AA9" s="187" t="s">
        <v>1646</v>
      </c>
      <c r="AB9" s="187">
        <v>1613.05</v>
      </c>
      <c r="AC9" s="7"/>
      <c r="AD9" s="187">
        <v>2000</v>
      </c>
      <c r="AE9" s="187">
        <v>10065.25</v>
      </c>
      <c r="AF9" s="6">
        <v>0</v>
      </c>
      <c r="AG9" s="7"/>
      <c r="AH9" s="216"/>
      <c r="AI9" s="16"/>
    </row>
    <row r="10" spans="1:36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186">
        <v>30</v>
      </c>
      <c r="K10" s="5">
        <v>0</v>
      </c>
      <c r="L10" s="186">
        <v>30</v>
      </c>
      <c r="M10" s="15"/>
      <c r="N10" s="155">
        <v>1575.67</v>
      </c>
      <c r="O10" s="155"/>
      <c r="P10" s="153">
        <v>97</v>
      </c>
      <c r="Q10" s="216">
        <f>IFERROR(VLOOKUP(C10,[1]Planilha1!$C$1:$Q$65536,15,0),0)</f>
        <v>0</v>
      </c>
      <c r="R10" s="216">
        <f>IFERROR(VLOOKUP(C10,[1]Planilha1!$C$1:$R$65536,16,0),0)</f>
        <v>0</v>
      </c>
      <c r="S10" s="216">
        <f>IFERROR(VLOOKUP(C10,[1]Planilha1!$C$1:$S$65536,17,0),0)</f>
        <v>0</v>
      </c>
      <c r="T10" s="216">
        <f>IFERROR(VLOOKUP(C10,[1]Planilha1!$C$1:$T$65536,18,0),0)</f>
        <v>0</v>
      </c>
      <c r="U10" s="187">
        <v>0</v>
      </c>
      <c r="V10" s="266">
        <v>94.540199999999999</v>
      </c>
      <c r="W10" s="187">
        <v>0</v>
      </c>
      <c r="X10" s="222"/>
      <c r="Y10" s="187">
        <v>1575.67</v>
      </c>
      <c r="AA10" s="6"/>
      <c r="AB10" s="6"/>
      <c r="AC10" s="7"/>
      <c r="AD10" s="6"/>
      <c r="AE10" s="6">
        <v>0</v>
      </c>
      <c r="AF10" s="187">
        <v>1575.67</v>
      </c>
      <c r="AG10" s="7"/>
      <c r="AH10" s="216"/>
      <c r="AI10" s="16"/>
    </row>
    <row r="11" spans="1:36" x14ac:dyDescent="0.25">
      <c r="A11" s="10">
        <v>62</v>
      </c>
      <c r="B11" s="10">
        <v>327</v>
      </c>
      <c r="C11" s="11" t="s">
        <v>925</v>
      </c>
      <c r="D11" s="156" t="s">
        <v>926</v>
      </c>
      <c r="E11" s="156" t="s">
        <v>25</v>
      </c>
      <c r="F11" s="157" t="s">
        <v>927</v>
      </c>
      <c r="G11" s="158">
        <v>44384</v>
      </c>
      <c r="H11" s="157" t="s">
        <v>27</v>
      </c>
      <c r="I11" s="15"/>
      <c r="J11" s="186">
        <v>18</v>
      </c>
      <c r="K11" s="5">
        <v>6</v>
      </c>
      <c r="L11" s="186">
        <v>24</v>
      </c>
      <c r="M11" s="15"/>
      <c r="N11" s="155">
        <v>0</v>
      </c>
      <c r="O11" s="155">
        <v>1719</v>
      </c>
      <c r="P11" s="153"/>
      <c r="Q11" s="216">
        <f>IFERROR(VLOOKUP(C11,[1]Planilha1!$C$1:$Q$65536,15,0),0)</f>
        <v>0</v>
      </c>
      <c r="R11" s="216">
        <f>IFERROR(VLOOKUP(C11,[1]Planilha1!$C$1:$R$65536,16,0),0)</f>
        <v>76</v>
      </c>
      <c r="S11" s="216">
        <f>IFERROR(VLOOKUP(C11,[1]Planilha1!$C$1:$S$65536,17,0),0)</f>
        <v>0</v>
      </c>
      <c r="T11" s="216">
        <f>IFERROR(VLOOKUP(C11,[1]Planilha1!$C$1:$T$65536,18,0),0)</f>
        <v>200</v>
      </c>
      <c r="U11" s="187">
        <v>200</v>
      </c>
      <c r="V11" s="266">
        <v>61.883999999999986</v>
      </c>
      <c r="W11" s="187">
        <v>61.883999999999986</v>
      </c>
      <c r="X11" s="222"/>
      <c r="Y11" s="187">
        <v>1031.3999999999999</v>
      </c>
      <c r="AA11" s="6"/>
      <c r="AB11" s="6"/>
      <c r="AC11" s="7"/>
      <c r="AD11" s="6"/>
      <c r="AE11" s="6">
        <v>0</v>
      </c>
      <c r="AF11" s="187">
        <v>1031.3999999999999</v>
      </c>
      <c r="AG11" s="7"/>
      <c r="AH11" s="216"/>
      <c r="AI11" s="16"/>
    </row>
    <row r="12" spans="1:36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186">
        <v>30</v>
      </c>
      <c r="K12" s="5">
        <v>0</v>
      </c>
      <c r="L12" s="186">
        <v>30</v>
      </c>
      <c r="M12" s="15"/>
      <c r="N12" s="155">
        <v>1575.67</v>
      </c>
      <c r="O12" s="155"/>
      <c r="P12" s="153">
        <v>97</v>
      </c>
      <c r="Q12" s="216">
        <f>IFERROR(VLOOKUP(C12,[1]Planilha1!$C$1:$Q$65536,15,0),0)</f>
        <v>0</v>
      </c>
      <c r="R12" s="216">
        <f>IFERROR(VLOOKUP(C12,[1]Planilha1!$C$1:$R$65536,16,0),0)</f>
        <v>0</v>
      </c>
      <c r="S12" s="216">
        <f>IFERROR(VLOOKUP(C12,[1]Planilha1!$C$1:$S$65536,17,0),0)</f>
        <v>0</v>
      </c>
      <c r="T12" s="216">
        <f>IFERROR(VLOOKUP(C12,[1]Planilha1!$C$1:$T$65536,18,0),0)</f>
        <v>208</v>
      </c>
      <c r="U12" s="187">
        <v>208</v>
      </c>
      <c r="V12" s="266">
        <v>94.540199999999999</v>
      </c>
      <c r="W12" s="187">
        <v>94.540199999999999</v>
      </c>
      <c r="X12" s="222"/>
      <c r="Y12" s="187">
        <v>1575.67</v>
      </c>
      <c r="AA12" s="6"/>
      <c r="AB12" s="6"/>
      <c r="AC12" s="7"/>
      <c r="AD12" s="6"/>
      <c r="AE12" s="6">
        <v>0</v>
      </c>
      <c r="AF12" s="187">
        <v>1575.67</v>
      </c>
      <c r="AG12" s="7"/>
      <c r="AH12" s="216"/>
      <c r="AI12" s="16"/>
    </row>
    <row r="13" spans="1:36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186">
        <v>30</v>
      </c>
      <c r="K13" s="5">
        <v>0</v>
      </c>
      <c r="L13" s="186">
        <v>30</v>
      </c>
      <c r="M13" s="15"/>
      <c r="N13" s="155">
        <v>0</v>
      </c>
      <c r="O13" s="155">
        <v>1719</v>
      </c>
      <c r="P13" s="153"/>
      <c r="Q13" s="216">
        <f>IFERROR(VLOOKUP(C13,[1]Planilha1!$C$1:$Q$65536,15,0),0)</f>
        <v>0</v>
      </c>
      <c r="R13" s="216">
        <f>IFERROR(VLOOKUP(C13,[1]Planilha1!$C$1:$R$65536,16,0),0)</f>
        <v>0</v>
      </c>
      <c r="S13" s="216">
        <f>IFERROR(VLOOKUP(C13,[1]Planilha1!$C$1:$S$65536,17,0),0)</f>
        <v>0</v>
      </c>
      <c r="T13" s="216">
        <f>IFERROR(VLOOKUP(C13,[1]Planilha1!$C$1:$T$65536,18,0),0)</f>
        <v>0</v>
      </c>
      <c r="U13" s="187">
        <v>0</v>
      </c>
      <c r="V13" s="266">
        <v>103.14</v>
      </c>
      <c r="W13" s="187">
        <v>0</v>
      </c>
      <c r="X13" s="222"/>
      <c r="Y13" s="187">
        <v>1719</v>
      </c>
      <c r="AA13" s="6"/>
      <c r="AB13" s="6"/>
      <c r="AC13" s="7"/>
      <c r="AD13" s="6"/>
      <c r="AE13" s="6">
        <v>0</v>
      </c>
      <c r="AF13" s="187">
        <v>1719</v>
      </c>
      <c r="AG13" s="7"/>
      <c r="AH13" s="216"/>
      <c r="AI13" s="16"/>
    </row>
    <row r="14" spans="1:36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186">
        <v>-30</v>
      </c>
      <c r="K14" s="5">
        <v>30</v>
      </c>
      <c r="L14" s="186">
        <v>0</v>
      </c>
      <c r="M14" s="15"/>
      <c r="N14" s="155">
        <v>1575.67</v>
      </c>
      <c r="O14" s="155"/>
      <c r="P14" s="153">
        <v>97</v>
      </c>
      <c r="Q14" s="216">
        <f>IFERROR(VLOOKUP(C14,[1]Planilha1!$C$1:$Q$65536,15,0),0)</f>
        <v>0</v>
      </c>
      <c r="R14" s="216">
        <f>IFERROR(VLOOKUP(C14,[1]Planilha1!$C$1:$R$65536,16,0),0)</f>
        <v>0</v>
      </c>
      <c r="S14" s="216">
        <f>IFERROR(VLOOKUP(C14,[1]Planilha1!$C$1:$S$65536,17,0),0)</f>
        <v>0</v>
      </c>
      <c r="T14" s="216">
        <f>IFERROR(VLOOKUP(C14,[1]Planilha1!$C$1:$T$65536,18,0),0)</f>
        <v>588</v>
      </c>
      <c r="U14" s="187">
        <v>588</v>
      </c>
      <c r="V14" s="265">
        <v>0</v>
      </c>
      <c r="W14" s="187">
        <v>0</v>
      </c>
      <c r="X14" s="222"/>
      <c r="Y14" s="187">
        <v>-1575.67</v>
      </c>
      <c r="AA14" s="6"/>
      <c r="AB14" s="6"/>
      <c r="AC14" s="7">
        <v>200</v>
      </c>
      <c r="AD14" s="6"/>
      <c r="AE14" s="187">
        <v>200</v>
      </c>
      <c r="AF14" s="6">
        <v>0</v>
      </c>
      <c r="AG14" s="7"/>
      <c r="AH14" s="216"/>
      <c r="AI14" s="16"/>
    </row>
    <row r="15" spans="1:36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186">
        <v>30</v>
      </c>
      <c r="K15" s="5">
        <v>0</v>
      </c>
      <c r="L15" s="186">
        <v>30</v>
      </c>
      <c r="M15" s="15"/>
      <c r="N15" s="155">
        <v>0</v>
      </c>
      <c r="O15" s="155">
        <v>1719</v>
      </c>
      <c r="P15" s="153"/>
      <c r="Q15" s="216">
        <f>IFERROR(VLOOKUP(C15,[1]Planilha1!$C$1:$Q$65536,15,0),0)</f>
        <v>0</v>
      </c>
      <c r="R15" s="216">
        <f>IFERROR(VLOOKUP(C15,[1]Planilha1!$C$1:$R$65536,16,0),0)</f>
        <v>0</v>
      </c>
      <c r="S15" s="216">
        <f>IFERROR(VLOOKUP(C15,[1]Planilha1!$C$1:$S$65536,17,0),0)</f>
        <v>0</v>
      </c>
      <c r="T15" s="216">
        <f>IFERROR(VLOOKUP(C15,[1]Planilha1!$C$1:$T$65536,18,0),0)</f>
        <v>504.4</v>
      </c>
      <c r="U15" s="187">
        <v>504.4</v>
      </c>
      <c r="V15" s="266">
        <v>234.86326500000001</v>
      </c>
      <c r="W15" s="187">
        <v>234.86326500000001</v>
      </c>
      <c r="X15" s="222"/>
      <c r="Y15" s="187">
        <v>1719</v>
      </c>
      <c r="AA15" s="187">
        <v>3131.5102000000002</v>
      </c>
      <c r="AB15" s="187">
        <v>782.87755000000004</v>
      </c>
      <c r="AC15" s="7"/>
      <c r="AD15" s="187">
        <v>559.19825000000003</v>
      </c>
      <c r="AE15" s="187">
        <v>4473.5860000000002</v>
      </c>
      <c r="AF15" s="6">
        <v>0</v>
      </c>
      <c r="AG15" s="7"/>
      <c r="AH15" s="216"/>
      <c r="AI15" s="16"/>
    </row>
    <row r="16" spans="1:36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186">
        <v>30</v>
      </c>
      <c r="K16" s="5">
        <v>0</v>
      </c>
      <c r="L16" s="186">
        <v>30</v>
      </c>
      <c r="M16" s="15"/>
      <c r="N16" s="155">
        <v>0</v>
      </c>
      <c r="O16" s="155">
        <v>1719</v>
      </c>
      <c r="P16" s="153"/>
      <c r="Q16" s="216">
        <f>IFERROR(VLOOKUP(C16,[1]Planilha1!$C$1:$Q$65536,15,0),0)</f>
        <v>0</v>
      </c>
      <c r="R16" s="216">
        <f>IFERROR(VLOOKUP(C16,[1]Planilha1!$C$1:$R$65536,16,0),0)</f>
        <v>0</v>
      </c>
      <c r="S16" s="216">
        <f>IFERROR(VLOOKUP(C16,[1]Planilha1!$C$1:$S$65536,17,0),0)</f>
        <v>0</v>
      </c>
      <c r="T16" s="216">
        <f>IFERROR(VLOOKUP(C16,[1]Planilha1!$C$1:$T$65536,18,0),0)</f>
        <v>533</v>
      </c>
      <c r="U16" s="187">
        <v>533</v>
      </c>
      <c r="V16" s="266">
        <v>266.83135500000003</v>
      </c>
      <c r="W16" s="187">
        <v>266.83135500000003</v>
      </c>
      <c r="X16" s="222"/>
      <c r="Y16" s="187">
        <v>1719</v>
      </c>
      <c r="AA16" s="187">
        <v>3557.7514000000001</v>
      </c>
      <c r="AB16" s="187">
        <v>889.43785000000003</v>
      </c>
      <c r="AC16" s="7">
        <v>400</v>
      </c>
      <c r="AD16" s="187">
        <v>635.31275000000005</v>
      </c>
      <c r="AE16" s="187">
        <v>5482.5020000000004</v>
      </c>
      <c r="AF16" s="6">
        <v>0</v>
      </c>
      <c r="AG16" s="7">
        <v>400</v>
      </c>
      <c r="AH16" s="216"/>
      <c r="AI16" s="16"/>
    </row>
    <row r="17" spans="1:37" s="206" customFormat="1" x14ac:dyDescent="0.25">
      <c r="A17" s="197">
        <v>93</v>
      </c>
      <c r="B17" s="197">
        <v>98</v>
      </c>
      <c r="C17" s="198" t="s">
        <v>68</v>
      </c>
      <c r="D17" s="231" t="s">
        <v>69</v>
      </c>
      <c r="E17" s="231" t="s">
        <v>25</v>
      </c>
      <c r="F17" s="232" t="s">
        <v>70</v>
      </c>
      <c r="G17" s="233">
        <v>44085</v>
      </c>
      <c r="H17" s="232" t="s">
        <v>27</v>
      </c>
      <c r="I17" s="202"/>
      <c r="J17" s="186">
        <v>30</v>
      </c>
      <c r="K17" s="5">
        <v>0</v>
      </c>
      <c r="L17" s="186">
        <v>30</v>
      </c>
      <c r="M17" s="202"/>
      <c r="N17" s="234">
        <v>0</v>
      </c>
      <c r="O17" s="234">
        <v>1425.75</v>
      </c>
      <c r="P17" s="205"/>
      <c r="Q17" s="221">
        <f>IFERROR(VLOOKUP(C17,[1]Planilha1!$C$1:$Q$65536,15,0),0)</f>
        <v>0</v>
      </c>
      <c r="R17" s="221">
        <f>IFERROR(VLOOKUP(C17,[1]Planilha1!$C$1:$R$65536,16,0),0)</f>
        <v>0</v>
      </c>
      <c r="S17" s="221">
        <f>IFERROR(VLOOKUP(C17,[1]Planilha1!$C$1:$S$65536,17,0),0)</f>
        <v>212.5</v>
      </c>
      <c r="T17" s="216">
        <f>IFERROR(VLOOKUP(C17,[1]Planilha1!$C$1:$T$65536,18,0),0)</f>
        <v>0</v>
      </c>
      <c r="U17" s="187">
        <v>212.5</v>
      </c>
      <c r="V17" s="266">
        <v>149.44826399999999</v>
      </c>
      <c r="W17" s="187">
        <v>149.44826399999999</v>
      </c>
      <c r="X17" s="227"/>
      <c r="Y17" s="187">
        <v>1425.75</v>
      </c>
      <c r="AA17" s="187">
        <v>1992.6435199999999</v>
      </c>
      <c r="AB17" s="187">
        <v>498.16087999999996</v>
      </c>
      <c r="AC17" s="7"/>
      <c r="AD17" s="187">
        <v>355.82920000000001</v>
      </c>
      <c r="AE17" s="187">
        <v>2846.6336000000001</v>
      </c>
      <c r="AF17" s="6">
        <v>0</v>
      </c>
      <c r="AG17" s="7"/>
      <c r="AH17" s="221"/>
      <c r="AI17" s="207"/>
    </row>
    <row r="18" spans="1:37" s="206" customFormat="1" x14ac:dyDescent="0.25">
      <c r="A18" s="197">
        <v>93</v>
      </c>
      <c r="B18" s="197">
        <v>70</v>
      </c>
      <c r="C18" s="198" t="s">
        <v>71</v>
      </c>
      <c r="D18" s="231" t="s">
        <v>72</v>
      </c>
      <c r="E18" s="231" t="s">
        <v>25</v>
      </c>
      <c r="F18" s="232" t="s">
        <v>73</v>
      </c>
      <c r="G18" s="233">
        <v>43070</v>
      </c>
      <c r="H18" s="232" t="s">
        <v>27</v>
      </c>
      <c r="I18" s="202"/>
      <c r="J18" s="186">
        <v>30</v>
      </c>
      <c r="K18" s="5">
        <v>0</v>
      </c>
      <c r="L18" s="186">
        <v>30</v>
      </c>
      <c r="M18" s="202"/>
      <c r="N18" s="234">
        <v>0</v>
      </c>
      <c r="O18" s="234">
        <v>1425.75</v>
      </c>
      <c r="P18" s="205"/>
      <c r="Q18" s="221">
        <f>IFERROR(VLOOKUP(C18,[1]Planilha1!$C$1:$Q$65536,15,0),0)</f>
        <v>0</v>
      </c>
      <c r="R18" s="221">
        <f>IFERROR(VLOOKUP(C18,[1]Planilha1!$C$1:$R$65536,16,0),0)</f>
        <v>0</v>
      </c>
      <c r="S18" s="221">
        <f>IFERROR(VLOOKUP(C18,[1]Planilha1!$C$1:$S$65536,17,0),0)</f>
        <v>225</v>
      </c>
      <c r="T18" s="216">
        <f>IFERROR(VLOOKUP(C18,[1]Planilha1!$C$1:$T$65536,18,0),0)</f>
        <v>0</v>
      </c>
      <c r="U18" s="187">
        <v>225</v>
      </c>
      <c r="V18" s="266">
        <v>120.43884299999999</v>
      </c>
      <c r="W18" s="187">
        <v>120.43884299999999</v>
      </c>
      <c r="X18" s="227"/>
      <c r="Y18" s="187">
        <v>1425.75</v>
      </c>
      <c r="AA18" s="187">
        <v>1605.85124</v>
      </c>
      <c r="AB18" s="187">
        <v>401.46280999999999</v>
      </c>
      <c r="AC18" s="7"/>
      <c r="AD18" s="6"/>
      <c r="AE18" s="187">
        <v>2007.31405</v>
      </c>
      <c r="AF18" s="6">
        <v>0</v>
      </c>
      <c r="AG18" s="7"/>
      <c r="AH18" s="221"/>
      <c r="AI18" s="207"/>
    </row>
    <row r="19" spans="1:37" s="240" customFormat="1" x14ac:dyDescent="0.25">
      <c r="A19" s="197">
        <v>93</v>
      </c>
      <c r="B19" s="197">
        <v>90</v>
      </c>
      <c r="C19" s="198" t="s">
        <v>74</v>
      </c>
      <c r="D19" s="231" t="s">
        <v>75</v>
      </c>
      <c r="E19" s="231" t="s">
        <v>48</v>
      </c>
      <c r="F19" s="232" t="s">
        <v>76</v>
      </c>
      <c r="G19" s="233">
        <v>43713</v>
      </c>
      <c r="H19" s="232" t="s">
        <v>27</v>
      </c>
      <c r="I19" s="202"/>
      <c r="J19" s="186">
        <v>30</v>
      </c>
      <c r="K19" s="5">
        <v>0</v>
      </c>
      <c r="L19" s="186">
        <v>30</v>
      </c>
      <c r="M19" s="202"/>
      <c r="N19" s="234">
        <v>0</v>
      </c>
      <c r="O19" s="234">
        <v>4998.1899999999996</v>
      </c>
      <c r="P19" s="205"/>
      <c r="Q19" s="221">
        <f>IFERROR(VLOOKUP(C19,[1]Planilha1!$C$1:$Q$65536,15,0),0)</f>
        <v>0</v>
      </c>
      <c r="R19" s="221">
        <f>IFERROR(VLOOKUP(C19,[1]Planilha1!$C$1:$R$65536,16,0),0)</f>
        <v>0</v>
      </c>
      <c r="S19" s="221">
        <f>IFERROR(VLOOKUP(C19,[1]Planilha1!$C$1:$S$65536,17,0),0)</f>
        <v>534.29999999999995</v>
      </c>
      <c r="T19" s="216">
        <f>IFERROR(VLOOKUP(C19,[1]Planilha1!$C$1:$T$65536,18,0),0)</f>
        <v>0</v>
      </c>
      <c r="U19" s="187">
        <v>534.29999999999995</v>
      </c>
      <c r="V19" s="266">
        <v>361.08449999999999</v>
      </c>
      <c r="W19" s="187">
        <v>361.08449999999999</v>
      </c>
      <c r="X19" s="227"/>
      <c r="Y19" s="187">
        <v>4998.1899999999996</v>
      </c>
      <c r="Z19" s="206"/>
      <c r="AA19" s="187" t="s">
        <v>1648</v>
      </c>
      <c r="AB19" s="187">
        <v>1203.615</v>
      </c>
      <c r="AC19" s="7"/>
      <c r="AD19" s="187">
        <v>2000</v>
      </c>
      <c r="AE19" s="187">
        <v>8018.0749999999998</v>
      </c>
      <c r="AF19" s="6">
        <v>0</v>
      </c>
      <c r="AG19" s="7"/>
      <c r="AH19" s="221"/>
      <c r="AI19" s="221"/>
      <c r="AJ19" s="206"/>
    </row>
    <row r="20" spans="1:37" s="206" customFormat="1" x14ac:dyDescent="0.25">
      <c r="A20" s="197">
        <v>93</v>
      </c>
      <c r="B20" s="197">
        <v>92</v>
      </c>
      <c r="C20" s="198" t="s">
        <v>77</v>
      </c>
      <c r="D20" s="231" t="s">
        <v>78</v>
      </c>
      <c r="E20" s="231" t="s">
        <v>30</v>
      </c>
      <c r="F20" s="232" t="s">
        <v>79</v>
      </c>
      <c r="G20" s="233">
        <v>43770</v>
      </c>
      <c r="H20" s="232" t="s">
        <v>27</v>
      </c>
      <c r="I20" s="202"/>
      <c r="J20" s="186">
        <v>30</v>
      </c>
      <c r="K20" s="5">
        <v>0</v>
      </c>
      <c r="L20" s="186">
        <v>30</v>
      </c>
      <c r="M20" s="202"/>
      <c r="N20" s="234">
        <v>1389.75</v>
      </c>
      <c r="O20" s="234"/>
      <c r="P20" s="205">
        <v>138.97</v>
      </c>
      <c r="Q20" s="221">
        <f>IFERROR(VLOOKUP(C20,[1]Planilha1!$C$1:$Q$65536,15,0),0)</f>
        <v>0</v>
      </c>
      <c r="R20" s="221">
        <f>IFERROR(VLOOKUP(C20,[1]Planilha1!$C$1:$R$65536,16,0),0)</f>
        <v>0</v>
      </c>
      <c r="S20" s="221">
        <f>IFERROR(VLOOKUP(C20,[1]Planilha1!$C$1:$S$65536,17,0),0)</f>
        <v>0</v>
      </c>
      <c r="T20" s="216">
        <f>IFERROR(VLOOKUP(C20,[1]Planilha1!$C$1:$T$65536,18,0),0)</f>
        <v>0</v>
      </c>
      <c r="U20" s="187">
        <v>0</v>
      </c>
      <c r="V20" s="266">
        <v>83.384999999999991</v>
      </c>
      <c r="W20" s="187">
        <v>0</v>
      </c>
      <c r="X20" s="227"/>
      <c r="Y20" s="187">
        <v>1389.75</v>
      </c>
      <c r="AA20" s="6"/>
      <c r="AB20" s="6"/>
      <c r="AC20" s="7"/>
      <c r="AD20" s="6"/>
      <c r="AE20" s="6">
        <v>0</v>
      </c>
      <c r="AF20" s="187">
        <v>1389.75</v>
      </c>
      <c r="AG20" s="7"/>
      <c r="AH20" s="221"/>
      <c r="AI20" s="221"/>
    </row>
    <row r="21" spans="1:37" s="240" customFormat="1" x14ac:dyDescent="0.25">
      <c r="A21" s="197">
        <v>93</v>
      </c>
      <c r="B21" s="197">
        <v>103</v>
      </c>
      <c r="C21" s="198" t="s">
        <v>80</v>
      </c>
      <c r="D21" s="199" t="s">
        <v>81</v>
      </c>
      <c r="E21" s="199" t="s">
        <v>30</v>
      </c>
      <c r="F21" s="200" t="s">
        <v>82</v>
      </c>
      <c r="G21" s="201">
        <v>44369</v>
      </c>
      <c r="H21" s="200" t="s">
        <v>27</v>
      </c>
      <c r="I21" s="202"/>
      <c r="J21" s="186">
        <v>30</v>
      </c>
      <c r="K21" s="5">
        <v>0</v>
      </c>
      <c r="L21" s="186">
        <v>30</v>
      </c>
      <c r="M21" s="202"/>
      <c r="N21" s="234">
        <v>1389.75</v>
      </c>
      <c r="O21" s="234"/>
      <c r="P21" s="205">
        <v>138.97</v>
      </c>
      <c r="Q21" s="221">
        <f>IFERROR(VLOOKUP(C21,[1]Planilha1!$C$1:$Q$65536,15,0),0)</f>
        <v>0</v>
      </c>
      <c r="R21" s="221">
        <f>IFERROR(VLOOKUP(C21,[1]Planilha1!$C$1:$R$65536,16,0),0)</f>
        <v>0</v>
      </c>
      <c r="S21" s="221">
        <f>IFERROR(VLOOKUP(C21,[1]Planilha1!$C$1:$S$65536,17,0),0)</f>
        <v>225</v>
      </c>
      <c r="T21" s="216">
        <f>IFERROR(VLOOKUP(C21,[1]Planilha1!$C$1:$T$65536,18,0),0)</f>
        <v>0</v>
      </c>
      <c r="U21" s="187">
        <v>225</v>
      </c>
      <c r="V21" s="266">
        <v>83.384999999999991</v>
      </c>
      <c r="W21" s="187">
        <v>83.384999999999991</v>
      </c>
      <c r="X21" s="227"/>
      <c r="Y21" s="187">
        <v>1389.75</v>
      </c>
      <c r="Z21" s="206"/>
      <c r="AA21" s="6"/>
      <c r="AB21" s="6"/>
      <c r="AC21" s="7"/>
      <c r="AD21" s="6"/>
      <c r="AE21" s="6">
        <v>0</v>
      </c>
      <c r="AF21" s="187">
        <v>1389.75</v>
      </c>
      <c r="AG21" s="7"/>
      <c r="AH21" s="221"/>
      <c r="AI21" s="221"/>
      <c r="AJ21" s="206"/>
    </row>
    <row r="22" spans="1:37" s="206" customFormat="1" x14ac:dyDescent="0.25">
      <c r="A22" s="197">
        <v>93</v>
      </c>
      <c r="B22" s="197">
        <v>95</v>
      </c>
      <c r="C22" s="198" t="s">
        <v>83</v>
      </c>
      <c r="D22" s="231" t="s">
        <v>84</v>
      </c>
      <c r="E22" s="231" t="s">
        <v>25</v>
      </c>
      <c r="F22" s="232" t="s">
        <v>85</v>
      </c>
      <c r="G22" s="233">
        <v>43787</v>
      </c>
      <c r="H22" s="232" t="s">
        <v>27</v>
      </c>
      <c r="I22" s="202"/>
      <c r="J22" s="186">
        <v>30</v>
      </c>
      <c r="K22" s="5">
        <v>0</v>
      </c>
      <c r="L22" s="186">
        <v>30</v>
      </c>
      <c r="M22" s="202"/>
      <c r="N22" s="234">
        <v>0</v>
      </c>
      <c r="O22" s="234">
        <v>1425.75</v>
      </c>
      <c r="P22" s="205"/>
      <c r="Q22" s="221">
        <f>IFERROR(VLOOKUP(C22,[1]Planilha1!$C$1:$Q$65536,15,0),0)</f>
        <v>0</v>
      </c>
      <c r="R22" s="221">
        <f>IFERROR(VLOOKUP(C22,[1]Planilha1!$C$1:$R$65536,16,0),0)</f>
        <v>0</v>
      </c>
      <c r="S22" s="221">
        <f>IFERROR(VLOOKUP(C22,[1]Planilha1!$C$1:$S$65536,17,0),0)</f>
        <v>0</v>
      </c>
      <c r="T22" s="216">
        <f>IFERROR(VLOOKUP(C22,[1]Planilha1!$C$1:$T$65536,18,0),0)</f>
        <v>0</v>
      </c>
      <c r="U22" s="187">
        <v>0</v>
      </c>
      <c r="V22" s="266">
        <v>149.93918099999999</v>
      </c>
      <c r="W22" s="187">
        <v>0</v>
      </c>
      <c r="X22" s="227"/>
      <c r="Y22" s="187">
        <v>1425.75</v>
      </c>
      <c r="AA22" s="187">
        <v>1999.1890800000001</v>
      </c>
      <c r="AB22" s="187">
        <v>499.79727000000003</v>
      </c>
      <c r="AC22" s="7"/>
      <c r="AD22" s="187">
        <v>356.99805000000003</v>
      </c>
      <c r="AE22" s="187">
        <v>2855.9844000000003</v>
      </c>
      <c r="AF22" s="6">
        <v>0</v>
      </c>
      <c r="AG22" s="7"/>
      <c r="AH22" s="221"/>
      <c r="AI22" s="221"/>
    </row>
    <row r="23" spans="1:37" s="206" customFormat="1" x14ac:dyDescent="0.25">
      <c r="A23" s="197">
        <v>93</v>
      </c>
      <c r="B23" s="197">
        <v>36</v>
      </c>
      <c r="C23" s="198" t="s">
        <v>86</v>
      </c>
      <c r="D23" s="231" t="s">
        <v>87</v>
      </c>
      <c r="E23" s="231" t="s">
        <v>25</v>
      </c>
      <c r="F23" s="232" t="s">
        <v>88</v>
      </c>
      <c r="G23" s="233">
        <v>42482</v>
      </c>
      <c r="H23" s="232" t="s">
        <v>27</v>
      </c>
      <c r="I23" s="202"/>
      <c r="J23" s="186">
        <v>30</v>
      </c>
      <c r="K23" s="5">
        <v>0</v>
      </c>
      <c r="L23" s="186">
        <v>30</v>
      </c>
      <c r="M23" s="202"/>
      <c r="N23" s="234">
        <v>0</v>
      </c>
      <c r="O23" s="234">
        <v>1425.75</v>
      </c>
      <c r="P23" s="205"/>
      <c r="Q23" s="221">
        <f>IFERROR(VLOOKUP(C23,[1]Planilha1!$C$1:$Q$65536,15,0),0)</f>
        <v>0</v>
      </c>
      <c r="R23" s="221">
        <f>IFERROR(VLOOKUP(C23,[1]Planilha1!$C$1:$R$65536,16,0),0)</f>
        <v>0</v>
      </c>
      <c r="S23" s="221">
        <f>IFERROR(VLOOKUP(C23,[1]Planilha1!$C$1:$S$65536,17,0),0)</f>
        <v>444.6</v>
      </c>
      <c r="T23" s="216">
        <f>IFERROR(VLOOKUP(C23,[1]Planilha1!$C$1:$T$65536,18,0),0)</f>
        <v>0</v>
      </c>
      <c r="U23" s="187">
        <v>444.6</v>
      </c>
      <c r="V23" s="266">
        <v>149.96097900000001</v>
      </c>
      <c r="W23" s="187">
        <v>149.96097900000001</v>
      </c>
      <c r="X23" s="227"/>
      <c r="Y23" s="187">
        <v>1425.75</v>
      </c>
      <c r="AA23" s="187">
        <v>1999.4797200000003</v>
      </c>
      <c r="AB23" s="187">
        <v>499.86993000000007</v>
      </c>
      <c r="AC23" s="7">
        <v>400</v>
      </c>
      <c r="AD23" s="187">
        <v>357.04995000000002</v>
      </c>
      <c r="AE23" s="187">
        <v>3256.3996000000002</v>
      </c>
      <c r="AF23" s="6">
        <v>0</v>
      </c>
      <c r="AG23" s="7">
        <v>400</v>
      </c>
      <c r="AH23" s="221"/>
      <c r="AI23" s="221"/>
    </row>
    <row r="24" spans="1:37" s="206" customFormat="1" x14ac:dyDescent="0.25">
      <c r="A24" s="252">
        <v>93</v>
      </c>
      <c r="B24" s="252">
        <v>79</v>
      </c>
      <c r="C24" s="253" t="s">
        <v>89</v>
      </c>
      <c r="D24" s="231" t="s">
        <v>90</v>
      </c>
      <c r="E24" s="231" t="s">
        <v>25</v>
      </c>
      <c r="F24" s="232" t="s">
        <v>91</v>
      </c>
      <c r="G24" s="233">
        <v>43425</v>
      </c>
      <c r="H24" s="232" t="s">
        <v>27</v>
      </c>
      <c r="I24" s="254"/>
      <c r="J24" s="186">
        <v>-30</v>
      </c>
      <c r="K24" s="5">
        <v>30</v>
      </c>
      <c r="L24" s="186">
        <v>0</v>
      </c>
      <c r="M24" s="254"/>
      <c r="N24" s="234">
        <v>0</v>
      </c>
      <c r="O24" s="234">
        <v>1425.75</v>
      </c>
      <c r="P24" s="205"/>
      <c r="Q24" s="216">
        <f>IFERROR(VLOOKUP(C24,[1]Planilha1!$C$1:$Q$65536,15,0),0)</f>
        <v>0</v>
      </c>
      <c r="R24" s="216">
        <f>IFERROR(VLOOKUP(C24,[1]Planilha1!$C$1:$R$65536,16,0),0)</f>
        <v>0</v>
      </c>
      <c r="S24" s="216">
        <f>IFERROR(VLOOKUP(C24,[1]Planilha1!$C$1:$S$65536,17,0),0)</f>
        <v>0</v>
      </c>
      <c r="T24" s="216">
        <f>IFERROR(VLOOKUP(C24,[1]Planilha1!$C$1:$T$65536,18,0),0)</f>
        <v>0</v>
      </c>
      <c r="U24" s="187">
        <v>0</v>
      </c>
      <c r="V24" s="266">
        <v>139.33882199999999</v>
      </c>
      <c r="W24" s="187">
        <v>0</v>
      </c>
      <c r="X24" s="255"/>
      <c r="Y24" s="187">
        <v>-1425.75</v>
      </c>
      <c r="AA24" s="187">
        <v>1857.8509600000002</v>
      </c>
      <c r="AB24" s="187">
        <v>464.46274000000005</v>
      </c>
      <c r="AC24" s="7"/>
      <c r="AD24" s="6"/>
      <c r="AE24" s="187">
        <v>2322.3137000000002</v>
      </c>
      <c r="AF24" s="6">
        <v>0</v>
      </c>
      <c r="AG24" s="7"/>
      <c r="AH24" s="256"/>
      <c r="AI24" s="256"/>
      <c r="AJ24" s="240"/>
    </row>
    <row r="25" spans="1:37" s="206" customFormat="1" x14ac:dyDescent="0.25">
      <c r="A25" s="197">
        <v>93</v>
      </c>
      <c r="B25" s="197">
        <v>91</v>
      </c>
      <c r="C25" s="198" t="s">
        <v>92</v>
      </c>
      <c r="D25" s="231" t="s">
        <v>93</v>
      </c>
      <c r="E25" s="231" t="s">
        <v>25</v>
      </c>
      <c r="F25" s="232" t="s">
        <v>94</v>
      </c>
      <c r="G25" s="233">
        <v>43740</v>
      </c>
      <c r="H25" s="232" t="s">
        <v>27</v>
      </c>
      <c r="I25" s="202"/>
      <c r="J25" s="186">
        <v>30</v>
      </c>
      <c r="K25" s="5">
        <v>0</v>
      </c>
      <c r="L25" s="186">
        <v>30</v>
      </c>
      <c r="M25" s="202"/>
      <c r="N25" s="234">
        <v>0</v>
      </c>
      <c r="O25" s="234">
        <v>1425.75</v>
      </c>
      <c r="P25" s="205"/>
      <c r="Q25" s="221">
        <f>IFERROR(VLOOKUP(C25,[1]Planilha1!$C$1:$Q$65536,15,0),0)</f>
        <v>0</v>
      </c>
      <c r="R25" s="221">
        <f>IFERROR(VLOOKUP(C25,[1]Planilha1!$C$1:$R$65536,16,0),0)</f>
        <v>0</v>
      </c>
      <c r="S25" s="221">
        <f>IFERROR(VLOOKUP(C25,[1]Planilha1!$C$1:$S$65536,17,0),0)</f>
        <v>0</v>
      </c>
      <c r="T25" s="216">
        <f>IFERROR(VLOOKUP(C25,[1]Planilha1!$C$1:$T$65536,18,0),0)</f>
        <v>0</v>
      </c>
      <c r="U25" s="187">
        <v>0</v>
      </c>
      <c r="V25" s="266">
        <v>150.38486399999996</v>
      </c>
      <c r="W25" s="187">
        <v>0</v>
      </c>
      <c r="X25" s="227"/>
      <c r="Y25" s="187">
        <v>1425.75</v>
      </c>
      <c r="AA25" s="187">
        <v>2005.1315199999999</v>
      </c>
      <c r="AB25" s="187">
        <v>501.28287999999998</v>
      </c>
      <c r="AC25" s="7">
        <v>400</v>
      </c>
      <c r="AD25" s="187">
        <v>358.05919999999998</v>
      </c>
      <c r="AE25" s="187">
        <v>3264.4735999999998</v>
      </c>
      <c r="AF25" s="6">
        <v>0</v>
      </c>
      <c r="AG25" s="7">
        <v>400</v>
      </c>
      <c r="AH25" s="221"/>
      <c r="AI25" s="221"/>
      <c r="AJ25" s="270" t="str">
        <f>AA33</f>
        <v>2.294,20</v>
      </c>
    </row>
    <row r="26" spans="1:37" s="206" customFormat="1" x14ac:dyDescent="0.25">
      <c r="A26" s="197">
        <v>93</v>
      </c>
      <c r="B26" s="197">
        <v>102</v>
      </c>
      <c r="C26" s="198" t="s">
        <v>95</v>
      </c>
      <c r="D26" s="231" t="s">
        <v>96</v>
      </c>
      <c r="E26" s="231" t="s">
        <v>30</v>
      </c>
      <c r="F26" s="232" t="s">
        <v>97</v>
      </c>
      <c r="G26" s="233">
        <v>44152</v>
      </c>
      <c r="H26" s="232" t="s">
        <v>27</v>
      </c>
      <c r="I26" s="202"/>
      <c r="J26" s="186">
        <v>30</v>
      </c>
      <c r="K26" s="5">
        <v>0</v>
      </c>
      <c r="L26" s="186">
        <v>30</v>
      </c>
      <c r="M26" s="202"/>
      <c r="N26" s="234">
        <v>1389.75</v>
      </c>
      <c r="O26" s="234"/>
      <c r="P26" s="205">
        <v>138.97</v>
      </c>
      <c r="Q26" s="221">
        <f>IFERROR(VLOOKUP(C26,[1]Planilha1!$C$1:$Q$65536,15,0),0)</f>
        <v>0</v>
      </c>
      <c r="R26" s="221">
        <f>IFERROR(VLOOKUP(C26,[1]Planilha1!$C$1:$R$65536,16,0),0)</f>
        <v>0</v>
      </c>
      <c r="S26" s="221">
        <f>IFERROR(VLOOKUP(C26,[1]Planilha1!$C$1:$S$65536,17,0),0)</f>
        <v>418.6</v>
      </c>
      <c r="T26" s="216">
        <f>IFERROR(VLOOKUP(C26,[1]Planilha1!$C$1:$T$65536,18,0),0)</f>
        <v>0</v>
      </c>
      <c r="U26" s="187">
        <v>418.6</v>
      </c>
      <c r="V26" s="266">
        <v>83.384999999999991</v>
      </c>
      <c r="W26" s="187">
        <v>83.384999999999991</v>
      </c>
      <c r="X26" s="227"/>
      <c r="Y26" s="187">
        <v>1389.75</v>
      </c>
      <c r="AA26" s="6"/>
      <c r="AB26" s="6"/>
      <c r="AC26" s="7"/>
      <c r="AD26" s="6"/>
      <c r="AE26" s="6">
        <v>0</v>
      </c>
      <c r="AF26" s="187">
        <v>1389.75</v>
      </c>
      <c r="AG26" s="7"/>
      <c r="AH26" s="221"/>
      <c r="AI26" s="221"/>
      <c r="AJ26" s="271">
        <f>AB33</f>
        <v>573.54999999999995</v>
      </c>
    </row>
    <row r="27" spans="1:37" s="206" customFormat="1" x14ac:dyDescent="0.25">
      <c r="A27" s="197">
        <v>93</v>
      </c>
      <c r="B27" s="197">
        <v>100</v>
      </c>
      <c r="C27" s="198" t="s">
        <v>98</v>
      </c>
      <c r="D27" s="231" t="s">
        <v>99</v>
      </c>
      <c r="E27" s="231" t="s">
        <v>25</v>
      </c>
      <c r="F27" s="232" t="s">
        <v>100</v>
      </c>
      <c r="G27" s="233">
        <v>44152</v>
      </c>
      <c r="H27" s="232" t="s">
        <v>27</v>
      </c>
      <c r="I27" s="202"/>
      <c r="J27" s="186">
        <v>30</v>
      </c>
      <c r="K27" s="5">
        <v>0</v>
      </c>
      <c r="L27" s="186">
        <v>30</v>
      </c>
      <c r="M27" s="202"/>
      <c r="N27" s="234">
        <v>0</v>
      </c>
      <c r="O27" s="234">
        <v>1425.75</v>
      </c>
      <c r="P27" s="205"/>
      <c r="Q27" s="221">
        <f>IFERROR(VLOOKUP(C27,[1]Planilha1!$C$1:$Q$65536,15,0),0)</f>
        <v>0</v>
      </c>
      <c r="R27" s="221">
        <f>IFERROR(VLOOKUP(C27,[1]Planilha1!$C$1:$R$65536,16,0),0)</f>
        <v>0</v>
      </c>
      <c r="S27" s="221">
        <f>IFERROR(VLOOKUP(C27,[1]Planilha1!$C$1:$S$65536,17,0),0)</f>
        <v>379.6</v>
      </c>
      <c r="T27" s="216">
        <f>IFERROR(VLOOKUP(C27,[1]Planilha1!$C$1:$T$65536,18,0),0)</f>
        <v>0</v>
      </c>
      <c r="U27" s="187">
        <v>379.6</v>
      </c>
      <c r="V27" s="266">
        <v>150.66846899999999</v>
      </c>
      <c r="W27" s="187">
        <v>150.66846899999999</v>
      </c>
      <c r="X27" s="227"/>
      <c r="Y27" s="187">
        <v>1425.75</v>
      </c>
      <c r="AA27" s="187">
        <v>2008.91292</v>
      </c>
      <c r="AB27" s="187">
        <v>502.22823</v>
      </c>
      <c r="AC27" s="7"/>
      <c r="AD27" s="187">
        <v>358.73444999999998</v>
      </c>
      <c r="AE27" s="187">
        <v>2869.8755999999998</v>
      </c>
      <c r="AF27" s="6">
        <v>0</v>
      </c>
      <c r="AG27" s="7"/>
      <c r="AH27" s="221"/>
      <c r="AI27" s="221"/>
      <c r="AJ27" s="271">
        <f>AF33</f>
        <v>0</v>
      </c>
    </row>
    <row r="28" spans="1:37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186">
        <v>30</v>
      </c>
      <c r="K28" s="5">
        <v>0</v>
      </c>
      <c r="L28" s="186">
        <v>30</v>
      </c>
      <c r="M28" s="15"/>
      <c r="N28" s="155">
        <v>0</v>
      </c>
      <c r="O28" s="155">
        <v>1370</v>
      </c>
      <c r="P28" s="153"/>
      <c r="Q28" s="216">
        <f>IFERROR(VLOOKUP(C28,[1]Planilha1!$C$1:$Q$65536,15,0),0)</f>
        <v>0</v>
      </c>
      <c r="R28" s="216">
        <f>IFERROR(VLOOKUP(C28,[1]Planilha1!$C$1:$R$65536,16,0),0)</f>
        <v>0</v>
      </c>
      <c r="S28" s="216">
        <f>IFERROR(VLOOKUP(C28,[1]Planilha1!$C$1:$S$65536,17,0),0)</f>
        <v>210.6</v>
      </c>
      <c r="T28" s="216">
        <f>IFERROR(VLOOKUP(C28,[1]Planilha1!$C$1:$T$65536,18,0),0)</f>
        <v>0</v>
      </c>
      <c r="U28" s="187">
        <v>210.6</v>
      </c>
      <c r="V28" s="266">
        <v>73.2</v>
      </c>
      <c r="W28" s="187">
        <v>82.2</v>
      </c>
      <c r="X28" s="222"/>
      <c r="Y28" s="187">
        <v>1370</v>
      </c>
      <c r="AA28" s="6"/>
      <c r="AB28" s="6"/>
      <c r="AC28" s="7">
        <v>150</v>
      </c>
      <c r="AD28" s="6"/>
      <c r="AE28" s="187">
        <v>150</v>
      </c>
      <c r="AF28" s="187">
        <v>1220</v>
      </c>
      <c r="AG28" s="7">
        <v>200</v>
      </c>
      <c r="AH28" s="216"/>
      <c r="AI28" s="216">
        <v>500</v>
      </c>
      <c r="AJ28" s="269">
        <f>SUM(AJ25:AJ27)</f>
        <v>573.54999999999995</v>
      </c>
      <c r="AK28" s="269">
        <f>AJ28*(0.06)</f>
        <v>34.412999999999997</v>
      </c>
    </row>
    <row r="29" spans="1:37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928</v>
      </c>
      <c r="I29" s="15"/>
      <c r="J29" s="186">
        <v>30</v>
      </c>
      <c r="K29" s="5">
        <v>0</v>
      </c>
      <c r="L29" s="186">
        <v>30</v>
      </c>
      <c r="M29" s="15"/>
      <c r="N29" s="167">
        <v>0</v>
      </c>
      <c r="O29" s="167">
        <v>1370</v>
      </c>
      <c r="P29" s="168"/>
      <c r="Q29" s="216">
        <f>IFERROR(VLOOKUP(C29,[1]Planilha1!$C$1:$Q$65536,15,0),0)</f>
        <v>0</v>
      </c>
      <c r="R29" s="216">
        <f>IFERROR(VLOOKUP(C29,[1]Planilha1!$C$1:$R$65536,16,0),0)</f>
        <v>0</v>
      </c>
      <c r="S29" s="216">
        <f>IFERROR(VLOOKUP(C29,[1]Planilha1!$C$1:$S$65536,17,0),0)</f>
        <v>0</v>
      </c>
      <c r="T29" s="216">
        <f>IFERROR(VLOOKUP(C29,[1]Planilha1!$C$1:$T$65536,18,0),0)</f>
        <v>0</v>
      </c>
      <c r="U29" s="187">
        <v>0</v>
      </c>
      <c r="V29" s="266">
        <v>82.2</v>
      </c>
      <c r="W29" s="187">
        <v>0</v>
      </c>
      <c r="X29" s="222"/>
      <c r="Y29" s="187">
        <v>1370</v>
      </c>
      <c r="AA29" s="187">
        <v>1024.19328</v>
      </c>
      <c r="AB29" s="187">
        <v>256.04831999999999</v>
      </c>
      <c r="AC29" s="7"/>
      <c r="AD29" s="6"/>
      <c r="AE29" s="187">
        <v>1280.2415999999998</v>
      </c>
      <c r="AF29" s="187">
        <v>89.758400000000165</v>
      </c>
      <c r="AG29" s="7"/>
      <c r="AH29" s="216"/>
      <c r="AI29" s="216"/>
    </row>
    <row r="30" spans="1:37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186">
        <v>30</v>
      </c>
      <c r="K30" s="5">
        <v>0</v>
      </c>
      <c r="L30" s="186">
        <v>30</v>
      </c>
      <c r="M30" s="15"/>
      <c r="N30" s="155">
        <v>0</v>
      </c>
      <c r="O30" s="155">
        <v>1370</v>
      </c>
      <c r="P30" s="153"/>
      <c r="Q30" s="216">
        <f>IFERROR(VLOOKUP(C30,[1]Planilha1!$C$1:$Q$65536,15,0),0)</f>
        <v>0</v>
      </c>
      <c r="R30" s="216">
        <f>IFERROR(VLOOKUP(C30,[1]Planilha1!$C$1:$R$65536,16,0),0)</f>
        <v>0</v>
      </c>
      <c r="S30" s="216">
        <f>IFERROR(VLOOKUP(C30,[1]Planilha1!$C$1:$S$65536,17,0),0)</f>
        <v>202.5</v>
      </c>
      <c r="T30" s="216">
        <f>IFERROR(VLOOKUP(C30,[1]Planilha1!$C$1:$T$65536,18,0),0)</f>
        <v>0</v>
      </c>
      <c r="U30" s="187">
        <v>202.5</v>
      </c>
      <c r="V30" s="266">
        <v>82.2</v>
      </c>
      <c r="W30" s="187">
        <v>82.2</v>
      </c>
      <c r="X30" s="222"/>
      <c r="Y30" s="187">
        <v>1370</v>
      </c>
      <c r="AA30" s="187">
        <v>428.19776000000002</v>
      </c>
      <c r="AB30" s="187">
        <v>107.04944</v>
      </c>
      <c r="AC30" s="7"/>
      <c r="AD30" s="6"/>
      <c r="AE30" s="187">
        <v>535.24720000000002</v>
      </c>
      <c r="AF30" s="187">
        <v>834.75279999999998</v>
      </c>
      <c r="AG30" s="7"/>
      <c r="AH30" s="216"/>
      <c r="AI30" s="216"/>
    </row>
    <row r="31" spans="1:37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186">
        <v>14</v>
      </c>
      <c r="K31" s="8">
        <v>8</v>
      </c>
      <c r="L31" s="186">
        <v>22</v>
      </c>
      <c r="M31" s="15"/>
      <c r="N31" s="167">
        <v>1335.01</v>
      </c>
      <c r="O31" s="167"/>
      <c r="P31" s="168">
        <v>57</v>
      </c>
      <c r="Q31" s="216">
        <f>IFERROR(VLOOKUP(C31,[1]Planilha1!$C$1:$Q$65536,15,0),0)</f>
        <v>0</v>
      </c>
      <c r="R31" s="216">
        <f>IFERROR(VLOOKUP(C31,[1]Planilha1!$C$1:$R$65536,16,0),0)</f>
        <v>0</v>
      </c>
      <c r="S31" s="216">
        <f>IFERROR(VLOOKUP(C31,[1]Planilha1!$C$1:$S$65536,17,0),0)</f>
        <v>210.6</v>
      </c>
      <c r="T31" s="216">
        <f>IFERROR(VLOOKUP(C31,[1]Planilha1!$C$1:$T$65536,18,0),0)</f>
        <v>0</v>
      </c>
      <c r="U31" s="187">
        <v>210.6</v>
      </c>
      <c r="V31" s="266">
        <v>28.380279999999996</v>
      </c>
      <c r="W31" s="187">
        <v>37.380279999999992</v>
      </c>
      <c r="X31" s="222"/>
      <c r="Y31" s="187">
        <v>623.00466666666659</v>
      </c>
      <c r="AA31" s="6"/>
      <c r="AB31" s="6"/>
      <c r="AC31" s="7">
        <v>150</v>
      </c>
      <c r="AD31" s="6"/>
      <c r="AE31" s="187">
        <v>150</v>
      </c>
      <c r="AF31" s="187">
        <v>473.00466666666659</v>
      </c>
      <c r="AG31" s="7">
        <v>200</v>
      </c>
      <c r="AH31" s="216"/>
      <c r="AI31" s="216">
        <v>500</v>
      </c>
    </row>
    <row r="32" spans="1:37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186">
        <v>22</v>
      </c>
      <c r="K32" s="5">
        <v>4</v>
      </c>
      <c r="L32" s="186">
        <v>26</v>
      </c>
      <c r="M32" s="15"/>
      <c r="N32" s="167">
        <v>0</v>
      </c>
      <c r="O32" s="167">
        <v>1370</v>
      </c>
      <c r="P32" s="168"/>
      <c r="Q32" s="216">
        <f>IFERROR(VLOOKUP(C32,[1]Planilha1!$C$1:$Q$65536,15,0),0)</f>
        <v>0</v>
      </c>
      <c r="R32" s="216">
        <f>IFERROR(VLOOKUP(C32,[1]Planilha1!$C$1:$R$65536,16,0),0)</f>
        <v>0</v>
      </c>
      <c r="S32" s="216">
        <f>IFERROR(VLOOKUP(C32,[1]Planilha1!$C$1:$S$65536,17,0),0)</f>
        <v>210.6</v>
      </c>
      <c r="T32" s="216">
        <f>IFERROR(VLOOKUP(C32,[1]Planilha1!$C$1:$T$65536,18,0),0)</f>
        <v>0</v>
      </c>
      <c r="U32" s="187">
        <v>210.6</v>
      </c>
      <c r="V32" s="266">
        <v>79.017479999999992</v>
      </c>
      <c r="W32" s="187">
        <v>79.017479999999992</v>
      </c>
      <c r="X32" s="222"/>
      <c r="Y32" s="187">
        <v>1004.6666666666666</v>
      </c>
      <c r="AA32" s="187">
        <v>1053.5663999999999</v>
      </c>
      <c r="AB32" s="187">
        <v>263.39159999999998</v>
      </c>
      <c r="AC32" s="7"/>
      <c r="AD32" s="6"/>
      <c r="AE32" s="187">
        <v>1316.9579999999999</v>
      </c>
      <c r="AF32" s="6">
        <v>0</v>
      </c>
      <c r="AG32" s="7"/>
      <c r="AH32" s="216"/>
      <c r="AI32" s="216"/>
    </row>
    <row r="33" spans="1:36" x14ac:dyDescent="0.25">
      <c r="A33" s="10">
        <v>94</v>
      </c>
      <c r="B33" s="10">
        <v>70</v>
      </c>
      <c r="C33" s="11" t="s">
        <v>932</v>
      </c>
      <c r="D33" s="12" t="s">
        <v>933</v>
      </c>
      <c r="E33" s="12" t="s">
        <v>48</v>
      </c>
      <c r="F33" s="13" t="s">
        <v>934</v>
      </c>
      <c r="G33" s="14">
        <v>44399</v>
      </c>
      <c r="H33" s="13" t="s">
        <v>27</v>
      </c>
      <c r="I33" s="15"/>
      <c r="J33" s="186">
        <v>9</v>
      </c>
      <c r="K33" s="5">
        <v>0</v>
      </c>
      <c r="L33" s="186">
        <v>9</v>
      </c>
      <c r="M33" s="15"/>
      <c r="N33" s="155">
        <v>0</v>
      </c>
      <c r="O33" s="155">
        <v>1370</v>
      </c>
      <c r="P33" s="153"/>
      <c r="Q33" s="216">
        <f>IFERROR(VLOOKUP(C33,[1]Planilha1!$C$1:$Q$65536,15,0),0)</f>
        <v>0</v>
      </c>
      <c r="R33" s="216">
        <f>IFERROR(VLOOKUP(C33,[1]Planilha1!$C$1:$R$65536,16,0),0)</f>
        <v>114.5</v>
      </c>
      <c r="S33" s="216">
        <f>IFERROR(VLOOKUP(C33,[1]Planilha1!$C$1:$S$65536,17,0),0)</f>
        <v>0</v>
      </c>
      <c r="T33" s="216">
        <f>IFERROR(VLOOKUP(C33,[1]Planilha1!$C$1:$T$65536,18,0),0)</f>
        <v>153.9</v>
      </c>
      <c r="U33" s="187">
        <v>153.9</v>
      </c>
      <c r="V33" s="266">
        <v>172.065</v>
      </c>
      <c r="W33" s="187">
        <v>153.9</v>
      </c>
      <c r="X33" s="222"/>
      <c r="Y33" s="187">
        <v>411</v>
      </c>
      <c r="AA33" s="187" t="s">
        <v>1651</v>
      </c>
      <c r="AB33" s="187">
        <v>573.54999999999995</v>
      </c>
      <c r="AC33" s="7">
        <v>0</v>
      </c>
      <c r="AD33" s="187">
        <v>2000</v>
      </c>
      <c r="AE33" s="187">
        <v>4867.75</v>
      </c>
      <c r="AF33" s="6">
        <v>0</v>
      </c>
      <c r="AG33" s="7"/>
      <c r="AH33" s="216"/>
      <c r="AI33" s="216"/>
      <c r="AJ33" s="269"/>
    </row>
    <row r="34" spans="1:36" x14ac:dyDescent="0.25">
      <c r="A34" s="10">
        <v>94</v>
      </c>
      <c r="B34" s="10">
        <v>69</v>
      </c>
      <c r="C34" s="11" t="s">
        <v>929</v>
      </c>
      <c r="D34" s="12" t="s">
        <v>930</v>
      </c>
      <c r="E34" s="12" t="s">
        <v>25</v>
      </c>
      <c r="F34" s="13" t="s">
        <v>931</v>
      </c>
      <c r="G34" s="14">
        <v>44391</v>
      </c>
      <c r="H34" s="13" t="s">
        <v>27</v>
      </c>
      <c r="I34" s="15"/>
      <c r="J34" s="186">
        <v>17</v>
      </c>
      <c r="K34" s="5">
        <v>0</v>
      </c>
      <c r="L34" s="186">
        <v>17</v>
      </c>
      <c r="M34" s="15"/>
      <c r="N34" s="155">
        <v>0</v>
      </c>
      <c r="O34" s="155">
        <v>1370</v>
      </c>
      <c r="P34" s="153"/>
      <c r="Q34" s="216">
        <f>IFERROR(VLOOKUP(C34,[1]Planilha1!$C$1:$Q$65536,15,0),0)</f>
        <v>0</v>
      </c>
      <c r="R34" s="216">
        <f>IFERROR(VLOOKUP(C34,[1]Planilha1!$C$1:$R$65536,16,0),0)</f>
        <v>89.5</v>
      </c>
      <c r="S34" s="216">
        <f>IFERROR(VLOOKUP(C34,[1]Planilha1!$C$1:$S$65536,17,0),0)</f>
        <v>0</v>
      </c>
      <c r="T34" s="216">
        <f>IFERROR(VLOOKUP(C34,[1]Planilha1!$C$1:$T$65536,18,0),0)</f>
        <v>137.69999999999999</v>
      </c>
      <c r="U34" s="187">
        <v>137.69999999999999</v>
      </c>
      <c r="V34" s="266">
        <v>82.2</v>
      </c>
      <c r="W34" s="187">
        <v>82.2</v>
      </c>
      <c r="X34" s="222"/>
      <c r="Y34" s="187">
        <v>776.33333333333326</v>
      </c>
      <c r="AA34" s="6"/>
      <c r="AB34" s="6"/>
      <c r="AC34" s="7"/>
      <c r="AD34" s="6"/>
      <c r="AE34" s="6">
        <v>0</v>
      </c>
      <c r="AF34" s="187">
        <v>776.33333333333326</v>
      </c>
      <c r="AG34" s="7"/>
      <c r="AH34" s="216"/>
      <c r="AI34" s="216"/>
    </row>
    <row r="35" spans="1:36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186">
        <v>30</v>
      </c>
      <c r="K35" s="5">
        <v>0</v>
      </c>
      <c r="L35" s="186">
        <v>30</v>
      </c>
      <c r="M35" s="15"/>
      <c r="N35" s="155">
        <v>0</v>
      </c>
      <c r="O35" s="155">
        <v>1087.3499999999999</v>
      </c>
      <c r="P35" s="153"/>
      <c r="Q35" s="216">
        <f>IFERROR(VLOOKUP(C35,[1]Planilha1!$C$1:$Q$65536,15,0),0)</f>
        <v>0</v>
      </c>
      <c r="R35" s="216">
        <f>IFERROR(VLOOKUP(C35,[1]Planilha1!$C$1:$R$65536,16,0),0)</f>
        <v>0</v>
      </c>
      <c r="S35" s="216">
        <f>IFERROR(VLOOKUP(C35,[1]Planilha1!$C$1:$S$65536,17,0),0)</f>
        <v>0</v>
      </c>
      <c r="T35" s="216">
        <f>IFERROR(VLOOKUP(C35,[1]Planilha1!$C$1:$T$65536,18,0),0)</f>
        <v>0</v>
      </c>
      <c r="U35" s="187">
        <v>0</v>
      </c>
      <c r="V35" s="266">
        <v>127.73949599999999</v>
      </c>
      <c r="W35" s="187">
        <v>0</v>
      </c>
      <c r="X35" s="222"/>
      <c r="Y35" s="187">
        <v>1087.3499999999999</v>
      </c>
      <c r="AA35" s="187">
        <v>1703.19328</v>
      </c>
      <c r="AB35" s="187">
        <v>425.79831999999999</v>
      </c>
      <c r="AC35" s="7"/>
      <c r="AD35" s="6"/>
      <c r="AE35" s="187">
        <v>2128.9915999999998</v>
      </c>
      <c r="AF35" s="6">
        <v>0</v>
      </c>
      <c r="AG35" s="7"/>
      <c r="AH35" s="216"/>
      <c r="AI35" s="216"/>
    </row>
    <row r="36" spans="1:36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186">
        <v>30</v>
      </c>
      <c r="K36" s="5">
        <v>0</v>
      </c>
      <c r="L36" s="186">
        <v>30</v>
      </c>
      <c r="M36" s="15"/>
      <c r="N36" s="155">
        <v>0</v>
      </c>
      <c r="O36" s="155">
        <v>1807.35</v>
      </c>
      <c r="P36" s="153"/>
      <c r="Q36" s="216">
        <f>IFERROR(VLOOKUP(C36,[1]Planilha1!$C$1:$Q$65536,15,0),0)</f>
        <v>0</v>
      </c>
      <c r="R36" s="216">
        <f>IFERROR(VLOOKUP(C36,[1]Planilha1!$C$1:$R$65536,16,0),0)</f>
        <v>0</v>
      </c>
      <c r="S36" s="216">
        <f>IFERROR(VLOOKUP(C36,[1]Planilha1!$C$1:$S$65536,17,0),0)</f>
        <v>241.5</v>
      </c>
      <c r="T36" s="216">
        <f>IFERROR(VLOOKUP(C36,[1]Planilha1!$C$1:$T$65536,18,0),0)</f>
        <v>0</v>
      </c>
      <c r="U36" s="187">
        <v>241.5</v>
      </c>
      <c r="V36" s="266">
        <v>90.440999999999988</v>
      </c>
      <c r="W36" s="187">
        <v>108.44099999999999</v>
      </c>
      <c r="X36" s="222"/>
      <c r="Y36" s="187">
        <v>1807.35</v>
      </c>
      <c r="AA36" s="6"/>
      <c r="AB36" s="6"/>
      <c r="AC36" s="7">
        <v>300</v>
      </c>
      <c r="AD36" s="6"/>
      <c r="AE36" s="187">
        <v>300</v>
      </c>
      <c r="AF36" s="187">
        <v>1507.35</v>
      </c>
      <c r="AG36" s="7">
        <v>300</v>
      </c>
      <c r="AH36" s="216"/>
      <c r="AI36" s="216"/>
    </row>
    <row r="37" spans="1:36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186">
        <v>30</v>
      </c>
      <c r="K37" s="5">
        <v>0</v>
      </c>
      <c r="L37" s="186">
        <v>30</v>
      </c>
      <c r="M37" s="15"/>
      <c r="N37" s="155">
        <v>1504.22</v>
      </c>
      <c r="O37" s="155"/>
      <c r="P37" s="153">
        <v>70.41</v>
      </c>
      <c r="Q37" s="216">
        <f>IFERROR(VLOOKUP(C37,[1]Planilha1!$C$1:$Q$65536,15,0),0)</f>
        <v>0</v>
      </c>
      <c r="R37" s="216">
        <f>IFERROR(VLOOKUP(C37,[1]Planilha1!$C$1:$R$65536,16,0),0)</f>
        <v>0</v>
      </c>
      <c r="S37" s="216">
        <f>IFERROR(VLOOKUP(C37,[1]Planilha1!$C$1:$S$65536,17,0),0)</f>
        <v>462</v>
      </c>
      <c r="T37" s="216">
        <f>IFERROR(VLOOKUP(C37,[1]Planilha1!$C$1:$T$65536,18,0),0)</f>
        <v>0</v>
      </c>
      <c r="U37" s="187">
        <v>462</v>
      </c>
      <c r="V37" s="266">
        <v>90.253199999999993</v>
      </c>
      <c r="W37" s="187">
        <v>90.253199999999993</v>
      </c>
      <c r="X37" s="222"/>
      <c r="Y37" s="187">
        <v>1504.22</v>
      </c>
      <c r="AA37" s="6"/>
      <c r="AB37" s="6"/>
      <c r="AC37" s="7"/>
      <c r="AD37" s="6"/>
      <c r="AE37" s="6">
        <v>0</v>
      </c>
      <c r="AF37" s="187">
        <v>1504.22</v>
      </c>
      <c r="AG37" s="7"/>
      <c r="AH37" s="216"/>
      <c r="AI37" s="216"/>
    </row>
    <row r="38" spans="1:36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186">
        <v>30</v>
      </c>
      <c r="K38" s="5">
        <v>0</v>
      </c>
      <c r="L38" s="186">
        <v>30</v>
      </c>
      <c r="M38" s="15"/>
      <c r="N38" s="155">
        <v>0</v>
      </c>
      <c r="O38" s="155">
        <v>4117.6000000000004</v>
      </c>
      <c r="P38" s="153"/>
      <c r="Q38" s="216">
        <f>IFERROR(VLOOKUP(C38,[1]Planilha1!$C$1:$Q$65536,15,0),0)</f>
        <v>0</v>
      </c>
      <c r="R38" s="216">
        <f>IFERROR(VLOOKUP(C38,[1]Planilha1!$C$1:$R$65536,16,0),0)</f>
        <v>0</v>
      </c>
      <c r="S38" s="216">
        <f>IFERROR(VLOOKUP(C38,[1]Planilha1!$C$1:$S$65536,17,0),0)</f>
        <v>0</v>
      </c>
      <c r="T38" s="216">
        <f>IFERROR(VLOOKUP(C38,[1]Planilha1!$C$1:$T$65536,18,0),0)</f>
        <v>0</v>
      </c>
      <c r="U38" s="187">
        <v>0</v>
      </c>
      <c r="V38" s="266">
        <v>244.08074999999997</v>
      </c>
      <c r="W38" s="187">
        <v>0</v>
      </c>
      <c r="X38" s="222"/>
      <c r="Y38" s="187">
        <v>4117.6000000000004</v>
      </c>
      <c r="AA38" s="187" t="s">
        <v>1653</v>
      </c>
      <c r="AB38" s="187">
        <v>813.60249999999996</v>
      </c>
      <c r="AC38" s="7"/>
      <c r="AD38" s="187">
        <v>2000</v>
      </c>
      <c r="AE38" s="187">
        <v>6068.0124999999998</v>
      </c>
      <c r="AF38" s="6">
        <v>0</v>
      </c>
      <c r="AG38" s="7"/>
      <c r="AH38" s="216"/>
      <c r="AI38" s="216"/>
    </row>
    <row r="39" spans="1:36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186">
        <v>30</v>
      </c>
      <c r="K39" s="5">
        <v>0</v>
      </c>
      <c r="L39" s="186">
        <v>30</v>
      </c>
      <c r="M39" s="15"/>
      <c r="N39" s="155">
        <v>1504.22</v>
      </c>
      <c r="O39" s="155"/>
      <c r="P39" s="153">
        <v>70.41</v>
      </c>
      <c r="Q39" s="216">
        <f>IFERROR(VLOOKUP(C39,[1]Planilha1!$C$1:$Q$65536,15,0),0)</f>
        <v>0</v>
      </c>
      <c r="R39" s="216">
        <f>IFERROR(VLOOKUP(C39,[1]Planilha1!$C$1:$R$65536,16,0),0)</f>
        <v>0</v>
      </c>
      <c r="S39" s="216">
        <f>IFERROR(VLOOKUP(C39,[1]Planilha1!$C$1:$S$65536,17,0),0)</f>
        <v>211.2</v>
      </c>
      <c r="T39" s="216">
        <f>IFERROR(VLOOKUP(C39,[1]Planilha1!$C$1:$T$65536,18,0),0)</f>
        <v>0</v>
      </c>
      <c r="U39" s="187">
        <v>211.2</v>
      </c>
      <c r="V39" s="266">
        <v>90.253199999999993</v>
      </c>
      <c r="W39" s="187">
        <v>90.253199999999993</v>
      </c>
      <c r="X39" s="222"/>
      <c r="Y39" s="187">
        <v>1504.22</v>
      </c>
      <c r="AA39" s="6"/>
      <c r="AB39" s="6"/>
      <c r="AC39" s="7"/>
      <c r="AD39" s="6"/>
      <c r="AE39" s="6">
        <v>0</v>
      </c>
      <c r="AF39" s="187">
        <v>1504.22</v>
      </c>
      <c r="AG39" s="7"/>
      <c r="AH39" s="216"/>
      <c r="AI39" s="216"/>
    </row>
    <row r="40" spans="1:36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186">
        <v>30</v>
      </c>
      <c r="K40" s="5">
        <v>0</v>
      </c>
      <c r="L40" s="186">
        <v>30</v>
      </c>
      <c r="M40" s="15"/>
      <c r="N40" s="155">
        <v>0</v>
      </c>
      <c r="O40" s="155">
        <v>1807.35</v>
      </c>
      <c r="P40" s="153"/>
      <c r="Q40" s="216">
        <f>IFERROR(VLOOKUP(C40,[1]Planilha1!$C$1:$Q$65536,15,0),0)</f>
        <v>0</v>
      </c>
      <c r="R40" s="216">
        <f>IFERROR(VLOOKUP(C40,[1]Planilha1!$C$1:$R$65536,16,0),0)</f>
        <v>0</v>
      </c>
      <c r="S40" s="216">
        <f>IFERROR(VLOOKUP(C40,[1]Planilha1!$C$1:$S$65536,17,0),0)</f>
        <v>462</v>
      </c>
      <c r="T40" s="216">
        <f>IFERROR(VLOOKUP(C40,[1]Planilha1!$C$1:$T$65536,18,0),0)</f>
        <v>0</v>
      </c>
      <c r="U40" s="187">
        <v>462</v>
      </c>
      <c r="V40" s="266">
        <v>159.123648</v>
      </c>
      <c r="W40" s="187">
        <v>159.123648</v>
      </c>
      <c r="X40" s="222"/>
      <c r="Y40" s="187">
        <v>1807.35</v>
      </c>
      <c r="AA40" s="187">
        <v>2121.6486400000003</v>
      </c>
      <c r="AB40" s="187">
        <v>530.41216000000009</v>
      </c>
      <c r="AC40" s="7"/>
      <c r="AD40" s="6"/>
      <c r="AE40" s="187">
        <v>2652.0608000000002</v>
      </c>
      <c r="AF40" s="6">
        <v>0</v>
      </c>
      <c r="AG40" s="7"/>
      <c r="AH40" s="216"/>
      <c r="AI40" s="216"/>
    </row>
    <row r="41" spans="1:36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186">
        <v>30</v>
      </c>
      <c r="K41" s="5">
        <v>0</v>
      </c>
      <c r="L41" s="186">
        <v>30</v>
      </c>
      <c r="M41" s="15"/>
      <c r="N41" s="155">
        <v>0</v>
      </c>
      <c r="O41" s="155">
        <v>1807.35</v>
      </c>
      <c r="P41" s="153"/>
      <c r="Q41" s="216">
        <f>IFERROR(VLOOKUP(C41,[1]Planilha1!$C$1:$Q$65536,15,0),0)</f>
        <v>0</v>
      </c>
      <c r="R41" s="216">
        <f>IFERROR(VLOOKUP(C41,[1]Planilha1!$C$1:$R$65536,16,0),0)</f>
        <v>0</v>
      </c>
      <c r="S41" s="216">
        <f>IFERROR(VLOOKUP(C41,[1]Planilha1!$C$1:$S$65536,17,0),0)</f>
        <v>340</v>
      </c>
      <c r="T41" s="216">
        <f>IFERROR(VLOOKUP(C41,[1]Planilha1!$C$1:$T$65536,18,0),0)</f>
        <v>0</v>
      </c>
      <c r="U41" s="187">
        <v>340</v>
      </c>
      <c r="V41" s="266">
        <v>120.82624799999998</v>
      </c>
      <c r="W41" s="187">
        <v>120.82624799999998</v>
      </c>
      <c r="X41" s="222"/>
      <c r="Y41" s="187">
        <v>1807.35</v>
      </c>
      <c r="AA41" s="187">
        <v>1611.0166399999998</v>
      </c>
      <c r="AB41" s="187">
        <v>402.75415999999996</v>
      </c>
      <c r="AC41" s="7"/>
      <c r="AD41" s="6"/>
      <c r="AE41" s="187">
        <v>2013.7707999999998</v>
      </c>
      <c r="AF41" s="6">
        <v>0</v>
      </c>
      <c r="AG41" s="7"/>
      <c r="AH41" s="216"/>
      <c r="AI41" s="216"/>
    </row>
    <row r="42" spans="1:36" s="163" customFormat="1" x14ac:dyDescent="0.25">
      <c r="A42" s="190">
        <v>103</v>
      </c>
      <c r="B42" s="190">
        <v>185</v>
      </c>
      <c r="C42" s="191" t="s">
        <v>141</v>
      </c>
      <c r="D42" s="192" t="s">
        <v>142</v>
      </c>
      <c r="E42" s="192" t="s">
        <v>25</v>
      </c>
      <c r="F42" s="193" t="s">
        <v>143</v>
      </c>
      <c r="G42" s="194">
        <v>43782</v>
      </c>
      <c r="H42" s="193" t="s">
        <v>27</v>
      </c>
      <c r="I42" s="164"/>
      <c r="J42" s="186">
        <v>30</v>
      </c>
      <c r="K42" s="5">
        <v>0</v>
      </c>
      <c r="L42" s="186">
        <v>30</v>
      </c>
      <c r="M42" s="164"/>
      <c r="N42" s="195">
        <v>0</v>
      </c>
      <c r="O42" s="195">
        <v>1807.35</v>
      </c>
      <c r="P42" s="196"/>
      <c r="Q42" s="216">
        <f>IFERROR(VLOOKUP(C42,[1]Planilha1!$C$1:$Q$65536,15,0),0)</f>
        <v>0</v>
      </c>
      <c r="R42" s="216">
        <f>IFERROR(VLOOKUP(C42,[1]Planilha1!$C$1:$R$65536,16,0),0)</f>
        <v>0</v>
      </c>
      <c r="S42" s="216">
        <f>IFERROR(VLOOKUP(C42,[1]Planilha1!$C$1:$S$65536,17,0),0)</f>
        <v>491.5</v>
      </c>
      <c r="T42" s="216">
        <f>IFERROR(VLOOKUP(C42,[1]Planilha1!$C$1:$T$65536,18,0),0)</f>
        <v>0</v>
      </c>
      <c r="U42" s="187">
        <v>491.5</v>
      </c>
      <c r="V42" s="266">
        <v>157.81636799999998</v>
      </c>
      <c r="W42" s="187">
        <v>157.81636799999998</v>
      </c>
      <c r="X42" s="226"/>
      <c r="Y42" s="187">
        <v>1807.35</v>
      </c>
      <c r="AA42" s="187">
        <v>2104.2182399999997</v>
      </c>
      <c r="AB42" s="187">
        <v>526.05455999999992</v>
      </c>
      <c r="AC42" s="7"/>
      <c r="AD42" s="187">
        <v>328.78409999999997</v>
      </c>
      <c r="AE42" s="187">
        <v>2959.0568999999996</v>
      </c>
      <c r="AF42" s="6">
        <v>0</v>
      </c>
      <c r="AG42" s="7"/>
      <c r="AH42" s="218"/>
      <c r="AI42" s="218"/>
    </row>
    <row r="43" spans="1:36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186">
        <v>30</v>
      </c>
      <c r="K43" s="5">
        <v>0</v>
      </c>
      <c r="L43" s="186">
        <v>30</v>
      </c>
      <c r="M43" s="15"/>
      <c r="N43" s="155">
        <v>0</v>
      </c>
      <c r="O43" s="155">
        <v>1807.35</v>
      </c>
      <c r="P43" s="153"/>
      <c r="Q43" s="216">
        <f>IFERROR(VLOOKUP(C43,[1]Planilha1!$C$1:$Q$65536,15,0),0)</f>
        <v>0</v>
      </c>
      <c r="R43" s="216">
        <f>IFERROR(VLOOKUP(C43,[1]Planilha1!$C$1:$R$65536,16,0),0)</f>
        <v>0</v>
      </c>
      <c r="S43" s="216">
        <f>IFERROR(VLOOKUP(C43,[1]Planilha1!$C$1:$S$65536,17,0),0)</f>
        <v>0</v>
      </c>
      <c r="T43" s="216">
        <f>IFERROR(VLOOKUP(C43,[1]Planilha1!$C$1:$T$65536,18,0),0)</f>
        <v>0</v>
      </c>
      <c r="U43" s="187">
        <v>0</v>
      </c>
      <c r="V43" s="266">
        <v>162.09751200000002</v>
      </c>
      <c r="W43" s="187">
        <v>0</v>
      </c>
      <c r="X43" s="222"/>
      <c r="Y43" s="187">
        <v>1807.35</v>
      </c>
      <c r="AA43" s="187">
        <v>2161.3001600000002</v>
      </c>
      <c r="AB43" s="187">
        <v>540.32504000000006</v>
      </c>
      <c r="AC43" s="7">
        <v>400</v>
      </c>
      <c r="AD43" s="187">
        <v>337.70315000000005</v>
      </c>
      <c r="AE43" s="187">
        <v>3439.3283500000007</v>
      </c>
      <c r="AF43" s="6">
        <v>0</v>
      </c>
      <c r="AG43" s="7">
        <v>400</v>
      </c>
      <c r="AH43" s="216"/>
      <c r="AI43" s="216"/>
    </row>
    <row r="44" spans="1:36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186">
        <v>30</v>
      </c>
      <c r="K44" s="5">
        <v>0</v>
      </c>
      <c r="L44" s="186">
        <v>30</v>
      </c>
      <c r="M44" s="15"/>
      <c r="N44" s="155">
        <v>1504.22</v>
      </c>
      <c r="O44" s="155"/>
      <c r="P44" s="153">
        <v>70.41</v>
      </c>
      <c r="Q44" s="216">
        <f>IFERROR(VLOOKUP(C44,[1]Planilha1!$C$1:$Q$65536,15,0),0)</f>
        <v>0</v>
      </c>
      <c r="R44" s="216">
        <f>IFERROR(VLOOKUP(C44,[1]Planilha1!$C$1:$R$65536,16,0),0)</f>
        <v>0</v>
      </c>
      <c r="S44" s="216">
        <f>IFERROR(VLOOKUP(C44,[1]Planilha1!$C$1:$S$65536,17,0),0)</f>
        <v>462</v>
      </c>
      <c r="T44" s="216">
        <f>IFERROR(VLOOKUP(C44,[1]Planilha1!$C$1:$T$65536,18,0),0)</f>
        <v>0</v>
      </c>
      <c r="U44" s="187">
        <v>462</v>
      </c>
      <c r="V44" s="266">
        <v>90.253199999999993</v>
      </c>
      <c r="W44" s="187">
        <v>90.253199999999993</v>
      </c>
      <c r="X44" s="222"/>
      <c r="Y44" s="187">
        <v>1504.22</v>
      </c>
      <c r="AA44" s="6"/>
      <c r="AB44" s="6"/>
      <c r="AC44" s="7"/>
      <c r="AD44" s="6"/>
      <c r="AE44" s="6">
        <v>0</v>
      </c>
      <c r="AF44" s="187">
        <v>1504.22</v>
      </c>
      <c r="AG44" s="7"/>
      <c r="AH44" s="216"/>
      <c r="AI44" s="216"/>
    </row>
    <row r="45" spans="1:36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186">
        <v>30</v>
      </c>
      <c r="K45" s="5">
        <v>0</v>
      </c>
      <c r="L45" s="186">
        <v>30</v>
      </c>
      <c r="M45" s="15"/>
      <c r="N45" s="155">
        <v>0</v>
      </c>
      <c r="O45" s="155">
        <v>1807.35</v>
      </c>
      <c r="P45" s="153"/>
      <c r="Q45" s="216">
        <f>IFERROR(VLOOKUP(C45,[1]Planilha1!$C$1:$Q$65536,15,0),0)</f>
        <v>0</v>
      </c>
      <c r="R45" s="216">
        <f>IFERROR(VLOOKUP(C45,[1]Planilha1!$C$1:$R$65536,16,0),0)</f>
        <v>0</v>
      </c>
      <c r="S45" s="216">
        <f>IFERROR(VLOOKUP(C45,[1]Planilha1!$C$1:$S$65536,17,0),0)</f>
        <v>462</v>
      </c>
      <c r="T45" s="216">
        <f>IFERROR(VLOOKUP(C45,[1]Planilha1!$C$1:$T$65536,18,0),0)</f>
        <v>0</v>
      </c>
      <c r="U45" s="187">
        <v>462</v>
      </c>
      <c r="V45" s="266">
        <v>157.10306399999999</v>
      </c>
      <c r="W45" s="187">
        <v>157.10306399999999</v>
      </c>
      <c r="X45" s="222"/>
      <c r="Y45" s="187">
        <v>1807.35</v>
      </c>
      <c r="AA45" s="187">
        <v>2094.7075199999999</v>
      </c>
      <c r="AB45" s="187">
        <v>523.67687999999998</v>
      </c>
      <c r="AC45" s="7"/>
      <c r="AD45" s="187">
        <v>327.29804999999999</v>
      </c>
      <c r="AE45" s="187">
        <v>2945.6824499999998</v>
      </c>
      <c r="AF45" s="6">
        <v>0</v>
      </c>
      <c r="AG45" s="7"/>
      <c r="AH45" s="216"/>
      <c r="AI45" s="216"/>
    </row>
    <row r="46" spans="1:36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186">
        <v>30</v>
      </c>
      <c r="K46" s="5">
        <v>0</v>
      </c>
      <c r="L46" s="186">
        <v>30</v>
      </c>
      <c r="M46" s="15"/>
      <c r="N46" s="155">
        <v>0</v>
      </c>
      <c r="O46" s="155">
        <v>4282.3</v>
      </c>
      <c r="P46" s="153"/>
      <c r="Q46" s="216">
        <f>IFERROR(VLOOKUP(C46,[1]Planilha1!$C$1:$Q$65536,15,0),0)</f>
        <v>0</v>
      </c>
      <c r="R46" s="216">
        <f>IFERROR(VLOOKUP(C46,[1]Planilha1!$C$1:$R$65536,16,0),0)</f>
        <v>0</v>
      </c>
      <c r="S46" s="216">
        <f>IFERROR(VLOOKUP(C46,[1]Planilha1!$C$1:$S$65536,17,0),0)</f>
        <v>480.48</v>
      </c>
      <c r="T46" s="216">
        <f>IFERROR(VLOOKUP(C46,[1]Planilha1!$C$1:$T$65536,18,0),0)</f>
        <v>0</v>
      </c>
      <c r="U46" s="187">
        <v>480.48</v>
      </c>
      <c r="V46" s="266">
        <v>278.95125000000002</v>
      </c>
      <c r="W46" s="187">
        <v>278.95125000000002</v>
      </c>
      <c r="X46" s="222"/>
      <c r="Y46" s="187">
        <v>4282.3</v>
      </c>
      <c r="AA46" s="187" t="s">
        <v>1655</v>
      </c>
      <c r="AB46" s="187">
        <v>929.83749999999998</v>
      </c>
      <c r="AC46" s="7"/>
      <c r="AD46" s="187">
        <v>2000</v>
      </c>
      <c r="AE46" s="187">
        <v>6649.1875</v>
      </c>
      <c r="AF46" s="6">
        <v>0</v>
      </c>
      <c r="AG46" s="7"/>
      <c r="AH46" s="216"/>
      <c r="AI46" s="216"/>
    </row>
    <row r="47" spans="1:36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186">
        <v>30</v>
      </c>
      <c r="K47" s="5">
        <v>0</v>
      </c>
      <c r="L47" s="186">
        <v>30</v>
      </c>
      <c r="M47" s="15"/>
      <c r="N47" s="155">
        <v>0</v>
      </c>
      <c r="O47" s="155">
        <v>1807.35</v>
      </c>
      <c r="P47" s="153"/>
      <c r="Q47" s="216">
        <f>IFERROR(VLOOKUP(C47,[1]Planilha1!$C$1:$Q$65536,15,0),0)</f>
        <v>0</v>
      </c>
      <c r="R47" s="216">
        <f>IFERROR(VLOOKUP(C47,[1]Planilha1!$C$1:$R$65536,16,0),0)</f>
        <v>0</v>
      </c>
      <c r="S47" s="216">
        <f>IFERROR(VLOOKUP(C47,[1]Planilha1!$C$1:$S$65536,17,0),0)</f>
        <v>462</v>
      </c>
      <c r="T47" s="216">
        <f>IFERROR(VLOOKUP(C47,[1]Planilha1!$C$1:$T$65536,18,0),0)</f>
        <v>0</v>
      </c>
      <c r="U47" s="187">
        <v>462</v>
      </c>
      <c r="V47" s="266">
        <v>165.35068799999999</v>
      </c>
      <c r="W47" s="187">
        <v>165.35068799999999</v>
      </c>
      <c r="X47" s="222"/>
      <c r="Y47" s="187">
        <v>1807.35</v>
      </c>
      <c r="AA47" s="187">
        <v>2204.6758399999999</v>
      </c>
      <c r="AB47" s="187">
        <v>551.16895999999997</v>
      </c>
      <c r="AC47" s="7"/>
      <c r="AD47" s="187">
        <v>344.48059999999998</v>
      </c>
      <c r="AE47" s="187">
        <v>3100.3253999999997</v>
      </c>
      <c r="AF47" s="6">
        <v>0</v>
      </c>
      <c r="AG47" s="7"/>
      <c r="AH47" s="216"/>
      <c r="AI47" s="216"/>
    </row>
    <row r="48" spans="1:36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186">
        <v>30</v>
      </c>
      <c r="K48" s="5">
        <v>0</v>
      </c>
      <c r="L48" s="186">
        <v>30</v>
      </c>
      <c r="M48" s="15"/>
      <c r="N48" s="155">
        <v>0</v>
      </c>
      <c r="O48" s="155">
        <v>1807.35</v>
      </c>
      <c r="P48" s="153"/>
      <c r="Q48" s="216">
        <f>IFERROR(VLOOKUP(C48,[1]Planilha1!$C$1:$Q$65536,15,0),0)</f>
        <v>0</v>
      </c>
      <c r="R48" s="216">
        <f>IFERROR(VLOOKUP(C48,[1]Planilha1!$C$1:$R$65536,16,0),0)</f>
        <v>0</v>
      </c>
      <c r="S48" s="216">
        <f>IFERROR(VLOOKUP(C48,[1]Planilha1!$C$1:$S$65536,17,0),0)</f>
        <v>443.52</v>
      </c>
      <c r="T48" s="216">
        <f>IFERROR(VLOOKUP(C48,[1]Planilha1!$C$1:$T$65536,18,0),0)</f>
        <v>0</v>
      </c>
      <c r="U48" s="187">
        <v>443.52</v>
      </c>
      <c r="V48" s="266">
        <v>158.59989599999997</v>
      </c>
      <c r="W48" s="187">
        <v>158.59989599999997</v>
      </c>
      <c r="X48" s="222"/>
      <c r="Y48" s="187">
        <v>1807.35</v>
      </c>
      <c r="AA48" s="187">
        <v>2114.6652799999997</v>
      </c>
      <c r="AB48" s="187">
        <v>528.66631999999993</v>
      </c>
      <c r="AC48" s="7"/>
      <c r="AD48" s="187">
        <v>330.41645</v>
      </c>
      <c r="AE48" s="187">
        <v>2973.7480499999997</v>
      </c>
      <c r="AF48" s="6">
        <v>0</v>
      </c>
      <c r="AG48" s="7"/>
      <c r="AH48" s="216"/>
      <c r="AI48" s="216"/>
    </row>
    <row r="49" spans="1:35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186">
        <v>30</v>
      </c>
      <c r="K49" s="5">
        <v>0</v>
      </c>
      <c r="L49" s="186">
        <v>30</v>
      </c>
      <c r="M49" s="15"/>
      <c r="N49" s="155">
        <v>1504.22</v>
      </c>
      <c r="O49" s="155"/>
      <c r="P49" s="153">
        <v>70.41</v>
      </c>
      <c r="Q49" s="216">
        <f>IFERROR(VLOOKUP(C49,[1]Planilha1!$C$1:$Q$65536,15,0),0)</f>
        <v>0</v>
      </c>
      <c r="R49" s="216">
        <f>IFERROR(VLOOKUP(C49,[1]Planilha1!$C$1:$R$65536,16,0),0)</f>
        <v>0</v>
      </c>
      <c r="S49" s="216">
        <f>IFERROR(VLOOKUP(C49,[1]Planilha1!$C$1:$S$65536,17,0),0)</f>
        <v>251.16</v>
      </c>
      <c r="T49" s="216">
        <f>IFERROR(VLOOKUP(C49,[1]Planilha1!$C$1:$T$65536,18,0),0)</f>
        <v>0</v>
      </c>
      <c r="U49" s="187">
        <v>251.16</v>
      </c>
      <c r="V49" s="266">
        <v>90.253199999999993</v>
      </c>
      <c r="W49" s="187">
        <v>90.253199999999993</v>
      </c>
      <c r="X49" s="222"/>
      <c r="Y49" s="187">
        <v>1504.22</v>
      </c>
      <c r="AA49" s="6"/>
      <c r="AB49" s="6"/>
      <c r="AC49" s="7"/>
      <c r="AD49" s="6"/>
      <c r="AE49" s="6">
        <v>0</v>
      </c>
      <c r="AF49" s="187">
        <v>1504.22</v>
      </c>
      <c r="AG49" s="7"/>
      <c r="AH49" s="216"/>
      <c r="AI49" s="216"/>
    </row>
    <row r="50" spans="1:35" x14ac:dyDescent="0.25">
      <c r="A50" s="10">
        <v>103</v>
      </c>
      <c r="B50" s="10">
        <v>203</v>
      </c>
      <c r="C50" s="11" t="s">
        <v>935</v>
      </c>
      <c r="D50" s="12" t="s">
        <v>936</v>
      </c>
      <c r="E50" s="12" t="s">
        <v>25</v>
      </c>
      <c r="F50" s="13" t="s">
        <v>937</v>
      </c>
      <c r="G50" s="14">
        <v>44398</v>
      </c>
      <c r="H50" s="13" t="s">
        <v>27</v>
      </c>
      <c r="I50" s="15"/>
      <c r="J50" s="186">
        <v>10</v>
      </c>
      <c r="K50" s="5">
        <v>0</v>
      </c>
      <c r="L50" s="186">
        <v>10</v>
      </c>
      <c r="M50" s="15"/>
      <c r="N50" s="155">
        <v>0</v>
      </c>
      <c r="O50" s="155">
        <v>1807.35</v>
      </c>
      <c r="P50" s="153"/>
      <c r="Q50" s="216">
        <f>IFERROR(VLOOKUP(C50,[1]Planilha1!$C$1:$Q$65536,15,0),0)</f>
        <v>0</v>
      </c>
      <c r="R50" s="216">
        <f>IFERROR(VLOOKUP(C50,[1]Planilha1!$C$1:$R$65536,16,0),0)</f>
        <v>17</v>
      </c>
      <c r="S50" s="216">
        <f>IFERROR(VLOOKUP(C50,[1]Planilha1!$C$1:$S$65536,17,0),0)</f>
        <v>203.28</v>
      </c>
      <c r="T50" s="216">
        <f>IFERROR(VLOOKUP(C50,[1]Planilha1!$C$1:$T$65536,18,0),0)</f>
        <v>0</v>
      </c>
      <c r="U50" s="187">
        <v>203.28</v>
      </c>
      <c r="V50" s="266">
        <v>108.44099999999999</v>
      </c>
      <c r="W50" s="187">
        <v>108.44099999999999</v>
      </c>
      <c r="X50" s="222"/>
      <c r="Y50" s="187">
        <v>602.44999999999993</v>
      </c>
      <c r="AA50" s="6"/>
      <c r="AB50" s="6"/>
      <c r="AC50" s="7"/>
      <c r="AD50" s="6"/>
      <c r="AE50" s="6">
        <v>0</v>
      </c>
      <c r="AF50" s="187">
        <v>602.44999999999993</v>
      </c>
      <c r="AG50" s="7"/>
      <c r="AH50" s="216"/>
      <c r="AI50" s="216"/>
    </row>
    <row r="51" spans="1:35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186">
        <v>30</v>
      </c>
      <c r="K51" s="5">
        <v>0</v>
      </c>
      <c r="L51" s="186">
        <v>30</v>
      </c>
      <c r="M51" s="15"/>
      <c r="N51" s="167">
        <v>1155</v>
      </c>
      <c r="O51" s="167"/>
      <c r="P51" s="168">
        <v>115.5</v>
      </c>
      <c r="Q51" s="216">
        <f>IFERROR(VLOOKUP(C51,[1]Planilha1!$C$1:$Q$65536,15,0),0)</f>
        <v>0</v>
      </c>
      <c r="R51" s="216">
        <f>IFERROR(VLOOKUP(C51,[1]Planilha1!$C$1:$R$65536,16,0),0)</f>
        <v>0</v>
      </c>
      <c r="S51" s="216">
        <f>IFERROR(VLOOKUP(C51,[1]Planilha1!$C$1:$S$65536,17,0),0)</f>
        <v>197.6</v>
      </c>
      <c r="T51" s="216">
        <f>IFERROR(VLOOKUP(C51,[1]Planilha1!$C$1:$T$65536,18,0),0)</f>
        <v>0</v>
      </c>
      <c r="U51" s="187">
        <v>197.6</v>
      </c>
      <c r="V51" s="266">
        <v>69.3</v>
      </c>
      <c r="W51" s="187">
        <v>69.3</v>
      </c>
      <c r="X51" s="222"/>
      <c r="Y51" s="187">
        <v>1155</v>
      </c>
      <c r="AA51" s="6"/>
      <c r="AB51" s="6"/>
      <c r="AC51" s="7"/>
      <c r="AD51" s="6"/>
      <c r="AE51" s="6">
        <v>0</v>
      </c>
      <c r="AF51" s="187">
        <v>1155</v>
      </c>
      <c r="AG51" s="7"/>
      <c r="AH51" s="216"/>
      <c r="AI51" s="216"/>
    </row>
    <row r="52" spans="1:35" x14ac:dyDescent="0.25">
      <c r="A52" s="10">
        <v>104</v>
      </c>
      <c r="B52" s="10">
        <v>57</v>
      </c>
      <c r="C52" s="11" t="s">
        <v>1239</v>
      </c>
      <c r="D52" s="12" t="s">
        <v>938</v>
      </c>
      <c r="E52" s="12" t="s">
        <v>25</v>
      </c>
      <c r="F52" s="13" t="s">
        <v>939</v>
      </c>
      <c r="G52" s="14">
        <v>44378</v>
      </c>
      <c r="H52" s="173" t="s">
        <v>27</v>
      </c>
      <c r="I52" s="15"/>
      <c r="J52" s="186">
        <v>30</v>
      </c>
      <c r="K52" s="5">
        <v>0</v>
      </c>
      <c r="L52" s="186">
        <v>30</v>
      </c>
      <c r="M52" s="15"/>
      <c r="N52" s="167">
        <v>1155</v>
      </c>
      <c r="O52" s="167">
        <v>1155</v>
      </c>
      <c r="P52" s="168"/>
      <c r="Q52" s="216">
        <f>IFERROR(VLOOKUP(C52,[1]Planilha1!$C$1:$Q$65536,15,0),0)</f>
        <v>0</v>
      </c>
      <c r="R52" s="216">
        <f>IFERROR(VLOOKUP(C52,[1]Planilha1!$C$1:$R$65536,16,0),0)</f>
        <v>0</v>
      </c>
      <c r="S52" s="216">
        <f>IFERROR(VLOOKUP(C52,[1]Planilha1!$C$1:$S$65536,17,0),0)</f>
        <v>0</v>
      </c>
      <c r="T52" s="216">
        <f>IFERROR(VLOOKUP(C52,[1]Planilha1!$C$1:$T$65536,18,0),0)</f>
        <v>0</v>
      </c>
      <c r="U52" s="187">
        <v>0</v>
      </c>
      <c r="V52" s="266">
        <v>138.6</v>
      </c>
      <c r="W52" s="187">
        <v>0</v>
      </c>
      <c r="X52" s="222"/>
      <c r="Y52" s="187">
        <v>2310</v>
      </c>
      <c r="AA52" s="6"/>
      <c r="AB52" s="6"/>
      <c r="AC52" s="7"/>
      <c r="AD52" s="6"/>
      <c r="AE52" s="6">
        <v>0</v>
      </c>
      <c r="AF52" s="187">
        <v>2310</v>
      </c>
      <c r="AG52" s="7"/>
      <c r="AH52" s="216"/>
      <c r="AI52" s="216"/>
    </row>
    <row r="53" spans="1:35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186">
        <v>30</v>
      </c>
      <c r="K53" s="5">
        <v>0</v>
      </c>
      <c r="L53" s="186">
        <v>30</v>
      </c>
      <c r="M53" s="15"/>
      <c r="N53" s="167">
        <v>0</v>
      </c>
      <c r="O53" s="167">
        <v>4612.5</v>
      </c>
      <c r="P53" s="168"/>
      <c r="Q53" s="216">
        <f>IFERROR(VLOOKUP(C53,[1]Planilha1!$C$1:$Q$65536,15,0),0)</f>
        <v>0</v>
      </c>
      <c r="R53" s="216">
        <f>IFERROR(VLOOKUP(C53,[1]Planilha1!$C$1:$R$65536,16,0),0)</f>
        <v>0</v>
      </c>
      <c r="S53" s="216">
        <f>IFERROR(VLOOKUP(C53,[1]Planilha1!$C$1:$S$65536,17,0),0)</f>
        <v>0</v>
      </c>
      <c r="T53" s="216">
        <f>IFERROR(VLOOKUP(C53,[1]Planilha1!$C$1:$T$65536,18,0),0)</f>
        <v>0</v>
      </c>
      <c r="U53" s="187">
        <v>0</v>
      </c>
      <c r="V53" s="266">
        <v>262.01100000000002</v>
      </c>
      <c r="W53" s="187">
        <v>0</v>
      </c>
      <c r="X53" s="222"/>
      <c r="Y53" s="187">
        <v>4612.5</v>
      </c>
      <c r="AA53" s="187" t="s">
        <v>1658</v>
      </c>
      <c r="AB53" s="187">
        <v>873.37</v>
      </c>
      <c r="AC53" s="7"/>
      <c r="AD53" s="187">
        <v>2000</v>
      </c>
      <c r="AE53" s="187">
        <v>6366.85</v>
      </c>
      <c r="AF53" s="6">
        <v>0</v>
      </c>
      <c r="AG53" s="7"/>
      <c r="AH53" s="216"/>
      <c r="AI53" s="216"/>
    </row>
    <row r="54" spans="1:35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186">
        <v>30</v>
      </c>
      <c r="K54" s="5">
        <v>0</v>
      </c>
      <c r="L54" s="186">
        <v>30</v>
      </c>
      <c r="M54" s="15"/>
      <c r="N54" s="167">
        <v>1155</v>
      </c>
      <c r="O54" s="167">
        <v>1155</v>
      </c>
      <c r="P54" s="168"/>
      <c r="Q54" s="216">
        <f>IFERROR(VLOOKUP(C54,[1]Planilha1!$C$1:$Q$65536,15,0),0)</f>
        <v>0</v>
      </c>
      <c r="R54" s="216">
        <f>IFERROR(VLOOKUP(C54,[1]Planilha1!$C$1:$R$65536,16,0),0)</f>
        <v>0</v>
      </c>
      <c r="S54" s="216">
        <f>IFERROR(VLOOKUP(C54,[1]Planilha1!$C$1:$S$65536,17,0),0)</f>
        <v>0</v>
      </c>
      <c r="T54" s="216">
        <f>IFERROR(VLOOKUP(C54,[1]Planilha1!$C$1:$T$65536,18,0),0)</f>
        <v>0</v>
      </c>
      <c r="U54" s="187">
        <v>0</v>
      </c>
      <c r="V54" s="266">
        <v>154.34012999999999</v>
      </c>
      <c r="W54" s="187">
        <v>0</v>
      </c>
      <c r="X54" s="222"/>
      <c r="Y54" s="187">
        <v>2310</v>
      </c>
      <c r="AA54" s="187">
        <v>2057.8683999999998</v>
      </c>
      <c r="AB54" s="187">
        <v>514.46709999999996</v>
      </c>
      <c r="AC54" s="7"/>
      <c r="AD54" s="187">
        <v>514.46709999999996</v>
      </c>
      <c r="AE54" s="187">
        <v>3086.8025999999995</v>
      </c>
      <c r="AF54" s="6">
        <v>0</v>
      </c>
      <c r="AG54" s="7">
        <v>300</v>
      </c>
      <c r="AH54" s="216"/>
      <c r="AI54" s="216"/>
    </row>
    <row r="55" spans="1:35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186">
        <v>30</v>
      </c>
      <c r="K55" s="5">
        <v>0</v>
      </c>
      <c r="L55" s="186">
        <v>30</v>
      </c>
      <c r="M55" s="15"/>
      <c r="N55" s="167">
        <v>1155</v>
      </c>
      <c r="O55" s="167">
        <v>1155</v>
      </c>
      <c r="P55" s="168">
        <v>115.5</v>
      </c>
      <c r="Q55" s="216">
        <f>IFERROR(VLOOKUP(C55,[1]Planilha1!$C$1:$Q$65536,15,0),0)</f>
        <v>0</v>
      </c>
      <c r="R55" s="216">
        <f>IFERROR(VLOOKUP(C55,[1]Planilha1!$C$1:$R$65536,16,0),0)</f>
        <v>0</v>
      </c>
      <c r="S55" s="216">
        <f>IFERROR(VLOOKUP(C55,[1]Planilha1!$C$1:$S$65536,17,0),0)</f>
        <v>0</v>
      </c>
      <c r="T55" s="216">
        <f>IFERROR(VLOOKUP(C55,[1]Planilha1!$C$1:$T$65536,18,0),0)</f>
        <v>0</v>
      </c>
      <c r="U55" s="187">
        <v>0</v>
      </c>
      <c r="V55" s="266">
        <v>138.6</v>
      </c>
      <c r="W55" s="187">
        <v>0</v>
      </c>
      <c r="X55" s="222"/>
      <c r="Y55" s="187">
        <v>2310</v>
      </c>
      <c r="AA55" s="6"/>
      <c r="AB55" s="6"/>
      <c r="AC55" s="7"/>
      <c r="AD55" s="6"/>
      <c r="AE55" s="6">
        <v>0</v>
      </c>
      <c r="AF55" s="187">
        <v>2310</v>
      </c>
      <c r="AG55" s="7"/>
      <c r="AH55" s="216"/>
      <c r="AI55" s="216"/>
    </row>
    <row r="56" spans="1:35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186">
        <v>30</v>
      </c>
      <c r="K56" s="5">
        <v>0</v>
      </c>
      <c r="L56" s="186">
        <v>30</v>
      </c>
      <c r="M56" s="15"/>
      <c r="N56" s="167">
        <v>1155</v>
      </c>
      <c r="O56" s="167">
        <v>1155</v>
      </c>
      <c r="P56" s="168"/>
      <c r="Q56" s="216">
        <f>IFERROR(VLOOKUP(C56,[1]Planilha1!$C$1:$Q$65536,15,0),0)</f>
        <v>0</v>
      </c>
      <c r="R56" s="216">
        <f>IFERROR(VLOOKUP(C56,[1]Planilha1!$C$1:$R$65536,16,0),0)</f>
        <v>0</v>
      </c>
      <c r="S56" s="216">
        <f>IFERROR(VLOOKUP(C56,[1]Planilha1!$C$1:$S$65536,17,0),0)</f>
        <v>197.6</v>
      </c>
      <c r="T56" s="216">
        <f>IFERROR(VLOOKUP(C56,[1]Planilha1!$C$1:$T$65536,18,0),0)</f>
        <v>0</v>
      </c>
      <c r="U56" s="187">
        <v>197.6</v>
      </c>
      <c r="V56" s="266">
        <v>138.6</v>
      </c>
      <c r="W56" s="187">
        <v>138.6</v>
      </c>
      <c r="X56" s="222"/>
      <c r="Y56" s="187">
        <v>2310</v>
      </c>
      <c r="AA56" s="187">
        <v>1257.816</v>
      </c>
      <c r="AB56" s="187">
        <v>314.45400000000001</v>
      </c>
      <c r="AC56" s="7"/>
      <c r="AD56" s="6"/>
      <c r="AE56" s="187">
        <v>1572.27</v>
      </c>
      <c r="AF56" s="187">
        <v>737.73</v>
      </c>
      <c r="AG56" s="7">
        <v>300</v>
      </c>
      <c r="AH56" s="216"/>
      <c r="AI56" s="216"/>
    </row>
    <row r="57" spans="1:35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186">
        <v>30</v>
      </c>
      <c r="K57" s="5">
        <v>0</v>
      </c>
      <c r="L57" s="186">
        <v>30</v>
      </c>
      <c r="M57" s="15"/>
      <c r="N57" s="167">
        <v>1155</v>
      </c>
      <c r="O57" s="167">
        <v>1155</v>
      </c>
      <c r="P57" s="168"/>
      <c r="Q57" s="216">
        <f>IFERROR(VLOOKUP(C57,[1]Planilha1!$C$1:$Q$65536,15,0),0)</f>
        <v>0</v>
      </c>
      <c r="R57" s="216">
        <f>IFERROR(VLOOKUP(C57,[1]Planilha1!$C$1:$R$65536,16,0),0)</f>
        <v>0</v>
      </c>
      <c r="S57" s="216">
        <f>IFERROR(VLOOKUP(C57,[1]Planilha1!$C$1:$S$65536,17,0),0)</f>
        <v>0</v>
      </c>
      <c r="T57" s="216">
        <f>IFERROR(VLOOKUP(C57,[1]Planilha1!$C$1:$T$65536,18,0),0)</f>
        <v>0</v>
      </c>
      <c r="U57" s="187">
        <v>0</v>
      </c>
      <c r="V57" s="266">
        <v>154.15885500000002</v>
      </c>
      <c r="W57" s="187">
        <v>0</v>
      </c>
      <c r="X57" s="222"/>
      <c r="Y57" s="187">
        <v>2310</v>
      </c>
      <c r="AA57" s="187">
        <v>2055.4514000000004</v>
      </c>
      <c r="AB57" s="187">
        <v>513.86285000000009</v>
      </c>
      <c r="AC57" s="7"/>
      <c r="AD57" s="187">
        <v>513.86285000000009</v>
      </c>
      <c r="AE57" s="187">
        <v>3083.1771000000003</v>
      </c>
      <c r="AF57" s="6">
        <v>0</v>
      </c>
      <c r="AG57" s="7"/>
      <c r="AH57" s="216"/>
      <c r="AI57" s="216"/>
    </row>
    <row r="58" spans="1:35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73" t="s">
        <v>27</v>
      </c>
      <c r="I58" s="15"/>
      <c r="J58" s="186">
        <v>30</v>
      </c>
      <c r="K58" s="5">
        <v>0</v>
      </c>
      <c r="L58" s="186">
        <v>30</v>
      </c>
      <c r="M58" s="15"/>
      <c r="N58" s="155">
        <v>0</v>
      </c>
      <c r="O58" s="155">
        <v>1495</v>
      </c>
      <c r="P58" s="153"/>
      <c r="Q58" s="216">
        <f>IFERROR(VLOOKUP(C58,[1]Planilha1!$C$1:$Q$65536,15,0),0)</f>
        <v>0</v>
      </c>
      <c r="R58" s="216">
        <f>IFERROR(VLOOKUP(C58,[1]Planilha1!$C$1:$R$65536,16,0),0)</f>
        <v>0</v>
      </c>
      <c r="S58" s="216">
        <f>IFERROR(VLOOKUP(C58,[1]Planilha1!$C$1:$S$65536,17,0),0)</f>
        <v>0</v>
      </c>
      <c r="T58" s="216">
        <f>IFERROR(VLOOKUP(C58,[1]Planilha1!$C$1:$T$65536,18,0),0)</f>
        <v>637</v>
      </c>
      <c r="U58" s="187">
        <v>637</v>
      </c>
      <c r="V58" s="266">
        <v>138.35331300000001</v>
      </c>
      <c r="W58" s="187">
        <v>138.35331300000001</v>
      </c>
      <c r="X58" s="222"/>
      <c r="Y58" s="187">
        <v>1495</v>
      </c>
      <c r="AA58" s="187">
        <v>1844.71084</v>
      </c>
      <c r="AB58" s="187">
        <v>461.17770999999999</v>
      </c>
      <c r="AC58" s="7"/>
      <c r="AD58" s="6"/>
      <c r="AE58" s="187">
        <v>2305.8885500000001</v>
      </c>
      <c r="AF58" s="6">
        <v>0</v>
      </c>
      <c r="AG58" s="7">
        <v>300</v>
      </c>
      <c r="AH58" s="216"/>
      <c r="AI58" s="216"/>
    </row>
    <row r="59" spans="1:35" x14ac:dyDescent="0.25">
      <c r="A59" s="10">
        <v>105</v>
      </c>
      <c r="B59" s="10">
        <v>104</v>
      </c>
      <c r="C59" s="11" t="s">
        <v>940</v>
      </c>
      <c r="D59" s="12" t="s">
        <v>941</v>
      </c>
      <c r="E59" s="12" t="s">
        <v>25</v>
      </c>
      <c r="F59" s="13" t="s">
        <v>942</v>
      </c>
      <c r="G59" s="14">
        <v>44380</v>
      </c>
      <c r="H59" s="173" t="s">
        <v>27</v>
      </c>
      <c r="I59" s="15"/>
      <c r="J59" s="186">
        <v>18</v>
      </c>
      <c r="K59" s="8">
        <v>10</v>
      </c>
      <c r="L59" s="186">
        <v>28</v>
      </c>
      <c r="M59" s="15"/>
      <c r="N59" s="155">
        <v>0</v>
      </c>
      <c r="O59" s="155">
        <v>1495</v>
      </c>
      <c r="P59" s="153"/>
      <c r="Q59" s="216">
        <f>IFERROR(VLOOKUP(C59,[1]Planilha1!$C$1:$Q$65536,15,0),0)</f>
        <v>0</v>
      </c>
      <c r="R59" s="216">
        <f>IFERROR(VLOOKUP(C59,[1]Planilha1!$C$1:$R$65536,16,0),0)</f>
        <v>78.599999999999994</v>
      </c>
      <c r="S59" s="216">
        <f>IFERROR(VLOOKUP(C59,[1]Planilha1!$C$1:$S$65536,17,0),0)</f>
        <v>0</v>
      </c>
      <c r="T59" s="216">
        <f>IFERROR(VLOOKUP(C59,[1]Planilha1!$C$1:$T$65536,18,0),0)</f>
        <v>0</v>
      </c>
      <c r="U59" s="187">
        <v>0</v>
      </c>
      <c r="V59" s="266">
        <v>29.900000000000002</v>
      </c>
      <c r="W59" s="187">
        <v>0</v>
      </c>
      <c r="X59" s="222"/>
      <c r="Y59" s="187">
        <v>897</v>
      </c>
      <c r="AA59" s="6"/>
      <c r="AB59" s="6"/>
      <c r="AC59" s="7"/>
      <c r="AD59" s="6"/>
      <c r="AE59" s="6">
        <v>0</v>
      </c>
      <c r="AF59" s="187">
        <v>897</v>
      </c>
      <c r="AG59" s="7"/>
      <c r="AH59" s="216"/>
      <c r="AI59" s="216"/>
    </row>
    <row r="60" spans="1:35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73" t="s">
        <v>27</v>
      </c>
      <c r="I60" s="15"/>
      <c r="J60" s="186">
        <v>30</v>
      </c>
      <c r="K60" s="5">
        <v>0</v>
      </c>
      <c r="L60" s="186">
        <v>30</v>
      </c>
      <c r="M60" s="15"/>
      <c r="N60" s="155">
        <v>1377.6</v>
      </c>
      <c r="O60" s="155"/>
      <c r="P60" s="153">
        <v>220.27</v>
      </c>
      <c r="Q60" s="216">
        <f>IFERROR(VLOOKUP(C60,[1]Planilha1!$C$1:$Q$65536,15,0),0)</f>
        <v>0</v>
      </c>
      <c r="R60" s="216">
        <f>IFERROR(VLOOKUP(C60,[1]Planilha1!$C$1:$R$65536,16,0),0)</f>
        <v>0</v>
      </c>
      <c r="S60" s="216">
        <f>IFERROR(VLOOKUP(C60,[1]Planilha1!$C$1:$S$65536,17,0),0)</f>
        <v>0</v>
      </c>
      <c r="T60" s="216">
        <f>IFERROR(VLOOKUP(C60,[1]Planilha1!$C$1:$T$65536,18,0),0)</f>
        <v>200.2</v>
      </c>
      <c r="U60" s="187">
        <v>200.2</v>
      </c>
      <c r="V60" s="266">
        <v>82.655999999999992</v>
      </c>
      <c r="W60" s="187">
        <v>82.655999999999992</v>
      </c>
      <c r="X60" s="222"/>
      <c r="Y60" s="187">
        <v>1377.6</v>
      </c>
      <c r="AA60" s="6"/>
      <c r="AB60" s="6"/>
      <c r="AC60" s="7"/>
      <c r="AD60" s="6"/>
      <c r="AE60" s="6">
        <v>0</v>
      </c>
      <c r="AF60" s="187">
        <v>1377.6</v>
      </c>
      <c r="AG60" s="7"/>
      <c r="AH60" s="216"/>
      <c r="AI60" s="216"/>
    </row>
    <row r="61" spans="1:35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73" t="s">
        <v>27</v>
      </c>
      <c r="I61" s="15"/>
      <c r="J61" s="186">
        <v>30</v>
      </c>
      <c r="K61" s="5">
        <v>0</v>
      </c>
      <c r="L61" s="186">
        <v>30</v>
      </c>
      <c r="M61" s="15"/>
      <c r="N61" s="167">
        <v>0</v>
      </c>
      <c r="O61" s="167">
        <v>4816.24</v>
      </c>
      <c r="P61" s="168"/>
      <c r="Q61" s="216">
        <f>IFERROR(VLOOKUP(C61,[1]Planilha1!$C$1:$Q$65536,15,0),0)</f>
        <v>0</v>
      </c>
      <c r="R61" s="216">
        <f>IFERROR(VLOOKUP(C61,[1]Planilha1!$C$1:$R$65536,16,0),0)</f>
        <v>0</v>
      </c>
      <c r="S61" s="216">
        <f>IFERROR(VLOOKUP(C61,[1]Planilha1!$C$1:$S$65536,17,0),0)</f>
        <v>0</v>
      </c>
      <c r="T61" s="216">
        <f>IFERROR(VLOOKUP(C61,[1]Planilha1!$C$1:$T$65536,18,0),0)</f>
        <v>0</v>
      </c>
      <c r="U61" s="187">
        <v>0</v>
      </c>
      <c r="V61" s="266">
        <v>306.58274999999998</v>
      </c>
      <c r="W61" s="187">
        <v>0</v>
      </c>
      <c r="X61" s="222"/>
      <c r="Y61" s="187">
        <v>4816.24</v>
      </c>
      <c r="AA61" s="187" t="s">
        <v>1660</v>
      </c>
      <c r="AB61" s="187">
        <v>1021.9425</v>
      </c>
      <c r="AC61" s="7"/>
      <c r="AD61" s="187">
        <v>2000</v>
      </c>
      <c r="AE61" s="187">
        <v>7109.7124999999996</v>
      </c>
      <c r="AF61" s="6">
        <v>0</v>
      </c>
      <c r="AG61" s="7"/>
      <c r="AH61" s="216"/>
      <c r="AI61" s="216"/>
    </row>
    <row r="62" spans="1:35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73" t="s">
        <v>27</v>
      </c>
      <c r="I62" s="15"/>
      <c r="J62" s="186">
        <v>30</v>
      </c>
      <c r="K62" s="5">
        <v>0</v>
      </c>
      <c r="L62" s="186">
        <v>30</v>
      </c>
      <c r="M62" s="15"/>
      <c r="N62" s="167">
        <v>0</v>
      </c>
      <c r="O62" s="167">
        <v>1495</v>
      </c>
      <c r="P62" s="168"/>
      <c r="Q62" s="216">
        <f>IFERROR(VLOOKUP(C62,[1]Planilha1!$C$1:$Q$65536,15,0),0)</f>
        <v>0</v>
      </c>
      <c r="R62" s="216">
        <f>IFERROR(VLOOKUP(C62,[1]Planilha1!$C$1:$R$65536,16,0),0)</f>
        <v>0</v>
      </c>
      <c r="S62" s="216">
        <f>IFERROR(VLOOKUP(C62,[1]Planilha1!$C$1:$S$65536,17,0),0)</f>
        <v>0</v>
      </c>
      <c r="T62" s="216">
        <f>IFERROR(VLOOKUP(C62,[1]Planilha1!$C$1:$T$65536,18,0),0)</f>
        <v>439.4</v>
      </c>
      <c r="U62" s="187">
        <v>439.4</v>
      </c>
      <c r="V62" s="266">
        <v>218.81115899999998</v>
      </c>
      <c r="W62" s="187">
        <v>218.81115899999998</v>
      </c>
      <c r="X62" s="222"/>
      <c r="Y62" s="187">
        <v>1495</v>
      </c>
      <c r="AA62" s="187">
        <v>2917.4821199999997</v>
      </c>
      <c r="AB62" s="187">
        <v>729.37052999999992</v>
      </c>
      <c r="AC62" s="7"/>
      <c r="AD62" s="187">
        <v>520.97894999999994</v>
      </c>
      <c r="AE62" s="187">
        <v>4167.8315999999995</v>
      </c>
      <c r="AF62" s="6">
        <v>0</v>
      </c>
      <c r="AG62" s="7">
        <v>300</v>
      </c>
      <c r="AH62" s="216"/>
      <c r="AI62" s="216"/>
    </row>
    <row r="63" spans="1:35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73" t="s">
        <v>27</v>
      </c>
      <c r="I63" s="15"/>
      <c r="J63" s="186">
        <v>22</v>
      </c>
      <c r="K63" s="5">
        <v>4</v>
      </c>
      <c r="L63" s="186">
        <v>26</v>
      </c>
      <c r="M63" s="15"/>
      <c r="N63" s="167">
        <v>0</v>
      </c>
      <c r="O63" s="167">
        <v>1495</v>
      </c>
      <c r="P63" s="168"/>
      <c r="Q63" s="216">
        <f>IFERROR(VLOOKUP(C63,[1]Planilha1!$C$1:$Q$65536,15,0),0)</f>
        <v>0</v>
      </c>
      <c r="R63" s="216">
        <f>IFERROR(VLOOKUP(C63,[1]Planilha1!$C$1:$R$65536,16,0),0)</f>
        <v>0</v>
      </c>
      <c r="S63" s="216">
        <f>IFERROR(VLOOKUP(C63,[1]Planilha1!$C$1:$S$65536,17,0),0)</f>
        <v>0</v>
      </c>
      <c r="T63" s="216">
        <f>IFERROR(VLOOKUP(C63,[1]Planilha1!$C$1:$T$65536,18,0),0)</f>
        <v>200.2</v>
      </c>
      <c r="U63" s="187">
        <v>200.2</v>
      </c>
      <c r="V63" s="266">
        <v>77.255597999999992</v>
      </c>
      <c r="W63" s="187">
        <v>77.255597999999992</v>
      </c>
      <c r="X63" s="222"/>
      <c r="Y63" s="187">
        <v>1096.3333333333335</v>
      </c>
      <c r="AA63" s="187">
        <v>1030.07464</v>
      </c>
      <c r="AB63" s="187">
        <v>257.51866000000001</v>
      </c>
      <c r="AC63" s="7"/>
      <c r="AD63" s="6"/>
      <c r="AE63" s="187">
        <v>1287.5933</v>
      </c>
      <c r="AF63" s="6">
        <v>0</v>
      </c>
      <c r="AG63" s="7"/>
      <c r="AH63" s="216"/>
      <c r="AI63" s="216"/>
    </row>
    <row r="64" spans="1:35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73" t="s">
        <v>27</v>
      </c>
      <c r="I64" s="15"/>
      <c r="J64" s="186">
        <v>30</v>
      </c>
      <c r="K64" s="5">
        <v>0</v>
      </c>
      <c r="L64" s="186">
        <v>30</v>
      </c>
      <c r="M64" s="15"/>
      <c r="N64" s="167">
        <v>1468.46</v>
      </c>
      <c r="O64" s="167"/>
      <c r="P64" s="168">
        <v>220.27</v>
      </c>
      <c r="Q64" s="216">
        <f>IFERROR(VLOOKUP(C64,[1]Planilha1!$C$1:$Q$65536,15,0),0)</f>
        <v>0</v>
      </c>
      <c r="R64" s="216">
        <f>IFERROR(VLOOKUP(C64,[1]Planilha1!$C$1:$R$65536,16,0),0)</f>
        <v>0</v>
      </c>
      <c r="S64" s="216">
        <f>IFERROR(VLOOKUP(C64,[1]Planilha1!$C$1:$S$65536,17,0),0)</f>
        <v>0</v>
      </c>
      <c r="T64" s="216">
        <f>IFERROR(VLOOKUP(C64,[1]Planilha1!$C$1:$T$65536,18,0),0)</f>
        <v>200.2</v>
      </c>
      <c r="U64" s="187">
        <v>200.2</v>
      </c>
      <c r="V64" s="266">
        <v>88.107600000000005</v>
      </c>
      <c r="W64" s="187">
        <v>88.107600000000005</v>
      </c>
      <c r="X64" s="222"/>
      <c r="Y64" s="187">
        <v>1468.46</v>
      </c>
      <c r="AA64" s="6"/>
      <c r="AB64" s="6"/>
      <c r="AC64" s="7"/>
      <c r="AD64" s="6"/>
      <c r="AE64" s="6">
        <v>0</v>
      </c>
      <c r="AF64" s="187">
        <v>1468.46</v>
      </c>
      <c r="AG64" s="7"/>
      <c r="AH64" s="216"/>
      <c r="AI64" s="216"/>
    </row>
    <row r="65" spans="1:36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73" t="s">
        <v>27</v>
      </c>
      <c r="I65" s="15"/>
      <c r="J65" s="186">
        <v>-30</v>
      </c>
      <c r="K65" s="5">
        <v>30</v>
      </c>
      <c r="L65" s="186">
        <v>0</v>
      </c>
      <c r="M65" s="15"/>
      <c r="N65" s="155">
        <v>0</v>
      </c>
      <c r="O65" s="155">
        <v>1495</v>
      </c>
      <c r="P65" s="153"/>
      <c r="Q65" s="216">
        <f>IFERROR(VLOOKUP(C65,[1]Planilha1!$C$1:$Q$65536,15,0),0)</f>
        <v>0</v>
      </c>
      <c r="R65" s="216">
        <f>IFERROR(VLOOKUP(C65,[1]Planilha1!$C$1:$R$65536,16,0),0)</f>
        <v>0</v>
      </c>
      <c r="S65" s="216">
        <f>IFERROR(VLOOKUP(C65,[1]Planilha1!$C$1:$S$65536,17,0),0)</f>
        <v>0</v>
      </c>
      <c r="T65" s="216">
        <f>IFERROR(VLOOKUP(C65,[1]Planilha1!$C$1:$T$65536,18,0),0)</f>
        <v>0</v>
      </c>
      <c r="U65" s="187">
        <v>0</v>
      </c>
      <c r="V65" s="266">
        <v>208.95644700000003</v>
      </c>
      <c r="W65" s="187">
        <v>0</v>
      </c>
      <c r="X65" s="222"/>
      <c r="Y65" s="187">
        <v>-1495</v>
      </c>
      <c r="AA65" s="187">
        <v>2786.0859600000003</v>
      </c>
      <c r="AB65" s="187">
        <v>696.52149000000009</v>
      </c>
      <c r="AC65" s="7"/>
      <c r="AD65" s="187">
        <v>497.51535000000007</v>
      </c>
      <c r="AE65" s="187">
        <v>3980.1228000000006</v>
      </c>
      <c r="AF65" s="6">
        <v>0</v>
      </c>
      <c r="AG65" s="7"/>
      <c r="AH65" s="216"/>
      <c r="AI65" s="216"/>
    </row>
    <row r="66" spans="1:36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73" t="s">
        <v>27</v>
      </c>
      <c r="I66" s="15"/>
      <c r="J66" s="186">
        <v>30</v>
      </c>
      <c r="K66" s="5">
        <v>0</v>
      </c>
      <c r="L66" s="186">
        <v>30</v>
      </c>
      <c r="M66" s="15"/>
      <c r="N66" s="155">
        <v>0</v>
      </c>
      <c r="O66" s="155">
        <v>1495</v>
      </c>
      <c r="P66" s="153"/>
      <c r="Q66" s="216">
        <f>IFERROR(VLOOKUP(C66,[1]Planilha1!$C$1:$Q$65536,15,0),0)</f>
        <v>0</v>
      </c>
      <c r="R66" s="216">
        <f>IFERROR(VLOOKUP(C66,[1]Planilha1!$C$1:$R$65536,16,0),0)</f>
        <v>0</v>
      </c>
      <c r="S66" s="216">
        <f>IFERROR(VLOOKUP(C66,[1]Planilha1!$C$1:$S$65536,17,0),0)</f>
        <v>0</v>
      </c>
      <c r="T66" s="216">
        <f>IFERROR(VLOOKUP(C66,[1]Planilha1!$C$1:$T$65536,18,0),0)</f>
        <v>418.6</v>
      </c>
      <c r="U66" s="187">
        <v>418.6</v>
      </c>
      <c r="V66" s="266">
        <v>89.7</v>
      </c>
      <c r="W66" s="187">
        <v>89.7</v>
      </c>
      <c r="X66" s="222"/>
      <c r="Y66" s="187">
        <v>1495</v>
      </c>
      <c r="AA66" s="187">
        <v>831.42387999999994</v>
      </c>
      <c r="AB66" s="187">
        <v>207.85596999999999</v>
      </c>
      <c r="AC66" s="7"/>
      <c r="AD66" s="6"/>
      <c r="AE66" s="187">
        <v>1039.2798499999999</v>
      </c>
      <c r="AF66" s="187">
        <v>455.7201500000001</v>
      </c>
      <c r="AG66" s="7"/>
      <c r="AH66" s="216"/>
      <c r="AI66" s="216"/>
    </row>
    <row r="67" spans="1:36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73" t="s">
        <v>27</v>
      </c>
      <c r="I67" s="15"/>
      <c r="J67" s="186">
        <v>30</v>
      </c>
      <c r="K67" s="5">
        <v>0</v>
      </c>
      <c r="L67" s="186">
        <v>30</v>
      </c>
      <c r="M67" s="15"/>
      <c r="N67" s="155">
        <v>0</v>
      </c>
      <c r="O67" s="155">
        <v>4817.59</v>
      </c>
      <c r="P67" s="153"/>
      <c r="Q67" s="216">
        <f>IFERROR(VLOOKUP(C67,[1]Planilha1!$C$1:$Q$65536,15,0),0)</f>
        <v>0</v>
      </c>
      <c r="R67" s="216">
        <f>IFERROR(VLOOKUP(C67,[1]Planilha1!$C$1:$R$65536,16,0),0)</f>
        <v>0</v>
      </c>
      <c r="S67" s="216">
        <f>IFERROR(VLOOKUP(C67,[1]Planilha1!$C$1:$S$65536,17,0),0)</f>
        <v>0</v>
      </c>
      <c r="T67" s="216">
        <f>IFERROR(VLOOKUP(C67,[1]Planilha1!$C$1:$T$65536,18,0),0)</f>
        <v>0</v>
      </c>
      <c r="U67" s="187">
        <v>0</v>
      </c>
      <c r="V67" s="266">
        <v>353.24699999999996</v>
      </c>
      <c r="W67" s="187">
        <v>0</v>
      </c>
      <c r="X67" s="222"/>
      <c r="Y67" s="187">
        <v>4817.59</v>
      </c>
      <c r="AA67" s="187" t="s">
        <v>1662</v>
      </c>
      <c r="AB67" s="187">
        <v>1177.49</v>
      </c>
      <c r="AC67" s="7"/>
      <c r="AD67" s="187">
        <v>2000</v>
      </c>
      <c r="AE67" s="187">
        <v>7887.45</v>
      </c>
      <c r="AF67" s="6">
        <v>0</v>
      </c>
      <c r="AG67" s="7"/>
      <c r="AH67" s="216"/>
      <c r="AI67" s="216"/>
    </row>
    <row r="68" spans="1:36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73" t="s">
        <v>27</v>
      </c>
      <c r="I68" s="15"/>
      <c r="J68" s="186">
        <v>30</v>
      </c>
      <c r="K68" s="5">
        <v>0</v>
      </c>
      <c r="L68" s="186">
        <v>30</v>
      </c>
      <c r="M68" s="15"/>
      <c r="N68" s="155">
        <v>0</v>
      </c>
      <c r="O68" s="155">
        <v>1807.35</v>
      </c>
      <c r="P68" s="153"/>
      <c r="Q68" s="216">
        <f>IFERROR(VLOOKUP(C68,[1]Planilha1!$C$1:$Q$65536,15,0),0)</f>
        <v>0</v>
      </c>
      <c r="R68" s="216">
        <f>IFERROR(VLOOKUP(C68,[1]Planilha1!$C$1:$R$65536,16,0),0)</f>
        <v>0</v>
      </c>
      <c r="S68" s="216">
        <f>IFERROR(VLOOKUP(C68,[1]Planilha1!$C$1:$S$65536,17,0),0)</f>
        <v>480.48</v>
      </c>
      <c r="T68" s="216">
        <f>IFERROR(VLOOKUP(C68,[1]Planilha1!$C$1:$T$65536,18,0),0)</f>
        <v>0</v>
      </c>
      <c r="U68" s="187">
        <v>480.48</v>
      </c>
      <c r="V68" s="266">
        <v>114.6918</v>
      </c>
      <c r="W68" s="187">
        <v>114.6918</v>
      </c>
      <c r="X68" s="222"/>
      <c r="Y68" s="187">
        <v>1807.35</v>
      </c>
      <c r="AA68" s="187">
        <v>1529.2239999999999</v>
      </c>
      <c r="AB68" s="187">
        <v>382.30599999999998</v>
      </c>
      <c r="AC68" s="7"/>
      <c r="AD68" s="6"/>
      <c r="AE68" s="187">
        <v>1911.53</v>
      </c>
      <c r="AF68" s="6">
        <v>0</v>
      </c>
      <c r="AG68" s="7"/>
      <c r="AH68" s="216"/>
      <c r="AI68" s="216"/>
    </row>
    <row r="69" spans="1:36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73" t="s">
        <v>27</v>
      </c>
      <c r="I69" s="15"/>
      <c r="J69" s="186">
        <v>30</v>
      </c>
      <c r="K69" s="5">
        <v>0</v>
      </c>
      <c r="L69" s="186">
        <v>30</v>
      </c>
      <c r="M69" s="15"/>
      <c r="N69" s="155">
        <v>0</v>
      </c>
      <c r="O69" s="155">
        <v>1807.35</v>
      </c>
      <c r="P69" s="153"/>
      <c r="Q69" s="216">
        <f>IFERROR(VLOOKUP(C69,[1]Planilha1!$C$1:$Q$65536,15,0),0)</f>
        <v>0</v>
      </c>
      <c r="R69" s="216">
        <f>IFERROR(VLOOKUP(C69,[1]Planilha1!$C$1:$R$65536,16,0),0)</f>
        <v>40</v>
      </c>
      <c r="S69" s="216">
        <f>IFERROR(VLOOKUP(C69,[1]Planilha1!$C$1:$S$65536,17,0),0)</f>
        <v>480.48</v>
      </c>
      <c r="T69" s="216">
        <f>IFERROR(VLOOKUP(C69,[1]Planilha1!$C$1:$T$65536,18,0),0)</f>
        <v>0</v>
      </c>
      <c r="U69" s="187">
        <v>480.48</v>
      </c>
      <c r="V69" s="266">
        <v>134.892696</v>
      </c>
      <c r="W69" s="187">
        <v>134.892696</v>
      </c>
      <c r="X69" s="222"/>
      <c r="Y69" s="187">
        <v>1807.35</v>
      </c>
      <c r="AA69" s="187">
        <v>1798.5692800000002</v>
      </c>
      <c r="AB69" s="187">
        <v>449.64232000000004</v>
      </c>
      <c r="AC69" s="7">
        <v>400</v>
      </c>
      <c r="AD69" s="6"/>
      <c r="AE69" s="187">
        <v>2648.2116000000001</v>
      </c>
      <c r="AF69" s="6">
        <v>0</v>
      </c>
      <c r="AG69" s="7">
        <v>400</v>
      </c>
      <c r="AH69" s="216"/>
      <c r="AI69" s="216"/>
    </row>
    <row r="70" spans="1:36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73" t="s">
        <v>27</v>
      </c>
      <c r="I70" s="15"/>
      <c r="J70" s="186">
        <v>-6</v>
      </c>
      <c r="K70" s="188">
        <v>18</v>
      </c>
      <c r="L70" s="186">
        <v>12</v>
      </c>
      <c r="M70" s="15"/>
      <c r="N70" s="155">
        <v>1504.22</v>
      </c>
      <c r="O70" s="155"/>
      <c r="P70" s="153">
        <v>70.41</v>
      </c>
      <c r="Q70" s="216">
        <f>IFERROR(VLOOKUP(C70,[1]Planilha1!$C$1:$Q$65536,15,0),0)</f>
        <v>0</v>
      </c>
      <c r="R70" s="216">
        <f>IFERROR(VLOOKUP(C70,[1]Planilha1!$C$1:$R$65536,16,0),0)</f>
        <v>40</v>
      </c>
      <c r="S70" s="216">
        <f>IFERROR(VLOOKUP(C70,[1]Planilha1!$C$1:$S$65536,17,0),0)</f>
        <v>295.68</v>
      </c>
      <c r="T70" s="216">
        <f>IFERROR(VLOOKUP(C70,[1]Planilha1!$C$1:$T$65536,18,0),0)</f>
        <v>0</v>
      </c>
      <c r="U70" s="187">
        <v>295.68</v>
      </c>
      <c r="V70" s="265">
        <v>0</v>
      </c>
      <c r="W70" s="187">
        <v>0</v>
      </c>
      <c r="X70" s="222"/>
      <c r="Y70" s="187">
        <v>-300.84399999999999</v>
      </c>
      <c r="AA70" s="6"/>
      <c r="AB70" s="6"/>
      <c r="AC70" s="7"/>
      <c r="AD70" s="6"/>
      <c r="AE70" s="6">
        <v>0</v>
      </c>
      <c r="AF70" s="6">
        <v>0</v>
      </c>
      <c r="AG70" s="7"/>
      <c r="AH70" s="216"/>
      <c r="AI70" s="216"/>
    </row>
    <row r="71" spans="1:36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73" t="s">
        <v>27</v>
      </c>
      <c r="I71" s="15"/>
      <c r="J71" s="186">
        <v>30</v>
      </c>
      <c r="K71" s="5">
        <v>0</v>
      </c>
      <c r="L71" s="186">
        <v>30</v>
      </c>
      <c r="M71" s="15"/>
      <c r="N71" s="155">
        <v>0</v>
      </c>
      <c r="O71" s="155">
        <v>1807.35</v>
      </c>
      <c r="P71" s="153"/>
      <c r="Q71" s="216">
        <f>IFERROR(VLOOKUP(C71,[1]Planilha1!$C$1:$Q$65536,15,0),0)</f>
        <v>0</v>
      </c>
      <c r="R71" s="216">
        <f>IFERROR(VLOOKUP(C71,[1]Planilha1!$C$1:$R$65536,16,0),0)</f>
        <v>40</v>
      </c>
      <c r="S71" s="216">
        <f>IFERROR(VLOOKUP(C71,[1]Planilha1!$C$1:$S$65536,17,0),0)</f>
        <v>0</v>
      </c>
      <c r="T71" s="216">
        <f>IFERROR(VLOOKUP(C71,[1]Planilha1!$C$1:$T$65536,18,0),0)</f>
        <v>0</v>
      </c>
      <c r="U71" s="187">
        <v>0</v>
      </c>
      <c r="V71" s="266">
        <v>173.88458399999999</v>
      </c>
      <c r="W71" s="187">
        <v>0</v>
      </c>
      <c r="X71" s="222"/>
      <c r="Y71" s="187">
        <v>1807.35</v>
      </c>
      <c r="AA71" s="187">
        <v>2318.4611199999999</v>
      </c>
      <c r="AB71" s="187">
        <v>579.61527999999998</v>
      </c>
      <c r="AC71" s="7"/>
      <c r="AD71" s="6"/>
      <c r="AE71" s="187">
        <v>2898.0763999999999</v>
      </c>
      <c r="AF71" s="6">
        <v>0</v>
      </c>
      <c r="AG71" s="7"/>
      <c r="AH71" s="216"/>
      <c r="AI71" s="216"/>
    </row>
    <row r="72" spans="1:36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73" t="s">
        <v>27</v>
      </c>
      <c r="I72" s="15"/>
      <c r="J72" s="186">
        <v>30</v>
      </c>
      <c r="K72" s="5">
        <v>0</v>
      </c>
      <c r="L72" s="186">
        <v>30</v>
      </c>
      <c r="M72" s="15"/>
      <c r="N72" s="155">
        <v>0</v>
      </c>
      <c r="O72" s="155">
        <v>1807.35</v>
      </c>
      <c r="P72" s="153"/>
      <c r="Q72" s="216">
        <f>IFERROR(VLOOKUP(C72,[1]Planilha1!$C$1:$Q$65536,15,0),0)</f>
        <v>0</v>
      </c>
      <c r="R72" s="216">
        <f>IFERROR(VLOOKUP(C72,[1]Planilha1!$C$1:$R$65536,16,0),0)</f>
        <v>0</v>
      </c>
      <c r="S72" s="216">
        <f>IFERROR(VLOOKUP(C72,[1]Planilha1!$C$1:$S$65536,17,0),0)</f>
        <v>462.8</v>
      </c>
      <c r="T72" s="216">
        <f>IFERROR(VLOOKUP(C72,[1]Planilha1!$C$1:$T$65536,18,0),0)</f>
        <v>0</v>
      </c>
      <c r="U72" s="187">
        <v>462.8</v>
      </c>
      <c r="V72" s="266">
        <v>130.95146400000002</v>
      </c>
      <c r="W72" s="187">
        <v>130.95146400000002</v>
      </c>
      <c r="X72" s="222"/>
      <c r="Y72" s="187">
        <v>1807.35</v>
      </c>
      <c r="AA72" s="187">
        <v>1746.0195200000001</v>
      </c>
      <c r="AB72" s="187">
        <v>436.50488000000001</v>
      </c>
      <c r="AC72" s="7"/>
      <c r="AD72" s="6"/>
      <c r="AE72" s="187">
        <v>2182.5244000000002</v>
      </c>
      <c r="AF72" s="6">
        <v>0</v>
      </c>
      <c r="AG72" s="7"/>
      <c r="AH72" s="216"/>
      <c r="AI72" s="216"/>
    </row>
    <row r="73" spans="1:36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73" t="s">
        <v>27</v>
      </c>
      <c r="I73" s="15"/>
      <c r="J73" s="186">
        <v>30</v>
      </c>
      <c r="K73" s="5">
        <v>0</v>
      </c>
      <c r="L73" s="186">
        <v>30</v>
      </c>
      <c r="M73" s="15"/>
      <c r="N73" s="155">
        <v>0</v>
      </c>
      <c r="O73" s="155">
        <v>1807.35</v>
      </c>
      <c r="P73" s="153"/>
      <c r="Q73" s="216">
        <f>IFERROR(VLOOKUP(C73,[1]Planilha1!$C$1:$Q$65536,15,0),0)</f>
        <v>0</v>
      </c>
      <c r="R73" s="216">
        <f>IFERROR(VLOOKUP(C73,[1]Planilha1!$C$1:$R$65536,16,0),0)</f>
        <v>40</v>
      </c>
      <c r="S73" s="216">
        <f>IFERROR(VLOOKUP(C73,[1]Planilha1!$C$1:$S$65536,17,0),0)</f>
        <v>0</v>
      </c>
      <c r="T73" s="216">
        <f>IFERROR(VLOOKUP(C73,[1]Planilha1!$C$1:$T$65536,18,0),0)</f>
        <v>0</v>
      </c>
      <c r="U73" s="187">
        <v>0</v>
      </c>
      <c r="V73" s="266">
        <v>235.87500000000003</v>
      </c>
      <c r="W73" s="187">
        <v>0</v>
      </c>
      <c r="X73" s="222"/>
      <c r="Y73" s="187">
        <v>1807.35</v>
      </c>
      <c r="AA73" s="187">
        <v>3145.0000000000005</v>
      </c>
      <c r="AB73" s="187">
        <v>786.25000000000011</v>
      </c>
      <c r="AC73" s="7"/>
      <c r="AD73" s="187">
        <v>425</v>
      </c>
      <c r="AE73" s="187">
        <v>4356.25</v>
      </c>
      <c r="AF73" s="6">
        <v>0</v>
      </c>
      <c r="AG73" s="7"/>
      <c r="AH73" s="216"/>
      <c r="AI73" s="216"/>
    </row>
    <row r="74" spans="1:36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73" t="s">
        <v>27</v>
      </c>
      <c r="I74" s="15"/>
      <c r="J74" s="186">
        <v>30</v>
      </c>
      <c r="K74" s="5">
        <v>0</v>
      </c>
      <c r="L74" s="186">
        <v>30</v>
      </c>
      <c r="M74" s="15"/>
      <c r="N74" s="155">
        <v>0</v>
      </c>
      <c r="O74" s="155">
        <v>1807.35</v>
      </c>
      <c r="P74" s="153"/>
      <c r="Q74" s="216">
        <f>IFERROR(VLOOKUP(C74,[1]Planilha1!$C$1:$Q$65536,15,0),0)</f>
        <v>0</v>
      </c>
      <c r="R74" s="216">
        <f>IFERROR(VLOOKUP(C74,[1]Planilha1!$C$1:$R$65536,16,0),0)</f>
        <v>40</v>
      </c>
      <c r="S74" s="216">
        <f>IFERROR(VLOOKUP(C74,[1]Planilha1!$C$1:$S$65536,17,0),0)</f>
        <v>0</v>
      </c>
      <c r="T74" s="216">
        <f>IFERROR(VLOOKUP(C74,[1]Planilha1!$C$1:$T$65536,18,0),0)</f>
        <v>0</v>
      </c>
      <c r="U74" s="187">
        <v>0</v>
      </c>
      <c r="V74" s="266">
        <v>141.08018399999997</v>
      </c>
      <c r="W74" s="187">
        <v>0</v>
      </c>
      <c r="X74" s="222"/>
      <c r="Y74" s="187">
        <v>1807.35</v>
      </c>
      <c r="AA74" s="187">
        <v>1881.0691199999999</v>
      </c>
      <c r="AB74" s="187">
        <v>470.26727999999997</v>
      </c>
      <c r="AC74" s="7">
        <v>400</v>
      </c>
      <c r="AD74" s="6"/>
      <c r="AE74" s="187">
        <v>2751.3363999999997</v>
      </c>
      <c r="AF74" s="6">
        <v>0</v>
      </c>
      <c r="AG74" s="7">
        <v>400</v>
      </c>
      <c r="AH74" s="216"/>
      <c r="AI74" s="216"/>
    </row>
    <row r="75" spans="1:36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73" t="s">
        <v>27</v>
      </c>
      <c r="I75" s="15"/>
      <c r="J75" s="186">
        <v>30</v>
      </c>
      <c r="K75" s="5">
        <v>0</v>
      </c>
      <c r="L75" s="186">
        <v>30</v>
      </c>
      <c r="M75" s="15"/>
      <c r="N75" s="155">
        <v>0</v>
      </c>
      <c r="O75" s="155">
        <v>1189</v>
      </c>
      <c r="P75" s="153"/>
      <c r="Q75" s="216">
        <f>IFERROR(VLOOKUP(C75,[1]Planilha1!$C$1:$Q$65536,15,0),0)</f>
        <v>0</v>
      </c>
      <c r="R75" s="216">
        <f>IFERROR(VLOOKUP(C75,[1]Planilha1!$C$1:$R$65536,16,0),0)</f>
        <v>0</v>
      </c>
      <c r="S75" s="216">
        <f>IFERROR(VLOOKUP(C75,[1]Planilha1!$C$1:$S$65536,17,0),0)</f>
        <v>0</v>
      </c>
      <c r="T75" s="216">
        <f>IFERROR(VLOOKUP(C75,[1]Planilha1!$C$1:$T$65536,18,0),0)</f>
        <v>0</v>
      </c>
      <c r="U75" s="187">
        <v>0</v>
      </c>
      <c r="V75" s="266">
        <v>110.66364750000001</v>
      </c>
      <c r="W75" s="187">
        <v>0</v>
      </c>
      <c r="X75" s="222"/>
      <c r="Y75" s="187">
        <v>1189</v>
      </c>
      <c r="AA75" s="187">
        <v>1475.5153000000003</v>
      </c>
      <c r="AB75" s="187">
        <v>368.87882500000006</v>
      </c>
      <c r="AC75" s="7">
        <v>400</v>
      </c>
      <c r="AD75" s="6"/>
      <c r="AE75" s="187">
        <v>2244.3941250000003</v>
      </c>
      <c r="AF75" s="6">
        <v>0</v>
      </c>
      <c r="AG75" s="7">
        <v>300</v>
      </c>
      <c r="AH75" s="216"/>
      <c r="AI75" s="216"/>
    </row>
    <row r="76" spans="1:36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73" t="s">
        <v>27</v>
      </c>
      <c r="I76" s="15"/>
      <c r="J76" s="186">
        <v>30</v>
      </c>
      <c r="K76" s="5">
        <v>0</v>
      </c>
      <c r="L76" s="186">
        <v>30</v>
      </c>
      <c r="M76" s="15"/>
      <c r="N76" s="155">
        <v>0</v>
      </c>
      <c r="O76" s="155">
        <v>1189</v>
      </c>
      <c r="P76" s="153"/>
      <c r="Q76" s="216">
        <f>IFERROR(VLOOKUP(C76,[1]Planilha1!$C$1:$Q$65536,15,0),0)</f>
        <v>0</v>
      </c>
      <c r="R76" s="216">
        <f>IFERROR(VLOOKUP(C76,[1]Planilha1!$C$1:$R$65536,16,0),0)</f>
        <v>0</v>
      </c>
      <c r="S76" s="216">
        <f>IFERROR(VLOOKUP(C76,[1]Planilha1!$C$1:$S$65536,17,0),0)</f>
        <v>0</v>
      </c>
      <c r="T76" s="216">
        <f>IFERROR(VLOOKUP(C76,[1]Planilha1!$C$1:$T$65536,18,0),0)</f>
        <v>561.6</v>
      </c>
      <c r="U76" s="187">
        <v>561.6</v>
      </c>
      <c r="V76" s="266">
        <v>177.34527449999999</v>
      </c>
      <c r="W76" s="187">
        <v>177.34527449999999</v>
      </c>
      <c r="X76" s="222"/>
      <c r="Y76" s="187">
        <v>1189</v>
      </c>
      <c r="AA76" s="187">
        <v>2364.6036599999998</v>
      </c>
      <c r="AB76" s="187">
        <v>591.15091499999994</v>
      </c>
      <c r="AC76" s="7"/>
      <c r="AD76" s="187">
        <v>288.36630000000002</v>
      </c>
      <c r="AE76" s="187">
        <v>3244.1208750000001</v>
      </c>
      <c r="AF76" s="6">
        <v>0</v>
      </c>
      <c r="AG76" s="7"/>
      <c r="AH76" s="216"/>
      <c r="AI76" s="216"/>
    </row>
    <row r="77" spans="1:36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73" t="s">
        <v>27</v>
      </c>
      <c r="I77" s="15"/>
      <c r="J77" s="186">
        <v>30</v>
      </c>
      <c r="K77" s="5">
        <v>0</v>
      </c>
      <c r="L77" s="186">
        <v>30</v>
      </c>
      <c r="M77" s="15"/>
      <c r="N77" s="155">
        <v>0</v>
      </c>
      <c r="O77" s="155">
        <v>1189</v>
      </c>
      <c r="P77" s="153"/>
      <c r="Q77" s="216">
        <f>IFERROR(VLOOKUP(C77,[1]Planilha1!$C$1:$Q$65536,15,0),0)</f>
        <v>0</v>
      </c>
      <c r="R77" s="216">
        <f>IFERROR(VLOOKUP(C77,[1]Planilha1!$C$1:$R$65536,16,0),0)</f>
        <v>0</v>
      </c>
      <c r="S77" s="216">
        <f>IFERROR(VLOOKUP(C77,[1]Planilha1!$C$1:$S$65536,17,0),0)</f>
        <v>0</v>
      </c>
      <c r="T77" s="216">
        <f>IFERROR(VLOOKUP(C77,[1]Planilha1!$C$1:$T$65536,18,0),0)</f>
        <v>246.4</v>
      </c>
      <c r="U77" s="187">
        <v>246.4</v>
      </c>
      <c r="V77" s="266">
        <v>71.34</v>
      </c>
      <c r="W77" s="187">
        <v>71.34</v>
      </c>
      <c r="X77" s="222"/>
      <c r="Y77" s="187">
        <v>1189</v>
      </c>
      <c r="AA77" s="6"/>
      <c r="AB77" s="6"/>
      <c r="AC77" s="7"/>
      <c r="AD77" s="6"/>
      <c r="AE77" s="6">
        <v>0</v>
      </c>
      <c r="AF77" s="187">
        <v>1189</v>
      </c>
      <c r="AG77" s="7"/>
      <c r="AH77" s="216"/>
      <c r="AI77" s="216"/>
    </row>
    <row r="78" spans="1:36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73" t="s">
        <v>27</v>
      </c>
      <c r="I78" s="15"/>
      <c r="J78" s="186">
        <v>30</v>
      </c>
      <c r="K78" s="5">
        <v>0</v>
      </c>
      <c r="L78" s="186">
        <v>30</v>
      </c>
      <c r="M78" s="15"/>
      <c r="N78" s="155">
        <v>0</v>
      </c>
      <c r="O78" s="155">
        <v>1189</v>
      </c>
      <c r="P78" s="153"/>
      <c r="Q78" s="216">
        <f>IFERROR(VLOOKUP(C78,[1]Planilha1!$C$1:$Q$65536,15,0),0)</f>
        <v>0</v>
      </c>
      <c r="R78" s="216">
        <f>IFERROR(VLOOKUP(C78,[1]Planilha1!$C$1:$R$65536,16,0),0)</f>
        <v>0</v>
      </c>
      <c r="S78" s="216">
        <f>IFERROR(VLOOKUP(C78,[1]Planilha1!$C$1:$S$65536,17,0),0)</f>
        <v>0</v>
      </c>
      <c r="T78" s="216">
        <f>IFERROR(VLOOKUP(C78,[1]Planilha1!$C$1:$T$65536,18,0),0)</f>
        <v>447.2</v>
      </c>
      <c r="U78" s="187">
        <v>447.2</v>
      </c>
      <c r="V78" s="266">
        <v>242.57920500000003</v>
      </c>
      <c r="W78" s="187">
        <v>242.57920500000003</v>
      </c>
      <c r="X78" s="222"/>
      <c r="Y78" s="187">
        <v>1189</v>
      </c>
      <c r="AA78" s="187">
        <v>3234.3894000000005</v>
      </c>
      <c r="AB78" s="187">
        <v>808.59735000000012</v>
      </c>
      <c r="AC78" s="7"/>
      <c r="AD78" s="187">
        <v>367.54425000000003</v>
      </c>
      <c r="AE78" s="187">
        <v>4410.5310000000009</v>
      </c>
      <c r="AF78" s="6">
        <v>0</v>
      </c>
      <c r="AG78" s="7"/>
      <c r="AH78" s="216"/>
      <c r="AI78" s="216"/>
    </row>
    <row r="79" spans="1:36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73" t="s">
        <v>27</v>
      </c>
      <c r="I79" s="15"/>
      <c r="J79" s="186">
        <v>30</v>
      </c>
      <c r="K79" s="5">
        <v>0</v>
      </c>
      <c r="L79" s="186">
        <v>30</v>
      </c>
      <c r="M79" s="15"/>
      <c r="N79" s="155">
        <v>1189</v>
      </c>
      <c r="O79" s="155"/>
      <c r="P79" s="153">
        <v>118.9</v>
      </c>
      <c r="Q79" s="216">
        <f>IFERROR(VLOOKUP(C79,[1]Planilha1!$C$1:$Q$65536,15,0),0)</f>
        <v>0</v>
      </c>
      <c r="R79" s="216">
        <f>IFERROR(VLOOKUP(C79,[1]Planilha1!$C$1:$R$65536,16,0),0)</f>
        <v>0</v>
      </c>
      <c r="S79" s="216">
        <f>IFERROR(VLOOKUP(C79,[1]Planilha1!$C$1:$S$65536,17,0),0)</f>
        <v>0</v>
      </c>
      <c r="T79" s="216">
        <f>IFERROR(VLOOKUP(C79,[1]Planilha1!$C$1:$T$65536,18,0),0)</f>
        <v>223.6</v>
      </c>
      <c r="U79" s="187">
        <v>223.6</v>
      </c>
      <c r="V79" s="266">
        <v>71.34</v>
      </c>
      <c r="W79" s="187">
        <v>71.34</v>
      </c>
      <c r="X79" s="222"/>
      <c r="Y79" s="187">
        <v>1189</v>
      </c>
      <c r="AA79" s="6"/>
      <c r="AB79" s="6"/>
      <c r="AC79" s="7"/>
      <c r="AD79" s="6"/>
      <c r="AE79" s="6">
        <v>0</v>
      </c>
      <c r="AF79" s="187">
        <v>1189</v>
      </c>
      <c r="AG79" s="7"/>
      <c r="AH79" s="216"/>
      <c r="AI79" s="216"/>
      <c r="AJ79" s="162"/>
    </row>
    <row r="80" spans="1:36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73" t="s">
        <v>27</v>
      </c>
      <c r="I80" s="15"/>
      <c r="J80" s="186">
        <v>30</v>
      </c>
      <c r="K80" s="5">
        <v>0</v>
      </c>
      <c r="L80" s="186">
        <v>30</v>
      </c>
      <c r="M80" s="15"/>
      <c r="N80" s="155">
        <v>0</v>
      </c>
      <c r="O80" s="155">
        <v>4676.3999999999996</v>
      </c>
      <c r="P80" s="153"/>
      <c r="Q80" s="216">
        <f>IFERROR(VLOOKUP(C80,[1]Planilha1!$C$1:$Q$65536,15,0),0)</f>
        <v>0</v>
      </c>
      <c r="R80" s="216">
        <f>IFERROR(VLOOKUP(C80,[1]Planilha1!$C$1:$R$65536,16,0),0)</f>
        <v>0</v>
      </c>
      <c r="S80" s="216">
        <f>IFERROR(VLOOKUP(C80,[1]Planilha1!$C$1:$S$65536,17,0),0)</f>
        <v>0</v>
      </c>
      <c r="T80" s="216">
        <f>IFERROR(VLOOKUP(C80,[1]Planilha1!$C$1:$T$65536,18,0),0)</f>
        <v>0</v>
      </c>
      <c r="U80" s="187">
        <v>0</v>
      </c>
      <c r="V80" s="266">
        <v>353.03249999999997</v>
      </c>
      <c r="W80" s="187">
        <v>0</v>
      </c>
      <c r="X80" s="222"/>
      <c r="Y80" s="187">
        <v>4676.3999999999996</v>
      </c>
      <c r="AA80" s="187" t="s">
        <v>1664</v>
      </c>
      <c r="AB80" s="187">
        <v>1176.7750000000001</v>
      </c>
      <c r="AC80" s="7"/>
      <c r="AD80" s="187">
        <v>2000</v>
      </c>
      <c r="AE80" s="187">
        <v>7883.875</v>
      </c>
      <c r="AF80" s="6">
        <v>0</v>
      </c>
      <c r="AG80" s="7"/>
      <c r="AH80" s="216"/>
      <c r="AI80" s="216"/>
    </row>
    <row r="81" spans="1:36" s="162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73" t="s">
        <v>27</v>
      </c>
      <c r="I81" s="15"/>
      <c r="J81" s="186">
        <v>-30</v>
      </c>
      <c r="K81" s="5">
        <v>30</v>
      </c>
      <c r="L81" s="186">
        <v>0</v>
      </c>
      <c r="M81" s="15"/>
      <c r="N81" s="155">
        <v>0</v>
      </c>
      <c r="O81" s="155">
        <v>1189</v>
      </c>
      <c r="P81" s="153"/>
      <c r="Q81" s="216">
        <f>IFERROR(VLOOKUP(C81,[1]Planilha1!$C$1:$Q$65536,15,0),0)</f>
        <v>0</v>
      </c>
      <c r="R81" s="216">
        <f>IFERROR(VLOOKUP(C81,[1]Planilha1!$C$1:$R$65536,16,0),0)</f>
        <v>0</v>
      </c>
      <c r="S81" s="216">
        <f>IFERROR(VLOOKUP(C81,[1]Planilha1!$C$1:$S$65536,17,0),0)</f>
        <v>0</v>
      </c>
      <c r="T81" s="216">
        <f>IFERROR(VLOOKUP(C81,[1]Planilha1!$C$1:$T$65536,18,0),0)</f>
        <v>0</v>
      </c>
      <c r="U81" s="187">
        <v>0</v>
      </c>
      <c r="V81" s="266">
        <v>140.59907849999999</v>
      </c>
      <c r="W81" s="187">
        <v>0</v>
      </c>
      <c r="X81" s="222"/>
      <c r="Y81" s="187">
        <v>-1189</v>
      </c>
      <c r="Z81" s="17"/>
      <c r="AA81" s="187">
        <v>1874.6543799999999</v>
      </c>
      <c r="AB81" s="187">
        <v>468.66359499999999</v>
      </c>
      <c r="AC81" s="7"/>
      <c r="AD81" s="187">
        <v>246.66505000000001</v>
      </c>
      <c r="AE81" s="187">
        <v>2589.983025</v>
      </c>
      <c r="AF81" s="6">
        <v>0</v>
      </c>
      <c r="AG81" s="7"/>
      <c r="AH81" s="216"/>
      <c r="AI81" s="216"/>
      <c r="AJ81" s="17"/>
    </row>
    <row r="82" spans="1:36" x14ac:dyDescent="0.25">
      <c r="A82" s="159">
        <v>123</v>
      </c>
      <c r="B82" s="159">
        <v>70</v>
      </c>
      <c r="C82" s="160" t="s">
        <v>250</v>
      </c>
      <c r="D82" s="156" t="s">
        <v>251</v>
      </c>
      <c r="E82" s="156" t="s">
        <v>25</v>
      </c>
      <c r="F82" s="157" t="s">
        <v>252</v>
      </c>
      <c r="G82" s="158">
        <v>43718</v>
      </c>
      <c r="H82" s="173" t="s">
        <v>27</v>
      </c>
      <c r="I82" s="161"/>
      <c r="J82" s="186">
        <v>30</v>
      </c>
      <c r="K82" s="5">
        <v>0</v>
      </c>
      <c r="L82" s="186">
        <v>30</v>
      </c>
      <c r="M82" s="161"/>
      <c r="N82" s="155">
        <v>0</v>
      </c>
      <c r="O82" s="155">
        <v>1189</v>
      </c>
      <c r="P82" s="153"/>
      <c r="Q82" s="216">
        <f>IFERROR(VLOOKUP(C82,[1]Planilha1!$C$1:$Q$65536,15,0),0)</f>
        <v>0</v>
      </c>
      <c r="R82" s="216">
        <f>IFERROR(VLOOKUP(C82,[1]Planilha1!$C$1:$R$65536,16,0),0)</f>
        <v>0</v>
      </c>
      <c r="S82" s="216">
        <f>IFERROR(VLOOKUP(C82,[1]Planilha1!$C$1:$S$65536,17,0),0)</f>
        <v>0</v>
      </c>
      <c r="T82" s="216">
        <f>IFERROR(VLOOKUP(C82,[1]Planilha1!$C$1:$T$65536,18,0),0)</f>
        <v>223.6</v>
      </c>
      <c r="U82" s="187">
        <v>223.6</v>
      </c>
      <c r="V82" s="266">
        <v>153.40278899999998</v>
      </c>
      <c r="W82" s="187">
        <v>153.40278899999998</v>
      </c>
      <c r="X82" s="225"/>
      <c r="Y82" s="187">
        <v>1189</v>
      </c>
      <c r="AA82" s="187">
        <v>2045.3705199999999</v>
      </c>
      <c r="AB82" s="187">
        <v>511.34262999999999</v>
      </c>
      <c r="AC82" s="7">
        <v>400</v>
      </c>
      <c r="AD82" s="187">
        <v>269.1277</v>
      </c>
      <c r="AE82" s="187">
        <v>3225.84085</v>
      </c>
      <c r="AF82" s="6">
        <v>0</v>
      </c>
      <c r="AG82" s="7">
        <v>300</v>
      </c>
      <c r="AH82" s="217"/>
      <c r="AI82" s="216"/>
    </row>
    <row r="83" spans="1:36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73" t="s">
        <v>27</v>
      </c>
      <c r="I83" s="15"/>
      <c r="J83" s="186">
        <v>30</v>
      </c>
      <c r="K83" s="5">
        <v>0</v>
      </c>
      <c r="L83" s="186">
        <v>30</v>
      </c>
      <c r="M83" s="15"/>
      <c r="N83" s="155">
        <v>0</v>
      </c>
      <c r="O83" s="155">
        <v>1214.54</v>
      </c>
      <c r="P83" s="153"/>
      <c r="Q83" s="216">
        <f>IFERROR(VLOOKUP(C83,[1]Planilha1!$C$1:$Q$65536,15,0),0)</f>
        <v>0</v>
      </c>
      <c r="R83" s="216">
        <f>IFERROR(VLOOKUP(C83,[1]Planilha1!$C$1:$R$65536,16,0),0)</f>
        <v>0</v>
      </c>
      <c r="S83" s="216">
        <f>IFERROR(VLOOKUP(C83,[1]Planilha1!$C$1:$S$65536,17,0),0)</f>
        <v>0</v>
      </c>
      <c r="T83" s="216">
        <f>IFERROR(VLOOKUP(C83,[1]Planilha1!$C$1:$T$65536,18,0),0)</f>
        <v>0</v>
      </c>
      <c r="U83" s="187">
        <v>0</v>
      </c>
      <c r="V83" s="266">
        <v>194.58038400000001</v>
      </c>
      <c r="W83" s="187">
        <v>0</v>
      </c>
      <c r="X83" s="222"/>
      <c r="Y83" s="187">
        <v>1214.54</v>
      </c>
      <c r="AA83" s="187">
        <v>2594.4051200000004</v>
      </c>
      <c r="AB83" s="187">
        <v>648.60128000000009</v>
      </c>
      <c r="AC83" s="7"/>
      <c r="AD83" s="187">
        <v>405.37580000000003</v>
      </c>
      <c r="AE83" s="187">
        <v>3648.3822</v>
      </c>
      <c r="AF83" s="6">
        <v>0</v>
      </c>
      <c r="AG83" s="7"/>
      <c r="AH83" s="216"/>
      <c r="AI83" s="216"/>
    </row>
    <row r="84" spans="1:36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73" t="s">
        <v>27</v>
      </c>
      <c r="I84" s="15"/>
      <c r="J84" s="186">
        <v>30</v>
      </c>
      <c r="K84" s="5">
        <v>0</v>
      </c>
      <c r="L84" s="186">
        <v>30</v>
      </c>
      <c r="M84" s="15"/>
      <c r="N84" s="155">
        <v>1420.42</v>
      </c>
      <c r="O84" s="155"/>
      <c r="P84" s="153">
        <v>142.04</v>
      </c>
      <c r="Q84" s="216">
        <f>IFERROR(VLOOKUP(C84,[1]Planilha1!$C$1:$Q$65536,15,0),0)</f>
        <v>0</v>
      </c>
      <c r="R84" s="216">
        <f>IFERROR(VLOOKUP(C84,[1]Planilha1!$C$1:$R$65536,16,0),0)</f>
        <v>0</v>
      </c>
      <c r="S84" s="216">
        <f>IFERROR(VLOOKUP(C84,[1]Planilha1!$C$1:$S$65536,17,0),0)</f>
        <v>0</v>
      </c>
      <c r="T84" s="216">
        <f>IFERROR(VLOOKUP(C84,[1]Planilha1!$C$1:$T$65536,18,0),0)</f>
        <v>0</v>
      </c>
      <c r="U84" s="187">
        <v>0</v>
      </c>
      <c r="V84" s="266">
        <v>85.225200000000001</v>
      </c>
      <c r="W84" s="187">
        <v>0</v>
      </c>
      <c r="X84" s="222"/>
      <c r="Y84" s="187">
        <v>1420.42</v>
      </c>
      <c r="AA84" s="6"/>
      <c r="AB84" s="6"/>
      <c r="AC84" s="7"/>
      <c r="AD84" s="6"/>
      <c r="AE84" s="6">
        <v>0</v>
      </c>
      <c r="AF84" s="187">
        <v>1420.42</v>
      </c>
      <c r="AG84" s="7">
        <v>100</v>
      </c>
      <c r="AH84" s="216"/>
      <c r="AI84" s="216"/>
    </row>
    <row r="85" spans="1:36" x14ac:dyDescent="0.25">
      <c r="A85" s="170">
        <v>124</v>
      </c>
      <c r="B85" s="170">
        <v>49</v>
      </c>
      <c r="C85" s="171" t="s">
        <v>259</v>
      </c>
      <c r="D85" s="172" t="s">
        <v>260</v>
      </c>
      <c r="E85" s="172" t="s">
        <v>25</v>
      </c>
      <c r="F85" s="173" t="s">
        <v>261</v>
      </c>
      <c r="G85" s="174">
        <v>44166</v>
      </c>
      <c r="H85" s="173" t="s">
        <v>27</v>
      </c>
      <c r="I85" s="15"/>
      <c r="J85" s="186">
        <v>30</v>
      </c>
      <c r="K85" s="5">
        <v>0</v>
      </c>
      <c r="L85" s="186">
        <v>30</v>
      </c>
      <c r="M85" s="15"/>
      <c r="N85" s="167">
        <v>0</v>
      </c>
      <c r="O85" s="167">
        <v>1214.54</v>
      </c>
      <c r="P85" s="168"/>
      <c r="Q85" s="216">
        <f>IFERROR(VLOOKUP(C85,[1]Planilha1!$C$1:$Q$65536,15,0),0)</f>
        <v>0</v>
      </c>
      <c r="R85" s="216">
        <f>IFERROR(VLOOKUP(C85,[1]Planilha1!$C$1:$R$65536,16,0),0)</f>
        <v>0</v>
      </c>
      <c r="S85" s="216">
        <f>IFERROR(VLOOKUP(C85,[1]Planilha1!$C$1:$S$65536,17,0),0)</f>
        <v>0</v>
      </c>
      <c r="T85" s="216">
        <f>IFERROR(VLOOKUP(C85,[1]Planilha1!$C$1:$T$65536,18,0),0)</f>
        <v>0</v>
      </c>
      <c r="U85" s="187">
        <v>0</v>
      </c>
      <c r="V85" s="266">
        <v>138.97216799999998</v>
      </c>
      <c r="W85" s="187">
        <v>0</v>
      </c>
      <c r="X85" s="222"/>
      <c r="Y85" s="187">
        <v>1214.54</v>
      </c>
      <c r="AA85" s="187">
        <v>1852.9622400000001</v>
      </c>
      <c r="AB85" s="187">
        <v>463.24056000000002</v>
      </c>
      <c r="AC85" s="7"/>
      <c r="AD85" s="187">
        <v>289.52535</v>
      </c>
      <c r="AE85" s="187">
        <v>2605.7281499999999</v>
      </c>
      <c r="AF85" s="6">
        <v>0</v>
      </c>
      <c r="AG85" s="7"/>
      <c r="AH85" s="216"/>
      <c r="AI85" s="216"/>
    </row>
    <row r="86" spans="1:36" x14ac:dyDescent="0.25">
      <c r="A86" s="170">
        <v>124</v>
      </c>
      <c r="B86" s="170">
        <v>40</v>
      </c>
      <c r="C86" s="171" t="s">
        <v>262</v>
      </c>
      <c r="D86" s="172" t="s">
        <v>263</v>
      </c>
      <c r="E86" s="172" t="s">
        <v>25</v>
      </c>
      <c r="F86" s="173" t="s">
        <v>264</v>
      </c>
      <c r="G86" s="174">
        <v>42980</v>
      </c>
      <c r="H86" s="173" t="s">
        <v>27</v>
      </c>
      <c r="I86" s="15"/>
      <c r="J86" s="186">
        <v>30</v>
      </c>
      <c r="K86" s="5">
        <v>0</v>
      </c>
      <c r="L86" s="186">
        <v>30</v>
      </c>
      <c r="M86" s="15"/>
      <c r="N86" s="167">
        <v>0</v>
      </c>
      <c r="O86" s="167">
        <v>1214.54</v>
      </c>
      <c r="P86" s="168"/>
      <c r="Q86" s="216">
        <f>IFERROR(VLOOKUP(C86,[1]Planilha1!$C$1:$Q$65536,15,0),0)</f>
        <v>0</v>
      </c>
      <c r="R86" s="216">
        <f>IFERROR(VLOOKUP(C86,[1]Planilha1!$C$1:$R$65536,16,0),0)</f>
        <v>0</v>
      </c>
      <c r="S86" s="216">
        <f>IFERROR(VLOOKUP(C86,[1]Planilha1!$C$1:$S$65536,17,0),0)</f>
        <v>0</v>
      </c>
      <c r="T86" s="216">
        <f>IFERROR(VLOOKUP(C86,[1]Planilha1!$C$1:$T$65536,18,0),0)</f>
        <v>0</v>
      </c>
      <c r="U86" s="187">
        <v>0</v>
      </c>
      <c r="V86" s="266">
        <v>72.872399999999999</v>
      </c>
      <c r="W86" s="187">
        <v>0</v>
      </c>
      <c r="X86" s="222"/>
      <c r="Y86" s="187">
        <v>1214.54</v>
      </c>
      <c r="AA86" s="187">
        <v>517.54944</v>
      </c>
      <c r="AB86" s="187">
        <v>129.38736</v>
      </c>
      <c r="AC86" s="7"/>
      <c r="AD86" s="6"/>
      <c r="AE86" s="187">
        <v>646.93679999999995</v>
      </c>
      <c r="AF86" s="187">
        <v>567.60320000000002</v>
      </c>
      <c r="AG86" s="7"/>
      <c r="AH86" s="216"/>
      <c r="AI86" s="216"/>
    </row>
    <row r="87" spans="1:36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73" t="s">
        <v>27</v>
      </c>
      <c r="I87" s="15"/>
      <c r="J87" s="186">
        <v>30</v>
      </c>
      <c r="K87" s="5">
        <v>0</v>
      </c>
      <c r="L87" s="186">
        <v>30</v>
      </c>
      <c r="M87" s="15"/>
      <c r="N87" s="167">
        <v>0</v>
      </c>
      <c r="O87" s="167">
        <v>1214.54</v>
      </c>
      <c r="P87" s="168"/>
      <c r="Q87" s="216">
        <f>IFERROR(VLOOKUP(C87,[1]Planilha1!$C$1:$Q$65536,15,0),0)</f>
        <v>0</v>
      </c>
      <c r="R87" s="216">
        <f>IFERROR(VLOOKUP(C87,[1]Planilha1!$C$1:$R$65536,16,0),0)</f>
        <v>0</v>
      </c>
      <c r="S87" s="216">
        <f>IFERROR(VLOOKUP(C87,[1]Planilha1!$C$1:$S$65536,17,0),0)</f>
        <v>0</v>
      </c>
      <c r="T87" s="216">
        <f>IFERROR(VLOOKUP(C87,[1]Planilha1!$C$1:$T$65536,18,0),0)</f>
        <v>0</v>
      </c>
      <c r="U87" s="187">
        <v>0</v>
      </c>
      <c r="V87" s="266">
        <v>158.04458399999999</v>
      </c>
      <c r="W87" s="187">
        <v>0</v>
      </c>
      <c r="X87" s="222"/>
      <c r="Y87" s="187">
        <v>1214.54</v>
      </c>
      <c r="AA87" s="187">
        <v>2107.2611200000001</v>
      </c>
      <c r="AB87" s="187">
        <v>526.81528000000003</v>
      </c>
      <c r="AC87" s="7">
        <v>200</v>
      </c>
      <c r="AD87" s="187">
        <v>329.25955000000005</v>
      </c>
      <c r="AE87" s="187">
        <v>3163.3359500000001</v>
      </c>
      <c r="AF87" s="6">
        <v>0</v>
      </c>
      <c r="AG87" s="7">
        <v>200</v>
      </c>
      <c r="AH87" s="216"/>
      <c r="AI87" s="216"/>
    </row>
    <row r="88" spans="1:36" x14ac:dyDescent="0.25">
      <c r="A88" s="170">
        <v>125</v>
      </c>
      <c r="B88" s="170">
        <v>38</v>
      </c>
      <c r="C88" s="171" t="s">
        <v>268</v>
      </c>
      <c r="D88" s="172" t="s">
        <v>269</v>
      </c>
      <c r="E88" s="172" t="s">
        <v>25</v>
      </c>
      <c r="F88" s="173" t="s">
        <v>270</v>
      </c>
      <c r="G88" s="174">
        <v>43245</v>
      </c>
      <c r="H88" s="173" t="s">
        <v>271</v>
      </c>
      <c r="I88" s="15"/>
      <c r="J88" s="186">
        <v>30</v>
      </c>
      <c r="K88" s="5">
        <v>0</v>
      </c>
      <c r="L88" s="186">
        <v>30</v>
      </c>
      <c r="M88" s="15"/>
      <c r="N88" s="167">
        <v>0</v>
      </c>
      <c r="O88" s="167">
        <v>1172.5999999999999</v>
      </c>
      <c r="P88" s="168"/>
      <c r="Q88" s="216">
        <f>IFERROR(VLOOKUP(C88,[1]Planilha1!$C$1:$Q$65536,15,0),0)</f>
        <v>0</v>
      </c>
      <c r="R88" s="216">
        <f>IFERROR(VLOOKUP(C88,[1]Planilha1!$C$1:$R$65536,16,0),0)</f>
        <v>0</v>
      </c>
      <c r="S88" s="216">
        <f>IFERROR(VLOOKUP(C88,[1]Planilha1!$C$1:$S$65536,17,0),0)</f>
        <v>0</v>
      </c>
      <c r="T88" s="216">
        <f>IFERROR(VLOOKUP(C88,[1]Planilha1!$C$1:$T$65536,18,0),0)</f>
        <v>0</v>
      </c>
      <c r="U88" s="187">
        <v>0</v>
      </c>
      <c r="V88" s="266">
        <v>70.355999999999995</v>
      </c>
      <c r="W88" s="187">
        <v>0</v>
      </c>
      <c r="X88" s="222"/>
      <c r="Y88" s="187">
        <v>1172.5999999999999</v>
      </c>
      <c r="AA88" s="6"/>
      <c r="AB88" s="6"/>
      <c r="AC88" s="7"/>
      <c r="AD88" s="6"/>
      <c r="AE88" s="6">
        <v>0</v>
      </c>
      <c r="AF88" s="187">
        <v>1172.5999999999999</v>
      </c>
      <c r="AG88" s="7"/>
      <c r="AH88" s="216"/>
      <c r="AI88" s="216"/>
    </row>
    <row r="89" spans="1:36" x14ac:dyDescent="0.25">
      <c r="A89" s="170">
        <v>125</v>
      </c>
      <c r="B89" s="170">
        <v>61</v>
      </c>
      <c r="C89" s="171" t="s">
        <v>946</v>
      </c>
      <c r="D89" s="172" t="s">
        <v>947</v>
      </c>
      <c r="E89" s="172" t="s">
        <v>25</v>
      </c>
      <c r="F89" s="173" t="s">
        <v>948</v>
      </c>
      <c r="G89" s="174">
        <v>44394</v>
      </c>
      <c r="H89" s="173" t="s">
        <v>27</v>
      </c>
      <c r="I89" s="15"/>
      <c r="J89" s="186">
        <v>14</v>
      </c>
      <c r="K89" s="5">
        <v>0</v>
      </c>
      <c r="L89" s="186">
        <v>14</v>
      </c>
      <c r="M89" s="15"/>
      <c r="N89" s="167">
        <v>0</v>
      </c>
      <c r="O89" s="167">
        <v>1172.5999999999999</v>
      </c>
      <c r="P89" s="168"/>
      <c r="Q89" s="216">
        <f>IFERROR(VLOOKUP(C89,[1]Planilha1!$C$1:$Q$65536,15,0),0)</f>
        <v>0</v>
      </c>
      <c r="R89" s="216">
        <f>IFERROR(VLOOKUP(C89,[1]Planilha1!$C$1:$R$65536,16,0),0)</f>
        <v>145.80000000000001</v>
      </c>
      <c r="S89" s="216">
        <f>IFERROR(VLOOKUP(C89,[1]Planilha1!$C$1:$S$65536,17,0),0)</f>
        <v>0</v>
      </c>
      <c r="T89" s="216">
        <f>IFERROR(VLOOKUP(C89,[1]Planilha1!$C$1:$T$65536,18,0),0)</f>
        <v>220</v>
      </c>
      <c r="U89" s="187">
        <v>220</v>
      </c>
      <c r="V89" s="266">
        <v>70.355999999999995</v>
      </c>
      <c r="W89" s="187">
        <v>70.355999999999995</v>
      </c>
      <c r="X89" s="222"/>
      <c r="Y89" s="187">
        <v>547.21333333333337</v>
      </c>
      <c r="AA89" s="6"/>
      <c r="AB89" s="6"/>
      <c r="AC89" s="7"/>
      <c r="AD89" s="6"/>
      <c r="AE89" s="6">
        <v>0</v>
      </c>
      <c r="AF89" s="187">
        <v>547.21333333333337</v>
      </c>
      <c r="AG89" s="7"/>
      <c r="AH89" s="216"/>
      <c r="AI89" s="216"/>
    </row>
    <row r="90" spans="1:36" x14ac:dyDescent="0.25">
      <c r="A90" s="170">
        <v>125</v>
      </c>
      <c r="B90" s="170">
        <v>60</v>
      </c>
      <c r="C90" s="171" t="s">
        <v>943</v>
      </c>
      <c r="D90" s="172" t="s">
        <v>944</v>
      </c>
      <c r="E90" s="172" t="s">
        <v>30</v>
      </c>
      <c r="F90" s="173" t="s">
        <v>945</v>
      </c>
      <c r="G90" s="174">
        <v>44385</v>
      </c>
      <c r="H90" s="173" t="s">
        <v>27</v>
      </c>
      <c r="I90" s="15"/>
      <c r="J90" s="186">
        <v>23</v>
      </c>
      <c r="K90" s="5">
        <v>0</v>
      </c>
      <c r="L90" s="186">
        <v>23</v>
      </c>
      <c r="M90" s="15"/>
      <c r="N90" s="167">
        <v>1172.5999999999999</v>
      </c>
      <c r="O90" s="167"/>
      <c r="P90" s="168">
        <v>293.14999999999998</v>
      </c>
      <c r="Q90" s="216">
        <f>IFERROR(VLOOKUP(C90,[1]Planilha1!$C$1:$Q$65536,15,0),0)</f>
        <v>0</v>
      </c>
      <c r="R90" s="216">
        <f>IFERROR(VLOOKUP(C90,[1]Planilha1!$C$1:$R$65536,16,0),0)</f>
        <v>194.4</v>
      </c>
      <c r="S90" s="216">
        <f>IFERROR(VLOOKUP(C90,[1]Planilha1!$C$1:$S$65536,17,0),0)</f>
        <v>0</v>
      </c>
      <c r="T90" s="216">
        <f>IFERROR(VLOOKUP(C90,[1]Planilha1!$C$1:$T$65536,18,0),0)</f>
        <v>340.4</v>
      </c>
      <c r="U90" s="187">
        <v>340.4</v>
      </c>
      <c r="V90" s="266">
        <v>70.355999999999995</v>
      </c>
      <c r="W90" s="187">
        <v>70.355999999999995</v>
      </c>
      <c r="X90" s="222"/>
      <c r="Y90" s="187">
        <v>898.99333333333334</v>
      </c>
      <c r="AA90" s="6"/>
      <c r="AB90" s="6"/>
      <c r="AC90" s="7"/>
      <c r="AD90" s="6"/>
      <c r="AE90" s="6">
        <v>0</v>
      </c>
      <c r="AF90" s="187">
        <v>898.99333333333334</v>
      </c>
      <c r="AG90" s="7"/>
      <c r="AH90" s="216"/>
      <c r="AI90" s="216"/>
    </row>
    <row r="91" spans="1:36" x14ac:dyDescent="0.25">
      <c r="A91" s="170">
        <v>125</v>
      </c>
      <c r="B91" s="170">
        <v>25</v>
      </c>
      <c r="C91" s="171" t="s">
        <v>272</v>
      </c>
      <c r="D91" s="172" t="s">
        <v>273</v>
      </c>
      <c r="E91" s="172" t="s">
        <v>48</v>
      </c>
      <c r="F91" s="173" t="s">
        <v>274</v>
      </c>
      <c r="G91" s="174">
        <v>41996</v>
      </c>
      <c r="H91" s="173" t="s">
        <v>27</v>
      </c>
      <c r="I91" s="15"/>
      <c r="J91" s="186">
        <v>30</v>
      </c>
      <c r="K91" s="8">
        <v>0</v>
      </c>
      <c r="L91" s="186">
        <v>30</v>
      </c>
      <c r="M91" s="15"/>
      <c r="N91" s="167">
        <v>0</v>
      </c>
      <c r="O91" s="167">
        <v>4500</v>
      </c>
      <c r="P91" s="168"/>
      <c r="Q91" s="216">
        <f>IFERROR(VLOOKUP(C91,[1]Planilha1!$C$1:$Q$65536,15,0),0)</f>
        <v>0</v>
      </c>
      <c r="R91" s="216">
        <f>IFERROR(VLOOKUP(C91,[1]Planilha1!$C$1:$R$65536,16,0),0)</f>
        <v>0</v>
      </c>
      <c r="S91" s="216">
        <f>IFERROR(VLOOKUP(C91,[1]Planilha1!$C$1:$S$65536,17,0),0)</f>
        <v>0</v>
      </c>
      <c r="T91" s="216">
        <f>IFERROR(VLOOKUP(C91,[1]Planilha1!$C$1:$T$65536,18,0),0)</f>
        <v>0</v>
      </c>
      <c r="U91" s="187">
        <v>0</v>
      </c>
      <c r="V91" s="266">
        <v>211.7475</v>
      </c>
      <c r="W91" s="187">
        <v>0</v>
      </c>
      <c r="X91" s="222"/>
      <c r="Y91" s="187">
        <v>4500</v>
      </c>
      <c r="AA91" s="187" t="s">
        <v>1666</v>
      </c>
      <c r="AB91" s="187">
        <v>705.82500000000005</v>
      </c>
      <c r="AC91" s="7"/>
      <c r="AD91" s="187">
        <v>2000</v>
      </c>
      <c r="AE91" s="187">
        <v>5529.125</v>
      </c>
      <c r="AF91" s="6">
        <v>0</v>
      </c>
      <c r="AG91" s="7"/>
      <c r="AH91" s="216"/>
      <c r="AI91" s="216"/>
    </row>
    <row r="92" spans="1:36" x14ac:dyDescent="0.25">
      <c r="A92" s="170">
        <v>125</v>
      </c>
      <c r="B92" s="170">
        <v>54</v>
      </c>
      <c r="C92" s="171" t="s">
        <v>275</v>
      </c>
      <c r="D92" s="172" t="s">
        <v>276</v>
      </c>
      <c r="E92" s="172" t="s">
        <v>25</v>
      </c>
      <c r="F92" s="173" t="s">
        <v>277</v>
      </c>
      <c r="G92" s="174">
        <v>43900</v>
      </c>
      <c r="H92" s="173" t="s">
        <v>27</v>
      </c>
      <c r="I92" s="15"/>
      <c r="J92" s="186">
        <v>30</v>
      </c>
      <c r="K92" s="5">
        <v>0</v>
      </c>
      <c r="L92" s="186">
        <v>30</v>
      </c>
      <c r="M92" s="15"/>
      <c r="N92" s="167">
        <v>0</v>
      </c>
      <c r="O92" s="167">
        <v>1172.5999999999999</v>
      </c>
      <c r="P92" s="168"/>
      <c r="Q92" s="216">
        <f>IFERROR(VLOOKUP(C92,[1]Planilha1!$C$1:$Q$65536,15,0),0)</f>
        <v>0</v>
      </c>
      <c r="R92" s="216">
        <f>IFERROR(VLOOKUP(C92,[1]Planilha1!$C$1:$R$65536,16,0),0)</f>
        <v>0</v>
      </c>
      <c r="S92" s="216">
        <f>IFERROR(VLOOKUP(C92,[1]Planilha1!$C$1:$S$65536,17,0),0)</f>
        <v>355</v>
      </c>
      <c r="T92" s="216">
        <f>IFERROR(VLOOKUP(C92,[1]Planilha1!$C$1:$T$65536,18,0),0)</f>
        <v>0</v>
      </c>
      <c r="U92" s="187">
        <v>355</v>
      </c>
      <c r="V92" s="266">
        <v>95.425616999999988</v>
      </c>
      <c r="W92" s="187">
        <v>95.425616999999988</v>
      </c>
      <c r="X92" s="222"/>
      <c r="Y92" s="187">
        <v>1172.5999999999999</v>
      </c>
      <c r="AA92" s="187">
        <v>1272.3415599999998</v>
      </c>
      <c r="AB92" s="187">
        <v>318.08538999999996</v>
      </c>
      <c r="AC92" s="7"/>
      <c r="AD92" s="6"/>
      <c r="AE92" s="187">
        <v>1590.4269499999998</v>
      </c>
      <c r="AF92" s="6">
        <v>0</v>
      </c>
      <c r="AG92" s="7"/>
      <c r="AH92" s="216"/>
      <c r="AI92" s="216"/>
    </row>
    <row r="93" spans="1:36" x14ac:dyDescent="0.25">
      <c r="A93" s="170">
        <v>125</v>
      </c>
      <c r="B93" s="170">
        <v>48</v>
      </c>
      <c r="C93" s="171" t="s">
        <v>278</v>
      </c>
      <c r="D93" s="172" t="s">
        <v>279</v>
      </c>
      <c r="E93" s="172" t="s">
        <v>25</v>
      </c>
      <c r="F93" s="173" t="s">
        <v>280</v>
      </c>
      <c r="G93" s="174">
        <v>43787</v>
      </c>
      <c r="H93" s="173" t="s">
        <v>27</v>
      </c>
      <c r="I93" s="15"/>
      <c r="J93" s="186">
        <v>-106</v>
      </c>
      <c r="K93" s="188">
        <v>68</v>
      </c>
      <c r="L93" s="186">
        <v>-38</v>
      </c>
      <c r="M93" s="15"/>
      <c r="N93" s="167">
        <v>0</v>
      </c>
      <c r="O93" s="167">
        <v>1172.5999999999999</v>
      </c>
      <c r="P93" s="168"/>
      <c r="Q93" s="216">
        <f>IFERROR(VLOOKUP(C93,[1]Planilha1!$C$1:$Q$65536,15,0),0)</f>
        <v>0</v>
      </c>
      <c r="R93" s="216">
        <f>IFERROR(VLOOKUP(C93,[1]Planilha1!$C$1:$R$65536,16,0),0)</f>
        <v>0</v>
      </c>
      <c r="S93" s="216">
        <f>IFERROR(VLOOKUP(C93,[1]Planilha1!$C$1:$S$65536,17,0),0)</f>
        <v>0</v>
      </c>
      <c r="T93" s="216">
        <f>IFERROR(VLOOKUP(C93,[1]Planilha1!$C$1:$T$65536,18,0),0)</f>
        <v>0</v>
      </c>
      <c r="U93" s="187">
        <v>0</v>
      </c>
      <c r="V93" s="265">
        <v>0</v>
      </c>
      <c r="W93" s="187">
        <v>0</v>
      </c>
      <c r="X93" s="222"/>
      <c r="Y93" s="187">
        <v>-4143.1866666666665</v>
      </c>
      <c r="AA93" s="6"/>
      <c r="AB93" s="6"/>
      <c r="AC93" s="7"/>
      <c r="AD93" s="6"/>
      <c r="AE93" s="6">
        <v>0</v>
      </c>
      <c r="AF93" s="6">
        <v>0</v>
      </c>
      <c r="AG93" s="7"/>
      <c r="AH93" s="216"/>
      <c r="AI93" s="216"/>
    </row>
    <row r="94" spans="1:36" x14ac:dyDescent="0.25">
      <c r="A94" s="170">
        <v>125</v>
      </c>
      <c r="B94" s="170">
        <v>28</v>
      </c>
      <c r="C94" s="171" t="s">
        <v>282</v>
      </c>
      <c r="D94" s="172" t="s">
        <v>283</v>
      </c>
      <c r="E94" s="172" t="s">
        <v>25</v>
      </c>
      <c r="F94" s="173" t="s">
        <v>284</v>
      </c>
      <c r="G94" s="174">
        <v>42710</v>
      </c>
      <c r="H94" s="173" t="s">
        <v>27</v>
      </c>
      <c r="I94" s="15"/>
      <c r="J94" s="186">
        <v>30</v>
      </c>
      <c r="K94" s="5">
        <v>0</v>
      </c>
      <c r="L94" s="186">
        <v>30</v>
      </c>
      <c r="M94" s="15"/>
      <c r="N94" s="167">
        <v>0</v>
      </c>
      <c r="O94" s="167">
        <v>1172.5999999999999</v>
      </c>
      <c r="P94" s="168"/>
      <c r="Q94" s="216">
        <f>IFERROR(VLOOKUP(C94,[1]Planilha1!$C$1:$Q$65536,15,0),0)</f>
        <v>0</v>
      </c>
      <c r="R94" s="216">
        <f>IFERROR(VLOOKUP(C94,[1]Planilha1!$C$1:$R$65536,16,0),0)</f>
        <v>0</v>
      </c>
      <c r="S94" s="216">
        <f>IFERROR(VLOOKUP(C94,[1]Planilha1!$C$1:$S$65536,17,0),0)</f>
        <v>0</v>
      </c>
      <c r="T94" s="216">
        <f>IFERROR(VLOOKUP(C94,[1]Planilha1!$C$1:$T$65536,18,0),0)</f>
        <v>0</v>
      </c>
      <c r="U94" s="187">
        <v>0</v>
      </c>
      <c r="V94" s="266">
        <v>112.76775300000001</v>
      </c>
      <c r="W94" s="187">
        <v>0</v>
      </c>
      <c r="X94" s="222"/>
      <c r="Y94" s="187">
        <v>1172.5999999999999</v>
      </c>
      <c r="AA94" s="187">
        <v>1503.5700400000001</v>
      </c>
      <c r="AB94" s="187">
        <v>375.89251000000002</v>
      </c>
      <c r="AC94" s="7">
        <v>400</v>
      </c>
      <c r="AD94" s="187">
        <v>268.49464999999998</v>
      </c>
      <c r="AE94" s="187">
        <v>2547.9572000000003</v>
      </c>
      <c r="AF94" s="6">
        <v>0</v>
      </c>
      <c r="AG94" s="7">
        <v>300</v>
      </c>
      <c r="AH94" s="216"/>
      <c r="AI94" s="216"/>
    </row>
    <row r="95" spans="1:36" x14ac:dyDescent="0.25">
      <c r="A95" s="170">
        <v>125</v>
      </c>
      <c r="B95" s="170">
        <v>55</v>
      </c>
      <c r="C95" s="171" t="s">
        <v>285</v>
      </c>
      <c r="D95" s="172" t="s">
        <v>286</v>
      </c>
      <c r="E95" s="172" t="s">
        <v>25</v>
      </c>
      <c r="F95" s="173" t="s">
        <v>287</v>
      </c>
      <c r="G95" s="174">
        <v>44099</v>
      </c>
      <c r="H95" s="173" t="s">
        <v>27</v>
      </c>
      <c r="I95" s="15"/>
      <c r="J95" s="186">
        <v>30</v>
      </c>
      <c r="K95" s="5">
        <v>0</v>
      </c>
      <c r="L95" s="186">
        <v>30</v>
      </c>
      <c r="M95" s="15"/>
      <c r="N95" s="167">
        <v>0</v>
      </c>
      <c r="O95" s="167">
        <v>1172.5999999999999</v>
      </c>
      <c r="P95" s="168"/>
      <c r="Q95" s="216">
        <f>IFERROR(VLOOKUP(C95,[1]Planilha1!$C$1:$Q$65536,15,0),0)</f>
        <v>0</v>
      </c>
      <c r="R95" s="216">
        <f>IFERROR(VLOOKUP(C95,[1]Planilha1!$C$1:$R$65536,16,0),0)</f>
        <v>0</v>
      </c>
      <c r="S95" s="216">
        <f>IFERROR(VLOOKUP(C95,[1]Planilha1!$C$1:$S$65536,17,0),0)</f>
        <v>0</v>
      </c>
      <c r="T95" s="216">
        <f>IFERROR(VLOOKUP(C95,[1]Planilha1!$C$1:$T$65536,18,0),0)</f>
        <v>0</v>
      </c>
      <c r="U95" s="187">
        <v>0</v>
      </c>
      <c r="V95" s="266">
        <v>129.962763</v>
      </c>
      <c r="W95" s="187">
        <v>0</v>
      </c>
      <c r="X95" s="222"/>
      <c r="Y95" s="187">
        <v>1172.5999999999999</v>
      </c>
      <c r="AA95" s="187">
        <v>1732.8368399999999</v>
      </c>
      <c r="AB95" s="187">
        <v>433.20920999999998</v>
      </c>
      <c r="AC95" s="7"/>
      <c r="AD95" s="187">
        <v>309.43515000000002</v>
      </c>
      <c r="AE95" s="187">
        <v>2475.4812000000002</v>
      </c>
      <c r="AF95" s="6">
        <v>0</v>
      </c>
      <c r="AG95" s="7"/>
      <c r="AH95" s="216"/>
      <c r="AI95" s="216"/>
    </row>
    <row r="96" spans="1:36" x14ac:dyDescent="0.25">
      <c r="A96" s="170">
        <v>126</v>
      </c>
      <c r="B96" s="170">
        <v>41</v>
      </c>
      <c r="C96" s="171" t="s">
        <v>288</v>
      </c>
      <c r="D96" s="172" t="s">
        <v>289</v>
      </c>
      <c r="E96" s="172" t="s">
        <v>25</v>
      </c>
      <c r="F96" s="173" t="s">
        <v>290</v>
      </c>
      <c r="G96" s="174">
        <v>43160</v>
      </c>
      <c r="H96" s="173" t="s">
        <v>27</v>
      </c>
      <c r="I96" s="15"/>
      <c r="J96" s="186">
        <v>30</v>
      </c>
      <c r="K96" s="5">
        <v>0</v>
      </c>
      <c r="L96" s="186">
        <v>30</v>
      </c>
      <c r="M96" s="15"/>
      <c r="N96" s="167">
        <v>662.04</v>
      </c>
      <c r="O96" s="167">
        <v>1315</v>
      </c>
      <c r="P96" s="168"/>
      <c r="Q96" s="216">
        <f>IFERROR(VLOOKUP(C96,[1]Planilha1!$C$1:$Q$65536,15,0),0)</f>
        <v>0</v>
      </c>
      <c r="R96" s="216">
        <f>IFERROR(VLOOKUP(C96,[1]Planilha1!$C$1:$R$65536,16,0),0)</f>
        <v>0</v>
      </c>
      <c r="S96" s="216">
        <f>IFERROR(VLOOKUP(C96,[1]Planilha1!$C$1:$S$65536,17,0),0)</f>
        <v>223.6</v>
      </c>
      <c r="T96" s="216">
        <f>IFERROR(VLOOKUP(C96,[1]Planilha1!$C$1:$T$65536,18,0),0)</f>
        <v>0</v>
      </c>
      <c r="U96" s="187">
        <v>223.6</v>
      </c>
      <c r="V96" s="266">
        <v>39.72</v>
      </c>
      <c r="W96" s="187">
        <v>39.72</v>
      </c>
      <c r="X96" s="222"/>
      <c r="Y96" s="187">
        <v>1977.0399999999997</v>
      </c>
      <c r="AA96" s="187">
        <v>2922.2700800000002</v>
      </c>
      <c r="AB96" s="187">
        <v>730.56752000000006</v>
      </c>
      <c r="AC96" s="7"/>
      <c r="AD96" s="187">
        <v>456.60470000000004</v>
      </c>
      <c r="AE96" s="187">
        <v>4109.4423000000006</v>
      </c>
      <c r="AF96" s="6">
        <v>0</v>
      </c>
      <c r="AG96" s="7"/>
      <c r="AH96" s="216"/>
      <c r="AI96" s="216"/>
    </row>
    <row r="97" spans="1:35" x14ac:dyDescent="0.25">
      <c r="A97" s="170">
        <v>126</v>
      </c>
      <c r="B97" s="170">
        <v>56</v>
      </c>
      <c r="C97" s="171" t="s">
        <v>291</v>
      </c>
      <c r="D97" s="172" t="s">
        <v>292</v>
      </c>
      <c r="E97" s="172" t="s">
        <v>30</v>
      </c>
      <c r="F97" s="173" t="s">
        <v>293</v>
      </c>
      <c r="G97" s="174">
        <v>44183</v>
      </c>
      <c r="H97" s="173" t="s">
        <v>27</v>
      </c>
      <c r="I97" s="15"/>
      <c r="J97" s="186">
        <v>30</v>
      </c>
      <c r="K97" s="5">
        <v>0</v>
      </c>
      <c r="L97" s="186">
        <v>30</v>
      </c>
      <c r="M97" s="15"/>
      <c r="N97" s="167">
        <v>1283</v>
      </c>
      <c r="O97" s="167"/>
      <c r="P97" s="168">
        <v>158</v>
      </c>
      <c r="Q97" s="216">
        <f>IFERROR(VLOOKUP(C97,[1]Planilha1!$C$1:$Q$65536,15,0),0)</f>
        <v>0</v>
      </c>
      <c r="R97" s="216">
        <f>IFERROR(VLOOKUP(C97,[1]Planilha1!$C$1:$R$65536,16,0),0)</f>
        <v>0</v>
      </c>
      <c r="S97" s="216">
        <f>IFERROR(VLOOKUP(C97,[1]Planilha1!$C$1:$S$65536,17,0),0)</f>
        <v>215</v>
      </c>
      <c r="T97" s="216">
        <f>IFERROR(VLOOKUP(C97,[1]Planilha1!$C$1:$T$65536,18,0),0)</f>
        <v>0</v>
      </c>
      <c r="U97" s="187">
        <v>215</v>
      </c>
      <c r="V97" s="266">
        <v>76.98</v>
      </c>
      <c r="W97" s="187">
        <v>76.98</v>
      </c>
      <c r="X97" s="222"/>
      <c r="Y97" s="187">
        <v>1283</v>
      </c>
      <c r="AA97" s="6"/>
      <c r="AB97" s="6"/>
      <c r="AC97" s="7"/>
      <c r="AD97" s="6"/>
      <c r="AE97" s="6">
        <v>0</v>
      </c>
      <c r="AF97" s="187">
        <v>1283</v>
      </c>
      <c r="AG97" s="7"/>
      <c r="AH97" s="216"/>
      <c r="AI97" s="216"/>
    </row>
    <row r="98" spans="1:35" x14ac:dyDescent="0.25">
      <c r="A98" s="170">
        <v>126</v>
      </c>
      <c r="B98" s="170">
        <v>45</v>
      </c>
      <c r="C98" s="171" t="s">
        <v>294</v>
      </c>
      <c r="D98" s="172" t="s">
        <v>295</v>
      </c>
      <c r="E98" s="172" t="s">
        <v>25</v>
      </c>
      <c r="F98" s="173" t="s">
        <v>296</v>
      </c>
      <c r="G98" s="174">
        <v>43431</v>
      </c>
      <c r="H98" s="173" t="s">
        <v>27</v>
      </c>
      <c r="I98" s="15"/>
      <c r="J98" s="186">
        <v>30</v>
      </c>
      <c r="K98" s="5">
        <v>0</v>
      </c>
      <c r="L98" s="186">
        <v>30</v>
      </c>
      <c r="M98" s="15"/>
      <c r="N98" s="167">
        <v>662.04</v>
      </c>
      <c r="O98" s="167">
        <v>1315</v>
      </c>
      <c r="P98" s="168"/>
      <c r="Q98" s="216">
        <f>IFERROR(VLOOKUP(C98,[1]Planilha1!$C$1:$Q$65536,15,0),0)</f>
        <v>0</v>
      </c>
      <c r="R98" s="216">
        <f>IFERROR(VLOOKUP(C98,[1]Planilha1!$C$1:$R$65536,16,0),0)</f>
        <v>0</v>
      </c>
      <c r="S98" s="216">
        <f>IFERROR(VLOOKUP(C98,[1]Planilha1!$C$1:$S$65536,17,0),0)</f>
        <v>215</v>
      </c>
      <c r="T98" s="216">
        <f>IFERROR(VLOOKUP(C98,[1]Planilha1!$C$1:$T$65536,18,0),0)</f>
        <v>0</v>
      </c>
      <c r="U98" s="187">
        <v>215</v>
      </c>
      <c r="V98" s="266">
        <v>39.72</v>
      </c>
      <c r="W98" s="187">
        <v>39.72</v>
      </c>
      <c r="X98" s="222"/>
      <c r="Y98" s="187">
        <v>1977.0399999999997</v>
      </c>
      <c r="AA98" s="187">
        <v>1612.7913600000002</v>
      </c>
      <c r="AB98" s="187">
        <v>403.19784000000004</v>
      </c>
      <c r="AC98" s="7"/>
      <c r="AD98" s="6"/>
      <c r="AE98" s="187">
        <v>2015.9892000000002</v>
      </c>
      <c r="AF98" s="6">
        <v>0</v>
      </c>
      <c r="AG98" s="7"/>
      <c r="AH98" s="216"/>
      <c r="AI98" s="216"/>
    </row>
    <row r="99" spans="1:35" x14ac:dyDescent="0.25">
      <c r="A99" s="170">
        <v>126</v>
      </c>
      <c r="B99" s="170">
        <v>37</v>
      </c>
      <c r="C99" s="171" t="s">
        <v>297</v>
      </c>
      <c r="D99" s="172" t="s">
        <v>298</v>
      </c>
      <c r="E99" s="172" t="s">
        <v>25</v>
      </c>
      <c r="F99" s="173" t="s">
        <v>299</v>
      </c>
      <c r="G99" s="174">
        <v>43047</v>
      </c>
      <c r="H99" s="173" t="s">
        <v>27</v>
      </c>
      <c r="I99" s="15"/>
      <c r="J99" s="186">
        <v>30</v>
      </c>
      <c r="K99" s="5">
        <v>0</v>
      </c>
      <c r="L99" s="186">
        <v>30</v>
      </c>
      <c r="M99" s="15"/>
      <c r="N99" s="167">
        <v>662.04</v>
      </c>
      <c r="O99" s="167">
        <v>1315</v>
      </c>
      <c r="P99" s="168"/>
      <c r="Q99" s="216">
        <f>IFERROR(VLOOKUP(C99,[1]Planilha1!$C$1:$Q$65536,15,0),0)</f>
        <v>0</v>
      </c>
      <c r="R99" s="216">
        <f>IFERROR(VLOOKUP(C99,[1]Planilha1!$C$1:$R$65536,16,0),0)</f>
        <v>0</v>
      </c>
      <c r="S99" s="216">
        <f>IFERROR(VLOOKUP(C99,[1]Planilha1!$C$1:$S$65536,17,0),0)</f>
        <v>215</v>
      </c>
      <c r="T99" s="216">
        <f>IFERROR(VLOOKUP(C99,[1]Planilha1!$C$1:$T$65536,18,0),0)</f>
        <v>0</v>
      </c>
      <c r="U99" s="187">
        <v>215</v>
      </c>
      <c r="V99" s="266">
        <v>39.72</v>
      </c>
      <c r="W99" s="187">
        <v>39.72</v>
      </c>
      <c r="X99" s="222"/>
      <c r="Y99" s="187">
        <v>1977.0399999999997</v>
      </c>
      <c r="AA99" s="187">
        <v>1512.9273600000001</v>
      </c>
      <c r="AB99" s="187">
        <v>378.23184000000003</v>
      </c>
      <c r="AC99" s="7">
        <v>400</v>
      </c>
      <c r="AD99" s="6"/>
      <c r="AE99" s="187">
        <v>2291.1592000000001</v>
      </c>
      <c r="AF99" s="6">
        <v>0</v>
      </c>
      <c r="AG99" s="7">
        <v>300</v>
      </c>
      <c r="AH99" s="216"/>
      <c r="AI99" s="216"/>
    </row>
    <row r="100" spans="1:35" x14ac:dyDescent="0.25">
      <c r="A100" s="170">
        <v>126</v>
      </c>
      <c r="B100" s="170">
        <v>1</v>
      </c>
      <c r="C100" s="171" t="s">
        <v>300</v>
      </c>
      <c r="D100" s="172" t="s">
        <v>301</v>
      </c>
      <c r="E100" s="172" t="s">
        <v>48</v>
      </c>
      <c r="F100" s="173" t="s">
        <v>302</v>
      </c>
      <c r="G100" s="174">
        <v>41946</v>
      </c>
      <c r="H100" s="173" t="s">
        <v>27</v>
      </c>
      <c r="I100" s="15"/>
      <c r="J100" s="186">
        <v>0</v>
      </c>
      <c r="K100" s="5">
        <v>15</v>
      </c>
      <c r="L100" s="186">
        <v>15</v>
      </c>
      <c r="M100" s="15"/>
      <c r="N100" s="167">
        <v>662.04</v>
      </c>
      <c r="O100" s="167">
        <v>4000</v>
      </c>
      <c r="P100" s="168"/>
      <c r="Q100" s="216">
        <f>IFERROR(VLOOKUP(C100,[1]Planilha1!$C$1:$Q$65536,15,0),0)</f>
        <v>0</v>
      </c>
      <c r="R100" s="216">
        <f>IFERROR(VLOOKUP(C100,[1]Planilha1!$C$1:$R$65536,16,0),0)</f>
        <v>0</v>
      </c>
      <c r="S100" s="216">
        <f>IFERROR(VLOOKUP(C100,[1]Planilha1!$C$1:$S$65536,17,0),0)</f>
        <v>120.4</v>
      </c>
      <c r="T100" s="216">
        <f>IFERROR(VLOOKUP(C100,[1]Planilha1!$C$1:$T$65536,18,0),0)</f>
        <v>0</v>
      </c>
      <c r="U100" s="187">
        <v>120.4</v>
      </c>
      <c r="V100" s="266">
        <v>39.72</v>
      </c>
      <c r="W100" s="187">
        <v>39.72</v>
      </c>
      <c r="X100" s="222"/>
      <c r="Y100" s="187">
        <v>0</v>
      </c>
      <c r="AA100" s="187" t="s">
        <v>1668</v>
      </c>
      <c r="AB100" s="187">
        <v>1138.4375</v>
      </c>
      <c r="AC100" s="7"/>
      <c r="AD100" s="187">
        <v>2000</v>
      </c>
      <c r="AE100" s="187">
        <v>7692.1875</v>
      </c>
      <c r="AF100" s="6">
        <v>0</v>
      </c>
      <c r="AG100" s="7"/>
      <c r="AH100" s="216"/>
      <c r="AI100" s="216"/>
    </row>
    <row r="101" spans="1:35" x14ac:dyDescent="0.25">
      <c r="A101" s="170">
        <v>126</v>
      </c>
      <c r="B101" s="170">
        <v>28</v>
      </c>
      <c r="C101" s="171" t="s">
        <v>303</v>
      </c>
      <c r="D101" s="172" t="s">
        <v>304</v>
      </c>
      <c r="E101" s="172" t="s">
        <v>25</v>
      </c>
      <c r="F101" s="173" t="s">
        <v>305</v>
      </c>
      <c r="G101" s="174">
        <v>42669</v>
      </c>
      <c r="H101" s="173" t="s">
        <v>27</v>
      </c>
      <c r="I101" s="15"/>
      <c r="J101" s="186">
        <v>30</v>
      </c>
      <c r="K101" s="5">
        <v>0</v>
      </c>
      <c r="L101" s="186">
        <v>30</v>
      </c>
      <c r="M101" s="15"/>
      <c r="N101" s="167">
        <v>662.04</v>
      </c>
      <c r="O101" s="167">
        <v>1315</v>
      </c>
      <c r="P101" s="168"/>
      <c r="Q101" s="216">
        <f>IFERROR(VLOOKUP(C101,[1]Planilha1!$C$1:$Q$65536,15,0),0)</f>
        <v>0</v>
      </c>
      <c r="R101" s="216">
        <f>IFERROR(VLOOKUP(C101,[1]Planilha1!$C$1:$R$65536,16,0),0)</f>
        <v>0</v>
      </c>
      <c r="S101" s="216">
        <f>IFERROR(VLOOKUP(C101,[1]Planilha1!$C$1:$S$65536,17,0),0)</f>
        <v>215</v>
      </c>
      <c r="T101" s="216">
        <f>IFERROR(VLOOKUP(C101,[1]Planilha1!$C$1:$T$65536,18,0),0)</f>
        <v>0</v>
      </c>
      <c r="U101" s="187">
        <v>215</v>
      </c>
      <c r="V101" s="266">
        <v>39.72</v>
      </c>
      <c r="W101" s="187">
        <v>39.72</v>
      </c>
      <c r="X101" s="222"/>
      <c r="Y101" s="187">
        <v>1977.0399999999997</v>
      </c>
      <c r="AA101" s="187">
        <v>1819.3929599999999</v>
      </c>
      <c r="AB101" s="187">
        <v>454.84823999999998</v>
      </c>
      <c r="AC101" s="7">
        <v>400</v>
      </c>
      <c r="AD101" s="6"/>
      <c r="AE101" s="187">
        <v>2674.2411999999999</v>
      </c>
      <c r="AF101" s="6">
        <v>0</v>
      </c>
      <c r="AG101" s="7">
        <v>300</v>
      </c>
      <c r="AH101" s="216"/>
      <c r="AI101" s="216"/>
    </row>
    <row r="102" spans="1:35" x14ac:dyDescent="0.25">
      <c r="A102" s="170">
        <v>126</v>
      </c>
      <c r="B102" s="170">
        <v>55</v>
      </c>
      <c r="C102" s="171" t="s">
        <v>306</v>
      </c>
      <c r="D102" s="172" t="s">
        <v>307</v>
      </c>
      <c r="E102" s="172" t="s">
        <v>25</v>
      </c>
      <c r="F102" s="173" t="s">
        <v>308</v>
      </c>
      <c r="G102" s="174">
        <v>44152</v>
      </c>
      <c r="H102" s="173" t="s">
        <v>27</v>
      </c>
      <c r="I102" s="15"/>
      <c r="J102" s="186">
        <v>30</v>
      </c>
      <c r="K102" s="5">
        <v>0</v>
      </c>
      <c r="L102" s="186">
        <v>30</v>
      </c>
      <c r="M102" s="15"/>
      <c r="N102" s="167">
        <v>662.04</v>
      </c>
      <c r="O102" s="167">
        <v>1315</v>
      </c>
      <c r="P102" s="168"/>
      <c r="Q102" s="216">
        <f>IFERROR(VLOOKUP(C102,[1]Planilha1!$C$1:$Q$65536,15,0),0)</f>
        <v>0</v>
      </c>
      <c r="R102" s="216">
        <f>IFERROR(VLOOKUP(C102,[1]Planilha1!$C$1:$R$65536,16,0),0)</f>
        <v>0</v>
      </c>
      <c r="S102" s="216">
        <f>IFERROR(VLOOKUP(C102,[1]Planilha1!$C$1:$S$65536,17,0),0)</f>
        <v>215</v>
      </c>
      <c r="T102" s="216">
        <f>IFERROR(VLOOKUP(C102,[1]Planilha1!$C$1:$T$65536,18,0),0)</f>
        <v>0</v>
      </c>
      <c r="U102" s="187">
        <v>215</v>
      </c>
      <c r="V102" s="266">
        <v>39.72</v>
      </c>
      <c r="W102" s="187">
        <v>39.72</v>
      </c>
      <c r="X102" s="222"/>
      <c r="Y102" s="187">
        <v>1977.0399999999997</v>
      </c>
      <c r="AA102" s="187">
        <v>1362.3379199999999</v>
      </c>
      <c r="AB102" s="187">
        <v>340.58447999999999</v>
      </c>
      <c r="AC102" s="7"/>
      <c r="AD102" s="6"/>
      <c r="AE102" s="187">
        <v>1702.9223999999999</v>
      </c>
      <c r="AF102" s="187">
        <v>274.11759999999981</v>
      </c>
      <c r="AG102" s="7"/>
      <c r="AH102" s="216"/>
      <c r="AI102" s="216"/>
    </row>
    <row r="103" spans="1:35" x14ac:dyDescent="0.25">
      <c r="A103" s="170">
        <v>126</v>
      </c>
      <c r="B103" s="170">
        <v>46</v>
      </c>
      <c r="C103" s="171" t="s">
        <v>309</v>
      </c>
      <c r="D103" s="172" t="s">
        <v>310</v>
      </c>
      <c r="E103" s="172" t="s">
        <v>25</v>
      </c>
      <c r="F103" s="173" t="s">
        <v>311</v>
      </c>
      <c r="G103" s="174">
        <v>43438</v>
      </c>
      <c r="H103" s="173" t="s">
        <v>27</v>
      </c>
      <c r="I103" s="15"/>
      <c r="J103" s="186">
        <v>30</v>
      </c>
      <c r="K103" s="5">
        <v>0</v>
      </c>
      <c r="L103" s="186">
        <v>30</v>
      </c>
      <c r="M103" s="15"/>
      <c r="N103" s="167">
        <v>662.04</v>
      </c>
      <c r="O103" s="167">
        <v>1315</v>
      </c>
      <c r="P103" s="168"/>
      <c r="Q103" s="216">
        <f>IFERROR(VLOOKUP(C103,[1]Planilha1!$C$1:$Q$65536,15,0),0)</f>
        <v>0</v>
      </c>
      <c r="R103" s="216">
        <f>IFERROR(VLOOKUP(C103,[1]Planilha1!$C$1:$R$65536,16,0),0)</f>
        <v>0</v>
      </c>
      <c r="S103" s="216">
        <f>IFERROR(VLOOKUP(C103,[1]Planilha1!$C$1:$S$65536,17,0),0)</f>
        <v>206.4</v>
      </c>
      <c r="T103" s="216">
        <f>IFERROR(VLOOKUP(C103,[1]Planilha1!$C$1:$T$65536,18,0),0)</f>
        <v>0</v>
      </c>
      <c r="U103" s="187">
        <v>206.4</v>
      </c>
      <c r="V103" s="266">
        <v>39.72</v>
      </c>
      <c r="W103" s="187">
        <v>39.72</v>
      </c>
      <c r="X103" s="222"/>
      <c r="Y103" s="187">
        <v>1977.0399999999997</v>
      </c>
      <c r="AA103" s="187">
        <v>1899.4265600000001</v>
      </c>
      <c r="AB103" s="187">
        <v>474.85664000000003</v>
      </c>
      <c r="AC103" s="7"/>
      <c r="AD103" s="6"/>
      <c r="AE103" s="187">
        <v>2374.2832000000003</v>
      </c>
      <c r="AF103" s="6">
        <v>0</v>
      </c>
      <c r="AG103" s="7"/>
      <c r="AH103" s="216"/>
      <c r="AI103" s="216"/>
    </row>
    <row r="104" spans="1:35" x14ac:dyDescent="0.25">
      <c r="A104" s="170">
        <v>127</v>
      </c>
      <c r="B104" s="170">
        <v>70</v>
      </c>
      <c r="C104" s="171" t="s">
        <v>312</v>
      </c>
      <c r="D104" s="172" t="s">
        <v>313</v>
      </c>
      <c r="E104" s="172" t="s">
        <v>48</v>
      </c>
      <c r="F104" s="173" t="s">
        <v>314</v>
      </c>
      <c r="G104" s="174">
        <v>43770</v>
      </c>
      <c r="H104" s="173" t="s">
        <v>27</v>
      </c>
      <c r="I104" s="15"/>
      <c r="J104" s="186">
        <v>30</v>
      </c>
      <c r="K104" s="5">
        <v>0</v>
      </c>
      <c r="L104" s="186">
        <v>30</v>
      </c>
      <c r="M104" s="15"/>
      <c r="N104" s="167">
        <v>0</v>
      </c>
      <c r="O104" s="167">
        <v>4195.6000000000004</v>
      </c>
      <c r="P104" s="168"/>
      <c r="Q104" s="216">
        <f>IFERROR(VLOOKUP(C104,[1]Planilha1!$C$1:$Q$65536,15,0),0)</f>
        <v>41</v>
      </c>
      <c r="R104" s="216">
        <f>IFERROR(VLOOKUP(C104,[1]Planilha1!$C$1:$R$65536,16,0),0)</f>
        <v>0</v>
      </c>
      <c r="S104" s="216">
        <f>IFERROR(VLOOKUP(C104,[1]Planilha1!$C$1:$S$65536,17,0),0)</f>
        <v>0</v>
      </c>
      <c r="T104" s="216">
        <f>IFERROR(VLOOKUP(C104,[1]Planilha1!$C$1:$T$65536,18,0),0)</f>
        <v>0</v>
      </c>
      <c r="U104" s="187">
        <v>0</v>
      </c>
      <c r="V104" s="266">
        <v>167.84625</v>
      </c>
      <c r="W104" s="187">
        <v>0</v>
      </c>
      <c r="X104" s="222"/>
      <c r="Y104" s="187">
        <v>4195.6000000000004</v>
      </c>
      <c r="AA104" s="187" t="s">
        <v>1670</v>
      </c>
      <c r="AB104" s="187">
        <v>559.48749999999995</v>
      </c>
      <c r="AC104" s="7"/>
      <c r="AD104" s="187">
        <v>2000</v>
      </c>
      <c r="AE104" s="187">
        <v>4797.4375</v>
      </c>
      <c r="AF104" s="6">
        <v>0</v>
      </c>
      <c r="AG104" s="7"/>
      <c r="AH104" s="216"/>
      <c r="AI104" s="216"/>
    </row>
    <row r="105" spans="1:35" x14ac:dyDescent="0.25">
      <c r="A105" s="170">
        <v>127</v>
      </c>
      <c r="B105" s="170">
        <v>79</v>
      </c>
      <c r="C105" s="171" t="s">
        <v>315</v>
      </c>
      <c r="D105" s="172" t="s">
        <v>316</v>
      </c>
      <c r="E105" s="172" t="s">
        <v>25</v>
      </c>
      <c r="F105" s="173" t="s">
        <v>317</v>
      </c>
      <c r="G105" s="174">
        <v>44221</v>
      </c>
      <c r="H105" s="173" t="s">
        <v>27</v>
      </c>
      <c r="I105" s="15"/>
      <c r="J105" s="186">
        <v>30</v>
      </c>
      <c r="K105" s="5">
        <v>0</v>
      </c>
      <c r="L105" s="186">
        <v>30</v>
      </c>
      <c r="M105" s="15"/>
      <c r="N105" s="167">
        <v>0</v>
      </c>
      <c r="O105" s="167">
        <v>1909</v>
      </c>
      <c r="P105" s="168"/>
      <c r="Q105" s="216">
        <f>IFERROR(VLOOKUP(C105,[1]Planilha1!$C$1:$Q$65536,15,0),0)</f>
        <v>0</v>
      </c>
      <c r="R105" s="216">
        <f>IFERROR(VLOOKUP(C105,[1]Planilha1!$C$1:$R$65536,16,0),0)</f>
        <v>0</v>
      </c>
      <c r="S105" s="216">
        <f>IFERROR(VLOOKUP(C105,[1]Planilha1!$C$1:$S$65536,17,0),0)</f>
        <v>222.5</v>
      </c>
      <c r="T105" s="216">
        <f>IFERROR(VLOOKUP(C105,[1]Planilha1!$C$1:$T$65536,18,0),0)</f>
        <v>0</v>
      </c>
      <c r="U105" s="187">
        <v>222.5</v>
      </c>
      <c r="V105" s="266">
        <v>114.53999999999999</v>
      </c>
      <c r="W105" s="187">
        <v>114.53999999999999</v>
      </c>
      <c r="X105" s="222"/>
      <c r="Y105" s="187">
        <v>1909</v>
      </c>
      <c r="AA105" s="187">
        <v>1411.94784</v>
      </c>
      <c r="AB105" s="187">
        <v>352.98696000000001</v>
      </c>
      <c r="AC105" s="7"/>
      <c r="AD105" s="6"/>
      <c r="AE105" s="187">
        <v>1764.9348</v>
      </c>
      <c r="AF105" s="187">
        <v>144.0652</v>
      </c>
      <c r="AG105" s="7"/>
      <c r="AH105" s="216"/>
      <c r="AI105" s="216"/>
    </row>
    <row r="106" spans="1:35" x14ac:dyDescent="0.25">
      <c r="A106" s="170">
        <v>127</v>
      </c>
      <c r="B106" s="170">
        <v>75</v>
      </c>
      <c r="C106" s="171" t="s">
        <v>318</v>
      </c>
      <c r="D106" s="172" t="s">
        <v>319</v>
      </c>
      <c r="E106" s="172" t="s">
        <v>30</v>
      </c>
      <c r="F106" s="173" t="s">
        <v>320</v>
      </c>
      <c r="G106" s="174">
        <v>44152</v>
      </c>
      <c r="H106" s="173" t="s">
        <v>27</v>
      </c>
      <c r="I106" s="15"/>
      <c r="J106" s="186">
        <v>30</v>
      </c>
      <c r="K106" s="5">
        <v>0</v>
      </c>
      <c r="L106" s="186">
        <v>30</v>
      </c>
      <c r="M106" s="15"/>
      <c r="N106" s="167">
        <v>1591</v>
      </c>
      <c r="O106" s="167"/>
      <c r="P106" s="168">
        <v>87</v>
      </c>
      <c r="Q106" s="216">
        <f>IFERROR(VLOOKUP(C106,[1]Planilha1!$C$1:$Q$65536,15,0),0)</f>
        <v>0</v>
      </c>
      <c r="R106" s="216">
        <f>IFERROR(VLOOKUP(C106,[1]Planilha1!$C$1:$R$65536,16,0),0)</f>
        <v>0</v>
      </c>
      <c r="S106" s="216">
        <f>IFERROR(VLOOKUP(C106,[1]Planilha1!$C$1:$S$65536,17,0),0)</f>
        <v>225.6</v>
      </c>
      <c r="T106" s="216">
        <f>IFERROR(VLOOKUP(C106,[1]Planilha1!$C$1:$T$65536,18,0),0)</f>
        <v>0</v>
      </c>
      <c r="U106" s="187">
        <v>225.6</v>
      </c>
      <c r="V106" s="266">
        <v>86.46</v>
      </c>
      <c r="W106" s="187">
        <v>95.46</v>
      </c>
      <c r="X106" s="222"/>
      <c r="Y106" s="187">
        <v>1591</v>
      </c>
      <c r="AA106" s="6"/>
      <c r="AB106" s="6"/>
      <c r="AC106" s="7">
        <v>150</v>
      </c>
      <c r="AD106" s="6"/>
      <c r="AE106" s="187">
        <v>150</v>
      </c>
      <c r="AF106" s="187">
        <v>1441</v>
      </c>
      <c r="AG106" s="7">
        <v>300</v>
      </c>
      <c r="AH106" s="216"/>
      <c r="AI106" s="216"/>
    </row>
    <row r="107" spans="1:35" x14ac:dyDescent="0.25">
      <c r="A107" s="170">
        <v>127</v>
      </c>
      <c r="B107" s="170">
        <v>80</v>
      </c>
      <c r="C107" s="171" t="s">
        <v>321</v>
      </c>
      <c r="D107" s="172" t="s">
        <v>322</v>
      </c>
      <c r="E107" s="172" t="s">
        <v>25</v>
      </c>
      <c r="F107" s="173" t="s">
        <v>323</v>
      </c>
      <c r="G107" s="174">
        <v>44221</v>
      </c>
      <c r="H107" s="173" t="s">
        <v>27</v>
      </c>
      <c r="I107" s="15"/>
      <c r="J107" s="186">
        <v>30</v>
      </c>
      <c r="K107" s="5">
        <v>0</v>
      </c>
      <c r="L107" s="186">
        <v>30</v>
      </c>
      <c r="M107" s="15"/>
      <c r="N107" s="167">
        <v>0</v>
      </c>
      <c r="O107" s="167">
        <v>1909</v>
      </c>
      <c r="P107" s="168"/>
      <c r="Q107" s="216">
        <f>IFERROR(VLOOKUP(C107,[1]Planilha1!$C$1:$Q$65536,15,0),0)</f>
        <v>41</v>
      </c>
      <c r="R107" s="216">
        <f>IFERROR(VLOOKUP(C107,[1]Planilha1!$C$1:$R$65536,16,0),0)</f>
        <v>0</v>
      </c>
      <c r="S107" s="216">
        <f>IFERROR(VLOOKUP(C107,[1]Planilha1!$C$1:$S$65536,17,0),0)</f>
        <v>245</v>
      </c>
      <c r="T107" s="216">
        <f>IFERROR(VLOOKUP(C107,[1]Planilha1!$C$1:$T$65536,18,0),0)</f>
        <v>0</v>
      </c>
      <c r="U107" s="187">
        <v>245</v>
      </c>
      <c r="V107" s="266">
        <v>167.119248</v>
      </c>
      <c r="W107" s="187">
        <v>167.119248</v>
      </c>
      <c r="X107" s="222"/>
      <c r="Y107" s="187">
        <v>1909</v>
      </c>
      <c r="AA107" s="187">
        <v>2228.2566400000001</v>
      </c>
      <c r="AB107" s="187">
        <v>557.06416000000002</v>
      </c>
      <c r="AC107" s="7">
        <v>150</v>
      </c>
      <c r="AD107" s="187">
        <v>348.16510000000005</v>
      </c>
      <c r="AE107" s="187">
        <v>3283.4859000000001</v>
      </c>
      <c r="AF107" s="6">
        <v>0</v>
      </c>
      <c r="AG107" s="7">
        <v>300</v>
      </c>
      <c r="AH107" s="216"/>
      <c r="AI107" s="216"/>
    </row>
    <row r="108" spans="1:35" x14ac:dyDescent="0.25">
      <c r="A108" s="170">
        <v>127</v>
      </c>
      <c r="B108" s="170">
        <v>82</v>
      </c>
      <c r="C108" s="171" t="s">
        <v>324</v>
      </c>
      <c r="D108" s="172" t="s">
        <v>325</v>
      </c>
      <c r="E108" s="172" t="s">
        <v>25</v>
      </c>
      <c r="F108" s="173" t="s">
        <v>326</v>
      </c>
      <c r="G108" s="174">
        <v>44371</v>
      </c>
      <c r="H108" s="173" t="s">
        <v>27</v>
      </c>
      <c r="I108" s="15"/>
      <c r="J108" s="186">
        <v>30</v>
      </c>
      <c r="K108" s="5">
        <v>0</v>
      </c>
      <c r="L108" s="186">
        <v>30</v>
      </c>
      <c r="M108" s="15"/>
      <c r="N108" s="167">
        <v>0</v>
      </c>
      <c r="O108" s="167">
        <v>1909</v>
      </c>
      <c r="P108" s="168"/>
      <c r="Q108" s="216">
        <f>IFERROR(VLOOKUP(C108,[1]Planilha1!$C$1:$Q$65536,15,0),0)</f>
        <v>41</v>
      </c>
      <c r="R108" s="216">
        <f>IFERROR(VLOOKUP(C108,[1]Planilha1!$C$1:$R$65536,16,0),0)</f>
        <v>0</v>
      </c>
      <c r="S108" s="216">
        <f>IFERROR(VLOOKUP(C108,[1]Planilha1!$C$1:$S$65536,17,0),0)</f>
        <v>0</v>
      </c>
      <c r="T108" s="216">
        <f>IFERROR(VLOOKUP(C108,[1]Planilha1!$C$1:$T$65536,18,0),0)</f>
        <v>0</v>
      </c>
      <c r="U108" s="187">
        <v>0</v>
      </c>
      <c r="V108" s="266">
        <v>114.53999999999999</v>
      </c>
      <c r="W108" s="187">
        <v>0</v>
      </c>
      <c r="X108" s="222"/>
      <c r="Y108" s="187">
        <v>1909</v>
      </c>
      <c r="AA108" s="187">
        <v>142.71295999999998</v>
      </c>
      <c r="AB108" s="187">
        <v>35.678239999999995</v>
      </c>
      <c r="AC108" s="7"/>
      <c r="AD108" s="6"/>
      <c r="AE108" s="187">
        <v>178.39119999999997</v>
      </c>
      <c r="AF108" s="187">
        <v>1730.6088</v>
      </c>
      <c r="AG108" s="7"/>
      <c r="AH108" s="216"/>
      <c r="AI108" s="216"/>
    </row>
    <row r="109" spans="1:35" x14ac:dyDescent="0.25">
      <c r="A109" s="170">
        <v>139</v>
      </c>
      <c r="B109" s="170">
        <v>55</v>
      </c>
      <c r="C109" s="171" t="s">
        <v>327</v>
      </c>
      <c r="D109" s="172" t="s">
        <v>328</v>
      </c>
      <c r="E109" s="172" t="s">
        <v>25</v>
      </c>
      <c r="F109" s="173" t="s">
        <v>329</v>
      </c>
      <c r="G109" s="174">
        <v>44363</v>
      </c>
      <c r="H109" s="173" t="s">
        <v>27</v>
      </c>
      <c r="I109" s="15"/>
      <c r="J109" s="186">
        <v>30</v>
      </c>
      <c r="K109" s="5">
        <v>0</v>
      </c>
      <c r="L109" s="186">
        <v>30</v>
      </c>
      <c r="M109" s="15"/>
      <c r="N109" s="167">
        <v>0</v>
      </c>
      <c r="O109" s="167">
        <v>1660</v>
      </c>
      <c r="P109" s="168"/>
      <c r="Q109" s="216">
        <f>IFERROR(VLOOKUP(C109,[1]Planilha1!$C$1:$Q$65536,15,0),0)</f>
        <v>0</v>
      </c>
      <c r="R109" s="216">
        <f>IFERROR(VLOOKUP(C109,[1]Planilha1!$C$1:$R$65536,16,0),0)</f>
        <v>37.200000000000003</v>
      </c>
      <c r="S109" s="216">
        <f>IFERROR(VLOOKUP(C109,[1]Planilha1!$C$1:$S$65536,17,0),0)</f>
        <v>0</v>
      </c>
      <c r="T109" s="216">
        <f>IFERROR(VLOOKUP(C109,[1]Planilha1!$C$1:$T$65536,18,0),0)</f>
        <v>0</v>
      </c>
      <c r="U109" s="187">
        <v>0</v>
      </c>
      <c r="V109" s="266">
        <v>99.6</v>
      </c>
      <c r="W109" s="187">
        <v>0</v>
      </c>
      <c r="X109" s="222"/>
      <c r="Y109" s="187">
        <v>1660</v>
      </c>
      <c r="AA109" s="187">
        <v>977.60908000000006</v>
      </c>
      <c r="AB109" s="187">
        <v>244.40227000000002</v>
      </c>
      <c r="AC109" s="7"/>
      <c r="AD109" s="6"/>
      <c r="AE109" s="187">
        <v>1222.01135</v>
      </c>
      <c r="AF109" s="187">
        <v>437.98865000000001</v>
      </c>
      <c r="AG109" s="7"/>
      <c r="AH109" s="216"/>
      <c r="AI109" s="216"/>
    </row>
    <row r="110" spans="1:35" x14ac:dyDescent="0.25">
      <c r="A110" s="170">
        <v>139</v>
      </c>
      <c r="B110" s="170">
        <v>24</v>
      </c>
      <c r="C110" s="171" t="s">
        <v>330</v>
      </c>
      <c r="D110" s="172" t="s">
        <v>331</v>
      </c>
      <c r="E110" s="172" t="s">
        <v>25</v>
      </c>
      <c r="F110" s="173" t="s">
        <v>332</v>
      </c>
      <c r="G110" s="174">
        <v>43501</v>
      </c>
      <c r="H110" s="173" t="s">
        <v>27</v>
      </c>
      <c r="I110" s="15"/>
      <c r="J110" s="186">
        <v>30</v>
      </c>
      <c r="K110" s="5">
        <v>0</v>
      </c>
      <c r="L110" s="186">
        <v>30</v>
      </c>
      <c r="M110" s="15"/>
      <c r="N110" s="167">
        <v>0</v>
      </c>
      <c r="O110" s="167">
        <v>1660</v>
      </c>
      <c r="P110" s="168"/>
      <c r="Q110" s="216">
        <f>IFERROR(VLOOKUP(C110,[1]Planilha1!$C$1:$Q$65536,15,0),0)</f>
        <v>0</v>
      </c>
      <c r="R110" s="216">
        <f>IFERROR(VLOOKUP(C110,[1]Planilha1!$C$1:$R$65536,16,0),0)</f>
        <v>37.200000000000003</v>
      </c>
      <c r="S110" s="153" t="str">
        <f>IFERROR(VLOOKUP(C110,'[2]Base 06-2021'!$C$1:$T$65536,17,0),0)</f>
        <v>FRETADO</v>
      </c>
      <c r="T110" s="216">
        <f>IFERROR(VLOOKUP(C110,[1]Planilha1!$C$1:$T$65536,18,0),0)</f>
        <v>0</v>
      </c>
      <c r="U110" s="187">
        <v>0</v>
      </c>
      <c r="V110" s="266">
        <v>88.983866999999989</v>
      </c>
      <c r="W110" s="187">
        <v>0</v>
      </c>
      <c r="X110" s="222"/>
      <c r="Y110" s="187">
        <v>1660</v>
      </c>
      <c r="AA110" s="187">
        <v>1186.45156</v>
      </c>
      <c r="AB110" s="187">
        <v>296.61288999999999</v>
      </c>
      <c r="AC110" s="7">
        <v>400</v>
      </c>
      <c r="AD110" s="6"/>
      <c r="AE110" s="187">
        <v>1883.0644499999999</v>
      </c>
      <c r="AF110" s="6">
        <v>0</v>
      </c>
      <c r="AG110" s="7">
        <v>400</v>
      </c>
      <c r="AH110" s="216"/>
      <c r="AI110" s="216"/>
    </row>
    <row r="111" spans="1:35" s="163" customFormat="1" x14ac:dyDescent="0.25">
      <c r="A111" s="190">
        <v>139</v>
      </c>
      <c r="B111" s="190">
        <v>46</v>
      </c>
      <c r="C111" s="191" t="s">
        <v>949</v>
      </c>
      <c r="D111" s="192" t="s">
        <v>950</v>
      </c>
      <c r="E111" s="192" t="s">
        <v>25</v>
      </c>
      <c r="F111" s="193" t="s">
        <v>951</v>
      </c>
      <c r="G111" s="194">
        <v>44169</v>
      </c>
      <c r="H111" s="193" t="s">
        <v>928</v>
      </c>
      <c r="I111" s="164"/>
      <c r="J111" s="186">
        <v>30</v>
      </c>
      <c r="K111" s="5">
        <v>0</v>
      </c>
      <c r="L111" s="186">
        <v>30</v>
      </c>
      <c r="M111" s="164"/>
      <c r="N111" s="195">
        <v>0</v>
      </c>
      <c r="O111" s="195">
        <v>1660</v>
      </c>
      <c r="P111" s="196"/>
      <c r="Q111" s="216">
        <f>IFERROR(VLOOKUP(C111,[1]Planilha1!$C$1:$Q$65536,15,0),0)</f>
        <v>0</v>
      </c>
      <c r="R111" s="216">
        <f>IFERROR(VLOOKUP(C111,[1]Planilha1!$C$1:$R$65536,16,0),0)</f>
        <v>0</v>
      </c>
      <c r="S111" s="216">
        <f>IFERROR(VLOOKUP(C111,[1]Planilha1!$C$1:$S$65536,17,0),0)</f>
        <v>0</v>
      </c>
      <c r="T111" s="216">
        <f>IFERROR(VLOOKUP(C111,[1]Planilha1!$C$1:$T$65536,18,0),0)</f>
        <v>0</v>
      </c>
      <c r="U111" s="187">
        <v>0</v>
      </c>
      <c r="V111" s="266">
        <v>99.6</v>
      </c>
      <c r="W111" s="187">
        <v>0</v>
      </c>
      <c r="X111" s="226"/>
      <c r="Y111" s="187">
        <v>1660</v>
      </c>
      <c r="AA111" s="6"/>
      <c r="AB111" s="6"/>
      <c r="AC111" s="7"/>
      <c r="AD111" s="6"/>
      <c r="AE111" s="6">
        <v>0</v>
      </c>
      <c r="AF111" s="187">
        <v>1660</v>
      </c>
      <c r="AG111" s="7"/>
      <c r="AH111" s="218"/>
      <c r="AI111" s="218"/>
    </row>
    <row r="112" spans="1:35" x14ac:dyDescent="0.25">
      <c r="A112" s="170">
        <v>139</v>
      </c>
      <c r="B112" s="170">
        <v>54</v>
      </c>
      <c r="C112" s="171" t="s">
        <v>333</v>
      </c>
      <c r="D112" s="172" t="s">
        <v>334</v>
      </c>
      <c r="E112" s="172" t="s">
        <v>25</v>
      </c>
      <c r="F112" s="173" t="s">
        <v>335</v>
      </c>
      <c r="G112" s="174">
        <v>44358</v>
      </c>
      <c r="H112" s="173" t="s">
        <v>27</v>
      </c>
      <c r="I112" s="15"/>
      <c r="J112" s="186">
        <v>30</v>
      </c>
      <c r="K112" s="5">
        <v>0</v>
      </c>
      <c r="L112" s="186">
        <v>30</v>
      </c>
      <c r="M112" s="15"/>
      <c r="N112" s="167">
        <v>0</v>
      </c>
      <c r="O112" s="167">
        <v>1660</v>
      </c>
      <c r="P112" s="168"/>
      <c r="Q112" s="216">
        <f>IFERROR(VLOOKUP(C112,[1]Planilha1!$C$1:$Q$65536,15,0),0)</f>
        <v>0</v>
      </c>
      <c r="R112" s="216">
        <f>IFERROR(VLOOKUP(C112,[1]Planilha1!$C$1:$R$65536,16,0),0)</f>
        <v>37.200000000000003</v>
      </c>
      <c r="S112" s="216">
        <f>IFERROR(VLOOKUP(C112,[1]Planilha1!$C$1:$S$65536,17,0),0)</f>
        <v>0</v>
      </c>
      <c r="T112" s="216">
        <f>IFERROR(VLOOKUP(C112,[1]Planilha1!$C$1:$T$65536,18,0),0)</f>
        <v>0</v>
      </c>
      <c r="U112" s="187">
        <v>0</v>
      </c>
      <c r="V112" s="266">
        <v>99.6</v>
      </c>
      <c r="W112" s="187">
        <v>0</v>
      </c>
      <c r="X112" s="222"/>
      <c r="Y112" s="187">
        <v>1660</v>
      </c>
      <c r="AA112" s="187">
        <v>1273.5312800000002</v>
      </c>
      <c r="AB112" s="187">
        <v>318.38282000000004</v>
      </c>
      <c r="AC112" s="7"/>
      <c r="AD112" s="6"/>
      <c r="AE112" s="187">
        <v>1591.9141000000002</v>
      </c>
      <c r="AF112" s="187">
        <v>68.08589999999981</v>
      </c>
      <c r="AG112" s="7"/>
      <c r="AH112" s="216"/>
      <c r="AI112" s="216"/>
    </row>
    <row r="113" spans="1:35" x14ac:dyDescent="0.25">
      <c r="A113" s="170">
        <v>139</v>
      </c>
      <c r="B113" s="170">
        <v>41</v>
      </c>
      <c r="C113" s="171" t="s">
        <v>336</v>
      </c>
      <c r="D113" s="172" t="s">
        <v>337</v>
      </c>
      <c r="E113" s="172" t="s">
        <v>25</v>
      </c>
      <c r="F113" s="173" t="s">
        <v>338</v>
      </c>
      <c r="G113" s="174">
        <v>44085</v>
      </c>
      <c r="H113" s="173" t="s">
        <v>27</v>
      </c>
      <c r="I113" s="15"/>
      <c r="J113" s="186">
        <v>30</v>
      </c>
      <c r="K113" s="5">
        <v>0</v>
      </c>
      <c r="L113" s="186">
        <v>30</v>
      </c>
      <c r="M113" s="15"/>
      <c r="N113" s="167">
        <v>0</v>
      </c>
      <c r="O113" s="167">
        <v>1660</v>
      </c>
      <c r="P113" s="168"/>
      <c r="Q113" s="216">
        <f>IFERROR(VLOOKUP(C113,[1]Planilha1!$C$1:$Q$65536,15,0),0)</f>
        <v>0</v>
      </c>
      <c r="R113" s="216">
        <f>IFERROR(VLOOKUP(C113,[1]Planilha1!$C$1:$R$65536,16,0),0)</f>
        <v>37.200000000000003</v>
      </c>
      <c r="S113" s="153" t="str">
        <f>IFERROR(VLOOKUP(C113,'[2]Base 06-2021'!$C$1:$T$65536,17,0),0)</f>
        <v>FRETADO</v>
      </c>
      <c r="T113" s="216">
        <f>IFERROR(VLOOKUP(C113,[1]Planilha1!$C$1:$T$65536,18,0),0)</f>
        <v>0</v>
      </c>
      <c r="U113" s="187">
        <v>0</v>
      </c>
      <c r="V113" s="266">
        <v>89.498787000000007</v>
      </c>
      <c r="W113" s="187">
        <v>0</v>
      </c>
      <c r="X113" s="222"/>
      <c r="Y113" s="187">
        <v>1660</v>
      </c>
      <c r="AA113" s="187">
        <v>1193.3171600000001</v>
      </c>
      <c r="AB113" s="187">
        <v>298.32929000000001</v>
      </c>
      <c r="AC113" s="7">
        <v>400</v>
      </c>
      <c r="AD113" s="6"/>
      <c r="AE113" s="187">
        <v>1891.6464500000002</v>
      </c>
      <c r="AF113" s="6">
        <v>0</v>
      </c>
      <c r="AG113" s="7">
        <v>400</v>
      </c>
      <c r="AH113" s="216"/>
      <c r="AI113" s="216"/>
    </row>
    <row r="114" spans="1:35" x14ac:dyDescent="0.25">
      <c r="A114" s="170">
        <v>139</v>
      </c>
      <c r="B114" s="170">
        <v>50</v>
      </c>
      <c r="C114" s="171" t="s">
        <v>339</v>
      </c>
      <c r="D114" s="172" t="s">
        <v>340</v>
      </c>
      <c r="E114" s="172" t="s">
        <v>25</v>
      </c>
      <c r="F114" s="173" t="s">
        <v>341</v>
      </c>
      <c r="G114" s="174">
        <v>44256</v>
      </c>
      <c r="H114" s="173" t="s">
        <v>36</v>
      </c>
      <c r="I114" s="15"/>
      <c r="J114" s="186">
        <v>30</v>
      </c>
      <c r="K114" s="5">
        <v>0</v>
      </c>
      <c r="L114" s="186">
        <v>30</v>
      </c>
      <c r="M114" s="15"/>
      <c r="N114" s="167">
        <v>0</v>
      </c>
      <c r="O114" s="167">
        <v>1660</v>
      </c>
      <c r="P114" s="168"/>
      <c r="Q114" s="216">
        <f>IFERROR(VLOOKUP(C114,[1]Planilha1!$C$1:$Q$65536,15,0),0)</f>
        <v>0</v>
      </c>
      <c r="R114" s="216">
        <f>IFERROR(VLOOKUP(C114,[1]Planilha1!$C$1:$R$65536,16,0),0)</f>
        <v>0</v>
      </c>
      <c r="S114" s="153" t="str">
        <f>IFERROR(VLOOKUP(C114,'[2]Base 06-2021'!$C$1:$T$65536,17,0),0)</f>
        <v>FRETADO</v>
      </c>
      <c r="T114" s="216">
        <f>IFERROR(VLOOKUP(C114,[1]Planilha1!$C$1:$T$65536,18,0),0)</f>
        <v>0</v>
      </c>
      <c r="U114" s="187">
        <v>0</v>
      </c>
      <c r="V114" s="266">
        <v>99.6</v>
      </c>
      <c r="W114" s="187">
        <v>0</v>
      </c>
      <c r="X114" s="222"/>
      <c r="Y114" s="187">
        <v>1660</v>
      </c>
      <c r="AA114" s="6"/>
      <c r="AB114" s="6"/>
      <c r="AC114" s="7"/>
      <c r="AD114" s="6"/>
      <c r="AE114" s="6">
        <v>0</v>
      </c>
      <c r="AF114" s="187">
        <v>1660</v>
      </c>
      <c r="AG114" s="7"/>
      <c r="AH114" s="216"/>
      <c r="AI114" s="216"/>
    </row>
    <row r="115" spans="1:35" x14ac:dyDescent="0.25">
      <c r="A115" s="170">
        <v>139</v>
      </c>
      <c r="B115" s="170">
        <v>52</v>
      </c>
      <c r="C115" s="171" t="s">
        <v>342</v>
      </c>
      <c r="D115" s="172" t="s">
        <v>343</v>
      </c>
      <c r="E115" s="172" t="s">
        <v>48</v>
      </c>
      <c r="F115" s="173" t="s">
        <v>344</v>
      </c>
      <c r="G115" s="174">
        <v>44257</v>
      </c>
      <c r="H115" s="173" t="s">
        <v>27</v>
      </c>
      <c r="I115" s="15"/>
      <c r="J115" s="186">
        <v>30</v>
      </c>
      <c r="K115" s="5">
        <v>0</v>
      </c>
      <c r="L115" s="186">
        <v>30</v>
      </c>
      <c r="M115" s="15"/>
      <c r="N115" s="167">
        <v>0</v>
      </c>
      <c r="O115" s="167">
        <v>5000</v>
      </c>
      <c r="P115" s="168"/>
      <c r="Q115" s="216">
        <f>IFERROR(VLOOKUP(C115,[1]Planilha1!$C$1:$Q$65536,15,0),0)</f>
        <v>0</v>
      </c>
      <c r="R115" s="216">
        <f>IFERROR(VLOOKUP(C115,[1]Planilha1!$C$1:$R$65536,16,0),0)</f>
        <v>37.200000000000003</v>
      </c>
      <c r="S115" s="216">
        <f>IFERROR(VLOOKUP(C115,[1]Planilha1!$C$1:$S$65536,17,0),0)</f>
        <v>0</v>
      </c>
      <c r="T115" s="216">
        <f>IFERROR(VLOOKUP(C115,[1]Planilha1!$C$1:$T$65536,18,0),0)</f>
        <v>0</v>
      </c>
      <c r="U115" s="187">
        <v>0</v>
      </c>
      <c r="V115" s="266">
        <v>278.53800000000001</v>
      </c>
      <c r="W115" s="187">
        <v>0</v>
      </c>
      <c r="X115" s="222"/>
      <c r="Y115" s="187">
        <v>5000</v>
      </c>
      <c r="AA115" s="187" t="s">
        <v>1672</v>
      </c>
      <c r="AB115" s="187">
        <v>928.46</v>
      </c>
      <c r="AC115" s="7"/>
      <c r="AD115" s="187">
        <v>2000</v>
      </c>
      <c r="AE115" s="187">
        <v>6642.3</v>
      </c>
      <c r="AF115" s="6">
        <v>0</v>
      </c>
      <c r="AG115" s="7"/>
      <c r="AH115" s="216"/>
      <c r="AI115" s="216"/>
    </row>
    <row r="116" spans="1:35" x14ac:dyDescent="0.25">
      <c r="A116" s="170">
        <v>139</v>
      </c>
      <c r="B116" s="170">
        <v>51</v>
      </c>
      <c r="C116" s="171" t="s">
        <v>345</v>
      </c>
      <c r="D116" s="172" t="s">
        <v>346</v>
      </c>
      <c r="E116" s="172" t="s">
        <v>25</v>
      </c>
      <c r="F116" s="173" t="s">
        <v>347</v>
      </c>
      <c r="G116" s="174">
        <v>44256</v>
      </c>
      <c r="H116" s="173" t="s">
        <v>27</v>
      </c>
      <c r="I116" s="15"/>
      <c r="J116" s="186">
        <v>30</v>
      </c>
      <c r="K116" s="5">
        <v>0</v>
      </c>
      <c r="L116" s="186">
        <v>30</v>
      </c>
      <c r="M116" s="15"/>
      <c r="N116" s="167">
        <v>0</v>
      </c>
      <c r="O116" s="167">
        <v>1660</v>
      </c>
      <c r="P116" s="168"/>
      <c r="Q116" s="216">
        <f>IFERROR(VLOOKUP(C116,[1]Planilha1!$C$1:$Q$65536,15,0),0)</f>
        <v>0</v>
      </c>
      <c r="R116" s="216">
        <f>IFERROR(VLOOKUP(C116,[1]Planilha1!$C$1:$R$65536,16,0),0)</f>
        <v>37.200000000000003</v>
      </c>
      <c r="S116" s="216">
        <f>IFERROR(VLOOKUP(C116,[1]Planilha1!$C$1:$S$65536,17,0),0)</f>
        <v>0</v>
      </c>
      <c r="T116" s="216">
        <f>IFERROR(VLOOKUP(C116,[1]Planilha1!$C$1:$T$65536,18,0),0)</f>
        <v>0</v>
      </c>
      <c r="U116" s="187">
        <v>0</v>
      </c>
      <c r="V116" s="266">
        <v>142.01758199999998</v>
      </c>
      <c r="W116" s="187">
        <v>0</v>
      </c>
      <c r="X116" s="222"/>
      <c r="Y116" s="187">
        <v>1660</v>
      </c>
      <c r="AA116" s="187">
        <v>1893.5677599999999</v>
      </c>
      <c r="AB116" s="187">
        <v>473.39193999999998</v>
      </c>
      <c r="AC116" s="7"/>
      <c r="AD116" s="6"/>
      <c r="AE116" s="187">
        <v>2366.9596999999999</v>
      </c>
      <c r="AF116" s="6">
        <v>0</v>
      </c>
      <c r="AG116" s="7"/>
      <c r="AH116" s="216"/>
      <c r="AI116" s="216"/>
    </row>
    <row r="117" spans="1:35" x14ac:dyDescent="0.25">
      <c r="A117" s="170">
        <v>139</v>
      </c>
      <c r="B117" s="170">
        <v>28</v>
      </c>
      <c r="C117" s="171" t="s">
        <v>348</v>
      </c>
      <c r="D117" s="172" t="s">
        <v>349</v>
      </c>
      <c r="E117" s="172" t="s">
        <v>25</v>
      </c>
      <c r="F117" s="173" t="s">
        <v>350</v>
      </c>
      <c r="G117" s="174">
        <v>43623</v>
      </c>
      <c r="H117" s="173" t="s">
        <v>27</v>
      </c>
      <c r="I117" s="15"/>
      <c r="J117" s="186">
        <v>30</v>
      </c>
      <c r="K117" s="5">
        <v>0</v>
      </c>
      <c r="L117" s="186">
        <v>30</v>
      </c>
      <c r="M117" s="15"/>
      <c r="N117" s="167">
        <v>0</v>
      </c>
      <c r="O117" s="167">
        <v>1660</v>
      </c>
      <c r="P117" s="168"/>
      <c r="Q117" s="216">
        <f>IFERROR(VLOOKUP(C117,[1]Planilha1!$C$1:$Q$65536,15,0),0)</f>
        <v>0</v>
      </c>
      <c r="R117" s="216">
        <f>IFERROR(VLOOKUP(C117,[1]Planilha1!$C$1:$R$65536,16,0),0)</f>
        <v>0</v>
      </c>
      <c r="S117" s="216">
        <f>IFERROR(VLOOKUP(C117,[1]Planilha1!$C$1:$S$65536,17,0),0)</f>
        <v>0</v>
      </c>
      <c r="T117" s="216">
        <f>IFERROR(VLOOKUP(C117,[1]Planilha1!$C$1:$T$65536,18,0),0)</f>
        <v>0</v>
      </c>
      <c r="U117" s="187">
        <v>0</v>
      </c>
      <c r="V117" s="266">
        <v>218.207514</v>
      </c>
      <c r="W117" s="187">
        <v>0</v>
      </c>
      <c r="X117" s="222"/>
      <c r="Y117" s="187">
        <v>1660</v>
      </c>
      <c r="AA117" s="187">
        <v>2909.43352</v>
      </c>
      <c r="AB117" s="187">
        <v>727.35838000000001</v>
      </c>
      <c r="AC117" s="7"/>
      <c r="AD117" s="187">
        <v>519.54169999999999</v>
      </c>
      <c r="AE117" s="187">
        <v>4156.3335999999999</v>
      </c>
      <c r="AF117" s="6">
        <v>0</v>
      </c>
      <c r="AG117" s="7"/>
      <c r="AH117" s="216"/>
      <c r="AI117" s="216"/>
    </row>
    <row r="118" spans="1:35" x14ac:dyDescent="0.25">
      <c r="A118" s="170">
        <v>139</v>
      </c>
      <c r="B118" s="170">
        <v>49</v>
      </c>
      <c r="C118" s="171" t="s">
        <v>351</v>
      </c>
      <c r="D118" s="172" t="s">
        <v>352</v>
      </c>
      <c r="E118" s="172" t="s">
        <v>30</v>
      </c>
      <c r="F118" s="173" t="s">
        <v>353</v>
      </c>
      <c r="G118" s="174">
        <v>44169</v>
      </c>
      <c r="H118" s="173" t="s">
        <v>27</v>
      </c>
      <c r="I118" s="15"/>
      <c r="J118" s="186">
        <v>30</v>
      </c>
      <c r="K118" s="5">
        <v>0</v>
      </c>
      <c r="L118" s="186">
        <v>30</v>
      </c>
      <c r="M118" s="15"/>
      <c r="N118" s="167">
        <v>1415</v>
      </c>
      <c r="O118" s="167"/>
      <c r="P118" s="168">
        <v>71</v>
      </c>
      <c r="Q118" s="216">
        <f>IFERROR(VLOOKUP(C118,[1]Planilha1!$C$1:$Q$65536,15,0),0)</f>
        <v>0</v>
      </c>
      <c r="R118" s="216">
        <f>IFERROR(VLOOKUP(C118,[1]Planilha1!$C$1:$R$65536,16,0),0)</f>
        <v>37.200000000000003</v>
      </c>
      <c r="S118" s="216">
        <f>IFERROR(VLOOKUP(C118,[1]Planilha1!$C$1:$S$65536,17,0),0)</f>
        <v>0</v>
      </c>
      <c r="T118" s="216">
        <f>IFERROR(VLOOKUP(C118,[1]Planilha1!$C$1:$T$65536,18,0),0)</f>
        <v>0</v>
      </c>
      <c r="U118" s="187">
        <v>0</v>
      </c>
      <c r="V118" s="266">
        <v>84.899999999999991</v>
      </c>
      <c r="W118" s="187">
        <v>0</v>
      </c>
      <c r="X118" s="222"/>
      <c r="Y118" s="187">
        <v>1415</v>
      </c>
      <c r="AA118" s="6"/>
      <c r="AB118" s="6"/>
      <c r="AC118" s="7"/>
      <c r="AD118" s="6"/>
      <c r="AE118" s="6">
        <v>0</v>
      </c>
      <c r="AF118" s="187">
        <v>1415</v>
      </c>
      <c r="AG118" s="7"/>
      <c r="AH118" s="216"/>
      <c r="AI118" s="216"/>
    </row>
    <row r="119" spans="1:35" x14ac:dyDescent="0.25">
      <c r="A119" s="170">
        <v>139</v>
      </c>
      <c r="B119" s="170">
        <v>53</v>
      </c>
      <c r="C119" s="171" t="s">
        <v>354</v>
      </c>
      <c r="D119" s="172" t="s">
        <v>355</v>
      </c>
      <c r="E119" s="172" t="s">
        <v>30</v>
      </c>
      <c r="F119" s="173" t="s">
        <v>356</v>
      </c>
      <c r="G119" s="174">
        <v>44356</v>
      </c>
      <c r="H119" s="173" t="s">
        <v>27</v>
      </c>
      <c r="I119" s="15"/>
      <c r="J119" s="186">
        <v>-30</v>
      </c>
      <c r="K119" s="5">
        <v>30</v>
      </c>
      <c r="L119" s="186">
        <v>0</v>
      </c>
      <c r="M119" s="15"/>
      <c r="N119" s="167">
        <v>1415</v>
      </c>
      <c r="O119" s="167"/>
      <c r="P119" s="168">
        <v>71</v>
      </c>
      <c r="Q119" s="216">
        <f>IFERROR(VLOOKUP(C119,[1]Planilha1!$C$1:$Q$65536,15,0),0)</f>
        <v>0</v>
      </c>
      <c r="R119" s="216">
        <f>IFERROR(VLOOKUP(C119,[1]Planilha1!$C$1:$R$65536,16,0),0)</f>
        <v>37.200000000000003</v>
      </c>
      <c r="S119" s="216">
        <f>IFERROR(VLOOKUP(C119,[1]Planilha1!$C$1:$S$65536,17,0),0)</f>
        <v>0</v>
      </c>
      <c r="T119" s="216">
        <f>IFERROR(VLOOKUP(C119,[1]Planilha1!$C$1:$T$65536,18,0),0)</f>
        <v>0</v>
      </c>
      <c r="U119" s="187">
        <v>0</v>
      </c>
      <c r="V119" s="266">
        <v>34.630952999999998</v>
      </c>
      <c r="W119" s="187">
        <v>0</v>
      </c>
      <c r="X119" s="222"/>
      <c r="Y119" s="187">
        <v>-1415</v>
      </c>
      <c r="AA119" s="187">
        <v>461.74603999999999</v>
      </c>
      <c r="AB119" s="187">
        <v>115.43651</v>
      </c>
      <c r="AC119" s="7"/>
      <c r="AD119" s="6"/>
      <c r="AE119" s="187">
        <v>577.18254999999999</v>
      </c>
      <c r="AF119" s="6">
        <v>0</v>
      </c>
      <c r="AG119" s="7"/>
      <c r="AH119" s="216"/>
      <c r="AI119" s="216"/>
    </row>
    <row r="120" spans="1:35" x14ac:dyDescent="0.25">
      <c r="A120" s="170">
        <v>144</v>
      </c>
      <c r="B120" s="170">
        <v>81</v>
      </c>
      <c r="C120" s="171" t="s">
        <v>357</v>
      </c>
      <c r="D120" s="172" t="s">
        <v>358</v>
      </c>
      <c r="E120" s="172" t="s">
        <v>25</v>
      </c>
      <c r="F120" s="173" t="s">
        <v>359</v>
      </c>
      <c r="G120" s="174">
        <v>43864</v>
      </c>
      <c r="H120" s="173" t="s">
        <v>27</v>
      </c>
      <c r="I120" s="15"/>
      <c r="J120" s="186">
        <v>-2</v>
      </c>
      <c r="K120" s="5">
        <v>16</v>
      </c>
      <c r="L120" s="186">
        <v>14</v>
      </c>
      <c r="M120" s="15"/>
      <c r="N120" s="167">
        <v>0</v>
      </c>
      <c r="O120" s="167">
        <v>1693</v>
      </c>
      <c r="P120" s="168"/>
      <c r="Q120" s="216">
        <f>IFERROR(VLOOKUP(C120,[1]Planilha1!$C$1:$Q$65536,15,0),0)</f>
        <v>0</v>
      </c>
      <c r="R120" s="216">
        <f>IFERROR(VLOOKUP(C120,[1]Planilha1!$C$1:$R$65536,16,0),0)</f>
        <v>23.5</v>
      </c>
      <c r="S120" s="216">
        <f>IFERROR(VLOOKUP(C120,[1]Planilha1!$C$1:$S$65536,17,0),0)</f>
        <v>0</v>
      </c>
      <c r="T120" s="216">
        <f>IFERROR(VLOOKUP(C120,[1]Planilha1!$C$1:$T$65536,18,0),0)</f>
        <v>0</v>
      </c>
      <c r="U120" s="187">
        <v>0</v>
      </c>
      <c r="V120" s="266">
        <v>160.18603200000001</v>
      </c>
      <c r="W120" s="187">
        <v>0</v>
      </c>
      <c r="X120" s="222"/>
      <c r="Y120" s="187">
        <v>-112.86666666666666</v>
      </c>
      <c r="AA120" s="187">
        <v>2135.81376</v>
      </c>
      <c r="AB120" s="187">
        <v>533.95344</v>
      </c>
      <c r="AC120" s="7">
        <v>140</v>
      </c>
      <c r="AD120" s="187">
        <v>333.72089999999997</v>
      </c>
      <c r="AE120" s="187">
        <v>3143.4881</v>
      </c>
      <c r="AF120" s="6">
        <v>0</v>
      </c>
      <c r="AG120" s="7">
        <v>140</v>
      </c>
      <c r="AH120" s="216"/>
      <c r="AI120" s="216"/>
    </row>
    <row r="121" spans="1:35" x14ac:dyDescent="0.25">
      <c r="A121" s="170">
        <v>144</v>
      </c>
      <c r="B121" s="170">
        <v>71</v>
      </c>
      <c r="C121" s="171" t="s">
        <v>360</v>
      </c>
      <c r="D121" s="172" t="s">
        <v>361</v>
      </c>
      <c r="E121" s="172" t="s">
        <v>25</v>
      </c>
      <c r="F121" s="173" t="s">
        <v>362</v>
      </c>
      <c r="G121" s="174">
        <v>43509</v>
      </c>
      <c r="H121" s="173" t="s">
        <v>27</v>
      </c>
      <c r="I121" s="15"/>
      <c r="J121" s="186">
        <v>30</v>
      </c>
      <c r="K121" s="5">
        <v>0</v>
      </c>
      <c r="L121" s="186">
        <v>30</v>
      </c>
      <c r="M121" s="15"/>
      <c r="N121" s="167">
        <v>0</v>
      </c>
      <c r="O121" s="167">
        <v>1693</v>
      </c>
      <c r="P121" s="168"/>
      <c r="Q121" s="216">
        <f>IFERROR(VLOOKUP(C121,[1]Planilha1!$C$1:$Q$65536,15,0),0)</f>
        <v>0</v>
      </c>
      <c r="R121" s="216">
        <f>IFERROR(VLOOKUP(C121,[1]Planilha1!$C$1:$R$65536,16,0),0)</f>
        <v>23.5</v>
      </c>
      <c r="S121" s="216">
        <f>IFERROR(VLOOKUP(C121,[1]Planilha1!$C$1:$S$65536,17,0),0)</f>
        <v>0</v>
      </c>
      <c r="T121" s="216">
        <f>IFERROR(VLOOKUP(C121,[1]Planilha1!$C$1:$T$65536,18,0),0)</f>
        <v>0</v>
      </c>
      <c r="U121" s="187">
        <v>0</v>
      </c>
      <c r="V121" s="266">
        <v>108.05635200000002</v>
      </c>
      <c r="W121" s="187">
        <v>0</v>
      </c>
      <c r="X121" s="222"/>
      <c r="Y121" s="187">
        <v>1693</v>
      </c>
      <c r="AA121" s="187">
        <v>1440.7513600000002</v>
      </c>
      <c r="AB121" s="187">
        <v>360.18784000000005</v>
      </c>
      <c r="AC121" s="7">
        <v>300</v>
      </c>
      <c r="AD121" s="6"/>
      <c r="AE121" s="187">
        <v>2100.9392000000003</v>
      </c>
      <c r="AF121" s="6">
        <v>0</v>
      </c>
      <c r="AG121" s="7">
        <v>300</v>
      </c>
      <c r="AH121" s="216"/>
      <c r="AI121" s="216"/>
    </row>
    <row r="122" spans="1:35" x14ac:dyDescent="0.25">
      <c r="A122" s="170">
        <v>144</v>
      </c>
      <c r="B122" s="170">
        <v>85</v>
      </c>
      <c r="C122" s="171" t="s">
        <v>363</v>
      </c>
      <c r="D122" s="172" t="s">
        <v>364</v>
      </c>
      <c r="E122" s="172" t="s">
        <v>30</v>
      </c>
      <c r="F122" s="173" t="s">
        <v>365</v>
      </c>
      <c r="G122" s="174">
        <v>44155</v>
      </c>
      <c r="H122" s="173" t="s">
        <v>27</v>
      </c>
      <c r="I122" s="15"/>
      <c r="J122" s="186">
        <v>30</v>
      </c>
      <c r="K122" s="5">
        <v>0</v>
      </c>
      <c r="L122" s="186">
        <v>30</v>
      </c>
      <c r="M122" s="15"/>
      <c r="N122" s="167">
        <v>1449</v>
      </c>
      <c r="O122" s="167"/>
      <c r="P122" s="168">
        <v>74.5</v>
      </c>
      <c r="Q122" s="216">
        <f>IFERROR(VLOOKUP(C122,[1]Planilha1!$C$1:$Q$65536,15,0),0)</f>
        <v>0</v>
      </c>
      <c r="R122" s="216">
        <f>IFERROR(VLOOKUP(C122,[1]Planilha1!$C$1:$R$65536,16,0),0)</f>
        <v>0</v>
      </c>
      <c r="S122" s="216">
        <f>IFERROR(VLOOKUP(C122,[1]Planilha1!$C$1:$S$65536,17,0),0)</f>
        <v>0</v>
      </c>
      <c r="T122" s="216">
        <f>IFERROR(VLOOKUP(C122,[1]Planilha1!$C$1:$T$65536,18,0),0)</f>
        <v>0</v>
      </c>
      <c r="U122" s="187">
        <v>0</v>
      </c>
      <c r="V122" s="266">
        <v>86.94</v>
      </c>
      <c r="W122" s="187">
        <v>0</v>
      </c>
      <c r="X122" s="222"/>
      <c r="Y122" s="187">
        <v>1449</v>
      </c>
      <c r="AA122" s="6"/>
      <c r="AB122" s="6"/>
      <c r="AC122" s="7"/>
      <c r="AD122" s="6"/>
      <c r="AE122" s="6">
        <v>0</v>
      </c>
      <c r="AF122" s="187">
        <v>1449</v>
      </c>
      <c r="AG122" s="7"/>
      <c r="AH122" s="216"/>
      <c r="AI122" s="216"/>
    </row>
    <row r="123" spans="1:35" x14ac:dyDescent="0.25">
      <c r="A123" s="170">
        <v>144</v>
      </c>
      <c r="B123" s="170">
        <v>35</v>
      </c>
      <c r="C123" s="171" t="s">
        <v>366</v>
      </c>
      <c r="D123" s="172" t="s">
        <v>367</v>
      </c>
      <c r="E123" s="172" t="s">
        <v>48</v>
      </c>
      <c r="F123" s="173" t="s">
        <v>368</v>
      </c>
      <c r="G123" s="174">
        <v>42545</v>
      </c>
      <c r="H123" s="173" t="s">
        <v>27</v>
      </c>
      <c r="I123" s="15"/>
      <c r="J123" s="186">
        <v>30</v>
      </c>
      <c r="K123" s="5">
        <v>0</v>
      </c>
      <c r="L123" s="186">
        <v>30</v>
      </c>
      <c r="M123" s="15"/>
      <c r="N123" s="167">
        <v>0</v>
      </c>
      <c r="O123" s="167">
        <v>4500</v>
      </c>
      <c r="P123" s="168"/>
      <c r="Q123" s="216">
        <f>IFERROR(VLOOKUP(C123,[1]Planilha1!$C$1:$Q$65536,15,0),0)</f>
        <v>0</v>
      </c>
      <c r="R123" s="216">
        <f>IFERROR(VLOOKUP(C123,[1]Planilha1!$C$1:$R$65536,16,0),0)</f>
        <v>23.5</v>
      </c>
      <c r="S123" s="216">
        <f>IFERROR(VLOOKUP(C123,[1]Planilha1!$C$1:$S$65536,17,0),0)</f>
        <v>0</v>
      </c>
      <c r="T123" s="216">
        <f>IFERROR(VLOOKUP(C123,[1]Planilha1!$C$1:$T$65536,18,0),0)</f>
        <v>0</v>
      </c>
      <c r="U123" s="187">
        <v>0</v>
      </c>
      <c r="V123" s="266">
        <v>206.56349999999998</v>
      </c>
      <c r="W123" s="187">
        <v>0</v>
      </c>
      <c r="X123" s="222"/>
      <c r="Y123" s="187">
        <v>4500</v>
      </c>
      <c r="AA123" s="187" t="s">
        <v>1674</v>
      </c>
      <c r="AB123" s="187">
        <v>688.54499999999996</v>
      </c>
      <c r="AC123" s="7"/>
      <c r="AD123" s="187">
        <v>2000</v>
      </c>
      <c r="AE123" s="187">
        <v>5442.7250000000004</v>
      </c>
      <c r="AF123" s="6">
        <v>0</v>
      </c>
      <c r="AG123" s="7"/>
      <c r="AH123" s="216"/>
      <c r="AI123" s="216"/>
    </row>
    <row r="124" spans="1:35" x14ac:dyDescent="0.25">
      <c r="A124" s="170">
        <v>144</v>
      </c>
      <c r="B124" s="170">
        <v>74</v>
      </c>
      <c r="C124" s="171" t="s">
        <v>369</v>
      </c>
      <c r="D124" s="172" t="s">
        <v>370</v>
      </c>
      <c r="E124" s="172" t="s">
        <v>25</v>
      </c>
      <c r="F124" s="173" t="s">
        <v>371</v>
      </c>
      <c r="G124" s="174">
        <v>43559</v>
      </c>
      <c r="H124" s="173" t="s">
        <v>27</v>
      </c>
      <c r="I124" s="15"/>
      <c r="J124" s="186">
        <v>30</v>
      </c>
      <c r="K124" s="5">
        <v>0</v>
      </c>
      <c r="L124" s="186">
        <v>30</v>
      </c>
      <c r="M124" s="15"/>
      <c r="N124" s="167">
        <v>0</v>
      </c>
      <c r="O124" s="167">
        <v>1693</v>
      </c>
      <c r="P124" s="168"/>
      <c r="Q124" s="216">
        <f>IFERROR(VLOOKUP(C124,[1]Planilha1!$C$1:$Q$65536,15,0),0)</f>
        <v>0</v>
      </c>
      <c r="R124" s="216">
        <f>IFERROR(VLOOKUP(C124,[1]Planilha1!$C$1:$R$65536,16,0),0)</f>
        <v>23.5</v>
      </c>
      <c r="S124" s="216">
        <f>IFERROR(VLOOKUP(C124,[1]Planilha1!$C$1:$S$65536,17,0),0)</f>
        <v>0</v>
      </c>
      <c r="T124" s="216">
        <f>IFERROR(VLOOKUP(C124,[1]Planilha1!$C$1:$T$65536,18,0),0)</f>
        <v>257.39999999999998</v>
      </c>
      <c r="U124" s="187">
        <v>257.39999999999998</v>
      </c>
      <c r="V124" s="266">
        <v>112.26772800000001</v>
      </c>
      <c r="W124" s="187">
        <v>112.26772800000001</v>
      </c>
      <c r="X124" s="222"/>
      <c r="Y124" s="187">
        <v>1693</v>
      </c>
      <c r="AA124" s="187">
        <v>1496.9030400000001</v>
      </c>
      <c r="AB124" s="187">
        <v>374.22576000000004</v>
      </c>
      <c r="AC124" s="7"/>
      <c r="AD124" s="6"/>
      <c r="AE124" s="187">
        <v>1871.1288000000002</v>
      </c>
      <c r="AF124" s="6">
        <v>0</v>
      </c>
      <c r="AG124" s="7"/>
      <c r="AH124" s="216"/>
      <c r="AI124" s="216"/>
    </row>
    <row r="125" spans="1:35" x14ac:dyDescent="0.25">
      <c r="A125" s="170">
        <v>144</v>
      </c>
      <c r="B125" s="170">
        <v>88</v>
      </c>
      <c r="C125" s="171" t="s">
        <v>372</v>
      </c>
      <c r="D125" s="172" t="s">
        <v>373</v>
      </c>
      <c r="E125" s="172" t="s">
        <v>25</v>
      </c>
      <c r="F125" s="173" t="s">
        <v>374</v>
      </c>
      <c r="G125" s="174">
        <v>44166</v>
      </c>
      <c r="H125" s="173" t="s">
        <v>27</v>
      </c>
      <c r="I125" s="15"/>
      <c r="J125" s="186">
        <v>30</v>
      </c>
      <c r="K125" s="5">
        <v>0</v>
      </c>
      <c r="L125" s="186">
        <v>30</v>
      </c>
      <c r="M125" s="15"/>
      <c r="N125" s="167">
        <v>0</v>
      </c>
      <c r="O125" s="167">
        <v>1693</v>
      </c>
      <c r="P125" s="168"/>
      <c r="Q125" s="216">
        <f>IFERROR(VLOOKUP(C125,[1]Planilha1!$C$1:$Q$65536,15,0),0)</f>
        <v>0</v>
      </c>
      <c r="R125" s="216">
        <f>IFERROR(VLOOKUP(C125,[1]Planilha1!$C$1:$R$65536,16,0),0)</f>
        <v>23.5</v>
      </c>
      <c r="S125" s="216">
        <f>IFERROR(VLOOKUP(C125,[1]Planilha1!$C$1:$S$65536,17,0),0)</f>
        <v>0</v>
      </c>
      <c r="T125" s="216">
        <f>IFERROR(VLOOKUP(C125,[1]Planilha1!$C$1:$T$65536,18,0),0)</f>
        <v>257.39999999999998</v>
      </c>
      <c r="U125" s="187">
        <v>257.39999999999998</v>
      </c>
      <c r="V125" s="266">
        <v>101.58</v>
      </c>
      <c r="W125" s="187">
        <v>101.58</v>
      </c>
      <c r="X125" s="222"/>
      <c r="Y125" s="187">
        <v>1693</v>
      </c>
      <c r="AA125" s="187">
        <v>1150.9145600000002</v>
      </c>
      <c r="AB125" s="187">
        <v>287.72864000000004</v>
      </c>
      <c r="AC125" s="7"/>
      <c r="AD125" s="6"/>
      <c r="AE125" s="187">
        <v>1438.6432000000002</v>
      </c>
      <c r="AF125" s="187">
        <v>254.35679999999979</v>
      </c>
      <c r="AG125" s="7"/>
      <c r="AH125" s="216"/>
      <c r="AI125" s="216"/>
    </row>
    <row r="126" spans="1:35" x14ac:dyDescent="0.25">
      <c r="A126" s="170">
        <v>154</v>
      </c>
      <c r="B126" s="170">
        <v>38</v>
      </c>
      <c r="C126" s="171" t="s">
        <v>375</v>
      </c>
      <c r="D126" s="172" t="s">
        <v>376</v>
      </c>
      <c r="E126" s="172" t="s">
        <v>25</v>
      </c>
      <c r="F126" s="173" t="s">
        <v>377</v>
      </c>
      <c r="G126" s="174">
        <v>43679</v>
      </c>
      <c r="H126" s="173" t="s">
        <v>27</v>
      </c>
      <c r="I126" s="15"/>
      <c r="J126" s="186">
        <v>-48</v>
      </c>
      <c r="K126" s="188">
        <v>39</v>
      </c>
      <c r="L126" s="186">
        <v>-9</v>
      </c>
      <c r="M126" s="15"/>
      <c r="N126" s="167">
        <v>0</v>
      </c>
      <c r="O126" s="167">
        <v>1240</v>
      </c>
      <c r="P126" s="168"/>
      <c r="Q126" s="216">
        <f>IFERROR(VLOOKUP(C126,[1]Planilha1!$C$1:$Q$65536,15,0),0)</f>
        <v>36.9</v>
      </c>
      <c r="R126" s="216">
        <f>IFERROR(VLOOKUP(C126,[1]Planilha1!$C$1:$R$65536,16,0),0)</f>
        <v>0</v>
      </c>
      <c r="S126" s="216">
        <f>IFERROR(VLOOKUP(C126,[1]Planilha1!$C$1:$S$65536,17,0),0)</f>
        <v>0</v>
      </c>
      <c r="T126" s="216">
        <f>IFERROR(VLOOKUP(C126,[1]Planilha1!$C$1:$T$65536,18,0),0)</f>
        <v>0</v>
      </c>
      <c r="U126" s="187">
        <v>0</v>
      </c>
      <c r="V126" s="266">
        <v>14.342088</v>
      </c>
      <c r="W126" s="187">
        <v>0</v>
      </c>
      <c r="X126" s="222"/>
      <c r="Y126" s="187">
        <v>-1984</v>
      </c>
      <c r="AA126" s="187">
        <v>191.22784000000001</v>
      </c>
      <c r="AB126" s="187">
        <v>47.806960000000004</v>
      </c>
      <c r="AC126" s="7">
        <v>300</v>
      </c>
      <c r="AD126" s="6"/>
      <c r="AE126" s="187">
        <v>539.03480000000002</v>
      </c>
      <c r="AF126" s="6">
        <v>0</v>
      </c>
      <c r="AG126" s="7">
        <v>300</v>
      </c>
      <c r="AH126" s="216"/>
      <c r="AI126" s="216"/>
    </row>
    <row r="127" spans="1:35" x14ac:dyDescent="0.25">
      <c r="A127" s="170">
        <v>154</v>
      </c>
      <c r="B127" s="170">
        <v>43</v>
      </c>
      <c r="C127" s="171" t="s">
        <v>378</v>
      </c>
      <c r="D127" s="172" t="s">
        <v>379</v>
      </c>
      <c r="E127" s="172" t="s">
        <v>30</v>
      </c>
      <c r="F127" s="173" t="s">
        <v>380</v>
      </c>
      <c r="G127" s="174">
        <v>44097</v>
      </c>
      <c r="H127" s="173" t="s">
        <v>27</v>
      </c>
      <c r="I127" s="15"/>
      <c r="J127" s="186">
        <v>30</v>
      </c>
      <c r="K127" s="5">
        <v>0</v>
      </c>
      <c r="L127" s="186">
        <v>30</v>
      </c>
      <c r="M127" s="15"/>
      <c r="N127" s="167">
        <v>1240</v>
      </c>
      <c r="O127" s="167"/>
      <c r="P127" s="168">
        <v>124</v>
      </c>
      <c r="Q127" s="216">
        <f>IFERROR(VLOOKUP(C127,[1]Planilha1!$C$1:$Q$65536,15,0),0)</f>
        <v>0</v>
      </c>
      <c r="R127" s="216">
        <f>IFERROR(VLOOKUP(C127,[1]Planilha1!$C$1:$R$65536,16,0),0)</f>
        <v>0</v>
      </c>
      <c r="S127" s="216">
        <f>IFERROR(VLOOKUP(C127,[1]Planilha1!$C$1:$S$65536,17,0),0)</f>
        <v>422.5</v>
      </c>
      <c r="T127" s="216">
        <f>IFERROR(VLOOKUP(C127,[1]Planilha1!$C$1:$T$65536,18,0),0)</f>
        <v>0</v>
      </c>
      <c r="U127" s="187">
        <v>422.5</v>
      </c>
      <c r="V127" s="266">
        <v>74.399999999999991</v>
      </c>
      <c r="W127" s="187">
        <v>74.399999999999991</v>
      </c>
      <c r="X127" s="222"/>
      <c r="Y127" s="187">
        <v>1240</v>
      </c>
      <c r="AA127" s="6"/>
      <c r="AB127" s="6"/>
      <c r="AC127" s="7"/>
      <c r="AD127" s="6"/>
      <c r="AE127" s="6">
        <v>0</v>
      </c>
      <c r="AF127" s="187">
        <v>1240</v>
      </c>
      <c r="AG127" s="7"/>
      <c r="AH127" s="216"/>
      <c r="AI127" s="216"/>
    </row>
    <row r="128" spans="1:35" x14ac:dyDescent="0.25">
      <c r="A128" s="170">
        <v>154</v>
      </c>
      <c r="B128" s="170">
        <v>45</v>
      </c>
      <c r="C128" s="171" t="s">
        <v>381</v>
      </c>
      <c r="D128" s="172" t="s">
        <v>382</v>
      </c>
      <c r="E128" s="172" t="s">
        <v>25</v>
      </c>
      <c r="F128" s="173" t="s">
        <v>383</v>
      </c>
      <c r="G128" s="174">
        <v>44152</v>
      </c>
      <c r="H128" s="173" t="s">
        <v>27</v>
      </c>
      <c r="I128" s="15"/>
      <c r="J128" s="186">
        <v>30</v>
      </c>
      <c r="K128" s="5">
        <v>0</v>
      </c>
      <c r="L128" s="186">
        <v>30</v>
      </c>
      <c r="M128" s="15"/>
      <c r="N128" s="167">
        <v>0</v>
      </c>
      <c r="O128" s="167">
        <v>1240</v>
      </c>
      <c r="P128" s="168"/>
      <c r="Q128" s="216">
        <f>IFERROR(VLOOKUP(C128,[1]Planilha1!$C$1:$Q$65536,15,0),0)</f>
        <v>36.9</v>
      </c>
      <c r="R128" s="216">
        <f>IFERROR(VLOOKUP(C128,[1]Planilha1!$C$1:$R$65536,16,0),0)</f>
        <v>0</v>
      </c>
      <c r="S128" s="216">
        <f>IFERROR(VLOOKUP(C128,[1]Planilha1!$C$1:$S$65536,17,0),0)</f>
        <v>187.5</v>
      </c>
      <c r="T128" s="216">
        <f>IFERROR(VLOOKUP(C128,[1]Planilha1!$C$1:$T$65536,18,0),0)</f>
        <v>0</v>
      </c>
      <c r="U128" s="187">
        <v>187.5</v>
      </c>
      <c r="V128" s="266">
        <v>179.81284799999997</v>
      </c>
      <c r="W128" s="187">
        <v>179.81284799999997</v>
      </c>
      <c r="X128" s="222"/>
      <c r="Y128" s="187">
        <v>1240</v>
      </c>
      <c r="AA128" s="187">
        <v>2397.5046400000001</v>
      </c>
      <c r="AB128" s="187">
        <v>599.37616000000003</v>
      </c>
      <c r="AC128" s="7"/>
      <c r="AD128" s="187">
        <v>374.61010000000005</v>
      </c>
      <c r="AE128" s="187">
        <v>3371.4908999999998</v>
      </c>
      <c r="AF128" s="6">
        <v>0</v>
      </c>
      <c r="AG128" s="7"/>
      <c r="AH128" s="216"/>
      <c r="AI128" s="216"/>
    </row>
    <row r="129" spans="1:35" x14ac:dyDescent="0.25">
      <c r="A129" s="170">
        <v>154</v>
      </c>
      <c r="B129" s="170">
        <v>28</v>
      </c>
      <c r="C129" s="171" t="s">
        <v>384</v>
      </c>
      <c r="D129" s="172" t="s">
        <v>385</v>
      </c>
      <c r="E129" s="172" t="s">
        <v>25</v>
      </c>
      <c r="F129" s="173" t="s">
        <v>386</v>
      </c>
      <c r="G129" s="174">
        <v>42789</v>
      </c>
      <c r="H129" s="173" t="s">
        <v>27</v>
      </c>
      <c r="I129" s="15"/>
      <c r="J129" s="186">
        <v>30</v>
      </c>
      <c r="K129" s="5">
        <v>0</v>
      </c>
      <c r="L129" s="186">
        <v>30</v>
      </c>
      <c r="M129" s="15"/>
      <c r="N129" s="167">
        <v>0</v>
      </c>
      <c r="O129" s="167">
        <v>1240</v>
      </c>
      <c r="P129" s="168"/>
      <c r="Q129" s="216">
        <f>IFERROR(VLOOKUP(C129,[1]Planilha1!$C$1:$Q$65536,15,0),0)</f>
        <v>36.9</v>
      </c>
      <c r="R129" s="216">
        <f>IFERROR(VLOOKUP(C129,[1]Planilha1!$C$1:$R$65536,16,0),0)</f>
        <v>0</v>
      </c>
      <c r="S129" s="216">
        <f>IFERROR(VLOOKUP(C129,[1]Planilha1!$C$1:$S$65536,17,0),0)</f>
        <v>375</v>
      </c>
      <c r="T129" s="216">
        <f>IFERROR(VLOOKUP(C129,[1]Planilha1!$C$1:$T$65536,18,0),0)</f>
        <v>0</v>
      </c>
      <c r="U129" s="187">
        <v>375</v>
      </c>
      <c r="V129" s="266">
        <v>183.17484000000002</v>
      </c>
      <c r="W129" s="187">
        <v>183.17484000000002</v>
      </c>
      <c r="X129" s="222"/>
      <c r="Y129" s="187">
        <v>1240</v>
      </c>
      <c r="AA129" s="187">
        <v>2442.3312000000001</v>
      </c>
      <c r="AB129" s="187">
        <v>610.58280000000002</v>
      </c>
      <c r="AC129" s="219" t="s">
        <v>1152</v>
      </c>
      <c r="AD129" s="187">
        <v>381.61425000000003</v>
      </c>
      <c r="AE129" s="187">
        <v>5434.5282500000003</v>
      </c>
      <c r="AF129" s="6">
        <v>0</v>
      </c>
      <c r="AG129" s="7"/>
      <c r="AH129" s="216"/>
      <c r="AI129" s="216"/>
    </row>
    <row r="130" spans="1:35" x14ac:dyDescent="0.25">
      <c r="A130" s="170">
        <v>154</v>
      </c>
      <c r="B130" s="170">
        <v>42</v>
      </c>
      <c r="C130" s="171" t="s">
        <v>387</v>
      </c>
      <c r="D130" s="172" t="s">
        <v>388</v>
      </c>
      <c r="E130" s="172" t="s">
        <v>25</v>
      </c>
      <c r="F130" s="173" t="s">
        <v>389</v>
      </c>
      <c r="G130" s="174">
        <v>43787</v>
      </c>
      <c r="H130" s="173" t="s">
        <v>27</v>
      </c>
      <c r="I130" s="15"/>
      <c r="J130" s="186">
        <v>30</v>
      </c>
      <c r="K130" s="5">
        <v>0</v>
      </c>
      <c r="L130" s="186">
        <v>30</v>
      </c>
      <c r="M130" s="15"/>
      <c r="N130" s="167">
        <v>0</v>
      </c>
      <c r="O130" s="167">
        <v>1240</v>
      </c>
      <c r="P130" s="168"/>
      <c r="Q130" s="216">
        <f>IFERROR(VLOOKUP(C130,[1]Planilha1!$C$1:$Q$65536,15,0),0)</f>
        <v>36.9</v>
      </c>
      <c r="R130" s="216">
        <f>IFERROR(VLOOKUP(C130,[1]Planilha1!$C$1:$R$65536,16,0),0)</f>
        <v>0</v>
      </c>
      <c r="S130" s="216">
        <f>IFERROR(VLOOKUP(C130,[1]Planilha1!$C$1:$S$65536,17,0),0)</f>
        <v>0</v>
      </c>
      <c r="T130" s="216">
        <f>IFERROR(VLOOKUP(C130,[1]Planilha1!$C$1:$T$65536,18,0),0)</f>
        <v>0</v>
      </c>
      <c r="U130" s="187">
        <v>0</v>
      </c>
      <c r="V130" s="266">
        <v>188.24872799999997</v>
      </c>
      <c r="W130" s="187">
        <v>0</v>
      </c>
      <c r="X130" s="222"/>
      <c r="Y130" s="187">
        <v>1240</v>
      </c>
      <c r="AA130" s="187">
        <v>2509.9830400000001</v>
      </c>
      <c r="AB130" s="187">
        <v>627.49576000000002</v>
      </c>
      <c r="AC130" s="7"/>
      <c r="AD130" s="187">
        <v>392.18485000000004</v>
      </c>
      <c r="AE130" s="187">
        <v>3529.66365</v>
      </c>
      <c r="AF130" s="6">
        <v>0</v>
      </c>
      <c r="AG130" s="7"/>
      <c r="AH130" s="216"/>
      <c r="AI130" s="216"/>
    </row>
    <row r="131" spans="1:35" x14ac:dyDescent="0.25">
      <c r="A131" s="170">
        <v>156</v>
      </c>
      <c r="B131" s="170">
        <v>76</v>
      </c>
      <c r="C131" s="171" t="s">
        <v>390</v>
      </c>
      <c r="D131" s="172" t="s">
        <v>391</v>
      </c>
      <c r="E131" s="172" t="s">
        <v>25</v>
      </c>
      <c r="F131" s="173" t="s">
        <v>392</v>
      </c>
      <c r="G131" s="174">
        <v>43901</v>
      </c>
      <c r="H131" s="173" t="s">
        <v>27</v>
      </c>
      <c r="I131" s="15"/>
      <c r="J131" s="186">
        <v>30</v>
      </c>
      <c r="K131" s="5">
        <v>0</v>
      </c>
      <c r="L131" s="186">
        <v>30</v>
      </c>
      <c r="M131" s="15"/>
      <c r="N131" s="167">
        <v>0</v>
      </c>
      <c r="O131" s="167">
        <v>1807.35</v>
      </c>
      <c r="P131" s="168"/>
      <c r="Q131" s="216">
        <f>IFERROR(VLOOKUP(C131,[1]Planilha1!$C$1:$Q$65536,15,0),0)</f>
        <v>0</v>
      </c>
      <c r="R131" s="216">
        <f>IFERROR(VLOOKUP(C131,[1]Planilha1!$C$1:$R$65536,16,0),0)</f>
        <v>0</v>
      </c>
      <c r="S131" s="216">
        <f>IFERROR(VLOOKUP(C131,[1]Planilha1!$C$1:$S$65536,17,0),0)</f>
        <v>462</v>
      </c>
      <c r="T131" s="216">
        <f>IFERROR(VLOOKUP(C131,[1]Planilha1!$C$1:$T$65536,18,0),0)</f>
        <v>0</v>
      </c>
      <c r="U131" s="187">
        <v>462</v>
      </c>
      <c r="V131" s="266">
        <v>187.47724799999997</v>
      </c>
      <c r="W131" s="187">
        <v>187.47724799999997</v>
      </c>
      <c r="X131" s="222"/>
      <c r="Y131" s="187">
        <v>1807.35</v>
      </c>
      <c r="AA131" s="187">
        <v>2499.6966399999997</v>
      </c>
      <c r="AB131" s="187">
        <v>624.92415999999992</v>
      </c>
      <c r="AC131" s="7"/>
      <c r="AD131" s="187">
        <v>390.57759999999996</v>
      </c>
      <c r="AE131" s="187">
        <v>3515.1983999999998</v>
      </c>
      <c r="AF131" s="6">
        <v>0</v>
      </c>
      <c r="AG131" s="7"/>
      <c r="AH131" s="216"/>
      <c r="AI131" s="216"/>
    </row>
    <row r="132" spans="1:35" x14ac:dyDescent="0.25">
      <c r="A132" s="170">
        <v>156</v>
      </c>
      <c r="B132" s="170">
        <v>72</v>
      </c>
      <c r="C132" s="171" t="s">
        <v>393</v>
      </c>
      <c r="D132" s="172" t="s">
        <v>394</v>
      </c>
      <c r="E132" s="172" t="s">
        <v>25</v>
      </c>
      <c r="F132" s="173" t="s">
        <v>395</v>
      </c>
      <c r="G132" s="174">
        <v>43852</v>
      </c>
      <c r="H132" s="173" t="s">
        <v>27</v>
      </c>
      <c r="I132" s="15"/>
      <c r="J132" s="186">
        <v>30</v>
      </c>
      <c r="K132" s="5">
        <v>0</v>
      </c>
      <c r="L132" s="186">
        <v>30</v>
      </c>
      <c r="M132" s="15"/>
      <c r="N132" s="167">
        <v>0</v>
      </c>
      <c r="O132" s="167">
        <v>1807.35</v>
      </c>
      <c r="P132" s="168"/>
      <c r="Q132" s="216">
        <f>IFERROR(VLOOKUP(C132,[1]Planilha1!$C$1:$Q$65536,15,0),0)</f>
        <v>0</v>
      </c>
      <c r="R132" s="216">
        <f>IFERROR(VLOOKUP(C132,[1]Planilha1!$C$1:$R$65536,16,0),0)</f>
        <v>0</v>
      </c>
      <c r="S132" s="216">
        <f>IFERROR(VLOOKUP(C132,[1]Planilha1!$C$1:$S$65536,17,0),0)</f>
        <v>480.48</v>
      </c>
      <c r="T132" s="216">
        <f>IFERROR(VLOOKUP(C132,[1]Planilha1!$C$1:$T$65536,18,0),0)</f>
        <v>0</v>
      </c>
      <c r="U132" s="187">
        <v>480.48</v>
      </c>
      <c r="V132" s="266">
        <v>166.76267999999999</v>
      </c>
      <c r="W132" s="187">
        <v>166.76267999999999</v>
      </c>
      <c r="X132" s="222"/>
      <c r="Y132" s="187">
        <v>1807.35</v>
      </c>
      <c r="AA132" s="187">
        <v>2223.5023999999999</v>
      </c>
      <c r="AB132" s="187">
        <v>555.87559999999996</v>
      </c>
      <c r="AC132" s="7">
        <v>400</v>
      </c>
      <c r="AD132" s="6"/>
      <c r="AE132" s="187">
        <v>3179.3779999999997</v>
      </c>
      <c r="AF132" s="6">
        <v>0</v>
      </c>
      <c r="AG132" s="7">
        <v>300</v>
      </c>
      <c r="AH132" s="216"/>
      <c r="AI132" s="216"/>
    </row>
    <row r="133" spans="1:35" x14ac:dyDescent="0.25">
      <c r="A133" s="170">
        <v>156</v>
      </c>
      <c r="B133" s="170">
        <v>78</v>
      </c>
      <c r="C133" s="171" t="s">
        <v>396</v>
      </c>
      <c r="D133" s="172" t="s">
        <v>397</v>
      </c>
      <c r="E133" s="172" t="s">
        <v>25</v>
      </c>
      <c r="F133" s="173" t="s">
        <v>398</v>
      </c>
      <c r="G133" s="174">
        <v>43902</v>
      </c>
      <c r="H133" s="173" t="s">
        <v>27</v>
      </c>
      <c r="I133" s="15"/>
      <c r="J133" s="186">
        <v>30</v>
      </c>
      <c r="K133" s="5">
        <v>0</v>
      </c>
      <c r="L133" s="186">
        <v>30</v>
      </c>
      <c r="M133" s="15"/>
      <c r="N133" s="167">
        <v>0</v>
      </c>
      <c r="O133" s="167">
        <v>1807.35</v>
      </c>
      <c r="P133" s="168"/>
      <c r="Q133" s="216">
        <f>IFERROR(VLOOKUP(C133,[1]Planilha1!$C$1:$Q$65536,15,0),0)</f>
        <v>0</v>
      </c>
      <c r="R133" s="216">
        <f>IFERROR(VLOOKUP(C133,[1]Planilha1!$C$1:$R$65536,16,0),0)</f>
        <v>0</v>
      </c>
      <c r="S133" s="216">
        <f>IFERROR(VLOOKUP(C133,[1]Planilha1!$C$1:$S$65536,17,0),0)</f>
        <v>462.8</v>
      </c>
      <c r="T133" s="216">
        <f>IFERROR(VLOOKUP(C133,[1]Planilha1!$C$1:$T$65536,18,0),0)</f>
        <v>0</v>
      </c>
      <c r="U133" s="187">
        <v>462.8</v>
      </c>
      <c r="V133" s="266">
        <v>108.44099999999999</v>
      </c>
      <c r="W133" s="187">
        <v>108.44099999999999</v>
      </c>
      <c r="X133" s="222"/>
      <c r="Y133" s="187">
        <v>1807.35</v>
      </c>
      <c r="AA133" s="187">
        <v>1268.4156800000001</v>
      </c>
      <c r="AB133" s="187">
        <v>317.10392000000002</v>
      </c>
      <c r="AC133" s="7"/>
      <c r="AD133" s="6"/>
      <c r="AE133" s="187">
        <v>1585.5196000000001</v>
      </c>
      <c r="AF133" s="187">
        <v>221.83039999999983</v>
      </c>
      <c r="AG133" s="7"/>
      <c r="AH133" s="216"/>
      <c r="AI133" s="216"/>
    </row>
    <row r="134" spans="1:35" x14ac:dyDescent="0.25">
      <c r="A134" s="170">
        <v>156</v>
      </c>
      <c r="B134" s="170">
        <v>67</v>
      </c>
      <c r="C134" s="171" t="s">
        <v>399</v>
      </c>
      <c r="D134" s="172" t="s">
        <v>400</v>
      </c>
      <c r="E134" s="172" t="s">
        <v>25</v>
      </c>
      <c r="F134" s="173" t="s">
        <v>401</v>
      </c>
      <c r="G134" s="174">
        <v>43759</v>
      </c>
      <c r="H134" s="173" t="s">
        <v>27</v>
      </c>
      <c r="I134" s="15"/>
      <c r="J134" s="186">
        <v>30</v>
      </c>
      <c r="K134" s="5">
        <v>0</v>
      </c>
      <c r="L134" s="186">
        <v>30</v>
      </c>
      <c r="M134" s="15"/>
      <c r="N134" s="167">
        <v>0</v>
      </c>
      <c r="O134" s="167">
        <v>1807.35</v>
      </c>
      <c r="P134" s="168"/>
      <c r="Q134" s="216">
        <f>IFERROR(VLOOKUP(C134,[1]Planilha1!$C$1:$Q$65536,15,0),0)</f>
        <v>0</v>
      </c>
      <c r="R134" s="216">
        <f>IFERROR(VLOOKUP(C134,[1]Planilha1!$C$1:$R$65536,16,0),0)</f>
        <v>0</v>
      </c>
      <c r="S134" s="216">
        <f>IFERROR(VLOOKUP(C134,[1]Planilha1!$C$1:$S$65536,17,0),0)</f>
        <v>0</v>
      </c>
      <c r="T134" s="216">
        <f>IFERROR(VLOOKUP(C134,[1]Planilha1!$C$1:$T$65536,18,0),0)</f>
        <v>0</v>
      </c>
      <c r="U134" s="187">
        <v>0</v>
      </c>
      <c r="V134" s="266">
        <v>192.88761599999998</v>
      </c>
      <c r="W134" s="187">
        <v>0</v>
      </c>
      <c r="X134" s="222"/>
      <c r="Y134" s="187">
        <v>1807.35</v>
      </c>
      <c r="AA134" s="187">
        <v>2571.8348799999999</v>
      </c>
      <c r="AB134" s="187">
        <v>642.95871999999997</v>
      </c>
      <c r="AC134" s="7">
        <v>400</v>
      </c>
      <c r="AD134" s="187">
        <v>401.8492</v>
      </c>
      <c r="AE134" s="187">
        <v>4016.6428000000001</v>
      </c>
      <c r="AF134" s="6">
        <v>0</v>
      </c>
      <c r="AG134" s="7">
        <v>300</v>
      </c>
      <c r="AH134" s="216"/>
      <c r="AI134" s="216"/>
    </row>
    <row r="135" spans="1:35" x14ac:dyDescent="0.25">
      <c r="A135" s="170">
        <v>156</v>
      </c>
      <c r="B135" s="170">
        <v>81</v>
      </c>
      <c r="C135" s="171" t="s">
        <v>402</v>
      </c>
      <c r="D135" s="172" t="s">
        <v>403</v>
      </c>
      <c r="E135" s="172" t="s">
        <v>25</v>
      </c>
      <c r="F135" s="173" t="s">
        <v>404</v>
      </c>
      <c r="G135" s="174">
        <v>44152</v>
      </c>
      <c r="H135" s="173" t="s">
        <v>27</v>
      </c>
      <c r="I135" s="15"/>
      <c r="J135" s="186">
        <v>30</v>
      </c>
      <c r="K135" s="5">
        <v>0</v>
      </c>
      <c r="L135" s="186">
        <v>30</v>
      </c>
      <c r="M135" s="15"/>
      <c r="N135" s="167">
        <v>0</v>
      </c>
      <c r="O135" s="167">
        <v>1807.35</v>
      </c>
      <c r="P135" s="168"/>
      <c r="Q135" s="216">
        <f>IFERROR(VLOOKUP(C135,[1]Planilha1!$C$1:$Q$65536,15,0),0)</f>
        <v>0</v>
      </c>
      <c r="R135" s="216">
        <f>IFERROR(VLOOKUP(C135,[1]Planilha1!$C$1:$R$65536,16,0),0)</f>
        <v>0</v>
      </c>
      <c r="S135" s="216">
        <f>IFERROR(VLOOKUP(C135,[1]Planilha1!$C$1:$S$65536,17,0),0)</f>
        <v>462</v>
      </c>
      <c r="T135" s="216">
        <f>IFERROR(VLOOKUP(C135,[1]Planilha1!$C$1:$T$65536,18,0),0)</f>
        <v>0</v>
      </c>
      <c r="U135" s="187">
        <v>462</v>
      </c>
      <c r="V135" s="266">
        <v>123.81633599999999</v>
      </c>
      <c r="W135" s="187">
        <v>123.81633599999999</v>
      </c>
      <c r="X135" s="222"/>
      <c r="Y135" s="187">
        <v>1807.35</v>
      </c>
      <c r="AA135" s="187">
        <v>1650.8844799999999</v>
      </c>
      <c r="AB135" s="187">
        <v>412.72111999999998</v>
      </c>
      <c r="AC135" s="7"/>
      <c r="AD135" s="6"/>
      <c r="AE135" s="187">
        <v>2063.6055999999999</v>
      </c>
      <c r="AF135" s="6">
        <v>0</v>
      </c>
      <c r="AG135" s="7"/>
      <c r="AH135" s="216"/>
      <c r="AI135" s="216"/>
    </row>
    <row r="136" spans="1:35" x14ac:dyDescent="0.25">
      <c r="A136" s="170">
        <v>156</v>
      </c>
      <c r="B136" s="170">
        <v>79</v>
      </c>
      <c r="C136" s="171" t="s">
        <v>405</v>
      </c>
      <c r="D136" s="172" t="s">
        <v>406</v>
      </c>
      <c r="E136" s="172" t="s">
        <v>25</v>
      </c>
      <c r="F136" s="173" t="s">
        <v>407</v>
      </c>
      <c r="G136" s="174">
        <v>44145</v>
      </c>
      <c r="H136" s="173" t="s">
        <v>27</v>
      </c>
      <c r="I136" s="15"/>
      <c r="J136" s="186">
        <v>30</v>
      </c>
      <c r="K136" s="5">
        <v>0</v>
      </c>
      <c r="L136" s="186">
        <v>30</v>
      </c>
      <c r="M136" s="15"/>
      <c r="N136" s="167">
        <v>0</v>
      </c>
      <c r="O136" s="167">
        <v>1807.35</v>
      </c>
      <c r="P136" s="168"/>
      <c r="Q136" s="216">
        <f>IFERROR(VLOOKUP(C136,[1]Planilha1!$C$1:$Q$65536,15,0),0)</f>
        <v>0</v>
      </c>
      <c r="R136" s="216">
        <f>IFERROR(VLOOKUP(C136,[1]Planilha1!$C$1:$R$65536,16,0),0)</f>
        <v>0</v>
      </c>
      <c r="S136" s="216">
        <f>IFERROR(VLOOKUP(C136,[1]Planilha1!$C$1:$S$65536,17,0),0)</f>
        <v>462</v>
      </c>
      <c r="T136" s="216">
        <f>IFERROR(VLOOKUP(C136,[1]Planilha1!$C$1:$T$65536,18,0),0)</f>
        <v>0</v>
      </c>
      <c r="U136" s="187">
        <v>462</v>
      </c>
      <c r="V136" s="266">
        <v>188.73518399999998</v>
      </c>
      <c r="W136" s="187">
        <v>188.73518399999998</v>
      </c>
      <c r="X136" s="222"/>
      <c r="Y136" s="187">
        <v>1807.35</v>
      </c>
      <c r="AA136" s="187">
        <v>2516.4691199999997</v>
      </c>
      <c r="AB136" s="187">
        <v>629.11727999999994</v>
      </c>
      <c r="AC136" s="7"/>
      <c r="AD136" s="187">
        <v>393.19829999999996</v>
      </c>
      <c r="AE136" s="187">
        <v>3538.7846999999997</v>
      </c>
      <c r="AF136" s="6">
        <v>0</v>
      </c>
      <c r="AG136" s="7"/>
      <c r="AH136" s="216"/>
      <c r="AI136" s="216"/>
    </row>
    <row r="137" spans="1:35" x14ac:dyDescent="0.25">
      <c r="A137" s="170">
        <v>156</v>
      </c>
      <c r="B137" s="170">
        <v>75</v>
      </c>
      <c r="C137" s="171" t="s">
        <v>408</v>
      </c>
      <c r="D137" s="172" t="s">
        <v>409</v>
      </c>
      <c r="E137" s="172" t="s">
        <v>48</v>
      </c>
      <c r="F137" s="173" t="s">
        <v>410</v>
      </c>
      <c r="G137" s="174">
        <v>43889</v>
      </c>
      <c r="H137" s="173" t="s">
        <v>27</v>
      </c>
      <c r="I137" s="15"/>
      <c r="J137" s="186">
        <v>30</v>
      </c>
      <c r="K137" s="5">
        <v>0</v>
      </c>
      <c r="L137" s="186">
        <v>30</v>
      </c>
      <c r="M137" s="15"/>
      <c r="N137" s="167">
        <v>0</v>
      </c>
      <c r="O137" s="167">
        <v>4817.59</v>
      </c>
      <c r="P137" s="168"/>
      <c r="Q137" s="216">
        <f>IFERROR(VLOOKUP(C137,[1]Planilha1!$C$1:$Q$65536,15,0),0)</f>
        <v>0</v>
      </c>
      <c r="R137" s="216">
        <f>IFERROR(VLOOKUP(C137,[1]Planilha1!$C$1:$R$65536,16,0),0)</f>
        <v>0</v>
      </c>
      <c r="S137" s="216">
        <f>IFERROR(VLOOKUP(C137,[1]Planilha1!$C$1:$S$65536,17,0),0)</f>
        <v>0</v>
      </c>
      <c r="T137" s="216">
        <f>IFERROR(VLOOKUP(C137,[1]Planilha1!$C$1:$T$65536,18,0),0)</f>
        <v>0</v>
      </c>
      <c r="U137" s="187">
        <v>0</v>
      </c>
      <c r="V137" s="266">
        <v>360.13124999999997</v>
      </c>
      <c r="W137" s="187">
        <v>0</v>
      </c>
      <c r="X137" s="222"/>
      <c r="Y137" s="187">
        <v>4817.59</v>
      </c>
      <c r="AA137" s="187" t="s">
        <v>1676</v>
      </c>
      <c r="AB137" s="187">
        <v>1200.4375</v>
      </c>
      <c r="AC137" s="7"/>
      <c r="AD137" s="187">
        <v>2000</v>
      </c>
      <c r="AE137" s="187">
        <v>8002.1875</v>
      </c>
      <c r="AF137" s="6">
        <v>0</v>
      </c>
      <c r="AG137" s="7"/>
      <c r="AH137" s="216"/>
      <c r="AI137" s="216"/>
    </row>
    <row r="138" spans="1:35" x14ac:dyDescent="0.25">
      <c r="A138" s="170">
        <v>156</v>
      </c>
      <c r="B138" s="170">
        <v>84</v>
      </c>
      <c r="C138" s="171" t="s">
        <v>411</v>
      </c>
      <c r="D138" s="172" t="s">
        <v>412</v>
      </c>
      <c r="E138" s="172" t="s">
        <v>30</v>
      </c>
      <c r="F138" s="173" t="s">
        <v>413</v>
      </c>
      <c r="G138" s="174">
        <v>44354</v>
      </c>
      <c r="H138" s="173" t="s">
        <v>27</v>
      </c>
      <c r="I138" s="15"/>
      <c r="J138" s="186">
        <v>30</v>
      </c>
      <c r="K138" s="5">
        <v>0</v>
      </c>
      <c r="L138" s="186">
        <v>30</v>
      </c>
      <c r="M138" s="15"/>
      <c r="N138" s="167">
        <v>1461.24</v>
      </c>
      <c r="O138" s="167"/>
      <c r="P138" s="168">
        <v>68.400000000000006</v>
      </c>
      <c r="Q138" s="216">
        <f>IFERROR(VLOOKUP(C138,[1]Planilha1!$C$1:$Q$65536,15,0),0)</f>
        <v>0</v>
      </c>
      <c r="R138" s="216">
        <f>IFERROR(VLOOKUP(C138,[1]Planilha1!$C$1:$R$65536,16,0),0)</f>
        <v>0</v>
      </c>
      <c r="S138" s="216">
        <f>IFERROR(VLOOKUP(C138,[1]Planilha1!$C$1:$S$65536,17,0),0)</f>
        <v>754.5</v>
      </c>
      <c r="T138" s="216">
        <f>IFERROR(VLOOKUP(C138,[1]Planilha1!$C$1:$T$65536,18,0),0)</f>
        <v>0</v>
      </c>
      <c r="U138" s="187">
        <v>754.5</v>
      </c>
      <c r="V138" s="266">
        <v>87.674399999999991</v>
      </c>
      <c r="W138" s="187">
        <v>87.674399999999991</v>
      </c>
      <c r="X138" s="222"/>
      <c r="Y138" s="187">
        <v>1461.24</v>
      </c>
      <c r="AA138" s="6"/>
      <c r="AB138" s="6"/>
      <c r="AC138" s="7"/>
      <c r="AD138" s="6"/>
      <c r="AE138" s="6">
        <v>0</v>
      </c>
      <c r="AF138" s="187">
        <v>1461.24</v>
      </c>
      <c r="AG138" s="7"/>
      <c r="AH138" s="216"/>
      <c r="AI138" s="216"/>
    </row>
    <row r="139" spans="1:35" x14ac:dyDescent="0.25">
      <c r="A139" s="170">
        <v>157</v>
      </c>
      <c r="B139" s="170">
        <v>34</v>
      </c>
      <c r="C139" s="171" t="s">
        <v>420</v>
      </c>
      <c r="D139" s="172" t="s">
        <v>421</v>
      </c>
      <c r="E139" s="172" t="s">
        <v>30</v>
      </c>
      <c r="F139" s="173" t="s">
        <v>422</v>
      </c>
      <c r="G139" s="174">
        <v>43728</v>
      </c>
      <c r="H139" s="173" t="s">
        <v>27</v>
      </c>
      <c r="I139" s="15"/>
      <c r="J139" s="186">
        <v>30</v>
      </c>
      <c r="K139" s="5">
        <v>0</v>
      </c>
      <c r="L139" s="186">
        <v>30</v>
      </c>
      <c r="M139" s="15"/>
      <c r="N139" s="167">
        <v>1414</v>
      </c>
      <c r="O139" s="167"/>
      <c r="P139" s="168">
        <v>141.4</v>
      </c>
      <c r="Q139" s="216">
        <f>IFERROR(VLOOKUP(C139,[1]Planilha1!$C$1:$Q$65536,15,0),0)</f>
        <v>0</v>
      </c>
      <c r="R139" s="216">
        <f>IFERROR(VLOOKUP(C139,[1]Planilha1!$C$1:$R$65536,16,0),0)</f>
        <v>0</v>
      </c>
      <c r="S139" s="216">
        <f>IFERROR(VLOOKUP(C139,[1]Planilha1!$C$1:$S$65536,17,0),0)</f>
        <v>0</v>
      </c>
      <c r="T139" s="216">
        <f>IFERROR(VLOOKUP(C139,[1]Planilha1!$C$1:$T$65536,18,0),0)</f>
        <v>234</v>
      </c>
      <c r="U139" s="187">
        <v>234</v>
      </c>
      <c r="V139" s="266">
        <v>84.84</v>
      </c>
      <c r="W139" s="187">
        <v>84.84</v>
      </c>
      <c r="X139" s="222"/>
      <c r="Y139" s="187">
        <v>1414</v>
      </c>
      <c r="AA139" s="6"/>
      <c r="AB139" s="6"/>
      <c r="AC139" s="7"/>
      <c r="AD139" s="6"/>
      <c r="AE139" s="6">
        <v>0</v>
      </c>
      <c r="AF139" s="187">
        <v>1414</v>
      </c>
      <c r="AG139" s="7"/>
      <c r="AH139" s="216"/>
      <c r="AI139" s="216"/>
    </row>
    <row r="140" spans="1:35" x14ac:dyDescent="0.25">
      <c r="A140" s="170">
        <v>157</v>
      </c>
      <c r="B140" s="170">
        <v>46</v>
      </c>
      <c r="C140" s="171" t="s">
        <v>432</v>
      </c>
      <c r="D140" s="172" t="s">
        <v>433</v>
      </c>
      <c r="E140" s="172" t="s">
        <v>25</v>
      </c>
      <c r="F140" s="173" t="s">
        <v>434</v>
      </c>
      <c r="G140" s="174">
        <v>44179</v>
      </c>
      <c r="H140" s="173" t="s">
        <v>27</v>
      </c>
      <c r="I140" s="15"/>
      <c r="J140" s="186">
        <v>30</v>
      </c>
      <c r="K140" s="5">
        <v>0</v>
      </c>
      <c r="L140" s="186">
        <v>30</v>
      </c>
      <c r="M140" s="15"/>
      <c r="N140" s="167">
        <v>0</v>
      </c>
      <c r="O140" s="167">
        <v>1515</v>
      </c>
      <c r="P140" s="168"/>
      <c r="Q140" s="216">
        <f>IFERROR(VLOOKUP(C140,[1]Planilha1!$C$1:$Q$65536,15,0),0)</f>
        <v>0</v>
      </c>
      <c r="R140" s="216">
        <f>IFERROR(VLOOKUP(C140,[1]Planilha1!$C$1:$R$65536,16,0),0)</f>
        <v>0</v>
      </c>
      <c r="S140" s="216">
        <f>IFERROR(VLOOKUP(C140,[1]Planilha1!$C$1:$S$65536,17,0),0)</f>
        <v>0</v>
      </c>
      <c r="T140" s="216">
        <f>IFERROR(VLOOKUP(C140,[1]Planilha1!$C$1:$T$65536,18,0),0)</f>
        <v>0</v>
      </c>
      <c r="U140" s="187">
        <v>0</v>
      </c>
      <c r="V140" s="266">
        <v>90.899999999999991</v>
      </c>
      <c r="W140" s="187">
        <v>0</v>
      </c>
      <c r="X140" s="222"/>
      <c r="Y140" s="187">
        <v>1515</v>
      </c>
      <c r="AA140" s="187">
        <v>728.89504000000011</v>
      </c>
      <c r="AB140" s="187">
        <v>182.22376000000003</v>
      </c>
      <c r="AC140" s="7"/>
      <c r="AD140" s="6"/>
      <c r="AE140" s="187">
        <v>911.11880000000019</v>
      </c>
      <c r="AF140" s="187">
        <v>603.88119999999981</v>
      </c>
      <c r="AG140" s="7"/>
      <c r="AH140" s="216"/>
      <c r="AI140" s="216"/>
    </row>
    <row r="141" spans="1:35" x14ac:dyDescent="0.25">
      <c r="A141" s="170">
        <v>157</v>
      </c>
      <c r="B141" s="170">
        <v>44</v>
      </c>
      <c r="C141" s="171" t="s">
        <v>426</v>
      </c>
      <c r="D141" s="172" t="s">
        <v>427</v>
      </c>
      <c r="E141" s="172" t="s">
        <v>30</v>
      </c>
      <c r="F141" s="173" t="s">
        <v>428</v>
      </c>
      <c r="G141" s="174">
        <v>44152</v>
      </c>
      <c r="H141" s="173" t="s">
        <v>27</v>
      </c>
      <c r="I141" s="15"/>
      <c r="J141" s="186">
        <v>30</v>
      </c>
      <c r="K141" s="5">
        <v>0</v>
      </c>
      <c r="L141" s="186">
        <v>30</v>
      </c>
      <c r="M141" s="15"/>
      <c r="N141" s="167">
        <v>1414</v>
      </c>
      <c r="O141" s="167"/>
      <c r="P141" s="168">
        <v>141.4</v>
      </c>
      <c r="Q141" s="216">
        <f>IFERROR(VLOOKUP(C141,[1]Planilha1!$C$1:$Q$65536,15,0),0)</f>
        <v>0</v>
      </c>
      <c r="R141" s="216">
        <f>IFERROR(VLOOKUP(C141,[1]Planilha1!$C$1:$R$65536,16,0),0)</f>
        <v>0</v>
      </c>
      <c r="S141" s="216">
        <f>IFERROR(VLOOKUP(C141,[1]Planilha1!$C$1:$S$65536,17,0),0)</f>
        <v>0</v>
      </c>
      <c r="T141" s="216">
        <f>IFERROR(VLOOKUP(C141,[1]Planilha1!$C$1:$T$65536,18,0),0)</f>
        <v>234</v>
      </c>
      <c r="U141" s="187">
        <v>234</v>
      </c>
      <c r="V141" s="266">
        <v>84.84</v>
      </c>
      <c r="W141" s="187">
        <v>84.84</v>
      </c>
      <c r="X141" s="222"/>
      <c r="Y141" s="187">
        <v>1414</v>
      </c>
      <c r="AA141" s="6"/>
      <c r="AB141" s="6"/>
      <c r="AC141" s="7"/>
      <c r="AD141" s="6"/>
      <c r="AE141" s="6">
        <v>0</v>
      </c>
      <c r="AF141" s="187">
        <v>1414</v>
      </c>
      <c r="AG141" s="7"/>
      <c r="AH141" s="216"/>
      <c r="AI141" s="216"/>
    </row>
    <row r="142" spans="1:35" x14ac:dyDescent="0.25">
      <c r="A142" s="170">
        <v>157</v>
      </c>
      <c r="B142" s="170">
        <v>14</v>
      </c>
      <c r="C142" s="171" t="s">
        <v>414</v>
      </c>
      <c r="D142" s="172" t="s">
        <v>415</v>
      </c>
      <c r="E142" s="172" t="s">
        <v>25</v>
      </c>
      <c r="F142" s="173" t="s">
        <v>416</v>
      </c>
      <c r="G142" s="174">
        <v>42684</v>
      </c>
      <c r="H142" s="173" t="s">
        <v>27</v>
      </c>
      <c r="I142" s="15"/>
      <c r="J142" s="186">
        <v>30</v>
      </c>
      <c r="K142" s="5">
        <v>0</v>
      </c>
      <c r="L142" s="186">
        <v>30</v>
      </c>
      <c r="M142" s="15"/>
      <c r="N142" s="167">
        <v>0</v>
      </c>
      <c r="O142" s="167">
        <v>1515</v>
      </c>
      <c r="P142" s="168"/>
      <c r="Q142" s="216">
        <f>IFERROR(VLOOKUP(C142,[1]Planilha1!$C$1:$Q$65536,15,0),0)</f>
        <v>0</v>
      </c>
      <c r="R142" s="216">
        <f>IFERROR(VLOOKUP(C142,[1]Planilha1!$C$1:$R$65536,16,0),0)</f>
        <v>0</v>
      </c>
      <c r="S142" s="216">
        <f>IFERROR(VLOOKUP(C142,[1]Planilha1!$C$1:$S$65536,17,0),0)</f>
        <v>0</v>
      </c>
      <c r="T142" s="216">
        <f>IFERROR(VLOOKUP(C142,[1]Planilha1!$C$1:$T$65536,18,0),0)</f>
        <v>0</v>
      </c>
      <c r="U142" s="187">
        <v>0</v>
      </c>
      <c r="V142" s="266">
        <v>183.05531999999999</v>
      </c>
      <c r="W142" s="187">
        <v>0</v>
      </c>
      <c r="X142" s="222"/>
      <c r="Y142" s="187">
        <v>1515</v>
      </c>
      <c r="AA142" s="187">
        <v>2440.7375999999999</v>
      </c>
      <c r="AB142" s="187">
        <v>610.18439999999998</v>
      </c>
      <c r="AC142" s="7">
        <v>300</v>
      </c>
      <c r="AD142" s="187">
        <v>381.36525</v>
      </c>
      <c r="AE142" s="187">
        <v>3732.2872499999999</v>
      </c>
      <c r="AF142" s="6">
        <v>0</v>
      </c>
      <c r="AG142" s="7">
        <v>300</v>
      </c>
      <c r="AH142" s="216"/>
      <c r="AI142" s="216"/>
    </row>
    <row r="143" spans="1:35" x14ac:dyDescent="0.25">
      <c r="A143" s="170">
        <v>157</v>
      </c>
      <c r="B143" s="170">
        <v>43</v>
      </c>
      <c r="C143" s="171" t="s">
        <v>423</v>
      </c>
      <c r="D143" s="172" t="s">
        <v>424</v>
      </c>
      <c r="E143" s="172" t="s">
        <v>25</v>
      </c>
      <c r="F143" s="173" t="s">
        <v>425</v>
      </c>
      <c r="G143" s="174">
        <v>44086</v>
      </c>
      <c r="H143" s="173" t="s">
        <v>27</v>
      </c>
      <c r="I143" s="15"/>
      <c r="J143" s="186">
        <v>30</v>
      </c>
      <c r="K143" s="5">
        <v>0</v>
      </c>
      <c r="L143" s="186">
        <v>30</v>
      </c>
      <c r="M143" s="15"/>
      <c r="N143" s="167">
        <v>0</v>
      </c>
      <c r="O143" s="167">
        <v>1515</v>
      </c>
      <c r="P143" s="168"/>
      <c r="Q143" s="216">
        <f>IFERROR(VLOOKUP(C143,[1]Planilha1!$C$1:$Q$65536,15,0),0)</f>
        <v>0</v>
      </c>
      <c r="R143" s="216">
        <f>IFERROR(VLOOKUP(C143,[1]Planilha1!$C$1:$R$65536,16,0),0)</f>
        <v>0</v>
      </c>
      <c r="S143" s="216">
        <f>IFERROR(VLOOKUP(C143,[1]Planilha1!$C$1:$S$65536,17,0),0)</f>
        <v>0</v>
      </c>
      <c r="T143" s="216">
        <f>IFERROR(VLOOKUP(C143,[1]Planilha1!$C$1:$T$65536,18,0),0)</f>
        <v>234</v>
      </c>
      <c r="U143" s="187">
        <v>234</v>
      </c>
      <c r="V143" s="266">
        <v>128.172504</v>
      </c>
      <c r="W143" s="187">
        <v>128.172504</v>
      </c>
      <c r="X143" s="222"/>
      <c r="Y143" s="187">
        <v>1515</v>
      </c>
      <c r="AA143" s="187">
        <v>1708.9667199999999</v>
      </c>
      <c r="AB143" s="187">
        <v>427.24167999999997</v>
      </c>
      <c r="AC143" s="7"/>
      <c r="AD143" s="187">
        <v>267.02605</v>
      </c>
      <c r="AE143" s="187">
        <v>2403.2344499999999</v>
      </c>
      <c r="AF143" s="6">
        <v>0</v>
      </c>
      <c r="AG143" s="7"/>
      <c r="AH143" s="216"/>
      <c r="AI143" s="216"/>
    </row>
    <row r="144" spans="1:35" s="163" customFormat="1" x14ac:dyDescent="0.25">
      <c r="A144" s="170">
        <v>157</v>
      </c>
      <c r="B144" s="170">
        <v>45</v>
      </c>
      <c r="C144" s="171" t="s">
        <v>429</v>
      </c>
      <c r="D144" s="172" t="s">
        <v>430</v>
      </c>
      <c r="E144" s="172" t="s">
        <v>25</v>
      </c>
      <c r="F144" s="173" t="s">
        <v>431</v>
      </c>
      <c r="G144" s="174">
        <v>44155</v>
      </c>
      <c r="H144" s="173" t="s">
        <v>27</v>
      </c>
      <c r="I144" s="15"/>
      <c r="J144" s="186">
        <v>30</v>
      </c>
      <c r="K144" s="5">
        <v>0</v>
      </c>
      <c r="L144" s="186">
        <v>30</v>
      </c>
      <c r="M144" s="15"/>
      <c r="N144" s="167">
        <v>0</v>
      </c>
      <c r="O144" s="167">
        <v>1515</v>
      </c>
      <c r="P144" s="168"/>
      <c r="Q144" s="216">
        <f>IFERROR(VLOOKUP(C144,[1]Planilha1!$C$1:$Q$65536,15,0),0)</f>
        <v>0</v>
      </c>
      <c r="R144" s="216">
        <f>IFERROR(VLOOKUP(C144,[1]Planilha1!$C$1:$R$65536,16,0),0)</f>
        <v>0</v>
      </c>
      <c r="S144" s="216">
        <f>IFERROR(VLOOKUP(C144,[1]Planilha1!$C$1:$S$65536,17,0),0)</f>
        <v>0</v>
      </c>
      <c r="T144" s="216">
        <f>IFERROR(VLOOKUP(C144,[1]Planilha1!$C$1:$T$65536,18,0),0)</f>
        <v>234</v>
      </c>
      <c r="U144" s="187">
        <v>234</v>
      </c>
      <c r="V144" s="266">
        <v>135.55224000000001</v>
      </c>
      <c r="W144" s="187">
        <v>135.55224000000001</v>
      </c>
      <c r="X144" s="222"/>
      <c r="Y144" s="187">
        <v>1515</v>
      </c>
      <c r="Z144" s="17"/>
      <c r="AA144" s="187">
        <v>1807.3632</v>
      </c>
      <c r="AB144" s="187">
        <v>451.8408</v>
      </c>
      <c r="AC144" s="7"/>
      <c r="AD144" s="187">
        <v>282.40050000000002</v>
      </c>
      <c r="AE144" s="187">
        <v>2541.6045000000004</v>
      </c>
      <c r="AF144" s="6">
        <v>0</v>
      </c>
      <c r="AG144" s="7"/>
      <c r="AH144" s="216"/>
      <c r="AI144" s="216"/>
    </row>
    <row r="145" spans="1:35" x14ac:dyDescent="0.25">
      <c r="A145" s="170">
        <v>157</v>
      </c>
      <c r="B145" s="170">
        <v>33</v>
      </c>
      <c r="C145" s="171" t="s">
        <v>417</v>
      </c>
      <c r="D145" s="172" t="s">
        <v>418</v>
      </c>
      <c r="E145" s="172" t="s">
        <v>48</v>
      </c>
      <c r="F145" s="173" t="s">
        <v>419</v>
      </c>
      <c r="G145" s="174">
        <v>43693</v>
      </c>
      <c r="H145" s="173" t="s">
        <v>27</v>
      </c>
      <c r="I145" s="15"/>
      <c r="J145" s="186">
        <v>-82</v>
      </c>
      <c r="K145" s="188">
        <v>56</v>
      </c>
      <c r="L145" s="186">
        <v>-26</v>
      </c>
      <c r="M145" s="15"/>
      <c r="N145" s="167">
        <v>0</v>
      </c>
      <c r="O145" s="167">
        <v>4610.7</v>
      </c>
      <c r="P145" s="168"/>
      <c r="Q145" s="216">
        <f>IFERROR(VLOOKUP(C145,[1]Planilha1!$C$1:$Q$65536,15,0),0)</f>
        <v>0</v>
      </c>
      <c r="R145" s="216">
        <f>IFERROR(VLOOKUP(C145,[1]Planilha1!$C$1:$R$65536,16,0),0)</f>
        <v>0</v>
      </c>
      <c r="S145" s="216">
        <f>IFERROR(VLOOKUP(C145,[1]Planilha1!$C$1:$S$65536,17,0),0)</f>
        <v>0</v>
      </c>
      <c r="T145" s="216">
        <f>IFERROR(VLOOKUP(C145,[1]Planilha1!$C$1:$T$65536,18,0),0)</f>
        <v>0</v>
      </c>
      <c r="U145" s="187">
        <v>0</v>
      </c>
      <c r="V145" s="266">
        <v>254.07149999999996</v>
      </c>
      <c r="W145" s="187">
        <v>0</v>
      </c>
      <c r="X145" s="222"/>
      <c r="Y145" s="187">
        <v>-12602.58</v>
      </c>
      <c r="AA145" s="187" t="s">
        <v>1678</v>
      </c>
      <c r="AB145" s="187">
        <v>846.90499999999997</v>
      </c>
      <c r="AC145" s="7"/>
      <c r="AD145" s="187">
        <v>2000</v>
      </c>
      <c r="AE145" s="187">
        <v>6234.5249999999996</v>
      </c>
      <c r="AF145" s="6">
        <v>0</v>
      </c>
      <c r="AG145" s="7"/>
      <c r="AH145" s="216"/>
      <c r="AI145" s="216"/>
    </row>
    <row r="146" spans="1:35" x14ac:dyDescent="0.25">
      <c r="A146" s="170">
        <v>161</v>
      </c>
      <c r="B146" s="170">
        <v>51</v>
      </c>
      <c r="C146" s="171" t="s">
        <v>435</v>
      </c>
      <c r="D146" s="172" t="s">
        <v>436</v>
      </c>
      <c r="E146" s="172" t="s">
        <v>25</v>
      </c>
      <c r="F146" s="173" t="s">
        <v>437</v>
      </c>
      <c r="G146" s="174">
        <v>44342</v>
      </c>
      <c r="H146" s="173" t="s">
        <v>27</v>
      </c>
      <c r="I146" s="15"/>
      <c r="J146" s="186">
        <v>30</v>
      </c>
      <c r="K146" s="5">
        <v>0</v>
      </c>
      <c r="L146" s="186">
        <v>30</v>
      </c>
      <c r="M146" s="15"/>
      <c r="N146" s="167">
        <v>0</v>
      </c>
      <c r="O146" s="167">
        <v>1420.37</v>
      </c>
      <c r="P146" s="168"/>
      <c r="Q146" s="216">
        <f>IFERROR(VLOOKUP(C146,[1]Planilha1!$C$1:$Q$65536,15,0),0)</f>
        <v>0</v>
      </c>
      <c r="R146" s="216">
        <f>IFERROR(VLOOKUP(C146,[1]Planilha1!$C$1:$R$65536,16,0),0)</f>
        <v>0</v>
      </c>
      <c r="S146" s="216">
        <f>IFERROR(VLOOKUP(C146,[1]Planilha1!$C$1:$S$65536,17,0),0)</f>
        <v>0</v>
      </c>
      <c r="T146" s="216">
        <f>IFERROR(VLOOKUP(C146,[1]Planilha1!$C$1:$T$65536,18,0),0)</f>
        <v>572</v>
      </c>
      <c r="U146" s="187">
        <v>572</v>
      </c>
      <c r="V146" s="266">
        <v>183.94807200000002</v>
      </c>
      <c r="W146" s="187">
        <v>183.94807200000002</v>
      </c>
      <c r="X146" s="222"/>
      <c r="Y146" s="187">
        <v>1420.37</v>
      </c>
      <c r="AA146" s="187">
        <v>2452.6409600000002</v>
      </c>
      <c r="AB146" s="187">
        <v>613.16024000000004</v>
      </c>
      <c r="AC146" s="7">
        <v>300</v>
      </c>
      <c r="AD146" s="187">
        <v>383.22514999999999</v>
      </c>
      <c r="AE146" s="187">
        <v>3749.0263500000001</v>
      </c>
      <c r="AF146" s="6">
        <v>0</v>
      </c>
      <c r="AG146" s="7">
        <v>300</v>
      </c>
      <c r="AH146" s="216"/>
      <c r="AI146" s="216"/>
    </row>
    <row r="147" spans="1:35" x14ac:dyDescent="0.25">
      <c r="A147" s="170">
        <v>161</v>
      </c>
      <c r="B147" s="170">
        <v>49</v>
      </c>
      <c r="C147" s="171" t="s">
        <v>438</v>
      </c>
      <c r="D147" s="172" t="s">
        <v>439</v>
      </c>
      <c r="E147" s="172" t="s">
        <v>25</v>
      </c>
      <c r="F147" s="173" t="s">
        <v>440</v>
      </c>
      <c r="G147" s="174">
        <v>44287</v>
      </c>
      <c r="H147" s="173" t="s">
        <v>27</v>
      </c>
      <c r="I147" s="164"/>
      <c r="J147" s="186">
        <v>30</v>
      </c>
      <c r="K147" s="5">
        <v>0</v>
      </c>
      <c r="L147" s="186">
        <v>30</v>
      </c>
      <c r="M147" s="164"/>
      <c r="N147" s="167">
        <v>0</v>
      </c>
      <c r="O147" s="167">
        <v>1420.37</v>
      </c>
      <c r="P147" s="168"/>
      <c r="Q147" s="216">
        <f>IFERROR(VLOOKUP(C147,[1]Planilha1!$C$1:$Q$65536,15,0),0)</f>
        <v>0</v>
      </c>
      <c r="R147" s="216">
        <f>IFERROR(VLOOKUP(C147,[1]Planilha1!$C$1:$R$65536,16,0),0)</f>
        <v>0</v>
      </c>
      <c r="S147" s="216">
        <f>IFERROR(VLOOKUP(C147,[1]Planilha1!$C$1:$S$65536,17,0),0)</f>
        <v>0</v>
      </c>
      <c r="T147" s="216">
        <f>IFERROR(VLOOKUP(C147,[1]Planilha1!$C$1:$T$65536,18,0),0)</f>
        <v>0</v>
      </c>
      <c r="U147" s="187">
        <v>0</v>
      </c>
      <c r="V147" s="266">
        <v>178.87672799999999</v>
      </c>
      <c r="W147" s="187">
        <v>0</v>
      </c>
      <c r="X147" s="226"/>
      <c r="Y147" s="187">
        <v>1420.37</v>
      </c>
      <c r="AA147" s="187">
        <v>2385.02304</v>
      </c>
      <c r="AB147" s="187">
        <v>596.25576000000001</v>
      </c>
      <c r="AC147" s="7"/>
      <c r="AD147" s="187">
        <v>372.65985000000001</v>
      </c>
      <c r="AE147" s="187">
        <v>3353.9386500000001</v>
      </c>
      <c r="AF147" s="6">
        <v>0</v>
      </c>
      <c r="AG147" s="7"/>
      <c r="AH147" s="220"/>
      <c r="AI147" s="216"/>
    </row>
    <row r="148" spans="1:35" x14ac:dyDescent="0.25">
      <c r="A148" s="170">
        <v>161</v>
      </c>
      <c r="B148" s="170">
        <v>45</v>
      </c>
      <c r="C148" s="171" t="s">
        <v>441</v>
      </c>
      <c r="D148" s="172" t="s">
        <v>442</v>
      </c>
      <c r="E148" s="172" t="s">
        <v>30</v>
      </c>
      <c r="F148" s="173" t="s">
        <v>443</v>
      </c>
      <c r="G148" s="174">
        <v>44154</v>
      </c>
      <c r="H148" s="173" t="s">
        <v>27</v>
      </c>
      <c r="I148" s="15"/>
      <c r="J148" s="186">
        <v>30</v>
      </c>
      <c r="K148" s="5">
        <v>0</v>
      </c>
      <c r="L148" s="186">
        <v>30</v>
      </c>
      <c r="M148" s="15"/>
      <c r="N148" s="167">
        <v>1285</v>
      </c>
      <c r="O148" s="167"/>
      <c r="P148" s="168">
        <v>128.5</v>
      </c>
      <c r="Q148" s="216">
        <f>IFERROR(VLOOKUP(C148,[1]Planilha1!$C$1:$Q$65536,15,0),0)</f>
        <v>0</v>
      </c>
      <c r="R148" s="216">
        <f>IFERROR(VLOOKUP(C148,[1]Planilha1!$C$1:$R$65536,16,0),0)</f>
        <v>0</v>
      </c>
      <c r="S148" s="216">
        <f>IFERROR(VLOOKUP(C148,[1]Planilha1!$C$1:$S$65536,17,0),0)</f>
        <v>0</v>
      </c>
      <c r="T148" s="216">
        <f>IFERROR(VLOOKUP(C148,[1]Planilha1!$C$1:$T$65536,18,0),0)</f>
        <v>236.6</v>
      </c>
      <c r="U148" s="187">
        <v>236.6</v>
      </c>
      <c r="V148" s="266">
        <v>77.099999999999994</v>
      </c>
      <c r="W148" s="187">
        <v>77.099999999999994</v>
      </c>
      <c r="X148" s="222"/>
      <c r="Y148" s="187">
        <v>1285</v>
      </c>
      <c r="AA148" s="6"/>
      <c r="AB148" s="6"/>
      <c r="AC148" s="7"/>
      <c r="AD148" s="6"/>
      <c r="AE148" s="6">
        <v>0</v>
      </c>
      <c r="AF148" s="187">
        <v>1285</v>
      </c>
      <c r="AG148" s="7"/>
      <c r="AH148" s="216"/>
      <c r="AI148" s="216"/>
    </row>
    <row r="149" spans="1:35" x14ac:dyDescent="0.25">
      <c r="A149" s="170">
        <v>161</v>
      </c>
      <c r="B149" s="170">
        <v>32</v>
      </c>
      <c r="C149" s="171" t="s">
        <v>444</v>
      </c>
      <c r="D149" s="172" t="s">
        <v>445</v>
      </c>
      <c r="E149" s="172" t="s">
        <v>48</v>
      </c>
      <c r="F149" s="173" t="s">
        <v>446</v>
      </c>
      <c r="G149" s="174">
        <v>43491</v>
      </c>
      <c r="H149" s="173" t="s">
        <v>27</v>
      </c>
      <c r="I149" s="15"/>
      <c r="J149" s="186">
        <v>30</v>
      </c>
      <c r="K149" s="5">
        <v>0</v>
      </c>
      <c r="L149" s="186">
        <v>30</v>
      </c>
      <c r="M149" s="15"/>
      <c r="N149" s="167">
        <v>0</v>
      </c>
      <c r="O149" s="167">
        <v>4102</v>
      </c>
      <c r="P149" s="168"/>
      <c r="Q149" s="216">
        <f>IFERROR(VLOOKUP(C149,[1]Planilha1!$C$1:$Q$65536,15,0),0)</f>
        <v>0</v>
      </c>
      <c r="R149" s="216">
        <f>IFERROR(VLOOKUP(C149,[1]Planilha1!$C$1:$R$65536,16,0),0)</f>
        <v>0</v>
      </c>
      <c r="S149" s="216">
        <f>IFERROR(VLOOKUP(C149,[1]Planilha1!$C$1:$S$65536,17,0),0)</f>
        <v>0</v>
      </c>
      <c r="T149" s="216">
        <f>IFERROR(VLOOKUP(C149,[1]Planilha1!$C$1:$T$65536,18,0),0)</f>
        <v>0</v>
      </c>
      <c r="U149" s="187">
        <v>0</v>
      </c>
      <c r="V149" s="266">
        <v>214.17225000000002</v>
      </c>
      <c r="W149" s="187">
        <v>0</v>
      </c>
      <c r="X149" s="222"/>
      <c r="Y149" s="187">
        <v>4102</v>
      </c>
      <c r="AA149" s="187" t="s">
        <v>1680</v>
      </c>
      <c r="AB149" s="187">
        <v>713.90750000000003</v>
      </c>
      <c r="AC149" s="7"/>
      <c r="AD149" s="187">
        <v>2000</v>
      </c>
      <c r="AE149" s="187">
        <v>5569.5375000000004</v>
      </c>
      <c r="AF149" s="6">
        <v>0</v>
      </c>
      <c r="AG149" s="7"/>
      <c r="AH149" s="216"/>
      <c r="AI149" s="216"/>
    </row>
    <row r="150" spans="1:35" x14ac:dyDescent="0.25">
      <c r="A150" s="170">
        <v>161</v>
      </c>
      <c r="B150" s="170">
        <v>52</v>
      </c>
      <c r="C150" s="171" t="s">
        <v>447</v>
      </c>
      <c r="D150" s="172" t="s">
        <v>448</v>
      </c>
      <c r="E150" s="172" t="s">
        <v>25</v>
      </c>
      <c r="F150" s="173" t="s">
        <v>449</v>
      </c>
      <c r="G150" s="174">
        <v>44355</v>
      </c>
      <c r="H150" s="173" t="s">
        <v>27</v>
      </c>
      <c r="I150" s="15"/>
      <c r="J150" s="186">
        <v>30</v>
      </c>
      <c r="K150" s="5">
        <v>0</v>
      </c>
      <c r="L150" s="186">
        <v>30</v>
      </c>
      <c r="M150" s="15"/>
      <c r="N150" s="167">
        <v>0</v>
      </c>
      <c r="O150" s="167">
        <v>1420.37</v>
      </c>
      <c r="P150" s="168"/>
      <c r="Q150" s="216">
        <f>IFERROR(VLOOKUP(C150,[1]Planilha1!$C$1:$Q$65536,15,0),0)</f>
        <v>0</v>
      </c>
      <c r="R150" s="216">
        <f>IFERROR(VLOOKUP(C150,[1]Planilha1!$C$1:$R$65536,16,0),0)</f>
        <v>0</v>
      </c>
      <c r="S150" s="216">
        <f>IFERROR(VLOOKUP(C150,[1]Planilha1!$C$1:$S$65536,17,0),0)</f>
        <v>0</v>
      </c>
      <c r="T150" s="216">
        <f>IFERROR(VLOOKUP(C150,[1]Planilha1!$C$1:$T$65536,18,0),0)</f>
        <v>354.9</v>
      </c>
      <c r="U150" s="187">
        <v>354.9</v>
      </c>
      <c r="V150" s="266">
        <v>85.222199999999987</v>
      </c>
      <c r="W150" s="187">
        <v>85.222199999999987</v>
      </c>
      <c r="X150" s="222"/>
      <c r="Y150" s="187">
        <v>1420.37</v>
      </c>
      <c r="AA150" s="187">
        <v>864.95808</v>
      </c>
      <c r="AB150" s="187">
        <v>216.23952</v>
      </c>
      <c r="AC150" s="7"/>
      <c r="AD150" s="6"/>
      <c r="AE150" s="187">
        <v>1081.1976</v>
      </c>
      <c r="AF150" s="187">
        <v>339.17239999999993</v>
      </c>
      <c r="AG150" s="7"/>
      <c r="AH150" s="216"/>
      <c r="AI150" s="216"/>
    </row>
    <row r="151" spans="1:35" x14ac:dyDescent="0.25">
      <c r="A151" s="170">
        <v>161</v>
      </c>
      <c r="B151" s="170">
        <v>53</v>
      </c>
      <c r="C151" s="171" t="s">
        <v>952</v>
      </c>
      <c r="D151" s="172" t="s">
        <v>953</v>
      </c>
      <c r="E151" s="172" t="s">
        <v>25</v>
      </c>
      <c r="F151" s="173" t="s">
        <v>954</v>
      </c>
      <c r="G151" s="174">
        <v>44398</v>
      </c>
      <c r="H151" s="173" t="s">
        <v>27</v>
      </c>
      <c r="I151" s="15"/>
      <c r="J151" s="186">
        <v>10</v>
      </c>
      <c r="K151" s="5">
        <v>0</v>
      </c>
      <c r="L151" s="186">
        <v>10</v>
      </c>
      <c r="M151" s="15"/>
      <c r="N151" s="167">
        <v>0</v>
      </c>
      <c r="O151" s="167">
        <v>1420.37</v>
      </c>
      <c r="P151" s="168"/>
      <c r="Q151" s="216">
        <f>IFERROR(VLOOKUP(C151,[1]Planilha1!$C$1:$Q$65536,15,0),0)</f>
        <v>0</v>
      </c>
      <c r="R151" s="216">
        <f>IFERROR(VLOOKUP(C151,[1]Planilha1!$C$1:$R$65536,16,0),0)</f>
        <v>13.87</v>
      </c>
      <c r="S151" s="216">
        <f>IFERROR(VLOOKUP(C151,[1]Planilha1!$C$1:$S$65536,17,0),0)</f>
        <v>105.6</v>
      </c>
      <c r="T151" s="216">
        <f>IFERROR(VLOOKUP(C151,[1]Planilha1!$C$1:$T$65536,18,0),0)</f>
        <v>0</v>
      </c>
      <c r="U151" s="187">
        <v>105.6</v>
      </c>
      <c r="V151" s="266">
        <v>85.222199999999987</v>
      </c>
      <c r="W151" s="187">
        <v>85.222199999999987</v>
      </c>
      <c r="X151" s="222"/>
      <c r="Y151" s="187">
        <v>473.45666666666665</v>
      </c>
      <c r="AA151" s="6"/>
      <c r="AB151" s="6"/>
      <c r="AC151" s="7"/>
      <c r="AD151" s="6"/>
      <c r="AE151" s="6">
        <v>0</v>
      </c>
      <c r="AF151" s="187">
        <v>473.45666666666665</v>
      </c>
      <c r="AG151" s="7"/>
      <c r="AH151" s="216"/>
      <c r="AI151" s="216"/>
    </row>
    <row r="152" spans="1:35" x14ac:dyDescent="0.25">
      <c r="A152" s="170">
        <v>166</v>
      </c>
      <c r="B152" s="170">
        <v>34</v>
      </c>
      <c r="C152" s="171" t="s">
        <v>450</v>
      </c>
      <c r="D152" s="172" t="s">
        <v>451</v>
      </c>
      <c r="E152" s="172" t="s">
        <v>25</v>
      </c>
      <c r="F152" s="173" t="s">
        <v>452</v>
      </c>
      <c r="G152" s="174">
        <v>43794</v>
      </c>
      <c r="H152" s="173" t="s">
        <v>27</v>
      </c>
      <c r="I152" s="15"/>
      <c r="J152" s="186">
        <v>30</v>
      </c>
      <c r="K152" s="5">
        <v>0</v>
      </c>
      <c r="L152" s="186">
        <v>30</v>
      </c>
      <c r="M152" s="15"/>
      <c r="N152" s="167">
        <v>1300</v>
      </c>
      <c r="O152" s="167" t="s">
        <v>979</v>
      </c>
      <c r="P152" s="168"/>
      <c r="Q152" s="216">
        <f>IFERROR(VLOOKUP(C152,[1]Planilha1!$C$1:$Q$65536,15,0),0)</f>
        <v>0</v>
      </c>
      <c r="R152" s="216">
        <f>IFERROR(VLOOKUP(C152,[1]Planilha1!$C$1:$R$65536,16,0),0)</f>
        <v>0</v>
      </c>
      <c r="S152" s="216">
        <f>IFERROR(VLOOKUP(C152,[1]Planilha1!$C$1:$S$65536,17,0),0)</f>
        <v>0</v>
      </c>
      <c r="T152" s="216">
        <f>IFERROR(VLOOKUP(C152,[1]Planilha1!$C$1:$T$65536,18,0),0)</f>
        <v>0</v>
      </c>
      <c r="U152" s="187">
        <v>0</v>
      </c>
      <c r="V152" s="266">
        <v>139.212816</v>
      </c>
      <c r="W152" s="187">
        <v>0</v>
      </c>
      <c r="X152" s="222"/>
      <c r="Y152" s="187">
        <v>1301</v>
      </c>
      <c r="AA152" s="187">
        <v>1856.1708799999999</v>
      </c>
      <c r="AB152" s="187">
        <v>464.04271999999997</v>
      </c>
      <c r="AC152" s="7"/>
      <c r="AD152" s="6"/>
      <c r="AE152" s="187">
        <v>2320.2136</v>
      </c>
      <c r="AF152" s="6">
        <v>0</v>
      </c>
      <c r="AG152" s="7"/>
      <c r="AH152" s="216"/>
      <c r="AI152" s="216"/>
    </row>
    <row r="153" spans="1:35" x14ac:dyDescent="0.25">
      <c r="A153" s="170">
        <v>166</v>
      </c>
      <c r="B153" s="170">
        <v>1</v>
      </c>
      <c r="C153" s="171" t="s">
        <v>453</v>
      </c>
      <c r="D153" s="172" t="s">
        <v>454</v>
      </c>
      <c r="E153" s="172" t="s">
        <v>48</v>
      </c>
      <c r="F153" s="173" t="s">
        <v>455</v>
      </c>
      <c r="G153" s="174">
        <v>43069</v>
      </c>
      <c r="H153" s="173" t="s">
        <v>27</v>
      </c>
      <c r="I153" s="15"/>
      <c r="J153" s="186">
        <v>30</v>
      </c>
      <c r="K153" s="5">
        <v>0</v>
      </c>
      <c r="L153" s="186">
        <v>30</v>
      </c>
      <c r="M153" s="15"/>
      <c r="N153" s="167">
        <v>0</v>
      </c>
      <c r="O153" s="167">
        <v>4000</v>
      </c>
      <c r="P153" s="168"/>
      <c r="Q153" s="216">
        <f>IFERROR(VLOOKUP(C153,[1]Planilha1!$C$1:$Q$65536,15,0),0)</f>
        <v>0</v>
      </c>
      <c r="R153" s="216">
        <f>IFERROR(VLOOKUP(C153,[1]Planilha1!$C$1:$R$65536,16,0),0)</f>
        <v>0</v>
      </c>
      <c r="S153" s="216">
        <f>IFERROR(VLOOKUP(C153,[1]Planilha1!$C$1:$S$65536,17,0),0)</f>
        <v>0</v>
      </c>
      <c r="T153" s="216">
        <f>IFERROR(VLOOKUP(C153,[1]Planilha1!$C$1:$T$65536,18,0),0)</f>
        <v>0</v>
      </c>
      <c r="U153" s="187">
        <v>0</v>
      </c>
      <c r="V153" s="266">
        <v>246.31274999999997</v>
      </c>
      <c r="W153" s="187">
        <v>0</v>
      </c>
      <c r="X153" s="222"/>
      <c r="Y153" s="187">
        <v>4000.0000000000005</v>
      </c>
      <c r="AA153" s="187" t="s">
        <v>1682</v>
      </c>
      <c r="AB153" s="187">
        <v>821.04250000000002</v>
      </c>
      <c r="AC153" s="7"/>
      <c r="AD153" s="187">
        <v>2000</v>
      </c>
      <c r="AE153" s="187">
        <v>6105.2124999999996</v>
      </c>
      <c r="AF153" s="6">
        <v>0</v>
      </c>
      <c r="AG153" s="7"/>
      <c r="AH153" s="216"/>
      <c r="AI153" s="216"/>
    </row>
    <row r="154" spans="1:35" x14ac:dyDescent="0.25">
      <c r="A154" s="170">
        <v>166</v>
      </c>
      <c r="B154" s="170">
        <v>8</v>
      </c>
      <c r="C154" s="171" t="s">
        <v>457</v>
      </c>
      <c r="D154" s="172" t="s">
        <v>458</v>
      </c>
      <c r="E154" s="172" t="s">
        <v>25</v>
      </c>
      <c r="F154" s="173" t="s">
        <v>459</v>
      </c>
      <c r="G154" s="174">
        <v>43069</v>
      </c>
      <c r="H154" s="173" t="s">
        <v>27</v>
      </c>
      <c r="I154" s="15"/>
      <c r="J154" s="186">
        <v>30</v>
      </c>
      <c r="K154" s="5">
        <v>0</v>
      </c>
      <c r="L154" s="186">
        <v>30</v>
      </c>
      <c r="M154" s="15"/>
      <c r="N154" s="167">
        <v>1300</v>
      </c>
      <c r="O154" s="167" t="s">
        <v>979</v>
      </c>
      <c r="P154" s="168"/>
      <c r="Q154" s="216">
        <f>IFERROR(VLOOKUP(C154,[1]Planilha1!$C$1:$Q$65536,15,0),0)</f>
        <v>0</v>
      </c>
      <c r="R154" s="216">
        <f>IFERROR(VLOOKUP(C154,[1]Planilha1!$C$1:$R$65536,16,0),0)</f>
        <v>0</v>
      </c>
      <c r="S154" s="216">
        <f>IFERROR(VLOOKUP(C154,[1]Planilha1!$C$1:$S$65536,17,0),0)</f>
        <v>0</v>
      </c>
      <c r="T154" s="216">
        <f>IFERROR(VLOOKUP(C154,[1]Planilha1!$C$1:$T$65536,18,0),0)</f>
        <v>0</v>
      </c>
      <c r="U154" s="187">
        <v>0</v>
      </c>
      <c r="V154" s="266">
        <v>146.06371199999998</v>
      </c>
      <c r="W154" s="187">
        <v>0</v>
      </c>
      <c r="X154" s="222"/>
      <c r="Y154" s="187">
        <v>1301</v>
      </c>
      <c r="AA154" s="187">
        <v>1947.5161599999999</v>
      </c>
      <c r="AB154" s="187">
        <v>486.87903999999997</v>
      </c>
      <c r="AC154" s="7">
        <v>300</v>
      </c>
      <c r="AD154" s="6"/>
      <c r="AE154" s="187">
        <v>2734.3951999999999</v>
      </c>
      <c r="AF154" s="6">
        <v>0</v>
      </c>
      <c r="AG154" s="7">
        <v>300</v>
      </c>
      <c r="AH154" s="216"/>
      <c r="AI154" s="216"/>
    </row>
    <row r="155" spans="1:35" x14ac:dyDescent="0.25">
      <c r="A155" s="170">
        <v>166</v>
      </c>
      <c r="B155" s="170">
        <v>43</v>
      </c>
      <c r="C155" s="171" t="s">
        <v>958</v>
      </c>
      <c r="D155" s="172" t="s">
        <v>959</v>
      </c>
      <c r="E155" s="172" t="s">
        <v>25</v>
      </c>
      <c r="F155" s="173" t="s">
        <v>960</v>
      </c>
      <c r="G155" s="174">
        <v>44399</v>
      </c>
      <c r="H155" s="173" t="s">
        <v>27</v>
      </c>
      <c r="I155" s="15"/>
      <c r="J155" s="186">
        <v>9</v>
      </c>
      <c r="K155" s="5">
        <v>0</v>
      </c>
      <c r="L155" s="186">
        <v>9</v>
      </c>
      <c r="M155" s="15"/>
      <c r="N155" s="167">
        <v>1300</v>
      </c>
      <c r="O155" s="167" t="s">
        <v>979</v>
      </c>
      <c r="P155" s="168"/>
      <c r="Q155" s="216">
        <f>IFERROR(VLOOKUP(C155,[1]Planilha1!$C$1:$Q$65536,15,0),0)</f>
        <v>0</v>
      </c>
      <c r="R155" s="216">
        <f>IFERROR(VLOOKUP(C155,[1]Planilha1!$C$1:$R$65536,16,0),0)</f>
        <v>90</v>
      </c>
      <c r="S155" s="216">
        <f>IFERROR(VLOOKUP(C155,[1]Planilha1!$C$1:$S$65536,17,0),0)</f>
        <v>0</v>
      </c>
      <c r="T155" s="216">
        <f>IFERROR(VLOOKUP(C155,[1]Planilha1!$C$1:$T$65536,18,0),0)</f>
        <v>0</v>
      </c>
      <c r="U155" s="187">
        <v>0</v>
      </c>
      <c r="V155" s="266">
        <v>78.06</v>
      </c>
      <c r="W155" s="187">
        <v>0</v>
      </c>
      <c r="X155" s="222"/>
      <c r="Y155" s="187">
        <v>390.3</v>
      </c>
      <c r="AA155" s="6"/>
      <c r="AB155" s="6"/>
      <c r="AC155" s="7"/>
      <c r="AD155" s="6"/>
      <c r="AE155" s="6">
        <v>0</v>
      </c>
      <c r="AF155" s="187">
        <v>390.3</v>
      </c>
      <c r="AG155" s="7"/>
      <c r="AH155" s="216"/>
      <c r="AI155" s="216"/>
    </row>
    <row r="156" spans="1:35" x14ac:dyDescent="0.25">
      <c r="A156" s="170">
        <v>166</v>
      </c>
      <c r="B156" s="170">
        <v>42</v>
      </c>
      <c r="C156" s="171" t="s">
        <v>955</v>
      </c>
      <c r="D156" s="172" t="s">
        <v>956</v>
      </c>
      <c r="E156" s="172" t="s">
        <v>25</v>
      </c>
      <c r="F156" s="173" t="s">
        <v>957</v>
      </c>
      <c r="G156" s="174">
        <v>44398</v>
      </c>
      <c r="H156" s="173" t="s">
        <v>27</v>
      </c>
      <c r="I156" s="15"/>
      <c r="J156" s="186">
        <v>10</v>
      </c>
      <c r="K156" s="5">
        <v>0</v>
      </c>
      <c r="L156" s="186">
        <v>10</v>
      </c>
      <c r="M156" s="15"/>
      <c r="N156" s="167">
        <v>1300</v>
      </c>
      <c r="O156" s="167" t="s">
        <v>979</v>
      </c>
      <c r="P156" s="168"/>
      <c r="Q156" s="216">
        <f>IFERROR(VLOOKUP(C156,[1]Planilha1!$C$1:$Q$65536,15,0),0)</f>
        <v>0</v>
      </c>
      <c r="R156" s="216">
        <f>IFERROR(VLOOKUP(C156,[1]Planilha1!$C$1:$R$65536,16,0),0)</f>
        <v>110</v>
      </c>
      <c r="S156" s="216">
        <f>IFERROR(VLOOKUP(C156,[1]Planilha1!$C$1:$S$65536,17,0),0)</f>
        <v>0</v>
      </c>
      <c r="T156" s="216">
        <f>IFERROR(VLOOKUP(C156,[1]Planilha1!$C$1:$T$65536,18,0),0)</f>
        <v>0</v>
      </c>
      <c r="U156" s="187">
        <v>0</v>
      </c>
      <c r="V156" s="266">
        <v>78.06</v>
      </c>
      <c r="W156" s="187">
        <v>0</v>
      </c>
      <c r="X156" s="222"/>
      <c r="Y156" s="187">
        <v>433.66666666666669</v>
      </c>
      <c r="AA156" s="6"/>
      <c r="AB156" s="6"/>
      <c r="AC156" s="7"/>
      <c r="AD156" s="6"/>
      <c r="AE156" s="6">
        <v>0</v>
      </c>
      <c r="AF156" s="187">
        <v>433.66666666666669</v>
      </c>
      <c r="AG156" s="7"/>
      <c r="AH156" s="216"/>
      <c r="AI156" s="216"/>
    </row>
    <row r="157" spans="1:35" x14ac:dyDescent="0.25">
      <c r="A157" s="170">
        <v>169</v>
      </c>
      <c r="B157" s="170">
        <v>35</v>
      </c>
      <c r="C157" s="171" t="s">
        <v>460</v>
      </c>
      <c r="D157" s="172" t="s">
        <v>461</v>
      </c>
      <c r="E157" s="172" t="s">
        <v>30</v>
      </c>
      <c r="F157" s="173" t="s">
        <v>462</v>
      </c>
      <c r="G157" s="174">
        <v>44035</v>
      </c>
      <c r="H157" s="173" t="s">
        <v>27</v>
      </c>
      <c r="I157" s="15"/>
      <c r="J157" s="186">
        <v>30</v>
      </c>
      <c r="K157" s="5">
        <v>0</v>
      </c>
      <c r="L157" s="186">
        <v>30</v>
      </c>
      <c r="M157" s="15"/>
      <c r="N157" s="167">
        <v>1314</v>
      </c>
      <c r="O157" s="167"/>
      <c r="P157" s="168">
        <v>262.8</v>
      </c>
      <c r="Q157" s="216">
        <f>IFERROR(VLOOKUP(C157,[1]Planilha1!$C$1:$Q$65536,15,0),0)</f>
        <v>0</v>
      </c>
      <c r="R157" s="216">
        <f>IFERROR(VLOOKUP(C157,[1]Planilha1!$C$1:$R$65536,16,0),0)</f>
        <v>0</v>
      </c>
      <c r="S157" s="153" t="str">
        <f>IFERROR(VLOOKUP(C157,'[2]Base 06-2021'!$C$1:$T$65536,17,0),0)</f>
        <v>Fretado</v>
      </c>
      <c r="T157" s="216">
        <f>IFERROR(VLOOKUP(C157,[1]Planilha1!$C$1:$T$65536,18,0),0)</f>
        <v>0</v>
      </c>
      <c r="U157" s="187">
        <v>0</v>
      </c>
      <c r="V157" s="266">
        <v>78.84</v>
      </c>
      <c r="W157" s="187">
        <v>78.84</v>
      </c>
      <c r="X157" s="222"/>
      <c r="Y157" s="187">
        <v>1314</v>
      </c>
      <c r="AA157" s="6"/>
      <c r="AB157" s="6"/>
      <c r="AC157" s="7"/>
      <c r="AD157" s="6"/>
      <c r="AE157" s="6">
        <v>0</v>
      </c>
      <c r="AF157" s="187">
        <v>1314</v>
      </c>
      <c r="AG157" s="7"/>
      <c r="AH157" s="216"/>
      <c r="AI157" s="216"/>
    </row>
    <row r="158" spans="1:35" x14ac:dyDescent="0.25">
      <c r="A158" s="170">
        <v>169</v>
      </c>
      <c r="B158" s="170">
        <v>39</v>
      </c>
      <c r="C158" s="171" t="s">
        <v>463</v>
      </c>
      <c r="D158" s="172" t="s">
        <v>464</v>
      </c>
      <c r="E158" s="172" t="s">
        <v>30</v>
      </c>
      <c r="F158" s="173" t="s">
        <v>465</v>
      </c>
      <c r="G158" s="174">
        <v>44152</v>
      </c>
      <c r="H158" s="173" t="s">
        <v>27</v>
      </c>
      <c r="I158" s="15"/>
      <c r="J158" s="186">
        <v>30</v>
      </c>
      <c r="K158" s="5">
        <v>0</v>
      </c>
      <c r="L158" s="186">
        <v>30</v>
      </c>
      <c r="M158" s="15"/>
      <c r="N158" s="167">
        <v>1314</v>
      </c>
      <c r="O158" s="167"/>
      <c r="P158" s="168">
        <v>262.8</v>
      </c>
      <c r="Q158" s="216">
        <f>IFERROR(VLOOKUP(C158,[1]Planilha1!$C$1:$Q$65536,15,0),0)</f>
        <v>0</v>
      </c>
      <c r="R158" s="216">
        <f>IFERROR(VLOOKUP(C158,[1]Planilha1!$C$1:$R$65536,16,0),0)</f>
        <v>0</v>
      </c>
      <c r="S158" s="216">
        <f>IFERROR(VLOOKUP(C158,[1]Planilha1!$C$1:$S$65536,17,0),0)</f>
        <v>0</v>
      </c>
      <c r="T158" s="216">
        <f>IFERROR(VLOOKUP(C158,[1]Planilha1!$C$1:$T$65536,18,0),0)</f>
        <v>0</v>
      </c>
      <c r="U158" s="187">
        <v>0</v>
      </c>
      <c r="V158" s="266">
        <v>78.84</v>
      </c>
      <c r="W158" s="187">
        <v>0</v>
      </c>
      <c r="X158" s="222"/>
      <c r="Y158" s="187">
        <v>1314</v>
      </c>
      <c r="AA158" s="6"/>
      <c r="AB158" s="6"/>
      <c r="AC158" s="7"/>
      <c r="AD158" s="6"/>
      <c r="AE158" s="6">
        <v>0</v>
      </c>
      <c r="AF158" s="187">
        <v>1314</v>
      </c>
      <c r="AG158" s="7"/>
      <c r="AH158" s="216"/>
      <c r="AI158" s="216"/>
    </row>
    <row r="159" spans="1:35" x14ac:dyDescent="0.25">
      <c r="A159" s="170">
        <v>169</v>
      </c>
      <c r="B159" s="170">
        <v>16</v>
      </c>
      <c r="C159" s="171" t="s">
        <v>466</v>
      </c>
      <c r="D159" s="172" t="s">
        <v>467</v>
      </c>
      <c r="E159" s="172" t="s">
        <v>48</v>
      </c>
      <c r="F159" s="173" t="s">
        <v>468</v>
      </c>
      <c r="G159" s="174">
        <v>42626</v>
      </c>
      <c r="H159" s="173" t="s">
        <v>27</v>
      </c>
      <c r="I159" s="15"/>
      <c r="J159" s="186">
        <v>30</v>
      </c>
      <c r="K159" s="5">
        <v>0</v>
      </c>
      <c r="L159" s="186">
        <v>30</v>
      </c>
      <c r="M159" s="15"/>
      <c r="N159" s="167">
        <v>0</v>
      </c>
      <c r="O159" s="167">
        <v>5665</v>
      </c>
      <c r="P159" s="168"/>
      <c r="Q159" s="216">
        <f>IFERROR(VLOOKUP(C159,[1]Planilha1!$C$1:$Q$65536,15,0),0)</f>
        <v>0</v>
      </c>
      <c r="R159" s="216">
        <f>IFERROR(VLOOKUP(C159,[1]Planilha1!$C$1:$R$65536,16,0),0)</f>
        <v>0</v>
      </c>
      <c r="S159" s="216">
        <f>IFERROR(VLOOKUP(C159,[1]Planilha1!$C$1:$S$65536,17,0),0)</f>
        <v>0</v>
      </c>
      <c r="T159" s="216">
        <f>IFERROR(VLOOKUP(C159,[1]Planilha1!$C$1:$T$65536,18,0),0)</f>
        <v>0</v>
      </c>
      <c r="U159" s="187">
        <v>0</v>
      </c>
      <c r="V159" s="266">
        <v>338.21924999999999</v>
      </c>
      <c r="W159" s="187">
        <v>0</v>
      </c>
      <c r="X159" s="222"/>
      <c r="Y159" s="187">
        <v>5665</v>
      </c>
      <c r="AA159" s="187" t="s">
        <v>1684</v>
      </c>
      <c r="AB159" s="187">
        <v>1127.3975</v>
      </c>
      <c r="AC159" s="7"/>
      <c r="AD159" s="187">
        <v>2000</v>
      </c>
      <c r="AE159" s="187">
        <v>7636.9875000000002</v>
      </c>
      <c r="AF159" s="6">
        <v>0</v>
      </c>
      <c r="AG159" s="7"/>
      <c r="AH159" s="216"/>
      <c r="AI159" s="216"/>
    </row>
    <row r="160" spans="1:35" x14ac:dyDescent="0.25">
      <c r="A160" s="170">
        <v>169</v>
      </c>
      <c r="B160" s="170">
        <v>31</v>
      </c>
      <c r="C160" s="171" t="s">
        <v>469</v>
      </c>
      <c r="D160" s="172" t="s">
        <v>470</v>
      </c>
      <c r="E160" s="172" t="s">
        <v>25</v>
      </c>
      <c r="F160" s="173" t="s">
        <v>471</v>
      </c>
      <c r="G160" s="174">
        <v>43781</v>
      </c>
      <c r="H160" s="173" t="s">
        <v>27</v>
      </c>
      <c r="I160" s="15"/>
      <c r="J160" s="186">
        <v>30</v>
      </c>
      <c r="K160" s="5">
        <v>0</v>
      </c>
      <c r="L160" s="186">
        <v>30</v>
      </c>
      <c r="M160" s="15"/>
      <c r="N160" s="167">
        <v>0</v>
      </c>
      <c r="O160" s="167">
        <v>1314</v>
      </c>
      <c r="P160" s="168"/>
      <c r="Q160" s="216">
        <f>IFERROR(VLOOKUP(C160,[1]Planilha1!$C$1:$Q$65536,15,0),0)</f>
        <v>0</v>
      </c>
      <c r="R160" s="216">
        <f>IFERROR(VLOOKUP(C160,[1]Planilha1!$C$1:$R$65536,16,0),0)</f>
        <v>0</v>
      </c>
      <c r="S160" s="216">
        <f>IFERROR(VLOOKUP(C160,[1]Planilha1!$C$1:$S$65536,17,0),0)</f>
        <v>0</v>
      </c>
      <c r="T160" s="216">
        <f>IFERROR(VLOOKUP(C160,[1]Planilha1!$C$1:$T$65536,18,0),0)</f>
        <v>0</v>
      </c>
      <c r="U160" s="187">
        <v>0</v>
      </c>
      <c r="V160" s="266">
        <v>112.902816</v>
      </c>
      <c r="W160" s="187">
        <v>0</v>
      </c>
      <c r="X160" s="222"/>
      <c r="Y160" s="187">
        <v>1314</v>
      </c>
      <c r="AA160" s="187">
        <v>1505.3708799999999</v>
      </c>
      <c r="AB160" s="187">
        <v>376.34271999999999</v>
      </c>
      <c r="AC160" s="7"/>
      <c r="AD160" s="6"/>
      <c r="AE160" s="187">
        <v>1881.7136</v>
      </c>
      <c r="AF160" s="6">
        <v>0</v>
      </c>
      <c r="AG160" s="7"/>
      <c r="AH160" s="216"/>
      <c r="AI160" s="216"/>
    </row>
    <row r="161" spans="1:36" x14ac:dyDescent="0.25">
      <c r="A161" s="170">
        <v>169</v>
      </c>
      <c r="B161" s="170">
        <v>7</v>
      </c>
      <c r="C161" s="171" t="s">
        <v>472</v>
      </c>
      <c r="D161" s="172" t="s">
        <v>473</v>
      </c>
      <c r="E161" s="172" t="s">
        <v>25</v>
      </c>
      <c r="F161" s="173" t="s">
        <v>474</v>
      </c>
      <c r="G161" s="174">
        <v>43442</v>
      </c>
      <c r="H161" s="173" t="s">
        <v>27</v>
      </c>
      <c r="I161" s="15"/>
      <c r="J161" s="186">
        <v>30</v>
      </c>
      <c r="K161" s="5">
        <v>0</v>
      </c>
      <c r="L161" s="186">
        <v>30</v>
      </c>
      <c r="M161" s="15"/>
      <c r="N161" s="167">
        <v>0</v>
      </c>
      <c r="O161" s="167">
        <v>1314</v>
      </c>
      <c r="P161" s="168"/>
      <c r="Q161" s="216">
        <f>IFERROR(VLOOKUP(C161,[1]Planilha1!$C$1:$Q$65536,15,0),0)</f>
        <v>0</v>
      </c>
      <c r="R161" s="216">
        <f>IFERROR(VLOOKUP(C161,[1]Planilha1!$C$1:$R$65536,16,0),0)</f>
        <v>0</v>
      </c>
      <c r="S161" s="216">
        <f>IFERROR(VLOOKUP(C161,[1]Planilha1!$C$1:$S$65536,17,0),0)</f>
        <v>0</v>
      </c>
      <c r="T161" s="216">
        <f>IFERROR(VLOOKUP(C161,[1]Planilha1!$C$1:$T$65536,18,0),0)</f>
        <v>0</v>
      </c>
      <c r="U161" s="187">
        <v>0</v>
      </c>
      <c r="V161" s="266">
        <v>164.50125600000001</v>
      </c>
      <c r="W161" s="187">
        <v>0</v>
      </c>
      <c r="X161" s="222"/>
      <c r="Y161" s="187">
        <v>1314</v>
      </c>
      <c r="AA161" s="187">
        <v>2193.3500800000002</v>
      </c>
      <c r="AB161" s="187">
        <v>548.33752000000004</v>
      </c>
      <c r="AC161" s="7"/>
      <c r="AD161" s="187">
        <v>342.71095000000003</v>
      </c>
      <c r="AE161" s="187">
        <v>3084.3985500000003</v>
      </c>
      <c r="AF161" s="6">
        <v>0</v>
      </c>
      <c r="AG161" s="7"/>
      <c r="AH161" s="216"/>
      <c r="AI161" s="216"/>
    </row>
    <row r="162" spans="1:36" s="163" customFormat="1" x14ac:dyDescent="0.25">
      <c r="A162" s="170">
        <v>169</v>
      </c>
      <c r="B162" s="170">
        <v>41</v>
      </c>
      <c r="C162" s="171" t="s">
        <v>475</v>
      </c>
      <c r="D162" s="172" t="s">
        <v>476</v>
      </c>
      <c r="E162" s="172" t="s">
        <v>25</v>
      </c>
      <c r="F162" s="173" t="s">
        <v>477</v>
      </c>
      <c r="G162" s="174">
        <v>44221</v>
      </c>
      <c r="H162" s="173" t="s">
        <v>27</v>
      </c>
      <c r="I162" s="15"/>
      <c r="J162" s="186">
        <v>30</v>
      </c>
      <c r="K162" s="5">
        <v>0</v>
      </c>
      <c r="L162" s="186">
        <v>30</v>
      </c>
      <c r="M162" s="15"/>
      <c r="N162" s="167">
        <v>0</v>
      </c>
      <c r="O162" s="167">
        <v>1314</v>
      </c>
      <c r="P162" s="168"/>
      <c r="Q162" s="216">
        <f>IFERROR(VLOOKUP(C162,[1]Planilha1!$C$1:$Q$65536,15,0),0)</f>
        <v>0</v>
      </c>
      <c r="R162" s="216">
        <f>IFERROR(VLOOKUP(C162,[1]Planilha1!$C$1:$R$65536,16,0),0)</f>
        <v>0</v>
      </c>
      <c r="S162" s="216">
        <f>IFERROR(VLOOKUP(C162,[1]Planilha1!$C$1:$S$65536,17,0),0)</f>
        <v>0</v>
      </c>
      <c r="T162" s="216">
        <f>IFERROR(VLOOKUP(C162,[1]Planilha1!$C$1:$T$65536,18,0),0)</f>
        <v>0</v>
      </c>
      <c r="U162" s="187">
        <v>0</v>
      </c>
      <c r="V162" s="266">
        <v>128.058696</v>
      </c>
      <c r="W162" s="187">
        <v>0</v>
      </c>
      <c r="X162" s="222"/>
      <c r="Y162" s="187">
        <v>1314</v>
      </c>
      <c r="Z162" s="17"/>
      <c r="AA162" s="187">
        <v>1707.44928</v>
      </c>
      <c r="AB162" s="187">
        <v>426.86232000000001</v>
      </c>
      <c r="AC162" s="7"/>
      <c r="AD162" s="6"/>
      <c r="AE162" s="187">
        <v>2134.3116</v>
      </c>
      <c r="AF162" s="6">
        <v>0</v>
      </c>
      <c r="AG162" s="7"/>
      <c r="AH162" s="216"/>
      <c r="AI162" s="216"/>
      <c r="AJ162" s="17"/>
    </row>
    <row r="163" spans="1:36" x14ac:dyDescent="0.25">
      <c r="A163" s="170">
        <v>169</v>
      </c>
      <c r="B163" s="170">
        <v>37</v>
      </c>
      <c r="C163" s="171" t="s">
        <v>478</v>
      </c>
      <c r="D163" s="172" t="s">
        <v>479</v>
      </c>
      <c r="E163" s="172" t="s">
        <v>25</v>
      </c>
      <c r="F163" s="173" t="s">
        <v>480</v>
      </c>
      <c r="G163" s="174">
        <v>44095</v>
      </c>
      <c r="H163" s="173" t="s">
        <v>27</v>
      </c>
      <c r="I163" s="15"/>
      <c r="J163" s="186">
        <v>30</v>
      </c>
      <c r="K163" s="5">
        <v>0</v>
      </c>
      <c r="L163" s="186">
        <v>30</v>
      </c>
      <c r="M163" s="15"/>
      <c r="N163" s="167">
        <v>0</v>
      </c>
      <c r="O163" s="167">
        <v>1314</v>
      </c>
      <c r="P163" s="168"/>
      <c r="Q163" s="216">
        <f>IFERROR(VLOOKUP(C163,[1]Planilha1!$C$1:$Q$65536,15,0),0)</f>
        <v>0</v>
      </c>
      <c r="R163" s="216">
        <f>IFERROR(VLOOKUP(C163,[1]Planilha1!$C$1:$R$65536,16,0),0)</f>
        <v>0</v>
      </c>
      <c r="S163" s="216">
        <f>IFERROR(VLOOKUP(C163,[1]Planilha1!$C$1:$S$65536,17,0),0)</f>
        <v>0</v>
      </c>
      <c r="T163" s="216">
        <f>IFERROR(VLOOKUP(C163,[1]Planilha1!$C$1:$T$65536,18,0),0)</f>
        <v>0</v>
      </c>
      <c r="U163" s="187">
        <v>0</v>
      </c>
      <c r="V163" s="266">
        <v>170.02089599999999</v>
      </c>
      <c r="W163" s="187">
        <v>0</v>
      </c>
      <c r="X163" s="222"/>
      <c r="Y163" s="187">
        <v>1314</v>
      </c>
      <c r="AA163" s="187">
        <v>2266.9452799999999</v>
      </c>
      <c r="AB163" s="187">
        <v>566.73631999999998</v>
      </c>
      <c r="AC163" s="7">
        <v>400</v>
      </c>
      <c r="AD163" s="187">
        <v>354.21019999999999</v>
      </c>
      <c r="AE163" s="187">
        <v>3587.8917999999999</v>
      </c>
      <c r="AF163" s="6">
        <v>0</v>
      </c>
      <c r="AG163" s="7">
        <v>400</v>
      </c>
      <c r="AH163" s="216"/>
      <c r="AI163" s="216"/>
    </row>
    <row r="164" spans="1:36" x14ac:dyDescent="0.25">
      <c r="A164" s="170">
        <v>169</v>
      </c>
      <c r="B164" s="170">
        <v>38</v>
      </c>
      <c r="C164" s="171" t="s">
        <v>481</v>
      </c>
      <c r="D164" s="172" t="s">
        <v>482</v>
      </c>
      <c r="E164" s="172" t="s">
        <v>25</v>
      </c>
      <c r="F164" s="173" t="s">
        <v>483</v>
      </c>
      <c r="G164" s="174">
        <v>44153</v>
      </c>
      <c r="H164" s="173" t="s">
        <v>27</v>
      </c>
      <c r="I164" s="15"/>
      <c r="J164" s="186">
        <v>30</v>
      </c>
      <c r="K164" s="5">
        <v>0</v>
      </c>
      <c r="L164" s="186">
        <v>30</v>
      </c>
      <c r="M164" s="15"/>
      <c r="N164" s="167">
        <v>0</v>
      </c>
      <c r="O164" s="167">
        <v>1314</v>
      </c>
      <c r="P164" s="168"/>
      <c r="Q164" s="216">
        <f>IFERROR(VLOOKUP(C164,[1]Planilha1!$C$1:$Q$65536,15,0),0)</f>
        <v>0</v>
      </c>
      <c r="R164" s="216">
        <f>IFERROR(VLOOKUP(C164,[1]Planilha1!$C$1:$R$65536,16,0),0)</f>
        <v>0</v>
      </c>
      <c r="S164" s="216">
        <f>IFERROR(VLOOKUP(C164,[1]Planilha1!$C$1:$S$65536,17,0),0)</f>
        <v>0</v>
      </c>
      <c r="T164" s="216">
        <f>IFERROR(VLOOKUP(C164,[1]Planilha1!$C$1:$T$65536,18,0),0)</f>
        <v>0</v>
      </c>
      <c r="U164" s="187">
        <v>0</v>
      </c>
      <c r="V164" s="266">
        <v>135.608856</v>
      </c>
      <c r="W164" s="187">
        <v>0</v>
      </c>
      <c r="X164" s="226"/>
      <c r="Y164" s="187">
        <v>1314</v>
      </c>
      <c r="AA164" s="187">
        <v>1808.1180800000002</v>
      </c>
      <c r="AB164" s="187">
        <v>452.02952000000005</v>
      </c>
      <c r="AC164" s="7"/>
      <c r="AD164" s="6"/>
      <c r="AE164" s="187">
        <v>2260.1476000000002</v>
      </c>
      <c r="AF164" s="6">
        <v>0</v>
      </c>
      <c r="AG164" s="7"/>
      <c r="AH164" s="218"/>
      <c r="AI164" s="216"/>
      <c r="AJ164" s="163"/>
    </row>
    <row r="165" spans="1:36" x14ac:dyDescent="0.25">
      <c r="A165" s="170">
        <v>169</v>
      </c>
      <c r="B165" s="170">
        <v>1</v>
      </c>
      <c r="C165" s="171" t="s">
        <v>484</v>
      </c>
      <c r="D165" s="172" t="s">
        <v>485</v>
      </c>
      <c r="E165" s="172" t="s">
        <v>25</v>
      </c>
      <c r="F165" s="173" t="s">
        <v>486</v>
      </c>
      <c r="G165" s="174">
        <v>43442</v>
      </c>
      <c r="H165" s="173" t="s">
        <v>27</v>
      </c>
      <c r="I165" s="15"/>
      <c r="J165" s="186">
        <v>30</v>
      </c>
      <c r="K165" s="5">
        <v>0</v>
      </c>
      <c r="L165" s="186">
        <v>30</v>
      </c>
      <c r="M165" s="15"/>
      <c r="N165" s="167">
        <v>0</v>
      </c>
      <c r="O165" s="167">
        <v>1314</v>
      </c>
      <c r="P165" s="168"/>
      <c r="Q165" s="216">
        <f>IFERROR(VLOOKUP(C165,[1]Planilha1!$C$1:$Q$65536,15,0),0)</f>
        <v>0</v>
      </c>
      <c r="R165" s="216">
        <f>IFERROR(VLOOKUP(C165,[1]Planilha1!$C$1:$R$65536,16,0),0)</f>
        <v>0</v>
      </c>
      <c r="S165" s="216">
        <f>IFERROR(VLOOKUP(C165,[1]Planilha1!$C$1:$S$65536,17,0),0)</f>
        <v>0</v>
      </c>
      <c r="T165" s="216">
        <f>IFERROR(VLOOKUP(C165,[1]Planilha1!$C$1:$T$65536,18,0),0)</f>
        <v>0</v>
      </c>
      <c r="U165" s="187">
        <v>0</v>
      </c>
      <c r="V165" s="266">
        <v>187.86196800000002</v>
      </c>
      <c r="W165" s="187">
        <v>0</v>
      </c>
      <c r="X165" s="222"/>
      <c r="Y165" s="187">
        <v>1314</v>
      </c>
      <c r="AA165" s="187">
        <v>2504.8262400000003</v>
      </c>
      <c r="AB165" s="187">
        <v>626.20656000000008</v>
      </c>
      <c r="AC165" s="7">
        <v>400</v>
      </c>
      <c r="AD165" s="187">
        <v>391.37910000000005</v>
      </c>
      <c r="AE165" s="187">
        <v>3922.4119000000005</v>
      </c>
      <c r="AF165" s="6">
        <v>0</v>
      </c>
      <c r="AG165" s="7">
        <v>400</v>
      </c>
      <c r="AH165" s="216"/>
      <c r="AI165" s="216"/>
    </row>
    <row r="166" spans="1:36" x14ac:dyDescent="0.25">
      <c r="A166" s="170">
        <v>173</v>
      </c>
      <c r="B166" s="170">
        <v>26</v>
      </c>
      <c r="C166" s="171" t="s">
        <v>490</v>
      </c>
      <c r="D166" s="172" t="s">
        <v>491</v>
      </c>
      <c r="E166" s="172" t="s">
        <v>25</v>
      </c>
      <c r="F166" s="173" t="s">
        <v>492</v>
      </c>
      <c r="G166" s="174">
        <v>43791</v>
      </c>
      <c r="H166" s="173" t="s">
        <v>27</v>
      </c>
      <c r="I166" s="15"/>
      <c r="J166" s="186">
        <v>30</v>
      </c>
      <c r="K166" s="5">
        <v>0</v>
      </c>
      <c r="L166" s="186">
        <v>30</v>
      </c>
      <c r="M166" s="15"/>
      <c r="N166" s="167">
        <v>0</v>
      </c>
      <c r="O166" s="167">
        <v>1713</v>
      </c>
      <c r="P166" s="168"/>
      <c r="Q166" s="216">
        <f>IFERROR(VLOOKUP(C166,[1]Planilha1!$C$1:$Q$65536,15,0),0)</f>
        <v>0</v>
      </c>
      <c r="R166" s="216">
        <f>IFERROR(VLOOKUP(C166,[1]Planilha1!$C$1:$R$65536,16,0),0)</f>
        <v>0</v>
      </c>
      <c r="S166" s="216">
        <f>IFERROR(VLOOKUP(C166,[1]Planilha1!$C$1:$S$65536,17,0),0)</f>
        <v>384.8</v>
      </c>
      <c r="T166" s="216">
        <f>IFERROR(VLOOKUP(C166,[1]Planilha1!$C$1:$T$65536,18,0),0)</f>
        <v>0</v>
      </c>
      <c r="U166" s="187">
        <v>384.8</v>
      </c>
      <c r="V166" s="266">
        <v>182.84755275000001</v>
      </c>
      <c r="W166" s="187">
        <v>182.84755275000001</v>
      </c>
      <c r="X166" s="222"/>
      <c r="Y166" s="187">
        <v>1713</v>
      </c>
      <c r="AA166" s="187">
        <v>2437.9673700000003</v>
      </c>
      <c r="AB166" s="187">
        <v>609.49184250000008</v>
      </c>
      <c r="AC166" s="7">
        <v>200</v>
      </c>
      <c r="AD166" s="187">
        <v>329.45504999999997</v>
      </c>
      <c r="AE166" s="187">
        <v>3576.9142625000004</v>
      </c>
      <c r="AF166" s="6">
        <v>0</v>
      </c>
      <c r="AG166" s="7">
        <v>400</v>
      </c>
      <c r="AH166" s="216"/>
      <c r="AI166" s="216"/>
    </row>
    <row r="167" spans="1:36" x14ac:dyDescent="0.25">
      <c r="A167" s="170">
        <v>173</v>
      </c>
      <c r="B167" s="170">
        <v>30</v>
      </c>
      <c r="C167" s="171" t="s">
        <v>493</v>
      </c>
      <c r="D167" s="172" t="s">
        <v>494</v>
      </c>
      <c r="E167" s="172" t="s">
        <v>30</v>
      </c>
      <c r="F167" s="173" t="s">
        <v>495</v>
      </c>
      <c r="G167" s="174">
        <v>43791</v>
      </c>
      <c r="H167" s="173" t="s">
        <v>27</v>
      </c>
      <c r="I167" s="15"/>
      <c r="J167" s="186">
        <v>-30</v>
      </c>
      <c r="K167" s="5">
        <v>30</v>
      </c>
      <c r="L167" s="186">
        <v>0</v>
      </c>
      <c r="M167" s="15"/>
      <c r="N167" s="167">
        <v>1447</v>
      </c>
      <c r="O167" s="167"/>
      <c r="P167" s="168">
        <v>80</v>
      </c>
      <c r="Q167" s="216">
        <f>IFERROR(VLOOKUP(C167,[1]Planilha1!$C$1:$Q$65536,15,0),0)</f>
        <v>0</v>
      </c>
      <c r="R167" s="216">
        <f>IFERROR(VLOOKUP(C167,[1]Planilha1!$C$1:$R$65536,16,0),0)</f>
        <v>0</v>
      </c>
      <c r="S167" s="216">
        <f>IFERROR(VLOOKUP(C167,[1]Planilha1!$C$1:$S$65536,17,0),0)</f>
        <v>0</v>
      </c>
      <c r="T167" s="216">
        <f>IFERROR(VLOOKUP(C167,[1]Planilha1!$C$1:$T$65536,18,0),0)</f>
        <v>0</v>
      </c>
      <c r="U167" s="187">
        <v>0</v>
      </c>
      <c r="V167" s="265">
        <v>0</v>
      </c>
      <c r="W167" s="187">
        <v>0</v>
      </c>
      <c r="X167" s="222"/>
      <c r="Y167" s="187">
        <v>-1447</v>
      </c>
      <c r="AA167" s="6"/>
      <c r="AB167" s="6"/>
      <c r="AC167" s="7"/>
      <c r="AD167" s="6"/>
      <c r="AE167" s="6">
        <v>0</v>
      </c>
      <c r="AF167" s="6">
        <v>0</v>
      </c>
      <c r="AG167" s="7"/>
      <c r="AH167" s="216"/>
      <c r="AI167" s="216"/>
    </row>
    <row r="168" spans="1:36" x14ac:dyDescent="0.25">
      <c r="A168" s="170">
        <v>173</v>
      </c>
      <c r="B168" s="170">
        <v>38</v>
      </c>
      <c r="C168" s="171" t="s">
        <v>502</v>
      </c>
      <c r="D168" s="172" t="s">
        <v>503</v>
      </c>
      <c r="E168" s="172" t="s">
        <v>25</v>
      </c>
      <c r="F168" s="173" t="s">
        <v>504</v>
      </c>
      <c r="G168" s="174">
        <v>44152</v>
      </c>
      <c r="H168" s="173" t="s">
        <v>27</v>
      </c>
      <c r="I168" s="15"/>
      <c r="J168" s="186">
        <v>30</v>
      </c>
      <c r="K168" s="5">
        <v>0</v>
      </c>
      <c r="L168" s="186">
        <v>30</v>
      </c>
      <c r="M168" s="15"/>
      <c r="N168" s="167">
        <v>0</v>
      </c>
      <c r="O168" s="167">
        <v>1713</v>
      </c>
      <c r="P168" s="168"/>
      <c r="Q168" s="216">
        <f>IFERROR(VLOOKUP(C168,[1]Planilha1!$C$1:$Q$65536,15,0),0)</f>
        <v>0</v>
      </c>
      <c r="R168" s="216">
        <f>IFERROR(VLOOKUP(C168,[1]Planilha1!$C$1:$R$65536,16,0),0)</f>
        <v>0</v>
      </c>
      <c r="S168" s="216">
        <f>IFERROR(VLOOKUP(C168,[1]Planilha1!$C$1:$S$65536,17,0),0)</f>
        <v>234</v>
      </c>
      <c r="T168" s="216">
        <f>IFERROR(VLOOKUP(C168,[1]Planilha1!$C$1:$T$65536,18,0),0)</f>
        <v>0</v>
      </c>
      <c r="U168" s="187">
        <v>234</v>
      </c>
      <c r="V168" s="266">
        <v>141.53443200000001</v>
      </c>
      <c r="W168" s="187">
        <v>141.53443200000001</v>
      </c>
      <c r="X168" s="222"/>
      <c r="Y168" s="187">
        <v>1713</v>
      </c>
      <c r="AA168" s="187">
        <v>1887.1257600000001</v>
      </c>
      <c r="AB168" s="187">
        <v>471.78144000000003</v>
      </c>
      <c r="AC168" s="7"/>
      <c r="AD168" s="6"/>
      <c r="AE168" s="187">
        <v>2358.9072000000001</v>
      </c>
      <c r="AF168" s="6">
        <v>0</v>
      </c>
      <c r="AG168" s="7"/>
      <c r="AH168" s="216"/>
      <c r="AI168" s="216"/>
    </row>
    <row r="169" spans="1:36" x14ac:dyDescent="0.25">
      <c r="A169" s="170">
        <v>173</v>
      </c>
      <c r="B169" s="170">
        <v>5</v>
      </c>
      <c r="C169" s="171" t="s">
        <v>487</v>
      </c>
      <c r="D169" s="172" t="s">
        <v>488</v>
      </c>
      <c r="E169" s="172" t="s">
        <v>25</v>
      </c>
      <c r="F169" s="173" t="s">
        <v>489</v>
      </c>
      <c r="G169" s="174">
        <v>43427</v>
      </c>
      <c r="H169" s="173" t="s">
        <v>36</v>
      </c>
      <c r="I169" s="15"/>
      <c r="J169" s="186">
        <v>30</v>
      </c>
      <c r="K169" s="5">
        <v>0</v>
      </c>
      <c r="L169" s="186">
        <v>30</v>
      </c>
      <c r="M169" s="15"/>
      <c r="N169" s="167">
        <v>0</v>
      </c>
      <c r="O169" s="167"/>
      <c r="P169" s="168"/>
      <c r="Q169" s="216">
        <f>IFERROR(VLOOKUP(C169,[1]Planilha1!$C$1:$Q$65536,15,0),0)</f>
        <v>0</v>
      </c>
      <c r="R169" s="216">
        <f>IFERROR(VLOOKUP(C169,[1]Planilha1!$C$1:$R$65536,16,0),0)</f>
        <v>0</v>
      </c>
      <c r="S169" s="216">
        <f>IFERROR(VLOOKUP(C169,[1]Planilha1!$C$1:$S$65536,17,0),0)</f>
        <v>0</v>
      </c>
      <c r="T169" s="216">
        <f>IFERROR(VLOOKUP(C169,[1]Planilha1!$C$1:$T$65536,18,0),0)</f>
        <v>0</v>
      </c>
      <c r="U169" s="187">
        <v>0</v>
      </c>
      <c r="V169" s="265">
        <v>0</v>
      </c>
      <c r="W169" s="187">
        <v>0</v>
      </c>
      <c r="X169" s="222"/>
      <c r="Y169" s="187">
        <v>0</v>
      </c>
      <c r="AA169" s="6"/>
      <c r="AB169" s="6"/>
      <c r="AC169" s="7"/>
      <c r="AD169" s="6"/>
      <c r="AE169" s="6">
        <v>0</v>
      </c>
      <c r="AF169" s="6">
        <v>0</v>
      </c>
      <c r="AG169" s="7"/>
      <c r="AH169" s="216"/>
      <c r="AI169" s="216"/>
    </row>
    <row r="170" spans="1:36" x14ac:dyDescent="0.25">
      <c r="A170" s="170">
        <v>173</v>
      </c>
      <c r="B170" s="170">
        <v>42</v>
      </c>
      <c r="C170" s="171" t="s">
        <v>961</v>
      </c>
      <c r="D170" s="172" t="s">
        <v>962</v>
      </c>
      <c r="E170" s="172" t="s">
        <v>25</v>
      </c>
      <c r="F170" s="173" t="s">
        <v>963</v>
      </c>
      <c r="G170" s="174">
        <v>44384</v>
      </c>
      <c r="H170" s="173" t="s">
        <v>27</v>
      </c>
      <c r="I170" s="15"/>
      <c r="J170" s="186">
        <v>24</v>
      </c>
      <c r="K170" s="5">
        <v>0</v>
      </c>
      <c r="L170" s="186">
        <v>24</v>
      </c>
      <c r="M170" s="15"/>
      <c r="N170" s="167">
        <v>0</v>
      </c>
      <c r="O170" s="167">
        <v>1713</v>
      </c>
      <c r="P170" s="168"/>
      <c r="Q170" s="216">
        <f>IFERROR(VLOOKUP(C170,[1]Planilha1!$C$1:$Q$65536,15,0),0)</f>
        <v>0</v>
      </c>
      <c r="R170" s="216">
        <f>IFERROR(VLOOKUP(C170,[1]Planilha1!$C$1:$R$65536,16,0),0)</f>
        <v>34</v>
      </c>
      <c r="S170" s="216">
        <f>IFERROR(VLOOKUP(C170,[1]Planilha1!$C$1:$S$65536,17,0),0)</f>
        <v>0</v>
      </c>
      <c r="T170" s="216">
        <f>IFERROR(VLOOKUP(C170,[1]Planilha1!$C$1:$T$65536,18,0),0)</f>
        <v>0</v>
      </c>
      <c r="U170" s="187">
        <v>0</v>
      </c>
      <c r="V170" s="266">
        <v>102.78</v>
      </c>
      <c r="W170" s="187">
        <v>0</v>
      </c>
      <c r="X170" s="222"/>
      <c r="Y170" s="187">
        <v>1370.4</v>
      </c>
      <c r="AA170" s="6"/>
      <c r="AB170" s="6"/>
      <c r="AC170" s="7"/>
      <c r="AD170" s="6"/>
      <c r="AE170" s="6">
        <v>0</v>
      </c>
      <c r="AF170" s="187">
        <v>1370.4</v>
      </c>
      <c r="AG170" s="7"/>
      <c r="AH170" s="216"/>
      <c r="AI170" s="216"/>
    </row>
    <row r="171" spans="1:36" x14ac:dyDescent="0.25">
      <c r="A171" s="170">
        <v>173</v>
      </c>
      <c r="B171" s="170">
        <v>34</v>
      </c>
      <c r="C171" s="171" t="s">
        <v>496</v>
      </c>
      <c r="D171" s="172" t="s">
        <v>497</v>
      </c>
      <c r="E171" s="172" t="s">
        <v>25</v>
      </c>
      <c r="F171" s="173" t="s">
        <v>498</v>
      </c>
      <c r="G171" s="174">
        <v>43899</v>
      </c>
      <c r="H171" s="173" t="s">
        <v>27</v>
      </c>
      <c r="I171" s="15"/>
      <c r="J171" s="186">
        <v>30</v>
      </c>
      <c r="K171" s="5">
        <v>0</v>
      </c>
      <c r="L171" s="186">
        <v>30</v>
      </c>
      <c r="M171" s="15"/>
      <c r="N171" s="167">
        <v>0</v>
      </c>
      <c r="O171" s="167">
        <v>1713</v>
      </c>
      <c r="P171" s="168"/>
      <c r="Q171" s="216">
        <f>IFERROR(VLOOKUP(C171,[1]Planilha1!$C$1:$Q$65536,15,0),0)</f>
        <v>0</v>
      </c>
      <c r="R171" s="216">
        <f>IFERROR(VLOOKUP(C171,[1]Planilha1!$C$1:$R$65536,16,0),0)</f>
        <v>0</v>
      </c>
      <c r="S171" s="216">
        <f>IFERROR(VLOOKUP(C171,[1]Planilha1!$C$1:$S$65536,17,0),0)</f>
        <v>620.36</v>
      </c>
      <c r="T171" s="216">
        <f>IFERROR(VLOOKUP(C171,[1]Planilha1!$C$1:$T$65536,18,0),0)</f>
        <v>0</v>
      </c>
      <c r="U171" s="187">
        <v>620.36</v>
      </c>
      <c r="V171" s="266">
        <v>106.12284</v>
      </c>
      <c r="W171" s="187">
        <v>106.12284</v>
      </c>
      <c r="X171" s="222"/>
      <c r="Y171" s="187">
        <v>1713</v>
      </c>
      <c r="AA171" s="187">
        <v>1414.9712</v>
      </c>
      <c r="AB171" s="187">
        <v>353.74279999999999</v>
      </c>
      <c r="AC171" s="7"/>
      <c r="AD171" s="6"/>
      <c r="AE171" s="187">
        <v>1768.7139999999999</v>
      </c>
      <c r="AF171" s="6">
        <v>0</v>
      </c>
      <c r="AG171" s="7"/>
      <c r="AH171" s="216"/>
      <c r="AI171" s="216"/>
    </row>
    <row r="172" spans="1:36" x14ac:dyDescent="0.25">
      <c r="A172" s="170">
        <v>173</v>
      </c>
      <c r="B172" s="170">
        <v>35</v>
      </c>
      <c r="C172" s="171" t="s">
        <v>499</v>
      </c>
      <c r="D172" s="172" t="s">
        <v>500</v>
      </c>
      <c r="E172" s="172" t="s">
        <v>48</v>
      </c>
      <c r="F172" s="173" t="s">
        <v>501</v>
      </c>
      <c r="G172" s="174">
        <v>42531</v>
      </c>
      <c r="H172" s="173" t="s">
        <v>27</v>
      </c>
      <c r="I172" s="15"/>
      <c r="J172" s="186">
        <v>30</v>
      </c>
      <c r="K172" s="5">
        <v>0</v>
      </c>
      <c r="L172" s="186">
        <v>30</v>
      </c>
      <c r="M172" s="15"/>
      <c r="N172" s="167">
        <v>0</v>
      </c>
      <c r="O172" s="167">
        <v>4500</v>
      </c>
      <c r="P172" s="168"/>
      <c r="Q172" s="216">
        <f>IFERROR(VLOOKUP(C172,[1]Planilha1!$C$1:$Q$65536,15,0),0)</f>
        <v>0</v>
      </c>
      <c r="R172" s="216">
        <f>IFERROR(VLOOKUP(C172,[1]Planilha1!$C$1:$R$65536,16,0),0)</f>
        <v>0</v>
      </c>
      <c r="S172" s="216">
        <f>IFERROR(VLOOKUP(C172,[1]Planilha1!$C$1:$S$65536,17,0),0)</f>
        <v>0</v>
      </c>
      <c r="T172" s="216">
        <f>IFERROR(VLOOKUP(C172,[1]Planilha1!$C$1:$T$65536,18,0),0)</f>
        <v>0</v>
      </c>
      <c r="U172" s="187">
        <v>0</v>
      </c>
      <c r="V172" s="266">
        <v>274.18874999999997</v>
      </c>
      <c r="W172" s="187">
        <v>0</v>
      </c>
      <c r="X172" s="222"/>
      <c r="Y172" s="187">
        <v>4500</v>
      </c>
      <c r="AA172" s="187" t="s">
        <v>1686</v>
      </c>
      <c r="AB172" s="187">
        <v>913.96249999999998</v>
      </c>
      <c r="AC172" s="7"/>
      <c r="AD172" s="187">
        <v>2000</v>
      </c>
      <c r="AE172" s="187">
        <v>6569.8125</v>
      </c>
      <c r="AF172" s="6">
        <v>0</v>
      </c>
      <c r="AG172" s="7"/>
      <c r="AH172" s="216"/>
      <c r="AI172" s="216"/>
    </row>
    <row r="173" spans="1:36" x14ac:dyDescent="0.25">
      <c r="A173" s="170">
        <v>173</v>
      </c>
      <c r="B173" s="170">
        <v>41</v>
      </c>
      <c r="C173" s="171" t="s">
        <v>505</v>
      </c>
      <c r="D173" s="172" t="s">
        <v>506</v>
      </c>
      <c r="E173" s="172" t="s">
        <v>25</v>
      </c>
      <c r="F173" s="173" t="s">
        <v>507</v>
      </c>
      <c r="G173" s="174">
        <v>44358</v>
      </c>
      <c r="H173" s="173" t="s">
        <v>27</v>
      </c>
      <c r="I173" s="15"/>
      <c r="J173" s="186">
        <v>30</v>
      </c>
      <c r="K173" s="5">
        <v>0</v>
      </c>
      <c r="L173" s="186">
        <v>30</v>
      </c>
      <c r="M173" s="15"/>
      <c r="N173" s="167">
        <v>0</v>
      </c>
      <c r="O173" s="167">
        <v>1713</v>
      </c>
      <c r="P173" s="168"/>
      <c r="Q173" s="216">
        <f>IFERROR(VLOOKUP(C173,[1]Planilha1!$C$1:$Q$65536,15,0),0)</f>
        <v>0</v>
      </c>
      <c r="R173" s="216">
        <f>IFERROR(VLOOKUP(C173,[1]Planilha1!$C$1:$R$65536,16,0),0)</f>
        <v>0</v>
      </c>
      <c r="S173" s="216">
        <f>IFERROR(VLOOKUP(C173,[1]Planilha1!$C$1:$S$65536,17,0),0)</f>
        <v>332.5</v>
      </c>
      <c r="T173" s="216">
        <f>IFERROR(VLOOKUP(C173,[1]Planilha1!$C$1:$T$65536,18,0),0)</f>
        <v>0</v>
      </c>
      <c r="U173" s="187">
        <v>332.5</v>
      </c>
      <c r="V173" s="266">
        <v>102.78</v>
      </c>
      <c r="W173" s="187">
        <v>102.78</v>
      </c>
      <c r="X173" s="222"/>
      <c r="Y173" s="187">
        <v>1713</v>
      </c>
      <c r="AA173" s="187">
        <v>869.96672000000001</v>
      </c>
      <c r="AB173" s="187">
        <v>217.49168</v>
      </c>
      <c r="AC173" s="7"/>
      <c r="AD173" s="6"/>
      <c r="AE173" s="187">
        <v>1087.4584</v>
      </c>
      <c r="AF173" s="187">
        <v>625.54160000000002</v>
      </c>
      <c r="AG173" s="7"/>
      <c r="AH173" s="216"/>
      <c r="AI173" s="216"/>
    </row>
    <row r="174" spans="1:36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73" t="s">
        <v>27</v>
      </c>
      <c r="I174" s="15"/>
      <c r="J174" s="186">
        <v>30</v>
      </c>
      <c r="K174" s="5">
        <v>0</v>
      </c>
      <c r="L174" s="186">
        <v>30</v>
      </c>
      <c r="M174" s="15"/>
      <c r="N174" s="155">
        <v>1060.3699999999999</v>
      </c>
      <c r="O174" s="155"/>
      <c r="P174" s="153">
        <v>158</v>
      </c>
      <c r="Q174" s="216">
        <f>IFERROR(VLOOKUP(C174,[1]Planilha1!$C$1:$Q$65536,15,0),0)</f>
        <v>0</v>
      </c>
      <c r="R174" s="216">
        <f>IFERROR(VLOOKUP(C174,[1]Planilha1!$C$1:$R$65536,16,0),0)</f>
        <v>425</v>
      </c>
      <c r="S174" s="153" t="str">
        <f>IFERROR(VLOOKUP(C174,'[2]Base 06-2021'!$C$1:$T$65536,17,0),0)</f>
        <v>Fretado</v>
      </c>
      <c r="T174" s="216">
        <f>IFERROR(VLOOKUP(C174,[1]Planilha1!$C$1:$T$65536,18,0),0)</f>
        <v>0</v>
      </c>
      <c r="U174" s="187">
        <v>0</v>
      </c>
      <c r="V174" s="266">
        <v>63.62</v>
      </c>
      <c r="W174" s="187">
        <v>63.62</v>
      </c>
      <c r="X174" s="222"/>
      <c r="Y174" s="187">
        <v>1060.3699999999999</v>
      </c>
      <c r="AA174" s="6"/>
      <c r="AB174" s="6"/>
      <c r="AC174" s="7"/>
      <c r="AD174" s="6"/>
      <c r="AE174" s="6">
        <v>0</v>
      </c>
      <c r="AF174" s="187">
        <v>1060.3699999999999</v>
      </c>
      <c r="AG174" s="7"/>
      <c r="AH174" s="216"/>
      <c r="AI174" s="216"/>
    </row>
    <row r="175" spans="1:36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73" t="s">
        <v>27</v>
      </c>
      <c r="I175" s="15"/>
      <c r="J175" s="186">
        <v>30</v>
      </c>
      <c r="K175" s="5">
        <v>0</v>
      </c>
      <c r="L175" s="186">
        <v>30</v>
      </c>
      <c r="M175" s="15"/>
      <c r="N175" s="155">
        <v>998</v>
      </c>
      <c r="O175" s="155">
        <v>1257</v>
      </c>
      <c r="P175" s="153"/>
      <c r="Q175" s="216">
        <f>IFERROR(VLOOKUP(C175,[1]Planilha1!$C$1:$Q$65536,15,0),0)</f>
        <v>0</v>
      </c>
      <c r="R175" s="216">
        <f>IFERROR(VLOOKUP(C175,[1]Planilha1!$C$1:$R$65536,16,0),0)</f>
        <v>425</v>
      </c>
      <c r="S175" s="153" t="str">
        <f>IFERROR(VLOOKUP(C175,'[2]Base 06-2021'!$C$1:$T$65536,17,0),0)</f>
        <v>Fretado</v>
      </c>
      <c r="T175" s="216">
        <f>IFERROR(VLOOKUP(C175,[1]Planilha1!$C$1:$T$65536,18,0),0)</f>
        <v>0</v>
      </c>
      <c r="U175" s="187">
        <v>0</v>
      </c>
      <c r="V175" s="266">
        <v>59.88</v>
      </c>
      <c r="W175" s="187">
        <v>59.88</v>
      </c>
      <c r="X175" s="222"/>
      <c r="Y175" s="187">
        <v>2255</v>
      </c>
      <c r="AA175" s="187">
        <v>1430.8551599999998</v>
      </c>
      <c r="AB175" s="187">
        <v>357.71378999999996</v>
      </c>
      <c r="AC175" s="7">
        <v>400</v>
      </c>
      <c r="AD175" s="6"/>
      <c r="AE175" s="187">
        <v>2188.5689499999999</v>
      </c>
      <c r="AF175" s="187">
        <v>66.431050000000141</v>
      </c>
      <c r="AG175" s="7">
        <v>400</v>
      </c>
      <c r="AH175" s="216"/>
      <c r="AI175" s="216"/>
    </row>
    <row r="176" spans="1:36" x14ac:dyDescent="0.25">
      <c r="A176" s="170">
        <v>175</v>
      </c>
      <c r="B176" s="170">
        <v>11</v>
      </c>
      <c r="C176" s="171" t="s">
        <v>514</v>
      </c>
      <c r="D176" s="172" t="s">
        <v>515</v>
      </c>
      <c r="E176" s="172" t="s">
        <v>25</v>
      </c>
      <c r="F176" s="173" t="s">
        <v>516</v>
      </c>
      <c r="G176" s="174">
        <v>43782</v>
      </c>
      <c r="H176" s="173" t="s">
        <v>27</v>
      </c>
      <c r="I176" s="15"/>
      <c r="J176" s="186">
        <v>-30</v>
      </c>
      <c r="K176" s="5">
        <v>30</v>
      </c>
      <c r="L176" s="186">
        <v>0</v>
      </c>
      <c r="M176" s="15"/>
      <c r="N176" s="155">
        <v>998</v>
      </c>
      <c r="O176" s="155">
        <v>1257</v>
      </c>
      <c r="P176" s="153"/>
      <c r="Q176" s="216">
        <f>IFERROR(VLOOKUP(C176,[1]Planilha1!$C$1:$Q$65536,15,0),0)</f>
        <v>0</v>
      </c>
      <c r="R176" s="216">
        <f>IFERROR(VLOOKUP(C176,[1]Planilha1!$C$1:$R$65536,16,0),0)</f>
        <v>0</v>
      </c>
      <c r="S176" s="153" t="str">
        <f>IFERROR(VLOOKUP(C176,'[2]Base 06-2021'!$C$1:$T$65536,17,0),0)</f>
        <v>Fretado</v>
      </c>
      <c r="T176" s="216">
        <f>IFERROR(VLOOKUP(C176,[1]Planilha1!$C$1:$T$65536,18,0),0)</f>
        <v>0</v>
      </c>
      <c r="U176" s="187">
        <v>0</v>
      </c>
      <c r="V176" s="266">
        <v>59.88</v>
      </c>
      <c r="W176" s="187">
        <v>59.88</v>
      </c>
      <c r="X176" s="222"/>
      <c r="Y176" s="187">
        <v>-2255</v>
      </c>
      <c r="AA176" s="187">
        <v>3135.9444600000006</v>
      </c>
      <c r="AB176" s="187">
        <v>783.98611500000015</v>
      </c>
      <c r="AC176" s="7"/>
      <c r="AD176" s="187">
        <v>475.14310000000006</v>
      </c>
      <c r="AE176" s="187">
        <v>4395.0736750000005</v>
      </c>
      <c r="AF176" s="6">
        <v>0</v>
      </c>
      <c r="AG176" s="7"/>
      <c r="AH176" s="216"/>
      <c r="AI176" s="216"/>
    </row>
    <row r="177" spans="1:35" x14ac:dyDescent="0.25">
      <c r="A177" s="170">
        <v>175</v>
      </c>
      <c r="B177" s="170">
        <v>8</v>
      </c>
      <c r="C177" s="171" t="s">
        <v>517</v>
      </c>
      <c r="D177" s="172" t="s">
        <v>518</v>
      </c>
      <c r="E177" s="172" t="s">
        <v>30</v>
      </c>
      <c r="F177" s="173" t="s">
        <v>519</v>
      </c>
      <c r="G177" s="174">
        <v>43782</v>
      </c>
      <c r="H177" s="173" t="s">
        <v>27</v>
      </c>
      <c r="I177" s="15"/>
      <c r="J177" s="186">
        <v>30</v>
      </c>
      <c r="K177" s="5">
        <v>0</v>
      </c>
      <c r="L177" s="186">
        <v>30</v>
      </c>
      <c r="M177" s="15"/>
      <c r="N177" s="167">
        <v>1060.3699999999999</v>
      </c>
      <c r="O177" s="167"/>
      <c r="P177" s="168">
        <v>158</v>
      </c>
      <c r="Q177" s="216">
        <f>IFERROR(VLOOKUP(C177,[1]Planilha1!$C$1:$Q$65536,15,0),0)</f>
        <v>0</v>
      </c>
      <c r="R177" s="216">
        <f>IFERROR(VLOOKUP(C177,[1]Planilha1!$C$1:$R$65536,16,0),0)</f>
        <v>425</v>
      </c>
      <c r="S177" s="153" t="str">
        <f>IFERROR(VLOOKUP(C177,'[2]Base 06-2021'!$C$1:$T$65536,17,0),0)</f>
        <v>Fretado</v>
      </c>
      <c r="T177" s="216">
        <f>IFERROR(VLOOKUP(C177,[1]Planilha1!$C$1:$T$65536,18,0),0)</f>
        <v>0</v>
      </c>
      <c r="U177" s="187">
        <v>0</v>
      </c>
      <c r="V177" s="266">
        <v>63.62</v>
      </c>
      <c r="W177" s="187">
        <v>63.62</v>
      </c>
      <c r="X177" s="222"/>
      <c r="Y177" s="187">
        <v>1060.3699999999999</v>
      </c>
      <c r="AA177" s="6"/>
      <c r="AB177" s="6"/>
      <c r="AC177" s="7">
        <v>400</v>
      </c>
      <c r="AD177" s="6"/>
      <c r="AE177" s="187">
        <v>400</v>
      </c>
      <c r="AF177" s="187">
        <v>660.36999999999989</v>
      </c>
      <c r="AG177" s="7">
        <v>400</v>
      </c>
      <c r="AH177" s="216"/>
      <c r="AI177" s="216"/>
    </row>
    <row r="178" spans="1:35" x14ac:dyDescent="0.25">
      <c r="A178" s="170">
        <v>175</v>
      </c>
      <c r="B178" s="170">
        <v>3</v>
      </c>
      <c r="C178" s="171" t="s">
        <v>520</v>
      </c>
      <c r="D178" s="172" t="s">
        <v>521</v>
      </c>
      <c r="E178" s="172" t="s">
        <v>25</v>
      </c>
      <c r="F178" s="173" t="s">
        <v>522</v>
      </c>
      <c r="G178" s="174">
        <v>43782</v>
      </c>
      <c r="H178" s="173" t="s">
        <v>27</v>
      </c>
      <c r="I178" s="15"/>
      <c r="J178" s="186">
        <v>30</v>
      </c>
      <c r="K178" s="5">
        <v>0</v>
      </c>
      <c r="L178" s="186">
        <v>30</v>
      </c>
      <c r="M178" s="15"/>
      <c r="N178" s="167">
        <v>998</v>
      </c>
      <c r="O178" s="167">
        <v>1257</v>
      </c>
      <c r="P178" s="168"/>
      <c r="Q178" s="216">
        <f>IFERROR(VLOOKUP(C178,[1]Planilha1!$C$1:$Q$65536,15,0),0)</f>
        <v>0</v>
      </c>
      <c r="R178" s="216">
        <f>IFERROR(VLOOKUP(C178,[1]Planilha1!$C$1:$R$65536,16,0),0)</f>
        <v>425</v>
      </c>
      <c r="S178" s="153" t="str">
        <f>IFERROR(VLOOKUP(C178,'[2]Base 06-2021'!$C$1:$T$65536,17,0),0)</f>
        <v>Fretado</v>
      </c>
      <c r="T178" s="216">
        <f>IFERROR(VLOOKUP(C178,[1]Planilha1!$C$1:$T$65536,18,0),0)</f>
        <v>0</v>
      </c>
      <c r="U178" s="187">
        <v>0</v>
      </c>
      <c r="V178" s="266">
        <v>59.88</v>
      </c>
      <c r="W178" s="187">
        <v>59.88</v>
      </c>
      <c r="X178" s="222"/>
      <c r="Y178" s="187">
        <v>2255</v>
      </c>
      <c r="AA178" s="187">
        <v>1982.0866799999997</v>
      </c>
      <c r="AB178" s="187">
        <v>495.52166999999992</v>
      </c>
      <c r="AC178" s="7"/>
      <c r="AD178" s="6"/>
      <c r="AE178" s="187">
        <v>2477.6083499999995</v>
      </c>
      <c r="AF178" s="6">
        <v>0</v>
      </c>
      <c r="AG178" s="7"/>
      <c r="AH178" s="216"/>
      <c r="AI178" s="216"/>
    </row>
    <row r="179" spans="1:35" x14ac:dyDescent="0.25">
      <c r="A179" s="170">
        <v>175</v>
      </c>
      <c r="B179" s="170">
        <v>9</v>
      </c>
      <c r="C179" s="171" t="s">
        <v>523</v>
      </c>
      <c r="D179" s="172" t="s">
        <v>524</v>
      </c>
      <c r="E179" s="172" t="s">
        <v>48</v>
      </c>
      <c r="F179" s="173" t="s">
        <v>525</v>
      </c>
      <c r="G179" s="174">
        <v>43782</v>
      </c>
      <c r="H179" s="173" t="s">
        <v>27</v>
      </c>
      <c r="I179" s="15"/>
      <c r="J179" s="186">
        <v>30</v>
      </c>
      <c r="K179" s="5">
        <v>0</v>
      </c>
      <c r="L179" s="186">
        <v>30</v>
      </c>
      <c r="M179" s="15"/>
      <c r="N179" s="155">
        <v>0</v>
      </c>
      <c r="O179" s="155">
        <v>4000</v>
      </c>
      <c r="P179" s="153"/>
      <c r="Q179" s="216">
        <f>IFERROR(VLOOKUP(C179,[1]Planilha1!$C$1:$Q$65536,15,0),0)</f>
        <v>0</v>
      </c>
      <c r="R179" s="216">
        <f>IFERROR(VLOOKUP(C179,[1]Planilha1!$C$1:$R$65536,16,0),0)</f>
        <v>425</v>
      </c>
      <c r="S179" s="216">
        <f>IFERROR(VLOOKUP(C179,[1]Planilha1!$C$1:$S$65536,17,0),0)</f>
        <v>0</v>
      </c>
      <c r="T179" s="216">
        <f>IFERROR(VLOOKUP(C179,[1]Planilha1!$C$1:$T$65536,18,0),0)</f>
        <v>0</v>
      </c>
      <c r="U179" s="187">
        <v>0</v>
      </c>
      <c r="V179" s="265">
        <v>0</v>
      </c>
      <c r="W179" s="187">
        <v>0</v>
      </c>
      <c r="X179" s="222"/>
      <c r="Y179" s="187">
        <v>4000.0000000000005</v>
      </c>
      <c r="AA179" s="187" t="s">
        <v>1688</v>
      </c>
      <c r="AB179" s="187">
        <v>989.45</v>
      </c>
      <c r="AC179" s="7"/>
      <c r="AD179" s="187">
        <v>1000</v>
      </c>
      <c r="AE179" s="187">
        <v>5947.25</v>
      </c>
      <c r="AF179" s="6">
        <v>0</v>
      </c>
      <c r="AG179" s="7"/>
      <c r="AH179" s="216"/>
      <c r="AI179" s="216"/>
    </row>
    <row r="180" spans="1:35" x14ac:dyDescent="0.25">
      <c r="A180" s="10">
        <v>175</v>
      </c>
      <c r="B180" s="10">
        <v>18</v>
      </c>
      <c r="C180" s="11" t="s">
        <v>964</v>
      </c>
      <c r="D180" s="12" t="s">
        <v>965</v>
      </c>
      <c r="E180" s="12" t="s">
        <v>25</v>
      </c>
      <c r="F180" s="13" t="s">
        <v>966</v>
      </c>
      <c r="G180" s="14">
        <v>44385</v>
      </c>
      <c r="H180" s="173" t="s">
        <v>27</v>
      </c>
      <c r="I180" s="15"/>
      <c r="J180" s="186">
        <v>23</v>
      </c>
      <c r="K180" s="5">
        <v>0</v>
      </c>
      <c r="L180" s="186">
        <v>23</v>
      </c>
      <c r="M180" s="15"/>
      <c r="N180" s="155">
        <v>998</v>
      </c>
      <c r="O180" s="155">
        <v>1257</v>
      </c>
      <c r="P180" s="153"/>
      <c r="Q180" s="216">
        <f>IFERROR(VLOOKUP(C180,[1]Planilha1!$C$1:$Q$65536,15,0),0)</f>
        <v>0</v>
      </c>
      <c r="R180" s="216">
        <f>IFERROR(VLOOKUP(C180,[1]Planilha1!$C$1:$R$65536,16,0),0)</f>
        <v>253</v>
      </c>
      <c r="S180" s="216">
        <f>IFERROR(VLOOKUP(C180,[1]Planilha1!$C$1:$S$65536,17,0),0)</f>
        <v>0</v>
      </c>
      <c r="T180" s="216">
        <f>IFERROR(VLOOKUP(C180,[1]Planilha1!$C$1:$T$65536,18,0),0)</f>
        <v>0</v>
      </c>
      <c r="U180" s="187">
        <v>0</v>
      </c>
      <c r="V180" s="266">
        <v>59.88</v>
      </c>
      <c r="W180" s="187">
        <v>0</v>
      </c>
      <c r="X180" s="222"/>
      <c r="Y180" s="187">
        <v>1728.8333333333335</v>
      </c>
      <c r="AA180" s="6"/>
      <c r="AB180" s="6"/>
      <c r="AC180" s="7"/>
      <c r="AD180" s="6"/>
      <c r="AE180" s="6">
        <v>0</v>
      </c>
      <c r="AF180" s="187">
        <v>1728.8333333333335</v>
      </c>
      <c r="AG180" s="7"/>
      <c r="AH180" s="216"/>
      <c r="AI180" s="216"/>
    </row>
    <row r="181" spans="1:35" x14ac:dyDescent="0.25">
      <c r="A181" s="170">
        <v>175</v>
      </c>
      <c r="B181" s="170">
        <v>1</v>
      </c>
      <c r="C181" s="171" t="s">
        <v>526</v>
      </c>
      <c r="D181" s="172" t="s">
        <v>527</v>
      </c>
      <c r="E181" s="172" t="s">
        <v>25</v>
      </c>
      <c r="F181" s="173" t="s">
        <v>528</v>
      </c>
      <c r="G181" s="174">
        <v>43782</v>
      </c>
      <c r="H181" s="173" t="s">
        <v>27</v>
      </c>
      <c r="I181" s="15"/>
      <c r="J181" s="186">
        <v>-58</v>
      </c>
      <c r="K181" s="188">
        <v>44</v>
      </c>
      <c r="L181" s="186">
        <v>-14</v>
      </c>
      <c r="M181" s="15"/>
      <c r="N181" s="167">
        <v>998</v>
      </c>
      <c r="O181" s="167">
        <v>1257</v>
      </c>
      <c r="P181" s="168"/>
      <c r="Q181" s="216">
        <f>IFERROR(VLOOKUP(C181,[1]Planilha1!$C$1:$Q$65536,15,0),0)</f>
        <v>0</v>
      </c>
      <c r="R181" s="216">
        <f>IFERROR(VLOOKUP(C181,[1]Planilha1!$C$1:$R$65536,16,0),0)</f>
        <v>0</v>
      </c>
      <c r="S181" s="153" t="str">
        <f>IFERROR(VLOOKUP(C181,'[2]Base 06-2021'!$C$1:$T$65536,17,0),0)</f>
        <v>Fretado</v>
      </c>
      <c r="T181" s="216">
        <f>IFERROR(VLOOKUP(C181,[1]Planilha1!$C$1:$T$65536,18,0),0)</f>
        <v>0</v>
      </c>
      <c r="U181" s="187">
        <v>0</v>
      </c>
      <c r="V181" s="266">
        <v>59.88</v>
      </c>
      <c r="W181" s="187">
        <v>59.88</v>
      </c>
      <c r="X181" s="222"/>
      <c r="Y181" s="187">
        <v>-4359.666666666667</v>
      </c>
      <c r="AA181" s="187">
        <v>438.32011999999997</v>
      </c>
      <c r="AB181" s="187">
        <v>109.58002999999999</v>
      </c>
      <c r="AC181" s="7"/>
      <c r="AD181" s="6"/>
      <c r="AE181" s="187">
        <v>547.90014999999994</v>
      </c>
      <c r="AF181" s="6">
        <v>0</v>
      </c>
      <c r="AG181" s="7"/>
      <c r="AH181" s="216"/>
      <c r="AI181" s="216"/>
    </row>
    <row r="182" spans="1:35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73" t="s">
        <v>27</v>
      </c>
      <c r="I182" s="15"/>
      <c r="J182" s="186">
        <v>30</v>
      </c>
      <c r="K182" s="5">
        <v>0</v>
      </c>
      <c r="L182" s="186">
        <v>30</v>
      </c>
      <c r="M182" s="15"/>
      <c r="N182" s="155">
        <v>1591</v>
      </c>
      <c r="O182" s="155"/>
      <c r="P182" s="153">
        <v>87</v>
      </c>
      <c r="Q182" s="216">
        <f>IFERROR(VLOOKUP(C182,[1]Planilha1!$C$1:$Q$65536,15,0),0)</f>
        <v>41</v>
      </c>
      <c r="R182" s="216">
        <f>IFERROR(VLOOKUP(C182,[1]Planilha1!$C$1:$R$65536,16,0),0)</f>
        <v>0</v>
      </c>
      <c r="S182" s="216">
        <f>IFERROR(VLOOKUP(C182,[1]Planilha1!$C$1:$S$65536,17,0),0)</f>
        <v>353.6</v>
      </c>
      <c r="T182" s="216">
        <f>IFERROR(VLOOKUP(C182,[1]Planilha1!$C$1:$T$65536,18,0),0)</f>
        <v>0</v>
      </c>
      <c r="U182" s="187">
        <v>353.6</v>
      </c>
      <c r="V182" s="266">
        <v>95.46</v>
      </c>
      <c r="W182" s="187">
        <v>95.46</v>
      </c>
      <c r="X182" s="222"/>
      <c r="Y182" s="187">
        <v>1591</v>
      </c>
      <c r="AA182" s="6"/>
      <c r="AB182" s="6"/>
      <c r="AC182" s="7"/>
      <c r="AD182" s="6"/>
      <c r="AE182" s="6">
        <v>0</v>
      </c>
      <c r="AF182" s="187">
        <v>1591</v>
      </c>
      <c r="AG182" s="7"/>
      <c r="AH182" s="216"/>
      <c r="AI182" s="216"/>
    </row>
    <row r="183" spans="1:35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73" t="s">
        <v>27</v>
      </c>
      <c r="I183" s="15"/>
      <c r="J183" s="186">
        <v>30</v>
      </c>
      <c r="K183" s="5">
        <v>0</v>
      </c>
      <c r="L183" s="186">
        <v>30</v>
      </c>
      <c r="M183" s="15"/>
      <c r="N183" s="155">
        <v>0</v>
      </c>
      <c r="O183" s="155">
        <v>1909</v>
      </c>
      <c r="P183" s="153"/>
      <c r="Q183" s="216">
        <f>IFERROR(VLOOKUP(C183,[1]Planilha1!$C$1:$Q$65536,15,0),0)</f>
        <v>41</v>
      </c>
      <c r="R183" s="216">
        <f>IFERROR(VLOOKUP(C183,[1]Planilha1!$C$1:$R$65536,16,0),0)</f>
        <v>0</v>
      </c>
      <c r="S183" s="216">
        <f>IFERROR(VLOOKUP(C183,[1]Planilha1!$C$1:$S$65536,17,0),0)</f>
        <v>0</v>
      </c>
      <c r="T183" s="216">
        <f>IFERROR(VLOOKUP(C183,[1]Planilha1!$C$1:$T$65536,18,0),0)</f>
        <v>0</v>
      </c>
      <c r="U183" s="187">
        <v>0</v>
      </c>
      <c r="V183" s="266">
        <v>210.28971149999998</v>
      </c>
      <c r="W183" s="187">
        <v>0</v>
      </c>
      <c r="X183" s="222"/>
      <c r="Y183" s="187">
        <v>1909</v>
      </c>
      <c r="AA183" s="187">
        <v>2803.8628199999998</v>
      </c>
      <c r="AB183" s="187">
        <v>700.96570499999996</v>
      </c>
      <c r="AC183" s="7"/>
      <c r="AD183" s="187">
        <v>424.82769999999999</v>
      </c>
      <c r="AE183" s="187">
        <v>3929.6562249999997</v>
      </c>
      <c r="AF183" s="6">
        <v>0</v>
      </c>
      <c r="AG183" s="7"/>
      <c r="AH183" s="216"/>
      <c r="AI183" s="216"/>
    </row>
    <row r="184" spans="1:35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73" t="s">
        <v>27</v>
      </c>
      <c r="I184" s="15"/>
      <c r="J184" s="186">
        <v>30</v>
      </c>
      <c r="K184" s="5">
        <v>0</v>
      </c>
      <c r="L184" s="186">
        <v>30</v>
      </c>
      <c r="M184" s="15"/>
      <c r="N184" s="155">
        <v>0</v>
      </c>
      <c r="O184" s="155">
        <v>1909</v>
      </c>
      <c r="P184" s="153"/>
      <c r="Q184" s="216">
        <f>IFERROR(VLOOKUP(C184,[1]Planilha1!$C$1:$Q$65536,15,0),0)</f>
        <v>41</v>
      </c>
      <c r="R184" s="216">
        <f>IFERROR(VLOOKUP(C184,[1]Planilha1!$C$1:$R$65536,16,0),0)</f>
        <v>0</v>
      </c>
      <c r="S184" s="216">
        <f>IFERROR(VLOOKUP(C184,[1]Planilha1!$C$1:$S$65536,17,0),0)</f>
        <v>0</v>
      </c>
      <c r="T184" s="216">
        <f>IFERROR(VLOOKUP(C184,[1]Planilha1!$C$1:$T$65536,18,0),0)</f>
        <v>0</v>
      </c>
      <c r="U184" s="187">
        <v>0</v>
      </c>
      <c r="V184" s="266">
        <v>265.2559215</v>
      </c>
      <c r="W184" s="187">
        <v>0</v>
      </c>
      <c r="X184" s="222"/>
      <c r="Y184" s="187">
        <v>1909</v>
      </c>
      <c r="AA184" s="187">
        <v>3536.7456200000001</v>
      </c>
      <c r="AB184" s="187">
        <v>884.18640500000004</v>
      </c>
      <c r="AC184" s="7">
        <v>400</v>
      </c>
      <c r="AD184" s="187">
        <v>520.10964999999999</v>
      </c>
      <c r="AE184" s="187">
        <v>5341.0416750000004</v>
      </c>
      <c r="AF184" s="6">
        <v>0</v>
      </c>
      <c r="AG184" s="7">
        <v>400</v>
      </c>
      <c r="AH184" s="216"/>
      <c r="AI184" s="216"/>
    </row>
    <row r="185" spans="1:35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73" t="s">
        <v>27</v>
      </c>
      <c r="I185" s="15"/>
      <c r="J185" s="186">
        <v>30</v>
      </c>
      <c r="K185" s="5">
        <v>0</v>
      </c>
      <c r="L185" s="186">
        <v>30</v>
      </c>
      <c r="M185" s="15"/>
      <c r="N185" s="155">
        <v>0</v>
      </c>
      <c r="O185" s="155">
        <v>1909</v>
      </c>
      <c r="P185" s="153"/>
      <c r="Q185" s="216">
        <f>IFERROR(VLOOKUP(C185,[1]Planilha1!$C$1:$Q$65536,15,0),0)</f>
        <v>41</v>
      </c>
      <c r="R185" s="216">
        <f>IFERROR(VLOOKUP(C185,[1]Planilha1!$C$1:$R$65536,16,0),0)</f>
        <v>0</v>
      </c>
      <c r="S185" s="216">
        <f>IFERROR(VLOOKUP(C185,[1]Planilha1!$C$1:$S$65536,17,0),0)</f>
        <v>353.6</v>
      </c>
      <c r="T185" s="216">
        <f>IFERROR(VLOOKUP(C185,[1]Planilha1!$C$1:$T$65536,18,0),0)</f>
        <v>0</v>
      </c>
      <c r="U185" s="187">
        <v>353.6</v>
      </c>
      <c r="V185" s="266">
        <v>90.539999999999992</v>
      </c>
      <c r="W185" s="187">
        <v>90.539999999999992</v>
      </c>
      <c r="X185" s="222"/>
      <c r="Y185" s="187">
        <v>1909</v>
      </c>
      <c r="AA185" s="187">
        <v>724.83142999999995</v>
      </c>
      <c r="AB185" s="187">
        <v>181.20785749999999</v>
      </c>
      <c r="AC185" s="7">
        <v>400</v>
      </c>
      <c r="AD185" s="6"/>
      <c r="AE185" s="187">
        <v>1306.0392875</v>
      </c>
      <c r="AF185" s="187">
        <v>602.9607125</v>
      </c>
      <c r="AG185" s="7">
        <v>400</v>
      </c>
      <c r="AH185" s="216"/>
      <c r="AI185" s="216"/>
    </row>
    <row r="186" spans="1:35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73" t="s">
        <v>27</v>
      </c>
      <c r="I186" s="15"/>
      <c r="J186" s="186">
        <v>30</v>
      </c>
      <c r="K186" s="5">
        <v>0</v>
      </c>
      <c r="L186" s="186">
        <v>30</v>
      </c>
      <c r="M186" s="15"/>
      <c r="N186" s="155">
        <v>0</v>
      </c>
      <c r="O186" s="155">
        <v>1909</v>
      </c>
      <c r="P186" s="153"/>
      <c r="Q186" s="216">
        <f>IFERROR(VLOOKUP(C186,[1]Planilha1!$C$1:$Q$65536,15,0),0)</f>
        <v>41</v>
      </c>
      <c r="R186" s="216">
        <f>IFERROR(VLOOKUP(C186,[1]Planilha1!$C$1:$R$65536,16,0),0)</f>
        <v>0</v>
      </c>
      <c r="S186" s="216">
        <f>IFERROR(VLOOKUP(C186,[1]Planilha1!$C$1:$S$65536,17,0),0)</f>
        <v>256.88</v>
      </c>
      <c r="T186" s="216">
        <f>IFERROR(VLOOKUP(C186,[1]Planilha1!$C$1:$T$65536,18,0),0)</f>
        <v>0</v>
      </c>
      <c r="U186" s="187">
        <v>256.88</v>
      </c>
      <c r="V186" s="266">
        <v>224.23519349999998</v>
      </c>
      <c r="W186" s="187">
        <v>224.23519349999998</v>
      </c>
      <c r="X186" s="222"/>
      <c r="Y186" s="187">
        <v>1909</v>
      </c>
      <c r="AA186" s="187">
        <v>2989.80258</v>
      </c>
      <c r="AB186" s="187">
        <v>747.45064500000001</v>
      </c>
      <c r="AC186" s="7"/>
      <c r="AD186" s="187">
        <v>439.67685</v>
      </c>
      <c r="AE186" s="187">
        <v>4176.9300750000002</v>
      </c>
      <c r="AF186" s="6">
        <v>0</v>
      </c>
      <c r="AG186" s="7"/>
      <c r="AH186" s="216"/>
      <c r="AI186" s="216"/>
    </row>
    <row r="187" spans="1:35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186">
        <v>30</v>
      </c>
      <c r="K187" s="5">
        <v>0</v>
      </c>
      <c r="L187" s="186">
        <v>30</v>
      </c>
      <c r="M187" s="15"/>
      <c r="N187" s="155">
        <v>0</v>
      </c>
      <c r="O187" s="155">
        <v>4389</v>
      </c>
      <c r="P187" s="153"/>
      <c r="Q187" s="216">
        <f>IFERROR(VLOOKUP(C187,[1]Planilha1!$C$1:$Q$65536,15,0),0)</f>
        <v>41</v>
      </c>
      <c r="R187" s="216">
        <f>IFERROR(VLOOKUP(C187,[1]Planilha1!$C$1:$R$65536,16,0),0)</f>
        <v>0</v>
      </c>
      <c r="S187" s="216">
        <f>IFERROR(VLOOKUP(C187,[1]Planilha1!$C$1:$S$65536,17,0),0)</f>
        <v>0</v>
      </c>
      <c r="T187" s="216">
        <f>IFERROR(VLOOKUP(C187,[1]Planilha1!$C$1:$T$65536,18,0),0)</f>
        <v>0</v>
      </c>
      <c r="U187" s="187">
        <v>0</v>
      </c>
      <c r="V187" s="266">
        <v>264.94124999999997</v>
      </c>
      <c r="W187" s="187">
        <v>0</v>
      </c>
      <c r="X187" s="222"/>
      <c r="Y187" s="187">
        <v>4389</v>
      </c>
      <c r="AA187" s="187" t="s">
        <v>1691</v>
      </c>
      <c r="AB187" s="187">
        <v>883.13750000000005</v>
      </c>
      <c r="AC187" s="7"/>
      <c r="AD187" s="187">
        <v>2000</v>
      </c>
      <c r="AE187" s="187">
        <v>6415.6875</v>
      </c>
      <c r="AF187" s="6">
        <v>0</v>
      </c>
      <c r="AG187" s="7"/>
      <c r="AH187" s="216"/>
      <c r="AI187" s="216"/>
    </row>
    <row r="188" spans="1:35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73" t="s">
        <v>27</v>
      </c>
      <c r="I188" s="15"/>
      <c r="J188" s="186">
        <v>30</v>
      </c>
      <c r="K188" s="5">
        <v>0</v>
      </c>
      <c r="L188" s="186">
        <v>30</v>
      </c>
      <c r="M188" s="15"/>
      <c r="N188" s="155">
        <v>1591</v>
      </c>
      <c r="O188" s="155"/>
      <c r="P188" s="153">
        <v>87</v>
      </c>
      <c r="Q188" s="216">
        <f>IFERROR(VLOOKUP(C188,[1]Planilha1!$C$1:$Q$65536,15,0),0)</f>
        <v>41</v>
      </c>
      <c r="R188" s="216">
        <f>IFERROR(VLOOKUP(C188,[1]Planilha1!$C$1:$R$65536,16,0),0)</f>
        <v>0</v>
      </c>
      <c r="S188" s="216">
        <f>IFERROR(VLOOKUP(C188,[1]Planilha1!$C$1:$S$65536,17,0),0)</f>
        <v>392.6</v>
      </c>
      <c r="T188" s="216">
        <f>IFERROR(VLOOKUP(C188,[1]Planilha1!$C$1:$T$65536,18,0),0)</f>
        <v>0</v>
      </c>
      <c r="U188" s="187">
        <v>392.6</v>
      </c>
      <c r="V188" s="266">
        <v>95.46</v>
      </c>
      <c r="W188" s="187">
        <v>95.46</v>
      </c>
      <c r="X188" s="222"/>
      <c r="Y188" s="187">
        <v>1591</v>
      </c>
      <c r="AA188" s="6"/>
      <c r="AB188" s="6"/>
      <c r="AC188" s="7"/>
      <c r="AD188" s="6"/>
      <c r="AE188" s="6">
        <v>0</v>
      </c>
      <c r="AF188" s="187">
        <v>1591</v>
      </c>
      <c r="AG188" s="7"/>
      <c r="AH188" s="216"/>
      <c r="AI188" s="216"/>
    </row>
    <row r="189" spans="1:35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186">
        <v>30</v>
      </c>
      <c r="K189" s="5">
        <v>0</v>
      </c>
      <c r="L189" s="186">
        <v>30</v>
      </c>
      <c r="M189" s="15"/>
      <c r="N189" s="155">
        <v>0</v>
      </c>
      <c r="O189" s="155">
        <v>1909</v>
      </c>
      <c r="P189" s="153"/>
      <c r="Q189" s="216">
        <f>IFERROR(VLOOKUP(C189,[1]Planilha1!$C$1:$Q$65536,15,0),0)</f>
        <v>41</v>
      </c>
      <c r="R189" s="216">
        <f>IFERROR(VLOOKUP(C189,[1]Planilha1!$C$1:$R$65536,16,0),0)</f>
        <v>0</v>
      </c>
      <c r="S189" s="216">
        <f>IFERROR(VLOOKUP(C189,[1]Planilha1!$C$1:$S$65536,17,0),0)</f>
        <v>405.6</v>
      </c>
      <c r="T189" s="216">
        <f>IFERROR(VLOOKUP(C189,[1]Planilha1!$C$1:$T$65536,18,0),0)</f>
        <v>0</v>
      </c>
      <c r="U189" s="187">
        <v>405.6</v>
      </c>
      <c r="V189" s="266">
        <v>207.11401424999997</v>
      </c>
      <c r="W189" s="187">
        <v>207.11401424999997</v>
      </c>
      <c r="X189" s="222"/>
      <c r="Y189" s="187">
        <v>1909</v>
      </c>
      <c r="AA189" s="187">
        <v>2761.5201899999997</v>
      </c>
      <c r="AB189" s="187">
        <v>690.38004749999993</v>
      </c>
      <c r="AC189" s="7"/>
      <c r="AD189" s="187">
        <v>418.41215</v>
      </c>
      <c r="AE189" s="187">
        <v>3870.3123874999997</v>
      </c>
      <c r="AF189" s="6">
        <v>0</v>
      </c>
      <c r="AG189" s="7"/>
      <c r="AH189" s="216"/>
      <c r="AI189" s="216"/>
    </row>
    <row r="190" spans="1:35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186">
        <v>30</v>
      </c>
      <c r="K190" s="5">
        <v>0</v>
      </c>
      <c r="L190" s="186">
        <v>30</v>
      </c>
      <c r="M190" s="15"/>
      <c r="N190" s="155">
        <v>0</v>
      </c>
      <c r="O190" s="155">
        <v>1103.92</v>
      </c>
      <c r="P190" s="153"/>
      <c r="Q190" s="216">
        <f>IFERROR(VLOOKUP(C190,[1]Planilha1!$C$1:$Q$65536,15,0),0)</f>
        <v>0</v>
      </c>
      <c r="R190" s="216">
        <f>IFERROR(VLOOKUP(C190,[1]Planilha1!$C$1:$R$65536,16,0),0)</f>
        <v>0</v>
      </c>
      <c r="S190" s="216">
        <f>IFERROR(VLOOKUP(C190,[1]Planilha1!$C$1:$S$65536,17,0),0)</f>
        <v>0</v>
      </c>
      <c r="T190" s="216">
        <f>IFERROR(VLOOKUP(C190,[1]Planilha1!$C$1:$T$65536,18,0),0)</f>
        <v>234</v>
      </c>
      <c r="U190" s="187">
        <v>234</v>
      </c>
      <c r="V190" s="266">
        <v>273.57075899999995</v>
      </c>
      <c r="W190" s="187">
        <v>234</v>
      </c>
      <c r="X190" s="222"/>
      <c r="Y190" s="187">
        <v>1103.92</v>
      </c>
      <c r="AA190" s="187">
        <v>3647.6101199999998</v>
      </c>
      <c r="AB190" s="187">
        <v>911.90252999999996</v>
      </c>
      <c r="AC190" s="7">
        <v>400</v>
      </c>
      <c r="AD190" s="187">
        <v>651.35894999999994</v>
      </c>
      <c r="AE190" s="187">
        <v>5610.8715999999995</v>
      </c>
      <c r="AF190" s="6">
        <v>0</v>
      </c>
      <c r="AG190" s="7">
        <v>400</v>
      </c>
      <c r="AH190" s="216"/>
      <c r="AI190" s="216"/>
    </row>
    <row r="191" spans="1:35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186">
        <v>30</v>
      </c>
      <c r="K191" s="5">
        <v>0</v>
      </c>
      <c r="L191" s="186">
        <v>30</v>
      </c>
      <c r="M191" s="15"/>
      <c r="N191" s="155">
        <v>0</v>
      </c>
      <c r="O191" s="155">
        <v>1103.92</v>
      </c>
      <c r="P191" s="153"/>
      <c r="Q191" s="216">
        <f>IFERROR(VLOOKUP(C191,[1]Planilha1!$C$1:$Q$65536,15,0),0)</f>
        <v>0</v>
      </c>
      <c r="R191" s="216">
        <f>IFERROR(VLOOKUP(C191,[1]Planilha1!$C$1:$R$65536,16,0),0)</f>
        <v>0</v>
      </c>
      <c r="S191" s="216">
        <f>IFERROR(VLOOKUP(C191,[1]Planilha1!$C$1:$S$65536,17,0),0)</f>
        <v>0</v>
      </c>
      <c r="T191" s="216">
        <f>IFERROR(VLOOKUP(C191,[1]Planilha1!$C$1:$T$65536,18,0),0)</f>
        <v>304.2</v>
      </c>
      <c r="U191" s="187">
        <v>304.2</v>
      </c>
      <c r="V191" s="266">
        <v>165.94267200000002</v>
      </c>
      <c r="W191" s="187">
        <v>165.94267200000002</v>
      </c>
      <c r="X191" s="222"/>
      <c r="Y191" s="187">
        <v>1103.92</v>
      </c>
      <c r="AA191" s="187">
        <v>2212.5689600000001</v>
      </c>
      <c r="AB191" s="187">
        <v>553.14224000000002</v>
      </c>
      <c r="AC191" s="7"/>
      <c r="AD191" s="6"/>
      <c r="AE191" s="187">
        <v>2765.7112000000002</v>
      </c>
      <c r="AF191" s="6">
        <v>0</v>
      </c>
      <c r="AG191" s="7"/>
      <c r="AH191" s="216"/>
      <c r="AI191" s="216"/>
    </row>
    <row r="192" spans="1:35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186">
        <v>30</v>
      </c>
      <c r="K192" s="5">
        <v>0</v>
      </c>
      <c r="L192" s="186">
        <v>30</v>
      </c>
      <c r="M192" s="15"/>
      <c r="N192" s="155">
        <v>1120</v>
      </c>
      <c r="O192" s="155"/>
      <c r="P192" s="153">
        <v>89.33</v>
      </c>
      <c r="Q192" s="216">
        <f>IFERROR(VLOOKUP(C192,[1]Planilha1!$C$1:$Q$65536,15,0),0)</f>
        <v>0</v>
      </c>
      <c r="R192" s="216">
        <f>IFERROR(VLOOKUP(C192,[1]Planilha1!$C$1:$R$65536,16,0),0)</f>
        <v>0</v>
      </c>
      <c r="S192" s="216">
        <f>IFERROR(VLOOKUP(C192,[1]Planilha1!$C$1:$S$65536,17,0),0)</f>
        <v>0</v>
      </c>
      <c r="T192" s="216">
        <f>IFERROR(VLOOKUP(C192,[1]Planilha1!$C$1:$T$65536,18,0),0)</f>
        <v>99</v>
      </c>
      <c r="U192" s="187">
        <v>99</v>
      </c>
      <c r="V192" s="266">
        <v>67.2</v>
      </c>
      <c r="W192" s="187">
        <v>67.2</v>
      </c>
      <c r="X192" s="222"/>
      <c r="Y192" s="187">
        <v>1120</v>
      </c>
      <c r="AA192" s="6"/>
      <c r="AB192" s="6"/>
      <c r="AC192" s="7"/>
      <c r="AD192" s="6"/>
      <c r="AE192" s="6">
        <v>0</v>
      </c>
      <c r="AF192" s="187">
        <v>1120</v>
      </c>
      <c r="AG192" s="7"/>
      <c r="AH192" s="216"/>
      <c r="AI192" s="216"/>
    </row>
    <row r="193" spans="1:35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186">
        <v>30</v>
      </c>
      <c r="K193" s="5">
        <v>0</v>
      </c>
      <c r="L193" s="186">
        <v>30</v>
      </c>
      <c r="M193" s="15"/>
      <c r="N193" s="155">
        <v>0</v>
      </c>
      <c r="O193" s="155">
        <v>4500</v>
      </c>
      <c r="P193" s="153"/>
      <c r="Q193" s="216">
        <f>IFERROR(VLOOKUP(C193,[1]Planilha1!$C$1:$Q$65536,15,0),0)</f>
        <v>0</v>
      </c>
      <c r="R193" s="216">
        <f>IFERROR(VLOOKUP(C193,[1]Planilha1!$C$1:$R$65536,16,0),0)</f>
        <v>0</v>
      </c>
      <c r="S193" s="216">
        <f>IFERROR(VLOOKUP(C193,[1]Planilha1!$C$1:$S$65536,17,0),0)</f>
        <v>0</v>
      </c>
      <c r="T193" s="216">
        <f>IFERROR(VLOOKUP(C193,[1]Planilha1!$C$1:$T$65536,18,0),0)</f>
        <v>0</v>
      </c>
      <c r="U193" s="187">
        <v>0</v>
      </c>
      <c r="V193" s="266">
        <v>554.98949999999991</v>
      </c>
      <c r="W193" s="187">
        <v>0</v>
      </c>
      <c r="X193" s="222"/>
      <c r="Y193" s="187">
        <v>4500</v>
      </c>
      <c r="AA193" s="187" t="s">
        <v>1693</v>
      </c>
      <c r="AB193" s="187">
        <v>1849.9649999999999</v>
      </c>
      <c r="AC193" s="7"/>
      <c r="AD193" s="187">
        <v>2000</v>
      </c>
      <c r="AE193" s="187">
        <v>11249.824999999999</v>
      </c>
      <c r="AF193" s="6">
        <v>0</v>
      </c>
      <c r="AG193" s="7"/>
      <c r="AH193" s="216"/>
      <c r="AI193" s="216"/>
    </row>
    <row r="194" spans="1:35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186">
        <v>30</v>
      </c>
      <c r="K194" s="5">
        <v>0</v>
      </c>
      <c r="L194" s="186">
        <v>30</v>
      </c>
      <c r="M194" s="15"/>
      <c r="N194" s="155">
        <v>0</v>
      </c>
      <c r="O194" s="155">
        <v>1103.92</v>
      </c>
      <c r="P194" s="153"/>
      <c r="Q194" s="216">
        <f>IFERROR(VLOOKUP(C194,[1]Planilha1!$C$1:$Q$65536,15,0),0)</f>
        <v>0</v>
      </c>
      <c r="R194" s="216">
        <f>IFERROR(VLOOKUP(C194,[1]Planilha1!$C$1:$R$65536,16,0),0)</f>
        <v>0</v>
      </c>
      <c r="S194" s="216">
        <f>IFERROR(VLOOKUP(C194,[1]Planilha1!$C$1:$S$65536,17,0),0)</f>
        <v>0</v>
      </c>
      <c r="T194" s="216">
        <f>IFERROR(VLOOKUP(C194,[1]Planilha1!$C$1:$T$65536,18,0),0)</f>
        <v>304.2</v>
      </c>
      <c r="U194" s="187">
        <v>304.2</v>
      </c>
      <c r="V194" s="266">
        <v>271.28459399999997</v>
      </c>
      <c r="W194" s="187">
        <v>271.28459399999997</v>
      </c>
      <c r="X194" s="222"/>
      <c r="Y194" s="187">
        <v>1103.92</v>
      </c>
      <c r="AA194" s="187">
        <v>3617.1279199999999</v>
      </c>
      <c r="AB194" s="187">
        <v>904.28197999999998</v>
      </c>
      <c r="AC194" s="7"/>
      <c r="AD194" s="187">
        <v>645.91570000000002</v>
      </c>
      <c r="AE194" s="187">
        <v>5167.3256000000001</v>
      </c>
      <c r="AF194" s="6">
        <v>0</v>
      </c>
      <c r="AG194" s="7"/>
      <c r="AH194" s="216"/>
      <c r="AI194" s="216"/>
    </row>
    <row r="195" spans="1:35" x14ac:dyDescent="0.25">
      <c r="A195" s="10">
        <v>181</v>
      </c>
      <c r="B195" s="10">
        <v>34</v>
      </c>
      <c r="C195" s="11" t="s">
        <v>967</v>
      </c>
      <c r="D195" s="12" t="s">
        <v>968</v>
      </c>
      <c r="E195" s="12" t="s">
        <v>25</v>
      </c>
      <c r="F195" s="13" t="s">
        <v>969</v>
      </c>
      <c r="G195" s="14">
        <v>44385</v>
      </c>
      <c r="H195" s="13" t="s">
        <v>27</v>
      </c>
      <c r="I195" s="15"/>
      <c r="J195" s="186">
        <v>23</v>
      </c>
      <c r="K195" s="5">
        <v>0</v>
      </c>
      <c r="L195" s="186">
        <v>23</v>
      </c>
      <c r="M195" s="15"/>
      <c r="N195" s="155">
        <v>0</v>
      </c>
      <c r="O195" s="155">
        <v>1103.92</v>
      </c>
      <c r="P195" s="153"/>
      <c r="Q195" s="216">
        <f>IFERROR(VLOOKUP(C195,[1]Planilha1!$C$1:$Q$65536,15,0),0)</f>
        <v>0</v>
      </c>
      <c r="R195" s="216">
        <f>IFERROR(VLOOKUP(C195,[1]Planilha1!$C$1:$R$65536,16,0),0)</f>
        <v>0</v>
      </c>
      <c r="S195" s="216">
        <f>IFERROR(VLOOKUP(C195,[1]Planilha1!$C$1:$S$65536,17,0),0)</f>
        <v>0</v>
      </c>
      <c r="T195" s="216">
        <f>IFERROR(VLOOKUP(C195,[1]Planilha1!$C$1:$T$65536,18,0),0)</f>
        <v>166</v>
      </c>
      <c r="U195" s="187">
        <v>166</v>
      </c>
      <c r="V195" s="266">
        <v>66.235200000000006</v>
      </c>
      <c r="W195" s="187">
        <v>66.235200000000006</v>
      </c>
      <c r="X195" s="222"/>
      <c r="Y195" s="187">
        <v>846.33866666666665</v>
      </c>
      <c r="AA195" s="6"/>
      <c r="AB195" s="6"/>
      <c r="AC195" s="7"/>
      <c r="AD195" s="6"/>
      <c r="AE195" s="6">
        <v>0</v>
      </c>
      <c r="AF195" s="187">
        <v>846.33866666666665</v>
      </c>
      <c r="AG195" s="7"/>
      <c r="AH195" s="216"/>
      <c r="AI195" s="216"/>
    </row>
    <row r="196" spans="1:35" x14ac:dyDescent="0.25">
      <c r="A196" s="10">
        <v>181</v>
      </c>
      <c r="B196" s="10">
        <v>36</v>
      </c>
      <c r="C196" s="11" t="s">
        <v>973</v>
      </c>
      <c r="D196" s="12" t="s">
        <v>974</v>
      </c>
      <c r="E196" s="12" t="s">
        <v>25</v>
      </c>
      <c r="F196" s="13" t="s">
        <v>975</v>
      </c>
      <c r="G196" s="14">
        <v>44390</v>
      </c>
      <c r="H196" s="13" t="s">
        <v>27</v>
      </c>
      <c r="I196" s="15"/>
      <c r="J196" s="186">
        <v>18</v>
      </c>
      <c r="K196" s="5">
        <v>0</v>
      </c>
      <c r="L196" s="186">
        <v>18</v>
      </c>
      <c r="M196" s="15"/>
      <c r="N196" s="155">
        <v>0</v>
      </c>
      <c r="O196" s="155">
        <v>1103.92</v>
      </c>
      <c r="P196" s="153"/>
      <c r="Q196" s="216">
        <f>IFERROR(VLOOKUP(C196,[1]Planilha1!$C$1:$Q$65536,15,0),0)</f>
        <v>0</v>
      </c>
      <c r="R196" s="216">
        <f>IFERROR(VLOOKUP(C196,[1]Planilha1!$C$1:$R$65536,16,0),0)</f>
        <v>0</v>
      </c>
      <c r="S196" s="216">
        <f>IFERROR(VLOOKUP(C196,[1]Planilha1!$C$1:$S$65536,17,0),0)</f>
        <v>0</v>
      </c>
      <c r="T196" s="216">
        <f>IFERROR(VLOOKUP(C196,[1]Planilha1!$C$1:$T$65536,18,0),0)</f>
        <v>0</v>
      </c>
      <c r="U196" s="187">
        <v>0</v>
      </c>
      <c r="V196" s="266">
        <v>66.235200000000006</v>
      </c>
      <c r="W196" s="187">
        <v>0</v>
      </c>
      <c r="X196" s="222"/>
      <c r="Y196" s="187">
        <v>662.35199999999998</v>
      </c>
      <c r="AA196" s="6"/>
      <c r="AB196" s="6"/>
      <c r="AC196" s="7"/>
      <c r="AD196" s="6"/>
      <c r="AE196" s="6">
        <v>0</v>
      </c>
      <c r="AF196" s="187">
        <v>662.35199999999998</v>
      </c>
      <c r="AG196" s="7"/>
      <c r="AH196" s="216"/>
      <c r="AI196" s="216"/>
    </row>
    <row r="197" spans="1:35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186">
        <v>30</v>
      </c>
      <c r="K197" s="5">
        <v>0</v>
      </c>
      <c r="L197" s="186">
        <v>30</v>
      </c>
      <c r="M197" s="15"/>
      <c r="N197" s="155">
        <v>1120</v>
      </c>
      <c r="O197" s="155"/>
      <c r="P197" s="153">
        <v>89.33</v>
      </c>
      <c r="Q197" s="216">
        <f>IFERROR(VLOOKUP(C197,[1]Planilha1!$C$1:$Q$65536,15,0),0)</f>
        <v>0</v>
      </c>
      <c r="R197" s="216">
        <f>IFERROR(VLOOKUP(C197,[1]Planilha1!$C$1:$R$65536,16,0),0)</f>
        <v>0</v>
      </c>
      <c r="S197" s="216">
        <f>IFERROR(VLOOKUP(C197,[1]Planilha1!$C$1:$S$65536,17,0),0)</f>
        <v>0</v>
      </c>
      <c r="T197" s="216">
        <f>IFERROR(VLOOKUP(C197,[1]Planilha1!$C$1:$T$65536,18,0),0)</f>
        <v>304.2</v>
      </c>
      <c r="U197" s="187">
        <v>304.2</v>
      </c>
      <c r="V197" s="266">
        <v>67.2</v>
      </c>
      <c r="W197" s="187">
        <v>67.2</v>
      </c>
      <c r="X197" s="222"/>
      <c r="Y197" s="187">
        <v>1120</v>
      </c>
      <c r="AA197" s="6"/>
      <c r="AB197" s="6"/>
      <c r="AC197" s="7"/>
      <c r="AD197" s="6"/>
      <c r="AE197" s="6">
        <v>0</v>
      </c>
      <c r="AF197" s="187">
        <v>1120</v>
      </c>
      <c r="AG197" s="7"/>
      <c r="AH197" s="216"/>
      <c r="AI197" s="216"/>
    </row>
    <row r="198" spans="1:35" x14ac:dyDescent="0.25">
      <c r="A198" s="10">
        <v>181</v>
      </c>
      <c r="B198" s="10">
        <v>35</v>
      </c>
      <c r="C198" s="11" t="s">
        <v>970</v>
      </c>
      <c r="D198" s="12" t="s">
        <v>971</v>
      </c>
      <c r="E198" s="12" t="s">
        <v>30</v>
      </c>
      <c r="F198" s="13" t="s">
        <v>972</v>
      </c>
      <c r="G198" s="14">
        <v>44385</v>
      </c>
      <c r="H198" s="13" t="s">
        <v>27</v>
      </c>
      <c r="I198" s="15"/>
      <c r="J198" s="186">
        <v>23</v>
      </c>
      <c r="K198" s="5">
        <v>0</v>
      </c>
      <c r="L198" s="186">
        <v>23</v>
      </c>
      <c r="M198" s="15"/>
      <c r="N198" s="155">
        <v>1120</v>
      </c>
      <c r="O198" s="155"/>
      <c r="P198" s="153">
        <v>89.33</v>
      </c>
      <c r="Q198" s="216">
        <f>IFERROR(VLOOKUP(C198,[1]Planilha1!$C$1:$Q$65536,15,0),0)</f>
        <v>0</v>
      </c>
      <c r="R198" s="216">
        <f>IFERROR(VLOOKUP(C198,[1]Planilha1!$C$1:$R$65536,16,0),0)</f>
        <v>0</v>
      </c>
      <c r="S198" s="216">
        <f>IFERROR(VLOOKUP(C198,[1]Planilha1!$C$1:$S$65536,17,0),0)</f>
        <v>0</v>
      </c>
      <c r="T198" s="216">
        <f>IFERROR(VLOOKUP(C198,[1]Planilha1!$C$1:$T$65536,18,0),0)</f>
        <v>0</v>
      </c>
      <c r="U198" s="187">
        <v>0</v>
      </c>
      <c r="V198" s="266">
        <v>67.2</v>
      </c>
      <c r="W198" s="187">
        <v>0</v>
      </c>
      <c r="X198" s="222"/>
      <c r="Y198" s="187">
        <v>858.66666666666674</v>
      </c>
      <c r="AA198" s="6"/>
      <c r="AB198" s="6"/>
      <c r="AC198" s="7"/>
      <c r="AD198" s="6"/>
      <c r="AE198" s="6">
        <v>0</v>
      </c>
      <c r="AF198" s="187">
        <v>858.66666666666674</v>
      </c>
      <c r="AG198" s="7"/>
      <c r="AH198" s="216"/>
      <c r="AI198" s="216"/>
    </row>
    <row r="199" spans="1:35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186">
        <v>30</v>
      </c>
      <c r="K199" s="5">
        <v>0</v>
      </c>
      <c r="L199" s="186">
        <v>30</v>
      </c>
      <c r="M199" s="15"/>
      <c r="N199" s="155">
        <v>0</v>
      </c>
      <c r="O199" s="155">
        <v>1103.92</v>
      </c>
      <c r="P199" s="153"/>
      <c r="Q199" s="216">
        <f>IFERROR(VLOOKUP(C199,[1]Planilha1!$C$1:$Q$65536,15,0),0)</f>
        <v>0</v>
      </c>
      <c r="R199" s="216">
        <f>IFERROR(VLOOKUP(C199,[1]Planilha1!$C$1:$R$65536,16,0),0)</f>
        <v>0</v>
      </c>
      <c r="S199" s="216">
        <f>IFERROR(VLOOKUP(C199,[1]Planilha1!$C$1:$S$65536,17,0),0)</f>
        <v>0</v>
      </c>
      <c r="T199" s="216">
        <f>IFERROR(VLOOKUP(C199,[1]Planilha1!$C$1:$T$65536,18,0),0)</f>
        <v>267.8</v>
      </c>
      <c r="U199" s="187">
        <v>267.8</v>
      </c>
      <c r="V199" s="266">
        <v>302.21242799999993</v>
      </c>
      <c r="W199" s="187">
        <v>267.8</v>
      </c>
      <c r="X199" s="222"/>
      <c r="Y199" s="187">
        <v>1103.92</v>
      </c>
      <c r="AA199" s="187">
        <v>4029.4990399999997</v>
      </c>
      <c r="AB199" s="187">
        <v>1007.3747599999999</v>
      </c>
      <c r="AC199" s="7"/>
      <c r="AD199" s="187">
        <v>719.55340000000001</v>
      </c>
      <c r="AE199" s="187">
        <v>5756.4271999999992</v>
      </c>
      <c r="AF199" s="6">
        <v>0</v>
      </c>
      <c r="AG199" s="7"/>
      <c r="AH199" s="216"/>
      <c r="AI199" s="216"/>
    </row>
    <row r="200" spans="1:35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186">
        <v>30</v>
      </c>
      <c r="K200" s="5">
        <v>0</v>
      </c>
      <c r="L200" s="186">
        <v>30</v>
      </c>
      <c r="M200" s="15"/>
      <c r="N200" s="155">
        <v>0</v>
      </c>
      <c r="O200" s="155">
        <v>1103.92</v>
      </c>
      <c r="P200" s="153"/>
      <c r="Q200" s="216">
        <f>IFERROR(VLOOKUP(C200,[1]Planilha1!$C$1:$Q$65536,15,0),0)</f>
        <v>0</v>
      </c>
      <c r="R200" s="216">
        <f>IFERROR(VLOOKUP(C200,[1]Planilha1!$C$1:$R$65536,16,0),0)</f>
        <v>0</v>
      </c>
      <c r="S200" s="216">
        <f>IFERROR(VLOOKUP(C200,[1]Planilha1!$C$1:$S$65536,17,0),0)</f>
        <v>0</v>
      </c>
      <c r="T200" s="216">
        <f>IFERROR(VLOOKUP(C200,[1]Planilha1!$C$1:$T$65536,18,0),0)</f>
        <v>418.6</v>
      </c>
      <c r="U200" s="187">
        <v>418.6</v>
      </c>
      <c r="V200" s="266">
        <v>259.225617</v>
      </c>
      <c r="W200" s="187">
        <v>259.225617</v>
      </c>
      <c r="X200" s="222"/>
      <c r="Y200" s="187">
        <v>1103.92</v>
      </c>
      <c r="AA200" s="187">
        <v>3456.3415600000003</v>
      </c>
      <c r="AB200" s="187">
        <v>864.08539000000007</v>
      </c>
      <c r="AC200" s="7">
        <v>400</v>
      </c>
      <c r="AD200" s="187">
        <v>617.20384999999999</v>
      </c>
      <c r="AE200" s="187">
        <v>5337.6307999999999</v>
      </c>
      <c r="AF200" s="6">
        <v>0</v>
      </c>
      <c r="AG200" s="7">
        <v>400</v>
      </c>
      <c r="AH200" s="216"/>
      <c r="AI200" s="216"/>
    </row>
    <row r="201" spans="1:35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186">
        <v>30</v>
      </c>
      <c r="K201" s="5">
        <v>0</v>
      </c>
      <c r="L201" s="186">
        <v>30</v>
      </c>
      <c r="M201" s="15"/>
      <c r="N201" s="155">
        <v>0</v>
      </c>
      <c r="O201" s="155">
        <v>1786</v>
      </c>
      <c r="P201" s="153"/>
      <c r="Q201" s="216">
        <f>IFERROR(VLOOKUP(C201,[1]Planilha1!$C$1:$Q$65536,15,0),0)</f>
        <v>0</v>
      </c>
      <c r="R201" s="216">
        <f>IFERROR(VLOOKUP(C201,[1]Planilha1!$C$1:$R$65536,16,0),0)</f>
        <v>28</v>
      </c>
      <c r="S201" s="216">
        <f>IFERROR(VLOOKUP(C201,[1]Planilha1!$C$1:$S$65536,17,0),0)</f>
        <v>260</v>
      </c>
      <c r="T201" s="216">
        <f>IFERROR(VLOOKUP(C201,[1]Planilha1!$C$1:$T$65536,18,0),0)</f>
        <v>0</v>
      </c>
      <c r="U201" s="187">
        <v>260</v>
      </c>
      <c r="V201" s="266">
        <v>111.47667299999999</v>
      </c>
      <c r="W201" s="187">
        <v>111.47667299999999</v>
      </c>
      <c r="X201" s="222"/>
      <c r="Y201" s="187">
        <v>1786</v>
      </c>
      <c r="AA201" s="187">
        <v>1486.35564</v>
      </c>
      <c r="AB201" s="187">
        <v>371.58891</v>
      </c>
      <c r="AC201" s="7"/>
      <c r="AD201" s="6"/>
      <c r="AE201" s="187">
        <v>1857.9445499999999</v>
      </c>
      <c r="AF201" s="6">
        <v>0</v>
      </c>
      <c r="AG201" s="7"/>
      <c r="AH201" s="216"/>
      <c r="AI201" s="216"/>
    </row>
    <row r="202" spans="1:35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186">
        <v>30</v>
      </c>
      <c r="K202" s="5">
        <v>0</v>
      </c>
      <c r="L202" s="186">
        <v>30</v>
      </c>
      <c r="M202" s="15"/>
      <c r="N202" s="155">
        <v>0</v>
      </c>
      <c r="O202" s="155">
        <v>1786</v>
      </c>
      <c r="P202" s="153"/>
      <c r="Q202" s="216">
        <f>IFERROR(VLOOKUP(C202,[1]Planilha1!$C$1:$Q$65536,15,0),0)</f>
        <v>0</v>
      </c>
      <c r="R202" s="216">
        <f>IFERROR(VLOOKUP(C202,[1]Planilha1!$C$1:$R$65536,16,0),0)</f>
        <v>28</v>
      </c>
      <c r="S202" s="216">
        <f>IFERROR(VLOOKUP(C202,[1]Planilha1!$C$1:$S$65536,17,0),0)</f>
        <v>0</v>
      </c>
      <c r="T202" s="216">
        <f>IFERROR(VLOOKUP(C202,[1]Planilha1!$C$1:$T$65536,18,0),0)</f>
        <v>0</v>
      </c>
      <c r="U202" s="187">
        <v>0</v>
      </c>
      <c r="V202" s="266">
        <v>107.16</v>
      </c>
      <c r="W202" s="187">
        <v>0</v>
      </c>
      <c r="X202" s="222"/>
      <c r="Y202" s="187">
        <v>1786</v>
      </c>
      <c r="AA202" s="187">
        <v>795.36436000000003</v>
      </c>
      <c r="AB202" s="187">
        <v>198.84109000000001</v>
      </c>
      <c r="AC202" s="7"/>
      <c r="AD202" s="6"/>
      <c r="AE202" s="187">
        <v>994.20545000000004</v>
      </c>
      <c r="AF202" s="187">
        <v>791.79454999999996</v>
      </c>
      <c r="AG202" s="7"/>
      <c r="AH202" s="216"/>
      <c r="AI202" s="216"/>
    </row>
    <row r="203" spans="1:35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186">
        <v>30</v>
      </c>
      <c r="K203" s="5">
        <v>0</v>
      </c>
      <c r="L203" s="186">
        <v>30</v>
      </c>
      <c r="M203" s="15"/>
      <c r="N203" s="155">
        <v>0</v>
      </c>
      <c r="O203" s="155">
        <v>1786</v>
      </c>
      <c r="P203" s="153"/>
      <c r="Q203" s="216">
        <f>IFERROR(VLOOKUP(C203,[1]Planilha1!$C$1:$Q$65536,15,0),0)</f>
        <v>0</v>
      </c>
      <c r="R203" s="216">
        <f>IFERROR(VLOOKUP(C203,[1]Planilha1!$C$1:$R$65536,16,0),0)</f>
        <v>28</v>
      </c>
      <c r="S203" s="216">
        <f>IFERROR(VLOOKUP(C203,[1]Planilha1!$C$1:$S$65536,17,0),0)</f>
        <v>0</v>
      </c>
      <c r="T203" s="216">
        <f>IFERROR(VLOOKUP(C203,[1]Planilha1!$C$1:$T$65536,18,0),0)</f>
        <v>0</v>
      </c>
      <c r="U203" s="187">
        <v>0</v>
      </c>
      <c r="V203" s="266">
        <v>107.16</v>
      </c>
      <c r="W203" s="187">
        <v>0</v>
      </c>
      <c r="X203" s="222"/>
      <c r="Y203" s="187">
        <v>1786</v>
      </c>
      <c r="AA203" s="187">
        <v>1139.9135999999999</v>
      </c>
      <c r="AB203" s="187">
        <v>284.97839999999997</v>
      </c>
      <c r="AC203" s="7"/>
      <c r="AD203" s="6"/>
      <c r="AE203" s="187">
        <v>1424.8919999999998</v>
      </c>
      <c r="AF203" s="187">
        <v>361.10800000000017</v>
      </c>
      <c r="AG203" s="7"/>
      <c r="AH203" s="216"/>
      <c r="AI203" s="216"/>
    </row>
    <row r="204" spans="1:35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186">
        <v>30</v>
      </c>
      <c r="K204" s="5">
        <v>0</v>
      </c>
      <c r="L204" s="186">
        <v>30</v>
      </c>
      <c r="M204" s="15"/>
      <c r="N204" s="155">
        <v>0</v>
      </c>
      <c r="O204" s="155">
        <v>1786</v>
      </c>
      <c r="P204" s="153"/>
      <c r="Q204" s="216">
        <f>IFERROR(VLOOKUP(C204,[1]Planilha1!$C$1:$Q$65536,15,0),0)</f>
        <v>0</v>
      </c>
      <c r="R204" s="216">
        <f>IFERROR(VLOOKUP(C204,[1]Planilha1!$C$1:$R$65536,16,0),0)</f>
        <v>28</v>
      </c>
      <c r="S204" s="216">
        <f>IFERROR(VLOOKUP(C204,[1]Planilha1!$C$1:$S$65536,17,0),0)</f>
        <v>234</v>
      </c>
      <c r="T204" s="216">
        <f>IFERROR(VLOOKUP(C204,[1]Planilha1!$C$1:$T$65536,18,0),0)</f>
        <v>0</v>
      </c>
      <c r="U204" s="187">
        <v>234</v>
      </c>
      <c r="V204" s="266">
        <v>107.16</v>
      </c>
      <c r="W204" s="187">
        <v>107.16</v>
      </c>
      <c r="X204" s="222"/>
      <c r="Y204" s="187">
        <v>1786</v>
      </c>
      <c r="AA204" s="187">
        <v>1126.69984</v>
      </c>
      <c r="AB204" s="187">
        <v>281.67496</v>
      </c>
      <c r="AC204" s="7"/>
      <c r="AD204" s="6"/>
      <c r="AE204" s="187">
        <v>1408.3748000000001</v>
      </c>
      <c r="AF204" s="187">
        <v>377.62519999999995</v>
      </c>
      <c r="AG204" s="7"/>
      <c r="AH204" s="216"/>
      <c r="AI204" s="216"/>
    </row>
    <row r="205" spans="1:35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186">
        <v>30</v>
      </c>
      <c r="K205" s="5">
        <v>0</v>
      </c>
      <c r="L205" s="186">
        <v>30</v>
      </c>
      <c r="M205" s="15"/>
      <c r="N205" s="155">
        <v>0</v>
      </c>
      <c r="O205" s="155">
        <v>1786</v>
      </c>
      <c r="P205" s="153"/>
      <c r="Q205" s="216">
        <f>IFERROR(VLOOKUP(C205,[1]Planilha1!$C$1:$Q$65536,15,0),0)</f>
        <v>0</v>
      </c>
      <c r="R205" s="216">
        <f>IFERROR(VLOOKUP(C205,[1]Planilha1!$C$1:$R$65536,16,0),0)</f>
        <v>28</v>
      </c>
      <c r="S205" s="216">
        <f>IFERROR(VLOOKUP(C205,[1]Planilha1!$C$1:$S$65536,17,0),0)</f>
        <v>225</v>
      </c>
      <c r="T205" s="216">
        <f>IFERROR(VLOOKUP(C205,[1]Planilha1!$C$1:$T$65536,18,0),0)</f>
        <v>0</v>
      </c>
      <c r="U205" s="187">
        <v>225</v>
      </c>
      <c r="V205" s="266">
        <v>112.690935</v>
      </c>
      <c r="W205" s="187">
        <v>112.690935</v>
      </c>
      <c r="X205" s="222"/>
      <c r="Y205" s="187">
        <v>1786</v>
      </c>
      <c r="AA205" s="187">
        <v>1502.5458000000001</v>
      </c>
      <c r="AB205" s="187">
        <v>375.63645000000002</v>
      </c>
      <c r="AC205" s="7"/>
      <c r="AD205" s="6"/>
      <c r="AE205" s="187">
        <v>1878.1822500000001</v>
      </c>
      <c r="AF205" s="6">
        <v>0</v>
      </c>
      <c r="AG205" s="7"/>
      <c r="AH205" s="216"/>
      <c r="AI205" s="216"/>
    </row>
    <row r="206" spans="1:35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186">
        <v>30</v>
      </c>
      <c r="K206" s="5">
        <v>0</v>
      </c>
      <c r="L206" s="186">
        <v>30</v>
      </c>
      <c r="M206" s="15"/>
      <c r="N206" s="155">
        <v>0</v>
      </c>
      <c r="O206" s="155">
        <v>1786</v>
      </c>
      <c r="P206" s="153"/>
      <c r="Q206" s="216">
        <f>IFERROR(VLOOKUP(C206,[1]Planilha1!$C$1:$Q$65536,15,0),0)</f>
        <v>0</v>
      </c>
      <c r="R206" s="216">
        <f>IFERROR(VLOOKUP(C206,[1]Planilha1!$C$1:$R$65536,16,0),0)</f>
        <v>28</v>
      </c>
      <c r="S206" s="216">
        <f>IFERROR(VLOOKUP(C206,[1]Planilha1!$C$1:$S$65536,17,0),0)</f>
        <v>0</v>
      </c>
      <c r="T206" s="216">
        <f>IFERROR(VLOOKUP(C206,[1]Planilha1!$C$1:$T$65536,18,0),0)</f>
        <v>0</v>
      </c>
      <c r="U206" s="187">
        <v>0</v>
      </c>
      <c r="V206" s="266">
        <v>173.05337699999995</v>
      </c>
      <c r="W206" s="187">
        <v>0</v>
      </c>
      <c r="X206" s="222"/>
      <c r="Y206" s="187">
        <v>1786</v>
      </c>
      <c r="AA206" s="187">
        <v>2307.3783599999997</v>
      </c>
      <c r="AB206" s="187">
        <v>576.84458999999993</v>
      </c>
      <c r="AC206" s="7"/>
      <c r="AD206" s="187">
        <v>412.03184999999996</v>
      </c>
      <c r="AE206" s="187">
        <v>3296.2547999999992</v>
      </c>
      <c r="AF206" s="6">
        <v>0</v>
      </c>
      <c r="AG206" s="7"/>
      <c r="AH206" s="216"/>
      <c r="AI206" s="216"/>
    </row>
    <row r="207" spans="1:35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186">
        <v>30</v>
      </c>
      <c r="K207" s="5">
        <v>0</v>
      </c>
      <c r="L207" s="186">
        <v>30</v>
      </c>
      <c r="M207" s="15"/>
      <c r="N207" s="155">
        <v>1519.44</v>
      </c>
      <c r="O207" s="155"/>
      <c r="P207" s="153">
        <v>82</v>
      </c>
      <c r="Q207" s="216">
        <f>IFERROR(VLOOKUP(C207,[1]Planilha1!$C$1:$Q$65536,15,0),0)</f>
        <v>0</v>
      </c>
      <c r="R207" s="216">
        <f>IFERROR(VLOOKUP(C207,[1]Planilha1!$C$1:$R$65536,16,0),0)</f>
        <v>0</v>
      </c>
      <c r="S207" s="216">
        <f>IFERROR(VLOOKUP(C207,[1]Planilha1!$C$1:$S$65536,17,0),0)</f>
        <v>0</v>
      </c>
      <c r="T207" s="216">
        <f>IFERROR(VLOOKUP(C207,[1]Planilha1!$C$1:$T$65536,18,0),0)</f>
        <v>0</v>
      </c>
      <c r="U207" s="187">
        <v>0</v>
      </c>
      <c r="V207" s="266">
        <v>91.166399999999996</v>
      </c>
      <c r="W207" s="187">
        <v>0</v>
      </c>
      <c r="X207" s="222"/>
      <c r="Y207" s="187">
        <v>1519.44</v>
      </c>
      <c r="AA207" s="6"/>
      <c r="AB207" s="6"/>
      <c r="AC207" s="7"/>
      <c r="AD207" s="6"/>
      <c r="AE207" s="6">
        <v>0</v>
      </c>
      <c r="AF207" s="187">
        <v>1519.44</v>
      </c>
      <c r="AG207" s="7"/>
      <c r="AH207" s="216"/>
      <c r="AI207" s="216"/>
    </row>
    <row r="208" spans="1:35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186">
        <v>30</v>
      </c>
      <c r="K208" s="5">
        <v>0</v>
      </c>
      <c r="L208" s="186">
        <v>30</v>
      </c>
      <c r="M208" s="15"/>
      <c r="N208" s="155">
        <v>0</v>
      </c>
      <c r="O208" s="155">
        <v>1055</v>
      </c>
      <c r="P208" s="153"/>
      <c r="Q208" s="216">
        <f>IFERROR(VLOOKUP(C208,[1]Planilha1!$C$1:$Q$65536,15,0),0)</f>
        <v>0</v>
      </c>
      <c r="R208" s="216">
        <f>IFERROR(VLOOKUP(C208,[1]Planilha1!$C$1:$R$65536,16,0),0)</f>
        <v>0</v>
      </c>
      <c r="S208" s="216">
        <f>IFERROR(VLOOKUP(C208,[1]Planilha1!$C$1:$S$65536,17,0),0)</f>
        <v>187.5</v>
      </c>
      <c r="T208" s="216">
        <f>IFERROR(VLOOKUP(C208,[1]Planilha1!$C$1:$T$65536,18,0),0)</f>
        <v>0</v>
      </c>
      <c r="U208" s="187">
        <v>187.5</v>
      </c>
      <c r="V208" s="266">
        <v>91.820736000000011</v>
      </c>
      <c r="W208" s="187">
        <v>91.820736000000011</v>
      </c>
      <c r="X208" s="222"/>
      <c r="Y208" s="187">
        <v>1055</v>
      </c>
      <c r="AA208" s="187">
        <v>1224.2764800000002</v>
      </c>
      <c r="AB208" s="187">
        <v>306.06912000000005</v>
      </c>
      <c r="AC208" s="7"/>
      <c r="AD208" s="6"/>
      <c r="AE208" s="187">
        <v>1530.3456000000003</v>
      </c>
      <c r="AF208" s="6">
        <v>0</v>
      </c>
      <c r="AG208" s="7"/>
      <c r="AH208" s="216"/>
      <c r="AI208" s="216"/>
    </row>
    <row r="209" spans="1:35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186">
        <v>30</v>
      </c>
      <c r="K209" s="5">
        <v>0</v>
      </c>
      <c r="L209" s="186">
        <v>30</v>
      </c>
      <c r="M209" s="15"/>
      <c r="N209" s="155">
        <v>0</v>
      </c>
      <c r="O209" s="155">
        <v>4000</v>
      </c>
      <c r="P209" s="153"/>
      <c r="Q209" s="216">
        <f>IFERROR(VLOOKUP(C209,[1]Planilha1!$C$1:$Q$65536,15,0),0)</f>
        <v>0</v>
      </c>
      <c r="R209" s="216">
        <f>IFERROR(VLOOKUP(C209,[1]Planilha1!$C$1:$R$65536,16,0),0)</f>
        <v>0</v>
      </c>
      <c r="S209" s="216">
        <f>IFERROR(VLOOKUP(C209,[1]Planilha1!$C$1:$S$65536,17,0),0)</f>
        <v>0</v>
      </c>
      <c r="T209" s="216">
        <f>IFERROR(VLOOKUP(C209,[1]Planilha1!$C$1:$T$65536,18,0),0)</f>
        <v>0</v>
      </c>
      <c r="U209" s="187">
        <v>0</v>
      </c>
      <c r="V209" s="266">
        <v>220.98</v>
      </c>
      <c r="W209" s="187">
        <v>0</v>
      </c>
      <c r="X209" s="222"/>
      <c r="Y209" s="187">
        <v>4000.0000000000005</v>
      </c>
      <c r="AA209" s="187" t="s">
        <v>1697</v>
      </c>
      <c r="AB209" s="187">
        <v>736.6</v>
      </c>
      <c r="AC209" s="7"/>
      <c r="AD209" s="187">
        <v>2000</v>
      </c>
      <c r="AE209" s="187">
        <v>5683</v>
      </c>
      <c r="AF209" s="6">
        <v>0</v>
      </c>
      <c r="AG209" s="7"/>
      <c r="AH209" s="216"/>
      <c r="AI209" s="216"/>
    </row>
    <row r="210" spans="1:35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1241</v>
      </c>
      <c r="F210" s="13" t="s">
        <v>606</v>
      </c>
      <c r="G210" s="14">
        <v>44287</v>
      </c>
      <c r="H210" s="13" t="s">
        <v>27</v>
      </c>
      <c r="I210" s="15"/>
      <c r="J210" s="186">
        <v>30</v>
      </c>
      <c r="K210" s="5">
        <v>0</v>
      </c>
      <c r="L210" s="186">
        <v>30</v>
      </c>
      <c r="M210" s="15"/>
      <c r="N210" s="155">
        <v>1055</v>
      </c>
      <c r="O210" s="155"/>
      <c r="P210" s="153">
        <v>5</v>
      </c>
      <c r="Q210" s="216">
        <f>IFERROR(VLOOKUP(C210,[1]Planilha1!$C$1:$Q$65536,15,0),0)</f>
        <v>0</v>
      </c>
      <c r="R210" s="216">
        <f>IFERROR(VLOOKUP(C210,[1]Planilha1!$C$1:$R$65536,16,0),0)</f>
        <v>0</v>
      </c>
      <c r="S210" s="216">
        <f>IFERROR(VLOOKUP(C210,[1]Planilha1!$C$1:$S$65536,17,0),0)</f>
        <v>235</v>
      </c>
      <c r="T210" s="216">
        <f>IFERROR(VLOOKUP(C210,[1]Planilha1!$C$1:$T$65536,18,0),0)</f>
        <v>0</v>
      </c>
      <c r="U210" s="187">
        <v>235</v>
      </c>
      <c r="V210" s="266">
        <v>63.3</v>
      </c>
      <c r="W210" s="187">
        <v>63.3</v>
      </c>
      <c r="X210" s="222"/>
      <c r="Y210" s="187">
        <v>1055</v>
      </c>
      <c r="AA210" s="6"/>
      <c r="AB210" s="6"/>
      <c r="AC210" s="7"/>
      <c r="AD210" s="6"/>
      <c r="AE210" s="6">
        <v>0</v>
      </c>
      <c r="AF210" s="187">
        <v>1055</v>
      </c>
      <c r="AG210" s="7"/>
      <c r="AH210" s="216"/>
      <c r="AI210" s="216"/>
    </row>
    <row r="211" spans="1:35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186">
        <v>30</v>
      </c>
      <c r="K211" s="5">
        <v>0</v>
      </c>
      <c r="L211" s="186">
        <v>30</v>
      </c>
      <c r="M211" s="15"/>
      <c r="N211" s="155">
        <v>0</v>
      </c>
      <c r="O211" s="155">
        <v>1055</v>
      </c>
      <c r="P211" s="153"/>
      <c r="Q211" s="216">
        <f>IFERROR(VLOOKUP(C211,[1]Planilha1!$C$1:$Q$65536,15,0),0)</f>
        <v>0</v>
      </c>
      <c r="R211" s="216">
        <f>IFERROR(VLOOKUP(C211,[1]Planilha1!$C$1:$R$65536,16,0),0)</f>
        <v>0</v>
      </c>
      <c r="S211" s="216">
        <f>IFERROR(VLOOKUP(C211,[1]Planilha1!$C$1:$S$65536,17,0),0)</f>
        <v>0</v>
      </c>
      <c r="T211" s="216">
        <f>IFERROR(VLOOKUP(C211,[1]Planilha1!$C$1:$T$65536,18,0),0)</f>
        <v>0</v>
      </c>
      <c r="U211" s="187">
        <v>0</v>
      </c>
      <c r="V211" s="266">
        <v>64.642325999999997</v>
      </c>
      <c r="W211" s="187">
        <v>0</v>
      </c>
      <c r="X211" s="222"/>
      <c r="Y211" s="187">
        <v>1055</v>
      </c>
      <c r="AA211" s="187">
        <v>861.89768000000004</v>
      </c>
      <c r="AB211" s="187">
        <v>215.47442000000001</v>
      </c>
      <c r="AC211" s="7"/>
      <c r="AD211" s="6"/>
      <c r="AE211" s="187">
        <v>1077.3721</v>
      </c>
      <c r="AF211" s="6">
        <v>0</v>
      </c>
      <c r="AG211" s="7"/>
      <c r="AH211" s="216"/>
      <c r="AI211" s="216"/>
    </row>
    <row r="212" spans="1:35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186">
        <v>30</v>
      </c>
      <c r="K212" s="5">
        <v>0</v>
      </c>
      <c r="L212" s="186">
        <v>30</v>
      </c>
      <c r="M212" s="15"/>
      <c r="N212" s="155">
        <v>0</v>
      </c>
      <c r="O212" s="155">
        <v>1055</v>
      </c>
      <c r="P212" s="153"/>
      <c r="Q212" s="216">
        <f>IFERROR(VLOOKUP(C212,[1]Planilha1!$C$1:$Q$65536,15,0),0)</f>
        <v>0</v>
      </c>
      <c r="R212" s="216">
        <f>IFERROR(VLOOKUP(C212,[1]Planilha1!$C$1:$R$65536,16,0),0)</f>
        <v>0</v>
      </c>
      <c r="S212" s="216">
        <f>IFERROR(VLOOKUP(C212,[1]Planilha1!$C$1:$S$65536,17,0),0)</f>
        <v>187.5</v>
      </c>
      <c r="T212" s="216">
        <f>IFERROR(VLOOKUP(C212,[1]Planilha1!$C$1:$T$65536,18,0),0)</f>
        <v>0</v>
      </c>
      <c r="U212" s="187">
        <v>187.5</v>
      </c>
      <c r="V212" s="266">
        <v>109.30869599999998</v>
      </c>
      <c r="W212" s="187">
        <v>109.30869599999998</v>
      </c>
      <c r="X212" s="222"/>
      <c r="Y212" s="187">
        <v>1055</v>
      </c>
      <c r="AA212" s="187">
        <v>1457.4492799999998</v>
      </c>
      <c r="AB212" s="187">
        <v>364.36231999999995</v>
      </c>
      <c r="AC212" s="7"/>
      <c r="AD212" s="6"/>
      <c r="AE212" s="187">
        <v>1821.8115999999998</v>
      </c>
      <c r="AF212" s="6">
        <v>0</v>
      </c>
      <c r="AG212" s="7"/>
      <c r="AH212" s="216"/>
      <c r="AI212" s="216"/>
    </row>
    <row r="213" spans="1:35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1241</v>
      </c>
      <c r="F213" s="13" t="s">
        <v>615</v>
      </c>
      <c r="G213" s="14">
        <v>44303</v>
      </c>
      <c r="H213" s="13" t="s">
        <v>27</v>
      </c>
      <c r="I213" s="15"/>
      <c r="J213" s="186">
        <v>30</v>
      </c>
      <c r="K213" s="5">
        <v>0</v>
      </c>
      <c r="L213" s="186">
        <v>30</v>
      </c>
      <c r="M213" s="15"/>
      <c r="N213" s="155">
        <v>1055</v>
      </c>
      <c r="O213" s="155"/>
      <c r="P213" s="153">
        <v>5</v>
      </c>
      <c r="Q213" s="216">
        <f>IFERROR(VLOOKUP(C213,[1]Planilha1!$C$1:$Q$65536,15,0),0)</f>
        <v>0</v>
      </c>
      <c r="R213" s="216">
        <f>IFERROR(VLOOKUP(C213,[1]Planilha1!$C$1:$R$65536,16,0),0)</f>
        <v>0</v>
      </c>
      <c r="S213" s="216">
        <f>IFERROR(VLOOKUP(C213,[1]Planilha1!$C$1:$S$65536,17,0),0)</f>
        <v>375</v>
      </c>
      <c r="T213" s="216">
        <f>IFERROR(VLOOKUP(C213,[1]Planilha1!$C$1:$T$65536,18,0),0)</f>
        <v>0</v>
      </c>
      <c r="U213" s="187">
        <v>375</v>
      </c>
      <c r="V213" s="266">
        <v>63.3</v>
      </c>
      <c r="W213" s="187">
        <v>63.3</v>
      </c>
      <c r="X213" s="222"/>
      <c r="Y213" s="187">
        <v>1055</v>
      </c>
      <c r="AA213" s="6"/>
      <c r="AB213" s="6"/>
      <c r="AC213" s="7"/>
      <c r="AD213" s="6"/>
      <c r="AE213" s="6">
        <v>0</v>
      </c>
      <c r="AF213" s="187">
        <v>1055</v>
      </c>
      <c r="AG213" s="7"/>
      <c r="AH213" s="216"/>
      <c r="AI213" s="216"/>
    </row>
    <row r="214" spans="1:35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186">
        <v>30</v>
      </c>
      <c r="K214" s="5">
        <v>0</v>
      </c>
      <c r="L214" s="186">
        <v>30</v>
      </c>
      <c r="M214" s="15"/>
      <c r="N214" s="155">
        <v>0</v>
      </c>
      <c r="O214" s="155">
        <v>1055</v>
      </c>
      <c r="P214" s="153"/>
      <c r="Q214" s="216">
        <f>IFERROR(VLOOKUP(C214,[1]Planilha1!$C$1:$Q$65536,15,0),0)</f>
        <v>0</v>
      </c>
      <c r="R214" s="216">
        <f>IFERROR(VLOOKUP(C214,[1]Planilha1!$C$1:$R$65536,16,0),0)</f>
        <v>0</v>
      </c>
      <c r="S214" s="216">
        <f>IFERROR(VLOOKUP(C214,[1]Planilha1!$C$1:$S$65536,17,0),0)</f>
        <v>187.5</v>
      </c>
      <c r="T214" s="216">
        <f>IFERROR(VLOOKUP(C214,[1]Planilha1!$C$1:$T$65536,18,0),0)</f>
        <v>0</v>
      </c>
      <c r="U214" s="187">
        <v>187.5</v>
      </c>
      <c r="V214" s="266">
        <v>86.884496999999996</v>
      </c>
      <c r="W214" s="187">
        <v>86.884496999999996</v>
      </c>
      <c r="X214" s="222"/>
      <c r="Y214" s="187">
        <v>1055</v>
      </c>
      <c r="AA214" s="187">
        <v>1158.4599599999999</v>
      </c>
      <c r="AB214" s="187">
        <v>289.61498999999998</v>
      </c>
      <c r="AC214" s="7"/>
      <c r="AD214" s="6"/>
      <c r="AE214" s="187">
        <v>1448.0749499999999</v>
      </c>
      <c r="AF214" s="6">
        <v>0</v>
      </c>
      <c r="AG214" s="7"/>
      <c r="AH214" s="216"/>
      <c r="AI214" s="216"/>
    </row>
    <row r="215" spans="1:35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186">
        <v>30</v>
      </c>
      <c r="K215" s="5">
        <v>0</v>
      </c>
      <c r="L215" s="186">
        <v>30</v>
      </c>
      <c r="M215" s="15"/>
      <c r="N215" s="155">
        <v>0</v>
      </c>
      <c r="O215" s="155">
        <v>1055</v>
      </c>
      <c r="P215" s="153"/>
      <c r="Q215" s="216">
        <f>IFERROR(VLOOKUP(C215,[1]Planilha1!$C$1:$Q$65536,15,0),0)</f>
        <v>0</v>
      </c>
      <c r="R215" s="216">
        <f>IFERROR(VLOOKUP(C215,[1]Planilha1!$C$1:$R$65536,16,0),0)</f>
        <v>0</v>
      </c>
      <c r="S215" s="216">
        <f>IFERROR(VLOOKUP(C215,[1]Planilha1!$C$1:$S$65536,17,0),0)</f>
        <v>187.5</v>
      </c>
      <c r="T215" s="216">
        <f>IFERROR(VLOOKUP(C215,[1]Planilha1!$C$1:$T$65536,18,0),0)</f>
        <v>0</v>
      </c>
      <c r="U215" s="187">
        <v>187.5</v>
      </c>
      <c r="V215" s="266">
        <v>81.129531000000014</v>
      </c>
      <c r="W215" s="187">
        <v>81.129531000000014</v>
      </c>
      <c r="X215" s="222"/>
      <c r="Y215" s="187">
        <v>1055</v>
      </c>
      <c r="AA215" s="187">
        <v>1081.7270800000001</v>
      </c>
      <c r="AB215" s="187">
        <v>270.43177000000003</v>
      </c>
      <c r="AC215" s="7"/>
      <c r="AD215" s="6"/>
      <c r="AE215" s="187">
        <v>1352.1588500000003</v>
      </c>
      <c r="AF215" s="6">
        <v>0</v>
      </c>
      <c r="AG215" s="7"/>
      <c r="AH215" s="216"/>
      <c r="AI215" s="216"/>
    </row>
    <row r="216" spans="1:35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1241</v>
      </c>
      <c r="F216" s="13" t="s">
        <v>624</v>
      </c>
      <c r="G216" s="14">
        <v>44287</v>
      </c>
      <c r="H216" s="13" t="s">
        <v>27</v>
      </c>
      <c r="I216" s="15"/>
      <c r="J216" s="186">
        <v>30</v>
      </c>
      <c r="K216" s="5">
        <v>0</v>
      </c>
      <c r="L216" s="186">
        <v>30</v>
      </c>
      <c r="M216" s="15"/>
      <c r="N216" s="155">
        <v>1055</v>
      </c>
      <c r="O216" s="155"/>
      <c r="P216" s="153">
        <v>5</v>
      </c>
      <c r="Q216" s="216">
        <f>IFERROR(VLOOKUP(C216,[1]Planilha1!$C$1:$Q$65536,15,0),0)</f>
        <v>0</v>
      </c>
      <c r="R216" s="216">
        <f>IFERROR(VLOOKUP(C216,[1]Planilha1!$C$1:$R$65536,16,0),0)</f>
        <v>0</v>
      </c>
      <c r="S216" s="216">
        <f>IFERROR(VLOOKUP(C216,[1]Planilha1!$C$1:$S$65536,17,0),0)</f>
        <v>187.5</v>
      </c>
      <c r="T216" s="216">
        <f>IFERROR(VLOOKUP(C216,[1]Planilha1!$C$1:$T$65536,18,0),0)</f>
        <v>0</v>
      </c>
      <c r="U216" s="187">
        <v>187.5</v>
      </c>
      <c r="V216" s="266">
        <v>63.3</v>
      </c>
      <c r="W216" s="187">
        <v>63.3</v>
      </c>
      <c r="X216" s="222"/>
      <c r="Y216" s="187">
        <v>1055</v>
      </c>
      <c r="AA216" s="6"/>
      <c r="AB216" s="6"/>
      <c r="AC216" s="7"/>
      <c r="AD216" s="6"/>
      <c r="AE216" s="6">
        <v>0</v>
      </c>
      <c r="AF216" s="187">
        <v>1055</v>
      </c>
      <c r="AG216" s="7"/>
      <c r="AH216" s="216"/>
      <c r="AI216" s="216"/>
    </row>
    <row r="217" spans="1:35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186">
        <v>30</v>
      </c>
      <c r="K217" s="5">
        <v>0</v>
      </c>
      <c r="L217" s="186">
        <v>30</v>
      </c>
      <c r="M217" s="15"/>
      <c r="N217" s="155">
        <v>0</v>
      </c>
      <c r="O217" s="155">
        <v>1055</v>
      </c>
      <c r="P217" s="153"/>
      <c r="Q217" s="216">
        <f>IFERROR(VLOOKUP(C217,[1]Planilha1!$C$1:$Q$65536,15,0),0)</f>
        <v>0</v>
      </c>
      <c r="R217" s="216">
        <f>IFERROR(VLOOKUP(C217,[1]Planilha1!$C$1:$R$65536,16,0),0)</f>
        <v>0</v>
      </c>
      <c r="S217" s="216">
        <f>IFERROR(VLOOKUP(C217,[1]Planilha1!$C$1:$S$65536,17,0),0)</f>
        <v>187.5</v>
      </c>
      <c r="T217" s="216">
        <f>IFERROR(VLOOKUP(C217,[1]Planilha1!$C$1:$T$65536,18,0),0)</f>
        <v>0</v>
      </c>
      <c r="U217" s="187">
        <v>187.5</v>
      </c>
      <c r="V217" s="266">
        <v>123.84747899999998</v>
      </c>
      <c r="W217" s="187">
        <v>123.84747899999998</v>
      </c>
      <c r="X217" s="222"/>
      <c r="Y217" s="187">
        <v>1055</v>
      </c>
      <c r="AA217" s="187">
        <v>1651.29972</v>
      </c>
      <c r="AB217" s="187">
        <v>412.82492999999999</v>
      </c>
      <c r="AC217" s="7">
        <v>200</v>
      </c>
      <c r="AD217" s="6"/>
      <c r="AE217" s="187">
        <v>2264.1246499999997</v>
      </c>
      <c r="AF217" s="6">
        <v>0</v>
      </c>
      <c r="AG217" s="7">
        <v>400</v>
      </c>
      <c r="AH217" s="216"/>
      <c r="AI217" s="216"/>
    </row>
    <row r="218" spans="1:35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186">
        <v>30</v>
      </c>
      <c r="K218" s="5">
        <v>0</v>
      </c>
      <c r="L218" s="186">
        <v>30</v>
      </c>
      <c r="M218" s="15"/>
      <c r="N218" s="155">
        <v>0</v>
      </c>
      <c r="O218" s="155">
        <v>1055</v>
      </c>
      <c r="P218" s="153"/>
      <c r="Q218" s="216">
        <f>IFERROR(VLOOKUP(C218,[1]Planilha1!$C$1:$Q$65536,15,0),0)</f>
        <v>0</v>
      </c>
      <c r="R218" s="216">
        <f>IFERROR(VLOOKUP(C218,[1]Planilha1!$C$1:$R$65536,16,0),0)</f>
        <v>0</v>
      </c>
      <c r="S218" s="216">
        <f>IFERROR(VLOOKUP(C218,[1]Planilha1!$C$1:$S$65536,17,0),0)</f>
        <v>0</v>
      </c>
      <c r="T218" s="216">
        <f>IFERROR(VLOOKUP(C218,[1]Planilha1!$C$1:$T$65536,18,0),0)</f>
        <v>0</v>
      </c>
      <c r="U218" s="187">
        <v>0</v>
      </c>
      <c r="V218" s="266">
        <v>125.808228</v>
      </c>
      <c r="W218" s="187">
        <v>0</v>
      </c>
      <c r="X218" s="222"/>
      <c r="Y218" s="187">
        <v>1055</v>
      </c>
      <c r="AA218" s="187">
        <v>1677.4430400000001</v>
      </c>
      <c r="AB218" s="187">
        <v>419.36076000000003</v>
      </c>
      <c r="AC218" s="7"/>
      <c r="AD218" s="6"/>
      <c r="AE218" s="187">
        <v>2096.8038000000001</v>
      </c>
      <c r="AF218" s="6">
        <v>0</v>
      </c>
      <c r="AG218" s="7"/>
      <c r="AH218" s="216"/>
      <c r="AI218" s="216"/>
    </row>
    <row r="219" spans="1:35" x14ac:dyDescent="0.25">
      <c r="A219" s="10">
        <v>200</v>
      </c>
      <c r="B219" s="10">
        <v>129</v>
      </c>
      <c r="C219" s="10" t="s">
        <v>631</v>
      </c>
      <c r="D219" s="18" t="s">
        <v>632</v>
      </c>
      <c r="E219" s="18" t="s">
        <v>25</v>
      </c>
      <c r="F219" s="10" t="s">
        <v>633</v>
      </c>
      <c r="G219" s="14">
        <v>44090</v>
      </c>
      <c r="H219" s="10" t="s">
        <v>27</v>
      </c>
      <c r="J219" s="189">
        <v>30</v>
      </c>
      <c r="K219" s="8"/>
      <c r="L219" s="189">
        <v>30</v>
      </c>
      <c r="N219" s="167">
        <v>0</v>
      </c>
      <c r="O219" s="167">
        <v>1266.07</v>
      </c>
      <c r="P219" s="168"/>
      <c r="Q219" s="216">
        <f>IFERROR(VLOOKUP(C219,[1]Planilha1!$C$1:$Q$65536,15,0),0)</f>
        <v>0</v>
      </c>
      <c r="R219" s="216">
        <f>IFERROR(VLOOKUP(C219,[1]Planilha1!$C$1:$R$65536,16,0),0)</f>
        <v>0</v>
      </c>
      <c r="S219" s="216">
        <f>IFERROR(VLOOKUP(C219,[1]Planilha1!$C$1:$S$65536,17,0),0)</f>
        <v>0</v>
      </c>
      <c r="T219" s="216">
        <f>IFERROR(VLOOKUP(C219,[1]Planilha1!$C$1:$T$65536,18,0),0)</f>
        <v>450</v>
      </c>
      <c r="U219" s="187">
        <v>450</v>
      </c>
      <c r="V219" s="266">
        <v>100.811886</v>
      </c>
      <c r="W219" s="187">
        <v>100.811886</v>
      </c>
      <c r="X219" s="222"/>
      <c r="Y219" s="187">
        <v>1266.07</v>
      </c>
      <c r="AA219" s="187">
        <v>1344.1584800000001</v>
      </c>
      <c r="AB219" s="187">
        <v>336.03962000000001</v>
      </c>
      <c r="AC219" s="7"/>
      <c r="AD219" s="187">
        <v>240.02830000000003</v>
      </c>
      <c r="AE219" s="187">
        <v>1920.2264</v>
      </c>
      <c r="AF219" s="6">
        <v>0</v>
      </c>
      <c r="AG219" s="7"/>
      <c r="AH219" s="216"/>
      <c r="AI219" s="216"/>
    </row>
    <row r="220" spans="1:35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186">
        <v>30</v>
      </c>
      <c r="K220" s="5">
        <v>0</v>
      </c>
      <c r="L220" s="186">
        <v>30</v>
      </c>
      <c r="M220" s="15"/>
      <c r="N220" s="167">
        <v>0</v>
      </c>
      <c r="O220" s="167">
        <v>1266.07</v>
      </c>
      <c r="P220" s="168"/>
      <c r="Q220" s="216">
        <f>IFERROR(VLOOKUP(C220,[1]Planilha1!$C$1:$Q$65536,15,0),0)</f>
        <v>0</v>
      </c>
      <c r="R220" s="216">
        <f>IFERROR(VLOOKUP(C220,[1]Planilha1!$C$1:$R$65536,16,0),0)</f>
        <v>0</v>
      </c>
      <c r="S220" s="216">
        <f>IFERROR(VLOOKUP(C220,[1]Planilha1!$C$1:$S$65536,17,0),0)</f>
        <v>0</v>
      </c>
      <c r="T220" s="216">
        <f>IFERROR(VLOOKUP(C220,[1]Planilha1!$C$1:$T$65536,18,0),0)</f>
        <v>585</v>
      </c>
      <c r="U220" s="187">
        <v>585</v>
      </c>
      <c r="V220" s="266">
        <v>78.494366999999983</v>
      </c>
      <c r="W220" s="187">
        <v>78.494366999999983</v>
      </c>
      <c r="X220" s="222"/>
      <c r="Y220" s="187">
        <v>1266.07</v>
      </c>
      <c r="AA220" s="187">
        <v>1046.5915599999998</v>
      </c>
      <c r="AB220" s="187">
        <v>261.64788999999996</v>
      </c>
      <c r="AC220" s="7"/>
      <c r="AD220" s="6"/>
      <c r="AE220" s="187">
        <v>1308.2394499999998</v>
      </c>
      <c r="AF220" s="6">
        <v>0</v>
      </c>
      <c r="AG220" s="7"/>
      <c r="AH220" s="216"/>
      <c r="AI220" s="216"/>
    </row>
    <row r="221" spans="1:35" x14ac:dyDescent="0.25">
      <c r="A221" s="10">
        <v>200</v>
      </c>
      <c r="B221" s="10">
        <v>132</v>
      </c>
      <c r="C221" s="10" t="s">
        <v>637</v>
      </c>
      <c r="D221" s="18" t="s">
        <v>638</v>
      </c>
      <c r="E221" s="18" t="s">
        <v>25</v>
      </c>
      <c r="F221" s="10" t="s">
        <v>639</v>
      </c>
      <c r="G221" s="14">
        <v>44152</v>
      </c>
      <c r="H221" s="10" t="s">
        <v>27</v>
      </c>
      <c r="J221" s="189">
        <v>30</v>
      </c>
      <c r="K221" s="8"/>
      <c r="L221" s="189">
        <v>30</v>
      </c>
      <c r="N221" s="167">
        <v>0</v>
      </c>
      <c r="O221" s="167">
        <v>1266.07</v>
      </c>
      <c r="P221" s="168"/>
      <c r="Q221" s="216">
        <f>IFERROR(VLOOKUP(C221,[1]Planilha1!$C$1:$Q$65536,15,0),0)</f>
        <v>0</v>
      </c>
      <c r="R221" s="216">
        <f>IFERROR(VLOOKUP(C221,[1]Planilha1!$C$1:$R$65536,16,0),0)</f>
        <v>0</v>
      </c>
      <c r="S221" s="216">
        <f>IFERROR(VLOOKUP(C221,[1]Planilha1!$C$1:$S$65536,17,0),0)</f>
        <v>0</v>
      </c>
      <c r="T221" s="216">
        <f>IFERROR(VLOOKUP(C221,[1]Planilha1!$C$1:$T$65536,18,0),0)</f>
        <v>450</v>
      </c>
      <c r="U221" s="187">
        <v>450</v>
      </c>
      <c r="V221" s="266">
        <v>112.79635500000001</v>
      </c>
      <c r="W221" s="187">
        <v>112.79635500000001</v>
      </c>
      <c r="X221" s="222"/>
      <c r="Y221" s="228">
        <v>1266.07</v>
      </c>
      <c r="AA221" s="187">
        <v>1503.9514000000001</v>
      </c>
      <c r="AB221" s="187">
        <v>375.98785000000004</v>
      </c>
      <c r="AC221" s="7"/>
      <c r="AD221" s="187">
        <v>268.56274999999999</v>
      </c>
      <c r="AE221" s="187">
        <v>2148.502</v>
      </c>
      <c r="AF221" s="6">
        <v>0</v>
      </c>
      <c r="AG221" s="7"/>
      <c r="AH221" s="216"/>
      <c r="AI221" s="216"/>
    </row>
    <row r="222" spans="1:35" x14ac:dyDescent="0.25">
      <c r="A222" s="10">
        <v>200</v>
      </c>
      <c r="B222" s="10">
        <v>130</v>
      </c>
      <c r="C222" s="10" t="s">
        <v>640</v>
      </c>
      <c r="D222" s="18" t="s">
        <v>641</v>
      </c>
      <c r="E222" s="18" t="s">
        <v>30</v>
      </c>
      <c r="F222" s="10" t="s">
        <v>642</v>
      </c>
      <c r="G222" s="14">
        <v>44147</v>
      </c>
      <c r="H222" s="10" t="s">
        <v>27</v>
      </c>
      <c r="J222" s="189">
        <v>30</v>
      </c>
      <c r="K222" s="8"/>
      <c r="L222" s="189">
        <v>30</v>
      </c>
      <c r="N222" s="167">
        <v>1131.54</v>
      </c>
      <c r="O222" s="167"/>
      <c r="P222" s="168">
        <v>135</v>
      </c>
      <c r="Q222" s="216">
        <f>IFERROR(VLOOKUP(C222,[1]Planilha1!$C$1:$Q$65536,15,0),0)</f>
        <v>0</v>
      </c>
      <c r="R222" s="216">
        <f>IFERROR(VLOOKUP(C222,[1]Planilha1!$C$1:$R$65536,16,0),0)</f>
        <v>0</v>
      </c>
      <c r="S222" s="216">
        <f>IFERROR(VLOOKUP(C222,[1]Planilha1!$C$1:$S$65536,17,0),0)</f>
        <v>0</v>
      </c>
      <c r="T222" s="216">
        <f>IFERROR(VLOOKUP(C222,[1]Planilha1!$C$1:$T$65536,18,0),0)</f>
        <v>450</v>
      </c>
      <c r="U222" s="187">
        <v>450</v>
      </c>
      <c r="V222" s="266">
        <v>67.892399999999995</v>
      </c>
      <c r="W222" s="187">
        <v>67.892399999999995</v>
      </c>
      <c r="X222" s="222"/>
      <c r="Y222" s="228">
        <v>1131.54</v>
      </c>
      <c r="AA222" s="7"/>
      <c r="AB222" s="7"/>
      <c r="AC222" s="7"/>
      <c r="AD222" s="7"/>
      <c r="AE222" s="7">
        <v>0</v>
      </c>
      <c r="AF222" s="187">
        <v>1131.54</v>
      </c>
      <c r="AG222" s="7"/>
      <c r="AH222" s="216"/>
      <c r="AI222" s="216"/>
    </row>
    <row r="223" spans="1:35" x14ac:dyDescent="0.25">
      <c r="A223" s="10">
        <v>200</v>
      </c>
      <c r="B223" s="10">
        <v>133</v>
      </c>
      <c r="C223" s="10" t="s">
        <v>643</v>
      </c>
      <c r="D223" s="18" t="s">
        <v>644</v>
      </c>
      <c r="E223" s="18" t="s">
        <v>30</v>
      </c>
      <c r="F223" s="10" t="s">
        <v>645</v>
      </c>
      <c r="G223" s="14">
        <v>44155</v>
      </c>
      <c r="H223" s="10" t="s">
        <v>928</v>
      </c>
      <c r="J223" s="189">
        <v>30</v>
      </c>
      <c r="K223" s="8"/>
      <c r="L223" s="189">
        <v>30</v>
      </c>
      <c r="N223" s="167">
        <v>1131.54</v>
      </c>
      <c r="O223" s="167"/>
      <c r="P223" s="168"/>
      <c r="Q223" s="216">
        <f>IFERROR(VLOOKUP(C223,[1]Planilha1!$C$1:$Q$65536,15,0),0)</f>
        <v>0</v>
      </c>
      <c r="R223" s="216">
        <f>IFERROR(VLOOKUP(C223,[1]Planilha1!$C$1:$R$65536,16,0),0)</f>
        <v>0</v>
      </c>
      <c r="S223" s="216">
        <f>IFERROR(VLOOKUP(C223,[1]Planilha1!$C$1:$S$65536,17,0),0)</f>
        <v>0</v>
      </c>
      <c r="T223" s="216">
        <f>IFERROR(VLOOKUP(C223,[1]Planilha1!$C$1:$T$65536,18,0),0)</f>
        <v>0</v>
      </c>
      <c r="U223" s="187">
        <v>0</v>
      </c>
      <c r="V223" s="266">
        <v>67.892399999999995</v>
      </c>
      <c r="W223" s="187">
        <v>0</v>
      </c>
      <c r="X223" s="222"/>
      <c r="Y223" s="228">
        <v>1131.54</v>
      </c>
      <c r="AA223" s="7"/>
      <c r="AB223" s="7"/>
      <c r="AC223" s="7"/>
      <c r="AD223" s="7"/>
      <c r="AE223" s="7">
        <v>0</v>
      </c>
      <c r="AF223" s="187">
        <v>1131.54</v>
      </c>
      <c r="AG223" s="7"/>
      <c r="AH223" s="216"/>
      <c r="AI223" s="216"/>
    </row>
    <row r="224" spans="1:35" s="206" customFormat="1" x14ac:dyDescent="0.25">
      <c r="A224" s="197">
        <v>200</v>
      </c>
      <c r="B224" s="197">
        <v>120</v>
      </c>
      <c r="C224" s="198" t="s">
        <v>646</v>
      </c>
      <c r="D224" s="199" t="s">
        <v>647</v>
      </c>
      <c r="E224" s="199" t="s">
        <v>25</v>
      </c>
      <c r="F224" s="200" t="s">
        <v>648</v>
      </c>
      <c r="G224" s="201">
        <v>43721</v>
      </c>
      <c r="H224" s="200" t="s">
        <v>1240</v>
      </c>
      <c r="I224" s="202"/>
      <c r="J224" s="186">
        <v>30</v>
      </c>
      <c r="K224" s="5">
        <v>0</v>
      </c>
      <c r="L224" s="186">
        <v>30</v>
      </c>
      <c r="M224" s="202"/>
      <c r="N224" s="203">
        <v>0</v>
      </c>
      <c r="O224" s="203">
        <v>1266.07</v>
      </c>
      <c r="P224" s="204"/>
      <c r="Q224" s="216">
        <f>IFERROR(VLOOKUP(C224,[1]Planilha1!$C$1:$Q$65536,15,0),0)</f>
        <v>0</v>
      </c>
      <c r="R224" s="216">
        <f>IFERROR(VLOOKUP(C224,[1]Planilha1!$C$1:$R$65536,16,0),0)</f>
        <v>0</v>
      </c>
      <c r="S224" s="216">
        <f>IFERROR(VLOOKUP(C224,[1]Planilha1!$C$1:$S$65536,17,0),0)</f>
        <v>0</v>
      </c>
      <c r="T224" s="216">
        <f>IFERROR(VLOOKUP(C224,[1]Planilha1!$C$1:$T$65536,18,0),0)</f>
        <v>0</v>
      </c>
      <c r="U224" s="187">
        <v>0</v>
      </c>
      <c r="V224" s="266">
        <v>75.964199999999991</v>
      </c>
      <c r="W224" s="187">
        <v>0</v>
      </c>
      <c r="X224" s="227"/>
      <c r="Y224" s="228">
        <v>1266.07</v>
      </c>
      <c r="AA224" s="187">
        <v>705.54427999999996</v>
      </c>
      <c r="AB224" s="187">
        <v>176.38606999999999</v>
      </c>
      <c r="AC224" s="7"/>
      <c r="AD224" s="6"/>
      <c r="AE224" s="187">
        <v>881.93034999999998</v>
      </c>
      <c r="AF224" s="187">
        <v>384.13964999999996</v>
      </c>
      <c r="AG224" s="7"/>
      <c r="AH224" s="221"/>
      <c r="AI224" s="221"/>
    </row>
    <row r="225" spans="1:35" x14ac:dyDescent="0.25">
      <c r="A225" s="10">
        <v>200</v>
      </c>
      <c r="B225" s="10">
        <v>137</v>
      </c>
      <c r="C225" s="10" t="s">
        <v>976</v>
      </c>
      <c r="D225" s="18" t="s">
        <v>977</v>
      </c>
      <c r="E225" s="18" t="s">
        <v>25</v>
      </c>
      <c r="F225" s="10" t="s">
        <v>978</v>
      </c>
      <c r="G225" s="14">
        <v>44398</v>
      </c>
      <c r="H225" s="10" t="s">
        <v>27</v>
      </c>
      <c r="J225" s="189">
        <v>10</v>
      </c>
      <c r="K225" s="8"/>
      <c r="L225" s="189">
        <v>10</v>
      </c>
      <c r="N225" s="167">
        <v>0</v>
      </c>
      <c r="O225" s="167">
        <v>1266.07</v>
      </c>
      <c r="P225" s="168"/>
      <c r="Q225" s="216">
        <f>IFERROR(VLOOKUP(C225,[1]Planilha1!$C$1:$Q$65536,15,0),0)</f>
        <v>0</v>
      </c>
      <c r="R225" s="216">
        <f>IFERROR(VLOOKUP(C225,[1]Planilha1!$C$1:$R$65536,16,0),0)</f>
        <v>141.68</v>
      </c>
      <c r="S225" s="216">
        <f>IFERROR(VLOOKUP(C225,[1]Planilha1!$C$1:$S$65536,17,0),0)</f>
        <v>198</v>
      </c>
      <c r="T225" s="216">
        <f>IFERROR(VLOOKUP(C225,[1]Planilha1!$C$1:$T$65536,18,0),0)</f>
        <v>0</v>
      </c>
      <c r="U225" s="187">
        <v>198</v>
      </c>
      <c r="V225" s="266">
        <v>75.964199999999991</v>
      </c>
      <c r="W225" s="187">
        <v>75.964199999999991</v>
      </c>
      <c r="X225" s="222"/>
      <c r="Y225" s="228">
        <v>422.02333333333331</v>
      </c>
      <c r="AA225" s="6"/>
      <c r="AB225" s="6"/>
      <c r="AC225" s="7"/>
      <c r="AD225" s="7"/>
      <c r="AE225" s="6">
        <v>0</v>
      </c>
      <c r="AF225" s="187">
        <v>422.02333333333331</v>
      </c>
      <c r="AG225" s="7"/>
      <c r="AH225" s="216"/>
      <c r="AI225" s="216"/>
    </row>
    <row r="226" spans="1:35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186">
        <v>30</v>
      </c>
      <c r="K226" s="5">
        <v>0</v>
      </c>
      <c r="L226" s="186">
        <v>30</v>
      </c>
      <c r="M226" s="15"/>
      <c r="N226" s="167">
        <v>0</v>
      </c>
      <c r="O226" s="167">
        <v>1266.07</v>
      </c>
      <c r="P226" s="168"/>
      <c r="Q226" s="216">
        <f>IFERROR(VLOOKUP(C226,[1]Planilha1!$C$1:$Q$65536,15,0),0)</f>
        <v>0</v>
      </c>
      <c r="R226" s="216">
        <f>IFERROR(VLOOKUP(C226,[1]Planilha1!$C$1:$R$65536,16,0),0)</f>
        <v>0</v>
      </c>
      <c r="S226" s="216">
        <f>IFERROR(VLOOKUP(C226,[1]Planilha1!$C$1:$S$65536,17,0),0)</f>
        <v>0</v>
      </c>
      <c r="T226" s="216">
        <f>IFERROR(VLOOKUP(C226,[1]Planilha1!$C$1:$T$65536,18,0),0)</f>
        <v>0</v>
      </c>
      <c r="U226" s="187">
        <v>0</v>
      </c>
      <c r="V226" s="266">
        <v>123.10865699999999</v>
      </c>
      <c r="W226" s="187">
        <v>0</v>
      </c>
      <c r="X226" s="222"/>
      <c r="Y226" s="228">
        <v>1266.07</v>
      </c>
      <c r="AA226" s="187">
        <v>1641.44876</v>
      </c>
      <c r="AB226" s="187">
        <v>410.36219</v>
      </c>
      <c r="AC226" s="7">
        <v>150</v>
      </c>
      <c r="AD226" s="187">
        <v>293.11585000000002</v>
      </c>
      <c r="AE226" s="187">
        <v>2494.9268000000002</v>
      </c>
      <c r="AF226" s="6">
        <v>0</v>
      </c>
      <c r="AG226" s="7">
        <v>150</v>
      </c>
      <c r="AH226" s="216"/>
      <c r="AI226" s="216">
        <v>390</v>
      </c>
    </row>
    <row r="227" spans="1:35" x14ac:dyDescent="0.25">
      <c r="A227" s="10">
        <v>200</v>
      </c>
      <c r="B227" s="10">
        <v>136</v>
      </c>
      <c r="C227" s="10" t="s">
        <v>652</v>
      </c>
      <c r="D227" s="18" t="s">
        <v>653</v>
      </c>
      <c r="E227" s="18" t="s">
        <v>30</v>
      </c>
      <c r="F227" s="10" t="s">
        <v>654</v>
      </c>
      <c r="G227" s="14">
        <v>44355</v>
      </c>
      <c r="H227" s="10" t="s">
        <v>27</v>
      </c>
      <c r="J227" s="189">
        <v>30</v>
      </c>
      <c r="K227" s="8"/>
      <c r="L227" s="189">
        <v>30</v>
      </c>
      <c r="N227" s="167">
        <v>1131.54</v>
      </c>
      <c r="O227" s="167"/>
      <c r="P227" s="168">
        <v>135</v>
      </c>
      <c r="Q227" s="216">
        <f>IFERROR(VLOOKUP(C227,[1]Planilha1!$C$1:$Q$65536,15,0),0)</f>
        <v>0</v>
      </c>
      <c r="R227" s="216">
        <f>IFERROR(VLOOKUP(C227,[1]Planilha1!$C$1:$R$65536,16,0),0)</f>
        <v>0</v>
      </c>
      <c r="S227" s="216">
        <f>IFERROR(VLOOKUP(C227,[1]Planilha1!$C$1:$S$65536,17,0),0)</f>
        <v>0</v>
      </c>
      <c r="T227" s="216">
        <f>IFERROR(VLOOKUP(C227,[1]Planilha1!$C$1:$T$65536,18,0),0)</f>
        <v>487.5</v>
      </c>
      <c r="U227" s="187">
        <v>487.5</v>
      </c>
      <c r="V227" s="266">
        <v>67.892399999999995</v>
      </c>
      <c r="W227" s="187">
        <v>67.892399999999995</v>
      </c>
      <c r="X227" s="222"/>
      <c r="Y227" s="228">
        <v>1131.54</v>
      </c>
      <c r="AA227" s="7"/>
      <c r="AB227" s="7"/>
      <c r="AC227" s="7"/>
      <c r="AD227" s="7"/>
      <c r="AE227" s="7">
        <v>0</v>
      </c>
      <c r="AF227" s="187">
        <v>1131.54</v>
      </c>
      <c r="AG227" s="7"/>
      <c r="AH227" s="216"/>
      <c r="AI227" s="216"/>
    </row>
    <row r="228" spans="1:35" x14ac:dyDescent="0.25">
      <c r="A228" s="10">
        <v>200</v>
      </c>
      <c r="B228" s="10">
        <v>128</v>
      </c>
      <c r="C228" s="10" t="s">
        <v>655</v>
      </c>
      <c r="D228" s="18" t="s">
        <v>656</v>
      </c>
      <c r="E228" s="18" t="s">
        <v>48</v>
      </c>
      <c r="F228" s="10" t="s">
        <v>657</v>
      </c>
      <c r="G228" s="14">
        <v>44075</v>
      </c>
      <c r="H228" s="10" t="s">
        <v>27</v>
      </c>
      <c r="J228" s="189">
        <v>30</v>
      </c>
      <c r="K228" s="8"/>
      <c r="L228" s="189">
        <v>30</v>
      </c>
      <c r="N228" s="167">
        <v>0</v>
      </c>
      <c r="O228" s="167">
        <v>1266.07</v>
      </c>
      <c r="P228" s="168"/>
      <c r="Q228" s="216">
        <f>IFERROR(VLOOKUP(C228,[1]Planilha1!$C$1:$Q$65536,15,0),0)</f>
        <v>0</v>
      </c>
      <c r="R228" s="216">
        <f>IFERROR(VLOOKUP(C228,[1]Planilha1!$C$1:$R$65536,16,0),0)</f>
        <v>0</v>
      </c>
      <c r="S228" s="216">
        <f>IFERROR(VLOOKUP(C228,[1]Planilha1!$C$1:$S$65536,17,0),0)</f>
        <v>0</v>
      </c>
      <c r="T228" s="216">
        <f>IFERROR(VLOOKUP(C228,[1]Planilha1!$C$1:$T$65536,18,0),0)</f>
        <v>0</v>
      </c>
      <c r="U228" s="187">
        <v>0</v>
      </c>
      <c r="V228" s="266">
        <v>243.078</v>
      </c>
      <c r="W228" s="187">
        <v>0</v>
      </c>
      <c r="X228" s="222"/>
      <c r="Y228" s="228">
        <v>1266.07</v>
      </c>
      <c r="AA228" s="187" t="s">
        <v>1720</v>
      </c>
      <c r="AB228" s="187">
        <v>810.26</v>
      </c>
      <c r="AC228" s="7"/>
      <c r="AD228" s="187">
        <v>2000</v>
      </c>
      <c r="AE228" s="187">
        <v>6051.3</v>
      </c>
      <c r="AF228" s="6">
        <v>0</v>
      </c>
      <c r="AG228" s="7"/>
      <c r="AH228" s="216"/>
      <c r="AI228" s="216"/>
    </row>
    <row r="229" spans="1:35" x14ac:dyDescent="0.25">
      <c r="N229" s="169"/>
      <c r="O229" s="169"/>
      <c r="P229" s="169"/>
      <c r="Q229" s="169"/>
      <c r="R229" s="169"/>
      <c r="S229" s="169"/>
      <c r="T229" s="169"/>
      <c r="AA229" s="222"/>
      <c r="AB229" s="222"/>
      <c r="AC229" s="222"/>
      <c r="AD229" s="222"/>
      <c r="AE229" s="222"/>
      <c r="AF229" s="222"/>
      <c r="AG229" s="222"/>
      <c r="AH229" s="222"/>
      <c r="AI229" s="222"/>
    </row>
    <row r="230" spans="1:35" x14ac:dyDescent="0.25">
      <c r="N230" s="169"/>
      <c r="O230" s="169"/>
      <c r="P230" s="169"/>
      <c r="Q230" s="169"/>
      <c r="R230" s="169"/>
      <c r="S230" s="169"/>
      <c r="T230" s="169"/>
      <c r="AA230" s="222"/>
      <c r="AB230" s="222"/>
      <c r="AC230" s="222"/>
      <c r="AD230" s="222"/>
      <c r="AE230" s="222"/>
      <c r="AF230" s="222"/>
      <c r="AG230" s="222"/>
      <c r="AH230" s="222"/>
      <c r="AI230" s="222"/>
    </row>
    <row r="231" spans="1:35" x14ac:dyDescent="0.25">
      <c r="N231" s="169"/>
      <c r="O231" s="169"/>
      <c r="P231" s="169"/>
      <c r="Q231" s="169"/>
      <c r="R231" s="169"/>
      <c r="S231" s="169"/>
      <c r="T231" s="169"/>
      <c r="AA231" s="222"/>
      <c r="AB231" s="222"/>
      <c r="AC231" s="222"/>
      <c r="AD231" s="222"/>
      <c r="AE231" s="222"/>
      <c r="AF231" s="222"/>
      <c r="AG231" s="222"/>
      <c r="AH231" s="222"/>
      <c r="AI231" s="222"/>
    </row>
    <row r="232" spans="1:35" x14ac:dyDescent="0.25">
      <c r="N232" s="169"/>
      <c r="O232" s="169"/>
      <c r="P232" s="169"/>
      <c r="Q232" s="169"/>
      <c r="R232" s="169"/>
      <c r="S232" s="169"/>
      <c r="T232" s="169"/>
      <c r="AA232" s="222"/>
      <c r="AB232" s="222"/>
      <c r="AC232" s="222"/>
      <c r="AD232" s="222"/>
      <c r="AE232" s="222"/>
      <c r="AF232" s="222"/>
      <c r="AG232" s="222"/>
      <c r="AH232" s="222"/>
      <c r="AI232" s="222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16</xdr:col>
                <xdr:colOff>38100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A27" sqref="A27:XFD27"/>
    </sheetView>
  </sheetViews>
  <sheetFormatPr defaultRowHeight="13.2" x14ac:dyDescent="0.25"/>
  <cols>
    <col min="1" max="1" width="16.44140625" style="19" customWidth="1"/>
    <col min="2" max="2" width="7.33203125" style="20" customWidth="1"/>
    <col min="3" max="3" width="35.109375" style="19" customWidth="1"/>
    <col min="4" max="9" width="14.88671875" style="26" hidden="1" customWidth="1"/>
    <col min="10" max="10" width="14.88671875" style="26" customWidth="1"/>
    <col min="11" max="11" width="1.33203125" style="19" customWidth="1"/>
    <col min="12" max="12" width="11.6640625" style="19" bestFit="1" customWidth="1"/>
    <col min="13" max="13" width="9.109375" style="19"/>
    <col min="14" max="14" width="1.33203125" style="19" customWidth="1"/>
    <col min="15" max="15" width="12.6640625" style="19" bestFit="1" customWidth="1"/>
    <col min="16" max="16" width="9.109375" style="208"/>
    <col min="17" max="17" width="12" style="38" bestFit="1" customWidth="1"/>
    <col min="18" max="18" width="10" style="38" bestFit="1" customWidth="1"/>
    <col min="19" max="19" width="8.6640625" style="38" bestFit="1" customWidth="1"/>
    <col min="20" max="256" width="9.109375" style="19"/>
    <col min="257" max="257" width="4.88671875" style="19" customWidth="1"/>
    <col min="258" max="258" width="7.33203125" style="19" customWidth="1"/>
    <col min="259" max="259" width="35.109375" style="19" customWidth="1"/>
    <col min="260" max="266" width="14.88671875" style="19" customWidth="1"/>
    <col min="267" max="267" width="1.33203125" style="19" customWidth="1"/>
    <col min="268" max="268" width="11.6640625" style="19" bestFit="1" customWidth="1"/>
    <col min="269" max="269" width="9.109375" style="19"/>
    <col min="270" max="270" width="1.33203125" style="19" customWidth="1"/>
    <col min="271" max="271" width="12.6640625" style="19" bestFit="1" customWidth="1"/>
    <col min="272" max="512" width="9.109375" style="19"/>
    <col min="513" max="513" width="4.88671875" style="19" customWidth="1"/>
    <col min="514" max="514" width="7.33203125" style="19" customWidth="1"/>
    <col min="515" max="515" width="35.109375" style="19" customWidth="1"/>
    <col min="516" max="522" width="14.88671875" style="19" customWidth="1"/>
    <col min="523" max="523" width="1.33203125" style="19" customWidth="1"/>
    <col min="524" max="524" width="11.6640625" style="19" bestFit="1" customWidth="1"/>
    <col min="525" max="525" width="9.109375" style="19"/>
    <col min="526" max="526" width="1.33203125" style="19" customWidth="1"/>
    <col min="527" max="527" width="12.6640625" style="19" bestFit="1" customWidth="1"/>
    <col min="528" max="768" width="9.109375" style="19"/>
    <col min="769" max="769" width="4.88671875" style="19" customWidth="1"/>
    <col min="770" max="770" width="7.33203125" style="19" customWidth="1"/>
    <col min="771" max="771" width="35.109375" style="19" customWidth="1"/>
    <col min="772" max="778" width="14.88671875" style="19" customWidth="1"/>
    <col min="779" max="779" width="1.33203125" style="19" customWidth="1"/>
    <col min="780" max="780" width="11.6640625" style="19" bestFit="1" customWidth="1"/>
    <col min="781" max="781" width="9.109375" style="19"/>
    <col min="782" max="782" width="1.33203125" style="19" customWidth="1"/>
    <col min="783" max="783" width="12.6640625" style="19" bestFit="1" customWidth="1"/>
    <col min="784" max="1024" width="9.109375" style="19"/>
    <col min="1025" max="1025" width="4.88671875" style="19" customWidth="1"/>
    <col min="1026" max="1026" width="7.33203125" style="19" customWidth="1"/>
    <col min="1027" max="1027" width="35.109375" style="19" customWidth="1"/>
    <col min="1028" max="1034" width="14.88671875" style="19" customWidth="1"/>
    <col min="1035" max="1035" width="1.33203125" style="19" customWidth="1"/>
    <col min="1036" max="1036" width="11.6640625" style="19" bestFit="1" customWidth="1"/>
    <col min="1037" max="1037" width="9.109375" style="19"/>
    <col min="1038" max="1038" width="1.33203125" style="19" customWidth="1"/>
    <col min="1039" max="1039" width="12.6640625" style="19" bestFit="1" customWidth="1"/>
    <col min="1040" max="1280" width="9.109375" style="19"/>
    <col min="1281" max="1281" width="4.88671875" style="19" customWidth="1"/>
    <col min="1282" max="1282" width="7.33203125" style="19" customWidth="1"/>
    <col min="1283" max="1283" width="35.109375" style="19" customWidth="1"/>
    <col min="1284" max="1290" width="14.88671875" style="19" customWidth="1"/>
    <col min="1291" max="1291" width="1.33203125" style="19" customWidth="1"/>
    <col min="1292" max="1292" width="11.6640625" style="19" bestFit="1" customWidth="1"/>
    <col min="1293" max="1293" width="9.109375" style="19"/>
    <col min="1294" max="1294" width="1.33203125" style="19" customWidth="1"/>
    <col min="1295" max="1295" width="12.6640625" style="19" bestFit="1" customWidth="1"/>
    <col min="1296" max="1536" width="9.109375" style="19"/>
    <col min="1537" max="1537" width="4.88671875" style="19" customWidth="1"/>
    <col min="1538" max="1538" width="7.33203125" style="19" customWidth="1"/>
    <col min="1539" max="1539" width="35.109375" style="19" customWidth="1"/>
    <col min="1540" max="1546" width="14.88671875" style="19" customWidth="1"/>
    <col min="1547" max="1547" width="1.33203125" style="19" customWidth="1"/>
    <col min="1548" max="1548" width="11.6640625" style="19" bestFit="1" customWidth="1"/>
    <col min="1549" max="1549" width="9.109375" style="19"/>
    <col min="1550" max="1550" width="1.33203125" style="19" customWidth="1"/>
    <col min="1551" max="1551" width="12.6640625" style="19" bestFit="1" customWidth="1"/>
    <col min="1552" max="1792" width="9.109375" style="19"/>
    <col min="1793" max="1793" width="4.88671875" style="19" customWidth="1"/>
    <col min="1794" max="1794" width="7.33203125" style="19" customWidth="1"/>
    <col min="1795" max="1795" width="35.109375" style="19" customWidth="1"/>
    <col min="1796" max="1802" width="14.88671875" style="19" customWidth="1"/>
    <col min="1803" max="1803" width="1.33203125" style="19" customWidth="1"/>
    <col min="1804" max="1804" width="11.6640625" style="19" bestFit="1" customWidth="1"/>
    <col min="1805" max="1805" width="9.109375" style="19"/>
    <col min="1806" max="1806" width="1.33203125" style="19" customWidth="1"/>
    <col min="1807" max="1807" width="12.6640625" style="19" bestFit="1" customWidth="1"/>
    <col min="1808" max="2048" width="9.109375" style="19"/>
    <col min="2049" max="2049" width="4.88671875" style="19" customWidth="1"/>
    <col min="2050" max="2050" width="7.33203125" style="19" customWidth="1"/>
    <col min="2051" max="2051" width="35.109375" style="19" customWidth="1"/>
    <col min="2052" max="2058" width="14.88671875" style="19" customWidth="1"/>
    <col min="2059" max="2059" width="1.33203125" style="19" customWidth="1"/>
    <col min="2060" max="2060" width="11.6640625" style="19" bestFit="1" customWidth="1"/>
    <col min="2061" max="2061" width="9.109375" style="19"/>
    <col min="2062" max="2062" width="1.33203125" style="19" customWidth="1"/>
    <col min="2063" max="2063" width="12.6640625" style="19" bestFit="1" customWidth="1"/>
    <col min="2064" max="2304" width="9.109375" style="19"/>
    <col min="2305" max="2305" width="4.88671875" style="19" customWidth="1"/>
    <col min="2306" max="2306" width="7.33203125" style="19" customWidth="1"/>
    <col min="2307" max="2307" width="35.109375" style="19" customWidth="1"/>
    <col min="2308" max="2314" width="14.88671875" style="19" customWidth="1"/>
    <col min="2315" max="2315" width="1.33203125" style="19" customWidth="1"/>
    <col min="2316" max="2316" width="11.6640625" style="19" bestFit="1" customWidth="1"/>
    <col min="2317" max="2317" width="9.109375" style="19"/>
    <col min="2318" max="2318" width="1.33203125" style="19" customWidth="1"/>
    <col min="2319" max="2319" width="12.6640625" style="19" bestFit="1" customWidth="1"/>
    <col min="2320" max="2560" width="9.109375" style="19"/>
    <col min="2561" max="2561" width="4.88671875" style="19" customWidth="1"/>
    <col min="2562" max="2562" width="7.33203125" style="19" customWidth="1"/>
    <col min="2563" max="2563" width="35.109375" style="19" customWidth="1"/>
    <col min="2564" max="2570" width="14.88671875" style="19" customWidth="1"/>
    <col min="2571" max="2571" width="1.33203125" style="19" customWidth="1"/>
    <col min="2572" max="2572" width="11.6640625" style="19" bestFit="1" customWidth="1"/>
    <col min="2573" max="2573" width="9.109375" style="19"/>
    <col min="2574" max="2574" width="1.33203125" style="19" customWidth="1"/>
    <col min="2575" max="2575" width="12.6640625" style="19" bestFit="1" customWidth="1"/>
    <col min="2576" max="2816" width="9.109375" style="19"/>
    <col min="2817" max="2817" width="4.88671875" style="19" customWidth="1"/>
    <col min="2818" max="2818" width="7.33203125" style="19" customWidth="1"/>
    <col min="2819" max="2819" width="35.109375" style="19" customWidth="1"/>
    <col min="2820" max="2826" width="14.88671875" style="19" customWidth="1"/>
    <col min="2827" max="2827" width="1.33203125" style="19" customWidth="1"/>
    <col min="2828" max="2828" width="11.6640625" style="19" bestFit="1" customWidth="1"/>
    <col min="2829" max="2829" width="9.109375" style="19"/>
    <col min="2830" max="2830" width="1.33203125" style="19" customWidth="1"/>
    <col min="2831" max="2831" width="12.6640625" style="19" bestFit="1" customWidth="1"/>
    <col min="2832" max="3072" width="9.109375" style="19"/>
    <col min="3073" max="3073" width="4.88671875" style="19" customWidth="1"/>
    <col min="3074" max="3074" width="7.33203125" style="19" customWidth="1"/>
    <col min="3075" max="3075" width="35.109375" style="19" customWidth="1"/>
    <col min="3076" max="3082" width="14.88671875" style="19" customWidth="1"/>
    <col min="3083" max="3083" width="1.33203125" style="19" customWidth="1"/>
    <col min="3084" max="3084" width="11.6640625" style="19" bestFit="1" customWidth="1"/>
    <col min="3085" max="3085" width="9.109375" style="19"/>
    <col min="3086" max="3086" width="1.33203125" style="19" customWidth="1"/>
    <col min="3087" max="3087" width="12.6640625" style="19" bestFit="1" customWidth="1"/>
    <col min="3088" max="3328" width="9.109375" style="19"/>
    <col min="3329" max="3329" width="4.88671875" style="19" customWidth="1"/>
    <col min="3330" max="3330" width="7.33203125" style="19" customWidth="1"/>
    <col min="3331" max="3331" width="35.109375" style="19" customWidth="1"/>
    <col min="3332" max="3338" width="14.88671875" style="19" customWidth="1"/>
    <col min="3339" max="3339" width="1.33203125" style="19" customWidth="1"/>
    <col min="3340" max="3340" width="11.6640625" style="19" bestFit="1" customWidth="1"/>
    <col min="3341" max="3341" width="9.109375" style="19"/>
    <col min="3342" max="3342" width="1.33203125" style="19" customWidth="1"/>
    <col min="3343" max="3343" width="12.6640625" style="19" bestFit="1" customWidth="1"/>
    <col min="3344" max="3584" width="9.109375" style="19"/>
    <col min="3585" max="3585" width="4.88671875" style="19" customWidth="1"/>
    <col min="3586" max="3586" width="7.33203125" style="19" customWidth="1"/>
    <col min="3587" max="3587" width="35.109375" style="19" customWidth="1"/>
    <col min="3588" max="3594" width="14.88671875" style="19" customWidth="1"/>
    <col min="3595" max="3595" width="1.33203125" style="19" customWidth="1"/>
    <col min="3596" max="3596" width="11.6640625" style="19" bestFit="1" customWidth="1"/>
    <col min="3597" max="3597" width="9.109375" style="19"/>
    <col min="3598" max="3598" width="1.33203125" style="19" customWidth="1"/>
    <col min="3599" max="3599" width="12.6640625" style="19" bestFit="1" customWidth="1"/>
    <col min="3600" max="3840" width="9.109375" style="19"/>
    <col min="3841" max="3841" width="4.88671875" style="19" customWidth="1"/>
    <col min="3842" max="3842" width="7.33203125" style="19" customWidth="1"/>
    <col min="3843" max="3843" width="35.109375" style="19" customWidth="1"/>
    <col min="3844" max="3850" width="14.88671875" style="19" customWidth="1"/>
    <col min="3851" max="3851" width="1.33203125" style="19" customWidth="1"/>
    <col min="3852" max="3852" width="11.6640625" style="19" bestFit="1" customWidth="1"/>
    <col min="3853" max="3853" width="9.109375" style="19"/>
    <col min="3854" max="3854" width="1.33203125" style="19" customWidth="1"/>
    <col min="3855" max="3855" width="12.6640625" style="19" bestFit="1" customWidth="1"/>
    <col min="3856" max="4096" width="9.109375" style="19"/>
    <col min="4097" max="4097" width="4.88671875" style="19" customWidth="1"/>
    <col min="4098" max="4098" width="7.33203125" style="19" customWidth="1"/>
    <col min="4099" max="4099" width="35.109375" style="19" customWidth="1"/>
    <col min="4100" max="4106" width="14.88671875" style="19" customWidth="1"/>
    <col min="4107" max="4107" width="1.33203125" style="19" customWidth="1"/>
    <col min="4108" max="4108" width="11.6640625" style="19" bestFit="1" customWidth="1"/>
    <col min="4109" max="4109" width="9.109375" style="19"/>
    <col min="4110" max="4110" width="1.33203125" style="19" customWidth="1"/>
    <col min="4111" max="4111" width="12.6640625" style="19" bestFit="1" customWidth="1"/>
    <col min="4112" max="4352" width="9.109375" style="19"/>
    <col min="4353" max="4353" width="4.88671875" style="19" customWidth="1"/>
    <col min="4354" max="4354" width="7.33203125" style="19" customWidth="1"/>
    <col min="4355" max="4355" width="35.109375" style="19" customWidth="1"/>
    <col min="4356" max="4362" width="14.88671875" style="19" customWidth="1"/>
    <col min="4363" max="4363" width="1.33203125" style="19" customWidth="1"/>
    <col min="4364" max="4364" width="11.6640625" style="19" bestFit="1" customWidth="1"/>
    <col min="4365" max="4365" width="9.109375" style="19"/>
    <col min="4366" max="4366" width="1.33203125" style="19" customWidth="1"/>
    <col min="4367" max="4367" width="12.6640625" style="19" bestFit="1" customWidth="1"/>
    <col min="4368" max="4608" width="9.109375" style="19"/>
    <col min="4609" max="4609" width="4.88671875" style="19" customWidth="1"/>
    <col min="4610" max="4610" width="7.33203125" style="19" customWidth="1"/>
    <col min="4611" max="4611" width="35.109375" style="19" customWidth="1"/>
    <col min="4612" max="4618" width="14.88671875" style="19" customWidth="1"/>
    <col min="4619" max="4619" width="1.33203125" style="19" customWidth="1"/>
    <col min="4620" max="4620" width="11.6640625" style="19" bestFit="1" customWidth="1"/>
    <col min="4621" max="4621" width="9.109375" style="19"/>
    <col min="4622" max="4622" width="1.33203125" style="19" customWidth="1"/>
    <col min="4623" max="4623" width="12.6640625" style="19" bestFit="1" customWidth="1"/>
    <col min="4624" max="4864" width="9.109375" style="19"/>
    <col min="4865" max="4865" width="4.88671875" style="19" customWidth="1"/>
    <col min="4866" max="4866" width="7.33203125" style="19" customWidth="1"/>
    <col min="4867" max="4867" width="35.109375" style="19" customWidth="1"/>
    <col min="4868" max="4874" width="14.88671875" style="19" customWidth="1"/>
    <col min="4875" max="4875" width="1.33203125" style="19" customWidth="1"/>
    <col min="4876" max="4876" width="11.6640625" style="19" bestFit="1" customWidth="1"/>
    <col min="4877" max="4877" width="9.109375" style="19"/>
    <col min="4878" max="4878" width="1.33203125" style="19" customWidth="1"/>
    <col min="4879" max="4879" width="12.6640625" style="19" bestFit="1" customWidth="1"/>
    <col min="4880" max="5120" width="9.109375" style="19"/>
    <col min="5121" max="5121" width="4.88671875" style="19" customWidth="1"/>
    <col min="5122" max="5122" width="7.33203125" style="19" customWidth="1"/>
    <col min="5123" max="5123" width="35.109375" style="19" customWidth="1"/>
    <col min="5124" max="5130" width="14.88671875" style="19" customWidth="1"/>
    <col min="5131" max="5131" width="1.33203125" style="19" customWidth="1"/>
    <col min="5132" max="5132" width="11.6640625" style="19" bestFit="1" customWidth="1"/>
    <col min="5133" max="5133" width="9.109375" style="19"/>
    <col min="5134" max="5134" width="1.33203125" style="19" customWidth="1"/>
    <col min="5135" max="5135" width="12.6640625" style="19" bestFit="1" customWidth="1"/>
    <col min="5136" max="5376" width="9.109375" style="19"/>
    <col min="5377" max="5377" width="4.88671875" style="19" customWidth="1"/>
    <col min="5378" max="5378" width="7.33203125" style="19" customWidth="1"/>
    <col min="5379" max="5379" width="35.109375" style="19" customWidth="1"/>
    <col min="5380" max="5386" width="14.88671875" style="19" customWidth="1"/>
    <col min="5387" max="5387" width="1.33203125" style="19" customWidth="1"/>
    <col min="5388" max="5388" width="11.6640625" style="19" bestFit="1" customWidth="1"/>
    <col min="5389" max="5389" width="9.109375" style="19"/>
    <col min="5390" max="5390" width="1.33203125" style="19" customWidth="1"/>
    <col min="5391" max="5391" width="12.6640625" style="19" bestFit="1" customWidth="1"/>
    <col min="5392" max="5632" width="9.109375" style="19"/>
    <col min="5633" max="5633" width="4.88671875" style="19" customWidth="1"/>
    <col min="5634" max="5634" width="7.33203125" style="19" customWidth="1"/>
    <col min="5635" max="5635" width="35.109375" style="19" customWidth="1"/>
    <col min="5636" max="5642" width="14.88671875" style="19" customWidth="1"/>
    <col min="5643" max="5643" width="1.33203125" style="19" customWidth="1"/>
    <col min="5644" max="5644" width="11.6640625" style="19" bestFit="1" customWidth="1"/>
    <col min="5645" max="5645" width="9.109375" style="19"/>
    <col min="5646" max="5646" width="1.33203125" style="19" customWidth="1"/>
    <col min="5647" max="5647" width="12.6640625" style="19" bestFit="1" customWidth="1"/>
    <col min="5648" max="5888" width="9.109375" style="19"/>
    <col min="5889" max="5889" width="4.88671875" style="19" customWidth="1"/>
    <col min="5890" max="5890" width="7.33203125" style="19" customWidth="1"/>
    <col min="5891" max="5891" width="35.109375" style="19" customWidth="1"/>
    <col min="5892" max="5898" width="14.88671875" style="19" customWidth="1"/>
    <col min="5899" max="5899" width="1.33203125" style="19" customWidth="1"/>
    <col min="5900" max="5900" width="11.6640625" style="19" bestFit="1" customWidth="1"/>
    <col min="5901" max="5901" width="9.109375" style="19"/>
    <col min="5902" max="5902" width="1.33203125" style="19" customWidth="1"/>
    <col min="5903" max="5903" width="12.6640625" style="19" bestFit="1" customWidth="1"/>
    <col min="5904" max="6144" width="9.109375" style="19"/>
    <col min="6145" max="6145" width="4.88671875" style="19" customWidth="1"/>
    <col min="6146" max="6146" width="7.33203125" style="19" customWidth="1"/>
    <col min="6147" max="6147" width="35.109375" style="19" customWidth="1"/>
    <col min="6148" max="6154" width="14.88671875" style="19" customWidth="1"/>
    <col min="6155" max="6155" width="1.33203125" style="19" customWidth="1"/>
    <col min="6156" max="6156" width="11.6640625" style="19" bestFit="1" customWidth="1"/>
    <col min="6157" max="6157" width="9.109375" style="19"/>
    <col min="6158" max="6158" width="1.33203125" style="19" customWidth="1"/>
    <col min="6159" max="6159" width="12.6640625" style="19" bestFit="1" customWidth="1"/>
    <col min="6160" max="6400" width="9.109375" style="19"/>
    <col min="6401" max="6401" width="4.88671875" style="19" customWidth="1"/>
    <col min="6402" max="6402" width="7.33203125" style="19" customWidth="1"/>
    <col min="6403" max="6403" width="35.109375" style="19" customWidth="1"/>
    <col min="6404" max="6410" width="14.88671875" style="19" customWidth="1"/>
    <col min="6411" max="6411" width="1.33203125" style="19" customWidth="1"/>
    <col min="6412" max="6412" width="11.6640625" style="19" bestFit="1" customWidth="1"/>
    <col min="6413" max="6413" width="9.109375" style="19"/>
    <col min="6414" max="6414" width="1.33203125" style="19" customWidth="1"/>
    <col min="6415" max="6415" width="12.6640625" style="19" bestFit="1" customWidth="1"/>
    <col min="6416" max="6656" width="9.109375" style="19"/>
    <col min="6657" max="6657" width="4.88671875" style="19" customWidth="1"/>
    <col min="6658" max="6658" width="7.33203125" style="19" customWidth="1"/>
    <col min="6659" max="6659" width="35.109375" style="19" customWidth="1"/>
    <col min="6660" max="6666" width="14.88671875" style="19" customWidth="1"/>
    <col min="6667" max="6667" width="1.33203125" style="19" customWidth="1"/>
    <col min="6668" max="6668" width="11.6640625" style="19" bestFit="1" customWidth="1"/>
    <col min="6669" max="6669" width="9.109375" style="19"/>
    <col min="6670" max="6670" width="1.33203125" style="19" customWidth="1"/>
    <col min="6671" max="6671" width="12.6640625" style="19" bestFit="1" customWidth="1"/>
    <col min="6672" max="6912" width="9.109375" style="19"/>
    <col min="6913" max="6913" width="4.88671875" style="19" customWidth="1"/>
    <col min="6914" max="6914" width="7.33203125" style="19" customWidth="1"/>
    <col min="6915" max="6915" width="35.109375" style="19" customWidth="1"/>
    <col min="6916" max="6922" width="14.88671875" style="19" customWidth="1"/>
    <col min="6923" max="6923" width="1.33203125" style="19" customWidth="1"/>
    <col min="6924" max="6924" width="11.6640625" style="19" bestFit="1" customWidth="1"/>
    <col min="6925" max="6925" width="9.109375" style="19"/>
    <col min="6926" max="6926" width="1.33203125" style="19" customWidth="1"/>
    <col min="6927" max="6927" width="12.6640625" style="19" bestFit="1" customWidth="1"/>
    <col min="6928" max="7168" width="9.109375" style="19"/>
    <col min="7169" max="7169" width="4.88671875" style="19" customWidth="1"/>
    <col min="7170" max="7170" width="7.33203125" style="19" customWidth="1"/>
    <col min="7171" max="7171" width="35.109375" style="19" customWidth="1"/>
    <col min="7172" max="7178" width="14.88671875" style="19" customWidth="1"/>
    <col min="7179" max="7179" width="1.33203125" style="19" customWidth="1"/>
    <col min="7180" max="7180" width="11.6640625" style="19" bestFit="1" customWidth="1"/>
    <col min="7181" max="7181" width="9.109375" style="19"/>
    <col min="7182" max="7182" width="1.33203125" style="19" customWidth="1"/>
    <col min="7183" max="7183" width="12.6640625" style="19" bestFit="1" customWidth="1"/>
    <col min="7184" max="7424" width="9.109375" style="19"/>
    <col min="7425" max="7425" width="4.88671875" style="19" customWidth="1"/>
    <col min="7426" max="7426" width="7.33203125" style="19" customWidth="1"/>
    <col min="7427" max="7427" width="35.109375" style="19" customWidth="1"/>
    <col min="7428" max="7434" width="14.88671875" style="19" customWidth="1"/>
    <col min="7435" max="7435" width="1.33203125" style="19" customWidth="1"/>
    <col min="7436" max="7436" width="11.6640625" style="19" bestFit="1" customWidth="1"/>
    <col min="7437" max="7437" width="9.109375" style="19"/>
    <col min="7438" max="7438" width="1.33203125" style="19" customWidth="1"/>
    <col min="7439" max="7439" width="12.6640625" style="19" bestFit="1" customWidth="1"/>
    <col min="7440" max="7680" width="9.109375" style="19"/>
    <col min="7681" max="7681" width="4.88671875" style="19" customWidth="1"/>
    <col min="7682" max="7682" width="7.33203125" style="19" customWidth="1"/>
    <col min="7683" max="7683" width="35.109375" style="19" customWidth="1"/>
    <col min="7684" max="7690" width="14.88671875" style="19" customWidth="1"/>
    <col min="7691" max="7691" width="1.33203125" style="19" customWidth="1"/>
    <col min="7692" max="7692" width="11.6640625" style="19" bestFit="1" customWidth="1"/>
    <col min="7693" max="7693" width="9.109375" style="19"/>
    <col min="7694" max="7694" width="1.33203125" style="19" customWidth="1"/>
    <col min="7695" max="7695" width="12.6640625" style="19" bestFit="1" customWidth="1"/>
    <col min="7696" max="7936" width="9.109375" style="19"/>
    <col min="7937" max="7937" width="4.88671875" style="19" customWidth="1"/>
    <col min="7938" max="7938" width="7.33203125" style="19" customWidth="1"/>
    <col min="7939" max="7939" width="35.109375" style="19" customWidth="1"/>
    <col min="7940" max="7946" width="14.88671875" style="19" customWidth="1"/>
    <col min="7947" max="7947" width="1.33203125" style="19" customWidth="1"/>
    <col min="7948" max="7948" width="11.6640625" style="19" bestFit="1" customWidth="1"/>
    <col min="7949" max="7949" width="9.109375" style="19"/>
    <col min="7950" max="7950" width="1.33203125" style="19" customWidth="1"/>
    <col min="7951" max="7951" width="12.6640625" style="19" bestFit="1" customWidth="1"/>
    <col min="7952" max="8192" width="9.109375" style="19"/>
    <col min="8193" max="8193" width="4.88671875" style="19" customWidth="1"/>
    <col min="8194" max="8194" width="7.33203125" style="19" customWidth="1"/>
    <col min="8195" max="8195" width="35.109375" style="19" customWidth="1"/>
    <col min="8196" max="8202" width="14.88671875" style="19" customWidth="1"/>
    <col min="8203" max="8203" width="1.33203125" style="19" customWidth="1"/>
    <col min="8204" max="8204" width="11.6640625" style="19" bestFit="1" customWidth="1"/>
    <col min="8205" max="8205" width="9.109375" style="19"/>
    <col min="8206" max="8206" width="1.33203125" style="19" customWidth="1"/>
    <col min="8207" max="8207" width="12.6640625" style="19" bestFit="1" customWidth="1"/>
    <col min="8208" max="8448" width="9.109375" style="19"/>
    <col min="8449" max="8449" width="4.88671875" style="19" customWidth="1"/>
    <col min="8450" max="8450" width="7.33203125" style="19" customWidth="1"/>
    <col min="8451" max="8451" width="35.109375" style="19" customWidth="1"/>
    <col min="8452" max="8458" width="14.88671875" style="19" customWidth="1"/>
    <col min="8459" max="8459" width="1.33203125" style="19" customWidth="1"/>
    <col min="8460" max="8460" width="11.6640625" style="19" bestFit="1" customWidth="1"/>
    <col min="8461" max="8461" width="9.109375" style="19"/>
    <col min="8462" max="8462" width="1.33203125" style="19" customWidth="1"/>
    <col min="8463" max="8463" width="12.6640625" style="19" bestFit="1" customWidth="1"/>
    <col min="8464" max="8704" width="9.109375" style="19"/>
    <col min="8705" max="8705" width="4.88671875" style="19" customWidth="1"/>
    <col min="8706" max="8706" width="7.33203125" style="19" customWidth="1"/>
    <col min="8707" max="8707" width="35.109375" style="19" customWidth="1"/>
    <col min="8708" max="8714" width="14.88671875" style="19" customWidth="1"/>
    <col min="8715" max="8715" width="1.33203125" style="19" customWidth="1"/>
    <col min="8716" max="8716" width="11.6640625" style="19" bestFit="1" customWidth="1"/>
    <col min="8717" max="8717" width="9.109375" style="19"/>
    <col min="8718" max="8718" width="1.33203125" style="19" customWidth="1"/>
    <col min="8719" max="8719" width="12.6640625" style="19" bestFit="1" customWidth="1"/>
    <col min="8720" max="8960" width="9.109375" style="19"/>
    <col min="8961" max="8961" width="4.88671875" style="19" customWidth="1"/>
    <col min="8962" max="8962" width="7.33203125" style="19" customWidth="1"/>
    <col min="8963" max="8963" width="35.109375" style="19" customWidth="1"/>
    <col min="8964" max="8970" width="14.88671875" style="19" customWidth="1"/>
    <col min="8971" max="8971" width="1.33203125" style="19" customWidth="1"/>
    <col min="8972" max="8972" width="11.6640625" style="19" bestFit="1" customWidth="1"/>
    <col min="8973" max="8973" width="9.109375" style="19"/>
    <col min="8974" max="8974" width="1.33203125" style="19" customWidth="1"/>
    <col min="8975" max="8975" width="12.6640625" style="19" bestFit="1" customWidth="1"/>
    <col min="8976" max="9216" width="9.109375" style="19"/>
    <col min="9217" max="9217" width="4.88671875" style="19" customWidth="1"/>
    <col min="9218" max="9218" width="7.33203125" style="19" customWidth="1"/>
    <col min="9219" max="9219" width="35.109375" style="19" customWidth="1"/>
    <col min="9220" max="9226" width="14.88671875" style="19" customWidth="1"/>
    <col min="9227" max="9227" width="1.33203125" style="19" customWidth="1"/>
    <col min="9228" max="9228" width="11.6640625" style="19" bestFit="1" customWidth="1"/>
    <col min="9229" max="9229" width="9.109375" style="19"/>
    <col min="9230" max="9230" width="1.33203125" style="19" customWidth="1"/>
    <col min="9231" max="9231" width="12.6640625" style="19" bestFit="1" customWidth="1"/>
    <col min="9232" max="9472" width="9.109375" style="19"/>
    <col min="9473" max="9473" width="4.88671875" style="19" customWidth="1"/>
    <col min="9474" max="9474" width="7.33203125" style="19" customWidth="1"/>
    <col min="9475" max="9475" width="35.109375" style="19" customWidth="1"/>
    <col min="9476" max="9482" width="14.88671875" style="19" customWidth="1"/>
    <col min="9483" max="9483" width="1.33203125" style="19" customWidth="1"/>
    <col min="9484" max="9484" width="11.6640625" style="19" bestFit="1" customWidth="1"/>
    <col min="9485" max="9485" width="9.109375" style="19"/>
    <col min="9486" max="9486" width="1.33203125" style="19" customWidth="1"/>
    <col min="9487" max="9487" width="12.6640625" style="19" bestFit="1" customWidth="1"/>
    <col min="9488" max="9728" width="9.109375" style="19"/>
    <col min="9729" max="9729" width="4.88671875" style="19" customWidth="1"/>
    <col min="9730" max="9730" width="7.33203125" style="19" customWidth="1"/>
    <col min="9731" max="9731" width="35.109375" style="19" customWidth="1"/>
    <col min="9732" max="9738" width="14.88671875" style="19" customWidth="1"/>
    <col min="9739" max="9739" width="1.33203125" style="19" customWidth="1"/>
    <col min="9740" max="9740" width="11.6640625" style="19" bestFit="1" customWidth="1"/>
    <col min="9741" max="9741" width="9.109375" style="19"/>
    <col min="9742" max="9742" width="1.33203125" style="19" customWidth="1"/>
    <col min="9743" max="9743" width="12.6640625" style="19" bestFit="1" customWidth="1"/>
    <col min="9744" max="9984" width="9.109375" style="19"/>
    <col min="9985" max="9985" width="4.88671875" style="19" customWidth="1"/>
    <col min="9986" max="9986" width="7.33203125" style="19" customWidth="1"/>
    <col min="9987" max="9987" width="35.109375" style="19" customWidth="1"/>
    <col min="9988" max="9994" width="14.88671875" style="19" customWidth="1"/>
    <col min="9995" max="9995" width="1.33203125" style="19" customWidth="1"/>
    <col min="9996" max="9996" width="11.6640625" style="19" bestFit="1" customWidth="1"/>
    <col min="9997" max="9997" width="9.109375" style="19"/>
    <col min="9998" max="9998" width="1.33203125" style="19" customWidth="1"/>
    <col min="9999" max="9999" width="12.6640625" style="19" bestFit="1" customWidth="1"/>
    <col min="10000" max="10240" width="9.109375" style="19"/>
    <col min="10241" max="10241" width="4.88671875" style="19" customWidth="1"/>
    <col min="10242" max="10242" width="7.33203125" style="19" customWidth="1"/>
    <col min="10243" max="10243" width="35.109375" style="19" customWidth="1"/>
    <col min="10244" max="10250" width="14.88671875" style="19" customWidth="1"/>
    <col min="10251" max="10251" width="1.33203125" style="19" customWidth="1"/>
    <col min="10252" max="10252" width="11.6640625" style="19" bestFit="1" customWidth="1"/>
    <col min="10253" max="10253" width="9.109375" style="19"/>
    <col min="10254" max="10254" width="1.33203125" style="19" customWidth="1"/>
    <col min="10255" max="10255" width="12.6640625" style="19" bestFit="1" customWidth="1"/>
    <col min="10256" max="10496" width="9.109375" style="19"/>
    <col min="10497" max="10497" width="4.88671875" style="19" customWidth="1"/>
    <col min="10498" max="10498" width="7.33203125" style="19" customWidth="1"/>
    <col min="10499" max="10499" width="35.109375" style="19" customWidth="1"/>
    <col min="10500" max="10506" width="14.88671875" style="19" customWidth="1"/>
    <col min="10507" max="10507" width="1.33203125" style="19" customWidth="1"/>
    <col min="10508" max="10508" width="11.6640625" style="19" bestFit="1" customWidth="1"/>
    <col min="10509" max="10509" width="9.109375" style="19"/>
    <col min="10510" max="10510" width="1.33203125" style="19" customWidth="1"/>
    <col min="10511" max="10511" width="12.6640625" style="19" bestFit="1" customWidth="1"/>
    <col min="10512" max="10752" width="9.109375" style="19"/>
    <col min="10753" max="10753" width="4.88671875" style="19" customWidth="1"/>
    <col min="10754" max="10754" width="7.33203125" style="19" customWidth="1"/>
    <col min="10755" max="10755" width="35.109375" style="19" customWidth="1"/>
    <col min="10756" max="10762" width="14.88671875" style="19" customWidth="1"/>
    <col min="10763" max="10763" width="1.33203125" style="19" customWidth="1"/>
    <col min="10764" max="10764" width="11.6640625" style="19" bestFit="1" customWidth="1"/>
    <col min="10765" max="10765" width="9.109375" style="19"/>
    <col min="10766" max="10766" width="1.33203125" style="19" customWidth="1"/>
    <col min="10767" max="10767" width="12.6640625" style="19" bestFit="1" customWidth="1"/>
    <col min="10768" max="11008" width="9.109375" style="19"/>
    <col min="11009" max="11009" width="4.88671875" style="19" customWidth="1"/>
    <col min="11010" max="11010" width="7.33203125" style="19" customWidth="1"/>
    <col min="11011" max="11011" width="35.109375" style="19" customWidth="1"/>
    <col min="11012" max="11018" width="14.88671875" style="19" customWidth="1"/>
    <col min="11019" max="11019" width="1.33203125" style="19" customWidth="1"/>
    <col min="11020" max="11020" width="11.6640625" style="19" bestFit="1" customWidth="1"/>
    <col min="11021" max="11021" width="9.109375" style="19"/>
    <col min="11022" max="11022" width="1.33203125" style="19" customWidth="1"/>
    <col min="11023" max="11023" width="12.6640625" style="19" bestFit="1" customWidth="1"/>
    <col min="11024" max="11264" width="9.109375" style="19"/>
    <col min="11265" max="11265" width="4.88671875" style="19" customWidth="1"/>
    <col min="11266" max="11266" width="7.33203125" style="19" customWidth="1"/>
    <col min="11267" max="11267" width="35.109375" style="19" customWidth="1"/>
    <col min="11268" max="11274" width="14.88671875" style="19" customWidth="1"/>
    <col min="11275" max="11275" width="1.33203125" style="19" customWidth="1"/>
    <col min="11276" max="11276" width="11.6640625" style="19" bestFit="1" customWidth="1"/>
    <col min="11277" max="11277" width="9.109375" style="19"/>
    <col min="11278" max="11278" width="1.33203125" style="19" customWidth="1"/>
    <col min="11279" max="11279" width="12.6640625" style="19" bestFit="1" customWidth="1"/>
    <col min="11280" max="11520" width="9.109375" style="19"/>
    <col min="11521" max="11521" width="4.88671875" style="19" customWidth="1"/>
    <col min="11522" max="11522" width="7.33203125" style="19" customWidth="1"/>
    <col min="11523" max="11523" width="35.109375" style="19" customWidth="1"/>
    <col min="11524" max="11530" width="14.88671875" style="19" customWidth="1"/>
    <col min="11531" max="11531" width="1.33203125" style="19" customWidth="1"/>
    <col min="11532" max="11532" width="11.6640625" style="19" bestFit="1" customWidth="1"/>
    <col min="11533" max="11533" width="9.109375" style="19"/>
    <col min="11534" max="11534" width="1.33203125" style="19" customWidth="1"/>
    <col min="11535" max="11535" width="12.6640625" style="19" bestFit="1" customWidth="1"/>
    <col min="11536" max="11776" width="9.109375" style="19"/>
    <col min="11777" max="11777" width="4.88671875" style="19" customWidth="1"/>
    <col min="11778" max="11778" width="7.33203125" style="19" customWidth="1"/>
    <col min="11779" max="11779" width="35.109375" style="19" customWidth="1"/>
    <col min="11780" max="11786" width="14.88671875" style="19" customWidth="1"/>
    <col min="11787" max="11787" width="1.33203125" style="19" customWidth="1"/>
    <col min="11788" max="11788" width="11.6640625" style="19" bestFit="1" customWidth="1"/>
    <col min="11789" max="11789" width="9.109375" style="19"/>
    <col min="11790" max="11790" width="1.33203125" style="19" customWidth="1"/>
    <col min="11791" max="11791" width="12.6640625" style="19" bestFit="1" customWidth="1"/>
    <col min="11792" max="12032" width="9.109375" style="19"/>
    <col min="12033" max="12033" width="4.88671875" style="19" customWidth="1"/>
    <col min="12034" max="12034" width="7.33203125" style="19" customWidth="1"/>
    <col min="12035" max="12035" width="35.109375" style="19" customWidth="1"/>
    <col min="12036" max="12042" width="14.88671875" style="19" customWidth="1"/>
    <col min="12043" max="12043" width="1.33203125" style="19" customWidth="1"/>
    <col min="12044" max="12044" width="11.6640625" style="19" bestFit="1" customWidth="1"/>
    <col min="12045" max="12045" width="9.109375" style="19"/>
    <col min="12046" max="12046" width="1.33203125" style="19" customWidth="1"/>
    <col min="12047" max="12047" width="12.6640625" style="19" bestFit="1" customWidth="1"/>
    <col min="12048" max="12288" width="9.109375" style="19"/>
    <col min="12289" max="12289" width="4.88671875" style="19" customWidth="1"/>
    <col min="12290" max="12290" width="7.33203125" style="19" customWidth="1"/>
    <col min="12291" max="12291" width="35.109375" style="19" customWidth="1"/>
    <col min="12292" max="12298" width="14.88671875" style="19" customWidth="1"/>
    <col min="12299" max="12299" width="1.33203125" style="19" customWidth="1"/>
    <col min="12300" max="12300" width="11.6640625" style="19" bestFit="1" customWidth="1"/>
    <col min="12301" max="12301" width="9.109375" style="19"/>
    <col min="12302" max="12302" width="1.33203125" style="19" customWidth="1"/>
    <col min="12303" max="12303" width="12.6640625" style="19" bestFit="1" customWidth="1"/>
    <col min="12304" max="12544" width="9.109375" style="19"/>
    <col min="12545" max="12545" width="4.88671875" style="19" customWidth="1"/>
    <col min="12546" max="12546" width="7.33203125" style="19" customWidth="1"/>
    <col min="12547" max="12547" width="35.109375" style="19" customWidth="1"/>
    <col min="12548" max="12554" width="14.88671875" style="19" customWidth="1"/>
    <col min="12555" max="12555" width="1.33203125" style="19" customWidth="1"/>
    <col min="12556" max="12556" width="11.6640625" style="19" bestFit="1" customWidth="1"/>
    <col min="12557" max="12557" width="9.109375" style="19"/>
    <col min="12558" max="12558" width="1.33203125" style="19" customWidth="1"/>
    <col min="12559" max="12559" width="12.6640625" style="19" bestFit="1" customWidth="1"/>
    <col min="12560" max="12800" width="9.109375" style="19"/>
    <col min="12801" max="12801" width="4.88671875" style="19" customWidth="1"/>
    <col min="12802" max="12802" width="7.33203125" style="19" customWidth="1"/>
    <col min="12803" max="12803" width="35.109375" style="19" customWidth="1"/>
    <col min="12804" max="12810" width="14.88671875" style="19" customWidth="1"/>
    <col min="12811" max="12811" width="1.33203125" style="19" customWidth="1"/>
    <col min="12812" max="12812" width="11.6640625" style="19" bestFit="1" customWidth="1"/>
    <col min="12813" max="12813" width="9.109375" style="19"/>
    <col min="12814" max="12814" width="1.33203125" style="19" customWidth="1"/>
    <col min="12815" max="12815" width="12.6640625" style="19" bestFit="1" customWidth="1"/>
    <col min="12816" max="13056" width="9.109375" style="19"/>
    <col min="13057" max="13057" width="4.88671875" style="19" customWidth="1"/>
    <col min="13058" max="13058" width="7.33203125" style="19" customWidth="1"/>
    <col min="13059" max="13059" width="35.109375" style="19" customWidth="1"/>
    <col min="13060" max="13066" width="14.88671875" style="19" customWidth="1"/>
    <col min="13067" max="13067" width="1.33203125" style="19" customWidth="1"/>
    <col min="13068" max="13068" width="11.6640625" style="19" bestFit="1" customWidth="1"/>
    <col min="13069" max="13069" width="9.109375" style="19"/>
    <col min="13070" max="13070" width="1.33203125" style="19" customWidth="1"/>
    <col min="13071" max="13071" width="12.6640625" style="19" bestFit="1" customWidth="1"/>
    <col min="13072" max="13312" width="9.109375" style="19"/>
    <col min="13313" max="13313" width="4.88671875" style="19" customWidth="1"/>
    <col min="13314" max="13314" width="7.33203125" style="19" customWidth="1"/>
    <col min="13315" max="13315" width="35.109375" style="19" customWidth="1"/>
    <col min="13316" max="13322" width="14.88671875" style="19" customWidth="1"/>
    <col min="13323" max="13323" width="1.33203125" style="19" customWidth="1"/>
    <col min="13324" max="13324" width="11.6640625" style="19" bestFit="1" customWidth="1"/>
    <col min="13325" max="13325" width="9.109375" style="19"/>
    <col min="13326" max="13326" width="1.33203125" style="19" customWidth="1"/>
    <col min="13327" max="13327" width="12.6640625" style="19" bestFit="1" customWidth="1"/>
    <col min="13328" max="13568" width="9.109375" style="19"/>
    <col min="13569" max="13569" width="4.88671875" style="19" customWidth="1"/>
    <col min="13570" max="13570" width="7.33203125" style="19" customWidth="1"/>
    <col min="13571" max="13571" width="35.109375" style="19" customWidth="1"/>
    <col min="13572" max="13578" width="14.88671875" style="19" customWidth="1"/>
    <col min="13579" max="13579" width="1.33203125" style="19" customWidth="1"/>
    <col min="13580" max="13580" width="11.6640625" style="19" bestFit="1" customWidth="1"/>
    <col min="13581" max="13581" width="9.109375" style="19"/>
    <col min="13582" max="13582" width="1.33203125" style="19" customWidth="1"/>
    <col min="13583" max="13583" width="12.6640625" style="19" bestFit="1" customWidth="1"/>
    <col min="13584" max="13824" width="9.109375" style="19"/>
    <col min="13825" max="13825" width="4.88671875" style="19" customWidth="1"/>
    <col min="13826" max="13826" width="7.33203125" style="19" customWidth="1"/>
    <col min="13827" max="13827" width="35.109375" style="19" customWidth="1"/>
    <col min="13828" max="13834" width="14.88671875" style="19" customWidth="1"/>
    <col min="13835" max="13835" width="1.33203125" style="19" customWidth="1"/>
    <col min="13836" max="13836" width="11.6640625" style="19" bestFit="1" customWidth="1"/>
    <col min="13837" max="13837" width="9.109375" style="19"/>
    <col min="13838" max="13838" width="1.33203125" style="19" customWidth="1"/>
    <col min="13839" max="13839" width="12.6640625" style="19" bestFit="1" customWidth="1"/>
    <col min="13840" max="14080" width="9.109375" style="19"/>
    <col min="14081" max="14081" width="4.88671875" style="19" customWidth="1"/>
    <col min="14082" max="14082" width="7.33203125" style="19" customWidth="1"/>
    <col min="14083" max="14083" width="35.109375" style="19" customWidth="1"/>
    <col min="14084" max="14090" width="14.88671875" style="19" customWidth="1"/>
    <col min="14091" max="14091" width="1.33203125" style="19" customWidth="1"/>
    <col min="14092" max="14092" width="11.6640625" style="19" bestFit="1" customWidth="1"/>
    <col min="14093" max="14093" width="9.109375" style="19"/>
    <col min="14094" max="14094" width="1.33203125" style="19" customWidth="1"/>
    <col min="14095" max="14095" width="12.6640625" style="19" bestFit="1" customWidth="1"/>
    <col min="14096" max="14336" width="9.109375" style="19"/>
    <col min="14337" max="14337" width="4.88671875" style="19" customWidth="1"/>
    <col min="14338" max="14338" width="7.33203125" style="19" customWidth="1"/>
    <col min="14339" max="14339" width="35.109375" style="19" customWidth="1"/>
    <col min="14340" max="14346" width="14.88671875" style="19" customWidth="1"/>
    <col min="14347" max="14347" width="1.33203125" style="19" customWidth="1"/>
    <col min="14348" max="14348" width="11.6640625" style="19" bestFit="1" customWidth="1"/>
    <col min="14349" max="14349" width="9.109375" style="19"/>
    <col min="14350" max="14350" width="1.33203125" style="19" customWidth="1"/>
    <col min="14351" max="14351" width="12.6640625" style="19" bestFit="1" customWidth="1"/>
    <col min="14352" max="14592" width="9.109375" style="19"/>
    <col min="14593" max="14593" width="4.88671875" style="19" customWidth="1"/>
    <col min="14594" max="14594" width="7.33203125" style="19" customWidth="1"/>
    <col min="14595" max="14595" width="35.109375" style="19" customWidth="1"/>
    <col min="14596" max="14602" width="14.88671875" style="19" customWidth="1"/>
    <col min="14603" max="14603" width="1.33203125" style="19" customWidth="1"/>
    <col min="14604" max="14604" width="11.6640625" style="19" bestFit="1" customWidth="1"/>
    <col min="14605" max="14605" width="9.109375" style="19"/>
    <col min="14606" max="14606" width="1.33203125" style="19" customWidth="1"/>
    <col min="14607" max="14607" width="12.6640625" style="19" bestFit="1" customWidth="1"/>
    <col min="14608" max="14848" width="9.109375" style="19"/>
    <col min="14849" max="14849" width="4.88671875" style="19" customWidth="1"/>
    <col min="14850" max="14850" width="7.33203125" style="19" customWidth="1"/>
    <col min="14851" max="14851" width="35.109375" style="19" customWidth="1"/>
    <col min="14852" max="14858" width="14.88671875" style="19" customWidth="1"/>
    <col min="14859" max="14859" width="1.33203125" style="19" customWidth="1"/>
    <col min="14860" max="14860" width="11.6640625" style="19" bestFit="1" customWidth="1"/>
    <col min="14861" max="14861" width="9.109375" style="19"/>
    <col min="14862" max="14862" width="1.33203125" style="19" customWidth="1"/>
    <col min="14863" max="14863" width="12.6640625" style="19" bestFit="1" customWidth="1"/>
    <col min="14864" max="15104" width="9.109375" style="19"/>
    <col min="15105" max="15105" width="4.88671875" style="19" customWidth="1"/>
    <col min="15106" max="15106" width="7.33203125" style="19" customWidth="1"/>
    <col min="15107" max="15107" width="35.109375" style="19" customWidth="1"/>
    <col min="15108" max="15114" width="14.88671875" style="19" customWidth="1"/>
    <col min="15115" max="15115" width="1.33203125" style="19" customWidth="1"/>
    <col min="15116" max="15116" width="11.6640625" style="19" bestFit="1" customWidth="1"/>
    <col min="15117" max="15117" width="9.109375" style="19"/>
    <col min="15118" max="15118" width="1.33203125" style="19" customWidth="1"/>
    <col min="15119" max="15119" width="12.6640625" style="19" bestFit="1" customWidth="1"/>
    <col min="15120" max="15360" width="9.109375" style="19"/>
    <col min="15361" max="15361" width="4.88671875" style="19" customWidth="1"/>
    <col min="15362" max="15362" width="7.33203125" style="19" customWidth="1"/>
    <col min="15363" max="15363" width="35.109375" style="19" customWidth="1"/>
    <col min="15364" max="15370" width="14.88671875" style="19" customWidth="1"/>
    <col min="15371" max="15371" width="1.33203125" style="19" customWidth="1"/>
    <col min="15372" max="15372" width="11.6640625" style="19" bestFit="1" customWidth="1"/>
    <col min="15373" max="15373" width="9.109375" style="19"/>
    <col min="15374" max="15374" width="1.33203125" style="19" customWidth="1"/>
    <col min="15375" max="15375" width="12.6640625" style="19" bestFit="1" customWidth="1"/>
    <col min="15376" max="15616" width="9.109375" style="19"/>
    <col min="15617" max="15617" width="4.88671875" style="19" customWidth="1"/>
    <col min="15618" max="15618" width="7.33203125" style="19" customWidth="1"/>
    <col min="15619" max="15619" width="35.109375" style="19" customWidth="1"/>
    <col min="15620" max="15626" width="14.88671875" style="19" customWidth="1"/>
    <col min="15627" max="15627" width="1.33203125" style="19" customWidth="1"/>
    <col min="15628" max="15628" width="11.6640625" style="19" bestFit="1" customWidth="1"/>
    <col min="15629" max="15629" width="9.109375" style="19"/>
    <col min="15630" max="15630" width="1.33203125" style="19" customWidth="1"/>
    <col min="15631" max="15631" width="12.6640625" style="19" bestFit="1" customWidth="1"/>
    <col min="15632" max="15872" width="9.109375" style="19"/>
    <col min="15873" max="15873" width="4.88671875" style="19" customWidth="1"/>
    <col min="15874" max="15874" width="7.33203125" style="19" customWidth="1"/>
    <col min="15875" max="15875" width="35.109375" style="19" customWidth="1"/>
    <col min="15876" max="15882" width="14.88671875" style="19" customWidth="1"/>
    <col min="15883" max="15883" width="1.33203125" style="19" customWidth="1"/>
    <col min="15884" max="15884" width="11.6640625" style="19" bestFit="1" customWidth="1"/>
    <col min="15885" max="15885" width="9.109375" style="19"/>
    <col min="15886" max="15886" width="1.33203125" style="19" customWidth="1"/>
    <col min="15887" max="15887" width="12.6640625" style="19" bestFit="1" customWidth="1"/>
    <col min="15888" max="16128" width="9.109375" style="19"/>
    <col min="16129" max="16129" width="4.88671875" style="19" customWidth="1"/>
    <col min="16130" max="16130" width="7.33203125" style="19" customWidth="1"/>
    <col min="16131" max="16131" width="35.109375" style="19" customWidth="1"/>
    <col min="16132" max="16138" width="14.88671875" style="19" customWidth="1"/>
    <col min="16139" max="16139" width="1.33203125" style="19" customWidth="1"/>
    <col min="16140" max="16140" width="11.6640625" style="19" bestFit="1" customWidth="1"/>
    <col min="16141" max="16141" width="9.109375" style="19"/>
    <col min="16142" max="16142" width="1.33203125" style="19" customWidth="1"/>
    <col min="16143" max="16143" width="12.6640625" style="19" bestFit="1" customWidth="1"/>
    <col min="16144" max="16384" width="9.109375" style="19"/>
  </cols>
  <sheetData>
    <row r="1" spans="1:417" x14ac:dyDescent="0.25">
      <c r="D1" s="19"/>
      <c r="E1" s="19"/>
      <c r="F1" s="19"/>
      <c r="G1" s="19"/>
      <c r="H1" s="19"/>
      <c r="I1" s="19"/>
      <c r="J1" s="19"/>
    </row>
    <row r="2" spans="1:417" x14ac:dyDescent="0.25">
      <c r="D2" s="19"/>
      <c r="E2" s="19"/>
      <c r="F2" s="19"/>
      <c r="G2" s="19"/>
      <c r="H2" s="19"/>
      <c r="I2" s="19"/>
      <c r="J2" s="19"/>
    </row>
    <row r="3" spans="1:417" x14ac:dyDescent="0.25">
      <c r="D3" s="19"/>
      <c r="E3" s="19"/>
      <c r="F3" s="19"/>
      <c r="G3" s="19"/>
      <c r="H3" s="19"/>
      <c r="I3" s="19"/>
      <c r="J3" s="19"/>
    </row>
    <row r="4" spans="1:417" ht="12.75" customHeight="1" x14ac:dyDescent="0.3">
      <c r="A4" s="21" t="s">
        <v>0</v>
      </c>
      <c r="B4" s="22" t="s">
        <v>659</v>
      </c>
      <c r="C4" s="21" t="s">
        <v>660</v>
      </c>
      <c r="D4" s="22" t="s">
        <v>661</v>
      </c>
      <c r="E4" s="22" t="s">
        <v>662</v>
      </c>
      <c r="F4" s="22" t="s">
        <v>663</v>
      </c>
      <c r="G4" s="22" t="s">
        <v>664</v>
      </c>
      <c r="H4" s="22" t="s">
        <v>665</v>
      </c>
      <c r="I4" s="22" t="s">
        <v>676</v>
      </c>
      <c r="J4" s="22" t="s">
        <v>666</v>
      </c>
      <c r="K4" s="23"/>
      <c r="L4" s="24" t="s">
        <v>667</v>
      </c>
      <c r="M4"/>
      <c r="N4"/>
      <c r="O4" s="22" t="s">
        <v>669</v>
      </c>
      <c r="Q4" s="209" t="s">
        <v>1243</v>
      </c>
      <c r="R4" s="209" t="s">
        <v>16</v>
      </c>
      <c r="S4" s="209" t="s">
        <v>1244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5" t="s">
        <v>1245</v>
      </c>
      <c r="B5" s="210" t="s">
        <v>1246</v>
      </c>
      <c r="C5" s="211" t="s">
        <v>47</v>
      </c>
      <c r="D5" s="26">
        <v>1435.91</v>
      </c>
      <c r="F5" s="26">
        <v>0</v>
      </c>
      <c r="G5" s="26">
        <v>0</v>
      </c>
      <c r="H5" s="26">
        <v>0</v>
      </c>
      <c r="J5" s="26">
        <f>SUM(D5:I5)</f>
        <v>1435.91</v>
      </c>
      <c r="L5" s="26"/>
      <c r="M5" s="27">
        <v>0</v>
      </c>
      <c r="N5"/>
      <c r="O5" s="26">
        <v>735000</v>
      </c>
      <c r="P5" t="s">
        <v>46</v>
      </c>
      <c r="Q5" s="209">
        <v>40.205480000000001</v>
      </c>
      <c r="R5" s="209">
        <v>10.05137</v>
      </c>
      <c r="S5" s="209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5" t="s">
        <v>1245</v>
      </c>
      <c r="B6" s="210" t="s">
        <v>1247</v>
      </c>
      <c r="C6" s="211" t="s">
        <v>41</v>
      </c>
      <c r="D6" s="26">
        <v>94082.71</v>
      </c>
      <c r="F6" s="26">
        <v>0</v>
      </c>
      <c r="G6" s="26">
        <v>0</v>
      </c>
      <c r="H6" s="26">
        <v>0</v>
      </c>
      <c r="J6" s="26">
        <f t="shared" ref="J6:J15" si="0">SUM(D6:I6)</f>
        <v>94082.71</v>
      </c>
      <c r="L6" s="26">
        <v>115500</v>
      </c>
      <c r="M6" s="27">
        <v>0.81456891774891782</v>
      </c>
      <c r="N6"/>
      <c r="P6" t="s">
        <v>40</v>
      </c>
      <c r="Q6" s="209">
        <v>2634.3158800000001</v>
      </c>
      <c r="R6" s="209">
        <v>658.57897000000003</v>
      </c>
      <c r="S6" s="209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5" t="s">
        <v>1245</v>
      </c>
      <c r="B7" s="210" t="s">
        <v>1248</v>
      </c>
      <c r="C7" s="211" t="s">
        <v>24</v>
      </c>
      <c r="D7" s="26">
        <v>162643.26</v>
      </c>
      <c r="F7" s="26">
        <v>0</v>
      </c>
      <c r="G7" s="26">
        <v>0</v>
      </c>
      <c r="H7" s="26">
        <v>0</v>
      </c>
      <c r="J7" s="26">
        <f t="shared" si="0"/>
        <v>162643.26</v>
      </c>
      <c r="L7" s="26">
        <v>115500</v>
      </c>
      <c r="M7" s="27">
        <v>1.4081667532467532</v>
      </c>
      <c r="N7"/>
      <c r="P7" t="s">
        <v>23</v>
      </c>
      <c r="Q7" s="209">
        <v>4554.0112800000006</v>
      </c>
      <c r="R7" s="209">
        <v>1138.5028200000002</v>
      </c>
      <c r="S7" s="209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5" t="s">
        <v>1245</v>
      </c>
      <c r="B8" s="210" t="s">
        <v>1249</v>
      </c>
      <c r="C8" s="211" t="s">
        <v>672</v>
      </c>
      <c r="D8" s="26">
        <v>159643.85999999999</v>
      </c>
      <c r="F8" s="26">
        <v>0</v>
      </c>
      <c r="G8" s="26">
        <v>0</v>
      </c>
      <c r="H8" s="26">
        <v>0</v>
      </c>
      <c r="J8" s="26">
        <f t="shared" si="0"/>
        <v>159643.85999999999</v>
      </c>
      <c r="L8" s="26">
        <v>115500</v>
      </c>
      <c r="M8" s="27">
        <v>1.3821979220779219</v>
      </c>
      <c r="N8"/>
      <c r="P8" t="s">
        <v>65</v>
      </c>
      <c r="Q8" s="209">
        <v>4470.02808</v>
      </c>
      <c r="R8" s="209">
        <v>1117.50702</v>
      </c>
      <c r="S8" s="209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5" t="s">
        <v>1245</v>
      </c>
      <c r="B9" s="210" t="s">
        <v>883</v>
      </c>
      <c r="C9" s="211" t="s">
        <v>673</v>
      </c>
      <c r="D9" s="26">
        <v>154808.32000000001</v>
      </c>
      <c r="F9" s="26">
        <v>0</v>
      </c>
      <c r="G9" s="26">
        <v>0</v>
      </c>
      <c r="H9" s="26">
        <v>0</v>
      </c>
      <c r="J9" s="26">
        <f t="shared" si="0"/>
        <v>154808.32000000001</v>
      </c>
      <c r="L9" s="26">
        <v>115500</v>
      </c>
      <c r="M9" s="27">
        <v>1.3403317748917749</v>
      </c>
      <c r="N9"/>
      <c r="P9" t="s">
        <v>56</v>
      </c>
      <c r="Q9" s="209">
        <v>4334.6329599999999</v>
      </c>
      <c r="R9" s="209">
        <v>1083.65824</v>
      </c>
      <c r="S9" s="209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5" t="s">
        <v>1245</v>
      </c>
      <c r="B10" s="210" t="s">
        <v>1250</v>
      </c>
      <c r="C10" s="211" t="s">
        <v>674</v>
      </c>
      <c r="D10" s="26">
        <v>151853.82999999999</v>
      </c>
      <c r="F10" s="26">
        <v>0</v>
      </c>
      <c r="G10" s="26">
        <v>0</v>
      </c>
      <c r="H10" s="26">
        <v>0</v>
      </c>
      <c r="J10" s="26">
        <f t="shared" si="0"/>
        <v>151853.82999999999</v>
      </c>
      <c r="L10" s="26">
        <v>115500</v>
      </c>
      <c r="M10" s="27">
        <v>1.3147517748917747</v>
      </c>
      <c r="N10"/>
      <c r="P10" t="s">
        <v>62</v>
      </c>
      <c r="Q10" s="209">
        <v>4251.9072399999995</v>
      </c>
      <c r="R10" s="209">
        <v>1062.9768099999999</v>
      </c>
      <c r="S10" s="209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5" t="s">
        <v>1245</v>
      </c>
      <c r="B11" s="210" t="s">
        <v>1251</v>
      </c>
      <c r="C11" s="211" t="s">
        <v>675</v>
      </c>
      <c r="D11" s="26">
        <v>85856.4</v>
      </c>
      <c r="F11" s="26">
        <v>0</v>
      </c>
      <c r="G11" s="26">
        <v>0</v>
      </c>
      <c r="H11" s="26">
        <v>0</v>
      </c>
      <c r="J11" s="26">
        <f t="shared" si="0"/>
        <v>85856.4</v>
      </c>
      <c r="L11" s="26">
        <v>115500</v>
      </c>
      <c r="M11" s="27">
        <v>0.74334545454545453</v>
      </c>
      <c r="N11"/>
      <c r="P11" t="s">
        <v>37</v>
      </c>
      <c r="Q11" s="209">
        <v>2403.9791999999998</v>
      </c>
      <c r="R11" s="209">
        <v>600.99479999999994</v>
      </c>
      <c r="S11" s="209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5" t="s">
        <v>1245</v>
      </c>
      <c r="B12" s="210" t="s">
        <v>1252</v>
      </c>
      <c r="C12" s="211" t="s">
        <v>926</v>
      </c>
      <c r="D12" s="26">
        <v>77726.77</v>
      </c>
      <c r="F12" s="26">
        <v>0</v>
      </c>
      <c r="G12" s="26">
        <v>0</v>
      </c>
      <c r="H12" s="26">
        <v>0</v>
      </c>
      <c r="J12" s="26">
        <f t="shared" si="0"/>
        <v>77726.77</v>
      </c>
      <c r="L12" s="26">
        <v>115500</v>
      </c>
      <c r="M12" s="27">
        <v>0.67295904761904768</v>
      </c>
      <c r="N12"/>
      <c r="P12" t="s">
        <v>925</v>
      </c>
      <c r="Q12" s="209">
        <v>2176.3495600000001</v>
      </c>
      <c r="R12" s="209">
        <v>544.08739000000003</v>
      </c>
      <c r="S12" s="209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5" t="s">
        <v>1245</v>
      </c>
      <c r="B13" s="210"/>
      <c r="C13" s="211"/>
      <c r="D13" s="26">
        <v>0</v>
      </c>
      <c r="F13" s="26">
        <v>0</v>
      </c>
      <c r="G13" s="26">
        <v>0</v>
      </c>
      <c r="H13" s="26">
        <v>0</v>
      </c>
      <c r="J13" s="26">
        <f t="shared" si="0"/>
        <v>0</v>
      </c>
      <c r="L13" s="26"/>
      <c r="M13" s="27">
        <v>0</v>
      </c>
      <c r="N13"/>
      <c r="P13"/>
      <c r="Q13" s="209"/>
      <c r="R13" s="209"/>
      <c r="S13" s="209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5" t="s">
        <v>1245</v>
      </c>
      <c r="B14" s="210"/>
      <c r="C14" s="211"/>
      <c r="D14" s="26">
        <v>0</v>
      </c>
      <c r="F14" s="26">
        <v>0</v>
      </c>
      <c r="G14" s="26">
        <v>0</v>
      </c>
      <c r="H14" s="26">
        <v>0</v>
      </c>
      <c r="J14" s="26">
        <f t="shared" si="0"/>
        <v>0</v>
      </c>
      <c r="L14" s="26"/>
      <c r="M14" s="27">
        <v>0</v>
      </c>
      <c r="N14"/>
      <c r="P14"/>
      <c r="Q14" s="209"/>
      <c r="R14" s="209"/>
      <c r="S14" s="209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5" t="s">
        <v>1245</v>
      </c>
      <c r="B15" s="210"/>
      <c r="C15" s="211"/>
      <c r="D15" s="26">
        <v>0</v>
      </c>
      <c r="F15" s="26">
        <v>0</v>
      </c>
      <c r="G15" s="26">
        <v>0</v>
      </c>
      <c r="H15" s="26">
        <v>0</v>
      </c>
      <c r="J15" s="26">
        <f t="shared" si="0"/>
        <v>0</v>
      </c>
      <c r="L15" s="26"/>
      <c r="M15" s="27">
        <v>0</v>
      </c>
      <c r="N15"/>
      <c r="P15"/>
      <c r="Q15" s="209"/>
      <c r="R15" s="209"/>
      <c r="S15" s="209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8" t="s">
        <v>8</v>
      </c>
      <c r="B16" s="29"/>
      <c r="C16" s="28"/>
      <c r="D16" s="30">
        <v>888051.06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f t="shared" ref="J16" si="1">SUM(J5:J15)</f>
        <v>888051.06</v>
      </c>
      <c r="L16" s="30">
        <v>808500</v>
      </c>
      <c r="N16"/>
      <c r="P16"/>
      <c r="Q16" s="209"/>
      <c r="R16" s="209"/>
      <c r="S16" s="209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9"/>
      <c r="R17" s="209"/>
      <c r="S17" s="209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9"/>
      <c r="R18" s="209"/>
      <c r="S18" s="209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9"/>
      <c r="R19" s="209"/>
      <c r="S19" s="20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1" t="s">
        <v>0</v>
      </c>
      <c r="B20" s="22" t="s">
        <v>659</v>
      </c>
      <c r="C20" s="21" t="s">
        <v>660</v>
      </c>
      <c r="D20" s="22" t="s">
        <v>661</v>
      </c>
      <c r="E20" s="22" t="s">
        <v>662</v>
      </c>
      <c r="F20" s="22" t="s">
        <v>663</v>
      </c>
      <c r="G20" s="22" t="s">
        <v>664</v>
      </c>
      <c r="H20" s="22" t="s">
        <v>665</v>
      </c>
      <c r="I20" s="22" t="s">
        <v>676</v>
      </c>
      <c r="J20" s="22" t="s">
        <v>666</v>
      </c>
      <c r="L20" s="24" t="s">
        <v>667</v>
      </c>
      <c r="M20" s="24" t="s">
        <v>668</v>
      </c>
      <c r="N20"/>
      <c r="O20" s="22" t="s">
        <v>669</v>
      </c>
      <c r="P20"/>
      <c r="Q20" s="209"/>
      <c r="R20" s="209"/>
      <c r="S20" s="209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5" customFormat="1" ht="12.75" customHeight="1" x14ac:dyDescent="0.3">
      <c r="A21" s="31" t="s">
        <v>1253</v>
      </c>
      <c r="B21" s="32" t="s">
        <v>1254</v>
      </c>
      <c r="C21" s="33" t="s">
        <v>87</v>
      </c>
      <c r="D21" s="34">
        <v>89710.95</v>
      </c>
      <c r="E21" s="34"/>
      <c r="F21" s="34">
        <v>0</v>
      </c>
      <c r="G21" s="34">
        <v>0</v>
      </c>
      <c r="H21" s="34">
        <v>0</v>
      </c>
      <c r="I21" s="34"/>
      <c r="J21" s="34">
        <f t="shared" ref="J21:J31" si="2">SUM(D21:I21)</f>
        <v>89710.95</v>
      </c>
      <c r="L21" s="34">
        <v>88000</v>
      </c>
      <c r="M21" s="36">
        <v>1.0194426136363637</v>
      </c>
      <c r="N21" s="229"/>
      <c r="O21" s="34">
        <v>480000</v>
      </c>
      <c r="P21" s="229" t="s">
        <v>86</v>
      </c>
      <c r="Q21" s="230">
        <v>2511.9065999999998</v>
      </c>
      <c r="R21" s="230">
        <v>627.97664999999995</v>
      </c>
      <c r="S21" s="230">
        <v>448.55475000000001</v>
      </c>
      <c r="T21" s="229"/>
      <c r="U21" s="229"/>
      <c r="V21" s="229"/>
      <c r="W21" s="229"/>
      <c r="X21" s="229"/>
      <c r="Y21" s="229"/>
      <c r="Z21" s="229"/>
      <c r="AA21" s="229"/>
      <c r="AB21" s="229"/>
      <c r="AC21" s="229"/>
      <c r="AD21" s="229"/>
      <c r="AE21" s="229"/>
      <c r="AF21" s="229"/>
      <c r="AG21" s="229"/>
      <c r="AH21" s="229"/>
      <c r="AI21" s="229"/>
      <c r="AJ21" s="229"/>
      <c r="AK21" s="229"/>
      <c r="AL21" s="229"/>
      <c r="AM21" s="229"/>
      <c r="AN21" s="229"/>
      <c r="AO21" s="229"/>
      <c r="AP21" s="229"/>
      <c r="AQ21" s="229"/>
      <c r="AR21" s="229"/>
      <c r="AS21" s="229"/>
      <c r="AT21" s="229"/>
      <c r="AU21" s="229"/>
      <c r="AV21" s="229"/>
      <c r="AW21" s="229"/>
      <c r="AX21" s="229"/>
      <c r="AY21" s="229"/>
      <c r="AZ21" s="229"/>
      <c r="BA21" s="229"/>
      <c r="BB21" s="229"/>
      <c r="BC21" s="229"/>
      <c r="BD21" s="229"/>
      <c r="BE21" s="229"/>
      <c r="BF21" s="229"/>
      <c r="BG21" s="229"/>
      <c r="BH21" s="229"/>
      <c r="BI21" s="229"/>
      <c r="BJ21" s="229"/>
      <c r="BK21" s="229"/>
      <c r="BL21" s="229"/>
      <c r="BM21" s="229"/>
      <c r="BN21" s="229"/>
      <c r="BO21" s="229"/>
      <c r="BP21" s="229"/>
      <c r="BQ21" s="229"/>
      <c r="BR21" s="229"/>
      <c r="BS21" s="229"/>
      <c r="BT21" s="229"/>
      <c r="BU21" s="229"/>
      <c r="BV21" s="229"/>
      <c r="BW21" s="229"/>
      <c r="BX21" s="229"/>
      <c r="BY21" s="229"/>
      <c r="BZ21" s="229"/>
      <c r="CA21" s="229"/>
      <c r="CB21" s="229"/>
      <c r="CC21" s="229"/>
      <c r="CD21" s="229"/>
      <c r="CE21" s="229"/>
      <c r="CF21" s="229"/>
      <c r="CG21" s="229"/>
      <c r="CH21" s="229"/>
      <c r="CI21" s="229"/>
      <c r="CJ21" s="229"/>
      <c r="CK21" s="229"/>
      <c r="CL21" s="229"/>
      <c r="CM21" s="229"/>
      <c r="CN21" s="229"/>
      <c r="CO21" s="229"/>
      <c r="CP21" s="229"/>
      <c r="CQ21" s="229"/>
      <c r="CR21" s="229"/>
      <c r="CS21" s="229"/>
      <c r="CT21" s="229"/>
      <c r="CU21" s="229"/>
      <c r="CV21" s="229"/>
      <c r="CW21" s="229"/>
      <c r="CX21" s="229"/>
      <c r="CY21" s="229"/>
      <c r="CZ21" s="229"/>
      <c r="DA21" s="229"/>
      <c r="DB21" s="229"/>
      <c r="DC21" s="229"/>
      <c r="DD21" s="229"/>
      <c r="DE21" s="229"/>
      <c r="DF21" s="229"/>
      <c r="DG21" s="229"/>
      <c r="DH21" s="229"/>
      <c r="DI21" s="229"/>
      <c r="DJ21" s="229"/>
      <c r="DK21" s="229"/>
      <c r="DL21" s="229"/>
      <c r="DM21" s="229"/>
      <c r="DN21" s="229"/>
      <c r="DO21" s="229"/>
      <c r="DP21" s="229"/>
      <c r="DQ21" s="229"/>
      <c r="DR21" s="229"/>
      <c r="DS21" s="229"/>
      <c r="DT21" s="229"/>
      <c r="DU21" s="229"/>
      <c r="DV21" s="229"/>
      <c r="DW21" s="229"/>
      <c r="DX21" s="229"/>
      <c r="DY21" s="229"/>
      <c r="DZ21" s="229"/>
      <c r="EA21" s="229"/>
      <c r="EB21" s="229"/>
      <c r="EC21" s="229"/>
      <c r="ED21" s="229"/>
      <c r="EE21" s="229"/>
      <c r="EF21" s="229"/>
      <c r="EG21" s="229"/>
      <c r="EH21" s="229"/>
      <c r="EI21" s="229"/>
      <c r="EJ21" s="229"/>
      <c r="EK21" s="229"/>
      <c r="EL21" s="229"/>
      <c r="EM21" s="229"/>
      <c r="EN21" s="229"/>
      <c r="EO21" s="229"/>
      <c r="EP21" s="229"/>
      <c r="EQ21" s="229"/>
      <c r="ER21" s="229"/>
      <c r="ES21" s="229"/>
      <c r="ET21" s="229"/>
      <c r="EU21" s="229"/>
      <c r="EV21" s="229"/>
      <c r="EW21" s="229"/>
      <c r="EX21" s="229"/>
      <c r="EY21" s="229"/>
      <c r="EZ21" s="229"/>
      <c r="FA21" s="229"/>
      <c r="FB21" s="229"/>
      <c r="FC21" s="229"/>
      <c r="FD21" s="229"/>
      <c r="FE21" s="229"/>
      <c r="FF21" s="229"/>
      <c r="FG21" s="229"/>
      <c r="FH21" s="229"/>
      <c r="FI21" s="229"/>
      <c r="FJ21" s="229"/>
      <c r="FK21" s="229"/>
      <c r="FL21" s="229"/>
      <c r="FM21" s="229"/>
      <c r="FN21" s="229"/>
      <c r="FO21" s="229"/>
      <c r="FP21" s="229"/>
      <c r="FQ21" s="229"/>
      <c r="FR21" s="229"/>
      <c r="FS21" s="229"/>
      <c r="FT21" s="229"/>
      <c r="FU21" s="229"/>
      <c r="FV21" s="229"/>
      <c r="FW21" s="229"/>
      <c r="FX21" s="229"/>
      <c r="FY21" s="229"/>
      <c r="FZ21" s="229"/>
      <c r="GA21" s="229"/>
      <c r="GB21" s="229"/>
      <c r="GC21" s="229"/>
      <c r="GD21" s="229"/>
      <c r="GE21" s="229"/>
      <c r="GF21" s="229"/>
      <c r="GG21" s="229"/>
      <c r="GH21" s="229"/>
      <c r="GI21" s="229"/>
      <c r="GJ21" s="229"/>
      <c r="GK21" s="229"/>
      <c r="GL21" s="229"/>
      <c r="GM21" s="229"/>
      <c r="GN21" s="229"/>
      <c r="GO21" s="229"/>
      <c r="GP21" s="229"/>
      <c r="GQ21" s="229"/>
      <c r="GR21" s="229"/>
      <c r="GS21" s="229"/>
      <c r="GT21" s="229"/>
      <c r="GU21" s="229"/>
      <c r="GV21" s="229"/>
      <c r="GW21" s="229"/>
      <c r="GX21" s="229"/>
      <c r="GY21" s="229"/>
      <c r="GZ21" s="229"/>
      <c r="HA21" s="229"/>
      <c r="HB21" s="229"/>
      <c r="HC21" s="229"/>
      <c r="HD21" s="229"/>
      <c r="HE21" s="229"/>
      <c r="HF21" s="229"/>
      <c r="HG21" s="229"/>
      <c r="HH21" s="229"/>
      <c r="HI21" s="229"/>
      <c r="HJ21" s="229"/>
      <c r="HK21" s="229"/>
      <c r="HL21" s="229"/>
      <c r="HM21" s="229"/>
      <c r="HN21" s="229"/>
      <c r="HO21" s="229"/>
      <c r="HP21" s="229"/>
      <c r="HQ21" s="229"/>
      <c r="HR21" s="229"/>
      <c r="HS21" s="229"/>
      <c r="HT21" s="229"/>
      <c r="HU21" s="229"/>
      <c r="HV21" s="229"/>
      <c r="HW21" s="229"/>
      <c r="HX21" s="229"/>
      <c r="HY21" s="229"/>
      <c r="HZ21" s="229"/>
      <c r="IA21" s="229"/>
      <c r="IB21" s="229"/>
      <c r="IC21" s="229"/>
      <c r="ID21" s="229"/>
      <c r="IE21" s="229"/>
      <c r="IF21" s="229"/>
      <c r="IG21" s="229"/>
      <c r="IH21" s="229"/>
      <c r="II21" s="229"/>
      <c r="IJ21" s="229"/>
      <c r="IK21" s="229"/>
      <c r="IL21" s="229"/>
      <c r="IM21" s="229"/>
      <c r="IN21" s="229"/>
      <c r="IO21" s="229"/>
      <c r="IP21" s="229"/>
      <c r="IQ21" s="229"/>
      <c r="IR21" s="229"/>
      <c r="IS21" s="229"/>
      <c r="IT21" s="229"/>
      <c r="IU21" s="229"/>
      <c r="IV21" s="229"/>
      <c r="IW21" s="229"/>
      <c r="IX21" s="229"/>
      <c r="IY21" s="229"/>
      <c r="IZ21" s="229"/>
      <c r="JA21" s="229"/>
      <c r="JB21" s="229"/>
      <c r="JC21" s="229"/>
      <c r="JD21" s="229"/>
      <c r="JE21" s="229"/>
      <c r="JF21" s="229"/>
      <c r="JG21" s="229"/>
      <c r="JH21" s="229"/>
      <c r="JI21" s="229"/>
      <c r="JJ21" s="229"/>
      <c r="JK21" s="229"/>
      <c r="JL21" s="229"/>
      <c r="JM21" s="229"/>
      <c r="JN21" s="229"/>
      <c r="JO21" s="229"/>
      <c r="JP21" s="229"/>
      <c r="JQ21" s="229"/>
      <c r="JR21" s="229"/>
      <c r="JS21" s="229"/>
      <c r="JT21" s="229"/>
      <c r="JU21" s="229"/>
      <c r="JV21" s="229"/>
      <c r="JW21" s="229"/>
      <c r="JX21" s="229"/>
      <c r="JY21" s="229"/>
      <c r="JZ21" s="229"/>
      <c r="KA21" s="229"/>
      <c r="KB21" s="229"/>
      <c r="KC21" s="229"/>
      <c r="KD21" s="229"/>
      <c r="KE21" s="229"/>
      <c r="KF21" s="229"/>
      <c r="KG21" s="229"/>
      <c r="KH21" s="229"/>
      <c r="KI21" s="229"/>
      <c r="KJ21" s="229"/>
      <c r="KK21" s="229"/>
      <c r="KL21" s="229"/>
      <c r="KM21" s="229"/>
      <c r="KN21" s="229"/>
      <c r="KO21" s="229"/>
      <c r="KP21" s="229"/>
      <c r="KQ21" s="229"/>
      <c r="KR21" s="229"/>
      <c r="KS21" s="229"/>
      <c r="KT21" s="229"/>
      <c r="KU21" s="229"/>
      <c r="KV21" s="229"/>
      <c r="KW21" s="229"/>
      <c r="KX21" s="229"/>
      <c r="KY21" s="229"/>
      <c r="KZ21" s="229"/>
      <c r="LA21" s="229"/>
      <c r="LB21" s="229"/>
      <c r="LC21" s="229"/>
      <c r="LD21" s="229"/>
      <c r="LE21" s="229"/>
      <c r="LF21" s="229"/>
      <c r="LG21" s="229"/>
      <c r="LH21" s="229"/>
      <c r="LI21" s="229"/>
      <c r="LJ21" s="229"/>
      <c r="LK21" s="229"/>
      <c r="LL21" s="229"/>
      <c r="LM21" s="229"/>
      <c r="LN21" s="229"/>
      <c r="LO21" s="229"/>
      <c r="LP21" s="229"/>
      <c r="LQ21" s="229"/>
      <c r="LR21" s="229"/>
      <c r="LS21" s="229"/>
      <c r="LT21" s="229"/>
      <c r="LU21" s="229"/>
      <c r="LV21" s="229"/>
      <c r="LW21" s="229"/>
      <c r="LX21" s="229"/>
      <c r="LY21" s="229"/>
      <c r="LZ21" s="229"/>
      <c r="MA21" s="229"/>
      <c r="MB21" s="229"/>
      <c r="MC21" s="229"/>
      <c r="MD21" s="229"/>
      <c r="ME21" s="229"/>
      <c r="MF21" s="229"/>
      <c r="MG21" s="229"/>
      <c r="MH21" s="229"/>
      <c r="MI21" s="229"/>
      <c r="MJ21" s="229"/>
      <c r="MK21" s="229"/>
      <c r="ML21" s="229"/>
      <c r="MM21" s="229"/>
      <c r="MN21" s="229"/>
      <c r="MO21" s="229"/>
      <c r="MP21" s="229"/>
      <c r="MQ21" s="229"/>
      <c r="MR21" s="229"/>
      <c r="MS21" s="229"/>
      <c r="MT21" s="229"/>
      <c r="MU21" s="229"/>
      <c r="MV21" s="229"/>
      <c r="MW21" s="229"/>
      <c r="MX21" s="229"/>
      <c r="MY21" s="229"/>
      <c r="MZ21" s="229"/>
      <c r="NA21" s="229"/>
      <c r="NB21" s="229"/>
      <c r="NC21" s="229"/>
      <c r="ND21" s="229"/>
      <c r="NE21" s="229"/>
      <c r="NF21" s="229"/>
      <c r="NG21" s="229"/>
      <c r="NH21" s="229"/>
      <c r="NI21" s="229"/>
      <c r="NJ21" s="229"/>
      <c r="NK21" s="229"/>
      <c r="NL21" s="229"/>
      <c r="NM21" s="229"/>
      <c r="NN21" s="229"/>
      <c r="NO21" s="229"/>
      <c r="NP21" s="229"/>
      <c r="NQ21" s="229"/>
      <c r="NR21" s="229"/>
      <c r="NS21" s="229"/>
      <c r="NT21" s="229"/>
      <c r="NU21" s="229"/>
      <c r="NV21" s="229"/>
      <c r="NW21" s="229"/>
      <c r="NX21" s="229"/>
      <c r="NY21" s="229"/>
      <c r="NZ21" s="229"/>
      <c r="OA21" s="229"/>
      <c r="OB21" s="229"/>
      <c r="OC21" s="229"/>
      <c r="OD21" s="229"/>
      <c r="OE21" s="229"/>
      <c r="OF21" s="229"/>
      <c r="OG21" s="229"/>
      <c r="OH21" s="229"/>
      <c r="OI21" s="229"/>
      <c r="OJ21" s="229"/>
      <c r="OK21" s="229"/>
      <c r="OL21" s="229"/>
      <c r="OM21" s="229"/>
      <c r="ON21" s="229"/>
      <c r="OO21" s="229"/>
      <c r="OP21" s="229"/>
      <c r="OQ21" s="229"/>
      <c r="OR21" s="229"/>
      <c r="OS21" s="229"/>
      <c r="OT21" s="229"/>
      <c r="OU21" s="229"/>
      <c r="OV21" s="229"/>
      <c r="OW21" s="229"/>
      <c r="OX21" s="229"/>
      <c r="OY21" s="229"/>
      <c r="OZ21" s="229"/>
      <c r="PA21" s="229"/>
    </row>
    <row r="22" spans="1:417" s="35" customFormat="1" ht="12.75" customHeight="1" x14ac:dyDescent="0.3">
      <c r="A22" s="31" t="s">
        <v>1253</v>
      </c>
      <c r="B22" s="32" t="s">
        <v>1255</v>
      </c>
      <c r="C22" s="33" t="s">
        <v>72</v>
      </c>
      <c r="D22" s="34">
        <v>94785.600000000006</v>
      </c>
      <c r="E22" s="34"/>
      <c r="F22" s="34">
        <v>0</v>
      </c>
      <c r="G22" s="34">
        <v>0</v>
      </c>
      <c r="H22" s="34">
        <v>0</v>
      </c>
      <c r="I22" s="34"/>
      <c r="J22" s="34">
        <f t="shared" si="2"/>
        <v>94785.600000000006</v>
      </c>
      <c r="L22" s="34">
        <v>88000</v>
      </c>
      <c r="M22" s="36">
        <v>1.077109090909091</v>
      </c>
      <c r="N22" s="229"/>
      <c r="P22" s="229" t="s">
        <v>71</v>
      </c>
      <c r="Q22" s="230">
        <v>2653.9968000000003</v>
      </c>
      <c r="R22" s="230">
        <v>663.49920000000009</v>
      </c>
      <c r="S22" s="230">
        <v>473.92800000000005</v>
      </c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29"/>
      <c r="AL22" s="229"/>
      <c r="AM22" s="229"/>
      <c r="AN22" s="229"/>
      <c r="AO22" s="229"/>
      <c r="AP22" s="229"/>
      <c r="AQ22" s="229"/>
      <c r="AR22" s="229"/>
      <c r="AS22" s="229"/>
      <c r="AT22" s="229"/>
      <c r="AU22" s="229"/>
      <c r="AV22" s="229"/>
      <c r="AW22" s="229"/>
      <c r="AX22" s="229"/>
      <c r="AY22" s="229"/>
      <c r="AZ22" s="229"/>
      <c r="BA22" s="229"/>
      <c r="BB22" s="229"/>
      <c r="BC22" s="229"/>
      <c r="BD22" s="229"/>
      <c r="BE22" s="229"/>
      <c r="BF22" s="229"/>
      <c r="BG22" s="229"/>
      <c r="BH22" s="229"/>
      <c r="BI22" s="229"/>
      <c r="BJ22" s="229"/>
      <c r="BK22" s="229"/>
      <c r="BL22" s="229"/>
      <c r="BM22" s="229"/>
      <c r="BN22" s="229"/>
      <c r="BO22" s="229"/>
      <c r="BP22" s="229"/>
      <c r="BQ22" s="229"/>
      <c r="BR22" s="229"/>
      <c r="BS22" s="229"/>
      <c r="BT22" s="229"/>
      <c r="BU22" s="229"/>
      <c r="BV22" s="229"/>
      <c r="BW22" s="229"/>
      <c r="BX22" s="229"/>
      <c r="BY22" s="229"/>
      <c r="BZ22" s="229"/>
      <c r="CA22" s="229"/>
      <c r="CB22" s="229"/>
      <c r="CC22" s="229"/>
      <c r="CD22" s="229"/>
      <c r="CE22" s="229"/>
      <c r="CF22" s="229"/>
      <c r="CG22" s="229"/>
      <c r="CH22" s="229"/>
      <c r="CI22" s="229"/>
      <c r="CJ22" s="229"/>
      <c r="CK22" s="229"/>
      <c r="CL22" s="229"/>
      <c r="CM22" s="229"/>
      <c r="CN22" s="229"/>
      <c r="CO22" s="229"/>
      <c r="CP22" s="229"/>
      <c r="CQ22" s="229"/>
      <c r="CR22" s="229"/>
      <c r="CS22" s="229"/>
      <c r="CT22" s="229"/>
      <c r="CU22" s="229"/>
      <c r="CV22" s="229"/>
      <c r="CW22" s="229"/>
      <c r="CX22" s="229"/>
      <c r="CY22" s="229"/>
      <c r="CZ22" s="229"/>
      <c r="DA22" s="229"/>
      <c r="DB22" s="229"/>
      <c r="DC22" s="229"/>
      <c r="DD22" s="229"/>
      <c r="DE22" s="229"/>
      <c r="DF22" s="229"/>
      <c r="DG22" s="229"/>
      <c r="DH22" s="229"/>
      <c r="DI22" s="229"/>
      <c r="DJ22" s="229"/>
      <c r="DK22" s="229"/>
      <c r="DL22" s="229"/>
      <c r="DM22" s="229"/>
      <c r="DN22" s="229"/>
      <c r="DO22" s="229"/>
      <c r="DP22" s="229"/>
      <c r="DQ22" s="229"/>
      <c r="DR22" s="229"/>
      <c r="DS22" s="229"/>
      <c r="DT22" s="229"/>
      <c r="DU22" s="229"/>
      <c r="DV22" s="229"/>
      <c r="DW22" s="229"/>
      <c r="DX22" s="229"/>
      <c r="DY22" s="229"/>
      <c r="DZ22" s="229"/>
      <c r="EA22" s="229"/>
      <c r="EB22" s="229"/>
      <c r="EC22" s="229"/>
      <c r="ED22" s="229"/>
      <c r="EE22" s="229"/>
      <c r="EF22" s="229"/>
      <c r="EG22" s="229"/>
      <c r="EH22" s="229"/>
      <c r="EI22" s="229"/>
      <c r="EJ22" s="229"/>
      <c r="EK22" s="229"/>
      <c r="EL22" s="229"/>
      <c r="EM22" s="229"/>
      <c r="EN22" s="229"/>
      <c r="EO22" s="229"/>
      <c r="EP22" s="229"/>
      <c r="EQ22" s="229"/>
      <c r="ER22" s="229"/>
      <c r="ES22" s="229"/>
      <c r="ET22" s="229"/>
      <c r="EU22" s="229"/>
      <c r="EV22" s="229"/>
      <c r="EW22" s="229"/>
      <c r="EX22" s="229"/>
      <c r="EY22" s="229"/>
      <c r="EZ22" s="229"/>
      <c r="FA22" s="229"/>
      <c r="FB22" s="229"/>
      <c r="FC22" s="229"/>
      <c r="FD22" s="229"/>
      <c r="FE22" s="229"/>
      <c r="FF22" s="229"/>
      <c r="FG22" s="229"/>
      <c r="FH22" s="229"/>
      <c r="FI22" s="229"/>
      <c r="FJ22" s="229"/>
      <c r="FK22" s="229"/>
      <c r="FL22" s="229"/>
      <c r="FM22" s="229"/>
      <c r="FN22" s="229"/>
      <c r="FO22" s="229"/>
      <c r="FP22" s="229"/>
      <c r="FQ22" s="229"/>
      <c r="FR22" s="229"/>
      <c r="FS22" s="229"/>
      <c r="FT22" s="229"/>
      <c r="FU22" s="229"/>
      <c r="FV22" s="229"/>
      <c r="FW22" s="229"/>
      <c r="FX22" s="229"/>
      <c r="FY22" s="229"/>
      <c r="FZ22" s="229"/>
      <c r="GA22" s="229"/>
      <c r="GB22" s="229"/>
      <c r="GC22" s="229"/>
      <c r="GD22" s="229"/>
      <c r="GE22" s="229"/>
      <c r="GF22" s="229"/>
      <c r="GG22" s="229"/>
      <c r="GH22" s="229"/>
      <c r="GI22" s="229"/>
      <c r="GJ22" s="229"/>
      <c r="GK22" s="229"/>
      <c r="GL22" s="229"/>
      <c r="GM22" s="229"/>
      <c r="GN22" s="229"/>
      <c r="GO22" s="229"/>
      <c r="GP22" s="229"/>
      <c r="GQ22" s="229"/>
      <c r="GR22" s="229"/>
      <c r="GS22" s="229"/>
      <c r="GT22" s="229"/>
      <c r="GU22" s="229"/>
      <c r="GV22" s="229"/>
      <c r="GW22" s="229"/>
      <c r="GX22" s="229"/>
      <c r="GY22" s="229"/>
      <c r="GZ22" s="229"/>
      <c r="HA22" s="229"/>
      <c r="HB22" s="229"/>
      <c r="HC22" s="229"/>
      <c r="HD22" s="229"/>
      <c r="HE22" s="229"/>
      <c r="HF22" s="229"/>
      <c r="HG22" s="229"/>
      <c r="HH22" s="229"/>
      <c r="HI22" s="229"/>
      <c r="HJ22" s="229"/>
      <c r="HK22" s="229"/>
      <c r="HL22" s="229"/>
      <c r="HM22" s="229"/>
      <c r="HN22" s="229"/>
      <c r="HO22" s="229"/>
      <c r="HP22" s="229"/>
      <c r="HQ22" s="229"/>
      <c r="HR22" s="229"/>
      <c r="HS22" s="229"/>
      <c r="HT22" s="229"/>
      <c r="HU22" s="229"/>
      <c r="HV22" s="229"/>
      <c r="HW22" s="229"/>
      <c r="HX22" s="229"/>
      <c r="HY22" s="229"/>
      <c r="HZ22" s="229"/>
      <c r="IA22" s="229"/>
      <c r="IB22" s="229"/>
      <c r="IC22" s="229"/>
      <c r="ID22" s="229"/>
      <c r="IE22" s="229"/>
      <c r="IF22" s="229"/>
      <c r="IG22" s="229"/>
      <c r="IH22" s="229"/>
      <c r="II22" s="229"/>
      <c r="IJ22" s="229"/>
      <c r="IK22" s="229"/>
      <c r="IL22" s="229"/>
      <c r="IM22" s="229"/>
      <c r="IN22" s="229"/>
      <c r="IO22" s="229"/>
      <c r="IP22" s="229"/>
      <c r="IQ22" s="229"/>
      <c r="IR22" s="229"/>
      <c r="IS22" s="229"/>
      <c r="IT22" s="229"/>
      <c r="IU22" s="229"/>
      <c r="IV22" s="229"/>
      <c r="IW22" s="229"/>
      <c r="IX22" s="229"/>
      <c r="IY22" s="229"/>
      <c r="IZ22" s="229"/>
      <c r="JA22" s="229"/>
      <c r="JB22" s="229"/>
      <c r="JC22" s="229"/>
      <c r="JD22" s="229"/>
      <c r="JE22" s="229"/>
      <c r="JF22" s="229"/>
      <c r="JG22" s="229"/>
      <c r="JH22" s="229"/>
      <c r="JI22" s="229"/>
      <c r="JJ22" s="229"/>
      <c r="JK22" s="229"/>
      <c r="JL22" s="229"/>
      <c r="JM22" s="229"/>
      <c r="JN22" s="229"/>
      <c r="JO22" s="229"/>
      <c r="JP22" s="229"/>
      <c r="JQ22" s="229"/>
      <c r="JR22" s="229"/>
      <c r="JS22" s="229"/>
      <c r="JT22" s="229"/>
      <c r="JU22" s="229"/>
      <c r="JV22" s="229"/>
      <c r="JW22" s="229"/>
      <c r="JX22" s="229"/>
      <c r="JY22" s="229"/>
      <c r="JZ22" s="229"/>
      <c r="KA22" s="229"/>
      <c r="KB22" s="229"/>
      <c r="KC22" s="229"/>
      <c r="KD22" s="229"/>
      <c r="KE22" s="229"/>
      <c r="KF22" s="229"/>
      <c r="KG22" s="229"/>
      <c r="KH22" s="229"/>
      <c r="KI22" s="229"/>
      <c r="KJ22" s="229"/>
      <c r="KK22" s="229"/>
      <c r="KL22" s="229"/>
      <c r="KM22" s="229"/>
      <c r="KN22" s="229"/>
      <c r="KO22" s="229"/>
      <c r="KP22" s="229"/>
      <c r="KQ22" s="229"/>
      <c r="KR22" s="229"/>
      <c r="KS22" s="229"/>
      <c r="KT22" s="229"/>
      <c r="KU22" s="229"/>
      <c r="KV22" s="229"/>
      <c r="KW22" s="229"/>
      <c r="KX22" s="229"/>
      <c r="KY22" s="229"/>
      <c r="KZ22" s="229"/>
      <c r="LA22" s="229"/>
      <c r="LB22" s="229"/>
      <c r="LC22" s="229"/>
      <c r="LD22" s="229"/>
      <c r="LE22" s="229"/>
      <c r="LF22" s="229"/>
      <c r="LG22" s="229"/>
      <c r="LH22" s="229"/>
      <c r="LI22" s="229"/>
      <c r="LJ22" s="229"/>
      <c r="LK22" s="229"/>
      <c r="LL22" s="229"/>
      <c r="LM22" s="229"/>
      <c r="LN22" s="229"/>
      <c r="LO22" s="229"/>
      <c r="LP22" s="229"/>
      <c r="LQ22" s="229"/>
      <c r="LR22" s="229"/>
      <c r="LS22" s="229"/>
      <c r="LT22" s="229"/>
      <c r="LU22" s="229"/>
      <c r="LV22" s="229"/>
      <c r="LW22" s="229"/>
      <c r="LX22" s="229"/>
      <c r="LY22" s="229"/>
      <c r="LZ22" s="229"/>
      <c r="MA22" s="229"/>
      <c r="MB22" s="229"/>
      <c r="MC22" s="229"/>
      <c r="MD22" s="229"/>
      <c r="ME22" s="229"/>
      <c r="MF22" s="229"/>
      <c r="MG22" s="229"/>
      <c r="MH22" s="229"/>
      <c r="MI22" s="229"/>
      <c r="MJ22" s="229"/>
      <c r="MK22" s="229"/>
      <c r="ML22" s="229"/>
      <c r="MM22" s="229"/>
      <c r="MN22" s="229"/>
      <c r="MO22" s="229"/>
      <c r="MP22" s="229"/>
      <c r="MQ22" s="229"/>
      <c r="MR22" s="229"/>
      <c r="MS22" s="229"/>
      <c r="MT22" s="229"/>
      <c r="MU22" s="229"/>
      <c r="MV22" s="229"/>
      <c r="MW22" s="229"/>
      <c r="MX22" s="229"/>
      <c r="MY22" s="229"/>
      <c r="MZ22" s="229"/>
      <c r="NA22" s="229"/>
      <c r="NB22" s="229"/>
      <c r="NC22" s="229"/>
      <c r="ND22" s="229"/>
      <c r="NE22" s="229"/>
      <c r="NF22" s="229"/>
      <c r="NG22" s="229"/>
      <c r="NH22" s="229"/>
      <c r="NI22" s="229"/>
      <c r="NJ22" s="229"/>
      <c r="NK22" s="229"/>
      <c r="NL22" s="229"/>
      <c r="NM22" s="229"/>
      <c r="NN22" s="229"/>
      <c r="NO22" s="229"/>
      <c r="NP22" s="229"/>
      <c r="NQ22" s="229"/>
      <c r="NR22" s="229"/>
      <c r="NS22" s="229"/>
      <c r="NT22" s="229"/>
      <c r="NU22" s="229"/>
      <c r="NV22" s="229"/>
      <c r="NW22" s="229"/>
      <c r="NX22" s="229"/>
      <c r="NY22" s="229"/>
      <c r="NZ22" s="229"/>
      <c r="OA22" s="229"/>
      <c r="OB22" s="229"/>
      <c r="OC22" s="229"/>
      <c r="OD22" s="229"/>
      <c r="OE22" s="229"/>
      <c r="OF22" s="229"/>
      <c r="OG22" s="229"/>
      <c r="OH22" s="229"/>
      <c r="OI22" s="229"/>
      <c r="OJ22" s="229"/>
      <c r="OK22" s="229"/>
      <c r="OL22" s="229"/>
      <c r="OM22" s="229"/>
      <c r="ON22" s="229"/>
      <c r="OO22" s="229"/>
      <c r="OP22" s="229"/>
      <c r="OQ22" s="229"/>
      <c r="OR22" s="229"/>
      <c r="OS22" s="229"/>
      <c r="OT22" s="229"/>
      <c r="OU22" s="229"/>
      <c r="OV22" s="229"/>
      <c r="OW22" s="229"/>
      <c r="OX22" s="229"/>
      <c r="OY22" s="229"/>
      <c r="OZ22" s="229"/>
      <c r="PA22" s="229"/>
    </row>
    <row r="23" spans="1:417" ht="12.75" customHeight="1" x14ac:dyDescent="0.3">
      <c r="A23" s="25" t="s">
        <v>1253</v>
      </c>
      <c r="B23" s="210" t="s">
        <v>1256</v>
      </c>
      <c r="C23" s="211" t="s">
        <v>75</v>
      </c>
      <c r="D23" s="26">
        <v>803.96</v>
      </c>
      <c r="F23" s="26">
        <v>0</v>
      </c>
      <c r="G23" s="26">
        <v>0</v>
      </c>
      <c r="H23" s="26">
        <v>0</v>
      </c>
      <c r="J23" s="26">
        <f t="shared" si="2"/>
        <v>803.96</v>
      </c>
      <c r="L23" s="26"/>
      <c r="M23" s="27">
        <v>0</v>
      </c>
      <c r="N23"/>
      <c r="P23" t="s">
        <v>74</v>
      </c>
      <c r="Q23" s="209">
        <v>22.51088</v>
      </c>
      <c r="R23" s="209">
        <v>5.6277200000000001</v>
      </c>
      <c r="S23" s="209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5" customFormat="1" ht="12.75" customHeight="1" x14ac:dyDescent="0.3">
      <c r="A24" s="31" t="s">
        <v>1253</v>
      </c>
      <c r="B24" s="32" t="s">
        <v>1257</v>
      </c>
      <c r="C24" s="33" t="s">
        <v>93</v>
      </c>
      <c r="D24" s="34">
        <v>93979.83</v>
      </c>
      <c r="E24" s="34"/>
      <c r="F24" s="34">
        <v>0</v>
      </c>
      <c r="G24" s="34">
        <v>0</v>
      </c>
      <c r="H24" s="34">
        <v>0</v>
      </c>
      <c r="I24" s="34"/>
      <c r="J24" s="34">
        <f t="shared" si="2"/>
        <v>93979.83</v>
      </c>
      <c r="L24" s="34">
        <v>88000</v>
      </c>
      <c r="M24" s="36">
        <v>1.0679526136363637</v>
      </c>
      <c r="N24" s="229"/>
      <c r="P24" s="229" t="s">
        <v>92</v>
      </c>
      <c r="Q24" s="230">
        <v>2631.4352400000002</v>
      </c>
      <c r="R24" s="230">
        <v>657.85881000000006</v>
      </c>
      <c r="S24" s="230">
        <v>469.89915000000002</v>
      </c>
      <c r="T24" s="229"/>
      <c r="U24" s="229"/>
      <c r="V24" s="229"/>
      <c r="W24" s="229"/>
      <c r="X24" s="229"/>
      <c r="Y24" s="229"/>
      <c r="Z24" s="229"/>
      <c r="AA24" s="229"/>
      <c r="AB24" s="229"/>
      <c r="AC24" s="229"/>
      <c r="AD24" s="229"/>
      <c r="AE24" s="229"/>
      <c r="AF24" s="229"/>
      <c r="AG24" s="229"/>
      <c r="AH24" s="229"/>
      <c r="AI24" s="229"/>
      <c r="AJ24" s="229"/>
      <c r="AK24" s="229"/>
      <c r="AL24" s="229"/>
      <c r="AM24" s="229"/>
      <c r="AN24" s="229"/>
      <c r="AO24" s="229"/>
      <c r="AP24" s="229"/>
      <c r="AQ24" s="229"/>
      <c r="AR24" s="229"/>
      <c r="AS24" s="229"/>
      <c r="AT24" s="229"/>
      <c r="AU24" s="229"/>
      <c r="AV24" s="229"/>
      <c r="AW24" s="229"/>
      <c r="AX24" s="229"/>
      <c r="AY24" s="229"/>
      <c r="AZ24" s="229"/>
      <c r="BA24" s="229"/>
      <c r="BB24" s="229"/>
      <c r="BC24" s="229"/>
      <c r="BD24" s="229"/>
      <c r="BE24" s="229"/>
      <c r="BF24" s="229"/>
      <c r="BG24" s="229"/>
      <c r="BH24" s="229"/>
      <c r="BI24" s="229"/>
      <c r="BJ24" s="229"/>
      <c r="BK24" s="229"/>
      <c r="BL24" s="229"/>
      <c r="BM24" s="229"/>
      <c r="BN24" s="229"/>
      <c r="BO24" s="229"/>
      <c r="BP24" s="229"/>
      <c r="BQ24" s="229"/>
      <c r="BR24" s="229"/>
      <c r="BS24" s="229"/>
      <c r="BT24" s="229"/>
      <c r="BU24" s="229"/>
      <c r="BV24" s="229"/>
      <c r="BW24" s="229"/>
      <c r="BX24" s="229"/>
      <c r="BY24" s="229"/>
      <c r="BZ24" s="229"/>
      <c r="CA24" s="229"/>
      <c r="CB24" s="229"/>
      <c r="CC24" s="229"/>
      <c r="CD24" s="229"/>
      <c r="CE24" s="229"/>
      <c r="CF24" s="229"/>
      <c r="CG24" s="229"/>
      <c r="CH24" s="229"/>
      <c r="CI24" s="229"/>
      <c r="CJ24" s="229"/>
      <c r="CK24" s="229"/>
      <c r="CL24" s="229"/>
      <c r="CM24" s="229"/>
      <c r="CN24" s="229"/>
      <c r="CO24" s="229"/>
      <c r="CP24" s="229"/>
      <c r="CQ24" s="229"/>
      <c r="CR24" s="229"/>
      <c r="CS24" s="229"/>
      <c r="CT24" s="229"/>
      <c r="CU24" s="229"/>
      <c r="CV24" s="229"/>
      <c r="CW24" s="229"/>
      <c r="CX24" s="229"/>
      <c r="CY24" s="229"/>
      <c r="CZ24" s="229"/>
      <c r="DA24" s="229"/>
      <c r="DB24" s="229"/>
      <c r="DC24" s="229"/>
      <c r="DD24" s="229"/>
      <c r="DE24" s="229"/>
      <c r="DF24" s="229"/>
      <c r="DG24" s="229"/>
      <c r="DH24" s="229"/>
      <c r="DI24" s="229"/>
      <c r="DJ24" s="229"/>
      <c r="DK24" s="229"/>
      <c r="DL24" s="229"/>
      <c r="DM24" s="229"/>
      <c r="DN24" s="229"/>
      <c r="DO24" s="229"/>
      <c r="DP24" s="229"/>
      <c r="DQ24" s="229"/>
      <c r="DR24" s="229"/>
      <c r="DS24" s="229"/>
      <c r="DT24" s="229"/>
      <c r="DU24" s="229"/>
      <c r="DV24" s="229"/>
      <c r="DW24" s="229"/>
      <c r="DX24" s="229"/>
      <c r="DY24" s="229"/>
      <c r="DZ24" s="229"/>
      <c r="EA24" s="229"/>
      <c r="EB24" s="229"/>
      <c r="EC24" s="229"/>
      <c r="ED24" s="229"/>
      <c r="EE24" s="229"/>
      <c r="EF24" s="229"/>
      <c r="EG24" s="229"/>
      <c r="EH24" s="229"/>
      <c r="EI24" s="229"/>
      <c r="EJ24" s="229"/>
      <c r="EK24" s="229"/>
      <c r="EL24" s="229"/>
      <c r="EM24" s="229"/>
      <c r="EN24" s="229"/>
      <c r="EO24" s="229"/>
      <c r="EP24" s="229"/>
      <c r="EQ24" s="229"/>
      <c r="ER24" s="229"/>
      <c r="ES24" s="229"/>
      <c r="ET24" s="229"/>
      <c r="EU24" s="229"/>
      <c r="EV24" s="229"/>
      <c r="EW24" s="229"/>
      <c r="EX24" s="229"/>
      <c r="EY24" s="229"/>
      <c r="EZ24" s="229"/>
      <c r="FA24" s="229"/>
      <c r="FB24" s="229"/>
      <c r="FC24" s="229"/>
      <c r="FD24" s="229"/>
      <c r="FE24" s="229"/>
      <c r="FF24" s="229"/>
      <c r="FG24" s="229"/>
      <c r="FH24" s="229"/>
      <c r="FI24" s="229"/>
      <c r="FJ24" s="229"/>
      <c r="FK24" s="229"/>
      <c r="FL24" s="229"/>
      <c r="FM24" s="229"/>
      <c r="FN24" s="229"/>
      <c r="FO24" s="229"/>
      <c r="FP24" s="229"/>
      <c r="FQ24" s="229"/>
      <c r="FR24" s="229"/>
      <c r="FS24" s="229"/>
      <c r="FT24" s="229"/>
      <c r="FU24" s="229"/>
      <c r="FV24" s="229"/>
      <c r="FW24" s="229"/>
      <c r="FX24" s="229"/>
      <c r="FY24" s="229"/>
      <c r="FZ24" s="229"/>
      <c r="GA24" s="229"/>
      <c r="GB24" s="229"/>
      <c r="GC24" s="229"/>
      <c r="GD24" s="229"/>
      <c r="GE24" s="229"/>
      <c r="GF24" s="229"/>
      <c r="GG24" s="229"/>
      <c r="GH24" s="229"/>
      <c r="GI24" s="229"/>
      <c r="GJ24" s="229"/>
      <c r="GK24" s="229"/>
      <c r="GL24" s="229"/>
      <c r="GM24" s="229"/>
      <c r="GN24" s="229"/>
      <c r="GO24" s="229"/>
      <c r="GP24" s="229"/>
      <c r="GQ24" s="229"/>
      <c r="GR24" s="229"/>
      <c r="GS24" s="229"/>
      <c r="GT24" s="229"/>
      <c r="GU24" s="229"/>
      <c r="GV24" s="229"/>
      <c r="GW24" s="229"/>
      <c r="GX24" s="229"/>
      <c r="GY24" s="229"/>
      <c r="GZ24" s="229"/>
      <c r="HA24" s="229"/>
      <c r="HB24" s="229"/>
      <c r="HC24" s="229"/>
      <c r="HD24" s="229"/>
      <c r="HE24" s="229"/>
      <c r="HF24" s="229"/>
      <c r="HG24" s="229"/>
      <c r="HH24" s="229"/>
      <c r="HI24" s="229"/>
      <c r="HJ24" s="229"/>
      <c r="HK24" s="229"/>
      <c r="HL24" s="229"/>
      <c r="HM24" s="229"/>
      <c r="HN24" s="229"/>
      <c r="HO24" s="229"/>
      <c r="HP24" s="229"/>
      <c r="HQ24" s="229"/>
      <c r="HR24" s="229"/>
      <c r="HS24" s="229"/>
      <c r="HT24" s="229"/>
      <c r="HU24" s="229"/>
      <c r="HV24" s="229"/>
      <c r="HW24" s="229"/>
      <c r="HX24" s="229"/>
      <c r="HY24" s="229"/>
      <c r="HZ24" s="229"/>
      <c r="IA24" s="229"/>
      <c r="IB24" s="229"/>
      <c r="IC24" s="229"/>
      <c r="ID24" s="229"/>
      <c r="IE24" s="229"/>
      <c r="IF24" s="229"/>
      <c r="IG24" s="229"/>
      <c r="IH24" s="229"/>
      <c r="II24" s="229"/>
      <c r="IJ24" s="229"/>
      <c r="IK24" s="229"/>
      <c r="IL24" s="229"/>
      <c r="IM24" s="229"/>
      <c r="IN24" s="229"/>
      <c r="IO24" s="229"/>
      <c r="IP24" s="229"/>
      <c r="IQ24" s="229"/>
      <c r="IR24" s="229"/>
      <c r="IS24" s="229"/>
      <c r="IT24" s="229"/>
      <c r="IU24" s="229"/>
      <c r="IV24" s="229"/>
      <c r="IW24" s="229"/>
      <c r="IX24" s="229"/>
      <c r="IY24" s="229"/>
      <c r="IZ24" s="229"/>
      <c r="JA24" s="229"/>
      <c r="JB24" s="229"/>
      <c r="JC24" s="229"/>
      <c r="JD24" s="229"/>
      <c r="JE24" s="229"/>
      <c r="JF24" s="229"/>
      <c r="JG24" s="229"/>
      <c r="JH24" s="229"/>
      <c r="JI24" s="229"/>
      <c r="JJ24" s="229"/>
      <c r="JK24" s="229"/>
      <c r="JL24" s="229"/>
      <c r="JM24" s="229"/>
      <c r="JN24" s="229"/>
      <c r="JO24" s="229"/>
      <c r="JP24" s="229"/>
      <c r="JQ24" s="229"/>
      <c r="JR24" s="229"/>
      <c r="JS24" s="229"/>
      <c r="JT24" s="229"/>
      <c r="JU24" s="229"/>
      <c r="JV24" s="229"/>
      <c r="JW24" s="229"/>
      <c r="JX24" s="229"/>
      <c r="JY24" s="229"/>
      <c r="JZ24" s="229"/>
      <c r="KA24" s="229"/>
      <c r="KB24" s="229"/>
      <c r="KC24" s="229"/>
      <c r="KD24" s="229"/>
      <c r="KE24" s="229"/>
      <c r="KF24" s="229"/>
      <c r="KG24" s="229"/>
      <c r="KH24" s="229"/>
      <c r="KI24" s="229"/>
      <c r="KJ24" s="229"/>
      <c r="KK24" s="229"/>
      <c r="KL24" s="229"/>
      <c r="KM24" s="229"/>
      <c r="KN24" s="229"/>
      <c r="KO24" s="229"/>
      <c r="KP24" s="229"/>
      <c r="KQ24" s="229"/>
      <c r="KR24" s="229"/>
      <c r="KS24" s="229"/>
      <c r="KT24" s="229"/>
      <c r="KU24" s="229"/>
      <c r="KV24" s="229"/>
      <c r="KW24" s="229"/>
      <c r="KX24" s="229"/>
      <c r="KY24" s="229"/>
      <c r="KZ24" s="229"/>
      <c r="LA24" s="229"/>
      <c r="LB24" s="229"/>
      <c r="LC24" s="229"/>
      <c r="LD24" s="229"/>
      <c r="LE24" s="229"/>
      <c r="LF24" s="229"/>
      <c r="LG24" s="229"/>
      <c r="LH24" s="229"/>
      <c r="LI24" s="229"/>
      <c r="LJ24" s="229"/>
      <c r="LK24" s="229"/>
      <c r="LL24" s="229"/>
      <c r="LM24" s="229"/>
      <c r="LN24" s="229"/>
      <c r="LO24" s="229"/>
      <c r="LP24" s="229"/>
      <c r="LQ24" s="229"/>
      <c r="LR24" s="229"/>
      <c r="LS24" s="229"/>
      <c r="LT24" s="229"/>
      <c r="LU24" s="229"/>
      <c r="LV24" s="229"/>
      <c r="LW24" s="229"/>
      <c r="LX24" s="229"/>
      <c r="LY24" s="229"/>
      <c r="LZ24" s="229"/>
      <c r="MA24" s="229"/>
      <c r="MB24" s="229"/>
      <c r="MC24" s="229"/>
      <c r="MD24" s="229"/>
      <c r="ME24" s="229"/>
      <c r="MF24" s="229"/>
      <c r="MG24" s="229"/>
      <c r="MH24" s="229"/>
      <c r="MI24" s="229"/>
      <c r="MJ24" s="229"/>
      <c r="MK24" s="229"/>
      <c r="ML24" s="229"/>
      <c r="MM24" s="229"/>
      <c r="MN24" s="229"/>
      <c r="MO24" s="229"/>
      <c r="MP24" s="229"/>
      <c r="MQ24" s="229"/>
      <c r="MR24" s="229"/>
      <c r="MS24" s="229"/>
      <c r="MT24" s="229"/>
      <c r="MU24" s="229"/>
      <c r="MV24" s="229"/>
      <c r="MW24" s="229"/>
      <c r="MX24" s="229"/>
      <c r="MY24" s="229"/>
      <c r="MZ24" s="229"/>
      <c r="NA24" s="229"/>
      <c r="NB24" s="229"/>
      <c r="NC24" s="229"/>
      <c r="ND24" s="229"/>
      <c r="NE24" s="229"/>
      <c r="NF24" s="229"/>
      <c r="NG24" s="229"/>
      <c r="NH24" s="229"/>
      <c r="NI24" s="229"/>
      <c r="NJ24" s="229"/>
      <c r="NK24" s="229"/>
      <c r="NL24" s="229"/>
      <c r="NM24" s="229"/>
      <c r="NN24" s="229"/>
      <c r="NO24" s="229"/>
      <c r="NP24" s="229"/>
      <c r="NQ24" s="229"/>
      <c r="NR24" s="229"/>
      <c r="NS24" s="229"/>
      <c r="NT24" s="229"/>
      <c r="NU24" s="229"/>
      <c r="NV24" s="229"/>
      <c r="NW24" s="229"/>
      <c r="NX24" s="229"/>
      <c r="NY24" s="229"/>
      <c r="NZ24" s="229"/>
      <c r="OA24" s="229"/>
      <c r="OB24" s="229"/>
      <c r="OC24" s="229"/>
      <c r="OD24" s="229"/>
      <c r="OE24" s="229"/>
      <c r="OF24" s="229"/>
      <c r="OG24" s="229"/>
      <c r="OH24" s="229"/>
      <c r="OI24" s="229"/>
      <c r="OJ24" s="229"/>
      <c r="OK24" s="229"/>
      <c r="OL24" s="229"/>
      <c r="OM24" s="229"/>
      <c r="ON24" s="229"/>
      <c r="OO24" s="229"/>
      <c r="OP24" s="229"/>
      <c r="OQ24" s="229"/>
      <c r="OR24" s="229"/>
      <c r="OS24" s="229"/>
      <c r="OT24" s="229"/>
      <c r="OU24" s="229"/>
      <c r="OV24" s="229"/>
      <c r="OW24" s="229"/>
      <c r="OX24" s="229"/>
      <c r="OY24" s="229"/>
      <c r="OZ24" s="229"/>
      <c r="PA24" s="229"/>
    </row>
    <row r="25" spans="1:417" s="35" customFormat="1" ht="12.75" customHeight="1" x14ac:dyDescent="0.3">
      <c r="A25" s="31" t="s">
        <v>1253</v>
      </c>
      <c r="B25" s="32" t="s">
        <v>1258</v>
      </c>
      <c r="C25" s="33" t="s">
        <v>84</v>
      </c>
      <c r="D25" s="34">
        <v>93820.86</v>
      </c>
      <c r="E25" s="34"/>
      <c r="F25" s="34">
        <v>0</v>
      </c>
      <c r="G25" s="34">
        <v>199.99</v>
      </c>
      <c r="H25" s="34">
        <v>0</v>
      </c>
      <c r="I25" s="34"/>
      <c r="J25" s="34">
        <f t="shared" si="2"/>
        <v>94020.85</v>
      </c>
      <c r="L25" s="34">
        <v>88000</v>
      </c>
      <c r="M25" s="36">
        <v>1.06841875</v>
      </c>
      <c r="N25" s="229"/>
      <c r="P25" s="229" t="s">
        <v>83</v>
      </c>
      <c r="Q25" s="230">
        <v>2632.5838000000003</v>
      </c>
      <c r="R25" s="230">
        <v>658.14595000000008</v>
      </c>
      <c r="S25" s="230">
        <v>470.10425000000004</v>
      </c>
      <c r="T25" s="229"/>
      <c r="U25" s="229"/>
      <c r="V25" s="229"/>
      <c r="W25" s="229"/>
      <c r="X25" s="229"/>
      <c r="Y25" s="229"/>
      <c r="Z25" s="229"/>
      <c r="AA25" s="229"/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29"/>
      <c r="AN25" s="229"/>
      <c r="AO25" s="229"/>
      <c r="AP25" s="229"/>
      <c r="AQ25" s="229"/>
      <c r="AR25" s="229"/>
      <c r="AS25" s="229"/>
      <c r="AT25" s="229"/>
      <c r="AU25" s="229"/>
      <c r="AV25" s="229"/>
      <c r="AW25" s="229"/>
      <c r="AX25" s="229"/>
      <c r="AY25" s="229"/>
      <c r="AZ25" s="229"/>
      <c r="BA25" s="229"/>
      <c r="BB25" s="229"/>
      <c r="BC25" s="229"/>
      <c r="BD25" s="229"/>
      <c r="BE25" s="229"/>
      <c r="BF25" s="229"/>
      <c r="BG25" s="229"/>
      <c r="BH25" s="229"/>
      <c r="BI25" s="229"/>
      <c r="BJ25" s="229"/>
      <c r="BK25" s="229"/>
      <c r="BL25" s="229"/>
      <c r="BM25" s="229"/>
      <c r="BN25" s="229"/>
      <c r="BO25" s="229"/>
      <c r="BP25" s="229"/>
      <c r="BQ25" s="229"/>
      <c r="BR25" s="229"/>
      <c r="BS25" s="229"/>
      <c r="BT25" s="229"/>
      <c r="BU25" s="229"/>
      <c r="BV25" s="229"/>
      <c r="BW25" s="229"/>
      <c r="BX25" s="229"/>
      <c r="BY25" s="229"/>
      <c r="BZ25" s="229"/>
      <c r="CA25" s="229"/>
      <c r="CB25" s="229"/>
      <c r="CC25" s="229"/>
      <c r="CD25" s="229"/>
      <c r="CE25" s="229"/>
      <c r="CF25" s="229"/>
      <c r="CG25" s="229"/>
      <c r="CH25" s="229"/>
      <c r="CI25" s="229"/>
      <c r="CJ25" s="229"/>
      <c r="CK25" s="229"/>
      <c r="CL25" s="229"/>
      <c r="CM25" s="229"/>
      <c r="CN25" s="229"/>
      <c r="CO25" s="229"/>
      <c r="CP25" s="229"/>
      <c r="CQ25" s="229"/>
      <c r="CR25" s="229"/>
      <c r="CS25" s="229"/>
      <c r="CT25" s="229"/>
      <c r="CU25" s="229"/>
      <c r="CV25" s="229"/>
      <c r="CW25" s="229"/>
      <c r="CX25" s="229"/>
      <c r="CY25" s="229"/>
      <c r="CZ25" s="229"/>
      <c r="DA25" s="229"/>
      <c r="DB25" s="229"/>
      <c r="DC25" s="229"/>
      <c r="DD25" s="229"/>
      <c r="DE25" s="229"/>
      <c r="DF25" s="229"/>
      <c r="DG25" s="229"/>
      <c r="DH25" s="229"/>
      <c r="DI25" s="229"/>
      <c r="DJ25" s="229"/>
      <c r="DK25" s="229"/>
      <c r="DL25" s="229"/>
      <c r="DM25" s="229"/>
      <c r="DN25" s="229"/>
      <c r="DO25" s="229"/>
      <c r="DP25" s="229"/>
      <c r="DQ25" s="229"/>
      <c r="DR25" s="229"/>
      <c r="DS25" s="229"/>
      <c r="DT25" s="229"/>
      <c r="DU25" s="229"/>
      <c r="DV25" s="229"/>
      <c r="DW25" s="229"/>
      <c r="DX25" s="229"/>
      <c r="DY25" s="229"/>
      <c r="DZ25" s="229"/>
      <c r="EA25" s="229"/>
      <c r="EB25" s="229"/>
      <c r="EC25" s="229"/>
      <c r="ED25" s="229"/>
      <c r="EE25" s="229"/>
      <c r="EF25" s="229"/>
      <c r="EG25" s="229"/>
      <c r="EH25" s="229"/>
      <c r="EI25" s="229"/>
      <c r="EJ25" s="229"/>
      <c r="EK25" s="229"/>
      <c r="EL25" s="229"/>
      <c r="EM25" s="229"/>
      <c r="EN25" s="229"/>
      <c r="EO25" s="229"/>
      <c r="EP25" s="229"/>
      <c r="EQ25" s="229"/>
      <c r="ER25" s="229"/>
      <c r="ES25" s="229"/>
      <c r="ET25" s="229"/>
      <c r="EU25" s="229"/>
      <c r="EV25" s="229"/>
      <c r="EW25" s="229"/>
      <c r="EX25" s="229"/>
      <c r="EY25" s="229"/>
      <c r="EZ25" s="229"/>
      <c r="FA25" s="229"/>
      <c r="FB25" s="229"/>
      <c r="FC25" s="229"/>
      <c r="FD25" s="229"/>
      <c r="FE25" s="229"/>
      <c r="FF25" s="229"/>
      <c r="FG25" s="229"/>
      <c r="FH25" s="229"/>
      <c r="FI25" s="229"/>
      <c r="FJ25" s="229"/>
      <c r="FK25" s="229"/>
      <c r="FL25" s="229"/>
      <c r="FM25" s="229"/>
      <c r="FN25" s="229"/>
      <c r="FO25" s="229"/>
      <c r="FP25" s="229"/>
      <c r="FQ25" s="229"/>
      <c r="FR25" s="229"/>
      <c r="FS25" s="229"/>
      <c r="FT25" s="229"/>
      <c r="FU25" s="229"/>
      <c r="FV25" s="229"/>
      <c r="FW25" s="229"/>
      <c r="FX25" s="229"/>
      <c r="FY25" s="229"/>
      <c r="FZ25" s="229"/>
      <c r="GA25" s="229"/>
      <c r="GB25" s="229"/>
      <c r="GC25" s="229"/>
      <c r="GD25" s="229"/>
      <c r="GE25" s="229"/>
      <c r="GF25" s="229"/>
      <c r="GG25" s="229"/>
      <c r="GH25" s="229"/>
      <c r="GI25" s="229"/>
      <c r="GJ25" s="229"/>
      <c r="GK25" s="229"/>
      <c r="GL25" s="229"/>
      <c r="GM25" s="229"/>
      <c r="GN25" s="229"/>
      <c r="GO25" s="229"/>
      <c r="GP25" s="229"/>
      <c r="GQ25" s="229"/>
      <c r="GR25" s="229"/>
      <c r="GS25" s="229"/>
      <c r="GT25" s="229"/>
      <c r="GU25" s="229"/>
      <c r="GV25" s="229"/>
      <c r="GW25" s="229"/>
      <c r="GX25" s="229"/>
      <c r="GY25" s="229"/>
      <c r="GZ25" s="229"/>
      <c r="HA25" s="229"/>
      <c r="HB25" s="229"/>
      <c r="HC25" s="229"/>
      <c r="HD25" s="229"/>
      <c r="HE25" s="229"/>
      <c r="HF25" s="229"/>
      <c r="HG25" s="229"/>
      <c r="HH25" s="229"/>
      <c r="HI25" s="229"/>
      <c r="HJ25" s="229"/>
      <c r="HK25" s="229"/>
      <c r="HL25" s="229"/>
      <c r="HM25" s="229"/>
      <c r="HN25" s="229"/>
      <c r="HO25" s="229"/>
      <c r="HP25" s="229"/>
      <c r="HQ25" s="229"/>
      <c r="HR25" s="229"/>
      <c r="HS25" s="229"/>
      <c r="HT25" s="229"/>
      <c r="HU25" s="229"/>
      <c r="HV25" s="229"/>
      <c r="HW25" s="229"/>
      <c r="HX25" s="229"/>
      <c r="HY25" s="229"/>
      <c r="HZ25" s="229"/>
      <c r="IA25" s="229"/>
      <c r="IB25" s="229"/>
      <c r="IC25" s="229"/>
      <c r="ID25" s="229"/>
      <c r="IE25" s="229"/>
      <c r="IF25" s="229"/>
      <c r="IG25" s="229"/>
      <c r="IH25" s="229"/>
      <c r="II25" s="229"/>
      <c r="IJ25" s="229"/>
      <c r="IK25" s="229"/>
      <c r="IL25" s="229"/>
      <c r="IM25" s="229"/>
      <c r="IN25" s="229"/>
      <c r="IO25" s="229"/>
      <c r="IP25" s="229"/>
      <c r="IQ25" s="229"/>
      <c r="IR25" s="229"/>
      <c r="IS25" s="229"/>
      <c r="IT25" s="229"/>
      <c r="IU25" s="229"/>
      <c r="IV25" s="229"/>
      <c r="IW25" s="229"/>
      <c r="IX25" s="229"/>
      <c r="IY25" s="229"/>
      <c r="IZ25" s="229"/>
      <c r="JA25" s="229"/>
      <c r="JB25" s="229"/>
      <c r="JC25" s="229"/>
      <c r="JD25" s="229"/>
      <c r="JE25" s="229"/>
      <c r="JF25" s="229"/>
      <c r="JG25" s="229"/>
      <c r="JH25" s="229"/>
      <c r="JI25" s="229"/>
      <c r="JJ25" s="229"/>
      <c r="JK25" s="229"/>
      <c r="JL25" s="229"/>
      <c r="JM25" s="229"/>
      <c r="JN25" s="229"/>
      <c r="JO25" s="229"/>
      <c r="JP25" s="229"/>
      <c r="JQ25" s="229"/>
      <c r="JR25" s="229"/>
      <c r="JS25" s="229"/>
      <c r="JT25" s="229"/>
      <c r="JU25" s="229"/>
      <c r="JV25" s="229"/>
      <c r="JW25" s="229"/>
      <c r="JX25" s="229"/>
      <c r="JY25" s="229"/>
      <c r="JZ25" s="229"/>
      <c r="KA25" s="229"/>
      <c r="KB25" s="229"/>
      <c r="KC25" s="229"/>
      <c r="KD25" s="229"/>
      <c r="KE25" s="229"/>
      <c r="KF25" s="229"/>
      <c r="KG25" s="229"/>
      <c r="KH25" s="229"/>
      <c r="KI25" s="229"/>
      <c r="KJ25" s="229"/>
      <c r="KK25" s="229"/>
      <c r="KL25" s="229"/>
      <c r="KM25" s="229"/>
      <c r="KN25" s="229"/>
      <c r="KO25" s="229"/>
      <c r="KP25" s="229"/>
      <c r="KQ25" s="229"/>
      <c r="KR25" s="229"/>
      <c r="KS25" s="229"/>
      <c r="KT25" s="229"/>
      <c r="KU25" s="229"/>
      <c r="KV25" s="229"/>
      <c r="KW25" s="229"/>
      <c r="KX25" s="229"/>
      <c r="KY25" s="229"/>
      <c r="KZ25" s="229"/>
      <c r="LA25" s="229"/>
      <c r="LB25" s="229"/>
      <c r="LC25" s="229"/>
      <c r="LD25" s="229"/>
      <c r="LE25" s="229"/>
      <c r="LF25" s="229"/>
      <c r="LG25" s="229"/>
      <c r="LH25" s="229"/>
      <c r="LI25" s="229"/>
      <c r="LJ25" s="229"/>
      <c r="LK25" s="229"/>
      <c r="LL25" s="229"/>
      <c r="LM25" s="229"/>
      <c r="LN25" s="229"/>
      <c r="LO25" s="229"/>
      <c r="LP25" s="229"/>
      <c r="LQ25" s="229"/>
      <c r="LR25" s="229"/>
      <c r="LS25" s="229"/>
      <c r="LT25" s="229"/>
      <c r="LU25" s="229"/>
      <c r="LV25" s="229"/>
      <c r="LW25" s="229"/>
      <c r="LX25" s="229"/>
      <c r="LY25" s="229"/>
      <c r="LZ25" s="229"/>
      <c r="MA25" s="229"/>
      <c r="MB25" s="229"/>
      <c r="MC25" s="229"/>
      <c r="MD25" s="229"/>
      <c r="ME25" s="229"/>
      <c r="MF25" s="229"/>
      <c r="MG25" s="229"/>
      <c r="MH25" s="229"/>
      <c r="MI25" s="229"/>
      <c r="MJ25" s="229"/>
      <c r="MK25" s="229"/>
      <c r="ML25" s="229"/>
      <c r="MM25" s="229"/>
      <c r="MN25" s="229"/>
      <c r="MO25" s="229"/>
      <c r="MP25" s="229"/>
      <c r="MQ25" s="229"/>
      <c r="MR25" s="229"/>
      <c r="MS25" s="229"/>
      <c r="MT25" s="229"/>
      <c r="MU25" s="229"/>
      <c r="MV25" s="229"/>
      <c r="MW25" s="229"/>
      <c r="MX25" s="229"/>
      <c r="MY25" s="229"/>
      <c r="MZ25" s="229"/>
      <c r="NA25" s="229"/>
      <c r="NB25" s="229"/>
      <c r="NC25" s="229"/>
      <c r="ND25" s="229"/>
      <c r="NE25" s="229"/>
      <c r="NF25" s="229"/>
      <c r="NG25" s="229"/>
      <c r="NH25" s="229"/>
      <c r="NI25" s="229"/>
      <c r="NJ25" s="229"/>
      <c r="NK25" s="229"/>
      <c r="NL25" s="229"/>
      <c r="NM25" s="229"/>
      <c r="NN25" s="229"/>
      <c r="NO25" s="229"/>
      <c r="NP25" s="229"/>
      <c r="NQ25" s="229"/>
      <c r="NR25" s="229"/>
      <c r="NS25" s="229"/>
      <c r="NT25" s="229"/>
      <c r="NU25" s="229"/>
      <c r="NV25" s="229"/>
      <c r="NW25" s="229"/>
      <c r="NX25" s="229"/>
      <c r="NY25" s="229"/>
      <c r="NZ25" s="229"/>
      <c r="OA25" s="229"/>
      <c r="OB25" s="229"/>
      <c r="OC25" s="229"/>
      <c r="OD25" s="229"/>
      <c r="OE25" s="229"/>
      <c r="OF25" s="229"/>
      <c r="OG25" s="229"/>
      <c r="OH25" s="229"/>
      <c r="OI25" s="229"/>
      <c r="OJ25" s="229"/>
      <c r="OK25" s="229"/>
      <c r="OL25" s="229"/>
      <c r="OM25" s="229"/>
      <c r="ON25" s="229"/>
      <c r="OO25" s="229"/>
      <c r="OP25" s="229"/>
      <c r="OQ25" s="229"/>
      <c r="OR25" s="229"/>
      <c r="OS25" s="229"/>
      <c r="OT25" s="229"/>
      <c r="OU25" s="229"/>
      <c r="OV25" s="229"/>
      <c r="OW25" s="229"/>
      <c r="OX25" s="229"/>
      <c r="OY25" s="229"/>
      <c r="OZ25" s="229"/>
      <c r="PA25" s="229"/>
    </row>
    <row r="26" spans="1:417" s="35" customFormat="1" ht="12.75" customHeight="1" x14ac:dyDescent="0.3">
      <c r="A26" s="31" t="s">
        <v>1253</v>
      </c>
      <c r="B26" s="32" t="s">
        <v>1259</v>
      </c>
      <c r="C26" s="33" t="s">
        <v>69</v>
      </c>
      <c r="D26" s="34">
        <v>70152.84</v>
      </c>
      <c r="E26" s="34"/>
      <c r="F26" s="34">
        <v>0</v>
      </c>
      <c r="G26" s="34">
        <v>0</v>
      </c>
      <c r="H26" s="34">
        <v>0</v>
      </c>
      <c r="I26" s="34"/>
      <c r="J26" s="34">
        <f t="shared" si="2"/>
        <v>70152.84</v>
      </c>
      <c r="L26" s="34">
        <v>88000</v>
      </c>
      <c r="M26" s="36">
        <v>0.79719136363636356</v>
      </c>
      <c r="N26" s="229"/>
      <c r="P26" s="229" t="s">
        <v>68</v>
      </c>
      <c r="Q26" s="230">
        <v>1964.27952</v>
      </c>
      <c r="R26" s="230">
        <v>491.06988000000001</v>
      </c>
      <c r="S26" s="230"/>
      <c r="T26" s="229"/>
      <c r="U26" s="229"/>
      <c r="V26" s="229"/>
      <c r="W26" s="229"/>
      <c r="X26" s="229"/>
      <c r="Y26" s="229"/>
      <c r="Z26" s="229"/>
      <c r="AA26" s="229"/>
      <c r="AB26" s="229"/>
      <c r="AC26" s="229"/>
      <c r="AD26" s="229"/>
      <c r="AE26" s="229"/>
      <c r="AF26" s="229"/>
      <c r="AG26" s="229"/>
      <c r="AH26" s="229"/>
      <c r="AI26" s="229"/>
      <c r="AJ26" s="229"/>
      <c r="AK26" s="229"/>
      <c r="AL26" s="229"/>
      <c r="AM26" s="229"/>
      <c r="AN26" s="229"/>
      <c r="AO26" s="229"/>
      <c r="AP26" s="229"/>
      <c r="AQ26" s="229"/>
      <c r="AR26" s="229"/>
      <c r="AS26" s="229"/>
      <c r="AT26" s="229"/>
      <c r="AU26" s="229"/>
      <c r="AV26" s="229"/>
      <c r="AW26" s="229"/>
      <c r="AX26" s="229"/>
      <c r="AY26" s="229"/>
      <c r="AZ26" s="229"/>
      <c r="BA26" s="229"/>
      <c r="BB26" s="229"/>
      <c r="BC26" s="229"/>
      <c r="BD26" s="229"/>
      <c r="BE26" s="229"/>
      <c r="BF26" s="229"/>
      <c r="BG26" s="229"/>
      <c r="BH26" s="229"/>
      <c r="BI26" s="229"/>
      <c r="BJ26" s="229"/>
      <c r="BK26" s="229"/>
      <c r="BL26" s="229"/>
      <c r="BM26" s="229"/>
      <c r="BN26" s="229"/>
      <c r="BO26" s="229"/>
      <c r="BP26" s="229"/>
      <c r="BQ26" s="229"/>
      <c r="BR26" s="229"/>
      <c r="BS26" s="229"/>
      <c r="BT26" s="229"/>
      <c r="BU26" s="229"/>
      <c r="BV26" s="229"/>
      <c r="BW26" s="229"/>
      <c r="BX26" s="229"/>
      <c r="BY26" s="229"/>
      <c r="BZ26" s="229"/>
      <c r="CA26" s="229"/>
      <c r="CB26" s="229"/>
      <c r="CC26" s="229"/>
      <c r="CD26" s="229"/>
      <c r="CE26" s="229"/>
      <c r="CF26" s="229"/>
      <c r="CG26" s="229"/>
      <c r="CH26" s="229"/>
      <c r="CI26" s="229"/>
      <c r="CJ26" s="229"/>
      <c r="CK26" s="229"/>
      <c r="CL26" s="229"/>
      <c r="CM26" s="229"/>
      <c r="CN26" s="229"/>
      <c r="CO26" s="229"/>
      <c r="CP26" s="229"/>
      <c r="CQ26" s="229"/>
      <c r="CR26" s="229"/>
      <c r="CS26" s="229"/>
      <c r="CT26" s="229"/>
      <c r="CU26" s="229"/>
      <c r="CV26" s="229"/>
      <c r="CW26" s="229"/>
      <c r="CX26" s="229"/>
      <c r="CY26" s="229"/>
      <c r="CZ26" s="229"/>
      <c r="DA26" s="229"/>
      <c r="DB26" s="229"/>
      <c r="DC26" s="229"/>
      <c r="DD26" s="229"/>
      <c r="DE26" s="229"/>
      <c r="DF26" s="229"/>
      <c r="DG26" s="229"/>
      <c r="DH26" s="229"/>
      <c r="DI26" s="229"/>
      <c r="DJ26" s="229"/>
      <c r="DK26" s="229"/>
      <c r="DL26" s="229"/>
      <c r="DM26" s="229"/>
      <c r="DN26" s="229"/>
      <c r="DO26" s="229"/>
      <c r="DP26" s="229"/>
      <c r="DQ26" s="229"/>
      <c r="DR26" s="229"/>
      <c r="DS26" s="229"/>
      <c r="DT26" s="229"/>
      <c r="DU26" s="229"/>
      <c r="DV26" s="229"/>
      <c r="DW26" s="229"/>
      <c r="DX26" s="229"/>
      <c r="DY26" s="229"/>
      <c r="DZ26" s="229"/>
      <c r="EA26" s="229"/>
      <c r="EB26" s="229"/>
      <c r="EC26" s="229"/>
      <c r="ED26" s="229"/>
      <c r="EE26" s="229"/>
      <c r="EF26" s="229"/>
      <c r="EG26" s="229"/>
      <c r="EH26" s="229"/>
      <c r="EI26" s="229"/>
      <c r="EJ26" s="229"/>
      <c r="EK26" s="229"/>
      <c r="EL26" s="229"/>
      <c r="EM26" s="229"/>
      <c r="EN26" s="229"/>
      <c r="EO26" s="229"/>
      <c r="EP26" s="229"/>
      <c r="EQ26" s="229"/>
      <c r="ER26" s="229"/>
      <c r="ES26" s="229"/>
      <c r="ET26" s="229"/>
      <c r="EU26" s="229"/>
      <c r="EV26" s="229"/>
      <c r="EW26" s="229"/>
      <c r="EX26" s="229"/>
      <c r="EY26" s="229"/>
      <c r="EZ26" s="229"/>
      <c r="FA26" s="229"/>
      <c r="FB26" s="229"/>
      <c r="FC26" s="229"/>
      <c r="FD26" s="229"/>
      <c r="FE26" s="229"/>
      <c r="FF26" s="229"/>
      <c r="FG26" s="229"/>
      <c r="FH26" s="229"/>
      <c r="FI26" s="229"/>
      <c r="FJ26" s="229"/>
      <c r="FK26" s="229"/>
      <c r="FL26" s="229"/>
      <c r="FM26" s="229"/>
      <c r="FN26" s="229"/>
      <c r="FO26" s="229"/>
      <c r="FP26" s="229"/>
      <c r="FQ26" s="229"/>
      <c r="FR26" s="229"/>
      <c r="FS26" s="229"/>
      <c r="FT26" s="229"/>
      <c r="FU26" s="229"/>
      <c r="FV26" s="229"/>
      <c r="FW26" s="229"/>
      <c r="FX26" s="229"/>
      <c r="FY26" s="229"/>
      <c r="FZ26" s="229"/>
      <c r="GA26" s="229"/>
      <c r="GB26" s="229"/>
      <c r="GC26" s="229"/>
      <c r="GD26" s="229"/>
      <c r="GE26" s="229"/>
      <c r="GF26" s="229"/>
      <c r="GG26" s="229"/>
      <c r="GH26" s="229"/>
      <c r="GI26" s="229"/>
      <c r="GJ26" s="229"/>
      <c r="GK26" s="229"/>
      <c r="GL26" s="229"/>
      <c r="GM26" s="229"/>
      <c r="GN26" s="229"/>
      <c r="GO26" s="229"/>
      <c r="GP26" s="229"/>
      <c r="GQ26" s="229"/>
      <c r="GR26" s="229"/>
      <c r="GS26" s="229"/>
      <c r="GT26" s="229"/>
      <c r="GU26" s="229"/>
      <c r="GV26" s="229"/>
      <c r="GW26" s="229"/>
      <c r="GX26" s="229"/>
      <c r="GY26" s="229"/>
      <c r="GZ26" s="229"/>
      <c r="HA26" s="229"/>
      <c r="HB26" s="229"/>
      <c r="HC26" s="229"/>
      <c r="HD26" s="229"/>
      <c r="HE26" s="229"/>
      <c r="HF26" s="229"/>
      <c r="HG26" s="229"/>
      <c r="HH26" s="229"/>
      <c r="HI26" s="229"/>
      <c r="HJ26" s="229"/>
      <c r="HK26" s="229"/>
      <c r="HL26" s="229"/>
      <c r="HM26" s="229"/>
      <c r="HN26" s="229"/>
      <c r="HO26" s="229"/>
      <c r="HP26" s="229"/>
      <c r="HQ26" s="229"/>
      <c r="HR26" s="229"/>
      <c r="HS26" s="229"/>
      <c r="HT26" s="229"/>
      <c r="HU26" s="229"/>
      <c r="HV26" s="229"/>
      <c r="HW26" s="229"/>
      <c r="HX26" s="229"/>
      <c r="HY26" s="229"/>
      <c r="HZ26" s="229"/>
      <c r="IA26" s="229"/>
      <c r="IB26" s="229"/>
      <c r="IC26" s="229"/>
      <c r="ID26" s="229"/>
      <c r="IE26" s="229"/>
      <c r="IF26" s="229"/>
      <c r="IG26" s="229"/>
      <c r="IH26" s="229"/>
      <c r="II26" s="229"/>
      <c r="IJ26" s="229"/>
      <c r="IK26" s="229"/>
      <c r="IL26" s="229"/>
      <c r="IM26" s="229"/>
      <c r="IN26" s="229"/>
      <c r="IO26" s="229"/>
      <c r="IP26" s="229"/>
      <c r="IQ26" s="229"/>
      <c r="IR26" s="229"/>
      <c r="IS26" s="229"/>
      <c r="IT26" s="229"/>
      <c r="IU26" s="229"/>
      <c r="IV26" s="229"/>
      <c r="IW26" s="229"/>
      <c r="IX26" s="229"/>
      <c r="IY26" s="229"/>
      <c r="IZ26" s="229"/>
      <c r="JA26" s="229"/>
      <c r="JB26" s="229"/>
      <c r="JC26" s="229"/>
      <c r="JD26" s="229"/>
      <c r="JE26" s="229"/>
      <c r="JF26" s="229"/>
      <c r="JG26" s="229"/>
      <c r="JH26" s="229"/>
      <c r="JI26" s="229"/>
      <c r="JJ26" s="229"/>
      <c r="JK26" s="229"/>
      <c r="JL26" s="229"/>
      <c r="JM26" s="229"/>
      <c r="JN26" s="229"/>
      <c r="JO26" s="229"/>
      <c r="JP26" s="229"/>
      <c r="JQ26" s="229"/>
      <c r="JR26" s="229"/>
      <c r="JS26" s="229"/>
      <c r="JT26" s="229"/>
      <c r="JU26" s="229"/>
      <c r="JV26" s="229"/>
      <c r="JW26" s="229"/>
      <c r="JX26" s="229"/>
      <c r="JY26" s="229"/>
      <c r="JZ26" s="229"/>
      <c r="KA26" s="229"/>
      <c r="KB26" s="229"/>
      <c r="KC26" s="229"/>
      <c r="KD26" s="229"/>
      <c r="KE26" s="229"/>
      <c r="KF26" s="229"/>
      <c r="KG26" s="229"/>
      <c r="KH26" s="229"/>
      <c r="KI26" s="229"/>
      <c r="KJ26" s="229"/>
      <c r="KK26" s="229"/>
      <c r="KL26" s="229"/>
      <c r="KM26" s="229"/>
      <c r="KN26" s="229"/>
      <c r="KO26" s="229"/>
      <c r="KP26" s="229"/>
      <c r="KQ26" s="229"/>
      <c r="KR26" s="229"/>
      <c r="KS26" s="229"/>
      <c r="KT26" s="229"/>
      <c r="KU26" s="229"/>
      <c r="KV26" s="229"/>
      <c r="KW26" s="229"/>
      <c r="KX26" s="229"/>
      <c r="KY26" s="229"/>
      <c r="KZ26" s="229"/>
      <c r="LA26" s="229"/>
      <c r="LB26" s="229"/>
      <c r="LC26" s="229"/>
      <c r="LD26" s="229"/>
      <c r="LE26" s="229"/>
      <c r="LF26" s="229"/>
      <c r="LG26" s="229"/>
      <c r="LH26" s="229"/>
      <c r="LI26" s="229"/>
      <c r="LJ26" s="229"/>
      <c r="LK26" s="229"/>
      <c r="LL26" s="229"/>
      <c r="LM26" s="229"/>
      <c r="LN26" s="229"/>
      <c r="LO26" s="229"/>
      <c r="LP26" s="229"/>
      <c r="LQ26" s="229"/>
      <c r="LR26" s="229"/>
      <c r="LS26" s="229"/>
      <c r="LT26" s="229"/>
      <c r="LU26" s="229"/>
      <c r="LV26" s="229"/>
      <c r="LW26" s="229"/>
      <c r="LX26" s="229"/>
      <c r="LY26" s="229"/>
      <c r="LZ26" s="229"/>
      <c r="MA26" s="229"/>
      <c r="MB26" s="229"/>
      <c r="MC26" s="229"/>
      <c r="MD26" s="229"/>
      <c r="ME26" s="229"/>
      <c r="MF26" s="229"/>
      <c r="MG26" s="229"/>
      <c r="MH26" s="229"/>
      <c r="MI26" s="229"/>
      <c r="MJ26" s="229"/>
      <c r="MK26" s="229"/>
      <c r="ML26" s="229"/>
      <c r="MM26" s="229"/>
      <c r="MN26" s="229"/>
      <c r="MO26" s="229"/>
      <c r="MP26" s="229"/>
      <c r="MQ26" s="229"/>
      <c r="MR26" s="229"/>
      <c r="MS26" s="229"/>
      <c r="MT26" s="229"/>
      <c r="MU26" s="229"/>
      <c r="MV26" s="229"/>
      <c r="MW26" s="229"/>
      <c r="MX26" s="229"/>
      <c r="MY26" s="229"/>
      <c r="MZ26" s="229"/>
      <c r="NA26" s="229"/>
      <c r="NB26" s="229"/>
      <c r="NC26" s="229"/>
      <c r="ND26" s="229"/>
      <c r="NE26" s="229"/>
      <c r="NF26" s="229"/>
      <c r="NG26" s="229"/>
      <c r="NH26" s="229"/>
      <c r="NI26" s="229"/>
      <c r="NJ26" s="229"/>
      <c r="NK26" s="229"/>
      <c r="NL26" s="229"/>
      <c r="NM26" s="229"/>
      <c r="NN26" s="229"/>
      <c r="NO26" s="229"/>
      <c r="NP26" s="229"/>
      <c r="NQ26" s="229"/>
      <c r="NR26" s="229"/>
      <c r="NS26" s="229"/>
      <c r="NT26" s="229"/>
      <c r="NU26" s="229"/>
      <c r="NV26" s="229"/>
      <c r="NW26" s="229"/>
      <c r="NX26" s="229"/>
      <c r="NY26" s="229"/>
      <c r="NZ26" s="229"/>
      <c r="OA26" s="229"/>
      <c r="OB26" s="229"/>
      <c r="OC26" s="229"/>
      <c r="OD26" s="229"/>
      <c r="OE26" s="229"/>
      <c r="OF26" s="229"/>
      <c r="OG26" s="229"/>
      <c r="OH26" s="229"/>
      <c r="OI26" s="229"/>
      <c r="OJ26" s="229"/>
      <c r="OK26" s="229"/>
      <c r="OL26" s="229"/>
      <c r="OM26" s="229"/>
      <c r="ON26" s="229"/>
      <c r="OO26" s="229"/>
      <c r="OP26" s="229"/>
      <c r="OQ26" s="229"/>
      <c r="OR26" s="229"/>
      <c r="OS26" s="229"/>
      <c r="OT26" s="229"/>
      <c r="OU26" s="229"/>
      <c r="OV26" s="229"/>
      <c r="OW26" s="229"/>
      <c r="OX26" s="229"/>
      <c r="OY26" s="229"/>
      <c r="OZ26" s="229"/>
      <c r="PA26" s="229"/>
    </row>
    <row r="27" spans="1:417" s="261" customFormat="1" ht="12.75" customHeight="1" x14ac:dyDescent="0.3">
      <c r="A27" s="257" t="s">
        <v>1253</v>
      </c>
      <c r="B27" s="258" t="s">
        <v>1260</v>
      </c>
      <c r="C27" s="259" t="s">
        <v>677</v>
      </c>
      <c r="D27" s="260">
        <v>101165.81</v>
      </c>
      <c r="E27" s="260"/>
      <c r="F27" s="260">
        <v>0</v>
      </c>
      <c r="G27" s="260">
        <v>0</v>
      </c>
      <c r="H27" s="260">
        <v>0</v>
      </c>
      <c r="I27" s="260"/>
      <c r="J27" s="260">
        <f t="shared" si="2"/>
        <v>101165.81</v>
      </c>
      <c r="L27" s="260">
        <v>88000</v>
      </c>
      <c r="M27" s="262">
        <v>1.1496114772727273</v>
      </c>
      <c r="N27" s="263"/>
      <c r="P27" s="263" t="s">
        <v>98</v>
      </c>
      <c r="Q27" s="264">
        <v>2832.6426799999999</v>
      </c>
      <c r="R27" s="264">
        <v>708.16066999999998</v>
      </c>
      <c r="S27" s="264">
        <v>505.82905</v>
      </c>
      <c r="T27" s="263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63"/>
      <c r="BO27" s="263"/>
      <c r="BP27" s="263"/>
      <c r="BQ27" s="263"/>
      <c r="BR27" s="263"/>
      <c r="BS27" s="263"/>
      <c r="BT27" s="263"/>
      <c r="BU27" s="263"/>
      <c r="BV27" s="263"/>
      <c r="BW27" s="263"/>
      <c r="BX27" s="263"/>
      <c r="BY27" s="263"/>
      <c r="BZ27" s="263"/>
      <c r="CA27" s="263"/>
      <c r="CB27" s="263"/>
      <c r="CC27" s="263"/>
      <c r="CD27" s="263"/>
      <c r="CE27" s="263"/>
      <c r="CF27" s="263"/>
      <c r="CG27" s="263"/>
      <c r="CH27" s="263"/>
      <c r="CI27" s="263"/>
      <c r="CJ27" s="263"/>
      <c r="CK27" s="263"/>
      <c r="CL27" s="263"/>
      <c r="CM27" s="263"/>
      <c r="CN27" s="263"/>
      <c r="CO27" s="263"/>
      <c r="CP27" s="263"/>
      <c r="CQ27" s="263"/>
      <c r="CR27" s="263"/>
      <c r="CS27" s="263"/>
      <c r="CT27" s="263"/>
      <c r="CU27" s="263"/>
      <c r="CV27" s="263"/>
      <c r="CW27" s="263"/>
      <c r="CX27" s="263"/>
      <c r="CY27" s="263"/>
      <c r="CZ27" s="263"/>
      <c r="DA27" s="263"/>
      <c r="DB27" s="263"/>
      <c r="DC27" s="263"/>
      <c r="DD27" s="263"/>
      <c r="DE27" s="263"/>
      <c r="DF27" s="263"/>
      <c r="DG27" s="263"/>
      <c r="DH27" s="263"/>
      <c r="DI27" s="263"/>
      <c r="DJ27" s="263"/>
      <c r="DK27" s="263"/>
      <c r="DL27" s="263"/>
      <c r="DM27" s="263"/>
      <c r="DN27" s="263"/>
      <c r="DO27" s="263"/>
      <c r="DP27" s="263"/>
      <c r="DQ27" s="263"/>
      <c r="DR27" s="263"/>
      <c r="DS27" s="263"/>
      <c r="DT27" s="263"/>
      <c r="DU27" s="263"/>
      <c r="DV27" s="263"/>
      <c r="DW27" s="263"/>
      <c r="DX27" s="263"/>
      <c r="DY27" s="263"/>
      <c r="DZ27" s="263"/>
      <c r="EA27" s="263"/>
      <c r="EB27" s="263"/>
      <c r="EC27" s="263"/>
      <c r="ED27" s="263"/>
      <c r="EE27" s="263"/>
      <c r="EF27" s="263"/>
      <c r="EG27" s="263"/>
      <c r="EH27" s="263"/>
      <c r="EI27" s="263"/>
      <c r="EJ27" s="263"/>
      <c r="EK27" s="263"/>
      <c r="EL27" s="263"/>
      <c r="EM27" s="263"/>
      <c r="EN27" s="263"/>
      <c r="EO27" s="263"/>
      <c r="EP27" s="263"/>
      <c r="EQ27" s="263"/>
      <c r="ER27" s="263"/>
      <c r="ES27" s="263"/>
      <c r="ET27" s="263"/>
      <c r="EU27" s="263"/>
      <c r="EV27" s="263"/>
      <c r="EW27" s="263"/>
      <c r="EX27" s="263"/>
      <c r="EY27" s="263"/>
      <c r="EZ27" s="263"/>
      <c r="FA27" s="263"/>
      <c r="FB27" s="263"/>
      <c r="FC27" s="263"/>
      <c r="FD27" s="263"/>
      <c r="FE27" s="263"/>
      <c r="FF27" s="263"/>
      <c r="FG27" s="263"/>
      <c r="FH27" s="263"/>
      <c r="FI27" s="263"/>
      <c r="FJ27" s="263"/>
      <c r="FK27" s="263"/>
      <c r="FL27" s="263"/>
      <c r="FM27" s="263"/>
      <c r="FN27" s="263"/>
      <c r="FO27" s="263"/>
      <c r="FP27" s="263"/>
      <c r="FQ27" s="263"/>
      <c r="FR27" s="263"/>
      <c r="FS27" s="263"/>
      <c r="FT27" s="263"/>
      <c r="FU27" s="263"/>
      <c r="FV27" s="263"/>
      <c r="FW27" s="263"/>
      <c r="FX27" s="263"/>
      <c r="FY27" s="263"/>
      <c r="FZ27" s="263"/>
      <c r="GA27" s="263"/>
      <c r="GB27" s="263"/>
      <c r="GC27" s="263"/>
      <c r="GD27" s="263"/>
      <c r="GE27" s="263"/>
      <c r="GF27" s="263"/>
      <c r="GG27" s="263"/>
      <c r="GH27" s="263"/>
      <c r="GI27" s="263"/>
      <c r="GJ27" s="263"/>
      <c r="GK27" s="263"/>
      <c r="GL27" s="263"/>
      <c r="GM27" s="263"/>
      <c r="GN27" s="263"/>
      <c r="GO27" s="263"/>
      <c r="GP27" s="263"/>
      <c r="GQ27" s="263"/>
      <c r="GR27" s="263"/>
      <c r="GS27" s="263"/>
      <c r="GT27" s="263"/>
      <c r="GU27" s="263"/>
      <c r="GV27" s="263"/>
      <c r="GW27" s="263"/>
      <c r="GX27" s="263"/>
      <c r="GY27" s="263"/>
      <c r="GZ27" s="263"/>
      <c r="HA27" s="263"/>
      <c r="HB27" s="263"/>
      <c r="HC27" s="263"/>
      <c r="HD27" s="263"/>
      <c r="HE27" s="263"/>
      <c r="HF27" s="263"/>
      <c r="HG27" s="263"/>
      <c r="HH27" s="263"/>
      <c r="HI27" s="263"/>
      <c r="HJ27" s="263"/>
      <c r="HK27" s="263"/>
      <c r="HL27" s="263"/>
      <c r="HM27" s="263"/>
      <c r="HN27" s="263"/>
      <c r="HO27" s="263"/>
      <c r="HP27" s="263"/>
      <c r="HQ27" s="263"/>
      <c r="HR27" s="263"/>
      <c r="HS27" s="263"/>
      <c r="HT27" s="263"/>
      <c r="HU27" s="263"/>
      <c r="HV27" s="263"/>
      <c r="HW27" s="263"/>
      <c r="HX27" s="263"/>
      <c r="HY27" s="263"/>
      <c r="HZ27" s="263"/>
      <c r="IA27" s="263"/>
      <c r="IB27" s="263"/>
      <c r="IC27" s="263"/>
      <c r="ID27" s="263"/>
      <c r="IE27" s="263"/>
      <c r="IF27" s="263"/>
      <c r="IG27" s="263"/>
      <c r="IH27" s="263"/>
      <c r="II27" s="263"/>
      <c r="IJ27" s="263"/>
      <c r="IK27" s="263"/>
      <c r="IL27" s="263"/>
      <c r="IM27" s="263"/>
      <c r="IN27" s="263"/>
      <c r="IO27" s="263"/>
      <c r="IP27" s="263"/>
      <c r="IQ27" s="263"/>
      <c r="IR27" s="263"/>
      <c r="IS27" s="263"/>
      <c r="IT27" s="263"/>
      <c r="IU27" s="263"/>
      <c r="IV27" s="263"/>
      <c r="IW27" s="263"/>
      <c r="IX27" s="263"/>
      <c r="IY27" s="263"/>
      <c r="IZ27" s="263"/>
      <c r="JA27" s="263"/>
      <c r="JB27" s="263"/>
      <c r="JC27" s="263"/>
      <c r="JD27" s="263"/>
      <c r="JE27" s="263"/>
      <c r="JF27" s="263"/>
      <c r="JG27" s="263"/>
      <c r="JH27" s="263"/>
      <c r="JI27" s="263"/>
      <c r="JJ27" s="263"/>
      <c r="JK27" s="263"/>
      <c r="JL27" s="263"/>
      <c r="JM27" s="263"/>
      <c r="JN27" s="263"/>
      <c r="JO27" s="263"/>
      <c r="JP27" s="263"/>
      <c r="JQ27" s="263"/>
      <c r="JR27" s="263"/>
      <c r="JS27" s="263"/>
      <c r="JT27" s="263"/>
      <c r="JU27" s="263"/>
      <c r="JV27" s="263"/>
      <c r="JW27" s="263"/>
      <c r="JX27" s="263"/>
      <c r="JY27" s="263"/>
      <c r="JZ27" s="263"/>
      <c r="KA27" s="263"/>
      <c r="KB27" s="263"/>
      <c r="KC27" s="263"/>
      <c r="KD27" s="263"/>
      <c r="KE27" s="263"/>
      <c r="KF27" s="263"/>
      <c r="KG27" s="263"/>
      <c r="KH27" s="263"/>
      <c r="KI27" s="263"/>
      <c r="KJ27" s="263"/>
      <c r="KK27" s="263"/>
      <c r="KL27" s="263"/>
      <c r="KM27" s="263"/>
      <c r="KN27" s="263"/>
      <c r="KO27" s="263"/>
      <c r="KP27" s="263"/>
      <c r="KQ27" s="263"/>
      <c r="KR27" s="263"/>
      <c r="KS27" s="263"/>
      <c r="KT27" s="263"/>
      <c r="KU27" s="263"/>
      <c r="KV27" s="263"/>
      <c r="KW27" s="263"/>
      <c r="KX27" s="263"/>
      <c r="KY27" s="263"/>
      <c r="KZ27" s="263"/>
      <c r="LA27" s="263"/>
      <c r="LB27" s="263"/>
      <c r="LC27" s="263"/>
      <c r="LD27" s="263"/>
      <c r="LE27" s="263"/>
      <c r="LF27" s="263"/>
      <c r="LG27" s="263"/>
      <c r="LH27" s="263"/>
      <c r="LI27" s="263"/>
      <c r="LJ27" s="263"/>
      <c r="LK27" s="263"/>
      <c r="LL27" s="263"/>
      <c r="LM27" s="263"/>
      <c r="LN27" s="263"/>
      <c r="LO27" s="263"/>
      <c r="LP27" s="263"/>
      <c r="LQ27" s="263"/>
      <c r="LR27" s="263"/>
      <c r="LS27" s="263"/>
      <c r="LT27" s="263"/>
      <c r="LU27" s="263"/>
      <c r="LV27" s="263"/>
      <c r="LW27" s="263"/>
      <c r="LX27" s="263"/>
      <c r="LY27" s="263"/>
      <c r="LZ27" s="263"/>
      <c r="MA27" s="263"/>
      <c r="MB27" s="263"/>
      <c r="MC27" s="263"/>
      <c r="MD27" s="263"/>
      <c r="ME27" s="263"/>
      <c r="MF27" s="263"/>
      <c r="MG27" s="263"/>
      <c r="MH27" s="263"/>
      <c r="MI27" s="263"/>
      <c r="MJ27" s="263"/>
      <c r="MK27" s="263"/>
      <c r="ML27" s="263"/>
      <c r="MM27" s="263"/>
      <c r="MN27" s="263"/>
      <c r="MO27" s="263"/>
      <c r="MP27" s="263"/>
      <c r="MQ27" s="263"/>
      <c r="MR27" s="263"/>
      <c r="MS27" s="263"/>
      <c r="MT27" s="263"/>
      <c r="MU27" s="263"/>
      <c r="MV27" s="263"/>
      <c r="MW27" s="263"/>
      <c r="MX27" s="263"/>
      <c r="MY27" s="263"/>
      <c r="MZ27" s="263"/>
      <c r="NA27" s="263"/>
      <c r="NB27" s="263"/>
      <c r="NC27" s="263"/>
      <c r="ND27" s="263"/>
      <c r="NE27" s="263"/>
      <c r="NF27" s="263"/>
      <c r="NG27" s="263"/>
      <c r="NH27" s="263"/>
      <c r="NI27" s="263"/>
      <c r="NJ27" s="263"/>
      <c r="NK27" s="263"/>
      <c r="NL27" s="263"/>
      <c r="NM27" s="263"/>
      <c r="NN27" s="263"/>
      <c r="NO27" s="263"/>
      <c r="NP27" s="263"/>
      <c r="NQ27" s="263"/>
      <c r="NR27" s="263"/>
      <c r="NS27" s="263"/>
      <c r="NT27" s="263"/>
      <c r="NU27" s="263"/>
      <c r="NV27" s="263"/>
      <c r="NW27" s="263"/>
      <c r="NX27" s="263"/>
      <c r="NY27" s="263"/>
      <c r="NZ27" s="263"/>
      <c r="OA27" s="263"/>
      <c r="OB27" s="263"/>
      <c r="OC27" s="263"/>
      <c r="OD27" s="263"/>
      <c r="OE27" s="263"/>
      <c r="OF27" s="263"/>
      <c r="OG27" s="263"/>
      <c r="OH27" s="263"/>
      <c r="OI27" s="263"/>
      <c r="OJ27" s="263"/>
      <c r="OK27" s="263"/>
      <c r="OL27" s="263"/>
      <c r="OM27" s="263"/>
      <c r="ON27" s="263"/>
      <c r="OO27" s="263"/>
      <c r="OP27" s="263"/>
      <c r="OQ27" s="263"/>
      <c r="OR27" s="263"/>
      <c r="OS27" s="263"/>
      <c r="OT27" s="263"/>
      <c r="OU27" s="263"/>
      <c r="OV27" s="263"/>
      <c r="OW27" s="263"/>
      <c r="OX27" s="263"/>
      <c r="OY27" s="263"/>
      <c r="OZ27" s="263"/>
      <c r="PA27" s="263"/>
    </row>
    <row r="28" spans="1:417" ht="12.75" customHeight="1" x14ac:dyDescent="0.3">
      <c r="A28" s="25" t="s">
        <v>1253</v>
      </c>
      <c r="B28" s="210"/>
      <c r="C28" s="211"/>
      <c r="D28" s="26">
        <v>0</v>
      </c>
      <c r="F28" s="26">
        <v>0</v>
      </c>
      <c r="G28" s="26">
        <v>0</v>
      </c>
      <c r="H28" s="26">
        <v>0</v>
      </c>
      <c r="J28" s="26">
        <f t="shared" si="2"/>
        <v>0</v>
      </c>
      <c r="L28" s="26"/>
      <c r="M28" s="27">
        <v>0</v>
      </c>
      <c r="N28"/>
      <c r="P28"/>
      <c r="Q28" s="209"/>
      <c r="R28" s="209"/>
      <c r="S28" s="209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5" t="s">
        <v>1253</v>
      </c>
      <c r="B29" s="210"/>
      <c r="C29" s="211"/>
      <c r="D29" s="26">
        <v>0</v>
      </c>
      <c r="F29" s="26">
        <v>0</v>
      </c>
      <c r="G29" s="26">
        <v>0</v>
      </c>
      <c r="H29" s="26">
        <v>0</v>
      </c>
      <c r="J29" s="26">
        <f t="shared" si="2"/>
        <v>0</v>
      </c>
      <c r="L29" s="26"/>
      <c r="M29" s="27">
        <v>0</v>
      </c>
      <c r="N29"/>
      <c r="P29"/>
      <c r="Q29" s="209"/>
      <c r="R29" s="209"/>
      <c r="S29" s="20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5" t="s">
        <v>1253</v>
      </c>
      <c r="B30" s="210"/>
      <c r="C30" s="211"/>
      <c r="D30" s="26">
        <v>0</v>
      </c>
      <c r="F30" s="26">
        <v>0</v>
      </c>
      <c r="G30" s="26">
        <v>0</v>
      </c>
      <c r="H30" s="26">
        <v>0</v>
      </c>
      <c r="J30" s="26">
        <f t="shared" si="2"/>
        <v>0</v>
      </c>
      <c r="L30" s="26"/>
      <c r="M30" s="27">
        <v>0</v>
      </c>
      <c r="N30"/>
      <c r="P30"/>
      <c r="Q30" s="209"/>
      <c r="R30" s="209"/>
      <c r="S30" s="209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5" t="s">
        <v>1253</v>
      </c>
      <c r="B31" s="210"/>
      <c r="C31" s="211"/>
      <c r="D31" s="26">
        <v>0</v>
      </c>
      <c r="F31" s="26">
        <v>0</v>
      </c>
      <c r="G31" s="26">
        <v>0</v>
      </c>
      <c r="H31" s="26">
        <v>0</v>
      </c>
      <c r="J31" s="26">
        <f t="shared" si="2"/>
        <v>0</v>
      </c>
      <c r="L31" s="26"/>
      <c r="M31" s="27">
        <v>0</v>
      </c>
      <c r="N31"/>
      <c r="P31"/>
      <c r="Q31" s="209"/>
      <c r="R31" s="209"/>
      <c r="S31" s="209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8" t="s">
        <v>8</v>
      </c>
      <c r="B32" s="29"/>
      <c r="C32" s="28"/>
      <c r="D32" s="30">
        <v>544419.84999999986</v>
      </c>
      <c r="E32" s="30">
        <v>0</v>
      </c>
      <c r="F32" s="30">
        <v>0</v>
      </c>
      <c r="G32" s="30">
        <v>199.99</v>
      </c>
      <c r="H32" s="30">
        <v>0</v>
      </c>
      <c r="I32" s="30">
        <v>0</v>
      </c>
      <c r="J32" s="30">
        <f t="shared" ref="J32" si="3">SUM(J21:J31)</f>
        <v>544619.83999999985</v>
      </c>
      <c r="L32" s="30">
        <v>528000</v>
      </c>
      <c r="P32"/>
      <c r="Q32" s="209"/>
      <c r="R32" s="209"/>
      <c r="S32" s="209"/>
    </row>
    <row r="33" spans="1:19" ht="12.75" customHeight="1" x14ac:dyDescent="0.3">
      <c r="P33"/>
      <c r="Q33" s="209"/>
      <c r="R33" s="209"/>
      <c r="S33" s="209"/>
    </row>
    <row r="34" spans="1:19" ht="12.75" customHeight="1" x14ac:dyDescent="0.3">
      <c r="P34"/>
      <c r="Q34" s="209"/>
      <c r="R34" s="209"/>
      <c r="S34" s="209"/>
    </row>
    <row r="35" spans="1:19" ht="12.75" customHeight="1" x14ac:dyDescent="0.3">
      <c r="P35"/>
      <c r="Q35" s="209"/>
      <c r="R35" s="209"/>
      <c r="S35" s="209"/>
    </row>
    <row r="36" spans="1:19" ht="12.75" customHeight="1" x14ac:dyDescent="0.3">
      <c r="P36"/>
      <c r="Q36" s="209"/>
      <c r="R36" s="209"/>
      <c r="S36" s="209"/>
    </row>
    <row r="37" spans="1:19" ht="12.75" customHeight="1" x14ac:dyDescent="0.3">
      <c r="A37" s="21" t="s">
        <v>0</v>
      </c>
      <c r="B37" s="22" t="s">
        <v>659</v>
      </c>
      <c r="C37" s="21" t="s">
        <v>660</v>
      </c>
      <c r="D37" s="22" t="s">
        <v>661</v>
      </c>
      <c r="E37" s="22" t="s">
        <v>662</v>
      </c>
      <c r="F37" s="22" t="s">
        <v>663</v>
      </c>
      <c r="G37" s="22" t="s">
        <v>664</v>
      </c>
      <c r="H37" s="22" t="s">
        <v>665</v>
      </c>
      <c r="I37" s="22" t="s">
        <v>676</v>
      </c>
      <c r="J37" s="22" t="s">
        <v>666</v>
      </c>
      <c r="L37" s="24" t="s">
        <v>667</v>
      </c>
      <c r="M37" s="24" t="s">
        <v>668</v>
      </c>
      <c r="O37" s="22" t="s">
        <v>669</v>
      </c>
      <c r="P37"/>
      <c r="Q37" s="209"/>
      <c r="R37" s="209"/>
      <c r="S37" s="209"/>
    </row>
    <row r="38" spans="1:19" ht="12.75" customHeight="1" x14ac:dyDescent="0.3">
      <c r="A38" s="25" t="s">
        <v>1261</v>
      </c>
      <c r="B38" s="210" t="s">
        <v>1262</v>
      </c>
      <c r="C38" s="211" t="s">
        <v>107</v>
      </c>
      <c r="D38" s="26">
        <v>1005.97</v>
      </c>
      <c r="F38" s="26">
        <v>0</v>
      </c>
      <c r="G38" s="26">
        <v>0</v>
      </c>
      <c r="H38" s="26">
        <v>0</v>
      </c>
      <c r="J38" s="26">
        <f t="shared" ref="J38:J48" si="4">SUM(D38:I38)</f>
        <v>1005.97</v>
      </c>
      <c r="L38" s="26"/>
      <c r="M38" s="27">
        <v>0</v>
      </c>
      <c r="O38" s="26">
        <v>165000</v>
      </c>
      <c r="P38" t="s">
        <v>1263</v>
      </c>
      <c r="Q38" s="209">
        <v>32.191040000000001</v>
      </c>
      <c r="R38" s="209">
        <v>8.0477600000000002</v>
      </c>
      <c r="S38" s="209"/>
    </row>
    <row r="39" spans="1:19" ht="12.75" customHeight="1" x14ac:dyDescent="0.3">
      <c r="A39" s="25" t="s">
        <v>1261</v>
      </c>
      <c r="B39" s="210" t="s">
        <v>1264</v>
      </c>
      <c r="C39" s="211" t="s">
        <v>109</v>
      </c>
      <c r="D39" s="26">
        <v>19406.990000000002</v>
      </c>
      <c r="F39" s="26">
        <v>0</v>
      </c>
      <c r="G39" s="26">
        <v>599.99</v>
      </c>
      <c r="H39" s="26">
        <v>0</v>
      </c>
      <c r="J39" s="26">
        <f t="shared" si="4"/>
        <v>20006.980000000003</v>
      </c>
      <c r="L39" s="26">
        <v>45375</v>
      </c>
      <c r="M39" s="27">
        <v>0.44092517906336093</v>
      </c>
      <c r="P39" t="s">
        <v>108</v>
      </c>
      <c r="Q39" s="209">
        <v>640.22336000000007</v>
      </c>
      <c r="R39" s="209">
        <v>160.05584000000002</v>
      </c>
      <c r="S39" s="209"/>
    </row>
    <row r="40" spans="1:19" ht="12.75" customHeight="1" x14ac:dyDescent="0.3">
      <c r="A40" s="25" t="s">
        <v>1261</v>
      </c>
      <c r="B40" s="210">
        <v>3</v>
      </c>
      <c r="C40" s="211" t="s">
        <v>678</v>
      </c>
      <c r="D40" s="26">
        <v>76987.600000000006</v>
      </c>
      <c r="F40" s="26">
        <v>0</v>
      </c>
      <c r="G40" s="26">
        <v>899.98</v>
      </c>
      <c r="H40" s="26">
        <v>399.99</v>
      </c>
      <c r="J40" s="26">
        <f t="shared" si="4"/>
        <v>78287.570000000007</v>
      </c>
      <c r="L40" s="26">
        <v>45375</v>
      </c>
      <c r="M40" s="27">
        <v>1.7253458953168046</v>
      </c>
      <c r="P40" s="19" t="s">
        <v>101</v>
      </c>
      <c r="Q40" s="209">
        <v>2896.6400900000008</v>
      </c>
      <c r="R40" s="209">
        <v>724.1600225000002</v>
      </c>
      <c r="S40" s="209">
        <v>391.43785000000003</v>
      </c>
    </row>
    <row r="41" spans="1:19" ht="12.75" customHeight="1" x14ac:dyDescent="0.3">
      <c r="A41" s="25" t="s">
        <v>1261</v>
      </c>
      <c r="B41" s="210" t="s">
        <v>1265</v>
      </c>
      <c r="C41" s="211" t="s">
        <v>115</v>
      </c>
      <c r="D41" s="26">
        <v>54712.71</v>
      </c>
      <c r="F41" s="26">
        <v>0</v>
      </c>
      <c r="G41" s="26">
        <v>0</v>
      </c>
      <c r="H41" s="26">
        <v>0</v>
      </c>
      <c r="J41" s="26">
        <f t="shared" si="4"/>
        <v>54712.71</v>
      </c>
      <c r="L41" s="26">
        <v>45375</v>
      </c>
      <c r="M41" s="27">
        <v>1.2057897520661156</v>
      </c>
      <c r="P41" t="s">
        <v>114</v>
      </c>
      <c r="Q41" s="209">
        <v>2024.3702700000003</v>
      </c>
      <c r="R41" s="209">
        <v>506.09256750000009</v>
      </c>
      <c r="S41" s="209">
        <v>273.56355000000002</v>
      </c>
    </row>
    <row r="42" spans="1:19" ht="12.75" customHeight="1" x14ac:dyDescent="0.3">
      <c r="A42" s="25" t="s">
        <v>1261</v>
      </c>
      <c r="B42" s="210" t="s">
        <v>1266</v>
      </c>
      <c r="C42" s="211" t="s">
        <v>1267</v>
      </c>
      <c r="D42" s="26">
        <v>18634.52</v>
      </c>
      <c r="F42" s="26">
        <v>0</v>
      </c>
      <c r="G42" s="26">
        <v>0</v>
      </c>
      <c r="H42" s="26">
        <v>0</v>
      </c>
      <c r="J42" s="26">
        <f t="shared" si="4"/>
        <v>18634.52</v>
      </c>
      <c r="L42" s="26">
        <v>45375</v>
      </c>
      <c r="M42" s="27">
        <v>0.41067812672176307</v>
      </c>
      <c r="P42" t="s">
        <v>929</v>
      </c>
      <c r="Q42" s="209">
        <v>596.30464000000006</v>
      </c>
      <c r="R42" s="209">
        <v>149.07616000000002</v>
      </c>
      <c r="S42" s="209"/>
    </row>
    <row r="43" spans="1:19" ht="12.75" customHeight="1" x14ac:dyDescent="0.3">
      <c r="A43" s="25" t="s">
        <v>1261</v>
      </c>
      <c r="B43" s="210"/>
      <c r="C43" s="211"/>
      <c r="D43" s="26">
        <v>0</v>
      </c>
      <c r="F43" s="26">
        <v>0</v>
      </c>
      <c r="G43" s="26">
        <v>0</v>
      </c>
      <c r="H43" s="26">
        <v>0</v>
      </c>
      <c r="J43" s="26">
        <f t="shared" si="4"/>
        <v>0</v>
      </c>
      <c r="L43" s="26"/>
      <c r="M43" s="27">
        <v>0</v>
      </c>
      <c r="P43"/>
      <c r="Q43" s="209"/>
      <c r="R43" s="209"/>
      <c r="S43" s="209"/>
    </row>
    <row r="44" spans="1:19" ht="12.75" customHeight="1" x14ac:dyDescent="0.3">
      <c r="A44" s="25" t="s">
        <v>1261</v>
      </c>
      <c r="B44" s="210"/>
      <c r="C44" s="211"/>
      <c r="D44" s="26">
        <v>0</v>
      </c>
      <c r="F44" s="26">
        <v>0</v>
      </c>
      <c r="G44" s="26">
        <v>0</v>
      </c>
      <c r="H44" s="26">
        <v>0</v>
      </c>
      <c r="J44" s="26">
        <f t="shared" si="4"/>
        <v>0</v>
      </c>
      <c r="L44" s="26"/>
      <c r="M44" s="27">
        <v>0</v>
      </c>
      <c r="P44"/>
      <c r="Q44" s="209"/>
      <c r="R44" s="209"/>
      <c r="S44" s="209"/>
    </row>
    <row r="45" spans="1:19" ht="12.75" customHeight="1" x14ac:dyDescent="0.3">
      <c r="A45" s="25" t="s">
        <v>1261</v>
      </c>
      <c r="B45" s="210"/>
      <c r="C45" s="211"/>
      <c r="D45" s="26">
        <v>0</v>
      </c>
      <c r="F45" s="26">
        <v>0</v>
      </c>
      <c r="G45" s="26">
        <v>0</v>
      </c>
      <c r="H45" s="26">
        <v>0</v>
      </c>
      <c r="J45" s="26">
        <f t="shared" si="4"/>
        <v>0</v>
      </c>
      <c r="L45" s="26"/>
      <c r="M45" s="27">
        <v>0</v>
      </c>
      <c r="P45"/>
      <c r="Q45" s="209"/>
      <c r="R45" s="209"/>
      <c r="S45" s="209"/>
    </row>
    <row r="46" spans="1:19" ht="12.75" customHeight="1" x14ac:dyDescent="0.3">
      <c r="A46" s="25" t="s">
        <v>1261</v>
      </c>
      <c r="B46" s="210"/>
      <c r="C46" s="211"/>
      <c r="D46" s="26">
        <v>0</v>
      </c>
      <c r="F46" s="26">
        <v>0</v>
      </c>
      <c r="G46" s="26">
        <v>0</v>
      </c>
      <c r="H46" s="26">
        <v>0</v>
      </c>
      <c r="J46" s="26">
        <f t="shared" si="4"/>
        <v>0</v>
      </c>
      <c r="L46" s="26"/>
      <c r="M46" s="27">
        <v>0</v>
      </c>
      <c r="P46"/>
      <c r="Q46" s="209"/>
      <c r="R46" s="209"/>
      <c r="S46" s="209"/>
    </row>
    <row r="47" spans="1:19" ht="12.75" customHeight="1" x14ac:dyDescent="0.3">
      <c r="A47" s="25" t="s">
        <v>1261</v>
      </c>
      <c r="B47" s="210"/>
      <c r="C47" s="211"/>
      <c r="D47" s="26">
        <v>0</v>
      </c>
      <c r="F47" s="26">
        <v>0</v>
      </c>
      <c r="G47" s="26">
        <v>0</v>
      </c>
      <c r="H47" s="26">
        <v>0</v>
      </c>
      <c r="J47" s="26">
        <f t="shared" si="4"/>
        <v>0</v>
      </c>
      <c r="L47" s="26"/>
      <c r="M47" s="27">
        <v>0</v>
      </c>
      <c r="P47"/>
      <c r="Q47" s="209"/>
      <c r="R47" s="209"/>
      <c r="S47" s="209"/>
    </row>
    <row r="48" spans="1:19" ht="12.75" customHeight="1" x14ac:dyDescent="0.3">
      <c r="A48" s="25" t="s">
        <v>1261</v>
      </c>
      <c r="B48" s="210"/>
      <c r="C48" s="211"/>
      <c r="D48" s="26">
        <v>0</v>
      </c>
      <c r="F48" s="26">
        <v>0</v>
      </c>
      <c r="G48" s="26">
        <v>0</v>
      </c>
      <c r="H48" s="26">
        <v>0</v>
      </c>
      <c r="J48" s="26">
        <f t="shared" si="4"/>
        <v>0</v>
      </c>
      <c r="L48" s="26"/>
      <c r="M48" s="27">
        <v>0</v>
      </c>
      <c r="P48"/>
      <c r="Q48" s="209"/>
      <c r="R48" s="209"/>
      <c r="S48" s="209"/>
    </row>
    <row r="49" spans="1:19" ht="12.75" customHeight="1" x14ac:dyDescent="0.3">
      <c r="A49" s="28" t="s">
        <v>8</v>
      </c>
      <c r="B49" s="29"/>
      <c r="C49" s="28"/>
      <c r="D49" s="30">
        <v>170747.79</v>
      </c>
      <c r="E49" s="30">
        <v>0</v>
      </c>
      <c r="F49" s="30">
        <v>0</v>
      </c>
      <c r="G49" s="30">
        <v>1499.97</v>
      </c>
      <c r="H49" s="30">
        <v>399.99</v>
      </c>
      <c r="I49" s="30">
        <v>0</v>
      </c>
      <c r="J49" s="30">
        <f t="shared" ref="J49" si="5">SUM(J38:J48)</f>
        <v>172647.75</v>
      </c>
      <c r="L49" s="30">
        <v>181500</v>
      </c>
      <c r="P49"/>
      <c r="Q49" s="209"/>
      <c r="R49" s="209"/>
      <c r="S49" s="209"/>
    </row>
    <row r="50" spans="1:19" ht="12.75" customHeight="1" x14ac:dyDescent="0.3">
      <c r="P50"/>
      <c r="Q50" s="209"/>
      <c r="R50" s="209"/>
      <c r="S50" s="209"/>
    </row>
    <row r="51" spans="1:19" ht="12.75" customHeight="1" x14ac:dyDescent="0.3">
      <c r="P51"/>
      <c r="Q51" s="209"/>
      <c r="R51" s="209"/>
      <c r="S51" s="209"/>
    </row>
    <row r="52" spans="1:19" ht="12.75" customHeight="1" x14ac:dyDescent="0.3">
      <c r="P52"/>
      <c r="Q52" s="209"/>
      <c r="R52" s="209"/>
      <c r="S52" s="209"/>
    </row>
    <row r="53" spans="1:19" ht="12.75" customHeight="1" x14ac:dyDescent="0.3">
      <c r="P53"/>
      <c r="Q53" s="209"/>
      <c r="R53" s="209"/>
      <c r="S53" s="209"/>
    </row>
    <row r="54" spans="1:19" ht="12.75" customHeight="1" x14ac:dyDescent="0.3">
      <c r="A54" s="21" t="s">
        <v>0</v>
      </c>
      <c r="B54" s="22" t="s">
        <v>659</v>
      </c>
      <c r="C54" s="21" t="s">
        <v>660</v>
      </c>
      <c r="D54" s="22" t="s">
        <v>661</v>
      </c>
      <c r="E54" s="22" t="s">
        <v>662</v>
      </c>
      <c r="F54" s="22" t="s">
        <v>663</v>
      </c>
      <c r="G54" s="22" t="s">
        <v>664</v>
      </c>
      <c r="H54" s="22" t="s">
        <v>665</v>
      </c>
      <c r="I54" s="22" t="s">
        <v>676</v>
      </c>
      <c r="J54" s="22" t="s">
        <v>666</v>
      </c>
      <c r="L54" s="24" t="s">
        <v>667</v>
      </c>
      <c r="M54" s="24" t="s">
        <v>668</v>
      </c>
      <c r="O54" s="22" t="s">
        <v>669</v>
      </c>
      <c r="P54"/>
      <c r="Q54" s="209"/>
      <c r="R54" s="209"/>
      <c r="S54" s="209"/>
    </row>
    <row r="55" spans="1:19" ht="12.75" customHeight="1" x14ac:dyDescent="0.3">
      <c r="A55" s="25" t="s">
        <v>1258</v>
      </c>
      <c r="B55" s="210" t="s">
        <v>1268</v>
      </c>
      <c r="C55" s="211" t="s">
        <v>679</v>
      </c>
      <c r="D55" s="26">
        <v>41294.080000000002</v>
      </c>
      <c r="F55" s="26">
        <v>0</v>
      </c>
      <c r="G55" s="26">
        <v>449.99</v>
      </c>
      <c r="H55" s="26">
        <v>0</v>
      </c>
      <c r="J55" s="26">
        <f t="shared" ref="J55:J65" si="6">SUM(D55:I55)</f>
        <v>41744.07</v>
      </c>
      <c r="L55" s="26">
        <v>68750</v>
      </c>
      <c r="M55" s="27">
        <v>0.60718647272727277</v>
      </c>
      <c r="O55" s="26">
        <v>250000</v>
      </c>
      <c r="P55" t="s">
        <v>120</v>
      </c>
      <c r="Q55" s="209">
        <v>1335.81024</v>
      </c>
      <c r="R55" s="209">
        <v>333.95256000000001</v>
      </c>
      <c r="S55" s="209"/>
    </row>
    <row r="56" spans="1:19" ht="12.75" customHeight="1" x14ac:dyDescent="0.3">
      <c r="A56" s="25" t="s">
        <v>1258</v>
      </c>
      <c r="B56" s="210" t="s">
        <v>1269</v>
      </c>
      <c r="C56" s="211" t="s">
        <v>680</v>
      </c>
      <c r="D56" s="26">
        <v>410.98</v>
      </c>
      <c r="F56" s="26">
        <v>0</v>
      </c>
      <c r="G56" s="26">
        <v>0</v>
      </c>
      <c r="H56" s="26">
        <v>0</v>
      </c>
      <c r="J56" s="26">
        <f t="shared" si="6"/>
        <v>410.98</v>
      </c>
      <c r="L56" s="26"/>
      <c r="M56" s="27">
        <v>0</v>
      </c>
      <c r="P56" t="s">
        <v>129</v>
      </c>
      <c r="Q56" s="209">
        <v>13.15136</v>
      </c>
      <c r="R56" s="209">
        <v>3.2878400000000001</v>
      </c>
      <c r="S56" s="209"/>
    </row>
    <row r="57" spans="1:19" ht="12.75" customHeight="1" x14ac:dyDescent="0.3">
      <c r="A57" s="25" t="s">
        <v>1258</v>
      </c>
      <c r="B57" s="210" t="s">
        <v>1270</v>
      </c>
      <c r="C57" s="211" t="s">
        <v>133</v>
      </c>
      <c r="D57" s="26">
        <v>77406.52</v>
      </c>
      <c r="F57" s="26">
        <v>0</v>
      </c>
      <c r="G57" s="26">
        <v>0</v>
      </c>
      <c r="H57" s="26">
        <v>0</v>
      </c>
      <c r="J57" s="26">
        <f t="shared" si="6"/>
        <v>77406.52</v>
      </c>
      <c r="L57" s="26">
        <v>68750</v>
      </c>
      <c r="M57" s="27">
        <v>1.1259130181818182</v>
      </c>
      <c r="P57" t="s">
        <v>132</v>
      </c>
      <c r="Q57" s="209">
        <v>2477.00864</v>
      </c>
      <c r="R57" s="209">
        <v>619.25216</v>
      </c>
      <c r="S57" s="209">
        <v>387.0326</v>
      </c>
    </row>
    <row r="58" spans="1:19" ht="12.75" customHeight="1" x14ac:dyDescent="0.3">
      <c r="A58" s="25" t="s">
        <v>1258</v>
      </c>
      <c r="B58" s="212" t="s">
        <v>1271</v>
      </c>
      <c r="C58" s="211" t="s">
        <v>136</v>
      </c>
      <c r="D58" s="26">
        <v>57379.12</v>
      </c>
      <c r="F58" s="26">
        <v>0</v>
      </c>
      <c r="G58" s="26">
        <v>0</v>
      </c>
      <c r="H58" s="26">
        <v>0</v>
      </c>
      <c r="J58" s="26">
        <f t="shared" si="6"/>
        <v>57379.12</v>
      </c>
      <c r="L58" s="26">
        <v>68750</v>
      </c>
      <c r="M58" s="27">
        <v>0.83460538181818189</v>
      </c>
      <c r="P58" t="s">
        <v>135</v>
      </c>
      <c r="Q58" s="209">
        <v>1836.13184</v>
      </c>
      <c r="R58" s="209">
        <v>459.03296</v>
      </c>
      <c r="S58" s="209"/>
    </row>
    <row r="59" spans="1:19" ht="12.75" customHeight="1" x14ac:dyDescent="0.3">
      <c r="A59" s="25" t="s">
        <v>1258</v>
      </c>
      <c r="B59" s="210" t="s">
        <v>1258</v>
      </c>
      <c r="C59" s="211" t="s">
        <v>681</v>
      </c>
      <c r="D59" s="26">
        <v>104661.99</v>
      </c>
      <c r="F59" s="26">
        <v>0</v>
      </c>
      <c r="G59" s="26">
        <v>0</v>
      </c>
      <c r="H59" s="26">
        <v>1629.97</v>
      </c>
      <c r="J59" s="26">
        <f t="shared" si="6"/>
        <v>106291.96</v>
      </c>
      <c r="L59" s="26">
        <v>68750</v>
      </c>
      <c r="M59" s="27">
        <v>1.5460648727272728</v>
      </c>
      <c r="P59" s="19" t="s">
        <v>117</v>
      </c>
      <c r="Q59" s="209">
        <v>3401.3427200000001</v>
      </c>
      <c r="R59" s="209">
        <v>850.33568000000002</v>
      </c>
      <c r="S59" s="209">
        <v>531.45980000000009</v>
      </c>
    </row>
    <row r="60" spans="1:19" ht="12.75" customHeight="1" x14ac:dyDescent="0.3">
      <c r="A60" s="25" t="s">
        <v>1258</v>
      </c>
      <c r="B60" s="210"/>
      <c r="C60" s="211"/>
      <c r="D60" s="26">
        <v>0</v>
      </c>
      <c r="F60" s="26">
        <v>0</v>
      </c>
      <c r="G60" s="26">
        <v>0</v>
      </c>
      <c r="H60" s="26">
        <v>0</v>
      </c>
      <c r="J60" s="26">
        <f t="shared" si="6"/>
        <v>0</v>
      </c>
      <c r="L60" s="26"/>
      <c r="M60" s="27">
        <v>0</v>
      </c>
      <c r="P60"/>
      <c r="Q60" s="209"/>
      <c r="R60" s="209"/>
      <c r="S60" s="209"/>
    </row>
    <row r="61" spans="1:19" ht="12.75" customHeight="1" x14ac:dyDescent="0.3">
      <c r="A61" s="25" t="s">
        <v>1258</v>
      </c>
      <c r="B61" s="210"/>
      <c r="C61" s="211"/>
      <c r="D61" s="26">
        <v>0</v>
      </c>
      <c r="F61" s="26">
        <v>0</v>
      </c>
      <c r="G61" s="26">
        <v>0</v>
      </c>
      <c r="H61" s="26">
        <v>0</v>
      </c>
      <c r="J61" s="26">
        <f t="shared" si="6"/>
        <v>0</v>
      </c>
      <c r="L61" s="26"/>
      <c r="M61" s="27">
        <v>0</v>
      </c>
      <c r="P61"/>
      <c r="Q61" s="209"/>
      <c r="R61" s="209"/>
      <c r="S61" s="209"/>
    </row>
    <row r="62" spans="1:19" ht="12.75" customHeight="1" x14ac:dyDescent="0.3">
      <c r="A62" s="25" t="s">
        <v>1258</v>
      </c>
      <c r="B62" s="210"/>
      <c r="C62" s="211"/>
      <c r="D62" s="26">
        <v>0</v>
      </c>
      <c r="F62" s="26">
        <v>0</v>
      </c>
      <c r="G62" s="26">
        <v>0</v>
      </c>
      <c r="H62" s="26">
        <v>0</v>
      </c>
      <c r="J62" s="26">
        <f t="shared" si="6"/>
        <v>0</v>
      </c>
      <c r="L62" s="26"/>
      <c r="M62" s="27">
        <v>0</v>
      </c>
      <c r="P62"/>
      <c r="Q62" s="209"/>
      <c r="R62" s="209"/>
      <c r="S62" s="209"/>
    </row>
    <row r="63" spans="1:19" ht="12.75" customHeight="1" x14ac:dyDescent="0.3">
      <c r="A63" s="25" t="s">
        <v>1258</v>
      </c>
      <c r="B63" s="210"/>
      <c r="C63" s="211"/>
      <c r="D63" s="26">
        <v>0</v>
      </c>
      <c r="F63" s="26">
        <v>0</v>
      </c>
      <c r="G63" s="26">
        <v>0</v>
      </c>
      <c r="H63" s="26">
        <v>0</v>
      </c>
      <c r="J63" s="26">
        <f t="shared" si="6"/>
        <v>0</v>
      </c>
      <c r="L63" s="26"/>
      <c r="M63" s="27">
        <v>0</v>
      </c>
      <c r="P63"/>
      <c r="Q63" s="209"/>
      <c r="R63" s="209"/>
      <c r="S63" s="209"/>
    </row>
    <row r="64" spans="1:19" ht="12.75" customHeight="1" x14ac:dyDescent="0.3">
      <c r="A64" s="25" t="s">
        <v>1258</v>
      </c>
      <c r="B64" s="210"/>
      <c r="C64" s="211"/>
      <c r="D64" s="26">
        <v>0</v>
      </c>
      <c r="F64" s="26">
        <v>0</v>
      </c>
      <c r="G64" s="26">
        <v>0</v>
      </c>
      <c r="H64" s="26">
        <v>0</v>
      </c>
      <c r="J64" s="26">
        <f t="shared" si="6"/>
        <v>0</v>
      </c>
      <c r="L64" s="26"/>
      <c r="M64" s="27">
        <v>0</v>
      </c>
      <c r="P64"/>
      <c r="Q64" s="209"/>
      <c r="R64" s="209"/>
      <c r="S64" s="209"/>
    </row>
    <row r="65" spans="1:19" ht="12.75" customHeight="1" x14ac:dyDescent="0.3">
      <c r="A65" s="25" t="s">
        <v>1258</v>
      </c>
      <c r="B65" s="210"/>
      <c r="C65" s="211"/>
      <c r="D65" s="26">
        <v>0</v>
      </c>
      <c r="F65" s="26">
        <v>0</v>
      </c>
      <c r="G65" s="26">
        <v>0</v>
      </c>
      <c r="H65" s="26">
        <v>0</v>
      </c>
      <c r="J65" s="26">
        <f t="shared" si="6"/>
        <v>0</v>
      </c>
      <c r="L65" s="26"/>
      <c r="M65" s="27">
        <v>0</v>
      </c>
      <c r="P65"/>
      <c r="Q65" s="209"/>
      <c r="R65" s="209"/>
      <c r="S65" s="209"/>
    </row>
    <row r="66" spans="1:19" ht="12.75" customHeight="1" x14ac:dyDescent="0.3">
      <c r="A66" s="28" t="s">
        <v>8</v>
      </c>
      <c r="B66" s="29"/>
      <c r="C66" s="28"/>
      <c r="D66" s="30">
        <v>281152.69</v>
      </c>
      <c r="E66" s="30">
        <v>0</v>
      </c>
      <c r="F66" s="30">
        <v>0</v>
      </c>
      <c r="G66" s="30">
        <v>449.99</v>
      </c>
      <c r="H66" s="30">
        <v>1629.97</v>
      </c>
      <c r="I66" s="30">
        <v>0</v>
      </c>
      <c r="J66" s="30">
        <f t="shared" ref="J66" si="7">SUM(J55:J65)</f>
        <v>283232.65000000002</v>
      </c>
      <c r="L66" s="30">
        <v>275000</v>
      </c>
      <c r="P66"/>
      <c r="Q66" s="209"/>
      <c r="R66" s="209"/>
      <c r="S66" s="209"/>
    </row>
    <row r="67" spans="1:19" ht="12.75" customHeight="1" x14ac:dyDescent="0.3">
      <c r="P67"/>
      <c r="Q67" s="209"/>
      <c r="R67" s="209"/>
      <c r="S67" s="209"/>
    </row>
    <row r="68" spans="1:19" ht="12.75" customHeight="1" x14ac:dyDescent="0.3">
      <c r="P68"/>
      <c r="Q68" s="209"/>
      <c r="R68" s="209"/>
      <c r="S68" s="209"/>
    </row>
    <row r="69" spans="1:19" ht="12.75" customHeight="1" x14ac:dyDescent="0.3">
      <c r="P69"/>
      <c r="Q69" s="209"/>
      <c r="R69" s="209"/>
      <c r="S69" s="209"/>
    </row>
    <row r="70" spans="1:19" ht="12.75" customHeight="1" x14ac:dyDescent="0.3">
      <c r="A70" s="21" t="s">
        <v>0</v>
      </c>
      <c r="B70" s="22" t="s">
        <v>659</v>
      </c>
      <c r="C70" s="21" t="s">
        <v>660</v>
      </c>
      <c r="D70" s="22" t="s">
        <v>661</v>
      </c>
      <c r="E70" s="22" t="s">
        <v>662</v>
      </c>
      <c r="F70" s="22" t="s">
        <v>663</v>
      </c>
      <c r="G70" s="22" t="s">
        <v>664</v>
      </c>
      <c r="H70" s="22" t="s">
        <v>665</v>
      </c>
      <c r="I70" s="22" t="s">
        <v>676</v>
      </c>
      <c r="J70" s="22" t="s">
        <v>666</v>
      </c>
      <c r="L70" s="24" t="s">
        <v>667</v>
      </c>
      <c r="M70" s="24" t="s">
        <v>668</v>
      </c>
      <c r="O70" s="22" t="s">
        <v>669</v>
      </c>
      <c r="P70"/>
      <c r="Q70" s="209"/>
      <c r="R70" s="209"/>
      <c r="S70" s="209"/>
    </row>
    <row r="71" spans="1:19" ht="12.75" customHeight="1" x14ac:dyDescent="0.3">
      <c r="A71" s="25" t="s">
        <v>1272</v>
      </c>
      <c r="B71" s="210" t="s">
        <v>1273</v>
      </c>
      <c r="C71" s="211" t="s">
        <v>682</v>
      </c>
      <c r="D71" s="26">
        <v>107200.11</v>
      </c>
      <c r="F71" s="26">
        <v>0</v>
      </c>
      <c r="G71" s="26">
        <v>1049.98</v>
      </c>
      <c r="H71" s="26">
        <v>299.99</v>
      </c>
      <c r="J71" s="26">
        <f t="shared" ref="J71:J81" si="8">SUM(D71:I71)</f>
        <v>108550.08</v>
      </c>
      <c r="L71" s="26">
        <v>96250</v>
      </c>
      <c r="M71" s="27">
        <v>1.1277930389610389</v>
      </c>
      <c r="O71" s="26">
        <v>350000</v>
      </c>
      <c r="P71" t="s">
        <v>144</v>
      </c>
      <c r="Q71" s="209">
        <v>3473.6025600000003</v>
      </c>
      <c r="R71" s="209">
        <v>868.40064000000007</v>
      </c>
      <c r="S71" s="209">
        <v>542.75040000000001</v>
      </c>
    </row>
    <row r="72" spans="1:19" ht="12.75" customHeight="1" x14ac:dyDescent="0.3">
      <c r="A72" s="25" t="s">
        <v>1272</v>
      </c>
      <c r="B72" s="210" t="s">
        <v>1274</v>
      </c>
      <c r="C72" s="211" t="s">
        <v>683</v>
      </c>
      <c r="D72" s="26">
        <v>95180.02</v>
      </c>
      <c r="F72" s="26">
        <v>0</v>
      </c>
      <c r="G72" s="26">
        <v>1099.97</v>
      </c>
      <c r="H72" s="26">
        <v>1099.99</v>
      </c>
      <c r="J72" s="26">
        <f t="shared" si="8"/>
        <v>97379.98000000001</v>
      </c>
      <c r="L72" s="26">
        <v>96250</v>
      </c>
      <c r="M72" s="27">
        <v>1.0117400519480522</v>
      </c>
      <c r="P72" t="s">
        <v>147</v>
      </c>
      <c r="Q72" s="209">
        <v>3116.1593600000006</v>
      </c>
      <c r="R72" s="209">
        <v>779.03984000000014</v>
      </c>
      <c r="S72" s="209">
        <v>486.89990000000006</v>
      </c>
    </row>
    <row r="73" spans="1:19" ht="12.75" customHeight="1" x14ac:dyDescent="0.3">
      <c r="A73" s="25" t="s">
        <v>1272</v>
      </c>
      <c r="B73" s="210" t="s">
        <v>1275</v>
      </c>
      <c r="C73" s="211" t="s">
        <v>684</v>
      </c>
      <c r="D73" s="26">
        <v>100217.62</v>
      </c>
      <c r="F73" s="26">
        <v>0</v>
      </c>
      <c r="G73" s="26">
        <v>679.98</v>
      </c>
      <c r="H73" s="26">
        <v>529.97</v>
      </c>
      <c r="J73" s="26">
        <f t="shared" si="8"/>
        <v>101427.56999999999</v>
      </c>
      <c r="L73" s="26">
        <v>96250</v>
      </c>
      <c r="M73" s="27">
        <v>1.0537929350649349</v>
      </c>
      <c r="P73" t="s">
        <v>150</v>
      </c>
      <c r="Q73" s="209">
        <v>3245.6822399999996</v>
      </c>
      <c r="R73" s="209">
        <v>811.42055999999991</v>
      </c>
      <c r="S73" s="209">
        <v>507.13784999999996</v>
      </c>
    </row>
    <row r="74" spans="1:19" ht="12.75" customHeight="1" x14ac:dyDescent="0.3">
      <c r="A74" s="25" t="s">
        <v>1272</v>
      </c>
      <c r="B74" s="210" t="s">
        <v>1276</v>
      </c>
      <c r="C74" s="211" t="s">
        <v>685</v>
      </c>
      <c r="D74" s="26">
        <v>8612.2099999999991</v>
      </c>
      <c r="F74" s="26">
        <v>0</v>
      </c>
      <c r="G74" s="26">
        <v>999.99</v>
      </c>
      <c r="H74" s="26">
        <v>0</v>
      </c>
      <c r="J74" s="26">
        <f t="shared" si="8"/>
        <v>9612.1999999999989</v>
      </c>
      <c r="L74" s="26"/>
      <c r="M74" s="27">
        <v>0</v>
      </c>
      <c r="P74" t="s">
        <v>153</v>
      </c>
      <c r="Q74" s="209">
        <v>307.59039999999999</v>
      </c>
      <c r="R74" s="209">
        <v>76.897599999999997</v>
      </c>
      <c r="S74" s="209"/>
    </row>
    <row r="75" spans="1:19" ht="12.75" customHeight="1" x14ac:dyDescent="0.3">
      <c r="A75" s="25" t="s">
        <v>1272</v>
      </c>
      <c r="B75" s="210" t="s">
        <v>1277</v>
      </c>
      <c r="C75" s="211" t="s">
        <v>160</v>
      </c>
      <c r="D75" s="26">
        <v>82799.16</v>
      </c>
      <c r="F75" s="26">
        <v>0</v>
      </c>
      <c r="G75" s="26">
        <v>0</v>
      </c>
      <c r="H75" s="26">
        <v>399.99</v>
      </c>
      <c r="J75" s="26">
        <f t="shared" si="8"/>
        <v>83199.150000000009</v>
      </c>
      <c r="L75" s="26">
        <v>96250</v>
      </c>
      <c r="M75" s="27">
        <v>0.86440675324675331</v>
      </c>
      <c r="P75" t="s">
        <v>159</v>
      </c>
      <c r="Q75" s="209">
        <v>2662.3728000000006</v>
      </c>
      <c r="R75" s="209">
        <v>665.59320000000014</v>
      </c>
      <c r="S75" s="209"/>
    </row>
    <row r="76" spans="1:19" ht="12.75" customHeight="1" x14ac:dyDescent="0.3">
      <c r="A76" s="25" t="s">
        <v>1272</v>
      </c>
      <c r="B76" s="210"/>
      <c r="C76" s="211"/>
      <c r="D76" s="26">
        <v>0</v>
      </c>
      <c r="F76" s="26">
        <v>0</v>
      </c>
      <c r="G76" s="26">
        <v>0</v>
      </c>
      <c r="H76" s="26">
        <v>0</v>
      </c>
      <c r="J76" s="26">
        <f t="shared" si="8"/>
        <v>0</v>
      </c>
      <c r="L76" s="26"/>
      <c r="M76" s="27">
        <v>0</v>
      </c>
      <c r="P76"/>
      <c r="Q76" s="209"/>
      <c r="R76" s="209"/>
      <c r="S76" s="209"/>
    </row>
    <row r="77" spans="1:19" ht="12.75" customHeight="1" x14ac:dyDescent="0.3">
      <c r="A77" s="25" t="s">
        <v>1272</v>
      </c>
      <c r="B77" s="210"/>
      <c r="C77" s="211"/>
      <c r="D77" s="26">
        <v>0</v>
      </c>
      <c r="F77" s="26">
        <v>0</v>
      </c>
      <c r="G77" s="26">
        <v>0</v>
      </c>
      <c r="H77" s="26">
        <v>0</v>
      </c>
      <c r="J77" s="26">
        <f t="shared" si="8"/>
        <v>0</v>
      </c>
      <c r="L77" s="26"/>
      <c r="M77" s="27">
        <v>0</v>
      </c>
      <c r="P77"/>
      <c r="Q77" s="209"/>
      <c r="R77" s="209"/>
      <c r="S77" s="209"/>
    </row>
    <row r="78" spans="1:19" ht="12.75" customHeight="1" x14ac:dyDescent="0.3">
      <c r="A78" s="25" t="s">
        <v>1272</v>
      </c>
      <c r="B78" s="210"/>
      <c r="C78" s="211"/>
      <c r="D78" s="26">
        <v>0</v>
      </c>
      <c r="F78" s="26">
        <v>0</v>
      </c>
      <c r="G78" s="26">
        <v>0</v>
      </c>
      <c r="H78" s="26">
        <v>0</v>
      </c>
      <c r="J78" s="26">
        <f t="shared" si="8"/>
        <v>0</v>
      </c>
      <c r="L78" s="26"/>
      <c r="M78" s="27">
        <v>0</v>
      </c>
      <c r="P78"/>
      <c r="Q78" s="209"/>
      <c r="R78" s="209"/>
      <c r="S78" s="209"/>
    </row>
    <row r="79" spans="1:19" ht="12.75" customHeight="1" x14ac:dyDescent="0.3">
      <c r="A79" s="25" t="s">
        <v>1272</v>
      </c>
      <c r="B79" s="210"/>
      <c r="C79" s="211"/>
      <c r="D79" s="26">
        <v>0</v>
      </c>
      <c r="F79" s="26">
        <v>0</v>
      </c>
      <c r="G79" s="26">
        <v>0</v>
      </c>
      <c r="H79" s="26">
        <v>0</v>
      </c>
      <c r="J79" s="26">
        <f t="shared" si="8"/>
        <v>0</v>
      </c>
      <c r="L79" s="26"/>
      <c r="M79" s="27">
        <v>0</v>
      </c>
      <c r="P79"/>
      <c r="Q79" s="209"/>
      <c r="R79" s="209"/>
      <c r="S79" s="209"/>
    </row>
    <row r="80" spans="1:19" ht="12.75" customHeight="1" x14ac:dyDescent="0.3">
      <c r="A80" s="25" t="s">
        <v>1272</v>
      </c>
      <c r="B80" s="210"/>
      <c r="C80" s="211"/>
      <c r="D80" s="26">
        <v>0</v>
      </c>
      <c r="F80" s="26">
        <v>0</v>
      </c>
      <c r="G80" s="26">
        <v>0</v>
      </c>
      <c r="H80" s="26">
        <v>0</v>
      </c>
      <c r="J80" s="26">
        <f t="shared" si="8"/>
        <v>0</v>
      </c>
      <c r="L80" s="26"/>
      <c r="M80" s="27">
        <v>0</v>
      </c>
      <c r="P80"/>
      <c r="Q80" s="209"/>
      <c r="R80" s="209"/>
      <c r="S80" s="209"/>
    </row>
    <row r="81" spans="1:19" ht="12.75" customHeight="1" x14ac:dyDescent="0.3">
      <c r="A81" s="25" t="s">
        <v>1272</v>
      </c>
      <c r="B81" s="210"/>
      <c r="C81" s="211"/>
      <c r="D81" s="26">
        <v>0</v>
      </c>
      <c r="F81" s="26">
        <v>0</v>
      </c>
      <c r="G81" s="26">
        <v>0</v>
      </c>
      <c r="H81" s="26">
        <v>0</v>
      </c>
      <c r="J81" s="26">
        <f t="shared" si="8"/>
        <v>0</v>
      </c>
      <c r="L81" s="26"/>
      <c r="M81" s="27">
        <v>0</v>
      </c>
      <c r="P81"/>
      <c r="Q81" s="209"/>
      <c r="R81" s="209"/>
      <c r="S81" s="209"/>
    </row>
    <row r="82" spans="1:19" ht="12.75" customHeight="1" x14ac:dyDescent="0.3">
      <c r="A82" s="28" t="s">
        <v>8</v>
      </c>
      <c r="B82" s="29"/>
      <c r="C82" s="28"/>
      <c r="D82" s="30">
        <v>394009.12</v>
      </c>
      <c r="E82" s="30">
        <v>0</v>
      </c>
      <c r="F82" s="30">
        <v>0</v>
      </c>
      <c r="G82" s="30">
        <v>3829.92</v>
      </c>
      <c r="H82" s="30">
        <v>2329.94</v>
      </c>
      <c r="I82" s="30">
        <v>0</v>
      </c>
      <c r="J82" s="30">
        <f t="shared" ref="J82" si="9">SUM(J71:J81)</f>
        <v>400168.98000000004</v>
      </c>
      <c r="L82" s="30">
        <v>385000</v>
      </c>
      <c r="P82"/>
      <c r="Q82" s="209"/>
      <c r="R82" s="209"/>
      <c r="S82" s="209"/>
    </row>
    <row r="83" spans="1:19" ht="12.75" customHeight="1" x14ac:dyDescent="0.3">
      <c r="P83"/>
      <c r="Q83" s="209"/>
      <c r="R83" s="209"/>
      <c r="S83" s="209"/>
    </row>
    <row r="84" spans="1:19" ht="12.75" customHeight="1" x14ac:dyDescent="0.3">
      <c r="P84"/>
      <c r="Q84" s="209"/>
      <c r="R84" s="209"/>
      <c r="S84" s="209"/>
    </row>
    <row r="85" spans="1:19" ht="12.75" customHeight="1" x14ac:dyDescent="0.3">
      <c r="P85"/>
      <c r="Q85" s="209"/>
      <c r="R85" s="209"/>
      <c r="S85" s="209"/>
    </row>
    <row r="86" spans="1:19" ht="12.75" customHeight="1" x14ac:dyDescent="0.3">
      <c r="P86"/>
      <c r="Q86" s="209"/>
      <c r="R86" s="209"/>
      <c r="S86" s="209"/>
    </row>
    <row r="87" spans="1:19" ht="12.75" customHeight="1" x14ac:dyDescent="0.3">
      <c r="A87" s="21" t="s">
        <v>0</v>
      </c>
      <c r="B87" s="22" t="s">
        <v>659</v>
      </c>
      <c r="C87" s="21" t="s">
        <v>660</v>
      </c>
      <c r="D87" s="22" t="s">
        <v>661</v>
      </c>
      <c r="E87" s="22" t="s">
        <v>662</v>
      </c>
      <c r="F87" s="22" t="s">
        <v>663</v>
      </c>
      <c r="G87" s="22" t="s">
        <v>664</v>
      </c>
      <c r="H87" s="22" t="s">
        <v>665</v>
      </c>
      <c r="I87" s="22" t="s">
        <v>676</v>
      </c>
      <c r="J87" s="22" t="s">
        <v>666</v>
      </c>
      <c r="L87" s="24" t="s">
        <v>667</v>
      </c>
      <c r="M87" s="24" t="s">
        <v>668</v>
      </c>
      <c r="O87" s="22" t="s">
        <v>669</v>
      </c>
      <c r="P87"/>
      <c r="Q87" s="209"/>
      <c r="R87" s="209"/>
      <c r="S87" s="209"/>
    </row>
    <row r="88" spans="1:19" ht="12.75" customHeight="1" x14ac:dyDescent="0.3">
      <c r="A88" s="25" t="s">
        <v>1278</v>
      </c>
      <c r="B88" s="210" t="s">
        <v>1279</v>
      </c>
      <c r="C88" s="211" t="s">
        <v>169</v>
      </c>
      <c r="D88" s="26">
        <v>66752.41</v>
      </c>
      <c r="F88" s="26">
        <v>0</v>
      </c>
      <c r="G88" s="26">
        <v>0</v>
      </c>
      <c r="H88" s="26">
        <v>0</v>
      </c>
      <c r="J88" s="26">
        <f t="shared" ref="J88:J98" si="10">SUM(D88:I88)</f>
        <v>66752.41</v>
      </c>
      <c r="L88" s="26">
        <v>82500</v>
      </c>
      <c r="M88" s="27">
        <v>0.80912012121212129</v>
      </c>
      <c r="O88" s="26">
        <v>295000</v>
      </c>
      <c r="P88" t="s">
        <v>168</v>
      </c>
      <c r="Q88" s="209">
        <v>1335.0482000000002</v>
      </c>
      <c r="R88" s="209">
        <v>333.76205000000004</v>
      </c>
      <c r="S88" s="209"/>
    </row>
    <row r="89" spans="1:19" ht="12.75" customHeight="1" x14ac:dyDescent="0.3">
      <c r="A89" s="25" t="s">
        <v>1278</v>
      </c>
      <c r="B89" s="210" t="s">
        <v>1280</v>
      </c>
      <c r="C89" s="211" t="s">
        <v>179</v>
      </c>
      <c r="D89" s="26">
        <v>74696.86</v>
      </c>
      <c r="F89" s="26">
        <v>0</v>
      </c>
      <c r="G89" s="26">
        <v>0</v>
      </c>
      <c r="H89" s="26">
        <v>0</v>
      </c>
      <c r="J89" s="26">
        <f t="shared" si="10"/>
        <v>74696.86</v>
      </c>
      <c r="L89" s="26">
        <v>82500</v>
      </c>
      <c r="M89" s="27">
        <v>0.9054164848484848</v>
      </c>
      <c r="P89" t="s">
        <v>178</v>
      </c>
      <c r="Q89" s="209">
        <v>1493.9372000000001</v>
      </c>
      <c r="R89" s="209">
        <v>373.48430000000002</v>
      </c>
      <c r="S89" s="209"/>
    </row>
    <row r="90" spans="1:19" ht="12.75" customHeight="1" x14ac:dyDescent="0.3">
      <c r="A90" s="25" t="s">
        <v>1278</v>
      </c>
      <c r="B90" s="210" t="s">
        <v>1281</v>
      </c>
      <c r="C90" s="211" t="s">
        <v>166</v>
      </c>
      <c r="D90" s="26">
        <v>1913.79</v>
      </c>
      <c r="F90" s="26">
        <v>0</v>
      </c>
      <c r="G90" s="26">
        <v>0</v>
      </c>
      <c r="H90" s="26">
        <v>0</v>
      </c>
      <c r="J90" s="26">
        <f t="shared" si="10"/>
        <v>1913.79</v>
      </c>
      <c r="L90" s="26"/>
      <c r="M90" s="27">
        <v>0</v>
      </c>
      <c r="P90" t="s">
        <v>165</v>
      </c>
      <c r="Q90" s="209">
        <v>38.275799999999997</v>
      </c>
      <c r="R90" s="209">
        <v>9.5689499999999992</v>
      </c>
      <c r="S90" s="209"/>
    </row>
    <row r="91" spans="1:19" ht="12.75" customHeight="1" x14ac:dyDescent="0.3">
      <c r="A91" s="25" t="s">
        <v>1278</v>
      </c>
      <c r="B91" s="210" t="s">
        <v>1282</v>
      </c>
      <c r="C91" s="211" t="s">
        <v>176</v>
      </c>
      <c r="D91" s="26">
        <v>62853.68</v>
      </c>
      <c r="F91" s="26">
        <v>0</v>
      </c>
      <c r="G91" s="26">
        <v>0</v>
      </c>
      <c r="H91" s="26">
        <v>0</v>
      </c>
      <c r="J91" s="26">
        <f t="shared" si="10"/>
        <v>62853.68</v>
      </c>
      <c r="L91" s="26">
        <v>82500</v>
      </c>
      <c r="M91" s="27">
        <v>0.76186278787878792</v>
      </c>
      <c r="P91" t="s">
        <v>175</v>
      </c>
      <c r="Q91" s="209">
        <v>1257.0735999999999</v>
      </c>
      <c r="R91" s="209">
        <v>314.26839999999999</v>
      </c>
      <c r="S91" s="209"/>
    </row>
    <row r="92" spans="1:19" ht="12.75" customHeight="1" x14ac:dyDescent="0.3">
      <c r="A92" s="25" t="s">
        <v>1278</v>
      </c>
      <c r="B92" s="210" t="s">
        <v>1283</v>
      </c>
      <c r="C92" s="211" t="s">
        <v>1284</v>
      </c>
      <c r="D92" s="26">
        <v>71425.59</v>
      </c>
      <c r="F92" s="26">
        <v>0</v>
      </c>
      <c r="G92" s="26">
        <v>0</v>
      </c>
      <c r="H92" s="26">
        <v>0</v>
      </c>
      <c r="J92" s="26">
        <f t="shared" si="10"/>
        <v>71425.59</v>
      </c>
      <c r="L92" s="26">
        <v>77000</v>
      </c>
      <c r="M92" s="27">
        <v>0.92760506493506489</v>
      </c>
      <c r="P92" t="s">
        <v>1239</v>
      </c>
      <c r="Q92" s="209">
        <v>1428.5118</v>
      </c>
      <c r="R92" s="209">
        <v>357.12795</v>
      </c>
      <c r="S92" s="209"/>
    </row>
    <row r="93" spans="1:19" ht="12.75" customHeight="1" x14ac:dyDescent="0.3">
      <c r="A93" s="25" t="s">
        <v>1278</v>
      </c>
      <c r="B93" s="210"/>
      <c r="C93" s="211"/>
      <c r="D93" s="26">
        <v>0</v>
      </c>
      <c r="F93" s="26">
        <v>0</v>
      </c>
      <c r="G93" s="26">
        <v>0</v>
      </c>
      <c r="H93" s="26">
        <v>0</v>
      </c>
      <c r="J93" s="26">
        <f t="shared" si="10"/>
        <v>0</v>
      </c>
      <c r="L93" s="26"/>
      <c r="M93" s="27">
        <v>0</v>
      </c>
      <c r="P93"/>
      <c r="Q93" s="209"/>
      <c r="R93" s="209"/>
      <c r="S93" s="209"/>
    </row>
    <row r="94" spans="1:19" ht="12.75" customHeight="1" x14ac:dyDescent="0.3">
      <c r="A94" s="25" t="s">
        <v>1278</v>
      </c>
      <c r="B94" s="210"/>
      <c r="C94" s="211"/>
      <c r="D94" s="26">
        <v>0</v>
      </c>
      <c r="F94" s="26">
        <v>0</v>
      </c>
      <c r="G94" s="26">
        <v>0</v>
      </c>
      <c r="H94" s="26">
        <v>0</v>
      </c>
      <c r="J94" s="26">
        <f t="shared" si="10"/>
        <v>0</v>
      </c>
      <c r="L94" s="26"/>
      <c r="M94" s="27">
        <v>0</v>
      </c>
      <c r="P94"/>
      <c r="Q94" s="209"/>
      <c r="R94" s="209"/>
      <c r="S94" s="209"/>
    </row>
    <row r="95" spans="1:19" ht="12.75" customHeight="1" x14ac:dyDescent="0.3">
      <c r="A95" s="25" t="s">
        <v>1278</v>
      </c>
      <c r="B95" s="210"/>
      <c r="C95" s="211"/>
      <c r="D95" s="26">
        <v>0</v>
      </c>
      <c r="F95" s="26">
        <v>0</v>
      </c>
      <c r="G95" s="26">
        <v>0</v>
      </c>
      <c r="H95" s="26">
        <v>0</v>
      </c>
      <c r="J95" s="26">
        <f t="shared" si="10"/>
        <v>0</v>
      </c>
      <c r="L95" s="26"/>
      <c r="M95" s="27">
        <v>0</v>
      </c>
      <c r="P95"/>
      <c r="Q95" s="209"/>
      <c r="R95" s="209"/>
      <c r="S95" s="209"/>
    </row>
    <row r="96" spans="1:19" ht="12.75" customHeight="1" x14ac:dyDescent="0.3">
      <c r="A96" s="25" t="s">
        <v>1278</v>
      </c>
      <c r="B96" s="210"/>
      <c r="C96" s="211"/>
      <c r="D96" s="26">
        <v>0</v>
      </c>
      <c r="F96" s="26">
        <v>0</v>
      </c>
      <c r="G96" s="26">
        <v>0</v>
      </c>
      <c r="H96" s="26">
        <v>0</v>
      </c>
      <c r="J96" s="26">
        <f t="shared" si="10"/>
        <v>0</v>
      </c>
      <c r="L96" s="26"/>
      <c r="M96" s="27">
        <v>0</v>
      </c>
      <c r="P96"/>
      <c r="Q96" s="209"/>
      <c r="R96" s="209"/>
      <c r="S96" s="209"/>
    </row>
    <row r="97" spans="1:19" ht="12.75" customHeight="1" x14ac:dyDescent="0.3">
      <c r="A97" s="25" t="s">
        <v>1278</v>
      </c>
      <c r="B97" s="210"/>
      <c r="C97" s="211"/>
      <c r="D97" s="26">
        <v>0</v>
      </c>
      <c r="F97" s="26">
        <v>0</v>
      </c>
      <c r="G97" s="26">
        <v>0</v>
      </c>
      <c r="H97" s="26">
        <v>0</v>
      </c>
      <c r="J97" s="26">
        <f t="shared" si="10"/>
        <v>0</v>
      </c>
      <c r="L97" s="26"/>
      <c r="M97" s="27">
        <v>0</v>
      </c>
      <c r="P97"/>
      <c r="Q97" s="209"/>
      <c r="R97" s="209"/>
      <c r="S97" s="209"/>
    </row>
    <row r="98" spans="1:19" ht="12.75" customHeight="1" x14ac:dyDescent="0.3">
      <c r="A98" s="25" t="s">
        <v>1278</v>
      </c>
      <c r="B98" s="210"/>
      <c r="C98" s="211"/>
      <c r="D98" s="26">
        <v>0</v>
      </c>
      <c r="F98" s="26">
        <v>0</v>
      </c>
      <c r="G98" s="26">
        <v>0</v>
      </c>
      <c r="H98" s="26">
        <v>0</v>
      </c>
      <c r="J98" s="26">
        <f t="shared" si="10"/>
        <v>0</v>
      </c>
      <c r="L98" s="26"/>
      <c r="M98" s="27">
        <v>0</v>
      </c>
      <c r="P98"/>
      <c r="Q98" s="209"/>
      <c r="R98" s="209"/>
      <c r="S98" s="209"/>
    </row>
    <row r="99" spans="1:19" ht="12.75" customHeight="1" x14ac:dyDescent="0.3">
      <c r="A99" s="28" t="s">
        <v>8</v>
      </c>
      <c r="B99" s="29"/>
      <c r="C99" s="28"/>
      <c r="D99" s="30">
        <v>277642.33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f t="shared" ref="J99" si="11">SUM(J88:J98)</f>
        <v>277642.33</v>
      </c>
      <c r="L99" s="30">
        <v>324500</v>
      </c>
      <c r="P99"/>
      <c r="Q99" s="209"/>
      <c r="R99" s="209"/>
      <c r="S99" s="209"/>
    </row>
    <row r="100" spans="1:19" ht="12.75" customHeight="1" x14ac:dyDescent="0.3">
      <c r="P100"/>
      <c r="Q100" s="209"/>
      <c r="R100" s="209"/>
      <c r="S100" s="209"/>
    </row>
    <row r="101" spans="1:19" ht="12.75" customHeight="1" x14ac:dyDescent="0.3">
      <c r="P101"/>
      <c r="Q101" s="209"/>
      <c r="R101" s="209"/>
      <c r="S101" s="209"/>
    </row>
    <row r="102" spans="1:19" ht="12.75" customHeight="1" x14ac:dyDescent="0.3">
      <c r="P102"/>
      <c r="Q102" s="209"/>
      <c r="R102" s="209"/>
      <c r="S102" s="209"/>
    </row>
    <row r="103" spans="1:19" ht="12.75" customHeight="1" x14ac:dyDescent="0.3">
      <c r="P103"/>
      <c r="Q103" s="209"/>
      <c r="R103" s="209"/>
      <c r="S103" s="209"/>
    </row>
    <row r="104" spans="1:19" ht="12.75" customHeight="1" x14ac:dyDescent="0.3">
      <c r="A104" s="21" t="s">
        <v>0</v>
      </c>
      <c r="B104" s="22" t="s">
        <v>659</v>
      </c>
      <c r="C104" s="21" t="s">
        <v>660</v>
      </c>
      <c r="D104" s="22" t="s">
        <v>661</v>
      </c>
      <c r="E104" s="22" t="s">
        <v>662</v>
      </c>
      <c r="F104" s="22" t="s">
        <v>663</v>
      </c>
      <c r="G104" s="22" t="s">
        <v>664</v>
      </c>
      <c r="H104" s="22" t="s">
        <v>665</v>
      </c>
      <c r="I104" s="22" t="s">
        <v>676</v>
      </c>
      <c r="J104" s="22" t="s">
        <v>666</v>
      </c>
      <c r="L104" s="24" t="s">
        <v>667</v>
      </c>
      <c r="M104" s="24" t="s">
        <v>668</v>
      </c>
      <c r="O104" s="22" t="s">
        <v>669</v>
      </c>
      <c r="P104"/>
      <c r="Q104" s="209"/>
      <c r="R104" s="209"/>
      <c r="S104" s="209"/>
    </row>
    <row r="105" spans="1:19" ht="12.75" customHeight="1" x14ac:dyDescent="0.3">
      <c r="A105" s="25" t="s">
        <v>1285</v>
      </c>
      <c r="B105" s="210" t="s">
        <v>1286</v>
      </c>
      <c r="C105" s="211" t="s">
        <v>686</v>
      </c>
      <c r="D105" s="26">
        <v>1093.9000000000001</v>
      </c>
      <c r="F105" s="26">
        <v>0</v>
      </c>
      <c r="G105" s="26">
        <v>0</v>
      </c>
      <c r="H105" s="26">
        <v>0</v>
      </c>
      <c r="J105" s="26">
        <f t="shared" ref="J105:J115" si="12">SUM(D105:I105)</f>
        <v>1093.9000000000001</v>
      </c>
      <c r="L105" s="26"/>
      <c r="M105" s="27">
        <v>0</v>
      </c>
      <c r="O105" s="26">
        <v>370000</v>
      </c>
      <c r="P105" t="s">
        <v>187</v>
      </c>
      <c r="Q105" s="209">
        <v>30.629200000000004</v>
      </c>
      <c r="R105" s="209">
        <v>7.6573000000000011</v>
      </c>
      <c r="S105" s="209"/>
    </row>
    <row r="106" spans="1:19" ht="12.75" customHeight="1" x14ac:dyDescent="0.3">
      <c r="A106" s="25" t="s">
        <v>1285</v>
      </c>
      <c r="B106" s="210" t="s">
        <v>1269</v>
      </c>
      <c r="C106" s="211" t="s">
        <v>191</v>
      </c>
      <c r="D106" s="26">
        <v>87667.18</v>
      </c>
      <c r="F106" s="26">
        <v>0</v>
      </c>
      <c r="G106" s="26">
        <v>0</v>
      </c>
      <c r="H106" s="26">
        <v>0</v>
      </c>
      <c r="J106" s="26">
        <f t="shared" si="12"/>
        <v>87667.18</v>
      </c>
      <c r="L106" s="26">
        <v>81400</v>
      </c>
      <c r="M106" s="27">
        <v>1.0769923832923831</v>
      </c>
      <c r="P106" t="s">
        <v>190</v>
      </c>
      <c r="Q106" s="209">
        <v>2454.6810399999999</v>
      </c>
      <c r="R106" s="209">
        <v>613.67025999999998</v>
      </c>
      <c r="S106" s="209">
        <v>438.33589999999998</v>
      </c>
    </row>
    <row r="107" spans="1:19" ht="12.75" customHeight="1" x14ac:dyDescent="0.3">
      <c r="A107" s="25" t="s">
        <v>1285</v>
      </c>
      <c r="B107" s="210" t="s">
        <v>1270</v>
      </c>
      <c r="C107" s="211" t="s">
        <v>687</v>
      </c>
      <c r="D107" s="26">
        <v>81750.58</v>
      </c>
      <c r="F107" s="26">
        <v>0</v>
      </c>
      <c r="G107" s="26">
        <v>279.99</v>
      </c>
      <c r="H107" s="26">
        <v>0</v>
      </c>
      <c r="J107" s="26">
        <f t="shared" si="12"/>
        <v>82030.570000000007</v>
      </c>
      <c r="L107" s="26">
        <v>81400</v>
      </c>
      <c r="M107" s="27">
        <v>1.0077465601965603</v>
      </c>
      <c r="P107" t="s">
        <v>193</v>
      </c>
      <c r="Q107" s="209">
        <v>2296.8559600000003</v>
      </c>
      <c r="R107" s="209">
        <v>574.21399000000008</v>
      </c>
      <c r="S107" s="209">
        <v>410.15285000000006</v>
      </c>
    </row>
    <row r="108" spans="1:19" ht="12.75" customHeight="1" x14ac:dyDescent="0.3">
      <c r="A108" s="25" t="s">
        <v>1285</v>
      </c>
      <c r="B108" s="210" t="s">
        <v>1253</v>
      </c>
      <c r="C108" s="211" t="s">
        <v>182</v>
      </c>
      <c r="D108" s="26">
        <v>71001.929999999993</v>
      </c>
      <c r="F108" s="26">
        <v>0</v>
      </c>
      <c r="G108" s="26">
        <v>0</v>
      </c>
      <c r="H108" s="26">
        <v>0</v>
      </c>
      <c r="J108" s="26">
        <f t="shared" si="12"/>
        <v>71001.929999999993</v>
      </c>
      <c r="L108" s="26">
        <v>81400</v>
      </c>
      <c r="M108" s="27">
        <v>0.87225958230958223</v>
      </c>
      <c r="P108" t="s">
        <v>181</v>
      </c>
      <c r="Q108" s="209">
        <v>1988.0540399999998</v>
      </c>
      <c r="R108" s="209">
        <v>497.01350999999994</v>
      </c>
      <c r="S108" s="209"/>
    </row>
    <row r="109" spans="1:19" ht="12.75" customHeight="1" x14ac:dyDescent="0.3">
      <c r="A109" s="25" t="s">
        <v>1285</v>
      </c>
      <c r="B109" s="210" t="s">
        <v>1272</v>
      </c>
      <c r="C109" s="211" t="s">
        <v>203</v>
      </c>
      <c r="D109" s="26">
        <v>67901.179999999993</v>
      </c>
      <c r="F109" s="26">
        <v>0</v>
      </c>
      <c r="G109" s="26">
        <v>329.99</v>
      </c>
      <c r="H109" s="26">
        <v>0</v>
      </c>
      <c r="J109" s="26">
        <f t="shared" si="12"/>
        <v>68231.17</v>
      </c>
      <c r="L109" s="26">
        <v>81400</v>
      </c>
      <c r="M109" s="27">
        <v>0.83822076167076165</v>
      </c>
      <c r="P109" t="s">
        <v>202</v>
      </c>
      <c r="Q109" s="209">
        <v>1910.4727599999999</v>
      </c>
      <c r="R109" s="209">
        <v>477.61818999999997</v>
      </c>
      <c r="S109" s="209"/>
    </row>
    <row r="110" spans="1:19" ht="12.75" customHeight="1" x14ac:dyDescent="0.3">
      <c r="A110" s="25" t="s">
        <v>1285</v>
      </c>
      <c r="B110" s="210" t="s">
        <v>1278</v>
      </c>
      <c r="C110" s="211" t="s">
        <v>1287</v>
      </c>
      <c r="D110" s="26">
        <v>21774.23</v>
      </c>
      <c r="F110" s="26">
        <v>0</v>
      </c>
      <c r="G110" s="26">
        <v>0</v>
      </c>
      <c r="H110" s="26">
        <v>0</v>
      </c>
      <c r="J110" s="26">
        <f t="shared" si="12"/>
        <v>21774.23</v>
      </c>
      <c r="L110" s="26">
        <v>81400</v>
      </c>
      <c r="M110" s="27">
        <v>0.26749668304668306</v>
      </c>
      <c r="P110" t="s">
        <v>940</v>
      </c>
      <c r="Q110" s="209">
        <v>609.67844000000002</v>
      </c>
      <c r="R110" s="209">
        <v>152.41961000000001</v>
      </c>
      <c r="S110" s="209"/>
    </row>
    <row r="111" spans="1:19" ht="12.75" customHeight="1" x14ac:dyDescent="0.3">
      <c r="A111" s="25" t="s">
        <v>1285</v>
      </c>
      <c r="B111" s="210"/>
      <c r="C111" s="211"/>
      <c r="D111" s="26">
        <v>0</v>
      </c>
      <c r="F111" s="26">
        <v>0</v>
      </c>
      <c r="G111" s="26">
        <v>0</v>
      </c>
      <c r="H111" s="26">
        <v>0</v>
      </c>
      <c r="J111" s="26">
        <f t="shared" si="12"/>
        <v>0</v>
      </c>
      <c r="L111" s="26"/>
      <c r="M111" s="27">
        <v>0</v>
      </c>
      <c r="P111"/>
      <c r="Q111" s="209"/>
      <c r="R111" s="209"/>
      <c r="S111" s="209"/>
    </row>
    <row r="112" spans="1:19" ht="12.75" customHeight="1" x14ac:dyDescent="0.3">
      <c r="A112" s="25" t="s">
        <v>1285</v>
      </c>
      <c r="B112" s="210"/>
      <c r="C112" s="211"/>
      <c r="D112" s="26">
        <v>0</v>
      </c>
      <c r="F112" s="26">
        <v>0</v>
      </c>
      <c r="G112" s="26">
        <v>0</v>
      </c>
      <c r="H112" s="26">
        <v>0</v>
      </c>
      <c r="J112" s="26">
        <f t="shared" si="12"/>
        <v>0</v>
      </c>
      <c r="L112" s="26"/>
      <c r="M112" s="27">
        <v>0</v>
      </c>
      <c r="P112"/>
      <c r="Q112" s="209"/>
      <c r="R112" s="209"/>
      <c r="S112" s="209"/>
    </row>
    <row r="113" spans="1:19" ht="12.75" customHeight="1" x14ac:dyDescent="0.3">
      <c r="A113" s="25" t="s">
        <v>1285</v>
      </c>
      <c r="B113" s="210"/>
      <c r="C113" s="211"/>
      <c r="D113" s="26">
        <v>0</v>
      </c>
      <c r="F113" s="26">
        <v>0</v>
      </c>
      <c r="G113" s="26">
        <v>0</v>
      </c>
      <c r="H113" s="26">
        <v>0</v>
      </c>
      <c r="J113" s="26">
        <f t="shared" si="12"/>
        <v>0</v>
      </c>
      <c r="L113" s="26"/>
      <c r="M113" s="27">
        <v>0</v>
      </c>
      <c r="P113"/>
      <c r="Q113" s="209"/>
      <c r="R113" s="209"/>
      <c r="S113" s="209"/>
    </row>
    <row r="114" spans="1:19" ht="12.75" customHeight="1" x14ac:dyDescent="0.3">
      <c r="A114" s="25" t="s">
        <v>1285</v>
      </c>
      <c r="B114" s="210"/>
      <c r="C114" s="211"/>
      <c r="D114" s="26">
        <v>0</v>
      </c>
      <c r="F114" s="26">
        <v>0</v>
      </c>
      <c r="G114" s="26">
        <v>0</v>
      </c>
      <c r="H114" s="26">
        <v>0</v>
      </c>
      <c r="J114" s="26">
        <f t="shared" si="12"/>
        <v>0</v>
      </c>
      <c r="L114" s="26"/>
      <c r="M114" s="27">
        <v>0</v>
      </c>
      <c r="P114"/>
      <c r="Q114" s="209"/>
      <c r="R114" s="209"/>
      <c r="S114" s="209"/>
    </row>
    <row r="115" spans="1:19" ht="12.75" customHeight="1" x14ac:dyDescent="0.3">
      <c r="A115" s="25" t="s">
        <v>1285</v>
      </c>
      <c r="B115" s="210"/>
      <c r="C115" s="211"/>
      <c r="D115" s="26">
        <v>0</v>
      </c>
      <c r="F115" s="26">
        <v>0</v>
      </c>
      <c r="G115" s="26">
        <v>0</v>
      </c>
      <c r="H115" s="26">
        <v>0</v>
      </c>
      <c r="J115" s="26">
        <f t="shared" si="12"/>
        <v>0</v>
      </c>
      <c r="L115" s="26"/>
      <c r="M115" s="27">
        <v>0</v>
      </c>
      <c r="P115"/>
      <c r="Q115" s="209"/>
      <c r="R115" s="209"/>
      <c r="S115" s="209"/>
    </row>
    <row r="116" spans="1:19" ht="12.75" customHeight="1" x14ac:dyDescent="0.3">
      <c r="A116" s="28" t="s">
        <v>8</v>
      </c>
      <c r="B116" s="29"/>
      <c r="C116" s="28"/>
      <c r="D116" s="30">
        <v>331188.99999999994</v>
      </c>
      <c r="E116" s="30">
        <v>0</v>
      </c>
      <c r="F116" s="30">
        <v>0</v>
      </c>
      <c r="G116" s="30">
        <v>609.98</v>
      </c>
      <c r="H116" s="30">
        <v>0</v>
      </c>
      <c r="I116" s="30">
        <v>0</v>
      </c>
      <c r="J116" s="30">
        <f t="shared" ref="J116" si="13">SUM(J105:J115)</f>
        <v>331798.98</v>
      </c>
      <c r="L116" s="30">
        <v>407000</v>
      </c>
      <c r="P116"/>
      <c r="Q116" s="209"/>
      <c r="R116" s="209"/>
      <c r="S116" s="209"/>
    </row>
    <row r="117" spans="1:19" ht="12.75" customHeight="1" x14ac:dyDescent="0.3">
      <c r="P117"/>
      <c r="Q117" s="209"/>
      <c r="R117" s="209"/>
      <c r="S117" s="209"/>
    </row>
    <row r="118" spans="1:19" ht="12.75" customHeight="1" x14ac:dyDescent="0.3">
      <c r="P118"/>
      <c r="Q118" s="209"/>
      <c r="R118" s="209"/>
      <c r="S118" s="209"/>
    </row>
    <row r="119" spans="1:19" ht="12.75" customHeight="1" x14ac:dyDescent="0.3">
      <c r="P119"/>
      <c r="Q119" s="209"/>
      <c r="R119" s="209"/>
      <c r="S119" s="209"/>
    </row>
    <row r="120" spans="1:19" ht="12.75" customHeight="1" x14ac:dyDescent="0.3">
      <c r="P120"/>
      <c r="Q120" s="209"/>
      <c r="R120" s="209"/>
      <c r="S120" s="209"/>
    </row>
    <row r="121" spans="1:19" ht="12.75" customHeight="1" x14ac:dyDescent="0.3">
      <c r="A121" s="21" t="s">
        <v>0</v>
      </c>
      <c r="B121" s="22" t="s">
        <v>659</v>
      </c>
      <c r="C121" s="21" t="s">
        <v>660</v>
      </c>
      <c r="D121" s="22" t="s">
        <v>661</v>
      </c>
      <c r="E121" s="22" t="s">
        <v>662</v>
      </c>
      <c r="F121" s="22" t="s">
        <v>663</v>
      </c>
      <c r="G121" s="22" t="s">
        <v>664</v>
      </c>
      <c r="H121" s="22" t="s">
        <v>665</v>
      </c>
      <c r="I121" s="22" t="s">
        <v>676</v>
      </c>
      <c r="J121" s="22" t="s">
        <v>666</v>
      </c>
      <c r="L121" s="24" t="s">
        <v>667</v>
      </c>
      <c r="M121" s="24" t="s">
        <v>668</v>
      </c>
      <c r="O121" s="22" t="s">
        <v>669</v>
      </c>
      <c r="P121"/>
      <c r="Q121" s="209"/>
      <c r="R121" s="209"/>
      <c r="S121" s="209"/>
    </row>
    <row r="122" spans="1:19" ht="12.75" customHeight="1" x14ac:dyDescent="0.3">
      <c r="A122" s="25" t="s">
        <v>1288</v>
      </c>
      <c r="B122" s="210" t="s">
        <v>1289</v>
      </c>
      <c r="C122" s="211" t="s">
        <v>206</v>
      </c>
      <c r="D122" s="26">
        <v>0</v>
      </c>
      <c r="F122" s="26">
        <v>0</v>
      </c>
      <c r="G122" s="26">
        <v>0</v>
      </c>
      <c r="H122" s="26">
        <v>0</v>
      </c>
      <c r="J122" s="26">
        <f t="shared" ref="J122:J132" si="14">SUM(D122:I122)</f>
        <v>0</v>
      </c>
      <c r="L122" s="26"/>
      <c r="M122" s="27">
        <v>0</v>
      </c>
      <c r="O122" s="26">
        <v>400000</v>
      </c>
      <c r="P122" t="s">
        <v>205</v>
      </c>
      <c r="Q122" s="209">
        <v>0</v>
      </c>
      <c r="R122" s="209">
        <v>0</v>
      </c>
      <c r="S122" s="209"/>
    </row>
    <row r="123" spans="1:19" ht="12.75" customHeight="1" x14ac:dyDescent="0.3">
      <c r="A123" s="25" t="s">
        <v>1288</v>
      </c>
      <c r="B123" s="210" t="s">
        <v>878</v>
      </c>
      <c r="C123" s="211" t="s">
        <v>224</v>
      </c>
      <c r="D123" s="26">
        <v>80693.13</v>
      </c>
      <c r="F123" s="26">
        <v>0</v>
      </c>
      <c r="G123" s="26">
        <v>499.99</v>
      </c>
      <c r="H123" s="26">
        <v>0</v>
      </c>
      <c r="J123" s="26">
        <f t="shared" si="14"/>
        <v>81193.12000000001</v>
      </c>
      <c r="L123" s="26">
        <v>73334</v>
      </c>
      <c r="M123" s="27">
        <v>1.1071688439196008</v>
      </c>
      <c r="P123" t="s">
        <v>223</v>
      </c>
      <c r="Q123" s="209">
        <v>3328.9179199999999</v>
      </c>
      <c r="R123" s="209">
        <v>832.22947999999997</v>
      </c>
      <c r="S123" s="209">
        <v>405.96560000000005</v>
      </c>
    </row>
    <row r="124" spans="1:19" ht="12.75" customHeight="1" x14ac:dyDescent="0.3">
      <c r="A124" s="25" t="s">
        <v>1288</v>
      </c>
      <c r="B124" s="210" t="s">
        <v>1290</v>
      </c>
      <c r="C124" s="211" t="s">
        <v>212</v>
      </c>
      <c r="D124" s="26">
        <v>67723.179999999993</v>
      </c>
      <c r="F124" s="26">
        <v>0</v>
      </c>
      <c r="G124" s="26">
        <v>949.98</v>
      </c>
      <c r="H124" s="26">
        <v>0</v>
      </c>
      <c r="J124" s="26">
        <f t="shared" si="14"/>
        <v>68673.159999999989</v>
      </c>
      <c r="L124" s="26">
        <v>73334</v>
      </c>
      <c r="M124" s="27">
        <v>0.93644366869392082</v>
      </c>
      <c r="P124" t="s">
        <v>211</v>
      </c>
      <c r="Q124" s="209">
        <v>2197.5411199999999</v>
      </c>
      <c r="R124" s="209">
        <v>549.38527999999997</v>
      </c>
      <c r="S124" s="209"/>
    </row>
    <row r="125" spans="1:19" ht="12.75" customHeight="1" x14ac:dyDescent="0.3">
      <c r="A125" s="25" t="s">
        <v>1288</v>
      </c>
      <c r="B125" s="210" t="s">
        <v>1291</v>
      </c>
      <c r="C125" s="211" t="s">
        <v>209</v>
      </c>
      <c r="D125" s="26">
        <v>65796.95</v>
      </c>
      <c r="F125" s="26">
        <v>0</v>
      </c>
      <c r="G125" s="26">
        <v>0</v>
      </c>
      <c r="H125" s="26">
        <v>0</v>
      </c>
      <c r="J125" s="26">
        <f t="shared" si="14"/>
        <v>65796.95</v>
      </c>
      <c r="L125" s="26">
        <v>73334</v>
      </c>
      <c r="M125" s="27">
        <v>0.89722297979109278</v>
      </c>
      <c r="P125" t="s">
        <v>208</v>
      </c>
      <c r="Q125" s="209">
        <v>2105.5023999999999</v>
      </c>
      <c r="R125" s="209">
        <v>526.37559999999996</v>
      </c>
      <c r="S125" s="209"/>
    </row>
    <row r="126" spans="1:19" ht="12.75" customHeight="1" x14ac:dyDescent="0.3">
      <c r="A126" s="25" t="s">
        <v>1288</v>
      </c>
      <c r="B126" s="210" t="s">
        <v>1292</v>
      </c>
      <c r="C126" s="211" t="s">
        <v>227</v>
      </c>
      <c r="D126" s="26">
        <v>76988.55</v>
      </c>
      <c r="F126" s="26">
        <v>0</v>
      </c>
      <c r="G126" s="26">
        <v>2249.96</v>
      </c>
      <c r="H126" s="26">
        <v>1799.98</v>
      </c>
      <c r="J126" s="26">
        <f t="shared" si="14"/>
        <v>81038.490000000005</v>
      </c>
      <c r="L126" s="26">
        <v>73334</v>
      </c>
      <c r="M126" s="27">
        <v>1.1050602721793439</v>
      </c>
      <c r="P126" t="s">
        <v>226</v>
      </c>
      <c r="Q126" s="209">
        <v>3322.57809</v>
      </c>
      <c r="R126" s="209">
        <v>830.64452249999999</v>
      </c>
      <c r="S126" s="209">
        <v>405.19245000000001</v>
      </c>
    </row>
    <row r="127" spans="1:19" ht="12.75" customHeight="1" x14ac:dyDescent="0.3">
      <c r="A127" s="25" t="s">
        <v>1288</v>
      </c>
      <c r="B127" s="210" t="s">
        <v>1293</v>
      </c>
      <c r="C127" s="211" t="s">
        <v>688</v>
      </c>
      <c r="D127" s="26">
        <v>59805.21</v>
      </c>
      <c r="F127" s="26">
        <v>0</v>
      </c>
      <c r="G127" s="26">
        <v>1459.96</v>
      </c>
      <c r="H127" s="26">
        <v>0</v>
      </c>
      <c r="J127" s="26">
        <f t="shared" si="14"/>
        <v>61265.17</v>
      </c>
      <c r="L127" s="26">
        <v>73334</v>
      </c>
      <c r="M127" s="27">
        <v>0.83542654157689478</v>
      </c>
      <c r="P127" t="s">
        <v>220</v>
      </c>
      <c r="Q127" s="209">
        <v>1960.4854399999999</v>
      </c>
      <c r="R127" s="209">
        <v>490.12135999999998</v>
      </c>
      <c r="S127" s="209"/>
    </row>
    <row r="128" spans="1:19" ht="12.75" customHeight="1" x14ac:dyDescent="0.3">
      <c r="A128" s="25" t="s">
        <v>1288</v>
      </c>
      <c r="B128" s="210" t="s">
        <v>1294</v>
      </c>
      <c r="C128" s="211" t="s">
        <v>689</v>
      </c>
      <c r="D128" s="26">
        <v>79622.16</v>
      </c>
      <c r="F128" s="26">
        <v>0</v>
      </c>
      <c r="G128" s="26">
        <v>2589.9299999999994</v>
      </c>
      <c r="H128" s="26">
        <v>0</v>
      </c>
      <c r="J128" s="26">
        <f t="shared" si="14"/>
        <v>82212.09</v>
      </c>
      <c r="L128" s="26">
        <v>73334</v>
      </c>
      <c r="M128" s="27">
        <v>1.1210637630566995</v>
      </c>
      <c r="P128" t="s">
        <v>217</v>
      </c>
      <c r="Q128" s="209">
        <v>3370.6956899999996</v>
      </c>
      <c r="R128" s="209">
        <v>842.67392249999989</v>
      </c>
      <c r="S128" s="209">
        <v>411.06045</v>
      </c>
    </row>
    <row r="129" spans="1:19" ht="12.75" customHeight="1" x14ac:dyDescent="0.3">
      <c r="A129" s="25" t="s">
        <v>1288</v>
      </c>
      <c r="B129" s="210"/>
      <c r="C129" s="211"/>
      <c r="D129" s="26">
        <v>0</v>
      </c>
      <c r="F129" s="26">
        <v>0</v>
      </c>
      <c r="G129" s="26">
        <v>0</v>
      </c>
      <c r="H129" s="26">
        <v>0</v>
      </c>
      <c r="J129" s="26">
        <f t="shared" si="14"/>
        <v>0</v>
      </c>
      <c r="L129" s="26"/>
      <c r="M129" s="27">
        <v>0</v>
      </c>
      <c r="P129"/>
      <c r="Q129" s="209"/>
      <c r="R129" s="209"/>
      <c r="S129" s="209"/>
    </row>
    <row r="130" spans="1:19" ht="12.75" customHeight="1" x14ac:dyDescent="0.3">
      <c r="A130" s="25" t="s">
        <v>1288</v>
      </c>
      <c r="B130" s="210"/>
      <c r="C130" s="211"/>
      <c r="D130" s="26">
        <v>0</v>
      </c>
      <c r="F130" s="26">
        <v>0</v>
      </c>
      <c r="G130" s="26">
        <v>0</v>
      </c>
      <c r="H130" s="26">
        <v>0</v>
      </c>
      <c r="J130" s="26">
        <f t="shared" si="14"/>
        <v>0</v>
      </c>
      <c r="L130" s="26"/>
      <c r="M130" s="27">
        <v>0</v>
      </c>
      <c r="P130"/>
      <c r="Q130" s="209"/>
      <c r="R130" s="209"/>
      <c r="S130" s="209"/>
    </row>
    <row r="131" spans="1:19" ht="12.75" customHeight="1" x14ac:dyDescent="0.3">
      <c r="A131" s="25" t="s">
        <v>1288</v>
      </c>
      <c r="B131" s="210"/>
      <c r="C131" s="211"/>
      <c r="D131" s="26">
        <v>0</v>
      </c>
      <c r="F131" s="26">
        <v>0</v>
      </c>
      <c r="G131" s="26">
        <v>0</v>
      </c>
      <c r="H131" s="26">
        <v>0</v>
      </c>
      <c r="J131" s="26">
        <f t="shared" si="14"/>
        <v>0</v>
      </c>
      <c r="L131" s="26"/>
      <c r="M131" s="27">
        <v>0</v>
      </c>
      <c r="P131"/>
      <c r="Q131" s="209"/>
      <c r="R131" s="209"/>
      <c r="S131" s="209"/>
    </row>
    <row r="132" spans="1:19" ht="12.75" customHeight="1" x14ac:dyDescent="0.3">
      <c r="A132" s="25" t="s">
        <v>1288</v>
      </c>
      <c r="B132" s="210"/>
      <c r="C132" s="211"/>
      <c r="D132" s="26">
        <v>0</v>
      </c>
      <c r="F132" s="26">
        <v>0</v>
      </c>
      <c r="G132" s="26">
        <v>0</v>
      </c>
      <c r="H132" s="26">
        <v>0</v>
      </c>
      <c r="J132" s="26">
        <f t="shared" si="14"/>
        <v>0</v>
      </c>
      <c r="L132" s="26"/>
      <c r="M132" s="27">
        <v>0</v>
      </c>
      <c r="P132"/>
      <c r="Q132" s="209"/>
      <c r="R132" s="209"/>
      <c r="S132" s="209"/>
    </row>
    <row r="133" spans="1:19" ht="12.75" customHeight="1" x14ac:dyDescent="0.3">
      <c r="A133" s="28" t="s">
        <v>8</v>
      </c>
      <c r="B133" s="29"/>
      <c r="C133" s="28"/>
      <c r="D133" s="30">
        <v>430629.18000000005</v>
      </c>
      <c r="E133" s="30">
        <v>0</v>
      </c>
      <c r="F133" s="30">
        <v>0</v>
      </c>
      <c r="G133" s="30">
        <v>7749.82</v>
      </c>
      <c r="H133" s="30">
        <v>1799.98</v>
      </c>
      <c r="I133" s="30">
        <v>0</v>
      </c>
      <c r="J133" s="30">
        <f t="shared" ref="J133" si="15">SUM(J122:J132)</f>
        <v>440178.98</v>
      </c>
      <c r="L133" s="30">
        <v>440004</v>
      </c>
      <c r="P133"/>
      <c r="Q133" s="209"/>
      <c r="R133" s="209"/>
      <c r="S133" s="209"/>
    </row>
    <row r="134" spans="1:19" ht="12.75" customHeight="1" x14ac:dyDescent="0.3">
      <c r="P134"/>
      <c r="Q134" s="209"/>
      <c r="R134" s="209"/>
      <c r="S134" s="209"/>
    </row>
    <row r="135" spans="1:19" ht="12.75" customHeight="1" x14ac:dyDescent="0.3">
      <c r="P135"/>
      <c r="Q135" s="209"/>
      <c r="R135" s="209"/>
      <c r="S135" s="209"/>
    </row>
    <row r="136" spans="1:19" ht="12.75" customHeight="1" x14ac:dyDescent="0.3">
      <c r="P136"/>
      <c r="Q136" s="209"/>
      <c r="R136" s="209"/>
      <c r="S136" s="209"/>
    </row>
    <row r="137" spans="1:19" ht="12.75" customHeight="1" x14ac:dyDescent="0.3">
      <c r="P137"/>
      <c r="Q137" s="209"/>
      <c r="R137" s="209"/>
      <c r="S137" s="209"/>
    </row>
    <row r="138" spans="1:19" ht="12.75" customHeight="1" x14ac:dyDescent="0.3">
      <c r="A138" s="21" t="s">
        <v>0</v>
      </c>
      <c r="B138" s="22" t="s">
        <v>659</v>
      </c>
      <c r="C138" s="21" t="s">
        <v>660</v>
      </c>
      <c r="D138" s="22" t="s">
        <v>661</v>
      </c>
      <c r="E138" s="22" t="s">
        <v>662</v>
      </c>
      <c r="F138" s="22" t="s">
        <v>663</v>
      </c>
      <c r="G138" s="22" t="s">
        <v>664</v>
      </c>
      <c r="H138" s="22" t="s">
        <v>665</v>
      </c>
      <c r="I138" s="22" t="s">
        <v>676</v>
      </c>
      <c r="J138" s="22" t="s">
        <v>666</v>
      </c>
      <c r="L138" s="24" t="s">
        <v>667</v>
      </c>
      <c r="M138" s="24" t="s">
        <v>668</v>
      </c>
      <c r="O138" s="22" t="s">
        <v>669</v>
      </c>
      <c r="P138"/>
      <c r="Q138" s="209"/>
      <c r="R138" s="209"/>
      <c r="S138" s="209"/>
    </row>
    <row r="139" spans="1:19" ht="12.75" customHeight="1" x14ac:dyDescent="0.3">
      <c r="A139" s="25" t="s">
        <v>1295</v>
      </c>
      <c r="B139" s="210" t="s">
        <v>1296</v>
      </c>
      <c r="C139" s="211" t="s">
        <v>690</v>
      </c>
      <c r="D139" s="26">
        <v>1229.95</v>
      </c>
      <c r="F139" s="26">
        <v>0</v>
      </c>
      <c r="G139" s="26">
        <v>0</v>
      </c>
      <c r="H139" s="26">
        <v>0</v>
      </c>
      <c r="J139" s="26">
        <f t="shared" ref="J139:J149" si="16">SUM(D139:I139)</f>
        <v>1229.95</v>
      </c>
      <c r="L139" s="26"/>
      <c r="M139" s="27">
        <v>0</v>
      </c>
      <c r="O139" s="26">
        <v>245000</v>
      </c>
      <c r="P139" t="s">
        <v>1297</v>
      </c>
      <c r="Q139" s="209">
        <v>43.048250000000003</v>
      </c>
      <c r="R139" s="209">
        <v>10.762062500000001</v>
      </c>
      <c r="S139" s="209"/>
    </row>
    <row r="140" spans="1:19" ht="12.75" customHeight="1" x14ac:dyDescent="0.3">
      <c r="A140" s="25" t="s">
        <v>1295</v>
      </c>
      <c r="B140" s="210" t="s">
        <v>1298</v>
      </c>
      <c r="C140" s="211" t="s">
        <v>230</v>
      </c>
      <c r="D140" s="26">
        <v>69625.08</v>
      </c>
      <c r="F140" s="26">
        <v>0</v>
      </c>
      <c r="G140" s="26">
        <v>0</v>
      </c>
      <c r="H140" s="26">
        <v>0</v>
      </c>
      <c r="J140" s="26">
        <f t="shared" si="16"/>
        <v>69625.08</v>
      </c>
      <c r="L140" s="26">
        <v>53900</v>
      </c>
      <c r="M140" s="27">
        <v>1.2917454545454545</v>
      </c>
      <c r="P140" t="s">
        <v>229</v>
      </c>
      <c r="Q140" s="209">
        <v>3063.5035200000002</v>
      </c>
      <c r="R140" s="209">
        <v>765.87588000000005</v>
      </c>
      <c r="S140" s="209">
        <v>348.12540000000001</v>
      </c>
    </row>
    <row r="141" spans="1:19" ht="12.75" customHeight="1" x14ac:dyDescent="0.3">
      <c r="A141" s="25" t="s">
        <v>1295</v>
      </c>
      <c r="B141" s="210" t="s">
        <v>1266</v>
      </c>
      <c r="C141" s="211" t="s">
        <v>233</v>
      </c>
      <c r="D141" s="26">
        <v>45137.4</v>
      </c>
      <c r="F141" s="26">
        <v>0</v>
      </c>
      <c r="G141" s="26">
        <v>0</v>
      </c>
      <c r="H141" s="26">
        <v>0</v>
      </c>
      <c r="J141" s="26">
        <f t="shared" si="16"/>
        <v>45137.4</v>
      </c>
      <c r="L141" s="26">
        <v>53900</v>
      </c>
      <c r="M141" s="27">
        <v>0.83742857142857141</v>
      </c>
      <c r="P141" t="s">
        <v>232</v>
      </c>
      <c r="Q141" s="209">
        <v>1579.8090000000002</v>
      </c>
      <c r="R141" s="209">
        <v>394.95225000000005</v>
      </c>
      <c r="S141" s="209"/>
    </row>
    <row r="142" spans="1:19" ht="12.75" customHeight="1" x14ac:dyDescent="0.3">
      <c r="A142" s="25" t="s">
        <v>1295</v>
      </c>
      <c r="B142" s="210" t="s">
        <v>1255</v>
      </c>
      <c r="C142" s="211" t="s">
        <v>251</v>
      </c>
      <c r="D142" s="26">
        <v>37146.69</v>
      </c>
      <c r="F142" s="26">
        <v>0</v>
      </c>
      <c r="G142" s="26">
        <v>0</v>
      </c>
      <c r="H142" s="26">
        <v>0</v>
      </c>
      <c r="J142" s="26">
        <f t="shared" si="16"/>
        <v>37146.69</v>
      </c>
      <c r="L142" s="26">
        <v>53900</v>
      </c>
      <c r="M142" s="27">
        <v>0.68917792207792217</v>
      </c>
      <c r="P142" t="s">
        <v>250</v>
      </c>
      <c r="Q142" s="209">
        <v>1300.1341500000003</v>
      </c>
      <c r="R142" s="209">
        <v>325.03353750000008</v>
      </c>
      <c r="S142" s="209"/>
    </row>
    <row r="143" spans="1:19" ht="12.75" customHeight="1" x14ac:dyDescent="0.3">
      <c r="A143" s="25" t="s">
        <v>1295</v>
      </c>
      <c r="B143" s="210" t="s">
        <v>885</v>
      </c>
      <c r="C143" s="211" t="s">
        <v>691</v>
      </c>
      <c r="D143" s="26">
        <v>68940.850000000006</v>
      </c>
      <c r="F143" s="26">
        <v>0</v>
      </c>
      <c r="G143" s="26">
        <v>399.98</v>
      </c>
      <c r="H143" s="26">
        <v>0</v>
      </c>
      <c r="J143" s="26">
        <f t="shared" si="16"/>
        <v>69340.83</v>
      </c>
      <c r="L143" s="26">
        <v>53900</v>
      </c>
      <c r="M143" s="27">
        <v>1.2864717996289425</v>
      </c>
      <c r="P143" t="s">
        <v>238</v>
      </c>
      <c r="Q143" s="209">
        <v>3050.9965200000006</v>
      </c>
      <c r="R143" s="209">
        <v>762.74913000000015</v>
      </c>
      <c r="S143" s="209">
        <v>346.70415000000003</v>
      </c>
    </row>
    <row r="144" spans="1:19" ht="12.75" customHeight="1" x14ac:dyDescent="0.3">
      <c r="A144" s="25" t="s">
        <v>1295</v>
      </c>
      <c r="B144" s="210" t="s">
        <v>1299</v>
      </c>
      <c r="C144" s="211" t="s">
        <v>236</v>
      </c>
      <c r="D144" s="26">
        <v>50077.66</v>
      </c>
      <c r="F144" s="26">
        <v>0</v>
      </c>
      <c r="G144" s="26">
        <v>0</v>
      </c>
      <c r="H144" s="26">
        <v>0</v>
      </c>
      <c r="J144" s="26">
        <f t="shared" si="16"/>
        <v>50077.66</v>
      </c>
      <c r="L144" s="26">
        <v>53900</v>
      </c>
      <c r="M144" s="27">
        <v>0.92908460111317259</v>
      </c>
      <c r="P144" t="s">
        <v>235</v>
      </c>
      <c r="Q144" s="209">
        <v>1752.7181000000003</v>
      </c>
      <c r="R144" s="209">
        <v>438.17952500000007</v>
      </c>
      <c r="S144" s="209"/>
    </row>
    <row r="145" spans="1:19" ht="12.75" customHeight="1" x14ac:dyDescent="0.3">
      <c r="A145" s="25" t="s">
        <v>1295</v>
      </c>
      <c r="B145" s="210"/>
      <c r="C145" s="211"/>
      <c r="D145" s="26">
        <v>0</v>
      </c>
      <c r="F145" s="26">
        <v>0</v>
      </c>
      <c r="G145" s="26">
        <v>0</v>
      </c>
      <c r="H145" s="26">
        <v>0</v>
      </c>
      <c r="J145" s="26">
        <f t="shared" si="16"/>
        <v>0</v>
      </c>
      <c r="L145" s="26"/>
      <c r="M145" s="27">
        <v>0</v>
      </c>
      <c r="P145"/>
      <c r="Q145" s="209"/>
      <c r="R145" s="209"/>
      <c r="S145" s="209"/>
    </row>
    <row r="146" spans="1:19" ht="12.75" customHeight="1" x14ac:dyDescent="0.3">
      <c r="A146" s="25" t="s">
        <v>1295</v>
      </c>
      <c r="B146" s="210"/>
      <c r="C146" s="211"/>
      <c r="D146" s="26">
        <v>0</v>
      </c>
      <c r="F146" s="26">
        <v>0</v>
      </c>
      <c r="G146" s="26">
        <v>0</v>
      </c>
      <c r="H146" s="26">
        <v>0</v>
      </c>
      <c r="J146" s="26">
        <f t="shared" si="16"/>
        <v>0</v>
      </c>
      <c r="L146" s="26"/>
      <c r="M146" s="27">
        <v>0</v>
      </c>
      <c r="P146"/>
      <c r="Q146" s="209"/>
      <c r="R146" s="209"/>
      <c r="S146" s="209"/>
    </row>
    <row r="147" spans="1:19" ht="12.75" customHeight="1" x14ac:dyDescent="0.3">
      <c r="A147" s="25" t="s">
        <v>1295</v>
      </c>
      <c r="B147" s="210"/>
      <c r="C147" s="211"/>
      <c r="D147" s="26">
        <v>0</v>
      </c>
      <c r="F147" s="26">
        <v>0</v>
      </c>
      <c r="G147" s="26">
        <v>0</v>
      </c>
      <c r="H147" s="26">
        <v>0</v>
      </c>
      <c r="J147" s="26">
        <f t="shared" si="16"/>
        <v>0</v>
      </c>
      <c r="L147" s="26"/>
      <c r="M147" s="27">
        <v>0</v>
      </c>
      <c r="P147"/>
      <c r="Q147" s="209"/>
      <c r="R147" s="209"/>
      <c r="S147" s="209"/>
    </row>
    <row r="148" spans="1:19" ht="12.75" customHeight="1" x14ac:dyDescent="0.3">
      <c r="A148" s="25" t="s">
        <v>1295</v>
      </c>
      <c r="B148" s="210"/>
      <c r="C148" s="211"/>
      <c r="D148" s="26">
        <v>0</v>
      </c>
      <c r="F148" s="26">
        <v>0</v>
      </c>
      <c r="G148" s="26">
        <v>0</v>
      </c>
      <c r="H148" s="26">
        <v>0</v>
      </c>
      <c r="J148" s="26">
        <f t="shared" si="16"/>
        <v>0</v>
      </c>
      <c r="L148" s="26"/>
      <c r="M148" s="27">
        <v>0</v>
      </c>
      <c r="P148"/>
      <c r="Q148" s="209"/>
      <c r="R148" s="209"/>
      <c r="S148" s="209"/>
    </row>
    <row r="149" spans="1:19" ht="12.75" customHeight="1" x14ac:dyDescent="0.3">
      <c r="A149" s="25" t="s">
        <v>1295</v>
      </c>
      <c r="B149" s="210"/>
      <c r="C149" s="211"/>
      <c r="D149" s="26">
        <v>0</v>
      </c>
      <c r="F149" s="26">
        <v>0</v>
      </c>
      <c r="G149" s="26">
        <v>0</v>
      </c>
      <c r="H149" s="26">
        <v>0</v>
      </c>
      <c r="J149" s="26">
        <f t="shared" si="16"/>
        <v>0</v>
      </c>
      <c r="L149" s="26"/>
      <c r="M149" s="27">
        <v>0</v>
      </c>
      <c r="P149"/>
      <c r="Q149" s="209"/>
      <c r="R149" s="209"/>
      <c r="S149" s="209"/>
    </row>
    <row r="150" spans="1:19" ht="12.75" customHeight="1" x14ac:dyDescent="0.3">
      <c r="A150" s="28" t="s">
        <v>8</v>
      </c>
      <c r="B150" s="29"/>
      <c r="C150" s="28"/>
      <c r="D150" s="30">
        <v>272157.63</v>
      </c>
      <c r="E150" s="30">
        <v>0</v>
      </c>
      <c r="F150" s="30">
        <v>0</v>
      </c>
      <c r="G150" s="30">
        <v>399.98</v>
      </c>
      <c r="H150" s="30">
        <v>0</v>
      </c>
      <c r="I150" s="30">
        <v>0</v>
      </c>
      <c r="J150" s="30">
        <f t="shared" ref="J150" si="17">SUM(J139:J149)</f>
        <v>272557.61</v>
      </c>
      <c r="L150" s="30">
        <v>269500</v>
      </c>
      <c r="P150"/>
      <c r="Q150" s="209"/>
      <c r="R150" s="209"/>
      <c r="S150" s="209"/>
    </row>
    <row r="151" spans="1:19" ht="12.75" customHeight="1" x14ac:dyDescent="0.3">
      <c r="P151"/>
      <c r="Q151" s="209"/>
      <c r="R151" s="209"/>
      <c r="S151" s="209"/>
    </row>
    <row r="152" spans="1:19" ht="12.75" customHeight="1" x14ac:dyDescent="0.3">
      <c r="P152"/>
      <c r="Q152" s="209"/>
      <c r="R152" s="209"/>
      <c r="S152" s="209"/>
    </row>
    <row r="153" spans="1:19" ht="12.75" customHeight="1" x14ac:dyDescent="0.3">
      <c r="P153"/>
      <c r="Q153" s="209"/>
      <c r="R153" s="209"/>
      <c r="S153" s="209"/>
    </row>
    <row r="154" spans="1:19" ht="12.75" customHeight="1" x14ac:dyDescent="0.3">
      <c r="P154"/>
      <c r="Q154" s="209"/>
      <c r="R154" s="209"/>
      <c r="S154" s="209"/>
    </row>
    <row r="155" spans="1:19" ht="12.75" customHeight="1" x14ac:dyDescent="0.3">
      <c r="A155" s="21" t="s">
        <v>0</v>
      </c>
      <c r="B155" s="22" t="s">
        <v>659</v>
      </c>
      <c r="C155" s="21" t="s">
        <v>660</v>
      </c>
      <c r="D155" s="22" t="s">
        <v>661</v>
      </c>
      <c r="E155" s="22" t="s">
        <v>662</v>
      </c>
      <c r="F155" s="22" t="s">
        <v>663</v>
      </c>
      <c r="G155" s="22" t="s">
        <v>664</v>
      </c>
      <c r="H155" s="22" t="s">
        <v>665</v>
      </c>
      <c r="I155" s="22" t="s">
        <v>676</v>
      </c>
      <c r="J155" s="22" t="s">
        <v>666</v>
      </c>
      <c r="L155" s="24" t="s">
        <v>667</v>
      </c>
      <c r="M155" s="24" t="s">
        <v>668</v>
      </c>
      <c r="O155" s="22" t="s">
        <v>669</v>
      </c>
      <c r="P155"/>
      <c r="Q155" s="209"/>
      <c r="R155" s="209"/>
      <c r="S155" s="209"/>
    </row>
    <row r="156" spans="1:19" ht="12.75" customHeight="1" x14ac:dyDescent="0.3">
      <c r="A156" s="25" t="s">
        <v>1300</v>
      </c>
      <c r="B156" s="210" t="s">
        <v>979</v>
      </c>
      <c r="C156" s="211" t="s">
        <v>692</v>
      </c>
      <c r="D156" s="26">
        <v>9.9999999999910005E-3</v>
      </c>
      <c r="F156" s="26">
        <v>0</v>
      </c>
      <c r="G156" s="26">
        <v>0</v>
      </c>
      <c r="H156" s="26">
        <v>0</v>
      </c>
      <c r="J156" s="26">
        <f t="shared" ref="J156:J166" si="18">SUM(D156:I156)</f>
        <v>9.9999999999910005E-3</v>
      </c>
      <c r="L156" s="26"/>
      <c r="M156" s="27">
        <v>0</v>
      </c>
      <c r="O156" s="26">
        <v>220000</v>
      </c>
      <c r="P156" t="s">
        <v>1301</v>
      </c>
      <c r="Q156" s="209">
        <v>3.1999999999971201E-4</v>
      </c>
      <c r="R156" s="209">
        <v>7.9999999999928002E-5</v>
      </c>
      <c r="S156" s="209"/>
    </row>
    <row r="157" spans="1:19" ht="12.75" customHeight="1" x14ac:dyDescent="0.3">
      <c r="A157" s="25" t="s">
        <v>1300</v>
      </c>
      <c r="B157" s="210" t="s">
        <v>1302</v>
      </c>
      <c r="C157" s="211" t="s">
        <v>266</v>
      </c>
      <c r="D157" s="26">
        <v>96488.93</v>
      </c>
      <c r="F157" s="26">
        <v>0</v>
      </c>
      <c r="G157" s="26">
        <v>0</v>
      </c>
      <c r="H157" s="26">
        <v>0</v>
      </c>
      <c r="J157" s="26">
        <f t="shared" si="18"/>
        <v>96488.93</v>
      </c>
      <c r="L157" s="26">
        <v>80667</v>
      </c>
      <c r="M157" s="27">
        <v>1.1961388176081915</v>
      </c>
      <c r="P157" t="s">
        <v>265</v>
      </c>
      <c r="Q157" s="209">
        <v>3087.6457599999999</v>
      </c>
      <c r="R157" s="209">
        <v>771.91143999999997</v>
      </c>
      <c r="S157" s="209">
        <v>482.44464999999997</v>
      </c>
    </row>
    <row r="158" spans="1:19" ht="12.75" customHeight="1" x14ac:dyDescent="0.3">
      <c r="A158" s="25" t="s">
        <v>1300</v>
      </c>
      <c r="B158" s="210" t="s">
        <v>1303</v>
      </c>
      <c r="C158" s="211" t="s">
        <v>263</v>
      </c>
      <c r="D158" s="26">
        <v>72607.850000000006</v>
      </c>
      <c r="F158" s="26">
        <v>0</v>
      </c>
      <c r="G158" s="26">
        <v>0</v>
      </c>
      <c r="H158" s="26">
        <v>0</v>
      </c>
      <c r="J158" s="26">
        <f t="shared" si="18"/>
        <v>72607.850000000006</v>
      </c>
      <c r="L158" s="26">
        <v>80667</v>
      </c>
      <c r="M158" s="27">
        <v>0.90009359465456762</v>
      </c>
      <c r="P158" t="s">
        <v>262</v>
      </c>
      <c r="Q158" s="209">
        <v>2323.4512000000004</v>
      </c>
      <c r="R158" s="209">
        <v>580.86280000000011</v>
      </c>
      <c r="S158" s="209"/>
    </row>
    <row r="159" spans="1:19" ht="12.75" customHeight="1" x14ac:dyDescent="0.3">
      <c r="A159" s="25" t="s">
        <v>1300</v>
      </c>
      <c r="B159" s="210" t="s">
        <v>1281</v>
      </c>
      <c r="C159" s="211" t="s">
        <v>260</v>
      </c>
      <c r="D159" s="26">
        <v>69878.070000000007</v>
      </c>
      <c r="F159" s="26">
        <v>0</v>
      </c>
      <c r="G159" s="26">
        <v>0</v>
      </c>
      <c r="H159" s="26">
        <v>0</v>
      </c>
      <c r="J159" s="26">
        <f t="shared" si="18"/>
        <v>69878.070000000007</v>
      </c>
      <c r="L159" s="26">
        <v>80667</v>
      </c>
      <c r="M159" s="27">
        <v>0.86625348655584078</v>
      </c>
      <c r="P159" t="s">
        <v>259</v>
      </c>
      <c r="Q159" s="209">
        <v>2236.0982400000003</v>
      </c>
      <c r="R159" s="209">
        <v>559.02456000000006</v>
      </c>
      <c r="S159" s="209"/>
    </row>
    <row r="160" spans="1:19" ht="12.75" customHeight="1" x14ac:dyDescent="0.3">
      <c r="A160" s="25" t="s">
        <v>1300</v>
      </c>
      <c r="B160" s="210"/>
      <c r="C160" s="211"/>
      <c r="D160" s="26">
        <v>0</v>
      </c>
      <c r="F160" s="26">
        <v>0</v>
      </c>
      <c r="G160" s="26">
        <v>0</v>
      </c>
      <c r="H160" s="26">
        <v>0</v>
      </c>
      <c r="J160" s="26">
        <f t="shared" si="18"/>
        <v>0</v>
      </c>
      <c r="L160" s="26"/>
      <c r="M160" s="27">
        <v>0</v>
      </c>
      <c r="P160"/>
      <c r="Q160" s="209"/>
      <c r="R160" s="209"/>
      <c r="S160" s="209"/>
    </row>
    <row r="161" spans="1:19" ht="12.75" customHeight="1" x14ac:dyDescent="0.3">
      <c r="A161" s="25" t="s">
        <v>1300</v>
      </c>
      <c r="B161" s="210"/>
      <c r="C161" s="211"/>
      <c r="D161" s="26">
        <v>0</v>
      </c>
      <c r="F161" s="26">
        <v>0</v>
      </c>
      <c r="G161" s="26">
        <v>0</v>
      </c>
      <c r="H161" s="26">
        <v>0</v>
      </c>
      <c r="J161" s="26">
        <f t="shared" si="18"/>
        <v>0</v>
      </c>
      <c r="L161" s="26"/>
      <c r="M161" s="27">
        <v>0</v>
      </c>
      <c r="P161"/>
      <c r="Q161" s="209"/>
      <c r="R161" s="209"/>
      <c r="S161" s="209"/>
    </row>
    <row r="162" spans="1:19" ht="12.75" customHeight="1" x14ac:dyDescent="0.3">
      <c r="A162" s="25" t="s">
        <v>1300</v>
      </c>
      <c r="B162" s="210"/>
      <c r="C162" s="211"/>
      <c r="D162" s="26">
        <v>0</v>
      </c>
      <c r="F162" s="26">
        <v>0</v>
      </c>
      <c r="G162" s="26">
        <v>0</v>
      </c>
      <c r="H162" s="26">
        <v>0</v>
      </c>
      <c r="J162" s="26">
        <f t="shared" si="18"/>
        <v>0</v>
      </c>
      <c r="L162" s="26"/>
      <c r="M162" s="27">
        <v>0</v>
      </c>
      <c r="P162"/>
      <c r="Q162" s="209"/>
      <c r="R162" s="209"/>
      <c r="S162" s="209"/>
    </row>
    <row r="163" spans="1:19" ht="12.75" customHeight="1" x14ac:dyDescent="0.3">
      <c r="A163" s="25" t="s">
        <v>1300</v>
      </c>
      <c r="B163" s="210"/>
      <c r="C163" s="211"/>
      <c r="D163" s="26">
        <v>0</v>
      </c>
      <c r="F163" s="26">
        <v>0</v>
      </c>
      <c r="G163" s="26">
        <v>0</v>
      </c>
      <c r="H163" s="26">
        <v>0</v>
      </c>
      <c r="J163" s="26">
        <f t="shared" si="18"/>
        <v>0</v>
      </c>
      <c r="L163" s="26"/>
      <c r="M163" s="27">
        <v>0</v>
      </c>
      <c r="P163"/>
      <c r="Q163" s="209"/>
      <c r="R163" s="209"/>
      <c r="S163" s="209"/>
    </row>
    <row r="164" spans="1:19" ht="12.75" customHeight="1" x14ac:dyDescent="0.3">
      <c r="A164" s="25" t="s">
        <v>1300</v>
      </c>
      <c r="B164" s="210"/>
      <c r="C164" s="211"/>
      <c r="D164" s="26">
        <v>0</v>
      </c>
      <c r="F164" s="26">
        <v>0</v>
      </c>
      <c r="G164" s="26">
        <v>0</v>
      </c>
      <c r="H164" s="26">
        <v>0</v>
      </c>
      <c r="J164" s="26">
        <f t="shared" si="18"/>
        <v>0</v>
      </c>
      <c r="L164" s="26"/>
      <c r="M164" s="27">
        <v>0</v>
      </c>
      <c r="P164"/>
      <c r="Q164" s="209"/>
      <c r="R164" s="209"/>
      <c r="S164" s="209"/>
    </row>
    <row r="165" spans="1:19" ht="12.75" customHeight="1" x14ac:dyDescent="0.3">
      <c r="A165" s="25" t="s">
        <v>1300</v>
      </c>
      <c r="B165" s="210"/>
      <c r="C165" s="211"/>
      <c r="D165" s="26">
        <v>0</v>
      </c>
      <c r="F165" s="26">
        <v>0</v>
      </c>
      <c r="G165" s="26">
        <v>0</v>
      </c>
      <c r="H165" s="26">
        <v>0</v>
      </c>
      <c r="J165" s="26">
        <f t="shared" si="18"/>
        <v>0</v>
      </c>
      <c r="L165" s="26"/>
      <c r="M165" s="27">
        <v>0</v>
      </c>
      <c r="P165"/>
      <c r="Q165" s="209"/>
      <c r="R165" s="209"/>
      <c r="S165" s="209"/>
    </row>
    <row r="166" spans="1:19" ht="12.75" customHeight="1" x14ac:dyDescent="0.3">
      <c r="A166" s="25" t="s">
        <v>1300</v>
      </c>
      <c r="B166" s="210"/>
      <c r="C166" s="211"/>
      <c r="D166" s="26">
        <v>0</v>
      </c>
      <c r="F166" s="26">
        <v>0</v>
      </c>
      <c r="G166" s="26">
        <v>0</v>
      </c>
      <c r="H166" s="26">
        <v>0</v>
      </c>
      <c r="J166" s="26">
        <f t="shared" si="18"/>
        <v>0</v>
      </c>
      <c r="L166" s="26"/>
      <c r="M166" s="27">
        <v>0</v>
      </c>
      <c r="P166"/>
      <c r="Q166" s="209"/>
      <c r="R166" s="209"/>
      <c r="S166" s="209"/>
    </row>
    <row r="167" spans="1:19" ht="12.75" customHeight="1" x14ac:dyDescent="0.3">
      <c r="A167" s="28" t="s">
        <v>8</v>
      </c>
      <c r="B167" s="29"/>
      <c r="C167" s="28"/>
      <c r="D167" s="30">
        <v>238974.86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f t="shared" ref="J167" si="19">SUM(J156:J166)</f>
        <v>238974.86</v>
      </c>
      <c r="L167" s="30">
        <v>242001</v>
      </c>
      <c r="P167"/>
      <c r="Q167" s="209"/>
      <c r="R167" s="209"/>
      <c r="S167" s="209"/>
    </row>
    <row r="168" spans="1:19" ht="12.75" customHeight="1" x14ac:dyDescent="0.3">
      <c r="P168"/>
      <c r="Q168" s="209"/>
      <c r="R168" s="209"/>
      <c r="S168" s="209"/>
    </row>
    <row r="169" spans="1:19" ht="12.75" customHeight="1" x14ac:dyDescent="0.3">
      <c r="P169"/>
      <c r="Q169" s="209"/>
      <c r="R169" s="209"/>
      <c r="S169" s="209"/>
    </row>
    <row r="170" spans="1:19" ht="12.75" customHeight="1" x14ac:dyDescent="0.3">
      <c r="P170"/>
      <c r="Q170" s="209"/>
      <c r="R170" s="209"/>
      <c r="S170" s="209"/>
    </row>
    <row r="171" spans="1:19" ht="12.75" customHeight="1" x14ac:dyDescent="0.3">
      <c r="P171"/>
      <c r="Q171" s="209"/>
      <c r="R171" s="209"/>
      <c r="S171" s="209"/>
    </row>
    <row r="172" spans="1:19" ht="12.75" customHeight="1" x14ac:dyDescent="0.3">
      <c r="A172" s="21" t="s">
        <v>0</v>
      </c>
      <c r="B172" s="22" t="s">
        <v>659</v>
      </c>
      <c r="C172" s="21" t="s">
        <v>660</v>
      </c>
      <c r="D172" s="22" t="s">
        <v>661</v>
      </c>
      <c r="E172" s="22" t="s">
        <v>662</v>
      </c>
      <c r="F172" s="22" t="s">
        <v>663</v>
      </c>
      <c r="G172" s="22" t="s">
        <v>664</v>
      </c>
      <c r="H172" s="22" t="s">
        <v>665</v>
      </c>
      <c r="I172" s="22" t="s">
        <v>676</v>
      </c>
      <c r="J172" s="22" t="s">
        <v>666</v>
      </c>
      <c r="L172" s="24" t="s">
        <v>667</v>
      </c>
      <c r="M172" s="24" t="s">
        <v>668</v>
      </c>
      <c r="O172" s="22" t="s">
        <v>669</v>
      </c>
      <c r="P172"/>
      <c r="Q172" s="209"/>
      <c r="R172" s="209"/>
      <c r="S172" s="209"/>
    </row>
    <row r="173" spans="1:19" ht="12.75" customHeight="1" x14ac:dyDescent="0.3">
      <c r="A173" s="25" t="s">
        <v>1304</v>
      </c>
      <c r="B173" s="210" t="s">
        <v>979</v>
      </c>
      <c r="C173" s="211" t="s">
        <v>693</v>
      </c>
      <c r="D173" s="26">
        <v>159.99</v>
      </c>
      <c r="F173" s="26">
        <v>0</v>
      </c>
      <c r="G173" s="26">
        <v>0</v>
      </c>
      <c r="H173" s="26">
        <v>0</v>
      </c>
      <c r="J173" s="26">
        <f t="shared" ref="J173:J183" si="20">SUM(D173:I173)</f>
        <v>159.99</v>
      </c>
      <c r="L173" s="26"/>
      <c r="M173" s="27">
        <v>0</v>
      </c>
      <c r="O173" s="26">
        <v>215000</v>
      </c>
      <c r="P173" t="s">
        <v>1305</v>
      </c>
      <c r="Q173" s="209">
        <v>4.4797200000000004</v>
      </c>
      <c r="R173" s="209">
        <v>1.1199300000000001</v>
      </c>
      <c r="S173" s="209"/>
    </row>
    <row r="174" spans="1:19" ht="12.75" customHeight="1" x14ac:dyDescent="0.3">
      <c r="A174" s="25" t="s">
        <v>1304</v>
      </c>
      <c r="B174" s="210" t="s">
        <v>1306</v>
      </c>
      <c r="C174" s="211" t="s">
        <v>283</v>
      </c>
      <c r="D174" s="26">
        <v>67723.91</v>
      </c>
      <c r="F174" s="26">
        <v>0</v>
      </c>
      <c r="G174" s="26">
        <v>0</v>
      </c>
      <c r="H174" s="26">
        <v>0</v>
      </c>
      <c r="J174" s="26">
        <f t="shared" si="20"/>
        <v>67723.91</v>
      </c>
      <c r="L174" s="26">
        <v>53400</v>
      </c>
      <c r="M174" s="27">
        <v>1.2682380149812735</v>
      </c>
      <c r="P174" t="s">
        <v>282</v>
      </c>
      <c r="Q174" s="209">
        <v>1896.2694800000002</v>
      </c>
      <c r="R174" s="209">
        <v>474.06737000000004</v>
      </c>
      <c r="S174" s="209">
        <v>338.61955</v>
      </c>
    </row>
    <row r="175" spans="1:19" ht="12.75" customHeight="1" x14ac:dyDescent="0.3">
      <c r="A175" s="25" t="s">
        <v>1304</v>
      </c>
      <c r="B175" s="210" t="s">
        <v>1307</v>
      </c>
      <c r="C175" s="211" t="s">
        <v>279</v>
      </c>
      <c r="D175" s="26">
        <v>48215.71</v>
      </c>
      <c r="F175" s="26">
        <v>0</v>
      </c>
      <c r="G175" s="26">
        <v>0</v>
      </c>
      <c r="H175" s="26">
        <v>0</v>
      </c>
      <c r="J175" s="26">
        <f t="shared" si="20"/>
        <v>48215.71</v>
      </c>
      <c r="L175" s="26">
        <v>53400</v>
      </c>
      <c r="M175" s="27">
        <v>0.90291591760299628</v>
      </c>
      <c r="P175" t="s">
        <v>278</v>
      </c>
      <c r="Q175" s="209">
        <v>1350.03988</v>
      </c>
      <c r="R175" s="209">
        <v>337.50997000000001</v>
      </c>
      <c r="S175" s="209"/>
    </row>
    <row r="176" spans="1:19" ht="12.75" customHeight="1" x14ac:dyDescent="0.3">
      <c r="A176" s="25" t="s">
        <v>1304</v>
      </c>
      <c r="B176" s="210" t="s">
        <v>1308</v>
      </c>
      <c r="C176" s="211" t="s">
        <v>694</v>
      </c>
      <c r="D176" s="26">
        <v>65439.05</v>
      </c>
      <c r="F176" s="26">
        <v>0</v>
      </c>
      <c r="G176" s="26">
        <v>0</v>
      </c>
      <c r="H176" s="26">
        <v>0</v>
      </c>
      <c r="J176" s="26">
        <f t="shared" si="20"/>
        <v>65439.05</v>
      </c>
      <c r="L176" s="26">
        <v>53400</v>
      </c>
      <c r="M176" s="27">
        <v>1.2254503745318353</v>
      </c>
      <c r="P176" t="s">
        <v>275</v>
      </c>
      <c r="Q176" s="209">
        <v>1832.2934</v>
      </c>
      <c r="R176" s="209">
        <v>458.07335</v>
      </c>
      <c r="S176" s="209">
        <v>327.19525000000004</v>
      </c>
    </row>
    <row r="177" spans="1:19" ht="12.75" customHeight="1" x14ac:dyDescent="0.3">
      <c r="A177" s="25" t="s">
        <v>1304</v>
      </c>
      <c r="B177" s="210" t="s">
        <v>1264</v>
      </c>
      <c r="C177" s="211" t="s">
        <v>695</v>
      </c>
      <c r="D177" s="26">
        <v>64114.65</v>
      </c>
      <c r="F177" s="26">
        <v>0</v>
      </c>
      <c r="G177" s="26">
        <v>0</v>
      </c>
      <c r="H177" s="26">
        <v>0</v>
      </c>
      <c r="J177" s="26">
        <f t="shared" si="20"/>
        <v>64114.65</v>
      </c>
      <c r="L177" s="26">
        <v>53400</v>
      </c>
      <c r="M177" s="27">
        <v>1.2006488764044945</v>
      </c>
      <c r="P177" t="s">
        <v>285</v>
      </c>
      <c r="Q177" s="209">
        <v>1795.2102</v>
      </c>
      <c r="R177" s="209">
        <v>448.80255</v>
      </c>
      <c r="S177" s="209">
        <v>320.57325000000003</v>
      </c>
    </row>
    <row r="178" spans="1:19" ht="12.75" customHeight="1" x14ac:dyDescent="0.3">
      <c r="A178" s="25" t="s">
        <v>1304</v>
      </c>
      <c r="B178" s="210" t="s">
        <v>1298</v>
      </c>
      <c r="C178" s="211" t="s">
        <v>281</v>
      </c>
      <c r="D178" s="26">
        <v>9024.51</v>
      </c>
      <c r="F178" s="26">
        <v>0</v>
      </c>
      <c r="G178" s="26">
        <v>0</v>
      </c>
      <c r="H178" s="26">
        <v>0</v>
      </c>
      <c r="J178" s="26">
        <f t="shared" si="20"/>
        <v>9024.51</v>
      </c>
      <c r="L178" s="26"/>
      <c r="M178" s="27">
        <v>0</v>
      </c>
      <c r="P178" t="s">
        <v>1309</v>
      </c>
      <c r="Q178" s="209">
        <v>252.68628000000001</v>
      </c>
      <c r="R178" s="209">
        <v>63.171570000000003</v>
      </c>
      <c r="S178" s="209"/>
    </row>
    <row r="179" spans="1:19" ht="12.75" customHeight="1" x14ac:dyDescent="0.3">
      <c r="A179" s="25" t="s">
        <v>1304</v>
      </c>
      <c r="B179" s="210" t="s">
        <v>1286</v>
      </c>
      <c r="C179" s="211" t="s">
        <v>947</v>
      </c>
      <c r="D179" s="26">
        <v>17198.97</v>
      </c>
      <c r="F179" s="26">
        <v>0</v>
      </c>
      <c r="G179" s="26">
        <v>0</v>
      </c>
      <c r="H179" s="26">
        <v>0</v>
      </c>
      <c r="J179" s="26">
        <f t="shared" si="20"/>
        <v>17198.97</v>
      </c>
      <c r="L179" s="26">
        <v>23000</v>
      </c>
      <c r="M179" s="27">
        <v>0.74778130434782619</v>
      </c>
      <c r="P179" t="s">
        <v>946</v>
      </c>
      <c r="Q179" s="209">
        <v>481.57116000000002</v>
      </c>
      <c r="R179" s="209">
        <v>120.39279000000001</v>
      </c>
      <c r="S179" s="209"/>
    </row>
    <row r="180" spans="1:19" ht="12.75" customHeight="1" x14ac:dyDescent="0.3">
      <c r="A180" s="25" t="s">
        <v>1304</v>
      </c>
      <c r="B180" s="210"/>
      <c r="C180" s="211"/>
      <c r="D180" s="26">
        <v>0</v>
      </c>
      <c r="F180" s="26">
        <v>0</v>
      </c>
      <c r="G180" s="26">
        <v>0</v>
      </c>
      <c r="H180" s="26">
        <v>0</v>
      </c>
      <c r="J180" s="26">
        <f t="shared" si="20"/>
        <v>0</v>
      </c>
      <c r="L180" s="26"/>
      <c r="M180" s="27">
        <v>0</v>
      </c>
      <c r="P180"/>
      <c r="Q180" s="209"/>
      <c r="R180" s="209"/>
      <c r="S180" s="209"/>
    </row>
    <row r="181" spans="1:19" ht="12.75" customHeight="1" x14ac:dyDescent="0.3">
      <c r="A181" s="25" t="s">
        <v>1304</v>
      </c>
      <c r="B181" s="210"/>
      <c r="C181" s="211"/>
      <c r="D181" s="26">
        <v>0</v>
      </c>
      <c r="F181" s="26">
        <v>0</v>
      </c>
      <c r="G181" s="26">
        <v>0</v>
      </c>
      <c r="H181" s="26">
        <v>0</v>
      </c>
      <c r="J181" s="26">
        <f t="shared" si="20"/>
        <v>0</v>
      </c>
      <c r="L181" s="26"/>
      <c r="M181" s="27">
        <v>0</v>
      </c>
      <c r="P181"/>
      <c r="Q181" s="209"/>
      <c r="R181" s="209"/>
      <c r="S181" s="209"/>
    </row>
    <row r="182" spans="1:19" ht="12.75" customHeight="1" x14ac:dyDescent="0.3">
      <c r="A182" s="25" t="s">
        <v>1304</v>
      </c>
      <c r="B182" s="210"/>
      <c r="C182" s="211"/>
      <c r="D182" s="26">
        <v>0</v>
      </c>
      <c r="F182" s="26">
        <v>0</v>
      </c>
      <c r="G182" s="26">
        <v>0</v>
      </c>
      <c r="H182" s="26">
        <v>0</v>
      </c>
      <c r="J182" s="26">
        <f t="shared" si="20"/>
        <v>0</v>
      </c>
      <c r="L182" s="26"/>
      <c r="M182" s="27">
        <v>0</v>
      </c>
      <c r="P182"/>
      <c r="Q182" s="209"/>
      <c r="R182" s="209"/>
      <c r="S182" s="209"/>
    </row>
    <row r="183" spans="1:19" ht="12.75" customHeight="1" x14ac:dyDescent="0.3">
      <c r="A183" s="25" t="s">
        <v>1304</v>
      </c>
      <c r="B183" s="210"/>
      <c r="C183" s="211"/>
      <c r="D183" s="26">
        <v>0</v>
      </c>
      <c r="F183" s="26">
        <v>0</v>
      </c>
      <c r="G183" s="26">
        <v>0</v>
      </c>
      <c r="H183" s="26">
        <v>0</v>
      </c>
      <c r="J183" s="26">
        <f t="shared" si="20"/>
        <v>0</v>
      </c>
      <c r="L183" s="26"/>
      <c r="M183" s="27">
        <v>0</v>
      </c>
      <c r="P183"/>
      <c r="Q183" s="209"/>
      <c r="R183" s="209"/>
      <c r="S183" s="209"/>
    </row>
    <row r="184" spans="1:19" ht="12.75" customHeight="1" x14ac:dyDescent="0.3">
      <c r="A184" s="28" t="s">
        <v>8</v>
      </c>
      <c r="B184" s="29"/>
      <c r="C184" s="28"/>
      <c r="D184" s="30">
        <v>271876.79000000004</v>
      </c>
      <c r="E184" s="30">
        <v>0</v>
      </c>
      <c r="F184" s="30">
        <v>0</v>
      </c>
      <c r="G184" s="30">
        <v>0</v>
      </c>
      <c r="H184" s="30">
        <v>0</v>
      </c>
      <c r="I184" s="30">
        <v>0</v>
      </c>
      <c r="J184" s="30">
        <f t="shared" ref="J184" si="21">SUM(J173:J183)</f>
        <v>271876.79000000004</v>
      </c>
      <c r="L184" s="30">
        <v>236600</v>
      </c>
      <c r="P184"/>
      <c r="Q184" s="209"/>
      <c r="R184" s="209"/>
      <c r="S184" s="209"/>
    </row>
    <row r="185" spans="1:19" ht="12.75" customHeight="1" x14ac:dyDescent="0.3">
      <c r="P185"/>
      <c r="Q185" s="209"/>
      <c r="R185" s="209"/>
      <c r="S185" s="209"/>
    </row>
    <row r="186" spans="1:19" ht="12.75" customHeight="1" x14ac:dyDescent="0.3">
      <c r="P186"/>
      <c r="Q186" s="209"/>
      <c r="R186" s="209"/>
      <c r="S186" s="209"/>
    </row>
    <row r="187" spans="1:19" ht="12.75" customHeight="1" x14ac:dyDescent="0.3">
      <c r="P187"/>
      <c r="Q187" s="209"/>
      <c r="R187" s="209"/>
      <c r="S187" s="209"/>
    </row>
    <row r="188" spans="1:19" ht="12.75" customHeight="1" x14ac:dyDescent="0.3">
      <c r="P188"/>
      <c r="Q188" s="209"/>
      <c r="R188" s="209"/>
      <c r="S188" s="209"/>
    </row>
    <row r="189" spans="1:19" ht="12.75" customHeight="1" x14ac:dyDescent="0.3">
      <c r="A189" s="21" t="s">
        <v>0</v>
      </c>
      <c r="B189" s="22" t="s">
        <v>659</v>
      </c>
      <c r="C189" s="21" t="s">
        <v>660</v>
      </c>
      <c r="D189" s="22" t="s">
        <v>661</v>
      </c>
      <c r="E189" s="22" t="s">
        <v>662</v>
      </c>
      <c r="F189" s="22" t="s">
        <v>663</v>
      </c>
      <c r="G189" s="22" t="s">
        <v>664</v>
      </c>
      <c r="H189" s="22" t="s">
        <v>665</v>
      </c>
      <c r="I189" s="22" t="s">
        <v>676</v>
      </c>
      <c r="J189" s="22" t="s">
        <v>666</v>
      </c>
      <c r="L189" s="24" t="s">
        <v>667</v>
      </c>
      <c r="M189" s="24" t="s">
        <v>668</v>
      </c>
      <c r="O189" s="22" t="s">
        <v>669</v>
      </c>
      <c r="P189"/>
      <c r="Q189" s="209"/>
      <c r="R189" s="209"/>
      <c r="S189" s="209"/>
    </row>
    <row r="190" spans="1:19" ht="12.75" customHeight="1" x14ac:dyDescent="0.3">
      <c r="A190" s="25" t="s">
        <v>1310</v>
      </c>
      <c r="B190" s="210" t="s">
        <v>979</v>
      </c>
      <c r="C190" s="211" t="s">
        <v>301</v>
      </c>
      <c r="D190" s="26">
        <v>2729.87</v>
      </c>
      <c r="F190" s="26">
        <v>0</v>
      </c>
      <c r="G190" s="26">
        <v>0</v>
      </c>
      <c r="H190" s="26">
        <v>0</v>
      </c>
      <c r="J190" s="26">
        <f t="shared" ref="J190:J200" si="22">SUM(D190:I190)</f>
        <v>2729.87</v>
      </c>
      <c r="L190" s="26"/>
      <c r="M190" s="27">
        <v>0</v>
      </c>
      <c r="O190" s="26">
        <v>385000</v>
      </c>
      <c r="P190" t="s">
        <v>300</v>
      </c>
      <c r="Q190" s="209">
        <v>87.355840000000001</v>
      </c>
      <c r="R190" s="209">
        <v>21.83896</v>
      </c>
      <c r="S190" s="209"/>
    </row>
    <row r="191" spans="1:19" ht="12.75" customHeight="1" x14ac:dyDescent="0.3">
      <c r="A191" s="25" t="s">
        <v>1310</v>
      </c>
      <c r="B191" s="210" t="s">
        <v>1306</v>
      </c>
      <c r="C191" s="211" t="s">
        <v>696</v>
      </c>
      <c r="D191" s="26">
        <v>65797.06</v>
      </c>
      <c r="F191" s="26">
        <v>0</v>
      </c>
      <c r="G191" s="26">
        <v>0</v>
      </c>
      <c r="H191" s="26">
        <v>0</v>
      </c>
      <c r="J191" s="26">
        <f t="shared" si="22"/>
        <v>65797.06</v>
      </c>
      <c r="L191" s="26">
        <v>65000</v>
      </c>
      <c r="M191" s="27">
        <v>1.0122624615384614</v>
      </c>
      <c r="P191" t="s">
        <v>303</v>
      </c>
      <c r="Q191" s="209">
        <v>2105.5059200000001</v>
      </c>
      <c r="R191" s="209">
        <v>526.37648000000002</v>
      </c>
      <c r="S191" s="209">
        <v>328.9853</v>
      </c>
    </row>
    <row r="192" spans="1:19" ht="12.75" customHeight="1" x14ac:dyDescent="0.3">
      <c r="A192" s="25" t="s">
        <v>1310</v>
      </c>
      <c r="B192" s="210" t="s">
        <v>1311</v>
      </c>
      <c r="C192" s="211" t="s">
        <v>697</v>
      </c>
      <c r="D192" s="26">
        <v>78885.009999999995</v>
      </c>
      <c r="F192" s="26">
        <v>0</v>
      </c>
      <c r="G192" s="26">
        <v>0</v>
      </c>
      <c r="H192" s="26">
        <v>0</v>
      </c>
      <c r="J192" s="26">
        <f t="shared" si="22"/>
        <v>78885.009999999995</v>
      </c>
      <c r="L192" s="26">
        <v>74650</v>
      </c>
      <c r="M192" s="27">
        <v>1.0567315472203616</v>
      </c>
      <c r="P192" t="s">
        <v>297</v>
      </c>
      <c r="Q192" s="209">
        <v>2524.3203199999998</v>
      </c>
      <c r="R192" s="209">
        <v>631.08007999999995</v>
      </c>
      <c r="S192" s="209">
        <v>394.42505</v>
      </c>
    </row>
    <row r="193" spans="1:19" ht="12.75" customHeight="1" x14ac:dyDescent="0.3">
      <c r="A193" s="25" t="s">
        <v>1310</v>
      </c>
      <c r="B193" s="210" t="s">
        <v>1280</v>
      </c>
      <c r="C193" s="211" t="s">
        <v>289</v>
      </c>
      <c r="D193" s="26">
        <v>73328.13</v>
      </c>
      <c r="F193" s="26">
        <v>0</v>
      </c>
      <c r="G193" s="26">
        <v>0</v>
      </c>
      <c r="H193" s="26">
        <v>0</v>
      </c>
      <c r="J193" s="26">
        <f t="shared" si="22"/>
        <v>73328.13</v>
      </c>
      <c r="L193" s="26">
        <v>74650</v>
      </c>
      <c r="M193" s="27">
        <v>0.98229243134628275</v>
      </c>
      <c r="P193" t="s">
        <v>288</v>
      </c>
      <c r="Q193" s="209">
        <v>2346.5001600000001</v>
      </c>
      <c r="R193" s="209">
        <v>586.62504000000001</v>
      </c>
      <c r="S193" s="209"/>
    </row>
    <row r="194" spans="1:19" ht="12.75" customHeight="1" x14ac:dyDescent="0.3">
      <c r="A194" s="25" t="s">
        <v>1310</v>
      </c>
      <c r="B194" s="210" t="s">
        <v>1312</v>
      </c>
      <c r="C194" s="211" t="s">
        <v>698</v>
      </c>
      <c r="D194" s="26">
        <v>74900.56</v>
      </c>
      <c r="F194" s="26">
        <v>0</v>
      </c>
      <c r="G194" s="26">
        <v>0</v>
      </c>
      <c r="H194" s="26">
        <v>0</v>
      </c>
      <c r="J194" s="26">
        <f t="shared" si="22"/>
        <v>74900.56</v>
      </c>
      <c r="L194" s="26">
        <v>74650</v>
      </c>
      <c r="M194" s="27">
        <v>1.0033564634963161</v>
      </c>
      <c r="P194" t="s">
        <v>294</v>
      </c>
      <c r="Q194" s="209">
        <v>2396.81792</v>
      </c>
      <c r="R194" s="209">
        <v>599.20447999999999</v>
      </c>
      <c r="S194" s="209">
        <v>374.50279999999998</v>
      </c>
    </row>
    <row r="195" spans="1:19" ht="12.75" customHeight="1" x14ac:dyDescent="0.3">
      <c r="A195" s="25" t="s">
        <v>1310</v>
      </c>
      <c r="B195" s="210" t="s">
        <v>1313</v>
      </c>
      <c r="C195" s="211" t="s">
        <v>310</v>
      </c>
      <c r="D195" s="26">
        <v>76160.11</v>
      </c>
      <c r="F195" s="26">
        <v>0</v>
      </c>
      <c r="G195" s="26">
        <v>0</v>
      </c>
      <c r="H195" s="26">
        <v>0</v>
      </c>
      <c r="J195" s="26">
        <f t="shared" si="22"/>
        <v>76160.11</v>
      </c>
      <c r="L195" s="26">
        <v>74650</v>
      </c>
      <c r="M195" s="27">
        <v>1.0202292029470863</v>
      </c>
      <c r="P195" t="s">
        <v>309</v>
      </c>
      <c r="Q195" s="209">
        <v>2437.1235200000001</v>
      </c>
      <c r="R195" s="209">
        <v>609.28088000000002</v>
      </c>
      <c r="S195" s="209">
        <v>380.80054999999999</v>
      </c>
    </row>
    <row r="196" spans="1:19" ht="12.75" customHeight="1" x14ac:dyDescent="0.3">
      <c r="A196" s="25" t="s">
        <v>1310</v>
      </c>
      <c r="B196" s="210" t="s">
        <v>1264</v>
      </c>
      <c r="C196" s="211" t="s">
        <v>699</v>
      </c>
      <c r="D196" s="26">
        <v>60165.46</v>
      </c>
      <c r="F196" s="26">
        <v>0</v>
      </c>
      <c r="G196" s="26">
        <v>429.99</v>
      </c>
      <c r="H196" s="26">
        <v>499.99</v>
      </c>
      <c r="J196" s="26">
        <f t="shared" si="22"/>
        <v>61095.439999999995</v>
      </c>
      <c r="L196" s="26">
        <v>60000</v>
      </c>
      <c r="M196" s="27">
        <v>1.0182573333333333</v>
      </c>
      <c r="P196" t="s">
        <v>306</v>
      </c>
      <c r="Q196" s="209">
        <v>1955.0540799999999</v>
      </c>
      <c r="R196" s="209">
        <v>488.76351999999997</v>
      </c>
      <c r="S196" s="209">
        <v>305.47719999999998</v>
      </c>
    </row>
    <row r="197" spans="1:19" ht="12.75" customHeight="1" x14ac:dyDescent="0.3">
      <c r="A197" s="25" t="s">
        <v>1310</v>
      </c>
      <c r="B197" s="210">
        <v>2</v>
      </c>
      <c r="C197" s="211"/>
      <c r="D197" s="26">
        <v>0</v>
      </c>
      <c r="F197" s="26">
        <v>0</v>
      </c>
      <c r="G197" s="26">
        <v>0</v>
      </c>
      <c r="H197" s="26">
        <v>0</v>
      </c>
      <c r="J197" s="26">
        <f t="shared" si="22"/>
        <v>0</v>
      </c>
      <c r="L197" s="26"/>
      <c r="M197" s="27">
        <v>0</v>
      </c>
      <c r="P197" t="s">
        <v>1314</v>
      </c>
      <c r="Q197" s="209">
        <v>0</v>
      </c>
      <c r="R197" s="209">
        <v>0</v>
      </c>
      <c r="S197" s="209"/>
    </row>
    <row r="198" spans="1:19" ht="12.75" customHeight="1" x14ac:dyDescent="0.3">
      <c r="A198" s="25" t="s">
        <v>1310</v>
      </c>
      <c r="B198" s="210">
        <v>2</v>
      </c>
      <c r="C198" s="211"/>
      <c r="D198" s="26">
        <v>0</v>
      </c>
      <c r="F198" s="26">
        <v>0</v>
      </c>
      <c r="G198" s="26">
        <v>0</v>
      </c>
      <c r="H198" s="26">
        <v>0</v>
      </c>
      <c r="J198" s="26">
        <f t="shared" si="22"/>
        <v>0</v>
      </c>
      <c r="L198" s="26"/>
      <c r="M198" s="27">
        <v>0</v>
      </c>
      <c r="P198" t="s">
        <v>1314</v>
      </c>
      <c r="Q198" s="209">
        <v>0</v>
      </c>
      <c r="R198" s="209">
        <v>0</v>
      </c>
      <c r="S198" s="209"/>
    </row>
    <row r="199" spans="1:19" ht="12.75" customHeight="1" x14ac:dyDescent="0.3">
      <c r="A199" s="25" t="s">
        <v>1310</v>
      </c>
      <c r="B199" s="210">
        <v>2</v>
      </c>
      <c r="C199" s="211"/>
      <c r="D199" s="26">
        <v>0</v>
      </c>
      <c r="F199" s="26">
        <v>0</v>
      </c>
      <c r="G199" s="26">
        <v>0</v>
      </c>
      <c r="H199" s="26">
        <v>0</v>
      </c>
      <c r="J199" s="26">
        <f t="shared" si="22"/>
        <v>0</v>
      </c>
      <c r="L199" s="26"/>
      <c r="M199" s="27">
        <v>0</v>
      </c>
      <c r="P199" t="s">
        <v>1314</v>
      </c>
      <c r="Q199" s="209">
        <v>0</v>
      </c>
      <c r="R199" s="209">
        <v>0</v>
      </c>
      <c r="S199" s="209"/>
    </row>
    <row r="200" spans="1:19" ht="12.75" customHeight="1" x14ac:dyDescent="0.3">
      <c r="A200" s="25" t="s">
        <v>1310</v>
      </c>
      <c r="B200" s="210">
        <v>2</v>
      </c>
      <c r="C200" s="211"/>
      <c r="D200" s="26">
        <v>0</v>
      </c>
      <c r="F200" s="26">
        <v>0</v>
      </c>
      <c r="G200" s="26">
        <v>0</v>
      </c>
      <c r="H200" s="26">
        <v>0</v>
      </c>
      <c r="J200" s="26">
        <f t="shared" si="22"/>
        <v>0</v>
      </c>
      <c r="L200" s="26"/>
      <c r="M200" s="27">
        <v>0</v>
      </c>
      <c r="P200" t="s">
        <v>1314</v>
      </c>
      <c r="Q200" s="209">
        <v>0</v>
      </c>
      <c r="R200" s="209">
        <v>0</v>
      </c>
      <c r="S200" s="209"/>
    </row>
    <row r="201" spans="1:19" ht="12.75" customHeight="1" x14ac:dyDescent="0.3">
      <c r="A201" s="28" t="s">
        <v>8</v>
      </c>
      <c r="B201" s="29"/>
      <c r="C201" s="28"/>
      <c r="D201" s="30">
        <v>431966.2</v>
      </c>
      <c r="E201" s="30">
        <v>0</v>
      </c>
      <c r="F201" s="30">
        <v>0</v>
      </c>
      <c r="G201" s="30">
        <v>429.99</v>
      </c>
      <c r="H201" s="30">
        <v>499.99</v>
      </c>
      <c r="I201" s="30">
        <v>0</v>
      </c>
      <c r="J201" s="30">
        <f t="shared" ref="J201" si="23">SUM(J190:J200)</f>
        <v>432896.18</v>
      </c>
      <c r="L201" s="30">
        <v>423600</v>
      </c>
      <c r="P201"/>
      <c r="Q201" s="209"/>
      <c r="R201" s="209"/>
      <c r="S201" s="209"/>
    </row>
    <row r="202" spans="1:19" ht="12.75" customHeight="1" x14ac:dyDescent="0.3">
      <c r="P202"/>
      <c r="Q202" s="209"/>
      <c r="R202" s="209"/>
      <c r="S202" s="209"/>
    </row>
    <row r="203" spans="1:19" ht="12.75" customHeight="1" x14ac:dyDescent="0.3">
      <c r="P203"/>
      <c r="Q203" s="209"/>
      <c r="R203" s="209"/>
      <c r="S203" s="209"/>
    </row>
    <row r="204" spans="1:19" ht="12.75" customHeight="1" x14ac:dyDescent="0.3">
      <c r="P204"/>
      <c r="Q204" s="209"/>
      <c r="R204" s="209"/>
      <c r="S204" s="209"/>
    </row>
    <row r="205" spans="1:19" ht="12.75" customHeight="1" x14ac:dyDescent="0.3">
      <c r="P205"/>
      <c r="Q205" s="209"/>
      <c r="R205" s="209"/>
      <c r="S205" s="209"/>
    </row>
    <row r="206" spans="1:19" ht="12.75" customHeight="1" x14ac:dyDescent="0.3">
      <c r="A206" s="21" t="s">
        <v>0</v>
      </c>
      <c r="B206" s="22" t="s">
        <v>659</v>
      </c>
      <c r="C206" s="21" t="s">
        <v>660</v>
      </c>
      <c r="D206" s="22" t="s">
        <v>661</v>
      </c>
      <c r="E206" s="22" t="s">
        <v>662</v>
      </c>
      <c r="F206" s="22" t="s">
        <v>663</v>
      </c>
      <c r="G206" s="22" t="s">
        <v>664</v>
      </c>
      <c r="H206" s="22" t="s">
        <v>665</v>
      </c>
      <c r="I206" s="22" t="s">
        <v>676</v>
      </c>
      <c r="J206" s="22" t="s">
        <v>666</v>
      </c>
      <c r="L206" s="24" t="s">
        <v>667</v>
      </c>
      <c r="M206" s="24" t="s">
        <v>668</v>
      </c>
      <c r="O206" s="22" t="s">
        <v>669</v>
      </c>
      <c r="P206"/>
      <c r="Q206" s="209"/>
      <c r="R206" s="209"/>
      <c r="S206" s="209"/>
    </row>
    <row r="207" spans="1:19" ht="12.75" customHeight="1" x14ac:dyDescent="0.3">
      <c r="A207" s="25" t="s">
        <v>1315</v>
      </c>
      <c r="B207" s="210" t="s">
        <v>1255</v>
      </c>
      <c r="C207" s="211" t="s">
        <v>313</v>
      </c>
      <c r="D207" s="26">
        <v>4371.8</v>
      </c>
      <c r="F207" s="26">
        <v>0</v>
      </c>
      <c r="G207" s="26">
        <v>0</v>
      </c>
      <c r="H207" s="26">
        <v>0</v>
      </c>
      <c r="J207" s="26">
        <f t="shared" ref="J207:J217" si="24">SUM(D207:I207)</f>
        <v>4371.8</v>
      </c>
      <c r="L207" s="26"/>
      <c r="M207" s="27">
        <v>0</v>
      </c>
      <c r="O207" s="26">
        <v>160000</v>
      </c>
      <c r="P207" t="s">
        <v>312</v>
      </c>
      <c r="Q207" s="209">
        <v>139.89760000000001</v>
      </c>
      <c r="R207" s="209">
        <v>34.974400000000003</v>
      </c>
      <c r="S207" s="209"/>
    </row>
    <row r="208" spans="1:19" ht="12.75" customHeight="1" x14ac:dyDescent="0.3">
      <c r="A208" s="25" t="s">
        <v>1315</v>
      </c>
      <c r="B208" s="210" t="s">
        <v>885</v>
      </c>
      <c r="C208" s="211"/>
      <c r="D208" s="26">
        <v>0</v>
      </c>
      <c r="F208" s="26">
        <v>0</v>
      </c>
      <c r="G208" s="26">
        <v>0</v>
      </c>
      <c r="H208" s="26">
        <v>0</v>
      </c>
      <c r="J208" s="26">
        <f t="shared" si="24"/>
        <v>0</v>
      </c>
      <c r="L208" s="26"/>
      <c r="M208" s="27">
        <v>0</v>
      </c>
      <c r="P208" t="s">
        <v>318</v>
      </c>
      <c r="Q208" s="209">
        <v>0</v>
      </c>
      <c r="R208" s="209">
        <v>0</v>
      </c>
      <c r="S208" s="209"/>
    </row>
    <row r="209" spans="1:19" ht="12.75" customHeight="1" x14ac:dyDescent="0.3">
      <c r="A209" s="25" t="s">
        <v>1315</v>
      </c>
      <c r="B209" s="210" t="s">
        <v>1316</v>
      </c>
      <c r="C209" s="211" t="s">
        <v>316</v>
      </c>
      <c r="D209" s="26">
        <v>39487.449999999997</v>
      </c>
      <c r="F209" s="26">
        <v>0</v>
      </c>
      <c r="G209" s="26">
        <v>0</v>
      </c>
      <c r="H209" s="26">
        <v>0</v>
      </c>
      <c r="J209" s="26">
        <f t="shared" si="24"/>
        <v>39487.449999999997</v>
      </c>
      <c r="L209" s="26">
        <v>58667</v>
      </c>
      <c r="M209" s="27">
        <v>0.67307770978573978</v>
      </c>
      <c r="P209" t="s">
        <v>315</v>
      </c>
      <c r="Q209" s="209">
        <v>1263.5983999999999</v>
      </c>
      <c r="R209" s="209">
        <v>315.89959999999996</v>
      </c>
      <c r="S209" s="209"/>
    </row>
    <row r="210" spans="1:19" ht="12.75" customHeight="1" x14ac:dyDescent="0.3">
      <c r="A210" s="25" t="s">
        <v>1315</v>
      </c>
      <c r="B210" s="210" t="s">
        <v>1317</v>
      </c>
      <c r="C210" s="211" t="s">
        <v>322</v>
      </c>
      <c r="D210" s="26">
        <v>77523.56</v>
      </c>
      <c r="F210" s="26">
        <v>0</v>
      </c>
      <c r="G210" s="26">
        <v>0</v>
      </c>
      <c r="H210" s="26">
        <v>299.99</v>
      </c>
      <c r="J210" s="26">
        <f t="shared" si="24"/>
        <v>77823.55</v>
      </c>
      <c r="L210" s="26">
        <v>58667</v>
      </c>
      <c r="M210" s="27">
        <v>1.3265302469872331</v>
      </c>
      <c r="P210" t="s">
        <v>321</v>
      </c>
      <c r="Q210" s="209">
        <v>2490.3536000000004</v>
      </c>
      <c r="R210" s="209">
        <v>622.58840000000009</v>
      </c>
      <c r="S210" s="209">
        <v>389.11775</v>
      </c>
    </row>
    <row r="211" spans="1:19" ht="12.75" customHeight="1" x14ac:dyDescent="0.3">
      <c r="A211" s="25" t="s">
        <v>1315</v>
      </c>
      <c r="B211" s="210" t="s">
        <v>1318</v>
      </c>
      <c r="C211" s="211" t="s">
        <v>325</v>
      </c>
      <c r="D211" s="26">
        <v>39049.629999999997</v>
      </c>
      <c r="F211" s="26">
        <v>0</v>
      </c>
      <c r="G211" s="26">
        <v>0</v>
      </c>
      <c r="H211" s="26">
        <v>0</v>
      </c>
      <c r="J211" s="26">
        <f t="shared" si="24"/>
        <v>39049.629999999997</v>
      </c>
      <c r="L211" s="26">
        <v>58667</v>
      </c>
      <c r="M211" s="27">
        <v>0.66561491127891315</v>
      </c>
      <c r="P211" t="s">
        <v>324</v>
      </c>
      <c r="Q211" s="209">
        <v>1249.58816</v>
      </c>
      <c r="R211" s="209">
        <v>312.39704</v>
      </c>
      <c r="S211" s="209"/>
    </row>
    <row r="212" spans="1:19" ht="12.75" customHeight="1" x14ac:dyDescent="0.3">
      <c r="A212" s="25" t="s">
        <v>1315</v>
      </c>
      <c r="B212" s="210"/>
      <c r="C212" s="211"/>
      <c r="D212" s="26">
        <v>0</v>
      </c>
      <c r="F212" s="26">
        <v>0</v>
      </c>
      <c r="G212" s="26">
        <v>0</v>
      </c>
      <c r="H212" s="26">
        <v>0</v>
      </c>
      <c r="J212" s="26">
        <f t="shared" si="24"/>
        <v>0</v>
      </c>
      <c r="L212" s="26"/>
      <c r="M212" s="27">
        <v>0</v>
      </c>
      <c r="P212"/>
      <c r="Q212" s="209"/>
      <c r="R212" s="209"/>
      <c r="S212" s="209"/>
    </row>
    <row r="213" spans="1:19" ht="12.75" customHeight="1" x14ac:dyDescent="0.3">
      <c r="A213" s="25" t="s">
        <v>1315</v>
      </c>
      <c r="B213" s="210"/>
      <c r="C213" s="211"/>
      <c r="D213" s="26">
        <v>0</v>
      </c>
      <c r="F213" s="26">
        <v>0</v>
      </c>
      <c r="G213" s="26">
        <v>0</v>
      </c>
      <c r="H213" s="26">
        <v>0</v>
      </c>
      <c r="J213" s="26">
        <f t="shared" si="24"/>
        <v>0</v>
      </c>
      <c r="L213" s="26"/>
      <c r="M213" s="27">
        <v>0</v>
      </c>
      <c r="P213"/>
      <c r="Q213" s="209"/>
      <c r="R213" s="209"/>
      <c r="S213" s="209"/>
    </row>
    <row r="214" spans="1:19" ht="12.75" customHeight="1" x14ac:dyDescent="0.3">
      <c r="A214" s="25" t="s">
        <v>1315</v>
      </c>
      <c r="B214" s="210"/>
      <c r="C214" s="211"/>
      <c r="D214" s="26">
        <v>0</v>
      </c>
      <c r="F214" s="26">
        <v>0</v>
      </c>
      <c r="G214" s="26">
        <v>0</v>
      </c>
      <c r="H214" s="26">
        <v>0</v>
      </c>
      <c r="J214" s="26">
        <f t="shared" si="24"/>
        <v>0</v>
      </c>
      <c r="L214" s="26"/>
      <c r="M214" s="27">
        <v>0</v>
      </c>
      <c r="P214"/>
      <c r="Q214" s="209"/>
      <c r="R214" s="209"/>
      <c r="S214" s="209"/>
    </row>
    <row r="215" spans="1:19" ht="12.75" customHeight="1" x14ac:dyDescent="0.3">
      <c r="A215" s="25" t="s">
        <v>1315</v>
      </c>
      <c r="B215" s="210"/>
      <c r="C215" s="211"/>
      <c r="D215" s="26">
        <v>0</v>
      </c>
      <c r="F215" s="26">
        <v>0</v>
      </c>
      <c r="G215" s="26">
        <v>0</v>
      </c>
      <c r="H215" s="26">
        <v>0</v>
      </c>
      <c r="J215" s="26">
        <f t="shared" si="24"/>
        <v>0</v>
      </c>
      <c r="L215" s="26"/>
      <c r="M215" s="27">
        <v>0</v>
      </c>
      <c r="P215"/>
      <c r="Q215" s="209"/>
      <c r="R215" s="209"/>
      <c r="S215" s="209"/>
    </row>
    <row r="216" spans="1:19" ht="12.75" customHeight="1" x14ac:dyDescent="0.3">
      <c r="A216" s="25" t="s">
        <v>1315</v>
      </c>
      <c r="B216" s="210"/>
      <c r="C216" s="211"/>
      <c r="D216" s="26">
        <v>0</v>
      </c>
      <c r="F216" s="26">
        <v>0</v>
      </c>
      <c r="G216" s="26">
        <v>0</v>
      </c>
      <c r="H216" s="26">
        <v>0</v>
      </c>
      <c r="J216" s="26">
        <f t="shared" si="24"/>
        <v>0</v>
      </c>
      <c r="L216" s="26"/>
      <c r="M216" s="27">
        <v>0</v>
      </c>
      <c r="P216"/>
      <c r="Q216" s="209"/>
      <c r="R216" s="209"/>
      <c r="S216" s="209"/>
    </row>
    <row r="217" spans="1:19" ht="12.75" customHeight="1" x14ac:dyDescent="0.3">
      <c r="A217" s="25" t="s">
        <v>1315</v>
      </c>
      <c r="B217" s="210"/>
      <c r="C217" s="211"/>
      <c r="D217" s="26">
        <v>0</v>
      </c>
      <c r="F217" s="26">
        <v>0</v>
      </c>
      <c r="G217" s="26">
        <v>0</v>
      </c>
      <c r="H217" s="26">
        <v>0</v>
      </c>
      <c r="J217" s="26">
        <f t="shared" si="24"/>
        <v>0</v>
      </c>
      <c r="L217" s="26"/>
      <c r="M217" s="27">
        <v>0</v>
      </c>
      <c r="P217"/>
      <c r="Q217" s="209"/>
      <c r="R217" s="209"/>
      <c r="S217" s="209"/>
    </row>
    <row r="218" spans="1:19" ht="12.75" customHeight="1" x14ac:dyDescent="0.3">
      <c r="A218" s="28" t="s">
        <v>8</v>
      </c>
      <c r="B218" s="29"/>
      <c r="C218" s="28"/>
      <c r="D218" s="30">
        <v>160432.44</v>
      </c>
      <c r="E218" s="30">
        <v>0</v>
      </c>
      <c r="F218" s="30">
        <v>0</v>
      </c>
      <c r="G218" s="30">
        <v>0</v>
      </c>
      <c r="H218" s="30">
        <v>299.99</v>
      </c>
      <c r="I218" s="30">
        <v>0</v>
      </c>
      <c r="J218" s="30">
        <f t="shared" ref="J218" si="25">SUM(J207:J217)</f>
        <v>160732.43</v>
      </c>
      <c r="L218" s="30">
        <v>176001</v>
      </c>
      <c r="P218"/>
      <c r="Q218" s="209"/>
      <c r="R218" s="209"/>
      <c r="S218" s="209"/>
    </row>
    <row r="219" spans="1:19" ht="12.75" customHeight="1" x14ac:dyDescent="0.3">
      <c r="P219"/>
      <c r="Q219" s="209"/>
      <c r="R219" s="209"/>
      <c r="S219" s="209"/>
    </row>
    <row r="220" spans="1:19" ht="12.75" customHeight="1" x14ac:dyDescent="0.3">
      <c r="P220"/>
      <c r="Q220" s="209"/>
      <c r="R220" s="209"/>
      <c r="S220" s="209"/>
    </row>
    <row r="221" spans="1:19" ht="12.75" customHeight="1" x14ac:dyDescent="0.3">
      <c r="P221"/>
      <c r="Q221" s="209"/>
      <c r="R221" s="209"/>
      <c r="S221" s="209"/>
    </row>
    <row r="222" spans="1:19" ht="12.75" customHeight="1" x14ac:dyDescent="0.3">
      <c r="P222"/>
      <c r="Q222" s="209"/>
      <c r="R222" s="209"/>
      <c r="S222" s="209"/>
    </row>
    <row r="223" spans="1:19" ht="12.75" customHeight="1" x14ac:dyDescent="0.3">
      <c r="A223" s="21" t="s">
        <v>0</v>
      </c>
      <c r="B223" s="22" t="s">
        <v>659</v>
      </c>
      <c r="C223" s="21" t="s">
        <v>660</v>
      </c>
      <c r="D223" s="22" t="s">
        <v>661</v>
      </c>
      <c r="E223" s="22" t="s">
        <v>662</v>
      </c>
      <c r="F223" s="22" t="s">
        <v>663</v>
      </c>
      <c r="G223" s="22" t="s">
        <v>664</v>
      </c>
      <c r="H223" s="22" t="s">
        <v>665</v>
      </c>
      <c r="I223" s="22" t="s">
        <v>676</v>
      </c>
      <c r="J223" s="22" t="s">
        <v>666</v>
      </c>
      <c r="L223" s="24" t="s">
        <v>667</v>
      </c>
      <c r="M223" s="24" t="s">
        <v>668</v>
      </c>
      <c r="O223" s="22" t="s">
        <v>669</v>
      </c>
      <c r="P223"/>
      <c r="Q223" s="209"/>
      <c r="R223" s="209"/>
      <c r="S223" s="209"/>
    </row>
    <row r="224" spans="1:19" ht="12.75" customHeight="1" x14ac:dyDescent="0.3">
      <c r="A224" s="25" t="s">
        <v>1319</v>
      </c>
      <c r="B224" s="210" t="s">
        <v>1320</v>
      </c>
      <c r="C224" s="211" t="s">
        <v>331</v>
      </c>
      <c r="D224" s="26">
        <v>129449.92</v>
      </c>
      <c r="F224" s="26">
        <v>0</v>
      </c>
      <c r="G224" s="26">
        <v>0</v>
      </c>
      <c r="H224" s="26">
        <v>0</v>
      </c>
      <c r="J224" s="26">
        <f t="shared" ref="J224:J234" si="26">SUM(D224:I224)</f>
        <v>129449.92</v>
      </c>
      <c r="L224" s="26">
        <v>82500</v>
      </c>
      <c r="M224" s="27">
        <v>1.5690899393939395</v>
      </c>
      <c r="O224" s="26">
        <v>450000</v>
      </c>
      <c r="P224" t="s">
        <v>330</v>
      </c>
      <c r="Q224" s="209">
        <v>3624.5977600000001</v>
      </c>
      <c r="R224" s="209">
        <v>906.14944000000003</v>
      </c>
      <c r="S224" s="209">
        <v>647.24959999999999</v>
      </c>
    </row>
    <row r="225" spans="1:19" ht="12.75" customHeight="1" x14ac:dyDescent="0.3">
      <c r="A225" s="25" t="s">
        <v>1319</v>
      </c>
      <c r="B225" s="210" t="s">
        <v>1306</v>
      </c>
      <c r="C225" s="211" t="s">
        <v>349</v>
      </c>
      <c r="D225" s="26">
        <v>81715.929999999993</v>
      </c>
      <c r="F225" s="26">
        <v>0</v>
      </c>
      <c r="G225" s="26">
        <v>1899.97</v>
      </c>
      <c r="H225" s="26">
        <v>0</v>
      </c>
      <c r="J225" s="26">
        <f t="shared" si="26"/>
        <v>83615.899999999994</v>
      </c>
      <c r="L225" s="26">
        <v>82500</v>
      </c>
      <c r="M225" s="27">
        <v>1.0135260606060605</v>
      </c>
      <c r="P225" t="s">
        <v>348</v>
      </c>
      <c r="Q225" s="209">
        <v>2341.2451999999998</v>
      </c>
      <c r="R225" s="209">
        <v>585.31129999999996</v>
      </c>
      <c r="S225" s="209">
        <v>418.0795</v>
      </c>
    </row>
    <row r="226" spans="1:19" ht="12.75" customHeight="1" x14ac:dyDescent="0.3">
      <c r="A226" s="25" t="s">
        <v>1319</v>
      </c>
      <c r="B226" s="210" t="s">
        <v>1280</v>
      </c>
      <c r="C226" s="211" t="s">
        <v>337</v>
      </c>
      <c r="D226" s="26">
        <v>112859.84</v>
      </c>
      <c r="F226" s="26">
        <v>0</v>
      </c>
      <c r="G226" s="26">
        <v>0</v>
      </c>
      <c r="H226" s="26">
        <v>0</v>
      </c>
      <c r="J226" s="26">
        <f t="shared" si="26"/>
        <v>112859.84</v>
      </c>
      <c r="L226" s="26">
        <v>82500</v>
      </c>
      <c r="M226" s="27">
        <v>1.3679980606060607</v>
      </c>
      <c r="P226" t="s">
        <v>336</v>
      </c>
      <c r="Q226" s="209">
        <v>3160.0755199999999</v>
      </c>
      <c r="R226" s="209">
        <v>790.01887999999997</v>
      </c>
      <c r="S226" s="209">
        <v>564.29920000000004</v>
      </c>
    </row>
    <row r="227" spans="1:19" ht="12.75" customHeight="1" x14ac:dyDescent="0.3">
      <c r="A227" s="25" t="s">
        <v>1319</v>
      </c>
      <c r="B227" s="210" t="s">
        <v>1321</v>
      </c>
      <c r="C227" s="211" t="s">
        <v>346</v>
      </c>
      <c r="D227" s="26">
        <v>67166.97</v>
      </c>
      <c r="F227" s="26">
        <v>0</v>
      </c>
      <c r="G227" s="26">
        <v>0</v>
      </c>
      <c r="H227" s="26">
        <v>0</v>
      </c>
      <c r="J227" s="26">
        <f t="shared" si="26"/>
        <v>67166.97</v>
      </c>
      <c r="L227" s="26">
        <v>82500</v>
      </c>
      <c r="M227" s="27">
        <v>0.81414509090909093</v>
      </c>
      <c r="P227" t="s">
        <v>345</v>
      </c>
      <c r="Q227" s="209">
        <v>1880.67516</v>
      </c>
      <c r="R227" s="209">
        <v>470.16879</v>
      </c>
      <c r="S227" s="209"/>
    </row>
    <row r="228" spans="1:19" ht="12.75" customHeight="1" x14ac:dyDescent="0.3">
      <c r="A228" s="25" t="s">
        <v>1319</v>
      </c>
      <c r="B228" s="210" t="s">
        <v>1308</v>
      </c>
      <c r="C228" s="211" t="s">
        <v>1322</v>
      </c>
      <c r="D228" s="26">
        <v>97540.76</v>
      </c>
      <c r="F228" s="26">
        <v>0</v>
      </c>
      <c r="G228" s="26">
        <v>0</v>
      </c>
      <c r="H228" s="26">
        <v>0</v>
      </c>
      <c r="J228" s="26">
        <f t="shared" si="26"/>
        <v>97540.76</v>
      </c>
      <c r="L228" s="26">
        <v>82500</v>
      </c>
      <c r="M228" s="27">
        <v>1.1823122424242423</v>
      </c>
      <c r="P228" t="s">
        <v>333</v>
      </c>
      <c r="Q228" s="209">
        <v>2731.1412799999998</v>
      </c>
      <c r="R228" s="209">
        <v>682.78531999999996</v>
      </c>
      <c r="S228" s="209">
        <v>487.7038</v>
      </c>
    </row>
    <row r="229" spans="1:19" ht="12.75" customHeight="1" x14ac:dyDescent="0.3">
      <c r="A229" s="25" t="s">
        <v>1319</v>
      </c>
      <c r="B229" s="210" t="s">
        <v>1264</v>
      </c>
      <c r="C229" s="211" t="s">
        <v>328</v>
      </c>
      <c r="D229" s="26">
        <v>87615.66</v>
      </c>
      <c r="F229" s="26">
        <v>0</v>
      </c>
      <c r="G229" s="26">
        <v>0</v>
      </c>
      <c r="H229" s="26">
        <v>0</v>
      </c>
      <c r="J229" s="26">
        <f t="shared" si="26"/>
        <v>87615.66</v>
      </c>
      <c r="L229" s="26">
        <v>82500</v>
      </c>
      <c r="M229" s="27">
        <v>1.0620080000000001</v>
      </c>
      <c r="P229" t="s">
        <v>327</v>
      </c>
      <c r="Q229" s="209">
        <v>2453.23848</v>
      </c>
      <c r="R229" s="209">
        <v>613.30962</v>
      </c>
      <c r="S229" s="209">
        <v>438.07830000000001</v>
      </c>
    </row>
    <row r="230" spans="1:19" ht="12.75" customHeight="1" x14ac:dyDescent="0.3">
      <c r="A230" s="25" t="s">
        <v>1319</v>
      </c>
      <c r="B230" s="210" t="s">
        <v>1323</v>
      </c>
      <c r="C230" s="211" t="s">
        <v>692</v>
      </c>
      <c r="D230" s="26">
        <v>2241.89</v>
      </c>
      <c r="F230" s="26">
        <v>0</v>
      </c>
      <c r="G230" s="26">
        <v>0</v>
      </c>
      <c r="H230" s="26">
        <v>0</v>
      </c>
      <c r="J230" s="26">
        <f t="shared" si="26"/>
        <v>2241.89</v>
      </c>
      <c r="L230" s="26"/>
      <c r="M230" s="27">
        <v>0</v>
      </c>
      <c r="P230" t="s">
        <v>1324</v>
      </c>
      <c r="Q230" s="209">
        <v>62.772919999999999</v>
      </c>
      <c r="R230" s="209">
        <v>15.69323</v>
      </c>
      <c r="S230" s="209"/>
    </row>
    <row r="231" spans="1:19" ht="12.75" customHeight="1" x14ac:dyDescent="0.3">
      <c r="A231" s="25" t="s">
        <v>1319</v>
      </c>
      <c r="B231" s="210"/>
      <c r="C231" s="211"/>
      <c r="D231" s="26">
        <v>0</v>
      </c>
      <c r="F231" s="26">
        <v>0</v>
      </c>
      <c r="G231" s="26">
        <v>0</v>
      </c>
      <c r="H231" s="26">
        <v>0</v>
      </c>
      <c r="J231" s="26">
        <f t="shared" si="26"/>
        <v>0</v>
      </c>
      <c r="L231" s="26"/>
      <c r="M231" s="27">
        <v>0</v>
      </c>
      <c r="P231"/>
      <c r="Q231" s="209"/>
      <c r="R231" s="209"/>
      <c r="S231" s="209"/>
    </row>
    <row r="232" spans="1:19" ht="12.75" customHeight="1" x14ac:dyDescent="0.3">
      <c r="A232" s="25" t="s">
        <v>1319</v>
      </c>
      <c r="B232" s="210"/>
      <c r="C232" s="211"/>
      <c r="D232" s="26">
        <v>0</v>
      </c>
      <c r="F232" s="26">
        <v>0</v>
      </c>
      <c r="G232" s="26">
        <v>0</v>
      </c>
      <c r="H232" s="26">
        <v>0</v>
      </c>
      <c r="J232" s="26">
        <f t="shared" si="26"/>
        <v>0</v>
      </c>
      <c r="L232" s="26"/>
      <c r="M232" s="27">
        <v>0</v>
      </c>
      <c r="P232"/>
      <c r="Q232" s="209"/>
      <c r="R232" s="209"/>
      <c r="S232" s="209"/>
    </row>
    <row r="233" spans="1:19" ht="12.75" customHeight="1" x14ac:dyDescent="0.3">
      <c r="A233" s="25" t="s">
        <v>1319</v>
      </c>
      <c r="B233" s="37"/>
      <c r="C233" s="211"/>
      <c r="D233" s="26">
        <v>0</v>
      </c>
      <c r="F233" s="26">
        <v>0</v>
      </c>
      <c r="G233" s="26">
        <v>0</v>
      </c>
      <c r="H233" s="26">
        <v>0</v>
      </c>
      <c r="J233" s="26">
        <f t="shared" si="26"/>
        <v>0</v>
      </c>
      <c r="L233" s="26"/>
      <c r="M233" s="27">
        <v>0</v>
      </c>
      <c r="P233"/>
      <c r="Q233" s="209"/>
      <c r="R233" s="209"/>
      <c r="S233" s="209"/>
    </row>
    <row r="234" spans="1:19" ht="12.75" customHeight="1" x14ac:dyDescent="0.3">
      <c r="A234" s="25" t="s">
        <v>1319</v>
      </c>
      <c r="B234" s="210"/>
      <c r="C234" s="211"/>
      <c r="D234" s="26">
        <v>0</v>
      </c>
      <c r="F234" s="26">
        <v>0</v>
      </c>
      <c r="G234" s="26">
        <v>0</v>
      </c>
      <c r="H234" s="26">
        <v>0</v>
      </c>
      <c r="J234" s="26">
        <f t="shared" si="26"/>
        <v>0</v>
      </c>
      <c r="L234" s="26"/>
      <c r="M234" s="27">
        <v>0</v>
      </c>
      <c r="P234"/>
      <c r="Q234" s="209"/>
      <c r="R234" s="209"/>
      <c r="S234" s="209"/>
    </row>
    <row r="235" spans="1:19" ht="12.75" customHeight="1" x14ac:dyDescent="0.3">
      <c r="A235" s="28" t="s">
        <v>8</v>
      </c>
      <c r="B235" s="29"/>
      <c r="C235" s="28"/>
      <c r="D235" s="30">
        <v>578590.97</v>
      </c>
      <c r="E235" s="30">
        <v>0</v>
      </c>
      <c r="F235" s="30">
        <v>0</v>
      </c>
      <c r="G235" s="30">
        <v>1899.97</v>
      </c>
      <c r="H235" s="30">
        <v>0</v>
      </c>
      <c r="I235" s="30">
        <v>0</v>
      </c>
      <c r="J235" s="30">
        <f t="shared" ref="J235" si="27">SUM(J224:J234)</f>
        <v>580490.94000000006</v>
      </c>
      <c r="L235" s="30">
        <v>495000</v>
      </c>
      <c r="P235"/>
      <c r="Q235" s="209"/>
      <c r="R235" s="209"/>
      <c r="S235" s="209"/>
    </row>
    <row r="236" spans="1:19" ht="12.75" customHeight="1" x14ac:dyDescent="0.3">
      <c r="P236"/>
      <c r="Q236" s="209"/>
      <c r="R236" s="209"/>
      <c r="S236" s="209"/>
    </row>
    <row r="237" spans="1:19" ht="12.75" customHeight="1" x14ac:dyDescent="0.3">
      <c r="P237"/>
      <c r="Q237" s="209"/>
      <c r="R237" s="209"/>
      <c r="S237" s="209"/>
    </row>
    <row r="238" spans="1:19" ht="12.75" customHeight="1" x14ac:dyDescent="0.3">
      <c r="P238"/>
      <c r="Q238" s="209"/>
      <c r="R238" s="209"/>
      <c r="S238" s="209"/>
    </row>
    <row r="239" spans="1:19" ht="12.75" customHeight="1" x14ac:dyDescent="0.3">
      <c r="P239"/>
      <c r="Q239" s="209"/>
      <c r="R239" s="209"/>
      <c r="S239" s="209"/>
    </row>
    <row r="240" spans="1:19" ht="12.75" customHeight="1" x14ac:dyDescent="0.3">
      <c r="A240" s="21" t="s">
        <v>0</v>
      </c>
      <c r="B240" s="22" t="s">
        <v>659</v>
      </c>
      <c r="C240" s="21" t="s">
        <v>660</v>
      </c>
      <c r="D240" s="22" t="s">
        <v>661</v>
      </c>
      <c r="E240" s="22" t="s">
        <v>662</v>
      </c>
      <c r="F240" s="22" t="s">
        <v>663</v>
      </c>
      <c r="G240" s="22" t="s">
        <v>664</v>
      </c>
      <c r="H240" s="22" t="s">
        <v>665</v>
      </c>
      <c r="I240" s="22" t="s">
        <v>676</v>
      </c>
      <c r="J240" s="22" t="s">
        <v>666</v>
      </c>
      <c r="L240" s="24" t="s">
        <v>667</v>
      </c>
      <c r="M240" s="24" t="s">
        <v>668</v>
      </c>
      <c r="O240" s="22" t="s">
        <v>669</v>
      </c>
      <c r="P240"/>
      <c r="Q240" s="209"/>
      <c r="R240" s="209"/>
      <c r="S240" s="209"/>
    </row>
    <row r="241" spans="1:19" ht="12.75" customHeight="1" x14ac:dyDescent="0.3">
      <c r="A241" s="25" t="s">
        <v>878</v>
      </c>
      <c r="B241" s="210" t="s">
        <v>1325</v>
      </c>
      <c r="C241" s="211" t="s">
        <v>367</v>
      </c>
      <c r="D241" s="26">
        <v>1131.93</v>
      </c>
      <c r="F241" s="26">
        <v>0</v>
      </c>
      <c r="G241" s="26">
        <v>0</v>
      </c>
      <c r="H241" s="26">
        <v>0</v>
      </c>
      <c r="J241" s="26">
        <f t="shared" ref="J241:J251" si="28">SUM(D241:I241)</f>
        <v>1131.93</v>
      </c>
      <c r="L241" s="26"/>
      <c r="M241" s="27">
        <v>0</v>
      </c>
      <c r="O241" s="26">
        <v>220000</v>
      </c>
      <c r="P241" t="s">
        <v>366</v>
      </c>
      <c r="Q241" s="209">
        <v>36.221760000000003</v>
      </c>
      <c r="R241" s="209">
        <v>9.0554400000000008</v>
      </c>
      <c r="S241" s="209"/>
    </row>
    <row r="242" spans="1:19" ht="12.75" customHeight="1" x14ac:dyDescent="0.3">
      <c r="A242" s="25" t="s">
        <v>878</v>
      </c>
      <c r="B242" s="210" t="s">
        <v>1326</v>
      </c>
      <c r="C242" s="211" t="s">
        <v>700</v>
      </c>
      <c r="D242" s="26">
        <v>75979.03</v>
      </c>
      <c r="F242" s="26">
        <v>0</v>
      </c>
      <c r="G242" s="26">
        <v>0</v>
      </c>
      <c r="H242" s="26">
        <v>0</v>
      </c>
      <c r="J242" s="26">
        <f t="shared" si="28"/>
        <v>75979.03</v>
      </c>
      <c r="L242" s="26">
        <v>70000</v>
      </c>
      <c r="M242" s="27">
        <v>1.0854147142857142</v>
      </c>
      <c r="P242" t="s">
        <v>360</v>
      </c>
      <c r="Q242" s="209">
        <v>2431.3289599999998</v>
      </c>
      <c r="R242" s="209">
        <v>607.83223999999996</v>
      </c>
      <c r="S242" s="209">
        <v>379.89515</v>
      </c>
    </row>
    <row r="243" spans="1:19" ht="12.75" customHeight="1" x14ac:dyDescent="0.3">
      <c r="A243" s="25" t="s">
        <v>878</v>
      </c>
      <c r="B243" s="210" t="s">
        <v>1327</v>
      </c>
      <c r="C243" s="211" t="s">
        <v>370</v>
      </c>
      <c r="D243" s="26">
        <v>80749.34</v>
      </c>
      <c r="F243" s="26">
        <v>0</v>
      </c>
      <c r="G243" s="26">
        <v>329.99</v>
      </c>
      <c r="H243" s="26">
        <v>0</v>
      </c>
      <c r="J243" s="26">
        <f t="shared" si="28"/>
        <v>81079.33</v>
      </c>
      <c r="L243" s="26">
        <v>70000</v>
      </c>
      <c r="M243" s="27">
        <v>1.1582761428571429</v>
      </c>
      <c r="P243" t="s">
        <v>369</v>
      </c>
      <c r="Q243" s="209">
        <v>2594.53856</v>
      </c>
      <c r="R243" s="209">
        <v>648.63463999999999</v>
      </c>
      <c r="S243" s="209">
        <v>405.39665000000002</v>
      </c>
    </row>
    <row r="244" spans="1:19" ht="12.75" customHeight="1" x14ac:dyDescent="0.3">
      <c r="A244" s="25" t="s">
        <v>878</v>
      </c>
      <c r="B244" s="210" t="s">
        <v>1299</v>
      </c>
      <c r="C244" s="211" t="s">
        <v>358</v>
      </c>
      <c r="D244" s="26">
        <v>25725.27</v>
      </c>
      <c r="F244" s="26">
        <v>0</v>
      </c>
      <c r="G244" s="26">
        <v>0</v>
      </c>
      <c r="H244" s="26">
        <v>0</v>
      </c>
      <c r="J244" s="26">
        <f t="shared" si="28"/>
        <v>25725.27</v>
      </c>
      <c r="L244" s="26">
        <v>32000</v>
      </c>
      <c r="M244" s="27">
        <v>0.80391468750000006</v>
      </c>
      <c r="P244" t="s">
        <v>357</v>
      </c>
      <c r="Q244" s="209">
        <v>823.20864000000006</v>
      </c>
      <c r="R244" s="209">
        <v>205.80216000000001</v>
      </c>
      <c r="S244" s="209"/>
    </row>
    <row r="245" spans="1:19" ht="12.75" customHeight="1" x14ac:dyDescent="0.3">
      <c r="A245" s="25" t="s">
        <v>878</v>
      </c>
      <c r="B245" s="210" t="s">
        <v>1271</v>
      </c>
      <c r="C245" s="211" t="s">
        <v>701</v>
      </c>
      <c r="D245" s="26">
        <v>77777.55</v>
      </c>
      <c r="F245" s="26">
        <v>0</v>
      </c>
      <c r="G245" s="26">
        <v>0</v>
      </c>
      <c r="H245" s="26">
        <v>0</v>
      </c>
      <c r="J245" s="26">
        <f t="shared" si="28"/>
        <v>77777.55</v>
      </c>
      <c r="L245" s="26">
        <v>70000</v>
      </c>
      <c r="M245" s="27">
        <v>1.1111078571428572</v>
      </c>
      <c r="P245" t="s">
        <v>372</v>
      </c>
      <c r="Q245" s="209">
        <v>2488.8816000000002</v>
      </c>
      <c r="R245" s="209">
        <v>622.22040000000004</v>
      </c>
      <c r="S245" s="209">
        <v>388.88775000000004</v>
      </c>
    </row>
    <row r="246" spans="1:19" ht="12.75" customHeight="1" x14ac:dyDescent="0.3">
      <c r="A246" s="25" t="s">
        <v>878</v>
      </c>
      <c r="B246" s="210"/>
      <c r="C246" s="211"/>
      <c r="D246" s="26">
        <v>0</v>
      </c>
      <c r="F246" s="26">
        <v>0</v>
      </c>
      <c r="G246" s="26">
        <v>0</v>
      </c>
      <c r="H246" s="26">
        <v>0</v>
      </c>
      <c r="J246" s="26">
        <f t="shared" si="28"/>
        <v>0</v>
      </c>
      <c r="L246" s="26"/>
      <c r="M246" s="27">
        <v>0</v>
      </c>
      <c r="P246"/>
      <c r="Q246" s="209"/>
      <c r="R246" s="209"/>
      <c r="S246" s="209"/>
    </row>
    <row r="247" spans="1:19" ht="12.75" customHeight="1" x14ac:dyDescent="0.3">
      <c r="A247" s="25" t="s">
        <v>878</v>
      </c>
      <c r="B247" s="210"/>
      <c r="C247" s="211"/>
      <c r="D247" s="26">
        <v>0</v>
      </c>
      <c r="F247" s="26">
        <v>0</v>
      </c>
      <c r="G247" s="26">
        <v>0</v>
      </c>
      <c r="H247" s="26">
        <v>0</v>
      </c>
      <c r="J247" s="26">
        <f t="shared" si="28"/>
        <v>0</v>
      </c>
      <c r="L247" s="26"/>
      <c r="M247" s="27">
        <v>0</v>
      </c>
      <c r="P247"/>
      <c r="Q247" s="209"/>
      <c r="R247" s="209"/>
      <c r="S247" s="209"/>
    </row>
    <row r="248" spans="1:19" ht="12.75" customHeight="1" x14ac:dyDescent="0.3">
      <c r="A248" s="25" t="s">
        <v>878</v>
      </c>
      <c r="B248" s="210"/>
      <c r="C248" s="211"/>
      <c r="D248" s="26">
        <v>0</v>
      </c>
      <c r="F248" s="26">
        <v>0</v>
      </c>
      <c r="G248" s="26">
        <v>0</v>
      </c>
      <c r="H248" s="26">
        <v>0</v>
      </c>
      <c r="J248" s="26">
        <f t="shared" si="28"/>
        <v>0</v>
      </c>
      <c r="L248" s="26"/>
      <c r="M248" s="27">
        <v>0</v>
      </c>
      <c r="P248"/>
      <c r="Q248" s="209"/>
      <c r="R248" s="209"/>
      <c r="S248" s="209"/>
    </row>
    <row r="249" spans="1:19" ht="12.75" customHeight="1" x14ac:dyDescent="0.3">
      <c r="A249" s="25" t="s">
        <v>878</v>
      </c>
      <c r="B249" s="210"/>
      <c r="C249" s="211"/>
      <c r="D249" s="26">
        <v>0</v>
      </c>
      <c r="F249" s="26">
        <v>0</v>
      </c>
      <c r="G249" s="26">
        <v>0</v>
      </c>
      <c r="H249" s="26">
        <v>0</v>
      </c>
      <c r="J249" s="26">
        <f t="shared" si="28"/>
        <v>0</v>
      </c>
      <c r="L249" s="26"/>
      <c r="M249" s="27">
        <v>0</v>
      </c>
      <c r="P249"/>
      <c r="Q249" s="209"/>
      <c r="R249" s="209"/>
      <c r="S249" s="209"/>
    </row>
    <row r="250" spans="1:19" ht="12.75" customHeight="1" x14ac:dyDescent="0.3">
      <c r="A250" s="25" t="s">
        <v>878</v>
      </c>
      <c r="B250" s="210"/>
      <c r="C250" s="211"/>
      <c r="D250" s="26">
        <v>0</v>
      </c>
      <c r="F250" s="26">
        <v>0</v>
      </c>
      <c r="G250" s="26">
        <v>0</v>
      </c>
      <c r="H250" s="26">
        <v>0</v>
      </c>
      <c r="J250" s="26">
        <f t="shared" si="28"/>
        <v>0</v>
      </c>
      <c r="L250" s="26"/>
      <c r="M250" s="27">
        <v>0</v>
      </c>
      <c r="P250"/>
      <c r="Q250" s="209"/>
      <c r="R250" s="209"/>
      <c r="S250" s="209"/>
    </row>
    <row r="251" spans="1:19" ht="12.75" customHeight="1" x14ac:dyDescent="0.3">
      <c r="A251" s="25" t="s">
        <v>878</v>
      </c>
      <c r="B251" s="210"/>
      <c r="C251" s="211"/>
      <c r="D251" s="26">
        <v>0</v>
      </c>
      <c r="F251" s="26">
        <v>0</v>
      </c>
      <c r="G251" s="26">
        <v>0</v>
      </c>
      <c r="H251" s="26">
        <v>0</v>
      </c>
      <c r="J251" s="26">
        <f t="shared" si="28"/>
        <v>0</v>
      </c>
      <c r="L251" s="26"/>
      <c r="M251" s="27">
        <v>0</v>
      </c>
      <c r="P251"/>
      <c r="Q251" s="209"/>
      <c r="R251" s="209"/>
      <c r="S251" s="209"/>
    </row>
    <row r="252" spans="1:19" ht="12.75" customHeight="1" x14ac:dyDescent="0.3">
      <c r="A252" s="28" t="s">
        <v>8</v>
      </c>
      <c r="B252" s="29"/>
      <c r="C252" s="28"/>
      <c r="D252" s="30">
        <v>261363.12</v>
      </c>
      <c r="E252" s="30">
        <v>0</v>
      </c>
      <c r="F252" s="30">
        <v>0</v>
      </c>
      <c r="G252" s="30">
        <v>329.99</v>
      </c>
      <c r="H252" s="30">
        <v>0</v>
      </c>
      <c r="I252" s="30">
        <v>0</v>
      </c>
      <c r="J252" s="30">
        <f t="shared" ref="J252" si="29">SUM(J241:J251)</f>
        <v>261693.11</v>
      </c>
      <c r="L252" s="30">
        <v>242000</v>
      </c>
      <c r="P252"/>
      <c r="Q252" s="209"/>
      <c r="R252" s="209"/>
      <c r="S252" s="209"/>
    </row>
    <row r="253" spans="1:19" ht="12.75" customHeight="1" x14ac:dyDescent="0.3">
      <c r="P253"/>
      <c r="Q253" s="209"/>
      <c r="R253" s="209"/>
      <c r="S253" s="209"/>
    </row>
    <row r="254" spans="1:19" ht="12.75" customHeight="1" x14ac:dyDescent="0.3">
      <c r="P254"/>
      <c r="Q254" s="209"/>
      <c r="R254" s="209"/>
      <c r="S254" s="209"/>
    </row>
    <row r="255" spans="1:19" ht="12.75" customHeight="1" x14ac:dyDescent="0.3">
      <c r="P255"/>
      <c r="Q255" s="209"/>
      <c r="R255" s="209"/>
      <c r="S255" s="209"/>
    </row>
    <row r="256" spans="1:19" ht="12.75" customHeight="1" x14ac:dyDescent="0.3">
      <c r="P256"/>
      <c r="Q256" s="209"/>
      <c r="R256" s="209"/>
      <c r="S256" s="209"/>
    </row>
    <row r="257" spans="1:19" ht="12.75" customHeight="1" x14ac:dyDescent="0.3">
      <c r="A257" s="21" t="s">
        <v>0</v>
      </c>
      <c r="B257" s="22" t="s">
        <v>659</v>
      </c>
      <c r="C257" s="21" t="s">
        <v>660</v>
      </c>
      <c r="D257" s="22" t="s">
        <v>661</v>
      </c>
      <c r="E257" s="22" t="s">
        <v>662</v>
      </c>
      <c r="F257" s="22" t="s">
        <v>663</v>
      </c>
      <c r="G257" s="22" t="s">
        <v>664</v>
      </c>
      <c r="H257" s="22" t="s">
        <v>665</v>
      </c>
      <c r="I257" s="22" t="s">
        <v>676</v>
      </c>
      <c r="J257" s="22" t="s">
        <v>666</v>
      </c>
      <c r="L257" s="24" t="s">
        <v>667</v>
      </c>
      <c r="M257" s="24" t="s">
        <v>668</v>
      </c>
      <c r="O257" s="22" t="s">
        <v>669</v>
      </c>
      <c r="P257"/>
      <c r="Q257" s="209"/>
      <c r="R257" s="209"/>
      <c r="S257" s="209"/>
    </row>
    <row r="258" spans="1:19" ht="12.75" customHeight="1" x14ac:dyDescent="0.3">
      <c r="A258" s="25" t="s">
        <v>1328</v>
      </c>
      <c r="B258" s="210" t="s">
        <v>1306</v>
      </c>
      <c r="C258" s="211" t="s">
        <v>702</v>
      </c>
      <c r="D258" s="26">
        <v>11193.56</v>
      </c>
      <c r="F258" s="26">
        <v>0</v>
      </c>
      <c r="G258" s="26">
        <v>0</v>
      </c>
      <c r="H258" s="26">
        <v>0</v>
      </c>
      <c r="J258" s="26">
        <f t="shared" ref="J258:J268" si="30">SUM(D258:I258)</f>
        <v>11193.56</v>
      </c>
      <c r="L258" s="26"/>
      <c r="M258" s="27">
        <v>0</v>
      </c>
      <c r="O258" s="26">
        <v>235000</v>
      </c>
      <c r="P258" t="s">
        <v>384</v>
      </c>
      <c r="Q258" s="209">
        <v>358.19391999999999</v>
      </c>
      <c r="R258" s="209">
        <v>89.548479999999998</v>
      </c>
      <c r="S258" s="209"/>
    </row>
    <row r="259" spans="1:19" ht="12.75" customHeight="1" x14ac:dyDescent="0.3">
      <c r="A259" s="25" t="s">
        <v>1328</v>
      </c>
      <c r="B259" s="210" t="s">
        <v>1329</v>
      </c>
      <c r="C259" s="211" t="s">
        <v>376</v>
      </c>
      <c r="D259" s="26">
        <v>83994.05</v>
      </c>
      <c r="F259" s="26">
        <v>0</v>
      </c>
      <c r="G259" s="26">
        <v>0</v>
      </c>
      <c r="H259" s="26">
        <v>0</v>
      </c>
      <c r="J259" s="26">
        <f t="shared" si="30"/>
        <v>83994.05</v>
      </c>
      <c r="L259" s="26">
        <v>71000</v>
      </c>
      <c r="M259" s="27">
        <v>1.1830147887323945</v>
      </c>
      <c r="P259" t="s">
        <v>375</v>
      </c>
      <c r="Q259" s="209">
        <v>2687.8096</v>
      </c>
      <c r="R259" s="209">
        <v>671.95240000000001</v>
      </c>
      <c r="S259" s="209">
        <v>419.97025000000002</v>
      </c>
    </row>
    <row r="260" spans="1:19" ht="12.75" customHeight="1" x14ac:dyDescent="0.3">
      <c r="A260" s="25" t="s">
        <v>1328</v>
      </c>
      <c r="B260" s="210" t="s">
        <v>1330</v>
      </c>
      <c r="C260" s="211" t="s">
        <v>388</v>
      </c>
      <c r="D260" s="26">
        <v>109355.81</v>
      </c>
      <c r="F260" s="26">
        <v>0</v>
      </c>
      <c r="G260" s="26">
        <v>0</v>
      </c>
      <c r="H260" s="26">
        <v>0</v>
      </c>
      <c r="J260" s="26">
        <f t="shared" si="30"/>
        <v>109355.81</v>
      </c>
      <c r="L260" s="26">
        <v>93750</v>
      </c>
      <c r="M260" s="27">
        <v>1.1664619733333332</v>
      </c>
      <c r="P260" t="s">
        <v>387</v>
      </c>
      <c r="Q260" s="209">
        <v>3499.3859200000002</v>
      </c>
      <c r="R260" s="209">
        <v>874.84648000000004</v>
      </c>
      <c r="S260" s="209">
        <v>546.77904999999998</v>
      </c>
    </row>
    <row r="261" spans="1:19" ht="12.75" customHeight="1" x14ac:dyDescent="0.3">
      <c r="A261" s="25" t="s">
        <v>1328</v>
      </c>
      <c r="B261" s="210" t="s">
        <v>1312</v>
      </c>
      <c r="C261" s="211" t="s">
        <v>703</v>
      </c>
      <c r="D261" s="26">
        <v>102493.23</v>
      </c>
      <c r="F261" s="26">
        <v>0</v>
      </c>
      <c r="G261" s="26">
        <v>0</v>
      </c>
      <c r="H261" s="26">
        <v>0</v>
      </c>
      <c r="J261" s="26">
        <f t="shared" si="30"/>
        <v>102493.23</v>
      </c>
      <c r="L261" s="26">
        <v>93750</v>
      </c>
      <c r="M261" s="27">
        <v>1.09326112</v>
      </c>
      <c r="P261" t="s">
        <v>381</v>
      </c>
      <c r="Q261" s="209">
        <v>3279.7833599999999</v>
      </c>
      <c r="R261" s="209">
        <v>819.94583999999998</v>
      </c>
      <c r="S261" s="209">
        <v>512.46614999999997</v>
      </c>
    </row>
    <row r="262" spans="1:19" ht="12.75" customHeight="1" x14ac:dyDescent="0.3">
      <c r="A262" s="25" t="s">
        <v>1328</v>
      </c>
      <c r="B262" s="210"/>
      <c r="C262" s="211"/>
      <c r="D262" s="26">
        <v>0</v>
      </c>
      <c r="F262" s="26">
        <v>0</v>
      </c>
      <c r="G262" s="26">
        <v>0</v>
      </c>
      <c r="H262" s="26">
        <v>0</v>
      </c>
      <c r="J262" s="26">
        <f t="shared" si="30"/>
        <v>0</v>
      </c>
      <c r="L262" s="26"/>
      <c r="M262" s="27">
        <v>0</v>
      </c>
      <c r="P262"/>
      <c r="Q262" s="209"/>
      <c r="R262" s="209"/>
      <c r="S262" s="209"/>
    </row>
    <row r="263" spans="1:19" ht="12.75" customHeight="1" x14ac:dyDescent="0.3">
      <c r="A263" s="25" t="s">
        <v>1328</v>
      </c>
      <c r="B263" s="210"/>
      <c r="C263" s="211"/>
      <c r="D263" s="26">
        <v>0</v>
      </c>
      <c r="F263" s="26">
        <v>0</v>
      </c>
      <c r="G263" s="26">
        <v>0</v>
      </c>
      <c r="H263" s="26">
        <v>0</v>
      </c>
      <c r="J263" s="26">
        <f t="shared" si="30"/>
        <v>0</v>
      </c>
      <c r="L263" s="26"/>
      <c r="M263" s="27">
        <v>0</v>
      </c>
      <c r="P263"/>
      <c r="Q263" s="209"/>
      <c r="R263" s="209"/>
      <c r="S263" s="209"/>
    </row>
    <row r="264" spans="1:19" ht="12.75" customHeight="1" x14ac:dyDescent="0.3">
      <c r="A264" s="25" t="s">
        <v>1328</v>
      </c>
      <c r="B264" s="210"/>
      <c r="C264" s="211"/>
      <c r="D264" s="26">
        <v>0</v>
      </c>
      <c r="F264" s="26">
        <v>0</v>
      </c>
      <c r="G264" s="26">
        <v>0</v>
      </c>
      <c r="H264" s="26">
        <v>0</v>
      </c>
      <c r="J264" s="26">
        <f t="shared" si="30"/>
        <v>0</v>
      </c>
      <c r="L264" s="26"/>
      <c r="M264" s="27">
        <v>0</v>
      </c>
      <c r="P264"/>
      <c r="Q264" s="209"/>
      <c r="R264" s="209"/>
      <c r="S264" s="209"/>
    </row>
    <row r="265" spans="1:19" ht="12.75" customHeight="1" x14ac:dyDescent="0.3">
      <c r="A265" s="25" t="s">
        <v>1328</v>
      </c>
      <c r="B265" s="210"/>
      <c r="C265" s="211"/>
      <c r="D265" s="26">
        <v>0</v>
      </c>
      <c r="F265" s="26">
        <v>0</v>
      </c>
      <c r="G265" s="26">
        <v>0</v>
      </c>
      <c r="H265" s="26">
        <v>0</v>
      </c>
      <c r="J265" s="26">
        <f t="shared" si="30"/>
        <v>0</v>
      </c>
      <c r="L265" s="26"/>
      <c r="M265" s="27">
        <v>0</v>
      </c>
      <c r="P265"/>
      <c r="Q265" s="209"/>
      <c r="R265" s="209"/>
      <c r="S265" s="209"/>
    </row>
    <row r="266" spans="1:19" ht="12.75" customHeight="1" x14ac:dyDescent="0.3">
      <c r="A266" s="25" t="s">
        <v>1328</v>
      </c>
      <c r="B266" s="210"/>
      <c r="C266" s="211"/>
      <c r="D266" s="26">
        <v>0</v>
      </c>
      <c r="F266" s="26">
        <v>0</v>
      </c>
      <c r="G266" s="26">
        <v>0</v>
      </c>
      <c r="H266" s="26">
        <v>0</v>
      </c>
      <c r="J266" s="26">
        <f t="shared" si="30"/>
        <v>0</v>
      </c>
      <c r="L266" s="26"/>
      <c r="M266" s="27">
        <v>0</v>
      </c>
      <c r="P266"/>
      <c r="Q266" s="209"/>
      <c r="R266" s="209"/>
      <c r="S266" s="209"/>
    </row>
    <row r="267" spans="1:19" ht="12.75" customHeight="1" x14ac:dyDescent="0.3">
      <c r="A267" s="25" t="s">
        <v>1328</v>
      </c>
      <c r="B267" s="210"/>
      <c r="C267" s="211"/>
      <c r="D267" s="26">
        <v>0</v>
      </c>
      <c r="F267" s="26">
        <v>0</v>
      </c>
      <c r="G267" s="26">
        <v>0</v>
      </c>
      <c r="H267" s="26">
        <v>0</v>
      </c>
      <c r="J267" s="26">
        <f t="shared" si="30"/>
        <v>0</v>
      </c>
      <c r="L267" s="26"/>
      <c r="M267" s="27">
        <v>0</v>
      </c>
      <c r="P267"/>
      <c r="Q267" s="209"/>
      <c r="R267" s="209"/>
      <c r="S267" s="209"/>
    </row>
    <row r="268" spans="1:19" ht="12.75" customHeight="1" x14ac:dyDescent="0.3">
      <c r="A268" s="25" t="s">
        <v>1328</v>
      </c>
      <c r="B268" s="210"/>
      <c r="C268" s="211"/>
      <c r="D268" s="26">
        <v>0</v>
      </c>
      <c r="F268" s="26">
        <v>0</v>
      </c>
      <c r="G268" s="26">
        <v>0</v>
      </c>
      <c r="H268" s="26">
        <v>0</v>
      </c>
      <c r="J268" s="26">
        <f t="shared" si="30"/>
        <v>0</v>
      </c>
      <c r="L268" s="26"/>
      <c r="M268" s="27">
        <v>0</v>
      </c>
      <c r="P268"/>
      <c r="Q268" s="209"/>
      <c r="R268" s="209"/>
      <c r="S268" s="209"/>
    </row>
    <row r="269" spans="1:19" ht="12.75" customHeight="1" x14ac:dyDescent="0.3">
      <c r="A269" s="28" t="s">
        <v>8</v>
      </c>
      <c r="B269" s="29"/>
      <c r="C269" s="28"/>
      <c r="D269" s="30">
        <v>307036.64999999997</v>
      </c>
      <c r="E269" s="30">
        <v>0</v>
      </c>
      <c r="F269" s="30">
        <v>0</v>
      </c>
      <c r="G269" s="30">
        <v>0</v>
      </c>
      <c r="H269" s="30">
        <v>0</v>
      </c>
      <c r="I269" s="30">
        <v>0</v>
      </c>
      <c r="J269" s="30">
        <f t="shared" ref="J269" si="31">SUM(J258:J268)</f>
        <v>307036.64999999997</v>
      </c>
      <c r="L269" s="30">
        <v>258500</v>
      </c>
      <c r="P269"/>
      <c r="Q269" s="209"/>
      <c r="R269" s="209"/>
      <c r="S269" s="209"/>
    </row>
    <row r="270" spans="1:19" ht="12.75" customHeight="1" x14ac:dyDescent="0.3">
      <c r="P270"/>
      <c r="Q270" s="209"/>
      <c r="R270" s="209"/>
      <c r="S270" s="209"/>
    </row>
    <row r="271" spans="1:19" ht="12.75" customHeight="1" x14ac:dyDescent="0.3">
      <c r="P271"/>
      <c r="Q271" s="209"/>
      <c r="R271" s="209"/>
      <c r="S271" s="209"/>
    </row>
    <row r="272" spans="1:19" ht="12.75" customHeight="1" x14ac:dyDescent="0.3">
      <c r="P272"/>
      <c r="Q272" s="209"/>
      <c r="R272" s="209"/>
      <c r="S272" s="209"/>
    </row>
    <row r="273" spans="1:19" ht="12.75" customHeight="1" x14ac:dyDescent="0.3">
      <c r="P273"/>
      <c r="Q273" s="209"/>
      <c r="R273" s="209"/>
      <c r="S273" s="209"/>
    </row>
    <row r="274" spans="1:19" ht="12.75" customHeight="1" x14ac:dyDescent="0.3">
      <c r="A274" s="21" t="s">
        <v>0</v>
      </c>
      <c r="B274" s="22" t="s">
        <v>659</v>
      </c>
      <c r="C274" s="21" t="s">
        <v>660</v>
      </c>
      <c r="D274" s="22" t="s">
        <v>661</v>
      </c>
      <c r="E274" s="22" t="s">
        <v>662</v>
      </c>
      <c r="F274" s="22" t="s">
        <v>663</v>
      </c>
      <c r="G274" s="22" t="s">
        <v>664</v>
      </c>
      <c r="H274" s="22" t="s">
        <v>665</v>
      </c>
      <c r="I274" s="22" t="s">
        <v>676</v>
      </c>
      <c r="J274" s="22" t="s">
        <v>666</v>
      </c>
      <c r="L274" s="24" t="s">
        <v>667</v>
      </c>
      <c r="M274" s="24" t="s">
        <v>668</v>
      </c>
      <c r="O274" s="22" t="s">
        <v>669</v>
      </c>
      <c r="P274"/>
      <c r="Q274" s="209"/>
      <c r="R274" s="209"/>
      <c r="S274" s="209"/>
    </row>
    <row r="275" spans="1:19" ht="12.75" customHeight="1" x14ac:dyDescent="0.3">
      <c r="A275" s="25" t="s">
        <v>1331</v>
      </c>
      <c r="B275" s="210" t="s">
        <v>1332</v>
      </c>
      <c r="C275" s="211" t="s">
        <v>400</v>
      </c>
      <c r="D275" s="26">
        <v>77412.25</v>
      </c>
      <c r="F275" s="26">
        <v>899.99</v>
      </c>
      <c r="G275" s="26">
        <v>0</v>
      </c>
      <c r="H275" s="26">
        <v>1144.97</v>
      </c>
      <c r="J275" s="26">
        <f t="shared" ref="J275:J285" si="32">SUM(D275:I275)</f>
        <v>79457.210000000006</v>
      </c>
      <c r="L275" s="26">
        <v>69667</v>
      </c>
      <c r="M275" s="27">
        <v>1.1405286577576186</v>
      </c>
      <c r="O275" s="26">
        <v>380000</v>
      </c>
      <c r="P275" t="s">
        <v>399</v>
      </c>
      <c r="Q275" s="209">
        <v>2542.6307200000001</v>
      </c>
      <c r="R275" s="209">
        <v>635.65768000000003</v>
      </c>
      <c r="S275" s="209">
        <v>397.28605000000005</v>
      </c>
    </row>
    <row r="276" spans="1:19" ht="12.75" customHeight="1" x14ac:dyDescent="0.3">
      <c r="A276" s="25" t="s">
        <v>1331</v>
      </c>
      <c r="B276" s="210" t="s">
        <v>1333</v>
      </c>
      <c r="C276" s="211" t="s">
        <v>394</v>
      </c>
      <c r="D276" s="26">
        <v>71986.47</v>
      </c>
      <c r="E276" s="26">
        <v>4899.95</v>
      </c>
      <c r="F276" s="26">
        <v>0</v>
      </c>
      <c r="G276" s="26">
        <v>0</v>
      </c>
      <c r="H276" s="26">
        <v>1179.98</v>
      </c>
      <c r="J276" s="26">
        <f t="shared" si="32"/>
        <v>78066.399999999994</v>
      </c>
      <c r="L276" s="26">
        <v>69667</v>
      </c>
      <c r="M276" s="27">
        <v>1.1205649733733332</v>
      </c>
      <c r="P276" t="s">
        <v>393</v>
      </c>
      <c r="Q276" s="209">
        <v>2498.1248000000001</v>
      </c>
      <c r="R276" s="209">
        <v>624.53120000000001</v>
      </c>
      <c r="S276" s="209">
        <v>390.33199999999999</v>
      </c>
    </row>
    <row r="277" spans="1:19" ht="12.75" customHeight="1" x14ac:dyDescent="0.3">
      <c r="A277" s="25" t="s">
        <v>1331</v>
      </c>
      <c r="B277" s="210" t="s">
        <v>885</v>
      </c>
      <c r="C277" s="211" t="s">
        <v>409</v>
      </c>
      <c r="D277" s="26">
        <v>4470.83</v>
      </c>
      <c r="F277" s="26">
        <v>0</v>
      </c>
      <c r="G277" s="26">
        <v>0</v>
      </c>
      <c r="H277" s="26">
        <v>0</v>
      </c>
      <c r="J277" s="26">
        <f t="shared" si="32"/>
        <v>4470.83</v>
      </c>
      <c r="L277" s="26"/>
      <c r="M277" s="27">
        <v>0</v>
      </c>
      <c r="P277" t="s">
        <v>408</v>
      </c>
      <c r="Q277" s="209">
        <v>143.06656000000001</v>
      </c>
      <c r="R277" s="209">
        <v>35.766640000000002</v>
      </c>
      <c r="S277" s="209"/>
    </row>
    <row r="278" spans="1:19" ht="12.75" customHeight="1" x14ac:dyDescent="0.3">
      <c r="A278" s="25" t="s">
        <v>1331</v>
      </c>
      <c r="B278" s="210" t="s">
        <v>1334</v>
      </c>
      <c r="C278" s="211" t="s">
        <v>391</v>
      </c>
      <c r="D278" s="26">
        <v>70423.06</v>
      </c>
      <c r="F278" s="26">
        <v>0</v>
      </c>
      <c r="G278" s="26">
        <v>0</v>
      </c>
      <c r="H278" s="26">
        <v>549.99</v>
      </c>
      <c r="J278" s="26">
        <f t="shared" si="32"/>
        <v>70973.05</v>
      </c>
      <c r="L278" s="26">
        <v>69667</v>
      </c>
      <c r="M278" s="27">
        <v>1.0187470394878493</v>
      </c>
      <c r="P278" t="s">
        <v>390</v>
      </c>
      <c r="Q278" s="209">
        <v>2271.1376</v>
      </c>
      <c r="R278" s="209">
        <v>567.78440000000001</v>
      </c>
      <c r="S278" s="209">
        <v>354.86525</v>
      </c>
    </row>
    <row r="279" spans="1:19" ht="12.75" customHeight="1" x14ac:dyDescent="0.3">
      <c r="A279" s="25" t="s">
        <v>1331</v>
      </c>
      <c r="B279" s="210" t="s">
        <v>874</v>
      </c>
      <c r="C279" s="211" t="s">
        <v>397</v>
      </c>
      <c r="D279" s="26">
        <v>57363.44</v>
      </c>
      <c r="F279" s="26">
        <v>0</v>
      </c>
      <c r="G279" s="26">
        <v>0</v>
      </c>
      <c r="H279" s="26">
        <v>44.99</v>
      </c>
      <c r="J279" s="26">
        <f t="shared" si="32"/>
        <v>57408.43</v>
      </c>
      <c r="L279" s="26">
        <v>69667</v>
      </c>
      <c r="M279" s="27">
        <v>0.82404050698322018</v>
      </c>
      <c r="P279" t="s">
        <v>396</v>
      </c>
      <c r="Q279" s="209">
        <v>1837.0697600000001</v>
      </c>
      <c r="R279" s="209">
        <v>459.26744000000002</v>
      </c>
      <c r="S279" s="209"/>
    </row>
    <row r="280" spans="1:19" ht="12.75" customHeight="1" x14ac:dyDescent="0.3">
      <c r="A280" s="25" t="s">
        <v>1331</v>
      </c>
      <c r="B280" s="210" t="s">
        <v>1316</v>
      </c>
      <c r="C280" s="211" t="s">
        <v>704</v>
      </c>
      <c r="D280" s="26">
        <v>72113.929999999993</v>
      </c>
      <c r="F280" s="26">
        <v>0</v>
      </c>
      <c r="G280" s="26">
        <v>0</v>
      </c>
      <c r="H280" s="26">
        <v>1529.98</v>
      </c>
      <c r="J280" s="26">
        <f t="shared" si="32"/>
        <v>73643.909999999989</v>
      </c>
      <c r="L280" s="26">
        <v>69667</v>
      </c>
      <c r="M280" s="27">
        <v>1.0570845594040219</v>
      </c>
      <c r="P280" t="s">
        <v>405</v>
      </c>
      <c r="Q280" s="209">
        <v>2356.6051199999997</v>
      </c>
      <c r="R280" s="209">
        <v>589.15127999999993</v>
      </c>
      <c r="S280" s="209">
        <v>368.21954999999997</v>
      </c>
    </row>
    <row r="281" spans="1:19" ht="12.75" customHeight="1" x14ac:dyDescent="0.3">
      <c r="A281" s="25" t="s">
        <v>1331</v>
      </c>
      <c r="B281" s="210" t="s">
        <v>1299</v>
      </c>
      <c r="C281" s="211" t="s">
        <v>403</v>
      </c>
      <c r="D281" s="26">
        <v>70514.759999999995</v>
      </c>
      <c r="F281" s="26">
        <v>0</v>
      </c>
      <c r="G281" s="26">
        <v>199.99</v>
      </c>
      <c r="H281" s="26">
        <v>899.98</v>
      </c>
      <c r="J281" s="26">
        <f t="shared" si="32"/>
        <v>71614.73</v>
      </c>
      <c r="L281" s="26">
        <v>69667</v>
      </c>
      <c r="M281" s="27">
        <v>1.0279577131209898</v>
      </c>
      <c r="P281" t="s">
        <v>402</v>
      </c>
      <c r="Q281" s="209">
        <v>2291.6713599999998</v>
      </c>
      <c r="R281" s="209">
        <v>572.91783999999996</v>
      </c>
      <c r="S281" s="209">
        <v>358.07364999999999</v>
      </c>
    </row>
    <row r="282" spans="1:19" ht="12.75" customHeight="1" x14ac:dyDescent="0.3">
      <c r="A282" s="25" t="s">
        <v>1331</v>
      </c>
      <c r="B282" s="210">
        <v>1</v>
      </c>
      <c r="C282" s="211"/>
      <c r="D282" s="26">
        <v>0</v>
      </c>
      <c r="F282" s="26">
        <v>0</v>
      </c>
      <c r="G282" s="26">
        <v>0</v>
      </c>
      <c r="H282" s="26">
        <v>0</v>
      </c>
      <c r="J282" s="26">
        <f t="shared" si="32"/>
        <v>0</v>
      </c>
      <c r="L282" s="26"/>
      <c r="M282" s="27">
        <v>0</v>
      </c>
      <c r="P282" t="s">
        <v>1335</v>
      </c>
      <c r="Q282" s="209">
        <v>0</v>
      </c>
      <c r="R282" s="209">
        <v>0</v>
      </c>
      <c r="S282" s="209"/>
    </row>
    <row r="283" spans="1:19" ht="12.75" customHeight="1" x14ac:dyDescent="0.3">
      <c r="A283" s="25" t="s">
        <v>1331</v>
      </c>
      <c r="B283" s="210">
        <v>1</v>
      </c>
      <c r="C283" s="211"/>
      <c r="D283" s="26">
        <v>0</v>
      </c>
      <c r="F283" s="26">
        <v>0</v>
      </c>
      <c r="G283" s="26">
        <v>0</v>
      </c>
      <c r="H283" s="26">
        <v>0</v>
      </c>
      <c r="J283" s="26">
        <f t="shared" si="32"/>
        <v>0</v>
      </c>
      <c r="L283" s="26"/>
      <c r="M283" s="27">
        <v>0</v>
      </c>
      <c r="P283" t="s">
        <v>1335</v>
      </c>
      <c r="Q283" s="209">
        <v>0</v>
      </c>
      <c r="R283" s="209">
        <v>0</v>
      </c>
      <c r="S283" s="209"/>
    </row>
    <row r="284" spans="1:19" ht="12.75" customHeight="1" x14ac:dyDescent="0.3">
      <c r="A284" s="25" t="s">
        <v>1331</v>
      </c>
      <c r="B284" s="210">
        <v>1</v>
      </c>
      <c r="C284" s="211"/>
      <c r="D284" s="26">
        <v>0</v>
      </c>
      <c r="F284" s="26">
        <v>0</v>
      </c>
      <c r="G284" s="26">
        <v>0</v>
      </c>
      <c r="H284" s="26">
        <v>0</v>
      </c>
      <c r="J284" s="26">
        <f t="shared" si="32"/>
        <v>0</v>
      </c>
      <c r="L284" s="26"/>
      <c r="M284" s="27">
        <v>0</v>
      </c>
      <c r="P284" t="s">
        <v>1335</v>
      </c>
      <c r="Q284" s="209">
        <v>0</v>
      </c>
      <c r="R284" s="209">
        <v>0</v>
      </c>
      <c r="S284" s="209"/>
    </row>
    <row r="285" spans="1:19" ht="12.75" customHeight="1" x14ac:dyDescent="0.3">
      <c r="A285" s="25" t="s">
        <v>1331</v>
      </c>
      <c r="B285" s="210">
        <v>1</v>
      </c>
      <c r="C285" s="211"/>
      <c r="D285" s="26">
        <v>0</v>
      </c>
      <c r="F285" s="26">
        <v>0</v>
      </c>
      <c r="G285" s="26">
        <v>0</v>
      </c>
      <c r="H285" s="26">
        <v>0</v>
      </c>
      <c r="J285" s="26">
        <f t="shared" si="32"/>
        <v>0</v>
      </c>
      <c r="L285" s="26"/>
      <c r="M285" s="27">
        <v>0</v>
      </c>
      <c r="P285" t="s">
        <v>1335</v>
      </c>
      <c r="Q285" s="209">
        <v>0</v>
      </c>
      <c r="R285" s="209">
        <v>0</v>
      </c>
      <c r="S285" s="209"/>
    </row>
    <row r="286" spans="1:19" ht="12.75" customHeight="1" x14ac:dyDescent="0.3">
      <c r="A286" s="28" t="s">
        <v>8</v>
      </c>
      <c r="B286" s="29"/>
      <c r="C286" s="28"/>
      <c r="D286" s="30">
        <v>424284.74</v>
      </c>
      <c r="E286" s="30">
        <v>4899.95</v>
      </c>
      <c r="F286" s="30">
        <v>899.99</v>
      </c>
      <c r="G286" s="30">
        <v>199.99</v>
      </c>
      <c r="H286" s="30">
        <v>5349.8899999999994</v>
      </c>
      <c r="I286" s="30">
        <v>0</v>
      </c>
      <c r="J286" s="30">
        <f t="shared" ref="J286" si="33">SUM(J275:J285)</f>
        <v>435634.55999999994</v>
      </c>
      <c r="L286" s="30">
        <v>418002</v>
      </c>
      <c r="P286"/>
      <c r="Q286" s="209"/>
      <c r="R286" s="209"/>
      <c r="S286" s="209"/>
    </row>
    <row r="287" spans="1:19" ht="12.75" customHeight="1" x14ac:dyDescent="0.3">
      <c r="P287"/>
      <c r="Q287" s="209"/>
      <c r="R287" s="209"/>
      <c r="S287" s="209"/>
    </row>
    <row r="288" spans="1:19" ht="12.75" customHeight="1" x14ac:dyDescent="0.3">
      <c r="P288"/>
      <c r="Q288" s="209"/>
      <c r="R288" s="209"/>
      <c r="S288" s="209"/>
    </row>
    <row r="289" spans="1:19" ht="12.75" customHeight="1" x14ac:dyDescent="0.3">
      <c r="P289"/>
      <c r="Q289" s="209"/>
      <c r="R289" s="209"/>
      <c r="S289" s="209"/>
    </row>
    <row r="290" spans="1:19" ht="12.75" customHeight="1" x14ac:dyDescent="0.3">
      <c r="P290"/>
      <c r="Q290" s="209"/>
      <c r="R290" s="209"/>
      <c r="S290" s="209"/>
    </row>
    <row r="291" spans="1:19" ht="12.75" customHeight="1" x14ac:dyDescent="0.3">
      <c r="A291" s="21" t="s">
        <v>0</v>
      </c>
      <c r="B291" s="22" t="s">
        <v>659</v>
      </c>
      <c r="C291" s="21" t="s">
        <v>660</v>
      </c>
      <c r="D291" s="22" t="s">
        <v>661</v>
      </c>
      <c r="E291" s="22" t="s">
        <v>662</v>
      </c>
      <c r="F291" s="22" t="s">
        <v>663</v>
      </c>
      <c r="G291" s="22" t="s">
        <v>664</v>
      </c>
      <c r="H291" s="22" t="s">
        <v>665</v>
      </c>
      <c r="I291" s="22" t="s">
        <v>676</v>
      </c>
      <c r="J291" s="22" t="s">
        <v>666</v>
      </c>
      <c r="L291" s="24" t="s">
        <v>667</v>
      </c>
      <c r="M291" s="24" t="s">
        <v>668</v>
      </c>
      <c r="O291" s="22" t="s">
        <v>669</v>
      </c>
      <c r="P291"/>
      <c r="Q291" s="209"/>
      <c r="R291" s="209"/>
      <c r="S291" s="209"/>
    </row>
    <row r="292" spans="1:19" ht="12.75" customHeight="1" x14ac:dyDescent="0.3">
      <c r="A292" s="25" t="s">
        <v>1336</v>
      </c>
      <c r="B292" s="210" t="s">
        <v>1337</v>
      </c>
      <c r="C292" s="211" t="s">
        <v>415</v>
      </c>
      <c r="D292" s="26">
        <v>89322.2</v>
      </c>
      <c r="F292" s="26">
        <v>0</v>
      </c>
      <c r="G292" s="26">
        <v>229.99</v>
      </c>
      <c r="H292" s="26">
        <v>399.99</v>
      </c>
      <c r="J292" s="26">
        <f t="shared" ref="J292:J302" si="34">SUM(D292:I292)</f>
        <v>89952.180000000008</v>
      </c>
      <c r="L292" s="26">
        <v>68750</v>
      </c>
      <c r="M292" s="27">
        <v>1.3083953454545456</v>
      </c>
      <c r="O292" s="26">
        <v>250000</v>
      </c>
      <c r="P292" t="s">
        <v>414</v>
      </c>
      <c r="Q292" s="209">
        <v>2878.4697600000004</v>
      </c>
      <c r="R292" s="209">
        <v>719.6174400000001</v>
      </c>
      <c r="S292" s="209">
        <v>449.76090000000005</v>
      </c>
    </row>
    <row r="293" spans="1:19" ht="12.75" customHeight="1" x14ac:dyDescent="0.3">
      <c r="A293" s="25" t="s">
        <v>1336</v>
      </c>
      <c r="B293" s="37" t="s">
        <v>1279</v>
      </c>
      <c r="C293" s="211" t="s">
        <v>418</v>
      </c>
      <c r="D293" s="26">
        <v>7193.77</v>
      </c>
      <c r="F293" s="26">
        <v>0</v>
      </c>
      <c r="G293" s="26">
        <v>0</v>
      </c>
      <c r="H293" s="26">
        <v>0</v>
      </c>
      <c r="J293" s="26">
        <f t="shared" si="34"/>
        <v>7193.77</v>
      </c>
      <c r="L293" s="26"/>
      <c r="M293" s="27">
        <v>0</v>
      </c>
      <c r="P293" t="s">
        <v>417</v>
      </c>
      <c r="Q293" s="209">
        <v>230.20064000000002</v>
      </c>
      <c r="R293" s="209">
        <v>57.550160000000005</v>
      </c>
      <c r="S293" s="209"/>
    </row>
    <row r="294" spans="1:19" ht="12.75" customHeight="1" x14ac:dyDescent="0.3">
      <c r="A294" s="25" t="s">
        <v>1336</v>
      </c>
      <c r="B294" s="210" t="s">
        <v>1338</v>
      </c>
      <c r="C294" s="211" t="s">
        <v>705</v>
      </c>
      <c r="D294" s="26">
        <v>90218.35</v>
      </c>
      <c r="F294" s="26">
        <v>0</v>
      </c>
      <c r="G294" s="26">
        <v>579.98</v>
      </c>
      <c r="H294" s="26">
        <v>0</v>
      </c>
      <c r="J294" s="26">
        <f t="shared" si="34"/>
        <v>90798.33</v>
      </c>
      <c r="L294" s="26">
        <v>68750</v>
      </c>
      <c r="M294" s="27">
        <v>1.3207029818181819</v>
      </c>
      <c r="P294" t="s">
        <v>423</v>
      </c>
      <c r="Q294" s="209">
        <v>2905.5465600000002</v>
      </c>
      <c r="R294" s="209">
        <v>726.38664000000006</v>
      </c>
      <c r="S294" s="209">
        <v>453.99164999999999</v>
      </c>
    </row>
    <row r="295" spans="1:19" ht="12.75" customHeight="1" x14ac:dyDescent="0.3">
      <c r="A295" s="25" t="s">
        <v>1336</v>
      </c>
      <c r="B295" s="210" t="s">
        <v>1312</v>
      </c>
      <c r="C295" s="211" t="s">
        <v>706</v>
      </c>
      <c r="D295" s="26">
        <v>87070.15</v>
      </c>
      <c r="F295" s="26">
        <v>0</v>
      </c>
      <c r="G295" s="26">
        <v>0</v>
      </c>
      <c r="H295" s="26">
        <v>399.99</v>
      </c>
      <c r="J295" s="26">
        <f t="shared" si="34"/>
        <v>87470.14</v>
      </c>
      <c r="L295" s="26">
        <v>68750</v>
      </c>
      <c r="M295" s="27">
        <v>1.2722929454545455</v>
      </c>
      <c r="P295" t="s">
        <v>429</v>
      </c>
      <c r="Q295" s="209">
        <v>2799.04448</v>
      </c>
      <c r="R295" s="209">
        <v>699.76112000000001</v>
      </c>
      <c r="S295" s="209">
        <v>437.35070000000002</v>
      </c>
    </row>
    <row r="296" spans="1:19" ht="12.75" customHeight="1" x14ac:dyDescent="0.3">
      <c r="A296" s="25" t="s">
        <v>1336</v>
      </c>
      <c r="B296" s="210" t="s">
        <v>1313</v>
      </c>
      <c r="C296" s="211" t="s">
        <v>707</v>
      </c>
      <c r="D296" s="26">
        <v>70493.13</v>
      </c>
      <c r="F296" s="26">
        <v>0</v>
      </c>
      <c r="G296" s="26">
        <v>679.99</v>
      </c>
      <c r="H296" s="26">
        <v>0</v>
      </c>
      <c r="J296" s="26">
        <f t="shared" si="34"/>
        <v>71173.12000000001</v>
      </c>
      <c r="L296" s="26">
        <v>68750</v>
      </c>
      <c r="M296" s="27">
        <v>1.0352453818181819</v>
      </c>
      <c r="P296" t="s">
        <v>432</v>
      </c>
      <c r="Q296" s="209">
        <v>2277.5398400000004</v>
      </c>
      <c r="R296" s="209">
        <v>569.38496000000009</v>
      </c>
      <c r="S296" s="209">
        <v>355.86560000000003</v>
      </c>
    </row>
    <row r="297" spans="1:19" ht="12.75" customHeight="1" x14ac:dyDescent="0.3">
      <c r="A297" s="25" t="s">
        <v>1336</v>
      </c>
      <c r="B297" s="210"/>
      <c r="C297" s="211"/>
      <c r="D297" s="26">
        <v>0</v>
      </c>
      <c r="F297" s="26">
        <v>0</v>
      </c>
      <c r="G297" s="26">
        <v>0</v>
      </c>
      <c r="H297" s="26">
        <v>0</v>
      </c>
      <c r="J297" s="26">
        <f t="shared" si="34"/>
        <v>0</v>
      </c>
      <c r="L297" s="26"/>
      <c r="M297" s="27">
        <v>0</v>
      </c>
      <c r="P297"/>
      <c r="Q297" s="209"/>
      <c r="R297" s="209"/>
      <c r="S297" s="209"/>
    </row>
    <row r="298" spans="1:19" ht="12.75" customHeight="1" x14ac:dyDescent="0.3">
      <c r="A298" s="25" t="s">
        <v>1336</v>
      </c>
      <c r="B298" s="210"/>
      <c r="C298" s="211"/>
      <c r="D298" s="26">
        <v>0</v>
      </c>
      <c r="F298" s="26">
        <v>0</v>
      </c>
      <c r="G298" s="26">
        <v>0</v>
      </c>
      <c r="H298" s="26">
        <v>0</v>
      </c>
      <c r="J298" s="26">
        <f t="shared" si="34"/>
        <v>0</v>
      </c>
      <c r="L298" s="26"/>
      <c r="M298" s="27">
        <v>0</v>
      </c>
      <c r="P298"/>
      <c r="Q298" s="209"/>
      <c r="R298" s="209"/>
      <c r="S298" s="209"/>
    </row>
    <row r="299" spans="1:19" ht="12.75" customHeight="1" x14ac:dyDescent="0.3">
      <c r="A299" s="25" t="s">
        <v>1336</v>
      </c>
      <c r="B299" s="210"/>
      <c r="C299" s="211"/>
      <c r="D299" s="26">
        <v>0</v>
      </c>
      <c r="F299" s="26">
        <v>0</v>
      </c>
      <c r="G299" s="26">
        <v>0</v>
      </c>
      <c r="H299" s="26">
        <v>0</v>
      </c>
      <c r="J299" s="26">
        <f t="shared" si="34"/>
        <v>0</v>
      </c>
      <c r="L299" s="26"/>
      <c r="M299" s="27">
        <v>0</v>
      </c>
      <c r="P299"/>
      <c r="Q299" s="209"/>
      <c r="R299" s="209"/>
      <c r="S299" s="209"/>
    </row>
    <row r="300" spans="1:19" ht="12.75" customHeight="1" x14ac:dyDescent="0.3">
      <c r="A300" s="25" t="s">
        <v>1336</v>
      </c>
      <c r="B300" s="210"/>
      <c r="C300" s="211"/>
      <c r="D300" s="26">
        <v>0</v>
      </c>
      <c r="F300" s="26">
        <v>0</v>
      </c>
      <c r="G300" s="26">
        <v>0</v>
      </c>
      <c r="H300" s="26">
        <v>0</v>
      </c>
      <c r="J300" s="26">
        <f t="shared" si="34"/>
        <v>0</v>
      </c>
      <c r="L300" s="26"/>
      <c r="M300" s="27">
        <v>0</v>
      </c>
      <c r="P300"/>
      <c r="Q300" s="209"/>
      <c r="R300" s="209"/>
      <c r="S300" s="209"/>
    </row>
    <row r="301" spans="1:19" ht="12.75" customHeight="1" x14ac:dyDescent="0.3">
      <c r="A301" s="25" t="s">
        <v>1336</v>
      </c>
      <c r="B301" s="210"/>
      <c r="C301" s="211"/>
      <c r="D301" s="26">
        <v>0</v>
      </c>
      <c r="F301" s="26">
        <v>0</v>
      </c>
      <c r="G301" s="26">
        <v>0</v>
      </c>
      <c r="H301" s="26">
        <v>0</v>
      </c>
      <c r="J301" s="26">
        <f t="shared" si="34"/>
        <v>0</v>
      </c>
      <c r="L301" s="26"/>
      <c r="M301" s="27">
        <v>0</v>
      </c>
      <c r="P301"/>
      <c r="Q301" s="209"/>
      <c r="R301" s="209"/>
      <c r="S301" s="209"/>
    </row>
    <row r="302" spans="1:19" ht="12.75" customHeight="1" x14ac:dyDescent="0.3">
      <c r="A302" s="25" t="s">
        <v>1336</v>
      </c>
      <c r="B302" s="210"/>
      <c r="C302" s="211"/>
      <c r="D302" s="26">
        <v>0</v>
      </c>
      <c r="F302" s="26">
        <v>0</v>
      </c>
      <c r="G302" s="26">
        <v>0</v>
      </c>
      <c r="H302" s="26">
        <v>0</v>
      </c>
      <c r="J302" s="26">
        <f t="shared" si="34"/>
        <v>0</v>
      </c>
      <c r="L302" s="26"/>
      <c r="M302" s="27">
        <v>0</v>
      </c>
      <c r="P302"/>
      <c r="Q302" s="209"/>
      <c r="R302" s="209"/>
      <c r="S302" s="209"/>
    </row>
    <row r="303" spans="1:19" ht="12.75" customHeight="1" x14ac:dyDescent="0.3">
      <c r="A303" s="28" t="s">
        <v>8</v>
      </c>
      <c r="B303" s="29"/>
      <c r="C303" s="28"/>
      <c r="D303" s="30">
        <v>344297.6</v>
      </c>
      <c r="E303" s="30">
        <v>0</v>
      </c>
      <c r="F303" s="30">
        <v>0</v>
      </c>
      <c r="G303" s="30">
        <v>1489.96</v>
      </c>
      <c r="H303" s="30">
        <v>799.98</v>
      </c>
      <c r="I303" s="30">
        <v>0</v>
      </c>
      <c r="J303" s="30">
        <f t="shared" ref="J303" si="35">SUM(J292:J302)</f>
        <v>346587.54000000004</v>
      </c>
      <c r="L303" s="30">
        <v>275000</v>
      </c>
      <c r="P303"/>
      <c r="Q303" s="209"/>
      <c r="R303" s="209"/>
      <c r="S303" s="209"/>
    </row>
    <row r="304" spans="1:19" ht="12.75" customHeight="1" x14ac:dyDescent="0.3">
      <c r="P304"/>
      <c r="Q304" s="209"/>
      <c r="R304" s="209"/>
      <c r="S304" s="209"/>
    </row>
    <row r="305" spans="1:19" ht="12.75" customHeight="1" x14ac:dyDescent="0.3">
      <c r="P305"/>
      <c r="Q305" s="209"/>
      <c r="R305" s="209"/>
      <c r="S305" s="209"/>
    </row>
    <row r="306" spans="1:19" ht="12.75" customHeight="1" x14ac:dyDescent="0.3">
      <c r="P306"/>
      <c r="Q306" s="209"/>
      <c r="R306" s="209"/>
      <c r="S306" s="209"/>
    </row>
    <row r="307" spans="1:19" ht="12.75" customHeight="1" x14ac:dyDescent="0.3">
      <c r="P307"/>
      <c r="Q307" s="209"/>
      <c r="R307" s="209"/>
      <c r="S307" s="209"/>
    </row>
    <row r="308" spans="1:19" ht="12.75" customHeight="1" x14ac:dyDescent="0.3">
      <c r="A308" s="21" t="s">
        <v>0</v>
      </c>
      <c r="B308" s="22" t="s">
        <v>659</v>
      </c>
      <c r="C308" s="21" t="s">
        <v>660</v>
      </c>
      <c r="D308" s="22" t="s">
        <v>661</v>
      </c>
      <c r="E308" s="22" t="s">
        <v>662</v>
      </c>
      <c r="F308" s="22" t="s">
        <v>663</v>
      </c>
      <c r="G308" s="22" t="s">
        <v>664</v>
      </c>
      <c r="H308" s="22" t="s">
        <v>665</v>
      </c>
      <c r="I308" s="22" t="s">
        <v>676</v>
      </c>
      <c r="J308" s="22" t="s">
        <v>666</v>
      </c>
      <c r="L308" s="24" t="s">
        <v>667</v>
      </c>
      <c r="M308" s="24" t="s">
        <v>668</v>
      </c>
      <c r="O308" s="22" t="s">
        <v>669</v>
      </c>
      <c r="P308"/>
      <c r="Q308" s="209"/>
      <c r="R308" s="209"/>
      <c r="S308" s="209"/>
    </row>
    <row r="309" spans="1:19" ht="12.75" customHeight="1" x14ac:dyDescent="0.3">
      <c r="A309" s="25" t="s">
        <v>1339</v>
      </c>
      <c r="B309" s="210" t="s">
        <v>1340</v>
      </c>
      <c r="C309" s="211" t="s">
        <v>445</v>
      </c>
      <c r="D309" s="26">
        <v>587.94000000000005</v>
      </c>
      <c r="F309" s="26">
        <v>0</v>
      </c>
      <c r="G309" s="26">
        <v>0</v>
      </c>
      <c r="H309" s="26">
        <v>0</v>
      </c>
      <c r="J309" s="26">
        <f t="shared" ref="J309:J319" si="36">SUM(D309:I309)</f>
        <v>587.94000000000005</v>
      </c>
      <c r="L309" s="26"/>
      <c r="M309" s="27">
        <v>0</v>
      </c>
      <c r="O309" s="26">
        <v>210000</v>
      </c>
      <c r="P309" t="s">
        <v>444</v>
      </c>
      <c r="Q309" s="209">
        <v>18.814080000000001</v>
      </c>
      <c r="R309" s="209">
        <v>4.7035200000000001</v>
      </c>
      <c r="S309" s="209"/>
    </row>
    <row r="310" spans="1:19" ht="12.75" customHeight="1" x14ac:dyDescent="0.3">
      <c r="A310" s="25" t="s">
        <v>1339</v>
      </c>
      <c r="B310" s="210" t="s">
        <v>1341</v>
      </c>
      <c r="C310" s="211"/>
      <c r="D310" s="26">
        <v>549.98</v>
      </c>
      <c r="F310" s="26">
        <v>0</v>
      </c>
      <c r="G310" s="26">
        <v>0</v>
      </c>
      <c r="H310" s="26">
        <v>0</v>
      </c>
      <c r="J310" s="26">
        <f t="shared" si="36"/>
        <v>549.98</v>
      </c>
      <c r="L310" s="26"/>
      <c r="M310" s="27">
        <v>0</v>
      </c>
      <c r="P310" t="s">
        <v>1342</v>
      </c>
      <c r="Q310" s="209">
        <v>17.599360000000001</v>
      </c>
      <c r="R310" s="209">
        <v>4.3998400000000002</v>
      </c>
      <c r="S310" s="209"/>
    </row>
    <row r="311" spans="1:19" ht="12.75" customHeight="1" x14ac:dyDescent="0.3">
      <c r="A311" s="25" t="s">
        <v>1339</v>
      </c>
      <c r="B311" s="210" t="s">
        <v>1281</v>
      </c>
      <c r="C311" s="211" t="s">
        <v>708</v>
      </c>
      <c r="D311" s="26">
        <v>103700.75</v>
      </c>
      <c r="F311" s="26">
        <v>0</v>
      </c>
      <c r="G311" s="26">
        <v>0</v>
      </c>
      <c r="H311" s="26">
        <v>0</v>
      </c>
      <c r="J311" s="26">
        <f t="shared" si="36"/>
        <v>103700.75</v>
      </c>
      <c r="L311" s="26">
        <v>77000</v>
      </c>
      <c r="M311" s="27">
        <v>1.3467629870129869</v>
      </c>
      <c r="P311" t="s">
        <v>438</v>
      </c>
      <c r="Q311" s="209">
        <v>3318.424</v>
      </c>
      <c r="R311" s="209">
        <v>829.60599999999999</v>
      </c>
      <c r="S311" s="209">
        <v>518.50374999999997</v>
      </c>
    </row>
    <row r="312" spans="1:19" ht="12.75" customHeight="1" x14ac:dyDescent="0.3">
      <c r="A312" s="25" t="s">
        <v>1339</v>
      </c>
      <c r="B312" s="210" t="s">
        <v>1321</v>
      </c>
      <c r="C312" s="211" t="s">
        <v>436</v>
      </c>
      <c r="D312" s="26">
        <v>87909.84</v>
      </c>
      <c r="F312" s="26">
        <v>0</v>
      </c>
      <c r="G312" s="26">
        <v>749.98</v>
      </c>
      <c r="H312" s="26">
        <v>0</v>
      </c>
      <c r="J312" s="26">
        <f t="shared" si="36"/>
        <v>88659.819999999992</v>
      </c>
      <c r="L312" s="26">
        <v>77000</v>
      </c>
      <c r="M312" s="27">
        <v>1.1514262337662338</v>
      </c>
      <c r="P312" t="s">
        <v>435</v>
      </c>
      <c r="Q312" s="209">
        <v>2837.1142399999999</v>
      </c>
      <c r="R312" s="209">
        <v>709.27855999999997</v>
      </c>
      <c r="S312" s="209">
        <v>443.29909999999995</v>
      </c>
    </row>
    <row r="313" spans="1:19" ht="12.75" customHeight="1" x14ac:dyDescent="0.3">
      <c r="A313" s="25" t="s">
        <v>1339</v>
      </c>
      <c r="B313" s="210" t="s">
        <v>1343</v>
      </c>
      <c r="C313" s="211" t="s">
        <v>448</v>
      </c>
      <c r="D313" s="26">
        <v>80594.33</v>
      </c>
      <c r="F313" s="26">
        <v>0</v>
      </c>
      <c r="G313" s="26">
        <v>329.99</v>
      </c>
      <c r="H313" s="26">
        <v>0</v>
      </c>
      <c r="J313" s="26">
        <f t="shared" si="36"/>
        <v>80924.320000000007</v>
      </c>
      <c r="L313" s="26">
        <v>77000</v>
      </c>
      <c r="M313" s="27">
        <v>1.0509651948051948</v>
      </c>
      <c r="P313" t="s">
        <v>447</v>
      </c>
      <c r="Q313" s="209">
        <v>2589.5782400000003</v>
      </c>
      <c r="R313" s="209">
        <v>647.39456000000007</v>
      </c>
      <c r="S313" s="209">
        <v>404.62160000000006</v>
      </c>
    </row>
    <row r="314" spans="1:19" ht="12.75" customHeight="1" x14ac:dyDescent="0.3">
      <c r="A314" s="25" t="s">
        <v>1339</v>
      </c>
      <c r="B314" s="210"/>
      <c r="C314" s="211"/>
      <c r="D314" s="26">
        <v>0</v>
      </c>
      <c r="F314" s="26">
        <v>0</v>
      </c>
      <c r="G314" s="26">
        <v>0</v>
      </c>
      <c r="H314" s="26">
        <v>0</v>
      </c>
      <c r="J314" s="26">
        <f t="shared" si="36"/>
        <v>0</v>
      </c>
      <c r="L314" s="26"/>
      <c r="M314" s="27">
        <v>0</v>
      </c>
      <c r="P314"/>
      <c r="Q314" s="209"/>
      <c r="R314" s="209"/>
      <c r="S314" s="209"/>
    </row>
    <row r="315" spans="1:19" ht="12.75" customHeight="1" x14ac:dyDescent="0.3">
      <c r="A315" s="25" t="s">
        <v>1339</v>
      </c>
      <c r="B315" s="210"/>
      <c r="C315" s="211"/>
      <c r="D315" s="26">
        <v>0</v>
      </c>
      <c r="F315" s="26">
        <v>0</v>
      </c>
      <c r="G315" s="26">
        <v>0</v>
      </c>
      <c r="H315" s="26">
        <v>0</v>
      </c>
      <c r="J315" s="26">
        <f t="shared" si="36"/>
        <v>0</v>
      </c>
      <c r="L315" s="26"/>
      <c r="M315" s="27">
        <v>0</v>
      </c>
      <c r="P315"/>
      <c r="Q315" s="209"/>
      <c r="R315" s="209"/>
      <c r="S315" s="209"/>
    </row>
    <row r="316" spans="1:19" ht="12.75" customHeight="1" x14ac:dyDescent="0.3">
      <c r="A316" s="25" t="s">
        <v>1339</v>
      </c>
      <c r="B316" s="210"/>
      <c r="C316" s="211"/>
      <c r="D316" s="26">
        <v>0</v>
      </c>
      <c r="F316" s="26">
        <v>0</v>
      </c>
      <c r="G316" s="26">
        <v>0</v>
      </c>
      <c r="H316" s="26">
        <v>0</v>
      </c>
      <c r="J316" s="26">
        <f t="shared" si="36"/>
        <v>0</v>
      </c>
      <c r="L316" s="26"/>
      <c r="M316" s="27">
        <v>0</v>
      </c>
      <c r="P316"/>
      <c r="Q316" s="209"/>
      <c r="R316" s="209"/>
      <c r="S316" s="209"/>
    </row>
    <row r="317" spans="1:19" ht="12.75" customHeight="1" x14ac:dyDescent="0.3">
      <c r="A317" s="25" t="s">
        <v>1339</v>
      </c>
      <c r="B317" s="210"/>
      <c r="C317" s="211"/>
      <c r="D317" s="26">
        <v>0</v>
      </c>
      <c r="F317" s="26">
        <v>0</v>
      </c>
      <c r="G317" s="26">
        <v>0</v>
      </c>
      <c r="H317" s="26">
        <v>0</v>
      </c>
      <c r="J317" s="26">
        <f t="shared" si="36"/>
        <v>0</v>
      </c>
      <c r="L317" s="26"/>
      <c r="M317" s="27">
        <v>0</v>
      </c>
      <c r="P317"/>
      <c r="Q317" s="209"/>
      <c r="R317" s="209"/>
      <c r="S317" s="209"/>
    </row>
    <row r="318" spans="1:19" ht="12.75" customHeight="1" x14ac:dyDescent="0.3">
      <c r="A318" s="25" t="s">
        <v>1339</v>
      </c>
      <c r="B318" s="210"/>
      <c r="C318" s="211"/>
      <c r="D318" s="26">
        <v>0</v>
      </c>
      <c r="F318" s="26">
        <v>0</v>
      </c>
      <c r="G318" s="26">
        <v>0</v>
      </c>
      <c r="H318" s="26">
        <v>0</v>
      </c>
      <c r="J318" s="26">
        <f t="shared" si="36"/>
        <v>0</v>
      </c>
      <c r="L318" s="26"/>
      <c r="M318" s="27">
        <v>0</v>
      </c>
      <c r="P318"/>
      <c r="Q318" s="209"/>
      <c r="R318" s="209"/>
      <c r="S318" s="209"/>
    </row>
    <row r="319" spans="1:19" ht="12.75" customHeight="1" x14ac:dyDescent="0.3">
      <c r="A319" s="25" t="s">
        <v>1339</v>
      </c>
      <c r="B319" s="210"/>
      <c r="C319" s="211"/>
      <c r="D319" s="26">
        <v>0</v>
      </c>
      <c r="F319" s="26">
        <v>0</v>
      </c>
      <c r="G319" s="26">
        <v>0</v>
      </c>
      <c r="H319" s="26">
        <v>0</v>
      </c>
      <c r="J319" s="26">
        <f t="shared" si="36"/>
        <v>0</v>
      </c>
      <c r="L319" s="26"/>
      <c r="M319" s="27">
        <v>0</v>
      </c>
      <c r="P319"/>
      <c r="Q319" s="209"/>
      <c r="R319" s="209"/>
      <c r="S319" s="209"/>
    </row>
    <row r="320" spans="1:19" ht="12.75" customHeight="1" x14ac:dyDescent="0.3">
      <c r="A320" s="28" t="s">
        <v>8</v>
      </c>
      <c r="B320" s="29"/>
      <c r="C320" s="28"/>
      <c r="D320" s="30">
        <v>273342.84000000003</v>
      </c>
      <c r="E320" s="30">
        <v>0</v>
      </c>
      <c r="F320" s="30">
        <v>0</v>
      </c>
      <c r="G320" s="30">
        <v>1079.97</v>
      </c>
      <c r="H320" s="30">
        <v>0</v>
      </c>
      <c r="I320" s="30">
        <v>0</v>
      </c>
      <c r="J320" s="30">
        <f t="shared" ref="J320" si="37">SUM(J309:J319)</f>
        <v>274422.81</v>
      </c>
      <c r="L320" s="30">
        <v>231000</v>
      </c>
      <c r="P320"/>
      <c r="Q320" s="209"/>
      <c r="R320" s="209"/>
      <c r="S320" s="209"/>
    </row>
    <row r="321" spans="1:19" ht="12.75" customHeight="1" x14ac:dyDescent="0.3">
      <c r="P321"/>
      <c r="Q321" s="209"/>
      <c r="R321" s="209"/>
      <c r="S321" s="209"/>
    </row>
    <row r="322" spans="1:19" ht="12.75" customHeight="1" x14ac:dyDescent="0.3">
      <c r="P322"/>
      <c r="Q322" s="209"/>
      <c r="R322" s="209"/>
      <c r="S322" s="209"/>
    </row>
    <row r="323" spans="1:19" ht="12.75" customHeight="1" x14ac:dyDescent="0.3">
      <c r="P323"/>
      <c r="Q323" s="209"/>
      <c r="R323" s="209"/>
      <c r="S323" s="209"/>
    </row>
    <row r="324" spans="1:19" ht="12.75" customHeight="1" x14ac:dyDescent="0.3">
      <c r="P324"/>
      <c r="Q324" s="209"/>
      <c r="R324" s="209"/>
      <c r="S324" s="209"/>
    </row>
    <row r="325" spans="1:19" ht="12.75" customHeight="1" x14ac:dyDescent="0.3">
      <c r="P325"/>
      <c r="Q325" s="209"/>
      <c r="R325" s="209"/>
      <c r="S325" s="209"/>
    </row>
    <row r="326" spans="1:19" ht="12.75" customHeight="1" x14ac:dyDescent="0.3">
      <c r="A326" s="21" t="s">
        <v>0</v>
      </c>
      <c r="B326" s="22" t="s">
        <v>659</v>
      </c>
      <c r="C326" s="21" t="s">
        <v>660</v>
      </c>
      <c r="D326" s="22" t="s">
        <v>661</v>
      </c>
      <c r="E326" s="22" t="s">
        <v>662</v>
      </c>
      <c r="F326" s="22" t="s">
        <v>663</v>
      </c>
      <c r="G326" s="22" t="s">
        <v>664</v>
      </c>
      <c r="H326" s="22" t="s">
        <v>665</v>
      </c>
      <c r="I326" s="22" t="s">
        <v>676</v>
      </c>
      <c r="J326" s="22" t="s">
        <v>666</v>
      </c>
      <c r="L326" s="24" t="s">
        <v>667</v>
      </c>
      <c r="M326" s="24" t="s">
        <v>668</v>
      </c>
      <c r="O326" s="22" t="s">
        <v>669</v>
      </c>
      <c r="P326"/>
      <c r="Q326" s="209"/>
      <c r="R326" s="209"/>
      <c r="S326" s="209"/>
    </row>
    <row r="327" spans="1:19" ht="12.75" customHeight="1" x14ac:dyDescent="0.3">
      <c r="A327" s="25" t="s">
        <v>1344</v>
      </c>
      <c r="B327" s="210" t="s">
        <v>979</v>
      </c>
      <c r="C327" s="211" t="s">
        <v>454</v>
      </c>
      <c r="D327" s="26">
        <v>500.98</v>
      </c>
      <c r="F327" s="26">
        <v>0</v>
      </c>
      <c r="G327" s="26">
        <v>0</v>
      </c>
      <c r="H327" s="26">
        <v>0</v>
      </c>
      <c r="J327" s="26">
        <f t="shared" ref="J327:J337" si="38">SUM(D327:I327)</f>
        <v>500.98</v>
      </c>
      <c r="L327" s="26"/>
      <c r="M327" s="27">
        <v>0</v>
      </c>
      <c r="O327" s="26">
        <v>240000</v>
      </c>
      <c r="P327" t="s">
        <v>453</v>
      </c>
      <c r="Q327" s="209">
        <v>16.031359999999999</v>
      </c>
      <c r="R327" s="209">
        <v>4.0078399999999998</v>
      </c>
      <c r="S327" s="209"/>
    </row>
    <row r="328" spans="1:19" ht="12.75" customHeight="1" x14ac:dyDescent="0.3">
      <c r="A328" s="25" t="s">
        <v>1344</v>
      </c>
      <c r="B328" s="210" t="s">
        <v>1345</v>
      </c>
      <c r="C328" s="211" t="s">
        <v>458</v>
      </c>
      <c r="D328" s="26">
        <v>137769.12</v>
      </c>
      <c r="F328" s="26">
        <v>0</v>
      </c>
      <c r="G328" s="26">
        <v>399.99</v>
      </c>
      <c r="H328" s="26">
        <v>0</v>
      </c>
      <c r="J328" s="26">
        <f t="shared" si="38"/>
        <v>138169.10999999999</v>
      </c>
      <c r="L328" s="26">
        <v>112000</v>
      </c>
      <c r="M328" s="27">
        <v>1.2336527678571427</v>
      </c>
      <c r="P328" t="s">
        <v>457</v>
      </c>
      <c r="Q328" s="209">
        <v>4421.4115199999997</v>
      </c>
      <c r="R328" s="209">
        <v>1105.3528799999999</v>
      </c>
      <c r="S328" s="209">
        <v>690.84554999999989</v>
      </c>
    </row>
    <row r="329" spans="1:19" ht="12.75" customHeight="1" x14ac:dyDescent="0.3">
      <c r="A329" s="25" t="s">
        <v>1344</v>
      </c>
      <c r="B329" s="210" t="s">
        <v>1346</v>
      </c>
      <c r="C329" s="211" t="s">
        <v>456</v>
      </c>
      <c r="D329" s="26">
        <v>10429.66</v>
      </c>
      <c r="F329" s="26">
        <v>0</v>
      </c>
      <c r="G329" s="26">
        <v>0</v>
      </c>
      <c r="H329" s="26">
        <v>0</v>
      </c>
      <c r="J329" s="26">
        <f t="shared" si="38"/>
        <v>10429.66</v>
      </c>
      <c r="L329" s="26">
        <v>40000</v>
      </c>
      <c r="M329" s="27">
        <v>0.26074150000000001</v>
      </c>
      <c r="P329" t="s">
        <v>1347</v>
      </c>
      <c r="Q329" s="209">
        <v>333.74912</v>
      </c>
      <c r="R329" s="209">
        <v>83.437280000000001</v>
      </c>
      <c r="S329" s="209"/>
    </row>
    <row r="330" spans="1:19" ht="12.75" customHeight="1" x14ac:dyDescent="0.3">
      <c r="A330" s="25" t="s">
        <v>1344</v>
      </c>
      <c r="B330" s="210" t="s">
        <v>1262</v>
      </c>
      <c r="C330" s="211" t="s">
        <v>451</v>
      </c>
      <c r="D330" s="26">
        <v>112348.47</v>
      </c>
      <c r="F330" s="26">
        <v>0</v>
      </c>
      <c r="G330" s="26">
        <v>0</v>
      </c>
      <c r="H330" s="26">
        <v>0</v>
      </c>
      <c r="J330" s="26">
        <f t="shared" si="38"/>
        <v>112348.47</v>
      </c>
      <c r="L330" s="26">
        <v>112000</v>
      </c>
      <c r="M330" s="27">
        <v>1.0031113392857143</v>
      </c>
      <c r="P330" t="s">
        <v>450</v>
      </c>
      <c r="Q330" s="209">
        <v>3595.1510400000002</v>
      </c>
      <c r="R330" s="209">
        <v>898.78776000000005</v>
      </c>
      <c r="S330" s="209">
        <v>561.74234999999999</v>
      </c>
    </row>
    <row r="331" spans="1:19" ht="12.75" customHeight="1" x14ac:dyDescent="0.3">
      <c r="A331" s="25" t="s">
        <v>1344</v>
      </c>
      <c r="B331" s="210" t="s">
        <v>1302</v>
      </c>
      <c r="C331" s="211" t="s">
        <v>709</v>
      </c>
      <c r="D331" s="26">
        <v>7209.78</v>
      </c>
      <c r="F331" s="26">
        <v>0</v>
      </c>
      <c r="G331" s="26">
        <v>0</v>
      </c>
      <c r="H331" s="26">
        <v>0</v>
      </c>
      <c r="J331" s="26">
        <f t="shared" si="38"/>
        <v>7209.78</v>
      </c>
      <c r="L331" s="26">
        <v>10000</v>
      </c>
      <c r="M331" s="27">
        <v>0.72097800000000001</v>
      </c>
      <c r="P331" t="s">
        <v>1348</v>
      </c>
      <c r="Q331" s="209">
        <v>230.71296000000001</v>
      </c>
      <c r="R331" s="209">
        <v>57.678240000000002</v>
      </c>
      <c r="S331" s="209"/>
    </row>
    <row r="332" spans="1:19" ht="12.75" customHeight="1" x14ac:dyDescent="0.3">
      <c r="A332" s="25" t="s">
        <v>1344</v>
      </c>
      <c r="B332" s="210" t="s">
        <v>1330</v>
      </c>
      <c r="C332" s="211" t="s">
        <v>1349</v>
      </c>
      <c r="D332" s="26">
        <v>19844.400000000001</v>
      </c>
      <c r="F332" s="26">
        <v>0</v>
      </c>
      <c r="G332" s="26">
        <v>0</v>
      </c>
      <c r="H332" s="26">
        <v>0</v>
      </c>
      <c r="J332" s="26">
        <f t="shared" si="38"/>
        <v>19844.400000000001</v>
      </c>
      <c r="L332" s="26">
        <v>20000</v>
      </c>
      <c r="M332" s="27">
        <v>0.9922200000000001</v>
      </c>
      <c r="P332" t="s">
        <v>955</v>
      </c>
      <c r="Q332" s="209">
        <v>635.02080000000001</v>
      </c>
      <c r="R332" s="209">
        <v>158.7552</v>
      </c>
      <c r="S332" s="209"/>
    </row>
    <row r="333" spans="1:19" ht="12.75" customHeight="1" x14ac:dyDescent="0.3">
      <c r="A333" s="25" t="s">
        <v>1344</v>
      </c>
      <c r="B333" s="210" t="s">
        <v>1338</v>
      </c>
      <c r="C333" s="211" t="s">
        <v>959</v>
      </c>
      <c r="D333" s="26">
        <v>19724.34</v>
      </c>
      <c r="F333" s="26">
        <v>0</v>
      </c>
      <c r="G333" s="26">
        <v>0</v>
      </c>
      <c r="H333" s="26">
        <v>0</v>
      </c>
      <c r="J333" s="26">
        <f t="shared" si="38"/>
        <v>19724.34</v>
      </c>
      <c r="L333" s="26">
        <v>20000</v>
      </c>
      <c r="M333" s="27">
        <v>0.98621700000000001</v>
      </c>
      <c r="P333" t="s">
        <v>958</v>
      </c>
      <c r="Q333" s="209">
        <v>631.17888000000005</v>
      </c>
      <c r="R333" s="209">
        <v>157.79472000000001</v>
      </c>
      <c r="S333" s="209"/>
    </row>
    <row r="334" spans="1:19" ht="12.75" customHeight="1" x14ac:dyDescent="0.3">
      <c r="A334" s="25" t="s">
        <v>1344</v>
      </c>
      <c r="B334" s="210"/>
      <c r="C334" s="211"/>
      <c r="D334" s="26">
        <v>0</v>
      </c>
      <c r="F334" s="26">
        <v>0</v>
      </c>
      <c r="G334" s="26">
        <v>0</v>
      </c>
      <c r="H334" s="26">
        <v>0</v>
      </c>
      <c r="J334" s="26">
        <f t="shared" si="38"/>
        <v>0</v>
      </c>
      <c r="L334" s="26"/>
      <c r="M334" s="27">
        <v>0</v>
      </c>
      <c r="P334"/>
      <c r="Q334" s="209"/>
      <c r="R334" s="209"/>
      <c r="S334" s="209"/>
    </row>
    <row r="335" spans="1:19" ht="12.75" customHeight="1" x14ac:dyDescent="0.3">
      <c r="A335" s="25" t="s">
        <v>1344</v>
      </c>
      <c r="B335" s="210"/>
      <c r="C335" s="211"/>
      <c r="D335" s="26">
        <v>0</v>
      </c>
      <c r="F335" s="26">
        <v>0</v>
      </c>
      <c r="G335" s="26">
        <v>0</v>
      </c>
      <c r="H335" s="26">
        <v>0</v>
      </c>
      <c r="J335" s="26">
        <f t="shared" si="38"/>
        <v>0</v>
      </c>
      <c r="L335" s="26"/>
      <c r="M335" s="27">
        <v>0</v>
      </c>
      <c r="P335"/>
      <c r="Q335" s="209"/>
      <c r="R335" s="209"/>
      <c r="S335" s="209"/>
    </row>
    <row r="336" spans="1:19" ht="12.75" customHeight="1" x14ac:dyDescent="0.3">
      <c r="A336" s="25" t="s">
        <v>1344</v>
      </c>
      <c r="B336" s="210"/>
      <c r="C336" s="211"/>
      <c r="D336" s="26">
        <v>0</v>
      </c>
      <c r="F336" s="26">
        <v>0</v>
      </c>
      <c r="G336" s="26">
        <v>0</v>
      </c>
      <c r="H336" s="26">
        <v>0</v>
      </c>
      <c r="J336" s="26">
        <f t="shared" si="38"/>
        <v>0</v>
      </c>
      <c r="L336" s="26"/>
      <c r="M336" s="27">
        <v>0</v>
      </c>
      <c r="P336"/>
      <c r="Q336" s="209"/>
      <c r="R336" s="209"/>
      <c r="S336" s="209"/>
    </row>
    <row r="337" spans="1:19" ht="12.75" customHeight="1" x14ac:dyDescent="0.3">
      <c r="A337" s="25" t="s">
        <v>1344</v>
      </c>
      <c r="B337" s="210"/>
      <c r="C337" s="211"/>
      <c r="D337" s="26">
        <v>0</v>
      </c>
      <c r="F337" s="26">
        <v>0</v>
      </c>
      <c r="G337" s="26">
        <v>0</v>
      </c>
      <c r="H337" s="26">
        <v>0</v>
      </c>
      <c r="J337" s="26">
        <f t="shared" si="38"/>
        <v>0</v>
      </c>
      <c r="L337" s="26"/>
      <c r="M337" s="27">
        <v>0</v>
      </c>
      <c r="P337"/>
      <c r="Q337" s="209"/>
      <c r="R337" s="209"/>
      <c r="S337" s="209"/>
    </row>
    <row r="338" spans="1:19" ht="12.75" customHeight="1" x14ac:dyDescent="0.3">
      <c r="A338" s="28" t="s">
        <v>8</v>
      </c>
      <c r="B338" s="29"/>
      <c r="C338" s="28"/>
      <c r="D338" s="30">
        <v>307826.75000000006</v>
      </c>
      <c r="E338" s="30">
        <v>0</v>
      </c>
      <c r="F338" s="30">
        <v>0</v>
      </c>
      <c r="G338" s="30">
        <v>399.99</v>
      </c>
      <c r="H338" s="30">
        <v>0</v>
      </c>
      <c r="I338" s="30">
        <v>0</v>
      </c>
      <c r="J338" s="30">
        <f t="shared" ref="J338" si="39">SUM(J327:J337)</f>
        <v>308226.74000000005</v>
      </c>
      <c r="L338" s="30">
        <v>314000</v>
      </c>
      <c r="P338"/>
      <c r="Q338" s="209"/>
      <c r="R338" s="209"/>
      <c r="S338" s="209"/>
    </row>
    <row r="339" spans="1:19" ht="12.75" customHeight="1" x14ac:dyDescent="0.3">
      <c r="P339"/>
      <c r="Q339" s="209"/>
      <c r="R339" s="209"/>
      <c r="S339" s="209"/>
    </row>
    <row r="340" spans="1:19" ht="12.75" customHeight="1" x14ac:dyDescent="0.3">
      <c r="P340"/>
      <c r="Q340" s="209"/>
      <c r="R340" s="209"/>
      <c r="S340" s="209"/>
    </row>
    <row r="341" spans="1:19" ht="12.75" customHeight="1" x14ac:dyDescent="0.3">
      <c r="P341"/>
      <c r="Q341" s="209"/>
      <c r="R341" s="209"/>
      <c r="S341" s="209"/>
    </row>
    <row r="342" spans="1:19" ht="12.75" customHeight="1" x14ac:dyDescent="0.3">
      <c r="P342"/>
      <c r="Q342" s="209"/>
      <c r="R342" s="209"/>
      <c r="S342" s="209"/>
    </row>
    <row r="343" spans="1:19" ht="12.75" customHeight="1" x14ac:dyDescent="0.3">
      <c r="P343"/>
      <c r="Q343" s="209"/>
      <c r="R343" s="209"/>
      <c r="S343" s="209"/>
    </row>
    <row r="344" spans="1:19" ht="12.75" customHeight="1" x14ac:dyDescent="0.3">
      <c r="P344"/>
      <c r="Q344" s="209"/>
      <c r="R344" s="209"/>
      <c r="S344" s="209"/>
    </row>
    <row r="345" spans="1:19" ht="12.75" customHeight="1" x14ac:dyDescent="0.3">
      <c r="A345" s="21" t="s">
        <v>0</v>
      </c>
      <c r="B345" s="22" t="s">
        <v>659</v>
      </c>
      <c r="C345" s="21" t="s">
        <v>660</v>
      </c>
      <c r="D345" s="22" t="s">
        <v>661</v>
      </c>
      <c r="E345" s="22" t="s">
        <v>662</v>
      </c>
      <c r="F345" s="22" t="s">
        <v>663</v>
      </c>
      <c r="G345" s="22" t="s">
        <v>664</v>
      </c>
      <c r="H345" s="22" t="s">
        <v>665</v>
      </c>
      <c r="I345" s="22" t="s">
        <v>676</v>
      </c>
      <c r="J345" s="22" t="s">
        <v>666</v>
      </c>
      <c r="L345" s="24" t="s">
        <v>667</v>
      </c>
      <c r="M345" s="24" t="s">
        <v>668</v>
      </c>
      <c r="O345" s="22" t="s">
        <v>669</v>
      </c>
      <c r="P345"/>
      <c r="Q345" s="209"/>
      <c r="R345" s="209"/>
      <c r="S345" s="209"/>
    </row>
    <row r="346" spans="1:19" ht="12.75" customHeight="1" x14ac:dyDescent="0.3">
      <c r="A346" s="25" t="s">
        <v>1292</v>
      </c>
      <c r="B346" s="210" t="s">
        <v>979</v>
      </c>
      <c r="C346" s="211" t="s">
        <v>485</v>
      </c>
      <c r="D346" s="26">
        <v>96652.21</v>
      </c>
      <c r="F346" s="26">
        <v>0</v>
      </c>
      <c r="G346" s="26">
        <v>0</v>
      </c>
      <c r="H346" s="26">
        <v>0</v>
      </c>
      <c r="J346" s="26">
        <f t="shared" ref="J346:J356" si="40">SUM(D346:I346)</f>
        <v>96652.21</v>
      </c>
      <c r="L346" s="26">
        <v>67834</v>
      </c>
      <c r="M346" s="27">
        <v>1.4248343013827875</v>
      </c>
      <c r="O346" s="26">
        <v>370000</v>
      </c>
      <c r="P346" t="s">
        <v>484</v>
      </c>
      <c r="Q346" s="209">
        <v>3092.8707200000003</v>
      </c>
      <c r="R346" s="209">
        <v>773.21768000000009</v>
      </c>
      <c r="S346" s="209">
        <v>483.26105000000007</v>
      </c>
    </row>
    <row r="347" spans="1:19" ht="12.75" customHeight="1" x14ac:dyDescent="0.3">
      <c r="A347" s="25" t="s">
        <v>1292</v>
      </c>
      <c r="B347" s="210" t="s">
        <v>1350</v>
      </c>
      <c r="C347" s="211" t="s">
        <v>473</v>
      </c>
      <c r="D347" s="26">
        <v>93030.5</v>
      </c>
      <c r="F347" s="26">
        <v>0</v>
      </c>
      <c r="G347" s="26">
        <v>1199.99</v>
      </c>
      <c r="H347" s="26">
        <v>0</v>
      </c>
      <c r="J347" s="26">
        <f t="shared" si="40"/>
        <v>94230.49</v>
      </c>
      <c r="L347" s="26">
        <v>67834</v>
      </c>
      <c r="M347" s="27">
        <v>1.3891336203083999</v>
      </c>
      <c r="P347" t="s">
        <v>472</v>
      </c>
      <c r="Q347" s="209">
        <v>3015.3756800000001</v>
      </c>
      <c r="R347" s="209">
        <v>753.84392000000003</v>
      </c>
      <c r="S347" s="209">
        <v>471.15245000000004</v>
      </c>
    </row>
    <row r="348" spans="1:19" ht="12.75" customHeight="1" x14ac:dyDescent="0.3">
      <c r="A348" s="25" t="s">
        <v>1292</v>
      </c>
      <c r="B348" s="210" t="s">
        <v>1351</v>
      </c>
      <c r="C348" s="211" t="s">
        <v>710</v>
      </c>
      <c r="D348" s="26">
        <v>49422.54</v>
      </c>
      <c r="F348" s="26">
        <v>0</v>
      </c>
      <c r="G348" s="26">
        <v>0</v>
      </c>
      <c r="H348" s="26">
        <v>0</v>
      </c>
      <c r="J348" s="26">
        <f t="shared" si="40"/>
        <v>49422.54</v>
      </c>
      <c r="L348" s="26">
        <v>67834</v>
      </c>
      <c r="M348" s="27">
        <v>0.72858065276999739</v>
      </c>
      <c r="P348" t="s">
        <v>469</v>
      </c>
      <c r="Q348" s="209">
        <v>1581.5212800000002</v>
      </c>
      <c r="R348" s="209">
        <v>395.38032000000004</v>
      </c>
      <c r="S348" s="209"/>
    </row>
    <row r="349" spans="1:19" ht="12.75" customHeight="1" x14ac:dyDescent="0.3">
      <c r="A349" s="25" t="s">
        <v>1292</v>
      </c>
      <c r="B349" s="210" t="s">
        <v>1311</v>
      </c>
      <c r="C349" s="211" t="s">
        <v>711</v>
      </c>
      <c r="D349" s="26">
        <v>99480.98</v>
      </c>
      <c r="F349" s="26">
        <v>0</v>
      </c>
      <c r="G349" s="26">
        <v>0</v>
      </c>
      <c r="H349" s="26">
        <v>0</v>
      </c>
      <c r="J349" s="26">
        <f t="shared" si="40"/>
        <v>99480.98</v>
      </c>
      <c r="L349" s="26">
        <v>67834</v>
      </c>
      <c r="M349" s="27">
        <v>1.4665356605831883</v>
      </c>
      <c r="P349" t="s">
        <v>478</v>
      </c>
      <c r="Q349" s="209">
        <v>3183.3913600000001</v>
      </c>
      <c r="R349" s="209">
        <v>795.84784000000002</v>
      </c>
      <c r="S349" s="209">
        <v>497.4049</v>
      </c>
    </row>
    <row r="350" spans="1:19" ht="12.75" customHeight="1" x14ac:dyDescent="0.3">
      <c r="A350" s="25" t="s">
        <v>1292</v>
      </c>
      <c r="B350" s="210" t="s">
        <v>1329</v>
      </c>
      <c r="C350" s="211" t="s">
        <v>712</v>
      </c>
      <c r="D350" s="26">
        <v>73911.87</v>
      </c>
      <c r="F350" s="26">
        <v>0</v>
      </c>
      <c r="G350" s="26">
        <v>299.99</v>
      </c>
      <c r="H350" s="26">
        <v>0</v>
      </c>
      <c r="J350" s="26">
        <f t="shared" si="40"/>
        <v>74211.86</v>
      </c>
      <c r="L350" s="26">
        <v>67834</v>
      </c>
      <c r="M350" s="27">
        <v>1.0940215820974732</v>
      </c>
      <c r="P350" t="s">
        <v>481</v>
      </c>
      <c r="Q350" s="209">
        <v>2374.77952</v>
      </c>
      <c r="R350" s="209">
        <v>593.69488000000001</v>
      </c>
      <c r="S350" s="209">
        <v>371.05930000000001</v>
      </c>
    </row>
    <row r="351" spans="1:19" ht="12.75" customHeight="1" x14ac:dyDescent="0.3">
      <c r="A351" s="25" t="s">
        <v>1292</v>
      </c>
      <c r="B351" s="210" t="s">
        <v>1280</v>
      </c>
      <c r="C351" s="211" t="s">
        <v>476</v>
      </c>
      <c r="D351" s="26">
        <v>72526.16</v>
      </c>
      <c r="F351" s="26">
        <v>0</v>
      </c>
      <c r="G351" s="26">
        <v>0</v>
      </c>
      <c r="H351" s="26">
        <v>0</v>
      </c>
      <c r="J351" s="26">
        <f t="shared" si="40"/>
        <v>72526.16</v>
      </c>
      <c r="L351" s="26">
        <v>67834</v>
      </c>
      <c r="M351" s="27">
        <v>1.0691712120765398</v>
      </c>
      <c r="P351" t="s">
        <v>475</v>
      </c>
      <c r="Q351" s="209">
        <v>2320.8371200000001</v>
      </c>
      <c r="R351" s="209">
        <v>580.20928000000004</v>
      </c>
      <c r="S351" s="209">
        <v>362.63080000000002</v>
      </c>
    </row>
    <row r="352" spans="1:19" ht="12.75" customHeight="1" x14ac:dyDescent="0.3">
      <c r="A352" s="25" t="s">
        <v>1292</v>
      </c>
      <c r="B352" s="210" t="s">
        <v>1352</v>
      </c>
      <c r="C352" s="211" t="s">
        <v>713</v>
      </c>
      <c r="D352" s="26">
        <v>1927.85</v>
      </c>
      <c r="F352" s="26">
        <v>0</v>
      </c>
      <c r="G352" s="26">
        <v>0</v>
      </c>
      <c r="H352" s="26">
        <v>0</v>
      </c>
      <c r="J352" s="26">
        <f t="shared" si="40"/>
        <v>1927.85</v>
      </c>
      <c r="L352" s="26"/>
      <c r="M352" s="27">
        <v>0</v>
      </c>
      <c r="P352" t="s">
        <v>1353</v>
      </c>
      <c r="Q352" s="209">
        <v>61.691199999999995</v>
      </c>
      <c r="R352" s="209">
        <v>15.422799999999999</v>
      </c>
      <c r="S352" s="209"/>
    </row>
    <row r="353" spans="1:19" ht="12.75" customHeight="1" x14ac:dyDescent="0.3">
      <c r="A353" s="25" t="s">
        <v>1292</v>
      </c>
      <c r="B353" s="210"/>
      <c r="C353" s="211"/>
      <c r="D353" s="26">
        <v>0</v>
      </c>
      <c r="F353" s="26">
        <v>0</v>
      </c>
      <c r="G353" s="26">
        <v>0</v>
      </c>
      <c r="H353" s="26">
        <v>0</v>
      </c>
      <c r="J353" s="26">
        <f t="shared" si="40"/>
        <v>0</v>
      </c>
      <c r="L353" s="26"/>
      <c r="M353" s="27">
        <v>0</v>
      </c>
      <c r="P353"/>
      <c r="Q353" s="209"/>
      <c r="R353" s="209"/>
      <c r="S353" s="209"/>
    </row>
    <row r="354" spans="1:19" ht="12.75" customHeight="1" x14ac:dyDescent="0.3">
      <c r="A354" s="25" t="s">
        <v>1292</v>
      </c>
      <c r="B354" s="210"/>
      <c r="C354" s="211"/>
      <c r="D354" s="26">
        <v>0</v>
      </c>
      <c r="F354" s="26">
        <v>0</v>
      </c>
      <c r="G354" s="26">
        <v>0</v>
      </c>
      <c r="H354" s="26">
        <v>0</v>
      </c>
      <c r="J354" s="26">
        <f t="shared" si="40"/>
        <v>0</v>
      </c>
      <c r="L354" s="26"/>
      <c r="M354" s="27">
        <v>0</v>
      </c>
      <c r="P354"/>
      <c r="Q354" s="209"/>
      <c r="R354" s="209"/>
      <c r="S354" s="209"/>
    </row>
    <row r="355" spans="1:19" ht="12.75" customHeight="1" x14ac:dyDescent="0.3">
      <c r="A355" s="25" t="s">
        <v>1292</v>
      </c>
      <c r="B355" s="210"/>
      <c r="C355" s="211"/>
      <c r="D355" s="26">
        <v>0</v>
      </c>
      <c r="F355" s="26">
        <v>0</v>
      </c>
      <c r="G355" s="26">
        <v>0</v>
      </c>
      <c r="H355" s="26">
        <v>0</v>
      </c>
      <c r="J355" s="26">
        <f t="shared" si="40"/>
        <v>0</v>
      </c>
      <c r="L355" s="26"/>
      <c r="M355" s="27">
        <v>0</v>
      </c>
      <c r="P355"/>
      <c r="Q355" s="209"/>
      <c r="R355" s="209"/>
      <c r="S355" s="209"/>
    </row>
    <row r="356" spans="1:19" ht="12.75" customHeight="1" x14ac:dyDescent="0.3">
      <c r="A356" s="25" t="s">
        <v>1292</v>
      </c>
      <c r="B356" s="210"/>
      <c r="C356" s="211"/>
      <c r="D356" s="26">
        <v>0</v>
      </c>
      <c r="F356" s="26">
        <v>0</v>
      </c>
      <c r="G356" s="26">
        <v>0</v>
      </c>
      <c r="H356" s="26">
        <v>0</v>
      </c>
      <c r="J356" s="26">
        <f t="shared" si="40"/>
        <v>0</v>
      </c>
      <c r="L356" s="26"/>
      <c r="M356" s="27">
        <v>0</v>
      </c>
      <c r="P356"/>
      <c r="Q356" s="209"/>
      <c r="R356" s="209"/>
      <c r="S356" s="209"/>
    </row>
    <row r="357" spans="1:19" ht="12.75" customHeight="1" x14ac:dyDescent="0.3">
      <c r="A357" s="28" t="s">
        <v>8</v>
      </c>
      <c r="B357" s="29"/>
      <c r="C357" s="28"/>
      <c r="D357" s="30">
        <v>486952.11</v>
      </c>
      <c r="E357" s="30">
        <v>0</v>
      </c>
      <c r="F357" s="30">
        <v>0</v>
      </c>
      <c r="G357" s="30">
        <v>1499.98</v>
      </c>
      <c r="H357" s="30">
        <v>0</v>
      </c>
      <c r="I357" s="30">
        <v>0</v>
      </c>
      <c r="J357" s="30">
        <f t="shared" ref="J357" si="41">SUM(J346:J356)</f>
        <v>488452.08999999997</v>
      </c>
      <c r="L357" s="30">
        <v>407004</v>
      </c>
      <c r="P357"/>
      <c r="Q357" s="209"/>
      <c r="R357" s="209"/>
      <c r="S357" s="209"/>
    </row>
    <row r="358" spans="1:19" ht="12.75" customHeight="1" x14ac:dyDescent="0.3">
      <c r="P358"/>
      <c r="Q358" s="209"/>
      <c r="R358" s="209"/>
      <c r="S358" s="209"/>
    </row>
    <row r="359" spans="1:19" ht="12.75" customHeight="1" x14ac:dyDescent="0.3">
      <c r="P359"/>
      <c r="Q359" s="209"/>
      <c r="R359" s="209"/>
      <c r="S359" s="209"/>
    </row>
    <row r="360" spans="1:19" ht="12.75" customHeight="1" x14ac:dyDescent="0.3">
      <c r="P360"/>
      <c r="Q360" s="209"/>
      <c r="R360" s="209"/>
      <c r="S360" s="209"/>
    </row>
    <row r="361" spans="1:19" ht="12.75" customHeight="1" x14ac:dyDescent="0.3">
      <c r="P361"/>
      <c r="Q361" s="209"/>
      <c r="R361" s="209"/>
      <c r="S361" s="209"/>
    </row>
    <row r="362" spans="1:19" ht="12.75" customHeight="1" x14ac:dyDescent="0.3">
      <c r="P362"/>
      <c r="Q362" s="209"/>
      <c r="R362" s="209"/>
      <c r="S362" s="209"/>
    </row>
    <row r="363" spans="1:19" ht="12.75" customHeight="1" x14ac:dyDescent="0.3">
      <c r="A363" s="21" t="s">
        <v>0</v>
      </c>
      <c r="B363" s="22" t="s">
        <v>659</v>
      </c>
      <c r="C363" s="21" t="s">
        <v>660</v>
      </c>
      <c r="D363" s="22" t="s">
        <v>661</v>
      </c>
      <c r="E363" s="22" t="s">
        <v>662</v>
      </c>
      <c r="F363" s="22" t="s">
        <v>663</v>
      </c>
      <c r="G363" s="22" t="s">
        <v>664</v>
      </c>
      <c r="H363" s="22" t="s">
        <v>665</v>
      </c>
      <c r="I363" s="22" t="s">
        <v>676</v>
      </c>
      <c r="J363" s="22" t="s">
        <v>666</v>
      </c>
      <c r="L363" s="24" t="s">
        <v>667</v>
      </c>
      <c r="M363" s="24" t="s">
        <v>668</v>
      </c>
      <c r="O363" s="22" t="s">
        <v>669</v>
      </c>
      <c r="P363"/>
      <c r="Q363" s="209"/>
      <c r="R363" s="209"/>
      <c r="S363" s="209"/>
    </row>
    <row r="364" spans="1:19" ht="12.75" customHeight="1" x14ac:dyDescent="0.3">
      <c r="A364" s="25" t="s">
        <v>1354</v>
      </c>
      <c r="B364" s="210" t="s">
        <v>1355</v>
      </c>
      <c r="C364" s="211" t="s">
        <v>491</v>
      </c>
      <c r="D364" s="26">
        <v>78913.440000000002</v>
      </c>
      <c r="F364" s="26">
        <v>0</v>
      </c>
      <c r="G364" s="26">
        <v>0</v>
      </c>
      <c r="H364" s="26">
        <v>299.99</v>
      </c>
      <c r="J364" s="26">
        <f t="shared" ref="J364:J374" si="42">SUM(D364:I364)</f>
        <v>79213.430000000008</v>
      </c>
      <c r="L364" s="26">
        <v>61600</v>
      </c>
      <c r="M364" s="27">
        <v>1.2859323051948053</v>
      </c>
      <c r="O364" s="26">
        <v>280000</v>
      </c>
      <c r="P364" t="s">
        <v>490</v>
      </c>
      <c r="Q364" s="209">
        <v>3564.6043500000001</v>
      </c>
      <c r="R364" s="209">
        <v>891.15108750000002</v>
      </c>
      <c r="S364" s="209">
        <v>396.06715000000003</v>
      </c>
    </row>
    <row r="365" spans="1:19" ht="12.75" customHeight="1" x14ac:dyDescent="0.3">
      <c r="A365" s="25" t="s">
        <v>1354</v>
      </c>
      <c r="B365" s="210" t="s">
        <v>1262</v>
      </c>
      <c r="C365" s="211" t="s">
        <v>714</v>
      </c>
      <c r="D365" s="26">
        <v>65310.73</v>
      </c>
      <c r="F365" s="26">
        <v>0</v>
      </c>
      <c r="G365" s="26">
        <v>429.99</v>
      </c>
      <c r="H365" s="26">
        <v>299.99</v>
      </c>
      <c r="J365" s="26">
        <f t="shared" si="42"/>
        <v>66040.710000000006</v>
      </c>
      <c r="L365" s="26">
        <v>61600</v>
      </c>
      <c r="M365" s="27">
        <v>1.0720894480519481</v>
      </c>
      <c r="P365" t="s">
        <v>496</v>
      </c>
      <c r="Q365" s="209">
        <v>2443.5062700000008</v>
      </c>
      <c r="R365" s="209">
        <v>610.87656750000019</v>
      </c>
      <c r="S365" s="209">
        <v>330.20355000000006</v>
      </c>
    </row>
    <row r="366" spans="1:19" ht="12.75" customHeight="1" x14ac:dyDescent="0.3">
      <c r="A366" s="25" t="s">
        <v>1354</v>
      </c>
      <c r="B366" s="210" t="s">
        <v>1325</v>
      </c>
      <c r="C366" s="211" t="s">
        <v>715</v>
      </c>
      <c r="D366" s="26">
        <v>1409.96</v>
      </c>
      <c r="F366" s="26">
        <v>0</v>
      </c>
      <c r="G366" s="26">
        <v>0</v>
      </c>
      <c r="H366" s="26">
        <v>0</v>
      </c>
      <c r="J366" s="26">
        <f t="shared" si="42"/>
        <v>1409.96</v>
      </c>
      <c r="L366" s="26"/>
      <c r="M366" s="27">
        <v>0</v>
      </c>
      <c r="P366" t="s">
        <v>499</v>
      </c>
      <c r="Q366" s="209">
        <v>45.118720000000003</v>
      </c>
      <c r="R366" s="209">
        <v>11.279680000000001</v>
      </c>
      <c r="S366" s="209"/>
    </row>
    <row r="367" spans="1:19" ht="12.75" customHeight="1" x14ac:dyDescent="0.3">
      <c r="A367" s="25" t="s">
        <v>1354</v>
      </c>
      <c r="B367" s="210" t="s">
        <v>1329</v>
      </c>
      <c r="C367" s="211" t="s">
        <v>716</v>
      </c>
      <c r="D367" s="26">
        <v>74053.3</v>
      </c>
      <c r="F367" s="26">
        <v>0</v>
      </c>
      <c r="G367" s="26">
        <v>0</v>
      </c>
      <c r="H367" s="26">
        <v>0</v>
      </c>
      <c r="J367" s="26">
        <f t="shared" si="42"/>
        <v>74053.3</v>
      </c>
      <c r="L367" s="26">
        <v>61600</v>
      </c>
      <c r="M367" s="27">
        <v>1.2021639610389612</v>
      </c>
      <c r="P367" t="s">
        <v>502</v>
      </c>
      <c r="Q367" s="209">
        <v>3332.3984999999998</v>
      </c>
      <c r="R367" s="209">
        <v>833.09962499999995</v>
      </c>
      <c r="S367" s="209">
        <v>370.26650000000001</v>
      </c>
    </row>
    <row r="368" spans="1:19" ht="12.75" customHeight="1" x14ac:dyDescent="0.3">
      <c r="A368" s="25" t="s">
        <v>1354</v>
      </c>
      <c r="B368" s="210" t="s">
        <v>1280</v>
      </c>
      <c r="C368" s="211" t="s">
        <v>506</v>
      </c>
      <c r="D368" s="26">
        <v>54137.58</v>
      </c>
      <c r="F368" s="26">
        <v>0</v>
      </c>
      <c r="G368" s="26">
        <v>0</v>
      </c>
      <c r="H368" s="26">
        <v>399.99</v>
      </c>
      <c r="J368" s="26">
        <f t="shared" si="42"/>
        <v>54537.57</v>
      </c>
      <c r="L368" s="26">
        <v>61600</v>
      </c>
      <c r="M368" s="27">
        <v>0.88535016233766228</v>
      </c>
      <c r="P368" t="s">
        <v>505</v>
      </c>
      <c r="Q368" s="209">
        <v>1745.2022400000001</v>
      </c>
      <c r="R368" s="209">
        <v>436.30056000000002</v>
      </c>
      <c r="S368" s="209"/>
    </row>
    <row r="369" spans="1:19" ht="12.75" customHeight="1" x14ac:dyDescent="0.3">
      <c r="A369" s="25" t="s">
        <v>1354</v>
      </c>
      <c r="B369" s="210" t="s">
        <v>1330</v>
      </c>
      <c r="C369" s="211" t="s">
        <v>962</v>
      </c>
      <c r="D369" s="26">
        <v>32551.77</v>
      </c>
      <c r="F369" s="26">
        <v>0</v>
      </c>
      <c r="G369" s="26">
        <v>0</v>
      </c>
      <c r="H369" s="26">
        <v>0</v>
      </c>
      <c r="J369" s="26">
        <f t="shared" si="42"/>
        <v>32551.77</v>
      </c>
      <c r="L369" s="26">
        <v>61600</v>
      </c>
      <c r="M369" s="27">
        <v>0.52843782467532463</v>
      </c>
      <c r="P369" t="s">
        <v>961</v>
      </c>
      <c r="Q369" s="209">
        <v>1041.6566399999999</v>
      </c>
      <c r="R369" s="209">
        <v>260.41415999999998</v>
      </c>
      <c r="S369" s="209"/>
    </row>
    <row r="370" spans="1:19" ht="12.75" customHeight="1" x14ac:dyDescent="0.3">
      <c r="A370" s="25" t="s">
        <v>1354</v>
      </c>
      <c r="B370" s="210"/>
      <c r="C370" s="211"/>
      <c r="D370" s="26">
        <v>0</v>
      </c>
      <c r="F370" s="26">
        <v>0</v>
      </c>
      <c r="G370" s="26">
        <v>0</v>
      </c>
      <c r="H370" s="26">
        <v>0</v>
      </c>
      <c r="J370" s="26">
        <f t="shared" si="42"/>
        <v>0</v>
      </c>
      <c r="L370" s="26"/>
      <c r="M370" s="27">
        <v>0</v>
      </c>
      <c r="P370"/>
      <c r="Q370" s="209"/>
      <c r="R370" s="209"/>
      <c r="S370" s="209"/>
    </row>
    <row r="371" spans="1:19" ht="12.75" customHeight="1" x14ac:dyDescent="0.3">
      <c r="A371" s="25" t="s">
        <v>1354</v>
      </c>
      <c r="B371" s="210"/>
      <c r="C371" s="211"/>
      <c r="D371" s="26">
        <v>0</v>
      </c>
      <c r="F371" s="26">
        <v>0</v>
      </c>
      <c r="G371" s="26">
        <v>0</v>
      </c>
      <c r="H371" s="26">
        <v>0</v>
      </c>
      <c r="J371" s="26">
        <f t="shared" si="42"/>
        <v>0</v>
      </c>
      <c r="L371" s="26"/>
      <c r="M371" s="27">
        <v>0</v>
      </c>
      <c r="P371"/>
      <c r="Q371" s="209"/>
      <c r="R371" s="209"/>
      <c r="S371" s="209"/>
    </row>
    <row r="372" spans="1:19" ht="12.75" customHeight="1" x14ac:dyDescent="0.3">
      <c r="A372" s="25" t="s">
        <v>1354</v>
      </c>
      <c r="B372" s="210"/>
      <c r="C372" s="211"/>
      <c r="D372" s="26">
        <v>0</v>
      </c>
      <c r="F372" s="26">
        <v>0</v>
      </c>
      <c r="G372" s="26">
        <v>0</v>
      </c>
      <c r="H372" s="26">
        <v>0</v>
      </c>
      <c r="J372" s="26">
        <f t="shared" si="42"/>
        <v>0</v>
      </c>
      <c r="L372" s="26"/>
      <c r="M372" s="27">
        <v>0</v>
      </c>
      <c r="P372"/>
      <c r="Q372" s="209"/>
      <c r="R372" s="209"/>
      <c r="S372" s="209"/>
    </row>
    <row r="373" spans="1:19" ht="12.75" customHeight="1" x14ac:dyDescent="0.3">
      <c r="A373" s="25" t="s">
        <v>1354</v>
      </c>
      <c r="B373" s="210"/>
      <c r="C373" s="211"/>
      <c r="D373" s="26">
        <v>0</v>
      </c>
      <c r="F373" s="26">
        <v>0</v>
      </c>
      <c r="G373" s="26">
        <v>0</v>
      </c>
      <c r="H373" s="26">
        <v>0</v>
      </c>
      <c r="J373" s="26">
        <f t="shared" si="42"/>
        <v>0</v>
      </c>
      <c r="L373" s="26"/>
      <c r="M373" s="27">
        <v>0</v>
      </c>
      <c r="P373"/>
      <c r="Q373" s="209"/>
      <c r="R373" s="209"/>
      <c r="S373" s="209"/>
    </row>
    <row r="374" spans="1:19" ht="12.75" customHeight="1" x14ac:dyDescent="0.3">
      <c r="A374" s="25" t="s">
        <v>1354</v>
      </c>
      <c r="B374" s="210"/>
      <c r="C374" s="211"/>
      <c r="D374" s="26">
        <v>0</v>
      </c>
      <c r="F374" s="26">
        <v>0</v>
      </c>
      <c r="G374" s="26">
        <v>0</v>
      </c>
      <c r="H374" s="26">
        <v>0</v>
      </c>
      <c r="J374" s="26">
        <f t="shared" si="42"/>
        <v>0</v>
      </c>
      <c r="L374" s="26"/>
      <c r="M374" s="27">
        <v>0</v>
      </c>
      <c r="P374"/>
      <c r="Q374" s="209"/>
      <c r="R374" s="209"/>
      <c r="S374" s="209"/>
    </row>
    <row r="375" spans="1:19" ht="12.75" customHeight="1" x14ac:dyDescent="0.3">
      <c r="A375" s="28" t="s">
        <v>8</v>
      </c>
      <c r="B375" s="29"/>
      <c r="C375" s="28"/>
      <c r="D375" s="30">
        <v>306376.78000000003</v>
      </c>
      <c r="E375" s="30">
        <v>0</v>
      </c>
      <c r="F375" s="30">
        <v>0</v>
      </c>
      <c r="G375" s="30">
        <v>429.99</v>
      </c>
      <c r="H375" s="30">
        <v>999.97</v>
      </c>
      <c r="I375" s="30">
        <v>0</v>
      </c>
      <c r="J375" s="30">
        <f t="shared" ref="J375" si="43">SUM(J364:J374)</f>
        <v>307806.74000000005</v>
      </c>
      <c r="L375" s="30">
        <v>308000</v>
      </c>
      <c r="P375"/>
      <c r="Q375" s="209"/>
      <c r="R375" s="209"/>
      <c r="S375" s="209"/>
    </row>
    <row r="376" spans="1:19" ht="12.75" customHeight="1" x14ac:dyDescent="0.3">
      <c r="P376"/>
      <c r="Q376" s="209"/>
      <c r="R376" s="209"/>
      <c r="S376" s="209"/>
    </row>
    <row r="377" spans="1:19" ht="12.75" customHeight="1" x14ac:dyDescent="0.3">
      <c r="P377"/>
      <c r="Q377" s="209"/>
      <c r="R377" s="209"/>
      <c r="S377" s="209"/>
    </row>
    <row r="378" spans="1:19" ht="12.75" customHeight="1" x14ac:dyDescent="0.3">
      <c r="P378"/>
      <c r="Q378" s="209"/>
      <c r="R378" s="209"/>
      <c r="S378" s="209"/>
    </row>
    <row r="379" spans="1:19" ht="12.75" customHeight="1" x14ac:dyDescent="0.3">
      <c r="P379"/>
      <c r="Q379" s="209"/>
      <c r="R379" s="209"/>
      <c r="S379" s="209"/>
    </row>
    <row r="380" spans="1:19" ht="12.75" customHeight="1" x14ac:dyDescent="0.3">
      <c r="P380"/>
      <c r="Q380" s="209"/>
      <c r="R380" s="209"/>
      <c r="S380" s="209"/>
    </row>
    <row r="381" spans="1:19" ht="12.75" customHeight="1" x14ac:dyDescent="0.3">
      <c r="A381" s="21" t="s">
        <v>0</v>
      </c>
      <c r="B381" s="22" t="s">
        <v>659</v>
      </c>
      <c r="C381" s="21" t="s">
        <v>660</v>
      </c>
      <c r="D381" s="22" t="s">
        <v>661</v>
      </c>
      <c r="E381" s="22" t="s">
        <v>662</v>
      </c>
      <c r="F381" s="22" t="s">
        <v>663</v>
      </c>
      <c r="G381" s="22" t="s">
        <v>664</v>
      </c>
      <c r="H381" s="22" t="s">
        <v>665</v>
      </c>
      <c r="I381" s="22" t="s">
        <v>676</v>
      </c>
      <c r="J381" s="22" t="s">
        <v>666</v>
      </c>
      <c r="L381" s="24" t="s">
        <v>667</v>
      </c>
      <c r="M381" s="24" t="s">
        <v>668</v>
      </c>
      <c r="O381" s="22" t="s">
        <v>669</v>
      </c>
      <c r="P381"/>
      <c r="Q381" s="209"/>
      <c r="R381" s="209"/>
      <c r="S381" s="209"/>
    </row>
    <row r="382" spans="1:19" ht="12.75" customHeight="1" x14ac:dyDescent="0.3">
      <c r="A382" s="25" t="s">
        <v>1294</v>
      </c>
      <c r="B382" s="210" t="s">
        <v>979</v>
      </c>
      <c r="C382" s="211" t="s">
        <v>527</v>
      </c>
      <c r="D382" s="26">
        <v>80006.91</v>
      </c>
      <c r="F382" s="26">
        <v>0</v>
      </c>
      <c r="G382" s="26">
        <v>199.99</v>
      </c>
      <c r="H382" s="26">
        <v>0</v>
      </c>
      <c r="J382" s="26">
        <f t="shared" ref="J382:J392" si="44">SUM(D382:I382)</f>
        <v>80206.900000000009</v>
      </c>
      <c r="L382" s="26">
        <v>78500</v>
      </c>
      <c r="M382" s="27">
        <v>1.0217439490445861</v>
      </c>
      <c r="O382" s="26">
        <v>350000</v>
      </c>
      <c r="P382" t="s">
        <v>526</v>
      </c>
      <c r="Q382" s="209">
        <v>2646.8277000000003</v>
      </c>
      <c r="R382" s="209">
        <v>661.70692500000007</v>
      </c>
      <c r="S382" s="209">
        <v>401.03450000000004</v>
      </c>
    </row>
    <row r="383" spans="1:19" ht="12.75" customHeight="1" x14ac:dyDescent="0.3">
      <c r="A383" s="25" t="s">
        <v>1294</v>
      </c>
      <c r="B383" s="210" t="s">
        <v>1356</v>
      </c>
      <c r="C383" s="211" t="s">
        <v>717</v>
      </c>
      <c r="D383" s="26">
        <v>117087.86</v>
      </c>
      <c r="F383" s="26">
        <v>0</v>
      </c>
      <c r="G383" s="26">
        <v>0</v>
      </c>
      <c r="H383" s="26">
        <v>0</v>
      </c>
      <c r="J383" s="26">
        <f t="shared" si="44"/>
        <v>117087.86</v>
      </c>
      <c r="L383" s="26">
        <v>114000</v>
      </c>
      <c r="M383" s="27">
        <v>1.0270864912280702</v>
      </c>
      <c r="P383" t="s">
        <v>520</v>
      </c>
      <c r="Q383" s="209">
        <v>3863.8993800000003</v>
      </c>
      <c r="R383" s="209">
        <v>965.97484500000007</v>
      </c>
      <c r="S383" s="209">
        <v>585.4393</v>
      </c>
    </row>
    <row r="384" spans="1:19" ht="12.75" customHeight="1" x14ac:dyDescent="0.3">
      <c r="A384" s="25" t="s">
        <v>1294</v>
      </c>
      <c r="B384" s="210" t="s">
        <v>1357</v>
      </c>
      <c r="C384" s="211" t="s">
        <v>512</v>
      </c>
      <c r="D384" s="26">
        <v>115838.41</v>
      </c>
      <c r="F384" s="26">
        <v>0</v>
      </c>
      <c r="G384" s="26">
        <v>0</v>
      </c>
      <c r="H384" s="26">
        <v>0</v>
      </c>
      <c r="J384" s="26">
        <f t="shared" si="44"/>
        <v>115838.41</v>
      </c>
      <c r="L384" s="26">
        <v>114000</v>
      </c>
      <c r="M384" s="27">
        <v>1.016126403508772</v>
      </c>
      <c r="P384" t="s">
        <v>511</v>
      </c>
      <c r="Q384" s="209">
        <v>3822.6675300000002</v>
      </c>
      <c r="R384" s="209">
        <v>955.66688250000004</v>
      </c>
      <c r="S384" s="209">
        <v>579.19204999999999</v>
      </c>
    </row>
    <row r="385" spans="1:19" ht="12.75" customHeight="1" x14ac:dyDescent="0.3">
      <c r="A385" s="25" t="s">
        <v>1294</v>
      </c>
      <c r="B385" s="210" t="s">
        <v>1358</v>
      </c>
      <c r="C385" s="211" t="s">
        <v>965</v>
      </c>
      <c r="D385" s="26">
        <v>77188.11</v>
      </c>
      <c r="F385" s="26">
        <v>0</v>
      </c>
      <c r="G385" s="26">
        <v>0</v>
      </c>
      <c r="H385" s="26">
        <v>0</v>
      </c>
      <c r="J385" s="26">
        <f t="shared" si="44"/>
        <v>77188.11</v>
      </c>
      <c r="L385" s="26">
        <v>78500</v>
      </c>
      <c r="M385" s="27">
        <v>0.983288025477707</v>
      </c>
      <c r="P385" t="s">
        <v>964</v>
      </c>
      <c r="Q385" s="209">
        <v>2161.2670799999996</v>
      </c>
      <c r="R385" s="209">
        <v>540.31676999999991</v>
      </c>
      <c r="S385" s="209"/>
    </row>
    <row r="386" spans="1:19" ht="12.75" customHeight="1" x14ac:dyDescent="0.3">
      <c r="A386" s="25" t="s">
        <v>1294</v>
      </c>
      <c r="B386" s="210" t="s">
        <v>1359</v>
      </c>
      <c r="C386" s="211"/>
      <c r="D386" s="26">
        <v>1103.95</v>
      </c>
      <c r="F386" s="26">
        <v>0</v>
      </c>
      <c r="G386" s="26">
        <v>0</v>
      </c>
      <c r="H386" s="26">
        <v>0</v>
      </c>
      <c r="J386" s="26">
        <f t="shared" si="44"/>
        <v>1103.95</v>
      </c>
      <c r="L386" s="26"/>
      <c r="M386" s="27">
        <v>0</v>
      </c>
      <c r="P386" t="s">
        <v>1360</v>
      </c>
      <c r="Q386" s="209">
        <v>30.910599999999999</v>
      </c>
      <c r="R386" s="209">
        <v>7.7276499999999997</v>
      </c>
      <c r="S386" s="209"/>
    </row>
    <row r="387" spans="1:19" ht="12.75" customHeight="1" x14ac:dyDescent="0.3">
      <c r="A387" s="25" t="s">
        <v>1294</v>
      </c>
      <c r="B387" s="210"/>
      <c r="C387" s="211"/>
      <c r="D387" s="26">
        <v>0</v>
      </c>
      <c r="F387" s="26">
        <v>0</v>
      </c>
      <c r="G387" s="26">
        <v>0</v>
      </c>
      <c r="H387" s="26">
        <v>0</v>
      </c>
      <c r="J387" s="26">
        <f t="shared" si="44"/>
        <v>0</v>
      </c>
      <c r="L387" s="26"/>
      <c r="M387" s="27">
        <v>0</v>
      </c>
      <c r="P387"/>
      <c r="Q387" s="209"/>
      <c r="R387" s="209"/>
      <c r="S387" s="209"/>
    </row>
    <row r="388" spans="1:19" ht="12.75" customHeight="1" x14ac:dyDescent="0.3">
      <c r="A388" s="25" t="s">
        <v>1294</v>
      </c>
      <c r="B388" s="210"/>
      <c r="C388" s="211"/>
      <c r="D388" s="26">
        <v>0</v>
      </c>
      <c r="F388" s="26">
        <v>0</v>
      </c>
      <c r="G388" s="26">
        <v>0</v>
      </c>
      <c r="H388" s="26">
        <v>0</v>
      </c>
      <c r="J388" s="26">
        <f t="shared" si="44"/>
        <v>0</v>
      </c>
      <c r="L388" s="26"/>
      <c r="M388" s="27">
        <v>0</v>
      </c>
      <c r="P388"/>
      <c r="Q388" s="209"/>
      <c r="R388" s="209"/>
      <c r="S388" s="209"/>
    </row>
    <row r="389" spans="1:19" ht="12.75" customHeight="1" x14ac:dyDescent="0.3">
      <c r="A389" s="25" t="s">
        <v>1294</v>
      </c>
      <c r="B389" s="210"/>
      <c r="C389" s="211"/>
      <c r="D389" s="26">
        <v>0</v>
      </c>
      <c r="F389" s="26">
        <v>0</v>
      </c>
      <c r="G389" s="26">
        <v>0</v>
      </c>
      <c r="H389" s="26">
        <v>0</v>
      </c>
      <c r="J389" s="26">
        <f t="shared" si="44"/>
        <v>0</v>
      </c>
      <c r="L389" s="26"/>
      <c r="M389" s="27">
        <v>0</v>
      </c>
      <c r="P389"/>
      <c r="Q389" s="209"/>
      <c r="R389" s="209"/>
      <c r="S389" s="209"/>
    </row>
    <row r="390" spans="1:19" ht="12.75" customHeight="1" x14ac:dyDescent="0.3">
      <c r="A390" s="25" t="s">
        <v>1294</v>
      </c>
      <c r="B390" s="210"/>
      <c r="C390" s="211"/>
      <c r="D390" s="26">
        <v>0</v>
      </c>
      <c r="F390" s="26">
        <v>0</v>
      </c>
      <c r="G390" s="26">
        <v>0</v>
      </c>
      <c r="H390" s="26">
        <v>0</v>
      </c>
      <c r="J390" s="26">
        <f t="shared" si="44"/>
        <v>0</v>
      </c>
      <c r="L390" s="26"/>
      <c r="M390" s="27">
        <v>0</v>
      </c>
      <c r="P390"/>
      <c r="Q390" s="209"/>
      <c r="R390" s="209"/>
      <c r="S390" s="209"/>
    </row>
    <row r="391" spans="1:19" ht="12.75" customHeight="1" x14ac:dyDescent="0.3">
      <c r="A391" s="25" t="s">
        <v>1294</v>
      </c>
      <c r="B391" s="210"/>
      <c r="C391" s="211"/>
      <c r="D391" s="26">
        <v>0</v>
      </c>
      <c r="F391" s="26">
        <v>0</v>
      </c>
      <c r="G391" s="26">
        <v>0</v>
      </c>
      <c r="H391" s="26">
        <v>0</v>
      </c>
      <c r="J391" s="26">
        <f t="shared" si="44"/>
        <v>0</v>
      </c>
      <c r="L391" s="26"/>
      <c r="M391" s="27">
        <v>0</v>
      </c>
      <c r="P391"/>
      <c r="Q391" s="209"/>
      <c r="R391" s="209"/>
      <c r="S391" s="209"/>
    </row>
    <row r="392" spans="1:19" ht="12.75" customHeight="1" x14ac:dyDescent="0.3">
      <c r="A392" s="25" t="s">
        <v>1294</v>
      </c>
      <c r="B392" s="210"/>
      <c r="C392" s="211"/>
      <c r="D392" s="26">
        <v>0</v>
      </c>
      <c r="F392" s="26">
        <v>0</v>
      </c>
      <c r="G392" s="26">
        <v>0</v>
      </c>
      <c r="H392" s="26">
        <v>0</v>
      </c>
      <c r="J392" s="26">
        <f t="shared" si="44"/>
        <v>0</v>
      </c>
      <c r="L392" s="26"/>
      <c r="M392" s="27">
        <v>0</v>
      </c>
      <c r="P392"/>
      <c r="Q392" s="209"/>
      <c r="R392" s="209"/>
      <c r="S392" s="209"/>
    </row>
    <row r="393" spans="1:19" ht="12.75" customHeight="1" x14ac:dyDescent="0.3">
      <c r="A393" s="28" t="s">
        <v>8</v>
      </c>
      <c r="B393" s="29"/>
      <c r="C393" s="28"/>
      <c r="D393" s="30">
        <v>391225.24000000005</v>
      </c>
      <c r="E393" s="30">
        <v>0</v>
      </c>
      <c r="F393" s="30">
        <v>0</v>
      </c>
      <c r="G393" s="30">
        <v>199.99</v>
      </c>
      <c r="H393" s="30">
        <v>0</v>
      </c>
      <c r="I393" s="30">
        <v>0</v>
      </c>
      <c r="J393" s="30">
        <f t="shared" ref="J393" si="45">SUM(J382:J392)</f>
        <v>391425.23000000004</v>
      </c>
      <c r="L393" s="30">
        <v>385000</v>
      </c>
      <c r="P393"/>
      <c r="Q393" s="209"/>
      <c r="R393" s="209"/>
      <c r="S393" s="209"/>
    </row>
    <row r="394" spans="1:19" ht="12.75" customHeight="1" x14ac:dyDescent="0.3">
      <c r="P394"/>
      <c r="Q394" s="209"/>
      <c r="R394" s="209"/>
      <c r="S394" s="209"/>
    </row>
    <row r="395" spans="1:19" ht="12.75" customHeight="1" x14ac:dyDescent="0.3">
      <c r="P395"/>
      <c r="Q395" s="209"/>
      <c r="R395" s="209"/>
      <c r="S395" s="209"/>
    </row>
    <row r="396" spans="1:19" ht="12.75" customHeight="1" x14ac:dyDescent="0.3">
      <c r="P396"/>
      <c r="Q396" s="209"/>
      <c r="R396" s="209"/>
      <c r="S396" s="209"/>
    </row>
    <row r="397" spans="1:19" ht="12.75" customHeight="1" x14ac:dyDescent="0.3">
      <c r="A397" s="21" t="s">
        <v>0</v>
      </c>
      <c r="B397" s="22" t="s">
        <v>659</v>
      </c>
      <c r="C397" s="21" t="s">
        <v>660</v>
      </c>
      <c r="D397" s="22" t="s">
        <v>661</v>
      </c>
      <c r="E397" s="22" t="s">
        <v>662</v>
      </c>
      <c r="F397" s="22" t="s">
        <v>663</v>
      </c>
      <c r="G397" s="22" t="s">
        <v>664</v>
      </c>
      <c r="H397" s="22" t="s">
        <v>665</v>
      </c>
      <c r="I397" s="22" t="s">
        <v>676</v>
      </c>
      <c r="J397" s="22" t="s">
        <v>666</v>
      </c>
      <c r="L397" s="24" t="s">
        <v>667</v>
      </c>
      <c r="M397" s="24" t="s">
        <v>668</v>
      </c>
      <c r="O397" s="22" t="s">
        <v>669</v>
      </c>
      <c r="P397"/>
      <c r="Q397" s="209"/>
      <c r="R397" s="209"/>
      <c r="S397" s="209"/>
    </row>
    <row r="398" spans="1:19" ht="12.75" customHeight="1" x14ac:dyDescent="0.3">
      <c r="A398" s="25" t="s">
        <v>1361</v>
      </c>
      <c r="B398" s="210" t="s">
        <v>1362</v>
      </c>
      <c r="C398" s="211" t="s">
        <v>718</v>
      </c>
      <c r="D398" s="26">
        <v>102035.19</v>
      </c>
      <c r="F398" s="26">
        <v>0</v>
      </c>
      <c r="G398" s="26">
        <v>0</v>
      </c>
      <c r="H398" s="26">
        <v>0</v>
      </c>
      <c r="J398" s="26">
        <f t="shared" ref="J398:J408" si="46">SUM(D398:I398)</f>
        <v>102035.19</v>
      </c>
      <c r="L398" s="26">
        <v>88000</v>
      </c>
      <c r="M398" s="27">
        <v>1.1594907954545455</v>
      </c>
      <c r="O398" s="26">
        <v>400000</v>
      </c>
      <c r="P398" t="s">
        <v>532</v>
      </c>
      <c r="Q398" s="209">
        <v>3469.1964600000001</v>
      </c>
      <c r="R398" s="209">
        <v>867.29911500000003</v>
      </c>
      <c r="S398" s="209">
        <v>510.17595</v>
      </c>
    </row>
    <row r="399" spans="1:19" ht="12.75" customHeight="1" x14ac:dyDescent="0.3">
      <c r="A399" s="25" t="s">
        <v>1361</v>
      </c>
      <c r="B399" s="210" t="s">
        <v>1356</v>
      </c>
      <c r="C399" s="211" t="s">
        <v>719</v>
      </c>
      <c r="D399" s="26">
        <v>113517.49</v>
      </c>
      <c r="F399" s="26">
        <v>0</v>
      </c>
      <c r="G399" s="26">
        <v>0</v>
      </c>
      <c r="H399" s="26">
        <v>0</v>
      </c>
      <c r="J399" s="26">
        <f t="shared" si="46"/>
        <v>113517.49</v>
      </c>
      <c r="L399" s="26">
        <v>88000</v>
      </c>
      <c r="M399" s="27">
        <v>1.2899714772727273</v>
      </c>
      <c r="P399" t="s">
        <v>535</v>
      </c>
      <c r="Q399" s="209">
        <v>3859.5946600000007</v>
      </c>
      <c r="R399" s="209">
        <v>964.89866500000016</v>
      </c>
      <c r="S399" s="209">
        <v>567.58744999999999</v>
      </c>
    </row>
    <row r="400" spans="1:19" ht="12.75" customHeight="1" x14ac:dyDescent="0.3">
      <c r="A400" s="25" t="s">
        <v>1361</v>
      </c>
      <c r="B400" s="210" t="s">
        <v>1363</v>
      </c>
      <c r="C400" s="211" t="s">
        <v>720</v>
      </c>
      <c r="D400" s="26">
        <v>100077.63</v>
      </c>
      <c r="F400" s="26">
        <v>0</v>
      </c>
      <c r="G400" s="26">
        <v>0</v>
      </c>
      <c r="H400" s="26">
        <v>0</v>
      </c>
      <c r="J400" s="26">
        <f t="shared" si="46"/>
        <v>100077.63</v>
      </c>
      <c r="L400" s="26">
        <v>88000</v>
      </c>
      <c r="M400" s="27">
        <v>1.1372457954545454</v>
      </c>
      <c r="P400" t="s">
        <v>538</v>
      </c>
      <c r="Q400" s="209">
        <v>3402.6394200000004</v>
      </c>
      <c r="R400" s="209">
        <v>850.65985500000011</v>
      </c>
      <c r="S400" s="209">
        <v>500.38815000000005</v>
      </c>
    </row>
    <row r="401" spans="1:19" ht="12.75" customHeight="1" x14ac:dyDescent="0.3">
      <c r="A401" s="25" t="s">
        <v>1361</v>
      </c>
      <c r="B401" s="210" t="s">
        <v>1364</v>
      </c>
      <c r="C401" s="211" t="s">
        <v>721</v>
      </c>
      <c r="D401" s="26">
        <v>42383.27</v>
      </c>
      <c r="F401" s="26">
        <v>0</v>
      </c>
      <c r="G401" s="26">
        <v>0</v>
      </c>
      <c r="H401" s="26">
        <v>0</v>
      </c>
      <c r="J401" s="26">
        <f t="shared" si="46"/>
        <v>42383.27</v>
      </c>
      <c r="L401" s="26">
        <v>88000</v>
      </c>
      <c r="M401" s="27">
        <v>0.48162806818181814</v>
      </c>
      <c r="P401" t="s">
        <v>541</v>
      </c>
      <c r="Q401" s="209">
        <v>974.81520999999987</v>
      </c>
      <c r="R401" s="209">
        <v>243.70380249999997</v>
      </c>
      <c r="S401" s="209"/>
    </row>
    <row r="402" spans="1:19" ht="12.75" customHeight="1" x14ac:dyDescent="0.3">
      <c r="A402" s="25" t="s">
        <v>1361</v>
      </c>
      <c r="B402" s="210" t="s">
        <v>1358</v>
      </c>
      <c r="C402" s="211" t="s">
        <v>548</v>
      </c>
      <c r="D402" s="26">
        <v>98326.56</v>
      </c>
      <c r="F402" s="26">
        <v>0</v>
      </c>
      <c r="G402" s="26">
        <v>0</v>
      </c>
      <c r="H402" s="26">
        <v>0</v>
      </c>
      <c r="J402" s="26">
        <f t="shared" si="46"/>
        <v>98326.56</v>
      </c>
      <c r="L402" s="26">
        <v>88000</v>
      </c>
      <c r="M402" s="27">
        <v>1.1173472727272726</v>
      </c>
      <c r="P402" t="s">
        <v>547</v>
      </c>
      <c r="Q402" s="209">
        <v>3343.10304</v>
      </c>
      <c r="R402" s="209">
        <v>835.77575999999999</v>
      </c>
      <c r="S402" s="209">
        <v>491.63279999999997</v>
      </c>
    </row>
    <row r="403" spans="1:19" ht="12.75" customHeight="1" x14ac:dyDescent="0.3">
      <c r="A403" s="25" t="s">
        <v>1361</v>
      </c>
      <c r="B403" s="210" t="s">
        <v>1283</v>
      </c>
      <c r="C403" s="211"/>
      <c r="D403" s="26">
        <v>444.96</v>
      </c>
      <c r="F403" s="26">
        <v>0</v>
      </c>
      <c r="G403" s="26">
        <v>0</v>
      </c>
      <c r="H403" s="26">
        <v>0</v>
      </c>
      <c r="J403" s="26">
        <f t="shared" si="46"/>
        <v>444.96</v>
      </c>
      <c r="L403" s="26"/>
      <c r="M403" s="27">
        <v>0</v>
      </c>
      <c r="P403" t="s">
        <v>1365</v>
      </c>
      <c r="Q403" s="209">
        <v>10.234079999999999</v>
      </c>
      <c r="R403" s="209">
        <v>2.5585199999999997</v>
      </c>
      <c r="S403" s="209"/>
    </row>
    <row r="404" spans="1:19" ht="12.75" customHeight="1" x14ac:dyDescent="0.3">
      <c r="A404" s="25" t="s">
        <v>1361</v>
      </c>
      <c r="B404" s="212"/>
      <c r="C404" s="211"/>
      <c r="D404" s="26">
        <v>0</v>
      </c>
      <c r="F404" s="26">
        <v>0</v>
      </c>
      <c r="G404" s="26">
        <v>0</v>
      </c>
      <c r="H404" s="26">
        <v>0</v>
      </c>
      <c r="J404" s="26">
        <f t="shared" si="46"/>
        <v>0</v>
      </c>
      <c r="L404" s="26"/>
      <c r="M404" s="27">
        <v>0</v>
      </c>
      <c r="P404"/>
      <c r="Q404" s="209"/>
      <c r="R404" s="209"/>
      <c r="S404" s="209"/>
    </row>
    <row r="405" spans="1:19" ht="12.75" customHeight="1" x14ac:dyDescent="0.3">
      <c r="A405" s="25" t="s">
        <v>1361</v>
      </c>
      <c r="B405" s="212"/>
      <c r="C405" s="211"/>
      <c r="D405" s="26">
        <v>0</v>
      </c>
      <c r="F405" s="26">
        <v>0</v>
      </c>
      <c r="G405" s="26">
        <v>0</v>
      </c>
      <c r="H405" s="26">
        <v>0</v>
      </c>
      <c r="J405" s="26">
        <f t="shared" si="46"/>
        <v>0</v>
      </c>
      <c r="L405" s="26"/>
      <c r="M405" s="27">
        <v>0</v>
      </c>
      <c r="P405"/>
      <c r="Q405" s="209"/>
      <c r="R405" s="209"/>
      <c r="S405" s="209"/>
    </row>
    <row r="406" spans="1:19" ht="12.75" customHeight="1" x14ac:dyDescent="0.3">
      <c r="A406" s="25" t="s">
        <v>1361</v>
      </c>
      <c r="B406" s="210"/>
      <c r="C406" s="211"/>
      <c r="D406" s="26">
        <v>0</v>
      </c>
      <c r="F406" s="26">
        <v>0</v>
      </c>
      <c r="G406" s="26">
        <v>0</v>
      </c>
      <c r="H406" s="26">
        <v>0</v>
      </c>
      <c r="J406" s="26">
        <f t="shared" si="46"/>
        <v>0</v>
      </c>
      <c r="L406" s="26"/>
      <c r="M406" s="27">
        <v>0</v>
      </c>
      <c r="P406"/>
      <c r="Q406" s="209"/>
      <c r="R406" s="209"/>
      <c r="S406" s="209"/>
    </row>
    <row r="407" spans="1:19" ht="12.75" customHeight="1" x14ac:dyDescent="0.3">
      <c r="A407" s="25" t="s">
        <v>1361</v>
      </c>
      <c r="B407" s="210"/>
      <c r="C407" s="211"/>
      <c r="D407" s="26">
        <v>0</v>
      </c>
      <c r="F407" s="26">
        <v>0</v>
      </c>
      <c r="G407" s="26">
        <v>0</v>
      </c>
      <c r="H407" s="26">
        <v>0</v>
      </c>
      <c r="J407" s="26">
        <f t="shared" si="46"/>
        <v>0</v>
      </c>
      <c r="L407" s="26"/>
      <c r="M407" s="27">
        <v>0</v>
      </c>
      <c r="P407"/>
      <c r="Q407" s="209"/>
      <c r="R407" s="209"/>
      <c r="S407" s="209"/>
    </row>
    <row r="408" spans="1:19" ht="12.75" customHeight="1" x14ac:dyDescent="0.3">
      <c r="A408" s="25" t="s">
        <v>1361</v>
      </c>
      <c r="B408" s="210"/>
      <c r="C408" s="211"/>
      <c r="D408" s="26">
        <v>0</v>
      </c>
      <c r="F408" s="26">
        <v>0</v>
      </c>
      <c r="G408" s="26">
        <v>0</v>
      </c>
      <c r="H408" s="26">
        <v>0</v>
      </c>
      <c r="J408" s="26">
        <f t="shared" si="46"/>
        <v>0</v>
      </c>
      <c r="L408" s="26"/>
      <c r="M408" s="27">
        <v>0</v>
      </c>
      <c r="P408"/>
      <c r="Q408" s="209"/>
      <c r="R408" s="209"/>
      <c r="S408" s="209"/>
    </row>
    <row r="409" spans="1:19" ht="12.75" customHeight="1" x14ac:dyDescent="0.3">
      <c r="A409" s="28" t="s">
        <v>8</v>
      </c>
      <c r="B409" s="29"/>
      <c r="C409" s="28"/>
      <c r="D409" s="30">
        <v>456785.10000000003</v>
      </c>
      <c r="E409" s="30">
        <v>0</v>
      </c>
      <c r="F409" s="30">
        <v>0</v>
      </c>
      <c r="G409" s="30">
        <v>0</v>
      </c>
      <c r="H409" s="30">
        <v>0</v>
      </c>
      <c r="I409" s="30">
        <v>0</v>
      </c>
      <c r="J409" s="30">
        <f t="shared" ref="J409" si="47">SUM(J398:J408)</f>
        <v>456785.10000000003</v>
      </c>
      <c r="L409" s="30">
        <v>440000</v>
      </c>
      <c r="P409"/>
      <c r="Q409" s="209"/>
      <c r="R409" s="209"/>
      <c r="S409" s="209"/>
    </row>
    <row r="410" spans="1:19" ht="12.75" customHeight="1" x14ac:dyDescent="0.3">
      <c r="P410"/>
      <c r="Q410" s="209"/>
      <c r="R410" s="209"/>
      <c r="S410" s="209"/>
    </row>
    <row r="411" spans="1:19" ht="12.75" customHeight="1" x14ac:dyDescent="0.3">
      <c r="P411"/>
      <c r="Q411" s="209"/>
      <c r="R411" s="209"/>
      <c r="S411" s="209"/>
    </row>
    <row r="412" spans="1:19" ht="12.75" customHeight="1" x14ac:dyDescent="0.3">
      <c r="P412"/>
      <c r="Q412" s="209"/>
      <c r="R412" s="209"/>
      <c r="S412" s="209"/>
    </row>
    <row r="413" spans="1:19" ht="12.75" customHeight="1" x14ac:dyDescent="0.3">
      <c r="P413"/>
      <c r="Q413" s="209"/>
      <c r="R413" s="209"/>
      <c r="S413" s="209"/>
    </row>
    <row r="414" spans="1:19" ht="12.75" customHeight="1" x14ac:dyDescent="0.3">
      <c r="A414" s="21" t="s">
        <v>0</v>
      </c>
      <c r="B414" s="22" t="s">
        <v>659</v>
      </c>
      <c r="C414" s="21" t="s">
        <v>660</v>
      </c>
      <c r="D414" s="22" t="s">
        <v>661</v>
      </c>
      <c r="E414" s="22" t="s">
        <v>662</v>
      </c>
      <c r="F414" s="22" t="s">
        <v>663</v>
      </c>
      <c r="G414" s="22" t="s">
        <v>664</v>
      </c>
      <c r="H414" s="22" t="s">
        <v>665</v>
      </c>
      <c r="I414" s="22" t="s">
        <v>676</v>
      </c>
      <c r="J414" s="22" t="s">
        <v>666</v>
      </c>
      <c r="L414" s="24" t="s">
        <v>667</v>
      </c>
      <c r="M414" s="24" t="s">
        <v>668</v>
      </c>
      <c r="O414" s="22" t="s">
        <v>669</v>
      </c>
      <c r="P414"/>
      <c r="Q414" s="209"/>
      <c r="R414" s="209"/>
      <c r="S414" s="209"/>
    </row>
    <row r="415" spans="1:19" ht="12.75" customHeight="1" x14ac:dyDescent="0.3">
      <c r="A415" s="25" t="s">
        <v>1366</v>
      </c>
      <c r="B415" s="210" t="s">
        <v>979</v>
      </c>
      <c r="C415" s="211" t="s">
        <v>722</v>
      </c>
      <c r="D415" s="26">
        <v>165777.94</v>
      </c>
      <c r="F415" s="26">
        <v>0</v>
      </c>
      <c r="G415" s="26">
        <v>0</v>
      </c>
      <c r="H415" s="26">
        <v>0</v>
      </c>
      <c r="J415" s="26">
        <f t="shared" ref="J415:J427" si="48">SUM(D415:I415)</f>
        <v>165777.94</v>
      </c>
      <c r="L415" s="26">
        <v>113000</v>
      </c>
      <c r="M415" s="27">
        <v>1.4670614159292035</v>
      </c>
      <c r="O415" s="26">
        <v>820000</v>
      </c>
      <c r="P415" t="s">
        <v>568</v>
      </c>
      <c r="Q415" s="209">
        <v>4641.7823200000003</v>
      </c>
      <c r="R415" s="209">
        <v>1160.4455800000001</v>
      </c>
      <c r="S415" s="209">
        <v>828.88970000000006</v>
      </c>
    </row>
    <row r="416" spans="1:19" ht="12.75" customHeight="1" x14ac:dyDescent="0.3">
      <c r="A416" s="25" t="s">
        <v>1366</v>
      </c>
      <c r="B416" s="210" t="s">
        <v>1362</v>
      </c>
      <c r="C416" s="211" t="s">
        <v>723</v>
      </c>
      <c r="D416" s="26">
        <v>153717.78</v>
      </c>
      <c r="F416" s="26">
        <v>0</v>
      </c>
      <c r="G416" s="26">
        <v>0</v>
      </c>
      <c r="H416" s="26">
        <v>0</v>
      </c>
      <c r="J416" s="26">
        <f t="shared" si="48"/>
        <v>153717.78</v>
      </c>
      <c r="L416" s="26">
        <v>113000</v>
      </c>
      <c r="M416" s="27">
        <v>1.3603343362831859</v>
      </c>
      <c r="P416" t="s">
        <v>550</v>
      </c>
      <c r="Q416" s="209">
        <v>4304.0978400000004</v>
      </c>
      <c r="R416" s="209">
        <v>1076.0244600000001</v>
      </c>
      <c r="S416" s="209">
        <v>768.58889999999997</v>
      </c>
    </row>
    <row r="417" spans="1:19" ht="12.75" customHeight="1" x14ac:dyDescent="0.3">
      <c r="A417" s="25" t="s">
        <v>1366</v>
      </c>
      <c r="B417" s="210" t="s">
        <v>1367</v>
      </c>
      <c r="C417" s="211"/>
      <c r="D417" s="26">
        <v>1477.91</v>
      </c>
      <c r="F417" s="26">
        <v>0</v>
      </c>
      <c r="G417" s="26">
        <v>0</v>
      </c>
      <c r="H417" s="26">
        <v>0</v>
      </c>
      <c r="J417" s="26">
        <f t="shared" si="48"/>
        <v>1477.91</v>
      </c>
      <c r="L417" s="26"/>
      <c r="M417" s="27">
        <v>0</v>
      </c>
      <c r="P417" t="s">
        <v>559</v>
      </c>
      <c r="Q417" s="209">
        <v>41.381480000000003</v>
      </c>
      <c r="R417" s="209">
        <v>10.345370000000001</v>
      </c>
      <c r="S417" s="209"/>
    </row>
    <row r="418" spans="1:19" ht="12.75" customHeight="1" x14ac:dyDescent="0.3">
      <c r="A418" s="25" t="s">
        <v>1366</v>
      </c>
      <c r="B418" s="210" t="s">
        <v>1357</v>
      </c>
      <c r="C418" s="211" t="s">
        <v>724</v>
      </c>
      <c r="D418" s="26">
        <v>130596.1</v>
      </c>
      <c r="F418" s="26">
        <v>0</v>
      </c>
      <c r="G418" s="26">
        <v>0</v>
      </c>
      <c r="H418" s="26">
        <v>0</v>
      </c>
      <c r="J418" s="26">
        <f t="shared" si="48"/>
        <v>130596.1</v>
      </c>
      <c r="L418" s="26">
        <v>113000</v>
      </c>
      <c r="M418" s="27">
        <v>1.1557176991150444</v>
      </c>
      <c r="P418" t="s">
        <v>571</v>
      </c>
      <c r="Q418" s="209">
        <v>3656.6908000000003</v>
      </c>
      <c r="R418" s="209">
        <v>914.17270000000008</v>
      </c>
      <c r="S418" s="209">
        <v>652.98050000000001</v>
      </c>
    </row>
    <row r="419" spans="1:19" ht="12.75" customHeight="1" x14ac:dyDescent="0.3">
      <c r="A419" s="25" t="s">
        <v>1366</v>
      </c>
      <c r="B419" s="210" t="s">
        <v>1364</v>
      </c>
      <c r="C419" s="211" t="s">
        <v>725</v>
      </c>
      <c r="D419" s="26">
        <v>149615.22</v>
      </c>
      <c r="F419" s="26">
        <v>0</v>
      </c>
      <c r="G419" s="26">
        <v>0</v>
      </c>
      <c r="H419" s="26">
        <v>0</v>
      </c>
      <c r="J419" s="26">
        <f t="shared" si="48"/>
        <v>149615.22</v>
      </c>
      <c r="L419" s="26">
        <v>113000</v>
      </c>
      <c r="M419" s="27">
        <v>1.3240284955752213</v>
      </c>
      <c r="P419" t="s">
        <v>562</v>
      </c>
      <c r="Q419" s="209">
        <v>4189.2261600000002</v>
      </c>
      <c r="R419" s="209">
        <v>1047.30654</v>
      </c>
      <c r="S419" s="209">
        <v>748.0761</v>
      </c>
    </row>
    <row r="420" spans="1:19" ht="12.75" customHeight="1" x14ac:dyDescent="0.3">
      <c r="A420" s="25" t="s">
        <v>1366</v>
      </c>
      <c r="B420" s="210" t="s">
        <v>1358</v>
      </c>
      <c r="C420" s="211" t="s">
        <v>726</v>
      </c>
      <c r="D420" s="26">
        <v>2899.86</v>
      </c>
      <c r="F420" s="26">
        <v>0</v>
      </c>
      <c r="G420" s="26">
        <v>0</v>
      </c>
      <c r="H420" s="26">
        <v>0</v>
      </c>
      <c r="J420" s="26">
        <f t="shared" si="48"/>
        <v>2899.86</v>
      </c>
      <c r="L420" s="26"/>
      <c r="M420" s="27">
        <v>0</v>
      </c>
      <c r="P420" t="s">
        <v>1368</v>
      </c>
      <c r="Q420" s="209">
        <v>81.196080000000009</v>
      </c>
      <c r="R420" s="209">
        <v>20.299020000000002</v>
      </c>
      <c r="S420" s="209"/>
    </row>
    <row r="421" spans="1:19" ht="12.75" customHeight="1" x14ac:dyDescent="0.3">
      <c r="A421" s="25" t="s">
        <v>1366</v>
      </c>
      <c r="B421" s="212" t="s">
        <v>1369</v>
      </c>
      <c r="C421" s="211" t="s">
        <v>727</v>
      </c>
      <c r="D421" s="26">
        <v>40717.910000000003</v>
      </c>
      <c r="F421" s="26">
        <v>0</v>
      </c>
      <c r="G421" s="26">
        <v>0</v>
      </c>
      <c r="H421" s="26">
        <v>0</v>
      </c>
      <c r="J421" s="26">
        <f t="shared" si="48"/>
        <v>40717.910000000003</v>
      </c>
      <c r="L421" s="26">
        <v>113000</v>
      </c>
      <c r="M421" s="27">
        <v>0.36033548672566373</v>
      </c>
      <c r="P421" t="s">
        <v>1370</v>
      </c>
      <c r="Q421" s="209">
        <v>1140.10148</v>
      </c>
      <c r="R421" s="209">
        <v>285.02537000000001</v>
      </c>
      <c r="S421" s="209"/>
    </row>
    <row r="422" spans="1:19" ht="12.75" customHeight="1" x14ac:dyDescent="0.3">
      <c r="A422" s="25" t="s">
        <v>1366</v>
      </c>
      <c r="B422" s="212" t="s">
        <v>1279</v>
      </c>
      <c r="C422" s="211" t="s">
        <v>554</v>
      </c>
      <c r="D422" s="26">
        <v>96698.67</v>
      </c>
      <c r="F422" s="26">
        <v>0</v>
      </c>
      <c r="G422" s="26">
        <v>649.99</v>
      </c>
      <c r="H422" s="26">
        <v>0</v>
      </c>
      <c r="J422" s="26">
        <f>SUM(D422:I422)</f>
        <v>97348.66</v>
      </c>
      <c r="L422" s="26">
        <v>113000</v>
      </c>
      <c r="M422" s="27">
        <v>0.86149256637168148</v>
      </c>
      <c r="P422" t="s">
        <v>553</v>
      </c>
      <c r="Q422" s="209">
        <v>2725.7624800000003</v>
      </c>
      <c r="R422" s="209">
        <v>681.44062000000008</v>
      </c>
      <c r="S422" s="209"/>
    </row>
    <row r="423" spans="1:19" ht="12.75" customHeight="1" x14ac:dyDescent="0.3">
      <c r="A423" s="25" t="s">
        <v>1366</v>
      </c>
      <c r="B423" s="212" t="s">
        <v>1262</v>
      </c>
      <c r="C423" s="211" t="s">
        <v>968</v>
      </c>
      <c r="D423" s="26">
        <v>57159.28</v>
      </c>
      <c r="F423" s="26">
        <v>0</v>
      </c>
      <c r="G423" s="26">
        <v>0</v>
      </c>
      <c r="H423" s="26">
        <v>0</v>
      </c>
      <c r="J423" s="26">
        <f>SUM(D423:I423)</f>
        <v>57159.28</v>
      </c>
      <c r="L423" s="26">
        <v>113000</v>
      </c>
      <c r="M423" s="27">
        <v>0.50583433628318586</v>
      </c>
      <c r="P423" t="s">
        <v>967</v>
      </c>
      <c r="Q423" s="209">
        <v>1600.45984</v>
      </c>
      <c r="R423" s="209">
        <v>400.11496</v>
      </c>
      <c r="S423" s="209"/>
    </row>
    <row r="424" spans="1:19" ht="12.75" customHeight="1" x14ac:dyDescent="0.3">
      <c r="A424" s="25" t="s">
        <v>1366</v>
      </c>
      <c r="B424" s="212" t="s">
        <v>1254</v>
      </c>
      <c r="C424" s="211" t="s">
        <v>974</v>
      </c>
      <c r="D424" s="26">
        <v>64506.21</v>
      </c>
      <c r="F424" s="26">
        <v>0</v>
      </c>
      <c r="G424" s="26">
        <v>0</v>
      </c>
      <c r="H424" s="26">
        <v>0</v>
      </c>
      <c r="J424" s="26">
        <f t="shared" si="48"/>
        <v>64506.21</v>
      </c>
      <c r="L424" s="26">
        <v>113000</v>
      </c>
      <c r="M424" s="27">
        <v>0.57085141592920352</v>
      </c>
      <c r="P424" t="s">
        <v>973</v>
      </c>
      <c r="Q424" s="209">
        <v>1806.1738800000001</v>
      </c>
      <c r="R424" s="209">
        <v>451.54347000000001</v>
      </c>
      <c r="S424" s="209"/>
    </row>
    <row r="425" spans="1:19" ht="12.75" customHeight="1" x14ac:dyDescent="0.3">
      <c r="A425" s="25" t="s">
        <v>1366</v>
      </c>
      <c r="B425" s="210" t="s">
        <v>1311</v>
      </c>
      <c r="C425" s="211"/>
      <c r="D425" s="26">
        <v>53466.11</v>
      </c>
      <c r="F425" s="26">
        <v>0</v>
      </c>
      <c r="G425" s="26">
        <v>0</v>
      </c>
      <c r="H425" s="26">
        <v>0</v>
      </c>
      <c r="J425" s="26">
        <f t="shared" si="48"/>
        <v>53466.11</v>
      </c>
      <c r="L425" s="26"/>
      <c r="M425" s="27">
        <v>0</v>
      </c>
      <c r="P425" t="s">
        <v>1371</v>
      </c>
      <c r="Q425" s="209">
        <v>1497.05108</v>
      </c>
      <c r="R425" s="209">
        <v>374.26276999999999</v>
      </c>
      <c r="S425" s="209"/>
    </row>
    <row r="426" spans="1:19" ht="12.75" customHeight="1" x14ac:dyDescent="0.3">
      <c r="A426" s="25" t="s">
        <v>1366</v>
      </c>
      <c r="B426" s="210" t="s">
        <v>1359</v>
      </c>
      <c r="C426" s="211"/>
      <c r="D426" s="26">
        <v>0</v>
      </c>
      <c r="F426" s="26">
        <v>0</v>
      </c>
      <c r="G426" s="26">
        <v>0</v>
      </c>
      <c r="H426" s="26">
        <v>0</v>
      </c>
      <c r="J426" s="26">
        <f t="shared" si="48"/>
        <v>0</v>
      </c>
      <c r="L426" s="26"/>
      <c r="M426" s="27">
        <v>0</v>
      </c>
      <c r="P426" t="s">
        <v>1372</v>
      </c>
      <c r="Q426" s="209">
        <v>0</v>
      </c>
      <c r="R426" s="209">
        <v>0</v>
      </c>
      <c r="S426" s="209"/>
    </row>
    <row r="427" spans="1:19" ht="12.75" customHeight="1" x14ac:dyDescent="0.3">
      <c r="A427" s="25" t="s">
        <v>1366</v>
      </c>
      <c r="B427" s="210"/>
      <c r="C427" s="211"/>
      <c r="D427" s="26">
        <v>0</v>
      </c>
      <c r="F427" s="26">
        <v>0</v>
      </c>
      <c r="G427" s="26">
        <v>0</v>
      </c>
      <c r="H427" s="26">
        <v>0</v>
      </c>
      <c r="J427" s="26">
        <f t="shared" si="48"/>
        <v>0</v>
      </c>
      <c r="L427" s="26"/>
      <c r="M427" s="27">
        <v>0</v>
      </c>
      <c r="P427"/>
      <c r="Q427" s="209"/>
      <c r="R427" s="209"/>
      <c r="S427" s="209"/>
    </row>
    <row r="428" spans="1:19" ht="12.75" customHeight="1" x14ac:dyDescent="0.3">
      <c r="A428" s="28" t="s">
        <v>8</v>
      </c>
      <c r="B428" s="29"/>
      <c r="C428" s="28"/>
      <c r="D428" s="30">
        <v>916632.99</v>
      </c>
      <c r="E428" s="30">
        <v>0</v>
      </c>
      <c r="F428" s="30">
        <v>0</v>
      </c>
      <c r="G428" s="30">
        <v>649.99</v>
      </c>
      <c r="H428" s="30">
        <v>0</v>
      </c>
      <c r="I428" s="30">
        <v>0</v>
      </c>
      <c r="J428" s="30">
        <f t="shared" ref="J428" si="49">SUM(J415:J427)</f>
        <v>917282.98</v>
      </c>
      <c r="L428" s="30">
        <v>904000</v>
      </c>
      <c r="P428"/>
      <c r="Q428" s="209"/>
      <c r="R428" s="209"/>
      <c r="S428" s="209"/>
    </row>
    <row r="429" spans="1:19" ht="12.75" customHeight="1" x14ac:dyDescent="0.3">
      <c r="P429"/>
      <c r="Q429" s="209"/>
      <c r="R429" s="209"/>
      <c r="S429" s="209"/>
    </row>
    <row r="430" spans="1:19" ht="12.75" customHeight="1" x14ac:dyDescent="0.3">
      <c r="P430"/>
      <c r="Q430" s="209"/>
      <c r="R430" s="209"/>
      <c r="S430" s="209"/>
    </row>
    <row r="431" spans="1:19" ht="12.75" customHeight="1" x14ac:dyDescent="0.3">
      <c r="P431"/>
      <c r="Q431" s="209"/>
      <c r="R431" s="209"/>
      <c r="S431" s="209"/>
    </row>
    <row r="432" spans="1:19" ht="12.75" customHeight="1" x14ac:dyDescent="0.3">
      <c r="A432" s="21" t="s">
        <v>0</v>
      </c>
      <c r="B432" s="22" t="s">
        <v>659</v>
      </c>
      <c r="C432" s="21" t="s">
        <v>660</v>
      </c>
      <c r="D432" s="22" t="s">
        <v>661</v>
      </c>
      <c r="E432" s="22" t="s">
        <v>662</v>
      </c>
      <c r="F432" s="22" t="s">
        <v>663</v>
      </c>
      <c r="G432" s="22" t="s">
        <v>664</v>
      </c>
      <c r="H432" s="22" t="s">
        <v>665</v>
      </c>
      <c r="I432" s="22" t="s">
        <v>676</v>
      </c>
      <c r="J432" s="22" t="s">
        <v>666</v>
      </c>
      <c r="L432" s="24" t="s">
        <v>667</v>
      </c>
      <c r="M432" s="24" t="s">
        <v>668</v>
      </c>
      <c r="O432" s="22" t="s">
        <v>669</v>
      </c>
      <c r="P432"/>
      <c r="Q432" s="209"/>
      <c r="R432" s="209"/>
      <c r="S432" s="209"/>
    </row>
    <row r="433" spans="1:19" ht="12.75" customHeight="1" x14ac:dyDescent="0.3">
      <c r="A433" s="25" t="s">
        <v>1373</v>
      </c>
      <c r="B433" s="210" t="s">
        <v>979</v>
      </c>
      <c r="C433" s="211" t="s">
        <v>728</v>
      </c>
      <c r="D433" s="26">
        <v>34.99</v>
      </c>
      <c r="F433" s="26">
        <v>0</v>
      </c>
      <c r="G433" s="26">
        <v>549.99</v>
      </c>
      <c r="H433" s="26">
        <v>0</v>
      </c>
      <c r="J433" s="26">
        <f t="shared" ref="J433:J445" si="50">SUM(D433:I433)</f>
        <v>584.98</v>
      </c>
      <c r="L433" s="26"/>
      <c r="M433" s="27">
        <v>0</v>
      </c>
      <c r="O433" s="26">
        <v>360000</v>
      </c>
      <c r="P433" t="s">
        <v>586</v>
      </c>
      <c r="Q433" s="209">
        <v>16.379440000000002</v>
      </c>
      <c r="R433" s="209">
        <v>4.0948600000000006</v>
      </c>
      <c r="S433" s="209"/>
    </row>
    <row r="434" spans="1:19" ht="12.75" customHeight="1" x14ac:dyDescent="0.3">
      <c r="A434" s="25" t="s">
        <v>1373</v>
      </c>
      <c r="B434" s="210" t="s">
        <v>884</v>
      </c>
      <c r="C434" s="211" t="s">
        <v>729</v>
      </c>
      <c r="D434" s="26">
        <v>36905.410000000003</v>
      </c>
      <c r="F434" s="26">
        <v>0</v>
      </c>
      <c r="G434" s="26">
        <v>0</v>
      </c>
      <c r="H434" s="26">
        <v>0</v>
      </c>
      <c r="J434" s="26">
        <f t="shared" si="50"/>
        <v>36905.410000000003</v>
      </c>
      <c r="L434" s="26">
        <v>79200</v>
      </c>
      <c r="M434" s="27">
        <v>0.46597739898989904</v>
      </c>
      <c r="P434" t="s">
        <v>589</v>
      </c>
      <c r="Q434" s="209">
        <v>1033.35148</v>
      </c>
      <c r="R434" s="209">
        <v>258.33787000000001</v>
      </c>
      <c r="S434" s="209"/>
    </row>
    <row r="435" spans="1:19" ht="12.75" customHeight="1" x14ac:dyDescent="0.3">
      <c r="A435" s="25" t="s">
        <v>1373</v>
      </c>
      <c r="B435" s="210" t="s">
        <v>1345</v>
      </c>
      <c r="C435" s="211" t="s">
        <v>1374</v>
      </c>
      <c r="D435" s="26">
        <v>55959.8</v>
      </c>
      <c r="F435" s="26">
        <v>0</v>
      </c>
      <c r="G435" s="26">
        <v>0</v>
      </c>
      <c r="H435" s="26">
        <v>0</v>
      </c>
      <c r="J435" s="26">
        <f t="shared" si="50"/>
        <v>55959.8</v>
      </c>
      <c r="L435" s="26">
        <v>79200</v>
      </c>
      <c r="M435" s="27">
        <v>0.70656313131313131</v>
      </c>
      <c r="P435" t="s">
        <v>580</v>
      </c>
      <c r="Q435" s="209">
        <v>1566.8744000000002</v>
      </c>
      <c r="R435" s="209">
        <v>391.71860000000004</v>
      </c>
      <c r="S435" s="209"/>
    </row>
    <row r="436" spans="1:19" ht="12.75" customHeight="1" x14ac:dyDescent="0.3">
      <c r="A436" s="25" t="s">
        <v>1373</v>
      </c>
      <c r="B436" s="210" t="s">
        <v>1337</v>
      </c>
      <c r="C436" s="211" t="s">
        <v>575</v>
      </c>
      <c r="D436" s="26">
        <v>58585.760000000002</v>
      </c>
      <c r="F436" s="26">
        <v>0</v>
      </c>
      <c r="G436" s="26">
        <v>0</v>
      </c>
      <c r="H436" s="26">
        <v>0</v>
      </c>
      <c r="J436" s="26">
        <f t="shared" si="50"/>
        <v>58585.760000000002</v>
      </c>
      <c r="L436" s="26">
        <v>79200</v>
      </c>
      <c r="M436" s="27">
        <v>0.739719191919192</v>
      </c>
      <c r="P436" t="s">
        <v>574</v>
      </c>
      <c r="Q436" s="209">
        <v>1640.40128</v>
      </c>
      <c r="R436" s="209">
        <v>410.10032000000001</v>
      </c>
      <c r="S436" s="209"/>
    </row>
    <row r="437" spans="1:19" ht="12.75" customHeight="1" x14ac:dyDescent="0.3">
      <c r="A437" s="25" t="s">
        <v>1373</v>
      </c>
      <c r="B437" s="210" t="s">
        <v>1375</v>
      </c>
      <c r="C437" s="211" t="s">
        <v>593</v>
      </c>
      <c r="D437" s="26">
        <v>80990.740000000005</v>
      </c>
      <c r="F437" s="26">
        <v>0</v>
      </c>
      <c r="G437" s="26">
        <v>0</v>
      </c>
      <c r="H437" s="26">
        <v>0</v>
      </c>
      <c r="J437" s="26">
        <f t="shared" si="50"/>
        <v>80990.740000000005</v>
      </c>
      <c r="L437" s="26">
        <v>79200</v>
      </c>
      <c r="M437" s="27">
        <v>1.0226103535353537</v>
      </c>
      <c r="P437" t="s">
        <v>592</v>
      </c>
      <c r="Q437" s="209">
        <v>2267.7407200000002</v>
      </c>
      <c r="R437" s="209">
        <v>566.93518000000006</v>
      </c>
      <c r="S437" s="209">
        <v>404.95370000000003</v>
      </c>
    </row>
    <row r="438" spans="1:19" ht="12.75" customHeight="1" x14ac:dyDescent="0.3">
      <c r="A438" s="25" t="s">
        <v>1373</v>
      </c>
      <c r="B438" s="210" t="s">
        <v>1364</v>
      </c>
      <c r="C438" s="211" t="s">
        <v>578</v>
      </c>
      <c r="D438" s="26">
        <v>82246.83</v>
      </c>
      <c r="F438" s="26">
        <v>0</v>
      </c>
      <c r="G438" s="26">
        <v>0</v>
      </c>
      <c r="H438" s="26">
        <v>0</v>
      </c>
      <c r="J438" s="26">
        <f t="shared" si="50"/>
        <v>82246.83</v>
      </c>
      <c r="L438" s="26">
        <v>79200</v>
      </c>
      <c r="M438" s="27">
        <v>1.0384700757575758</v>
      </c>
      <c r="P438" t="s">
        <v>577</v>
      </c>
      <c r="Q438" s="209">
        <v>2302.9112399999999</v>
      </c>
      <c r="R438" s="209">
        <v>575.72780999999998</v>
      </c>
      <c r="S438" s="209">
        <v>411.23415</v>
      </c>
    </row>
    <row r="439" spans="1:19" ht="12.75" customHeight="1" x14ac:dyDescent="0.3">
      <c r="A439" s="25" t="s">
        <v>1373</v>
      </c>
      <c r="B439" s="212" t="s">
        <v>1359</v>
      </c>
      <c r="C439" s="211"/>
      <c r="D439" s="26">
        <v>2285.87</v>
      </c>
      <c r="F439" s="26">
        <v>0</v>
      </c>
      <c r="G439" s="26">
        <v>0</v>
      </c>
      <c r="H439" s="26">
        <v>0</v>
      </c>
      <c r="J439" s="26">
        <f t="shared" si="50"/>
        <v>2285.87</v>
      </c>
      <c r="L439" s="26"/>
      <c r="M439" s="27">
        <v>0</v>
      </c>
      <c r="P439" t="s">
        <v>1376</v>
      </c>
      <c r="Q439" s="209">
        <v>64.004359999999991</v>
      </c>
      <c r="R439" s="209">
        <v>16.001089999999998</v>
      </c>
      <c r="S439" s="209"/>
    </row>
    <row r="440" spans="1:19" ht="12.75" customHeight="1" x14ac:dyDescent="0.3">
      <c r="A440" s="25" t="s">
        <v>1373</v>
      </c>
      <c r="B440" s="212"/>
      <c r="C440" s="211"/>
      <c r="D440" s="26">
        <v>0</v>
      </c>
      <c r="F440" s="26">
        <v>0</v>
      </c>
      <c r="G440" s="26">
        <v>0</v>
      </c>
      <c r="H440" s="26">
        <v>0</v>
      </c>
      <c r="J440" s="26">
        <f t="shared" si="50"/>
        <v>0</v>
      </c>
      <c r="L440" s="26"/>
      <c r="M440" s="27">
        <v>0</v>
      </c>
      <c r="P440"/>
      <c r="Q440" s="209"/>
      <c r="R440" s="209"/>
      <c r="S440" s="209"/>
    </row>
    <row r="441" spans="1:19" ht="12.75" customHeight="1" x14ac:dyDescent="0.3">
      <c r="A441" s="25" t="s">
        <v>1373</v>
      </c>
      <c r="B441" s="212"/>
      <c r="C441" s="211"/>
      <c r="D441" s="26">
        <v>0</v>
      </c>
      <c r="F441" s="26">
        <v>0</v>
      </c>
      <c r="G441" s="26">
        <v>0</v>
      </c>
      <c r="H441" s="26">
        <v>0</v>
      </c>
      <c r="J441" s="26">
        <f t="shared" si="50"/>
        <v>0</v>
      </c>
      <c r="L441" s="39"/>
      <c r="M441" s="27">
        <v>0</v>
      </c>
      <c r="P441"/>
      <c r="Q441" s="209"/>
      <c r="R441" s="209"/>
      <c r="S441" s="209"/>
    </row>
    <row r="442" spans="1:19" ht="12.75" customHeight="1" x14ac:dyDescent="0.3">
      <c r="A442" s="25" t="s">
        <v>1373</v>
      </c>
      <c r="B442" s="212"/>
      <c r="C442" s="211"/>
      <c r="D442" s="26">
        <v>0</v>
      </c>
      <c r="F442" s="26">
        <v>0</v>
      </c>
      <c r="G442" s="26">
        <v>0</v>
      </c>
      <c r="H442" s="26">
        <v>0</v>
      </c>
      <c r="J442" s="26">
        <f t="shared" si="50"/>
        <v>0</v>
      </c>
      <c r="L442" s="39"/>
      <c r="M442" s="27">
        <v>0</v>
      </c>
      <c r="P442"/>
      <c r="Q442" s="209"/>
      <c r="R442" s="209"/>
      <c r="S442" s="209"/>
    </row>
    <row r="443" spans="1:19" ht="12.75" customHeight="1" x14ac:dyDescent="0.3">
      <c r="A443" s="25" t="s">
        <v>1373</v>
      </c>
      <c r="B443" s="210"/>
      <c r="C443" s="211"/>
      <c r="D443" s="26">
        <v>0</v>
      </c>
      <c r="F443" s="26">
        <v>0</v>
      </c>
      <c r="G443" s="26">
        <v>0</v>
      </c>
      <c r="H443" s="26">
        <v>0</v>
      </c>
      <c r="J443" s="26">
        <f t="shared" si="50"/>
        <v>0</v>
      </c>
      <c r="M443" s="27">
        <v>0</v>
      </c>
      <c r="P443"/>
      <c r="Q443" s="209"/>
      <c r="R443" s="209"/>
      <c r="S443" s="209"/>
    </row>
    <row r="444" spans="1:19" ht="12.75" customHeight="1" x14ac:dyDescent="0.3">
      <c r="A444" s="25" t="s">
        <v>1373</v>
      </c>
      <c r="B444" s="210"/>
      <c r="C444" s="211"/>
      <c r="D444" s="26">
        <v>0</v>
      </c>
      <c r="F444" s="26">
        <v>0</v>
      </c>
      <c r="G444" s="26">
        <v>0</v>
      </c>
      <c r="H444" s="26">
        <v>0</v>
      </c>
      <c r="J444" s="26">
        <f t="shared" si="50"/>
        <v>0</v>
      </c>
      <c r="M444" s="27">
        <v>0</v>
      </c>
      <c r="P444"/>
      <c r="Q444" s="209"/>
      <c r="R444" s="209"/>
      <c r="S444" s="209"/>
    </row>
    <row r="445" spans="1:19" ht="12.75" customHeight="1" x14ac:dyDescent="0.3">
      <c r="A445" s="25" t="s">
        <v>1373</v>
      </c>
      <c r="B445" s="210"/>
      <c r="C445" s="211"/>
      <c r="D445" s="26">
        <v>0</v>
      </c>
      <c r="F445" s="26">
        <v>0</v>
      </c>
      <c r="G445" s="26">
        <v>0</v>
      </c>
      <c r="H445" s="26">
        <v>0</v>
      </c>
      <c r="J445" s="26">
        <f t="shared" si="50"/>
        <v>0</v>
      </c>
      <c r="M445" s="27">
        <v>0</v>
      </c>
      <c r="P445"/>
      <c r="Q445" s="209"/>
      <c r="R445" s="209"/>
      <c r="S445" s="209"/>
    </row>
    <row r="446" spans="1:19" ht="12.75" customHeight="1" x14ac:dyDescent="0.3">
      <c r="A446" s="28" t="s">
        <v>8</v>
      </c>
      <c r="B446" s="29"/>
      <c r="C446" s="28"/>
      <c r="D446" s="30">
        <v>317009.40000000002</v>
      </c>
      <c r="E446" s="30">
        <v>0</v>
      </c>
      <c r="F446" s="30">
        <v>0</v>
      </c>
      <c r="G446" s="30">
        <v>549.99</v>
      </c>
      <c r="H446" s="30">
        <v>0</v>
      </c>
      <c r="I446" s="30">
        <v>0</v>
      </c>
      <c r="J446" s="30">
        <f t="shared" ref="J446" si="51">SUM(J433:J445)</f>
        <v>317559.39</v>
      </c>
      <c r="L446" s="30">
        <v>396000</v>
      </c>
      <c r="P446"/>
      <c r="Q446" s="209"/>
      <c r="R446" s="209"/>
      <c r="S446" s="209"/>
    </row>
    <row r="447" spans="1:19" ht="12.75" customHeight="1" x14ac:dyDescent="0.3">
      <c r="P447"/>
      <c r="Q447" s="209"/>
      <c r="R447" s="209"/>
      <c r="S447" s="209"/>
    </row>
    <row r="448" spans="1:19" ht="12.75" customHeight="1" x14ac:dyDescent="0.3">
      <c r="P448"/>
      <c r="Q448" s="209"/>
      <c r="R448" s="209"/>
      <c r="S448" s="209"/>
    </row>
    <row r="449" spans="1:19" ht="12.75" customHeight="1" x14ac:dyDescent="0.3">
      <c r="P449"/>
      <c r="Q449" s="209"/>
      <c r="R449" s="209"/>
      <c r="S449" s="209"/>
    </row>
    <row r="450" spans="1:19" ht="12.75" customHeight="1" x14ac:dyDescent="0.3">
      <c r="A450" s="21" t="s">
        <v>0</v>
      </c>
      <c r="B450" s="22" t="s">
        <v>659</v>
      </c>
      <c r="C450" s="21" t="s">
        <v>660</v>
      </c>
      <c r="D450" s="22" t="s">
        <v>661</v>
      </c>
      <c r="E450" s="22" t="s">
        <v>662</v>
      </c>
      <c r="F450" s="22" t="s">
        <v>663</v>
      </c>
      <c r="G450" s="22" t="s">
        <v>664</v>
      </c>
      <c r="H450" s="22" t="s">
        <v>665</v>
      </c>
      <c r="I450" s="22" t="s">
        <v>676</v>
      </c>
      <c r="J450" s="22" t="s">
        <v>666</v>
      </c>
      <c r="L450" s="24" t="s">
        <v>667</v>
      </c>
      <c r="M450" s="24" t="s">
        <v>668</v>
      </c>
      <c r="O450" s="22" t="s">
        <v>669</v>
      </c>
      <c r="P450"/>
      <c r="Q450" s="209"/>
      <c r="R450" s="209"/>
      <c r="S450" s="209"/>
    </row>
    <row r="451" spans="1:19" ht="12.75" customHeight="1" x14ac:dyDescent="0.3">
      <c r="A451" s="25" t="s">
        <v>1377</v>
      </c>
      <c r="B451" s="210" t="s">
        <v>979</v>
      </c>
      <c r="C451" s="211" t="s">
        <v>602</v>
      </c>
      <c r="D451" s="26">
        <v>1365.91</v>
      </c>
      <c r="F451" s="26">
        <v>0</v>
      </c>
      <c r="G451" s="26">
        <v>0</v>
      </c>
      <c r="H451" s="26">
        <v>0</v>
      </c>
      <c r="J451" s="26">
        <f t="shared" ref="J451:J463" si="52">SUM(D451:I451)</f>
        <v>1365.91</v>
      </c>
      <c r="L451" s="26"/>
      <c r="M451" s="27">
        <v>0</v>
      </c>
      <c r="O451" s="26">
        <v>400000</v>
      </c>
      <c r="P451" t="s">
        <v>601</v>
      </c>
      <c r="Q451" s="209">
        <v>38.245480000000001</v>
      </c>
      <c r="R451" s="209">
        <v>9.5613700000000001</v>
      </c>
      <c r="S451" s="209"/>
    </row>
    <row r="452" spans="1:19" ht="12.75" customHeight="1" x14ac:dyDescent="0.3">
      <c r="A452" s="25" t="s">
        <v>1377</v>
      </c>
      <c r="B452" s="210" t="s">
        <v>1362</v>
      </c>
      <c r="C452" s="211" t="s">
        <v>611</v>
      </c>
      <c r="D452" s="26">
        <v>66826.95</v>
      </c>
      <c r="F452" s="26">
        <v>0</v>
      </c>
      <c r="G452" s="26">
        <v>0</v>
      </c>
      <c r="H452" s="26">
        <v>0</v>
      </c>
      <c r="J452" s="26">
        <f t="shared" si="52"/>
        <v>66826.95</v>
      </c>
      <c r="L452" s="26">
        <v>62858</v>
      </c>
      <c r="M452" s="27">
        <v>1.0631415253428362</v>
      </c>
      <c r="P452" t="s">
        <v>610</v>
      </c>
      <c r="Q452" s="209">
        <v>1871.1545999999998</v>
      </c>
      <c r="R452" s="209">
        <v>467.78864999999996</v>
      </c>
      <c r="S452" s="209">
        <v>334.13475</v>
      </c>
    </row>
    <row r="453" spans="1:19" ht="12.75" customHeight="1" x14ac:dyDescent="0.3">
      <c r="A453" s="25" t="s">
        <v>1377</v>
      </c>
      <c r="B453" s="210" t="s">
        <v>884</v>
      </c>
      <c r="C453" s="211" t="s">
        <v>629</v>
      </c>
      <c r="D453" s="26">
        <v>64102.74</v>
      </c>
      <c r="F453" s="26">
        <v>0</v>
      </c>
      <c r="G453" s="26">
        <v>0</v>
      </c>
      <c r="H453" s="26">
        <v>0</v>
      </c>
      <c r="J453" s="26">
        <f t="shared" si="52"/>
        <v>64102.74</v>
      </c>
      <c r="L453" s="26">
        <v>62858</v>
      </c>
      <c r="M453" s="27">
        <v>1.0198024117852937</v>
      </c>
      <c r="P453" t="s">
        <v>628</v>
      </c>
      <c r="Q453" s="209">
        <v>1794.87672</v>
      </c>
      <c r="R453" s="209">
        <v>448.71917999999999</v>
      </c>
      <c r="S453" s="209">
        <v>320.51369999999997</v>
      </c>
    </row>
    <row r="454" spans="1:19" ht="12.75" customHeight="1" x14ac:dyDescent="0.3">
      <c r="A454" s="25" t="s">
        <v>1377</v>
      </c>
      <c r="B454" s="210" t="s">
        <v>1378</v>
      </c>
      <c r="C454" s="211" t="s">
        <v>599</v>
      </c>
      <c r="D454" s="26">
        <v>65272.959999999999</v>
      </c>
      <c r="F454" s="26">
        <v>0</v>
      </c>
      <c r="G454" s="26">
        <v>0</v>
      </c>
      <c r="H454" s="26">
        <v>0</v>
      </c>
      <c r="J454" s="26">
        <f t="shared" si="52"/>
        <v>65272.959999999999</v>
      </c>
      <c r="L454" s="26">
        <v>62858</v>
      </c>
      <c r="M454" s="27">
        <v>1.0384192942823507</v>
      </c>
      <c r="P454" t="s">
        <v>598</v>
      </c>
      <c r="Q454" s="209">
        <v>1827.6428800000001</v>
      </c>
      <c r="R454" s="209">
        <v>456.91072000000003</v>
      </c>
      <c r="S454" s="209">
        <v>326.3648</v>
      </c>
    </row>
    <row r="455" spans="1:19" ht="12.75" customHeight="1" x14ac:dyDescent="0.3">
      <c r="A455" s="25" t="s">
        <v>1377</v>
      </c>
      <c r="B455" s="210" t="s">
        <v>1350</v>
      </c>
      <c r="C455" s="211" t="s">
        <v>608</v>
      </c>
      <c r="D455" s="26">
        <v>57504.03</v>
      </c>
      <c r="F455" s="26">
        <v>0</v>
      </c>
      <c r="G455" s="26">
        <v>0</v>
      </c>
      <c r="H455" s="26">
        <v>0</v>
      </c>
      <c r="J455" s="26">
        <f t="shared" si="52"/>
        <v>57504.03</v>
      </c>
      <c r="L455" s="26">
        <v>62858</v>
      </c>
      <c r="M455" s="27">
        <v>0.91482436603137229</v>
      </c>
      <c r="P455" t="s">
        <v>607</v>
      </c>
      <c r="Q455" s="209">
        <v>1610.11284</v>
      </c>
      <c r="R455" s="209">
        <v>402.52821</v>
      </c>
      <c r="S455" s="209"/>
    </row>
    <row r="456" spans="1:19" ht="12.75" customHeight="1" x14ac:dyDescent="0.3">
      <c r="A456" s="25" t="s">
        <v>1377</v>
      </c>
      <c r="B456" s="210" t="s">
        <v>1345</v>
      </c>
      <c r="C456" s="211" t="s">
        <v>626</v>
      </c>
      <c r="D456" s="26">
        <v>61240.24</v>
      </c>
      <c r="F456" s="26">
        <v>0</v>
      </c>
      <c r="G456" s="26">
        <v>199.99</v>
      </c>
      <c r="H456" s="26">
        <v>0</v>
      </c>
      <c r="J456" s="26">
        <f t="shared" si="52"/>
        <v>61440.229999999996</v>
      </c>
      <c r="L456" s="26">
        <v>62858</v>
      </c>
      <c r="M456" s="27">
        <v>0.97744487575169425</v>
      </c>
      <c r="P456" t="s">
        <v>625</v>
      </c>
      <c r="Q456" s="209">
        <v>1720.3264399999998</v>
      </c>
      <c r="R456" s="209">
        <v>430.08160999999996</v>
      </c>
      <c r="S456" s="209"/>
    </row>
    <row r="457" spans="1:19" ht="12.75" customHeight="1" x14ac:dyDescent="0.3">
      <c r="A457" s="25" t="s">
        <v>1377</v>
      </c>
      <c r="B457" s="212" t="s">
        <v>1379</v>
      </c>
      <c r="C457" s="211" t="s">
        <v>617</v>
      </c>
      <c r="D457" s="26">
        <v>52916.06</v>
      </c>
      <c r="F457" s="26">
        <v>0</v>
      </c>
      <c r="G457" s="26">
        <v>0</v>
      </c>
      <c r="H457" s="26">
        <v>0</v>
      </c>
      <c r="J457" s="26">
        <f t="shared" si="52"/>
        <v>52916.06</v>
      </c>
      <c r="L457" s="26">
        <v>62858</v>
      </c>
      <c r="M457" s="27">
        <v>0.84183492952368832</v>
      </c>
      <c r="P457" t="s">
        <v>616</v>
      </c>
      <c r="Q457" s="209">
        <v>1481.64968</v>
      </c>
      <c r="R457" s="209">
        <v>370.41242</v>
      </c>
      <c r="S457" s="209"/>
    </row>
    <row r="458" spans="1:19" ht="12.75" customHeight="1" x14ac:dyDescent="0.3">
      <c r="A458" s="25" t="s">
        <v>1377</v>
      </c>
      <c r="B458" s="212" t="s">
        <v>1380</v>
      </c>
      <c r="C458" s="211" t="s">
        <v>620</v>
      </c>
      <c r="D458" s="26">
        <v>52996.82</v>
      </c>
      <c r="F458" s="26">
        <v>0</v>
      </c>
      <c r="G458" s="26">
        <v>0</v>
      </c>
      <c r="H458" s="26">
        <v>0</v>
      </c>
      <c r="J458" s="26">
        <f t="shared" si="52"/>
        <v>52996.82</v>
      </c>
      <c r="L458" s="26">
        <v>62858</v>
      </c>
      <c r="M458" s="27">
        <v>0.84311973018549746</v>
      </c>
      <c r="P458" t="s">
        <v>619</v>
      </c>
      <c r="Q458" s="209">
        <v>1483.9109599999999</v>
      </c>
      <c r="R458" s="209">
        <v>370.97773999999998</v>
      </c>
      <c r="S458" s="209"/>
    </row>
    <row r="459" spans="1:19" ht="12.75" customHeight="1" x14ac:dyDescent="0.3">
      <c r="A459" s="25" t="s">
        <v>1377</v>
      </c>
      <c r="B459" s="212"/>
      <c r="C459" s="211"/>
      <c r="D459" s="26">
        <v>0</v>
      </c>
      <c r="F459" s="26">
        <v>0</v>
      </c>
      <c r="G459" s="26">
        <v>0</v>
      </c>
      <c r="H459" s="26">
        <v>0</v>
      </c>
      <c r="J459" s="26">
        <f t="shared" si="52"/>
        <v>0</v>
      </c>
      <c r="L459" s="39"/>
      <c r="M459" s="27">
        <v>0</v>
      </c>
      <c r="P459"/>
      <c r="Q459" s="209"/>
      <c r="R459" s="209"/>
      <c r="S459" s="209"/>
    </row>
    <row r="460" spans="1:19" ht="12.75" customHeight="1" x14ac:dyDescent="0.3">
      <c r="A460" s="25" t="s">
        <v>1377</v>
      </c>
      <c r="B460" s="212"/>
      <c r="C460" s="211"/>
      <c r="D460" s="26">
        <v>0</v>
      </c>
      <c r="F460" s="26">
        <v>0</v>
      </c>
      <c r="G460" s="26">
        <v>0</v>
      </c>
      <c r="H460" s="26">
        <v>0</v>
      </c>
      <c r="J460" s="26">
        <f t="shared" si="52"/>
        <v>0</v>
      </c>
      <c r="L460" s="39"/>
      <c r="M460" s="27">
        <v>0</v>
      </c>
      <c r="P460"/>
      <c r="Q460" s="209"/>
      <c r="R460" s="209"/>
      <c r="S460" s="209"/>
    </row>
    <row r="461" spans="1:19" ht="12.75" customHeight="1" x14ac:dyDescent="0.3">
      <c r="A461" s="25" t="s">
        <v>1377</v>
      </c>
      <c r="B461" s="210"/>
      <c r="C461" s="211"/>
      <c r="D461" s="26">
        <v>0</v>
      </c>
      <c r="F461" s="26">
        <v>0</v>
      </c>
      <c r="G461" s="26">
        <v>0</v>
      </c>
      <c r="H461" s="26">
        <v>0</v>
      </c>
      <c r="J461" s="26">
        <f t="shared" si="52"/>
        <v>0</v>
      </c>
      <c r="M461" s="27">
        <v>0</v>
      </c>
      <c r="P461"/>
      <c r="Q461" s="209"/>
      <c r="R461" s="209"/>
      <c r="S461" s="209"/>
    </row>
    <row r="462" spans="1:19" ht="12.75" customHeight="1" x14ac:dyDescent="0.3">
      <c r="A462" s="25" t="s">
        <v>1377</v>
      </c>
      <c r="B462" s="210"/>
      <c r="C462" s="211"/>
      <c r="D462" s="26">
        <v>0</v>
      </c>
      <c r="F462" s="26">
        <v>0</v>
      </c>
      <c r="G462" s="26">
        <v>0</v>
      </c>
      <c r="H462" s="26">
        <v>0</v>
      </c>
      <c r="J462" s="26">
        <f t="shared" si="52"/>
        <v>0</v>
      </c>
      <c r="M462" s="27">
        <v>0</v>
      </c>
      <c r="P462"/>
      <c r="Q462" s="209"/>
      <c r="R462" s="209"/>
      <c r="S462" s="209"/>
    </row>
    <row r="463" spans="1:19" ht="12.75" customHeight="1" x14ac:dyDescent="0.3">
      <c r="A463" s="25" t="s">
        <v>1377</v>
      </c>
      <c r="B463" s="210"/>
      <c r="C463" s="211"/>
      <c r="D463" s="26">
        <v>0</v>
      </c>
      <c r="F463" s="26">
        <v>0</v>
      </c>
      <c r="G463" s="26">
        <v>0</v>
      </c>
      <c r="H463" s="26">
        <v>0</v>
      </c>
      <c r="J463" s="26">
        <f t="shared" si="52"/>
        <v>0</v>
      </c>
      <c r="M463" s="27">
        <v>0</v>
      </c>
      <c r="P463"/>
      <c r="Q463" s="209"/>
      <c r="R463" s="209"/>
      <c r="S463" s="209"/>
    </row>
    <row r="464" spans="1:19" ht="12.75" customHeight="1" x14ac:dyDescent="0.3">
      <c r="A464" s="28" t="s">
        <v>8</v>
      </c>
      <c r="B464" s="29"/>
      <c r="C464" s="28"/>
      <c r="D464" s="30">
        <v>422225.71</v>
      </c>
      <c r="E464" s="30">
        <v>0</v>
      </c>
      <c r="F464" s="30">
        <v>0</v>
      </c>
      <c r="G464" s="30">
        <v>199.99</v>
      </c>
      <c r="H464" s="30">
        <v>0</v>
      </c>
      <c r="I464" s="30">
        <v>0</v>
      </c>
      <c r="J464" s="30">
        <f t="shared" ref="J464" si="53">SUM(J451:J463)</f>
        <v>422425.7</v>
      </c>
      <c r="L464" s="30">
        <v>440006</v>
      </c>
      <c r="P464"/>
      <c r="Q464" s="209"/>
      <c r="R464" s="209"/>
      <c r="S464" s="209"/>
    </row>
    <row r="465" spans="1:19" ht="12.75" customHeight="1" x14ac:dyDescent="0.3">
      <c r="P465"/>
      <c r="Q465" s="209"/>
      <c r="R465" s="209"/>
      <c r="S465" s="209"/>
    </row>
    <row r="466" spans="1:19" ht="12.75" customHeight="1" x14ac:dyDescent="0.3">
      <c r="P466"/>
      <c r="Q466" s="209"/>
      <c r="R466" s="209"/>
      <c r="S466" s="209"/>
    </row>
    <row r="467" spans="1:19" ht="12.75" customHeight="1" x14ac:dyDescent="0.3">
      <c r="P467"/>
      <c r="Q467" s="209"/>
      <c r="R467" s="209"/>
      <c r="S467" s="209"/>
    </row>
    <row r="468" spans="1:19" ht="12.75" customHeight="1" x14ac:dyDescent="0.3">
      <c r="A468" s="21" t="s">
        <v>0</v>
      </c>
      <c r="B468" s="22" t="s">
        <v>659</v>
      </c>
      <c r="C468" s="21" t="s">
        <v>660</v>
      </c>
      <c r="D468" s="22" t="s">
        <v>661</v>
      </c>
      <c r="E468" s="22" t="s">
        <v>662</v>
      </c>
      <c r="F468" s="22" t="s">
        <v>663</v>
      </c>
      <c r="G468" s="22" t="s">
        <v>664</v>
      </c>
      <c r="H468" s="22" t="s">
        <v>665</v>
      </c>
      <c r="I468" s="22" t="s">
        <v>676</v>
      </c>
      <c r="J468" s="22" t="s">
        <v>666</v>
      </c>
      <c r="L468" s="24" t="s">
        <v>667</v>
      </c>
      <c r="M468" s="24" t="s">
        <v>668</v>
      </c>
      <c r="O468" s="22" t="s">
        <v>669</v>
      </c>
      <c r="P468"/>
      <c r="Q468" s="209"/>
      <c r="R468" s="209"/>
      <c r="S468" s="209"/>
    </row>
    <row r="469" spans="1:19" ht="12.75" customHeight="1" x14ac:dyDescent="0.3">
      <c r="A469" s="25" t="s">
        <v>1381</v>
      </c>
      <c r="B469" s="210" t="s">
        <v>1327</v>
      </c>
      <c r="C469" s="211" t="s">
        <v>650</v>
      </c>
      <c r="D469" s="26">
        <v>24901.599999999999</v>
      </c>
      <c r="F469" s="26">
        <v>0</v>
      </c>
      <c r="G469" s="26">
        <v>0</v>
      </c>
      <c r="H469" s="26">
        <v>0</v>
      </c>
      <c r="J469" s="26">
        <f t="shared" ref="J469:J479" si="54">SUM(D469:I469)</f>
        <v>24901.599999999999</v>
      </c>
      <c r="L469" s="26">
        <v>47667</v>
      </c>
      <c r="M469" s="27">
        <v>0.522407535611639</v>
      </c>
      <c r="O469" s="26">
        <v>260000</v>
      </c>
      <c r="P469" t="s">
        <v>649</v>
      </c>
      <c r="Q469" s="209">
        <v>697.24479999999994</v>
      </c>
      <c r="R469" s="209">
        <v>174.31119999999999</v>
      </c>
      <c r="S469" s="209"/>
    </row>
    <row r="470" spans="1:19" ht="12.75" customHeight="1" x14ac:dyDescent="0.3">
      <c r="A470" s="25" t="s">
        <v>1381</v>
      </c>
      <c r="B470" s="210" t="s">
        <v>1318</v>
      </c>
      <c r="C470" s="211" t="s">
        <v>730</v>
      </c>
      <c r="D470" s="26">
        <v>73026.759999999995</v>
      </c>
      <c r="F470" s="26">
        <v>0</v>
      </c>
      <c r="G470" s="26">
        <v>0</v>
      </c>
      <c r="H470" s="26">
        <v>0</v>
      </c>
      <c r="J470" s="26">
        <f t="shared" si="54"/>
        <v>73026.759999999995</v>
      </c>
      <c r="L470" s="26">
        <v>47667</v>
      </c>
      <c r="M470" s="27">
        <v>1.5320192166488344</v>
      </c>
      <c r="P470" t="s">
        <v>634</v>
      </c>
      <c r="Q470" s="209">
        <v>2044.74928</v>
      </c>
      <c r="R470" s="209">
        <v>511.18732</v>
      </c>
      <c r="S470" s="209">
        <v>365.13380000000001</v>
      </c>
    </row>
    <row r="471" spans="1:19" ht="12.75" customHeight="1" x14ac:dyDescent="0.3">
      <c r="A471" s="25" t="s">
        <v>1381</v>
      </c>
      <c r="B471" s="210" t="s">
        <v>1382</v>
      </c>
      <c r="C471" s="211"/>
      <c r="D471" s="26">
        <v>1527.88</v>
      </c>
      <c r="F471" s="26">
        <v>0</v>
      </c>
      <c r="G471" s="26">
        <v>0</v>
      </c>
      <c r="H471" s="26">
        <v>0</v>
      </c>
      <c r="J471" s="26">
        <f t="shared" si="54"/>
        <v>1527.88</v>
      </c>
      <c r="L471" s="26"/>
      <c r="M471" s="27">
        <v>0</v>
      </c>
      <c r="P471" t="s">
        <v>655</v>
      </c>
      <c r="Q471" s="209">
        <v>42.780640000000005</v>
      </c>
      <c r="R471" s="209">
        <v>10.695160000000001</v>
      </c>
      <c r="S471" s="209"/>
    </row>
    <row r="472" spans="1:19" ht="12.75" customHeight="1" x14ac:dyDescent="0.3">
      <c r="A472" s="25" t="s">
        <v>1381</v>
      </c>
      <c r="B472" s="210" t="s">
        <v>1383</v>
      </c>
      <c r="C472" s="211" t="s">
        <v>632</v>
      </c>
      <c r="D472" s="26">
        <v>63673.919999999998</v>
      </c>
      <c r="F472" s="26">
        <v>0</v>
      </c>
      <c r="G472" s="26">
        <v>0</v>
      </c>
      <c r="H472" s="26">
        <v>0</v>
      </c>
      <c r="J472" s="26">
        <f t="shared" si="54"/>
        <v>63673.919999999998</v>
      </c>
      <c r="L472" s="26">
        <v>47667</v>
      </c>
      <c r="M472" s="27">
        <v>1.335807162187677</v>
      </c>
      <c r="P472" t="s">
        <v>631</v>
      </c>
      <c r="Q472" s="209">
        <v>1782.86976</v>
      </c>
      <c r="R472" s="209">
        <v>445.71744000000001</v>
      </c>
      <c r="S472" s="209">
        <v>318.36959999999999</v>
      </c>
    </row>
    <row r="473" spans="1:19" ht="12.75" customHeight="1" x14ac:dyDescent="0.3">
      <c r="A473" s="25" t="s">
        <v>1381</v>
      </c>
      <c r="B473" s="210" t="s">
        <v>1384</v>
      </c>
      <c r="C473" s="211" t="s">
        <v>731</v>
      </c>
      <c r="D473" s="26">
        <v>62948.160000000003</v>
      </c>
      <c r="F473" s="26">
        <v>0</v>
      </c>
      <c r="G473" s="26">
        <v>0</v>
      </c>
      <c r="H473" s="26">
        <v>0</v>
      </c>
      <c r="J473" s="26">
        <f t="shared" si="54"/>
        <v>62948.160000000003</v>
      </c>
      <c r="L473" s="26">
        <v>47667</v>
      </c>
      <c r="M473" s="27">
        <v>1.3205815343948644</v>
      </c>
      <c r="P473" t="s">
        <v>637</v>
      </c>
      <c r="Q473" s="209">
        <v>1762.5484800000002</v>
      </c>
      <c r="R473" s="209">
        <v>440.63712000000004</v>
      </c>
      <c r="S473" s="209">
        <v>314.74080000000004</v>
      </c>
    </row>
    <row r="474" spans="1:19" ht="12.75" customHeight="1" x14ac:dyDescent="0.3">
      <c r="A474" s="25" t="s">
        <v>1381</v>
      </c>
      <c r="B474" s="210" t="s">
        <v>1385</v>
      </c>
      <c r="C474" s="211" t="s">
        <v>658</v>
      </c>
      <c r="D474" s="26">
        <v>45843.66</v>
      </c>
      <c r="F474" s="26">
        <v>0</v>
      </c>
      <c r="G474" s="26">
        <v>0</v>
      </c>
      <c r="H474" s="26">
        <v>0</v>
      </c>
      <c r="J474" s="26">
        <f t="shared" si="54"/>
        <v>45843.66</v>
      </c>
      <c r="L474" s="26">
        <v>47667</v>
      </c>
      <c r="M474" s="27">
        <v>0.96174837938196245</v>
      </c>
      <c r="P474" t="s">
        <v>1386</v>
      </c>
      <c r="Q474" s="209">
        <v>1283.6224800000002</v>
      </c>
      <c r="R474" s="209">
        <v>320.90562000000006</v>
      </c>
      <c r="S474" s="209"/>
    </row>
    <row r="475" spans="1:19" ht="12.75" customHeight="1" x14ac:dyDescent="0.3">
      <c r="A475" s="25" t="s">
        <v>1381</v>
      </c>
      <c r="B475" s="212" t="s">
        <v>1387</v>
      </c>
      <c r="C475" s="211" t="s">
        <v>977</v>
      </c>
      <c r="D475" s="26">
        <v>26933.14</v>
      </c>
      <c r="F475" s="26">
        <v>0</v>
      </c>
      <c r="G475" s="26">
        <v>0</v>
      </c>
      <c r="H475" s="26">
        <v>0</v>
      </c>
      <c r="J475" s="26">
        <f t="shared" si="54"/>
        <v>26933.14</v>
      </c>
      <c r="L475" s="26">
        <v>47667</v>
      </c>
      <c r="M475" s="27">
        <v>0.56502695785344159</v>
      </c>
      <c r="P475" t="s">
        <v>976</v>
      </c>
      <c r="Q475" s="209">
        <v>754.12792000000002</v>
      </c>
      <c r="R475" s="209">
        <v>188.53198</v>
      </c>
      <c r="S475" s="209"/>
    </row>
    <row r="476" spans="1:19" ht="12.75" customHeight="1" x14ac:dyDescent="0.3">
      <c r="A476" s="25" t="s">
        <v>1381</v>
      </c>
      <c r="B476" s="210"/>
      <c r="C476" s="211"/>
      <c r="D476" s="26">
        <v>0</v>
      </c>
      <c r="F476" s="26">
        <v>0</v>
      </c>
      <c r="G476" s="26">
        <v>0</v>
      </c>
      <c r="H476" s="26">
        <v>0</v>
      </c>
      <c r="J476" s="26">
        <f t="shared" si="54"/>
        <v>0</v>
      </c>
      <c r="L476" s="26"/>
      <c r="M476" s="27">
        <v>0</v>
      </c>
      <c r="P476"/>
      <c r="Q476" s="209"/>
      <c r="R476" s="209"/>
      <c r="S476" s="209"/>
    </row>
    <row r="477" spans="1:19" ht="12.75" customHeight="1" x14ac:dyDescent="0.3">
      <c r="A477" s="25" t="s">
        <v>1381</v>
      </c>
      <c r="B477" s="210"/>
      <c r="C477" s="211"/>
      <c r="D477" s="26">
        <v>0</v>
      </c>
      <c r="F477" s="26">
        <v>0</v>
      </c>
      <c r="G477" s="26">
        <v>0</v>
      </c>
      <c r="H477" s="26">
        <v>0</v>
      </c>
      <c r="J477" s="26">
        <f t="shared" si="54"/>
        <v>0</v>
      </c>
      <c r="L477" s="26"/>
      <c r="M477" s="27">
        <v>0</v>
      </c>
      <c r="P477"/>
      <c r="Q477" s="209"/>
      <c r="R477" s="209"/>
      <c r="S477" s="209"/>
    </row>
    <row r="478" spans="1:19" ht="12.75" customHeight="1" x14ac:dyDescent="0.3">
      <c r="A478" s="25" t="s">
        <v>1381</v>
      </c>
      <c r="B478" s="210"/>
      <c r="C478" s="211"/>
      <c r="D478" s="26">
        <v>0</v>
      </c>
      <c r="F478" s="26">
        <v>0</v>
      </c>
      <c r="G478" s="26">
        <v>0</v>
      </c>
      <c r="H478" s="26">
        <v>0</v>
      </c>
      <c r="J478" s="26">
        <f t="shared" si="54"/>
        <v>0</v>
      </c>
      <c r="L478" s="26"/>
      <c r="M478" s="27">
        <v>0</v>
      </c>
      <c r="P478"/>
      <c r="Q478" s="209"/>
      <c r="R478" s="209"/>
      <c r="S478" s="209"/>
    </row>
    <row r="479" spans="1:19" ht="12.75" customHeight="1" x14ac:dyDescent="0.3">
      <c r="A479" s="25" t="s">
        <v>1381</v>
      </c>
      <c r="B479" s="210"/>
      <c r="C479" s="211"/>
      <c r="D479" s="26">
        <v>0</v>
      </c>
      <c r="F479" s="26">
        <v>0</v>
      </c>
      <c r="G479" s="26">
        <v>0</v>
      </c>
      <c r="H479" s="26">
        <v>0</v>
      </c>
      <c r="J479" s="26">
        <f t="shared" si="54"/>
        <v>0</v>
      </c>
      <c r="L479" s="26"/>
      <c r="M479" s="27">
        <v>0</v>
      </c>
      <c r="P479"/>
      <c r="Q479" s="209"/>
      <c r="R479" s="209"/>
      <c r="S479" s="209"/>
    </row>
    <row r="480" spans="1:19" ht="12.75" customHeight="1" x14ac:dyDescent="0.3">
      <c r="A480" s="28" t="s">
        <v>8</v>
      </c>
      <c r="B480" s="29"/>
      <c r="C480" s="28"/>
      <c r="D480" s="30">
        <v>298855.12</v>
      </c>
      <c r="E480" s="30">
        <v>0</v>
      </c>
      <c r="F480" s="30">
        <v>0</v>
      </c>
      <c r="G480" s="30">
        <v>0</v>
      </c>
      <c r="H480" s="30">
        <v>0</v>
      </c>
      <c r="I480" s="30">
        <v>0</v>
      </c>
      <c r="J480" s="30">
        <f t="shared" ref="J480" si="55">SUM(J469:J479)</f>
        <v>298855.12</v>
      </c>
      <c r="L480" s="30">
        <v>286002</v>
      </c>
      <c r="P480"/>
      <c r="Q480" s="209"/>
      <c r="R480" s="209"/>
      <c r="S480" s="209"/>
    </row>
    <row r="481" spans="1:19" ht="12.75" customHeight="1" x14ac:dyDescent="0.3">
      <c r="P481"/>
      <c r="Q481" s="209"/>
      <c r="R481" s="209"/>
      <c r="S481" s="209"/>
    </row>
    <row r="482" spans="1:19" ht="12.75" customHeight="1" x14ac:dyDescent="0.3">
      <c r="P482"/>
      <c r="Q482" s="209"/>
      <c r="R482" s="209"/>
      <c r="S482" s="209"/>
    </row>
    <row r="483" spans="1:19" ht="12.75" customHeight="1" x14ac:dyDescent="0.3">
      <c r="P483"/>
      <c r="Q483" s="209"/>
      <c r="R483" s="209"/>
      <c r="S483" s="209"/>
    </row>
    <row r="484" spans="1:19" ht="12.75" customHeight="1" x14ac:dyDescent="0.3">
      <c r="A484" s="40" t="s">
        <v>732</v>
      </c>
      <c r="B484" s="41"/>
      <c r="C484" s="40"/>
      <c r="D484" s="42">
        <v>10786054.060000002</v>
      </c>
      <c r="E484" s="42">
        <v>4899.95</v>
      </c>
      <c r="F484" s="42">
        <v>899.99</v>
      </c>
      <c r="G484" s="42">
        <v>24099.440000000006</v>
      </c>
      <c r="H484" s="42">
        <v>14109.699999999999</v>
      </c>
      <c r="I484" s="42">
        <v>0</v>
      </c>
      <c r="J484" s="42">
        <f t="shared" ref="J484" si="56">J480+J409+J393+J375+J357+J338+J320+J303+J286+J269+J252+J235+J218+J201+J184+J167+J150+J133+J116+J99+J82+J66+J49+J32+J16+J428+J446+J464</f>
        <v>10830063.140000002</v>
      </c>
      <c r="O484" s="42">
        <v>9495000</v>
      </c>
      <c r="P484"/>
      <c r="Q484" s="209"/>
      <c r="R484" s="209"/>
      <c r="S484" s="209"/>
    </row>
    <row r="485" spans="1:19" ht="12.75" customHeight="1" x14ac:dyDescent="0.3">
      <c r="P485"/>
      <c r="Q485" s="209"/>
      <c r="R485" s="209"/>
      <c r="S485" s="209"/>
    </row>
    <row r="486" spans="1:19" ht="12.75" customHeight="1" x14ac:dyDescent="0.25">
      <c r="D486" s="26">
        <v>8734101.1499999985</v>
      </c>
      <c r="E486" s="26">
        <v>899.99</v>
      </c>
      <c r="F486" s="26">
        <v>0</v>
      </c>
      <c r="G486" s="26">
        <v>30074.370000000006</v>
      </c>
      <c r="H486" s="26">
        <v>13640.71</v>
      </c>
      <c r="I486" s="26">
        <v>0</v>
      </c>
      <c r="J486" s="26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5" customWidth="1"/>
    <col min="2" max="2" width="9.109375" style="45"/>
    <col min="3" max="3" width="34.88671875" style="56" bestFit="1" customWidth="1"/>
    <col min="4" max="4" width="12.44140625" style="46" bestFit="1" customWidth="1"/>
    <col min="5" max="5" width="13.5546875" style="46" hidden="1" customWidth="1"/>
    <col min="6" max="6" width="14.33203125" style="46" hidden="1" customWidth="1"/>
    <col min="7" max="7" width="20.5546875" style="46" hidden="1" customWidth="1"/>
    <col min="8" max="10" width="16.33203125" style="46" hidden="1" customWidth="1"/>
    <col min="11" max="12" width="13.5546875" style="46" bestFit="1" customWidth="1"/>
    <col min="13" max="13" width="17.44140625" style="45" bestFit="1" customWidth="1"/>
    <col min="14" max="14" width="9.109375" style="45"/>
    <col min="15" max="15" width="14.33203125" style="214" customWidth="1"/>
    <col min="16" max="16" width="12.88671875" style="214" customWidth="1"/>
    <col min="17" max="17" width="18.33203125" style="214" customWidth="1"/>
    <col min="18" max="16384" width="9.109375" style="45"/>
  </cols>
  <sheetData>
    <row r="1" spans="2:417" x14ac:dyDescent="0.3">
      <c r="O1" s="214">
        <v>7992.46</v>
      </c>
    </row>
    <row r="3" spans="2:417" x14ac:dyDescent="0.3">
      <c r="B3" s="43" t="s">
        <v>733</v>
      </c>
      <c r="C3" s="43" t="s">
        <v>0</v>
      </c>
      <c r="D3" s="44" t="s">
        <v>734</v>
      </c>
      <c r="E3" s="44" t="s">
        <v>735</v>
      </c>
      <c r="F3" s="44" t="s">
        <v>662</v>
      </c>
      <c r="G3" s="44" t="s">
        <v>736</v>
      </c>
      <c r="H3" s="44" t="s">
        <v>664</v>
      </c>
      <c r="I3" s="44" t="s">
        <v>665</v>
      </c>
      <c r="J3" s="44" t="s">
        <v>676</v>
      </c>
      <c r="K3" s="44" t="s">
        <v>666</v>
      </c>
      <c r="L3" s="44" t="s">
        <v>737</v>
      </c>
      <c r="M3" s="44" t="s">
        <v>738</v>
      </c>
      <c r="O3" s="215" t="s">
        <v>670</v>
      </c>
      <c r="P3" s="215" t="s">
        <v>16</v>
      </c>
      <c r="Q3" s="215" t="s">
        <v>671</v>
      </c>
    </row>
    <row r="4" spans="2:417" x14ac:dyDescent="0.3">
      <c r="B4" s="45">
        <v>62</v>
      </c>
      <c r="C4" s="45" t="s">
        <v>739</v>
      </c>
      <c r="D4" s="46" t="s">
        <v>740</v>
      </c>
      <c r="E4" s="47">
        <v>888051.06</v>
      </c>
      <c r="F4" s="47"/>
      <c r="G4" s="47">
        <v>0</v>
      </c>
      <c r="H4" s="47">
        <v>0</v>
      </c>
      <c r="I4" s="47">
        <v>0</v>
      </c>
      <c r="J4" s="47">
        <v>0</v>
      </c>
      <c r="K4" s="48">
        <f>SUM(E4:J4)</f>
        <v>888051.06</v>
      </c>
      <c r="L4" s="47">
        <v>735000</v>
      </c>
      <c r="M4" s="213">
        <f>IFERROR(K4/L4,0)</f>
        <v>1.2082327346938777</v>
      </c>
      <c r="N4"/>
      <c r="O4" s="209" t="s">
        <v>1238</v>
      </c>
      <c r="P4" s="209">
        <v>1998.115</v>
      </c>
      <c r="Q4" s="209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35" customFormat="1" x14ac:dyDescent="0.3">
      <c r="B5" s="235">
        <v>93</v>
      </c>
      <c r="C5" s="235" t="s">
        <v>741</v>
      </c>
      <c r="D5" s="236" t="s">
        <v>740</v>
      </c>
      <c r="E5" s="47">
        <v>544419.85</v>
      </c>
      <c r="F5" s="47"/>
      <c r="G5" s="47">
        <v>0</v>
      </c>
      <c r="H5" s="47">
        <v>199.99</v>
      </c>
      <c r="I5" s="47">
        <v>0</v>
      </c>
      <c r="J5" s="47">
        <v>0</v>
      </c>
      <c r="K5" s="237">
        <f t="shared" ref="K5:K31" si="0">SUM(E5:J5)</f>
        <v>544619.84</v>
      </c>
      <c r="L5" s="238">
        <v>480000</v>
      </c>
      <c r="M5" s="239">
        <f t="shared" ref="M5:M32" si="1">IFERROR(K5/L5,0)</f>
        <v>1.1346246666666666</v>
      </c>
      <c r="N5" s="229"/>
      <c r="O5" s="230" t="s">
        <v>1024</v>
      </c>
      <c r="P5" s="230">
        <v>1361.55</v>
      </c>
      <c r="Q5" s="230">
        <v>2000</v>
      </c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29"/>
      <c r="AS5" s="229"/>
      <c r="AT5" s="229"/>
      <c r="AU5" s="229"/>
      <c r="AV5" s="229"/>
      <c r="AW5" s="229"/>
      <c r="AX5" s="229"/>
      <c r="AY5" s="229"/>
      <c r="AZ5" s="229"/>
      <c r="BA5" s="229"/>
      <c r="BB5" s="229"/>
      <c r="BC5" s="229"/>
      <c r="BD5" s="229"/>
      <c r="BE5" s="229"/>
      <c r="BF5" s="229"/>
      <c r="BG5" s="229"/>
      <c r="BH5" s="229"/>
      <c r="BI5" s="229"/>
      <c r="BJ5" s="229"/>
      <c r="BK5" s="229"/>
      <c r="BL5" s="229"/>
      <c r="BM5" s="229"/>
      <c r="BN5" s="229"/>
      <c r="BO5" s="229"/>
      <c r="BP5" s="229"/>
      <c r="BQ5" s="229"/>
      <c r="BR5" s="229"/>
      <c r="BS5" s="229"/>
      <c r="BT5" s="229"/>
      <c r="BU5" s="229"/>
      <c r="BV5" s="229"/>
      <c r="BW5" s="229"/>
      <c r="BX5" s="229"/>
      <c r="BY5" s="229"/>
      <c r="BZ5" s="229"/>
      <c r="CA5" s="229"/>
      <c r="CB5" s="229"/>
      <c r="CC5" s="229"/>
      <c r="CD5" s="229"/>
      <c r="CE5" s="229"/>
      <c r="CF5" s="229"/>
      <c r="CG5" s="229"/>
      <c r="CH5" s="229"/>
      <c r="CI5" s="229"/>
      <c r="CJ5" s="229"/>
      <c r="CK5" s="229"/>
      <c r="CL5" s="229"/>
      <c r="CM5" s="229"/>
      <c r="CN5" s="229"/>
      <c r="CO5" s="229"/>
      <c r="CP5" s="229"/>
      <c r="CQ5" s="229"/>
      <c r="CR5" s="229"/>
      <c r="CS5" s="229"/>
      <c r="CT5" s="229"/>
      <c r="CU5" s="229"/>
      <c r="CV5" s="229"/>
      <c r="CW5" s="229"/>
      <c r="CX5" s="229"/>
      <c r="CY5" s="229"/>
      <c r="CZ5" s="229"/>
      <c r="DA5" s="229"/>
      <c r="DB5" s="229"/>
      <c r="DC5" s="229"/>
      <c r="DD5" s="229"/>
      <c r="DE5" s="229"/>
      <c r="DF5" s="229"/>
      <c r="DG5" s="229"/>
      <c r="DH5" s="229"/>
      <c r="DI5" s="229"/>
      <c r="DJ5" s="229"/>
      <c r="DK5" s="229"/>
      <c r="DL5" s="229"/>
      <c r="DM5" s="229"/>
      <c r="DN5" s="229"/>
      <c r="DO5" s="229"/>
      <c r="DP5" s="229"/>
      <c r="DQ5" s="229"/>
      <c r="DR5" s="229"/>
      <c r="DS5" s="229"/>
      <c r="DT5" s="229"/>
      <c r="DU5" s="229"/>
      <c r="DV5" s="229"/>
      <c r="DW5" s="229"/>
      <c r="DX5" s="229"/>
      <c r="DY5" s="229"/>
      <c r="DZ5" s="229"/>
      <c r="EA5" s="229"/>
      <c r="EB5" s="229"/>
      <c r="EC5" s="229"/>
      <c r="ED5" s="229"/>
      <c r="EE5" s="229"/>
      <c r="EF5" s="229"/>
      <c r="EG5" s="229"/>
      <c r="EH5" s="229"/>
      <c r="EI5" s="229"/>
      <c r="EJ5" s="229"/>
      <c r="EK5" s="229"/>
      <c r="EL5" s="229"/>
      <c r="EM5" s="229"/>
      <c r="EN5" s="229"/>
      <c r="EO5" s="229"/>
      <c r="EP5" s="229"/>
      <c r="EQ5" s="229"/>
      <c r="ER5" s="229"/>
      <c r="ES5" s="229"/>
      <c r="ET5" s="229"/>
      <c r="EU5" s="229"/>
      <c r="EV5" s="229"/>
      <c r="EW5" s="229"/>
      <c r="EX5" s="229"/>
      <c r="EY5" s="229"/>
      <c r="EZ5" s="229"/>
      <c r="FA5" s="229"/>
      <c r="FB5" s="229"/>
      <c r="FC5" s="229"/>
      <c r="FD5" s="229"/>
      <c r="FE5" s="229"/>
      <c r="FF5" s="229"/>
      <c r="FG5" s="229"/>
      <c r="FH5" s="229"/>
      <c r="FI5" s="229"/>
      <c r="FJ5" s="229"/>
      <c r="FK5" s="229"/>
      <c r="FL5" s="229"/>
      <c r="FM5" s="229"/>
      <c r="FN5" s="229"/>
      <c r="FO5" s="229"/>
      <c r="FP5" s="229"/>
      <c r="FQ5" s="229"/>
      <c r="FR5" s="229"/>
      <c r="FS5" s="229"/>
      <c r="FT5" s="229"/>
      <c r="FU5" s="229"/>
      <c r="FV5" s="229"/>
      <c r="FW5" s="229"/>
      <c r="FX5" s="229"/>
      <c r="FY5" s="229"/>
      <c r="FZ5" s="229"/>
      <c r="GA5" s="229"/>
      <c r="GB5" s="229"/>
      <c r="GC5" s="229"/>
      <c r="GD5" s="229"/>
      <c r="GE5" s="229"/>
      <c r="GF5" s="229"/>
      <c r="GG5" s="229"/>
      <c r="GH5" s="229"/>
      <c r="GI5" s="229"/>
      <c r="GJ5" s="229"/>
      <c r="GK5" s="229"/>
      <c r="GL5" s="229"/>
      <c r="GM5" s="229"/>
      <c r="GN5" s="229"/>
      <c r="GO5" s="229"/>
      <c r="GP5" s="229"/>
      <c r="GQ5" s="229"/>
      <c r="GR5" s="229"/>
      <c r="GS5" s="229"/>
      <c r="GT5" s="229"/>
      <c r="GU5" s="229"/>
      <c r="GV5" s="229"/>
      <c r="GW5" s="229"/>
      <c r="GX5" s="229"/>
      <c r="GY5" s="229"/>
      <c r="GZ5" s="229"/>
      <c r="HA5" s="229"/>
      <c r="HB5" s="229"/>
      <c r="HC5" s="229"/>
      <c r="HD5" s="229"/>
      <c r="HE5" s="229"/>
      <c r="HF5" s="229"/>
      <c r="HG5" s="229"/>
      <c r="HH5" s="229"/>
      <c r="HI5" s="229"/>
      <c r="HJ5" s="229"/>
      <c r="HK5" s="229"/>
      <c r="HL5" s="229"/>
      <c r="HM5" s="229"/>
      <c r="HN5" s="229"/>
      <c r="HO5" s="229"/>
      <c r="HP5" s="229"/>
      <c r="HQ5" s="229"/>
      <c r="HR5" s="229"/>
      <c r="HS5" s="229"/>
      <c r="HT5" s="229"/>
      <c r="HU5" s="229"/>
      <c r="HV5" s="229"/>
      <c r="HW5" s="229"/>
      <c r="HX5" s="229"/>
      <c r="HY5" s="229"/>
      <c r="HZ5" s="229"/>
      <c r="IA5" s="229"/>
      <c r="IB5" s="229"/>
      <c r="IC5" s="229"/>
      <c r="ID5" s="229"/>
      <c r="IE5" s="229"/>
      <c r="IF5" s="229"/>
      <c r="IG5" s="229"/>
      <c r="IH5" s="229"/>
      <c r="II5" s="229"/>
      <c r="IJ5" s="229"/>
      <c r="IK5" s="229"/>
      <c r="IL5" s="229"/>
      <c r="IM5" s="229"/>
      <c r="IN5" s="229"/>
      <c r="IO5" s="229"/>
      <c r="IP5" s="229"/>
      <c r="IQ5" s="229"/>
      <c r="IR5" s="229"/>
      <c r="IS5" s="229"/>
      <c r="IT5" s="229"/>
      <c r="IU5" s="229"/>
      <c r="IV5" s="229"/>
      <c r="IW5" s="229"/>
      <c r="IX5" s="229"/>
      <c r="IY5" s="229"/>
      <c r="IZ5" s="229"/>
      <c r="JA5" s="229"/>
      <c r="JB5" s="229"/>
      <c r="JC5" s="229"/>
      <c r="JD5" s="229"/>
      <c r="JE5" s="229"/>
      <c r="JF5" s="229"/>
      <c r="JG5" s="229"/>
      <c r="JH5" s="229"/>
      <c r="JI5" s="229"/>
      <c r="JJ5" s="229"/>
      <c r="JK5" s="229"/>
      <c r="JL5" s="229"/>
      <c r="JM5" s="229"/>
      <c r="JN5" s="229"/>
      <c r="JO5" s="229"/>
      <c r="JP5" s="229"/>
      <c r="JQ5" s="229"/>
      <c r="JR5" s="229"/>
      <c r="JS5" s="229"/>
      <c r="JT5" s="229"/>
      <c r="JU5" s="229"/>
      <c r="JV5" s="229"/>
      <c r="JW5" s="229"/>
      <c r="JX5" s="229"/>
      <c r="JY5" s="229"/>
      <c r="JZ5" s="229"/>
      <c r="KA5" s="229"/>
      <c r="KB5" s="229"/>
      <c r="KC5" s="229"/>
      <c r="KD5" s="229"/>
      <c r="KE5" s="229"/>
      <c r="KF5" s="229"/>
      <c r="KG5" s="229"/>
      <c r="KH5" s="229"/>
      <c r="KI5" s="229"/>
      <c r="KJ5" s="229"/>
      <c r="KK5" s="229"/>
      <c r="KL5" s="229"/>
      <c r="KM5" s="229"/>
      <c r="KN5" s="229"/>
      <c r="KO5" s="229"/>
      <c r="KP5" s="229"/>
      <c r="KQ5" s="229"/>
      <c r="KR5" s="229"/>
      <c r="KS5" s="229"/>
      <c r="KT5" s="229"/>
      <c r="KU5" s="229"/>
      <c r="KV5" s="229"/>
      <c r="KW5" s="229"/>
      <c r="KX5" s="229"/>
      <c r="KY5" s="229"/>
      <c r="KZ5" s="229"/>
      <c r="LA5" s="229"/>
      <c r="LB5" s="229"/>
      <c r="LC5" s="229"/>
      <c r="LD5" s="229"/>
      <c r="LE5" s="229"/>
      <c r="LF5" s="229"/>
      <c r="LG5" s="229"/>
      <c r="LH5" s="229"/>
      <c r="LI5" s="229"/>
      <c r="LJ5" s="229"/>
      <c r="LK5" s="229"/>
      <c r="LL5" s="229"/>
      <c r="LM5" s="229"/>
      <c r="LN5" s="229"/>
      <c r="LO5" s="229"/>
      <c r="LP5" s="229"/>
      <c r="LQ5" s="229"/>
      <c r="LR5" s="229"/>
      <c r="LS5" s="229"/>
      <c r="LT5" s="229"/>
      <c r="LU5" s="229"/>
      <c r="LV5" s="229"/>
      <c r="LW5" s="229"/>
      <c r="LX5" s="229"/>
      <c r="LY5" s="229"/>
      <c r="LZ5" s="229"/>
      <c r="MA5" s="229"/>
      <c r="MB5" s="229"/>
      <c r="MC5" s="229"/>
      <c r="MD5" s="229"/>
      <c r="ME5" s="229"/>
      <c r="MF5" s="229"/>
      <c r="MG5" s="229"/>
      <c r="MH5" s="229"/>
      <c r="MI5" s="229"/>
      <c r="MJ5" s="229"/>
      <c r="MK5" s="229"/>
      <c r="ML5" s="229"/>
      <c r="MM5" s="229"/>
      <c r="MN5" s="229"/>
      <c r="MO5" s="229"/>
      <c r="MP5" s="229"/>
      <c r="MQ5" s="229"/>
      <c r="MR5" s="229"/>
      <c r="MS5" s="229"/>
      <c r="MT5" s="229"/>
      <c r="MU5" s="229"/>
      <c r="MV5" s="229"/>
      <c r="MW5" s="229"/>
      <c r="MX5" s="229"/>
      <c r="MY5" s="229"/>
      <c r="MZ5" s="229"/>
      <c r="NA5" s="229"/>
      <c r="NB5" s="229"/>
      <c r="NC5" s="229"/>
      <c r="ND5" s="229"/>
      <c r="NE5" s="229"/>
      <c r="NF5" s="229"/>
      <c r="NG5" s="229"/>
      <c r="NH5" s="229"/>
      <c r="NI5" s="229"/>
      <c r="NJ5" s="229"/>
      <c r="NK5" s="229"/>
      <c r="NL5" s="229"/>
      <c r="NM5" s="229"/>
      <c r="NN5" s="229"/>
      <c r="NO5" s="229"/>
      <c r="NP5" s="229"/>
      <c r="NQ5" s="229"/>
      <c r="NR5" s="229"/>
      <c r="NS5" s="229"/>
      <c r="NT5" s="229"/>
      <c r="NU5" s="229"/>
      <c r="NV5" s="229"/>
      <c r="NW5" s="229"/>
      <c r="NX5" s="229"/>
      <c r="NY5" s="229"/>
      <c r="NZ5" s="229"/>
      <c r="OA5" s="229"/>
      <c r="OB5" s="229"/>
      <c r="OC5" s="229"/>
      <c r="OD5" s="229"/>
      <c r="OE5" s="229"/>
      <c r="OF5" s="229"/>
      <c r="OG5" s="229"/>
      <c r="OH5" s="229"/>
      <c r="OI5" s="229"/>
      <c r="OJ5" s="229"/>
      <c r="OK5" s="229"/>
      <c r="OL5" s="229"/>
      <c r="OM5" s="229"/>
      <c r="ON5" s="229"/>
      <c r="OO5" s="229"/>
      <c r="OP5" s="229"/>
      <c r="OQ5" s="229"/>
      <c r="OR5" s="229"/>
      <c r="OS5" s="229"/>
      <c r="OT5" s="229"/>
      <c r="OU5" s="229"/>
      <c r="OV5" s="229"/>
      <c r="OW5" s="229"/>
      <c r="OX5" s="229"/>
      <c r="OY5" s="229"/>
      <c r="OZ5" s="229"/>
      <c r="PA5" s="229"/>
    </row>
    <row r="6" spans="2:417" x14ac:dyDescent="0.3">
      <c r="B6" s="45">
        <v>94</v>
      </c>
      <c r="C6" s="45" t="s">
        <v>742</v>
      </c>
      <c r="D6" s="46" t="s">
        <v>740</v>
      </c>
      <c r="E6" s="47">
        <v>170747.79</v>
      </c>
      <c r="F6" s="47"/>
      <c r="G6" s="47">
        <v>0</v>
      </c>
      <c r="H6" s="47">
        <v>1499.97</v>
      </c>
      <c r="I6" s="47">
        <v>399.99</v>
      </c>
      <c r="J6" s="47">
        <v>0</v>
      </c>
      <c r="K6" s="48">
        <f t="shared" si="0"/>
        <v>172647.75</v>
      </c>
      <c r="L6" s="47">
        <v>165000</v>
      </c>
      <c r="M6" s="213">
        <f t="shared" si="1"/>
        <v>1.0463499999999999</v>
      </c>
      <c r="N6"/>
      <c r="O6" s="209" t="s">
        <v>1025</v>
      </c>
      <c r="P6" s="209">
        <v>733.75250000000005</v>
      </c>
      <c r="Q6" s="209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5">
        <v>95</v>
      </c>
      <c r="C7" s="45" t="s">
        <v>743</v>
      </c>
      <c r="D7" s="46" t="s">
        <v>744</v>
      </c>
      <c r="E7" s="47">
        <v>281152.69</v>
      </c>
      <c r="F7" s="47"/>
      <c r="G7" s="47">
        <v>0</v>
      </c>
      <c r="H7" s="47">
        <v>449.99</v>
      </c>
      <c r="I7" s="47">
        <v>1629.97</v>
      </c>
      <c r="J7" s="47">
        <v>0</v>
      </c>
      <c r="K7" s="48">
        <f t="shared" si="0"/>
        <v>283232.64999999997</v>
      </c>
      <c r="L7" s="47">
        <v>250000</v>
      </c>
      <c r="M7" s="213">
        <f t="shared" si="1"/>
        <v>1.1329305999999999</v>
      </c>
      <c r="N7"/>
      <c r="O7" s="209" t="s">
        <v>1037</v>
      </c>
      <c r="P7" s="209">
        <v>920.505</v>
      </c>
      <c r="Q7" s="209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5">
        <v>103</v>
      </c>
      <c r="C8" s="45" t="s">
        <v>745</v>
      </c>
      <c r="D8" s="46" t="s">
        <v>744</v>
      </c>
      <c r="E8" s="47">
        <v>394009.12</v>
      </c>
      <c r="F8" s="47"/>
      <c r="G8" s="47">
        <v>0</v>
      </c>
      <c r="H8" s="47">
        <v>3829.92</v>
      </c>
      <c r="I8" s="47">
        <v>1929.95</v>
      </c>
      <c r="J8" s="47">
        <v>0</v>
      </c>
      <c r="K8" s="48">
        <f t="shared" si="0"/>
        <v>399768.99</v>
      </c>
      <c r="L8" s="47">
        <v>350000</v>
      </c>
      <c r="M8" s="213">
        <f t="shared" si="1"/>
        <v>1.1421971142857144</v>
      </c>
      <c r="N8"/>
      <c r="O8" s="209" t="s">
        <v>1047</v>
      </c>
      <c r="P8" s="209">
        <v>1099.365</v>
      </c>
      <c r="Q8" s="209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5">
        <v>104</v>
      </c>
      <c r="C9" s="45" t="s">
        <v>746</v>
      </c>
      <c r="D9" s="46" t="s">
        <v>744</v>
      </c>
      <c r="E9" s="47">
        <v>277642.33</v>
      </c>
      <c r="F9" s="47"/>
      <c r="G9" s="47">
        <v>0</v>
      </c>
      <c r="H9" s="47">
        <v>0</v>
      </c>
      <c r="I9" s="47">
        <v>0</v>
      </c>
      <c r="J9" s="47">
        <v>0</v>
      </c>
      <c r="K9" s="48">
        <f t="shared" si="0"/>
        <v>277642.33</v>
      </c>
      <c r="L9" s="47">
        <v>295000</v>
      </c>
      <c r="M9" s="213">
        <f t="shared" si="1"/>
        <v>0.94116044067796611</v>
      </c>
      <c r="N9"/>
      <c r="O9" s="209" t="s">
        <v>1058</v>
      </c>
      <c r="P9" s="209">
        <v>902.33749999999998</v>
      </c>
      <c r="Q9" s="20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5">
        <v>105</v>
      </c>
      <c r="C10" s="45" t="s">
        <v>747</v>
      </c>
      <c r="D10" s="46" t="s">
        <v>744</v>
      </c>
      <c r="E10" s="47">
        <v>331189</v>
      </c>
      <c r="F10" s="47"/>
      <c r="G10" s="47">
        <v>0</v>
      </c>
      <c r="H10" s="47">
        <v>609.98</v>
      </c>
      <c r="I10" s="47">
        <v>0</v>
      </c>
      <c r="J10" s="47">
        <v>0</v>
      </c>
      <c r="K10" s="48">
        <f t="shared" si="0"/>
        <v>331798.98</v>
      </c>
      <c r="L10" s="47">
        <v>370000</v>
      </c>
      <c r="M10" s="213">
        <f t="shared" si="1"/>
        <v>0.89675399999999994</v>
      </c>
      <c r="N10"/>
      <c r="O10" s="209" t="s">
        <v>1071</v>
      </c>
      <c r="P10" s="209">
        <v>995.39750000000004</v>
      </c>
      <c r="Q10" s="209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5">
        <v>116</v>
      </c>
      <c r="C11" s="45" t="s">
        <v>748</v>
      </c>
      <c r="D11" s="46" t="s">
        <v>740</v>
      </c>
      <c r="E11" s="47">
        <v>430629.18</v>
      </c>
      <c r="F11" s="47"/>
      <c r="G11" s="47">
        <v>0</v>
      </c>
      <c r="H11" s="47">
        <v>7749.819999999997</v>
      </c>
      <c r="I11" s="47">
        <v>1799.98</v>
      </c>
      <c r="J11" s="47">
        <v>0</v>
      </c>
      <c r="K11" s="48">
        <f t="shared" si="0"/>
        <v>440178.98</v>
      </c>
      <c r="L11" s="47">
        <v>400000</v>
      </c>
      <c r="M11" s="213">
        <f t="shared" si="1"/>
        <v>1.1004474499999999</v>
      </c>
      <c r="N11"/>
      <c r="O11" s="209" t="s">
        <v>1078</v>
      </c>
      <c r="P11" s="209">
        <v>1430.5825</v>
      </c>
      <c r="Q11" s="209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5">
        <v>123</v>
      </c>
      <c r="C12" s="45" t="s">
        <v>749</v>
      </c>
      <c r="D12" s="46" t="s">
        <v>740</v>
      </c>
      <c r="E12" s="47">
        <v>272157.63</v>
      </c>
      <c r="F12" s="47"/>
      <c r="G12" s="47">
        <v>0</v>
      </c>
      <c r="H12" s="47">
        <v>399.98</v>
      </c>
      <c r="I12" s="47">
        <v>0</v>
      </c>
      <c r="J12" s="47">
        <v>0</v>
      </c>
      <c r="K12" s="48">
        <f t="shared" si="0"/>
        <v>272557.61</v>
      </c>
      <c r="L12" s="47">
        <v>245000</v>
      </c>
      <c r="M12" s="213">
        <f t="shared" si="1"/>
        <v>1.1124800408163265</v>
      </c>
      <c r="N12"/>
      <c r="O12" s="209" t="s">
        <v>1097</v>
      </c>
      <c r="P12" s="209">
        <v>1158.3699999999999</v>
      </c>
      <c r="Q12" s="209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5">
        <v>124</v>
      </c>
      <c r="C13" s="45" t="s">
        <v>750</v>
      </c>
      <c r="D13" s="46" t="s">
        <v>740</v>
      </c>
      <c r="E13" s="47">
        <v>238974.86</v>
      </c>
      <c r="F13" s="47"/>
      <c r="G13" s="47">
        <v>0</v>
      </c>
      <c r="H13" s="47">
        <v>0</v>
      </c>
      <c r="I13" s="47">
        <v>0</v>
      </c>
      <c r="J13" s="47">
        <v>0</v>
      </c>
      <c r="K13" s="48">
        <f t="shared" si="0"/>
        <v>238974.86</v>
      </c>
      <c r="L13" s="47">
        <v>220000</v>
      </c>
      <c r="M13" s="213">
        <f t="shared" si="1"/>
        <v>1.0862493636363635</v>
      </c>
      <c r="N13"/>
      <c r="O13" s="209" t="s">
        <v>1388</v>
      </c>
      <c r="P13" s="209">
        <v>955.9</v>
      </c>
      <c r="Q13" s="209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5">
        <v>125</v>
      </c>
      <c r="C14" s="45" t="s">
        <v>751</v>
      </c>
      <c r="D14" s="46" t="s">
        <v>740</v>
      </c>
      <c r="E14" s="47">
        <v>271876.78999999998</v>
      </c>
      <c r="F14" s="47"/>
      <c r="G14" s="47">
        <v>0</v>
      </c>
      <c r="H14" s="47">
        <v>0</v>
      </c>
      <c r="I14" s="47">
        <v>0</v>
      </c>
      <c r="J14" s="47">
        <v>0</v>
      </c>
      <c r="K14" s="48">
        <f t="shared" si="0"/>
        <v>271876.78999999998</v>
      </c>
      <c r="L14" s="47">
        <v>215000</v>
      </c>
      <c r="M14" s="213">
        <f t="shared" si="1"/>
        <v>1.2645432093023254</v>
      </c>
      <c r="N14"/>
      <c r="O14" s="209" t="s">
        <v>1112</v>
      </c>
      <c r="P14" s="209">
        <v>883.6</v>
      </c>
      <c r="Q14" s="209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5">
        <v>126</v>
      </c>
      <c r="C15" s="45" t="s">
        <v>752</v>
      </c>
      <c r="D15" s="46" t="s">
        <v>744</v>
      </c>
      <c r="E15" s="47">
        <v>431966.2</v>
      </c>
      <c r="F15" s="47"/>
      <c r="G15" s="47">
        <v>0</v>
      </c>
      <c r="H15" s="47">
        <v>429.99</v>
      </c>
      <c r="I15" s="47">
        <v>699.98</v>
      </c>
      <c r="J15" s="47">
        <v>0</v>
      </c>
      <c r="K15" s="48">
        <f t="shared" si="0"/>
        <v>433096.17</v>
      </c>
      <c r="L15" s="47">
        <v>385000</v>
      </c>
      <c r="M15" s="213">
        <f t="shared" si="1"/>
        <v>1.1249251168831169</v>
      </c>
      <c r="N15"/>
      <c r="O15" s="209" t="s">
        <v>1124</v>
      </c>
      <c r="P15" s="209">
        <v>1299.2874999999999</v>
      </c>
      <c r="Q15" s="209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5">
        <v>127</v>
      </c>
      <c r="C16" s="45" t="s">
        <v>753</v>
      </c>
      <c r="D16" s="46" t="s">
        <v>744</v>
      </c>
      <c r="E16" s="47">
        <v>160432.44</v>
      </c>
      <c r="F16" s="47"/>
      <c r="G16" s="47">
        <v>0</v>
      </c>
      <c r="H16" s="47">
        <v>0</v>
      </c>
      <c r="I16" s="47">
        <v>299.99</v>
      </c>
      <c r="J16" s="47">
        <v>0</v>
      </c>
      <c r="K16" s="48">
        <f t="shared" si="0"/>
        <v>160732.43</v>
      </c>
      <c r="L16" s="47">
        <v>160000</v>
      </c>
      <c r="M16" s="213">
        <f t="shared" si="1"/>
        <v>1.0045776874999999</v>
      </c>
      <c r="N16"/>
      <c r="O16" s="209" t="s">
        <v>1127</v>
      </c>
      <c r="P16" s="209">
        <v>642.92999999999995</v>
      </c>
      <c r="Q16" s="209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5">
        <v>139</v>
      </c>
      <c r="C17" s="45" t="s">
        <v>754</v>
      </c>
      <c r="D17" s="46" t="s">
        <v>740</v>
      </c>
      <c r="E17" s="47">
        <v>578590.97</v>
      </c>
      <c r="F17" s="47"/>
      <c r="G17" s="47">
        <v>0</v>
      </c>
      <c r="H17" s="47">
        <v>1899.97</v>
      </c>
      <c r="I17" s="47">
        <v>0</v>
      </c>
      <c r="J17" s="47">
        <v>0</v>
      </c>
      <c r="K17" s="48">
        <f t="shared" si="0"/>
        <v>580490.93999999994</v>
      </c>
      <c r="L17" s="47">
        <v>450000</v>
      </c>
      <c r="M17" s="213">
        <f t="shared" si="1"/>
        <v>1.2899798666666666</v>
      </c>
      <c r="N17"/>
      <c r="O17" s="209" t="s">
        <v>1139</v>
      </c>
      <c r="P17" s="209">
        <v>1306.105</v>
      </c>
      <c r="Q17" s="209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5">
        <v>144</v>
      </c>
      <c r="C18" s="45" t="s">
        <v>755</v>
      </c>
      <c r="D18" s="46" t="s">
        <v>740</v>
      </c>
      <c r="E18" s="47">
        <v>261363.12</v>
      </c>
      <c r="F18" s="47"/>
      <c r="G18" s="47">
        <v>0</v>
      </c>
      <c r="H18" s="47">
        <v>329.99</v>
      </c>
      <c r="I18" s="47">
        <v>0</v>
      </c>
      <c r="J18" s="47">
        <v>0</v>
      </c>
      <c r="K18" s="48">
        <f t="shared" si="0"/>
        <v>261693.11</v>
      </c>
      <c r="L18" s="47">
        <v>220000</v>
      </c>
      <c r="M18" s="213">
        <f t="shared" si="1"/>
        <v>1.1895141363636363</v>
      </c>
      <c r="N18"/>
      <c r="O18" s="209" t="s">
        <v>1145</v>
      </c>
      <c r="P18" s="209">
        <v>915.92499999999995</v>
      </c>
      <c r="Q18" s="209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5">
        <v>154</v>
      </c>
      <c r="C19" s="45" t="s">
        <v>756</v>
      </c>
      <c r="D19" s="46" t="s">
        <v>744</v>
      </c>
      <c r="E19" s="47">
        <v>307036.65000000002</v>
      </c>
      <c r="F19" s="47"/>
      <c r="G19" s="47">
        <v>0</v>
      </c>
      <c r="H19" s="47">
        <v>0</v>
      </c>
      <c r="I19" s="47">
        <v>0</v>
      </c>
      <c r="J19" s="47">
        <v>0</v>
      </c>
      <c r="K19" s="48">
        <f t="shared" si="0"/>
        <v>307036.65000000002</v>
      </c>
      <c r="L19" s="47">
        <v>235000</v>
      </c>
      <c r="M19" s="213">
        <f t="shared" si="1"/>
        <v>1.3065389361702129</v>
      </c>
      <c r="N19"/>
      <c r="O19" s="209" t="s">
        <v>1389</v>
      </c>
      <c r="P19" s="209">
        <v>1074.6275000000001</v>
      </c>
      <c r="Q19" s="209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5">
        <v>156</v>
      </c>
      <c r="C20" s="45" t="s">
        <v>757</v>
      </c>
      <c r="D20" s="46" t="s">
        <v>740</v>
      </c>
      <c r="E20" s="47">
        <v>424284.74</v>
      </c>
      <c r="F20" s="47">
        <v>4899.95</v>
      </c>
      <c r="G20" s="47">
        <v>899.99</v>
      </c>
      <c r="H20" s="47">
        <v>199.99</v>
      </c>
      <c r="I20" s="47">
        <v>4489.8899999999994</v>
      </c>
      <c r="J20" s="47">
        <v>0</v>
      </c>
      <c r="K20" s="48">
        <f t="shared" si="0"/>
        <v>434774.56</v>
      </c>
      <c r="L20" s="47">
        <v>380000</v>
      </c>
      <c r="M20" s="213">
        <f t="shared" si="1"/>
        <v>1.1441435789473684</v>
      </c>
      <c r="N20"/>
      <c r="O20" s="209" t="s">
        <v>1158</v>
      </c>
      <c r="P20" s="209">
        <v>1304.3225</v>
      </c>
      <c r="Q20" s="209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5">
        <v>157</v>
      </c>
      <c r="C21" s="45" t="s">
        <v>758</v>
      </c>
      <c r="D21" s="46" t="s">
        <v>744</v>
      </c>
      <c r="E21" s="47">
        <v>344297.6</v>
      </c>
      <c r="F21" s="47"/>
      <c r="G21" s="47">
        <v>0</v>
      </c>
      <c r="H21" s="47">
        <v>1489.96</v>
      </c>
      <c r="I21" s="47">
        <v>799.98</v>
      </c>
      <c r="J21" s="47">
        <v>0</v>
      </c>
      <c r="K21" s="48">
        <f t="shared" si="0"/>
        <v>346587.54</v>
      </c>
      <c r="L21" s="47">
        <v>250000</v>
      </c>
      <c r="M21" s="213">
        <f t="shared" si="1"/>
        <v>1.3863501599999999</v>
      </c>
      <c r="N21"/>
      <c r="O21" s="209" t="s">
        <v>1166</v>
      </c>
      <c r="P21" s="209">
        <v>1386.35</v>
      </c>
      <c r="Q21" s="209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5">
        <v>161</v>
      </c>
      <c r="C22" s="45" t="s">
        <v>759</v>
      </c>
      <c r="D22" s="46" t="s">
        <v>744</v>
      </c>
      <c r="E22" s="47">
        <v>273342.84000000003</v>
      </c>
      <c r="F22" s="47"/>
      <c r="G22" s="47">
        <v>0</v>
      </c>
      <c r="H22" s="47">
        <v>1079.97</v>
      </c>
      <c r="I22" s="47">
        <v>0</v>
      </c>
      <c r="J22" s="47">
        <v>0</v>
      </c>
      <c r="K22" s="48">
        <f t="shared" si="0"/>
        <v>274422.81</v>
      </c>
      <c r="L22" s="47">
        <v>210000</v>
      </c>
      <c r="M22" s="213">
        <f t="shared" si="1"/>
        <v>1.3067752857142858</v>
      </c>
      <c r="N22"/>
      <c r="O22" s="209" t="s">
        <v>1171</v>
      </c>
      <c r="P22" s="209">
        <v>1029.085</v>
      </c>
      <c r="Q22" s="209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5">
        <v>166</v>
      </c>
      <c r="C23" s="45" t="s">
        <v>760</v>
      </c>
      <c r="D23" s="46" t="s">
        <v>744</v>
      </c>
      <c r="E23" s="47">
        <v>307826.75</v>
      </c>
      <c r="F23" s="47"/>
      <c r="G23" s="47">
        <v>0</v>
      </c>
      <c r="H23" s="47">
        <v>399.99</v>
      </c>
      <c r="I23" s="47">
        <v>0</v>
      </c>
      <c r="J23" s="47">
        <v>0</v>
      </c>
      <c r="K23" s="48">
        <f t="shared" si="0"/>
        <v>308226.74</v>
      </c>
      <c r="L23" s="47">
        <v>240000</v>
      </c>
      <c r="M23" s="213">
        <f t="shared" si="1"/>
        <v>1.2842780833333334</v>
      </c>
      <c r="N23"/>
      <c r="O23" s="209" t="s">
        <v>1178</v>
      </c>
      <c r="P23" s="209">
        <v>1155.8499999999999</v>
      </c>
      <c r="Q23" s="209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5">
        <v>169</v>
      </c>
      <c r="C24" s="45" t="s">
        <v>761</v>
      </c>
      <c r="D24" s="46" t="s">
        <v>744</v>
      </c>
      <c r="E24" s="47">
        <v>486952.11</v>
      </c>
      <c r="F24" s="47"/>
      <c r="G24" s="47">
        <v>0</v>
      </c>
      <c r="H24" s="47">
        <v>1499.98</v>
      </c>
      <c r="I24" s="47">
        <v>0</v>
      </c>
      <c r="J24" s="47">
        <v>0</v>
      </c>
      <c r="K24" s="48">
        <f t="shared" si="0"/>
        <v>488452.08999999997</v>
      </c>
      <c r="L24" s="47">
        <v>370000</v>
      </c>
      <c r="M24" s="213">
        <f t="shared" si="1"/>
        <v>1.3201407837837837</v>
      </c>
      <c r="N24"/>
      <c r="O24" s="209" t="s">
        <v>1184</v>
      </c>
      <c r="P24" s="209">
        <v>1465.3575000000001</v>
      </c>
      <c r="Q24" s="209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5">
        <v>173</v>
      </c>
      <c r="C25" s="45" t="s">
        <v>762</v>
      </c>
      <c r="D25" s="46" t="s">
        <v>740</v>
      </c>
      <c r="E25" s="47">
        <v>306376.78000000003</v>
      </c>
      <c r="F25" s="47"/>
      <c r="G25" s="47">
        <v>0</v>
      </c>
      <c r="H25" s="47">
        <v>429.99</v>
      </c>
      <c r="I25" s="47">
        <v>999.97</v>
      </c>
      <c r="J25" s="47">
        <v>0</v>
      </c>
      <c r="K25" s="48">
        <f t="shared" si="0"/>
        <v>307806.74</v>
      </c>
      <c r="L25" s="47">
        <v>280000</v>
      </c>
      <c r="M25" s="213">
        <f t="shared" si="1"/>
        <v>1.0993097857142857</v>
      </c>
      <c r="N25"/>
      <c r="O25" s="209" t="s">
        <v>1192</v>
      </c>
      <c r="P25" s="209">
        <v>1077.3225</v>
      </c>
      <c r="Q25" s="209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5">
        <v>175</v>
      </c>
      <c r="C26" s="45" t="s">
        <v>763</v>
      </c>
      <c r="D26" s="46" t="s">
        <v>744</v>
      </c>
      <c r="E26" s="47">
        <v>391225.24</v>
      </c>
      <c r="F26" s="47"/>
      <c r="G26" s="47">
        <v>0</v>
      </c>
      <c r="H26" s="47">
        <v>199.99</v>
      </c>
      <c r="I26" s="47">
        <v>0</v>
      </c>
      <c r="J26" s="47">
        <v>0</v>
      </c>
      <c r="K26" s="48">
        <f t="shared" si="0"/>
        <v>391425.23</v>
      </c>
      <c r="L26" s="47">
        <v>350000</v>
      </c>
      <c r="M26" s="213">
        <f t="shared" si="1"/>
        <v>1.1183577999999998</v>
      </c>
      <c r="N26"/>
      <c r="O26" s="209" t="s">
        <v>1202</v>
      </c>
      <c r="P26" s="209">
        <v>1272.1324999999999</v>
      </c>
      <c r="Q26" s="209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5">
        <v>179</v>
      </c>
      <c r="C27" s="45" t="s">
        <v>764</v>
      </c>
      <c r="D27" s="46" t="s">
        <v>744</v>
      </c>
      <c r="E27" s="47">
        <v>456785.1</v>
      </c>
      <c r="F27" s="47"/>
      <c r="G27" s="47">
        <v>0</v>
      </c>
      <c r="H27" s="47">
        <v>0</v>
      </c>
      <c r="I27" s="47">
        <v>0</v>
      </c>
      <c r="J27" s="47">
        <v>0</v>
      </c>
      <c r="K27" s="48">
        <f t="shared" si="0"/>
        <v>456785.1</v>
      </c>
      <c r="L27" s="47">
        <v>400000</v>
      </c>
      <c r="M27" s="213">
        <f t="shared" si="1"/>
        <v>1.14196275</v>
      </c>
      <c r="N27"/>
      <c r="O27" s="209" t="s">
        <v>1207</v>
      </c>
      <c r="P27" s="209">
        <v>1027.7674999999999</v>
      </c>
      <c r="Q27" s="209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50">
        <v>181</v>
      </c>
      <c r="C28" s="45" t="s">
        <v>765</v>
      </c>
      <c r="D28" s="46" t="s">
        <v>740</v>
      </c>
      <c r="E28" s="47">
        <v>916632.99</v>
      </c>
      <c r="F28" s="47"/>
      <c r="G28" s="47">
        <v>0</v>
      </c>
      <c r="H28" s="47">
        <v>649.99</v>
      </c>
      <c r="I28" s="47">
        <v>0</v>
      </c>
      <c r="J28" s="47">
        <v>0</v>
      </c>
      <c r="K28" s="48">
        <f t="shared" si="0"/>
        <v>917282.98</v>
      </c>
      <c r="L28" s="47">
        <v>820000</v>
      </c>
      <c r="M28" s="213">
        <f t="shared" si="1"/>
        <v>1.1186377804878049</v>
      </c>
      <c r="N28"/>
      <c r="O28" s="209" t="s">
        <v>1214</v>
      </c>
      <c r="P28" s="209">
        <v>2063.8874999999998</v>
      </c>
      <c r="Q28" s="209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50">
        <v>183</v>
      </c>
      <c r="C29" s="45" t="s">
        <v>766</v>
      </c>
      <c r="D29" s="46" t="s">
        <v>744</v>
      </c>
      <c r="E29" s="47">
        <v>317009.40000000002</v>
      </c>
      <c r="F29" s="47"/>
      <c r="G29" s="47">
        <v>0</v>
      </c>
      <c r="H29" s="47">
        <v>549.99</v>
      </c>
      <c r="I29" s="47">
        <v>0</v>
      </c>
      <c r="J29" s="47">
        <v>0</v>
      </c>
      <c r="K29" s="48">
        <f t="shared" si="0"/>
        <v>317559.39</v>
      </c>
      <c r="L29" s="47">
        <v>360000</v>
      </c>
      <c r="M29" s="213">
        <f t="shared" si="1"/>
        <v>0.88210941666666676</v>
      </c>
      <c r="N29"/>
      <c r="O29" s="209" t="s">
        <v>1390</v>
      </c>
      <c r="P29" s="209">
        <v>714.50750000000005</v>
      </c>
      <c r="Q29" s="20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50">
        <v>185</v>
      </c>
      <c r="C30" s="45" t="s">
        <v>767</v>
      </c>
      <c r="D30" s="46" t="s">
        <v>744</v>
      </c>
      <c r="E30" s="47">
        <v>422225.71</v>
      </c>
      <c r="F30" s="47"/>
      <c r="G30" s="47">
        <v>0</v>
      </c>
      <c r="H30" s="47">
        <v>199.99</v>
      </c>
      <c r="I30" s="47">
        <v>0</v>
      </c>
      <c r="J30" s="47">
        <v>0</v>
      </c>
      <c r="K30" s="48">
        <f t="shared" si="0"/>
        <v>422425.7</v>
      </c>
      <c r="L30" s="47">
        <v>400000</v>
      </c>
      <c r="M30" s="213">
        <f t="shared" si="1"/>
        <v>1.0560642499999999</v>
      </c>
      <c r="N30"/>
      <c r="O30" s="209" t="s">
        <v>1220</v>
      </c>
      <c r="P30" s="209">
        <v>950.45749999999998</v>
      </c>
      <c r="Q30" s="209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5">
        <v>200</v>
      </c>
      <c r="C31" s="45" t="s">
        <v>768</v>
      </c>
      <c r="D31" s="46" t="s">
        <v>740</v>
      </c>
      <c r="E31" s="47">
        <v>298855.12</v>
      </c>
      <c r="F31" s="47"/>
      <c r="G31" s="47">
        <v>0</v>
      </c>
      <c r="H31" s="47">
        <v>0</v>
      </c>
      <c r="I31" s="47">
        <v>0</v>
      </c>
      <c r="J31" s="47">
        <v>0</v>
      </c>
      <c r="K31" s="48">
        <f t="shared" si="0"/>
        <v>298855.12</v>
      </c>
      <c r="L31" s="47">
        <v>260000</v>
      </c>
      <c r="M31" s="213">
        <f t="shared" si="1"/>
        <v>1.1494427692307692</v>
      </c>
      <c r="N31"/>
      <c r="O31" s="209" t="s">
        <v>1237</v>
      </c>
      <c r="P31" s="209">
        <v>971.28</v>
      </c>
      <c r="Q31" s="209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51" t="s">
        <v>8</v>
      </c>
      <c r="C32" s="52"/>
      <c r="D32" s="53"/>
      <c r="E32" s="54">
        <f t="shared" ref="E32:L32" si="2">SUM(E4:E31)</f>
        <v>10786054.060000002</v>
      </c>
      <c r="F32" s="54">
        <f t="shared" si="2"/>
        <v>4899.95</v>
      </c>
      <c r="G32" s="54">
        <f t="shared" si="2"/>
        <v>899.99</v>
      </c>
      <c r="H32" s="54">
        <f t="shared" si="2"/>
        <v>24099.44000000001</v>
      </c>
      <c r="I32" s="54">
        <f t="shared" si="2"/>
        <v>13049.699999999997</v>
      </c>
      <c r="J32" s="54">
        <f t="shared" si="2"/>
        <v>0</v>
      </c>
      <c r="K32" s="54">
        <f t="shared" si="2"/>
        <v>10829003.139999999</v>
      </c>
      <c r="L32" s="54">
        <f t="shared" si="2"/>
        <v>9495000</v>
      </c>
      <c r="M32" s="55">
        <f t="shared" si="1"/>
        <v>1.1404953280674037</v>
      </c>
      <c r="O32" s="209" t="s">
        <v>1391</v>
      </c>
      <c r="P32" s="209">
        <v>35194.26</v>
      </c>
      <c r="Q32" s="209">
        <v>2000</v>
      </c>
    </row>
    <row r="33" spans="3:3" x14ac:dyDescent="0.3">
      <c r="C33" s="45"/>
    </row>
    <row r="34" spans="3:3" x14ac:dyDescent="0.3">
      <c r="C34" s="45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2" bestFit="1" customWidth="1"/>
    <col min="2" max="2" width="7.109375" style="112" bestFit="1" customWidth="1"/>
    <col min="3" max="3" width="7.6640625" style="112" bestFit="1" customWidth="1"/>
    <col min="4" max="4" width="33.33203125" style="112" bestFit="1" customWidth="1"/>
    <col min="5" max="5" width="19.88671875" style="112" bestFit="1" customWidth="1"/>
    <col min="6" max="6" width="14" style="112" bestFit="1" customWidth="1"/>
    <col min="7" max="7" width="10.6640625" style="112" bestFit="1" customWidth="1"/>
    <col min="8" max="8" width="5.6640625" style="112" bestFit="1" customWidth="1"/>
    <col min="9" max="9" width="8.33203125" style="112" bestFit="1" customWidth="1"/>
    <col min="10" max="16384" width="9.109375" style="112"/>
  </cols>
  <sheetData>
    <row r="1" spans="1:9" x14ac:dyDescent="0.3">
      <c r="A1" s="110" t="s">
        <v>0</v>
      </c>
      <c r="B1" s="110" t="s">
        <v>1</v>
      </c>
      <c r="C1" s="110"/>
      <c r="D1" s="110" t="s">
        <v>866</v>
      </c>
      <c r="E1" s="110" t="s">
        <v>3</v>
      </c>
      <c r="F1" s="110" t="s">
        <v>4</v>
      </c>
      <c r="G1" s="110" t="s">
        <v>5</v>
      </c>
      <c r="H1" s="110" t="s">
        <v>867</v>
      </c>
      <c r="I1" s="111" t="s">
        <v>868</v>
      </c>
    </row>
    <row r="2" spans="1:9" x14ac:dyDescent="0.3">
      <c r="A2" s="113">
        <v>95</v>
      </c>
      <c r="B2" s="113">
        <v>56</v>
      </c>
      <c r="C2" s="114" t="s">
        <v>117</v>
      </c>
      <c r="D2" s="115" t="s">
        <v>118</v>
      </c>
      <c r="E2" s="116" t="s">
        <v>25</v>
      </c>
      <c r="F2" s="117" t="s">
        <v>119</v>
      </c>
      <c r="G2" s="118">
        <v>43165</v>
      </c>
      <c r="H2" s="117" t="s">
        <v>27</v>
      </c>
      <c r="I2" s="119">
        <v>70</v>
      </c>
    </row>
    <row r="3" spans="1:9" x14ac:dyDescent="0.3">
      <c r="A3" s="113">
        <v>95</v>
      </c>
      <c r="B3" s="113">
        <v>59</v>
      </c>
      <c r="C3" s="114" t="s">
        <v>120</v>
      </c>
      <c r="D3" s="115" t="s">
        <v>121</v>
      </c>
      <c r="E3" s="116" t="s">
        <v>25</v>
      </c>
      <c r="F3" s="117" t="s">
        <v>122</v>
      </c>
      <c r="G3" s="118">
        <v>43213</v>
      </c>
      <c r="H3" s="117" t="s">
        <v>27</v>
      </c>
      <c r="I3" s="119">
        <v>70</v>
      </c>
    </row>
    <row r="4" spans="1:9" x14ac:dyDescent="0.3">
      <c r="A4" s="113">
        <v>95</v>
      </c>
      <c r="B4" s="113">
        <v>80</v>
      </c>
      <c r="C4" s="114" t="s">
        <v>123</v>
      </c>
      <c r="D4" s="115" t="s">
        <v>124</v>
      </c>
      <c r="E4" s="116" t="s">
        <v>30</v>
      </c>
      <c r="F4" s="117" t="s">
        <v>125</v>
      </c>
      <c r="G4" s="118">
        <v>44064</v>
      </c>
      <c r="H4" s="117" t="s">
        <v>27</v>
      </c>
      <c r="I4" s="119">
        <v>70</v>
      </c>
    </row>
    <row r="5" spans="1:9" x14ac:dyDescent="0.3">
      <c r="A5" s="113">
        <v>95</v>
      </c>
      <c r="B5" s="113">
        <v>84</v>
      </c>
      <c r="C5" s="114" t="s">
        <v>129</v>
      </c>
      <c r="D5" s="115" t="s">
        <v>130</v>
      </c>
      <c r="E5" s="116" t="s">
        <v>48</v>
      </c>
      <c r="F5" s="117" t="s">
        <v>131</v>
      </c>
      <c r="G5" s="118">
        <v>43475</v>
      </c>
      <c r="H5" s="117" t="s">
        <v>27</v>
      </c>
      <c r="I5" s="119">
        <v>70</v>
      </c>
    </row>
    <row r="6" spans="1:9" x14ac:dyDescent="0.3">
      <c r="A6" s="113">
        <v>103</v>
      </c>
      <c r="B6" s="113">
        <v>185</v>
      </c>
      <c r="C6" s="114" t="s">
        <v>141</v>
      </c>
      <c r="D6" s="115" t="s">
        <v>142</v>
      </c>
      <c r="E6" s="116" t="s">
        <v>25</v>
      </c>
      <c r="F6" s="117" t="s">
        <v>143</v>
      </c>
      <c r="G6" s="118">
        <v>43782</v>
      </c>
      <c r="H6" s="117" t="s">
        <v>27</v>
      </c>
      <c r="I6" s="119">
        <v>70</v>
      </c>
    </row>
    <row r="7" spans="1:9" x14ac:dyDescent="0.3">
      <c r="A7" s="113">
        <v>103</v>
      </c>
      <c r="B7" s="113">
        <v>187</v>
      </c>
      <c r="C7" s="114" t="s">
        <v>144</v>
      </c>
      <c r="D7" s="115" t="s">
        <v>145</v>
      </c>
      <c r="E7" s="116" t="s">
        <v>25</v>
      </c>
      <c r="F7" s="117" t="s">
        <v>146</v>
      </c>
      <c r="G7" s="118">
        <v>43815</v>
      </c>
      <c r="H7" s="117" t="s">
        <v>27</v>
      </c>
      <c r="I7" s="119">
        <v>70</v>
      </c>
    </row>
    <row r="8" spans="1:9" x14ac:dyDescent="0.3">
      <c r="A8" s="113">
        <v>103</v>
      </c>
      <c r="B8" s="113">
        <v>199</v>
      </c>
      <c r="C8" s="114" t="s">
        <v>153</v>
      </c>
      <c r="D8" s="115" t="s">
        <v>154</v>
      </c>
      <c r="E8" s="116" t="s">
        <v>48</v>
      </c>
      <c r="F8" s="117" t="s">
        <v>155</v>
      </c>
      <c r="G8" s="118">
        <v>43284</v>
      </c>
      <c r="H8" s="117" t="s">
        <v>27</v>
      </c>
      <c r="I8" s="119">
        <v>70</v>
      </c>
    </row>
    <row r="9" spans="1:9" x14ac:dyDescent="0.3">
      <c r="A9" s="113">
        <v>103</v>
      </c>
      <c r="B9" s="113">
        <v>184</v>
      </c>
      <c r="C9" s="114" t="s">
        <v>138</v>
      </c>
      <c r="D9" s="115" t="s">
        <v>139</v>
      </c>
      <c r="E9" s="116" t="s">
        <v>30</v>
      </c>
      <c r="F9" s="117" t="s">
        <v>140</v>
      </c>
      <c r="G9" s="118">
        <v>43782</v>
      </c>
      <c r="H9" s="117" t="s">
        <v>27</v>
      </c>
      <c r="I9" s="119">
        <v>70</v>
      </c>
    </row>
    <row r="10" spans="1:9" x14ac:dyDescent="0.3">
      <c r="A10" s="113">
        <v>116</v>
      </c>
      <c r="B10" s="113">
        <v>143</v>
      </c>
      <c r="C10" s="114" t="s">
        <v>205</v>
      </c>
      <c r="D10" s="115" t="s">
        <v>206</v>
      </c>
      <c r="E10" s="116" t="s">
        <v>48</v>
      </c>
      <c r="F10" s="117" t="s">
        <v>207</v>
      </c>
      <c r="G10" s="118">
        <v>43405</v>
      </c>
      <c r="H10" s="117" t="s">
        <v>27</v>
      </c>
      <c r="I10" s="119">
        <v>70</v>
      </c>
    </row>
    <row r="11" spans="1:9" x14ac:dyDescent="0.3">
      <c r="A11" s="113">
        <v>116</v>
      </c>
      <c r="B11" s="113">
        <v>144</v>
      </c>
      <c r="C11" s="114" t="s">
        <v>223</v>
      </c>
      <c r="D11" s="115" t="s">
        <v>224</v>
      </c>
      <c r="E11" s="116" t="s">
        <v>25</v>
      </c>
      <c r="F11" s="117" t="s">
        <v>225</v>
      </c>
      <c r="G11" s="118">
        <v>43412</v>
      </c>
      <c r="H11" s="117" t="s">
        <v>27</v>
      </c>
      <c r="I11" s="119">
        <v>70</v>
      </c>
    </row>
    <row r="12" spans="1:9" x14ac:dyDescent="0.3">
      <c r="A12" s="113">
        <v>116</v>
      </c>
      <c r="B12" s="113">
        <v>146</v>
      </c>
      <c r="C12" s="114" t="s">
        <v>214</v>
      </c>
      <c r="D12" s="115" t="s">
        <v>215</v>
      </c>
      <c r="E12" s="116" t="s">
        <v>30</v>
      </c>
      <c r="F12" s="117" t="s">
        <v>216</v>
      </c>
      <c r="G12" s="118">
        <v>43431</v>
      </c>
      <c r="H12" s="117" t="s">
        <v>27</v>
      </c>
      <c r="I12" s="119">
        <v>70</v>
      </c>
    </row>
    <row r="13" spans="1:9" x14ac:dyDescent="0.3">
      <c r="A13" s="113">
        <v>116</v>
      </c>
      <c r="B13" s="113">
        <v>148</v>
      </c>
      <c r="C13" s="114" t="s">
        <v>211</v>
      </c>
      <c r="D13" s="115" t="s">
        <v>212</v>
      </c>
      <c r="E13" s="116" t="s">
        <v>25</v>
      </c>
      <c r="F13" s="117" t="s">
        <v>213</v>
      </c>
      <c r="G13" s="118">
        <v>43437</v>
      </c>
      <c r="H13" s="117" t="s">
        <v>27</v>
      </c>
      <c r="I13" s="119">
        <v>70</v>
      </c>
    </row>
    <row r="14" spans="1:9" x14ac:dyDescent="0.3">
      <c r="A14" s="113">
        <v>116</v>
      </c>
      <c r="B14" s="113">
        <v>164</v>
      </c>
      <c r="C14" s="114" t="s">
        <v>208</v>
      </c>
      <c r="D14" s="115" t="s">
        <v>209</v>
      </c>
      <c r="E14" s="116" t="s">
        <v>25</v>
      </c>
      <c r="F14" s="117" t="s">
        <v>210</v>
      </c>
      <c r="G14" s="118">
        <v>43717</v>
      </c>
      <c r="H14" s="117" t="s">
        <v>27</v>
      </c>
      <c r="I14" s="119">
        <v>70</v>
      </c>
    </row>
    <row r="15" spans="1:9" x14ac:dyDescent="0.3">
      <c r="A15" s="113">
        <v>116</v>
      </c>
      <c r="B15" s="113">
        <v>169</v>
      </c>
      <c r="C15" s="114" t="s">
        <v>226</v>
      </c>
      <c r="D15" s="115" t="s">
        <v>227</v>
      </c>
      <c r="E15" s="116" t="s">
        <v>25</v>
      </c>
      <c r="F15" s="117" t="s">
        <v>228</v>
      </c>
      <c r="G15" s="118">
        <v>41720</v>
      </c>
      <c r="H15" s="117" t="s">
        <v>27</v>
      </c>
      <c r="I15" s="119">
        <v>70</v>
      </c>
    </row>
    <row r="16" spans="1:9" x14ac:dyDescent="0.3">
      <c r="A16" s="113">
        <v>156</v>
      </c>
      <c r="B16" s="113">
        <v>67</v>
      </c>
      <c r="C16" s="114" t="s">
        <v>399</v>
      </c>
      <c r="D16" s="115" t="s">
        <v>400</v>
      </c>
      <c r="E16" s="116" t="s">
        <v>25</v>
      </c>
      <c r="F16" s="117" t="s">
        <v>401</v>
      </c>
      <c r="G16" s="118">
        <v>43759</v>
      </c>
      <c r="H16" s="117" t="s">
        <v>27</v>
      </c>
      <c r="I16" s="119">
        <v>70</v>
      </c>
    </row>
    <row r="17" spans="1:9" x14ac:dyDescent="0.3">
      <c r="A17" s="113">
        <v>156</v>
      </c>
      <c r="B17" s="113">
        <v>72</v>
      </c>
      <c r="C17" s="114" t="s">
        <v>393</v>
      </c>
      <c r="D17" s="115" t="s">
        <v>394</v>
      </c>
      <c r="E17" s="116" t="s">
        <v>25</v>
      </c>
      <c r="F17" s="117" t="s">
        <v>395</v>
      </c>
      <c r="G17" s="118">
        <v>43852</v>
      </c>
      <c r="H17" s="117" t="s">
        <v>27</v>
      </c>
      <c r="I17" s="119">
        <v>70</v>
      </c>
    </row>
    <row r="18" spans="1:9" x14ac:dyDescent="0.3">
      <c r="A18" s="113">
        <v>156</v>
      </c>
      <c r="B18" s="113">
        <v>75</v>
      </c>
      <c r="C18" s="114" t="s">
        <v>408</v>
      </c>
      <c r="D18" s="115" t="s">
        <v>409</v>
      </c>
      <c r="E18" s="116" t="s">
        <v>48</v>
      </c>
      <c r="F18" s="117" t="s">
        <v>410</v>
      </c>
      <c r="G18" s="118">
        <v>43889</v>
      </c>
      <c r="H18" s="117" t="s">
        <v>27</v>
      </c>
      <c r="I18" s="119">
        <v>70</v>
      </c>
    </row>
    <row r="19" spans="1:9" x14ac:dyDescent="0.3">
      <c r="A19" s="113">
        <v>156</v>
      </c>
      <c r="B19" s="113">
        <v>76</v>
      </c>
      <c r="C19" s="114" t="s">
        <v>390</v>
      </c>
      <c r="D19" s="115" t="s">
        <v>391</v>
      </c>
      <c r="E19" s="116" t="s">
        <v>25</v>
      </c>
      <c r="F19" s="117" t="s">
        <v>392</v>
      </c>
      <c r="G19" s="118">
        <v>43901</v>
      </c>
      <c r="H19" s="117" t="s">
        <v>27</v>
      </c>
      <c r="I19" s="119">
        <v>70</v>
      </c>
    </row>
    <row r="20" spans="1:9" x14ac:dyDescent="0.3">
      <c r="A20" s="113">
        <v>156</v>
      </c>
      <c r="B20" s="113">
        <v>78</v>
      </c>
      <c r="C20" s="114" t="s">
        <v>396</v>
      </c>
      <c r="D20" s="115" t="s">
        <v>397</v>
      </c>
      <c r="E20" s="116" t="s">
        <v>25</v>
      </c>
      <c r="F20" s="117" t="s">
        <v>398</v>
      </c>
      <c r="G20" s="118">
        <v>43902</v>
      </c>
      <c r="H20" s="117" t="s">
        <v>27</v>
      </c>
      <c r="I20" s="119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7" customWidth="1"/>
    <col min="2" max="3" width="19" style="57" customWidth="1"/>
    <col min="4" max="4" width="31.109375" customWidth="1"/>
    <col min="5" max="5" width="25.5546875" customWidth="1"/>
    <col min="6" max="6" width="16.5546875" hidden="1" customWidth="1"/>
    <col min="7" max="8" width="18.33203125" style="58" customWidth="1"/>
    <col min="9" max="9" width="18.33203125" style="177" customWidth="1"/>
    <col min="10" max="10" width="22.109375" style="177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</row>
    <row r="2" spans="1:13" ht="9" customHeight="1" x14ac:dyDescent="0.3"/>
    <row r="3" spans="1:13" x14ac:dyDescent="0.3">
      <c r="A3" s="135" t="s">
        <v>770</v>
      </c>
      <c r="B3" s="135" t="s">
        <v>692</v>
      </c>
      <c r="C3" s="135"/>
      <c r="D3" s="135" t="s">
        <v>771</v>
      </c>
      <c r="E3" s="273" t="s">
        <v>772</v>
      </c>
      <c r="F3" s="273"/>
      <c r="G3" s="59"/>
      <c r="H3" s="59"/>
      <c r="I3" s="60"/>
      <c r="J3" s="60"/>
      <c r="K3" s="135"/>
      <c r="L3" s="61" t="s">
        <v>773</v>
      </c>
      <c r="M3" s="62"/>
    </row>
    <row r="4" spans="1:13" s="68" customFormat="1" ht="21" customHeight="1" x14ac:dyDescent="0.3">
      <c r="A4" s="63" t="s">
        <v>692</v>
      </c>
      <c r="B4" s="63" t="s">
        <v>774</v>
      </c>
      <c r="C4" s="63" t="s">
        <v>775</v>
      </c>
      <c r="D4" s="64" t="s">
        <v>776</v>
      </c>
      <c r="E4" s="64" t="s">
        <v>777</v>
      </c>
      <c r="F4" s="63" t="s">
        <v>778</v>
      </c>
      <c r="G4" s="65" t="s">
        <v>779</v>
      </c>
      <c r="H4" s="65" t="s">
        <v>780</v>
      </c>
      <c r="I4" s="66" t="s">
        <v>781</v>
      </c>
      <c r="J4" s="66" t="s">
        <v>782</v>
      </c>
      <c r="K4" s="63" t="s">
        <v>783</v>
      </c>
      <c r="L4" s="63" t="s">
        <v>784</v>
      </c>
      <c r="M4" s="67" t="s">
        <v>785</v>
      </c>
    </row>
    <row r="5" spans="1:13" s="68" customFormat="1" hidden="1" x14ac:dyDescent="0.3">
      <c r="A5" s="71">
        <v>62</v>
      </c>
      <c r="B5" s="70" t="s">
        <v>786</v>
      </c>
      <c r="C5" s="70" t="s">
        <v>790</v>
      </c>
      <c r="D5" s="72" t="s">
        <v>791</v>
      </c>
      <c r="E5" s="73">
        <v>2.8000000000000001E-2</v>
      </c>
      <c r="F5" s="74">
        <v>5.0000000000000001E-3</v>
      </c>
      <c r="G5" s="75">
        <v>400</v>
      </c>
      <c r="H5" s="75">
        <v>200</v>
      </c>
      <c r="I5" s="76">
        <v>200</v>
      </c>
      <c r="J5" s="76"/>
      <c r="K5" s="65">
        <f t="shared" ref="K5:K11" si="0">G5+H5+I5+J5</f>
        <v>800</v>
      </c>
      <c r="L5" s="77" t="s">
        <v>792</v>
      </c>
      <c r="M5" s="67"/>
    </row>
    <row r="6" spans="1:13" hidden="1" x14ac:dyDescent="0.3">
      <c r="A6" s="69">
        <v>62</v>
      </c>
      <c r="B6" s="70" t="s">
        <v>786</v>
      </c>
      <c r="C6" s="70" t="s">
        <v>787</v>
      </c>
      <c r="D6" s="64" t="s">
        <v>788</v>
      </c>
      <c r="E6" s="64" t="s">
        <v>789</v>
      </c>
      <c r="F6" s="63"/>
      <c r="G6" s="65"/>
      <c r="H6" s="65">
        <v>2000</v>
      </c>
      <c r="I6" s="66"/>
      <c r="J6" s="66"/>
      <c r="K6" s="65">
        <f t="shared" si="0"/>
        <v>2000</v>
      </c>
      <c r="L6" s="63"/>
      <c r="M6" s="67"/>
    </row>
    <row r="7" spans="1:13" hidden="1" x14ac:dyDescent="0.3">
      <c r="A7" s="71">
        <v>62</v>
      </c>
      <c r="B7" s="70" t="s">
        <v>786</v>
      </c>
      <c r="C7" s="70" t="s">
        <v>794</v>
      </c>
      <c r="D7" s="72" t="s">
        <v>795</v>
      </c>
      <c r="E7" s="73"/>
      <c r="F7" s="74"/>
      <c r="G7" s="75"/>
      <c r="H7" s="75">
        <v>200</v>
      </c>
      <c r="I7" s="76"/>
      <c r="J7" s="76"/>
      <c r="K7" s="65">
        <f t="shared" si="0"/>
        <v>200</v>
      </c>
      <c r="L7" s="77"/>
      <c r="M7" s="67"/>
    </row>
    <row r="8" spans="1:13" hidden="1" x14ac:dyDescent="0.3">
      <c r="A8" s="71">
        <v>62</v>
      </c>
      <c r="B8" s="70" t="s">
        <v>786</v>
      </c>
      <c r="C8" s="70" t="s">
        <v>790</v>
      </c>
      <c r="D8" s="78" t="s">
        <v>793</v>
      </c>
      <c r="E8" s="73">
        <v>2.8000000000000001E-2</v>
      </c>
      <c r="F8" s="74">
        <v>5.0000000000000001E-3</v>
      </c>
      <c r="G8" s="75">
        <v>400</v>
      </c>
      <c r="H8" s="75">
        <v>200</v>
      </c>
      <c r="I8" s="76">
        <v>200</v>
      </c>
      <c r="J8" s="76"/>
      <c r="K8" s="65">
        <f t="shared" si="0"/>
        <v>800</v>
      </c>
      <c r="L8" s="77" t="s">
        <v>792</v>
      </c>
      <c r="M8" s="67"/>
    </row>
    <row r="9" spans="1:13" s="229" customFormat="1" x14ac:dyDescent="0.3">
      <c r="A9" s="241">
        <v>93</v>
      </c>
      <c r="B9" s="242" t="s">
        <v>796</v>
      </c>
      <c r="C9" s="242" t="s">
        <v>787</v>
      </c>
      <c r="D9" s="250" t="s">
        <v>797</v>
      </c>
      <c r="E9" s="251" t="s">
        <v>789</v>
      </c>
      <c r="F9" s="74"/>
      <c r="G9" s="245"/>
      <c r="H9" s="245">
        <v>2000</v>
      </c>
      <c r="I9" s="246"/>
      <c r="J9" s="246"/>
      <c r="K9" s="247">
        <f t="shared" si="0"/>
        <v>2000</v>
      </c>
      <c r="L9" s="248"/>
      <c r="M9" s="249"/>
    </row>
    <row r="10" spans="1:13" s="229" customFormat="1" x14ac:dyDescent="0.3">
      <c r="A10" s="241">
        <v>93</v>
      </c>
      <c r="B10" s="242" t="s">
        <v>796</v>
      </c>
      <c r="C10" s="242" t="s">
        <v>790</v>
      </c>
      <c r="D10" s="243" t="s">
        <v>798</v>
      </c>
      <c r="E10" s="244">
        <v>2.8000000000000001E-2</v>
      </c>
      <c r="F10" s="74">
        <v>5.0000000000000001E-3</v>
      </c>
      <c r="G10" s="245">
        <v>400</v>
      </c>
      <c r="H10" s="245">
        <v>200</v>
      </c>
      <c r="I10" s="246">
        <v>200</v>
      </c>
      <c r="J10" s="246"/>
      <c r="K10" s="247">
        <f t="shared" si="0"/>
        <v>800</v>
      </c>
      <c r="L10" s="248" t="s">
        <v>792</v>
      </c>
      <c r="M10" s="249"/>
    </row>
    <row r="11" spans="1:13" x14ac:dyDescent="0.3">
      <c r="A11" s="71">
        <v>93</v>
      </c>
      <c r="B11" s="70" t="s">
        <v>796</v>
      </c>
      <c r="C11" s="70" t="s">
        <v>790</v>
      </c>
      <c r="D11" s="72" t="s">
        <v>799</v>
      </c>
      <c r="E11" s="73">
        <v>2.8000000000000001E-2</v>
      </c>
      <c r="F11" s="74">
        <v>5.0000000000000001E-3</v>
      </c>
      <c r="G11" s="75">
        <v>400</v>
      </c>
      <c r="H11" s="75">
        <v>200</v>
      </c>
      <c r="I11" s="76">
        <v>200</v>
      </c>
      <c r="J11" s="76"/>
      <c r="K11" s="65">
        <f t="shared" si="0"/>
        <v>800</v>
      </c>
      <c r="L11" s="77" t="s">
        <v>792</v>
      </c>
      <c r="M11" s="67"/>
    </row>
    <row r="12" spans="1:13" hidden="1" x14ac:dyDescent="0.3">
      <c r="A12" s="71">
        <v>94</v>
      </c>
      <c r="B12" s="70" t="s">
        <v>800</v>
      </c>
      <c r="C12" s="70" t="s">
        <v>787</v>
      </c>
      <c r="D12" s="72" t="s">
        <v>992</v>
      </c>
      <c r="E12" s="64" t="s">
        <v>789</v>
      </c>
      <c r="F12" s="74"/>
      <c r="G12" s="75"/>
      <c r="H12" s="75"/>
      <c r="I12" s="76"/>
      <c r="J12" s="76"/>
      <c r="K12" s="65">
        <f t="shared" ref="K12:K14" si="1">G12+H12+I12+J12</f>
        <v>0</v>
      </c>
      <c r="L12" s="77"/>
      <c r="M12" s="67" t="s">
        <v>993</v>
      </c>
    </row>
    <row r="13" spans="1:13" hidden="1" x14ac:dyDescent="0.3">
      <c r="A13" s="71">
        <v>94</v>
      </c>
      <c r="B13" s="70" t="s">
        <v>800</v>
      </c>
      <c r="C13" s="70" t="s">
        <v>790</v>
      </c>
      <c r="D13" s="80" t="s">
        <v>801</v>
      </c>
      <c r="E13" s="73" t="s">
        <v>802</v>
      </c>
      <c r="F13" s="74"/>
      <c r="G13" s="75">
        <v>200</v>
      </c>
      <c r="H13" s="75">
        <v>150</v>
      </c>
      <c r="I13" s="76"/>
      <c r="J13" s="76">
        <v>500</v>
      </c>
      <c r="K13" s="65">
        <f t="shared" si="1"/>
        <v>850</v>
      </c>
      <c r="L13" s="77" t="s">
        <v>803</v>
      </c>
      <c r="M13" s="67"/>
    </row>
    <row r="14" spans="1:13" hidden="1" x14ac:dyDescent="0.3">
      <c r="A14" s="71">
        <v>94</v>
      </c>
      <c r="B14" s="70" t="s">
        <v>800</v>
      </c>
      <c r="C14" s="70" t="s">
        <v>790</v>
      </c>
      <c r="D14" s="80" t="s">
        <v>804</v>
      </c>
      <c r="E14" s="73"/>
      <c r="F14" s="74"/>
      <c r="G14" s="75">
        <v>200</v>
      </c>
      <c r="H14" s="75">
        <v>150</v>
      </c>
      <c r="I14" s="76"/>
      <c r="J14" s="76">
        <v>500</v>
      </c>
      <c r="K14" s="65">
        <f t="shared" si="1"/>
        <v>850</v>
      </c>
      <c r="L14" s="77"/>
      <c r="M14" s="67"/>
    </row>
    <row r="15" spans="1:13" hidden="1" x14ac:dyDescent="0.3">
      <c r="A15" s="71">
        <v>116</v>
      </c>
      <c r="B15" s="70" t="s">
        <v>805</v>
      </c>
      <c r="C15" s="70" t="s">
        <v>790</v>
      </c>
      <c r="D15" s="82" t="s">
        <v>212</v>
      </c>
      <c r="E15" s="73" t="s">
        <v>802</v>
      </c>
      <c r="F15" s="74"/>
      <c r="G15" s="75">
        <v>400</v>
      </c>
      <c r="H15" s="75">
        <v>200</v>
      </c>
      <c r="I15" s="76">
        <v>200</v>
      </c>
      <c r="J15" s="76"/>
      <c r="K15" s="65">
        <f t="shared" ref="K15:K48" si="2">G15+H15+I15+J15</f>
        <v>800</v>
      </c>
      <c r="L15" s="77" t="s">
        <v>792</v>
      </c>
      <c r="M15" s="67"/>
    </row>
    <row r="16" spans="1:13" hidden="1" x14ac:dyDescent="0.3">
      <c r="A16" s="71">
        <v>116</v>
      </c>
      <c r="B16" s="70" t="s">
        <v>805</v>
      </c>
      <c r="C16" s="70" t="s">
        <v>794</v>
      </c>
      <c r="D16" s="82" t="s">
        <v>808</v>
      </c>
      <c r="E16" s="73"/>
      <c r="F16" s="74"/>
      <c r="G16" s="75"/>
      <c r="H16" s="75"/>
      <c r="I16" s="76"/>
      <c r="J16" s="76"/>
      <c r="K16" s="65">
        <f t="shared" si="2"/>
        <v>0</v>
      </c>
      <c r="L16" s="77"/>
      <c r="M16" s="67"/>
    </row>
    <row r="17" spans="1:13" hidden="1" x14ac:dyDescent="0.3">
      <c r="A17" s="71">
        <v>116</v>
      </c>
      <c r="B17" s="70" t="s">
        <v>805</v>
      </c>
      <c r="C17" s="70" t="s">
        <v>790</v>
      </c>
      <c r="D17" s="81" t="s">
        <v>807</v>
      </c>
      <c r="E17" s="73" t="s">
        <v>802</v>
      </c>
      <c r="F17" s="74"/>
      <c r="G17" s="75">
        <v>400</v>
      </c>
      <c r="H17" s="75">
        <v>200</v>
      </c>
      <c r="I17" s="76">
        <v>200</v>
      </c>
      <c r="J17" s="76"/>
      <c r="K17" s="65">
        <f t="shared" si="2"/>
        <v>800</v>
      </c>
      <c r="L17" s="77" t="s">
        <v>792</v>
      </c>
      <c r="M17" s="67"/>
    </row>
    <row r="18" spans="1:13" hidden="1" x14ac:dyDescent="0.3">
      <c r="A18" s="71">
        <v>116</v>
      </c>
      <c r="B18" s="70" t="s">
        <v>805</v>
      </c>
      <c r="C18" s="70" t="s">
        <v>787</v>
      </c>
      <c r="D18" s="80" t="s">
        <v>806</v>
      </c>
      <c r="E18" s="64" t="s">
        <v>789</v>
      </c>
      <c r="F18" s="74"/>
      <c r="G18" s="75"/>
      <c r="H18" s="75">
        <v>2000</v>
      </c>
      <c r="I18" s="76"/>
      <c r="J18" s="76"/>
      <c r="K18" s="65">
        <f t="shared" si="2"/>
        <v>2000</v>
      </c>
      <c r="L18" s="77"/>
      <c r="M18" s="67"/>
    </row>
    <row r="19" spans="1:13" hidden="1" x14ac:dyDescent="0.3">
      <c r="A19" s="71">
        <v>123</v>
      </c>
      <c r="B19" s="70" t="s">
        <v>809</v>
      </c>
      <c r="C19" s="70" t="s">
        <v>790</v>
      </c>
      <c r="D19" s="79" t="s">
        <v>994</v>
      </c>
      <c r="E19" s="73" t="s">
        <v>811</v>
      </c>
      <c r="F19" s="74"/>
      <c r="G19" s="75">
        <v>300</v>
      </c>
      <c r="H19" s="75">
        <v>200</v>
      </c>
      <c r="I19" s="76">
        <v>200</v>
      </c>
      <c r="J19" s="76"/>
      <c r="K19" s="65">
        <f t="shared" si="2"/>
        <v>700</v>
      </c>
      <c r="L19" s="77" t="s">
        <v>812</v>
      </c>
      <c r="M19" s="67"/>
    </row>
    <row r="20" spans="1:13" hidden="1" x14ac:dyDescent="0.3">
      <c r="A20" s="71">
        <v>123</v>
      </c>
      <c r="B20" s="70" t="s">
        <v>809</v>
      </c>
      <c r="C20" s="70" t="s">
        <v>787</v>
      </c>
      <c r="D20" s="82" t="s">
        <v>810</v>
      </c>
      <c r="E20" s="64" t="s">
        <v>789</v>
      </c>
      <c r="F20" s="74"/>
      <c r="G20" s="75"/>
      <c r="H20" s="75">
        <v>2000</v>
      </c>
      <c r="I20" s="76"/>
      <c r="J20" s="76"/>
      <c r="K20" s="65">
        <f t="shared" si="2"/>
        <v>2000</v>
      </c>
      <c r="L20" s="77"/>
      <c r="M20" s="67"/>
    </row>
    <row r="21" spans="1:13" hidden="1" x14ac:dyDescent="0.3">
      <c r="A21" s="71">
        <v>123</v>
      </c>
      <c r="B21" s="70" t="s">
        <v>809</v>
      </c>
      <c r="C21" s="70" t="s">
        <v>790</v>
      </c>
      <c r="D21" s="79" t="s">
        <v>813</v>
      </c>
      <c r="E21" s="73" t="s">
        <v>811</v>
      </c>
      <c r="F21" s="74"/>
      <c r="G21" s="75">
        <v>300</v>
      </c>
      <c r="H21" s="75">
        <v>200</v>
      </c>
      <c r="I21" s="76">
        <v>200</v>
      </c>
      <c r="J21" s="76"/>
      <c r="K21" s="65">
        <f t="shared" si="2"/>
        <v>700</v>
      </c>
      <c r="L21" s="77" t="s">
        <v>812</v>
      </c>
      <c r="M21" s="67"/>
    </row>
    <row r="22" spans="1:13" hidden="1" x14ac:dyDescent="0.3">
      <c r="A22" s="71">
        <v>124</v>
      </c>
      <c r="B22" s="70" t="s">
        <v>814</v>
      </c>
      <c r="C22" s="70" t="s">
        <v>787</v>
      </c>
      <c r="D22" s="82" t="s">
        <v>254</v>
      </c>
      <c r="E22" s="64" t="s">
        <v>789</v>
      </c>
      <c r="F22" s="74"/>
      <c r="G22" s="75"/>
      <c r="H22" s="75">
        <v>2000</v>
      </c>
      <c r="I22" s="76"/>
      <c r="J22" s="76">
        <v>4779.5</v>
      </c>
      <c r="K22" s="65">
        <f t="shared" si="2"/>
        <v>6779.5</v>
      </c>
      <c r="L22" s="77"/>
      <c r="M22" s="67" t="s">
        <v>995</v>
      </c>
    </row>
    <row r="23" spans="1:13" hidden="1" x14ac:dyDescent="0.3">
      <c r="A23" s="71">
        <v>124</v>
      </c>
      <c r="B23" s="70" t="s">
        <v>814</v>
      </c>
      <c r="C23" s="70" t="s">
        <v>790</v>
      </c>
      <c r="D23" s="72" t="s">
        <v>815</v>
      </c>
      <c r="E23" s="64"/>
      <c r="F23" s="74"/>
      <c r="G23" s="75">
        <v>100</v>
      </c>
      <c r="H23" s="75"/>
      <c r="I23" s="76"/>
      <c r="J23" s="76"/>
      <c r="K23" s="65">
        <f t="shared" si="2"/>
        <v>100</v>
      </c>
      <c r="L23" s="77" t="s">
        <v>792</v>
      </c>
      <c r="M23" s="67"/>
    </row>
    <row r="24" spans="1:13" hidden="1" x14ac:dyDescent="0.3">
      <c r="A24" s="71">
        <v>124</v>
      </c>
      <c r="B24" s="70" t="s">
        <v>814</v>
      </c>
      <c r="C24" s="70" t="s">
        <v>790</v>
      </c>
      <c r="D24" s="82" t="s">
        <v>996</v>
      </c>
      <c r="E24" s="64" t="s">
        <v>789</v>
      </c>
      <c r="F24" s="74">
        <v>5.0000000000000001E-3</v>
      </c>
      <c r="G24" s="75">
        <v>200</v>
      </c>
      <c r="H24" s="75">
        <v>200</v>
      </c>
      <c r="I24" s="76"/>
      <c r="J24" s="76"/>
      <c r="K24" s="65">
        <f t="shared" si="2"/>
        <v>400</v>
      </c>
      <c r="L24" s="77" t="s">
        <v>792</v>
      </c>
      <c r="M24" s="67"/>
    </row>
    <row r="25" spans="1:13" hidden="1" x14ac:dyDescent="0.3">
      <c r="A25" s="71">
        <v>125</v>
      </c>
      <c r="B25" s="70" t="s">
        <v>816</v>
      </c>
      <c r="C25" s="70" t="s">
        <v>790</v>
      </c>
      <c r="D25" s="82" t="s">
        <v>818</v>
      </c>
      <c r="E25" s="73">
        <v>2.8000000000000001E-2</v>
      </c>
      <c r="F25" s="74">
        <v>5.0000000000000001E-3</v>
      </c>
      <c r="G25" s="75">
        <v>300</v>
      </c>
      <c r="H25" s="75">
        <v>200</v>
      </c>
      <c r="I25" s="76">
        <v>200</v>
      </c>
      <c r="J25" s="76"/>
      <c r="K25" s="65">
        <f t="shared" si="2"/>
        <v>700</v>
      </c>
      <c r="L25" s="77" t="s">
        <v>812</v>
      </c>
      <c r="M25" s="67"/>
    </row>
    <row r="26" spans="1:13" hidden="1" x14ac:dyDescent="0.3">
      <c r="A26" s="71">
        <v>125</v>
      </c>
      <c r="B26" s="70" t="s">
        <v>816</v>
      </c>
      <c r="C26" s="70" t="s">
        <v>787</v>
      </c>
      <c r="D26" s="72" t="s">
        <v>817</v>
      </c>
      <c r="E26" s="64" t="s">
        <v>789</v>
      </c>
      <c r="F26" s="74"/>
      <c r="G26" s="75"/>
      <c r="H26" s="75">
        <v>2000</v>
      </c>
      <c r="I26" s="76"/>
      <c r="J26" s="76"/>
      <c r="K26" s="65">
        <f t="shared" si="2"/>
        <v>2000</v>
      </c>
      <c r="L26" s="77"/>
      <c r="M26" s="67"/>
    </row>
    <row r="27" spans="1:13" hidden="1" x14ac:dyDescent="0.3">
      <c r="A27" s="71">
        <v>125</v>
      </c>
      <c r="B27" s="70" t="s">
        <v>816</v>
      </c>
      <c r="C27" s="70" t="s">
        <v>790</v>
      </c>
      <c r="D27" s="82"/>
      <c r="E27" s="73">
        <v>2.8000000000000001E-2</v>
      </c>
      <c r="F27" s="74">
        <v>5.0000000000000001E-3</v>
      </c>
      <c r="G27" s="75"/>
      <c r="H27" s="75"/>
      <c r="I27" s="76"/>
      <c r="J27" s="76"/>
      <c r="K27" s="65">
        <f t="shared" si="2"/>
        <v>0</v>
      </c>
      <c r="L27" s="77" t="s">
        <v>812</v>
      </c>
      <c r="M27" s="67"/>
    </row>
    <row r="28" spans="1:13" hidden="1" x14ac:dyDescent="0.3">
      <c r="A28" s="71">
        <v>125</v>
      </c>
      <c r="B28" s="70" t="s">
        <v>816</v>
      </c>
      <c r="C28" s="70" t="s">
        <v>794</v>
      </c>
      <c r="D28" s="82"/>
      <c r="E28" s="73"/>
      <c r="F28" s="74"/>
      <c r="G28" s="75"/>
      <c r="H28" s="75"/>
      <c r="I28" s="76"/>
      <c r="J28" s="76"/>
      <c r="K28" s="65">
        <f t="shared" si="2"/>
        <v>0</v>
      </c>
      <c r="L28" s="77"/>
      <c r="M28" s="67"/>
    </row>
    <row r="29" spans="1:13" hidden="1" x14ac:dyDescent="0.3">
      <c r="A29" s="71">
        <v>139</v>
      </c>
      <c r="B29" s="70" t="s">
        <v>819</v>
      </c>
      <c r="C29" s="70" t="s">
        <v>790</v>
      </c>
      <c r="D29" s="80" t="s">
        <v>331</v>
      </c>
      <c r="E29" s="73">
        <v>2.8000000000000001E-2</v>
      </c>
      <c r="F29" s="74">
        <v>5.0000000000000001E-3</v>
      </c>
      <c r="G29" s="75">
        <v>400</v>
      </c>
      <c r="H29" s="75">
        <v>200</v>
      </c>
      <c r="I29" s="76">
        <v>200</v>
      </c>
      <c r="J29" s="76"/>
      <c r="K29" s="65">
        <f t="shared" si="2"/>
        <v>800</v>
      </c>
      <c r="L29" s="77" t="s">
        <v>792</v>
      </c>
      <c r="M29" s="67"/>
    </row>
    <row r="30" spans="1:13" hidden="1" x14ac:dyDescent="0.3">
      <c r="A30" s="71">
        <v>139</v>
      </c>
      <c r="B30" s="70" t="s">
        <v>819</v>
      </c>
      <c r="C30" s="70" t="s">
        <v>790</v>
      </c>
      <c r="D30" s="72" t="s">
        <v>820</v>
      </c>
      <c r="E30" s="73">
        <v>2.8000000000000001E-2</v>
      </c>
      <c r="F30" s="74">
        <v>5.0000000000000001E-3</v>
      </c>
      <c r="G30" s="75">
        <v>400</v>
      </c>
      <c r="H30" s="75">
        <v>200</v>
      </c>
      <c r="I30" s="76">
        <v>200</v>
      </c>
      <c r="J30" s="76"/>
      <c r="K30" s="65">
        <f t="shared" si="2"/>
        <v>800</v>
      </c>
      <c r="L30" s="77" t="s">
        <v>792</v>
      </c>
      <c r="M30" s="67"/>
    </row>
    <row r="31" spans="1:13" hidden="1" x14ac:dyDescent="0.3">
      <c r="A31" s="71">
        <v>139</v>
      </c>
      <c r="B31" s="70" t="s">
        <v>819</v>
      </c>
      <c r="C31" s="70" t="s">
        <v>787</v>
      </c>
      <c r="D31" s="82" t="s">
        <v>810</v>
      </c>
      <c r="E31" s="64" t="s">
        <v>789</v>
      </c>
      <c r="F31" s="74"/>
      <c r="G31" s="75"/>
      <c r="H31" s="75">
        <v>2000</v>
      </c>
      <c r="I31" s="76"/>
      <c r="J31" s="76"/>
      <c r="K31" s="65">
        <f t="shared" si="2"/>
        <v>2000</v>
      </c>
      <c r="L31" s="77"/>
      <c r="M31" s="67"/>
    </row>
    <row r="32" spans="1:13" hidden="1" x14ac:dyDescent="0.3">
      <c r="A32" s="71">
        <v>139</v>
      </c>
      <c r="B32" s="70" t="s">
        <v>819</v>
      </c>
      <c r="C32" s="70" t="s">
        <v>790</v>
      </c>
      <c r="D32" s="72"/>
      <c r="E32" s="73"/>
      <c r="F32" s="74"/>
      <c r="G32" s="75"/>
      <c r="H32" s="75"/>
      <c r="I32" s="76"/>
      <c r="J32" s="76"/>
      <c r="K32" s="65">
        <f t="shared" si="2"/>
        <v>0</v>
      </c>
      <c r="L32" s="77"/>
      <c r="M32" s="67"/>
    </row>
    <row r="33" spans="1:13" hidden="1" x14ac:dyDescent="0.3">
      <c r="A33" s="71">
        <v>144</v>
      </c>
      <c r="B33" s="70" t="s">
        <v>821</v>
      </c>
      <c r="C33" s="70" t="s">
        <v>790</v>
      </c>
      <c r="D33" s="72" t="s">
        <v>358</v>
      </c>
      <c r="E33" s="73">
        <v>3.2000000000000001E-2</v>
      </c>
      <c r="F33" s="74">
        <v>5.0000000000000001E-3</v>
      </c>
      <c r="G33" s="75">
        <v>140</v>
      </c>
      <c r="H33" s="75">
        <v>70</v>
      </c>
      <c r="I33" s="76">
        <v>70</v>
      </c>
      <c r="J33" s="76"/>
      <c r="K33" s="65">
        <f t="shared" si="2"/>
        <v>280</v>
      </c>
      <c r="L33" s="77" t="s">
        <v>824</v>
      </c>
      <c r="M33" s="67"/>
    </row>
    <row r="34" spans="1:13" hidden="1" x14ac:dyDescent="0.3">
      <c r="A34" s="71">
        <v>144</v>
      </c>
      <c r="B34" s="70" t="s">
        <v>821</v>
      </c>
      <c r="C34" s="70" t="s">
        <v>790</v>
      </c>
      <c r="D34" s="80" t="s">
        <v>823</v>
      </c>
      <c r="E34" s="73">
        <v>3.2000000000000001E-2</v>
      </c>
      <c r="F34" s="74">
        <v>5.0000000000000001E-3</v>
      </c>
      <c r="G34" s="75">
        <v>300</v>
      </c>
      <c r="H34" s="75">
        <v>150</v>
      </c>
      <c r="I34" s="76">
        <v>150</v>
      </c>
      <c r="J34" s="76"/>
      <c r="K34" s="65">
        <f t="shared" si="2"/>
        <v>600</v>
      </c>
      <c r="L34" s="77" t="s">
        <v>824</v>
      </c>
      <c r="M34" s="67"/>
    </row>
    <row r="35" spans="1:13" hidden="1" x14ac:dyDescent="0.3">
      <c r="A35" s="71">
        <v>144</v>
      </c>
      <c r="B35" s="70" t="s">
        <v>821</v>
      </c>
      <c r="C35" s="70" t="s">
        <v>787</v>
      </c>
      <c r="D35" s="72" t="s">
        <v>822</v>
      </c>
      <c r="E35" s="64" t="s">
        <v>789</v>
      </c>
      <c r="F35" s="74"/>
      <c r="G35" s="75"/>
      <c r="H35" s="75">
        <v>2000</v>
      </c>
      <c r="I35" s="76"/>
      <c r="J35" s="76"/>
      <c r="K35" s="65">
        <f t="shared" si="2"/>
        <v>2000</v>
      </c>
      <c r="L35" s="77"/>
      <c r="M35" s="67"/>
    </row>
    <row r="36" spans="1:13" hidden="1" x14ac:dyDescent="0.3">
      <c r="A36" s="71">
        <v>156</v>
      </c>
      <c r="B36" s="70" t="s">
        <v>825</v>
      </c>
      <c r="C36" s="70" t="s">
        <v>790</v>
      </c>
      <c r="D36" s="72" t="s">
        <v>828</v>
      </c>
      <c r="E36" s="73">
        <v>3.2000000000000001E-2</v>
      </c>
      <c r="F36" s="74">
        <v>5.0000000000000001E-3</v>
      </c>
      <c r="G36" s="75">
        <v>300</v>
      </c>
      <c r="H36" s="75">
        <v>200</v>
      </c>
      <c r="I36" s="76">
        <v>200</v>
      </c>
      <c r="J36" s="76"/>
      <c r="K36" s="65">
        <f t="shared" si="2"/>
        <v>700</v>
      </c>
      <c r="L36" s="77" t="s">
        <v>812</v>
      </c>
      <c r="M36" s="67"/>
    </row>
    <row r="37" spans="1:13" hidden="1" x14ac:dyDescent="0.3">
      <c r="A37" s="71">
        <v>156</v>
      </c>
      <c r="B37" s="70" t="s">
        <v>825</v>
      </c>
      <c r="C37" s="70" t="s">
        <v>790</v>
      </c>
      <c r="D37" s="83" t="s">
        <v>827</v>
      </c>
      <c r="E37" s="73">
        <v>3.2000000000000001E-2</v>
      </c>
      <c r="F37" s="74">
        <v>5.0000000000000001E-3</v>
      </c>
      <c r="G37" s="75">
        <v>300</v>
      </c>
      <c r="H37" s="75">
        <v>200</v>
      </c>
      <c r="I37" s="76">
        <v>200</v>
      </c>
      <c r="J37" s="76"/>
      <c r="K37" s="65">
        <f t="shared" si="2"/>
        <v>700</v>
      </c>
      <c r="L37" s="77" t="s">
        <v>812</v>
      </c>
      <c r="M37" s="67"/>
    </row>
    <row r="38" spans="1:13" hidden="1" x14ac:dyDescent="0.3">
      <c r="A38" s="71">
        <v>156</v>
      </c>
      <c r="B38" s="70" t="s">
        <v>825</v>
      </c>
      <c r="C38" s="70" t="s">
        <v>787</v>
      </c>
      <c r="D38" s="72" t="s">
        <v>826</v>
      </c>
      <c r="E38" s="64" t="s">
        <v>789</v>
      </c>
      <c r="F38" s="74"/>
      <c r="G38" s="75"/>
      <c r="H38" s="75">
        <v>2000</v>
      </c>
      <c r="I38" s="76"/>
      <c r="J38" s="76"/>
      <c r="K38" s="65">
        <f t="shared" si="2"/>
        <v>2000</v>
      </c>
      <c r="L38" s="77"/>
      <c r="M38" s="67"/>
    </row>
    <row r="39" spans="1:13" hidden="1" x14ac:dyDescent="0.3">
      <c r="A39" s="71">
        <v>156</v>
      </c>
      <c r="B39" s="70" t="s">
        <v>825</v>
      </c>
      <c r="C39" s="70" t="s">
        <v>790</v>
      </c>
      <c r="D39" s="72"/>
      <c r="E39" s="73">
        <v>3.2000000000000001E-2</v>
      </c>
      <c r="F39" s="74">
        <v>5.0000000000000001E-3</v>
      </c>
      <c r="G39" s="75"/>
      <c r="H39" s="75"/>
      <c r="I39" s="76"/>
      <c r="J39" s="76"/>
      <c r="K39" s="65">
        <f t="shared" si="2"/>
        <v>0</v>
      </c>
      <c r="L39" s="77" t="s">
        <v>812</v>
      </c>
      <c r="M39" s="67"/>
    </row>
    <row r="40" spans="1:13" hidden="1" x14ac:dyDescent="0.3">
      <c r="A40" s="71">
        <v>173</v>
      </c>
      <c r="B40" s="70" t="s">
        <v>829</v>
      </c>
      <c r="C40" s="70" t="s">
        <v>790</v>
      </c>
      <c r="D40" s="84" t="s">
        <v>491</v>
      </c>
      <c r="E40" s="73" t="s">
        <v>802</v>
      </c>
      <c r="F40" s="74"/>
      <c r="G40" s="75">
        <v>400</v>
      </c>
      <c r="H40" s="75">
        <v>200</v>
      </c>
      <c r="I40" s="76"/>
      <c r="J40" s="76"/>
      <c r="K40" s="65">
        <f t="shared" si="2"/>
        <v>600</v>
      </c>
      <c r="L40" s="77" t="s">
        <v>792</v>
      </c>
      <c r="M40" s="67"/>
    </row>
    <row r="41" spans="1:13" hidden="1" x14ac:dyDescent="0.3">
      <c r="A41" s="71">
        <v>173</v>
      </c>
      <c r="B41" s="70" t="s">
        <v>829</v>
      </c>
      <c r="C41" s="70" t="s">
        <v>787</v>
      </c>
      <c r="D41" s="72" t="s">
        <v>830</v>
      </c>
      <c r="E41" s="64" t="s">
        <v>789</v>
      </c>
      <c r="F41" s="74"/>
      <c r="G41" s="75"/>
      <c r="H41" s="75">
        <v>2000</v>
      </c>
      <c r="I41" s="76"/>
      <c r="J41" s="76"/>
      <c r="K41" s="65">
        <f t="shared" si="2"/>
        <v>2000</v>
      </c>
      <c r="L41" s="77"/>
      <c r="M41" s="67"/>
    </row>
    <row r="42" spans="1:13" hidden="1" x14ac:dyDescent="0.3">
      <c r="A42" s="71">
        <v>173</v>
      </c>
      <c r="B42" s="70" t="s">
        <v>829</v>
      </c>
      <c r="C42" s="70" t="s">
        <v>790</v>
      </c>
      <c r="D42" s="84"/>
      <c r="E42" s="73" t="s">
        <v>802</v>
      </c>
      <c r="F42" s="74"/>
      <c r="G42" s="75">
        <v>400</v>
      </c>
      <c r="H42" s="75"/>
      <c r="I42" s="76"/>
      <c r="J42" s="76"/>
      <c r="K42" s="65">
        <f t="shared" si="2"/>
        <v>400</v>
      </c>
      <c r="L42" s="77" t="s">
        <v>792</v>
      </c>
      <c r="M42" s="67"/>
    </row>
    <row r="43" spans="1:13" hidden="1" x14ac:dyDescent="0.3">
      <c r="A43" s="85">
        <v>181</v>
      </c>
      <c r="B43" s="70" t="s">
        <v>831</v>
      </c>
      <c r="C43" s="70" t="s">
        <v>790</v>
      </c>
      <c r="D43" s="86" t="s">
        <v>833</v>
      </c>
      <c r="E43" s="73">
        <v>2.8000000000000001E-2</v>
      </c>
      <c r="F43" s="74">
        <v>5.0000000000000001E-3</v>
      </c>
      <c r="G43" s="75">
        <v>400</v>
      </c>
      <c r="H43" s="75">
        <v>200</v>
      </c>
      <c r="I43" s="76">
        <v>200</v>
      </c>
      <c r="J43" s="76"/>
      <c r="K43" s="65">
        <f t="shared" si="2"/>
        <v>800</v>
      </c>
      <c r="L43" s="77" t="s">
        <v>792</v>
      </c>
      <c r="M43" s="67"/>
    </row>
    <row r="44" spans="1:13" hidden="1" x14ac:dyDescent="0.3">
      <c r="A44" s="71">
        <v>181</v>
      </c>
      <c r="B44" s="70" t="s">
        <v>831</v>
      </c>
      <c r="C44" s="70" t="s">
        <v>787</v>
      </c>
      <c r="D44" s="84" t="s">
        <v>832</v>
      </c>
      <c r="E44" s="64" t="s">
        <v>789</v>
      </c>
      <c r="F44" s="74"/>
      <c r="G44" s="75"/>
      <c r="H44" s="75">
        <v>2000</v>
      </c>
      <c r="I44" s="76"/>
      <c r="J44" s="76"/>
      <c r="K44" s="65">
        <f t="shared" si="2"/>
        <v>2000</v>
      </c>
      <c r="L44" s="77"/>
      <c r="M44" s="67"/>
    </row>
    <row r="45" spans="1:13" hidden="1" x14ac:dyDescent="0.3">
      <c r="A45" s="85">
        <v>181</v>
      </c>
      <c r="B45" s="70" t="s">
        <v>831</v>
      </c>
      <c r="C45" s="70" t="s">
        <v>790</v>
      </c>
      <c r="D45" s="86" t="s">
        <v>572</v>
      </c>
      <c r="E45" s="73">
        <v>2.8000000000000001E-2</v>
      </c>
      <c r="F45" s="74">
        <v>5.0000000000000001E-3</v>
      </c>
      <c r="G45" s="75">
        <v>400</v>
      </c>
      <c r="H45" s="75">
        <v>200</v>
      </c>
      <c r="I45" s="76">
        <v>200</v>
      </c>
      <c r="J45" s="87"/>
      <c r="K45" s="65">
        <f t="shared" si="2"/>
        <v>800</v>
      </c>
      <c r="L45" s="77" t="s">
        <v>792</v>
      </c>
      <c r="M45" s="67"/>
    </row>
    <row r="46" spans="1:13" hidden="1" x14ac:dyDescent="0.3">
      <c r="A46" s="88">
        <v>200</v>
      </c>
      <c r="B46" s="70" t="s">
        <v>834</v>
      </c>
      <c r="C46" s="70" t="s">
        <v>790</v>
      </c>
      <c r="D46" s="72" t="s">
        <v>836</v>
      </c>
      <c r="E46" s="73">
        <v>2.8000000000000001E-2</v>
      </c>
      <c r="F46" s="74">
        <v>5.0000000000000001E-3</v>
      </c>
      <c r="G46" s="75"/>
      <c r="H46" s="75"/>
      <c r="I46" s="76"/>
      <c r="J46" s="76"/>
      <c r="K46" s="65">
        <f t="shared" si="2"/>
        <v>0</v>
      </c>
      <c r="L46" s="77"/>
      <c r="M46" s="67"/>
    </row>
    <row r="47" spans="1:13" hidden="1" x14ac:dyDescent="0.3">
      <c r="A47" s="88">
        <v>200</v>
      </c>
      <c r="B47" s="70" t="s">
        <v>834</v>
      </c>
      <c r="C47" s="70" t="s">
        <v>790</v>
      </c>
      <c r="D47" s="86" t="s">
        <v>835</v>
      </c>
      <c r="E47" s="73">
        <v>2.8000000000000001E-2</v>
      </c>
      <c r="F47" s="74">
        <v>5.0000000000000001E-3</v>
      </c>
      <c r="G47" s="75">
        <v>150</v>
      </c>
      <c r="H47" s="75">
        <v>75</v>
      </c>
      <c r="I47" s="76">
        <v>75</v>
      </c>
      <c r="J47" s="76">
        <v>390</v>
      </c>
      <c r="K47" s="65">
        <f t="shared" si="2"/>
        <v>690</v>
      </c>
      <c r="L47" s="77" t="s">
        <v>824</v>
      </c>
      <c r="M47" s="67"/>
    </row>
    <row r="48" spans="1:13" hidden="1" x14ac:dyDescent="0.3">
      <c r="A48" s="85">
        <v>200</v>
      </c>
      <c r="B48" s="70" t="s">
        <v>834</v>
      </c>
      <c r="C48" s="70" t="s">
        <v>787</v>
      </c>
      <c r="D48" s="86" t="s">
        <v>826</v>
      </c>
      <c r="E48" s="64" t="s">
        <v>789</v>
      </c>
      <c r="F48" s="74"/>
      <c r="G48" s="75"/>
      <c r="H48" s="75">
        <v>2000</v>
      </c>
      <c r="I48" s="76"/>
      <c r="J48" s="76"/>
      <c r="K48" s="65">
        <f t="shared" si="2"/>
        <v>2000</v>
      </c>
      <c r="L48" s="77"/>
      <c r="M48" s="67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workbookViewId="0">
      <selection activeCell="D10" sqref="D10"/>
    </sheetView>
  </sheetViews>
  <sheetFormatPr defaultRowHeight="14.4" x14ac:dyDescent="0.3"/>
  <cols>
    <col min="1" max="1" width="7" style="57" customWidth="1"/>
    <col min="2" max="3" width="20" style="57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72"/>
      <c r="C1" s="272"/>
      <c r="D1" s="272"/>
      <c r="E1" s="272"/>
      <c r="F1" s="272"/>
      <c r="G1" s="272"/>
      <c r="H1" s="272"/>
    </row>
    <row r="3" spans="1:14" x14ac:dyDescent="0.3">
      <c r="A3" s="136" t="s">
        <v>770</v>
      </c>
      <c r="B3" s="136" t="s">
        <v>692</v>
      </c>
      <c r="C3" s="136" t="s">
        <v>787</v>
      </c>
      <c r="D3" s="136" t="s">
        <v>837</v>
      </c>
      <c r="E3" s="136" t="s">
        <v>838</v>
      </c>
      <c r="F3" s="136"/>
      <c r="G3" s="274" t="s">
        <v>772</v>
      </c>
      <c r="H3" s="274"/>
      <c r="I3" s="136" t="s">
        <v>997</v>
      </c>
      <c r="J3" s="136" t="s">
        <v>780</v>
      </c>
      <c r="K3" s="136" t="s">
        <v>781</v>
      </c>
      <c r="L3" s="136" t="s">
        <v>782</v>
      </c>
      <c r="M3" s="136" t="s">
        <v>773</v>
      </c>
      <c r="N3" s="136" t="s">
        <v>839</v>
      </c>
    </row>
    <row r="4" spans="1:14" s="68" customFormat="1" x14ac:dyDescent="0.3">
      <c r="A4" s="89" t="s">
        <v>692</v>
      </c>
      <c r="B4" s="89" t="s">
        <v>774</v>
      </c>
      <c r="C4" s="89"/>
      <c r="D4" s="90" t="s">
        <v>840</v>
      </c>
      <c r="E4" s="90" t="s">
        <v>841</v>
      </c>
      <c r="F4" s="90"/>
      <c r="G4" s="90" t="s">
        <v>777</v>
      </c>
      <c r="H4" s="89" t="s">
        <v>778</v>
      </c>
      <c r="I4" s="91"/>
      <c r="J4" s="91"/>
      <c r="K4" s="91"/>
      <c r="L4" s="91"/>
      <c r="M4" s="89" t="s">
        <v>784</v>
      </c>
      <c r="N4" s="92"/>
    </row>
    <row r="5" spans="1:14" s="68" customFormat="1" x14ac:dyDescent="0.3">
      <c r="A5" s="93">
        <v>95</v>
      </c>
      <c r="B5" s="9" t="s">
        <v>842</v>
      </c>
      <c r="C5" s="103" t="s">
        <v>998</v>
      </c>
      <c r="D5" s="103"/>
      <c r="E5" s="90"/>
      <c r="F5" s="90"/>
      <c r="G5" s="178" t="s">
        <v>999</v>
      </c>
      <c r="H5" s="89"/>
      <c r="I5" s="91"/>
      <c r="J5" s="179">
        <v>2000</v>
      </c>
      <c r="K5" s="91"/>
      <c r="L5" s="91"/>
      <c r="M5" s="89"/>
      <c r="N5" s="92"/>
    </row>
    <row r="6" spans="1:14" x14ac:dyDescent="0.3">
      <c r="A6" s="93">
        <v>95</v>
      </c>
      <c r="B6" s="9" t="s">
        <v>842</v>
      </c>
      <c r="C6" s="9"/>
      <c r="D6" s="9" t="s">
        <v>843</v>
      </c>
      <c r="E6" s="9" t="s">
        <v>836</v>
      </c>
      <c r="F6" s="9"/>
      <c r="G6" s="94">
        <v>3.2000000000000001E-2</v>
      </c>
      <c r="H6" s="95">
        <v>5.0000000000000001E-3</v>
      </c>
      <c r="I6" s="96">
        <v>300</v>
      </c>
      <c r="J6" s="96">
        <v>150</v>
      </c>
      <c r="K6" s="96">
        <v>150</v>
      </c>
      <c r="L6" s="97"/>
      <c r="M6" s="4" t="s">
        <v>824</v>
      </c>
      <c r="N6" s="98"/>
    </row>
    <row r="7" spans="1:14" x14ac:dyDescent="0.3">
      <c r="A7" s="93">
        <v>103</v>
      </c>
      <c r="B7" s="9" t="s">
        <v>844</v>
      </c>
      <c r="C7" s="9" t="s">
        <v>1000</v>
      </c>
      <c r="D7" s="9"/>
      <c r="E7" s="9"/>
      <c r="F7" s="9"/>
      <c r="G7" s="178" t="s">
        <v>1001</v>
      </c>
      <c r="H7" s="95"/>
      <c r="I7" s="96"/>
      <c r="J7" s="96">
        <v>2000</v>
      </c>
      <c r="K7" s="96"/>
      <c r="L7" s="97"/>
      <c r="M7" s="4"/>
      <c r="N7" s="98"/>
    </row>
    <row r="8" spans="1:14" x14ac:dyDescent="0.3">
      <c r="A8" s="93">
        <v>103</v>
      </c>
      <c r="B8" s="9" t="s">
        <v>844</v>
      </c>
      <c r="C8" s="9"/>
      <c r="D8" s="9" t="s">
        <v>148</v>
      </c>
      <c r="E8" s="9" t="s">
        <v>836</v>
      </c>
      <c r="F8" s="9"/>
      <c r="G8" s="94">
        <v>3.2000000000000001E-2</v>
      </c>
      <c r="H8" s="95">
        <v>5.0000000000000001E-3</v>
      </c>
      <c r="I8" s="96">
        <v>400</v>
      </c>
      <c r="J8" s="96">
        <v>200</v>
      </c>
      <c r="K8" s="96">
        <v>200</v>
      </c>
      <c r="L8" s="97"/>
      <c r="M8" s="4" t="s">
        <v>792</v>
      </c>
      <c r="N8" s="98"/>
    </row>
    <row r="9" spans="1:14" x14ac:dyDescent="0.3">
      <c r="A9" s="93">
        <v>104</v>
      </c>
      <c r="B9" s="4" t="s">
        <v>845</v>
      </c>
      <c r="C9" s="9" t="s">
        <v>1002</v>
      </c>
      <c r="D9" s="9"/>
      <c r="E9" s="9"/>
      <c r="F9" s="9"/>
      <c r="G9" s="178" t="s">
        <v>999</v>
      </c>
      <c r="H9" s="95"/>
      <c r="I9" s="96"/>
      <c r="J9" s="96"/>
      <c r="K9" s="96"/>
      <c r="L9" s="97"/>
      <c r="M9" s="4"/>
      <c r="N9" s="98"/>
    </row>
    <row r="10" spans="1:14" x14ac:dyDescent="0.3">
      <c r="A10" s="93">
        <v>104</v>
      </c>
      <c r="B10" s="4" t="s">
        <v>845</v>
      </c>
      <c r="C10" s="4"/>
      <c r="D10" s="105" t="s">
        <v>169</v>
      </c>
      <c r="E10" s="9" t="s">
        <v>1003</v>
      </c>
      <c r="F10" s="9"/>
      <c r="G10" s="94">
        <v>0.02</v>
      </c>
      <c r="H10" s="95">
        <v>5.0000000000000001E-3</v>
      </c>
      <c r="I10" s="96">
        <v>300</v>
      </c>
      <c r="J10" s="96"/>
      <c r="K10" s="96"/>
      <c r="L10" s="97"/>
      <c r="M10" s="4" t="s">
        <v>824</v>
      </c>
      <c r="N10" s="98"/>
    </row>
    <row r="11" spans="1:14" x14ac:dyDescent="0.3">
      <c r="A11" s="93">
        <v>105</v>
      </c>
      <c r="B11" s="9" t="s">
        <v>846</v>
      </c>
      <c r="C11" s="4" t="s">
        <v>1004</v>
      </c>
      <c r="D11" s="105"/>
      <c r="E11" s="180"/>
      <c r="F11" s="99"/>
      <c r="G11" s="178" t="s">
        <v>1005</v>
      </c>
      <c r="H11" s="95"/>
      <c r="I11" s="96"/>
      <c r="J11" s="96"/>
      <c r="K11" s="96"/>
      <c r="L11" s="97"/>
      <c r="M11" s="4"/>
      <c r="N11" s="98"/>
    </row>
    <row r="12" spans="1:14" x14ac:dyDescent="0.3">
      <c r="A12" s="93">
        <v>105</v>
      </c>
      <c r="B12" s="9" t="s">
        <v>846</v>
      </c>
      <c r="C12" s="9"/>
      <c r="D12" s="100" t="s">
        <v>847</v>
      </c>
      <c r="E12" s="181" t="s">
        <v>191</v>
      </c>
      <c r="F12" s="100"/>
      <c r="G12" s="94">
        <v>2.8000000000000001E-2</v>
      </c>
      <c r="H12" s="95">
        <v>5.0000000000000001E-3</v>
      </c>
      <c r="I12" s="96">
        <v>300</v>
      </c>
      <c r="J12" s="96"/>
      <c r="K12" s="96"/>
      <c r="L12" s="97"/>
      <c r="M12" s="4" t="s">
        <v>824</v>
      </c>
      <c r="N12" s="98"/>
    </row>
    <row r="13" spans="1:14" x14ac:dyDescent="0.3">
      <c r="A13" s="93">
        <v>126</v>
      </c>
      <c r="B13" s="9" t="s">
        <v>848</v>
      </c>
      <c r="C13" s="9" t="s">
        <v>1006</v>
      </c>
      <c r="D13" s="100"/>
      <c r="E13" s="100"/>
      <c r="F13" s="100"/>
      <c r="G13" s="178" t="s">
        <v>1005</v>
      </c>
      <c r="H13" s="95"/>
      <c r="I13" s="96"/>
      <c r="J13" s="96">
        <v>2000</v>
      </c>
      <c r="K13" s="96"/>
      <c r="L13" s="97"/>
      <c r="M13" s="4"/>
      <c r="N13" s="98"/>
    </row>
    <row r="14" spans="1:14" x14ac:dyDescent="0.3">
      <c r="A14" s="93">
        <v>126</v>
      </c>
      <c r="B14" s="9" t="s">
        <v>848</v>
      </c>
      <c r="C14" s="9"/>
      <c r="D14" s="104" t="s">
        <v>696</v>
      </c>
      <c r="E14" s="104" t="s">
        <v>697</v>
      </c>
      <c r="F14" s="182"/>
      <c r="G14" s="94">
        <v>3.2000000000000001E-2</v>
      </c>
      <c r="H14" s="95">
        <v>5.0000000000000001E-3</v>
      </c>
      <c r="I14" s="96">
        <v>300</v>
      </c>
      <c r="J14" s="96">
        <v>200</v>
      </c>
      <c r="K14" s="96">
        <v>200</v>
      </c>
      <c r="L14" s="97"/>
      <c r="M14" s="4" t="s">
        <v>812</v>
      </c>
      <c r="N14" s="101"/>
    </row>
    <row r="15" spans="1:14" x14ac:dyDescent="0.3">
      <c r="A15" s="93">
        <v>127</v>
      </c>
      <c r="B15" s="9" t="s">
        <v>849</v>
      </c>
      <c r="C15" s="9" t="s">
        <v>1007</v>
      </c>
      <c r="D15" s="104"/>
      <c r="E15" s="104"/>
      <c r="F15" s="182"/>
      <c r="G15" s="178" t="s">
        <v>1008</v>
      </c>
      <c r="H15" s="95"/>
      <c r="I15" s="96"/>
      <c r="J15" s="96">
        <v>2000</v>
      </c>
      <c r="K15" s="96"/>
      <c r="L15" s="97"/>
      <c r="M15" s="4"/>
      <c r="N15" s="101"/>
    </row>
    <row r="16" spans="1:14" x14ac:dyDescent="0.3">
      <c r="A16" s="93">
        <v>127</v>
      </c>
      <c r="B16" s="9" t="s">
        <v>849</v>
      </c>
      <c r="C16" s="9"/>
      <c r="D16" s="9" t="s">
        <v>850</v>
      </c>
      <c r="E16" s="183" t="s">
        <v>1009</v>
      </c>
      <c r="F16" s="9"/>
      <c r="G16" s="94">
        <v>3.2000000000000001E-2</v>
      </c>
      <c r="H16" s="95">
        <v>5.0000000000000001E-3</v>
      </c>
      <c r="I16" s="96">
        <v>300</v>
      </c>
      <c r="J16" s="96">
        <v>150</v>
      </c>
      <c r="K16" s="96"/>
      <c r="L16" s="97"/>
      <c r="M16" s="4" t="s">
        <v>824</v>
      </c>
      <c r="N16" s="102"/>
    </row>
    <row r="17" spans="1:14" x14ac:dyDescent="0.3">
      <c r="A17" s="93">
        <v>154</v>
      </c>
      <c r="B17" s="9" t="s">
        <v>851</v>
      </c>
      <c r="C17" s="103" t="s">
        <v>385</v>
      </c>
      <c r="D17" s="9"/>
      <c r="E17" s="183"/>
      <c r="F17" s="9"/>
      <c r="G17" s="178" t="s">
        <v>1010</v>
      </c>
      <c r="H17" s="95"/>
      <c r="I17" s="96"/>
      <c r="J17" s="96">
        <v>2000</v>
      </c>
      <c r="K17" s="96"/>
      <c r="L17" s="97">
        <v>4925.3900000000003</v>
      </c>
      <c r="M17" s="4"/>
      <c r="N17" s="102"/>
    </row>
    <row r="18" spans="1:14" x14ac:dyDescent="0.3">
      <c r="A18" s="93">
        <v>154</v>
      </c>
      <c r="B18" s="9" t="s">
        <v>851</v>
      </c>
      <c r="C18" s="9"/>
      <c r="D18" s="183" t="s">
        <v>836</v>
      </c>
      <c r="E18" s="183" t="s">
        <v>1011</v>
      </c>
      <c r="F18" s="9"/>
      <c r="G18" s="94">
        <v>3.2000000000000001E-2</v>
      </c>
      <c r="H18" s="95">
        <v>5.0000000000000001E-3</v>
      </c>
      <c r="I18" s="96">
        <v>300</v>
      </c>
      <c r="J18" s="96">
        <v>150</v>
      </c>
      <c r="K18" s="96">
        <v>150</v>
      </c>
      <c r="L18" s="97"/>
      <c r="M18" s="4" t="s">
        <v>824</v>
      </c>
      <c r="N18" s="104"/>
    </row>
    <row r="19" spans="1:14" x14ac:dyDescent="0.3">
      <c r="A19" s="93">
        <v>157</v>
      </c>
      <c r="B19" s="9" t="s">
        <v>852</v>
      </c>
      <c r="C19" s="9" t="s">
        <v>1012</v>
      </c>
      <c r="D19" s="104"/>
      <c r="E19" s="183"/>
      <c r="F19" s="9"/>
      <c r="G19" s="178" t="s">
        <v>1008</v>
      </c>
      <c r="H19" s="95"/>
      <c r="I19" s="96"/>
      <c r="J19" s="96">
        <v>2000</v>
      </c>
      <c r="K19" s="96"/>
      <c r="L19" s="97"/>
      <c r="M19" s="4"/>
      <c r="N19" s="104"/>
    </row>
    <row r="20" spans="1:14" x14ac:dyDescent="0.3">
      <c r="A20" s="93">
        <v>157</v>
      </c>
      <c r="B20" s="9" t="s">
        <v>852</v>
      </c>
      <c r="C20" s="9"/>
      <c r="D20" s="105" t="s">
        <v>415</v>
      </c>
      <c r="E20" s="183" t="s">
        <v>836</v>
      </c>
      <c r="F20" s="9"/>
      <c r="G20" s="94">
        <v>3.2000000000000001E-2</v>
      </c>
      <c r="H20" s="95">
        <v>5.0000000000000001E-3</v>
      </c>
      <c r="I20" s="96">
        <v>300</v>
      </c>
      <c r="J20" s="96">
        <v>150</v>
      </c>
      <c r="K20" s="96">
        <v>150</v>
      </c>
      <c r="L20" s="97"/>
      <c r="M20" s="4" t="s">
        <v>824</v>
      </c>
      <c r="N20" s="105"/>
    </row>
    <row r="21" spans="1:14" x14ac:dyDescent="0.3">
      <c r="A21" s="93">
        <v>161</v>
      </c>
      <c r="B21" s="9" t="s">
        <v>853</v>
      </c>
      <c r="C21" s="9" t="s">
        <v>1013</v>
      </c>
      <c r="D21" s="105"/>
      <c r="E21" s="183"/>
      <c r="F21" s="9"/>
      <c r="G21" s="178" t="s">
        <v>1014</v>
      </c>
      <c r="H21" s="95"/>
      <c r="I21" s="96"/>
      <c r="J21" s="96">
        <v>2000</v>
      </c>
      <c r="K21" s="96"/>
      <c r="L21" s="97"/>
      <c r="M21" s="4"/>
      <c r="N21" s="105"/>
    </row>
    <row r="22" spans="1:14" x14ac:dyDescent="0.3">
      <c r="A22" s="93">
        <v>161</v>
      </c>
      <c r="B22" s="9" t="s">
        <v>853</v>
      </c>
      <c r="C22" s="9"/>
      <c r="D22" s="106" t="s">
        <v>436</v>
      </c>
      <c r="E22" s="183" t="s">
        <v>836</v>
      </c>
      <c r="F22" s="9"/>
      <c r="G22" s="94">
        <v>3.2000000000000001E-2</v>
      </c>
      <c r="H22" s="95">
        <v>5.0000000000000001E-3</v>
      </c>
      <c r="I22" s="96">
        <v>300</v>
      </c>
      <c r="J22" s="96">
        <v>150</v>
      </c>
      <c r="K22" s="96">
        <v>150</v>
      </c>
      <c r="L22" s="97"/>
      <c r="M22" s="4" t="s">
        <v>824</v>
      </c>
      <c r="N22" s="102"/>
    </row>
    <row r="23" spans="1:14" x14ac:dyDescent="0.3">
      <c r="A23" s="93">
        <v>166</v>
      </c>
      <c r="B23" s="9" t="s">
        <v>854</v>
      </c>
      <c r="C23" s="9" t="s">
        <v>1015</v>
      </c>
      <c r="D23" s="106"/>
      <c r="E23" s="183"/>
      <c r="F23" s="9"/>
      <c r="G23" s="178" t="s">
        <v>1014</v>
      </c>
      <c r="H23" s="95"/>
      <c r="I23" s="96"/>
      <c r="J23" s="96">
        <v>2000</v>
      </c>
      <c r="K23" s="96"/>
      <c r="L23" s="97"/>
      <c r="M23" s="4"/>
      <c r="N23" s="102"/>
    </row>
    <row r="24" spans="1:14" x14ac:dyDescent="0.3">
      <c r="A24" s="93">
        <v>166</v>
      </c>
      <c r="B24" s="9" t="s">
        <v>854</v>
      </c>
      <c r="C24" s="9"/>
      <c r="D24" s="104" t="s">
        <v>458</v>
      </c>
      <c r="E24" s="183" t="s">
        <v>836</v>
      </c>
      <c r="F24" s="9"/>
      <c r="G24" s="94">
        <v>3.2000000000000001E-2</v>
      </c>
      <c r="H24" s="95">
        <v>5.0000000000000001E-3</v>
      </c>
      <c r="I24" s="96">
        <v>300</v>
      </c>
      <c r="J24" s="96">
        <v>150</v>
      </c>
      <c r="K24" s="96">
        <v>150</v>
      </c>
      <c r="L24" s="97"/>
      <c r="M24" s="4" t="s">
        <v>824</v>
      </c>
      <c r="N24" s="98"/>
    </row>
    <row r="25" spans="1:14" x14ac:dyDescent="0.3">
      <c r="A25" s="93">
        <v>169</v>
      </c>
      <c r="B25" s="9" t="s">
        <v>855</v>
      </c>
      <c r="C25" s="9" t="s">
        <v>1016</v>
      </c>
      <c r="D25" s="104"/>
      <c r="E25" s="9"/>
      <c r="F25" s="9"/>
      <c r="G25" s="178" t="s">
        <v>1005</v>
      </c>
      <c r="H25" s="95"/>
      <c r="I25" s="96"/>
      <c r="J25" s="96">
        <v>2000</v>
      </c>
      <c r="K25" s="96"/>
      <c r="L25" s="97"/>
      <c r="M25" s="4"/>
      <c r="N25" s="98"/>
    </row>
    <row r="26" spans="1:14" x14ac:dyDescent="0.3">
      <c r="A26" s="93">
        <v>169</v>
      </c>
      <c r="B26" s="9" t="s">
        <v>855</v>
      </c>
      <c r="C26" s="9"/>
      <c r="D26" s="104" t="s">
        <v>485</v>
      </c>
      <c r="E26" s="9" t="s">
        <v>479</v>
      </c>
      <c r="F26" s="9"/>
      <c r="G26" s="94">
        <v>3.2000000000000001E-2</v>
      </c>
      <c r="H26" s="95">
        <v>5.0000000000000001E-3</v>
      </c>
      <c r="I26" s="96">
        <v>400</v>
      </c>
      <c r="J26" s="96">
        <v>200</v>
      </c>
      <c r="K26" s="96">
        <v>200</v>
      </c>
      <c r="L26" s="97"/>
      <c r="M26" s="4" t="s">
        <v>792</v>
      </c>
      <c r="N26" s="98"/>
    </row>
    <row r="27" spans="1:14" x14ac:dyDescent="0.3">
      <c r="A27" s="184">
        <v>175</v>
      </c>
      <c r="B27" s="9" t="s">
        <v>856</v>
      </c>
      <c r="C27" s="9" t="s">
        <v>1017</v>
      </c>
      <c r="D27" s="104"/>
      <c r="E27" s="9"/>
      <c r="F27" s="9"/>
      <c r="G27" s="178" t="s">
        <v>999</v>
      </c>
      <c r="H27" s="95"/>
      <c r="I27" s="96"/>
      <c r="J27" s="96">
        <v>1000</v>
      </c>
      <c r="K27" s="96"/>
      <c r="L27" s="97"/>
      <c r="M27" s="4"/>
      <c r="N27" s="98"/>
    </row>
    <row r="28" spans="1:14" x14ac:dyDescent="0.3">
      <c r="A28" s="108">
        <v>175</v>
      </c>
      <c r="B28" s="9" t="s">
        <v>856</v>
      </c>
      <c r="C28" s="9"/>
      <c r="D28" s="104" t="s">
        <v>1018</v>
      </c>
      <c r="E28" s="9" t="s">
        <v>857</v>
      </c>
      <c r="F28" s="9"/>
      <c r="G28" s="94" t="s">
        <v>858</v>
      </c>
      <c r="H28" s="95"/>
      <c r="I28" s="96">
        <v>400</v>
      </c>
      <c r="J28" s="96">
        <v>200</v>
      </c>
      <c r="K28" s="96">
        <v>200</v>
      </c>
      <c r="L28" s="97"/>
      <c r="M28" s="4" t="s">
        <v>792</v>
      </c>
      <c r="N28" s="9" t="s">
        <v>859</v>
      </c>
    </row>
    <row r="29" spans="1:14" x14ac:dyDescent="0.3">
      <c r="A29" s="109">
        <v>179</v>
      </c>
      <c r="B29" s="9" t="s">
        <v>860</v>
      </c>
      <c r="C29" s="9" t="s">
        <v>1019</v>
      </c>
      <c r="D29" s="104"/>
      <c r="E29" s="180"/>
      <c r="F29" s="99"/>
      <c r="G29" s="178" t="s">
        <v>1020</v>
      </c>
      <c r="H29" s="107"/>
      <c r="I29" s="96"/>
      <c r="J29" s="96">
        <v>2000</v>
      </c>
      <c r="K29" s="96"/>
      <c r="L29" s="97"/>
      <c r="M29" s="4"/>
      <c r="N29" s="9"/>
    </row>
    <row r="30" spans="1:14" x14ac:dyDescent="0.3">
      <c r="A30" s="109">
        <v>179</v>
      </c>
      <c r="B30" s="9" t="s">
        <v>860</v>
      </c>
      <c r="C30" s="9"/>
      <c r="D30" s="104" t="s">
        <v>536</v>
      </c>
      <c r="E30" s="104" t="s">
        <v>539</v>
      </c>
      <c r="F30" s="104"/>
      <c r="G30" s="94" t="s">
        <v>861</v>
      </c>
      <c r="H30" s="95">
        <v>5.0000000000000001E-3</v>
      </c>
      <c r="I30" s="96">
        <v>400</v>
      </c>
      <c r="J30" s="96">
        <v>200</v>
      </c>
      <c r="K30" s="96">
        <v>200</v>
      </c>
      <c r="L30" s="97"/>
      <c r="M30" s="4" t="s">
        <v>792</v>
      </c>
      <c r="N30" s="102"/>
    </row>
    <row r="31" spans="1:14" x14ac:dyDescent="0.3">
      <c r="A31" s="109">
        <v>183</v>
      </c>
      <c r="B31" s="9" t="s">
        <v>862</v>
      </c>
      <c r="C31" s="9" t="s">
        <v>863</v>
      </c>
      <c r="D31" s="104"/>
      <c r="E31" s="104"/>
      <c r="F31" s="104"/>
      <c r="G31" s="178" t="s">
        <v>1020</v>
      </c>
      <c r="H31" s="107"/>
      <c r="I31" s="96"/>
      <c r="J31" s="96"/>
      <c r="K31" s="96"/>
      <c r="L31" s="97">
        <v>4500</v>
      </c>
      <c r="M31" s="4"/>
      <c r="N31" s="102"/>
    </row>
    <row r="32" spans="1:14" x14ac:dyDescent="0.3">
      <c r="A32" s="109">
        <v>183</v>
      </c>
      <c r="B32" s="9" t="s">
        <v>862</v>
      </c>
      <c r="C32" s="9"/>
      <c r="D32" s="183" t="s">
        <v>836</v>
      </c>
      <c r="E32" s="183" t="s">
        <v>836</v>
      </c>
      <c r="F32" s="9"/>
      <c r="G32" s="94">
        <v>2.8000000000000001E-2</v>
      </c>
      <c r="H32" s="95">
        <v>5.0000000000000001E-3</v>
      </c>
      <c r="I32" s="96"/>
      <c r="J32" s="96"/>
      <c r="K32" s="96"/>
      <c r="L32" s="97"/>
      <c r="M32" s="4" t="s">
        <v>792</v>
      </c>
      <c r="N32" s="9" t="s">
        <v>1021</v>
      </c>
    </row>
    <row r="33" spans="1:14" x14ac:dyDescent="0.3">
      <c r="A33" s="109">
        <v>185</v>
      </c>
      <c r="B33" s="9" t="s">
        <v>864</v>
      </c>
      <c r="C33" s="9" t="s">
        <v>1022</v>
      </c>
      <c r="D33" s="9"/>
      <c r="E33" s="9"/>
      <c r="F33" s="9"/>
      <c r="G33" s="178" t="s">
        <v>1020</v>
      </c>
      <c r="H33" s="95"/>
      <c r="I33" s="96"/>
      <c r="J33" s="96">
        <v>2000</v>
      </c>
      <c r="K33" s="96"/>
      <c r="L33" s="97"/>
      <c r="M33" s="4"/>
      <c r="N33" s="9"/>
    </row>
    <row r="34" spans="1:14" x14ac:dyDescent="0.3">
      <c r="A34" s="109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4">
        <v>2.8000000000000001E-2</v>
      </c>
      <c r="H34" s="95">
        <v>5.0000000000000001E-3</v>
      </c>
      <c r="I34" s="96">
        <v>400</v>
      </c>
      <c r="J34" s="96">
        <v>200</v>
      </c>
      <c r="K34" s="96"/>
      <c r="L34" s="97"/>
      <c r="M34" s="4" t="s">
        <v>792</v>
      </c>
      <c r="N34" s="98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20" t="s">
        <v>869</v>
      </c>
      <c r="B1" s="121"/>
    </row>
    <row r="2" spans="1:6" x14ac:dyDescent="0.3">
      <c r="A2" s="120" t="s">
        <v>870</v>
      </c>
      <c r="B2" s="121"/>
    </row>
    <row r="3" spans="1:6" x14ac:dyDescent="0.3">
      <c r="A3" s="120"/>
      <c r="B3" s="121"/>
    </row>
    <row r="4" spans="1:6" x14ac:dyDescent="0.3">
      <c r="A4" s="122"/>
      <c r="B4" s="123"/>
      <c r="C4" s="124"/>
      <c r="D4" s="125"/>
      <c r="E4" s="126"/>
    </row>
    <row r="5" spans="1:6" x14ac:dyDescent="0.3">
      <c r="A5" s="127">
        <v>95</v>
      </c>
      <c r="B5" s="128">
        <v>56</v>
      </c>
      <c r="C5" s="129">
        <v>85</v>
      </c>
      <c r="D5" s="130">
        <f>F5</f>
        <v>7000</v>
      </c>
      <c r="E5" s="131">
        <v>70</v>
      </c>
      <c r="F5" s="19">
        <f>E5*100</f>
        <v>7000</v>
      </c>
    </row>
    <row r="6" spans="1:6" x14ac:dyDescent="0.3">
      <c r="A6" s="127">
        <v>95</v>
      </c>
      <c r="B6" s="128">
        <v>59</v>
      </c>
      <c r="C6" s="129">
        <v>85</v>
      </c>
      <c r="D6" s="130">
        <f t="shared" ref="D6:D23" si="0">F6</f>
        <v>7000</v>
      </c>
      <c r="E6" s="131">
        <v>70</v>
      </c>
      <c r="F6" s="19">
        <f t="shared" ref="F6:F23" si="1">E6*100</f>
        <v>7000</v>
      </c>
    </row>
    <row r="7" spans="1:6" x14ac:dyDescent="0.3">
      <c r="A7" s="127">
        <v>95</v>
      </c>
      <c r="B7" s="128">
        <v>80</v>
      </c>
      <c r="C7" s="129">
        <v>85</v>
      </c>
      <c r="D7" s="130">
        <f t="shared" si="0"/>
        <v>7000</v>
      </c>
      <c r="E7" s="131">
        <v>70</v>
      </c>
      <c r="F7" s="19">
        <f t="shared" si="1"/>
        <v>7000</v>
      </c>
    </row>
    <row r="8" spans="1:6" x14ac:dyDescent="0.3">
      <c r="A8" s="127">
        <v>95</v>
      </c>
      <c r="B8" s="128">
        <v>84</v>
      </c>
      <c r="C8" s="129">
        <v>85</v>
      </c>
      <c r="D8" s="130">
        <f t="shared" si="0"/>
        <v>7000</v>
      </c>
      <c r="E8" s="131">
        <v>70</v>
      </c>
      <c r="F8" s="19">
        <f t="shared" si="1"/>
        <v>7000</v>
      </c>
    </row>
    <row r="9" spans="1:6" x14ac:dyDescent="0.3">
      <c r="A9" s="127">
        <v>103</v>
      </c>
      <c r="B9" s="128">
        <v>184</v>
      </c>
      <c r="C9" s="129">
        <v>85</v>
      </c>
      <c r="D9" s="130">
        <f t="shared" si="0"/>
        <v>7000</v>
      </c>
      <c r="E9" s="131">
        <v>70</v>
      </c>
      <c r="F9" s="19">
        <f t="shared" si="1"/>
        <v>7000</v>
      </c>
    </row>
    <row r="10" spans="1:6" x14ac:dyDescent="0.3">
      <c r="A10" s="127">
        <v>103</v>
      </c>
      <c r="B10" s="128">
        <v>185</v>
      </c>
      <c r="C10" s="129">
        <v>85</v>
      </c>
      <c r="D10" s="130">
        <f t="shared" si="0"/>
        <v>7000</v>
      </c>
      <c r="E10" s="131">
        <v>70</v>
      </c>
      <c r="F10" s="19">
        <f t="shared" si="1"/>
        <v>7000</v>
      </c>
    </row>
    <row r="11" spans="1:6" x14ac:dyDescent="0.3">
      <c r="A11" s="127">
        <v>103</v>
      </c>
      <c r="B11" s="128">
        <v>187</v>
      </c>
      <c r="C11" s="129">
        <v>85</v>
      </c>
      <c r="D11" s="130">
        <f t="shared" si="0"/>
        <v>7000</v>
      </c>
      <c r="E11" s="131">
        <v>70</v>
      </c>
      <c r="F11" s="19">
        <f t="shared" si="1"/>
        <v>7000</v>
      </c>
    </row>
    <row r="12" spans="1:6" x14ac:dyDescent="0.3">
      <c r="A12" s="127">
        <v>103</v>
      </c>
      <c r="B12" s="128">
        <v>199</v>
      </c>
      <c r="C12" s="129">
        <v>85</v>
      </c>
      <c r="D12" s="130">
        <f t="shared" si="0"/>
        <v>7000</v>
      </c>
      <c r="E12" s="131">
        <v>70</v>
      </c>
      <c r="F12" s="19">
        <f t="shared" si="1"/>
        <v>7000</v>
      </c>
    </row>
    <row r="13" spans="1:6" x14ac:dyDescent="0.3">
      <c r="A13" s="127">
        <v>116</v>
      </c>
      <c r="B13" s="128">
        <v>143</v>
      </c>
      <c r="C13" s="129">
        <v>85</v>
      </c>
      <c r="D13" s="130">
        <f t="shared" si="0"/>
        <v>7000</v>
      </c>
      <c r="E13" s="131">
        <v>70</v>
      </c>
      <c r="F13" s="19">
        <f t="shared" si="1"/>
        <v>7000</v>
      </c>
    </row>
    <row r="14" spans="1:6" x14ac:dyDescent="0.3">
      <c r="A14" s="127">
        <v>116</v>
      </c>
      <c r="B14" s="128">
        <v>144</v>
      </c>
      <c r="C14" s="129">
        <v>85</v>
      </c>
      <c r="D14" s="130">
        <f t="shared" si="0"/>
        <v>7000</v>
      </c>
      <c r="E14" s="131">
        <v>70</v>
      </c>
      <c r="F14" s="19">
        <f t="shared" si="1"/>
        <v>7000</v>
      </c>
    </row>
    <row r="15" spans="1:6" x14ac:dyDescent="0.3">
      <c r="A15" s="127">
        <v>116</v>
      </c>
      <c r="B15" s="128">
        <v>146</v>
      </c>
      <c r="C15" s="129">
        <v>85</v>
      </c>
      <c r="D15" s="130">
        <f t="shared" si="0"/>
        <v>7000</v>
      </c>
      <c r="E15" s="131">
        <v>70</v>
      </c>
      <c r="F15" s="19">
        <f t="shared" si="1"/>
        <v>7000</v>
      </c>
    </row>
    <row r="16" spans="1:6" x14ac:dyDescent="0.3">
      <c r="A16" s="127">
        <v>116</v>
      </c>
      <c r="B16" s="128">
        <v>148</v>
      </c>
      <c r="C16" s="129">
        <v>85</v>
      </c>
      <c r="D16" s="130">
        <f t="shared" si="0"/>
        <v>7000</v>
      </c>
      <c r="E16" s="131">
        <v>70</v>
      </c>
      <c r="F16" s="19">
        <f t="shared" si="1"/>
        <v>7000</v>
      </c>
    </row>
    <row r="17" spans="1:6" x14ac:dyDescent="0.3">
      <c r="A17" s="127">
        <v>116</v>
      </c>
      <c r="B17" s="128">
        <v>164</v>
      </c>
      <c r="C17" s="129">
        <v>85</v>
      </c>
      <c r="D17" s="130">
        <f t="shared" si="0"/>
        <v>7000</v>
      </c>
      <c r="E17" s="131">
        <v>70</v>
      </c>
      <c r="F17" s="19">
        <f t="shared" si="1"/>
        <v>7000</v>
      </c>
    </row>
    <row r="18" spans="1:6" x14ac:dyDescent="0.3">
      <c r="A18" s="127">
        <v>116</v>
      </c>
      <c r="B18" s="128">
        <v>169</v>
      </c>
      <c r="C18" s="129">
        <v>85</v>
      </c>
      <c r="D18" s="130">
        <f t="shared" si="0"/>
        <v>7000</v>
      </c>
      <c r="E18" s="131">
        <v>70</v>
      </c>
      <c r="F18" s="19">
        <f t="shared" si="1"/>
        <v>7000</v>
      </c>
    </row>
    <row r="19" spans="1:6" x14ac:dyDescent="0.3">
      <c r="A19" s="127">
        <v>156</v>
      </c>
      <c r="B19" s="128">
        <v>67</v>
      </c>
      <c r="C19" s="129">
        <v>85</v>
      </c>
      <c r="D19" s="130">
        <f t="shared" si="0"/>
        <v>7000</v>
      </c>
      <c r="E19" s="131">
        <v>70</v>
      </c>
      <c r="F19" s="19">
        <f t="shared" si="1"/>
        <v>7000</v>
      </c>
    </row>
    <row r="20" spans="1:6" x14ac:dyDescent="0.3">
      <c r="A20" s="127">
        <v>156</v>
      </c>
      <c r="B20" s="128">
        <v>72</v>
      </c>
      <c r="C20" s="129">
        <v>85</v>
      </c>
      <c r="D20" s="130">
        <f t="shared" si="0"/>
        <v>7000</v>
      </c>
      <c r="E20" s="131">
        <v>70</v>
      </c>
      <c r="F20" s="19">
        <f t="shared" si="1"/>
        <v>7000</v>
      </c>
    </row>
    <row r="21" spans="1:6" x14ac:dyDescent="0.3">
      <c r="A21" s="127">
        <v>156</v>
      </c>
      <c r="B21" s="128">
        <v>75</v>
      </c>
      <c r="C21" s="129">
        <v>85</v>
      </c>
      <c r="D21" s="130">
        <f t="shared" si="0"/>
        <v>7000</v>
      </c>
      <c r="E21" s="131">
        <v>70</v>
      </c>
      <c r="F21" s="19">
        <f t="shared" si="1"/>
        <v>7000</v>
      </c>
    </row>
    <row r="22" spans="1:6" x14ac:dyDescent="0.3">
      <c r="A22" s="127">
        <v>156</v>
      </c>
      <c r="B22" s="128">
        <v>76</v>
      </c>
      <c r="C22" s="129">
        <v>85</v>
      </c>
      <c r="D22" s="130">
        <f t="shared" si="0"/>
        <v>7000</v>
      </c>
      <c r="E22" s="131">
        <v>70</v>
      </c>
      <c r="F22" s="19">
        <f t="shared" si="1"/>
        <v>7000</v>
      </c>
    </row>
    <row r="23" spans="1:6" x14ac:dyDescent="0.3">
      <c r="A23" s="127">
        <v>156</v>
      </c>
      <c r="B23" s="128">
        <v>78</v>
      </c>
      <c r="C23" s="129">
        <v>85</v>
      </c>
      <c r="D23" s="130">
        <f t="shared" si="0"/>
        <v>7000</v>
      </c>
      <c r="E23" s="131">
        <v>70</v>
      </c>
      <c r="F23" s="19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3B29-BC7B-403D-82F6-C732DB3D6A4C}">
  <sheetPr codeName="Sheet8"/>
  <dimension ref="A1:M1000"/>
  <sheetViews>
    <sheetView workbookViewId="0">
      <selection activeCell="A5" sqref="A5:E5"/>
    </sheetView>
  </sheetViews>
  <sheetFormatPr defaultRowHeight="14.4" x14ac:dyDescent="0.3"/>
  <cols>
    <col min="1" max="1" width="8.88671875" style="132"/>
    <col min="2" max="2" width="8.44140625" style="132" customWidth="1"/>
    <col min="3" max="3" width="8.6640625" style="132" customWidth="1"/>
    <col min="4" max="4" width="13.109375" style="132" bestFit="1" customWidth="1"/>
    <col min="5" max="5" width="12.109375" bestFit="1" customWidth="1"/>
    <col min="6" max="6" width="11" bestFit="1" customWidth="1"/>
    <col min="10" max="10" width="17.109375" customWidth="1"/>
  </cols>
  <sheetData>
    <row r="1" spans="1:13" x14ac:dyDescent="0.3">
      <c r="A1"/>
      <c r="B1"/>
      <c r="C1"/>
      <c r="D1"/>
    </row>
    <row r="2" spans="1:13" x14ac:dyDescent="0.3">
      <c r="A2"/>
      <c r="B2"/>
      <c r="C2"/>
      <c r="D2"/>
    </row>
    <row r="3" spans="1:13" x14ac:dyDescent="0.3">
      <c r="A3"/>
      <c r="B3"/>
      <c r="C3"/>
      <c r="D3"/>
    </row>
    <row r="4" spans="1:13" x14ac:dyDescent="0.3">
      <c r="A4"/>
      <c r="B4"/>
      <c r="C4"/>
      <c r="D4"/>
    </row>
    <row r="5" spans="1:13" x14ac:dyDescent="0.3">
      <c r="A5" s="132" t="s">
        <v>872</v>
      </c>
      <c r="B5" s="132" t="s">
        <v>873</v>
      </c>
      <c r="C5" s="132" t="s">
        <v>884</v>
      </c>
      <c r="D5" s="132" t="s">
        <v>1392</v>
      </c>
      <c r="E5" s="132">
        <v>3911.8637599999997</v>
      </c>
      <c r="F5" s="132"/>
      <c r="H5" s="127"/>
      <c r="I5" s="128"/>
      <c r="J5" s="129"/>
      <c r="K5" s="130"/>
      <c r="L5" s="131"/>
      <c r="M5" s="19"/>
    </row>
    <row r="6" spans="1:13" x14ac:dyDescent="0.3">
      <c r="A6" s="132" t="s">
        <v>872</v>
      </c>
      <c r="B6" s="132" t="s">
        <v>891</v>
      </c>
      <c r="C6" s="132" t="s">
        <v>884</v>
      </c>
      <c r="D6" s="132" t="s">
        <v>1395</v>
      </c>
      <c r="E6" s="132">
        <v>2114.3441199999997</v>
      </c>
      <c r="F6" s="132"/>
    </row>
    <row r="7" spans="1:13" x14ac:dyDescent="0.3">
      <c r="A7" s="132" t="s">
        <v>872</v>
      </c>
      <c r="B7" s="132" t="s">
        <v>892</v>
      </c>
      <c r="C7" s="132" t="s">
        <v>884</v>
      </c>
      <c r="D7" s="132" t="s">
        <v>1397</v>
      </c>
      <c r="E7" s="132">
        <v>961.3374399999999</v>
      </c>
      <c r="F7" s="132"/>
    </row>
    <row r="8" spans="1:13" x14ac:dyDescent="0.3">
      <c r="A8" s="132" t="s">
        <v>872</v>
      </c>
      <c r="B8" s="132" t="s">
        <v>893</v>
      </c>
      <c r="C8" s="132" t="s">
        <v>884</v>
      </c>
      <c r="D8" s="132" t="s">
        <v>1398</v>
      </c>
      <c r="E8" s="132">
        <v>3211.7192799999998</v>
      </c>
      <c r="F8" s="132"/>
    </row>
    <row r="9" spans="1:13" x14ac:dyDescent="0.3">
      <c r="A9" s="132" t="s">
        <v>872</v>
      </c>
      <c r="B9" s="132" t="s">
        <v>895</v>
      </c>
      <c r="C9" s="132" t="s">
        <v>884</v>
      </c>
      <c r="D9" s="132" t="s">
        <v>1647</v>
      </c>
      <c r="E9" s="132" t="s">
        <v>1646</v>
      </c>
      <c r="F9" s="132"/>
    </row>
    <row r="10" spans="1:13" x14ac:dyDescent="0.3">
      <c r="A10" s="132" t="s">
        <v>872</v>
      </c>
      <c r="B10" s="132" t="s">
        <v>901</v>
      </c>
      <c r="C10" s="132" t="s">
        <v>884</v>
      </c>
      <c r="D10" s="132" t="s">
        <v>1402</v>
      </c>
      <c r="E10" s="132">
        <v>3131.5102000000002</v>
      </c>
      <c r="F10" s="132"/>
    </row>
    <row r="11" spans="1:13" x14ac:dyDescent="0.3">
      <c r="A11" s="132" t="s">
        <v>872</v>
      </c>
      <c r="B11" s="132" t="s">
        <v>902</v>
      </c>
      <c r="C11" s="132" t="s">
        <v>884</v>
      </c>
      <c r="D11" s="132" t="s">
        <v>1405</v>
      </c>
      <c r="E11" s="132">
        <v>3557.7514000000001</v>
      </c>
      <c r="F11" s="132"/>
    </row>
    <row r="12" spans="1:13" x14ac:dyDescent="0.3">
      <c r="A12" s="132" t="s">
        <v>903</v>
      </c>
      <c r="B12" s="132" t="s">
        <v>904</v>
      </c>
      <c r="C12" s="132" t="s">
        <v>884</v>
      </c>
      <c r="D12" s="132" t="s">
        <v>1408</v>
      </c>
      <c r="E12" s="132">
        <v>1992.6435199999999</v>
      </c>
      <c r="F12" s="132"/>
    </row>
    <row r="13" spans="1:13" x14ac:dyDescent="0.3">
      <c r="A13" s="132" t="s">
        <v>903</v>
      </c>
      <c r="B13" s="132" t="s">
        <v>905</v>
      </c>
      <c r="C13" s="132" t="s">
        <v>884</v>
      </c>
      <c r="D13" s="132" t="s">
        <v>1411</v>
      </c>
      <c r="E13" s="132">
        <v>1605.85124</v>
      </c>
      <c r="F13" s="132"/>
    </row>
    <row r="14" spans="1:13" x14ac:dyDescent="0.3">
      <c r="A14" s="132" t="s">
        <v>903</v>
      </c>
      <c r="B14" s="132" t="s">
        <v>906</v>
      </c>
      <c r="C14" s="132" t="s">
        <v>884</v>
      </c>
      <c r="D14" s="132" t="s">
        <v>1649</v>
      </c>
      <c r="E14" s="132" t="s">
        <v>1648</v>
      </c>
      <c r="F14" s="132"/>
    </row>
    <row r="15" spans="1:13" x14ac:dyDescent="0.3">
      <c r="A15" s="132" t="s">
        <v>903</v>
      </c>
      <c r="B15" s="132" t="s">
        <v>910</v>
      </c>
      <c r="C15" s="132" t="s">
        <v>884</v>
      </c>
      <c r="D15" s="132" t="s">
        <v>1413</v>
      </c>
      <c r="E15" s="132">
        <v>1999.1890800000001</v>
      </c>
      <c r="F15" s="132"/>
    </row>
    <row r="16" spans="1:13" x14ac:dyDescent="0.3">
      <c r="A16" s="132" t="s">
        <v>903</v>
      </c>
      <c r="B16" s="132" t="s">
        <v>911</v>
      </c>
      <c r="C16" s="132" t="s">
        <v>884</v>
      </c>
      <c r="D16" s="132" t="s">
        <v>1415</v>
      </c>
      <c r="E16" s="132">
        <v>1999.4797200000003</v>
      </c>
      <c r="F16" s="132"/>
    </row>
    <row r="17" spans="1:6" x14ac:dyDescent="0.3">
      <c r="A17" s="132" t="s">
        <v>903</v>
      </c>
      <c r="B17" s="132" t="s">
        <v>912</v>
      </c>
      <c r="C17" s="132" t="s">
        <v>884</v>
      </c>
      <c r="D17" s="132" t="s">
        <v>1418</v>
      </c>
      <c r="E17" s="132">
        <v>1857.8509600000002</v>
      </c>
      <c r="F17" s="132"/>
    </row>
    <row r="18" spans="1:6" x14ac:dyDescent="0.3">
      <c r="A18" s="132" t="s">
        <v>903</v>
      </c>
      <c r="B18" s="132" t="s">
        <v>913</v>
      </c>
      <c r="C18" s="132" t="s">
        <v>884</v>
      </c>
      <c r="D18" s="132" t="s">
        <v>1419</v>
      </c>
      <c r="E18" s="132">
        <v>2005.1315199999999</v>
      </c>
      <c r="F18" s="132"/>
    </row>
    <row r="19" spans="1:6" x14ac:dyDescent="0.3">
      <c r="A19" s="132" t="s">
        <v>903</v>
      </c>
      <c r="B19" s="132" t="s">
        <v>915</v>
      </c>
      <c r="C19" s="132" t="s">
        <v>884</v>
      </c>
      <c r="D19" s="132" t="s">
        <v>1421</v>
      </c>
      <c r="E19" s="132">
        <v>2008.91292</v>
      </c>
      <c r="F19" s="132"/>
    </row>
    <row r="20" spans="1:6" x14ac:dyDescent="0.3">
      <c r="A20" s="132" t="s">
        <v>916</v>
      </c>
      <c r="B20" s="132" t="s">
        <v>922</v>
      </c>
      <c r="C20" s="132" t="s">
        <v>884</v>
      </c>
      <c r="D20" s="132" t="s">
        <v>1425</v>
      </c>
      <c r="E20" s="132">
        <v>1024.19328</v>
      </c>
      <c r="F20" s="132"/>
    </row>
    <row r="21" spans="1:6" x14ac:dyDescent="0.3">
      <c r="A21" s="132" t="s">
        <v>916</v>
      </c>
      <c r="B21" s="132" t="s">
        <v>923</v>
      </c>
      <c r="C21" s="132" t="s">
        <v>884</v>
      </c>
      <c r="D21" s="132" t="s">
        <v>1426</v>
      </c>
      <c r="E21" s="132">
        <v>428.19776000000002</v>
      </c>
      <c r="F21" s="132"/>
    </row>
    <row r="22" spans="1:6" x14ac:dyDescent="0.3">
      <c r="A22" s="132" t="s">
        <v>916</v>
      </c>
      <c r="B22" s="132" t="s">
        <v>921</v>
      </c>
      <c r="C22" s="132" t="s">
        <v>884</v>
      </c>
      <c r="D22" s="132" t="s">
        <v>1427</v>
      </c>
      <c r="E22" s="132">
        <v>1053.5663999999999</v>
      </c>
      <c r="F22" s="132"/>
    </row>
    <row r="23" spans="1:6" x14ac:dyDescent="0.3">
      <c r="A23" s="132" t="s">
        <v>916</v>
      </c>
      <c r="B23" s="132" t="s">
        <v>905</v>
      </c>
      <c r="C23" s="132" t="s">
        <v>884</v>
      </c>
      <c r="D23" s="132" t="s">
        <v>1652</v>
      </c>
      <c r="E23" s="132" t="s">
        <v>1651</v>
      </c>
      <c r="F23" s="132"/>
    </row>
    <row r="24" spans="1:6" x14ac:dyDescent="0.3">
      <c r="A24" s="132" t="s">
        <v>1030</v>
      </c>
      <c r="B24" s="132" t="s">
        <v>1031</v>
      </c>
      <c r="C24" s="132" t="s">
        <v>884</v>
      </c>
      <c r="D24" s="132" t="s">
        <v>1430</v>
      </c>
      <c r="E24" s="132">
        <v>1703.19328</v>
      </c>
      <c r="F24" s="132"/>
    </row>
    <row r="25" spans="1:6" x14ac:dyDescent="0.3">
      <c r="A25" s="132" t="s">
        <v>1030</v>
      </c>
      <c r="B25" s="132" t="s">
        <v>1038</v>
      </c>
      <c r="C25" s="132" t="s">
        <v>884</v>
      </c>
      <c r="D25" s="132" t="s">
        <v>1654</v>
      </c>
      <c r="E25" s="132" t="s">
        <v>1653</v>
      </c>
      <c r="F25" s="132"/>
    </row>
    <row r="26" spans="1:6" x14ac:dyDescent="0.3">
      <c r="A26" s="132" t="s">
        <v>1030</v>
      </c>
      <c r="B26" s="132" t="s">
        <v>1040</v>
      </c>
      <c r="C26" s="132" t="s">
        <v>884</v>
      </c>
      <c r="D26" s="132" t="s">
        <v>1432</v>
      </c>
      <c r="E26" s="132">
        <v>2121.6486400000003</v>
      </c>
      <c r="F26" s="132"/>
    </row>
    <row r="27" spans="1:6" x14ac:dyDescent="0.3">
      <c r="A27" s="132" t="s">
        <v>1030</v>
      </c>
      <c r="B27" s="132" t="s">
        <v>1041</v>
      </c>
      <c r="C27" s="132" t="s">
        <v>884</v>
      </c>
      <c r="D27" s="132" t="s">
        <v>1434</v>
      </c>
      <c r="E27" s="132">
        <v>1611.0166399999998</v>
      </c>
      <c r="F27" s="132"/>
    </row>
    <row r="28" spans="1:6" x14ac:dyDescent="0.3">
      <c r="A28" s="132" t="s">
        <v>1042</v>
      </c>
      <c r="B28" s="132" t="s">
        <v>1043</v>
      </c>
      <c r="C28" s="132" t="s">
        <v>884</v>
      </c>
      <c r="D28" s="132" t="s">
        <v>1435</v>
      </c>
      <c r="E28" s="132">
        <v>2104.2182399999997</v>
      </c>
      <c r="F28" s="132"/>
    </row>
    <row r="29" spans="1:6" x14ac:dyDescent="0.3">
      <c r="A29" s="132" t="s">
        <v>1042</v>
      </c>
      <c r="B29" s="132" t="s">
        <v>1044</v>
      </c>
      <c r="C29" s="132" t="s">
        <v>884</v>
      </c>
      <c r="D29" s="132" t="s">
        <v>1438</v>
      </c>
      <c r="E29" s="132">
        <v>2161.3001600000002</v>
      </c>
      <c r="F29" s="132"/>
    </row>
    <row r="30" spans="1:6" x14ac:dyDescent="0.3">
      <c r="A30" s="132" t="s">
        <v>1042</v>
      </c>
      <c r="B30" s="132" t="s">
        <v>1046</v>
      </c>
      <c r="C30" s="132" t="s">
        <v>884</v>
      </c>
      <c r="D30" s="132" t="s">
        <v>1440</v>
      </c>
      <c r="E30" s="132">
        <v>2094.7075199999999</v>
      </c>
      <c r="F30" s="132"/>
    </row>
    <row r="31" spans="1:6" x14ac:dyDescent="0.3">
      <c r="A31" s="132" t="s">
        <v>1042</v>
      </c>
      <c r="B31" s="132" t="s">
        <v>1048</v>
      </c>
      <c r="C31" s="132" t="s">
        <v>884</v>
      </c>
      <c r="D31" s="132" t="s">
        <v>1656</v>
      </c>
      <c r="E31" s="132" t="s">
        <v>1655</v>
      </c>
      <c r="F31" s="132"/>
    </row>
    <row r="32" spans="1:6" x14ac:dyDescent="0.3">
      <c r="A32" s="132" t="s">
        <v>1042</v>
      </c>
      <c r="B32" s="132" t="s">
        <v>1049</v>
      </c>
      <c r="C32" s="132" t="s">
        <v>884</v>
      </c>
      <c r="D32" s="132" t="s">
        <v>1443</v>
      </c>
      <c r="E32" s="132">
        <v>2204.6758399999999</v>
      </c>
      <c r="F32" s="132"/>
    </row>
    <row r="33" spans="1:6" x14ac:dyDescent="0.3">
      <c r="A33" s="132" t="s">
        <v>1042</v>
      </c>
      <c r="B33" s="132" t="s">
        <v>1050</v>
      </c>
      <c r="C33" s="132" t="s">
        <v>884</v>
      </c>
      <c r="D33" s="132" t="s">
        <v>1446</v>
      </c>
      <c r="E33" s="132">
        <v>2114.6652799999997</v>
      </c>
      <c r="F33" s="132"/>
    </row>
    <row r="34" spans="1:6" x14ac:dyDescent="0.3">
      <c r="A34" s="132" t="s">
        <v>1055</v>
      </c>
      <c r="B34" s="132" t="s">
        <v>1059</v>
      </c>
      <c r="C34" s="132" t="s">
        <v>884</v>
      </c>
      <c r="D34" s="132" t="s">
        <v>1659</v>
      </c>
      <c r="E34" s="132" t="s">
        <v>1658</v>
      </c>
      <c r="F34" s="132"/>
    </row>
    <row r="35" spans="1:6" x14ac:dyDescent="0.3">
      <c r="A35" s="132" t="s">
        <v>1055</v>
      </c>
      <c r="B35" s="132" t="s">
        <v>1060</v>
      </c>
      <c r="C35" s="132" t="s">
        <v>884</v>
      </c>
      <c r="D35" s="132" t="s">
        <v>1450</v>
      </c>
      <c r="E35" s="132">
        <v>2057.8683999999998</v>
      </c>
      <c r="F35" s="132"/>
    </row>
    <row r="36" spans="1:6" x14ac:dyDescent="0.3">
      <c r="A36" s="132" t="s">
        <v>1055</v>
      </c>
      <c r="B36" s="132" t="s">
        <v>1062</v>
      </c>
      <c r="C36" s="132" t="s">
        <v>884</v>
      </c>
      <c r="D36" s="132" t="s">
        <v>1452</v>
      </c>
      <c r="E36" s="132">
        <v>1257.816</v>
      </c>
      <c r="F36" s="132"/>
    </row>
    <row r="37" spans="1:6" x14ac:dyDescent="0.3">
      <c r="A37" s="132" t="s">
        <v>1055</v>
      </c>
      <c r="B37" s="132" t="s">
        <v>1063</v>
      </c>
      <c r="C37" s="132" t="s">
        <v>884</v>
      </c>
      <c r="D37" s="132" t="s">
        <v>1453</v>
      </c>
      <c r="E37" s="132">
        <v>2055.4514000000004</v>
      </c>
      <c r="F37" s="132"/>
    </row>
    <row r="38" spans="1:6" x14ac:dyDescent="0.3">
      <c r="A38" s="132" t="s">
        <v>1066</v>
      </c>
      <c r="B38" s="132" t="s">
        <v>1067</v>
      </c>
      <c r="C38" s="132" t="s">
        <v>884</v>
      </c>
      <c r="D38" s="132" t="s">
        <v>1455</v>
      </c>
      <c r="E38" s="132">
        <v>1844.71084</v>
      </c>
      <c r="F38" s="132"/>
    </row>
    <row r="39" spans="1:6" x14ac:dyDescent="0.3">
      <c r="A39" s="132" t="s">
        <v>1066</v>
      </c>
      <c r="B39" s="132" t="s">
        <v>1072</v>
      </c>
      <c r="C39" s="132" t="s">
        <v>884</v>
      </c>
      <c r="D39" s="132" t="s">
        <v>1661</v>
      </c>
      <c r="E39" s="132" t="s">
        <v>1660</v>
      </c>
      <c r="F39" s="132"/>
    </row>
    <row r="40" spans="1:6" x14ac:dyDescent="0.3">
      <c r="A40" s="132" t="s">
        <v>1066</v>
      </c>
      <c r="B40" s="132" t="s">
        <v>1038</v>
      </c>
      <c r="C40" s="132" t="s">
        <v>884</v>
      </c>
      <c r="D40" s="132" t="s">
        <v>1458</v>
      </c>
      <c r="E40" s="132">
        <v>2917.4821199999997</v>
      </c>
      <c r="F40" s="132"/>
    </row>
    <row r="41" spans="1:6" x14ac:dyDescent="0.3">
      <c r="A41" s="132" t="s">
        <v>1066</v>
      </c>
      <c r="B41" s="132" t="s">
        <v>1041</v>
      </c>
      <c r="C41" s="132" t="s">
        <v>884</v>
      </c>
      <c r="D41" s="132" t="s">
        <v>1461</v>
      </c>
      <c r="E41" s="132">
        <v>1030.07464</v>
      </c>
      <c r="F41" s="132"/>
    </row>
    <row r="42" spans="1:6" x14ac:dyDescent="0.3">
      <c r="A42" s="132" t="s">
        <v>1066</v>
      </c>
      <c r="B42" s="132" t="s">
        <v>910</v>
      </c>
      <c r="C42" s="132" t="s">
        <v>884</v>
      </c>
      <c r="D42" s="132" t="s">
        <v>1462</v>
      </c>
      <c r="E42" s="132">
        <v>2786.0859600000003</v>
      </c>
      <c r="F42" s="132"/>
    </row>
    <row r="43" spans="1:6" x14ac:dyDescent="0.3">
      <c r="A43" s="132" t="s">
        <v>1066</v>
      </c>
      <c r="B43" s="132" t="s">
        <v>909</v>
      </c>
      <c r="C43" s="132" t="s">
        <v>884</v>
      </c>
      <c r="D43" s="132" t="s">
        <v>1464</v>
      </c>
      <c r="E43" s="132">
        <v>831.42387999999994</v>
      </c>
      <c r="F43" s="132"/>
    </row>
    <row r="44" spans="1:6" x14ac:dyDescent="0.3">
      <c r="A44" s="132" t="s">
        <v>1079</v>
      </c>
      <c r="B44" s="132" t="s">
        <v>1080</v>
      </c>
      <c r="C44" s="132" t="s">
        <v>884</v>
      </c>
      <c r="D44" s="132" t="s">
        <v>1663</v>
      </c>
      <c r="E44" s="132" t="s">
        <v>1662</v>
      </c>
      <c r="F44" s="132"/>
    </row>
    <row r="45" spans="1:6" x14ac:dyDescent="0.3">
      <c r="A45" s="132" t="s">
        <v>1079</v>
      </c>
      <c r="B45" s="132" t="s">
        <v>1082</v>
      </c>
      <c r="C45" s="132" t="s">
        <v>884</v>
      </c>
      <c r="D45" s="132" t="s">
        <v>1465</v>
      </c>
      <c r="E45" s="132">
        <v>1529.2239999999999</v>
      </c>
      <c r="F45" s="132"/>
    </row>
    <row r="46" spans="1:6" x14ac:dyDescent="0.3">
      <c r="A46" s="132" t="s">
        <v>1079</v>
      </c>
      <c r="B46" s="132" t="s">
        <v>1083</v>
      </c>
      <c r="C46" s="132" t="s">
        <v>884</v>
      </c>
      <c r="D46" s="132" t="s">
        <v>1466</v>
      </c>
      <c r="E46" s="132">
        <v>1798.5692800000002</v>
      </c>
      <c r="F46" s="132"/>
    </row>
    <row r="47" spans="1:6" x14ac:dyDescent="0.3">
      <c r="A47" s="132" t="s">
        <v>1079</v>
      </c>
      <c r="B47" s="132" t="s">
        <v>1085</v>
      </c>
      <c r="C47" s="132" t="s">
        <v>884</v>
      </c>
      <c r="D47" s="132" t="s">
        <v>1467</v>
      </c>
      <c r="E47" s="132">
        <v>2318.4611199999999</v>
      </c>
      <c r="F47" s="132"/>
    </row>
    <row r="48" spans="1:6" x14ac:dyDescent="0.3">
      <c r="A48" s="132" t="s">
        <v>1079</v>
      </c>
      <c r="B48" s="132" t="s">
        <v>1086</v>
      </c>
      <c r="C48" s="132" t="s">
        <v>884</v>
      </c>
      <c r="D48" s="132" t="s">
        <v>1468</v>
      </c>
      <c r="E48" s="132">
        <v>1746.0195200000001</v>
      </c>
      <c r="F48" s="132"/>
    </row>
    <row r="49" spans="1:6" x14ac:dyDescent="0.3">
      <c r="A49" s="132" t="s">
        <v>1079</v>
      </c>
      <c r="B49" s="132" t="s">
        <v>1087</v>
      </c>
      <c r="C49" s="132" t="s">
        <v>884</v>
      </c>
      <c r="D49" s="132" t="s">
        <v>1469</v>
      </c>
      <c r="E49" s="132">
        <v>3145.0000000000005</v>
      </c>
      <c r="F49" s="132"/>
    </row>
    <row r="50" spans="1:6" x14ac:dyDescent="0.3">
      <c r="A50" s="132" t="s">
        <v>1079</v>
      </c>
      <c r="B50" s="132" t="s">
        <v>1088</v>
      </c>
      <c r="C50" s="132" t="s">
        <v>884</v>
      </c>
      <c r="D50" s="132" t="s">
        <v>1470</v>
      </c>
      <c r="E50" s="132">
        <v>1881.0691199999999</v>
      </c>
      <c r="F50" s="132"/>
    </row>
    <row r="51" spans="1:6" x14ac:dyDescent="0.3">
      <c r="A51" s="132" t="s">
        <v>1089</v>
      </c>
      <c r="B51" s="132" t="s">
        <v>1090</v>
      </c>
      <c r="C51" s="132" t="s">
        <v>884</v>
      </c>
      <c r="D51" s="132" t="s">
        <v>1471</v>
      </c>
      <c r="E51" s="132">
        <v>1475.5153000000003</v>
      </c>
      <c r="F51" s="132"/>
    </row>
    <row r="52" spans="1:6" x14ac:dyDescent="0.3">
      <c r="A52" s="132" t="s">
        <v>1089</v>
      </c>
      <c r="B52" s="132" t="s">
        <v>1027</v>
      </c>
      <c r="C52" s="132" t="s">
        <v>884</v>
      </c>
      <c r="D52" s="132" t="s">
        <v>1472</v>
      </c>
      <c r="E52" s="132">
        <v>2364.6036599999998</v>
      </c>
      <c r="F52" s="132"/>
    </row>
    <row r="53" spans="1:6" x14ac:dyDescent="0.3">
      <c r="A53" s="132" t="s">
        <v>1089</v>
      </c>
      <c r="B53" s="132" t="s">
        <v>1093</v>
      </c>
      <c r="C53" s="132" t="s">
        <v>884</v>
      </c>
      <c r="D53" s="132" t="s">
        <v>1476</v>
      </c>
      <c r="E53" s="132">
        <v>3234.3894000000005</v>
      </c>
      <c r="F53" s="132"/>
    </row>
    <row r="54" spans="1:6" x14ac:dyDescent="0.3">
      <c r="A54" s="132" t="s">
        <v>1089</v>
      </c>
      <c r="B54" s="132" t="s">
        <v>923</v>
      </c>
      <c r="C54" s="132" t="s">
        <v>884</v>
      </c>
      <c r="D54" s="132" t="s">
        <v>1665</v>
      </c>
      <c r="E54" s="132" t="s">
        <v>1664</v>
      </c>
      <c r="F54" s="132"/>
    </row>
    <row r="55" spans="1:6" x14ac:dyDescent="0.3">
      <c r="A55" s="132" t="s">
        <v>1089</v>
      </c>
      <c r="B55" s="132" t="s">
        <v>911</v>
      </c>
      <c r="C55" s="132" t="s">
        <v>884</v>
      </c>
      <c r="D55" s="132" t="s">
        <v>1479</v>
      </c>
      <c r="E55" s="132">
        <v>1874.6543799999999</v>
      </c>
      <c r="F55" s="132"/>
    </row>
    <row r="56" spans="1:6" x14ac:dyDescent="0.3">
      <c r="A56" s="132" t="s">
        <v>1089</v>
      </c>
      <c r="B56" s="132" t="s">
        <v>905</v>
      </c>
      <c r="C56" s="132" t="s">
        <v>884</v>
      </c>
      <c r="D56" s="132" t="s">
        <v>1481</v>
      </c>
      <c r="E56" s="132">
        <v>2045.3705199999999</v>
      </c>
      <c r="F56" s="132"/>
    </row>
    <row r="57" spans="1:6" x14ac:dyDescent="0.3">
      <c r="A57" s="132" t="s">
        <v>1100</v>
      </c>
      <c r="B57" s="132" t="s">
        <v>1101</v>
      </c>
      <c r="C57" s="132" t="s">
        <v>884</v>
      </c>
      <c r="D57" s="132" t="s">
        <v>1484</v>
      </c>
      <c r="E57" s="132">
        <v>2594.4051200000004</v>
      </c>
      <c r="F57" s="132"/>
    </row>
    <row r="58" spans="1:6" x14ac:dyDescent="0.3">
      <c r="A58" s="132" t="s">
        <v>1100</v>
      </c>
      <c r="B58" s="132" t="s">
        <v>1059</v>
      </c>
      <c r="C58" s="132" t="s">
        <v>884</v>
      </c>
      <c r="D58" s="132" t="s">
        <v>1486</v>
      </c>
      <c r="E58" s="132">
        <v>1852.9622400000001</v>
      </c>
      <c r="F58" s="132"/>
    </row>
    <row r="59" spans="1:6" x14ac:dyDescent="0.3">
      <c r="A59" s="132" t="s">
        <v>1100</v>
      </c>
      <c r="B59" s="132" t="s">
        <v>1104</v>
      </c>
      <c r="C59" s="132" t="s">
        <v>884</v>
      </c>
      <c r="D59" s="132" t="s">
        <v>1488</v>
      </c>
      <c r="E59" s="132">
        <v>517.54944</v>
      </c>
      <c r="F59" s="132"/>
    </row>
    <row r="60" spans="1:6" x14ac:dyDescent="0.3">
      <c r="A60" s="132" t="s">
        <v>1100</v>
      </c>
      <c r="B60" s="132" t="s">
        <v>1105</v>
      </c>
      <c r="C60" s="132" t="s">
        <v>884</v>
      </c>
      <c r="D60" s="132" t="s">
        <v>1489</v>
      </c>
      <c r="E60" s="132">
        <v>2107.2611200000001</v>
      </c>
      <c r="F60" s="132"/>
    </row>
    <row r="61" spans="1:6" x14ac:dyDescent="0.3">
      <c r="A61" s="132" t="s">
        <v>1106</v>
      </c>
      <c r="B61" s="132" t="s">
        <v>1113</v>
      </c>
      <c r="C61" s="132" t="s">
        <v>884</v>
      </c>
      <c r="D61" s="132" t="s">
        <v>1667</v>
      </c>
      <c r="E61" s="132" t="s">
        <v>1666</v>
      </c>
      <c r="F61" s="132"/>
    </row>
    <row r="62" spans="1:6" x14ac:dyDescent="0.3">
      <c r="A62" s="132" t="s">
        <v>1106</v>
      </c>
      <c r="B62" s="132" t="s">
        <v>1114</v>
      </c>
      <c r="C62" s="132" t="s">
        <v>884</v>
      </c>
      <c r="D62" s="132" t="s">
        <v>1493</v>
      </c>
      <c r="E62" s="132">
        <v>1272.3415599999998</v>
      </c>
      <c r="F62" s="132"/>
    </row>
    <row r="63" spans="1:6" x14ac:dyDescent="0.3">
      <c r="A63" s="132" t="s">
        <v>1106</v>
      </c>
      <c r="B63" s="132" t="s">
        <v>1116</v>
      </c>
      <c r="C63" s="132" t="s">
        <v>884</v>
      </c>
      <c r="D63" s="132" t="s">
        <v>1495</v>
      </c>
      <c r="E63" s="132">
        <v>1503.5700400000001</v>
      </c>
      <c r="F63" s="132"/>
    </row>
    <row r="64" spans="1:6" x14ac:dyDescent="0.3">
      <c r="A64" s="132" t="s">
        <v>1106</v>
      </c>
      <c r="B64" s="132" t="s">
        <v>921</v>
      </c>
      <c r="C64" s="132" t="s">
        <v>884</v>
      </c>
      <c r="D64" s="132" t="s">
        <v>1497</v>
      </c>
      <c r="E64" s="132">
        <v>1732.8368399999999</v>
      </c>
      <c r="F64" s="132"/>
    </row>
    <row r="65" spans="1:6" x14ac:dyDescent="0.3">
      <c r="A65" s="132" t="s">
        <v>1119</v>
      </c>
      <c r="B65" s="132" t="s">
        <v>1063</v>
      </c>
      <c r="C65" s="132" t="s">
        <v>884</v>
      </c>
      <c r="D65" s="132" t="s">
        <v>1499</v>
      </c>
      <c r="E65" s="132">
        <v>2922.2700800000002</v>
      </c>
      <c r="F65" s="132"/>
    </row>
    <row r="66" spans="1:6" x14ac:dyDescent="0.3">
      <c r="A66" s="132" t="s">
        <v>1119</v>
      </c>
      <c r="B66" s="132" t="s">
        <v>1061</v>
      </c>
      <c r="C66" s="132" t="s">
        <v>884</v>
      </c>
      <c r="D66" s="132" t="s">
        <v>1501</v>
      </c>
      <c r="E66" s="132">
        <v>1612.7913600000002</v>
      </c>
      <c r="F66" s="132"/>
    </row>
    <row r="67" spans="1:6" x14ac:dyDescent="0.3">
      <c r="A67" s="132" t="s">
        <v>1119</v>
      </c>
      <c r="B67" s="132" t="s">
        <v>1123</v>
      </c>
      <c r="C67" s="132" t="s">
        <v>884</v>
      </c>
      <c r="D67" s="132" t="s">
        <v>1502</v>
      </c>
      <c r="E67" s="132">
        <v>1512.9273600000001</v>
      </c>
      <c r="F67" s="132"/>
    </row>
    <row r="68" spans="1:6" x14ac:dyDescent="0.3">
      <c r="A68" s="132" t="s">
        <v>1119</v>
      </c>
      <c r="B68" s="132" t="s">
        <v>1125</v>
      </c>
      <c r="C68" s="132" t="s">
        <v>884</v>
      </c>
      <c r="D68" s="132" t="s">
        <v>1669</v>
      </c>
      <c r="E68" s="132" t="s">
        <v>1668</v>
      </c>
      <c r="F68" s="132"/>
    </row>
    <row r="69" spans="1:6" x14ac:dyDescent="0.3">
      <c r="A69" s="132" t="s">
        <v>1119</v>
      </c>
      <c r="B69" s="132" t="s">
        <v>1116</v>
      </c>
      <c r="C69" s="132" t="s">
        <v>884</v>
      </c>
      <c r="D69" s="132" t="s">
        <v>1503</v>
      </c>
      <c r="E69" s="132">
        <v>1819.3929599999999</v>
      </c>
      <c r="F69" s="132"/>
    </row>
    <row r="70" spans="1:6" x14ac:dyDescent="0.3">
      <c r="A70" s="132" t="s">
        <v>1119</v>
      </c>
      <c r="B70" s="132" t="s">
        <v>921</v>
      </c>
      <c r="C70" s="132" t="s">
        <v>884</v>
      </c>
      <c r="D70" s="132" t="s">
        <v>1504</v>
      </c>
      <c r="E70" s="132">
        <v>1362.3379199999999</v>
      </c>
      <c r="F70" s="132"/>
    </row>
    <row r="71" spans="1:6" x14ac:dyDescent="0.3">
      <c r="A71" s="132" t="s">
        <v>1119</v>
      </c>
      <c r="B71" s="132" t="s">
        <v>1126</v>
      </c>
      <c r="C71" s="132" t="s">
        <v>884</v>
      </c>
      <c r="D71" s="132" t="s">
        <v>1505</v>
      </c>
      <c r="E71" s="132">
        <v>1899.4265600000001</v>
      </c>
      <c r="F71" s="132"/>
    </row>
    <row r="72" spans="1:6" x14ac:dyDescent="0.3">
      <c r="A72" s="132" t="s">
        <v>1128</v>
      </c>
      <c r="B72" s="132" t="s">
        <v>905</v>
      </c>
      <c r="C72" s="132" t="s">
        <v>884</v>
      </c>
      <c r="D72" s="132" t="s">
        <v>1671</v>
      </c>
      <c r="E72" s="132" t="s">
        <v>1670</v>
      </c>
      <c r="F72" s="132"/>
    </row>
    <row r="73" spans="1:6" x14ac:dyDescent="0.3">
      <c r="A73" s="132" t="s">
        <v>1128</v>
      </c>
      <c r="B73" s="132" t="s">
        <v>912</v>
      </c>
      <c r="C73" s="132" t="s">
        <v>884</v>
      </c>
      <c r="D73" s="132" t="s">
        <v>1506</v>
      </c>
      <c r="E73" s="132">
        <v>1411.94784</v>
      </c>
      <c r="F73" s="132"/>
    </row>
    <row r="74" spans="1:6" x14ac:dyDescent="0.3">
      <c r="A74" s="132" t="s">
        <v>1128</v>
      </c>
      <c r="B74" s="132" t="s">
        <v>1039</v>
      </c>
      <c r="C74" s="132" t="s">
        <v>884</v>
      </c>
      <c r="D74" s="132" t="s">
        <v>1507</v>
      </c>
      <c r="E74" s="132">
        <v>2228.2566400000001</v>
      </c>
      <c r="F74" s="132"/>
    </row>
    <row r="75" spans="1:6" x14ac:dyDescent="0.3">
      <c r="A75" s="132" t="s">
        <v>1128</v>
      </c>
      <c r="B75" s="132" t="s">
        <v>1130</v>
      </c>
      <c r="C75" s="132" t="s">
        <v>884</v>
      </c>
      <c r="D75" s="132" t="s">
        <v>1510</v>
      </c>
      <c r="E75" s="132">
        <v>142.71295999999998</v>
      </c>
      <c r="F75" s="132"/>
    </row>
    <row r="76" spans="1:6" x14ac:dyDescent="0.3">
      <c r="A76" s="132" t="s">
        <v>1132</v>
      </c>
      <c r="B76" s="132" t="s">
        <v>921</v>
      </c>
      <c r="C76" s="132" t="s">
        <v>884</v>
      </c>
      <c r="D76" s="132" t="s">
        <v>1511</v>
      </c>
      <c r="E76" s="132">
        <v>977.60908000000006</v>
      </c>
      <c r="F76" s="132"/>
    </row>
    <row r="77" spans="1:6" x14ac:dyDescent="0.3">
      <c r="A77" s="132" t="s">
        <v>1132</v>
      </c>
      <c r="B77" s="132" t="s">
        <v>1135</v>
      </c>
      <c r="C77" s="132" t="s">
        <v>884</v>
      </c>
      <c r="D77" s="132" t="s">
        <v>1512</v>
      </c>
      <c r="E77" s="132">
        <v>1186.45156</v>
      </c>
      <c r="F77" s="132"/>
    </row>
    <row r="78" spans="1:6" x14ac:dyDescent="0.3">
      <c r="A78" s="132" t="s">
        <v>1132</v>
      </c>
      <c r="B78" s="132" t="s">
        <v>1114</v>
      </c>
      <c r="C78" s="132" t="s">
        <v>884</v>
      </c>
      <c r="D78" s="132" t="s">
        <v>1513</v>
      </c>
      <c r="E78" s="132">
        <v>1273.5312800000002</v>
      </c>
      <c r="F78" s="132"/>
    </row>
    <row r="79" spans="1:6" x14ac:dyDescent="0.3">
      <c r="A79" s="132" t="s">
        <v>1132</v>
      </c>
      <c r="B79" s="132" t="s">
        <v>1063</v>
      </c>
      <c r="C79" s="132" t="s">
        <v>884</v>
      </c>
      <c r="D79" s="132" t="s">
        <v>1514</v>
      </c>
      <c r="E79" s="132">
        <v>1193.3171600000001</v>
      </c>
      <c r="F79" s="132"/>
    </row>
    <row r="80" spans="1:6" x14ac:dyDescent="0.3">
      <c r="A80" s="132" t="s">
        <v>1132</v>
      </c>
      <c r="B80" s="132" t="s">
        <v>1056</v>
      </c>
      <c r="C80" s="132" t="s">
        <v>884</v>
      </c>
      <c r="D80" s="132" t="s">
        <v>1673</v>
      </c>
      <c r="E80" s="132" t="s">
        <v>1672</v>
      </c>
      <c r="F80" s="132"/>
    </row>
    <row r="81" spans="1:6" x14ac:dyDescent="0.3">
      <c r="A81" s="132" t="s">
        <v>1132</v>
      </c>
      <c r="B81" s="132" t="s">
        <v>1140</v>
      </c>
      <c r="C81" s="132" t="s">
        <v>884</v>
      </c>
      <c r="D81" s="132" t="s">
        <v>1515</v>
      </c>
      <c r="E81" s="132">
        <v>1893.5677599999999</v>
      </c>
      <c r="F81" s="132"/>
    </row>
    <row r="82" spans="1:6" x14ac:dyDescent="0.3">
      <c r="A82" s="132" t="s">
        <v>1132</v>
      </c>
      <c r="B82" s="132" t="s">
        <v>1116</v>
      </c>
      <c r="C82" s="132" t="s">
        <v>884</v>
      </c>
      <c r="D82" s="132" t="s">
        <v>1516</v>
      </c>
      <c r="E82" s="132">
        <v>2909.43352</v>
      </c>
      <c r="F82" s="132"/>
    </row>
    <row r="83" spans="1:6" x14ac:dyDescent="0.3">
      <c r="A83" s="132" t="s">
        <v>1132</v>
      </c>
      <c r="B83" s="132" t="s">
        <v>1062</v>
      </c>
      <c r="C83" s="132" t="s">
        <v>884</v>
      </c>
      <c r="D83" s="132" t="s">
        <v>1518</v>
      </c>
      <c r="E83" s="132">
        <v>461.74603999999999</v>
      </c>
      <c r="F83" s="132"/>
    </row>
    <row r="84" spans="1:6" x14ac:dyDescent="0.3">
      <c r="A84" s="132" t="s">
        <v>1141</v>
      </c>
      <c r="B84" s="132" t="s">
        <v>1092</v>
      </c>
      <c r="C84" s="132" t="s">
        <v>884</v>
      </c>
      <c r="D84" s="132" t="s">
        <v>1519</v>
      </c>
      <c r="E84" s="132">
        <v>2135.81376</v>
      </c>
      <c r="F84" s="132"/>
    </row>
    <row r="85" spans="1:6" x14ac:dyDescent="0.3">
      <c r="A85" s="132" t="s">
        <v>1141</v>
      </c>
      <c r="B85" s="132" t="s">
        <v>1143</v>
      </c>
      <c r="C85" s="132" t="s">
        <v>884</v>
      </c>
      <c r="D85" s="132" t="s">
        <v>1521</v>
      </c>
      <c r="E85" s="132">
        <v>1440.7513600000002</v>
      </c>
      <c r="F85" s="132"/>
    </row>
    <row r="86" spans="1:6" x14ac:dyDescent="0.3">
      <c r="A86" s="132" t="s">
        <v>1141</v>
      </c>
      <c r="B86" s="132" t="s">
        <v>1146</v>
      </c>
      <c r="C86" s="132" t="s">
        <v>884</v>
      </c>
      <c r="D86" s="132" t="s">
        <v>1675</v>
      </c>
      <c r="E86" s="132" t="s">
        <v>1674</v>
      </c>
      <c r="F86" s="132"/>
    </row>
    <row r="87" spans="1:6" x14ac:dyDescent="0.3">
      <c r="A87" s="132" t="s">
        <v>1141</v>
      </c>
      <c r="B87" s="132" t="s">
        <v>1147</v>
      </c>
      <c r="C87" s="132" t="s">
        <v>884</v>
      </c>
      <c r="D87" s="132" t="s">
        <v>1522</v>
      </c>
      <c r="E87" s="132">
        <v>1496.9030400000001</v>
      </c>
      <c r="F87" s="132"/>
    </row>
    <row r="88" spans="1:6" x14ac:dyDescent="0.3">
      <c r="A88" s="132" t="s">
        <v>1141</v>
      </c>
      <c r="B88" s="132" t="s">
        <v>1031</v>
      </c>
      <c r="C88" s="132" t="s">
        <v>884</v>
      </c>
      <c r="D88" s="132" t="s">
        <v>1523</v>
      </c>
      <c r="E88" s="132">
        <v>1150.9145600000002</v>
      </c>
      <c r="F88" s="132"/>
    </row>
    <row r="89" spans="1:6" x14ac:dyDescent="0.3">
      <c r="A89" s="132" t="s">
        <v>1149</v>
      </c>
      <c r="B89" s="132" t="s">
        <v>1107</v>
      </c>
      <c r="C89" s="132" t="s">
        <v>884</v>
      </c>
      <c r="D89" s="132" t="s">
        <v>1524</v>
      </c>
      <c r="E89" s="132">
        <v>191.22784000000001</v>
      </c>
      <c r="F89" s="132"/>
    </row>
    <row r="90" spans="1:6" x14ac:dyDescent="0.3">
      <c r="A90" s="132" t="s">
        <v>1149</v>
      </c>
      <c r="B90" s="132" t="s">
        <v>1061</v>
      </c>
      <c r="C90" s="132" t="s">
        <v>884</v>
      </c>
      <c r="D90" s="132" t="s">
        <v>1525</v>
      </c>
      <c r="E90" s="132">
        <v>2397.5046400000001</v>
      </c>
      <c r="F90" s="132"/>
    </row>
    <row r="91" spans="1:6" x14ac:dyDescent="0.3">
      <c r="A91" s="132" t="s">
        <v>1149</v>
      </c>
      <c r="B91" s="132" t="s">
        <v>1116</v>
      </c>
      <c r="C91" s="132" t="s">
        <v>884</v>
      </c>
      <c r="D91" s="132" t="s">
        <v>1528</v>
      </c>
      <c r="E91" s="132">
        <v>2442.3312000000001</v>
      </c>
      <c r="F91" s="132"/>
    </row>
    <row r="92" spans="1:6" x14ac:dyDescent="0.3">
      <c r="A92" s="132" t="s">
        <v>1149</v>
      </c>
      <c r="B92" s="132" t="s">
        <v>1153</v>
      </c>
      <c r="C92" s="132" t="s">
        <v>884</v>
      </c>
      <c r="D92" s="132" t="s">
        <v>1531</v>
      </c>
      <c r="E92" s="132">
        <v>2509.9830400000001</v>
      </c>
      <c r="F92" s="132"/>
    </row>
    <row r="93" spans="1:6" x14ac:dyDescent="0.3">
      <c r="A93" s="132" t="s">
        <v>1154</v>
      </c>
      <c r="B93" s="132" t="s">
        <v>1094</v>
      </c>
      <c r="C93" s="132" t="s">
        <v>884</v>
      </c>
      <c r="D93" s="132" t="s">
        <v>1533</v>
      </c>
      <c r="E93" s="132">
        <v>2499.6966399999997</v>
      </c>
      <c r="F93" s="132"/>
    </row>
    <row r="94" spans="1:6" x14ac:dyDescent="0.3">
      <c r="A94" s="132" t="s">
        <v>1154</v>
      </c>
      <c r="B94" s="132" t="s">
        <v>1155</v>
      </c>
      <c r="C94" s="132" t="s">
        <v>884</v>
      </c>
      <c r="D94" s="132" t="s">
        <v>1536</v>
      </c>
      <c r="E94" s="132">
        <v>2223.5023999999999</v>
      </c>
      <c r="F94" s="132"/>
    </row>
    <row r="95" spans="1:6" x14ac:dyDescent="0.3">
      <c r="A95" s="132" t="s">
        <v>1154</v>
      </c>
      <c r="B95" s="132" t="s">
        <v>1156</v>
      </c>
      <c r="C95" s="132" t="s">
        <v>884</v>
      </c>
      <c r="D95" s="132" t="s">
        <v>1538</v>
      </c>
      <c r="E95" s="132">
        <v>1268.4156800000001</v>
      </c>
      <c r="F95" s="132"/>
    </row>
    <row r="96" spans="1:6" x14ac:dyDescent="0.3">
      <c r="A96" s="132" t="s">
        <v>1154</v>
      </c>
      <c r="B96" s="132" t="s">
        <v>1157</v>
      </c>
      <c r="C96" s="132" t="s">
        <v>884</v>
      </c>
      <c r="D96" s="132" t="s">
        <v>1539</v>
      </c>
      <c r="E96" s="132">
        <v>2571.8348799999999</v>
      </c>
      <c r="F96" s="132"/>
    </row>
    <row r="97" spans="1:6" x14ac:dyDescent="0.3">
      <c r="A97" s="132" t="s">
        <v>1154</v>
      </c>
      <c r="B97" s="132" t="s">
        <v>1092</v>
      </c>
      <c r="C97" s="132" t="s">
        <v>884</v>
      </c>
      <c r="D97" s="132" t="s">
        <v>1541</v>
      </c>
      <c r="E97" s="132">
        <v>1650.8844799999999</v>
      </c>
      <c r="F97" s="132"/>
    </row>
    <row r="98" spans="1:6" x14ac:dyDescent="0.3">
      <c r="A98" s="132" t="s">
        <v>1154</v>
      </c>
      <c r="B98" s="132" t="s">
        <v>912</v>
      </c>
      <c r="C98" s="132" t="s">
        <v>884</v>
      </c>
      <c r="D98" s="132" t="s">
        <v>1542</v>
      </c>
      <c r="E98" s="132">
        <v>2516.4691199999997</v>
      </c>
      <c r="F98" s="132"/>
    </row>
    <row r="99" spans="1:6" x14ac:dyDescent="0.3">
      <c r="A99" s="132" t="s">
        <v>1154</v>
      </c>
      <c r="B99" s="132" t="s">
        <v>1093</v>
      </c>
      <c r="C99" s="132" t="s">
        <v>884</v>
      </c>
      <c r="D99" s="132" t="s">
        <v>1677</v>
      </c>
      <c r="E99" s="132" t="s">
        <v>1676</v>
      </c>
      <c r="F99" s="132"/>
    </row>
    <row r="100" spans="1:6" x14ac:dyDescent="0.3">
      <c r="A100" s="132" t="s">
        <v>1160</v>
      </c>
      <c r="B100" s="132" t="s">
        <v>1126</v>
      </c>
      <c r="C100" s="132" t="s">
        <v>884</v>
      </c>
      <c r="D100" s="132" t="s">
        <v>1545</v>
      </c>
      <c r="E100" s="132">
        <v>728.89504000000011</v>
      </c>
      <c r="F100" s="132"/>
    </row>
    <row r="101" spans="1:6" x14ac:dyDescent="0.3">
      <c r="A101" s="132" t="s">
        <v>1160</v>
      </c>
      <c r="B101" s="132" t="s">
        <v>1165</v>
      </c>
      <c r="C101" s="132" t="s">
        <v>884</v>
      </c>
      <c r="D101" s="132" t="s">
        <v>1546</v>
      </c>
      <c r="E101" s="132">
        <v>2440.7375999999999</v>
      </c>
      <c r="F101" s="132"/>
    </row>
    <row r="102" spans="1:6" x14ac:dyDescent="0.3">
      <c r="A102" s="132" t="s">
        <v>1160</v>
      </c>
      <c r="B102" s="132" t="s">
        <v>1150</v>
      </c>
      <c r="C102" s="132" t="s">
        <v>884</v>
      </c>
      <c r="D102" s="132" t="s">
        <v>1548</v>
      </c>
      <c r="E102" s="132">
        <v>1708.9667199999999</v>
      </c>
      <c r="F102" s="132"/>
    </row>
    <row r="103" spans="1:6" x14ac:dyDescent="0.3">
      <c r="A103" s="132" t="s">
        <v>1160</v>
      </c>
      <c r="B103" s="132" t="s">
        <v>1061</v>
      </c>
      <c r="C103" s="132" t="s">
        <v>884</v>
      </c>
      <c r="D103" s="132" t="s">
        <v>1551</v>
      </c>
      <c r="E103" s="132">
        <v>1807.3632</v>
      </c>
      <c r="F103" s="132"/>
    </row>
    <row r="104" spans="1:6" x14ac:dyDescent="0.3">
      <c r="A104" s="132" t="s">
        <v>1160</v>
      </c>
      <c r="B104" s="132" t="s">
        <v>1060</v>
      </c>
      <c r="C104" s="132" t="s">
        <v>884</v>
      </c>
      <c r="D104" s="132" t="s">
        <v>1679</v>
      </c>
      <c r="E104" s="132" t="s">
        <v>1678</v>
      </c>
      <c r="F104" s="132"/>
    </row>
    <row r="105" spans="1:6" x14ac:dyDescent="0.3">
      <c r="A105" s="132" t="s">
        <v>1167</v>
      </c>
      <c r="B105" s="132" t="s">
        <v>1140</v>
      </c>
      <c r="C105" s="132" t="s">
        <v>884</v>
      </c>
      <c r="D105" s="132" t="s">
        <v>1554</v>
      </c>
      <c r="E105" s="132">
        <v>2452.6409600000002</v>
      </c>
      <c r="F105" s="132"/>
    </row>
    <row r="106" spans="1:6" x14ac:dyDescent="0.3">
      <c r="A106" s="132" t="s">
        <v>1167</v>
      </c>
      <c r="B106" s="132" t="s">
        <v>1059</v>
      </c>
      <c r="C106" s="132" t="s">
        <v>884</v>
      </c>
      <c r="D106" s="132" t="s">
        <v>1557</v>
      </c>
      <c r="E106" s="132">
        <v>2385.02304</v>
      </c>
      <c r="F106" s="132"/>
    </row>
    <row r="107" spans="1:6" x14ac:dyDescent="0.3">
      <c r="A107" s="132" t="s">
        <v>1167</v>
      </c>
      <c r="B107" s="132" t="s">
        <v>1172</v>
      </c>
      <c r="C107" s="132" t="s">
        <v>884</v>
      </c>
      <c r="D107" s="132" t="s">
        <v>1681</v>
      </c>
      <c r="E107" s="132" t="s">
        <v>1680</v>
      </c>
      <c r="F107" s="132"/>
    </row>
    <row r="108" spans="1:6" x14ac:dyDescent="0.3">
      <c r="A108" s="132" t="s">
        <v>1167</v>
      </c>
      <c r="B108" s="132" t="s">
        <v>1056</v>
      </c>
      <c r="C108" s="132" t="s">
        <v>884</v>
      </c>
      <c r="D108" s="132" t="s">
        <v>1559</v>
      </c>
      <c r="E108" s="132">
        <v>864.95808</v>
      </c>
      <c r="F108" s="132"/>
    </row>
    <row r="109" spans="1:6" x14ac:dyDescent="0.3">
      <c r="A109" s="132" t="s">
        <v>1176</v>
      </c>
      <c r="B109" s="132" t="s">
        <v>1161</v>
      </c>
      <c r="C109" s="132" t="s">
        <v>884</v>
      </c>
      <c r="D109" s="132" t="s">
        <v>1561</v>
      </c>
      <c r="E109" s="132">
        <v>1856.1708799999999</v>
      </c>
      <c r="F109" s="132"/>
    </row>
    <row r="110" spans="1:6" x14ac:dyDescent="0.3">
      <c r="A110" s="132" t="s">
        <v>1176</v>
      </c>
      <c r="B110" s="132" t="s">
        <v>1125</v>
      </c>
      <c r="C110" s="132" t="s">
        <v>884</v>
      </c>
      <c r="D110" s="132" t="s">
        <v>1683</v>
      </c>
      <c r="E110" s="132" t="s">
        <v>1682</v>
      </c>
      <c r="F110" s="132"/>
    </row>
    <row r="111" spans="1:6" x14ac:dyDescent="0.3">
      <c r="A111" s="132" t="s">
        <v>1176</v>
      </c>
      <c r="B111" s="132" t="s">
        <v>1179</v>
      </c>
      <c r="C111" s="132" t="s">
        <v>884</v>
      </c>
      <c r="D111" s="132" t="s">
        <v>1562</v>
      </c>
      <c r="E111" s="132">
        <v>1947.5161599999999</v>
      </c>
      <c r="F111" s="132"/>
    </row>
    <row r="112" spans="1:6" x14ac:dyDescent="0.3">
      <c r="A112" s="132" t="s">
        <v>1182</v>
      </c>
      <c r="B112" s="132" t="s">
        <v>1185</v>
      </c>
      <c r="C112" s="132" t="s">
        <v>884</v>
      </c>
      <c r="D112" s="132" t="s">
        <v>1685</v>
      </c>
      <c r="E112" s="132" t="s">
        <v>1684</v>
      </c>
      <c r="F112" s="132"/>
    </row>
    <row r="113" spans="1:6" x14ac:dyDescent="0.3">
      <c r="A113" s="132" t="s">
        <v>1182</v>
      </c>
      <c r="B113" s="132" t="s">
        <v>1186</v>
      </c>
      <c r="C113" s="132" t="s">
        <v>884</v>
      </c>
      <c r="D113" s="132" t="s">
        <v>1564</v>
      </c>
      <c r="E113" s="132">
        <v>1505.3708799999999</v>
      </c>
      <c r="F113" s="132"/>
    </row>
    <row r="114" spans="1:6" x14ac:dyDescent="0.3">
      <c r="A114" s="132" t="s">
        <v>1182</v>
      </c>
      <c r="B114" s="132" t="s">
        <v>1187</v>
      </c>
      <c r="C114" s="132" t="s">
        <v>884</v>
      </c>
      <c r="D114" s="132" t="s">
        <v>1565</v>
      </c>
      <c r="E114" s="132">
        <v>2193.3500800000002</v>
      </c>
      <c r="F114" s="132"/>
    </row>
    <row r="115" spans="1:6" x14ac:dyDescent="0.3">
      <c r="A115" s="132" t="s">
        <v>1182</v>
      </c>
      <c r="B115" s="132" t="s">
        <v>1063</v>
      </c>
      <c r="C115" s="132" t="s">
        <v>884</v>
      </c>
      <c r="D115" s="132" t="s">
        <v>1567</v>
      </c>
      <c r="E115" s="132">
        <v>1707.44928</v>
      </c>
      <c r="F115" s="132"/>
    </row>
    <row r="116" spans="1:6" x14ac:dyDescent="0.3">
      <c r="A116" s="132" t="s">
        <v>1182</v>
      </c>
      <c r="B116" s="132" t="s">
        <v>1123</v>
      </c>
      <c r="C116" s="132" t="s">
        <v>884</v>
      </c>
      <c r="D116" s="132" t="s">
        <v>1568</v>
      </c>
      <c r="E116" s="132">
        <v>2266.9452799999999</v>
      </c>
      <c r="F116" s="132"/>
    </row>
    <row r="117" spans="1:6" x14ac:dyDescent="0.3">
      <c r="A117" s="132" t="s">
        <v>1182</v>
      </c>
      <c r="B117" s="132" t="s">
        <v>1107</v>
      </c>
      <c r="C117" s="132" t="s">
        <v>884</v>
      </c>
      <c r="D117" s="132" t="s">
        <v>1570</v>
      </c>
      <c r="E117" s="132">
        <v>1808.1180800000002</v>
      </c>
      <c r="F117" s="132"/>
    </row>
    <row r="118" spans="1:6" x14ac:dyDescent="0.3">
      <c r="A118" s="132" t="s">
        <v>1182</v>
      </c>
      <c r="B118" s="132" t="s">
        <v>1125</v>
      </c>
      <c r="C118" s="132" t="s">
        <v>884</v>
      </c>
      <c r="D118" s="132" t="s">
        <v>1571</v>
      </c>
      <c r="E118" s="132">
        <v>2504.8262400000003</v>
      </c>
      <c r="F118" s="132"/>
    </row>
    <row r="119" spans="1:6" x14ac:dyDescent="0.3">
      <c r="A119" s="132" t="s">
        <v>1188</v>
      </c>
      <c r="B119" s="132" t="s">
        <v>1189</v>
      </c>
      <c r="C119" s="132" t="s">
        <v>884</v>
      </c>
      <c r="D119" s="132" t="s">
        <v>1573</v>
      </c>
      <c r="E119" s="132">
        <v>2437.9673700000003</v>
      </c>
      <c r="F119" s="132"/>
    </row>
    <row r="120" spans="1:6" x14ac:dyDescent="0.3">
      <c r="A120" s="132" t="s">
        <v>1188</v>
      </c>
      <c r="B120" s="132" t="s">
        <v>1107</v>
      </c>
      <c r="C120" s="132" t="s">
        <v>884</v>
      </c>
      <c r="D120" s="132" t="s">
        <v>1576</v>
      </c>
      <c r="E120" s="132">
        <v>1887.1257600000001</v>
      </c>
      <c r="F120" s="132"/>
    </row>
    <row r="121" spans="1:6" x14ac:dyDescent="0.3">
      <c r="A121" s="132" t="s">
        <v>1188</v>
      </c>
      <c r="B121" s="132" t="s">
        <v>1161</v>
      </c>
      <c r="C121" s="132" t="s">
        <v>884</v>
      </c>
      <c r="D121" s="132" t="s">
        <v>1579</v>
      </c>
      <c r="E121" s="132">
        <v>1414.9712</v>
      </c>
      <c r="F121" s="132"/>
    </row>
    <row r="122" spans="1:6" x14ac:dyDescent="0.3">
      <c r="A122" s="132" t="s">
        <v>1188</v>
      </c>
      <c r="B122" s="132" t="s">
        <v>1146</v>
      </c>
      <c r="C122" s="132" t="s">
        <v>884</v>
      </c>
      <c r="D122" s="132" t="s">
        <v>1687</v>
      </c>
      <c r="E122" s="132" t="s">
        <v>1686</v>
      </c>
      <c r="F122" s="132"/>
    </row>
    <row r="123" spans="1:6" x14ac:dyDescent="0.3">
      <c r="A123" s="132" t="s">
        <v>1188</v>
      </c>
      <c r="B123" s="132" t="s">
        <v>1063</v>
      </c>
      <c r="C123" s="132" t="s">
        <v>884</v>
      </c>
      <c r="D123" s="132" t="s">
        <v>1580</v>
      </c>
      <c r="E123" s="132">
        <v>869.96672000000001</v>
      </c>
      <c r="F123" s="132"/>
    </row>
    <row r="124" spans="1:6" x14ac:dyDescent="0.3">
      <c r="A124" s="132" t="s">
        <v>1194</v>
      </c>
      <c r="B124" s="132" t="s">
        <v>1198</v>
      </c>
      <c r="C124" s="132" t="s">
        <v>884</v>
      </c>
      <c r="D124" s="132" t="s">
        <v>1581</v>
      </c>
      <c r="E124" s="132">
        <v>1430.8551599999998</v>
      </c>
      <c r="F124" s="132"/>
    </row>
    <row r="125" spans="1:6" x14ac:dyDescent="0.3">
      <c r="A125" s="132" t="s">
        <v>1194</v>
      </c>
      <c r="B125" s="132" t="s">
        <v>1201</v>
      </c>
      <c r="C125" s="132" t="s">
        <v>884</v>
      </c>
      <c r="D125" s="132" t="s">
        <v>1582</v>
      </c>
      <c r="E125" s="132">
        <v>3135.9444600000006</v>
      </c>
      <c r="F125" s="132"/>
    </row>
    <row r="126" spans="1:6" x14ac:dyDescent="0.3">
      <c r="A126" s="132" t="s">
        <v>1194</v>
      </c>
      <c r="B126" s="132" t="s">
        <v>917</v>
      </c>
      <c r="C126" s="132" t="s">
        <v>884</v>
      </c>
      <c r="D126" s="132" t="s">
        <v>1585</v>
      </c>
      <c r="E126" s="132">
        <v>1982.0866799999997</v>
      </c>
      <c r="F126" s="132"/>
    </row>
    <row r="127" spans="1:6" x14ac:dyDescent="0.3">
      <c r="A127" s="132" t="s">
        <v>1194</v>
      </c>
      <c r="B127" s="132" t="s">
        <v>1203</v>
      </c>
      <c r="C127" s="132" t="s">
        <v>884</v>
      </c>
      <c r="D127" s="132" t="s">
        <v>1689</v>
      </c>
      <c r="E127" s="132" t="s">
        <v>1688</v>
      </c>
      <c r="F127" s="132"/>
    </row>
    <row r="128" spans="1:6" x14ac:dyDescent="0.3">
      <c r="A128" s="132" t="s">
        <v>1194</v>
      </c>
      <c r="B128" s="132" t="s">
        <v>1125</v>
      </c>
      <c r="C128" s="132" t="s">
        <v>884</v>
      </c>
      <c r="D128" s="132" t="s">
        <v>1586</v>
      </c>
      <c r="E128" s="132">
        <v>438.32011999999997</v>
      </c>
      <c r="F128" s="132"/>
    </row>
    <row r="129" spans="1:6" x14ac:dyDescent="0.3">
      <c r="A129" s="132" t="s">
        <v>1205</v>
      </c>
      <c r="B129" s="132" t="s">
        <v>1101</v>
      </c>
      <c r="C129" s="132" t="s">
        <v>884</v>
      </c>
      <c r="D129" s="132" t="s">
        <v>1587</v>
      </c>
      <c r="E129" s="132">
        <v>2803.8628199999998</v>
      </c>
      <c r="F129" s="132"/>
    </row>
    <row r="130" spans="1:6" x14ac:dyDescent="0.3">
      <c r="A130" s="132" t="s">
        <v>1205</v>
      </c>
      <c r="B130" s="132" t="s">
        <v>917</v>
      </c>
      <c r="C130" s="132" t="s">
        <v>884</v>
      </c>
      <c r="D130" s="132" t="s">
        <v>1589</v>
      </c>
      <c r="E130" s="132">
        <v>3536.7456200000001</v>
      </c>
      <c r="F130" s="132"/>
    </row>
    <row r="131" spans="1:6" x14ac:dyDescent="0.3">
      <c r="A131" s="132" t="s">
        <v>1205</v>
      </c>
      <c r="B131" s="132" t="s">
        <v>1206</v>
      </c>
      <c r="C131" s="132" t="s">
        <v>884</v>
      </c>
      <c r="D131" s="132" t="s">
        <v>1591</v>
      </c>
      <c r="E131" s="132">
        <v>724.83142999999995</v>
      </c>
      <c r="F131" s="132"/>
    </row>
    <row r="132" spans="1:6" x14ac:dyDescent="0.3">
      <c r="A132" s="132" t="s">
        <v>1205</v>
      </c>
      <c r="B132" s="132" t="s">
        <v>1185</v>
      </c>
      <c r="C132" s="132" t="s">
        <v>884</v>
      </c>
      <c r="D132" s="132" t="s">
        <v>1592</v>
      </c>
      <c r="E132" s="132">
        <v>2989.80258</v>
      </c>
      <c r="F132" s="132"/>
    </row>
    <row r="133" spans="1:6" x14ac:dyDescent="0.3">
      <c r="A133" s="132" t="s">
        <v>1205</v>
      </c>
      <c r="B133" s="132" t="s">
        <v>1102</v>
      </c>
      <c r="C133" s="132" t="s">
        <v>884</v>
      </c>
      <c r="D133" s="132" t="s">
        <v>1692</v>
      </c>
      <c r="E133" s="132" t="s">
        <v>1691</v>
      </c>
      <c r="F133" s="132"/>
    </row>
    <row r="134" spans="1:6" x14ac:dyDescent="0.3">
      <c r="A134" s="132" t="s">
        <v>1205</v>
      </c>
      <c r="B134" s="132" t="s">
        <v>1204</v>
      </c>
      <c r="C134" s="132" t="s">
        <v>884</v>
      </c>
      <c r="D134" s="132" t="s">
        <v>1595</v>
      </c>
      <c r="E134" s="132">
        <v>2761.5201899999997</v>
      </c>
      <c r="F134" s="132"/>
    </row>
    <row r="135" spans="1:6" x14ac:dyDescent="0.3">
      <c r="A135" s="132" t="s">
        <v>1210</v>
      </c>
      <c r="B135" s="132" t="s">
        <v>1101</v>
      </c>
      <c r="C135" s="132" t="s">
        <v>884</v>
      </c>
      <c r="D135" s="132" t="s">
        <v>1598</v>
      </c>
      <c r="E135" s="132">
        <v>3647.6101199999998</v>
      </c>
      <c r="F135" s="132"/>
    </row>
    <row r="136" spans="1:6" x14ac:dyDescent="0.3">
      <c r="A136" s="132" t="s">
        <v>1210</v>
      </c>
      <c r="B136" s="132" t="s">
        <v>1060</v>
      </c>
      <c r="C136" s="132" t="s">
        <v>884</v>
      </c>
      <c r="D136" s="132" t="s">
        <v>1600</v>
      </c>
      <c r="E136" s="132">
        <v>2212.5689600000001</v>
      </c>
      <c r="F136" s="132"/>
    </row>
    <row r="137" spans="1:6" x14ac:dyDescent="0.3">
      <c r="A137" s="132" t="s">
        <v>1210</v>
      </c>
      <c r="B137" s="132" t="s">
        <v>1209</v>
      </c>
      <c r="C137" s="132" t="s">
        <v>884</v>
      </c>
      <c r="D137" s="132" t="s">
        <v>1694</v>
      </c>
      <c r="E137" s="132" t="s">
        <v>1693</v>
      </c>
      <c r="F137" s="132"/>
    </row>
    <row r="138" spans="1:6" x14ac:dyDescent="0.3">
      <c r="A138" s="132" t="s">
        <v>1210</v>
      </c>
      <c r="B138" s="132" t="s">
        <v>1185</v>
      </c>
      <c r="C138" s="132" t="s">
        <v>884</v>
      </c>
      <c r="D138" s="132" t="s">
        <v>1602</v>
      </c>
      <c r="E138" s="132">
        <v>3617.1279199999999</v>
      </c>
      <c r="F138" s="132"/>
    </row>
    <row r="139" spans="1:6" x14ac:dyDescent="0.3">
      <c r="A139" s="132" t="s">
        <v>1210</v>
      </c>
      <c r="B139" s="132" t="s">
        <v>1125</v>
      </c>
      <c r="C139" s="132" t="s">
        <v>884</v>
      </c>
      <c r="D139" s="132" t="s">
        <v>1608</v>
      </c>
      <c r="E139" s="132">
        <v>4029.4990399999997</v>
      </c>
      <c r="F139" s="132"/>
    </row>
    <row r="140" spans="1:6" x14ac:dyDescent="0.3">
      <c r="A140" s="132" t="s">
        <v>1210</v>
      </c>
      <c r="B140" s="132" t="s">
        <v>1198</v>
      </c>
      <c r="C140" s="132" t="s">
        <v>884</v>
      </c>
      <c r="D140" s="132" t="s">
        <v>1610</v>
      </c>
      <c r="E140" s="132">
        <v>3456.3415600000003</v>
      </c>
      <c r="F140" s="132"/>
    </row>
    <row r="141" spans="1:6" x14ac:dyDescent="0.3">
      <c r="A141" s="132" t="s">
        <v>1217</v>
      </c>
      <c r="B141" s="132" t="s">
        <v>1165</v>
      </c>
      <c r="C141" s="132" t="s">
        <v>884</v>
      </c>
      <c r="D141" s="132" t="s">
        <v>1613</v>
      </c>
      <c r="E141" s="132">
        <v>1486.35564</v>
      </c>
      <c r="F141" s="132"/>
    </row>
    <row r="142" spans="1:6" x14ac:dyDescent="0.3">
      <c r="A142" s="132" t="s">
        <v>1217</v>
      </c>
      <c r="B142" s="132" t="s">
        <v>1185</v>
      </c>
      <c r="C142" s="132" t="s">
        <v>884</v>
      </c>
      <c r="D142" s="132" t="s">
        <v>1614</v>
      </c>
      <c r="E142" s="132">
        <v>795.36436000000003</v>
      </c>
      <c r="F142" s="132"/>
    </row>
    <row r="143" spans="1:6" x14ac:dyDescent="0.3">
      <c r="A143" s="132" t="s">
        <v>1217</v>
      </c>
      <c r="B143" s="132" t="s">
        <v>1179</v>
      </c>
      <c r="C143" s="132" t="s">
        <v>884</v>
      </c>
      <c r="D143" s="132" t="s">
        <v>1615</v>
      </c>
      <c r="E143" s="132">
        <v>1139.9135999999999</v>
      </c>
      <c r="F143" s="132"/>
    </row>
    <row r="144" spans="1:6" x14ac:dyDescent="0.3">
      <c r="A144" s="132" t="s">
        <v>1217</v>
      </c>
      <c r="B144" s="132" t="s">
        <v>1125</v>
      </c>
      <c r="C144" s="132" t="s">
        <v>884</v>
      </c>
      <c r="D144" s="132" t="s">
        <v>1616</v>
      </c>
      <c r="E144" s="132">
        <v>1126.69984</v>
      </c>
      <c r="F144" s="132"/>
    </row>
    <row r="145" spans="1:6" x14ac:dyDescent="0.3">
      <c r="A145" s="132" t="s">
        <v>1217</v>
      </c>
      <c r="B145" s="132" t="s">
        <v>1191</v>
      </c>
      <c r="C145" s="132" t="s">
        <v>884</v>
      </c>
      <c r="D145" s="132" t="s">
        <v>1617</v>
      </c>
      <c r="E145" s="132">
        <v>1502.5458000000001</v>
      </c>
      <c r="F145" s="132"/>
    </row>
    <row r="146" spans="1:6" x14ac:dyDescent="0.3">
      <c r="A146" s="132" t="s">
        <v>1217</v>
      </c>
      <c r="B146" s="132" t="s">
        <v>1218</v>
      </c>
      <c r="C146" s="132" t="s">
        <v>884</v>
      </c>
      <c r="D146" s="132" t="s">
        <v>1618</v>
      </c>
      <c r="E146" s="132">
        <v>2307.3783599999997</v>
      </c>
      <c r="F146" s="132"/>
    </row>
    <row r="147" spans="1:6" x14ac:dyDescent="0.3">
      <c r="A147" s="132" t="s">
        <v>1219</v>
      </c>
      <c r="B147" s="132" t="s">
        <v>919</v>
      </c>
      <c r="C147" s="132" t="s">
        <v>884</v>
      </c>
      <c r="D147" s="132" t="s">
        <v>1695</v>
      </c>
      <c r="E147" s="132">
        <v>1224.2764800000002</v>
      </c>
      <c r="F147" s="132"/>
    </row>
    <row r="148" spans="1:6" x14ac:dyDescent="0.3">
      <c r="A148" s="132" t="s">
        <v>1219</v>
      </c>
      <c r="B148" s="132" t="s">
        <v>1125</v>
      </c>
      <c r="C148" s="132" t="s">
        <v>884</v>
      </c>
      <c r="D148" s="132" t="s">
        <v>1698</v>
      </c>
      <c r="E148" s="132" t="s">
        <v>1697</v>
      </c>
      <c r="F148" s="132"/>
    </row>
    <row r="149" spans="1:6" x14ac:dyDescent="0.3">
      <c r="A149" s="132" t="s">
        <v>1219</v>
      </c>
      <c r="B149" s="132" t="s">
        <v>1187</v>
      </c>
      <c r="C149" s="132" t="s">
        <v>884</v>
      </c>
      <c r="D149" s="132" t="s">
        <v>1699</v>
      </c>
      <c r="E149" s="132">
        <v>861.89768000000004</v>
      </c>
      <c r="F149" s="132"/>
    </row>
    <row r="150" spans="1:6" x14ac:dyDescent="0.3">
      <c r="A150" s="132" t="s">
        <v>1219</v>
      </c>
      <c r="B150" s="132" t="s">
        <v>1101</v>
      </c>
      <c r="C150" s="132" t="s">
        <v>884</v>
      </c>
      <c r="D150" s="132" t="s">
        <v>1700</v>
      </c>
      <c r="E150" s="132">
        <v>1457.4492799999998</v>
      </c>
      <c r="F150" s="132"/>
    </row>
    <row r="151" spans="1:6" x14ac:dyDescent="0.3">
      <c r="A151" s="132" t="s">
        <v>1219</v>
      </c>
      <c r="B151" s="132" t="s">
        <v>1222</v>
      </c>
      <c r="C151" s="132" t="s">
        <v>884</v>
      </c>
      <c r="D151" s="132" t="s">
        <v>1702</v>
      </c>
      <c r="E151" s="132">
        <v>1158.4599599999999</v>
      </c>
      <c r="F151" s="132"/>
    </row>
    <row r="152" spans="1:6" x14ac:dyDescent="0.3">
      <c r="A152" s="132" t="s">
        <v>1219</v>
      </c>
      <c r="B152" s="132" t="s">
        <v>1201</v>
      </c>
      <c r="C152" s="132" t="s">
        <v>884</v>
      </c>
      <c r="D152" s="132" t="s">
        <v>1704</v>
      </c>
      <c r="E152" s="132">
        <v>1081.7270800000001</v>
      </c>
      <c r="F152" s="132"/>
    </row>
    <row r="153" spans="1:6" x14ac:dyDescent="0.3">
      <c r="A153" s="132" t="s">
        <v>1219</v>
      </c>
      <c r="B153" s="132" t="s">
        <v>1179</v>
      </c>
      <c r="C153" s="132" t="s">
        <v>884</v>
      </c>
      <c r="D153" s="132" t="s">
        <v>1706</v>
      </c>
      <c r="E153" s="132">
        <v>1651.29972</v>
      </c>
      <c r="F153" s="132"/>
    </row>
    <row r="154" spans="1:6" x14ac:dyDescent="0.3">
      <c r="A154" s="132" t="s">
        <v>1219</v>
      </c>
      <c r="B154" s="132" t="s">
        <v>1191</v>
      </c>
      <c r="C154" s="132" t="s">
        <v>884</v>
      </c>
      <c r="D154" s="132" t="s">
        <v>1708</v>
      </c>
      <c r="E154" s="132">
        <v>1677.4430400000001</v>
      </c>
      <c r="F154" s="132"/>
    </row>
    <row r="155" spans="1:6" x14ac:dyDescent="0.3">
      <c r="A155" s="132" t="s">
        <v>1223</v>
      </c>
      <c r="B155" s="132" t="s">
        <v>1225</v>
      </c>
      <c r="C155" s="132" t="s">
        <v>884</v>
      </c>
      <c r="D155" s="132" t="s">
        <v>1709</v>
      </c>
      <c r="E155" s="132">
        <v>1344.1584800000001</v>
      </c>
      <c r="F155" s="132"/>
    </row>
    <row r="156" spans="1:6" x14ac:dyDescent="0.3">
      <c r="A156" s="132" t="s">
        <v>1223</v>
      </c>
      <c r="B156" s="132" t="s">
        <v>1130</v>
      </c>
      <c r="C156" s="132" t="s">
        <v>884</v>
      </c>
      <c r="D156" s="132" t="s">
        <v>1712</v>
      </c>
      <c r="E156" s="132">
        <v>1046.5915599999998</v>
      </c>
      <c r="F156" s="132"/>
    </row>
    <row r="157" spans="1:6" x14ac:dyDescent="0.3">
      <c r="A157" s="132" t="s">
        <v>1223</v>
      </c>
      <c r="B157" s="132" t="s">
        <v>1227</v>
      </c>
      <c r="C157" s="132" t="s">
        <v>884</v>
      </c>
      <c r="D157" s="132" t="s">
        <v>1714</v>
      </c>
      <c r="E157" s="132">
        <v>1503.9514000000001</v>
      </c>
      <c r="F157" s="132"/>
    </row>
    <row r="158" spans="1:6" x14ac:dyDescent="0.3">
      <c r="A158" s="132" t="s">
        <v>1223</v>
      </c>
      <c r="B158" s="132" t="s">
        <v>1232</v>
      </c>
      <c r="C158" s="132" t="s">
        <v>884</v>
      </c>
      <c r="D158" s="132" t="s">
        <v>1717</v>
      </c>
      <c r="E158" s="132">
        <v>705.54427999999996</v>
      </c>
      <c r="F158" s="132"/>
    </row>
    <row r="159" spans="1:6" x14ac:dyDescent="0.3">
      <c r="A159" s="132" t="s">
        <v>1223</v>
      </c>
      <c r="B159" s="132" t="s">
        <v>1147</v>
      </c>
      <c r="C159" s="132" t="s">
        <v>884</v>
      </c>
      <c r="D159" s="132" t="s">
        <v>1718</v>
      </c>
      <c r="E159" s="132">
        <v>1641.44876</v>
      </c>
      <c r="F159" s="132"/>
    </row>
    <row r="160" spans="1:6" x14ac:dyDescent="0.3">
      <c r="A160" s="132" t="s">
        <v>1223</v>
      </c>
      <c r="B160" s="132" t="s">
        <v>1621</v>
      </c>
      <c r="C160" s="132" t="s">
        <v>884</v>
      </c>
      <c r="D160" s="132" t="s">
        <v>1721</v>
      </c>
      <c r="E160" s="132" t="s">
        <v>1720</v>
      </c>
      <c r="F160" s="132"/>
    </row>
    <row r="161" spans="5:6" x14ac:dyDescent="0.3">
      <c r="E161" s="132"/>
      <c r="F161" s="132"/>
    </row>
    <row r="162" spans="5:6" x14ac:dyDescent="0.3">
      <c r="E162" s="132"/>
      <c r="F162" s="132"/>
    </row>
    <row r="163" spans="5:6" x14ac:dyDescent="0.3">
      <c r="E163" s="132"/>
      <c r="F163" s="132"/>
    </row>
    <row r="164" spans="5:6" x14ac:dyDescent="0.3">
      <c r="E164" s="132"/>
      <c r="F164" s="132"/>
    </row>
    <row r="165" spans="5:6" x14ac:dyDescent="0.3">
      <c r="E165" s="132"/>
      <c r="F165" s="132"/>
    </row>
    <row r="166" spans="5:6" x14ac:dyDescent="0.3">
      <c r="E166" s="132"/>
      <c r="F166" s="132"/>
    </row>
    <row r="167" spans="5:6" x14ac:dyDescent="0.3">
      <c r="E167" s="132"/>
      <c r="F167" s="132"/>
    </row>
    <row r="168" spans="5:6" x14ac:dyDescent="0.3">
      <c r="E168" s="132"/>
      <c r="F168" s="132"/>
    </row>
    <row r="169" spans="5:6" x14ac:dyDescent="0.3">
      <c r="E169" s="132"/>
      <c r="F169" s="132"/>
    </row>
    <row r="170" spans="5:6" x14ac:dyDescent="0.3">
      <c r="E170" s="132"/>
      <c r="F170" s="132"/>
    </row>
    <row r="171" spans="5:6" x14ac:dyDescent="0.3">
      <c r="E171" s="132"/>
      <c r="F171" s="132"/>
    </row>
    <row r="172" spans="5:6" x14ac:dyDescent="0.3">
      <c r="E172" s="132"/>
      <c r="F172" s="132"/>
    </row>
    <row r="173" spans="5:6" x14ac:dyDescent="0.3">
      <c r="E173" s="132"/>
      <c r="F173" s="132"/>
    </row>
    <row r="174" spans="5:6" x14ac:dyDescent="0.3">
      <c r="E174" s="132"/>
      <c r="F174" s="132"/>
    </row>
    <row r="175" spans="5:6" x14ac:dyDescent="0.3">
      <c r="E175" s="132"/>
      <c r="F175" s="132"/>
    </row>
    <row r="176" spans="5:6" x14ac:dyDescent="0.3">
      <c r="E176" s="132"/>
      <c r="F176" s="132"/>
    </row>
    <row r="177" spans="5:6" x14ac:dyDescent="0.3">
      <c r="E177" s="132"/>
      <c r="F177" s="132"/>
    </row>
    <row r="178" spans="5:6" x14ac:dyDescent="0.3">
      <c r="E178" s="132"/>
      <c r="F178" s="132"/>
    </row>
    <row r="179" spans="5:6" x14ac:dyDescent="0.3">
      <c r="E179" s="132"/>
      <c r="F179" s="132"/>
    </row>
    <row r="180" spans="5:6" x14ac:dyDescent="0.3">
      <c r="E180" s="132"/>
      <c r="F180" s="132"/>
    </row>
    <row r="181" spans="5:6" x14ac:dyDescent="0.3">
      <c r="E181" s="132"/>
      <c r="F181" s="132"/>
    </row>
    <row r="182" spans="5:6" x14ac:dyDescent="0.3">
      <c r="E182" s="132"/>
      <c r="F182" s="132"/>
    </row>
    <row r="183" spans="5:6" x14ac:dyDescent="0.3">
      <c r="E183" s="132"/>
      <c r="F183" s="132"/>
    </row>
    <row r="184" spans="5:6" x14ac:dyDescent="0.3">
      <c r="E184" s="132"/>
      <c r="F184" s="132"/>
    </row>
    <row r="185" spans="5:6" x14ac:dyDescent="0.3">
      <c r="E185" s="132"/>
      <c r="F185" s="132"/>
    </row>
    <row r="186" spans="5:6" x14ac:dyDescent="0.3">
      <c r="E186" s="132"/>
      <c r="F186" s="132"/>
    </row>
    <row r="187" spans="5:6" x14ac:dyDescent="0.3">
      <c r="E187" s="132"/>
      <c r="F187" s="132"/>
    </row>
    <row r="188" spans="5:6" x14ac:dyDescent="0.3">
      <c r="E188" s="132"/>
      <c r="F188" s="132"/>
    </row>
    <row r="189" spans="5:6" x14ac:dyDescent="0.3">
      <c r="E189" s="132"/>
      <c r="F189" s="132"/>
    </row>
    <row r="190" spans="5:6" x14ac:dyDescent="0.3">
      <c r="E190" s="132"/>
      <c r="F190" s="132"/>
    </row>
    <row r="191" spans="5:6" x14ac:dyDescent="0.3">
      <c r="E191" s="132"/>
      <c r="F191" s="132"/>
    </row>
    <row r="192" spans="5:6" x14ac:dyDescent="0.3">
      <c r="E192" s="132"/>
      <c r="F192" s="132"/>
    </row>
    <row r="193" spans="5:6" x14ac:dyDescent="0.3">
      <c r="E193" s="132"/>
      <c r="F193" s="132"/>
    </row>
    <row r="194" spans="5:6" x14ac:dyDescent="0.3">
      <c r="E194" s="132"/>
      <c r="F194" s="132"/>
    </row>
    <row r="195" spans="5:6" x14ac:dyDescent="0.3">
      <c r="E195" s="132"/>
      <c r="F195" s="132"/>
    </row>
    <row r="196" spans="5:6" x14ac:dyDescent="0.3">
      <c r="E196" s="132"/>
      <c r="F196" s="132"/>
    </row>
    <row r="197" spans="5:6" x14ac:dyDescent="0.3">
      <c r="E197" s="132"/>
      <c r="F197" s="132"/>
    </row>
    <row r="198" spans="5:6" x14ac:dyDescent="0.3">
      <c r="E198" s="132"/>
      <c r="F198" s="132"/>
    </row>
    <row r="199" spans="5:6" x14ac:dyDescent="0.3">
      <c r="E199" s="132"/>
      <c r="F199" s="132"/>
    </row>
    <row r="200" spans="5:6" x14ac:dyDescent="0.3">
      <c r="E200" s="132"/>
      <c r="F200" s="132"/>
    </row>
    <row r="201" spans="5:6" x14ac:dyDescent="0.3">
      <c r="E201" s="132"/>
      <c r="F201" s="132"/>
    </row>
    <row r="202" spans="5:6" x14ac:dyDescent="0.3">
      <c r="E202" s="132"/>
      <c r="F202" s="132"/>
    </row>
    <row r="203" spans="5:6" x14ac:dyDescent="0.3">
      <c r="E203" s="132"/>
      <c r="F203" s="132"/>
    </row>
    <row r="204" spans="5:6" x14ac:dyDescent="0.3">
      <c r="E204" s="132"/>
      <c r="F204" s="132"/>
    </row>
    <row r="205" spans="5:6" x14ac:dyDescent="0.3">
      <c r="E205" s="132"/>
      <c r="F205" s="132"/>
    </row>
    <row r="206" spans="5:6" x14ac:dyDescent="0.3">
      <c r="E206" s="132"/>
      <c r="F206" s="132"/>
    </row>
    <row r="207" spans="5:6" x14ac:dyDescent="0.3">
      <c r="E207" s="132"/>
      <c r="F207" s="132"/>
    </row>
    <row r="208" spans="5:6" x14ac:dyDescent="0.3">
      <c r="E208" s="132"/>
      <c r="F208" s="132"/>
    </row>
    <row r="209" spans="5:6" x14ac:dyDescent="0.3">
      <c r="E209" s="132"/>
      <c r="F209" s="132"/>
    </row>
    <row r="210" spans="5:6" x14ac:dyDescent="0.3">
      <c r="E210" s="132"/>
      <c r="F210" s="132"/>
    </row>
    <row r="211" spans="5:6" x14ac:dyDescent="0.3">
      <c r="E211" s="132"/>
      <c r="F211" s="132"/>
    </row>
    <row r="212" spans="5:6" x14ac:dyDescent="0.3">
      <c r="E212" s="132"/>
      <c r="F212" s="132"/>
    </row>
    <row r="213" spans="5:6" x14ac:dyDescent="0.3">
      <c r="E213" s="132"/>
      <c r="F213" s="132"/>
    </row>
    <row r="214" spans="5:6" x14ac:dyDescent="0.3">
      <c r="E214" s="132"/>
      <c r="F214" s="132"/>
    </row>
    <row r="215" spans="5:6" x14ac:dyDescent="0.3">
      <c r="E215" s="132"/>
      <c r="F215" s="132"/>
    </row>
    <row r="216" spans="5:6" x14ac:dyDescent="0.3">
      <c r="E216" s="132"/>
      <c r="F216" s="132"/>
    </row>
    <row r="217" spans="5:6" x14ac:dyDescent="0.3">
      <c r="E217" s="132"/>
      <c r="F217" s="132"/>
    </row>
    <row r="218" spans="5:6" x14ac:dyDescent="0.3">
      <c r="E218" s="132"/>
      <c r="F218" s="132"/>
    </row>
    <row r="219" spans="5:6" x14ac:dyDescent="0.3">
      <c r="E219" s="132"/>
      <c r="F219" s="132"/>
    </row>
    <row r="220" spans="5:6" x14ac:dyDescent="0.3">
      <c r="E220" s="132"/>
      <c r="F220" s="132"/>
    </row>
    <row r="221" spans="5:6" x14ac:dyDescent="0.3">
      <c r="E221" s="132"/>
      <c r="F221" s="132"/>
    </row>
    <row r="222" spans="5:6" x14ac:dyDescent="0.3">
      <c r="E222" s="132"/>
      <c r="F222" s="132"/>
    </row>
    <row r="223" spans="5:6" x14ac:dyDescent="0.3">
      <c r="E223" s="132"/>
      <c r="F223" s="132"/>
    </row>
    <row r="224" spans="5:6" x14ac:dyDescent="0.3">
      <c r="E224" s="132"/>
      <c r="F224" s="132"/>
    </row>
    <row r="225" spans="5:6" x14ac:dyDescent="0.3">
      <c r="E225" s="132"/>
      <c r="F225" s="132"/>
    </row>
    <row r="226" spans="5:6" x14ac:dyDescent="0.3">
      <c r="E226" s="132"/>
      <c r="F226" s="132"/>
    </row>
    <row r="227" spans="5:6" x14ac:dyDescent="0.3">
      <c r="E227" s="132"/>
      <c r="F227" s="132"/>
    </row>
    <row r="228" spans="5:6" x14ac:dyDescent="0.3">
      <c r="E228" s="132"/>
      <c r="F228" s="132"/>
    </row>
    <row r="229" spans="5:6" x14ac:dyDescent="0.3">
      <c r="E229" s="132"/>
      <c r="F229" s="132"/>
    </row>
    <row r="230" spans="5:6" x14ac:dyDescent="0.3">
      <c r="E230" s="132"/>
      <c r="F230" s="132"/>
    </row>
    <row r="231" spans="5:6" x14ac:dyDescent="0.3">
      <c r="E231" s="132"/>
      <c r="F231" s="132"/>
    </row>
    <row r="232" spans="5:6" x14ac:dyDescent="0.3">
      <c r="E232" s="132"/>
      <c r="F232" s="132"/>
    </row>
    <row r="233" spans="5:6" x14ac:dyDescent="0.3">
      <c r="E233" s="132"/>
      <c r="F233" s="132"/>
    </row>
    <row r="234" spans="5:6" x14ac:dyDescent="0.3">
      <c r="E234" s="132"/>
      <c r="F234" s="132"/>
    </row>
    <row r="235" spans="5:6" x14ac:dyDescent="0.3">
      <c r="E235" s="132"/>
      <c r="F235" s="132"/>
    </row>
    <row r="236" spans="5:6" x14ac:dyDescent="0.3">
      <c r="E236" s="132"/>
      <c r="F236" s="132"/>
    </row>
    <row r="237" spans="5:6" x14ac:dyDescent="0.3">
      <c r="E237" s="132"/>
      <c r="F237" s="132"/>
    </row>
    <row r="238" spans="5:6" x14ac:dyDescent="0.3">
      <c r="E238" s="132"/>
      <c r="F238" s="132"/>
    </row>
    <row r="239" spans="5:6" x14ac:dyDescent="0.3">
      <c r="E239" s="132"/>
      <c r="F239" s="132"/>
    </row>
    <row r="240" spans="5:6" x14ac:dyDescent="0.3">
      <c r="E240" s="132"/>
      <c r="F240" s="132"/>
    </row>
    <row r="241" spans="5:6" x14ac:dyDescent="0.3">
      <c r="E241" s="132"/>
      <c r="F241" s="132"/>
    </row>
    <row r="242" spans="5:6" x14ac:dyDescent="0.3">
      <c r="E242" s="132"/>
      <c r="F242" s="132"/>
    </row>
    <row r="243" spans="5:6" x14ac:dyDescent="0.3">
      <c r="E243" s="132"/>
      <c r="F243" s="132"/>
    </row>
    <row r="244" spans="5:6" x14ac:dyDescent="0.3">
      <c r="E244" s="132"/>
      <c r="F244" s="132"/>
    </row>
    <row r="245" spans="5:6" x14ac:dyDescent="0.3">
      <c r="E245" s="132"/>
      <c r="F245" s="132"/>
    </row>
    <row r="246" spans="5:6" x14ac:dyDescent="0.3">
      <c r="E246" s="132"/>
      <c r="F246" s="132"/>
    </row>
    <row r="247" spans="5:6" x14ac:dyDescent="0.3">
      <c r="E247" s="132"/>
      <c r="F247" s="132"/>
    </row>
    <row r="248" spans="5:6" x14ac:dyDescent="0.3">
      <c r="E248" s="132"/>
      <c r="F248" s="132"/>
    </row>
    <row r="249" spans="5:6" x14ac:dyDescent="0.3">
      <c r="E249" s="132"/>
      <c r="F249" s="132"/>
    </row>
    <row r="250" spans="5:6" x14ac:dyDescent="0.3">
      <c r="E250" s="132"/>
      <c r="F250" s="132"/>
    </row>
    <row r="251" spans="5:6" x14ac:dyDescent="0.3">
      <c r="E251" s="132"/>
      <c r="F251" s="132"/>
    </row>
    <row r="252" spans="5:6" x14ac:dyDescent="0.3">
      <c r="E252" s="132"/>
      <c r="F252" s="132"/>
    </row>
    <row r="253" spans="5:6" x14ac:dyDescent="0.3">
      <c r="E253" s="132"/>
      <c r="F253" s="132"/>
    </row>
    <row r="254" spans="5:6" x14ac:dyDescent="0.3">
      <c r="E254" s="132"/>
      <c r="F254" s="132"/>
    </row>
    <row r="255" spans="5:6" x14ac:dyDescent="0.3">
      <c r="E255" s="132"/>
      <c r="F255" s="132"/>
    </row>
    <row r="256" spans="5:6" x14ac:dyDescent="0.3">
      <c r="E256" s="132"/>
      <c r="F256" s="132"/>
    </row>
    <row r="257" spans="5:6" x14ac:dyDescent="0.3">
      <c r="E257" s="132"/>
      <c r="F257" s="132"/>
    </row>
    <row r="258" spans="5:6" x14ac:dyDescent="0.3">
      <c r="E258" s="132"/>
      <c r="F258" s="132"/>
    </row>
    <row r="259" spans="5:6" x14ac:dyDescent="0.3">
      <c r="E259" s="132"/>
      <c r="F259" s="132"/>
    </row>
    <row r="260" spans="5:6" x14ac:dyDescent="0.3">
      <c r="E260" s="132"/>
      <c r="F260" s="132"/>
    </row>
    <row r="261" spans="5:6" x14ac:dyDescent="0.3">
      <c r="E261" s="132"/>
      <c r="F261" s="132"/>
    </row>
    <row r="262" spans="5:6" x14ac:dyDescent="0.3">
      <c r="E262" s="132"/>
      <c r="F262" s="132"/>
    </row>
    <row r="263" spans="5:6" x14ac:dyDescent="0.3">
      <c r="E263" s="132"/>
      <c r="F263" s="132"/>
    </row>
    <row r="264" spans="5:6" x14ac:dyDescent="0.3">
      <c r="E264" s="132"/>
      <c r="F264" s="132"/>
    </row>
    <row r="265" spans="5:6" x14ac:dyDescent="0.3">
      <c r="E265" s="132"/>
      <c r="F265" s="132"/>
    </row>
    <row r="266" spans="5:6" x14ac:dyDescent="0.3">
      <c r="E266" s="132"/>
      <c r="F266" s="132"/>
    </row>
    <row r="267" spans="5:6" x14ac:dyDescent="0.3">
      <c r="E267" s="132"/>
      <c r="F267" s="132"/>
    </row>
    <row r="268" spans="5:6" x14ac:dyDescent="0.3">
      <c r="E268" s="132"/>
      <c r="F268" s="132"/>
    </row>
    <row r="269" spans="5:6" x14ac:dyDescent="0.3">
      <c r="E269" s="132"/>
      <c r="F269" s="132"/>
    </row>
    <row r="270" spans="5:6" x14ac:dyDescent="0.3">
      <c r="E270" s="132"/>
      <c r="F270" s="132"/>
    </row>
    <row r="271" spans="5:6" x14ac:dyDescent="0.3">
      <c r="E271" s="132"/>
      <c r="F271" s="132"/>
    </row>
    <row r="272" spans="5:6" x14ac:dyDescent="0.3">
      <c r="E272" s="132"/>
      <c r="F272" s="132"/>
    </row>
    <row r="273" spans="5:6" x14ac:dyDescent="0.3">
      <c r="E273" s="132"/>
      <c r="F273" s="132"/>
    </row>
    <row r="274" spans="5:6" x14ac:dyDescent="0.3">
      <c r="E274" s="132"/>
      <c r="F274" s="132"/>
    </row>
    <row r="275" spans="5:6" x14ac:dyDescent="0.3">
      <c r="E275" s="132"/>
      <c r="F275" s="132"/>
    </row>
    <row r="276" spans="5:6" x14ac:dyDescent="0.3">
      <c r="E276" s="132"/>
      <c r="F276" s="132"/>
    </row>
    <row r="277" spans="5:6" x14ac:dyDescent="0.3">
      <c r="E277" s="132"/>
      <c r="F277" s="132"/>
    </row>
    <row r="278" spans="5:6" x14ac:dyDescent="0.3">
      <c r="E278" s="132"/>
      <c r="F278" s="132"/>
    </row>
    <row r="279" spans="5:6" x14ac:dyDescent="0.3">
      <c r="E279" s="132"/>
      <c r="F279" s="132"/>
    </row>
    <row r="280" spans="5:6" x14ac:dyDescent="0.3">
      <c r="E280" s="132"/>
      <c r="F280" s="132"/>
    </row>
    <row r="281" spans="5:6" x14ac:dyDescent="0.3">
      <c r="E281" s="132"/>
      <c r="F281" s="132"/>
    </row>
    <row r="282" spans="5:6" x14ac:dyDescent="0.3">
      <c r="E282" s="132"/>
      <c r="F282" s="132"/>
    </row>
    <row r="283" spans="5:6" x14ac:dyDescent="0.3">
      <c r="E283" s="132"/>
      <c r="F283" s="132"/>
    </row>
    <row r="284" spans="5:6" x14ac:dyDescent="0.3">
      <c r="E284" s="132"/>
      <c r="F284" s="132"/>
    </row>
    <row r="285" spans="5:6" x14ac:dyDescent="0.3">
      <c r="E285" s="132"/>
      <c r="F285" s="132"/>
    </row>
    <row r="286" spans="5:6" x14ac:dyDescent="0.3">
      <c r="E286" s="132"/>
      <c r="F286" s="132"/>
    </row>
    <row r="287" spans="5:6" x14ac:dyDescent="0.3">
      <c r="E287" s="132"/>
      <c r="F287" s="132"/>
    </row>
    <row r="288" spans="5:6" x14ac:dyDescent="0.3">
      <c r="E288" s="132"/>
      <c r="F288" s="132"/>
    </row>
    <row r="289" spans="5:6" x14ac:dyDescent="0.3">
      <c r="E289" s="132"/>
      <c r="F289" s="132"/>
    </row>
    <row r="290" spans="5:6" x14ac:dyDescent="0.3">
      <c r="E290" s="132"/>
      <c r="F290" s="132"/>
    </row>
    <row r="291" spans="5:6" x14ac:dyDescent="0.3">
      <c r="E291" s="132"/>
      <c r="F291" s="132"/>
    </row>
    <row r="292" spans="5:6" x14ac:dyDescent="0.3">
      <c r="E292" s="132"/>
      <c r="F292" s="132"/>
    </row>
    <row r="293" spans="5:6" x14ac:dyDescent="0.3">
      <c r="E293" s="132"/>
      <c r="F293" s="132"/>
    </row>
    <row r="294" spans="5:6" x14ac:dyDescent="0.3">
      <c r="E294" s="132"/>
      <c r="F294" s="132"/>
    </row>
    <row r="295" spans="5:6" x14ac:dyDescent="0.3">
      <c r="E295" s="132"/>
      <c r="F295" s="132"/>
    </row>
    <row r="296" spans="5:6" x14ac:dyDescent="0.3">
      <c r="E296" s="132"/>
      <c r="F296" s="132"/>
    </row>
    <row r="297" spans="5:6" x14ac:dyDescent="0.3">
      <c r="E297" s="132"/>
      <c r="F297" s="132"/>
    </row>
    <row r="298" spans="5:6" x14ac:dyDescent="0.3">
      <c r="E298" s="132"/>
      <c r="F298" s="132"/>
    </row>
    <row r="299" spans="5:6" x14ac:dyDescent="0.3">
      <c r="E299" s="132"/>
      <c r="F299" s="132"/>
    </row>
    <row r="300" spans="5:6" x14ac:dyDescent="0.3">
      <c r="E300" s="132"/>
      <c r="F300" s="132"/>
    </row>
    <row r="301" spans="5:6" x14ac:dyDescent="0.3">
      <c r="E301" s="132"/>
      <c r="F301" s="132"/>
    </row>
    <row r="302" spans="5:6" x14ac:dyDescent="0.3">
      <c r="E302" s="132"/>
      <c r="F302" s="132"/>
    </row>
    <row r="303" spans="5:6" x14ac:dyDescent="0.3">
      <c r="E303" s="132"/>
      <c r="F303" s="132"/>
    </row>
    <row r="304" spans="5:6" x14ac:dyDescent="0.3">
      <c r="E304" s="132"/>
      <c r="F304" s="132"/>
    </row>
    <row r="305" spans="5:6" x14ac:dyDescent="0.3">
      <c r="E305" s="132"/>
      <c r="F305" s="132"/>
    </row>
    <row r="306" spans="5:6" x14ac:dyDescent="0.3">
      <c r="E306" s="132"/>
      <c r="F306" s="132"/>
    </row>
    <row r="307" spans="5:6" x14ac:dyDescent="0.3">
      <c r="E307" s="132"/>
      <c r="F307" s="132"/>
    </row>
    <row r="308" spans="5:6" x14ac:dyDescent="0.3">
      <c r="E308" s="132"/>
      <c r="F308" s="132"/>
    </row>
    <row r="309" spans="5:6" x14ac:dyDescent="0.3">
      <c r="E309" s="132"/>
      <c r="F309" s="132"/>
    </row>
    <row r="310" spans="5:6" x14ac:dyDescent="0.3">
      <c r="E310" s="132"/>
      <c r="F310" s="132"/>
    </row>
    <row r="311" spans="5:6" x14ac:dyDescent="0.3">
      <c r="E311" s="132"/>
      <c r="F311" s="132"/>
    </row>
    <row r="312" spans="5:6" x14ac:dyDescent="0.3">
      <c r="E312" s="132"/>
      <c r="F312" s="132"/>
    </row>
    <row r="313" spans="5:6" x14ac:dyDescent="0.3">
      <c r="E313" s="132"/>
      <c r="F313" s="132"/>
    </row>
    <row r="314" spans="5:6" x14ac:dyDescent="0.3">
      <c r="E314" s="132"/>
      <c r="F314" s="132"/>
    </row>
    <row r="315" spans="5:6" x14ac:dyDescent="0.3">
      <c r="E315" s="132"/>
      <c r="F315" s="132"/>
    </row>
    <row r="316" spans="5:6" x14ac:dyDescent="0.3">
      <c r="E316" s="132"/>
      <c r="F316" s="132"/>
    </row>
    <row r="317" spans="5:6" x14ac:dyDescent="0.3">
      <c r="E317" s="132"/>
      <c r="F317" s="132"/>
    </row>
    <row r="318" spans="5:6" x14ac:dyDescent="0.3">
      <c r="E318" s="132"/>
      <c r="F318" s="132"/>
    </row>
    <row r="319" spans="5:6" x14ac:dyDescent="0.3">
      <c r="E319" s="132"/>
      <c r="F319" s="132"/>
    </row>
    <row r="320" spans="5:6" x14ac:dyDescent="0.3">
      <c r="E320" s="132"/>
      <c r="F320" s="132"/>
    </row>
    <row r="321" spans="5:6" x14ac:dyDescent="0.3">
      <c r="E321" s="132"/>
      <c r="F321" s="132"/>
    </row>
    <row r="322" spans="5:6" x14ac:dyDescent="0.3">
      <c r="E322" s="132"/>
      <c r="F322" s="132"/>
    </row>
    <row r="323" spans="5:6" x14ac:dyDescent="0.3">
      <c r="E323" s="132"/>
      <c r="F323" s="132"/>
    </row>
    <row r="324" spans="5:6" x14ac:dyDescent="0.3">
      <c r="E324" s="132"/>
      <c r="F324" s="132"/>
    </row>
    <row r="325" spans="5:6" x14ac:dyDescent="0.3">
      <c r="E325" s="132"/>
      <c r="F325" s="132"/>
    </row>
    <row r="326" spans="5:6" x14ac:dyDescent="0.3">
      <c r="E326" s="132"/>
      <c r="F326" s="132"/>
    </row>
    <row r="327" spans="5:6" x14ac:dyDescent="0.3">
      <c r="E327" s="132"/>
      <c r="F327" s="132"/>
    </row>
    <row r="328" spans="5:6" x14ac:dyDescent="0.3">
      <c r="E328" s="132"/>
      <c r="F328" s="132"/>
    </row>
    <row r="329" spans="5:6" x14ac:dyDescent="0.3">
      <c r="E329" s="132"/>
      <c r="F329" s="132"/>
    </row>
    <row r="330" spans="5:6" x14ac:dyDescent="0.3">
      <c r="E330" s="132"/>
      <c r="F330" s="132"/>
    </row>
    <row r="331" spans="5:6" x14ac:dyDescent="0.3">
      <c r="E331" s="132"/>
      <c r="F331" s="132"/>
    </row>
    <row r="332" spans="5:6" x14ac:dyDescent="0.3">
      <c r="E332" s="132"/>
      <c r="F332" s="132"/>
    </row>
    <row r="333" spans="5:6" x14ac:dyDescent="0.3">
      <c r="E333" s="132"/>
      <c r="F333" s="132"/>
    </row>
    <row r="334" spans="5:6" x14ac:dyDescent="0.3">
      <c r="E334" s="132"/>
      <c r="F334" s="132"/>
    </row>
    <row r="335" spans="5:6" x14ac:dyDescent="0.3">
      <c r="E335" s="132"/>
      <c r="F335" s="132"/>
    </row>
    <row r="336" spans="5:6" x14ac:dyDescent="0.3">
      <c r="E336" s="132"/>
      <c r="F336" s="132"/>
    </row>
    <row r="337" spans="5:6" x14ac:dyDescent="0.3">
      <c r="E337" s="132"/>
      <c r="F337" s="132"/>
    </row>
    <row r="338" spans="5:6" x14ac:dyDescent="0.3">
      <c r="E338" s="132"/>
      <c r="F338" s="132"/>
    </row>
    <row r="339" spans="5:6" x14ac:dyDescent="0.3">
      <c r="E339" s="132"/>
      <c r="F339" s="132"/>
    </row>
    <row r="340" spans="5:6" x14ac:dyDescent="0.3">
      <c r="E340" s="132"/>
      <c r="F340" s="132"/>
    </row>
    <row r="341" spans="5:6" x14ac:dyDescent="0.3">
      <c r="E341" s="132"/>
      <c r="F341" s="132"/>
    </row>
    <row r="342" spans="5:6" x14ac:dyDescent="0.3">
      <c r="E342" s="132"/>
      <c r="F342" s="132"/>
    </row>
    <row r="343" spans="5:6" x14ac:dyDescent="0.3">
      <c r="E343" s="132"/>
      <c r="F343" s="132"/>
    </row>
    <row r="344" spans="5:6" x14ac:dyDescent="0.3">
      <c r="E344" s="132"/>
      <c r="F344" s="132"/>
    </row>
    <row r="345" spans="5:6" x14ac:dyDescent="0.3">
      <c r="E345" s="132"/>
      <c r="F345" s="132"/>
    </row>
    <row r="346" spans="5:6" x14ac:dyDescent="0.3">
      <c r="E346" s="132"/>
      <c r="F346" s="132"/>
    </row>
    <row r="347" spans="5:6" x14ac:dyDescent="0.3">
      <c r="E347" s="132"/>
      <c r="F347" s="132"/>
    </row>
    <row r="348" spans="5:6" x14ac:dyDescent="0.3">
      <c r="E348" s="132"/>
      <c r="F348" s="132"/>
    </row>
    <row r="349" spans="5:6" x14ac:dyDescent="0.3">
      <c r="E349" s="132"/>
      <c r="F349" s="132"/>
    </row>
    <row r="350" spans="5:6" x14ac:dyDescent="0.3">
      <c r="E350" s="132"/>
      <c r="F350" s="132"/>
    </row>
    <row r="351" spans="5:6" x14ac:dyDescent="0.3">
      <c r="E351" s="132"/>
      <c r="F351" s="132"/>
    </row>
    <row r="352" spans="5:6" x14ac:dyDescent="0.3">
      <c r="E352" s="132"/>
      <c r="F352" s="132"/>
    </row>
    <row r="353" spans="5:6" x14ac:dyDescent="0.3">
      <c r="E353" s="132"/>
      <c r="F353" s="132"/>
    </row>
    <row r="354" spans="5:6" x14ac:dyDescent="0.3">
      <c r="E354" s="132"/>
      <c r="F354" s="132"/>
    </row>
    <row r="355" spans="5:6" x14ac:dyDescent="0.3">
      <c r="E355" s="132"/>
      <c r="F355" s="132"/>
    </row>
    <row r="356" spans="5:6" x14ac:dyDescent="0.3">
      <c r="E356" s="132"/>
      <c r="F356" s="132"/>
    </row>
    <row r="357" spans="5:6" x14ac:dyDescent="0.3">
      <c r="E357" s="132"/>
      <c r="F357" s="132"/>
    </row>
    <row r="358" spans="5:6" x14ac:dyDescent="0.3">
      <c r="E358" s="132"/>
      <c r="F358" s="132"/>
    </row>
    <row r="359" spans="5:6" x14ac:dyDescent="0.3">
      <c r="E359" s="132"/>
      <c r="F359" s="132"/>
    </row>
    <row r="360" spans="5:6" x14ac:dyDescent="0.3">
      <c r="E360" s="132"/>
      <c r="F360" s="132"/>
    </row>
    <row r="361" spans="5:6" x14ac:dyDescent="0.3">
      <c r="E361" s="132"/>
      <c r="F361" s="132"/>
    </row>
    <row r="362" spans="5:6" x14ac:dyDescent="0.3">
      <c r="E362" s="132"/>
      <c r="F362" s="132"/>
    </row>
    <row r="363" spans="5:6" x14ac:dyDescent="0.3">
      <c r="E363" s="132"/>
      <c r="F363" s="132"/>
    </row>
    <row r="364" spans="5:6" x14ac:dyDescent="0.3">
      <c r="E364" s="132"/>
      <c r="F364" s="132"/>
    </row>
    <row r="365" spans="5:6" x14ac:dyDescent="0.3">
      <c r="E365" s="132"/>
      <c r="F365" s="132"/>
    </row>
    <row r="366" spans="5:6" x14ac:dyDescent="0.3">
      <c r="E366" s="132"/>
      <c r="F366" s="132"/>
    </row>
    <row r="367" spans="5:6" x14ac:dyDescent="0.3">
      <c r="E367" s="132"/>
      <c r="F367" s="132"/>
    </row>
    <row r="368" spans="5:6" x14ac:dyDescent="0.3">
      <c r="E368" s="132"/>
      <c r="F368" s="132"/>
    </row>
    <row r="369" spans="5:6" x14ac:dyDescent="0.3">
      <c r="E369" s="132"/>
      <c r="F369" s="132"/>
    </row>
    <row r="370" spans="5:6" x14ac:dyDescent="0.3">
      <c r="E370" s="132"/>
      <c r="F370" s="132"/>
    </row>
    <row r="371" spans="5:6" x14ac:dyDescent="0.3">
      <c r="E371" s="132"/>
      <c r="F371" s="132"/>
    </row>
    <row r="372" spans="5:6" x14ac:dyDescent="0.3">
      <c r="E372" s="132"/>
      <c r="F372" s="132"/>
    </row>
    <row r="373" spans="5:6" x14ac:dyDescent="0.3">
      <c r="E373" s="132"/>
      <c r="F373" s="132"/>
    </row>
    <row r="374" spans="5:6" x14ac:dyDescent="0.3">
      <c r="E374" s="132"/>
      <c r="F374" s="132"/>
    </row>
    <row r="375" spans="5:6" x14ac:dyDescent="0.3">
      <c r="E375" s="132"/>
      <c r="F375" s="132"/>
    </row>
    <row r="376" spans="5:6" x14ac:dyDescent="0.3">
      <c r="E376" s="132"/>
      <c r="F376" s="132"/>
    </row>
    <row r="377" spans="5:6" x14ac:dyDescent="0.3">
      <c r="E377" s="132"/>
      <c r="F377" s="132"/>
    </row>
    <row r="378" spans="5:6" x14ac:dyDescent="0.3">
      <c r="E378" s="132"/>
      <c r="F378" s="132"/>
    </row>
    <row r="379" spans="5:6" x14ac:dyDescent="0.3">
      <c r="E379" s="132"/>
      <c r="F379" s="132"/>
    </row>
    <row r="380" spans="5:6" x14ac:dyDescent="0.3">
      <c r="E380" s="132"/>
      <c r="F380" s="132"/>
    </row>
    <row r="381" spans="5:6" x14ac:dyDescent="0.3">
      <c r="E381" s="132"/>
      <c r="F381" s="132"/>
    </row>
    <row r="382" spans="5:6" x14ac:dyDescent="0.3">
      <c r="E382" s="132"/>
      <c r="F382" s="132"/>
    </row>
    <row r="383" spans="5:6" x14ac:dyDescent="0.3">
      <c r="E383" s="132"/>
      <c r="F383" s="132"/>
    </row>
    <row r="384" spans="5:6" x14ac:dyDescent="0.3">
      <c r="E384" s="132"/>
      <c r="F384" s="132"/>
    </row>
    <row r="385" spans="5:6" x14ac:dyDescent="0.3">
      <c r="E385" s="132"/>
      <c r="F385" s="132"/>
    </row>
    <row r="386" spans="5:6" x14ac:dyDescent="0.3">
      <c r="E386" s="132"/>
      <c r="F386" s="132"/>
    </row>
    <row r="387" spans="5:6" x14ac:dyDescent="0.3">
      <c r="E387" s="132"/>
      <c r="F387" s="132"/>
    </row>
    <row r="388" spans="5:6" x14ac:dyDescent="0.3">
      <c r="E388" s="132"/>
      <c r="F388" s="132"/>
    </row>
    <row r="389" spans="5:6" x14ac:dyDescent="0.3">
      <c r="E389" s="132"/>
      <c r="F389" s="132"/>
    </row>
    <row r="390" spans="5:6" x14ac:dyDescent="0.3">
      <c r="E390" s="132"/>
      <c r="F390" s="132"/>
    </row>
    <row r="391" spans="5:6" x14ac:dyDescent="0.3">
      <c r="E391" s="132"/>
      <c r="F391" s="132"/>
    </row>
    <row r="392" spans="5:6" x14ac:dyDescent="0.3">
      <c r="E392" s="132"/>
      <c r="F392" s="132"/>
    </row>
    <row r="393" spans="5:6" x14ac:dyDescent="0.3">
      <c r="E393" s="132"/>
      <c r="F393" s="132"/>
    </row>
    <row r="394" spans="5:6" x14ac:dyDescent="0.3">
      <c r="E394" s="132"/>
      <c r="F394" s="132"/>
    </row>
    <row r="395" spans="5:6" x14ac:dyDescent="0.3">
      <c r="E395" s="132"/>
      <c r="F395" s="132"/>
    </row>
    <row r="396" spans="5:6" x14ac:dyDescent="0.3">
      <c r="E396" s="132"/>
      <c r="F396" s="132"/>
    </row>
    <row r="397" spans="5:6" x14ac:dyDescent="0.3">
      <c r="E397" s="132"/>
      <c r="F397" s="132"/>
    </row>
    <row r="398" spans="5:6" x14ac:dyDescent="0.3">
      <c r="E398" s="132"/>
      <c r="F398" s="132"/>
    </row>
    <row r="399" spans="5:6" x14ac:dyDescent="0.3">
      <c r="E399" s="132"/>
      <c r="F399" s="132"/>
    </row>
    <row r="400" spans="5:6" x14ac:dyDescent="0.3">
      <c r="E400" s="132"/>
      <c r="F400" s="132"/>
    </row>
    <row r="401" spans="5:6" x14ac:dyDescent="0.3">
      <c r="E401" s="132"/>
      <c r="F401" s="132"/>
    </row>
    <row r="402" spans="5:6" x14ac:dyDescent="0.3">
      <c r="E402" s="132"/>
      <c r="F402" s="132"/>
    </row>
    <row r="403" spans="5:6" x14ac:dyDescent="0.3">
      <c r="E403" s="132"/>
      <c r="F403" s="132"/>
    </row>
    <row r="404" spans="5:6" x14ac:dyDescent="0.3">
      <c r="E404" s="132"/>
      <c r="F404" s="132"/>
    </row>
    <row r="405" spans="5:6" x14ac:dyDescent="0.3">
      <c r="E405" s="132"/>
      <c r="F405" s="132"/>
    </row>
    <row r="406" spans="5:6" x14ac:dyDescent="0.3">
      <c r="E406" s="132"/>
      <c r="F406" s="132"/>
    </row>
    <row r="407" spans="5:6" x14ac:dyDescent="0.3">
      <c r="E407" s="132"/>
      <c r="F407" s="132"/>
    </row>
    <row r="408" spans="5:6" x14ac:dyDescent="0.3">
      <c r="E408" s="132"/>
      <c r="F408" s="132"/>
    </row>
    <row r="409" spans="5:6" x14ac:dyDescent="0.3">
      <c r="E409" s="132"/>
      <c r="F409" s="132"/>
    </row>
    <row r="410" spans="5:6" x14ac:dyDescent="0.3">
      <c r="E410" s="132"/>
      <c r="F410" s="132"/>
    </row>
    <row r="411" spans="5:6" x14ac:dyDescent="0.3">
      <c r="E411" s="132"/>
      <c r="F411" s="132"/>
    </row>
    <row r="412" spans="5:6" x14ac:dyDescent="0.3">
      <c r="E412" s="132"/>
      <c r="F412" s="132"/>
    </row>
    <row r="413" spans="5:6" x14ac:dyDescent="0.3">
      <c r="E413" s="132"/>
      <c r="F413" s="132"/>
    </row>
    <row r="414" spans="5:6" x14ac:dyDescent="0.3">
      <c r="E414" s="132"/>
      <c r="F414" s="132"/>
    </row>
    <row r="415" spans="5:6" x14ac:dyDescent="0.3">
      <c r="E415" s="132"/>
      <c r="F415" s="132"/>
    </row>
    <row r="416" spans="5:6" x14ac:dyDescent="0.3">
      <c r="E416" s="132"/>
      <c r="F416" s="132"/>
    </row>
    <row r="417" spans="5:6" x14ac:dyDescent="0.3">
      <c r="E417" s="132"/>
      <c r="F417" s="132"/>
    </row>
    <row r="418" spans="5:6" x14ac:dyDescent="0.3">
      <c r="E418" s="132"/>
      <c r="F418" s="132"/>
    </row>
    <row r="419" spans="5:6" x14ac:dyDescent="0.3">
      <c r="E419" s="132"/>
      <c r="F419" s="132"/>
    </row>
    <row r="420" spans="5:6" x14ac:dyDescent="0.3">
      <c r="E420" s="132"/>
      <c r="F420" s="132"/>
    </row>
    <row r="421" spans="5:6" x14ac:dyDescent="0.3">
      <c r="E421" s="132"/>
      <c r="F421" s="132"/>
    </row>
    <row r="422" spans="5:6" x14ac:dyDescent="0.3">
      <c r="E422" s="132"/>
      <c r="F422" s="132"/>
    </row>
    <row r="423" spans="5:6" x14ac:dyDescent="0.3">
      <c r="E423" s="132"/>
      <c r="F423" s="132"/>
    </row>
    <row r="424" spans="5:6" x14ac:dyDescent="0.3">
      <c r="E424" s="132"/>
      <c r="F424" s="132"/>
    </row>
    <row r="425" spans="5:6" x14ac:dyDescent="0.3">
      <c r="E425" s="132"/>
      <c r="F425" s="132"/>
    </row>
    <row r="426" spans="5:6" x14ac:dyDescent="0.3">
      <c r="E426" s="132"/>
      <c r="F426" s="132"/>
    </row>
    <row r="427" spans="5:6" x14ac:dyDescent="0.3">
      <c r="E427" s="132"/>
      <c r="F427" s="132"/>
    </row>
    <row r="428" spans="5:6" x14ac:dyDescent="0.3">
      <c r="E428" s="132"/>
      <c r="F428" s="132"/>
    </row>
    <row r="429" spans="5:6" x14ac:dyDescent="0.3">
      <c r="E429" s="132"/>
      <c r="F429" s="132"/>
    </row>
    <row r="430" spans="5:6" x14ac:dyDescent="0.3">
      <c r="E430" s="132"/>
      <c r="F430" s="132"/>
    </row>
    <row r="431" spans="5:6" x14ac:dyDescent="0.3">
      <c r="E431" s="132"/>
      <c r="F431" s="132"/>
    </row>
    <row r="432" spans="5:6" x14ac:dyDescent="0.3">
      <c r="E432" s="132"/>
      <c r="F432" s="132"/>
    </row>
    <row r="433" spans="5:6" x14ac:dyDescent="0.3">
      <c r="E433" s="132"/>
      <c r="F433" s="132"/>
    </row>
    <row r="434" spans="5:6" x14ac:dyDescent="0.3">
      <c r="E434" s="132"/>
      <c r="F434" s="132"/>
    </row>
    <row r="435" spans="5:6" x14ac:dyDescent="0.3">
      <c r="E435" s="132"/>
      <c r="F435" s="132"/>
    </row>
    <row r="436" spans="5:6" x14ac:dyDescent="0.3">
      <c r="E436" s="132"/>
      <c r="F436" s="132"/>
    </row>
    <row r="437" spans="5:6" x14ac:dyDescent="0.3">
      <c r="E437" s="132"/>
      <c r="F437" s="132"/>
    </row>
    <row r="438" spans="5:6" x14ac:dyDescent="0.3">
      <c r="E438" s="132"/>
      <c r="F438" s="132"/>
    </row>
    <row r="439" spans="5:6" x14ac:dyDescent="0.3">
      <c r="E439" s="132"/>
      <c r="F439" s="132"/>
    </row>
    <row r="440" spans="5:6" x14ac:dyDescent="0.3">
      <c r="E440" s="132"/>
      <c r="F440" s="132"/>
    </row>
    <row r="441" spans="5:6" x14ac:dyDescent="0.3">
      <c r="E441" s="132"/>
      <c r="F441" s="132"/>
    </row>
    <row r="442" spans="5:6" x14ac:dyDescent="0.3">
      <c r="E442" s="132"/>
      <c r="F442" s="132"/>
    </row>
    <row r="443" spans="5:6" x14ac:dyDescent="0.3">
      <c r="E443" s="132"/>
      <c r="F443" s="132"/>
    </row>
    <row r="444" spans="5:6" x14ac:dyDescent="0.3">
      <c r="E444" s="132"/>
      <c r="F444" s="132"/>
    </row>
    <row r="445" spans="5:6" x14ac:dyDescent="0.3">
      <c r="E445" s="132"/>
      <c r="F445" s="132"/>
    </row>
    <row r="446" spans="5:6" x14ac:dyDescent="0.3">
      <c r="E446" s="132"/>
      <c r="F446" s="132"/>
    </row>
    <row r="447" spans="5:6" x14ac:dyDescent="0.3">
      <c r="E447" s="132"/>
      <c r="F447" s="132"/>
    </row>
    <row r="448" spans="5:6" x14ac:dyDescent="0.3">
      <c r="E448" s="132"/>
      <c r="F448" s="132"/>
    </row>
    <row r="449" spans="5:6" x14ac:dyDescent="0.3">
      <c r="E449" s="132"/>
      <c r="F449" s="132"/>
    </row>
    <row r="450" spans="5:6" x14ac:dyDescent="0.3">
      <c r="E450" s="132"/>
      <c r="F450" s="132"/>
    </row>
    <row r="451" spans="5:6" x14ac:dyDescent="0.3">
      <c r="E451" s="132"/>
      <c r="F451" s="132"/>
    </row>
    <row r="452" spans="5:6" x14ac:dyDescent="0.3">
      <c r="E452" s="132"/>
      <c r="F452" s="132"/>
    </row>
    <row r="453" spans="5:6" x14ac:dyDescent="0.3">
      <c r="E453" s="132"/>
      <c r="F453" s="132"/>
    </row>
    <row r="454" spans="5:6" x14ac:dyDescent="0.3">
      <c r="E454" s="132"/>
      <c r="F454" s="132"/>
    </row>
    <row r="455" spans="5:6" x14ac:dyDescent="0.3">
      <c r="E455" s="132"/>
      <c r="F455" s="132"/>
    </row>
    <row r="456" spans="5:6" x14ac:dyDescent="0.3">
      <c r="E456" s="132"/>
      <c r="F456" s="132"/>
    </row>
    <row r="457" spans="5:6" x14ac:dyDescent="0.3">
      <c r="E457" s="132"/>
      <c r="F457" s="132"/>
    </row>
    <row r="458" spans="5:6" x14ac:dyDescent="0.3">
      <c r="E458" s="132"/>
      <c r="F458" s="132"/>
    </row>
    <row r="459" spans="5:6" x14ac:dyDescent="0.3">
      <c r="E459" s="132"/>
      <c r="F459" s="132"/>
    </row>
    <row r="460" spans="5:6" x14ac:dyDescent="0.3">
      <c r="E460" s="132"/>
      <c r="F460" s="132"/>
    </row>
    <row r="461" spans="5:6" x14ac:dyDescent="0.3">
      <c r="E461" s="132"/>
      <c r="F461" s="132"/>
    </row>
    <row r="462" spans="5:6" x14ac:dyDescent="0.3">
      <c r="E462" s="132"/>
      <c r="F462" s="132"/>
    </row>
    <row r="463" spans="5:6" x14ac:dyDescent="0.3">
      <c r="E463" s="132"/>
      <c r="F463" s="132"/>
    </row>
    <row r="464" spans="5:6" x14ac:dyDescent="0.3">
      <c r="E464" s="132"/>
      <c r="F464" s="132"/>
    </row>
    <row r="465" spans="5:6" x14ac:dyDescent="0.3">
      <c r="E465" s="132"/>
      <c r="F465" s="132"/>
    </row>
    <row r="466" spans="5:6" x14ac:dyDescent="0.3">
      <c r="E466" s="132"/>
      <c r="F466" s="132"/>
    </row>
    <row r="467" spans="5:6" x14ac:dyDescent="0.3">
      <c r="E467" s="132"/>
      <c r="F467" s="132"/>
    </row>
    <row r="468" spans="5:6" x14ac:dyDescent="0.3">
      <c r="E468" s="132"/>
      <c r="F468" s="132"/>
    </row>
    <row r="469" spans="5:6" x14ac:dyDescent="0.3">
      <c r="E469" s="132"/>
      <c r="F469" s="132"/>
    </row>
    <row r="470" spans="5:6" x14ac:dyDescent="0.3">
      <c r="E470" s="132"/>
      <c r="F470" s="132"/>
    </row>
    <row r="471" spans="5:6" x14ac:dyDescent="0.3">
      <c r="E471" s="132"/>
      <c r="F471" s="132"/>
    </row>
    <row r="472" spans="5:6" x14ac:dyDescent="0.3">
      <c r="E472" s="132"/>
      <c r="F472" s="132"/>
    </row>
    <row r="473" spans="5:6" x14ac:dyDescent="0.3">
      <c r="E473" s="132"/>
      <c r="F473" s="132"/>
    </row>
    <row r="474" spans="5:6" x14ac:dyDescent="0.3">
      <c r="E474" s="132"/>
      <c r="F474" s="132"/>
    </row>
    <row r="475" spans="5:6" x14ac:dyDescent="0.3">
      <c r="E475" s="132"/>
      <c r="F475" s="132"/>
    </row>
    <row r="476" spans="5:6" x14ac:dyDescent="0.3">
      <c r="E476" s="132"/>
      <c r="F476" s="132"/>
    </row>
    <row r="477" spans="5:6" x14ac:dyDescent="0.3">
      <c r="E477" s="132"/>
      <c r="F477" s="132"/>
    </row>
    <row r="478" spans="5:6" x14ac:dyDescent="0.3">
      <c r="E478" s="132"/>
      <c r="F478" s="132"/>
    </row>
    <row r="479" spans="5:6" x14ac:dyDescent="0.3">
      <c r="E479" s="132"/>
      <c r="F479" s="132"/>
    </row>
    <row r="480" spans="5:6" x14ac:dyDescent="0.3">
      <c r="E480" s="132"/>
      <c r="F480" s="132"/>
    </row>
    <row r="481" spans="5:6" x14ac:dyDescent="0.3">
      <c r="E481" s="132"/>
      <c r="F481" s="132"/>
    </row>
    <row r="482" spans="5:6" x14ac:dyDescent="0.3">
      <c r="E482" s="132"/>
      <c r="F482" s="132"/>
    </row>
    <row r="483" spans="5:6" x14ac:dyDescent="0.3">
      <c r="E483" s="132"/>
      <c r="F483" s="132"/>
    </row>
    <row r="484" spans="5:6" x14ac:dyDescent="0.3">
      <c r="E484" s="132"/>
      <c r="F484" s="132"/>
    </row>
    <row r="485" spans="5:6" x14ac:dyDescent="0.3">
      <c r="E485" s="132"/>
      <c r="F485" s="132"/>
    </row>
    <row r="486" spans="5:6" x14ac:dyDescent="0.3">
      <c r="E486" s="132"/>
      <c r="F486" s="132"/>
    </row>
    <row r="487" spans="5:6" x14ac:dyDescent="0.3">
      <c r="E487" s="132"/>
      <c r="F487" s="132"/>
    </row>
    <row r="488" spans="5:6" x14ac:dyDescent="0.3">
      <c r="E488" s="132"/>
      <c r="F488" s="132"/>
    </row>
    <row r="489" spans="5:6" x14ac:dyDescent="0.3">
      <c r="E489" s="132"/>
      <c r="F489" s="132"/>
    </row>
    <row r="490" spans="5:6" x14ac:dyDescent="0.3">
      <c r="E490" s="132"/>
      <c r="F490" s="132"/>
    </row>
    <row r="491" spans="5:6" x14ac:dyDescent="0.3">
      <c r="E491" s="132"/>
      <c r="F491" s="132"/>
    </row>
    <row r="492" spans="5:6" x14ac:dyDescent="0.3">
      <c r="E492" s="132"/>
      <c r="F492" s="132"/>
    </row>
    <row r="493" spans="5:6" x14ac:dyDescent="0.3">
      <c r="E493" s="132"/>
      <c r="F493" s="132"/>
    </row>
    <row r="494" spans="5:6" x14ac:dyDescent="0.3">
      <c r="E494" s="132"/>
      <c r="F494" s="132"/>
    </row>
    <row r="495" spans="5:6" x14ac:dyDescent="0.3">
      <c r="E495" s="132"/>
      <c r="F495" s="132"/>
    </row>
    <row r="496" spans="5:6" x14ac:dyDescent="0.3">
      <c r="E496" s="132"/>
      <c r="F496" s="132"/>
    </row>
    <row r="497" spans="5:6" x14ac:dyDescent="0.3">
      <c r="E497" s="132"/>
      <c r="F497" s="132"/>
    </row>
    <row r="498" spans="5:6" x14ac:dyDescent="0.3">
      <c r="E498" s="132"/>
      <c r="F498" s="132"/>
    </row>
    <row r="499" spans="5:6" x14ac:dyDescent="0.3">
      <c r="E499" s="132"/>
      <c r="F499" s="132"/>
    </row>
    <row r="500" spans="5:6" x14ac:dyDescent="0.3">
      <c r="E500" s="132"/>
      <c r="F500" s="132"/>
    </row>
    <row r="501" spans="5:6" x14ac:dyDescent="0.3">
      <c r="E501" s="132"/>
      <c r="F501" s="132"/>
    </row>
    <row r="502" spans="5:6" x14ac:dyDescent="0.3">
      <c r="E502" s="132"/>
      <c r="F502" s="132"/>
    </row>
    <row r="503" spans="5:6" x14ac:dyDescent="0.3">
      <c r="E503" s="132"/>
      <c r="F503" s="132"/>
    </row>
    <row r="504" spans="5:6" x14ac:dyDescent="0.3">
      <c r="E504" s="132"/>
      <c r="F504" s="132"/>
    </row>
    <row r="505" spans="5:6" x14ac:dyDescent="0.3">
      <c r="E505" s="132"/>
      <c r="F505" s="132"/>
    </row>
    <row r="506" spans="5:6" x14ac:dyDescent="0.3">
      <c r="E506" s="132"/>
      <c r="F506" s="132"/>
    </row>
    <row r="507" spans="5:6" x14ac:dyDescent="0.3">
      <c r="E507" s="132"/>
      <c r="F507" s="132"/>
    </row>
    <row r="508" spans="5:6" x14ac:dyDescent="0.3">
      <c r="E508" s="132"/>
      <c r="F508" s="132"/>
    </row>
    <row r="509" spans="5:6" x14ac:dyDescent="0.3">
      <c r="E509" s="132"/>
      <c r="F509" s="132"/>
    </row>
    <row r="510" spans="5:6" x14ac:dyDescent="0.3">
      <c r="E510" s="132"/>
      <c r="F510" s="132"/>
    </row>
    <row r="511" spans="5:6" x14ac:dyDescent="0.3">
      <c r="E511" s="132"/>
      <c r="F511" s="132"/>
    </row>
    <row r="512" spans="5:6" x14ac:dyDescent="0.3">
      <c r="E512" s="132"/>
      <c r="F512" s="132"/>
    </row>
    <row r="513" spans="5:6" x14ac:dyDescent="0.3">
      <c r="E513" s="132"/>
      <c r="F513" s="132"/>
    </row>
    <row r="514" spans="5:6" x14ac:dyDescent="0.3">
      <c r="E514" s="132"/>
      <c r="F514" s="132"/>
    </row>
    <row r="515" spans="5:6" x14ac:dyDescent="0.3">
      <c r="E515" s="132"/>
      <c r="F515" s="132"/>
    </row>
    <row r="516" spans="5:6" x14ac:dyDescent="0.3">
      <c r="E516" s="132"/>
      <c r="F516" s="132"/>
    </row>
    <row r="517" spans="5:6" x14ac:dyDescent="0.3">
      <c r="E517" s="132"/>
      <c r="F517" s="132"/>
    </row>
    <row r="518" spans="5:6" x14ac:dyDescent="0.3">
      <c r="E518" s="132"/>
      <c r="F518" s="132"/>
    </row>
    <row r="519" spans="5:6" x14ac:dyDescent="0.3">
      <c r="E519" s="132"/>
      <c r="F519" s="132"/>
    </row>
    <row r="520" spans="5:6" x14ac:dyDescent="0.3">
      <c r="E520" s="132"/>
      <c r="F520" s="132"/>
    </row>
    <row r="521" spans="5:6" x14ac:dyDescent="0.3">
      <c r="E521" s="132"/>
      <c r="F521" s="132"/>
    </row>
    <row r="522" spans="5:6" x14ac:dyDescent="0.3">
      <c r="E522" s="132"/>
      <c r="F522" s="132"/>
    </row>
    <row r="523" spans="5:6" x14ac:dyDescent="0.3">
      <c r="E523" s="132"/>
      <c r="F523" s="132"/>
    </row>
    <row r="524" spans="5:6" x14ac:dyDescent="0.3">
      <c r="E524" s="132"/>
      <c r="F524" s="132"/>
    </row>
    <row r="525" spans="5:6" x14ac:dyDescent="0.3">
      <c r="E525" s="132"/>
      <c r="F525" s="132"/>
    </row>
    <row r="526" spans="5:6" x14ac:dyDescent="0.3">
      <c r="E526" s="132"/>
      <c r="F526" s="132"/>
    </row>
    <row r="527" spans="5:6" x14ac:dyDescent="0.3">
      <c r="E527" s="132"/>
      <c r="F527" s="132"/>
    </row>
    <row r="528" spans="5:6" x14ac:dyDescent="0.3">
      <c r="E528" s="132"/>
      <c r="F528" s="132"/>
    </row>
    <row r="529" spans="5:6" x14ac:dyDescent="0.3">
      <c r="E529" s="132"/>
      <c r="F529" s="132"/>
    </row>
    <row r="530" spans="5:6" x14ac:dyDescent="0.3">
      <c r="E530" s="132"/>
      <c r="F530" s="132"/>
    </row>
    <row r="531" spans="5:6" x14ac:dyDescent="0.3">
      <c r="E531" s="132"/>
      <c r="F531" s="132"/>
    </row>
    <row r="532" spans="5:6" x14ac:dyDescent="0.3">
      <c r="E532" s="132"/>
      <c r="F532" s="132"/>
    </row>
    <row r="533" spans="5:6" x14ac:dyDescent="0.3">
      <c r="E533" s="132"/>
      <c r="F533" s="132"/>
    </row>
    <row r="534" spans="5:6" x14ac:dyDescent="0.3">
      <c r="E534" s="132"/>
      <c r="F534" s="132"/>
    </row>
    <row r="535" spans="5:6" x14ac:dyDescent="0.3">
      <c r="E535" s="132"/>
      <c r="F535" s="132"/>
    </row>
    <row r="536" spans="5:6" x14ac:dyDescent="0.3">
      <c r="E536" s="132"/>
      <c r="F536" s="132"/>
    </row>
    <row r="537" spans="5:6" x14ac:dyDescent="0.3">
      <c r="E537" s="132"/>
      <c r="F537" s="132"/>
    </row>
    <row r="538" spans="5:6" x14ac:dyDescent="0.3">
      <c r="E538" s="132"/>
      <c r="F538" s="132"/>
    </row>
    <row r="539" spans="5:6" x14ac:dyDescent="0.3">
      <c r="E539" s="132"/>
      <c r="F539" s="132"/>
    </row>
    <row r="540" spans="5:6" x14ac:dyDescent="0.3">
      <c r="E540" s="132"/>
      <c r="F540" s="132"/>
    </row>
    <row r="541" spans="5:6" x14ac:dyDescent="0.3">
      <c r="E541" s="132"/>
      <c r="F541" s="132"/>
    </row>
    <row r="542" spans="5:6" x14ac:dyDescent="0.3">
      <c r="E542" s="132"/>
      <c r="F542" s="132"/>
    </row>
    <row r="543" spans="5:6" x14ac:dyDescent="0.3">
      <c r="E543" s="132"/>
      <c r="F543" s="132"/>
    </row>
    <row r="544" spans="5:6" x14ac:dyDescent="0.3">
      <c r="E544" s="132"/>
      <c r="F544" s="132"/>
    </row>
    <row r="545" spans="5:6" x14ac:dyDescent="0.3">
      <c r="E545" s="132"/>
      <c r="F545" s="132"/>
    </row>
    <row r="546" spans="5:6" x14ac:dyDescent="0.3">
      <c r="E546" s="132"/>
      <c r="F546" s="132"/>
    </row>
    <row r="547" spans="5:6" x14ac:dyDescent="0.3">
      <c r="E547" s="132"/>
      <c r="F547" s="132"/>
    </row>
    <row r="548" spans="5:6" x14ac:dyDescent="0.3">
      <c r="E548" s="132"/>
      <c r="F548" s="132"/>
    </row>
    <row r="549" spans="5:6" x14ac:dyDescent="0.3">
      <c r="E549" s="132"/>
      <c r="F549" s="132"/>
    </row>
    <row r="550" spans="5:6" x14ac:dyDescent="0.3">
      <c r="E550" s="132"/>
      <c r="F550" s="132"/>
    </row>
    <row r="551" spans="5:6" x14ac:dyDescent="0.3">
      <c r="E551" s="132"/>
      <c r="F551" s="132"/>
    </row>
    <row r="552" spans="5:6" x14ac:dyDescent="0.3">
      <c r="E552" s="132"/>
      <c r="F552" s="132"/>
    </row>
    <row r="553" spans="5:6" x14ac:dyDescent="0.3">
      <c r="E553" s="132"/>
      <c r="F553" s="132"/>
    </row>
    <row r="554" spans="5:6" x14ac:dyDescent="0.3">
      <c r="E554" s="132"/>
      <c r="F554" s="132"/>
    </row>
    <row r="555" spans="5:6" x14ac:dyDescent="0.3">
      <c r="E555" s="132"/>
      <c r="F555" s="132"/>
    </row>
    <row r="556" spans="5:6" x14ac:dyDescent="0.3">
      <c r="E556" s="132"/>
      <c r="F556" s="132"/>
    </row>
    <row r="557" spans="5:6" x14ac:dyDescent="0.3">
      <c r="E557" s="132"/>
      <c r="F557" s="132"/>
    </row>
    <row r="558" spans="5:6" x14ac:dyDescent="0.3">
      <c r="E558" s="132"/>
      <c r="F558" s="132"/>
    </row>
    <row r="559" spans="5:6" x14ac:dyDescent="0.3">
      <c r="E559" s="132"/>
      <c r="F559" s="132"/>
    </row>
    <row r="560" spans="5:6" x14ac:dyDescent="0.3">
      <c r="E560" s="132"/>
      <c r="F560" s="132"/>
    </row>
    <row r="561" spans="5:6" x14ac:dyDescent="0.3">
      <c r="E561" s="132"/>
      <c r="F561" s="132"/>
    </row>
    <row r="562" spans="5:6" x14ac:dyDescent="0.3">
      <c r="E562" s="132"/>
      <c r="F562" s="132"/>
    </row>
    <row r="563" spans="5:6" x14ac:dyDescent="0.3">
      <c r="E563" s="132"/>
      <c r="F563" s="132"/>
    </row>
    <row r="564" spans="5:6" x14ac:dyDescent="0.3">
      <c r="E564" s="132"/>
      <c r="F564" s="132"/>
    </row>
    <row r="565" spans="5:6" x14ac:dyDescent="0.3">
      <c r="E565" s="132"/>
      <c r="F565" s="132"/>
    </row>
    <row r="566" spans="5:6" x14ac:dyDescent="0.3">
      <c r="E566" s="132"/>
      <c r="F566" s="132"/>
    </row>
    <row r="567" spans="5:6" x14ac:dyDescent="0.3">
      <c r="E567" s="132"/>
      <c r="F567" s="132"/>
    </row>
    <row r="568" spans="5:6" x14ac:dyDescent="0.3">
      <c r="E568" s="132"/>
      <c r="F568" s="132"/>
    </row>
    <row r="569" spans="5:6" x14ac:dyDescent="0.3">
      <c r="E569" s="132"/>
      <c r="F569" s="132"/>
    </row>
    <row r="570" spans="5:6" x14ac:dyDescent="0.3">
      <c r="E570" s="132"/>
      <c r="F570" s="132"/>
    </row>
    <row r="571" spans="5:6" x14ac:dyDescent="0.3">
      <c r="E571" s="132"/>
      <c r="F571" s="132"/>
    </row>
    <row r="572" spans="5:6" x14ac:dyDescent="0.3">
      <c r="E572" s="132"/>
      <c r="F572" s="132"/>
    </row>
    <row r="573" spans="5:6" x14ac:dyDescent="0.3">
      <c r="E573" s="132"/>
      <c r="F573" s="132"/>
    </row>
    <row r="574" spans="5:6" x14ac:dyDescent="0.3">
      <c r="E574" s="132"/>
      <c r="F574" s="132"/>
    </row>
    <row r="575" spans="5:6" x14ac:dyDescent="0.3">
      <c r="E575" s="132"/>
      <c r="F575" s="132"/>
    </row>
    <row r="576" spans="5:6" x14ac:dyDescent="0.3">
      <c r="E576" s="132"/>
      <c r="F576" s="132"/>
    </row>
    <row r="577" spans="5:6" x14ac:dyDescent="0.3">
      <c r="E577" s="132"/>
      <c r="F577" s="132"/>
    </row>
    <row r="578" spans="5:6" x14ac:dyDescent="0.3">
      <c r="E578" s="132"/>
      <c r="F578" s="132"/>
    </row>
    <row r="579" spans="5:6" x14ac:dyDescent="0.3">
      <c r="E579" s="132"/>
      <c r="F579" s="132"/>
    </row>
    <row r="580" spans="5:6" x14ac:dyDescent="0.3">
      <c r="E580" s="132"/>
      <c r="F580" s="132"/>
    </row>
    <row r="581" spans="5:6" x14ac:dyDescent="0.3">
      <c r="E581" s="132"/>
      <c r="F581" s="132"/>
    </row>
    <row r="582" spans="5:6" x14ac:dyDescent="0.3">
      <c r="E582" s="132"/>
      <c r="F582" s="132"/>
    </row>
    <row r="583" spans="5:6" x14ac:dyDescent="0.3">
      <c r="E583" s="132"/>
      <c r="F583" s="132"/>
    </row>
    <row r="584" spans="5:6" x14ac:dyDescent="0.3">
      <c r="E584" s="132"/>
      <c r="F584" s="132"/>
    </row>
    <row r="585" spans="5:6" x14ac:dyDescent="0.3">
      <c r="E585" s="132"/>
      <c r="F585" s="132"/>
    </row>
    <row r="586" spans="5:6" x14ac:dyDescent="0.3">
      <c r="E586" s="132"/>
      <c r="F586" s="132"/>
    </row>
    <row r="587" spans="5:6" x14ac:dyDescent="0.3">
      <c r="E587" s="132"/>
      <c r="F587" s="132"/>
    </row>
    <row r="588" spans="5:6" x14ac:dyDescent="0.3">
      <c r="E588" s="132"/>
      <c r="F588" s="132"/>
    </row>
    <row r="589" spans="5:6" x14ac:dyDescent="0.3">
      <c r="E589" s="132"/>
      <c r="F589" s="132"/>
    </row>
    <row r="590" spans="5:6" x14ac:dyDescent="0.3">
      <c r="E590" s="132"/>
      <c r="F590" s="132"/>
    </row>
    <row r="591" spans="5:6" x14ac:dyDescent="0.3">
      <c r="E591" s="132"/>
      <c r="F591" s="132"/>
    </row>
    <row r="592" spans="5:6" x14ac:dyDescent="0.3">
      <c r="E592" s="132"/>
      <c r="F592" s="132"/>
    </row>
    <row r="593" spans="5:6" x14ac:dyDescent="0.3">
      <c r="E593" s="132"/>
      <c r="F593" s="132"/>
    </row>
    <row r="594" spans="5:6" x14ac:dyDescent="0.3">
      <c r="E594" s="132"/>
      <c r="F594" s="132"/>
    </row>
    <row r="595" spans="5:6" x14ac:dyDescent="0.3">
      <c r="E595" s="132"/>
      <c r="F595" s="132"/>
    </row>
    <row r="596" spans="5:6" x14ac:dyDescent="0.3">
      <c r="E596" s="132"/>
      <c r="F596" s="132"/>
    </row>
    <row r="597" spans="5:6" x14ac:dyDescent="0.3">
      <c r="E597" s="132"/>
      <c r="F597" s="132"/>
    </row>
    <row r="598" spans="5:6" x14ac:dyDescent="0.3">
      <c r="E598" s="132"/>
      <c r="F598" s="132"/>
    </row>
    <row r="599" spans="5:6" x14ac:dyDescent="0.3">
      <c r="E599" s="132"/>
      <c r="F599" s="132"/>
    </row>
    <row r="600" spans="5:6" x14ac:dyDescent="0.3">
      <c r="E600" s="132"/>
      <c r="F600" s="132"/>
    </row>
    <row r="601" spans="5:6" x14ac:dyDescent="0.3">
      <c r="E601" s="132"/>
      <c r="F601" s="132"/>
    </row>
    <row r="602" spans="5:6" x14ac:dyDescent="0.3">
      <c r="E602" s="132"/>
      <c r="F602" s="132"/>
    </row>
    <row r="603" spans="5:6" x14ac:dyDescent="0.3">
      <c r="E603" s="132"/>
      <c r="F603" s="132"/>
    </row>
    <row r="604" spans="5:6" x14ac:dyDescent="0.3">
      <c r="E604" s="132"/>
      <c r="F604" s="132"/>
    </row>
    <row r="605" spans="5:6" x14ac:dyDescent="0.3">
      <c r="E605" s="132"/>
      <c r="F605" s="132"/>
    </row>
    <row r="606" spans="5:6" x14ac:dyDescent="0.3">
      <c r="E606" s="132"/>
      <c r="F606" s="132"/>
    </row>
    <row r="607" spans="5:6" x14ac:dyDescent="0.3">
      <c r="E607" s="132"/>
      <c r="F607" s="132"/>
    </row>
    <row r="608" spans="5:6" x14ac:dyDescent="0.3">
      <c r="E608" s="132"/>
      <c r="F608" s="132"/>
    </row>
    <row r="609" spans="5:6" x14ac:dyDescent="0.3">
      <c r="E609" s="132"/>
      <c r="F609" s="132"/>
    </row>
    <row r="610" spans="5:6" x14ac:dyDescent="0.3">
      <c r="E610" s="132"/>
      <c r="F610" s="132"/>
    </row>
    <row r="611" spans="5:6" x14ac:dyDescent="0.3">
      <c r="E611" s="132"/>
      <c r="F611" s="132"/>
    </row>
    <row r="612" spans="5:6" x14ac:dyDescent="0.3">
      <c r="E612" s="132"/>
      <c r="F612" s="132"/>
    </row>
    <row r="613" spans="5:6" x14ac:dyDescent="0.3">
      <c r="E613" s="132"/>
      <c r="F613" s="132"/>
    </row>
    <row r="614" spans="5:6" x14ac:dyDescent="0.3">
      <c r="E614" s="132"/>
      <c r="F614" s="132"/>
    </row>
    <row r="615" spans="5:6" x14ac:dyDescent="0.3">
      <c r="E615" s="132"/>
      <c r="F615" s="132"/>
    </row>
    <row r="616" spans="5:6" x14ac:dyDescent="0.3">
      <c r="E616" s="132"/>
      <c r="F616" s="132"/>
    </row>
    <row r="617" spans="5:6" x14ac:dyDescent="0.3">
      <c r="E617" s="132"/>
      <c r="F617" s="132"/>
    </row>
    <row r="618" spans="5:6" x14ac:dyDescent="0.3">
      <c r="E618" s="132"/>
      <c r="F618" s="132"/>
    </row>
    <row r="619" spans="5:6" x14ac:dyDescent="0.3">
      <c r="E619" s="132"/>
      <c r="F619" s="132"/>
    </row>
    <row r="620" spans="5:6" x14ac:dyDescent="0.3">
      <c r="E620" s="132"/>
      <c r="F620" s="132"/>
    </row>
    <row r="621" spans="5:6" x14ac:dyDescent="0.3">
      <c r="E621" s="132"/>
      <c r="F621" s="132"/>
    </row>
    <row r="622" spans="5:6" x14ac:dyDescent="0.3">
      <c r="E622" s="132"/>
      <c r="F622" s="132"/>
    </row>
    <row r="623" spans="5:6" x14ac:dyDescent="0.3">
      <c r="E623" s="132"/>
      <c r="F623" s="132"/>
    </row>
    <row r="624" spans="5:6" x14ac:dyDescent="0.3">
      <c r="E624" s="132"/>
      <c r="F624" s="132"/>
    </row>
    <row r="625" spans="5:6" x14ac:dyDescent="0.3">
      <c r="E625" s="132"/>
      <c r="F625" s="132"/>
    </row>
    <row r="626" spans="5:6" x14ac:dyDescent="0.3">
      <c r="E626" s="132"/>
      <c r="F626" s="132"/>
    </row>
    <row r="627" spans="5:6" x14ac:dyDescent="0.3">
      <c r="E627" s="132"/>
      <c r="F627" s="132"/>
    </row>
    <row r="628" spans="5:6" x14ac:dyDescent="0.3">
      <c r="E628" s="132"/>
      <c r="F628" s="132"/>
    </row>
    <row r="629" spans="5:6" x14ac:dyDescent="0.3">
      <c r="E629" s="132"/>
      <c r="F629" s="132"/>
    </row>
    <row r="630" spans="5:6" x14ac:dyDescent="0.3">
      <c r="E630" s="132"/>
      <c r="F630" s="132"/>
    </row>
    <row r="631" spans="5:6" x14ac:dyDescent="0.3">
      <c r="E631" s="132"/>
      <c r="F631" s="132"/>
    </row>
    <row r="632" spans="5:6" x14ac:dyDescent="0.3">
      <c r="E632" s="132"/>
      <c r="F632" s="132"/>
    </row>
    <row r="633" spans="5:6" x14ac:dyDescent="0.3">
      <c r="E633" s="132"/>
      <c r="F633" s="132"/>
    </row>
    <row r="634" spans="5:6" x14ac:dyDescent="0.3">
      <c r="E634" s="132"/>
      <c r="F634" s="132"/>
    </row>
    <row r="635" spans="5:6" x14ac:dyDescent="0.3">
      <c r="E635" s="132"/>
      <c r="F635" s="132"/>
    </row>
    <row r="636" spans="5:6" x14ac:dyDescent="0.3">
      <c r="E636" s="132"/>
      <c r="F636" s="132"/>
    </row>
    <row r="637" spans="5:6" x14ac:dyDescent="0.3">
      <c r="E637" s="132"/>
      <c r="F637" s="132"/>
    </row>
    <row r="638" spans="5:6" x14ac:dyDescent="0.3">
      <c r="E638" s="132"/>
      <c r="F638" s="132"/>
    </row>
    <row r="639" spans="5:6" x14ac:dyDescent="0.3">
      <c r="E639" s="132"/>
      <c r="F639" s="132"/>
    </row>
    <row r="640" spans="5:6" x14ac:dyDescent="0.3">
      <c r="E640" s="132"/>
      <c r="F640" s="132"/>
    </row>
    <row r="641" spans="5:6" x14ac:dyDescent="0.3">
      <c r="E641" s="132"/>
      <c r="F641" s="132"/>
    </row>
    <row r="642" spans="5:6" x14ac:dyDescent="0.3">
      <c r="E642" s="132"/>
      <c r="F642" s="132"/>
    </row>
    <row r="643" spans="5:6" x14ac:dyDescent="0.3">
      <c r="E643" s="132"/>
      <c r="F643" s="132"/>
    </row>
    <row r="644" spans="5:6" x14ac:dyDescent="0.3">
      <c r="E644" s="132"/>
      <c r="F644" s="132"/>
    </row>
    <row r="645" spans="5:6" x14ac:dyDescent="0.3">
      <c r="E645" s="132"/>
      <c r="F645" s="132"/>
    </row>
    <row r="646" spans="5:6" x14ac:dyDescent="0.3">
      <c r="E646" s="132"/>
      <c r="F646" s="132"/>
    </row>
    <row r="647" spans="5:6" x14ac:dyDescent="0.3">
      <c r="E647" s="132"/>
      <c r="F647" s="132"/>
    </row>
    <row r="648" spans="5:6" x14ac:dyDescent="0.3">
      <c r="E648" s="132"/>
      <c r="F648" s="132"/>
    </row>
    <row r="649" spans="5:6" x14ac:dyDescent="0.3">
      <c r="E649" s="132"/>
      <c r="F649" s="132"/>
    </row>
    <row r="650" spans="5:6" x14ac:dyDescent="0.3">
      <c r="E650" s="132"/>
      <c r="F650" s="132"/>
    </row>
    <row r="651" spans="5:6" x14ac:dyDescent="0.3">
      <c r="E651" s="132"/>
      <c r="F651" s="132"/>
    </row>
    <row r="652" spans="5:6" x14ac:dyDescent="0.3">
      <c r="E652" s="132"/>
      <c r="F652" s="132"/>
    </row>
    <row r="653" spans="5:6" x14ac:dyDescent="0.3">
      <c r="E653" s="132"/>
      <c r="F653" s="132"/>
    </row>
    <row r="654" spans="5:6" x14ac:dyDescent="0.3">
      <c r="E654" s="132"/>
      <c r="F654" s="132"/>
    </row>
    <row r="655" spans="5:6" x14ac:dyDescent="0.3">
      <c r="E655" s="132"/>
      <c r="F655" s="132"/>
    </row>
    <row r="656" spans="5:6" x14ac:dyDescent="0.3">
      <c r="E656" s="132"/>
      <c r="F656" s="132"/>
    </row>
    <row r="657" spans="5:6" x14ac:dyDescent="0.3">
      <c r="E657" s="132"/>
      <c r="F657" s="132"/>
    </row>
    <row r="658" spans="5:6" x14ac:dyDescent="0.3">
      <c r="E658" s="132"/>
      <c r="F658" s="132"/>
    </row>
    <row r="659" spans="5:6" x14ac:dyDescent="0.3">
      <c r="E659" s="132"/>
      <c r="F659" s="132"/>
    </row>
    <row r="660" spans="5:6" x14ac:dyDescent="0.3">
      <c r="E660" s="132"/>
      <c r="F660" s="132"/>
    </row>
    <row r="661" spans="5:6" x14ac:dyDescent="0.3">
      <c r="E661" s="132"/>
      <c r="F661" s="132"/>
    </row>
    <row r="662" spans="5:6" x14ac:dyDescent="0.3">
      <c r="E662" s="132"/>
      <c r="F662" s="132"/>
    </row>
    <row r="663" spans="5:6" x14ac:dyDescent="0.3">
      <c r="E663" s="132"/>
      <c r="F663" s="132"/>
    </row>
    <row r="664" spans="5:6" x14ac:dyDescent="0.3">
      <c r="E664" s="132"/>
      <c r="F664" s="132"/>
    </row>
    <row r="665" spans="5:6" x14ac:dyDescent="0.3">
      <c r="E665" s="132"/>
      <c r="F665" s="132"/>
    </row>
    <row r="666" spans="5:6" x14ac:dyDescent="0.3">
      <c r="E666" s="132"/>
      <c r="F666" s="132"/>
    </row>
    <row r="667" spans="5:6" x14ac:dyDescent="0.3">
      <c r="E667" s="132"/>
      <c r="F667" s="132"/>
    </row>
    <row r="668" spans="5:6" x14ac:dyDescent="0.3">
      <c r="E668" s="132"/>
      <c r="F668" s="132"/>
    </row>
    <row r="669" spans="5:6" x14ac:dyDescent="0.3">
      <c r="E669" s="132"/>
      <c r="F669" s="132"/>
    </row>
    <row r="670" spans="5:6" x14ac:dyDescent="0.3">
      <c r="E670" s="132"/>
      <c r="F670" s="132"/>
    </row>
    <row r="671" spans="5:6" x14ac:dyDescent="0.3">
      <c r="E671" s="132"/>
      <c r="F671" s="132"/>
    </row>
    <row r="672" spans="5:6" x14ac:dyDescent="0.3">
      <c r="E672" s="132"/>
      <c r="F672" s="132"/>
    </row>
    <row r="673" spans="5:6" x14ac:dyDescent="0.3">
      <c r="E673" s="132"/>
      <c r="F673" s="132"/>
    </row>
    <row r="674" spans="5:6" x14ac:dyDescent="0.3">
      <c r="E674" s="132"/>
      <c r="F674" s="132"/>
    </row>
    <row r="675" spans="5:6" x14ac:dyDescent="0.3">
      <c r="E675" s="132"/>
      <c r="F675" s="132"/>
    </row>
    <row r="676" spans="5:6" x14ac:dyDescent="0.3">
      <c r="E676" s="132"/>
      <c r="F676" s="132"/>
    </row>
    <row r="677" spans="5:6" x14ac:dyDescent="0.3">
      <c r="E677" s="132"/>
      <c r="F677" s="132"/>
    </row>
    <row r="678" spans="5:6" x14ac:dyDescent="0.3">
      <c r="E678" s="132"/>
      <c r="F678" s="132"/>
    </row>
    <row r="679" spans="5:6" x14ac:dyDescent="0.3">
      <c r="E679" s="132"/>
      <c r="F679" s="132"/>
    </row>
    <row r="680" spans="5:6" x14ac:dyDescent="0.3">
      <c r="E680" s="132"/>
      <c r="F680" s="132"/>
    </row>
    <row r="681" spans="5:6" x14ac:dyDescent="0.3">
      <c r="E681" s="132"/>
      <c r="F681" s="132"/>
    </row>
    <row r="682" spans="5:6" x14ac:dyDescent="0.3">
      <c r="E682" s="132"/>
      <c r="F682" s="132"/>
    </row>
    <row r="683" spans="5:6" x14ac:dyDescent="0.3">
      <c r="E683" s="132"/>
      <c r="F683" s="132"/>
    </row>
    <row r="684" spans="5:6" x14ac:dyDescent="0.3">
      <c r="E684" s="132"/>
      <c r="F684" s="132"/>
    </row>
    <row r="685" spans="5:6" x14ac:dyDescent="0.3">
      <c r="E685" s="132"/>
      <c r="F685" s="132"/>
    </row>
    <row r="686" spans="5:6" x14ac:dyDescent="0.3">
      <c r="E686" s="132"/>
      <c r="F686" s="132"/>
    </row>
    <row r="687" spans="5:6" x14ac:dyDescent="0.3">
      <c r="E687" s="132"/>
      <c r="F687" s="132"/>
    </row>
    <row r="688" spans="5:6" x14ac:dyDescent="0.3">
      <c r="E688" s="132"/>
      <c r="F688" s="132"/>
    </row>
    <row r="689" spans="5:6" x14ac:dyDescent="0.3">
      <c r="E689" s="132"/>
      <c r="F689" s="132"/>
    </row>
    <row r="690" spans="5:6" x14ac:dyDescent="0.3">
      <c r="E690" s="132"/>
      <c r="F690" s="132"/>
    </row>
    <row r="691" spans="5:6" x14ac:dyDescent="0.3">
      <c r="E691" s="132"/>
      <c r="F691" s="132"/>
    </row>
    <row r="692" spans="5:6" x14ac:dyDescent="0.3">
      <c r="E692" s="132"/>
      <c r="F692" s="132"/>
    </row>
    <row r="693" spans="5:6" x14ac:dyDescent="0.3">
      <c r="E693" s="132"/>
      <c r="F693" s="132"/>
    </row>
    <row r="694" spans="5:6" x14ac:dyDescent="0.3">
      <c r="E694" s="132"/>
      <c r="F694" s="132"/>
    </row>
    <row r="695" spans="5:6" x14ac:dyDescent="0.3">
      <c r="E695" s="132"/>
      <c r="F695" s="132"/>
    </row>
    <row r="696" spans="5:6" x14ac:dyDescent="0.3">
      <c r="E696" s="132"/>
      <c r="F696" s="132"/>
    </row>
    <row r="697" spans="5:6" x14ac:dyDescent="0.3">
      <c r="E697" s="132"/>
      <c r="F697" s="132"/>
    </row>
    <row r="698" spans="5:6" x14ac:dyDescent="0.3">
      <c r="E698" s="132"/>
      <c r="F698" s="132"/>
    </row>
    <row r="699" spans="5:6" x14ac:dyDescent="0.3">
      <c r="E699" s="132"/>
      <c r="F699" s="132"/>
    </row>
    <row r="700" spans="5:6" x14ac:dyDescent="0.3">
      <c r="E700" s="132"/>
      <c r="F700" s="132"/>
    </row>
    <row r="701" spans="5:6" x14ac:dyDescent="0.3">
      <c r="E701" s="132"/>
      <c r="F701" s="132"/>
    </row>
    <row r="702" spans="5:6" x14ac:dyDescent="0.3">
      <c r="E702" s="132"/>
      <c r="F702" s="132"/>
    </row>
    <row r="703" spans="5:6" x14ac:dyDescent="0.3">
      <c r="E703" s="132"/>
      <c r="F703" s="132"/>
    </row>
    <row r="704" spans="5:6" x14ac:dyDescent="0.3">
      <c r="E704" s="132"/>
      <c r="F704" s="132"/>
    </row>
    <row r="705" spans="5:6" x14ac:dyDescent="0.3">
      <c r="E705" s="132"/>
      <c r="F705" s="132"/>
    </row>
    <row r="706" spans="5:6" x14ac:dyDescent="0.3">
      <c r="E706" s="132"/>
      <c r="F706" s="132"/>
    </row>
    <row r="707" spans="5:6" x14ac:dyDescent="0.3">
      <c r="E707" s="132"/>
      <c r="F707" s="132"/>
    </row>
    <row r="708" spans="5:6" x14ac:dyDescent="0.3">
      <c r="E708" s="132"/>
      <c r="F708" s="132"/>
    </row>
    <row r="709" spans="5:6" x14ac:dyDescent="0.3">
      <c r="E709" s="132"/>
      <c r="F709" s="132"/>
    </row>
    <row r="710" spans="5:6" x14ac:dyDescent="0.3">
      <c r="E710" s="132"/>
      <c r="F710" s="132"/>
    </row>
    <row r="711" spans="5:6" x14ac:dyDescent="0.3">
      <c r="E711" s="132"/>
      <c r="F711" s="132"/>
    </row>
    <row r="712" spans="5:6" x14ac:dyDescent="0.3">
      <c r="E712" s="132"/>
      <c r="F712" s="132"/>
    </row>
    <row r="713" spans="5:6" x14ac:dyDescent="0.3">
      <c r="E713" s="132"/>
      <c r="F713" s="132"/>
    </row>
    <row r="714" spans="5:6" x14ac:dyDescent="0.3">
      <c r="E714" s="132"/>
      <c r="F714" s="132"/>
    </row>
    <row r="715" spans="5:6" x14ac:dyDescent="0.3">
      <c r="E715" s="132"/>
      <c r="F715" s="132"/>
    </row>
    <row r="716" spans="5:6" x14ac:dyDescent="0.3">
      <c r="E716" s="132"/>
      <c r="F716" s="132"/>
    </row>
    <row r="717" spans="5:6" x14ac:dyDescent="0.3">
      <c r="E717" s="132"/>
      <c r="F717" s="132"/>
    </row>
    <row r="718" spans="5:6" x14ac:dyDescent="0.3">
      <c r="E718" s="132"/>
      <c r="F718" s="132"/>
    </row>
    <row r="719" spans="5:6" x14ac:dyDescent="0.3">
      <c r="E719" s="132"/>
      <c r="F719" s="132"/>
    </row>
    <row r="720" spans="5:6" x14ac:dyDescent="0.3">
      <c r="E720" s="132"/>
      <c r="F720" s="132"/>
    </row>
    <row r="721" spans="5:6" x14ac:dyDescent="0.3">
      <c r="E721" s="132"/>
      <c r="F721" s="132"/>
    </row>
    <row r="722" spans="5:6" x14ac:dyDescent="0.3">
      <c r="E722" s="132"/>
      <c r="F722" s="132"/>
    </row>
    <row r="723" spans="5:6" x14ac:dyDescent="0.3">
      <c r="E723" s="132"/>
      <c r="F723" s="132"/>
    </row>
    <row r="724" spans="5:6" x14ac:dyDescent="0.3">
      <c r="E724" s="132"/>
      <c r="F724" s="132"/>
    </row>
    <row r="725" spans="5:6" x14ac:dyDescent="0.3">
      <c r="E725" s="132"/>
      <c r="F725" s="132"/>
    </row>
    <row r="726" spans="5:6" x14ac:dyDescent="0.3">
      <c r="E726" s="132"/>
      <c r="F726" s="132"/>
    </row>
    <row r="727" spans="5:6" x14ac:dyDescent="0.3">
      <c r="E727" s="132"/>
      <c r="F727" s="132"/>
    </row>
    <row r="728" spans="5:6" x14ac:dyDescent="0.3">
      <c r="E728" s="132"/>
      <c r="F728" s="132"/>
    </row>
    <row r="729" spans="5:6" x14ac:dyDescent="0.3">
      <c r="E729" s="132"/>
      <c r="F729" s="132"/>
    </row>
    <row r="730" spans="5:6" x14ac:dyDescent="0.3">
      <c r="E730" s="132"/>
      <c r="F730" s="132"/>
    </row>
    <row r="731" spans="5:6" x14ac:dyDescent="0.3">
      <c r="E731" s="132"/>
      <c r="F731" s="132"/>
    </row>
    <row r="732" spans="5:6" x14ac:dyDescent="0.3">
      <c r="E732" s="132"/>
      <c r="F732" s="132"/>
    </row>
    <row r="733" spans="5:6" x14ac:dyDescent="0.3">
      <c r="E733" s="132"/>
      <c r="F733" s="132"/>
    </row>
    <row r="734" spans="5:6" x14ac:dyDescent="0.3">
      <c r="E734" s="132"/>
      <c r="F734" s="132"/>
    </row>
    <row r="735" spans="5:6" x14ac:dyDescent="0.3">
      <c r="E735" s="132"/>
      <c r="F735" s="132"/>
    </row>
    <row r="736" spans="5:6" x14ac:dyDescent="0.3">
      <c r="E736" s="132"/>
      <c r="F736" s="132"/>
    </row>
    <row r="737" spans="5:6" x14ac:dyDescent="0.3">
      <c r="E737" s="132"/>
      <c r="F737" s="132"/>
    </row>
    <row r="738" spans="5:6" x14ac:dyDescent="0.3">
      <c r="E738" s="132"/>
      <c r="F738" s="132"/>
    </row>
    <row r="739" spans="5:6" x14ac:dyDescent="0.3">
      <c r="E739" s="132"/>
      <c r="F739" s="132"/>
    </row>
    <row r="740" spans="5:6" x14ac:dyDescent="0.3">
      <c r="E740" s="132"/>
      <c r="F740" s="132"/>
    </row>
    <row r="741" spans="5:6" x14ac:dyDescent="0.3">
      <c r="E741" s="132"/>
      <c r="F741" s="132"/>
    </row>
    <row r="742" spans="5:6" x14ac:dyDescent="0.3">
      <c r="E742" s="132"/>
      <c r="F742" s="132"/>
    </row>
    <row r="743" spans="5:6" x14ac:dyDescent="0.3">
      <c r="E743" s="132"/>
      <c r="F743" s="132"/>
    </row>
    <row r="744" spans="5:6" x14ac:dyDescent="0.3">
      <c r="E744" s="132"/>
      <c r="F744" s="132"/>
    </row>
    <row r="745" spans="5:6" x14ac:dyDescent="0.3">
      <c r="E745" s="132"/>
      <c r="F745" s="132"/>
    </row>
    <row r="746" spans="5:6" x14ac:dyDescent="0.3">
      <c r="E746" s="132"/>
      <c r="F746" s="132"/>
    </row>
    <row r="747" spans="5:6" x14ac:dyDescent="0.3">
      <c r="E747" s="132"/>
      <c r="F747" s="132"/>
    </row>
    <row r="748" spans="5:6" x14ac:dyDescent="0.3">
      <c r="E748" s="132"/>
      <c r="F748" s="132"/>
    </row>
    <row r="749" spans="5:6" x14ac:dyDescent="0.3">
      <c r="E749" s="132"/>
      <c r="F749" s="132"/>
    </row>
    <row r="750" spans="5:6" x14ac:dyDescent="0.3">
      <c r="E750" s="132"/>
      <c r="F750" s="132"/>
    </row>
    <row r="751" spans="5:6" x14ac:dyDescent="0.3">
      <c r="E751" s="132"/>
      <c r="F751" s="132"/>
    </row>
    <row r="752" spans="5:6" x14ac:dyDescent="0.3">
      <c r="E752" s="132"/>
      <c r="F752" s="132"/>
    </row>
    <row r="753" spans="5:6" x14ac:dyDescent="0.3">
      <c r="E753" s="132"/>
      <c r="F753" s="132"/>
    </row>
    <row r="754" spans="5:6" x14ac:dyDescent="0.3">
      <c r="E754" s="132"/>
      <c r="F754" s="132"/>
    </row>
    <row r="755" spans="5:6" x14ac:dyDescent="0.3">
      <c r="E755" s="132"/>
      <c r="F755" s="132"/>
    </row>
    <row r="756" spans="5:6" x14ac:dyDescent="0.3">
      <c r="E756" s="132"/>
      <c r="F756" s="132"/>
    </row>
    <row r="757" spans="5:6" x14ac:dyDescent="0.3">
      <c r="E757" s="132"/>
      <c r="F757" s="132"/>
    </row>
    <row r="758" spans="5:6" x14ac:dyDescent="0.3">
      <c r="E758" s="132"/>
      <c r="F758" s="132"/>
    </row>
    <row r="759" spans="5:6" x14ac:dyDescent="0.3">
      <c r="E759" s="132"/>
      <c r="F759" s="132"/>
    </row>
    <row r="760" spans="5:6" x14ac:dyDescent="0.3">
      <c r="E760" s="132"/>
      <c r="F760" s="132"/>
    </row>
    <row r="761" spans="5:6" x14ac:dyDescent="0.3">
      <c r="E761" s="132"/>
      <c r="F761" s="132"/>
    </row>
    <row r="762" spans="5:6" x14ac:dyDescent="0.3">
      <c r="E762" s="132"/>
      <c r="F762" s="132"/>
    </row>
    <row r="763" spans="5:6" x14ac:dyDescent="0.3">
      <c r="E763" s="132"/>
      <c r="F763" s="132"/>
    </row>
    <row r="764" spans="5:6" x14ac:dyDescent="0.3">
      <c r="E764" s="132"/>
      <c r="F764" s="132"/>
    </row>
    <row r="765" spans="5:6" x14ac:dyDescent="0.3">
      <c r="E765" s="132"/>
      <c r="F765" s="132"/>
    </row>
    <row r="766" spans="5:6" x14ac:dyDescent="0.3">
      <c r="E766" s="132"/>
      <c r="F766" s="132"/>
    </row>
    <row r="767" spans="5:6" x14ac:dyDescent="0.3">
      <c r="E767" s="132"/>
      <c r="F767" s="132"/>
    </row>
    <row r="768" spans="5:6" x14ac:dyDescent="0.3">
      <c r="E768" s="132"/>
      <c r="F768" s="132"/>
    </row>
    <row r="769" spans="5:6" x14ac:dyDescent="0.3">
      <c r="E769" s="132"/>
      <c r="F769" s="132"/>
    </row>
    <row r="770" spans="5:6" x14ac:dyDescent="0.3">
      <c r="E770" s="132"/>
      <c r="F770" s="132"/>
    </row>
    <row r="771" spans="5:6" x14ac:dyDescent="0.3">
      <c r="E771" s="132"/>
      <c r="F771" s="132"/>
    </row>
    <row r="772" spans="5:6" x14ac:dyDescent="0.3">
      <c r="E772" s="132"/>
      <c r="F772" s="132"/>
    </row>
    <row r="773" spans="5:6" x14ac:dyDescent="0.3">
      <c r="E773" s="132"/>
      <c r="F773" s="132"/>
    </row>
    <row r="774" spans="5:6" x14ac:dyDescent="0.3">
      <c r="E774" s="132"/>
      <c r="F774" s="132"/>
    </row>
    <row r="775" spans="5:6" x14ac:dyDescent="0.3">
      <c r="E775" s="132"/>
      <c r="F775" s="132"/>
    </row>
    <row r="776" spans="5:6" x14ac:dyDescent="0.3">
      <c r="E776" s="132"/>
      <c r="F776" s="132"/>
    </row>
    <row r="777" spans="5:6" x14ac:dyDescent="0.3">
      <c r="E777" s="132"/>
      <c r="F777" s="132"/>
    </row>
    <row r="778" spans="5:6" x14ac:dyDescent="0.3">
      <c r="E778" s="132"/>
      <c r="F778" s="132"/>
    </row>
    <row r="779" spans="5:6" x14ac:dyDescent="0.3">
      <c r="E779" s="132"/>
      <c r="F779" s="132"/>
    </row>
    <row r="780" spans="5:6" x14ac:dyDescent="0.3">
      <c r="E780" s="132"/>
      <c r="F780" s="132"/>
    </row>
    <row r="781" spans="5:6" x14ac:dyDescent="0.3">
      <c r="E781" s="132"/>
      <c r="F781" s="132"/>
    </row>
    <row r="782" spans="5:6" x14ac:dyDescent="0.3">
      <c r="E782" s="132"/>
      <c r="F782" s="132"/>
    </row>
    <row r="783" spans="5:6" x14ac:dyDescent="0.3">
      <c r="E783" s="132"/>
      <c r="F783" s="132"/>
    </row>
    <row r="784" spans="5:6" x14ac:dyDescent="0.3">
      <c r="E784" s="132"/>
      <c r="F784" s="132"/>
    </row>
    <row r="785" spans="5:6" x14ac:dyDescent="0.3">
      <c r="E785" s="132"/>
      <c r="F785" s="132"/>
    </row>
    <row r="786" spans="5:6" x14ac:dyDescent="0.3">
      <c r="E786" s="132"/>
      <c r="F786" s="132"/>
    </row>
    <row r="787" spans="5:6" x14ac:dyDescent="0.3">
      <c r="E787" s="132"/>
      <c r="F787" s="132"/>
    </row>
    <row r="788" spans="5:6" x14ac:dyDescent="0.3">
      <c r="E788" s="132"/>
      <c r="F788" s="132"/>
    </row>
    <row r="789" spans="5:6" x14ac:dyDescent="0.3">
      <c r="E789" s="132"/>
      <c r="F789" s="132"/>
    </row>
    <row r="790" spans="5:6" x14ac:dyDescent="0.3">
      <c r="E790" s="132"/>
      <c r="F790" s="132"/>
    </row>
    <row r="791" spans="5:6" x14ac:dyDescent="0.3">
      <c r="E791" s="132"/>
      <c r="F791" s="132"/>
    </row>
    <row r="792" spans="5:6" x14ac:dyDescent="0.3">
      <c r="E792" s="132"/>
      <c r="F792" s="132"/>
    </row>
    <row r="793" spans="5:6" x14ac:dyDescent="0.3">
      <c r="E793" s="132"/>
      <c r="F793" s="132"/>
    </row>
    <row r="794" spans="5:6" x14ac:dyDescent="0.3">
      <c r="E794" s="132"/>
      <c r="F794" s="132"/>
    </row>
    <row r="795" spans="5:6" x14ac:dyDescent="0.3">
      <c r="E795" s="132"/>
      <c r="F795" s="132"/>
    </row>
    <row r="796" spans="5:6" x14ac:dyDescent="0.3">
      <c r="E796" s="132"/>
      <c r="F796" s="132"/>
    </row>
    <row r="797" spans="5:6" x14ac:dyDescent="0.3">
      <c r="E797" s="132"/>
      <c r="F797" s="132"/>
    </row>
    <row r="798" spans="5:6" x14ac:dyDescent="0.3">
      <c r="E798" s="132"/>
      <c r="F798" s="132"/>
    </row>
    <row r="799" spans="5:6" x14ac:dyDescent="0.3">
      <c r="E799" s="132"/>
      <c r="F799" s="132"/>
    </row>
    <row r="800" spans="5:6" x14ac:dyDescent="0.3">
      <c r="E800" s="132"/>
      <c r="F800" s="132"/>
    </row>
    <row r="801" spans="5:6" x14ac:dyDescent="0.3">
      <c r="E801" s="132"/>
      <c r="F801" s="132"/>
    </row>
    <row r="802" spans="5:6" x14ac:dyDescent="0.3">
      <c r="E802" s="132"/>
      <c r="F802" s="132"/>
    </row>
    <row r="803" spans="5:6" x14ac:dyDescent="0.3">
      <c r="E803" s="132"/>
      <c r="F803" s="132"/>
    </row>
    <row r="804" spans="5:6" x14ac:dyDescent="0.3">
      <c r="E804" s="132"/>
      <c r="F804" s="132"/>
    </row>
    <row r="805" spans="5:6" x14ac:dyDescent="0.3">
      <c r="E805" s="132"/>
      <c r="F805" s="132"/>
    </row>
    <row r="806" spans="5:6" x14ac:dyDescent="0.3">
      <c r="E806" s="132"/>
      <c r="F806" s="132"/>
    </row>
    <row r="807" spans="5:6" x14ac:dyDescent="0.3">
      <c r="E807" s="132"/>
      <c r="F807" s="132"/>
    </row>
    <row r="808" spans="5:6" x14ac:dyDescent="0.3">
      <c r="E808" s="132"/>
      <c r="F808" s="132"/>
    </row>
    <row r="809" spans="5:6" x14ac:dyDescent="0.3">
      <c r="E809" s="132"/>
      <c r="F809" s="132"/>
    </row>
    <row r="810" spans="5:6" x14ac:dyDescent="0.3">
      <c r="E810" s="132"/>
      <c r="F810" s="132"/>
    </row>
    <row r="811" spans="5:6" x14ac:dyDescent="0.3">
      <c r="E811" s="132"/>
      <c r="F811" s="132"/>
    </row>
    <row r="812" spans="5:6" x14ac:dyDescent="0.3">
      <c r="E812" s="132"/>
      <c r="F812" s="132"/>
    </row>
    <row r="813" spans="5:6" x14ac:dyDescent="0.3">
      <c r="E813" s="132"/>
      <c r="F813" s="132"/>
    </row>
    <row r="814" spans="5:6" x14ac:dyDescent="0.3">
      <c r="E814" s="132"/>
      <c r="F814" s="132"/>
    </row>
    <row r="815" spans="5:6" x14ac:dyDescent="0.3">
      <c r="E815" s="132"/>
      <c r="F815" s="132"/>
    </row>
    <row r="816" spans="5:6" x14ac:dyDescent="0.3">
      <c r="E816" s="132"/>
      <c r="F816" s="132"/>
    </row>
    <row r="817" spans="5:6" x14ac:dyDescent="0.3">
      <c r="E817" s="132"/>
      <c r="F817" s="132"/>
    </row>
    <row r="818" spans="5:6" x14ac:dyDescent="0.3">
      <c r="E818" s="132"/>
      <c r="F818" s="132"/>
    </row>
    <row r="819" spans="5:6" x14ac:dyDescent="0.3">
      <c r="E819" s="132"/>
      <c r="F819" s="132"/>
    </row>
    <row r="820" spans="5:6" x14ac:dyDescent="0.3">
      <c r="E820" s="132"/>
      <c r="F820" s="132"/>
    </row>
    <row r="821" spans="5:6" x14ac:dyDescent="0.3">
      <c r="E821" s="132"/>
      <c r="F821" s="132"/>
    </row>
    <row r="822" spans="5:6" x14ac:dyDescent="0.3">
      <c r="E822" s="132"/>
      <c r="F822" s="132"/>
    </row>
    <row r="823" spans="5:6" x14ac:dyDescent="0.3">
      <c r="E823" s="132"/>
      <c r="F823" s="132"/>
    </row>
    <row r="824" spans="5:6" x14ac:dyDescent="0.3">
      <c r="E824" s="132"/>
      <c r="F824" s="132"/>
    </row>
    <row r="825" spans="5:6" x14ac:dyDescent="0.3">
      <c r="E825" s="132"/>
      <c r="F825" s="132"/>
    </row>
    <row r="826" spans="5:6" x14ac:dyDescent="0.3">
      <c r="E826" s="132"/>
      <c r="F826" s="132"/>
    </row>
    <row r="827" spans="5:6" x14ac:dyDescent="0.3">
      <c r="E827" s="132"/>
      <c r="F827" s="132"/>
    </row>
    <row r="828" spans="5:6" x14ac:dyDescent="0.3">
      <c r="E828" s="132"/>
      <c r="F828" s="132"/>
    </row>
    <row r="829" spans="5:6" x14ac:dyDescent="0.3">
      <c r="E829" s="132"/>
      <c r="F829" s="132"/>
    </row>
    <row r="830" spans="5:6" x14ac:dyDescent="0.3">
      <c r="E830" s="132"/>
      <c r="F830" s="132"/>
    </row>
    <row r="831" spans="5:6" x14ac:dyDescent="0.3">
      <c r="E831" s="132"/>
      <c r="F831" s="132"/>
    </row>
    <row r="832" spans="5:6" x14ac:dyDescent="0.3">
      <c r="E832" s="132"/>
      <c r="F832" s="132"/>
    </row>
    <row r="833" spans="5:6" x14ac:dyDescent="0.3">
      <c r="E833" s="132"/>
      <c r="F833" s="132"/>
    </row>
    <row r="834" spans="5:6" x14ac:dyDescent="0.3">
      <c r="E834" s="132"/>
      <c r="F834" s="132"/>
    </row>
    <row r="835" spans="5:6" x14ac:dyDescent="0.3">
      <c r="E835" s="132"/>
      <c r="F835" s="132"/>
    </row>
    <row r="836" spans="5:6" x14ac:dyDescent="0.3">
      <c r="E836" s="132"/>
      <c r="F836" s="132"/>
    </row>
    <row r="837" spans="5:6" x14ac:dyDescent="0.3">
      <c r="E837" s="132"/>
      <c r="F837" s="132"/>
    </row>
    <row r="838" spans="5:6" x14ac:dyDescent="0.3">
      <c r="E838" s="132"/>
      <c r="F838" s="132"/>
    </row>
    <row r="839" spans="5:6" x14ac:dyDescent="0.3">
      <c r="E839" s="132"/>
      <c r="F839" s="132"/>
    </row>
    <row r="840" spans="5:6" x14ac:dyDescent="0.3">
      <c r="E840" s="132"/>
      <c r="F840" s="132"/>
    </row>
    <row r="841" spans="5:6" x14ac:dyDescent="0.3">
      <c r="E841" s="132"/>
      <c r="F841" s="132"/>
    </row>
    <row r="842" spans="5:6" x14ac:dyDescent="0.3">
      <c r="E842" s="132"/>
      <c r="F842" s="132"/>
    </row>
    <row r="843" spans="5:6" x14ac:dyDescent="0.3">
      <c r="E843" s="132"/>
      <c r="F843" s="132"/>
    </row>
    <row r="844" spans="5:6" x14ac:dyDescent="0.3">
      <c r="E844" s="132"/>
      <c r="F844" s="132"/>
    </row>
    <row r="845" spans="5:6" x14ac:dyDescent="0.3">
      <c r="E845" s="132"/>
      <c r="F845" s="132"/>
    </row>
    <row r="846" spans="5:6" x14ac:dyDescent="0.3">
      <c r="E846" s="132"/>
      <c r="F846" s="132"/>
    </row>
    <row r="847" spans="5:6" x14ac:dyDescent="0.3">
      <c r="E847" s="132"/>
      <c r="F847" s="132"/>
    </row>
    <row r="848" spans="5:6" x14ac:dyDescent="0.3">
      <c r="E848" s="132"/>
      <c r="F848" s="132"/>
    </row>
    <row r="849" spans="5:6" x14ac:dyDescent="0.3">
      <c r="E849" s="132"/>
      <c r="F849" s="132"/>
    </row>
    <row r="850" spans="5:6" x14ac:dyDescent="0.3">
      <c r="E850" s="132"/>
      <c r="F850" s="132"/>
    </row>
    <row r="851" spans="5:6" x14ac:dyDescent="0.3">
      <c r="E851" s="132"/>
      <c r="F851" s="132"/>
    </row>
    <row r="852" spans="5:6" x14ac:dyDescent="0.3">
      <c r="E852" s="132"/>
      <c r="F852" s="132"/>
    </row>
    <row r="853" spans="5:6" x14ac:dyDescent="0.3">
      <c r="E853" s="132"/>
      <c r="F853" s="132"/>
    </row>
    <row r="854" spans="5:6" x14ac:dyDescent="0.3">
      <c r="E854" s="132"/>
      <c r="F854" s="132"/>
    </row>
    <row r="855" spans="5:6" x14ac:dyDescent="0.3">
      <c r="E855" s="132"/>
      <c r="F855" s="132"/>
    </row>
    <row r="856" spans="5:6" x14ac:dyDescent="0.3">
      <c r="E856" s="132"/>
      <c r="F856" s="132"/>
    </row>
    <row r="857" spans="5:6" x14ac:dyDescent="0.3">
      <c r="E857" s="132"/>
      <c r="F857" s="132"/>
    </row>
    <row r="858" spans="5:6" x14ac:dyDescent="0.3">
      <c r="E858" s="132"/>
      <c r="F858" s="132"/>
    </row>
    <row r="859" spans="5:6" x14ac:dyDescent="0.3">
      <c r="E859" s="132"/>
      <c r="F859" s="132"/>
    </row>
    <row r="860" spans="5:6" x14ac:dyDescent="0.3">
      <c r="E860" s="132"/>
      <c r="F860" s="132"/>
    </row>
    <row r="861" spans="5:6" x14ac:dyDescent="0.3">
      <c r="E861" s="132"/>
      <c r="F861" s="132"/>
    </row>
    <row r="862" spans="5:6" x14ac:dyDescent="0.3">
      <c r="E862" s="132"/>
      <c r="F862" s="132"/>
    </row>
    <row r="863" spans="5:6" x14ac:dyDescent="0.3">
      <c r="E863" s="132"/>
      <c r="F863" s="132"/>
    </row>
    <row r="864" spans="5:6" x14ac:dyDescent="0.3">
      <c r="E864" s="132"/>
      <c r="F864" s="132"/>
    </row>
    <row r="865" spans="5:6" x14ac:dyDescent="0.3">
      <c r="E865" s="132"/>
      <c r="F865" s="132"/>
    </row>
    <row r="866" spans="5:6" x14ac:dyDescent="0.3">
      <c r="E866" s="132"/>
      <c r="F866" s="132"/>
    </row>
    <row r="867" spans="5:6" x14ac:dyDescent="0.3">
      <c r="E867" s="132"/>
      <c r="F867" s="132"/>
    </row>
    <row r="868" spans="5:6" x14ac:dyDescent="0.3">
      <c r="E868" s="132"/>
      <c r="F868" s="132"/>
    </row>
    <row r="869" spans="5:6" x14ac:dyDescent="0.3">
      <c r="E869" s="132"/>
      <c r="F869" s="132"/>
    </row>
    <row r="870" spans="5:6" x14ac:dyDescent="0.3">
      <c r="E870" s="132"/>
      <c r="F870" s="132"/>
    </row>
    <row r="871" spans="5:6" x14ac:dyDescent="0.3">
      <c r="E871" s="132"/>
      <c r="F871" s="132"/>
    </row>
    <row r="872" spans="5:6" x14ac:dyDescent="0.3">
      <c r="E872" s="132"/>
      <c r="F872" s="132"/>
    </row>
    <row r="873" spans="5:6" x14ac:dyDescent="0.3">
      <c r="E873" s="132"/>
      <c r="F873" s="132"/>
    </row>
    <row r="874" spans="5:6" x14ac:dyDescent="0.3">
      <c r="E874" s="132"/>
      <c r="F874" s="132"/>
    </row>
    <row r="875" spans="5:6" x14ac:dyDescent="0.3">
      <c r="E875" s="132"/>
      <c r="F875" s="132"/>
    </row>
    <row r="876" spans="5:6" x14ac:dyDescent="0.3">
      <c r="E876" s="132"/>
      <c r="F876" s="132"/>
    </row>
    <row r="877" spans="5:6" x14ac:dyDescent="0.3">
      <c r="E877" s="132"/>
      <c r="F877" s="132"/>
    </row>
    <row r="878" spans="5:6" x14ac:dyDescent="0.3">
      <c r="E878" s="132"/>
      <c r="F878" s="132"/>
    </row>
    <row r="879" spans="5:6" x14ac:dyDescent="0.3">
      <c r="E879" s="132"/>
      <c r="F879" s="132"/>
    </row>
    <row r="880" spans="5:6" x14ac:dyDescent="0.3">
      <c r="E880" s="132"/>
      <c r="F880" s="132"/>
    </row>
    <row r="881" spans="5:6" x14ac:dyDescent="0.3">
      <c r="E881" s="132"/>
      <c r="F881" s="132"/>
    </row>
    <row r="882" spans="5:6" x14ac:dyDescent="0.3">
      <c r="E882" s="132"/>
      <c r="F882" s="132"/>
    </row>
    <row r="883" spans="5:6" x14ac:dyDescent="0.3">
      <c r="E883" s="132"/>
      <c r="F883" s="132"/>
    </row>
    <row r="884" spans="5:6" x14ac:dyDescent="0.3">
      <c r="E884" s="132"/>
      <c r="F884" s="132"/>
    </row>
    <row r="885" spans="5:6" x14ac:dyDescent="0.3">
      <c r="E885" s="132"/>
      <c r="F885" s="132"/>
    </row>
    <row r="886" spans="5:6" x14ac:dyDescent="0.3">
      <c r="E886" s="132"/>
      <c r="F886" s="132"/>
    </row>
    <row r="887" spans="5:6" x14ac:dyDescent="0.3">
      <c r="E887" s="132"/>
      <c r="F887" s="132"/>
    </row>
    <row r="888" spans="5:6" x14ac:dyDescent="0.3">
      <c r="E888" s="132"/>
      <c r="F888" s="132"/>
    </row>
    <row r="889" spans="5:6" x14ac:dyDescent="0.3">
      <c r="E889" s="132"/>
      <c r="F889" s="132"/>
    </row>
    <row r="890" spans="5:6" x14ac:dyDescent="0.3">
      <c r="E890" s="132"/>
      <c r="F890" s="132"/>
    </row>
    <row r="891" spans="5:6" x14ac:dyDescent="0.3">
      <c r="E891" s="132"/>
      <c r="F891" s="132"/>
    </row>
    <row r="892" spans="5:6" x14ac:dyDescent="0.3">
      <c r="E892" s="132"/>
      <c r="F892" s="132"/>
    </row>
    <row r="893" spans="5:6" x14ac:dyDescent="0.3">
      <c r="E893" s="132"/>
      <c r="F893" s="132"/>
    </row>
    <row r="894" spans="5:6" x14ac:dyDescent="0.3">
      <c r="E894" s="132"/>
      <c r="F894" s="132"/>
    </row>
    <row r="895" spans="5:6" x14ac:dyDescent="0.3">
      <c r="E895" s="132"/>
      <c r="F895" s="132"/>
    </row>
    <row r="896" spans="5:6" x14ac:dyDescent="0.3">
      <c r="E896" s="132"/>
      <c r="F896" s="132"/>
    </row>
    <row r="897" spans="5:6" x14ac:dyDescent="0.3">
      <c r="E897" s="132"/>
      <c r="F897" s="132"/>
    </row>
    <row r="898" spans="5:6" x14ac:dyDescent="0.3">
      <c r="E898" s="132"/>
      <c r="F898" s="132"/>
    </row>
    <row r="899" spans="5:6" x14ac:dyDescent="0.3">
      <c r="E899" s="132"/>
      <c r="F899" s="132"/>
    </row>
    <row r="900" spans="5:6" x14ac:dyDescent="0.3">
      <c r="E900" s="132"/>
      <c r="F900" s="132"/>
    </row>
    <row r="901" spans="5:6" x14ac:dyDescent="0.3">
      <c r="E901" s="132"/>
      <c r="F901" s="132"/>
    </row>
    <row r="902" spans="5:6" x14ac:dyDescent="0.3">
      <c r="E902" s="132"/>
      <c r="F902" s="132"/>
    </row>
    <row r="903" spans="5:6" x14ac:dyDescent="0.3">
      <c r="E903" s="132"/>
      <c r="F903" s="132"/>
    </row>
    <row r="904" spans="5:6" x14ac:dyDescent="0.3">
      <c r="E904" s="132"/>
      <c r="F904" s="132"/>
    </row>
    <row r="905" spans="5:6" x14ac:dyDescent="0.3">
      <c r="E905" s="132"/>
      <c r="F905" s="132"/>
    </row>
    <row r="906" spans="5:6" x14ac:dyDescent="0.3">
      <c r="E906" s="132"/>
      <c r="F906" s="132"/>
    </row>
    <row r="907" spans="5:6" x14ac:dyDescent="0.3">
      <c r="E907" s="132"/>
      <c r="F907" s="132"/>
    </row>
    <row r="908" spans="5:6" x14ac:dyDescent="0.3">
      <c r="E908" s="132"/>
      <c r="F908" s="132"/>
    </row>
    <row r="909" spans="5:6" x14ac:dyDescent="0.3">
      <c r="E909" s="132"/>
      <c r="F909" s="132"/>
    </row>
    <row r="910" spans="5:6" x14ac:dyDescent="0.3">
      <c r="E910" s="132"/>
      <c r="F910" s="132"/>
    </row>
    <row r="911" spans="5:6" x14ac:dyDescent="0.3">
      <c r="E911" s="132"/>
      <c r="F911" s="132"/>
    </row>
    <row r="912" spans="5:6" x14ac:dyDescent="0.3">
      <c r="E912" s="132"/>
      <c r="F912" s="132"/>
    </row>
    <row r="913" spans="5:6" x14ac:dyDescent="0.3">
      <c r="E913" s="132"/>
      <c r="F913" s="132"/>
    </row>
    <row r="914" spans="5:6" x14ac:dyDescent="0.3">
      <c r="E914" s="132"/>
      <c r="F914" s="132"/>
    </row>
    <row r="915" spans="5:6" x14ac:dyDescent="0.3">
      <c r="E915" s="132"/>
      <c r="F915" s="132"/>
    </row>
    <row r="916" spans="5:6" x14ac:dyDescent="0.3">
      <c r="E916" s="132"/>
      <c r="F916" s="132"/>
    </row>
    <row r="917" spans="5:6" x14ac:dyDescent="0.3">
      <c r="E917" s="132"/>
      <c r="F917" s="132"/>
    </row>
    <row r="918" spans="5:6" x14ac:dyDescent="0.3">
      <c r="E918" s="132"/>
      <c r="F918" s="132"/>
    </row>
    <row r="919" spans="5:6" x14ac:dyDescent="0.3">
      <c r="E919" s="132"/>
      <c r="F919" s="132"/>
    </row>
    <row r="920" spans="5:6" x14ac:dyDescent="0.3">
      <c r="E920" s="132"/>
      <c r="F920" s="132"/>
    </row>
    <row r="921" spans="5:6" x14ac:dyDescent="0.3">
      <c r="E921" s="132"/>
      <c r="F921" s="132"/>
    </row>
    <row r="922" spans="5:6" x14ac:dyDescent="0.3">
      <c r="E922" s="132"/>
      <c r="F922" s="132"/>
    </row>
    <row r="923" spans="5:6" x14ac:dyDescent="0.3">
      <c r="E923" s="132"/>
      <c r="F923" s="132"/>
    </row>
    <row r="924" spans="5:6" x14ac:dyDescent="0.3">
      <c r="E924" s="132"/>
      <c r="F924" s="132"/>
    </row>
    <row r="925" spans="5:6" x14ac:dyDescent="0.3">
      <c r="E925" s="132"/>
      <c r="F925" s="132"/>
    </row>
    <row r="926" spans="5:6" x14ac:dyDescent="0.3">
      <c r="E926" s="132"/>
      <c r="F926" s="132"/>
    </row>
    <row r="927" spans="5:6" x14ac:dyDescent="0.3">
      <c r="E927" s="132"/>
      <c r="F927" s="132"/>
    </row>
    <row r="928" spans="5:6" x14ac:dyDescent="0.3">
      <c r="E928" s="132"/>
      <c r="F928" s="132"/>
    </row>
    <row r="929" spans="5:6" x14ac:dyDescent="0.3">
      <c r="E929" s="132"/>
      <c r="F929" s="132"/>
    </row>
    <row r="930" spans="5:6" x14ac:dyDescent="0.3">
      <c r="E930" s="132"/>
      <c r="F930" s="132"/>
    </row>
    <row r="931" spans="5:6" x14ac:dyDescent="0.3">
      <c r="E931" s="132"/>
      <c r="F931" s="132"/>
    </row>
    <row r="932" spans="5:6" x14ac:dyDescent="0.3">
      <c r="E932" s="132"/>
      <c r="F932" s="132"/>
    </row>
    <row r="933" spans="5:6" x14ac:dyDescent="0.3">
      <c r="E933" s="132"/>
      <c r="F933" s="132"/>
    </row>
    <row r="934" spans="5:6" x14ac:dyDescent="0.3">
      <c r="E934" s="132"/>
      <c r="F934" s="132"/>
    </row>
    <row r="935" spans="5:6" x14ac:dyDescent="0.3">
      <c r="E935" s="132"/>
      <c r="F935" s="132"/>
    </row>
    <row r="936" spans="5:6" x14ac:dyDescent="0.3">
      <c r="E936" s="132"/>
      <c r="F936" s="132"/>
    </row>
    <row r="937" spans="5:6" x14ac:dyDescent="0.3">
      <c r="E937" s="132"/>
      <c r="F937" s="132"/>
    </row>
    <row r="938" spans="5:6" x14ac:dyDescent="0.3">
      <c r="E938" s="132"/>
      <c r="F938" s="132"/>
    </row>
    <row r="939" spans="5:6" x14ac:dyDescent="0.3">
      <c r="E939" s="132"/>
      <c r="F939" s="132"/>
    </row>
    <row r="940" spans="5:6" x14ac:dyDescent="0.3">
      <c r="E940" s="132"/>
      <c r="F940" s="132"/>
    </row>
    <row r="941" spans="5:6" x14ac:dyDescent="0.3">
      <c r="E941" s="132"/>
      <c r="F941" s="132"/>
    </row>
    <row r="942" spans="5:6" x14ac:dyDescent="0.3">
      <c r="E942" s="132"/>
      <c r="F942" s="132"/>
    </row>
    <row r="943" spans="5:6" x14ac:dyDescent="0.3">
      <c r="E943" s="132"/>
      <c r="F943" s="132"/>
    </row>
    <row r="944" spans="5:6" x14ac:dyDescent="0.3">
      <c r="E944" s="132"/>
      <c r="F944" s="132"/>
    </row>
    <row r="945" spans="5:6" x14ac:dyDescent="0.3">
      <c r="E945" s="132"/>
      <c r="F945" s="132"/>
    </row>
    <row r="946" spans="5:6" x14ac:dyDescent="0.3">
      <c r="E946" s="132"/>
      <c r="F946" s="132"/>
    </row>
    <row r="947" spans="5:6" x14ac:dyDescent="0.3">
      <c r="E947" s="132"/>
      <c r="F947" s="132"/>
    </row>
    <row r="948" spans="5:6" x14ac:dyDescent="0.3">
      <c r="E948" s="132"/>
      <c r="F948" s="132"/>
    </row>
    <row r="949" spans="5:6" x14ac:dyDescent="0.3">
      <c r="E949" s="132"/>
      <c r="F949" s="132"/>
    </row>
    <row r="950" spans="5:6" x14ac:dyDescent="0.3">
      <c r="E950" s="132"/>
      <c r="F950" s="132"/>
    </row>
    <row r="951" spans="5:6" x14ac:dyDescent="0.3">
      <c r="E951" s="132"/>
      <c r="F951" s="132"/>
    </row>
    <row r="952" spans="5:6" x14ac:dyDescent="0.3">
      <c r="E952" s="132"/>
      <c r="F952" s="132"/>
    </row>
    <row r="953" spans="5:6" x14ac:dyDescent="0.3">
      <c r="E953" s="132"/>
      <c r="F953" s="132"/>
    </row>
    <row r="954" spans="5:6" x14ac:dyDescent="0.3">
      <c r="E954" s="132"/>
      <c r="F954" s="132"/>
    </row>
    <row r="955" spans="5:6" x14ac:dyDescent="0.3">
      <c r="E955" s="132"/>
      <c r="F955" s="132"/>
    </row>
    <row r="956" spans="5:6" x14ac:dyDescent="0.3">
      <c r="E956" s="132"/>
      <c r="F956" s="132"/>
    </row>
    <row r="957" spans="5:6" x14ac:dyDescent="0.3">
      <c r="E957" s="132"/>
      <c r="F957" s="132"/>
    </row>
    <row r="958" spans="5:6" x14ac:dyDescent="0.3">
      <c r="E958" s="132"/>
      <c r="F958" s="132"/>
    </row>
    <row r="959" spans="5:6" x14ac:dyDescent="0.3">
      <c r="E959" s="132"/>
      <c r="F959" s="132"/>
    </row>
    <row r="960" spans="5:6" x14ac:dyDescent="0.3">
      <c r="E960" s="132"/>
      <c r="F960" s="132"/>
    </row>
    <row r="961" spans="5:6" x14ac:dyDescent="0.3">
      <c r="E961" s="132"/>
      <c r="F961" s="132"/>
    </row>
    <row r="962" spans="5:6" x14ac:dyDescent="0.3">
      <c r="E962" s="132"/>
      <c r="F962" s="132"/>
    </row>
    <row r="963" spans="5:6" x14ac:dyDescent="0.3">
      <c r="E963" s="132"/>
      <c r="F963" s="132"/>
    </row>
    <row r="964" spans="5:6" x14ac:dyDescent="0.3">
      <c r="E964" s="132"/>
      <c r="F964" s="132"/>
    </row>
    <row r="965" spans="5:6" x14ac:dyDescent="0.3">
      <c r="E965" s="132"/>
      <c r="F965" s="132"/>
    </row>
    <row r="966" spans="5:6" x14ac:dyDescent="0.3">
      <c r="E966" s="132"/>
      <c r="F966" s="132"/>
    </row>
    <row r="967" spans="5:6" x14ac:dyDescent="0.3">
      <c r="E967" s="132"/>
      <c r="F967" s="132"/>
    </row>
    <row r="968" spans="5:6" x14ac:dyDescent="0.3">
      <c r="E968" s="132"/>
      <c r="F968" s="132"/>
    </row>
    <row r="969" spans="5:6" x14ac:dyDescent="0.3">
      <c r="E969" s="132"/>
      <c r="F969" s="132"/>
    </row>
    <row r="970" spans="5:6" x14ac:dyDescent="0.3">
      <c r="E970" s="132"/>
      <c r="F970" s="132"/>
    </row>
    <row r="971" spans="5:6" x14ac:dyDescent="0.3">
      <c r="E971" s="132"/>
      <c r="F971" s="132"/>
    </row>
    <row r="972" spans="5:6" x14ac:dyDescent="0.3">
      <c r="E972" s="132"/>
      <c r="F972" s="132"/>
    </row>
    <row r="973" spans="5:6" x14ac:dyDescent="0.3">
      <c r="E973" s="132"/>
      <c r="F973" s="132"/>
    </row>
    <row r="974" spans="5:6" x14ac:dyDescent="0.3">
      <c r="E974" s="132"/>
      <c r="F974" s="132"/>
    </row>
    <row r="975" spans="5:6" x14ac:dyDescent="0.3">
      <c r="E975" s="132"/>
      <c r="F975" s="132"/>
    </row>
    <row r="976" spans="5:6" x14ac:dyDescent="0.3">
      <c r="E976" s="132"/>
      <c r="F976" s="132"/>
    </row>
    <row r="977" spans="5:6" x14ac:dyDescent="0.3">
      <c r="E977" s="132"/>
      <c r="F977" s="132"/>
    </row>
    <row r="978" spans="5:6" x14ac:dyDescent="0.3">
      <c r="E978" s="132"/>
      <c r="F978" s="132"/>
    </row>
    <row r="979" spans="5:6" x14ac:dyDescent="0.3">
      <c r="E979" s="132"/>
      <c r="F979" s="132"/>
    </row>
    <row r="980" spans="5:6" x14ac:dyDescent="0.3">
      <c r="E980" s="132"/>
      <c r="F980" s="132"/>
    </row>
    <row r="981" spans="5:6" x14ac:dyDescent="0.3">
      <c r="E981" s="132"/>
      <c r="F981" s="132"/>
    </row>
    <row r="982" spans="5:6" x14ac:dyDescent="0.3">
      <c r="E982" s="132"/>
      <c r="F982" s="132"/>
    </row>
    <row r="983" spans="5:6" x14ac:dyDescent="0.3">
      <c r="E983" s="132"/>
      <c r="F983" s="132"/>
    </row>
    <row r="984" spans="5:6" x14ac:dyDescent="0.3">
      <c r="E984" s="132"/>
      <c r="F984" s="132"/>
    </row>
    <row r="985" spans="5:6" x14ac:dyDescent="0.3">
      <c r="E985" s="132"/>
      <c r="F985" s="132"/>
    </row>
    <row r="986" spans="5:6" x14ac:dyDescent="0.3">
      <c r="E986" s="132"/>
      <c r="F986" s="132"/>
    </row>
    <row r="987" spans="5:6" x14ac:dyDescent="0.3">
      <c r="E987" s="132"/>
      <c r="F987" s="132"/>
    </row>
    <row r="988" spans="5:6" x14ac:dyDescent="0.3">
      <c r="E988" s="132"/>
      <c r="F988" s="132"/>
    </row>
    <row r="989" spans="5:6" x14ac:dyDescent="0.3">
      <c r="E989" s="132"/>
      <c r="F989" s="132"/>
    </row>
    <row r="990" spans="5:6" x14ac:dyDescent="0.3">
      <c r="E990" s="132"/>
      <c r="F990" s="132"/>
    </row>
    <row r="991" spans="5:6" x14ac:dyDescent="0.3">
      <c r="E991" s="132"/>
      <c r="F991" s="132"/>
    </row>
    <row r="992" spans="5:6" x14ac:dyDescent="0.3">
      <c r="E992" s="132"/>
      <c r="F992" s="132"/>
    </row>
    <row r="993" spans="5:6" x14ac:dyDescent="0.3">
      <c r="E993" s="132"/>
      <c r="F993" s="132"/>
    </row>
    <row r="994" spans="5:6" x14ac:dyDescent="0.3">
      <c r="E994" s="132"/>
      <c r="F994" s="132"/>
    </row>
    <row r="995" spans="5:6" x14ac:dyDescent="0.3">
      <c r="E995" s="132"/>
      <c r="F995" s="132"/>
    </row>
    <row r="996" spans="5:6" x14ac:dyDescent="0.3">
      <c r="E996" s="132"/>
      <c r="F996" s="132"/>
    </row>
    <row r="997" spans="5:6" x14ac:dyDescent="0.3">
      <c r="E997" s="132"/>
      <c r="F997" s="132"/>
    </row>
    <row r="998" spans="5:6" x14ac:dyDescent="0.3">
      <c r="E998" s="132"/>
      <c r="F998" s="132"/>
    </row>
    <row r="999" spans="5:6" x14ac:dyDescent="0.3">
      <c r="E999" s="132"/>
      <c r="F999" s="132"/>
    </row>
    <row r="1000" spans="5:6" x14ac:dyDescent="0.3">
      <c r="E1000" s="132"/>
      <c r="F1000" s="13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4901-5CFA-4139-B595-11CABFFDF0FC}">
  <sheetPr codeName="Sheet9"/>
  <dimension ref="A5:F1000"/>
  <sheetViews>
    <sheetView workbookViewId="0">
      <selection activeCell="A5" sqref="A5:E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874</v>
      </c>
      <c r="D5" s="132" t="s">
        <v>877</v>
      </c>
      <c r="E5" s="132">
        <v>400</v>
      </c>
      <c r="F5" s="132"/>
    </row>
    <row r="6" spans="1:6" x14ac:dyDescent="0.3">
      <c r="A6" s="132" t="s">
        <v>872</v>
      </c>
      <c r="B6" s="132" t="s">
        <v>890</v>
      </c>
      <c r="C6" s="132" t="s">
        <v>874</v>
      </c>
      <c r="D6" s="132" t="s">
        <v>1643</v>
      </c>
      <c r="E6" s="132">
        <v>4000</v>
      </c>
      <c r="F6" s="132"/>
    </row>
    <row r="7" spans="1:6" x14ac:dyDescent="0.3">
      <c r="A7" s="132" t="s">
        <v>872</v>
      </c>
      <c r="B7" s="132" t="s">
        <v>900</v>
      </c>
      <c r="C7" s="132" t="s">
        <v>874</v>
      </c>
      <c r="D7" s="132" t="s">
        <v>875</v>
      </c>
      <c r="E7" s="132">
        <v>200</v>
      </c>
      <c r="F7" s="132"/>
    </row>
    <row r="8" spans="1:6" x14ac:dyDescent="0.3">
      <c r="A8" s="132" t="s">
        <v>872</v>
      </c>
      <c r="B8" s="132" t="s">
        <v>902</v>
      </c>
      <c r="C8" s="132" t="s">
        <v>874</v>
      </c>
      <c r="D8" s="132" t="s">
        <v>877</v>
      </c>
      <c r="E8" s="132">
        <v>400</v>
      </c>
      <c r="F8" s="132"/>
    </row>
    <row r="9" spans="1:6" x14ac:dyDescent="0.3">
      <c r="A9" s="132" t="s">
        <v>903</v>
      </c>
      <c r="B9" s="132" t="s">
        <v>911</v>
      </c>
      <c r="C9" s="132" t="s">
        <v>874</v>
      </c>
      <c r="D9" s="132" t="s">
        <v>877</v>
      </c>
      <c r="E9" s="132">
        <v>400</v>
      </c>
      <c r="F9" s="132"/>
    </row>
    <row r="10" spans="1:6" x14ac:dyDescent="0.3">
      <c r="A10" s="132" t="s">
        <v>903</v>
      </c>
      <c r="B10" s="132" t="s">
        <v>913</v>
      </c>
      <c r="C10" s="132" t="s">
        <v>874</v>
      </c>
      <c r="D10" s="132" t="s">
        <v>877</v>
      </c>
      <c r="E10" s="132">
        <v>400</v>
      </c>
      <c r="F10" s="132"/>
    </row>
    <row r="11" spans="1:6" x14ac:dyDescent="0.3">
      <c r="A11" s="132" t="s">
        <v>916</v>
      </c>
      <c r="B11" s="132" t="s">
        <v>917</v>
      </c>
      <c r="C11" s="132" t="s">
        <v>874</v>
      </c>
      <c r="D11" s="132" t="s">
        <v>920</v>
      </c>
      <c r="E11" s="132">
        <v>150</v>
      </c>
      <c r="F11" s="132"/>
    </row>
    <row r="12" spans="1:6" x14ac:dyDescent="0.3">
      <c r="A12" s="132" t="s">
        <v>916</v>
      </c>
      <c r="B12" s="132" t="s">
        <v>919</v>
      </c>
      <c r="C12" s="132" t="s">
        <v>874</v>
      </c>
      <c r="D12" s="132" t="s">
        <v>920</v>
      </c>
      <c r="E12" s="132">
        <v>150</v>
      </c>
      <c r="F12" s="132"/>
    </row>
    <row r="13" spans="1:6" x14ac:dyDescent="0.3">
      <c r="A13" s="132" t="s">
        <v>1030</v>
      </c>
      <c r="B13" s="132" t="s">
        <v>1032</v>
      </c>
      <c r="C13" s="132" t="s">
        <v>874</v>
      </c>
      <c r="D13" s="132" t="s">
        <v>1033</v>
      </c>
      <c r="E13" s="132">
        <v>300</v>
      </c>
      <c r="F13" s="132"/>
    </row>
    <row r="14" spans="1:6" x14ac:dyDescent="0.3">
      <c r="A14" s="132" t="s">
        <v>1042</v>
      </c>
      <c r="B14" s="132" t="s">
        <v>1044</v>
      </c>
      <c r="C14" s="132" t="s">
        <v>874</v>
      </c>
      <c r="D14" s="132" t="s">
        <v>877</v>
      </c>
      <c r="E14" s="132">
        <v>400</v>
      </c>
      <c r="F14" s="132"/>
    </row>
    <row r="15" spans="1:6" x14ac:dyDescent="0.3">
      <c r="A15" s="132" t="s">
        <v>1079</v>
      </c>
      <c r="B15" s="132" t="s">
        <v>1083</v>
      </c>
      <c r="C15" s="132" t="s">
        <v>874</v>
      </c>
      <c r="D15" s="132" t="s">
        <v>877</v>
      </c>
      <c r="E15" s="132">
        <v>400</v>
      </c>
      <c r="F15" s="132"/>
    </row>
    <row r="16" spans="1:6" x14ac:dyDescent="0.3">
      <c r="A16" s="132" t="s">
        <v>1079</v>
      </c>
      <c r="B16" s="132" t="s">
        <v>1088</v>
      </c>
      <c r="C16" s="132" t="s">
        <v>874</v>
      </c>
      <c r="D16" s="132" t="s">
        <v>877</v>
      </c>
      <c r="E16" s="132">
        <v>400</v>
      </c>
      <c r="F16" s="132"/>
    </row>
    <row r="17" spans="1:6" x14ac:dyDescent="0.3">
      <c r="A17" s="132" t="s">
        <v>1089</v>
      </c>
      <c r="B17" s="132" t="s">
        <v>1090</v>
      </c>
      <c r="C17" s="132" t="s">
        <v>874</v>
      </c>
      <c r="D17" s="132" t="s">
        <v>877</v>
      </c>
      <c r="E17" s="132">
        <v>400</v>
      </c>
      <c r="F17" s="132"/>
    </row>
    <row r="18" spans="1:6" x14ac:dyDescent="0.3">
      <c r="A18" s="132" t="s">
        <v>1089</v>
      </c>
      <c r="B18" s="132" t="s">
        <v>905</v>
      </c>
      <c r="C18" s="132" t="s">
        <v>874</v>
      </c>
      <c r="D18" s="132" t="s">
        <v>877</v>
      </c>
      <c r="E18" s="132">
        <v>400</v>
      </c>
      <c r="F18" s="132"/>
    </row>
    <row r="19" spans="1:6" x14ac:dyDescent="0.3">
      <c r="A19" s="132" t="s">
        <v>1100</v>
      </c>
      <c r="B19" s="132" t="s">
        <v>1105</v>
      </c>
      <c r="C19" s="132" t="s">
        <v>874</v>
      </c>
      <c r="D19" s="132" t="s">
        <v>875</v>
      </c>
      <c r="E19" s="132">
        <v>200</v>
      </c>
      <c r="F19" s="132"/>
    </row>
    <row r="20" spans="1:6" x14ac:dyDescent="0.3">
      <c r="A20" s="132" t="s">
        <v>1106</v>
      </c>
      <c r="B20" s="132" t="s">
        <v>1116</v>
      </c>
      <c r="C20" s="132" t="s">
        <v>874</v>
      </c>
      <c r="D20" s="132" t="s">
        <v>877</v>
      </c>
      <c r="E20" s="132">
        <v>400</v>
      </c>
      <c r="F20" s="132"/>
    </row>
    <row r="21" spans="1:6" x14ac:dyDescent="0.3">
      <c r="A21" s="132" t="s">
        <v>1119</v>
      </c>
      <c r="B21" s="132" t="s">
        <v>1123</v>
      </c>
      <c r="C21" s="132" t="s">
        <v>874</v>
      </c>
      <c r="D21" s="132" t="s">
        <v>877</v>
      </c>
      <c r="E21" s="132">
        <v>400</v>
      </c>
      <c r="F21" s="132"/>
    </row>
    <row r="22" spans="1:6" x14ac:dyDescent="0.3">
      <c r="A22" s="132" t="s">
        <v>1119</v>
      </c>
      <c r="B22" s="132" t="s">
        <v>1116</v>
      </c>
      <c r="C22" s="132" t="s">
        <v>874</v>
      </c>
      <c r="D22" s="132" t="s">
        <v>877</v>
      </c>
      <c r="E22" s="132">
        <v>400</v>
      </c>
      <c r="F22" s="132"/>
    </row>
    <row r="23" spans="1:6" x14ac:dyDescent="0.3">
      <c r="A23" s="132" t="s">
        <v>1128</v>
      </c>
      <c r="B23" s="132" t="s">
        <v>1093</v>
      </c>
      <c r="C23" s="132" t="s">
        <v>874</v>
      </c>
      <c r="D23" s="132" t="s">
        <v>920</v>
      </c>
      <c r="E23" s="132">
        <v>150</v>
      </c>
      <c r="F23" s="132"/>
    </row>
    <row r="24" spans="1:6" x14ac:dyDescent="0.3">
      <c r="A24" s="132" t="s">
        <v>1128</v>
      </c>
      <c r="B24" s="132" t="s">
        <v>1039</v>
      </c>
      <c r="C24" s="132" t="s">
        <v>874</v>
      </c>
      <c r="D24" s="132" t="s">
        <v>920</v>
      </c>
      <c r="E24" s="132">
        <v>150</v>
      </c>
      <c r="F24" s="132"/>
    </row>
    <row r="25" spans="1:6" x14ac:dyDescent="0.3">
      <c r="A25" s="132" t="s">
        <v>1132</v>
      </c>
      <c r="B25" s="132" t="s">
        <v>1135</v>
      </c>
      <c r="C25" s="132" t="s">
        <v>874</v>
      </c>
      <c r="D25" s="132" t="s">
        <v>877</v>
      </c>
      <c r="E25" s="132">
        <v>400</v>
      </c>
      <c r="F25" s="132"/>
    </row>
    <row r="26" spans="1:6" x14ac:dyDescent="0.3">
      <c r="A26" s="132" t="s">
        <v>1132</v>
      </c>
      <c r="B26" s="132" t="s">
        <v>1063</v>
      </c>
      <c r="C26" s="132" t="s">
        <v>874</v>
      </c>
      <c r="D26" s="132" t="s">
        <v>877</v>
      </c>
      <c r="E26" s="132">
        <v>400</v>
      </c>
      <c r="F26" s="132"/>
    </row>
    <row r="27" spans="1:6" x14ac:dyDescent="0.3">
      <c r="A27" s="132" t="s">
        <v>1141</v>
      </c>
      <c r="B27" s="132" t="s">
        <v>1092</v>
      </c>
      <c r="C27" s="132" t="s">
        <v>874</v>
      </c>
      <c r="D27" s="132" t="s">
        <v>1142</v>
      </c>
      <c r="E27" s="132">
        <v>140</v>
      </c>
      <c r="F27" s="132"/>
    </row>
    <row r="28" spans="1:6" x14ac:dyDescent="0.3">
      <c r="A28" s="132" t="s">
        <v>1141</v>
      </c>
      <c r="B28" s="132" t="s">
        <v>1143</v>
      </c>
      <c r="C28" s="132" t="s">
        <v>874</v>
      </c>
      <c r="D28" s="132" t="s">
        <v>1033</v>
      </c>
      <c r="E28" s="132">
        <v>300</v>
      </c>
      <c r="F28" s="132"/>
    </row>
    <row r="29" spans="1:6" x14ac:dyDescent="0.3">
      <c r="A29" s="132" t="s">
        <v>1149</v>
      </c>
      <c r="B29" s="132" t="s">
        <v>1107</v>
      </c>
      <c r="C29" s="132" t="s">
        <v>874</v>
      </c>
      <c r="D29" s="132" t="s">
        <v>1033</v>
      </c>
      <c r="E29" s="132">
        <v>300</v>
      </c>
      <c r="F29" s="132"/>
    </row>
    <row r="30" spans="1:6" x14ac:dyDescent="0.3">
      <c r="A30" s="132" t="s">
        <v>1149</v>
      </c>
      <c r="B30" s="132" t="s">
        <v>1116</v>
      </c>
      <c r="C30" s="132" t="s">
        <v>874</v>
      </c>
      <c r="D30" s="132" t="s">
        <v>1026</v>
      </c>
      <c r="E30" s="132" t="s">
        <v>1152</v>
      </c>
      <c r="F30" s="132"/>
    </row>
    <row r="31" spans="1:6" x14ac:dyDescent="0.3">
      <c r="A31" s="132" t="s">
        <v>1154</v>
      </c>
      <c r="B31" s="132" t="s">
        <v>1155</v>
      </c>
      <c r="C31" s="132" t="s">
        <v>874</v>
      </c>
      <c r="D31" s="132" t="s">
        <v>877</v>
      </c>
      <c r="E31" s="132">
        <v>400</v>
      </c>
      <c r="F31" s="132"/>
    </row>
    <row r="32" spans="1:6" x14ac:dyDescent="0.3">
      <c r="A32" s="132" t="s">
        <v>1154</v>
      </c>
      <c r="B32" s="132" t="s">
        <v>1157</v>
      </c>
      <c r="C32" s="132" t="s">
        <v>874</v>
      </c>
      <c r="D32" s="132" t="s">
        <v>877</v>
      </c>
      <c r="E32" s="132">
        <v>400</v>
      </c>
      <c r="F32" s="132"/>
    </row>
    <row r="33" spans="1:6" x14ac:dyDescent="0.3">
      <c r="A33" s="132" t="s">
        <v>1160</v>
      </c>
      <c r="B33" s="132" t="s">
        <v>1165</v>
      </c>
      <c r="C33" s="132" t="s">
        <v>874</v>
      </c>
      <c r="D33" s="132" t="s">
        <v>1033</v>
      </c>
      <c r="E33" s="132">
        <v>300</v>
      </c>
      <c r="F33" s="132"/>
    </row>
    <row r="34" spans="1:6" x14ac:dyDescent="0.3">
      <c r="A34" s="132" t="s">
        <v>1167</v>
      </c>
      <c r="B34" s="132" t="s">
        <v>1140</v>
      </c>
      <c r="C34" s="132" t="s">
        <v>874</v>
      </c>
      <c r="D34" s="132" t="s">
        <v>1033</v>
      </c>
      <c r="E34" s="132">
        <v>300</v>
      </c>
      <c r="F34" s="132"/>
    </row>
    <row r="35" spans="1:6" x14ac:dyDescent="0.3">
      <c r="A35" s="132" t="s">
        <v>1176</v>
      </c>
      <c r="B35" s="132" t="s">
        <v>1179</v>
      </c>
      <c r="C35" s="132" t="s">
        <v>874</v>
      </c>
      <c r="D35" s="132" t="s">
        <v>1033</v>
      </c>
      <c r="E35" s="132">
        <v>300</v>
      </c>
      <c r="F35" s="132"/>
    </row>
    <row r="36" spans="1:6" x14ac:dyDescent="0.3">
      <c r="A36" s="132" t="s">
        <v>1182</v>
      </c>
      <c r="B36" s="132" t="s">
        <v>1123</v>
      </c>
      <c r="C36" s="132" t="s">
        <v>874</v>
      </c>
      <c r="D36" s="132" t="s">
        <v>877</v>
      </c>
      <c r="E36" s="132">
        <v>400</v>
      </c>
      <c r="F36" s="132"/>
    </row>
    <row r="37" spans="1:6" x14ac:dyDescent="0.3">
      <c r="A37" s="132" t="s">
        <v>1182</v>
      </c>
      <c r="B37" s="132" t="s">
        <v>1125</v>
      </c>
      <c r="C37" s="132" t="s">
        <v>874</v>
      </c>
      <c r="D37" s="132" t="s">
        <v>877</v>
      </c>
      <c r="E37" s="132">
        <v>400</v>
      </c>
      <c r="F37" s="132"/>
    </row>
    <row r="38" spans="1:6" x14ac:dyDescent="0.3">
      <c r="A38" s="132" t="s">
        <v>1188</v>
      </c>
      <c r="B38" s="132" t="s">
        <v>1189</v>
      </c>
      <c r="C38" s="132" t="s">
        <v>874</v>
      </c>
      <c r="D38" s="132" t="s">
        <v>875</v>
      </c>
      <c r="E38" s="132">
        <v>200</v>
      </c>
      <c r="F38" s="132"/>
    </row>
    <row r="39" spans="1:6" x14ac:dyDescent="0.3">
      <c r="A39" s="132" t="s">
        <v>1194</v>
      </c>
      <c r="B39" s="132" t="s">
        <v>1198</v>
      </c>
      <c r="C39" s="132" t="s">
        <v>874</v>
      </c>
      <c r="D39" s="132" t="s">
        <v>877</v>
      </c>
      <c r="E39" s="132">
        <v>400</v>
      </c>
      <c r="F39" s="132"/>
    </row>
    <row r="40" spans="1:6" x14ac:dyDescent="0.3">
      <c r="A40" s="132" t="s">
        <v>1194</v>
      </c>
      <c r="B40" s="132" t="s">
        <v>1179</v>
      </c>
      <c r="C40" s="132" t="s">
        <v>874</v>
      </c>
      <c r="D40" s="132" t="s">
        <v>877</v>
      </c>
      <c r="E40" s="132">
        <v>400</v>
      </c>
      <c r="F40" s="132"/>
    </row>
    <row r="41" spans="1:6" x14ac:dyDescent="0.3">
      <c r="A41" s="132" t="s">
        <v>1205</v>
      </c>
      <c r="B41" s="132" t="s">
        <v>917</v>
      </c>
      <c r="C41" s="132" t="s">
        <v>874</v>
      </c>
      <c r="D41" s="132" t="s">
        <v>877</v>
      </c>
      <c r="E41" s="132">
        <v>400</v>
      </c>
      <c r="F41" s="132"/>
    </row>
    <row r="42" spans="1:6" x14ac:dyDescent="0.3">
      <c r="A42" s="132" t="s">
        <v>1205</v>
      </c>
      <c r="B42" s="132" t="s">
        <v>1206</v>
      </c>
      <c r="C42" s="132" t="s">
        <v>874</v>
      </c>
      <c r="D42" s="132" t="s">
        <v>877</v>
      </c>
      <c r="E42" s="132">
        <v>400</v>
      </c>
      <c r="F42" s="132"/>
    </row>
    <row r="43" spans="1:6" x14ac:dyDescent="0.3">
      <c r="A43" s="132" t="s">
        <v>1210</v>
      </c>
      <c r="B43" s="132" t="s">
        <v>1101</v>
      </c>
      <c r="C43" s="132" t="s">
        <v>874</v>
      </c>
      <c r="D43" s="132" t="s">
        <v>877</v>
      </c>
      <c r="E43" s="132">
        <v>400</v>
      </c>
      <c r="F43" s="132"/>
    </row>
    <row r="44" spans="1:6" x14ac:dyDescent="0.3">
      <c r="A44" s="132" t="s">
        <v>1210</v>
      </c>
      <c r="B44" s="132" t="s">
        <v>1198</v>
      </c>
      <c r="C44" s="132" t="s">
        <v>874</v>
      </c>
      <c r="D44" s="132" t="s">
        <v>877</v>
      </c>
      <c r="E44" s="132">
        <v>400</v>
      </c>
      <c r="F44" s="132"/>
    </row>
    <row r="45" spans="1:6" x14ac:dyDescent="0.3">
      <c r="A45" s="132" t="s">
        <v>1219</v>
      </c>
      <c r="B45" s="132" t="s">
        <v>1179</v>
      </c>
      <c r="C45" s="132" t="s">
        <v>874</v>
      </c>
      <c r="D45" s="132" t="s">
        <v>875</v>
      </c>
      <c r="E45" s="132">
        <v>200</v>
      </c>
      <c r="F45" s="132"/>
    </row>
    <row r="46" spans="1:6" x14ac:dyDescent="0.3">
      <c r="A46" s="132" t="s">
        <v>1223</v>
      </c>
      <c r="B46" s="132" t="s">
        <v>1147</v>
      </c>
      <c r="C46" s="132" t="s">
        <v>874</v>
      </c>
      <c r="D46" s="132" t="s">
        <v>920</v>
      </c>
      <c r="E46" s="132">
        <v>150</v>
      </c>
      <c r="F46" s="132"/>
    </row>
    <row r="47" spans="1:6" x14ac:dyDescent="0.3">
      <c r="A47" s="132"/>
      <c r="B47" s="132"/>
      <c r="C47" s="132"/>
      <c r="D47" s="132"/>
      <c r="E47" s="132"/>
      <c r="F47" s="132"/>
    </row>
    <row r="48" spans="1:6" x14ac:dyDescent="0.3">
      <c r="A48" s="132"/>
      <c r="B48" s="132"/>
      <c r="C48" s="132"/>
      <c r="D48" s="132"/>
      <c r="E48" s="132"/>
      <c r="F48" s="132"/>
    </row>
    <row r="49" spans="1:6" x14ac:dyDescent="0.3">
      <c r="A49" s="132"/>
      <c r="B49" s="132"/>
      <c r="C49" s="132"/>
      <c r="D49" s="132"/>
      <c r="E49" s="132"/>
      <c r="F49" s="132"/>
    </row>
    <row r="50" spans="1:6" x14ac:dyDescent="0.3">
      <c r="A50" s="132"/>
      <c r="B50" s="132"/>
      <c r="C50" s="132"/>
      <c r="D50" s="132"/>
      <c r="E50" s="132"/>
      <c r="F50" s="132"/>
    </row>
    <row r="51" spans="1:6" x14ac:dyDescent="0.3">
      <c r="A51" s="132"/>
      <c r="B51" s="132"/>
      <c r="C51" s="132"/>
      <c r="D51" s="132"/>
      <c r="E51" s="132"/>
      <c r="F51" s="132"/>
    </row>
    <row r="52" spans="1:6" x14ac:dyDescent="0.3">
      <c r="A52" s="132"/>
      <c r="B52" s="132"/>
      <c r="C52" s="132"/>
      <c r="D52" s="132"/>
      <c r="E52" s="132"/>
      <c r="F52" s="132"/>
    </row>
    <row r="53" spans="1:6" x14ac:dyDescent="0.3">
      <c r="A53" s="132"/>
      <c r="B53" s="132"/>
      <c r="C53" s="132"/>
      <c r="D53" s="132"/>
      <c r="E53" s="132"/>
      <c r="F53" s="132"/>
    </row>
    <row r="54" spans="1:6" x14ac:dyDescent="0.3">
      <c r="A54" s="132"/>
      <c r="B54" s="132"/>
      <c r="C54" s="132"/>
      <c r="D54" s="132"/>
      <c r="E54" s="132"/>
      <c r="F54" s="132"/>
    </row>
    <row r="55" spans="1:6" x14ac:dyDescent="0.3">
      <c r="A55" s="132"/>
      <c r="B55" s="132"/>
      <c r="C55" s="132"/>
      <c r="D55" s="132"/>
      <c r="E55" s="132"/>
      <c r="F55" s="132"/>
    </row>
    <row r="56" spans="1:6" x14ac:dyDescent="0.3">
      <c r="A56" s="132"/>
      <c r="B56" s="132"/>
      <c r="C56" s="132"/>
      <c r="D56" s="132"/>
      <c r="E56" s="132"/>
      <c r="F56" s="132"/>
    </row>
    <row r="57" spans="1:6" x14ac:dyDescent="0.3">
      <c r="A57" s="132"/>
      <c r="B57" s="132"/>
      <c r="C57" s="132"/>
      <c r="D57" s="132"/>
      <c r="E57" s="132"/>
      <c r="F57" s="132"/>
    </row>
    <row r="58" spans="1:6" x14ac:dyDescent="0.3">
      <c r="A58" s="132"/>
      <c r="B58" s="132"/>
      <c r="C58" s="132"/>
      <c r="D58" s="132"/>
      <c r="E58" s="132"/>
      <c r="F58" s="132"/>
    </row>
    <row r="59" spans="1:6" x14ac:dyDescent="0.3">
      <c r="A59" s="132"/>
      <c r="B59" s="132"/>
      <c r="C59" s="132"/>
      <c r="D59" s="132"/>
      <c r="E59" s="132"/>
      <c r="F59" s="132"/>
    </row>
    <row r="60" spans="1:6" x14ac:dyDescent="0.3">
      <c r="A60" s="132"/>
      <c r="B60" s="132"/>
      <c r="C60" s="132"/>
      <c r="D60" s="132"/>
      <c r="E60" s="132"/>
      <c r="F60" s="132"/>
    </row>
    <row r="61" spans="1:6" x14ac:dyDescent="0.3">
      <c r="A61" s="132"/>
      <c r="B61" s="132"/>
      <c r="C61" s="132"/>
      <c r="D61" s="132"/>
      <c r="E61" s="132"/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FA97-6234-4B7F-AED1-4B658FD162AD}">
  <sheetPr codeName="Sheet10"/>
  <dimension ref="A5:F1000"/>
  <sheetViews>
    <sheetView workbookViewId="0">
      <selection activeCell="A5" sqref="A5:E5"/>
    </sheetView>
  </sheetViews>
  <sheetFormatPr defaultRowHeight="14.4" x14ac:dyDescent="0.3"/>
  <cols>
    <col min="1" max="1" width="9.33203125" customWidth="1"/>
    <col min="2" max="2" width="6" bestFit="1" customWidth="1"/>
    <col min="3" max="3" width="4" bestFit="1" customWidth="1"/>
    <col min="4" max="4" width="13.109375" bestFit="1" customWidth="1"/>
    <col min="5" max="5" width="14.33203125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885</v>
      </c>
      <c r="D5" s="132" t="s">
        <v>1393</v>
      </c>
      <c r="E5" s="132">
        <v>698.54709999999989</v>
      </c>
      <c r="F5" s="132"/>
    </row>
    <row r="6" spans="1:6" x14ac:dyDescent="0.3">
      <c r="A6" s="132" t="s">
        <v>872</v>
      </c>
      <c r="B6" s="132" t="s">
        <v>893</v>
      </c>
      <c r="C6" s="132" t="s">
        <v>885</v>
      </c>
      <c r="D6" s="132" t="s">
        <v>1399</v>
      </c>
      <c r="E6" s="132">
        <v>573.5213</v>
      </c>
      <c r="F6" s="132"/>
    </row>
    <row r="7" spans="1:6" x14ac:dyDescent="0.3">
      <c r="A7" s="132" t="s">
        <v>872</v>
      </c>
      <c r="B7" s="132" t="s">
        <v>895</v>
      </c>
      <c r="C7" s="132" t="s">
        <v>885</v>
      </c>
      <c r="D7" s="132" t="s">
        <v>1026</v>
      </c>
      <c r="E7" s="132">
        <v>2000</v>
      </c>
      <c r="F7" s="132"/>
    </row>
    <row r="8" spans="1:6" x14ac:dyDescent="0.3">
      <c r="A8" s="132" t="s">
        <v>872</v>
      </c>
      <c r="B8" s="132" t="s">
        <v>901</v>
      </c>
      <c r="C8" s="132" t="s">
        <v>885</v>
      </c>
      <c r="D8" s="132" t="s">
        <v>1403</v>
      </c>
      <c r="E8" s="132">
        <v>559.19825000000003</v>
      </c>
      <c r="F8" s="132"/>
    </row>
    <row r="9" spans="1:6" x14ac:dyDescent="0.3">
      <c r="A9" s="132" t="s">
        <v>872</v>
      </c>
      <c r="B9" s="132" t="s">
        <v>902</v>
      </c>
      <c r="C9" s="132" t="s">
        <v>885</v>
      </c>
      <c r="D9" s="132" t="s">
        <v>1406</v>
      </c>
      <c r="E9" s="132">
        <v>635.31275000000005</v>
      </c>
      <c r="F9" s="132"/>
    </row>
    <row r="10" spans="1:6" x14ac:dyDescent="0.3">
      <c r="A10" s="132" t="s">
        <v>903</v>
      </c>
      <c r="B10" s="132" t="s">
        <v>904</v>
      </c>
      <c r="C10" s="132" t="s">
        <v>885</v>
      </c>
      <c r="D10" s="132" t="s">
        <v>1409</v>
      </c>
      <c r="E10" s="132">
        <v>355.82920000000001</v>
      </c>
      <c r="F10" s="132"/>
    </row>
    <row r="11" spans="1:6" x14ac:dyDescent="0.3">
      <c r="A11" s="132" t="s">
        <v>903</v>
      </c>
      <c r="B11" s="132" t="s">
        <v>906</v>
      </c>
      <c r="C11" s="132" t="s">
        <v>885</v>
      </c>
      <c r="D11" s="132" t="s">
        <v>1026</v>
      </c>
      <c r="E11" s="132">
        <v>2000</v>
      </c>
      <c r="F11" s="132"/>
    </row>
    <row r="12" spans="1:6" x14ac:dyDescent="0.3">
      <c r="A12" s="132" t="s">
        <v>903</v>
      </c>
      <c r="B12" s="132" t="s">
        <v>910</v>
      </c>
      <c r="C12" s="132" t="s">
        <v>885</v>
      </c>
      <c r="D12" s="132" t="s">
        <v>1414</v>
      </c>
      <c r="E12" s="132">
        <v>356.99805000000003</v>
      </c>
      <c r="F12" s="132"/>
    </row>
    <row r="13" spans="1:6" x14ac:dyDescent="0.3">
      <c r="A13" s="132" t="s">
        <v>903</v>
      </c>
      <c r="B13" s="132" t="s">
        <v>911</v>
      </c>
      <c r="C13" s="132" t="s">
        <v>885</v>
      </c>
      <c r="D13" s="132" t="s">
        <v>1416</v>
      </c>
      <c r="E13" s="132">
        <v>357.04995000000002</v>
      </c>
      <c r="F13" s="132"/>
    </row>
    <row r="14" spans="1:6" x14ac:dyDescent="0.3">
      <c r="A14" s="132" t="s">
        <v>903</v>
      </c>
      <c r="B14" s="132" t="s">
        <v>913</v>
      </c>
      <c r="C14" s="132" t="s">
        <v>885</v>
      </c>
      <c r="D14" s="132" t="s">
        <v>1420</v>
      </c>
      <c r="E14" s="132">
        <v>358.05919999999998</v>
      </c>
      <c r="F14" s="132"/>
    </row>
    <row r="15" spans="1:6" x14ac:dyDescent="0.3">
      <c r="A15" s="132" t="s">
        <v>903</v>
      </c>
      <c r="B15" s="132" t="s">
        <v>915</v>
      </c>
      <c r="C15" s="132" t="s">
        <v>885</v>
      </c>
      <c r="D15" s="132" t="s">
        <v>1422</v>
      </c>
      <c r="E15" s="132">
        <v>358.73444999999998</v>
      </c>
      <c r="F15" s="132"/>
    </row>
    <row r="16" spans="1:6" x14ac:dyDescent="0.3">
      <c r="A16" s="132" t="s">
        <v>916</v>
      </c>
      <c r="B16" s="132" t="s">
        <v>905</v>
      </c>
      <c r="C16" s="132" t="s">
        <v>885</v>
      </c>
      <c r="D16" s="132" t="s">
        <v>1026</v>
      </c>
      <c r="E16" s="132">
        <v>2000</v>
      </c>
      <c r="F16" s="132"/>
    </row>
    <row r="17" spans="1:6" x14ac:dyDescent="0.3">
      <c r="A17" s="132" t="s">
        <v>1030</v>
      </c>
      <c r="B17" s="132" t="s">
        <v>1038</v>
      </c>
      <c r="C17" s="132" t="s">
        <v>885</v>
      </c>
      <c r="D17" s="132" t="s">
        <v>1026</v>
      </c>
      <c r="E17" s="132">
        <v>2000</v>
      </c>
      <c r="F17" s="132"/>
    </row>
    <row r="18" spans="1:6" x14ac:dyDescent="0.3">
      <c r="A18" s="132" t="s">
        <v>1042</v>
      </c>
      <c r="B18" s="132" t="s">
        <v>1043</v>
      </c>
      <c r="C18" s="132" t="s">
        <v>885</v>
      </c>
      <c r="D18" s="132" t="s">
        <v>1436</v>
      </c>
      <c r="E18" s="132">
        <v>328.78409999999997</v>
      </c>
      <c r="F18" s="132"/>
    </row>
    <row r="19" spans="1:6" x14ac:dyDescent="0.3">
      <c r="A19" s="132" t="s">
        <v>1042</v>
      </c>
      <c r="B19" s="132" t="s">
        <v>1044</v>
      </c>
      <c r="C19" s="132" t="s">
        <v>885</v>
      </c>
      <c r="D19" s="132" t="s">
        <v>1439</v>
      </c>
      <c r="E19" s="132">
        <v>337.70315000000005</v>
      </c>
      <c r="F19" s="132"/>
    </row>
    <row r="20" spans="1:6" x14ac:dyDescent="0.3">
      <c r="A20" s="132" t="s">
        <v>1042</v>
      </c>
      <c r="B20" s="132" t="s">
        <v>1046</v>
      </c>
      <c r="C20" s="132" t="s">
        <v>885</v>
      </c>
      <c r="D20" s="132" t="s">
        <v>1441</v>
      </c>
      <c r="E20" s="132">
        <v>327.29804999999999</v>
      </c>
      <c r="F20" s="132"/>
    </row>
    <row r="21" spans="1:6" x14ac:dyDescent="0.3">
      <c r="A21" s="132" t="s">
        <v>1042</v>
      </c>
      <c r="B21" s="132" t="s">
        <v>1048</v>
      </c>
      <c r="C21" s="132" t="s">
        <v>885</v>
      </c>
      <c r="D21" s="132" t="s">
        <v>1026</v>
      </c>
      <c r="E21" s="132">
        <v>2000</v>
      </c>
      <c r="F21" s="132"/>
    </row>
    <row r="22" spans="1:6" x14ac:dyDescent="0.3">
      <c r="A22" s="132" t="s">
        <v>1042</v>
      </c>
      <c r="B22" s="132" t="s">
        <v>1049</v>
      </c>
      <c r="C22" s="132" t="s">
        <v>885</v>
      </c>
      <c r="D22" s="132" t="s">
        <v>1444</v>
      </c>
      <c r="E22" s="132">
        <v>344.48059999999998</v>
      </c>
      <c r="F22" s="132"/>
    </row>
    <row r="23" spans="1:6" x14ac:dyDescent="0.3">
      <c r="A23" s="132" t="s">
        <v>1042</v>
      </c>
      <c r="B23" s="132" t="s">
        <v>1050</v>
      </c>
      <c r="C23" s="132" t="s">
        <v>885</v>
      </c>
      <c r="D23" s="132" t="s">
        <v>1447</v>
      </c>
      <c r="E23" s="132">
        <v>330.41645</v>
      </c>
      <c r="F23" s="132"/>
    </row>
    <row r="24" spans="1:6" x14ac:dyDescent="0.3">
      <c r="A24" s="132" t="s">
        <v>1055</v>
      </c>
      <c r="B24" s="132" t="s">
        <v>1059</v>
      </c>
      <c r="C24" s="132" t="s">
        <v>885</v>
      </c>
      <c r="D24" s="132" t="s">
        <v>1026</v>
      </c>
      <c r="E24" s="132">
        <v>2000</v>
      </c>
      <c r="F24" s="132"/>
    </row>
    <row r="25" spans="1:6" x14ac:dyDescent="0.3">
      <c r="A25" s="132" t="s">
        <v>1055</v>
      </c>
      <c r="B25" s="132" t="s">
        <v>1060</v>
      </c>
      <c r="C25" s="132" t="s">
        <v>885</v>
      </c>
      <c r="D25" s="132" t="s">
        <v>1451</v>
      </c>
      <c r="E25" s="132">
        <v>514.46709999999996</v>
      </c>
      <c r="F25" s="132"/>
    </row>
    <row r="26" spans="1:6" x14ac:dyDescent="0.3">
      <c r="A26" s="132" t="s">
        <v>1055</v>
      </c>
      <c r="B26" s="132" t="s">
        <v>1063</v>
      </c>
      <c r="C26" s="132" t="s">
        <v>885</v>
      </c>
      <c r="D26" s="132" t="s">
        <v>1454</v>
      </c>
      <c r="E26" s="132">
        <v>513.86285000000009</v>
      </c>
      <c r="F26" s="132"/>
    </row>
    <row r="27" spans="1:6" x14ac:dyDescent="0.3">
      <c r="A27" s="132" t="s">
        <v>1066</v>
      </c>
      <c r="B27" s="132" t="s">
        <v>1072</v>
      </c>
      <c r="C27" s="132" t="s">
        <v>885</v>
      </c>
      <c r="D27" s="132" t="s">
        <v>1026</v>
      </c>
      <c r="E27" s="132">
        <v>2000</v>
      </c>
      <c r="F27" s="132"/>
    </row>
    <row r="28" spans="1:6" x14ac:dyDescent="0.3">
      <c r="A28" s="132" t="s">
        <v>1066</v>
      </c>
      <c r="B28" s="132" t="s">
        <v>1038</v>
      </c>
      <c r="C28" s="132" t="s">
        <v>885</v>
      </c>
      <c r="D28" s="132" t="s">
        <v>1459</v>
      </c>
      <c r="E28" s="132">
        <v>520.97894999999994</v>
      </c>
      <c r="F28" s="132"/>
    </row>
    <row r="29" spans="1:6" x14ac:dyDescent="0.3">
      <c r="A29" s="132" t="s">
        <v>1066</v>
      </c>
      <c r="B29" s="132" t="s">
        <v>910</v>
      </c>
      <c r="C29" s="132" t="s">
        <v>885</v>
      </c>
      <c r="D29" s="132" t="s">
        <v>1463</v>
      </c>
      <c r="E29" s="132">
        <v>497.51535000000007</v>
      </c>
      <c r="F29" s="132"/>
    </row>
    <row r="30" spans="1:6" x14ac:dyDescent="0.3">
      <c r="A30" s="132" t="s">
        <v>1079</v>
      </c>
      <c r="B30" s="132" t="s">
        <v>1080</v>
      </c>
      <c r="C30" s="132" t="s">
        <v>885</v>
      </c>
      <c r="D30" s="132" t="s">
        <v>1026</v>
      </c>
      <c r="E30" s="132">
        <v>2000</v>
      </c>
      <c r="F30" s="132"/>
    </row>
    <row r="31" spans="1:6" x14ac:dyDescent="0.3">
      <c r="A31" s="132" t="s">
        <v>1079</v>
      </c>
      <c r="B31" s="132" t="s">
        <v>1087</v>
      </c>
      <c r="C31" s="132" t="s">
        <v>885</v>
      </c>
      <c r="D31" s="132" t="s">
        <v>1200</v>
      </c>
      <c r="E31" s="132">
        <v>425</v>
      </c>
      <c r="F31" s="132"/>
    </row>
    <row r="32" spans="1:6" x14ac:dyDescent="0.3">
      <c r="A32" s="132" t="s">
        <v>1089</v>
      </c>
      <c r="B32" s="132" t="s">
        <v>1027</v>
      </c>
      <c r="C32" s="132" t="s">
        <v>885</v>
      </c>
      <c r="D32" s="132" t="s">
        <v>1473</v>
      </c>
      <c r="E32" s="132">
        <v>288.36630000000002</v>
      </c>
      <c r="F32" s="132"/>
    </row>
    <row r="33" spans="1:6" x14ac:dyDescent="0.3">
      <c r="A33" s="132" t="s">
        <v>1089</v>
      </c>
      <c r="B33" s="132" t="s">
        <v>1093</v>
      </c>
      <c r="C33" s="132" t="s">
        <v>885</v>
      </c>
      <c r="D33" s="132" t="s">
        <v>1477</v>
      </c>
      <c r="E33" s="132">
        <v>367.54425000000003</v>
      </c>
      <c r="F33" s="132"/>
    </row>
    <row r="34" spans="1:6" x14ac:dyDescent="0.3">
      <c r="A34" s="132" t="s">
        <v>1089</v>
      </c>
      <c r="B34" s="132" t="s">
        <v>923</v>
      </c>
      <c r="C34" s="132" t="s">
        <v>885</v>
      </c>
      <c r="D34" s="132" t="s">
        <v>1026</v>
      </c>
      <c r="E34" s="132">
        <v>2000</v>
      </c>
      <c r="F34" s="132"/>
    </row>
    <row r="35" spans="1:6" x14ac:dyDescent="0.3">
      <c r="A35" s="132" t="s">
        <v>1089</v>
      </c>
      <c r="B35" s="132" t="s">
        <v>911</v>
      </c>
      <c r="C35" s="132" t="s">
        <v>885</v>
      </c>
      <c r="D35" s="132" t="s">
        <v>1480</v>
      </c>
      <c r="E35" s="132">
        <v>246.66505000000001</v>
      </c>
      <c r="F35" s="132"/>
    </row>
    <row r="36" spans="1:6" x14ac:dyDescent="0.3">
      <c r="A36" s="132" t="s">
        <v>1089</v>
      </c>
      <c r="B36" s="132" t="s">
        <v>905</v>
      </c>
      <c r="C36" s="132" t="s">
        <v>885</v>
      </c>
      <c r="D36" s="132" t="s">
        <v>1482</v>
      </c>
      <c r="E36" s="132">
        <v>269.1277</v>
      </c>
      <c r="F36" s="132"/>
    </row>
    <row r="37" spans="1:6" x14ac:dyDescent="0.3">
      <c r="A37" s="132" t="s">
        <v>1100</v>
      </c>
      <c r="B37" s="132" t="s">
        <v>1101</v>
      </c>
      <c r="C37" s="132" t="s">
        <v>885</v>
      </c>
      <c r="D37" s="132" t="s">
        <v>1485</v>
      </c>
      <c r="E37" s="132">
        <v>405.37580000000003</v>
      </c>
      <c r="F37" s="132"/>
    </row>
    <row r="38" spans="1:6" x14ac:dyDescent="0.3">
      <c r="A38" s="132" t="s">
        <v>1100</v>
      </c>
      <c r="B38" s="132" t="s">
        <v>1059</v>
      </c>
      <c r="C38" s="132" t="s">
        <v>885</v>
      </c>
      <c r="D38" s="132" t="s">
        <v>1487</v>
      </c>
      <c r="E38" s="132">
        <v>289.52535</v>
      </c>
      <c r="F38" s="132"/>
    </row>
    <row r="39" spans="1:6" x14ac:dyDescent="0.3">
      <c r="A39" s="132" t="s">
        <v>1100</v>
      </c>
      <c r="B39" s="132" t="s">
        <v>1105</v>
      </c>
      <c r="C39" s="132" t="s">
        <v>885</v>
      </c>
      <c r="D39" s="132" t="s">
        <v>1490</v>
      </c>
      <c r="E39" s="132">
        <v>329.25955000000005</v>
      </c>
      <c r="F39" s="132"/>
    </row>
    <row r="40" spans="1:6" x14ac:dyDescent="0.3">
      <c r="A40" s="132" t="s">
        <v>1106</v>
      </c>
      <c r="B40" s="132" t="s">
        <v>1113</v>
      </c>
      <c r="C40" s="132" t="s">
        <v>885</v>
      </c>
      <c r="D40" s="132" t="s">
        <v>1026</v>
      </c>
      <c r="E40" s="132">
        <v>2000</v>
      </c>
      <c r="F40" s="132"/>
    </row>
    <row r="41" spans="1:6" x14ac:dyDescent="0.3">
      <c r="A41" s="132" t="s">
        <v>1106</v>
      </c>
      <c r="B41" s="132" t="s">
        <v>1116</v>
      </c>
      <c r="C41" s="132" t="s">
        <v>885</v>
      </c>
      <c r="D41" s="132" t="s">
        <v>1496</v>
      </c>
      <c r="E41" s="132">
        <v>268.49464999999998</v>
      </c>
      <c r="F41" s="132"/>
    </row>
    <row r="42" spans="1:6" x14ac:dyDescent="0.3">
      <c r="A42" s="132" t="s">
        <v>1106</v>
      </c>
      <c r="B42" s="132" t="s">
        <v>921</v>
      </c>
      <c r="C42" s="132" t="s">
        <v>885</v>
      </c>
      <c r="D42" s="132" t="s">
        <v>1498</v>
      </c>
      <c r="E42" s="132">
        <v>309.43515000000002</v>
      </c>
      <c r="F42" s="132"/>
    </row>
    <row r="43" spans="1:6" x14ac:dyDescent="0.3">
      <c r="A43" s="132" t="s">
        <v>1119</v>
      </c>
      <c r="B43" s="132" t="s">
        <v>1063</v>
      </c>
      <c r="C43" s="132" t="s">
        <v>885</v>
      </c>
      <c r="D43" s="132" t="s">
        <v>1500</v>
      </c>
      <c r="E43" s="132">
        <v>456.60470000000004</v>
      </c>
      <c r="F43" s="132"/>
    </row>
    <row r="44" spans="1:6" x14ac:dyDescent="0.3">
      <c r="A44" s="132" t="s">
        <v>1119</v>
      </c>
      <c r="B44" s="132" t="s">
        <v>1125</v>
      </c>
      <c r="C44" s="132" t="s">
        <v>885</v>
      </c>
      <c r="D44" s="132" t="s">
        <v>1026</v>
      </c>
      <c r="E44" s="132">
        <v>2000</v>
      </c>
      <c r="F44" s="132"/>
    </row>
    <row r="45" spans="1:6" x14ac:dyDescent="0.3">
      <c r="A45" s="132" t="s">
        <v>1128</v>
      </c>
      <c r="B45" s="132" t="s">
        <v>905</v>
      </c>
      <c r="C45" s="132" t="s">
        <v>885</v>
      </c>
      <c r="D45" s="132" t="s">
        <v>1026</v>
      </c>
      <c r="E45" s="132">
        <v>2000</v>
      </c>
      <c r="F45" s="132"/>
    </row>
    <row r="46" spans="1:6" x14ac:dyDescent="0.3">
      <c r="A46" s="132" t="s">
        <v>1128</v>
      </c>
      <c r="B46" s="132" t="s">
        <v>1039</v>
      </c>
      <c r="C46" s="132" t="s">
        <v>885</v>
      </c>
      <c r="D46" s="132" t="s">
        <v>1508</v>
      </c>
      <c r="E46" s="132">
        <v>348.16510000000005</v>
      </c>
      <c r="F46" s="132"/>
    </row>
    <row r="47" spans="1:6" x14ac:dyDescent="0.3">
      <c r="A47" s="132" t="s">
        <v>1132</v>
      </c>
      <c r="B47" s="132" t="s">
        <v>1056</v>
      </c>
      <c r="C47" s="132" t="s">
        <v>885</v>
      </c>
      <c r="D47" s="132" t="s">
        <v>1026</v>
      </c>
      <c r="E47" s="132">
        <v>2000</v>
      </c>
      <c r="F47" s="132"/>
    </row>
    <row r="48" spans="1:6" x14ac:dyDescent="0.3">
      <c r="A48" s="132" t="s">
        <v>1132</v>
      </c>
      <c r="B48" s="132" t="s">
        <v>1116</v>
      </c>
      <c r="C48" s="132" t="s">
        <v>885</v>
      </c>
      <c r="D48" s="132" t="s">
        <v>1517</v>
      </c>
      <c r="E48" s="132">
        <v>519.54169999999999</v>
      </c>
      <c r="F48" s="132"/>
    </row>
    <row r="49" spans="1:6" x14ac:dyDescent="0.3">
      <c r="A49" s="132" t="s">
        <v>1141</v>
      </c>
      <c r="B49" s="132" t="s">
        <v>1092</v>
      </c>
      <c r="C49" s="132" t="s">
        <v>885</v>
      </c>
      <c r="D49" s="132" t="s">
        <v>1520</v>
      </c>
      <c r="E49" s="132">
        <v>333.72089999999997</v>
      </c>
      <c r="F49" s="132"/>
    </row>
    <row r="50" spans="1:6" x14ac:dyDescent="0.3">
      <c r="A50" s="132" t="s">
        <v>1141</v>
      </c>
      <c r="B50" s="132" t="s">
        <v>1146</v>
      </c>
      <c r="C50" s="132" t="s">
        <v>885</v>
      </c>
      <c r="D50" s="132" t="s">
        <v>1026</v>
      </c>
      <c r="E50" s="132">
        <v>2000</v>
      </c>
      <c r="F50" s="132"/>
    </row>
    <row r="51" spans="1:6" x14ac:dyDescent="0.3">
      <c r="A51" s="132" t="s">
        <v>1149</v>
      </c>
      <c r="B51" s="132" t="s">
        <v>1061</v>
      </c>
      <c r="C51" s="132" t="s">
        <v>885</v>
      </c>
      <c r="D51" s="132" t="s">
        <v>1526</v>
      </c>
      <c r="E51" s="132">
        <v>374.61010000000005</v>
      </c>
      <c r="F51" s="132"/>
    </row>
    <row r="52" spans="1:6" x14ac:dyDescent="0.3">
      <c r="A52" s="132" t="s">
        <v>1149</v>
      </c>
      <c r="B52" s="132" t="s">
        <v>1116</v>
      </c>
      <c r="C52" s="132" t="s">
        <v>885</v>
      </c>
      <c r="D52" s="132" t="s">
        <v>1529</v>
      </c>
      <c r="E52" s="132">
        <v>381.61425000000003</v>
      </c>
      <c r="F52" s="132"/>
    </row>
    <row r="53" spans="1:6" x14ac:dyDescent="0.3">
      <c r="A53" s="132" t="s">
        <v>1149</v>
      </c>
      <c r="B53" s="132" t="s">
        <v>1153</v>
      </c>
      <c r="C53" s="132" t="s">
        <v>885</v>
      </c>
      <c r="D53" s="132" t="s">
        <v>1532</v>
      </c>
      <c r="E53" s="132">
        <v>392.18485000000004</v>
      </c>
      <c r="F53" s="132"/>
    </row>
    <row r="54" spans="1:6" x14ac:dyDescent="0.3">
      <c r="A54" s="132" t="s">
        <v>1154</v>
      </c>
      <c r="B54" s="132" t="s">
        <v>1094</v>
      </c>
      <c r="C54" s="132" t="s">
        <v>885</v>
      </c>
      <c r="D54" s="132" t="s">
        <v>1534</v>
      </c>
      <c r="E54" s="132">
        <v>390.57759999999996</v>
      </c>
      <c r="F54" s="132"/>
    </row>
    <row r="55" spans="1:6" x14ac:dyDescent="0.3">
      <c r="A55" s="132" t="s">
        <v>1154</v>
      </c>
      <c r="B55" s="132" t="s">
        <v>1157</v>
      </c>
      <c r="C55" s="132" t="s">
        <v>885</v>
      </c>
      <c r="D55" s="132" t="s">
        <v>1540</v>
      </c>
      <c r="E55" s="132">
        <v>401.8492</v>
      </c>
      <c r="F55" s="132"/>
    </row>
    <row r="56" spans="1:6" x14ac:dyDescent="0.3">
      <c r="A56" s="132" t="s">
        <v>1154</v>
      </c>
      <c r="B56" s="132" t="s">
        <v>912</v>
      </c>
      <c r="C56" s="132" t="s">
        <v>885</v>
      </c>
      <c r="D56" s="132" t="s">
        <v>1543</v>
      </c>
      <c r="E56" s="132">
        <v>393.19829999999996</v>
      </c>
      <c r="F56" s="132"/>
    </row>
    <row r="57" spans="1:6" x14ac:dyDescent="0.3">
      <c r="A57" s="132" t="s">
        <v>1154</v>
      </c>
      <c r="B57" s="132" t="s">
        <v>1093</v>
      </c>
      <c r="C57" s="132" t="s">
        <v>885</v>
      </c>
      <c r="D57" s="132" t="s">
        <v>1026</v>
      </c>
      <c r="E57" s="132">
        <v>2000</v>
      </c>
      <c r="F57" s="132"/>
    </row>
    <row r="58" spans="1:6" x14ac:dyDescent="0.3">
      <c r="A58" s="132" t="s">
        <v>1160</v>
      </c>
      <c r="B58" s="132" t="s">
        <v>1165</v>
      </c>
      <c r="C58" s="132" t="s">
        <v>885</v>
      </c>
      <c r="D58" s="132" t="s">
        <v>1547</v>
      </c>
      <c r="E58" s="132">
        <v>381.36525</v>
      </c>
      <c r="F58" s="132"/>
    </row>
    <row r="59" spans="1:6" x14ac:dyDescent="0.3">
      <c r="A59" s="132" t="s">
        <v>1160</v>
      </c>
      <c r="B59" s="132" t="s">
        <v>1150</v>
      </c>
      <c r="C59" s="132" t="s">
        <v>885</v>
      </c>
      <c r="D59" s="132" t="s">
        <v>1549</v>
      </c>
      <c r="E59" s="132">
        <v>267.02605</v>
      </c>
      <c r="F59" s="132"/>
    </row>
    <row r="60" spans="1:6" x14ac:dyDescent="0.3">
      <c r="A60" s="132" t="s">
        <v>1160</v>
      </c>
      <c r="B60" s="132" t="s">
        <v>1061</v>
      </c>
      <c r="C60" s="132" t="s">
        <v>885</v>
      </c>
      <c r="D60" s="132" t="s">
        <v>1552</v>
      </c>
      <c r="E60" s="132">
        <v>282.40050000000002</v>
      </c>
      <c r="F60" s="132"/>
    </row>
    <row r="61" spans="1:6" x14ac:dyDescent="0.3">
      <c r="A61" s="132" t="s">
        <v>1160</v>
      </c>
      <c r="B61" s="132" t="s">
        <v>1060</v>
      </c>
      <c r="C61" s="132" t="s">
        <v>885</v>
      </c>
      <c r="D61" s="132" t="s">
        <v>1026</v>
      </c>
      <c r="E61" s="132">
        <v>2000</v>
      </c>
      <c r="F61" s="132"/>
    </row>
    <row r="62" spans="1:6" x14ac:dyDescent="0.3">
      <c r="A62" s="132" t="s">
        <v>1167</v>
      </c>
      <c r="B62" s="132" t="s">
        <v>1140</v>
      </c>
      <c r="C62" s="132" t="s">
        <v>885</v>
      </c>
      <c r="D62" s="132" t="s">
        <v>1555</v>
      </c>
      <c r="E62" s="132">
        <v>383.22514999999999</v>
      </c>
      <c r="F62" s="132"/>
    </row>
    <row r="63" spans="1:6" x14ac:dyDescent="0.3">
      <c r="A63" s="132" t="s">
        <v>1167</v>
      </c>
      <c r="B63" s="132" t="s">
        <v>1059</v>
      </c>
      <c r="C63" s="132" t="s">
        <v>885</v>
      </c>
      <c r="D63" s="132" t="s">
        <v>1558</v>
      </c>
      <c r="E63" s="132">
        <v>372.65985000000001</v>
      </c>
      <c r="F63" s="132"/>
    </row>
    <row r="64" spans="1:6" x14ac:dyDescent="0.3">
      <c r="A64" s="132" t="s">
        <v>1167</v>
      </c>
      <c r="B64" s="132" t="s">
        <v>1172</v>
      </c>
      <c r="C64" s="132" t="s">
        <v>885</v>
      </c>
      <c r="D64" s="132" t="s">
        <v>1026</v>
      </c>
      <c r="E64" s="132">
        <v>2000</v>
      </c>
      <c r="F64" s="132"/>
    </row>
    <row r="65" spans="1:6" x14ac:dyDescent="0.3">
      <c r="A65" s="132" t="s">
        <v>1176</v>
      </c>
      <c r="B65" s="132" t="s">
        <v>1125</v>
      </c>
      <c r="C65" s="132" t="s">
        <v>885</v>
      </c>
      <c r="D65" s="132" t="s">
        <v>1026</v>
      </c>
      <c r="E65" s="132">
        <v>2000</v>
      </c>
      <c r="F65" s="132"/>
    </row>
    <row r="66" spans="1:6" x14ac:dyDescent="0.3">
      <c r="A66" s="132" t="s">
        <v>1182</v>
      </c>
      <c r="B66" s="132" t="s">
        <v>1185</v>
      </c>
      <c r="C66" s="132" t="s">
        <v>885</v>
      </c>
      <c r="D66" s="132" t="s">
        <v>1026</v>
      </c>
      <c r="E66" s="132">
        <v>2000</v>
      </c>
      <c r="F66" s="132"/>
    </row>
    <row r="67" spans="1:6" x14ac:dyDescent="0.3">
      <c r="A67" s="132" t="s">
        <v>1182</v>
      </c>
      <c r="B67" s="132" t="s">
        <v>1187</v>
      </c>
      <c r="C67" s="132" t="s">
        <v>885</v>
      </c>
      <c r="D67" s="132" t="s">
        <v>1566</v>
      </c>
      <c r="E67" s="132">
        <v>342.71095000000003</v>
      </c>
      <c r="F67" s="132"/>
    </row>
    <row r="68" spans="1:6" x14ac:dyDescent="0.3">
      <c r="A68" s="132" t="s">
        <v>1182</v>
      </c>
      <c r="B68" s="132" t="s">
        <v>1123</v>
      </c>
      <c r="C68" s="132" t="s">
        <v>885</v>
      </c>
      <c r="D68" s="132" t="s">
        <v>1569</v>
      </c>
      <c r="E68" s="132">
        <v>354.21019999999999</v>
      </c>
      <c r="F68" s="132"/>
    </row>
    <row r="69" spans="1:6" x14ac:dyDescent="0.3">
      <c r="A69" s="132" t="s">
        <v>1182</v>
      </c>
      <c r="B69" s="132" t="s">
        <v>1125</v>
      </c>
      <c r="C69" s="132" t="s">
        <v>885</v>
      </c>
      <c r="D69" s="132" t="s">
        <v>1572</v>
      </c>
      <c r="E69" s="132">
        <v>391.37910000000005</v>
      </c>
      <c r="F69" s="132"/>
    </row>
    <row r="70" spans="1:6" x14ac:dyDescent="0.3">
      <c r="A70" s="132" t="s">
        <v>1188</v>
      </c>
      <c r="B70" s="132" t="s">
        <v>1189</v>
      </c>
      <c r="C70" s="132" t="s">
        <v>885</v>
      </c>
      <c r="D70" s="132" t="s">
        <v>1574</v>
      </c>
      <c r="E70" s="132">
        <v>329.45504999999997</v>
      </c>
      <c r="F70" s="132"/>
    </row>
    <row r="71" spans="1:6" x14ac:dyDescent="0.3">
      <c r="A71" s="132" t="s">
        <v>1188</v>
      </c>
      <c r="B71" s="132" t="s">
        <v>1146</v>
      </c>
      <c r="C71" s="132" t="s">
        <v>885</v>
      </c>
      <c r="D71" s="132" t="s">
        <v>1026</v>
      </c>
      <c r="E71" s="132">
        <v>2000</v>
      </c>
      <c r="F71" s="132"/>
    </row>
    <row r="72" spans="1:6" x14ac:dyDescent="0.3">
      <c r="A72" s="132" t="s">
        <v>1194</v>
      </c>
      <c r="B72" s="132" t="s">
        <v>1201</v>
      </c>
      <c r="C72" s="132" t="s">
        <v>885</v>
      </c>
      <c r="D72" s="132" t="s">
        <v>1583</v>
      </c>
      <c r="E72" s="132">
        <v>475.14310000000006</v>
      </c>
      <c r="F72" s="132"/>
    </row>
    <row r="73" spans="1:6" x14ac:dyDescent="0.3">
      <c r="A73" s="132" t="s">
        <v>1194</v>
      </c>
      <c r="B73" s="132" t="s">
        <v>1203</v>
      </c>
      <c r="C73" s="132" t="s">
        <v>885</v>
      </c>
      <c r="D73" s="132" t="s">
        <v>1690</v>
      </c>
      <c r="E73" s="132">
        <v>1000</v>
      </c>
      <c r="F73" s="132"/>
    </row>
    <row r="74" spans="1:6" x14ac:dyDescent="0.3">
      <c r="A74" s="132" t="s">
        <v>1205</v>
      </c>
      <c r="B74" s="132" t="s">
        <v>1101</v>
      </c>
      <c r="C74" s="132" t="s">
        <v>885</v>
      </c>
      <c r="D74" s="132" t="s">
        <v>1588</v>
      </c>
      <c r="E74" s="132">
        <v>424.82769999999999</v>
      </c>
      <c r="F74" s="132"/>
    </row>
    <row r="75" spans="1:6" x14ac:dyDescent="0.3">
      <c r="A75" s="132" t="s">
        <v>1205</v>
      </c>
      <c r="B75" s="132" t="s">
        <v>917</v>
      </c>
      <c r="C75" s="132" t="s">
        <v>885</v>
      </c>
      <c r="D75" s="132" t="s">
        <v>1590</v>
      </c>
      <c r="E75" s="132">
        <v>520.10964999999999</v>
      </c>
      <c r="F75" s="132"/>
    </row>
    <row r="76" spans="1:6" x14ac:dyDescent="0.3">
      <c r="A76" s="132" t="s">
        <v>1205</v>
      </c>
      <c r="B76" s="132" t="s">
        <v>1185</v>
      </c>
      <c r="C76" s="132" t="s">
        <v>885</v>
      </c>
      <c r="D76" s="132" t="s">
        <v>1593</v>
      </c>
      <c r="E76" s="132">
        <v>439.67685</v>
      </c>
      <c r="F76" s="132"/>
    </row>
    <row r="77" spans="1:6" x14ac:dyDescent="0.3">
      <c r="A77" s="132" t="s">
        <v>1205</v>
      </c>
      <c r="B77" s="132" t="s">
        <v>1102</v>
      </c>
      <c r="C77" s="132" t="s">
        <v>885</v>
      </c>
      <c r="D77" s="132" t="s">
        <v>1026</v>
      </c>
      <c r="E77" s="132">
        <v>2000</v>
      </c>
      <c r="F77" s="132"/>
    </row>
    <row r="78" spans="1:6" x14ac:dyDescent="0.3">
      <c r="A78" s="132" t="s">
        <v>1205</v>
      </c>
      <c r="B78" s="132" t="s">
        <v>1204</v>
      </c>
      <c r="C78" s="132" t="s">
        <v>885</v>
      </c>
      <c r="D78" s="132" t="s">
        <v>1596</v>
      </c>
      <c r="E78" s="132">
        <v>418.41215</v>
      </c>
      <c r="F78" s="132"/>
    </row>
    <row r="79" spans="1:6" x14ac:dyDescent="0.3">
      <c r="A79" s="132" t="s">
        <v>1210</v>
      </c>
      <c r="B79" s="132" t="s">
        <v>1101</v>
      </c>
      <c r="C79" s="132" t="s">
        <v>885</v>
      </c>
      <c r="D79" s="132" t="s">
        <v>1599</v>
      </c>
      <c r="E79" s="132">
        <v>651.35894999999994</v>
      </c>
      <c r="F79" s="132"/>
    </row>
    <row r="80" spans="1:6" x14ac:dyDescent="0.3">
      <c r="A80" s="132" t="s">
        <v>1210</v>
      </c>
      <c r="B80" s="132" t="s">
        <v>1209</v>
      </c>
      <c r="C80" s="132" t="s">
        <v>885</v>
      </c>
      <c r="D80" s="132" t="s">
        <v>1026</v>
      </c>
      <c r="E80" s="132">
        <v>2000</v>
      </c>
      <c r="F80" s="132"/>
    </row>
    <row r="81" spans="1:6" x14ac:dyDescent="0.3">
      <c r="A81" s="132" t="s">
        <v>1210</v>
      </c>
      <c r="B81" s="132" t="s">
        <v>1185</v>
      </c>
      <c r="C81" s="132" t="s">
        <v>885</v>
      </c>
      <c r="D81" s="132" t="s">
        <v>1603</v>
      </c>
      <c r="E81" s="132">
        <v>645.91570000000002</v>
      </c>
      <c r="F81" s="132"/>
    </row>
    <row r="82" spans="1:6" x14ac:dyDescent="0.3">
      <c r="A82" s="132" t="s">
        <v>1210</v>
      </c>
      <c r="B82" s="132" t="s">
        <v>1125</v>
      </c>
      <c r="C82" s="132" t="s">
        <v>885</v>
      </c>
      <c r="D82" s="132" t="s">
        <v>1609</v>
      </c>
      <c r="E82" s="132">
        <v>719.55340000000001</v>
      </c>
      <c r="F82" s="132"/>
    </row>
    <row r="83" spans="1:6" x14ac:dyDescent="0.3">
      <c r="A83" s="132" t="s">
        <v>1210</v>
      </c>
      <c r="B83" s="132" t="s">
        <v>1198</v>
      </c>
      <c r="C83" s="132" t="s">
        <v>885</v>
      </c>
      <c r="D83" s="132" t="s">
        <v>1611</v>
      </c>
      <c r="E83" s="132">
        <v>617.20384999999999</v>
      </c>
      <c r="F83" s="132"/>
    </row>
    <row r="84" spans="1:6" x14ac:dyDescent="0.3">
      <c r="A84" s="132" t="s">
        <v>1217</v>
      </c>
      <c r="B84" s="132" t="s">
        <v>1218</v>
      </c>
      <c r="C84" s="132" t="s">
        <v>885</v>
      </c>
      <c r="D84" s="132" t="s">
        <v>1619</v>
      </c>
      <c r="E84" s="132">
        <v>412.03184999999996</v>
      </c>
      <c r="F84" s="132"/>
    </row>
    <row r="85" spans="1:6" x14ac:dyDescent="0.3">
      <c r="A85" s="132" t="s">
        <v>1219</v>
      </c>
      <c r="B85" s="132" t="s">
        <v>1125</v>
      </c>
      <c r="C85" s="132" t="s">
        <v>885</v>
      </c>
      <c r="D85" s="132" t="s">
        <v>1026</v>
      </c>
      <c r="E85" s="132">
        <v>2000</v>
      </c>
      <c r="F85" s="132"/>
    </row>
    <row r="86" spans="1:6" x14ac:dyDescent="0.3">
      <c r="A86" s="132" t="s">
        <v>1223</v>
      </c>
      <c r="B86" s="132" t="s">
        <v>1225</v>
      </c>
      <c r="C86" s="132" t="s">
        <v>885</v>
      </c>
      <c r="D86" s="132" t="s">
        <v>1710</v>
      </c>
      <c r="E86" s="132">
        <v>240.02830000000003</v>
      </c>
      <c r="F86" s="132"/>
    </row>
    <row r="87" spans="1:6" x14ac:dyDescent="0.3">
      <c r="A87" s="132" t="s">
        <v>1223</v>
      </c>
      <c r="B87" s="132" t="s">
        <v>1227</v>
      </c>
      <c r="C87" s="132" t="s">
        <v>885</v>
      </c>
      <c r="D87" s="132" t="s">
        <v>1715</v>
      </c>
      <c r="E87" s="132">
        <v>268.56274999999999</v>
      </c>
      <c r="F87" s="132"/>
    </row>
    <row r="88" spans="1:6" x14ac:dyDescent="0.3">
      <c r="A88" s="132" t="s">
        <v>1223</v>
      </c>
      <c r="B88" s="132" t="s">
        <v>1147</v>
      </c>
      <c r="C88" s="132" t="s">
        <v>885</v>
      </c>
      <c r="D88" s="132" t="s">
        <v>1719</v>
      </c>
      <c r="E88" s="132">
        <v>293.11585000000002</v>
      </c>
      <c r="F88" s="132"/>
    </row>
    <row r="89" spans="1:6" x14ac:dyDescent="0.3">
      <c r="A89" s="132" t="s">
        <v>1223</v>
      </c>
      <c r="B89" s="132" t="s">
        <v>1621</v>
      </c>
      <c r="C89" s="132" t="s">
        <v>885</v>
      </c>
      <c r="D89" s="132" t="s">
        <v>1026</v>
      </c>
      <c r="E89" s="132">
        <v>2000</v>
      </c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3126E-ABEE-4B89-80EC-E052CB8868F5}">
  <sheetPr codeName="Sheet11"/>
  <dimension ref="A5:F1000"/>
  <sheetViews>
    <sheetView workbookViewId="0">
      <selection activeCell="D14" sqref="D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876</v>
      </c>
      <c r="D5" s="132" t="s">
        <v>877</v>
      </c>
      <c r="E5" s="132">
        <v>400</v>
      </c>
      <c r="F5" s="132"/>
    </row>
    <row r="6" spans="1:6" x14ac:dyDescent="0.3">
      <c r="A6" s="132" t="s">
        <v>872</v>
      </c>
      <c r="B6" s="132" t="s">
        <v>902</v>
      </c>
      <c r="C6" s="132" t="s">
        <v>876</v>
      </c>
      <c r="D6" s="132" t="s">
        <v>877</v>
      </c>
      <c r="E6" s="132">
        <v>400</v>
      </c>
      <c r="F6" s="132"/>
    </row>
    <row r="7" spans="1:6" x14ac:dyDescent="0.3">
      <c r="A7" s="132" t="s">
        <v>903</v>
      </c>
      <c r="B7" s="132" t="s">
        <v>911</v>
      </c>
      <c r="C7" s="132" t="s">
        <v>876</v>
      </c>
      <c r="D7" s="132" t="s">
        <v>877</v>
      </c>
      <c r="E7" s="132">
        <v>400</v>
      </c>
      <c r="F7" s="132"/>
    </row>
    <row r="8" spans="1:6" x14ac:dyDescent="0.3">
      <c r="A8" s="132" t="s">
        <v>903</v>
      </c>
      <c r="B8" s="132" t="s">
        <v>913</v>
      </c>
      <c r="C8" s="132" t="s">
        <v>876</v>
      </c>
      <c r="D8" s="132" t="s">
        <v>877</v>
      </c>
      <c r="E8" s="132">
        <v>400</v>
      </c>
      <c r="F8" s="132"/>
    </row>
    <row r="9" spans="1:6" x14ac:dyDescent="0.3">
      <c r="A9" s="132" t="s">
        <v>916</v>
      </c>
      <c r="B9" s="132" t="s">
        <v>917</v>
      </c>
      <c r="C9" s="132" t="s">
        <v>876</v>
      </c>
      <c r="D9" s="132" t="s">
        <v>875</v>
      </c>
      <c r="E9" s="132">
        <v>200</v>
      </c>
      <c r="F9" s="132"/>
    </row>
    <row r="10" spans="1:6" x14ac:dyDescent="0.3">
      <c r="A10" s="132" t="s">
        <v>916</v>
      </c>
      <c r="B10" s="132" t="s">
        <v>919</v>
      </c>
      <c r="C10" s="132" t="s">
        <v>876</v>
      </c>
      <c r="D10" s="132" t="s">
        <v>875</v>
      </c>
      <c r="E10" s="132">
        <v>200</v>
      </c>
      <c r="F10" s="132"/>
    </row>
    <row r="11" spans="1:6" x14ac:dyDescent="0.3">
      <c r="A11" s="132" t="s">
        <v>1030</v>
      </c>
      <c r="B11" s="132" t="s">
        <v>1032</v>
      </c>
      <c r="C11" s="132" t="s">
        <v>876</v>
      </c>
      <c r="D11" s="132" t="s">
        <v>1033</v>
      </c>
      <c r="E11" s="132">
        <v>300</v>
      </c>
      <c r="F11" s="132"/>
    </row>
    <row r="12" spans="1:6" x14ac:dyDescent="0.3">
      <c r="A12" s="132" t="s">
        <v>1042</v>
      </c>
      <c r="B12" s="132" t="s">
        <v>1044</v>
      </c>
      <c r="C12" s="132" t="s">
        <v>876</v>
      </c>
      <c r="D12" s="132" t="s">
        <v>877</v>
      </c>
      <c r="E12" s="132">
        <v>400</v>
      </c>
      <c r="F12" s="132"/>
    </row>
    <row r="13" spans="1:6" x14ac:dyDescent="0.3">
      <c r="A13" s="132" t="s">
        <v>1055</v>
      </c>
      <c r="B13" s="132" t="s">
        <v>1060</v>
      </c>
      <c r="C13" s="132" t="s">
        <v>876</v>
      </c>
      <c r="D13" s="132" t="s">
        <v>1033</v>
      </c>
      <c r="E13" s="132">
        <v>300</v>
      </c>
      <c r="F13" s="132"/>
    </row>
    <row r="14" spans="1:6" x14ac:dyDescent="0.3">
      <c r="A14" s="132" t="s">
        <v>1055</v>
      </c>
      <c r="B14" s="132" t="s">
        <v>1062</v>
      </c>
      <c r="C14" s="132" t="s">
        <v>876</v>
      </c>
      <c r="D14" s="132" t="s">
        <v>1033</v>
      </c>
      <c r="E14" s="132">
        <v>300</v>
      </c>
      <c r="F14" s="132"/>
    </row>
    <row r="15" spans="1:6" x14ac:dyDescent="0.3">
      <c r="A15" s="132" t="s">
        <v>1066</v>
      </c>
      <c r="B15" s="132" t="s">
        <v>1067</v>
      </c>
      <c r="C15" s="132" t="s">
        <v>876</v>
      </c>
      <c r="D15" s="132" t="s">
        <v>1033</v>
      </c>
      <c r="E15" s="132">
        <v>300</v>
      </c>
      <c r="F15" s="132"/>
    </row>
    <row r="16" spans="1:6" x14ac:dyDescent="0.3">
      <c r="A16" s="132" t="s">
        <v>1066</v>
      </c>
      <c r="B16" s="132" t="s">
        <v>1038</v>
      </c>
      <c r="C16" s="132" t="s">
        <v>876</v>
      </c>
      <c r="D16" s="132" t="s">
        <v>1033</v>
      </c>
      <c r="E16" s="132">
        <v>300</v>
      </c>
      <c r="F16" s="132"/>
    </row>
    <row r="17" spans="1:6" x14ac:dyDescent="0.3">
      <c r="A17" s="132" t="s">
        <v>1079</v>
      </c>
      <c r="B17" s="132" t="s">
        <v>1083</v>
      </c>
      <c r="C17" s="132" t="s">
        <v>876</v>
      </c>
      <c r="D17" s="132" t="s">
        <v>877</v>
      </c>
      <c r="E17" s="132">
        <v>400</v>
      </c>
      <c r="F17" s="132"/>
    </row>
    <row r="18" spans="1:6" x14ac:dyDescent="0.3">
      <c r="A18" s="132" t="s">
        <v>1079</v>
      </c>
      <c r="B18" s="132" t="s">
        <v>1088</v>
      </c>
      <c r="C18" s="132" t="s">
        <v>876</v>
      </c>
      <c r="D18" s="132" t="s">
        <v>877</v>
      </c>
      <c r="E18" s="132">
        <v>400</v>
      </c>
      <c r="F18" s="132"/>
    </row>
    <row r="19" spans="1:6" x14ac:dyDescent="0.3">
      <c r="A19" s="132" t="s">
        <v>1089</v>
      </c>
      <c r="B19" s="132" t="s">
        <v>1090</v>
      </c>
      <c r="C19" s="132" t="s">
        <v>876</v>
      </c>
      <c r="D19" s="132" t="s">
        <v>1033</v>
      </c>
      <c r="E19" s="132">
        <v>300</v>
      </c>
      <c r="F19" s="132"/>
    </row>
    <row r="20" spans="1:6" x14ac:dyDescent="0.3">
      <c r="A20" s="132" t="s">
        <v>1089</v>
      </c>
      <c r="B20" s="132" t="s">
        <v>905</v>
      </c>
      <c r="C20" s="132" t="s">
        <v>876</v>
      </c>
      <c r="D20" s="132" t="s">
        <v>1033</v>
      </c>
      <c r="E20" s="132">
        <v>300</v>
      </c>
      <c r="F20" s="132"/>
    </row>
    <row r="21" spans="1:6" x14ac:dyDescent="0.3">
      <c r="A21" s="132" t="s">
        <v>1100</v>
      </c>
      <c r="B21" s="132" t="s">
        <v>1102</v>
      </c>
      <c r="C21" s="132" t="s">
        <v>876</v>
      </c>
      <c r="D21" s="132" t="s">
        <v>1103</v>
      </c>
      <c r="E21" s="132">
        <v>100</v>
      </c>
      <c r="F21" s="132"/>
    </row>
    <row r="22" spans="1:6" x14ac:dyDescent="0.3">
      <c r="A22" s="132" t="s">
        <v>1100</v>
      </c>
      <c r="B22" s="132" t="s">
        <v>1105</v>
      </c>
      <c r="C22" s="132" t="s">
        <v>876</v>
      </c>
      <c r="D22" s="132" t="s">
        <v>875</v>
      </c>
      <c r="E22" s="132">
        <v>200</v>
      </c>
      <c r="F22" s="132"/>
    </row>
    <row r="23" spans="1:6" x14ac:dyDescent="0.3">
      <c r="A23" s="132" t="s">
        <v>1106</v>
      </c>
      <c r="B23" s="132" t="s">
        <v>1116</v>
      </c>
      <c r="C23" s="132" t="s">
        <v>876</v>
      </c>
      <c r="D23" s="132" t="s">
        <v>1033</v>
      </c>
      <c r="E23" s="132">
        <v>300</v>
      </c>
      <c r="F23" s="132"/>
    </row>
    <row r="24" spans="1:6" x14ac:dyDescent="0.3">
      <c r="A24" s="132" t="s">
        <v>1119</v>
      </c>
      <c r="B24" s="132" t="s">
        <v>1123</v>
      </c>
      <c r="C24" s="132" t="s">
        <v>876</v>
      </c>
      <c r="D24" s="132" t="s">
        <v>1033</v>
      </c>
      <c r="E24" s="132">
        <v>300</v>
      </c>
      <c r="F24" s="132"/>
    </row>
    <row r="25" spans="1:6" x14ac:dyDescent="0.3">
      <c r="A25" s="132" t="s">
        <v>1119</v>
      </c>
      <c r="B25" s="132" t="s">
        <v>1116</v>
      </c>
      <c r="C25" s="132" t="s">
        <v>876</v>
      </c>
      <c r="D25" s="132" t="s">
        <v>1033</v>
      </c>
      <c r="E25" s="132">
        <v>300</v>
      </c>
      <c r="F25" s="132"/>
    </row>
    <row r="26" spans="1:6" x14ac:dyDescent="0.3">
      <c r="A26" s="132" t="s">
        <v>1128</v>
      </c>
      <c r="B26" s="132" t="s">
        <v>1093</v>
      </c>
      <c r="C26" s="132" t="s">
        <v>876</v>
      </c>
      <c r="D26" s="132" t="s">
        <v>1033</v>
      </c>
      <c r="E26" s="132">
        <v>300</v>
      </c>
      <c r="F26" s="132"/>
    </row>
    <row r="27" spans="1:6" x14ac:dyDescent="0.3">
      <c r="A27" s="132" t="s">
        <v>1128</v>
      </c>
      <c r="B27" s="132" t="s">
        <v>1039</v>
      </c>
      <c r="C27" s="132" t="s">
        <v>876</v>
      </c>
      <c r="D27" s="132" t="s">
        <v>1033</v>
      </c>
      <c r="E27" s="132">
        <v>300</v>
      </c>
      <c r="F27" s="132"/>
    </row>
    <row r="28" spans="1:6" x14ac:dyDescent="0.3">
      <c r="A28" s="132" t="s">
        <v>1132</v>
      </c>
      <c r="B28" s="132" t="s">
        <v>1135</v>
      </c>
      <c r="C28" s="132" t="s">
        <v>876</v>
      </c>
      <c r="D28" s="132" t="s">
        <v>877</v>
      </c>
      <c r="E28" s="132">
        <v>400</v>
      </c>
      <c r="F28" s="132"/>
    </row>
    <row r="29" spans="1:6" x14ac:dyDescent="0.3">
      <c r="A29" s="132" t="s">
        <v>1132</v>
      </c>
      <c r="B29" s="132" t="s">
        <v>1063</v>
      </c>
      <c r="C29" s="132" t="s">
        <v>876</v>
      </c>
      <c r="D29" s="132" t="s">
        <v>877</v>
      </c>
      <c r="E29" s="132">
        <v>400</v>
      </c>
      <c r="F29" s="132"/>
    </row>
    <row r="30" spans="1:6" x14ac:dyDescent="0.3">
      <c r="A30" s="132" t="s">
        <v>1141</v>
      </c>
      <c r="B30" s="132" t="s">
        <v>1092</v>
      </c>
      <c r="C30" s="132" t="s">
        <v>876</v>
      </c>
      <c r="D30" s="132" t="s">
        <v>1142</v>
      </c>
      <c r="E30" s="132">
        <v>140</v>
      </c>
      <c r="F30" s="132"/>
    </row>
    <row r="31" spans="1:6" x14ac:dyDescent="0.3">
      <c r="A31" s="132" t="s">
        <v>1141</v>
      </c>
      <c r="B31" s="132" t="s">
        <v>1143</v>
      </c>
      <c r="C31" s="132" t="s">
        <v>876</v>
      </c>
      <c r="D31" s="132" t="s">
        <v>1033</v>
      </c>
      <c r="E31" s="132">
        <v>300</v>
      </c>
      <c r="F31" s="132"/>
    </row>
    <row r="32" spans="1:6" x14ac:dyDescent="0.3">
      <c r="A32" s="132" t="s">
        <v>1149</v>
      </c>
      <c r="B32" s="132" t="s">
        <v>1107</v>
      </c>
      <c r="C32" s="132" t="s">
        <v>876</v>
      </c>
      <c r="D32" s="132" t="s">
        <v>1033</v>
      </c>
      <c r="E32" s="132">
        <v>300</v>
      </c>
      <c r="F32" s="132"/>
    </row>
    <row r="33" spans="1:6" x14ac:dyDescent="0.3">
      <c r="A33" s="132" t="s">
        <v>1154</v>
      </c>
      <c r="B33" s="132" t="s">
        <v>1155</v>
      </c>
      <c r="C33" s="132" t="s">
        <v>876</v>
      </c>
      <c r="D33" s="132" t="s">
        <v>1033</v>
      </c>
      <c r="E33" s="132">
        <v>300</v>
      </c>
      <c r="F33" s="132"/>
    </row>
    <row r="34" spans="1:6" x14ac:dyDescent="0.3">
      <c r="A34" s="132" t="s">
        <v>1154</v>
      </c>
      <c r="B34" s="132" t="s">
        <v>1157</v>
      </c>
      <c r="C34" s="132" t="s">
        <v>876</v>
      </c>
      <c r="D34" s="132" t="s">
        <v>1033</v>
      </c>
      <c r="E34" s="132">
        <v>300</v>
      </c>
      <c r="F34" s="132"/>
    </row>
    <row r="35" spans="1:6" x14ac:dyDescent="0.3">
      <c r="A35" s="132" t="s">
        <v>1160</v>
      </c>
      <c r="B35" s="132" t="s">
        <v>1165</v>
      </c>
      <c r="C35" s="132" t="s">
        <v>876</v>
      </c>
      <c r="D35" s="132" t="s">
        <v>1033</v>
      </c>
      <c r="E35" s="132">
        <v>300</v>
      </c>
      <c r="F35" s="132"/>
    </row>
    <row r="36" spans="1:6" x14ac:dyDescent="0.3">
      <c r="A36" s="132" t="s">
        <v>1167</v>
      </c>
      <c r="B36" s="132" t="s">
        <v>1140</v>
      </c>
      <c r="C36" s="132" t="s">
        <v>876</v>
      </c>
      <c r="D36" s="132" t="s">
        <v>1033</v>
      </c>
      <c r="E36" s="132">
        <v>300</v>
      </c>
      <c r="F36" s="132"/>
    </row>
    <row r="37" spans="1:6" x14ac:dyDescent="0.3">
      <c r="A37" s="132" t="s">
        <v>1176</v>
      </c>
      <c r="B37" s="132" t="s">
        <v>1179</v>
      </c>
      <c r="C37" s="132" t="s">
        <v>876</v>
      </c>
      <c r="D37" s="132" t="s">
        <v>1033</v>
      </c>
      <c r="E37" s="132">
        <v>300</v>
      </c>
      <c r="F37" s="132"/>
    </row>
    <row r="38" spans="1:6" x14ac:dyDescent="0.3">
      <c r="A38" s="132" t="s">
        <v>1182</v>
      </c>
      <c r="B38" s="132" t="s">
        <v>1123</v>
      </c>
      <c r="C38" s="132" t="s">
        <v>876</v>
      </c>
      <c r="D38" s="132" t="s">
        <v>877</v>
      </c>
      <c r="E38" s="132">
        <v>400</v>
      </c>
      <c r="F38" s="132"/>
    </row>
    <row r="39" spans="1:6" x14ac:dyDescent="0.3">
      <c r="A39" s="132" t="s">
        <v>1182</v>
      </c>
      <c r="B39" s="132" t="s">
        <v>1125</v>
      </c>
      <c r="C39" s="132" t="s">
        <v>876</v>
      </c>
      <c r="D39" s="132" t="s">
        <v>877</v>
      </c>
      <c r="E39" s="132">
        <v>400</v>
      </c>
      <c r="F39" s="132"/>
    </row>
    <row r="40" spans="1:6" x14ac:dyDescent="0.3">
      <c r="A40" s="132" t="s">
        <v>1188</v>
      </c>
      <c r="B40" s="132" t="s">
        <v>1189</v>
      </c>
      <c r="C40" s="132" t="s">
        <v>876</v>
      </c>
      <c r="D40" s="132" t="s">
        <v>877</v>
      </c>
      <c r="E40" s="132">
        <v>400</v>
      </c>
      <c r="F40" s="132"/>
    </row>
    <row r="41" spans="1:6" x14ac:dyDescent="0.3">
      <c r="A41" s="132" t="s">
        <v>1194</v>
      </c>
      <c r="B41" s="132" t="s">
        <v>1198</v>
      </c>
      <c r="C41" s="132" t="s">
        <v>876</v>
      </c>
      <c r="D41" s="132" t="s">
        <v>877</v>
      </c>
      <c r="E41" s="132">
        <v>400</v>
      </c>
      <c r="F41" s="132"/>
    </row>
    <row r="42" spans="1:6" x14ac:dyDescent="0.3">
      <c r="A42" s="132" t="s">
        <v>1194</v>
      </c>
      <c r="B42" s="132" t="s">
        <v>1179</v>
      </c>
      <c r="C42" s="132" t="s">
        <v>876</v>
      </c>
      <c r="D42" s="132" t="s">
        <v>877</v>
      </c>
      <c r="E42" s="132">
        <v>400</v>
      </c>
      <c r="F42" s="132"/>
    </row>
    <row r="43" spans="1:6" x14ac:dyDescent="0.3">
      <c r="A43" s="132" t="s">
        <v>1205</v>
      </c>
      <c r="B43" s="132" t="s">
        <v>917</v>
      </c>
      <c r="C43" s="132" t="s">
        <v>876</v>
      </c>
      <c r="D43" s="132" t="s">
        <v>877</v>
      </c>
      <c r="E43" s="132">
        <v>400</v>
      </c>
      <c r="F43" s="132"/>
    </row>
    <row r="44" spans="1:6" x14ac:dyDescent="0.3">
      <c r="A44" s="132" t="s">
        <v>1205</v>
      </c>
      <c r="B44" s="132" t="s">
        <v>1206</v>
      </c>
      <c r="C44" s="132" t="s">
        <v>876</v>
      </c>
      <c r="D44" s="132" t="s">
        <v>877</v>
      </c>
      <c r="E44" s="132">
        <v>400</v>
      </c>
      <c r="F44" s="132"/>
    </row>
    <row r="45" spans="1:6" x14ac:dyDescent="0.3">
      <c r="A45" s="132" t="s">
        <v>1210</v>
      </c>
      <c r="B45" s="132" t="s">
        <v>1101</v>
      </c>
      <c r="C45" s="132" t="s">
        <v>876</v>
      </c>
      <c r="D45" s="132" t="s">
        <v>877</v>
      </c>
      <c r="E45" s="132">
        <v>400</v>
      </c>
      <c r="F45" s="132"/>
    </row>
    <row r="46" spans="1:6" x14ac:dyDescent="0.3">
      <c r="A46" s="132" t="s">
        <v>1210</v>
      </c>
      <c r="B46" s="132" t="s">
        <v>1198</v>
      </c>
      <c r="C46" s="132" t="s">
        <v>876</v>
      </c>
      <c r="D46" s="132" t="s">
        <v>877</v>
      </c>
      <c r="E46" s="132">
        <v>400</v>
      </c>
      <c r="F46" s="132"/>
    </row>
    <row r="47" spans="1:6" x14ac:dyDescent="0.3">
      <c r="A47" s="132" t="s">
        <v>1219</v>
      </c>
      <c r="B47" s="132" t="s">
        <v>1179</v>
      </c>
      <c r="C47" s="132" t="s">
        <v>876</v>
      </c>
      <c r="D47" s="132" t="s">
        <v>877</v>
      </c>
      <c r="E47" s="132">
        <v>400</v>
      </c>
      <c r="F47" s="132"/>
    </row>
    <row r="48" spans="1:6" x14ac:dyDescent="0.3">
      <c r="A48" s="132" t="s">
        <v>1223</v>
      </c>
      <c r="B48" s="132" t="s">
        <v>1147</v>
      </c>
      <c r="C48" s="132" t="s">
        <v>876</v>
      </c>
      <c r="D48" s="132" t="s">
        <v>920</v>
      </c>
      <c r="E48" s="132">
        <v>150</v>
      </c>
      <c r="F48" s="132"/>
    </row>
    <row r="49" spans="1:6" x14ac:dyDescent="0.3">
      <c r="A49" s="132"/>
      <c r="B49" s="132"/>
      <c r="C49" s="132"/>
      <c r="D49" s="132"/>
      <c r="E49" s="132"/>
      <c r="F49" s="132"/>
    </row>
    <row r="50" spans="1:6" x14ac:dyDescent="0.3">
      <c r="A50" s="132"/>
      <c r="B50" s="132"/>
      <c r="C50" s="132"/>
      <c r="D50" s="132"/>
      <c r="E50" s="132"/>
      <c r="F50" s="132"/>
    </row>
    <row r="51" spans="1:6" x14ac:dyDescent="0.3">
      <c r="A51" s="132"/>
      <c r="B51" s="132"/>
      <c r="C51" s="132"/>
      <c r="D51" s="132"/>
      <c r="E51" s="132"/>
      <c r="F51" s="132"/>
    </row>
    <row r="52" spans="1:6" x14ac:dyDescent="0.3">
      <c r="A52" s="132"/>
      <c r="B52" s="132"/>
      <c r="C52" s="132"/>
      <c r="D52" s="132"/>
      <c r="E52" s="132"/>
      <c r="F52" s="132"/>
    </row>
    <row r="53" spans="1:6" x14ac:dyDescent="0.3">
      <c r="A53" s="132"/>
      <c r="B53" s="132"/>
      <c r="C53" s="132"/>
      <c r="D53" s="132"/>
      <c r="E53" s="132"/>
      <c r="F53" s="132"/>
    </row>
    <row r="54" spans="1:6" x14ac:dyDescent="0.3">
      <c r="A54" s="132"/>
      <c r="B54" s="132"/>
      <c r="C54" s="132"/>
      <c r="D54" s="132"/>
      <c r="E54" s="132"/>
      <c r="F54" s="132"/>
    </row>
    <row r="55" spans="1:6" x14ac:dyDescent="0.3">
      <c r="A55" s="132"/>
      <c r="B55" s="132"/>
      <c r="C55" s="132"/>
      <c r="D55" s="132"/>
      <c r="E55" s="132"/>
      <c r="F55" s="132"/>
    </row>
    <row r="56" spans="1:6" x14ac:dyDescent="0.3">
      <c r="A56" s="132"/>
      <c r="B56" s="132"/>
      <c r="C56" s="132"/>
      <c r="D56" s="132"/>
      <c r="E56" s="132"/>
      <c r="F56" s="132"/>
    </row>
    <row r="57" spans="1:6" x14ac:dyDescent="0.3">
      <c r="A57" s="132"/>
      <c r="B57" s="132"/>
      <c r="C57" s="132"/>
      <c r="D57" s="132"/>
      <c r="E57" s="132"/>
      <c r="F57" s="132"/>
    </row>
    <row r="58" spans="1:6" x14ac:dyDescent="0.3">
      <c r="A58" s="132"/>
      <c r="B58" s="132"/>
      <c r="C58" s="132"/>
      <c r="D58" s="132"/>
      <c r="E58" s="132"/>
      <c r="F58" s="132"/>
    </row>
    <row r="59" spans="1:6" x14ac:dyDescent="0.3">
      <c r="A59" s="132"/>
      <c r="B59" s="132"/>
      <c r="C59" s="132"/>
      <c r="D59" s="132"/>
      <c r="E59" s="132"/>
      <c r="F59" s="132"/>
    </row>
    <row r="60" spans="1:6" x14ac:dyDescent="0.3">
      <c r="A60" s="132"/>
      <c r="B60" s="132"/>
      <c r="C60" s="132"/>
      <c r="D60" s="132"/>
      <c r="E60" s="132"/>
      <c r="F60" s="132"/>
    </row>
    <row r="61" spans="1:6" x14ac:dyDescent="0.3">
      <c r="A61" s="132"/>
      <c r="B61" s="132"/>
      <c r="C61" s="132"/>
      <c r="D61" s="132"/>
      <c r="E61" s="132"/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55FB-7B18-4E6B-89EC-405273A79027}">
  <sheetPr codeName="Sheet12"/>
  <dimension ref="A1:F1000"/>
  <sheetViews>
    <sheetView workbookViewId="0">
      <selection activeCell="D5" sqref="D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49" bestFit="1" customWidth="1"/>
    <col min="6" max="6" width="11" bestFit="1" customWidth="1"/>
  </cols>
  <sheetData>
    <row r="1" spans="1:6" x14ac:dyDescent="0.3">
      <c r="E1"/>
    </row>
    <row r="2" spans="1:6" x14ac:dyDescent="0.3">
      <c r="E2"/>
    </row>
    <row r="3" spans="1:6" x14ac:dyDescent="0.3">
      <c r="E3"/>
    </row>
    <row r="4" spans="1:6" x14ac:dyDescent="0.3">
      <c r="E4"/>
    </row>
    <row r="5" spans="1:6" x14ac:dyDescent="0.3">
      <c r="A5" s="132" t="s">
        <v>872</v>
      </c>
      <c r="B5" s="132" t="s">
        <v>873</v>
      </c>
      <c r="C5" s="132" t="s">
        <v>878</v>
      </c>
      <c r="D5" s="132" t="s">
        <v>1394</v>
      </c>
      <c r="E5" s="132">
        <v>293.38978199999997</v>
      </c>
      <c r="F5" s="132"/>
    </row>
    <row r="6" spans="1:6" x14ac:dyDescent="0.3">
      <c r="A6" s="132" t="s">
        <v>872</v>
      </c>
      <c r="B6" s="132" t="s">
        <v>889</v>
      </c>
      <c r="C6" s="132" t="s">
        <v>878</v>
      </c>
      <c r="D6" s="132" t="s">
        <v>897</v>
      </c>
      <c r="E6" s="132">
        <v>94.540199999999999</v>
      </c>
      <c r="F6" s="132"/>
    </row>
    <row r="7" spans="1:6" x14ac:dyDescent="0.3">
      <c r="A7" s="132" t="s">
        <v>872</v>
      </c>
      <c r="B7" s="132" t="s">
        <v>890</v>
      </c>
      <c r="C7" s="132" t="s">
        <v>878</v>
      </c>
      <c r="D7" s="132" t="s">
        <v>894</v>
      </c>
      <c r="E7" s="132">
        <v>0</v>
      </c>
      <c r="F7" s="132"/>
    </row>
    <row r="8" spans="1:6" x14ac:dyDescent="0.3">
      <c r="A8" s="132" t="s">
        <v>872</v>
      </c>
      <c r="B8" s="132" t="s">
        <v>891</v>
      </c>
      <c r="C8" s="132" t="s">
        <v>878</v>
      </c>
      <c r="D8" s="132" t="s">
        <v>1396</v>
      </c>
      <c r="E8" s="132">
        <v>158.57580899999996</v>
      </c>
      <c r="F8" s="132"/>
    </row>
    <row r="9" spans="1:6" x14ac:dyDescent="0.3">
      <c r="A9" s="132" t="s">
        <v>872</v>
      </c>
      <c r="B9" s="132" t="s">
        <v>892</v>
      </c>
      <c r="C9" s="132" t="s">
        <v>878</v>
      </c>
      <c r="D9" s="132" t="s">
        <v>894</v>
      </c>
      <c r="E9" s="132">
        <v>0</v>
      </c>
      <c r="F9" s="132"/>
    </row>
    <row r="10" spans="1:6" x14ac:dyDescent="0.3">
      <c r="A10" s="132" t="s">
        <v>872</v>
      </c>
      <c r="B10" s="132" t="s">
        <v>893</v>
      </c>
      <c r="C10" s="132" t="s">
        <v>878</v>
      </c>
      <c r="D10" s="132" t="s">
        <v>894</v>
      </c>
      <c r="E10" s="132">
        <v>0</v>
      </c>
      <c r="F10" s="132"/>
    </row>
    <row r="11" spans="1:6" x14ac:dyDescent="0.3">
      <c r="A11" s="132" t="s">
        <v>872</v>
      </c>
      <c r="B11" s="132" t="s">
        <v>895</v>
      </c>
      <c r="C11" s="132" t="s">
        <v>878</v>
      </c>
      <c r="D11" s="132" t="s">
        <v>894</v>
      </c>
      <c r="E11" s="132">
        <v>0</v>
      </c>
      <c r="F11" s="132"/>
    </row>
    <row r="12" spans="1:6" x14ac:dyDescent="0.3">
      <c r="A12" s="132" t="s">
        <v>872</v>
      </c>
      <c r="B12" s="132" t="s">
        <v>896</v>
      </c>
      <c r="C12" s="132" t="s">
        <v>878</v>
      </c>
      <c r="D12" s="132" t="s">
        <v>894</v>
      </c>
      <c r="E12" s="132">
        <v>0</v>
      </c>
      <c r="F12" s="132"/>
    </row>
    <row r="13" spans="1:6" x14ac:dyDescent="0.3">
      <c r="A13" s="132" t="s">
        <v>872</v>
      </c>
      <c r="B13" s="132" t="s">
        <v>986</v>
      </c>
      <c r="C13" s="132" t="s">
        <v>878</v>
      </c>
      <c r="D13" s="132" t="s">
        <v>1624</v>
      </c>
      <c r="E13" s="132">
        <v>61.883999999999986</v>
      </c>
      <c r="F13" s="132"/>
    </row>
    <row r="14" spans="1:6" x14ac:dyDescent="0.3">
      <c r="A14" s="132" t="s">
        <v>872</v>
      </c>
      <c r="B14" s="132" t="s">
        <v>898</v>
      </c>
      <c r="C14" s="132" t="s">
        <v>878</v>
      </c>
      <c r="D14" s="132" t="s">
        <v>897</v>
      </c>
      <c r="E14" s="132">
        <v>94.540199999999999</v>
      </c>
      <c r="F14" s="132"/>
    </row>
    <row r="15" spans="1:6" x14ac:dyDescent="0.3">
      <c r="A15" s="132" t="s">
        <v>872</v>
      </c>
      <c r="B15" s="132" t="s">
        <v>899</v>
      </c>
      <c r="C15" s="132" t="s">
        <v>878</v>
      </c>
      <c r="D15" s="132" t="s">
        <v>894</v>
      </c>
      <c r="E15" s="132">
        <v>0</v>
      </c>
      <c r="F15" s="132"/>
    </row>
    <row r="16" spans="1:6" x14ac:dyDescent="0.3">
      <c r="A16" s="132" t="s">
        <v>872</v>
      </c>
      <c r="B16" s="132" t="s">
        <v>900</v>
      </c>
      <c r="C16" s="132" t="s">
        <v>878</v>
      </c>
      <c r="D16" s="132" t="s">
        <v>894</v>
      </c>
      <c r="E16" s="132">
        <v>0</v>
      </c>
      <c r="F16" s="132"/>
    </row>
    <row r="17" spans="1:6" x14ac:dyDescent="0.3">
      <c r="A17" s="132" t="s">
        <v>872</v>
      </c>
      <c r="B17" s="132" t="s">
        <v>901</v>
      </c>
      <c r="C17" s="132" t="s">
        <v>878</v>
      </c>
      <c r="D17" s="132" t="s">
        <v>1404</v>
      </c>
      <c r="E17" s="132">
        <v>234.86326500000001</v>
      </c>
      <c r="F17" s="132"/>
    </row>
    <row r="18" spans="1:6" x14ac:dyDescent="0.3">
      <c r="A18" s="132" t="s">
        <v>872</v>
      </c>
      <c r="B18" s="132" t="s">
        <v>902</v>
      </c>
      <c r="C18" s="132" t="s">
        <v>878</v>
      </c>
      <c r="D18" s="132" t="s">
        <v>1407</v>
      </c>
      <c r="E18" s="132">
        <v>266.83135500000003</v>
      </c>
      <c r="F18" s="132"/>
    </row>
    <row r="19" spans="1:6" x14ac:dyDescent="0.3">
      <c r="A19" s="132" t="s">
        <v>903</v>
      </c>
      <c r="B19" s="132" t="s">
        <v>904</v>
      </c>
      <c r="C19" s="132" t="s">
        <v>878</v>
      </c>
      <c r="D19" s="132" t="s">
        <v>1410</v>
      </c>
      <c r="E19" s="132">
        <v>149.44826399999999</v>
      </c>
      <c r="F19" s="132"/>
    </row>
    <row r="20" spans="1:6" x14ac:dyDescent="0.3">
      <c r="A20" s="132" t="s">
        <v>903</v>
      </c>
      <c r="B20" s="132" t="s">
        <v>905</v>
      </c>
      <c r="C20" s="132" t="s">
        <v>878</v>
      </c>
      <c r="D20" s="132" t="s">
        <v>1412</v>
      </c>
      <c r="E20" s="132">
        <v>120.43884299999999</v>
      </c>
      <c r="F20" s="132"/>
    </row>
    <row r="21" spans="1:6" x14ac:dyDescent="0.3">
      <c r="A21" s="132" t="s">
        <v>903</v>
      </c>
      <c r="B21" s="132" t="s">
        <v>906</v>
      </c>
      <c r="C21" s="132" t="s">
        <v>878</v>
      </c>
      <c r="D21" s="132" t="s">
        <v>1650</v>
      </c>
      <c r="E21" s="132">
        <v>361.08449999999999</v>
      </c>
      <c r="F21" s="132"/>
    </row>
    <row r="22" spans="1:6" x14ac:dyDescent="0.3">
      <c r="A22" s="132" t="s">
        <v>903</v>
      </c>
      <c r="B22" s="132" t="s">
        <v>907</v>
      </c>
      <c r="C22" s="132" t="s">
        <v>878</v>
      </c>
      <c r="D22" s="132" t="s">
        <v>894</v>
      </c>
      <c r="E22" s="132">
        <v>0</v>
      </c>
      <c r="F22" s="132"/>
    </row>
    <row r="23" spans="1:6" x14ac:dyDescent="0.3">
      <c r="A23" s="132" t="s">
        <v>903</v>
      </c>
      <c r="B23" s="132" t="s">
        <v>909</v>
      </c>
      <c r="C23" s="132" t="s">
        <v>878</v>
      </c>
      <c r="D23" s="132" t="s">
        <v>908</v>
      </c>
      <c r="E23" s="132">
        <v>83.384999999999991</v>
      </c>
      <c r="F23" s="132"/>
    </row>
    <row r="24" spans="1:6" x14ac:dyDescent="0.3">
      <c r="A24" s="132" t="s">
        <v>903</v>
      </c>
      <c r="B24" s="132" t="s">
        <v>910</v>
      </c>
      <c r="C24" s="132" t="s">
        <v>878</v>
      </c>
      <c r="D24" s="132" t="s">
        <v>894</v>
      </c>
      <c r="E24" s="132">
        <v>0</v>
      </c>
      <c r="F24" s="132"/>
    </row>
    <row r="25" spans="1:6" x14ac:dyDescent="0.3">
      <c r="A25" s="132" t="s">
        <v>903</v>
      </c>
      <c r="B25" s="132" t="s">
        <v>911</v>
      </c>
      <c r="C25" s="132" t="s">
        <v>878</v>
      </c>
      <c r="D25" s="132" t="s">
        <v>1417</v>
      </c>
      <c r="E25" s="132">
        <v>149.96097900000001</v>
      </c>
      <c r="F25" s="132"/>
    </row>
    <row r="26" spans="1:6" x14ac:dyDescent="0.3">
      <c r="A26" s="132" t="s">
        <v>903</v>
      </c>
      <c r="B26" s="132" t="s">
        <v>912</v>
      </c>
      <c r="C26" s="132" t="s">
        <v>878</v>
      </c>
      <c r="D26" s="132" t="s">
        <v>894</v>
      </c>
      <c r="E26" s="132">
        <v>0</v>
      </c>
      <c r="F26" s="132"/>
    </row>
    <row r="27" spans="1:6" x14ac:dyDescent="0.3">
      <c r="A27" s="132" t="s">
        <v>903</v>
      </c>
      <c r="B27" s="132" t="s">
        <v>913</v>
      </c>
      <c r="C27" s="132" t="s">
        <v>878</v>
      </c>
      <c r="D27" s="132" t="s">
        <v>894</v>
      </c>
      <c r="E27" s="132">
        <v>0</v>
      </c>
      <c r="F27" s="132"/>
    </row>
    <row r="28" spans="1:6" x14ac:dyDescent="0.3">
      <c r="A28" s="132" t="s">
        <v>903</v>
      </c>
      <c r="B28" s="132" t="s">
        <v>914</v>
      </c>
      <c r="C28" s="132" t="s">
        <v>878</v>
      </c>
      <c r="D28" s="132" t="s">
        <v>908</v>
      </c>
      <c r="E28" s="132">
        <v>83.384999999999991</v>
      </c>
      <c r="F28" s="132"/>
    </row>
    <row r="29" spans="1:6" x14ac:dyDescent="0.3">
      <c r="A29" s="132" t="s">
        <v>903</v>
      </c>
      <c r="B29" s="132" t="s">
        <v>915</v>
      </c>
      <c r="C29" s="132" t="s">
        <v>878</v>
      </c>
      <c r="D29" s="132" t="s">
        <v>1423</v>
      </c>
      <c r="E29" s="132">
        <v>150.66846899999999</v>
      </c>
      <c r="F29" s="132"/>
    </row>
    <row r="30" spans="1:6" x14ac:dyDescent="0.3">
      <c r="A30" s="132" t="s">
        <v>916</v>
      </c>
      <c r="B30" s="132" t="s">
        <v>917</v>
      </c>
      <c r="C30" s="132" t="s">
        <v>878</v>
      </c>
      <c r="D30" s="132" t="s">
        <v>918</v>
      </c>
      <c r="E30" s="132">
        <v>82.2</v>
      </c>
      <c r="F30" s="132"/>
    </row>
    <row r="31" spans="1:6" x14ac:dyDescent="0.3">
      <c r="A31" s="132" t="s">
        <v>916</v>
      </c>
      <c r="B31" s="132" t="s">
        <v>922</v>
      </c>
      <c r="C31" s="132" t="s">
        <v>878</v>
      </c>
      <c r="D31" s="132" t="s">
        <v>894</v>
      </c>
      <c r="E31" s="132">
        <v>0</v>
      </c>
      <c r="F31" s="132"/>
    </row>
    <row r="32" spans="1:6" x14ac:dyDescent="0.3">
      <c r="A32" s="132" t="s">
        <v>916</v>
      </c>
      <c r="B32" s="132" t="s">
        <v>923</v>
      </c>
      <c r="C32" s="132" t="s">
        <v>878</v>
      </c>
      <c r="D32" s="132" t="s">
        <v>918</v>
      </c>
      <c r="E32" s="132">
        <v>82.2</v>
      </c>
      <c r="F32" s="132"/>
    </row>
    <row r="33" spans="1:6" x14ac:dyDescent="0.3">
      <c r="A33" s="132" t="s">
        <v>916</v>
      </c>
      <c r="B33" s="132" t="s">
        <v>919</v>
      </c>
      <c r="C33" s="132" t="s">
        <v>878</v>
      </c>
      <c r="D33" s="132" t="s">
        <v>1642</v>
      </c>
      <c r="E33" s="132">
        <v>37.380279999999992</v>
      </c>
      <c r="F33" s="132"/>
    </row>
    <row r="34" spans="1:6" x14ac:dyDescent="0.3">
      <c r="A34" s="132" t="s">
        <v>916</v>
      </c>
      <c r="B34" s="132" t="s">
        <v>921</v>
      </c>
      <c r="C34" s="132" t="s">
        <v>878</v>
      </c>
      <c r="D34" s="132" t="s">
        <v>1428</v>
      </c>
      <c r="E34" s="132">
        <v>79.017479999999992</v>
      </c>
      <c r="F34" s="132"/>
    </row>
    <row r="35" spans="1:6" x14ac:dyDescent="0.3">
      <c r="A35" s="132" t="s">
        <v>916</v>
      </c>
      <c r="B35" s="132" t="s">
        <v>905</v>
      </c>
      <c r="C35" s="132" t="s">
        <v>878</v>
      </c>
      <c r="D35" s="132" t="s">
        <v>1029</v>
      </c>
      <c r="E35" s="132">
        <v>153.9</v>
      </c>
      <c r="F35" s="132"/>
    </row>
    <row r="36" spans="1:6" x14ac:dyDescent="0.3">
      <c r="A36" s="132" t="s">
        <v>916</v>
      </c>
      <c r="B36" s="132" t="s">
        <v>1027</v>
      </c>
      <c r="C36" s="132" t="s">
        <v>878</v>
      </c>
      <c r="D36" s="132" t="s">
        <v>918</v>
      </c>
      <c r="E36" s="132">
        <v>82.2</v>
      </c>
      <c r="F36" s="132"/>
    </row>
    <row r="37" spans="1:6" x14ac:dyDescent="0.3">
      <c r="A37" s="132" t="s">
        <v>1030</v>
      </c>
      <c r="B37" s="132" t="s">
        <v>1031</v>
      </c>
      <c r="C37" s="132" t="s">
        <v>878</v>
      </c>
      <c r="D37" s="132" t="s">
        <v>894</v>
      </c>
      <c r="E37" s="132">
        <v>0</v>
      </c>
      <c r="F37" s="132"/>
    </row>
    <row r="38" spans="1:6" x14ac:dyDescent="0.3">
      <c r="A38" s="132" t="s">
        <v>1030</v>
      </c>
      <c r="B38" s="132" t="s">
        <v>1032</v>
      </c>
      <c r="C38" s="132" t="s">
        <v>878</v>
      </c>
      <c r="D38" s="132" t="s">
        <v>1034</v>
      </c>
      <c r="E38" s="132">
        <v>108.44099999999999</v>
      </c>
      <c r="F38" s="132"/>
    </row>
    <row r="39" spans="1:6" x14ac:dyDescent="0.3">
      <c r="A39" s="132" t="s">
        <v>1030</v>
      </c>
      <c r="B39" s="132" t="s">
        <v>1035</v>
      </c>
      <c r="C39" s="132" t="s">
        <v>878</v>
      </c>
      <c r="D39" s="132" t="s">
        <v>1036</v>
      </c>
      <c r="E39" s="132">
        <v>90.253199999999993</v>
      </c>
      <c r="F39" s="132"/>
    </row>
    <row r="40" spans="1:6" x14ac:dyDescent="0.3">
      <c r="A40" s="132" t="s">
        <v>1030</v>
      </c>
      <c r="B40" s="132" t="s">
        <v>1038</v>
      </c>
      <c r="C40" s="132" t="s">
        <v>878</v>
      </c>
      <c r="D40" s="132" t="s">
        <v>894</v>
      </c>
      <c r="E40" s="132">
        <v>0</v>
      </c>
      <c r="F40" s="132"/>
    </row>
    <row r="41" spans="1:6" x14ac:dyDescent="0.3">
      <c r="A41" s="132" t="s">
        <v>1030</v>
      </c>
      <c r="B41" s="132" t="s">
        <v>1039</v>
      </c>
      <c r="C41" s="132" t="s">
        <v>878</v>
      </c>
      <c r="D41" s="132" t="s">
        <v>1036</v>
      </c>
      <c r="E41" s="132">
        <v>90.253199999999993</v>
      </c>
      <c r="F41" s="132"/>
    </row>
    <row r="42" spans="1:6" x14ac:dyDescent="0.3">
      <c r="A42" s="132" t="s">
        <v>1030</v>
      </c>
      <c r="B42" s="132" t="s">
        <v>1040</v>
      </c>
      <c r="C42" s="132" t="s">
        <v>878</v>
      </c>
      <c r="D42" s="132" t="s">
        <v>1433</v>
      </c>
      <c r="E42" s="132">
        <v>159.123648</v>
      </c>
      <c r="F42" s="132"/>
    </row>
    <row r="43" spans="1:6" x14ac:dyDescent="0.3">
      <c r="A43" s="132" t="s">
        <v>1030</v>
      </c>
      <c r="B43" s="132" t="s">
        <v>1041</v>
      </c>
      <c r="C43" s="132" t="s">
        <v>878</v>
      </c>
      <c r="D43" s="132" t="s">
        <v>1625</v>
      </c>
      <c r="E43" s="132">
        <v>120.82624799999998</v>
      </c>
      <c r="F43" s="132"/>
    </row>
    <row r="44" spans="1:6" x14ac:dyDescent="0.3">
      <c r="A44" s="132" t="s">
        <v>1042</v>
      </c>
      <c r="B44" s="132" t="s">
        <v>1043</v>
      </c>
      <c r="C44" s="132" t="s">
        <v>878</v>
      </c>
      <c r="D44" s="132" t="s">
        <v>1437</v>
      </c>
      <c r="E44" s="132">
        <v>157.81636799999998</v>
      </c>
      <c r="F44" s="132"/>
    </row>
    <row r="45" spans="1:6" x14ac:dyDescent="0.3">
      <c r="A45" s="132" t="s">
        <v>1042</v>
      </c>
      <c r="B45" s="132" t="s">
        <v>1044</v>
      </c>
      <c r="C45" s="132" t="s">
        <v>878</v>
      </c>
      <c r="D45" s="132" t="s">
        <v>894</v>
      </c>
      <c r="E45" s="132">
        <v>0</v>
      </c>
      <c r="F45" s="132"/>
    </row>
    <row r="46" spans="1:6" x14ac:dyDescent="0.3">
      <c r="A46" s="132" t="s">
        <v>1042</v>
      </c>
      <c r="B46" s="132" t="s">
        <v>1045</v>
      </c>
      <c r="C46" s="132" t="s">
        <v>878</v>
      </c>
      <c r="D46" s="132" t="s">
        <v>1036</v>
      </c>
      <c r="E46" s="132">
        <v>90.253199999999993</v>
      </c>
      <c r="F46" s="132"/>
    </row>
    <row r="47" spans="1:6" x14ac:dyDescent="0.3">
      <c r="A47" s="132" t="s">
        <v>1042</v>
      </c>
      <c r="B47" s="132" t="s">
        <v>1046</v>
      </c>
      <c r="C47" s="132" t="s">
        <v>878</v>
      </c>
      <c r="D47" s="132" t="s">
        <v>1442</v>
      </c>
      <c r="E47" s="132">
        <v>157.10306399999999</v>
      </c>
      <c r="F47" s="132"/>
    </row>
    <row r="48" spans="1:6" x14ac:dyDescent="0.3">
      <c r="A48" s="132" t="s">
        <v>1042</v>
      </c>
      <c r="B48" s="132" t="s">
        <v>1048</v>
      </c>
      <c r="C48" s="132" t="s">
        <v>878</v>
      </c>
      <c r="D48" s="132" t="s">
        <v>1657</v>
      </c>
      <c r="E48" s="132">
        <v>278.95125000000002</v>
      </c>
      <c r="F48" s="132"/>
    </row>
    <row r="49" spans="1:6" x14ac:dyDescent="0.3">
      <c r="A49" s="132" t="s">
        <v>1042</v>
      </c>
      <c r="B49" s="132" t="s">
        <v>1049</v>
      </c>
      <c r="C49" s="132" t="s">
        <v>878</v>
      </c>
      <c r="D49" s="132" t="s">
        <v>1445</v>
      </c>
      <c r="E49" s="132">
        <v>165.35068799999999</v>
      </c>
      <c r="F49" s="132"/>
    </row>
    <row r="50" spans="1:6" x14ac:dyDescent="0.3">
      <c r="A50" s="132" t="s">
        <v>1042</v>
      </c>
      <c r="B50" s="132" t="s">
        <v>1050</v>
      </c>
      <c r="C50" s="132" t="s">
        <v>878</v>
      </c>
      <c r="D50" s="132" t="s">
        <v>1448</v>
      </c>
      <c r="E50" s="132">
        <v>158.59989599999997</v>
      </c>
      <c r="F50" s="132"/>
    </row>
    <row r="51" spans="1:6" x14ac:dyDescent="0.3">
      <c r="A51" s="132" t="s">
        <v>1042</v>
      </c>
      <c r="B51" s="132" t="s">
        <v>1052</v>
      </c>
      <c r="C51" s="132" t="s">
        <v>878</v>
      </c>
      <c r="D51" s="132" t="s">
        <v>1036</v>
      </c>
      <c r="E51" s="132">
        <v>90.253199999999993</v>
      </c>
      <c r="F51" s="132"/>
    </row>
    <row r="52" spans="1:6" x14ac:dyDescent="0.3">
      <c r="A52" s="132" t="s">
        <v>1042</v>
      </c>
      <c r="B52" s="132" t="s">
        <v>1054</v>
      </c>
      <c r="C52" s="132" t="s">
        <v>878</v>
      </c>
      <c r="D52" s="132" t="s">
        <v>1034</v>
      </c>
      <c r="E52" s="132">
        <v>108.44099999999999</v>
      </c>
      <c r="F52" s="132"/>
    </row>
    <row r="53" spans="1:6" x14ac:dyDescent="0.3">
      <c r="A53" s="132" t="s">
        <v>1055</v>
      </c>
      <c r="B53" s="132" t="s">
        <v>1056</v>
      </c>
      <c r="C53" s="132" t="s">
        <v>878</v>
      </c>
      <c r="D53" s="132" t="s">
        <v>1057</v>
      </c>
      <c r="E53" s="132">
        <v>69.3</v>
      </c>
      <c r="F53" s="132"/>
    </row>
    <row r="54" spans="1:6" x14ac:dyDescent="0.3">
      <c r="A54" s="132" t="s">
        <v>1055</v>
      </c>
      <c r="B54" s="132" t="s">
        <v>1064</v>
      </c>
      <c r="C54" s="132" t="s">
        <v>878</v>
      </c>
      <c r="D54" s="132" t="s">
        <v>894</v>
      </c>
      <c r="E54" s="132">
        <v>0</v>
      </c>
      <c r="F54" s="132"/>
    </row>
    <row r="55" spans="1:6" x14ac:dyDescent="0.3">
      <c r="A55" s="132" t="s">
        <v>1055</v>
      </c>
      <c r="B55" s="132" t="s">
        <v>1059</v>
      </c>
      <c r="C55" s="132" t="s">
        <v>878</v>
      </c>
      <c r="D55" s="132" t="s">
        <v>894</v>
      </c>
      <c r="E55" s="132">
        <v>0</v>
      </c>
      <c r="F55" s="132"/>
    </row>
    <row r="56" spans="1:6" x14ac:dyDescent="0.3">
      <c r="A56" s="132" t="s">
        <v>1055</v>
      </c>
      <c r="B56" s="132" t="s">
        <v>1060</v>
      </c>
      <c r="C56" s="132" t="s">
        <v>878</v>
      </c>
      <c r="D56" s="132" t="s">
        <v>894</v>
      </c>
      <c r="E56" s="132">
        <v>0</v>
      </c>
      <c r="F56" s="132"/>
    </row>
    <row r="57" spans="1:6" x14ac:dyDescent="0.3">
      <c r="A57" s="132" t="s">
        <v>1055</v>
      </c>
      <c r="B57" s="132" t="s">
        <v>1061</v>
      </c>
      <c r="C57" s="132" t="s">
        <v>878</v>
      </c>
      <c r="D57" s="132" t="s">
        <v>894</v>
      </c>
      <c r="E57" s="132">
        <v>0</v>
      </c>
      <c r="F57" s="132"/>
    </row>
    <row r="58" spans="1:6" x14ac:dyDescent="0.3">
      <c r="A58" s="132" t="s">
        <v>1055</v>
      </c>
      <c r="B58" s="132" t="s">
        <v>1062</v>
      </c>
      <c r="C58" s="132" t="s">
        <v>878</v>
      </c>
      <c r="D58" s="132" t="s">
        <v>1626</v>
      </c>
      <c r="E58" s="132">
        <v>138.6</v>
      </c>
      <c r="F58" s="132"/>
    </row>
    <row r="59" spans="1:6" x14ac:dyDescent="0.3">
      <c r="A59" s="132" t="s">
        <v>1055</v>
      </c>
      <c r="B59" s="132" t="s">
        <v>1063</v>
      </c>
      <c r="C59" s="132" t="s">
        <v>878</v>
      </c>
      <c r="D59" s="132" t="s">
        <v>894</v>
      </c>
      <c r="E59" s="132">
        <v>0</v>
      </c>
      <c r="F59" s="132"/>
    </row>
    <row r="60" spans="1:6" x14ac:dyDescent="0.3">
      <c r="A60" s="132" t="s">
        <v>1066</v>
      </c>
      <c r="B60" s="132" t="s">
        <v>1067</v>
      </c>
      <c r="C60" s="132" t="s">
        <v>878</v>
      </c>
      <c r="D60" s="132" t="s">
        <v>1456</v>
      </c>
      <c r="E60" s="132">
        <v>138.35331300000001</v>
      </c>
      <c r="F60" s="132"/>
    </row>
    <row r="61" spans="1:6" x14ac:dyDescent="0.3">
      <c r="A61" s="132" t="s">
        <v>1066</v>
      </c>
      <c r="B61" s="132" t="s">
        <v>1068</v>
      </c>
      <c r="C61" s="132" t="s">
        <v>878</v>
      </c>
      <c r="D61" s="132" t="s">
        <v>894</v>
      </c>
      <c r="E61" s="132">
        <v>0</v>
      </c>
      <c r="F61" s="132"/>
    </row>
    <row r="62" spans="1:6" x14ac:dyDescent="0.3">
      <c r="A62" s="132" t="s">
        <v>1066</v>
      </c>
      <c r="B62" s="132" t="s">
        <v>915</v>
      </c>
      <c r="C62" s="132" t="s">
        <v>878</v>
      </c>
      <c r="D62" s="132" t="s">
        <v>1069</v>
      </c>
      <c r="E62" s="132">
        <v>82.655999999999992</v>
      </c>
      <c r="F62" s="132"/>
    </row>
    <row r="63" spans="1:6" x14ac:dyDescent="0.3">
      <c r="A63" s="132" t="s">
        <v>1066</v>
      </c>
      <c r="B63" s="132" t="s">
        <v>1072</v>
      </c>
      <c r="C63" s="132" t="s">
        <v>878</v>
      </c>
      <c r="D63" s="132" t="s">
        <v>894</v>
      </c>
      <c r="E63" s="132">
        <v>0</v>
      </c>
      <c r="F63" s="132"/>
    </row>
    <row r="64" spans="1:6" x14ac:dyDescent="0.3">
      <c r="A64" s="132" t="s">
        <v>1066</v>
      </c>
      <c r="B64" s="132" t="s">
        <v>1038</v>
      </c>
      <c r="C64" s="132" t="s">
        <v>878</v>
      </c>
      <c r="D64" s="132" t="s">
        <v>1460</v>
      </c>
      <c r="E64" s="132">
        <v>218.81115899999998</v>
      </c>
      <c r="F64" s="132"/>
    </row>
    <row r="65" spans="1:6" x14ac:dyDescent="0.3">
      <c r="A65" s="132" t="s">
        <v>1066</v>
      </c>
      <c r="B65" s="132" t="s">
        <v>1041</v>
      </c>
      <c r="C65" s="132" t="s">
        <v>878</v>
      </c>
      <c r="D65" s="132" t="s">
        <v>1627</v>
      </c>
      <c r="E65" s="132">
        <v>77.255597999999992</v>
      </c>
      <c r="F65" s="132"/>
    </row>
    <row r="66" spans="1:6" x14ac:dyDescent="0.3">
      <c r="A66" s="132" t="s">
        <v>1066</v>
      </c>
      <c r="B66" s="132" t="s">
        <v>1075</v>
      </c>
      <c r="C66" s="132" t="s">
        <v>878</v>
      </c>
      <c r="D66" s="132" t="s">
        <v>1076</v>
      </c>
      <c r="E66" s="132">
        <v>88.107600000000005</v>
      </c>
      <c r="F66" s="132"/>
    </row>
    <row r="67" spans="1:6" x14ac:dyDescent="0.3">
      <c r="A67" s="132" t="s">
        <v>1066</v>
      </c>
      <c r="B67" s="132" t="s">
        <v>910</v>
      </c>
      <c r="C67" s="132" t="s">
        <v>878</v>
      </c>
      <c r="D67" s="132" t="s">
        <v>894</v>
      </c>
      <c r="E67" s="132">
        <v>0</v>
      </c>
      <c r="F67" s="132"/>
    </row>
    <row r="68" spans="1:6" x14ac:dyDescent="0.3">
      <c r="A68" s="132" t="s">
        <v>1066</v>
      </c>
      <c r="B68" s="132" t="s">
        <v>909</v>
      </c>
      <c r="C68" s="132" t="s">
        <v>878</v>
      </c>
      <c r="D68" s="132" t="s">
        <v>1628</v>
      </c>
      <c r="E68" s="132">
        <v>89.7</v>
      </c>
      <c r="F68" s="132"/>
    </row>
    <row r="69" spans="1:6" x14ac:dyDescent="0.3">
      <c r="A69" s="132" t="s">
        <v>1079</v>
      </c>
      <c r="B69" s="132" t="s">
        <v>1080</v>
      </c>
      <c r="C69" s="132" t="s">
        <v>878</v>
      </c>
      <c r="D69" s="132" t="s">
        <v>894</v>
      </c>
      <c r="E69" s="132">
        <v>0</v>
      </c>
      <c r="F69" s="132"/>
    </row>
    <row r="70" spans="1:6" x14ac:dyDescent="0.3">
      <c r="A70" s="132" t="s">
        <v>1079</v>
      </c>
      <c r="B70" s="132" t="s">
        <v>1082</v>
      </c>
      <c r="C70" s="132" t="s">
        <v>878</v>
      </c>
      <c r="D70" s="132" t="s">
        <v>1629</v>
      </c>
      <c r="E70" s="132">
        <v>114.6918</v>
      </c>
      <c r="F70" s="132"/>
    </row>
    <row r="71" spans="1:6" x14ac:dyDescent="0.3">
      <c r="A71" s="132" t="s">
        <v>1079</v>
      </c>
      <c r="B71" s="132" t="s">
        <v>1083</v>
      </c>
      <c r="C71" s="132" t="s">
        <v>878</v>
      </c>
      <c r="D71" s="132" t="s">
        <v>1630</v>
      </c>
      <c r="E71" s="132">
        <v>134.892696</v>
      </c>
      <c r="F71" s="132"/>
    </row>
    <row r="72" spans="1:6" x14ac:dyDescent="0.3">
      <c r="A72" s="132" t="s">
        <v>1079</v>
      </c>
      <c r="B72" s="132" t="s">
        <v>1084</v>
      </c>
      <c r="C72" s="132" t="s">
        <v>878</v>
      </c>
      <c r="D72" s="132" t="s">
        <v>894</v>
      </c>
      <c r="E72" s="132">
        <v>0</v>
      </c>
      <c r="F72" s="132"/>
    </row>
    <row r="73" spans="1:6" x14ac:dyDescent="0.3">
      <c r="A73" s="132" t="s">
        <v>1079</v>
      </c>
      <c r="B73" s="132" t="s">
        <v>1085</v>
      </c>
      <c r="C73" s="132" t="s">
        <v>878</v>
      </c>
      <c r="D73" s="132" t="s">
        <v>894</v>
      </c>
      <c r="E73" s="132">
        <v>0</v>
      </c>
      <c r="F73" s="132"/>
    </row>
    <row r="74" spans="1:6" x14ac:dyDescent="0.3">
      <c r="A74" s="132" t="s">
        <v>1079</v>
      </c>
      <c r="B74" s="132" t="s">
        <v>1086</v>
      </c>
      <c r="C74" s="132" t="s">
        <v>878</v>
      </c>
      <c r="D74" s="132" t="s">
        <v>1631</v>
      </c>
      <c r="E74" s="132">
        <v>130.95146400000002</v>
      </c>
      <c r="F74" s="132"/>
    </row>
    <row r="75" spans="1:6" x14ac:dyDescent="0.3">
      <c r="A75" s="132" t="s">
        <v>1079</v>
      </c>
      <c r="B75" s="132" t="s">
        <v>1087</v>
      </c>
      <c r="C75" s="132" t="s">
        <v>878</v>
      </c>
      <c r="D75" s="132" t="s">
        <v>894</v>
      </c>
      <c r="E75" s="132">
        <v>0</v>
      </c>
      <c r="F75" s="132"/>
    </row>
    <row r="76" spans="1:6" x14ac:dyDescent="0.3">
      <c r="A76" s="132" t="s">
        <v>1079</v>
      </c>
      <c r="B76" s="132" t="s">
        <v>1088</v>
      </c>
      <c r="C76" s="132" t="s">
        <v>878</v>
      </c>
      <c r="D76" s="132" t="s">
        <v>894</v>
      </c>
      <c r="E76" s="132">
        <v>0</v>
      </c>
      <c r="F76" s="132"/>
    </row>
    <row r="77" spans="1:6" x14ac:dyDescent="0.3">
      <c r="A77" s="132" t="s">
        <v>1089</v>
      </c>
      <c r="B77" s="132" t="s">
        <v>1090</v>
      </c>
      <c r="C77" s="132" t="s">
        <v>878</v>
      </c>
      <c r="D77" s="132" t="s">
        <v>894</v>
      </c>
      <c r="E77" s="132">
        <v>0</v>
      </c>
      <c r="F77" s="132"/>
    </row>
    <row r="78" spans="1:6" x14ac:dyDescent="0.3">
      <c r="A78" s="132" t="s">
        <v>1089</v>
      </c>
      <c r="B78" s="132" t="s">
        <v>1027</v>
      </c>
      <c r="C78" s="132" t="s">
        <v>878</v>
      </c>
      <c r="D78" s="132" t="s">
        <v>1474</v>
      </c>
      <c r="E78" s="132">
        <v>177.34527449999999</v>
      </c>
      <c r="F78" s="132"/>
    </row>
    <row r="79" spans="1:6" x14ac:dyDescent="0.3">
      <c r="A79" s="132" t="s">
        <v>1089</v>
      </c>
      <c r="B79" s="132" t="s">
        <v>1092</v>
      </c>
      <c r="C79" s="132" t="s">
        <v>878</v>
      </c>
      <c r="D79" s="132" t="s">
        <v>1095</v>
      </c>
      <c r="E79" s="132">
        <v>71.34</v>
      </c>
      <c r="F79" s="132"/>
    </row>
    <row r="80" spans="1:6" x14ac:dyDescent="0.3">
      <c r="A80" s="132" t="s">
        <v>1089</v>
      </c>
      <c r="B80" s="132" t="s">
        <v>1093</v>
      </c>
      <c r="C80" s="132" t="s">
        <v>878</v>
      </c>
      <c r="D80" s="132" t="s">
        <v>1478</v>
      </c>
      <c r="E80" s="132">
        <v>242.57920500000003</v>
      </c>
      <c r="F80" s="132"/>
    </row>
    <row r="81" spans="1:6" x14ac:dyDescent="0.3">
      <c r="A81" s="132" t="s">
        <v>1089</v>
      </c>
      <c r="B81" s="132" t="s">
        <v>1094</v>
      </c>
      <c r="C81" s="132" t="s">
        <v>878</v>
      </c>
      <c r="D81" s="132" t="s">
        <v>1095</v>
      </c>
      <c r="E81" s="132">
        <v>71.34</v>
      </c>
      <c r="F81" s="132"/>
    </row>
    <row r="82" spans="1:6" x14ac:dyDescent="0.3">
      <c r="A82" s="132" t="s">
        <v>1089</v>
      </c>
      <c r="B82" s="132" t="s">
        <v>923</v>
      </c>
      <c r="C82" s="132" t="s">
        <v>878</v>
      </c>
      <c r="D82" s="132" t="s">
        <v>894</v>
      </c>
      <c r="E82" s="132">
        <v>0</v>
      </c>
      <c r="F82" s="132"/>
    </row>
    <row r="83" spans="1:6" x14ac:dyDescent="0.3">
      <c r="A83" s="132" t="s">
        <v>1089</v>
      </c>
      <c r="B83" s="132" t="s">
        <v>911</v>
      </c>
      <c r="C83" s="132" t="s">
        <v>878</v>
      </c>
      <c r="D83" s="132" t="s">
        <v>894</v>
      </c>
      <c r="E83" s="132">
        <v>0</v>
      </c>
      <c r="F83" s="132"/>
    </row>
    <row r="84" spans="1:6" x14ac:dyDescent="0.3">
      <c r="A84" s="132" t="s">
        <v>1089</v>
      </c>
      <c r="B84" s="132" t="s">
        <v>905</v>
      </c>
      <c r="C84" s="132" t="s">
        <v>878</v>
      </c>
      <c r="D84" s="132" t="s">
        <v>1483</v>
      </c>
      <c r="E84" s="132">
        <v>153.40278899999998</v>
      </c>
      <c r="F84" s="132"/>
    </row>
    <row r="85" spans="1:6" x14ac:dyDescent="0.3">
      <c r="A85" s="132" t="s">
        <v>1100</v>
      </c>
      <c r="B85" s="132" t="s">
        <v>1101</v>
      </c>
      <c r="C85" s="132" t="s">
        <v>878</v>
      </c>
      <c r="D85" s="132" t="s">
        <v>894</v>
      </c>
      <c r="E85" s="132">
        <v>0</v>
      </c>
      <c r="F85" s="132"/>
    </row>
    <row r="86" spans="1:6" x14ac:dyDescent="0.3">
      <c r="A86" s="132" t="s">
        <v>1100</v>
      </c>
      <c r="B86" s="132" t="s">
        <v>1102</v>
      </c>
      <c r="C86" s="132" t="s">
        <v>878</v>
      </c>
      <c r="D86" s="132" t="s">
        <v>894</v>
      </c>
      <c r="E86" s="132">
        <v>0</v>
      </c>
      <c r="F86" s="132"/>
    </row>
    <row r="87" spans="1:6" x14ac:dyDescent="0.3">
      <c r="A87" s="132" t="s">
        <v>1100</v>
      </c>
      <c r="B87" s="132" t="s">
        <v>1059</v>
      </c>
      <c r="C87" s="132" t="s">
        <v>878</v>
      </c>
      <c r="D87" s="132" t="s">
        <v>894</v>
      </c>
      <c r="E87" s="132">
        <v>0</v>
      </c>
      <c r="F87" s="132"/>
    </row>
    <row r="88" spans="1:6" x14ac:dyDescent="0.3">
      <c r="A88" s="132" t="s">
        <v>1100</v>
      </c>
      <c r="B88" s="132" t="s">
        <v>1104</v>
      </c>
      <c r="C88" s="132" t="s">
        <v>878</v>
      </c>
      <c r="D88" s="132" t="s">
        <v>894</v>
      </c>
      <c r="E88" s="132">
        <v>0</v>
      </c>
      <c r="F88" s="132"/>
    </row>
    <row r="89" spans="1:6" x14ac:dyDescent="0.3">
      <c r="A89" s="132" t="s">
        <v>1100</v>
      </c>
      <c r="B89" s="132" t="s">
        <v>1105</v>
      </c>
      <c r="C89" s="132" t="s">
        <v>878</v>
      </c>
      <c r="D89" s="132" t="s">
        <v>894</v>
      </c>
      <c r="E89" s="132">
        <v>0</v>
      </c>
      <c r="F89" s="132"/>
    </row>
    <row r="90" spans="1:6" x14ac:dyDescent="0.3">
      <c r="A90" s="132" t="s">
        <v>1106</v>
      </c>
      <c r="B90" s="132" t="s">
        <v>1107</v>
      </c>
      <c r="C90" s="132" t="s">
        <v>878</v>
      </c>
      <c r="D90" s="132" t="s">
        <v>894</v>
      </c>
      <c r="E90" s="132">
        <v>0</v>
      </c>
      <c r="F90" s="132"/>
    </row>
    <row r="91" spans="1:6" x14ac:dyDescent="0.3">
      <c r="A91" s="132" t="s">
        <v>1106</v>
      </c>
      <c r="B91" s="132" t="s">
        <v>1072</v>
      </c>
      <c r="C91" s="132" t="s">
        <v>878</v>
      </c>
      <c r="D91" s="132" t="s">
        <v>1108</v>
      </c>
      <c r="E91" s="132">
        <v>70.355999999999995</v>
      </c>
      <c r="F91" s="132"/>
    </row>
    <row r="92" spans="1:6" x14ac:dyDescent="0.3">
      <c r="A92" s="132" t="s">
        <v>1106</v>
      </c>
      <c r="B92" s="132" t="s">
        <v>1109</v>
      </c>
      <c r="C92" s="132" t="s">
        <v>878</v>
      </c>
      <c r="D92" s="132" t="s">
        <v>1108</v>
      </c>
      <c r="E92" s="132">
        <v>70.355999999999995</v>
      </c>
      <c r="F92" s="132"/>
    </row>
    <row r="93" spans="1:6" x14ac:dyDescent="0.3">
      <c r="A93" s="132" t="s">
        <v>1106</v>
      </c>
      <c r="B93" s="132" t="s">
        <v>1113</v>
      </c>
      <c r="C93" s="132" t="s">
        <v>878</v>
      </c>
      <c r="D93" s="132" t="s">
        <v>894</v>
      </c>
      <c r="E93" s="132">
        <v>0</v>
      </c>
      <c r="F93" s="132"/>
    </row>
    <row r="94" spans="1:6" x14ac:dyDescent="0.3">
      <c r="A94" s="132" t="s">
        <v>1106</v>
      </c>
      <c r="B94" s="132" t="s">
        <v>1114</v>
      </c>
      <c r="C94" s="132" t="s">
        <v>878</v>
      </c>
      <c r="D94" s="132" t="s">
        <v>1494</v>
      </c>
      <c r="E94" s="132">
        <v>95.425616999999988</v>
      </c>
      <c r="F94" s="132"/>
    </row>
    <row r="95" spans="1:6" x14ac:dyDescent="0.3">
      <c r="A95" s="132" t="s">
        <v>1106</v>
      </c>
      <c r="B95" s="132" t="s">
        <v>1115</v>
      </c>
      <c r="C95" s="132" t="s">
        <v>878</v>
      </c>
      <c r="D95" s="132" t="s">
        <v>894</v>
      </c>
      <c r="E95" s="132">
        <v>0</v>
      </c>
      <c r="F95" s="132"/>
    </row>
    <row r="96" spans="1:6" x14ac:dyDescent="0.3">
      <c r="A96" s="132" t="s">
        <v>1106</v>
      </c>
      <c r="B96" s="132" t="s">
        <v>1116</v>
      </c>
      <c r="C96" s="132" t="s">
        <v>878</v>
      </c>
      <c r="D96" s="132" t="s">
        <v>894</v>
      </c>
      <c r="E96" s="132">
        <v>0</v>
      </c>
      <c r="F96" s="132"/>
    </row>
    <row r="97" spans="1:6" x14ac:dyDescent="0.3">
      <c r="A97" s="132" t="s">
        <v>1106</v>
      </c>
      <c r="B97" s="132" t="s">
        <v>921</v>
      </c>
      <c r="C97" s="132" t="s">
        <v>878</v>
      </c>
      <c r="D97" s="132" t="s">
        <v>894</v>
      </c>
      <c r="E97" s="132">
        <v>0</v>
      </c>
      <c r="F97" s="132"/>
    </row>
    <row r="98" spans="1:6" x14ac:dyDescent="0.3">
      <c r="A98" s="132" t="s">
        <v>1119</v>
      </c>
      <c r="B98" s="132" t="s">
        <v>1063</v>
      </c>
      <c r="C98" s="132" t="s">
        <v>878</v>
      </c>
      <c r="D98" s="132" t="s">
        <v>1622</v>
      </c>
      <c r="E98" s="132">
        <v>39.72</v>
      </c>
      <c r="F98" s="132"/>
    </row>
    <row r="99" spans="1:6" x14ac:dyDescent="0.3">
      <c r="A99" s="132" t="s">
        <v>1119</v>
      </c>
      <c r="B99" s="132" t="s">
        <v>1032</v>
      </c>
      <c r="C99" s="132" t="s">
        <v>878</v>
      </c>
      <c r="D99" s="132" t="s">
        <v>1120</v>
      </c>
      <c r="E99" s="132">
        <v>76.98</v>
      </c>
      <c r="F99" s="132"/>
    </row>
    <row r="100" spans="1:6" x14ac:dyDescent="0.3">
      <c r="A100" s="132" t="s">
        <v>1119</v>
      </c>
      <c r="B100" s="132" t="s">
        <v>1061</v>
      </c>
      <c r="C100" s="132" t="s">
        <v>878</v>
      </c>
      <c r="D100" s="132" t="s">
        <v>1622</v>
      </c>
      <c r="E100" s="132">
        <v>39.72</v>
      </c>
      <c r="F100" s="132"/>
    </row>
    <row r="101" spans="1:6" x14ac:dyDescent="0.3">
      <c r="A101" s="132" t="s">
        <v>1119</v>
      </c>
      <c r="B101" s="132" t="s">
        <v>1123</v>
      </c>
      <c r="C101" s="132" t="s">
        <v>878</v>
      </c>
      <c r="D101" s="132" t="s">
        <v>1622</v>
      </c>
      <c r="E101" s="132">
        <v>39.72</v>
      </c>
      <c r="F101" s="132"/>
    </row>
    <row r="102" spans="1:6" x14ac:dyDescent="0.3">
      <c r="A102" s="132" t="s">
        <v>1119</v>
      </c>
      <c r="B102" s="132" t="s">
        <v>1125</v>
      </c>
      <c r="C102" s="132" t="s">
        <v>878</v>
      </c>
      <c r="D102" s="132" t="s">
        <v>1622</v>
      </c>
      <c r="E102" s="132">
        <v>39.72</v>
      </c>
      <c r="F102" s="132"/>
    </row>
    <row r="103" spans="1:6" x14ac:dyDescent="0.3">
      <c r="A103" s="132" t="s">
        <v>1119</v>
      </c>
      <c r="B103" s="132" t="s">
        <v>1116</v>
      </c>
      <c r="C103" s="132" t="s">
        <v>878</v>
      </c>
      <c r="D103" s="132" t="s">
        <v>1622</v>
      </c>
      <c r="E103" s="132">
        <v>39.72</v>
      </c>
      <c r="F103" s="132"/>
    </row>
    <row r="104" spans="1:6" x14ac:dyDescent="0.3">
      <c r="A104" s="132" t="s">
        <v>1119</v>
      </c>
      <c r="B104" s="132" t="s">
        <v>921</v>
      </c>
      <c r="C104" s="132" t="s">
        <v>878</v>
      </c>
      <c r="D104" s="132" t="s">
        <v>1622</v>
      </c>
      <c r="E104" s="132">
        <v>39.72</v>
      </c>
      <c r="F104" s="132"/>
    </row>
    <row r="105" spans="1:6" x14ac:dyDescent="0.3">
      <c r="A105" s="132" t="s">
        <v>1119</v>
      </c>
      <c r="B105" s="132" t="s">
        <v>1126</v>
      </c>
      <c r="C105" s="132" t="s">
        <v>878</v>
      </c>
      <c r="D105" s="132" t="s">
        <v>1622</v>
      </c>
      <c r="E105" s="132">
        <v>39.72</v>
      </c>
      <c r="F105" s="132"/>
    </row>
    <row r="106" spans="1:6" x14ac:dyDescent="0.3">
      <c r="A106" s="132" t="s">
        <v>1128</v>
      </c>
      <c r="B106" s="132" t="s">
        <v>905</v>
      </c>
      <c r="C106" s="132" t="s">
        <v>878</v>
      </c>
      <c r="D106" s="132" t="s">
        <v>894</v>
      </c>
      <c r="E106" s="132">
        <v>0</v>
      </c>
      <c r="F106" s="132"/>
    </row>
    <row r="107" spans="1:6" x14ac:dyDescent="0.3">
      <c r="A107" s="132" t="s">
        <v>1128</v>
      </c>
      <c r="B107" s="132" t="s">
        <v>912</v>
      </c>
      <c r="C107" s="132" t="s">
        <v>878</v>
      </c>
      <c r="D107" s="132" t="s">
        <v>1632</v>
      </c>
      <c r="E107" s="132">
        <v>114.53999999999999</v>
      </c>
      <c r="F107" s="132"/>
    </row>
    <row r="108" spans="1:6" x14ac:dyDescent="0.3">
      <c r="A108" s="132" t="s">
        <v>1128</v>
      </c>
      <c r="B108" s="132" t="s">
        <v>1093</v>
      </c>
      <c r="C108" s="132" t="s">
        <v>878</v>
      </c>
      <c r="D108" s="132" t="s">
        <v>1129</v>
      </c>
      <c r="E108" s="132">
        <v>95.46</v>
      </c>
      <c r="F108" s="132"/>
    </row>
    <row r="109" spans="1:6" x14ac:dyDescent="0.3">
      <c r="A109" s="132" t="s">
        <v>1128</v>
      </c>
      <c r="B109" s="132" t="s">
        <v>1039</v>
      </c>
      <c r="C109" s="132" t="s">
        <v>878</v>
      </c>
      <c r="D109" s="132" t="s">
        <v>1509</v>
      </c>
      <c r="E109" s="132">
        <v>167.119248</v>
      </c>
      <c r="F109" s="132"/>
    </row>
    <row r="110" spans="1:6" x14ac:dyDescent="0.3">
      <c r="A110" s="132" t="s">
        <v>1128</v>
      </c>
      <c r="B110" s="132" t="s">
        <v>1130</v>
      </c>
      <c r="C110" s="132" t="s">
        <v>878</v>
      </c>
      <c r="D110" s="132" t="s">
        <v>894</v>
      </c>
      <c r="E110" s="132">
        <v>0</v>
      </c>
      <c r="F110" s="132"/>
    </row>
    <row r="111" spans="1:6" x14ac:dyDescent="0.3">
      <c r="A111" s="132" t="s">
        <v>1132</v>
      </c>
      <c r="B111" s="132" t="s">
        <v>921</v>
      </c>
      <c r="C111" s="132" t="s">
        <v>878</v>
      </c>
      <c r="D111" s="132" t="s">
        <v>894</v>
      </c>
      <c r="E111" s="132">
        <v>0</v>
      </c>
      <c r="F111" s="132"/>
    </row>
    <row r="112" spans="1:6" x14ac:dyDescent="0.3">
      <c r="A112" s="132" t="s">
        <v>1132</v>
      </c>
      <c r="B112" s="132" t="s">
        <v>1135</v>
      </c>
      <c r="C112" s="132" t="s">
        <v>878</v>
      </c>
      <c r="D112" s="132" t="s">
        <v>894</v>
      </c>
      <c r="E112" s="132">
        <v>0</v>
      </c>
      <c r="F112" s="132"/>
    </row>
    <row r="113" spans="1:6" x14ac:dyDescent="0.3">
      <c r="A113" s="132" t="s">
        <v>1132</v>
      </c>
      <c r="B113" s="132" t="s">
        <v>1126</v>
      </c>
      <c r="C113" s="132" t="s">
        <v>878</v>
      </c>
      <c r="D113" s="132" t="s">
        <v>894</v>
      </c>
      <c r="E113" s="132">
        <v>0</v>
      </c>
      <c r="F113" s="132"/>
    </row>
    <row r="114" spans="1:6" x14ac:dyDescent="0.3">
      <c r="A114" s="132" t="s">
        <v>1132</v>
      </c>
      <c r="B114" s="132" t="s">
        <v>1114</v>
      </c>
      <c r="C114" s="132" t="s">
        <v>878</v>
      </c>
      <c r="D114" s="132" t="s">
        <v>894</v>
      </c>
      <c r="E114" s="132">
        <v>0</v>
      </c>
      <c r="F114" s="132"/>
    </row>
    <row r="115" spans="1:6" x14ac:dyDescent="0.3">
      <c r="A115" s="132" t="s">
        <v>1132</v>
      </c>
      <c r="B115" s="132" t="s">
        <v>1063</v>
      </c>
      <c r="C115" s="132" t="s">
        <v>878</v>
      </c>
      <c r="D115" s="132" t="s">
        <v>894</v>
      </c>
      <c r="E115" s="132">
        <v>0</v>
      </c>
      <c r="F115" s="132"/>
    </row>
    <row r="116" spans="1:6" x14ac:dyDescent="0.3">
      <c r="A116" s="132" t="s">
        <v>1132</v>
      </c>
      <c r="B116" s="132" t="s">
        <v>1138</v>
      </c>
      <c r="C116" s="132" t="s">
        <v>878</v>
      </c>
      <c r="D116" s="132" t="s">
        <v>894</v>
      </c>
      <c r="E116" s="132">
        <v>0</v>
      </c>
      <c r="F116" s="132"/>
    </row>
    <row r="117" spans="1:6" x14ac:dyDescent="0.3">
      <c r="A117" s="132" t="s">
        <v>1132</v>
      </c>
      <c r="B117" s="132" t="s">
        <v>1056</v>
      </c>
      <c r="C117" s="132" t="s">
        <v>878</v>
      </c>
      <c r="D117" s="132" t="s">
        <v>894</v>
      </c>
      <c r="E117" s="132">
        <v>0</v>
      </c>
      <c r="F117" s="132"/>
    </row>
    <row r="118" spans="1:6" x14ac:dyDescent="0.3">
      <c r="A118" s="132" t="s">
        <v>1132</v>
      </c>
      <c r="B118" s="132" t="s">
        <v>1140</v>
      </c>
      <c r="C118" s="132" t="s">
        <v>878</v>
      </c>
      <c r="D118" s="132" t="s">
        <v>894</v>
      </c>
      <c r="E118" s="132">
        <v>0</v>
      </c>
      <c r="F118" s="132"/>
    </row>
    <row r="119" spans="1:6" x14ac:dyDescent="0.3">
      <c r="A119" s="132" t="s">
        <v>1132</v>
      </c>
      <c r="B119" s="132" t="s">
        <v>1116</v>
      </c>
      <c r="C119" s="132" t="s">
        <v>878</v>
      </c>
      <c r="D119" s="132" t="s">
        <v>894</v>
      </c>
      <c r="E119" s="132">
        <v>0</v>
      </c>
      <c r="F119" s="132"/>
    </row>
    <row r="120" spans="1:6" x14ac:dyDescent="0.3">
      <c r="A120" s="132" t="s">
        <v>1132</v>
      </c>
      <c r="B120" s="132" t="s">
        <v>1059</v>
      </c>
      <c r="C120" s="132" t="s">
        <v>878</v>
      </c>
      <c r="D120" s="132" t="s">
        <v>894</v>
      </c>
      <c r="E120" s="132">
        <v>0</v>
      </c>
      <c r="F120" s="132"/>
    </row>
    <row r="121" spans="1:6" x14ac:dyDescent="0.3">
      <c r="A121" s="132" t="s">
        <v>1132</v>
      </c>
      <c r="B121" s="132" t="s">
        <v>1062</v>
      </c>
      <c r="C121" s="132" t="s">
        <v>878</v>
      </c>
      <c r="D121" s="132" t="s">
        <v>894</v>
      </c>
      <c r="E121" s="132">
        <v>0</v>
      </c>
      <c r="F121" s="132"/>
    </row>
    <row r="122" spans="1:6" x14ac:dyDescent="0.3">
      <c r="A122" s="132" t="s">
        <v>1141</v>
      </c>
      <c r="B122" s="132" t="s">
        <v>1092</v>
      </c>
      <c r="C122" s="132" t="s">
        <v>878</v>
      </c>
      <c r="D122" s="132" t="s">
        <v>894</v>
      </c>
      <c r="E122" s="132">
        <v>0</v>
      </c>
      <c r="F122" s="132"/>
    </row>
    <row r="123" spans="1:6" x14ac:dyDescent="0.3">
      <c r="A123" s="132" t="s">
        <v>1141</v>
      </c>
      <c r="B123" s="132" t="s">
        <v>1143</v>
      </c>
      <c r="C123" s="132" t="s">
        <v>878</v>
      </c>
      <c r="D123" s="132" t="s">
        <v>894</v>
      </c>
      <c r="E123" s="132">
        <v>0</v>
      </c>
      <c r="F123" s="132"/>
    </row>
    <row r="124" spans="1:6" x14ac:dyDescent="0.3">
      <c r="A124" s="132" t="s">
        <v>1141</v>
      </c>
      <c r="B124" s="132" t="s">
        <v>1041</v>
      </c>
      <c r="C124" s="132" t="s">
        <v>878</v>
      </c>
      <c r="D124" s="132" t="s">
        <v>894</v>
      </c>
      <c r="E124" s="132">
        <v>0</v>
      </c>
      <c r="F124" s="132"/>
    </row>
    <row r="125" spans="1:6" x14ac:dyDescent="0.3">
      <c r="A125" s="132" t="s">
        <v>1141</v>
      </c>
      <c r="B125" s="132" t="s">
        <v>1146</v>
      </c>
      <c r="C125" s="132" t="s">
        <v>878</v>
      </c>
      <c r="D125" s="132" t="s">
        <v>894</v>
      </c>
      <c r="E125" s="132">
        <v>0</v>
      </c>
      <c r="F125" s="132"/>
    </row>
    <row r="126" spans="1:6" x14ac:dyDescent="0.3">
      <c r="A126" s="132" t="s">
        <v>1141</v>
      </c>
      <c r="B126" s="132" t="s">
        <v>1147</v>
      </c>
      <c r="C126" s="132" t="s">
        <v>878</v>
      </c>
      <c r="D126" s="132" t="s">
        <v>1633</v>
      </c>
      <c r="E126" s="132">
        <v>112.26772800000001</v>
      </c>
      <c r="F126" s="132"/>
    </row>
    <row r="127" spans="1:6" x14ac:dyDescent="0.3">
      <c r="A127" s="132" t="s">
        <v>1141</v>
      </c>
      <c r="B127" s="132" t="s">
        <v>1031</v>
      </c>
      <c r="C127" s="132" t="s">
        <v>878</v>
      </c>
      <c r="D127" s="132" t="s">
        <v>1634</v>
      </c>
      <c r="E127" s="132">
        <v>101.58</v>
      </c>
      <c r="F127" s="132"/>
    </row>
    <row r="128" spans="1:6" x14ac:dyDescent="0.3">
      <c r="A128" s="132" t="s">
        <v>1149</v>
      </c>
      <c r="B128" s="132" t="s">
        <v>1107</v>
      </c>
      <c r="C128" s="132" t="s">
        <v>878</v>
      </c>
      <c r="D128" s="132" t="s">
        <v>894</v>
      </c>
      <c r="E128" s="132">
        <v>0</v>
      </c>
      <c r="F128" s="132"/>
    </row>
    <row r="129" spans="1:6" x14ac:dyDescent="0.3">
      <c r="A129" s="132" t="s">
        <v>1149</v>
      </c>
      <c r="B129" s="132" t="s">
        <v>1150</v>
      </c>
      <c r="C129" s="132" t="s">
        <v>878</v>
      </c>
      <c r="D129" s="132" t="s">
        <v>1151</v>
      </c>
      <c r="E129" s="132">
        <v>74.399999999999991</v>
      </c>
      <c r="F129" s="132"/>
    </row>
    <row r="130" spans="1:6" x14ac:dyDescent="0.3">
      <c r="A130" s="132" t="s">
        <v>1149</v>
      </c>
      <c r="B130" s="132" t="s">
        <v>1061</v>
      </c>
      <c r="C130" s="132" t="s">
        <v>878</v>
      </c>
      <c r="D130" s="132" t="s">
        <v>1527</v>
      </c>
      <c r="E130" s="132">
        <v>179.81284799999997</v>
      </c>
      <c r="F130" s="132"/>
    </row>
    <row r="131" spans="1:6" x14ac:dyDescent="0.3">
      <c r="A131" s="132" t="s">
        <v>1149</v>
      </c>
      <c r="B131" s="132" t="s">
        <v>1116</v>
      </c>
      <c r="C131" s="132" t="s">
        <v>878</v>
      </c>
      <c r="D131" s="132" t="s">
        <v>1530</v>
      </c>
      <c r="E131" s="132">
        <v>183.17484000000002</v>
      </c>
      <c r="F131" s="132"/>
    </row>
    <row r="132" spans="1:6" x14ac:dyDescent="0.3">
      <c r="A132" s="132" t="s">
        <v>1149</v>
      </c>
      <c r="B132" s="132" t="s">
        <v>1153</v>
      </c>
      <c r="C132" s="132" t="s">
        <v>878</v>
      </c>
      <c r="D132" s="132" t="s">
        <v>894</v>
      </c>
      <c r="E132" s="132">
        <v>0</v>
      </c>
      <c r="F132" s="132"/>
    </row>
    <row r="133" spans="1:6" x14ac:dyDescent="0.3">
      <c r="A133" s="132" t="s">
        <v>1154</v>
      </c>
      <c r="B133" s="132" t="s">
        <v>1094</v>
      </c>
      <c r="C133" s="132" t="s">
        <v>878</v>
      </c>
      <c r="D133" s="132" t="s">
        <v>1535</v>
      </c>
      <c r="E133" s="132">
        <v>187.47724799999997</v>
      </c>
      <c r="F133" s="132"/>
    </row>
    <row r="134" spans="1:6" x14ac:dyDescent="0.3">
      <c r="A134" s="132" t="s">
        <v>1154</v>
      </c>
      <c r="B134" s="132" t="s">
        <v>1155</v>
      </c>
      <c r="C134" s="132" t="s">
        <v>878</v>
      </c>
      <c r="D134" s="132" t="s">
        <v>1537</v>
      </c>
      <c r="E134" s="132">
        <v>166.76267999999999</v>
      </c>
      <c r="F134" s="132"/>
    </row>
    <row r="135" spans="1:6" x14ac:dyDescent="0.3">
      <c r="A135" s="132" t="s">
        <v>1154</v>
      </c>
      <c r="B135" s="132" t="s">
        <v>1156</v>
      </c>
      <c r="C135" s="132" t="s">
        <v>878</v>
      </c>
      <c r="D135" s="132" t="s">
        <v>1034</v>
      </c>
      <c r="E135" s="132">
        <v>108.44099999999999</v>
      </c>
      <c r="F135" s="132"/>
    </row>
    <row r="136" spans="1:6" x14ac:dyDescent="0.3">
      <c r="A136" s="132" t="s">
        <v>1154</v>
      </c>
      <c r="B136" s="132" t="s">
        <v>1157</v>
      </c>
      <c r="C136" s="132" t="s">
        <v>878</v>
      </c>
      <c r="D136" s="132" t="s">
        <v>894</v>
      </c>
      <c r="E136" s="132">
        <v>0</v>
      </c>
      <c r="F136" s="132"/>
    </row>
    <row r="137" spans="1:6" x14ac:dyDescent="0.3">
      <c r="A137" s="132" t="s">
        <v>1154</v>
      </c>
      <c r="B137" s="132" t="s">
        <v>1092</v>
      </c>
      <c r="C137" s="132" t="s">
        <v>878</v>
      </c>
      <c r="D137" s="132" t="s">
        <v>1635</v>
      </c>
      <c r="E137" s="132">
        <v>123.81633599999999</v>
      </c>
      <c r="F137" s="132"/>
    </row>
    <row r="138" spans="1:6" x14ac:dyDescent="0.3">
      <c r="A138" s="132" t="s">
        <v>1154</v>
      </c>
      <c r="B138" s="132" t="s">
        <v>912</v>
      </c>
      <c r="C138" s="132" t="s">
        <v>878</v>
      </c>
      <c r="D138" s="132" t="s">
        <v>1544</v>
      </c>
      <c r="E138" s="132">
        <v>188.73518399999998</v>
      </c>
      <c r="F138" s="132"/>
    </row>
    <row r="139" spans="1:6" x14ac:dyDescent="0.3">
      <c r="A139" s="132" t="s">
        <v>1154</v>
      </c>
      <c r="B139" s="132" t="s">
        <v>1093</v>
      </c>
      <c r="C139" s="132" t="s">
        <v>878</v>
      </c>
      <c r="D139" s="132" t="s">
        <v>894</v>
      </c>
      <c r="E139" s="132">
        <v>0</v>
      </c>
      <c r="F139" s="132"/>
    </row>
    <row r="140" spans="1:6" x14ac:dyDescent="0.3">
      <c r="A140" s="132" t="s">
        <v>1154</v>
      </c>
      <c r="B140" s="132" t="s">
        <v>1038</v>
      </c>
      <c r="C140" s="132" t="s">
        <v>878</v>
      </c>
      <c r="D140" s="132" t="s">
        <v>1159</v>
      </c>
      <c r="E140" s="132">
        <v>87.674399999999991</v>
      </c>
      <c r="F140" s="132"/>
    </row>
    <row r="141" spans="1:6" x14ac:dyDescent="0.3">
      <c r="A141" s="132" t="s">
        <v>1160</v>
      </c>
      <c r="B141" s="132" t="s">
        <v>1161</v>
      </c>
      <c r="C141" s="132" t="s">
        <v>878</v>
      </c>
      <c r="D141" s="132" t="s">
        <v>1162</v>
      </c>
      <c r="E141" s="132">
        <v>84.84</v>
      </c>
      <c r="F141" s="132"/>
    </row>
    <row r="142" spans="1:6" x14ac:dyDescent="0.3">
      <c r="A142" s="132" t="s">
        <v>1160</v>
      </c>
      <c r="B142" s="132" t="s">
        <v>1126</v>
      </c>
      <c r="C142" s="132" t="s">
        <v>878</v>
      </c>
      <c r="D142" s="132" t="s">
        <v>894</v>
      </c>
      <c r="E142" s="132">
        <v>0</v>
      </c>
      <c r="F142" s="132"/>
    </row>
    <row r="143" spans="1:6" x14ac:dyDescent="0.3">
      <c r="A143" s="132" t="s">
        <v>1160</v>
      </c>
      <c r="B143" s="132" t="s">
        <v>1164</v>
      </c>
      <c r="C143" s="132" t="s">
        <v>878</v>
      </c>
      <c r="D143" s="132" t="s">
        <v>1162</v>
      </c>
      <c r="E143" s="132">
        <v>84.84</v>
      </c>
      <c r="F143" s="132"/>
    </row>
    <row r="144" spans="1:6" x14ac:dyDescent="0.3">
      <c r="A144" s="132" t="s">
        <v>1160</v>
      </c>
      <c r="B144" s="132" t="s">
        <v>1165</v>
      </c>
      <c r="C144" s="132" t="s">
        <v>878</v>
      </c>
      <c r="D144" s="132" t="s">
        <v>894</v>
      </c>
      <c r="E144" s="132">
        <v>0</v>
      </c>
      <c r="F144" s="132"/>
    </row>
    <row r="145" spans="1:6" x14ac:dyDescent="0.3">
      <c r="A145" s="132" t="s">
        <v>1160</v>
      </c>
      <c r="B145" s="132" t="s">
        <v>1150</v>
      </c>
      <c r="C145" s="132" t="s">
        <v>878</v>
      </c>
      <c r="D145" s="132" t="s">
        <v>1550</v>
      </c>
      <c r="E145" s="132">
        <v>128.172504</v>
      </c>
      <c r="F145" s="132"/>
    </row>
    <row r="146" spans="1:6" x14ac:dyDescent="0.3">
      <c r="A146" s="132" t="s">
        <v>1160</v>
      </c>
      <c r="B146" s="132" t="s">
        <v>1061</v>
      </c>
      <c r="C146" s="132" t="s">
        <v>878</v>
      </c>
      <c r="D146" s="132" t="s">
        <v>1553</v>
      </c>
      <c r="E146" s="132">
        <v>135.55224000000001</v>
      </c>
      <c r="F146" s="132"/>
    </row>
    <row r="147" spans="1:6" x14ac:dyDescent="0.3">
      <c r="A147" s="132" t="s">
        <v>1160</v>
      </c>
      <c r="B147" s="132" t="s">
        <v>1060</v>
      </c>
      <c r="C147" s="132" t="s">
        <v>878</v>
      </c>
      <c r="D147" s="132" t="s">
        <v>894</v>
      </c>
      <c r="E147" s="132">
        <v>0</v>
      </c>
      <c r="F147" s="132"/>
    </row>
    <row r="148" spans="1:6" x14ac:dyDescent="0.3">
      <c r="A148" s="132" t="s">
        <v>1167</v>
      </c>
      <c r="B148" s="132" t="s">
        <v>1140</v>
      </c>
      <c r="C148" s="132" t="s">
        <v>878</v>
      </c>
      <c r="D148" s="132" t="s">
        <v>1556</v>
      </c>
      <c r="E148" s="132">
        <v>183.94807200000002</v>
      </c>
      <c r="F148" s="132"/>
    </row>
    <row r="149" spans="1:6" x14ac:dyDescent="0.3">
      <c r="A149" s="132" t="s">
        <v>1167</v>
      </c>
      <c r="B149" s="132" t="s">
        <v>1059</v>
      </c>
      <c r="C149" s="132" t="s">
        <v>878</v>
      </c>
      <c r="D149" s="132" t="s">
        <v>894</v>
      </c>
      <c r="E149" s="132">
        <v>0</v>
      </c>
      <c r="F149" s="132"/>
    </row>
    <row r="150" spans="1:6" x14ac:dyDescent="0.3">
      <c r="A150" s="132" t="s">
        <v>1167</v>
      </c>
      <c r="B150" s="132" t="s">
        <v>1061</v>
      </c>
      <c r="C150" s="132" t="s">
        <v>878</v>
      </c>
      <c r="D150" s="132" t="s">
        <v>1170</v>
      </c>
      <c r="E150" s="132">
        <v>77.099999999999994</v>
      </c>
      <c r="F150" s="132"/>
    </row>
    <row r="151" spans="1:6" x14ac:dyDescent="0.3">
      <c r="A151" s="132" t="s">
        <v>1167</v>
      </c>
      <c r="B151" s="132" t="s">
        <v>1172</v>
      </c>
      <c r="C151" s="132" t="s">
        <v>878</v>
      </c>
      <c r="D151" s="132" t="s">
        <v>894</v>
      </c>
      <c r="E151" s="132">
        <v>0</v>
      </c>
      <c r="F151" s="132"/>
    </row>
    <row r="152" spans="1:6" x14ac:dyDescent="0.3">
      <c r="A152" s="132" t="s">
        <v>1167</v>
      </c>
      <c r="B152" s="132" t="s">
        <v>1056</v>
      </c>
      <c r="C152" s="132" t="s">
        <v>878</v>
      </c>
      <c r="D152" s="132" t="s">
        <v>1175</v>
      </c>
      <c r="E152" s="132">
        <v>85.222199999999987</v>
      </c>
      <c r="F152" s="132"/>
    </row>
    <row r="153" spans="1:6" x14ac:dyDescent="0.3">
      <c r="A153" s="132" t="s">
        <v>1167</v>
      </c>
      <c r="B153" s="132" t="s">
        <v>1062</v>
      </c>
      <c r="C153" s="132" t="s">
        <v>878</v>
      </c>
      <c r="D153" s="132" t="s">
        <v>1175</v>
      </c>
      <c r="E153" s="132">
        <v>85.222199999999987</v>
      </c>
      <c r="F153" s="132"/>
    </row>
    <row r="154" spans="1:6" x14ac:dyDescent="0.3">
      <c r="A154" s="132" t="s">
        <v>1176</v>
      </c>
      <c r="B154" s="132" t="s">
        <v>1161</v>
      </c>
      <c r="C154" s="132" t="s">
        <v>878</v>
      </c>
      <c r="D154" s="132" t="s">
        <v>894</v>
      </c>
      <c r="E154" s="132">
        <v>0</v>
      </c>
      <c r="F154" s="132"/>
    </row>
    <row r="155" spans="1:6" x14ac:dyDescent="0.3">
      <c r="A155" s="132" t="s">
        <v>1176</v>
      </c>
      <c r="B155" s="132" t="s">
        <v>1125</v>
      </c>
      <c r="C155" s="132" t="s">
        <v>878</v>
      </c>
      <c r="D155" s="132" t="s">
        <v>894</v>
      </c>
      <c r="E155" s="132">
        <v>0</v>
      </c>
      <c r="F155" s="132"/>
    </row>
    <row r="156" spans="1:6" x14ac:dyDescent="0.3">
      <c r="A156" s="132" t="s">
        <v>1176</v>
      </c>
      <c r="B156" s="132" t="s">
        <v>1179</v>
      </c>
      <c r="C156" s="132" t="s">
        <v>878</v>
      </c>
      <c r="D156" s="132" t="s">
        <v>894</v>
      </c>
      <c r="E156" s="132">
        <v>0</v>
      </c>
      <c r="F156" s="132"/>
    </row>
    <row r="157" spans="1:6" x14ac:dyDescent="0.3">
      <c r="A157" s="132" t="s">
        <v>1176</v>
      </c>
      <c r="B157" s="132" t="s">
        <v>1150</v>
      </c>
      <c r="C157" s="132" t="s">
        <v>878</v>
      </c>
      <c r="D157" s="132" t="s">
        <v>894</v>
      </c>
      <c r="E157" s="132">
        <v>0</v>
      </c>
      <c r="F157" s="132"/>
    </row>
    <row r="158" spans="1:6" x14ac:dyDescent="0.3">
      <c r="A158" s="132" t="s">
        <v>1176</v>
      </c>
      <c r="B158" s="132" t="s">
        <v>1153</v>
      </c>
      <c r="C158" s="132" t="s">
        <v>878</v>
      </c>
      <c r="D158" s="132" t="s">
        <v>894</v>
      </c>
      <c r="E158" s="132">
        <v>0</v>
      </c>
      <c r="F158" s="132"/>
    </row>
    <row r="159" spans="1:6" x14ac:dyDescent="0.3">
      <c r="A159" s="132" t="s">
        <v>1182</v>
      </c>
      <c r="B159" s="132" t="s">
        <v>1146</v>
      </c>
      <c r="C159" s="132" t="s">
        <v>878</v>
      </c>
      <c r="D159" s="132" t="s">
        <v>1183</v>
      </c>
      <c r="E159" s="132">
        <v>78.84</v>
      </c>
      <c r="F159" s="132"/>
    </row>
    <row r="160" spans="1:6" x14ac:dyDescent="0.3">
      <c r="A160" s="132" t="s">
        <v>1182</v>
      </c>
      <c r="B160" s="132" t="s">
        <v>1105</v>
      </c>
      <c r="C160" s="132" t="s">
        <v>878</v>
      </c>
      <c r="D160" s="132" t="s">
        <v>894</v>
      </c>
      <c r="E160" s="132">
        <v>0</v>
      </c>
      <c r="F160" s="132"/>
    </row>
    <row r="161" spans="1:6" x14ac:dyDescent="0.3">
      <c r="A161" s="132" t="s">
        <v>1182</v>
      </c>
      <c r="B161" s="132" t="s">
        <v>1185</v>
      </c>
      <c r="C161" s="132" t="s">
        <v>878</v>
      </c>
      <c r="D161" s="132" t="s">
        <v>894</v>
      </c>
      <c r="E161" s="132">
        <v>0</v>
      </c>
      <c r="F161" s="132"/>
    </row>
    <row r="162" spans="1:6" x14ac:dyDescent="0.3">
      <c r="A162" s="132" t="s">
        <v>1182</v>
      </c>
      <c r="B162" s="132" t="s">
        <v>1186</v>
      </c>
      <c r="C162" s="132" t="s">
        <v>878</v>
      </c>
      <c r="D162" s="132" t="s">
        <v>894</v>
      </c>
      <c r="E162" s="132">
        <v>0</v>
      </c>
      <c r="F162" s="132"/>
    </row>
    <row r="163" spans="1:6" x14ac:dyDescent="0.3">
      <c r="A163" s="132" t="s">
        <v>1182</v>
      </c>
      <c r="B163" s="132" t="s">
        <v>1187</v>
      </c>
      <c r="C163" s="132" t="s">
        <v>878</v>
      </c>
      <c r="D163" s="132" t="s">
        <v>894</v>
      </c>
      <c r="E163" s="132">
        <v>0</v>
      </c>
      <c r="F163" s="132"/>
    </row>
    <row r="164" spans="1:6" x14ac:dyDescent="0.3">
      <c r="A164" s="132" t="s">
        <v>1182</v>
      </c>
      <c r="B164" s="132" t="s">
        <v>1063</v>
      </c>
      <c r="C164" s="132" t="s">
        <v>878</v>
      </c>
      <c r="D164" s="132" t="s">
        <v>894</v>
      </c>
      <c r="E164" s="132">
        <v>0</v>
      </c>
      <c r="F164" s="132"/>
    </row>
    <row r="165" spans="1:6" x14ac:dyDescent="0.3">
      <c r="A165" s="132" t="s">
        <v>1182</v>
      </c>
      <c r="B165" s="132" t="s">
        <v>1123</v>
      </c>
      <c r="C165" s="132" t="s">
        <v>878</v>
      </c>
      <c r="D165" s="132" t="s">
        <v>894</v>
      </c>
      <c r="E165" s="132">
        <v>0</v>
      </c>
      <c r="F165" s="132"/>
    </row>
    <row r="166" spans="1:6" x14ac:dyDescent="0.3">
      <c r="A166" s="132" t="s">
        <v>1182</v>
      </c>
      <c r="B166" s="132" t="s">
        <v>1107</v>
      </c>
      <c r="C166" s="132" t="s">
        <v>878</v>
      </c>
      <c r="D166" s="132" t="s">
        <v>894</v>
      </c>
      <c r="E166" s="132">
        <v>0</v>
      </c>
      <c r="F166" s="132"/>
    </row>
    <row r="167" spans="1:6" x14ac:dyDescent="0.3">
      <c r="A167" s="132" t="s">
        <v>1182</v>
      </c>
      <c r="B167" s="132" t="s">
        <v>1125</v>
      </c>
      <c r="C167" s="132" t="s">
        <v>878</v>
      </c>
      <c r="D167" s="132" t="s">
        <v>894</v>
      </c>
      <c r="E167" s="132">
        <v>0</v>
      </c>
      <c r="F167" s="132"/>
    </row>
    <row r="168" spans="1:6" x14ac:dyDescent="0.3">
      <c r="A168" s="132" t="s">
        <v>1188</v>
      </c>
      <c r="B168" s="132" t="s">
        <v>1189</v>
      </c>
      <c r="C168" s="132" t="s">
        <v>878</v>
      </c>
      <c r="D168" s="132" t="s">
        <v>1575</v>
      </c>
      <c r="E168" s="132">
        <v>182.84755275000001</v>
      </c>
      <c r="F168" s="132"/>
    </row>
    <row r="169" spans="1:6" x14ac:dyDescent="0.3">
      <c r="A169" s="132" t="s">
        <v>1188</v>
      </c>
      <c r="B169" s="132" t="s">
        <v>1190</v>
      </c>
      <c r="C169" s="132" t="s">
        <v>878</v>
      </c>
      <c r="D169" s="132" t="s">
        <v>894</v>
      </c>
      <c r="E169" s="132">
        <v>0</v>
      </c>
      <c r="F169" s="132"/>
    </row>
    <row r="170" spans="1:6" x14ac:dyDescent="0.3">
      <c r="A170" s="132" t="s">
        <v>1188</v>
      </c>
      <c r="B170" s="132" t="s">
        <v>1107</v>
      </c>
      <c r="C170" s="132" t="s">
        <v>878</v>
      </c>
      <c r="D170" s="132" t="s">
        <v>1577</v>
      </c>
      <c r="E170" s="132">
        <v>141.53443200000001</v>
      </c>
      <c r="F170" s="132"/>
    </row>
    <row r="171" spans="1:6" x14ac:dyDescent="0.3">
      <c r="A171" s="132" t="s">
        <v>1188</v>
      </c>
      <c r="B171" s="132" t="s">
        <v>1191</v>
      </c>
      <c r="C171" s="132" t="s">
        <v>878</v>
      </c>
      <c r="D171" s="132" t="s">
        <v>894</v>
      </c>
      <c r="E171" s="132">
        <v>0</v>
      </c>
      <c r="F171" s="132"/>
    </row>
    <row r="172" spans="1:6" x14ac:dyDescent="0.3">
      <c r="A172" s="132" t="s">
        <v>1188</v>
      </c>
      <c r="B172" s="132" t="s">
        <v>1153</v>
      </c>
      <c r="C172" s="132" t="s">
        <v>878</v>
      </c>
      <c r="D172" s="132" t="s">
        <v>894</v>
      </c>
      <c r="E172" s="132">
        <v>0</v>
      </c>
      <c r="F172" s="132"/>
    </row>
    <row r="173" spans="1:6" x14ac:dyDescent="0.3">
      <c r="A173" s="132" t="s">
        <v>1188</v>
      </c>
      <c r="B173" s="132" t="s">
        <v>1161</v>
      </c>
      <c r="C173" s="132" t="s">
        <v>878</v>
      </c>
      <c r="D173" s="132" t="s">
        <v>1636</v>
      </c>
      <c r="E173" s="132">
        <v>106.12284</v>
      </c>
      <c r="F173" s="132"/>
    </row>
    <row r="174" spans="1:6" x14ac:dyDescent="0.3">
      <c r="A174" s="132" t="s">
        <v>1188</v>
      </c>
      <c r="B174" s="132" t="s">
        <v>1146</v>
      </c>
      <c r="C174" s="132" t="s">
        <v>878</v>
      </c>
      <c r="D174" s="132" t="s">
        <v>894</v>
      </c>
      <c r="E174" s="132">
        <v>0</v>
      </c>
      <c r="F174" s="132"/>
    </row>
    <row r="175" spans="1:6" x14ac:dyDescent="0.3">
      <c r="A175" s="132" t="s">
        <v>1188</v>
      </c>
      <c r="B175" s="132" t="s">
        <v>1063</v>
      </c>
      <c r="C175" s="132" t="s">
        <v>878</v>
      </c>
      <c r="D175" s="132" t="s">
        <v>1637</v>
      </c>
      <c r="E175" s="132">
        <v>102.78</v>
      </c>
      <c r="F175" s="132"/>
    </row>
    <row r="176" spans="1:6" x14ac:dyDescent="0.3">
      <c r="A176" s="132" t="s">
        <v>1194</v>
      </c>
      <c r="B176" s="132" t="s">
        <v>1195</v>
      </c>
      <c r="C176" s="132" t="s">
        <v>878</v>
      </c>
      <c r="D176" s="132" t="s">
        <v>1196</v>
      </c>
      <c r="E176" s="132">
        <v>63.62</v>
      </c>
      <c r="F176" s="132"/>
    </row>
    <row r="177" spans="1:6" x14ac:dyDescent="0.3">
      <c r="A177" s="132" t="s">
        <v>1194</v>
      </c>
      <c r="B177" s="132" t="s">
        <v>1198</v>
      </c>
      <c r="C177" s="132" t="s">
        <v>878</v>
      </c>
      <c r="D177" s="132" t="s">
        <v>1199</v>
      </c>
      <c r="E177" s="132">
        <v>59.88</v>
      </c>
      <c r="F177" s="132"/>
    </row>
    <row r="178" spans="1:6" x14ac:dyDescent="0.3">
      <c r="A178" s="132" t="s">
        <v>1194</v>
      </c>
      <c r="B178" s="132" t="s">
        <v>1201</v>
      </c>
      <c r="C178" s="132" t="s">
        <v>878</v>
      </c>
      <c r="D178" s="132" t="s">
        <v>1199</v>
      </c>
      <c r="E178" s="132">
        <v>59.88</v>
      </c>
      <c r="F178" s="132"/>
    </row>
    <row r="179" spans="1:6" x14ac:dyDescent="0.3">
      <c r="A179" s="132" t="s">
        <v>1194</v>
      </c>
      <c r="B179" s="132" t="s">
        <v>1179</v>
      </c>
      <c r="C179" s="132" t="s">
        <v>878</v>
      </c>
      <c r="D179" s="132" t="s">
        <v>1196</v>
      </c>
      <c r="E179" s="132">
        <v>63.62</v>
      </c>
      <c r="F179" s="132"/>
    </row>
    <row r="180" spans="1:6" x14ac:dyDescent="0.3">
      <c r="A180" s="132" t="s">
        <v>1194</v>
      </c>
      <c r="B180" s="132" t="s">
        <v>917</v>
      </c>
      <c r="C180" s="132" t="s">
        <v>878</v>
      </c>
      <c r="D180" s="132" t="s">
        <v>1199</v>
      </c>
      <c r="E180" s="132">
        <v>59.88</v>
      </c>
      <c r="F180" s="132"/>
    </row>
    <row r="181" spans="1:6" x14ac:dyDescent="0.3">
      <c r="A181" s="132" t="s">
        <v>1194</v>
      </c>
      <c r="B181" s="132" t="s">
        <v>1203</v>
      </c>
      <c r="C181" s="132" t="s">
        <v>878</v>
      </c>
      <c r="D181" s="132" t="s">
        <v>894</v>
      </c>
      <c r="E181" s="132">
        <v>0</v>
      </c>
      <c r="F181" s="132"/>
    </row>
    <row r="182" spans="1:6" x14ac:dyDescent="0.3">
      <c r="A182" s="132" t="s">
        <v>1194</v>
      </c>
      <c r="B182" s="132" t="s">
        <v>1204</v>
      </c>
      <c r="C182" s="132" t="s">
        <v>878</v>
      </c>
      <c r="D182" s="132" t="s">
        <v>894</v>
      </c>
      <c r="E182" s="132">
        <v>0</v>
      </c>
      <c r="F182" s="132"/>
    </row>
    <row r="183" spans="1:6" x14ac:dyDescent="0.3">
      <c r="A183" s="132" t="s">
        <v>1194</v>
      </c>
      <c r="B183" s="132" t="s">
        <v>1125</v>
      </c>
      <c r="C183" s="132" t="s">
        <v>878</v>
      </c>
      <c r="D183" s="132" t="s">
        <v>1199</v>
      </c>
      <c r="E183" s="132">
        <v>59.88</v>
      </c>
      <c r="F183" s="132"/>
    </row>
    <row r="184" spans="1:6" x14ac:dyDescent="0.3">
      <c r="A184" s="132" t="s">
        <v>1205</v>
      </c>
      <c r="B184" s="132" t="s">
        <v>1125</v>
      </c>
      <c r="C184" s="132" t="s">
        <v>878</v>
      </c>
      <c r="D184" s="132" t="s">
        <v>1129</v>
      </c>
      <c r="E184" s="132">
        <v>95.46</v>
      </c>
      <c r="F184" s="132"/>
    </row>
    <row r="185" spans="1:6" x14ac:dyDescent="0.3">
      <c r="A185" s="132" t="s">
        <v>1205</v>
      </c>
      <c r="B185" s="132" t="s">
        <v>1101</v>
      </c>
      <c r="C185" s="132" t="s">
        <v>878</v>
      </c>
      <c r="D185" s="132" t="s">
        <v>894</v>
      </c>
      <c r="E185" s="132">
        <v>0</v>
      </c>
      <c r="F185" s="132"/>
    </row>
    <row r="186" spans="1:6" x14ac:dyDescent="0.3">
      <c r="A186" s="132" t="s">
        <v>1205</v>
      </c>
      <c r="B186" s="132" t="s">
        <v>917</v>
      </c>
      <c r="C186" s="132" t="s">
        <v>878</v>
      </c>
      <c r="D186" s="132" t="s">
        <v>894</v>
      </c>
      <c r="E186" s="132">
        <v>0</v>
      </c>
      <c r="F186" s="132"/>
    </row>
    <row r="187" spans="1:6" x14ac:dyDescent="0.3">
      <c r="A187" s="132" t="s">
        <v>1205</v>
      </c>
      <c r="B187" s="132" t="s">
        <v>1206</v>
      </c>
      <c r="C187" s="132" t="s">
        <v>878</v>
      </c>
      <c r="D187" s="132" t="s">
        <v>1638</v>
      </c>
      <c r="E187" s="132">
        <v>90.539999999999992</v>
      </c>
      <c r="F187" s="132"/>
    </row>
    <row r="188" spans="1:6" x14ac:dyDescent="0.3">
      <c r="A188" s="132" t="s">
        <v>1205</v>
      </c>
      <c r="B188" s="132" t="s">
        <v>1185</v>
      </c>
      <c r="C188" s="132" t="s">
        <v>878</v>
      </c>
      <c r="D188" s="132" t="s">
        <v>1594</v>
      </c>
      <c r="E188" s="132">
        <v>224.23519349999998</v>
      </c>
      <c r="F188" s="132"/>
    </row>
    <row r="189" spans="1:6" x14ac:dyDescent="0.3">
      <c r="A189" s="132" t="s">
        <v>1205</v>
      </c>
      <c r="B189" s="132" t="s">
        <v>1102</v>
      </c>
      <c r="C189" s="132" t="s">
        <v>878</v>
      </c>
      <c r="D189" s="132" t="s">
        <v>894</v>
      </c>
      <c r="E189" s="132">
        <v>0</v>
      </c>
      <c r="F189" s="132"/>
    </row>
    <row r="190" spans="1:6" x14ac:dyDescent="0.3">
      <c r="A190" s="132" t="s">
        <v>1205</v>
      </c>
      <c r="B190" s="132" t="s">
        <v>1209</v>
      </c>
      <c r="C190" s="132" t="s">
        <v>878</v>
      </c>
      <c r="D190" s="132" t="s">
        <v>1129</v>
      </c>
      <c r="E190" s="132">
        <v>95.46</v>
      </c>
      <c r="F190" s="132"/>
    </row>
    <row r="191" spans="1:6" x14ac:dyDescent="0.3">
      <c r="A191" s="132" t="s">
        <v>1205</v>
      </c>
      <c r="B191" s="132" t="s">
        <v>1204</v>
      </c>
      <c r="C191" s="132" t="s">
        <v>878</v>
      </c>
      <c r="D191" s="132" t="s">
        <v>1597</v>
      </c>
      <c r="E191" s="132">
        <v>207.11401424999997</v>
      </c>
      <c r="F191" s="132"/>
    </row>
    <row r="192" spans="1:6" x14ac:dyDescent="0.3">
      <c r="A192" s="132" t="s">
        <v>1210</v>
      </c>
      <c r="B192" s="132" t="s">
        <v>1101</v>
      </c>
      <c r="C192" s="132" t="s">
        <v>878</v>
      </c>
      <c r="D192" s="132" t="s">
        <v>1163</v>
      </c>
      <c r="E192" s="132">
        <v>234</v>
      </c>
      <c r="F192" s="132"/>
    </row>
    <row r="193" spans="1:6" x14ac:dyDescent="0.3">
      <c r="A193" s="132" t="s">
        <v>1210</v>
      </c>
      <c r="B193" s="132" t="s">
        <v>1060</v>
      </c>
      <c r="C193" s="132" t="s">
        <v>878</v>
      </c>
      <c r="D193" s="132" t="s">
        <v>1601</v>
      </c>
      <c r="E193" s="132">
        <v>165.94267200000002</v>
      </c>
      <c r="F193" s="132"/>
    </row>
    <row r="194" spans="1:6" x14ac:dyDescent="0.3">
      <c r="A194" s="132" t="s">
        <v>1210</v>
      </c>
      <c r="B194" s="132" t="s">
        <v>1186</v>
      </c>
      <c r="C194" s="132" t="s">
        <v>878</v>
      </c>
      <c r="D194" s="132" t="s">
        <v>1212</v>
      </c>
      <c r="E194" s="132">
        <v>67.2</v>
      </c>
      <c r="F194" s="132"/>
    </row>
    <row r="195" spans="1:6" x14ac:dyDescent="0.3">
      <c r="A195" s="132" t="s">
        <v>1210</v>
      </c>
      <c r="B195" s="132" t="s">
        <v>1209</v>
      </c>
      <c r="C195" s="132" t="s">
        <v>878</v>
      </c>
      <c r="D195" s="132" t="s">
        <v>894</v>
      </c>
      <c r="E195" s="132">
        <v>0</v>
      </c>
      <c r="F195" s="132"/>
    </row>
    <row r="196" spans="1:6" x14ac:dyDescent="0.3">
      <c r="A196" s="132" t="s">
        <v>1210</v>
      </c>
      <c r="B196" s="132" t="s">
        <v>1185</v>
      </c>
      <c r="C196" s="132" t="s">
        <v>878</v>
      </c>
      <c r="D196" s="132" t="s">
        <v>1604</v>
      </c>
      <c r="E196" s="132">
        <v>271.28459399999997</v>
      </c>
      <c r="F196" s="132"/>
    </row>
    <row r="197" spans="1:6" x14ac:dyDescent="0.3">
      <c r="A197" s="132" t="s">
        <v>1210</v>
      </c>
      <c r="B197" s="132" t="s">
        <v>1161</v>
      </c>
      <c r="C197" s="132" t="s">
        <v>878</v>
      </c>
      <c r="D197" s="132" t="s">
        <v>1606</v>
      </c>
      <c r="E197" s="132">
        <v>66.235200000000006</v>
      </c>
      <c r="F197" s="132"/>
    </row>
    <row r="198" spans="1:6" x14ac:dyDescent="0.3">
      <c r="A198" s="132" t="s">
        <v>1210</v>
      </c>
      <c r="B198" s="132" t="s">
        <v>911</v>
      </c>
      <c r="C198" s="132" t="s">
        <v>878</v>
      </c>
      <c r="D198" s="132" t="s">
        <v>894</v>
      </c>
      <c r="E198" s="132">
        <v>0</v>
      </c>
      <c r="F198" s="132"/>
    </row>
    <row r="199" spans="1:6" x14ac:dyDescent="0.3">
      <c r="A199" s="132" t="s">
        <v>1210</v>
      </c>
      <c r="B199" s="132" t="s">
        <v>1172</v>
      </c>
      <c r="C199" s="132" t="s">
        <v>878</v>
      </c>
      <c r="D199" s="132" t="s">
        <v>1212</v>
      </c>
      <c r="E199" s="132">
        <v>67.2</v>
      </c>
      <c r="F199" s="132"/>
    </row>
    <row r="200" spans="1:6" x14ac:dyDescent="0.3">
      <c r="A200" s="132" t="s">
        <v>1210</v>
      </c>
      <c r="B200" s="132" t="s">
        <v>1146</v>
      </c>
      <c r="C200" s="132" t="s">
        <v>878</v>
      </c>
      <c r="D200" s="132" t="s">
        <v>894</v>
      </c>
      <c r="E200" s="132">
        <v>0</v>
      </c>
      <c r="F200" s="132"/>
    </row>
    <row r="201" spans="1:6" x14ac:dyDescent="0.3">
      <c r="A201" s="132" t="s">
        <v>1210</v>
      </c>
      <c r="B201" s="132" t="s">
        <v>1125</v>
      </c>
      <c r="C201" s="132" t="s">
        <v>878</v>
      </c>
      <c r="D201" s="132" t="s">
        <v>1208</v>
      </c>
      <c r="E201" s="132">
        <v>267.8</v>
      </c>
      <c r="F201" s="132"/>
    </row>
    <row r="202" spans="1:6" x14ac:dyDescent="0.3">
      <c r="A202" s="132" t="s">
        <v>1210</v>
      </c>
      <c r="B202" s="132" t="s">
        <v>1198</v>
      </c>
      <c r="C202" s="132" t="s">
        <v>878</v>
      </c>
      <c r="D202" s="132" t="s">
        <v>1612</v>
      </c>
      <c r="E202" s="132">
        <v>259.225617</v>
      </c>
      <c r="F202" s="132"/>
    </row>
    <row r="203" spans="1:6" x14ac:dyDescent="0.3">
      <c r="A203" s="132" t="s">
        <v>1217</v>
      </c>
      <c r="B203" s="132" t="s">
        <v>1165</v>
      </c>
      <c r="C203" s="132" t="s">
        <v>878</v>
      </c>
      <c r="D203" s="132" t="s">
        <v>1639</v>
      </c>
      <c r="E203" s="132">
        <v>111.47667299999999</v>
      </c>
      <c r="F203" s="132"/>
    </row>
    <row r="204" spans="1:6" x14ac:dyDescent="0.3">
      <c r="A204" s="132" t="s">
        <v>1217</v>
      </c>
      <c r="B204" s="132" t="s">
        <v>1185</v>
      </c>
      <c r="C204" s="132" t="s">
        <v>878</v>
      </c>
      <c r="D204" s="132" t="s">
        <v>894</v>
      </c>
      <c r="E204" s="132">
        <v>0</v>
      </c>
      <c r="F204" s="132"/>
    </row>
    <row r="205" spans="1:6" x14ac:dyDescent="0.3">
      <c r="A205" s="132" t="s">
        <v>1217</v>
      </c>
      <c r="B205" s="132" t="s">
        <v>1179</v>
      </c>
      <c r="C205" s="132" t="s">
        <v>878</v>
      </c>
      <c r="D205" s="132" t="s">
        <v>894</v>
      </c>
      <c r="E205" s="132">
        <v>0</v>
      </c>
      <c r="F205" s="132"/>
    </row>
    <row r="206" spans="1:6" x14ac:dyDescent="0.3">
      <c r="A206" s="132" t="s">
        <v>1217</v>
      </c>
      <c r="B206" s="132" t="s">
        <v>1125</v>
      </c>
      <c r="C206" s="132" t="s">
        <v>878</v>
      </c>
      <c r="D206" s="132" t="s">
        <v>1640</v>
      </c>
      <c r="E206" s="132">
        <v>107.16</v>
      </c>
      <c r="F206" s="132"/>
    </row>
    <row r="207" spans="1:6" x14ac:dyDescent="0.3">
      <c r="A207" s="132" t="s">
        <v>1217</v>
      </c>
      <c r="B207" s="132" t="s">
        <v>1191</v>
      </c>
      <c r="C207" s="132" t="s">
        <v>878</v>
      </c>
      <c r="D207" s="132" t="s">
        <v>1641</v>
      </c>
      <c r="E207" s="132">
        <v>112.690935</v>
      </c>
      <c r="F207" s="132"/>
    </row>
    <row r="208" spans="1:6" x14ac:dyDescent="0.3">
      <c r="A208" s="132" t="s">
        <v>1217</v>
      </c>
      <c r="B208" s="132" t="s">
        <v>1218</v>
      </c>
      <c r="C208" s="132" t="s">
        <v>878</v>
      </c>
      <c r="D208" s="132" t="s">
        <v>894</v>
      </c>
      <c r="E208" s="132">
        <v>0</v>
      </c>
      <c r="F208" s="132"/>
    </row>
    <row r="209" spans="1:6" x14ac:dyDescent="0.3">
      <c r="A209" s="132" t="s">
        <v>1217</v>
      </c>
      <c r="B209" s="132" t="s">
        <v>1101</v>
      </c>
      <c r="C209" s="132" t="s">
        <v>878</v>
      </c>
      <c r="D209" s="132" t="s">
        <v>894</v>
      </c>
      <c r="E209" s="132">
        <v>0</v>
      </c>
      <c r="F209" s="132"/>
    </row>
    <row r="210" spans="1:6" x14ac:dyDescent="0.3">
      <c r="A210" s="132" t="s">
        <v>1219</v>
      </c>
      <c r="B210" s="132" t="s">
        <v>919</v>
      </c>
      <c r="C210" s="132" t="s">
        <v>878</v>
      </c>
      <c r="D210" s="132" t="s">
        <v>1696</v>
      </c>
      <c r="E210" s="132">
        <v>91.820736000000011</v>
      </c>
      <c r="F210" s="132"/>
    </row>
    <row r="211" spans="1:6" x14ac:dyDescent="0.3">
      <c r="A211" s="132" t="s">
        <v>1219</v>
      </c>
      <c r="B211" s="132" t="s">
        <v>1125</v>
      </c>
      <c r="C211" s="132" t="s">
        <v>878</v>
      </c>
      <c r="D211" s="132" t="s">
        <v>894</v>
      </c>
      <c r="E211" s="132">
        <v>0</v>
      </c>
      <c r="F211" s="132"/>
    </row>
    <row r="212" spans="1:6" x14ac:dyDescent="0.3">
      <c r="A212" s="132" t="s">
        <v>1219</v>
      </c>
      <c r="B212" s="132" t="s">
        <v>917</v>
      </c>
      <c r="C212" s="132" t="s">
        <v>878</v>
      </c>
      <c r="D212" s="132" t="s">
        <v>1221</v>
      </c>
      <c r="E212" s="132">
        <v>63.3</v>
      </c>
      <c r="F212" s="132"/>
    </row>
    <row r="213" spans="1:6" x14ac:dyDescent="0.3">
      <c r="A213" s="132" t="s">
        <v>1219</v>
      </c>
      <c r="B213" s="132" t="s">
        <v>1187</v>
      </c>
      <c r="C213" s="132" t="s">
        <v>878</v>
      </c>
      <c r="D213" s="132" t="s">
        <v>894</v>
      </c>
      <c r="E213" s="132">
        <v>0</v>
      </c>
      <c r="F213" s="132"/>
    </row>
    <row r="214" spans="1:6" x14ac:dyDescent="0.3">
      <c r="A214" s="132" t="s">
        <v>1219</v>
      </c>
      <c r="B214" s="132" t="s">
        <v>1101</v>
      </c>
      <c r="C214" s="132" t="s">
        <v>878</v>
      </c>
      <c r="D214" s="132" t="s">
        <v>1701</v>
      </c>
      <c r="E214" s="132">
        <v>109.30869599999998</v>
      </c>
      <c r="F214" s="132"/>
    </row>
    <row r="215" spans="1:6" x14ac:dyDescent="0.3">
      <c r="A215" s="132" t="s">
        <v>1219</v>
      </c>
      <c r="B215" s="132" t="s">
        <v>1203</v>
      </c>
      <c r="C215" s="132" t="s">
        <v>878</v>
      </c>
      <c r="D215" s="132" t="s">
        <v>1221</v>
      </c>
      <c r="E215" s="132">
        <v>63.3</v>
      </c>
      <c r="F215" s="132"/>
    </row>
    <row r="216" spans="1:6" x14ac:dyDescent="0.3">
      <c r="A216" s="132" t="s">
        <v>1219</v>
      </c>
      <c r="B216" s="132" t="s">
        <v>1222</v>
      </c>
      <c r="C216" s="132" t="s">
        <v>878</v>
      </c>
      <c r="D216" s="132" t="s">
        <v>1703</v>
      </c>
      <c r="E216" s="132">
        <v>86.884496999999996</v>
      </c>
      <c r="F216" s="132"/>
    </row>
    <row r="217" spans="1:6" x14ac:dyDescent="0.3">
      <c r="A217" s="132" t="s">
        <v>1219</v>
      </c>
      <c r="B217" s="132" t="s">
        <v>1201</v>
      </c>
      <c r="C217" s="132" t="s">
        <v>878</v>
      </c>
      <c r="D217" s="132" t="s">
        <v>1705</v>
      </c>
      <c r="E217" s="132">
        <v>81.129531000000014</v>
      </c>
      <c r="F217" s="132"/>
    </row>
    <row r="218" spans="1:6" x14ac:dyDescent="0.3">
      <c r="A218" s="132" t="s">
        <v>1219</v>
      </c>
      <c r="B218" s="132" t="s">
        <v>1206</v>
      </c>
      <c r="C218" s="132" t="s">
        <v>878</v>
      </c>
      <c r="D218" s="132" t="s">
        <v>1221</v>
      </c>
      <c r="E218" s="132">
        <v>63.3</v>
      </c>
      <c r="F218" s="132"/>
    </row>
    <row r="219" spans="1:6" x14ac:dyDescent="0.3">
      <c r="A219" s="132" t="s">
        <v>1219</v>
      </c>
      <c r="B219" s="132" t="s">
        <v>1179</v>
      </c>
      <c r="C219" s="132" t="s">
        <v>878</v>
      </c>
      <c r="D219" s="132" t="s">
        <v>1707</v>
      </c>
      <c r="E219" s="132">
        <v>123.84747899999998</v>
      </c>
      <c r="F219" s="132"/>
    </row>
    <row r="220" spans="1:6" x14ac:dyDescent="0.3">
      <c r="A220" s="132" t="s">
        <v>1219</v>
      </c>
      <c r="B220" s="132" t="s">
        <v>1191</v>
      </c>
      <c r="C220" s="132" t="s">
        <v>878</v>
      </c>
      <c r="D220" s="132" t="s">
        <v>894</v>
      </c>
      <c r="E220" s="132">
        <v>0</v>
      </c>
      <c r="F220" s="132"/>
    </row>
    <row r="221" spans="1:6" x14ac:dyDescent="0.3">
      <c r="A221" s="132" t="s">
        <v>1223</v>
      </c>
      <c r="B221" s="132" t="s">
        <v>1225</v>
      </c>
      <c r="C221" s="132" t="s">
        <v>878</v>
      </c>
      <c r="D221" s="132" t="s">
        <v>1711</v>
      </c>
      <c r="E221" s="132">
        <v>100.811886</v>
      </c>
      <c r="F221" s="132"/>
    </row>
    <row r="222" spans="1:6" x14ac:dyDescent="0.3">
      <c r="A222" s="132" t="s">
        <v>1223</v>
      </c>
      <c r="B222" s="132" t="s">
        <v>1130</v>
      </c>
      <c r="C222" s="132" t="s">
        <v>878</v>
      </c>
      <c r="D222" s="132" t="s">
        <v>1713</v>
      </c>
      <c r="E222" s="132">
        <v>78.494366999999983</v>
      </c>
      <c r="F222" s="132"/>
    </row>
    <row r="223" spans="1:6" x14ac:dyDescent="0.3">
      <c r="A223" s="132" t="s">
        <v>1223</v>
      </c>
      <c r="B223" s="132" t="s">
        <v>1227</v>
      </c>
      <c r="C223" s="132" t="s">
        <v>878</v>
      </c>
      <c r="D223" s="132" t="s">
        <v>1716</v>
      </c>
      <c r="E223" s="132">
        <v>112.79635500000001</v>
      </c>
      <c r="F223" s="132"/>
    </row>
    <row r="224" spans="1:6" x14ac:dyDescent="0.3">
      <c r="A224" s="132" t="s">
        <v>1223</v>
      </c>
      <c r="B224" s="132" t="s">
        <v>1228</v>
      </c>
      <c r="C224" s="132" t="s">
        <v>878</v>
      </c>
      <c r="D224" s="132" t="s">
        <v>1229</v>
      </c>
      <c r="E224" s="132">
        <v>67.892399999999995</v>
      </c>
      <c r="F224" s="132"/>
    </row>
    <row r="225" spans="1:6" x14ac:dyDescent="0.3">
      <c r="A225" s="132" t="s">
        <v>1223</v>
      </c>
      <c r="B225" s="132" t="s">
        <v>1230</v>
      </c>
      <c r="C225" s="132" t="s">
        <v>878</v>
      </c>
      <c r="D225" s="132" t="s">
        <v>894</v>
      </c>
      <c r="E225" s="132">
        <v>0</v>
      </c>
      <c r="F225" s="132"/>
    </row>
    <row r="226" spans="1:6" x14ac:dyDescent="0.3">
      <c r="A226" s="132" t="s">
        <v>1223</v>
      </c>
      <c r="B226" s="132" t="s">
        <v>1232</v>
      </c>
      <c r="C226" s="132" t="s">
        <v>878</v>
      </c>
      <c r="D226" s="132" t="s">
        <v>894</v>
      </c>
      <c r="E226" s="132">
        <v>0</v>
      </c>
      <c r="F226" s="132"/>
    </row>
    <row r="227" spans="1:6" x14ac:dyDescent="0.3">
      <c r="A227" s="132" t="s">
        <v>1223</v>
      </c>
      <c r="B227" s="132" t="s">
        <v>1233</v>
      </c>
      <c r="C227" s="132" t="s">
        <v>878</v>
      </c>
      <c r="D227" s="132" t="s">
        <v>1224</v>
      </c>
      <c r="E227" s="132">
        <v>75.964199999999991</v>
      </c>
      <c r="F227" s="132"/>
    </row>
    <row r="228" spans="1:6" x14ac:dyDescent="0.3">
      <c r="A228" s="132" t="s">
        <v>1223</v>
      </c>
      <c r="B228" s="132" t="s">
        <v>1147</v>
      </c>
      <c r="C228" s="132" t="s">
        <v>878</v>
      </c>
      <c r="D228" s="132" t="s">
        <v>894</v>
      </c>
      <c r="E228" s="132">
        <v>0</v>
      </c>
      <c r="F228" s="132"/>
    </row>
    <row r="229" spans="1:6" x14ac:dyDescent="0.3">
      <c r="A229" s="132" t="s">
        <v>1223</v>
      </c>
      <c r="B229" s="132" t="s">
        <v>1235</v>
      </c>
      <c r="C229" s="132" t="s">
        <v>878</v>
      </c>
      <c r="D229" s="132" t="s">
        <v>1229</v>
      </c>
      <c r="E229" s="132">
        <v>67.892399999999995</v>
      </c>
      <c r="F229" s="132"/>
    </row>
    <row r="230" spans="1:6" x14ac:dyDescent="0.3">
      <c r="A230" s="132" t="s">
        <v>1223</v>
      </c>
      <c r="B230" s="132" t="s">
        <v>1621</v>
      </c>
      <c r="C230" s="132" t="s">
        <v>878</v>
      </c>
      <c r="D230" s="132" t="s">
        <v>894</v>
      </c>
      <c r="E230" s="132">
        <v>0</v>
      </c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4"/>
      <c r="F233" s="132"/>
    </row>
    <row r="234" spans="1:6" x14ac:dyDescent="0.3">
      <c r="A234" s="132"/>
      <c r="B234" s="132"/>
      <c r="C234" s="132"/>
      <c r="D234" s="132"/>
      <c r="E234" s="134"/>
      <c r="F234" s="132"/>
    </row>
    <row r="235" spans="1:6" x14ac:dyDescent="0.3">
      <c r="A235" s="132"/>
      <c r="B235" s="132"/>
      <c r="C235" s="132"/>
      <c r="D235" s="132"/>
      <c r="E235" s="134"/>
      <c r="F235" s="132"/>
    </row>
    <row r="236" spans="1:6" x14ac:dyDescent="0.3">
      <c r="A236" s="132"/>
      <c r="B236" s="132"/>
      <c r="C236" s="132"/>
      <c r="D236" s="132"/>
      <c r="E236" s="134"/>
      <c r="F236" s="132"/>
    </row>
    <row r="237" spans="1:6" x14ac:dyDescent="0.3">
      <c r="A237" s="132"/>
      <c r="B237" s="132"/>
      <c r="C237" s="132"/>
      <c r="D237" s="132"/>
      <c r="E237" s="134"/>
      <c r="F237" s="132"/>
    </row>
    <row r="238" spans="1:6" x14ac:dyDescent="0.3">
      <c r="A238" s="132"/>
      <c r="B238" s="132"/>
      <c r="C238" s="132"/>
      <c r="D238" s="132"/>
      <c r="E238" s="134"/>
      <c r="F238" s="132"/>
    </row>
    <row r="239" spans="1:6" x14ac:dyDescent="0.3">
      <c r="A239" s="132"/>
      <c r="B239" s="132"/>
      <c r="C239" s="132"/>
      <c r="D239" s="132"/>
      <c r="E239" s="134"/>
      <c r="F239" s="132"/>
    </row>
    <row r="240" spans="1:6" x14ac:dyDescent="0.3">
      <c r="A240" s="132"/>
      <c r="B240" s="132"/>
      <c r="C240" s="132"/>
      <c r="D240" s="132"/>
      <c r="E240" s="134"/>
      <c r="F240" s="132"/>
    </row>
    <row r="241" spans="1:6" x14ac:dyDescent="0.3">
      <c r="A241" s="132"/>
      <c r="B241" s="132"/>
      <c r="C241" s="132"/>
      <c r="D241" s="132"/>
      <c r="E241" s="134"/>
      <c r="F241" s="132"/>
    </row>
    <row r="242" spans="1:6" x14ac:dyDescent="0.3">
      <c r="A242" s="132"/>
      <c r="B242" s="132"/>
      <c r="C242" s="132"/>
      <c r="D242" s="132"/>
      <c r="E242" s="134"/>
      <c r="F242" s="132"/>
    </row>
    <row r="243" spans="1:6" x14ac:dyDescent="0.3">
      <c r="A243" s="132"/>
      <c r="B243" s="132"/>
      <c r="C243" s="132"/>
      <c r="D243" s="132"/>
      <c r="E243" s="134"/>
      <c r="F243" s="132"/>
    </row>
    <row r="244" spans="1:6" x14ac:dyDescent="0.3">
      <c r="A244" s="132"/>
      <c r="B244" s="132"/>
      <c r="C244" s="132"/>
      <c r="D244" s="132"/>
      <c r="E244" s="134"/>
      <c r="F244" s="132"/>
    </row>
    <row r="245" spans="1:6" x14ac:dyDescent="0.3">
      <c r="A245" s="132"/>
      <c r="B245" s="132"/>
      <c r="C245" s="132"/>
      <c r="D245" s="132"/>
      <c r="E245" s="134"/>
      <c r="F245" s="132"/>
    </row>
    <row r="246" spans="1:6" x14ac:dyDescent="0.3">
      <c r="A246" s="132"/>
      <c r="B246" s="132"/>
      <c r="C246" s="132"/>
      <c r="D246" s="132"/>
      <c r="E246" s="134"/>
      <c r="F246" s="132"/>
    </row>
    <row r="247" spans="1:6" x14ac:dyDescent="0.3">
      <c r="A247" s="132"/>
      <c r="B247" s="132"/>
      <c r="C247" s="132"/>
      <c r="D247" s="132"/>
      <c r="E247" s="134"/>
      <c r="F247" s="132"/>
    </row>
    <row r="248" spans="1:6" x14ac:dyDescent="0.3">
      <c r="A248" s="132"/>
      <c r="B248" s="132"/>
      <c r="C248" s="132"/>
      <c r="D248" s="132"/>
      <c r="E248" s="134"/>
      <c r="F248" s="132"/>
    </row>
    <row r="249" spans="1:6" x14ac:dyDescent="0.3">
      <c r="A249" s="132"/>
      <c r="B249" s="132"/>
      <c r="C249" s="132"/>
      <c r="D249" s="132"/>
      <c r="E249" s="134"/>
      <c r="F249" s="132"/>
    </row>
    <row r="250" spans="1:6" x14ac:dyDescent="0.3">
      <c r="A250" s="132"/>
      <c r="B250" s="132"/>
      <c r="C250" s="132"/>
      <c r="D250" s="132"/>
      <c r="E250" s="134"/>
      <c r="F250" s="132"/>
    </row>
    <row r="251" spans="1:6" x14ac:dyDescent="0.3">
      <c r="A251" s="132"/>
      <c r="B251" s="132"/>
      <c r="C251" s="132"/>
      <c r="D251" s="132"/>
      <c r="E251" s="134"/>
      <c r="F251" s="132"/>
    </row>
    <row r="252" spans="1:6" x14ac:dyDescent="0.3">
      <c r="A252" s="132"/>
      <c r="B252" s="132"/>
      <c r="C252" s="132"/>
      <c r="D252" s="132"/>
      <c r="E252" s="134"/>
      <c r="F252" s="132"/>
    </row>
    <row r="253" spans="1:6" x14ac:dyDescent="0.3">
      <c r="A253" s="132"/>
      <c r="B253" s="132"/>
      <c r="C253" s="132"/>
      <c r="D253" s="132"/>
      <c r="E253" s="134"/>
      <c r="F253" s="132"/>
    </row>
    <row r="254" spans="1:6" x14ac:dyDescent="0.3">
      <c r="A254" s="132"/>
      <c r="B254" s="132"/>
      <c r="C254" s="132"/>
      <c r="D254" s="132"/>
      <c r="E254" s="134"/>
      <c r="F254" s="132"/>
    </row>
    <row r="255" spans="1:6" x14ac:dyDescent="0.3">
      <c r="A255" s="132"/>
      <c r="B255" s="132"/>
      <c r="C255" s="132"/>
      <c r="D255" s="132"/>
      <c r="E255" s="134"/>
      <c r="F255" s="132"/>
    </row>
    <row r="256" spans="1:6" x14ac:dyDescent="0.3">
      <c r="A256" s="132"/>
      <c r="B256" s="132"/>
      <c r="C256" s="132"/>
      <c r="D256" s="132"/>
      <c r="E256" s="134"/>
      <c r="F256" s="132"/>
    </row>
    <row r="257" spans="1:6" x14ac:dyDescent="0.3">
      <c r="A257" s="132"/>
      <c r="B257" s="132"/>
      <c r="C257" s="132"/>
      <c r="D257" s="132"/>
      <c r="E257" s="134"/>
      <c r="F257" s="132"/>
    </row>
    <row r="258" spans="1:6" x14ac:dyDescent="0.3">
      <c r="A258" s="132"/>
      <c r="B258" s="132"/>
      <c r="C258" s="132"/>
      <c r="D258" s="132"/>
      <c r="E258" s="134"/>
      <c r="F258" s="132"/>
    </row>
    <row r="259" spans="1:6" x14ac:dyDescent="0.3">
      <c r="A259" s="132"/>
      <c r="B259" s="132"/>
      <c r="C259" s="132"/>
      <c r="D259" s="132"/>
      <c r="E259" s="134"/>
      <c r="F259" s="132"/>
    </row>
    <row r="260" spans="1:6" x14ac:dyDescent="0.3">
      <c r="A260" s="132"/>
      <c r="B260" s="132"/>
      <c r="C260" s="132"/>
      <c r="D260" s="132"/>
      <c r="E260" s="134"/>
      <c r="F260" s="132"/>
    </row>
    <row r="261" spans="1:6" x14ac:dyDescent="0.3">
      <c r="A261" s="132"/>
      <c r="B261" s="132"/>
      <c r="C261" s="132"/>
      <c r="D261" s="132"/>
      <c r="E261" s="134"/>
      <c r="F261" s="132"/>
    </row>
    <row r="262" spans="1:6" x14ac:dyDescent="0.3">
      <c r="A262" s="132"/>
      <c r="B262" s="132"/>
      <c r="C262" s="132"/>
      <c r="D262" s="132"/>
      <c r="E262" s="134"/>
      <c r="F262" s="132"/>
    </row>
    <row r="263" spans="1:6" x14ac:dyDescent="0.3">
      <c r="A263" s="132"/>
      <c r="B263" s="132"/>
      <c r="C263" s="132"/>
      <c r="D263" s="132"/>
      <c r="E263" s="134"/>
      <c r="F263" s="132"/>
    </row>
    <row r="264" spans="1:6" x14ac:dyDescent="0.3">
      <c r="A264" s="132"/>
      <c r="B264" s="132"/>
      <c r="C264" s="132"/>
      <c r="D264" s="132"/>
      <c r="E264" s="134"/>
      <c r="F264" s="132"/>
    </row>
    <row r="265" spans="1:6" x14ac:dyDescent="0.3">
      <c r="A265" s="132"/>
      <c r="B265" s="132"/>
      <c r="C265" s="132"/>
      <c r="D265" s="132"/>
      <c r="E265" s="134"/>
      <c r="F265" s="132"/>
    </row>
    <row r="266" spans="1:6" x14ac:dyDescent="0.3">
      <c r="A266" s="132"/>
      <c r="B266" s="132"/>
      <c r="C266" s="132"/>
      <c r="D266" s="132"/>
      <c r="E266" s="134"/>
      <c r="F266" s="132"/>
    </row>
    <row r="267" spans="1:6" x14ac:dyDescent="0.3">
      <c r="A267" s="132"/>
      <c r="B267" s="132"/>
      <c r="C267" s="132"/>
      <c r="D267" s="132"/>
      <c r="E267" s="134"/>
      <c r="F267" s="132"/>
    </row>
    <row r="268" spans="1:6" x14ac:dyDescent="0.3">
      <c r="A268" s="132"/>
      <c r="B268" s="132"/>
      <c r="C268" s="132"/>
      <c r="D268" s="132"/>
      <c r="E268" s="134"/>
      <c r="F268" s="132"/>
    </row>
    <row r="269" spans="1:6" x14ac:dyDescent="0.3">
      <c r="A269" s="132"/>
      <c r="B269" s="132"/>
      <c r="C269" s="132"/>
      <c r="D269" s="132"/>
      <c r="E269" s="134"/>
      <c r="F269" s="132"/>
    </row>
    <row r="270" spans="1:6" x14ac:dyDescent="0.3">
      <c r="A270" s="132"/>
      <c r="B270" s="132"/>
      <c r="C270" s="132"/>
      <c r="D270" s="132"/>
      <c r="E270" s="134"/>
      <c r="F270" s="132"/>
    </row>
    <row r="271" spans="1:6" x14ac:dyDescent="0.3">
      <c r="A271" s="132"/>
      <c r="B271" s="132"/>
      <c r="C271" s="132"/>
      <c r="D271" s="132"/>
      <c r="E271" s="134"/>
      <c r="F271" s="132"/>
    </row>
    <row r="272" spans="1:6" x14ac:dyDescent="0.3">
      <c r="A272" s="132"/>
      <c r="B272" s="132"/>
      <c r="C272" s="132"/>
      <c r="D272" s="132"/>
      <c r="E272" s="134"/>
      <c r="F272" s="132"/>
    </row>
    <row r="273" spans="1:6" x14ac:dyDescent="0.3">
      <c r="A273" s="132"/>
      <c r="B273" s="132"/>
      <c r="C273" s="132"/>
      <c r="D273" s="132"/>
      <c r="E273" s="134"/>
      <c r="F273" s="132"/>
    </row>
    <row r="274" spans="1:6" x14ac:dyDescent="0.3">
      <c r="A274" s="132"/>
      <c r="B274" s="132"/>
      <c r="C274" s="132"/>
      <c r="D274" s="132"/>
      <c r="E274" s="134"/>
      <c r="F274" s="132"/>
    </row>
    <row r="275" spans="1:6" x14ac:dyDescent="0.3">
      <c r="A275" s="132"/>
      <c r="B275" s="132"/>
      <c r="C275" s="132"/>
      <c r="D275" s="132"/>
      <c r="E275" s="134"/>
      <c r="F275" s="132"/>
    </row>
    <row r="276" spans="1:6" x14ac:dyDescent="0.3">
      <c r="A276" s="132"/>
      <c r="B276" s="132"/>
      <c r="C276" s="132"/>
      <c r="D276" s="132"/>
      <c r="E276" s="134"/>
      <c r="F276" s="132"/>
    </row>
    <row r="277" spans="1:6" x14ac:dyDescent="0.3">
      <c r="A277" s="132"/>
      <c r="B277" s="132"/>
      <c r="C277" s="132"/>
      <c r="D277" s="132"/>
      <c r="E277" s="134"/>
      <c r="F277" s="132"/>
    </row>
    <row r="278" spans="1:6" x14ac:dyDescent="0.3">
      <c r="A278" s="132"/>
      <c r="B278" s="132"/>
      <c r="C278" s="132"/>
      <c r="D278" s="132"/>
      <c r="E278" s="134"/>
      <c r="F278" s="132"/>
    </row>
    <row r="279" spans="1:6" x14ac:dyDescent="0.3">
      <c r="A279" s="132"/>
      <c r="B279" s="132"/>
      <c r="C279" s="132"/>
      <c r="D279" s="132"/>
      <c r="E279" s="134"/>
      <c r="F279" s="132"/>
    </row>
    <row r="280" spans="1:6" x14ac:dyDescent="0.3">
      <c r="A280" s="132"/>
      <c r="B280" s="132"/>
      <c r="C280" s="132"/>
      <c r="D280" s="132"/>
      <c r="E280" s="134"/>
      <c r="F280" s="132"/>
    </row>
    <row r="281" spans="1:6" x14ac:dyDescent="0.3">
      <c r="A281" s="132"/>
      <c r="B281" s="132"/>
      <c r="C281" s="132"/>
      <c r="D281" s="132"/>
      <c r="E281" s="134"/>
      <c r="F281" s="132"/>
    </row>
    <row r="282" spans="1:6" x14ac:dyDescent="0.3">
      <c r="A282" s="132"/>
      <c r="B282" s="132"/>
      <c r="C282" s="132"/>
      <c r="D282" s="132"/>
      <c r="E282" s="134"/>
      <c r="F282" s="132"/>
    </row>
    <row r="283" spans="1:6" x14ac:dyDescent="0.3">
      <c r="A283" s="132"/>
      <c r="B283" s="132"/>
      <c r="C283" s="132"/>
      <c r="D283" s="132"/>
      <c r="E283" s="134"/>
      <c r="F283" s="132"/>
    </row>
    <row r="284" spans="1:6" x14ac:dyDescent="0.3">
      <c r="A284" s="132"/>
      <c r="B284" s="132"/>
      <c r="C284" s="132"/>
      <c r="D284" s="132"/>
      <c r="E284" s="134"/>
      <c r="F284" s="132"/>
    </row>
    <row r="285" spans="1:6" x14ac:dyDescent="0.3">
      <c r="A285" s="132"/>
      <c r="B285" s="132"/>
      <c r="C285" s="132"/>
      <c r="D285" s="132"/>
      <c r="E285" s="134"/>
      <c r="F285" s="132"/>
    </row>
    <row r="286" spans="1:6" x14ac:dyDescent="0.3">
      <c r="A286" s="132"/>
      <c r="B286" s="132"/>
      <c r="C286" s="132"/>
      <c r="D286" s="132"/>
      <c r="E286" s="134"/>
      <c r="F286" s="132"/>
    </row>
    <row r="287" spans="1:6" x14ac:dyDescent="0.3">
      <c r="A287" s="132"/>
      <c r="B287" s="132"/>
      <c r="C287" s="132"/>
      <c r="D287" s="132"/>
      <c r="E287" s="134"/>
      <c r="F287" s="132"/>
    </row>
    <row r="288" spans="1:6" x14ac:dyDescent="0.3">
      <c r="A288" s="132"/>
      <c r="B288" s="132"/>
      <c r="C288" s="132"/>
      <c r="D288" s="132"/>
      <c r="E288" s="134"/>
      <c r="F288" s="132"/>
    </row>
    <row r="289" spans="1:6" x14ac:dyDescent="0.3">
      <c r="A289" s="132"/>
      <c r="B289" s="132"/>
      <c r="C289" s="132"/>
      <c r="D289" s="132"/>
      <c r="E289" s="134"/>
      <c r="F289" s="132"/>
    </row>
    <row r="290" spans="1:6" x14ac:dyDescent="0.3">
      <c r="A290" s="132"/>
      <c r="B290" s="132"/>
      <c r="C290" s="132"/>
      <c r="D290" s="132"/>
      <c r="E290" s="134"/>
      <c r="F290" s="132"/>
    </row>
    <row r="291" spans="1:6" x14ac:dyDescent="0.3">
      <c r="A291" s="132"/>
      <c r="B291" s="132"/>
      <c r="C291" s="132"/>
      <c r="D291" s="132"/>
      <c r="E291" s="134"/>
      <c r="F291" s="132"/>
    </row>
    <row r="292" spans="1:6" x14ac:dyDescent="0.3">
      <c r="A292" s="132"/>
      <c r="B292" s="132"/>
      <c r="C292" s="132"/>
      <c r="D292" s="132"/>
      <c r="E292" s="134"/>
      <c r="F292" s="132"/>
    </row>
    <row r="293" spans="1:6" x14ac:dyDescent="0.3">
      <c r="A293" s="132"/>
      <c r="B293" s="132"/>
      <c r="C293" s="132"/>
      <c r="D293" s="132"/>
      <c r="E293" s="134"/>
      <c r="F293" s="132"/>
    </row>
    <row r="294" spans="1:6" x14ac:dyDescent="0.3">
      <c r="A294" s="132"/>
      <c r="B294" s="132"/>
      <c r="C294" s="132"/>
      <c r="D294" s="132"/>
      <c r="E294" s="134"/>
      <c r="F294" s="132"/>
    </row>
    <row r="295" spans="1:6" x14ac:dyDescent="0.3">
      <c r="A295" s="132"/>
      <c r="B295" s="132"/>
      <c r="C295" s="132"/>
      <c r="D295" s="132"/>
      <c r="E295" s="134"/>
      <c r="F295" s="132"/>
    </row>
    <row r="296" spans="1:6" x14ac:dyDescent="0.3">
      <c r="A296" s="132"/>
      <c r="B296" s="132"/>
      <c r="C296" s="132"/>
      <c r="D296" s="132"/>
      <c r="E296" s="134"/>
      <c r="F296" s="132"/>
    </row>
    <row r="297" spans="1:6" x14ac:dyDescent="0.3">
      <c r="A297" s="132"/>
      <c r="B297" s="132"/>
      <c r="C297" s="132"/>
      <c r="D297" s="132"/>
      <c r="E297" s="134"/>
      <c r="F297" s="132"/>
    </row>
    <row r="298" spans="1:6" x14ac:dyDescent="0.3">
      <c r="A298" s="132"/>
      <c r="B298" s="132"/>
      <c r="C298" s="132"/>
      <c r="D298" s="132"/>
      <c r="E298" s="134"/>
      <c r="F298" s="132"/>
    </row>
    <row r="299" spans="1:6" x14ac:dyDescent="0.3">
      <c r="A299" s="132"/>
      <c r="B299" s="132"/>
      <c r="C299" s="132"/>
      <c r="D299" s="132"/>
      <c r="E299" s="134"/>
      <c r="F299" s="132"/>
    </row>
    <row r="300" spans="1:6" x14ac:dyDescent="0.3">
      <c r="A300" s="132"/>
      <c r="B300" s="132"/>
      <c r="C300" s="132"/>
      <c r="D300" s="132"/>
      <c r="E300" s="134"/>
      <c r="F300" s="132"/>
    </row>
    <row r="301" spans="1:6" x14ac:dyDescent="0.3">
      <c r="A301" s="132"/>
      <c r="B301" s="132"/>
      <c r="C301" s="132"/>
      <c r="D301" s="132"/>
      <c r="E301" s="134"/>
      <c r="F301" s="132"/>
    </row>
    <row r="302" spans="1:6" x14ac:dyDescent="0.3">
      <c r="A302" s="132"/>
      <c r="B302" s="132"/>
      <c r="C302" s="132"/>
      <c r="D302" s="132"/>
      <c r="E302" s="134"/>
      <c r="F302" s="132"/>
    </row>
    <row r="303" spans="1:6" x14ac:dyDescent="0.3">
      <c r="A303" s="132"/>
      <c r="B303" s="132"/>
      <c r="C303" s="132"/>
      <c r="D303" s="132"/>
      <c r="E303" s="134"/>
      <c r="F303" s="132"/>
    </row>
    <row r="304" spans="1:6" x14ac:dyDescent="0.3">
      <c r="A304" s="132"/>
      <c r="B304" s="132"/>
      <c r="C304" s="132"/>
      <c r="D304" s="132"/>
      <c r="E304" s="134"/>
      <c r="F304" s="132"/>
    </row>
    <row r="305" spans="1:6" x14ac:dyDescent="0.3">
      <c r="A305" s="132"/>
      <c r="B305" s="132"/>
      <c r="C305" s="132"/>
      <c r="D305" s="132"/>
      <c r="E305" s="134"/>
      <c r="F305" s="132"/>
    </row>
    <row r="306" spans="1:6" x14ac:dyDescent="0.3">
      <c r="A306" s="132"/>
      <c r="B306" s="132"/>
      <c r="C306" s="132"/>
      <c r="D306" s="132"/>
      <c r="E306" s="134"/>
      <c r="F306" s="132"/>
    </row>
    <row r="307" spans="1:6" x14ac:dyDescent="0.3">
      <c r="A307" s="132"/>
      <c r="B307" s="132"/>
      <c r="C307" s="132"/>
      <c r="D307" s="132"/>
      <c r="E307" s="134"/>
      <c r="F307" s="132"/>
    </row>
    <row r="308" spans="1:6" x14ac:dyDescent="0.3">
      <c r="A308" s="132"/>
      <c r="B308" s="132"/>
      <c r="C308" s="132"/>
      <c r="D308" s="132"/>
      <c r="E308" s="134"/>
      <c r="F308" s="132"/>
    </row>
    <row r="309" spans="1:6" x14ac:dyDescent="0.3">
      <c r="A309" s="132"/>
      <c r="B309" s="132"/>
      <c r="C309" s="132"/>
      <c r="D309" s="132"/>
      <c r="E309" s="134"/>
      <c r="F309" s="132"/>
    </row>
    <row r="310" spans="1:6" x14ac:dyDescent="0.3">
      <c r="A310" s="132"/>
      <c r="B310" s="132"/>
      <c r="C310" s="132"/>
      <c r="D310" s="132"/>
      <c r="E310" s="134"/>
      <c r="F310" s="132"/>
    </row>
    <row r="311" spans="1:6" x14ac:dyDescent="0.3">
      <c r="A311" s="132"/>
      <c r="B311" s="132"/>
      <c r="C311" s="132"/>
      <c r="D311" s="132"/>
      <c r="E311" s="134"/>
      <c r="F311" s="132"/>
    </row>
    <row r="312" spans="1:6" x14ac:dyDescent="0.3">
      <c r="A312" s="132"/>
      <c r="B312" s="132"/>
      <c r="C312" s="132"/>
      <c r="D312" s="132"/>
      <c r="E312" s="134"/>
      <c r="F312" s="132"/>
    </row>
    <row r="313" spans="1:6" x14ac:dyDescent="0.3">
      <c r="A313" s="132"/>
      <c r="B313" s="132"/>
      <c r="C313" s="132"/>
      <c r="D313" s="132"/>
      <c r="E313" s="134"/>
      <c r="F313" s="132"/>
    </row>
    <row r="314" spans="1:6" x14ac:dyDescent="0.3">
      <c r="A314" s="132"/>
      <c r="B314" s="132"/>
      <c r="C314" s="132"/>
      <c r="D314" s="132"/>
      <c r="E314" s="134"/>
      <c r="F314" s="132"/>
    </row>
    <row r="315" spans="1:6" x14ac:dyDescent="0.3">
      <c r="A315" s="132"/>
      <c r="B315" s="132"/>
      <c r="C315" s="132"/>
      <c r="D315" s="132"/>
      <c r="E315" s="134"/>
      <c r="F315" s="132"/>
    </row>
    <row r="316" spans="1:6" x14ac:dyDescent="0.3">
      <c r="A316" s="132"/>
      <c r="B316" s="132"/>
      <c r="C316" s="132"/>
      <c r="D316" s="132"/>
      <c r="E316" s="134"/>
      <c r="F316" s="132"/>
    </row>
    <row r="317" spans="1:6" x14ac:dyDescent="0.3">
      <c r="A317" s="132"/>
      <c r="B317" s="132"/>
      <c r="C317" s="132"/>
      <c r="D317" s="132"/>
      <c r="E317" s="134"/>
      <c r="F317" s="132"/>
    </row>
    <row r="318" spans="1:6" x14ac:dyDescent="0.3">
      <c r="A318" s="132"/>
      <c r="B318" s="132"/>
      <c r="C318" s="132"/>
      <c r="D318" s="132"/>
      <c r="E318" s="134"/>
      <c r="F318" s="132"/>
    </row>
    <row r="319" spans="1:6" x14ac:dyDescent="0.3">
      <c r="A319" s="132"/>
      <c r="B319" s="132"/>
      <c r="C319" s="132"/>
      <c r="D319" s="132"/>
      <c r="E319" s="134"/>
      <c r="F319" s="132"/>
    </row>
    <row r="320" spans="1:6" x14ac:dyDescent="0.3">
      <c r="A320" s="132"/>
      <c r="B320" s="132"/>
      <c r="C320" s="132"/>
      <c r="D320" s="132"/>
      <c r="E320" s="134"/>
      <c r="F320" s="132"/>
    </row>
    <row r="321" spans="1:6" x14ac:dyDescent="0.3">
      <c r="A321" s="132"/>
      <c r="B321" s="132"/>
      <c r="C321" s="132"/>
      <c r="D321" s="132"/>
      <c r="E321" s="134"/>
      <c r="F321" s="132"/>
    </row>
    <row r="322" spans="1:6" x14ac:dyDescent="0.3">
      <c r="A322" s="132"/>
      <c r="B322" s="132"/>
      <c r="C322" s="132"/>
      <c r="D322" s="132"/>
      <c r="E322" s="134"/>
      <c r="F322" s="132"/>
    </row>
    <row r="323" spans="1:6" x14ac:dyDescent="0.3">
      <c r="A323" s="132"/>
      <c r="B323" s="132"/>
      <c r="C323" s="132"/>
      <c r="D323" s="132"/>
      <c r="E323" s="134"/>
      <c r="F323" s="132"/>
    </row>
    <row r="324" spans="1:6" x14ac:dyDescent="0.3">
      <c r="A324" s="132"/>
      <c r="B324" s="132"/>
      <c r="C324" s="132"/>
      <c r="D324" s="132"/>
      <c r="E324" s="134"/>
      <c r="F324" s="132"/>
    </row>
    <row r="325" spans="1:6" x14ac:dyDescent="0.3">
      <c r="A325" s="132"/>
      <c r="B325" s="132"/>
      <c r="C325" s="132"/>
      <c r="D325" s="132"/>
      <c r="E325" s="134"/>
      <c r="F325" s="132"/>
    </row>
    <row r="326" spans="1:6" x14ac:dyDescent="0.3">
      <c r="A326" s="132"/>
      <c r="B326" s="132"/>
      <c r="C326" s="132"/>
      <c r="D326" s="132"/>
      <c r="E326" s="134"/>
      <c r="F326" s="132"/>
    </row>
    <row r="327" spans="1:6" x14ac:dyDescent="0.3">
      <c r="A327" s="132"/>
      <c r="B327" s="132"/>
      <c r="C327" s="132"/>
      <c r="D327" s="132"/>
      <c r="E327" s="134"/>
      <c r="F327" s="132"/>
    </row>
    <row r="328" spans="1:6" x14ac:dyDescent="0.3">
      <c r="A328" s="132"/>
      <c r="B328" s="132"/>
      <c r="C328" s="132"/>
      <c r="D328" s="132"/>
      <c r="E328" s="134"/>
      <c r="F328" s="132"/>
    </row>
    <row r="329" spans="1:6" x14ac:dyDescent="0.3">
      <c r="A329" s="132"/>
      <c r="B329" s="132"/>
      <c r="C329" s="132"/>
      <c r="D329" s="132"/>
      <c r="E329" s="134"/>
      <c r="F329" s="132"/>
    </row>
    <row r="330" spans="1:6" x14ac:dyDescent="0.3">
      <c r="A330" s="132"/>
      <c r="B330" s="132"/>
      <c r="C330" s="132"/>
      <c r="D330" s="132"/>
      <c r="E330" s="134"/>
      <c r="F330" s="132"/>
    </row>
    <row r="331" spans="1:6" x14ac:dyDescent="0.3">
      <c r="A331" s="132"/>
      <c r="B331" s="132"/>
      <c r="C331" s="132"/>
      <c r="D331" s="132"/>
      <c r="E331" s="134"/>
      <c r="F331" s="132"/>
    </row>
    <row r="332" spans="1:6" x14ac:dyDescent="0.3">
      <c r="A332" s="132"/>
      <c r="B332" s="132"/>
      <c r="C332" s="132"/>
      <c r="D332" s="132"/>
      <c r="E332" s="134"/>
      <c r="F332" s="132"/>
    </row>
    <row r="333" spans="1:6" x14ac:dyDescent="0.3">
      <c r="A333" s="132"/>
      <c r="B333" s="132"/>
      <c r="C333" s="132"/>
      <c r="D333" s="132"/>
      <c r="E333" s="134"/>
      <c r="F333" s="132"/>
    </row>
    <row r="334" spans="1:6" x14ac:dyDescent="0.3">
      <c r="A334" s="132"/>
      <c r="B334" s="132"/>
      <c r="C334" s="132"/>
      <c r="D334" s="132"/>
      <c r="E334" s="134"/>
      <c r="F334" s="132"/>
    </row>
    <row r="335" spans="1:6" x14ac:dyDescent="0.3">
      <c r="A335" s="132"/>
      <c r="B335" s="132"/>
      <c r="C335" s="132"/>
      <c r="D335" s="132"/>
      <c r="E335" s="134"/>
      <c r="F335" s="132"/>
    </row>
    <row r="336" spans="1:6" x14ac:dyDescent="0.3">
      <c r="A336" s="132"/>
      <c r="B336" s="132"/>
      <c r="C336" s="132"/>
      <c r="D336" s="132"/>
      <c r="E336" s="134"/>
      <c r="F336" s="132"/>
    </row>
    <row r="337" spans="1:6" x14ac:dyDescent="0.3">
      <c r="A337" s="132"/>
      <c r="B337" s="132"/>
      <c r="C337" s="132"/>
      <c r="D337" s="132"/>
      <c r="E337" s="134"/>
      <c r="F337" s="132"/>
    </row>
    <row r="338" spans="1:6" x14ac:dyDescent="0.3">
      <c r="A338" s="132"/>
      <c r="B338" s="132"/>
      <c r="C338" s="132"/>
      <c r="D338" s="132"/>
      <c r="E338" s="134"/>
      <c r="F338" s="132"/>
    </row>
    <row r="339" spans="1:6" x14ac:dyDescent="0.3">
      <c r="A339" s="132"/>
      <c r="B339" s="132"/>
      <c r="C339" s="132"/>
      <c r="D339" s="132"/>
      <c r="E339" s="134"/>
      <c r="F339" s="132"/>
    </row>
    <row r="340" spans="1:6" x14ac:dyDescent="0.3">
      <c r="A340" s="132"/>
      <c r="B340" s="132"/>
      <c r="C340" s="132"/>
      <c r="D340" s="132"/>
      <c r="E340" s="134"/>
      <c r="F340" s="132"/>
    </row>
    <row r="341" spans="1:6" x14ac:dyDescent="0.3">
      <c r="A341" s="132"/>
      <c r="B341" s="132"/>
      <c r="C341" s="132"/>
      <c r="D341" s="132"/>
      <c r="E341" s="134"/>
      <c r="F341" s="132"/>
    </row>
    <row r="342" spans="1:6" x14ac:dyDescent="0.3">
      <c r="A342" s="132"/>
      <c r="B342" s="132"/>
      <c r="C342" s="132"/>
      <c r="D342" s="132"/>
      <c r="E342" s="134"/>
      <c r="F342" s="132"/>
    </row>
    <row r="343" spans="1:6" x14ac:dyDescent="0.3">
      <c r="A343" s="132"/>
      <c r="B343" s="132"/>
      <c r="C343" s="132"/>
      <c r="D343" s="132"/>
      <c r="E343" s="134"/>
      <c r="F343" s="132"/>
    </row>
    <row r="344" spans="1:6" x14ac:dyDescent="0.3">
      <c r="A344" s="132"/>
      <c r="B344" s="132"/>
      <c r="C344" s="132"/>
      <c r="D344" s="132"/>
      <c r="E344" s="134"/>
      <c r="F344" s="132"/>
    </row>
    <row r="345" spans="1:6" x14ac:dyDescent="0.3">
      <c r="A345" s="132"/>
      <c r="B345" s="132"/>
      <c r="C345" s="132"/>
      <c r="D345" s="132"/>
      <c r="E345" s="134"/>
      <c r="F345" s="132"/>
    </row>
    <row r="346" spans="1:6" x14ac:dyDescent="0.3">
      <c r="A346" s="132"/>
      <c r="B346" s="132"/>
      <c r="C346" s="132"/>
      <c r="D346" s="132"/>
      <c r="E346" s="134"/>
      <c r="F346" s="132"/>
    </row>
    <row r="347" spans="1:6" x14ac:dyDescent="0.3">
      <c r="A347" s="132"/>
      <c r="B347" s="132"/>
      <c r="C347" s="132"/>
      <c r="D347" s="132"/>
      <c r="E347" s="134"/>
      <c r="F347" s="132"/>
    </row>
    <row r="348" spans="1:6" x14ac:dyDescent="0.3">
      <c r="A348" s="132"/>
      <c r="B348" s="132"/>
      <c r="C348" s="132"/>
      <c r="D348" s="132"/>
      <c r="E348" s="134"/>
      <c r="F348" s="132"/>
    </row>
    <row r="349" spans="1:6" x14ac:dyDescent="0.3">
      <c r="A349" s="132"/>
      <c r="B349" s="132"/>
      <c r="C349" s="132"/>
      <c r="D349" s="132"/>
      <c r="E349" s="134"/>
      <c r="F349" s="132"/>
    </row>
    <row r="350" spans="1:6" x14ac:dyDescent="0.3">
      <c r="A350" s="132"/>
      <c r="B350" s="132"/>
      <c r="C350" s="132"/>
      <c r="D350" s="132"/>
      <c r="E350" s="134"/>
      <c r="F350" s="132"/>
    </row>
    <row r="351" spans="1:6" x14ac:dyDescent="0.3">
      <c r="A351" s="132"/>
      <c r="B351" s="132"/>
      <c r="C351" s="132"/>
      <c r="D351" s="132"/>
      <c r="E351" s="134"/>
      <c r="F351" s="132"/>
    </row>
    <row r="352" spans="1:6" x14ac:dyDescent="0.3">
      <c r="A352" s="132"/>
      <c r="B352" s="132"/>
      <c r="C352" s="132"/>
      <c r="D352" s="132"/>
      <c r="E352" s="134"/>
      <c r="F352" s="132"/>
    </row>
    <row r="353" spans="1:6" x14ac:dyDescent="0.3">
      <c r="A353" s="132"/>
      <c r="B353" s="132"/>
      <c r="C353" s="132"/>
      <c r="D353" s="132"/>
      <c r="E353" s="134"/>
      <c r="F353" s="132"/>
    </row>
    <row r="354" spans="1:6" x14ac:dyDescent="0.3">
      <c r="A354" s="132"/>
      <c r="B354" s="132"/>
      <c r="C354" s="132"/>
      <c r="D354" s="132"/>
      <c r="E354" s="134"/>
      <c r="F354" s="132"/>
    </row>
    <row r="355" spans="1:6" x14ac:dyDescent="0.3">
      <c r="A355" s="132"/>
      <c r="B355" s="132"/>
      <c r="C355" s="132"/>
      <c r="D355" s="132"/>
      <c r="E355" s="134"/>
      <c r="F355" s="132"/>
    </row>
    <row r="356" spans="1:6" x14ac:dyDescent="0.3">
      <c r="A356" s="132"/>
      <c r="B356" s="132"/>
      <c r="C356" s="132"/>
      <c r="D356" s="132"/>
      <c r="E356" s="134"/>
      <c r="F356" s="132"/>
    </row>
    <row r="357" spans="1:6" x14ac:dyDescent="0.3">
      <c r="A357" s="132"/>
      <c r="B357" s="132"/>
      <c r="C357" s="132"/>
      <c r="D357" s="132"/>
      <c r="E357" s="134"/>
      <c r="F357" s="132"/>
    </row>
    <row r="358" spans="1:6" x14ac:dyDescent="0.3">
      <c r="A358" s="132"/>
      <c r="B358" s="132"/>
      <c r="C358" s="132"/>
      <c r="D358" s="132"/>
      <c r="E358" s="134"/>
      <c r="F358" s="132"/>
    </row>
    <row r="359" spans="1:6" x14ac:dyDescent="0.3">
      <c r="A359" s="132"/>
      <c r="B359" s="132"/>
      <c r="C359" s="132"/>
      <c r="D359" s="132"/>
      <c r="E359" s="134"/>
      <c r="F359" s="132"/>
    </row>
    <row r="360" spans="1:6" x14ac:dyDescent="0.3">
      <c r="A360" s="132"/>
      <c r="B360" s="132"/>
      <c r="C360" s="132"/>
      <c r="D360" s="132"/>
      <c r="E360" s="134"/>
      <c r="F360" s="132"/>
    </row>
    <row r="361" spans="1:6" x14ac:dyDescent="0.3">
      <c r="A361" s="132"/>
      <c r="B361" s="132"/>
      <c r="C361" s="132"/>
      <c r="D361" s="132"/>
      <c r="E361" s="134"/>
      <c r="F361" s="132"/>
    </row>
    <row r="362" spans="1:6" x14ac:dyDescent="0.3">
      <c r="A362" s="132"/>
      <c r="B362" s="132"/>
      <c r="C362" s="132"/>
      <c r="D362" s="132"/>
      <c r="E362" s="134"/>
      <c r="F362" s="132"/>
    </row>
    <row r="363" spans="1:6" x14ac:dyDescent="0.3">
      <c r="A363" s="132"/>
      <c r="B363" s="132"/>
      <c r="C363" s="132"/>
      <c r="D363" s="132"/>
      <c r="E363" s="134"/>
      <c r="F363" s="132"/>
    </row>
    <row r="364" spans="1:6" x14ac:dyDescent="0.3">
      <c r="A364" s="132"/>
      <c r="B364" s="132"/>
      <c r="C364" s="132"/>
      <c r="D364" s="132"/>
      <c r="E364" s="134"/>
      <c r="F364" s="132"/>
    </row>
    <row r="365" spans="1:6" x14ac:dyDescent="0.3">
      <c r="A365" s="132"/>
      <c r="B365" s="132"/>
      <c r="C365" s="132"/>
      <c r="D365" s="132"/>
      <c r="E365" s="134"/>
      <c r="F365" s="132"/>
    </row>
    <row r="366" spans="1:6" x14ac:dyDescent="0.3">
      <c r="A366" s="132"/>
      <c r="B366" s="132"/>
      <c r="C366" s="132"/>
      <c r="D366" s="132"/>
      <c r="E366" s="134"/>
      <c r="F366" s="132"/>
    </row>
    <row r="367" spans="1:6" x14ac:dyDescent="0.3">
      <c r="A367" s="132"/>
      <c r="B367" s="132"/>
      <c r="C367" s="132"/>
      <c r="D367" s="132"/>
      <c r="E367" s="134"/>
      <c r="F367" s="132"/>
    </row>
    <row r="368" spans="1:6" x14ac:dyDescent="0.3">
      <c r="A368" s="132"/>
      <c r="B368" s="132"/>
      <c r="C368" s="132"/>
      <c r="D368" s="132"/>
      <c r="E368" s="134"/>
      <c r="F368" s="132"/>
    </row>
    <row r="369" spans="1:6" x14ac:dyDescent="0.3">
      <c r="A369" s="132"/>
      <c r="B369" s="132"/>
      <c r="C369" s="132"/>
      <c r="D369" s="132"/>
      <c r="E369" s="134"/>
      <c r="F369" s="132"/>
    </row>
    <row r="370" spans="1:6" x14ac:dyDescent="0.3">
      <c r="A370" s="132"/>
      <c r="B370" s="132"/>
      <c r="C370" s="132"/>
      <c r="D370" s="132"/>
      <c r="E370" s="134"/>
      <c r="F370" s="132"/>
    </row>
    <row r="371" spans="1:6" x14ac:dyDescent="0.3">
      <c r="A371" s="132"/>
      <c r="B371" s="132"/>
      <c r="C371" s="132"/>
      <c r="D371" s="132"/>
      <c r="E371" s="134"/>
      <c r="F371" s="132"/>
    </row>
    <row r="372" spans="1:6" x14ac:dyDescent="0.3">
      <c r="A372" s="132"/>
      <c r="B372" s="132"/>
      <c r="C372" s="132"/>
      <c r="D372" s="132"/>
      <c r="E372" s="134"/>
      <c r="F372" s="132"/>
    </row>
    <row r="373" spans="1:6" x14ac:dyDescent="0.3">
      <c r="A373" s="132"/>
      <c r="B373" s="132"/>
      <c r="C373" s="132"/>
      <c r="D373" s="132"/>
      <c r="E373" s="134"/>
      <c r="F373" s="132"/>
    </row>
    <row r="374" spans="1:6" x14ac:dyDescent="0.3">
      <c r="A374" s="132"/>
      <c r="B374" s="132"/>
      <c r="C374" s="132"/>
      <c r="D374" s="132"/>
      <c r="E374" s="134"/>
      <c r="F374" s="132"/>
    </row>
    <row r="375" spans="1:6" x14ac:dyDescent="0.3">
      <c r="A375" s="132"/>
      <c r="B375" s="132"/>
      <c r="C375" s="132"/>
      <c r="D375" s="132"/>
      <c r="E375" s="134"/>
      <c r="F375" s="132"/>
    </row>
    <row r="376" spans="1:6" x14ac:dyDescent="0.3">
      <c r="A376" s="132"/>
      <c r="B376" s="132"/>
      <c r="C376" s="132"/>
      <c r="D376" s="132"/>
      <c r="E376" s="134"/>
      <c r="F376" s="132"/>
    </row>
    <row r="377" spans="1:6" x14ac:dyDescent="0.3">
      <c r="A377" s="132"/>
      <c r="B377" s="132"/>
      <c r="C377" s="132"/>
      <c r="D377" s="132"/>
      <c r="E377" s="134"/>
      <c r="F377" s="132"/>
    </row>
    <row r="378" spans="1:6" x14ac:dyDescent="0.3">
      <c r="A378" s="132"/>
      <c r="B378" s="132"/>
      <c r="C378" s="132"/>
      <c r="D378" s="132"/>
      <c r="E378" s="134"/>
      <c r="F378" s="132"/>
    </row>
    <row r="379" spans="1:6" x14ac:dyDescent="0.3">
      <c r="A379" s="132"/>
      <c r="B379" s="132"/>
      <c r="C379" s="132"/>
      <c r="D379" s="132"/>
      <c r="E379" s="134"/>
      <c r="F379" s="132"/>
    </row>
    <row r="380" spans="1:6" x14ac:dyDescent="0.3">
      <c r="A380" s="132"/>
      <c r="B380" s="132"/>
      <c r="C380" s="132"/>
      <c r="D380" s="132"/>
      <c r="E380" s="134"/>
      <c r="F380" s="132"/>
    </row>
    <row r="381" spans="1:6" x14ac:dyDescent="0.3">
      <c r="A381" s="132"/>
      <c r="B381" s="132"/>
      <c r="C381" s="132"/>
      <c r="D381" s="132"/>
      <c r="E381" s="134"/>
      <c r="F381" s="132"/>
    </row>
    <row r="382" spans="1:6" x14ac:dyDescent="0.3">
      <c r="A382" s="132"/>
      <c r="B382" s="132"/>
      <c r="C382" s="132"/>
      <c r="D382" s="132"/>
      <c r="E382" s="134"/>
      <c r="F382" s="132"/>
    </row>
    <row r="383" spans="1:6" x14ac:dyDescent="0.3">
      <c r="A383" s="132"/>
      <c r="B383" s="132"/>
      <c r="C383" s="132"/>
      <c r="D383" s="132"/>
      <c r="E383" s="134"/>
      <c r="F383" s="132"/>
    </row>
    <row r="384" spans="1:6" x14ac:dyDescent="0.3">
      <c r="A384" s="132"/>
      <c r="B384" s="132"/>
      <c r="C384" s="132"/>
      <c r="D384" s="132"/>
      <c r="E384" s="134"/>
      <c r="F384" s="132"/>
    </row>
    <row r="385" spans="1:6" x14ac:dyDescent="0.3">
      <c r="A385" s="132"/>
      <c r="B385" s="132"/>
      <c r="C385" s="132"/>
      <c r="D385" s="132"/>
      <c r="E385" s="134"/>
      <c r="F385" s="132"/>
    </row>
    <row r="386" spans="1:6" x14ac:dyDescent="0.3">
      <c r="A386" s="132"/>
      <c r="B386" s="132"/>
      <c r="C386" s="132"/>
      <c r="D386" s="132"/>
      <c r="E386" s="134"/>
      <c r="F386" s="132"/>
    </row>
    <row r="387" spans="1:6" x14ac:dyDescent="0.3">
      <c r="A387" s="132"/>
      <c r="B387" s="132"/>
      <c r="C387" s="132"/>
      <c r="D387" s="132"/>
      <c r="E387" s="134"/>
      <c r="F387" s="132"/>
    </row>
    <row r="388" spans="1:6" x14ac:dyDescent="0.3">
      <c r="A388" s="132"/>
      <c r="B388" s="132"/>
      <c r="C388" s="132"/>
      <c r="D388" s="132"/>
      <c r="E388" s="134"/>
      <c r="F388" s="132"/>
    </row>
    <row r="389" spans="1:6" x14ac:dyDescent="0.3">
      <c r="A389" s="132"/>
      <c r="B389" s="132"/>
      <c r="C389" s="132"/>
      <c r="D389" s="132"/>
      <c r="E389" s="134"/>
      <c r="F389" s="132"/>
    </row>
    <row r="390" spans="1:6" x14ac:dyDescent="0.3">
      <c r="A390" s="132"/>
      <c r="B390" s="132"/>
      <c r="C390" s="132"/>
      <c r="D390" s="132"/>
      <c r="E390" s="134"/>
      <c r="F390" s="132"/>
    </row>
    <row r="391" spans="1:6" x14ac:dyDescent="0.3">
      <c r="A391" s="132"/>
      <c r="B391" s="132"/>
      <c r="C391" s="132"/>
      <c r="D391" s="132"/>
      <c r="E391" s="134"/>
      <c r="F391" s="132"/>
    </row>
    <row r="392" spans="1:6" x14ac:dyDescent="0.3">
      <c r="A392" s="132"/>
      <c r="B392" s="132"/>
      <c r="C392" s="132"/>
      <c r="D392" s="132"/>
      <c r="E392" s="134"/>
      <c r="F392" s="132"/>
    </row>
    <row r="393" spans="1:6" x14ac:dyDescent="0.3">
      <c r="A393" s="132"/>
      <c r="B393" s="132"/>
      <c r="C393" s="132"/>
      <c r="D393" s="132"/>
      <c r="E393" s="134"/>
      <c r="F393" s="132"/>
    </row>
    <row r="394" spans="1:6" x14ac:dyDescent="0.3">
      <c r="A394" s="132"/>
      <c r="B394" s="132"/>
      <c r="C394" s="132"/>
      <c r="D394" s="132"/>
      <c r="E394" s="134"/>
      <c r="F394" s="132"/>
    </row>
    <row r="395" spans="1:6" x14ac:dyDescent="0.3">
      <c r="A395" s="132"/>
      <c r="B395" s="132"/>
      <c r="C395" s="132"/>
      <c r="D395" s="132"/>
      <c r="E395" s="134"/>
      <c r="F395" s="132"/>
    </row>
    <row r="396" spans="1:6" x14ac:dyDescent="0.3">
      <c r="A396" s="132"/>
      <c r="B396" s="132"/>
      <c r="C396" s="132"/>
      <c r="D396" s="132"/>
      <c r="E396" s="134"/>
      <c r="F396" s="132"/>
    </row>
    <row r="397" spans="1:6" x14ac:dyDescent="0.3">
      <c r="A397" s="132"/>
      <c r="B397" s="132"/>
      <c r="C397" s="132"/>
      <c r="D397" s="132"/>
      <c r="E397" s="134"/>
      <c r="F397" s="132"/>
    </row>
    <row r="398" spans="1:6" x14ac:dyDescent="0.3">
      <c r="A398" s="132"/>
      <c r="B398" s="132"/>
      <c r="C398" s="132"/>
      <c r="D398" s="132"/>
      <c r="E398" s="134"/>
      <c r="F398" s="132"/>
    </row>
    <row r="399" spans="1:6" x14ac:dyDescent="0.3">
      <c r="A399" s="132"/>
      <c r="B399" s="132"/>
      <c r="C399" s="132"/>
      <c r="D399" s="132"/>
      <c r="E399" s="134"/>
      <c r="F399" s="132"/>
    </row>
    <row r="400" spans="1:6" x14ac:dyDescent="0.3">
      <c r="A400" s="132"/>
      <c r="B400" s="132"/>
      <c r="C400" s="132"/>
      <c r="D400" s="132"/>
      <c r="E400" s="134"/>
      <c r="F400" s="132"/>
    </row>
    <row r="401" spans="1:6" x14ac:dyDescent="0.3">
      <c r="A401" s="132"/>
      <c r="B401" s="132"/>
      <c r="C401" s="132"/>
      <c r="D401" s="132"/>
      <c r="E401" s="134"/>
      <c r="F401" s="132"/>
    </row>
    <row r="402" spans="1:6" x14ac:dyDescent="0.3">
      <c r="A402" s="132"/>
      <c r="B402" s="132"/>
      <c r="C402" s="132"/>
      <c r="D402" s="132"/>
      <c r="E402" s="134"/>
      <c r="F402" s="132"/>
    </row>
    <row r="403" spans="1:6" x14ac:dyDescent="0.3">
      <c r="A403" s="132"/>
      <c r="B403" s="132"/>
      <c r="C403" s="132"/>
      <c r="D403" s="132"/>
      <c r="E403" s="134"/>
      <c r="F403" s="132"/>
    </row>
    <row r="404" spans="1:6" x14ac:dyDescent="0.3">
      <c r="A404" s="132"/>
      <c r="B404" s="132"/>
      <c r="C404" s="132"/>
      <c r="D404" s="132"/>
      <c r="E404" s="134"/>
      <c r="F404" s="132"/>
    </row>
    <row r="405" spans="1:6" x14ac:dyDescent="0.3">
      <c r="A405" s="132"/>
      <c r="B405" s="132"/>
      <c r="C405" s="132"/>
      <c r="D405" s="132"/>
      <c r="E405" s="134"/>
      <c r="F405" s="132"/>
    </row>
    <row r="406" spans="1:6" x14ac:dyDescent="0.3">
      <c r="A406" s="132"/>
      <c r="B406" s="132"/>
      <c r="C406" s="132"/>
      <c r="D406" s="132"/>
      <c r="E406" s="134"/>
      <c r="F406" s="132"/>
    </row>
    <row r="407" spans="1:6" x14ac:dyDescent="0.3">
      <c r="A407" s="132"/>
      <c r="B407" s="132"/>
      <c r="C407" s="132"/>
      <c r="D407" s="132"/>
      <c r="E407" s="134"/>
      <c r="F407" s="132"/>
    </row>
    <row r="408" spans="1:6" x14ac:dyDescent="0.3">
      <c r="A408" s="132"/>
      <c r="B408" s="132"/>
      <c r="C408" s="132"/>
      <c r="D408" s="132"/>
      <c r="E408" s="134"/>
      <c r="F408" s="132"/>
    </row>
    <row r="409" spans="1:6" x14ac:dyDescent="0.3">
      <c r="A409" s="132"/>
      <c r="B409" s="132"/>
      <c r="C409" s="132"/>
      <c r="D409" s="132"/>
      <c r="E409" s="134"/>
      <c r="F409" s="132"/>
    </row>
    <row r="410" spans="1:6" x14ac:dyDescent="0.3">
      <c r="A410" s="132"/>
      <c r="B410" s="132"/>
      <c r="C410" s="132"/>
      <c r="D410" s="132"/>
      <c r="E410" s="134"/>
      <c r="F410" s="132"/>
    </row>
    <row r="411" spans="1:6" x14ac:dyDescent="0.3">
      <c r="A411" s="132"/>
      <c r="B411" s="132"/>
      <c r="C411" s="132"/>
      <c r="D411" s="132"/>
      <c r="E411" s="134"/>
      <c r="F411" s="132"/>
    </row>
    <row r="412" spans="1:6" x14ac:dyDescent="0.3">
      <c r="A412" s="132"/>
      <c r="B412" s="132"/>
      <c r="C412" s="132"/>
      <c r="D412" s="132"/>
      <c r="E412" s="134"/>
      <c r="F412" s="132"/>
    </row>
    <row r="413" spans="1:6" x14ac:dyDescent="0.3">
      <c r="A413" s="132"/>
      <c r="B413" s="132"/>
      <c r="C413" s="132"/>
      <c r="D413" s="132"/>
      <c r="E413" s="134"/>
      <c r="F413" s="132"/>
    </row>
    <row r="414" spans="1:6" x14ac:dyDescent="0.3">
      <c r="A414" s="132"/>
      <c r="B414" s="132"/>
      <c r="C414" s="132"/>
      <c r="D414" s="132"/>
      <c r="E414" s="134"/>
      <c r="F414" s="132"/>
    </row>
    <row r="415" spans="1:6" x14ac:dyDescent="0.3">
      <c r="A415" s="132"/>
      <c r="B415" s="132"/>
      <c r="C415" s="132"/>
      <c r="D415" s="132"/>
      <c r="E415" s="134"/>
      <c r="F415" s="132"/>
    </row>
    <row r="416" spans="1:6" x14ac:dyDescent="0.3">
      <c r="A416" s="132"/>
      <c r="B416" s="132"/>
      <c r="C416" s="132"/>
      <c r="D416" s="132"/>
      <c r="E416" s="134"/>
      <c r="F416" s="132"/>
    </row>
    <row r="417" spans="1:6" x14ac:dyDescent="0.3">
      <c r="A417" s="132"/>
      <c r="B417" s="132"/>
      <c r="C417" s="132"/>
      <c r="D417" s="132"/>
      <c r="E417" s="134"/>
      <c r="F417" s="132"/>
    </row>
    <row r="418" spans="1:6" x14ac:dyDescent="0.3">
      <c r="A418" s="132"/>
      <c r="B418" s="132"/>
      <c r="C418" s="132"/>
      <c r="D418" s="132"/>
      <c r="E418" s="134"/>
      <c r="F418" s="132"/>
    </row>
    <row r="419" spans="1:6" x14ac:dyDescent="0.3">
      <c r="A419" s="132"/>
      <c r="B419" s="132"/>
      <c r="C419" s="132"/>
      <c r="D419" s="132"/>
      <c r="E419" s="134"/>
      <c r="F419" s="132"/>
    </row>
    <row r="420" spans="1:6" x14ac:dyDescent="0.3">
      <c r="A420" s="132"/>
      <c r="B420" s="132"/>
      <c r="C420" s="132"/>
      <c r="D420" s="132"/>
      <c r="E420" s="134"/>
      <c r="F420" s="132"/>
    </row>
    <row r="421" spans="1:6" x14ac:dyDescent="0.3">
      <c r="A421" s="132"/>
      <c r="B421" s="132"/>
      <c r="C421" s="132"/>
      <c r="D421" s="132"/>
      <c r="E421" s="134"/>
      <c r="F421" s="132"/>
    </row>
    <row r="422" spans="1:6" x14ac:dyDescent="0.3">
      <c r="A422" s="132"/>
      <c r="B422" s="132"/>
      <c r="C422" s="132"/>
      <c r="D422" s="132"/>
      <c r="E422" s="134"/>
      <c r="F422" s="132"/>
    </row>
    <row r="423" spans="1:6" x14ac:dyDescent="0.3">
      <c r="A423" s="132"/>
      <c r="B423" s="132"/>
      <c r="C423" s="132"/>
      <c r="D423" s="132"/>
      <c r="E423" s="134"/>
      <c r="F423" s="132"/>
    </row>
    <row r="424" spans="1:6" x14ac:dyDescent="0.3">
      <c r="A424" s="132"/>
      <c r="B424" s="132"/>
      <c r="C424" s="132"/>
      <c r="D424" s="132"/>
      <c r="E424" s="134"/>
      <c r="F424" s="132"/>
    </row>
    <row r="425" spans="1:6" x14ac:dyDescent="0.3">
      <c r="A425" s="132"/>
      <c r="B425" s="132"/>
      <c r="C425" s="132"/>
      <c r="D425" s="132"/>
      <c r="E425" s="134"/>
      <c r="F425" s="132"/>
    </row>
    <row r="426" spans="1:6" x14ac:dyDescent="0.3">
      <c r="A426" s="132"/>
      <c r="B426" s="132"/>
      <c r="C426" s="132"/>
      <c r="D426" s="132"/>
      <c r="E426" s="134"/>
      <c r="F426" s="132"/>
    </row>
    <row r="427" spans="1:6" x14ac:dyDescent="0.3">
      <c r="A427" s="132"/>
      <c r="B427" s="132"/>
      <c r="C427" s="132"/>
      <c r="D427" s="132"/>
      <c r="E427" s="134"/>
      <c r="F427" s="132"/>
    </row>
    <row r="428" spans="1:6" x14ac:dyDescent="0.3">
      <c r="A428" s="132"/>
      <c r="B428" s="132"/>
      <c r="C428" s="132"/>
      <c r="D428" s="132"/>
      <c r="E428" s="134"/>
      <c r="F428" s="132"/>
    </row>
    <row r="429" spans="1:6" x14ac:dyDescent="0.3">
      <c r="A429" s="132"/>
      <c r="B429" s="132"/>
      <c r="C429" s="132"/>
      <c r="D429" s="132"/>
      <c r="E429" s="134"/>
      <c r="F429" s="132"/>
    </row>
    <row r="430" spans="1:6" x14ac:dyDescent="0.3">
      <c r="A430" s="132"/>
      <c r="B430" s="132"/>
      <c r="C430" s="132"/>
      <c r="D430" s="132"/>
      <c r="E430" s="134"/>
      <c r="F430" s="132"/>
    </row>
    <row r="431" spans="1:6" x14ac:dyDescent="0.3">
      <c r="A431" s="132"/>
      <c r="B431" s="132"/>
      <c r="C431" s="132"/>
      <c r="D431" s="132"/>
      <c r="E431" s="134"/>
      <c r="F431" s="132"/>
    </row>
    <row r="432" spans="1:6" x14ac:dyDescent="0.3">
      <c r="A432" s="132"/>
      <c r="B432" s="132"/>
      <c r="C432" s="132"/>
      <c r="D432" s="132"/>
      <c r="E432" s="134"/>
      <c r="F432" s="132"/>
    </row>
    <row r="433" spans="1:6" x14ac:dyDescent="0.3">
      <c r="A433" s="132"/>
      <c r="B433" s="132"/>
      <c r="C433" s="132"/>
      <c r="D433" s="132"/>
      <c r="E433" s="134"/>
      <c r="F433" s="132"/>
    </row>
    <row r="434" spans="1:6" x14ac:dyDescent="0.3">
      <c r="A434" s="132"/>
      <c r="B434" s="132"/>
      <c r="C434" s="132"/>
      <c r="D434" s="132"/>
      <c r="E434" s="134"/>
      <c r="F434" s="132"/>
    </row>
    <row r="435" spans="1:6" x14ac:dyDescent="0.3">
      <c r="A435" s="132"/>
      <c r="B435" s="132"/>
      <c r="C435" s="132"/>
      <c r="D435" s="132"/>
      <c r="E435" s="134"/>
      <c r="F435" s="132"/>
    </row>
    <row r="436" spans="1:6" x14ac:dyDescent="0.3">
      <c r="A436" s="132"/>
      <c r="B436" s="132"/>
      <c r="C436" s="132"/>
      <c r="D436" s="132"/>
      <c r="E436" s="134"/>
      <c r="F436" s="132"/>
    </row>
    <row r="437" spans="1:6" x14ac:dyDescent="0.3">
      <c r="A437" s="132"/>
      <c r="B437" s="132"/>
      <c r="C437" s="132"/>
      <c r="D437" s="132"/>
      <c r="E437" s="134"/>
      <c r="F437" s="132"/>
    </row>
    <row r="438" spans="1:6" x14ac:dyDescent="0.3">
      <c r="A438" s="132"/>
      <c r="B438" s="132"/>
      <c r="C438" s="132"/>
      <c r="D438" s="132"/>
      <c r="E438" s="134"/>
      <c r="F438" s="132"/>
    </row>
    <row r="439" spans="1:6" x14ac:dyDescent="0.3">
      <c r="A439" s="132"/>
      <c r="B439" s="132"/>
      <c r="C439" s="132"/>
      <c r="D439" s="132"/>
      <c r="E439" s="134"/>
      <c r="F439" s="132"/>
    </row>
    <row r="440" spans="1:6" x14ac:dyDescent="0.3">
      <c r="A440" s="132"/>
      <c r="B440" s="132"/>
      <c r="C440" s="132"/>
      <c r="D440" s="132"/>
      <c r="E440" s="134"/>
      <c r="F440" s="132"/>
    </row>
    <row r="441" spans="1:6" x14ac:dyDescent="0.3">
      <c r="A441" s="132"/>
      <c r="B441" s="132"/>
      <c r="C441" s="132"/>
      <c r="D441" s="132"/>
      <c r="E441" s="134"/>
      <c r="F441" s="132"/>
    </row>
    <row r="442" spans="1:6" x14ac:dyDescent="0.3">
      <c r="A442" s="132"/>
      <c r="B442" s="132"/>
      <c r="C442" s="132"/>
      <c r="D442" s="132"/>
      <c r="E442" s="134"/>
      <c r="F442" s="132"/>
    </row>
    <row r="443" spans="1:6" x14ac:dyDescent="0.3">
      <c r="A443" s="132"/>
      <c r="B443" s="132"/>
      <c r="C443" s="132"/>
      <c r="D443" s="132"/>
      <c r="E443" s="134"/>
      <c r="F443" s="132"/>
    </row>
    <row r="444" spans="1:6" x14ac:dyDescent="0.3">
      <c r="A444" s="132"/>
      <c r="B444" s="132"/>
      <c r="C444" s="132"/>
      <c r="D444" s="132"/>
      <c r="E444" s="134"/>
      <c r="F444" s="132"/>
    </row>
    <row r="445" spans="1:6" x14ac:dyDescent="0.3">
      <c r="A445" s="132"/>
      <c r="B445" s="132"/>
      <c r="C445" s="132"/>
      <c r="D445" s="132"/>
      <c r="E445" s="134"/>
      <c r="F445" s="132"/>
    </row>
    <row r="446" spans="1:6" x14ac:dyDescent="0.3">
      <c r="A446" s="132"/>
      <c r="B446" s="132"/>
      <c r="C446" s="132"/>
      <c r="D446" s="132"/>
      <c r="E446" s="134"/>
      <c r="F446" s="132"/>
    </row>
    <row r="447" spans="1:6" x14ac:dyDescent="0.3">
      <c r="A447" s="132"/>
      <c r="B447" s="132"/>
      <c r="C447" s="132"/>
      <c r="D447" s="132"/>
      <c r="E447" s="134"/>
      <c r="F447" s="132"/>
    </row>
    <row r="448" spans="1:6" x14ac:dyDescent="0.3">
      <c r="A448" s="132"/>
      <c r="B448" s="132"/>
      <c r="C448" s="132"/>
      <c r="D448" s="132"/>
      <c r="E448" s="134"/>
      <c r="F448" s="132"/>
    </row>
    <row r="449" spans="1:6" x14ac:dyDescent="0.3">
      <c r="A449" s="132"/>
      <c r="B449" s="132"/>
      <c r="C449" s="132"/>
      <c r="D449" s="132"/>
      <c r="E449" s="134"/>
      <c r="F449" s="132"/>
    </row>
    <row r="450" spans="1:6" x14ac:dyDescent="0.3">
      <c r="A450" s="132"/>
      <c r="B450" s="132"/>
      <c r="C450" s="132"/>
      <c r="D450" s="132"/>
      <c r="E450" s="134"/>
      <c r="F450" s="132"/>
    </row>
    <row r="451" spans="1:6" x14ac:dyDescent="0.3">
      <c r="A451" s="132"/>
      <c r="B451" s="132"/>
      <c r="C451" s="132"/>
      <c r="D451" s="132"/>
      <c r="E451" s="134"/>
      <c r="F451" s="132"/>
    </row>
    <row r="452" spans="1:6" x14ac:dyDescent="0.3">
      <c r="A452" s="132"/>
      <c r="B452" s="132"/>
      <c r="C452" s="132"/>
      <c r="D452" s="132"/>
      <c r="E452" s="134"/>
      <c r="F452" s="132"/>
    </row>
    <row r="453" spans="1:6" x14ac:dyDescent="0.3">
      <c r="A453" s="132"/>
      <c r="B453" s="132"/>
      <c r="C453" s="132"/>
      <c r="D453" s="132"/>
      <c r="E453" s="134"/>
      <c r="F453" s="132"/>
    </row>
    <row r="454" spans="1:6" x14ac:dyDescent="0.3">
      <c r="A454" s="132"/>
      <c r="B454" s="132"/>
      <c r="C454" s="132"/>
      <c r="D454" s="132"/>
      <c r="E454" s="134"/>
      <c r="F454" s="132"/>
    </row>
    <row r="455" spans="1:6" x14ac:dyDescent="0.3">
      <c r="A455" s="132"/>
      <c r="B455" s="132"/>
      <c r="C455" s="132"/>
      <c r="D455" s="132"/>
      <c r="E455" s="134"/>
      <c r="F455" s="132"/>
    </row>
    <row r="456" spans="1:6" x14ac:dyDescent="0.3">
      <c r="A456" s="132"/>
      <c r="B456" s="132"/>
      <c r="C456" s="132"/>
      <c r="D456" s="132"/>
      <c r="E456" s="134"/>
      <c r="F456" s="132"/>
    </row>
    <row r="457" spans="1:6" x14ac:dyDescent="0.3">
      <c r="A457" s="132"/>
      <c r="B457" s="132"/>
      <c r="C457" s="132"/>
      <c r="D457" s="132"/>
      <c r="E457" s="134"/>
      <c r="F457" s="132"/>
    </row>
    <row r="458" spans="1:6" x14ac:dyDescent="0.3">
      <c r="A458" s="132"/>
      <c r="B458" s="132"/>
      <c r="C458" s="132"/>
      <c r="D458" s="132"/>
      <c r="E458" s="134"/>
      <c r="F458" s="132"/>
    </row>
    <row r="459" spans="1:6" x14ac:dyDescent="0.3">
      <c r="A459" s="132"/>
      <c r="B459" s="132"/>
      <c r="C459" s="132"/>
      <c r="D459" s="132"/>
      <c r="E459" s="134"/>
      <c r="F459" s="132"/>
    </row>
    <row r="460" spans="1:6" x14ac:dyDescent="0.3">
      <c r="A460" s="132"/>
      <c r="B460" s="132"/>
      <c r="C460" s="132"/>
      <c r="D460" s="132"/>
      <c r="E460" s="134"/>
      <c r="F460" s="132"/>
    </row>
    <row r="461" spans="1:6" x14ac:dyDescent="0.3">
      <c r="A461" s="132"/>
      <c r="B461" s="132"/>
      <c r="C461" s="132"/>
      <c r="D461" s="132"/>
      <c r="E461" s="134"/>
      <c r="F461" s="132"/>
    </row>
    <row r="462" spans="1:6" x14ac:dyDescent="0.3">
      <c r="A462" s="132"/>
      <c r="B462" s="132"/>
      <c r="C462" s="132"/>
      <c r="D462" s="132"/>
      <c r="E462" s="134"/>
      <c r="F462" s="132"/>
    </row>
    <row r="463" spans="1:6" x14ac:dyDescent="0.3">
      <c r="A463" s="132"/>
      <c r="B463" s="132"/>
      <c r="C463" s="132"/>
      <c r="D463" s="132"/>
      <c r="E463" s="134"/>
      <c r="F463" s="132"/>
    </row>
    <row r="464" spans="1:6" x14ac:dyDescent="0.3">
      <c r="A464" s="132"/>
      <c r="B464" s="132"/>
      <c r="C464" s="132"/>
      <c r="D464" s="132"/>
      <c r="E464" s="134"/>
      <c r="F464" s="132"/>
    </row>
    <row r="465" spans="1:6" x14ac:dyDescent="0.3">
      <c r="A465" s="132"/>
      <c r="B465" s="132"/>
      <c r="C465" s="132"/>
      <c r="D465" s="132"/>
      <c r="E465" s="134"/>
      <c r="F465" s="132"/>
    </row>
    <row r="466" spans="1:6" x14ac:dyDescent="0.3">
      <c r="A466" s="132"/>
      <c r="B466" s="132"/>
      <c r="C466" s="132"/>
      <c r="D466" s="132"/>
      <c r="E466" s="134"/>
      <c r="F466" s="132"/>
    </row>
    <row r="467" spans="1:6" x14ac:dyDescent="0.3">
      <c r="A467" s="132"/>
      <c r="B467" s="132"/>
      <c r="C467" s="132"/>
      <c r="D467" s="132"/>
      <c r="E467" s="134"/>
      <c r="F467" s="132"/>
    </row>
    <row r="468" spans="1:6" x14ac:dyDescent="0.3">
      <c r="A468" s="132"/>
      <c r="B468" s="132"/>
      <c r="C468" s="132"/>
      <c r="D468" s="132"/>
      <c r="E468" s="134"/>
      <c r="F468" s="132"/>
    </row>
    <row r="469" spans="1:6" x14ac:dyDescent="0.3">
      <c r="A469" s="132"/>
      <c r="B469" s="132"/>
      <c r="C469" s="132"/>
      <c r="D469" s="132"/>
      <c r="E469" s="134"/>
      <c r="F469" s="132"/>
    </row>
    <row r="470" spans="1:6" x14ac:dyDescent="0.3">
      <c r="A470" s="132"/>
      <c r="B470" s="132"/>
      <c r="C470" s="132"/>
      <c r="D470" s="132"/>
      <c r="E470" s="134"/>
      <c r="F470" s="132"/>
    </row>
    <row r="471" spans="1:6" x14ac:dyDescent="0.3">
      <c r="A471" s="132"/>
      <c r="B471" s="132"/>
      <c r="C471" s="132"/>
      <c r="D471" s="132"/>
      <c r="E471" s="134"/>
      <c r="F471" s="132"/>
    </row>
    <row r="472" spans="1:6" x14ac:dyDescent="0.3">
      <c r="A472" s="132"/>
      <c r="B472" s="132"/>
      <c r="C472" s="132"/>
      <c r="D472" s="132"/>
      <c r="E472" s="134"/>
      <c r="F472" s="132"/>
    </row>
    <row r="473" spans="1:6" x14ac:dyDescent="0.3">
      <c r="A473" s="132"/>
      <c r="B473" s="132"/>
      <c r="C473" s="132"/>
      <c r="D473" s="132"/>
      <c r="E473" s="134"/>
      <c r="F473" s="132"/>
    </row>
    <row r="474" spans="1:6" x14ac:dyDescent="0.3">
      <c r="A474" s="132"/>
      <c r="B474" s="132"/>
      <c r="C474" s="132"/>
      <c r="D474" s="132"/>
      <c r="E474" s="134"/>
      <c r="F474" s="132"/>
    </row>
    <row r="475" spans="1:6" x14ac:dyDescent="0.3">
      <c r="A475" s="132"/>
      <c r="B475" s="132"/>
      <c r="C475" s="132"/>
      <c r="D475" s="132"/>
      <c r="E475" s="134"/>
      <c r="F475" s="132"/>
    </row>
    <row r="476" spans="1:6" x14ac:dyDescent="0.3">
      <c r="A476" s="132"/>
      <c r="B476" s="132"/>
      <c r="C476" s="132"/>
      <c r="D476" s="132"/>
      <c r="E476" s="134"/>
      <c r="F476" s="132"/>
    </row>
    <row r="477" spans="1:6" x14ac:dyDescent="0.3">
      <c r="A477" s="132"/>
      <c r="B477" s="132"/>
      <c r="C477" s="132"/>
      <c r="D477" s="132"/>
      <c r="E477" s="134"/>
      <c r="F477" s="132"/>
    </row>
    <row r="478" spans="1:6" x14ac:dyDescent="0.3">
      <c r="A478" s="132"/>
      <c r="B478" s="132"/>
      <c r="C478" s="132"/>
      <c r="D478" s="132"/>
      <c r="E478" s="134"/>
      <c r="F478" s="132"/>
    </row>
    <row r="479" spans="1:6" x14ac:dyDescent="0.3">
      <c r="A479" s="132"/>
      <c r="B479" s="132"/>
      <c r="C479" s="132"/>
      <c r="D479" s="132"/>
      <c r="E479" s="134"/>
      <c r="F479" s="132"/>
    </row>
    <row r="480" spans="1:6" x14ac:dyDescent="0.3">
      <c r="A480" s="132"/>
      <c r="B480" s="132"/>
      <c r="C480" s="132"/>
      <c r="D480" s="132"/>
      <c r="E480" s="134"/>
      <c r="F480" s="132"/>
    </row>
    <row r="481" spans="1:6" x14ac:dyDescent="0.3">
      <c r="A481" s="132"/>
      <c r="B481" s="132"/>
      <c r="C481" s="132"/>
      <c r="D481" s="132"/>
      <c r="E481" s="134"/>
      <c r="F481" s="132"/>
    </row>
    <row r="482" spans="1:6" x14ac:dyDescent="0.3">
      <c r="A482" s="132"/>
      <c r="B482" s="132"/>
      <c r="C482" s="132"/>
      <c r="D482" s="132"/>
      <c r="E482" s="134"/>
      <c r="F482" s="132"/>
    </row>
    <row r="483" spans="1:6" x14ac:dyDescent="0.3">
      <c r="A483" s="132"/>
      <c r="B483" s="132"/>
      <c r="C483" s="132"/>
      <c r="D483" s="132"/>
      <c r="E483" s="134"/>
      <c r="F483" s="132"/>
    </row>
    <row r="484" spans="1:6" x14ac:dyDescent="0.3">
      <c r="A484" s="132"/>
      <c r="B484" s="132"/>
      <c r="C484" s="132"/>
      <c r="D484" s="132"/>
      <c r="E484" s="134"/>
      <c r="F484" s="132"/>
    </row>
    <row r="485" spans="1:6" x14ac:dyDescent="0.3">
      <c r="A485" s="132"/>
      <c r="B485" s="132"/>
      <c r="C485" s="132"/>
      <c r="D485" s="132"/>
      <c r="E485" s="134"/>
      <c r="F485" s="132"/>
    </row>
    <row r="486" spans="1:6" x14ac:dyDescent="0.3">
      <c r="A486" s="132"/>
      <c r="B486" s="132"/>
      <c r="C486" s="132"/>
      <c r="D486" s="132"/>
      <c r="E486" s="134"/>
      <c r="F486" s="132"/>
    </row>
    <row r="487" spans="1:6" x14ac:dyDescent="0.3">
      <c r="A487" s="132"/>
      <c r="B487" s="132"/>
      <c r="C487" s="132"/>
      <c r="D487" s="132"/>
      <c r="E487" s="134"/>
      <c r="F487" s="132"/>
    </row>
    <row r="488" spans="1:6" x14ac:dyDescent="0.3">
      <c r="A488" s="132"/>
      <c r="B488" s="132"/>
      <c r="C488" s="132"/>
      <c r="D488" s="132"/>
      <c r="E488" s="134"/>
      <c r="F488" s="132"/>
    </row>
    <row r="489" spans="1:6" x14ac:dyDescent="0.3">
      <c r="A489" s="132"/>
      <c r="B489" s="132"/>
      <c r="C489" s="132"/>
      <c r="D489" s="132"/>
      <c r="E489" s="134"/>
      <c r="F489" s="132"/>
    </row>
    <row r="490" spans="1:6" x14ac:dyDescent="0.3">
      <c r="A490" s="132"/>
      <c r="B490" s="132"/>
      <c r="C490" s="132"/>
      <c r="D490" s="132"/>
      <c r="E490" s="134"/>
      <c r="F490" s="132"/>
    </row>
    <row r="491" spans="1:6" x14ac:dyDescent="0.3">
      <c r="A491" s="132"/>
      <c r="B491" s="132"/>
      <c r="C491" s="132"/>
      <c r="D491" s="132"/>
      <c r="E491" s="134"/>
      <c r="F491" s="132"/>
    </row>
    <row r="492" spans="1:6" x14ac:dyDescent="0.3">
      <c r="A492" s="132"/>
      <c r="B492" s="132"/>
      <c r="C492" s="132"/>
      <c r="D492" s="132"/>
      <c r="E492" s="134"/>
      <c r="F492" s="132"/>
    </row>
    <row r="493" spans="1:6" x14ac:dyDescent="0.3">
      <c r="A493" s="132"/>
      <c r="B493" s="132"/>
      <c r="C493" s="132"/>
      <c r="D493" s="132"/>
      <c r="E493" s="134"/>
      <c r="F493" s="132"/>
    </row>
    <row r="494" spans="1:6" x14ac:dyDescent="0.3">
      <c r="A494" s="132"/>
      <c r="B494" s="132"/>
      <c r="C494" s="132"/>
      <c r="D494" s="132"/>
      <c r="E494" s="134"/>
      <c r="F494" s="132"/>
    </row>
    <row r="495" spans="1:6" x14ac:dyDescent="0.3">
      <c r="A495" s="132"/>
      <c r="B495" s="132"/>
      <c r="C495" s="132"/>
      <c r="D495" s="132"/>
      <c r="E495" s="134"/>
      <c r="F495" s="132"/>
    </row>
    <row r="496" spans="1:6" x14ac:dyDescent="0.3">
      <c r="A496" s="132"/>
      <c r="B496" s="132"/>
      <c r="C496" s="132"/>
      <c r="D496" s="132"/>
      <c r="E496" s="134"/>
      <c r="F496" s="132"/>
    </row>
    <row r="497" spans="1:6" x14ac:dyDescent="0.3">
      <c r="A497" s="132"/>
      <c r="B497" s="132"/>
      <c r="C497" s="132"/>
      <c r="D497" s="132"/>
      <c r="E497" s="134"/>
      <c r="F497" s="132"/>
    </row>
    <row r="498" spans="1:6" x14ac:dyDescent="0.3">
      <c r="A498" s="132"/>
      <c r="B498" s="132"/>
      <c r="C498" s="132"/>
      <c r="D498" s="132"/>
      <c r="E498" s="134"/>
      <c r="F498" s="132"/>
    </row>
    <row r="499" spans="1:6" x14ac:dyDescent="0.3">
      <c r="A499" s="132"/>
      <c r="B499" s="132"/>
      <c r="C499" s="132"/>
      <c r="D499" s="132"/>
      <c r="E499" s="134"/>
      <c r="F499" s="132"/>
    </row>
    <row r="500" spans="1:6" x14ac:dyDescent="0.3">
      <c r="A500" s="132"/>
      <c r="B500" s="132"/>
      <c r="C500" s="132"/>
      <c r="D500" s="132"/>
      <c r="E500" s="134"/>
      <c r="F500" s="132"/>
    </row>
    <row r="501" spans="1:6" x14ac:dyDescent="0.3">
      <c r="A501" s="132"/>
      <c r="B501" s="132"/>
      <c r="C501" s="132"/>
      <c r="D501" s="132"/>
      <c r="E501" s="134"/>
      <c r="F501" s="132"/>
    </row>
    <row r="502" spans="1:6" x14ac:dyDescent="0.3">
      <c r="A502" s="132"/>
      <c r="B502" s="132"/>
      <c r="C502" s="132"/>
      <c r="D502" s="132"/>
      <c r="E502" s="134"/>
      <c r="F502" s="132"/>
    </row>
    <row r="503" spans="1:6" x14ac:dyDescent="0.3">
      <c r="A503" s="132"/>
      <c r="B503" s="132"/>
      <c r="C503" s="132"/>
      <c r="D503" s="132"/>
      <c r="E503" s="134"/>
      <c r="F503" s="132"/>
    </row>
    <row r="504" spans="1:6" x14ac:dyDescent="0.3">
      <c r="A504" s="132"/>
      <c r="B504" s="132"/>
      <c r="C504" s="132"/>
      <c r="D504" s="132"/>
      <c r="E504" s="134"/>
      <c r="F504" s="132"/>
    </row>
    <row r="505" spans="1:6" x14ac:dyDescent="0.3">
      <c r="A505" s="132"/>
      <c r="B505" s="132"/>
      <c r="C505" s="132"/>
      <c r="D505" s="132"/>
      <c r="E505" s="134"/>
      <c r="F505" s="132"/>
    </row>
    <row r="506" spans="1:6" x14ac:dyDescent="0.3">
      <c r="A506" s="132"/>
      <c r="B506" s="132"/>
      <c r="C506" s="132"/>
      <c r="D506" s="132"/>
      <c r="E506" s="134"/>
      <c r="F506" s="132"/>
    </row>
    <row r="507" spans="1:6" x14ac:dyDescent="0.3">
      <c r="A507" s="132"/>
      <c r="B507" s="132"/>
      <c r="C507" s="132"/>
      <c r="D507" s="132"/>
      <c r="E507" s="134"/>
      <c r="F507" s="132"/>
    </row>
    <row r="508" spans="1:6" x14ac:dyDescent="0.3">
      <c r="A508" s="132"/>
      <c r="B508" s="132"/>
      <c r="C508" s="132"/>
      <c r="D508" s="132"/>
      <c r="E508" s="134"/>
      <c r="F508" s="132"/>
    </row>
    <row r="509" spans="1:6" x14ac:dyDescent="0.3">
      <c r="A509" s="132"/>
      <c r="B509" s="132"/>
      <c r="C509" s="132"/>
      <c r="D509" s="132"/>
      <c r="E509" s="134"/>
      <c r="F509" s="132"/>
    </row>
    <row r="510" spans="1:6" x14ac:dyDescent="0.3">
      <c r="A510" s="132"/>
      <c r="B510" s="132"/>
      <c r="C510" s="132"/>
      <c r="D510" s="132"/>
      <c r="E510" s="134"/>
      <c r="F510" s="132"/>
    </row>
    <row r="511" spans="1:6" x14ac:dyDescent="0.3">
      <c r="A511" s="132"/>
      <c r="B511" s="132"/>
      <c r="C511" s="132"/>
      <c r="D511" s="132"/>
      <c r="E511" s="134"/>
      <c r="F511" s="132"/>
    </row>
    <row r="512" spans="1:6" x14ac:dyDescent="0.3">
      <c r="A512" s="132"/>
      <c r="B512" s="132"/>
      <c r="C512" s="132"/>
      <c r="D512" s="132"/>
      <c r="E512" s="134"/>
      <c r="F512" s="132"/>
    </row>
    <row r="513" spans="1:6" x14ac:dyDescent="0.3">
      <c r="A513" s="132"/>
      <c r="B513" s="132"/>
      <c r="C513" s="132"/>
      <c r="D513" s="132"/>
      <c r="E513" s="134"/>
      <c r="F513" s="132"/>
    </row>
    <row r="514" spans="1:6" x14ac:dyDescent="0.3">
      <c r="A514" s="132"/>
      <c r="B514" s="132"/>
      <c r="C514" s="132"/>
      <c r="D514" s="132"/>
      <c r="E514" s="134"/>
      <c r="F514" s="132"/>
    </row>
    <row r="515" spans="1:6" x14ac:dyDescent="0.3">
      <c r="A515" s="132"/>
      <c r="B515" s="132"/>
      <c r="C515" s="132"/>
      <c r="D515" s="132"/>
      <c r="E515" s="134"/>
      <c r="F515" s="132"/>
    </row>
    <row r="516" spans="1:6" x14ac:dyDescent="0.3">
      <c r="A516" s="132"/>
      <c r="B516" s="132"/>
      <c r="C516" s="132"/>
      <c r="D516" s="132"/>
      <c r="E516" s="134"/>
      <c r="F516" s="132"/>
    </row>
    <row r="517" spans="1:6" x14ac:dyDescent="0.3">
      <c r="A517" s="132"/>
      <c r="B517" s="132"/>
      <c r="C517" s="132"/>
      <c r="D517" s="132"/>
      <c r="E517" s="134"/>
      <c r="F517" s="132"/>
    </row>
    <row r="518" spans="1:6" x14ac:dyDescent="0.3">
      <c r="A518" s="132"/>
      <c r="B518" s="132"/>
      <c r="C518" s="132"/>
      <c r="D518" s="132"/>
      <c r="E518" s="134"/>
      <c r="F518" s="132"/>
    </row>
    <row r="519" spans="1:6" x14ac:dyDescent="0.3">
      <c r="A519" s="132"/>
      <c r="B519" s="132"/>
      <c r="C519" s="132"/>
      <c r="D519" s="132"/>
      <c r="E519" s="134"/>
      <c r="F519" s="132"/>
    </row>
    <row r="520" spans="1:6" x14ac:dyDescent="0.3">
      <c r="A520" s="132"/>
      <c r="B520" s="132"/>
      <c r="C520" s="132"/>
      <c r="D520" s="132"/>
      <c r="E520" s="134"/>
      <c r="F520" s="132"/>
    </row>
    <row r="521" spans="1:6" x14ac:dyDescent="0.3">
      <c r="A521" s="132"/>
      <c r="B521" s="132"/>
      <c r="C521" s="132"/>
      <c r="D521" s="132"/>
      <c r="E521" s="134"/>
      <c r="F521" s="132"/>
    </row>
    <row r="522" spans="1:6" x14ac:dyDescent="0.3">
      <c r="A522" s="132"/>
      <c r="B522" s="132"/>
      <c r="C522" s="132"/>
      <c r="D522" s="132"/>
      <c r="E522" s="134"/>
      <c r="F522" s="132"/>
    </row>
    <row r="523" spans="1:6" x14ac:dyDescent="0.3">
      <c r="A523" s="132"/>
      <c r="B523" s="132"/>
      <c r="C523" s="132"/>
      <c r="D523" s="132"/>
      <c r="E523" s="134"/>
      <c r="F523" s="132"/>
    </row>
    <row r="524" spans="1:6" x14ac:dyDescent="0.3">
      <c r="A524" s="132"/>
      <c r="B524" s="132"/>
      <c r="C524" s="132"/>
      <c r="D524" s="132"/>
      <c r="E524" s="134"/>
      <c r="F524" s="132"/>
    </row>
    <row r="525" spans="1:6" x14ac:dyDescent="0.3">
      <c r="A525" s="132"/>
      <c r="B525" s="132"/>
      <c r="C525" s="132"/>
      <c r="D525" s="132"/>
      <c r="E525" s="134"/>
      <c r="F525" s="132"/>
    </row>
    <row r="526" spans="1:6" x14ac:dyDescent="0.3">
      <c r="A526" s="132"/>
      <c r="B526" s="132"/>
      <c r="C526" s="132"/>
      <c r="D526" s="132"/>
      <c r="E526" s="134"/>
      <c r="F526" s="132"/>
    </row>
    <row r="527" spans="1:6" x14ac:dyDescent="0.3">
      <c r="A527" s="132"/>
      <c r="B527" s="132"/>
      <c r="C527" s="132"/>
      <c r="D527" s="132"/>
      <c r="E527" s="134"/>
      <c r="F527" s="132"/>
    </row>
    <row r="528" spans="1:6" x14ac:dyDescent="0.3">
      <c r="A528" s="132"/>
      <c r="B528" s="132"/>
      <c r="C528" s="132"/>
      <c r="D528" s="132"/>
      <c r="E528" s="134"/>
      <c r="F528" s="132"/>
    </row>
    <row r="529" spans="1:6" x14ac:dyDescent="0.3">
      <c r="A529" s="132"/>
      <c r="B529" s="132"/>
      <c r="C529" s="132"/>
      <c r="D529" s="132"/>
      <c r="E529" s="134"/>
      <c r="F529" s="132"/>
    </row>
    <row r="530" spans="1:6" x14ac:dyDescent="0.3">
      <c r="A530" s="132"/>
      <c r="B530" s="132"/>
      <c r="C530" s="132"/>
      <c r="D530" s="132"/>
      <c r="E530" s="134"/>
      <c r="F530" s="132"/>
    </row>
    <row r="531" spans="1:6" x14ac:dyDescent="0.3">
      <c r="A531" s="132"/>
      <c r="B531" s="132"/>
      <c r="C531" s="132"/>
      <c r="D531" s="132"/>
      <c r="E531" s="134"/>
      <c r="F531" s="132"/>
    </row>
    <row r="532" spans="1:6" x14ac:dyDescent="0.3">
      <c r="A532" s="132"/>
      <c r="B532" s="132"/>
      <c r="C532" s="132"/>
      <c r="D532" s="132"/>
      <c r="E532" s="134"/>
      <c r="F532" s="132"/>
    </row>
    <row r="533" spans="1:6" x14ac:dyDescent="0.3">
      <c r="A533" s="132"/>
      <c r="B533" s="132"/>
      <c r="C533" s="132"/>
      <c r="D533" s="132"/>
      <c r="E533" s="134"/>
      <c r="F533" s="132"/>
    </row>
    <row r="534" spans="1:6" x14ac:dyDescent="0.3">
      <c r="A534" s="132"/>
      <c r="B534" s="132"/>
      <c r="C534" s="132"/>
      <c r="D534" s="132"/>
      <c r="E534" s="134"/>
      <c r="F534" s="132"/>
    </row>
    <row r="535" spans="1:6" x14ac:dyDescent="0.3">
      <c r="A535" s="132"/>
      <c r="B535" s="132"/>
      <c r="C535" s="132"/>
      <c r="D535" s="132"/>
      <c r="E535" s="134"/>
      <c r="F535" s="132"/>
    </row>
    <row r="536" spans="1:6" x14ac:dyDescent="0.3">
      <c r="A536" s="132"/>
      <c r="B536" s="132"/>
      <c r="C536" s="132"/>
      <c r="D536" s="132"/>
      <c r="E536" s="134"/>
      <c r="F536" s="132"/>
    </row>
    <row r="537" spans="1:6" x14ac:dyDescent="0.3">
      <c r="A537" s="132"/>
      <c r="B537" s="132"/>
      <c r="C537" s="132"/>
      <c r="D537" s="132"/>
      <c r="E537" s="134"/>
      <c r="F537" s="132"/>
    </row>
    <row r="538" spans="1:6" x14ac:dyDescent="0.3">
      <c r="A538" s="132"/>
      <c r="B538" s="132"/>
      <c r="C538" s="132"/>
      <c r="D538" s="132"/>
      <c r="E538" s="134"/>
      <c r="F538" s="132"/>
    </row>
    <row r="539" spans="1:6" x14ac:dyDescent="0.3">
      <c r="A539" s="132"/>
      <c r="B539" s="132"/>
      <c r="C539" s="132"/>
      <c r="D539" s="132"/>
      <c r="E539" s="134"/>
      <c r="F539" s="132"/>
    </row>
    <row r="540" spans="1:6" x14ac:dyDescent="0.3">
      <c r="A540" s="132"/>
      <c r="B540" s="132"/>
      <c r="C540" s="132"/>
      <c r="D540" s="132"/>
      <c r="E540" s="134"/>
      <c r="F540" s="132"/>
    </row>
    <row r="541" spans="1:6" x14ac:dyDescent="0.3">
      <c r="A541" s="132"/>
      <c r="B541" s="132"/>
      <c r="C541" s="132"/>
      <c r="D541" s="132"/>
      <c r="E541" s="134"/>
      <c r="F541" s="132"/>
    </row>
    <row r="542" spans="1:6" x14ac:dyDescent="0.3">
      <c r="A542" s="132"/>
      <c r="B542" s="132"/>
      <c r="C542" s="132"/>
      <c r="D542" s="132"/>
      <c r="E542" s="134"/>
      <c r="F542" s="132"/>
    </row>
    <row r="543" spans="1:6" x14ac:dyDescent="0.3">
      <c r="A543" s="132"/>
      <c r="B543" s="132"/>
      <c r="C543" s="132"/>
      <c r="D543" s="132"/>
      <c r="E543" s="134"/>
      <c r="F543" s="132"/>
    </row>
    <row r="544" spans="1:6" x14ac:dyDescent="0.3">
      <c r="A544" s="132"/>
      <c r="B544" s="132"/>
      <c r="C544" s="132"/>
      <c r="D544" s="132"/>
      <c r="E544" s="134"/>
      <c r="F544" s="132"/>
    </row>
    <row r="545" spans="1:6" x14ac:dyDescent="0.3">
      <c r="A545" s="132"/>
      <c r="B545" s="132"/>
      <c r="C545" s="132"/>
      <c r="D545" s="132"/>
      <c r="E545" s="134"/>
      <c r="F545" s="132"/>
    </row>
    <row r="546" spans="1:6" x14ac:dyDescent="0.3">
      <c r="A546" s="132"/>
      <c r="B546" s="132"/>
      <c r="C546" s="132"/>
      <c r="D546" s="132"/>
      <c r="E546" s="134"/>
      <c r="F546" s="132"/>
    </row>
    <row r="547" spans="1:6" x14ac:dyDescent="0.3">
      <c r="A547" s="132"/>
      <c r="B547" s="132"/>
      <c r="C547" s="132"/>
      <c r="D547" s="132"/>
      <c r="E547" s="134"/>
      <c r="F547" s="132"/>
    </row>
    <row r="548" spans="1:6" x14ac:dyDescent="0.3">
      <c r="A548" s="132"/>
      <c r="B548" s="132"/>
      <c r="C548" s="132"/>
      <c r="D548" s="132"/>
      <c r="E548" s="134"/>
      <c r="F548" s="132"/>
    </row>
    <row r="549" spans="1:6" x14ac:dyDescent="0.3">
      <c r="A549" s="132"/>
      <c r="B549" s="132"/>
      <c r="C549" s="132"/>
      <c r="D549" s="132"/>
      <c r="E549" s="134"/>
      <c r="F549" s="132"/>
    </row>
    <row r="550" spans="1:6" x14ac:dyDescent="0.3">
      <c r="A550" s="132"/>
      <c r="B550" s="132"/>
      <c r="C550" s="132"/>
      <c r="D550" s="132"/>
      <c r="E550" s="134"/>
      <c r="F550" s="132"/>
    </row>
    <row r="551" spans="1:6" x14ac:dyDescent="0.3">
      <c r="A551" s="132"/>
      <c r="B551" s="132"/>
      <c r="C551" s="132"/>
      <c r="D551" s="132"/>
      <c r="E551" s="134"/>
      <c r="F551" s="132"/>
    </row>
    <row r="552" spans="1:6" x14ac:dyDescent="0.3">
      <c r="A552" s="132"/>
      <c r="B552" s="132"/>
      <c r="C552" s="132"/>
      <c r="D552" s="132"/>
      <c r="E552" s="134"/>
      <c r="F552" s="132"/>
    </row>
    <row r="553" spans="1:6" x14ac:dyDescent="0.3">
      <c r="A553" s="132"/>
      <c r="B553" s="132"/>
      <c r="C553" s="132"/>
      <c r="D553" s="132"/>
      <c r="E553" s="134"/>
      <c r="F553" s="132"/>
    </row>
    <row r="554" spans="1:6" x14ac:dyDescent="0.3">
      <c r="A554" s="132"/>
      <c r="B554" s="132"/>
      <c r="C554" s="132"/>
      <c r="D554" s="132"/>
      <c r="E554" s="134"/>
      <c r="F554" s="132"/>
    </row>
    <row r="555" spans="1:6" x14ac:dyDescent="0.3">
      <c r="A555" s="132"/>
      <c r="B555" s="132"/>
      <c r="C555" s="132"/>
      <c r="D555" s="132"/>
      <c r="E555" s="134"/>
      <c r="F555" s="132"/>
    </row>
    <row r="556" spans="1:6" x14ac:dyDescent="0.3">
      <c r="A556" s="132"/>
      <c r="B556" s="132"/>
      <c r="C556" s="132"/>
      <c r="D556" s="132"/>
      <c r="E556" s="134"/>
      <c r="F556" s="132"/>
    </row>
    <row r="557" spans="1:6" x14ac:dyDescent="0.3">
      <c r="A557" s="132"/>
      <c r="B557" s="132"/>
      <c r="C557" s="132"/>
      <c r="D557" s="132"/>
      <c r="E557" s="134"/>
      <c r="F557" s="132"/>
    </row>
    <row r="558" spans="1:6" x14ac:dyDescent="0.3">
      <c r="A558" s="132"/>
      <c r="B558" s="132"/>
      <c r="C558" s="132"/>
      <c r="D558" s="132"/>
      <c r="E558" s="134"/>
      <c r="F558" s="132"/>
    </row>
    <row r="559" spans="1:6" x14ac:dyDescent="0.3">
      <c r="A559" s="132"/>
      <c r="B559" s="132"/>
      <c r="C559" s="132"/>
      <c r="D559" s="132"/>
      <c r="E559" s="134"/>
      <c r="F559" s="132"/>
    </row>
    <row r="560" spans="1:6" x14ac:dyDescent="0.3">
      <c r="A560" s="132"/>
      <c r="B560" s="132"/>
      <c r="C560" s="132"/>
      <c r="D560" s="132"/>
      <c r="E560" s="134"/>
      <c r="F560" s="132"/>
    </row>
    <row r="561" spans="1:6" x14ac:dyDescent="0.3">
      <c r="A561" s="132"/>
      <c r="B561" s="132"/>
      <c r="C561" s="132"/>
      <c r="D561" s="132"/>
      <c r="E561" s="134"/>
      <c r="F561" s="132"/>
    </row>
    <row r="562" spans="1:6" x14ac:dyDescent="0.3">
      <c r="A562" s="132"/>
      <c r="B562" s="132"/>
      <c r="C562" s="132"/>
      <c r="D562" s="132"/>
      <c r="E562" s="134"/>
      <c r="F562" s="132"/>
    </row>
    <row r="563" spans="1:6" x14ac:dyDescent="0.3">
      <c r="A563" s="132"/>
      <c r="B563" s="132"/>
      <c r="C563" s="132"/>
      <c r="D563" s="132"/>
      <c r="E563" s="134"/>
      <c r="F563" s="132"/>
    </row>
    <row r="564" spans="1:6" x14ac:dyDescent="0.3">
      <c r="A564" s="132"/>
      <c r="B564" s="132"/>
      <c r="C564" s="132"/>
      <c r="D564" s="132"/>
      <c r="E564" s="134"/>
      <c r="F564" s="132"/>
    </row>
    <row r="565" spans="1:6" x14ac:dyDescent="0.3">
      <c r="A565" s="132"/>
      <c r="B565" s="132"/>
      <c r="C565" s="132"/>
      <c r="D565" s="132"/>
      <c r="E565" s="134"/>
      <c r="F565" s="132"/>
    </row>
    <row r="566" spans="1:6" x14ac:dyDescent="0.3">
      <c r="A566" s="132"/>
      <c r="B566" s="132"/>
      <c r="C566" s="132"/>
      <c r="D566" s="132"/>
      <c r="E566" s="134"/>
      <c r="F566" s="132"/>
    </row>
    <row r="567" spans="1:6" x14ac:dyDescent="0.3">
      <c r="A567" s="132"/>
      <c r="B567" s="132"/>
      <c r="C567" s="132"/>
      <c r="D567" s="132"/>
      <c r="E567" s="134"/>
      <c r="F567" s="132"/>
    </row>
    <row r="568" spans="1:6" x14ac:dyDescent="0.3">
      <c r="A568" s="132"/>
      <c r="B568" s="132"/>
      <c r="C568" s="132"/>
      <c r="D568" s="132"/>
      <c r="E568" s="134"/>
      <c r="F568" s="132"/>
    </row>
    <row r="569" spans="1:6" x14ac:dyDescent="0.3">
      <c r="A569" s="132"/>
      <c r="B569" s="132"/>
      <c r="C569" s="132"/>
      <c r="D569" s="132"/>
      <c r="E569" s="134"/>
      <c r="F569" s="132"/>
    </row>
    <row r="570" spans="1:6" x14ac:dyDescent="0.3">
      <c r="A570" s="132"/>
      <c r="B570" s="132"/>
      <c r="C570" s="132"/>
      <c r="D570" s="132"/>
      <c r="E570" s="134"/>
      <c r="F570" s="132"/>
    </row>
    <row r="571" spans="1:6" x14ac:dyDescent="0.3">
      <c r="A571" s="132"/>
      <c r="B571" s="132"/>
      <c r="C571" s="132"/>
      <c r="D571" s="132"/>
      <c r="E571" s="134"/>
      <c r="F571" s="132"/>
    </row>
    <row r="572" spans="1:6" x14ac:dyDescent="0.3">
      <c r="A572" s="132"/>
      <c r="B572" s="132"/>
      <c r="C572" s="132"/>
      <c r="D572" s="132"/>
      <c r="E572" s="134"/>
      <c r="F572" s="132"/>
    </row>
    <row r="573" spans="1:6" x14ac:dyDescent="0.3">
      <c r="A573" s="132"/>
      <c r="B573" s="132"/>
      <c r="C573" s="132"/>
      <c r="D573" s="132"/>
      <c r="E573" s="134"/>
      <c r="F573" s="132"/>
    </row>
    <row r="574" spans="1:6" x14ac:dyDescent="0.3">
      <c r="A574" s="132"/>
      <c r="B574" s="132"/>
      <c r="C574" s="132"/>
      <c r="D574" s="132"/>
      <c r="E574" s="134"/>
      <c r="F574" s="132"/>
    </row>
    <row r="575" spans="1:6" x14ac:dyDescent="0.3">
      <c r="A575" s="132"/>
      <c r="B575" s="132"/>
      <c r="C575" s="132"/>
      <c r="D575" s="132"/>
      <c r="E575" s="134"/>
      <c r="F575" s="132"/>
    </row>
    <row r="576" spans="1:6" x14ac:dyDescent="0.3">
      <c r="A576" s="132"/>
      <c r="B576" s="132"/>
      <c r="C576" s="132"/>
      <c r="D576" s="132"/>
      <c r="E576" s="134"/>
      <c r="F576" s="132"/>
    </row>
    <row r="577" spans="1:6" x14ac:dyDescent="0.3">
      <c r="A577" s="132"/>
      <c r="B577" s="132"/>
      <c r="C577" s="132"/>
      <c r="D577" s="132"/>
      <c r="E577" s="134"/>
      <c r="F577" s="132"/>
    </row>
    <row r="578" spans="1:6" x14ac:dyDescent="0.3">
      <c r="A578" s="132"/>
      <c r="B578" s="132"/>
      <c r="C578" s="132"/>
      <c r="D578" s="132"/>
      <c r="E578" s="134"/>
      <c r="F578" s="132"/>
    </row>
    <row r="579" spans="1:6" x14ac:dyDescent="0.3">
      <c r="A579" s="132"/>
      <c r="B579" s="132"/>
      <c r="C579" s="132"/>
      <c r="D579" s="132"/>
      <c r="E579" s="134"/>
      <c r="F579" s="132"/>
    </row>
    <row r="580" spans="1:6" x14ac:dyDescent="0.3">
      <c r="A580" s="132"/>
      <c r="B580" s="132"/>
      <c r="C580" s="132"/>
      <c r="D580" s="132"/>
      <c r="E580" s="134"/>
      <c r="F580" s="132"/>
    </row>
    <row r="581" spans="1:6" x14ac:dyDescent="0.3">
      <c r="A581" s="132"/>
      <c r="B581" s="132"/>
      <c r="C581" s="132"/>
      <c r="D581" s="132"/>
      <c r="E581" s="134"/>
      <c r="F581" s="132"/>
    </row>
    <row r="582" spans="1:6" x14ac:dyDescent="0.3">
      <c r="A582" s="132"/>
      <c r="B582" s="132"/>
      <c r="C582" s="132"/>
      <c r="D582" s="132"/>
      <c r="E582" s="134"/>
      <c r="F582" s="132"/>
    </row>
    <row r="583" spans="1:6" x14ac:dyDescent="0.3">
      <c r="A583" s="132"/>
      <c r="B583" s="132"/>
      <c r="C583" s="132"/>
      <c r="D583" s="132"/>
      <c r="E583" s="134"/>
      <c r="F583" s="132"/>
    </row>
    <row r="584" spans="1:6" x14ac:dyDescent="0.3">
      <c r="A584" s="132"/>
      <c r="B584" s="132"/>
      <c r="C584" s="132"/>
      <c r="D584" s="132"/>
      <c r="E584" s="134"/>
      <c r="F584" s="132"/>
    </row>
    <row r="585" spans="1:6" x14ac:dyDescent="0.3">
      <c r="A585" s="132"/>
      <c r="B585" s="132"/>
      <c r="C585" s="132"/>
      <c r="D585" s="132"/>
      <c r="E585" s="134"/>
      <c r="F585" s="132"/>
    </row>
    <row r="586" spans="1:6" x14ac:dyDescent="0.3">
      <c r="A586" s="132"/>
      <c r="B586" s="132"/>
      <c r="C586" s="132"/>
      <c r="D586" s="132"/>
      <c r="E586" s="134"/>
      <c r="F586" s="132"/>
    </row>
    <row r="587" spans="1:6" x14ac:dyDescent="0.3">
      <c r="A587" s="132"/>
      <c r="B587" s="132"/>
      <c r="C587" s="132"/>
      <c r="D587" s="132"/>
      <c r="E587" s="134"/>
      <c r="F587" s="132"/>
    </row>
    <row r="588" spans="1:6" x14ac:dyDescent="0.3">
      <c r="A588" s="132"/>
      <c r="B588" s="132"/>
      <c r="C588" s="132"/>
      <c r="D588" s="132"/>
      <c r="E588" s="134"/>
      <c r="F588" s="132"/>
    </row>
    <row r="589" spans="1:6" x14ac:dyDescent="0.3">
      <c r="A589" s="132"/>
      <c r="B589" s="132"/>
      <c r="C589" s="132"/>
      <c r="D589" s="132"/>
      <c r="E589" s="134"/>
      <c r="F589" s="132"/>
    </row>
    <row r="590" spans="1:6" x14ac:dyDescent="0.3">
      <c r="A590" s="132"/>
      <c r="B590" s="132"/>
      <c r="C590" s="132"/>
      <c r="D590" s="132"/>
      <c r="E590" s="134"/>
      <c r="F590" s="132"/>
    </row>
    <row r="591" spans="1:6" x14ac:dyDescent="0.3">
      <c r="A591" s="132"/>
      <c r="B591" s="132"/>
      <c r="C591" s="132"/>
      <c r="D591" s="132"/>
      <c r="E591" s="134"/>
      <c r="F591" s="132"/>
    </row>
    <row r="592" spans="1:6" x14ac:dyDescent="0.3">
      <c r="A592" s="132"/>
      <c r="B592" s="132"/>
      <c r="C592" s="132"/>
      <c r="D592" s="132"/>
      <c r="E592" s="134"/>
      <c r="F592" s="132"/>
    </row>
    <row r="593" spans="1:6" x14ac:dyDescent="0.3">
      <c r="A593" s="132"/>
      <c r="B593" s="132"/>
      <c r="C593" s="132"/>
      <c r="D593" s="132"/>
      <c r="E593" s="134"/>
      <c r="F593" s="132"/>
    </row>
    <row r="594" spans="1:6" x14ac:dyDescent="0.3">
      <c r="A594" s="132"/>
      <c r="B594" s="132"/>
      <c r="C594" s="132"/>
      <c r="D594" s="132"/>
      <c r="E594" s="134"/>
      <c r="F594" s="132"/>
    </row>
    <row r="595" spans="1:6" x14ac:dyDescent="0.3">
      <c r="A595" s="132"/>
      <c r="B595" s="132"/>
      <c r="C595" s="132"/>
      <c r="D595" s="132"/>
      <c r="E595" s="134"/>
      <c r="F595" s="132"/>
    </row>
    <row r="596" spans="1:6" x14ac:dyDescent="0.3">
      <c r="A596" s="132"/>
      <c r="B596" s="132"/>
      <c r="C596" s="132"/>
      <c r="D596" s="132"/>
      <c r="E596" s="134"/>
      <c r="F596" s="132"/>
    </row>
    <row r="597" spans="1:6" x14ac:dyDescent="0.3">
      <c r="A597" s="132"/>
      <c r="B597" s="132"/>
      <c r="C597" s="132"/>
      <c r="D597" s="132"/>
      <c r="E597" s="134"/>
      <c r="F597" s="132"/>
    </row>
    <row r="598" spans="1:6" x14ac:dyDescent="0.3">
      <c r="A598" s="132"/>
      <c r="B598" s="132"/>
      <c r="C598" s="132"/>
      <c r="D598" s="132"/>
      <c r="E598" s="134"/>
      <c r="F598" s="132"/>
    </row>
    <row r="599" spans="1:6" x14ac:dyDescent="0.3">
      <c r="A599" s="132"/>
      <c r="B599" s="132"/>
      <c r="C599" s="132"/>
      <c r="D599" s="132"/>
      <c r="E599" s="134"/>
      <c r="F599" s="132"/>
    </row>
    <row r="600" spans="1:6" x14ac:dyDescent="0.3">
      <c r="A600" s="132"/>
      <c r="B600" s="132"/>
      <c r="C600" s="132"/>
      <c r="D600" s="132"/>
      <c r="E600" s="134"/>
      <c r="F600" s="132"/>
    </row>
    <row r="601" spans="1:6" x14ac:dyDescent="0.3">
      <c r="A601" s="132"/>
      <c r="B601" s="132"/>
      <c r="C601" s="132"/>
      <c r="D601" s="132"/>
      <c r="E601" s="134"/>
      <c r="F601" s="132"/>
    </row>
    <row r="602" spans="1:6" x14ac:dyDescent="0.3">
      <c r="A602" s="132"/>
      <c r="B602" s="132"/>
      <c r="C602" s="132"/>
      <c r="D602" s="132"/>
      <c r="E602" s="134"/>
      <c r="F602" s="132"/>
    </row>
    <row r="603" spans="1:6" x14ac:dyDescent="0.3">
      <c r="A603" s="132"/>
      <c r="B603" s="132"/>
      <c r="C603" s="132"/>
      <c r="D603" s="132"/>
      <c r="E603" s="134"/>
      <c r="F603" s="132"/>
    </row>
    <row r="604" spans="1:6" x14ac:dyDescent="0.3">
      <c r="A604" s="132"/>
      <c r="B604" s="132"/>
      <c r="C604" s="132"/>
      <c r="D604" s="132"/>
      <c r="E604" s="134"/>
      <c r="F604" s="132"/>
    </row>
    <row r="605" spans="1:6" x14ac:dyDescent="0.3">
      <c r="A605" s="132"/>
      <c r="B605" s="132"/>
      <c r="C605" s="132"/>
      <c r="D605" s="132"/>
      <c r="E605" s="134"/>
      <c r="F605" s="132"/>
    </row>
    <row r="606" spans="1:6" x14ac:dyDescent="0.3">
      <c r="A606" s="132"/>
      <c r="B606" s="132"/>
      <c r="C606" s="132"/>
      <c r="D606" s="132"/>
      <c r="E606" s="134"/>
      <c r="F606" s="132"/>
    </row>
    <row r="607" spans="1:6" x14ac:dyDescent="0.3">
      <c r="A607" s="132"/>
      <c r="B607" s="132"/>
      <c r="C607" s="132"/>
      <c r="D607" s="132"/>
      <c r="E607" s="134"/>
      <c r="F607" s="132"/>
    </row>
    <row r="608" spans="1:6" x14ac:dyDescent="0.3">
      <c r="A608" s="132"/>
      <c r="B608" s="132"/>
      <c r="C608" s="132"/>
      <c r="D608" s="132"/>
      <c r="E608" s="134"/>
      <c r="F608" s="132"/>
    </row>
    <row r="609" spans="1:6" x14ac:dyDescent="0.3">
      <c r="A609" s="132"/>
      <c r="B609" s="132"/>
      <c r="C609" s="132"/>
      <c r="D609" s="132"/>
      <c r="E609" s="134"/>
      <c r="F609" s="132"/>
    </row>
    <row r="610" spans="1:6" x14ac:dyDescent="0.3">
      <c r="A610" s="132"/>
      <c r="B610" s="132"/>
      <c r="C610" s="132"/>
      <c r="D610" s="132"/>
      <c r="E610" s="134"/>
      <c r="F610" s="132"/>
    </row>
    <row r="611" spans="1:6" x14ac:dyDescent="0.3">
      <c r="A611" s="132"/>
      <c r="B611" s="132"/>
      <c r="C611" s="132"/>
      <c r="D611" s="132"/>
      <c r="E611" s="134"/>
      <c r="F611" s="132"/>
    </row>
    <row r="612" spans="1:6" x14ac:dyDescent="0.3">
      <c r="A612" s="132"/>
      <c r="B612" s="132"/>
      <c r="C612" s="132"/>
      <c r="D612" s="132"/>
      <c r="E612" s="134"/>
      <c r="F612" s="132"/>
    </row>
    <row r="613" spans="1:6" x14ac:dyDescent="0.3">
      <c r="A613" s="132"/>
      <c r="B613" s="132"/>
      <c r="C613" s="132"/>
      <c r="D613" s="132"/>
      <c r="E613" s="134"/>
      <c r="F613" s="132"/>
    </row>
    <row r="614" spans="1:6" x14ac:dyDescent="0.3">
      <c r="A614" s="132"/>
      <c r="B614" s="132"/>
      <c r="C614" s="132"/>
      <c r="D614" s="132"/>
      <c r="E614" s="134"/>
      <c r="F614" s="132"/>
    </row>
    <row r="615" spans="1:6" x14ac:dyDescent="0.3">
      <c r="A615" s="132"/>
      <c r="B615" s="132"/>
      <c r="C615" s="132"/>
      <c r="D615" s="132"/>
      <c r="E615" s="134"/>
      <c r="F615" s="132"/>
    </row>
    <row r="616" spans="1:6" x14ac:dyDescent="0.3">
      <c r="A616" s="132"/>
      <c r="B616" s="132"/>
      <c r="C616" s="132"/>
      <c r="D616" s="132"/>
      <c r="E616" s="134"/>
      <c r="F616" s="132"/>
    </row>
    <row r="617" spans="1:6" x14ac:dyDescent="0.3">
      <c r="A617" s="132"/>
      <c r="B617" s="132"/>
      <c r="C617" s="132"/>
      <c r="D617" s="132"/>
      <c r="E617" s="134"/>
      <c r="F617" s="132"/>
    </row>
    <row r="618" spans="1:6" x14ac:dyDescent="0.3">
      <c r="A618" s="132"/>
      <c r="B618" s="132"/>
      <c r="C618" s="132"/>
      <c r="D618" s="132"/>
      <c r="E618" s="134"/>
      <c r="F618" s="132"/>
    </row>
    <row r="619" spans="1:6" x14ac:dyDescent="0.3">
      <c r="A619" s="132"/>
      <c r="B619" s="132"/>
      <c r="C619" s="132"/>
      <c r="D619" s="132"/>
      <c r="E619" s="134"/>
      <c r="F619" s="132"/>
    </row>
    <row r="620" spans="1:6" x14ac:dyDescent="0.3">
      <c r="A620" s="132"/>
      <c r="B620" s="132"/>
      <c r="C620" s="132"/>
      <c r="D620" s="132"/>
      <c r="E620" s="134"/>
      <c r="F620" s="132"/>
    </row>
    <row r="621" spans="1:6" x14ac:dyDescent="0.3">
      <c r="A621" s="132"/>
      <c r="B621" s="132"/>
      <c r="C621" s="132"/>
      <c r="D621" s="132"/>
      <c r="E621" s="134"/>
      <c r="F621" s="132"/>
    </row>
    <row r="622" spans="1:6" x14ac:dyDescent="0.3">
      <c r="A622" s="132"/>
      <c r="B622" s="132"/>
      <c r="C622" s="132"/>
      <c r="D622" s="132"/>
      <c r="E622" s="134"/>
      <c r="F622" s="132"/>
    </row>
    <row r="623" spans="1:6" x14ac:dyDescent="0.3">
      <c r="A623" s="132"/>
      <c r="B623" s="132"/>
      <c r="C623" s="132"/>
      <c r="D623" s="132"/>
      <c r="E623" s="134"/>
      <c r="F623" s="132"/>
    </row>
    <row r="624" spans="1:6" x14ac:dyDescent="0.3">
      <c r="A624" s="132"/>
      <c r="B624" s="132"/>
      <c r="C624" s="132"/>
      <c r="D624" s="132"/>
      <c r="E624" s="134"/>
      <c r="F624" s="132"/>
    </row>
    <row r="625" spans="1:6" x14ac:dyDescent="0.3">
      <c r="A625" s="132"/>
      <c r="B625" s="132"/>
      <c r="C625" s="132"/>
      <c r="D625" s="132"/>
      <c r="E625" s="134"/>
      <c r="F625" s="132"/>
    </row>
    <row r="626" spans="1:6" x14ac:dyDescent="0.3">
      <c r="A626" s="132"/>
      <c r="B626" s="132"/>
      <c r="C626" s="132"/>
      <c r="D626" s="132"/>
      <c r="E626" s="134"/>
      <c r="F626" s="132"/>
    </row>
    <row r="627" spans="1:6" x14ac:dyDescent="0.3">
      <c r="A627" s="132"/>
      <c r="B627" s="132"/>
      <c r="C627" s="132"/>
      <c r="D627" s="132"/>
      <c r="E627" s="134"/>
      <c r="F627" s="132"/>
    </row>
    <row r="628" spans="1:6" x14ac:dyDescent="0.3">
      <c r="A628" s="132"/>
      <c r="B628" s="132"/>
      <c r="C628" s="132"/>
      <c r="D628" s="132"/>
      <c r="E628" s="134"/>
      <c r="F628" s="132"/>
    </row>
    <row r="629" spans="1:6" x14ac:dyDescent="0.3">
      <c r="A629" s="132"/>
      <c r="B629" s="132"/>
      <c r="C629" s="132"/>
      <c r="D629" s="132"/>
      <c r="E629" s="134"/>
      <c r="F629" s="132"/>
    </row>
    <row r="630" spans="1:6" x14ac:dyDescent="0.3">
      <c r="A630" s="132"/>
      <c r="B630" s="132"/>
      <c r="C630" s="132"/>
      <c r="D630" s="132"/>
      <c r="E630" s="134"/>
      <c r="F630" s="132"/>
    </row>
    <row r="631" spans="1:6" x14ac:dyDescent="0.3">
      <c r="A631" s="132"/>
      <c r="B631" s="132"/>
      <c r="C631" s="132"/>
      <c r="D631" s="132"/>
      <c r="E631" s="134"/>
      <c r="F631" s="132"/>
    </row>
    <row r="632" spans="1:6" x14ac:dyDescent="0.3">
      <c r="A632" s="132"/>
      <c r="B632" s="132"/>
      <c r="C632" s="132"/>
      <c r="D632" s="132"/>
      <c r="E632" s="134"/>
      <c r="F632" s="132"/>
    </row>
    <row r="633" spans="1:6" x14ac:dyDescent="0.3">
      <c r="A633" s="132"/>
      <c r="B633" s="132"/>
      <c r="C633" s="132"/>
      <c r="D633" s="132"/>
      <c r="E633" s="134"/>
      <c r="F633" s="132"/>
    </row>
    <row r="634" spans="1:6" x14ac:dyDescent="0.3">
      <c r="A634" s="132"/>
      <c r="B634" s="132"/>
      <c r="C634" s="132"/>
      <c r="D634" s="132"/>
      <c r="E634" s="134"/>
      <c r="F634" s="132"/>
    </row>
    <row r="635" spans="1:6" x14ac:dyDescent="0.3">
      <c r="A635" s="132"/>
      <c r="B635" s="132"/>
      <c r="C635" s="132"/>
      <c r="D635" s="132"/>
      <c r="E635" s="134"/>
      <c r="F635" s="132"/>
    </row>
    <row r="636" spans="1:6" x14ac:dyDescent="0.3">
      <c r="A636" s="132"/>
      <c r="B636" s="132"/>
      <c r="C636" s="132"/>
      <c r="D636" s="132"/>
      <c r="E636" s="134"/>
      <c r="F636" s="132"/>
    </row>
    <row r="637" spans="1:6" x14ac:dyDescent="0.3">
      <c r="A637" s="132"/>
      <c r="B637" s="132"/>
      <c r="C637" s="132"/>
      <c r="D637" s="132"/>
      <c r="E637" s="134"/>
      <c r="F637" s="132"/>
    </row>
    <row r="638" spans="1:6" x14ac:dyDescent="0.3">
      <c r="A638" s="132"/>
      <c r="B638" s="132"/>
      <c r="C638" s="132"/>
      <c r="D638" s="132"/>
      <c r="E638" s="134"/>
      <c r="F638" s="132"/>
    </row>
    <row r="639" spans="1:6" x14ac:dyDescent="0.3">
      <c r="A639" s="132"/>
      <c r="B639" s="132"/>
      <c r="C639" s="132"/>
      <c r="D639" s="132"/>
      <c r="E639" s="134"/>
      <c r="F639" s="132"/>
    </row>
    <row r="640" spans="1:6" x14ac:dyDescent="0.3">
      <c r="A640" s="132"/>
      <c r="B640" s="132"/>
      <c r="C640" s="132"/>
      <c r="D640" s="132"/>
      <c r="E640" s="134"/>
      <c r="F640" s="132"/>
    </row>
    <row r="641" spans="1:6" x14ac:dyDescent="0.3">
      <c r="A641" s="132"/>
      <c r="B641" s="132"/>
      <c r="C641" s="132"/>
      <c r="D641" s="132"/>
      <c r="E641" s="134"/>
      <c r="F641" s="132"/>
    </row>
    <row r="642" spans="1:6" x14ac:dyDescent="0.3">
      <c r="A642" s="132"/>
      <c r="B642" s="132"/>
      <c r="C642" s="132"/>
      <c r="D642" s="132"/>
      <c r="E642" s="134"/>
      <c r="F642" s="132"/>
    </row>
    <row r="643" spans="1:6" x14ac:dyDescent="0.3">
      <c r="A643" s="132"/>
      <c r="B643" s="132"/>
      <c r="C643" s="132"/>
      <c r="D643" s="132"/>
      <c r="E643" s="134"/>
      <c r="F643" s="132"/>
    </row>
    <row r="644" spans="1:6" x14ac:dyDescent="0.3">
      <c r="A644" s="132"/>
      <c r="B644" s="132"/>
      <c r="C644" s="132"/>
      <c r="D644" s="132"/>
      <c r="E644" s="134"/>
      <c r="F644" s="132"/>
    </row>
    <row r="645" spans="1:6" x14ac:dyDescent="0.3">
      <c r="A645" s="132"/>
      <c r="B645" s="132"/>
      <c r="C645" s="132"/>
      <c r="D645" s="132"/>
      <c r="E645" s="134"/>
      <c r="F645" s="132"/>
    </row>
    <row r="646" spans="1:6" x14ac:dyDescent="0.3">
      <c r="A646" s="132"/>
      <c r="B646" s="132"/>
      <c r="C646" s="132"/>
      <c r="D646" s="132"/>
      <c r="E646" s="134"/>
      <c r="F646" s="132"/>
    </row>
    <row r="647" spans="1:6" x14ac:dyDescent="0.3">
      <c r="A647" s="132"/>
      <c r="B647" s="132"/>
      <c r="C647" s="132"/>
      <c r="D647" s="132"/>
      <c r="E647" s="134"/>
      <c r="F647" s="132"/>
    </row>
    <row r="648" spans="1:6" x14ac:dyDescent="0.3">
      <c r="A648" s="132"/>
      <c r="B648" s="132"/>
      <c r="C648" s="132"/>
      <c r="D648" s="132"/>
      <c r="E648" s="134"/>
      <c r="F648" s="132"/>
    </row>
    <row r="649" spans="1:6" x14ac:dyDescent="0.3">
      <c r="A649" s="132"/>
      <c r="B649" s="132"/>
      <c r="C649" s="132"/>
      <c r="D649" s="132"/>
      <c r="E649" s="134"/>
      <c r="F649" s="132"/>
    </row>
    <row r="650" spans="1:6" x14ac:dyDescent="0.3">
      <c r="A650" s="132"/>
      <c r="B650" s="132"/>
      <c r="C650" s="132"/>
      <c r="D650" s="132"/>
      <c r="E650" s="134"/>
      <c r="F650" s="132"/>
    </row>
    <row r="651" spans="1:6" x14ac:dyDescent="0.3">
      <c r="A651" s="132"/>
      <c r="B651" s="132"/>
      <c r="C651" s="132"/>
      <c r="D651" s="132"/>
      <c r="E651" s="134"/>
      <c r="F651" s="132"/>
    </row>
    <row r="652" spans="1:6" x14ac:dyDescent="0.3">
      <c r="A652" s="132"/>
      <c r="B652" s="132"/>
      <c r="C652" s="132"/>
      <c r="D652" s="132"/>
      <c r="E652" s="134"/>
      <c r="F652" s="132"/>
    </row>
    <row r="653" spans="1:6" x14ac:dyDescent="0.3">
      <c r="A653" s="132"/>
      <c r="B653" s="132"/>
      <c r="C653" s="132"/>
      <c r="D653" s="132"/>
      <c r="E653" s="134"/>
      <c r="F653" s="132"/>
    </row>
    <row r="654" spans="1:6" x14ac:dyDescent="0.3">
      <c r="A654" s="132"/>
      <c r="B654" s="132"/>
      <c r="C654" s="132"/>
      <c r="D654" s="132"/>
      <c r="E654" s="134"/>
      <c r="F654" s="132"/>
    </row>
    <row r="655" spans="1:6" x14ac:dyDescent="0.3">
      <c r="A655" s="132"/>
      <c r="B655" s="132"/>
      <c r="C655" s="132"/>
      <c r="D655" s="132"/>
      <c r="E655" s="134"/>
      <c r="F655" s="132"/>
    </row>
    <row r="656" spans="1:6" x14ac:dyDescent="0.3">
      <c r="A656" s="132"/>
      <c r="B656" s="132"/>
      <c r="C656" s="132"/>
      <c r="D656" s="132"/>
      <c r="E656" s="134"/>
      <c r="F656" s="132"/>
    </row>
    <row r="657" spans="1:6" x14ac:dyDescent="0.3">
      <c r="A657" s="132"/>
      <c r="B657" s="132"/>
      <c r="C657" s="132"/>
      <c r="D657" s="132"/>
      <c r="E657" s="134"/>
      <c r="F657" s="132"/>
    </row>
    <row r="658" spans="1:6" x14ac:dyDescent="0.3">
      <c r="A658" s="132"/>
      <c r="B658" s="132"/>
      <c r="C658" s="132"/>
      <c r="D658" s="132"/>
      <c r="E658" s="134"/>
      <c r="F658" s="132"/>
    </row>
    <row r="659" spans="1:6" x14ac:dyDescent="0.3">
      <c r="A659" s="132"/>
      <c r="B659" s="132"/>
      <c r="C659" s="132"/>
      <c r="D659" s="132"/>
      <c r="E659" s="134"/>
      <c r="F659" s="132"/>
    </row>
    <row r="660" spans="1:6" x14ac:dyDescent="0.3">
      <c r="A660" s="132"/>
      <c r="B660" s="132"/>
      <c r="C660" s="132"/>
      <c r="D660" s="132"/>
      <c r="E660" s="134"/>
      <c r="F660" s="132"/>
    </row>
    <row r="661" spans="1:6" x14ac:dyDescent="0.3">
      <c r="A661" s="132"/>
      <c r="B661" s="132"/>
      <c r="C661" s="132"/>
      <c r="D661" s="132"/>
      <c r="E661" s="134"/>
      <c r="F661" s="132"/>
    </row>
    <row r="662" spans="1:6" x14ac:dyDescent="0.3">
      <c r="A662" s="132"/>
      <c r="B662" s="132"/>
      <c r="C662" s="132"/>
      <c r="D662" s="132"/>
      <c r="E662" s="134"/>
      <c r="F662" s="132"/>
    </row>
    <row r="663" spans="1:6" x14ac:dyDescent="0.3">
      <c r="A663" s="132"/>
      <c r="B663" s="132"/>
      <c r="C663" s="132"/>
      <c r="D663" s="132"/>
      <c r="E663" s="134"/>
      <c r="F663" s="132"/>
    </row>
    <row r="664" spans="1:6" x14ac:dyDescent="0.3">
      <c r="A664" s="132"/>
      <c r="B664" s="132"/>
      <c r="C664" s="132"/>
      <c r="D664" s="132"/>
      <c r="E664" s="134"/>
      <c r="F664" s="132"/>
    </row>
    <row r="665" spans="1:6" x14ac:dyDescent="0.3">
      <c r="A665" s="132"/>
      <c r="B665" s="132"/>
      <c r="C665" s="132"/>
      <c r="D665" s="132"/>
      <c r="E665" s="134"/>
      <c r="F665" s="132"/>
    </row>
    <row r="666" spans="1:6" x14ac:dyDescent="0.3">
      <c r="A666" s="132"/>
      <c r="B666" s="132"/>
      <c r="C666" s="132"/>
      <c r="D666" s="132"/>
      <c r="E666" s="134"/>
      <c r="F666" s="132"/>
    </row>
    <row r="667" spans="1:6" x14ac:dyDescent="0.3">
      <c r="A667" s="132"/>
      <c r="B667" s="132"/>
      <c r="C667" s="132"/>
      <c r="D667" s="132"/>
      <c r="E667" s="134"/>
      <c r="F667" s="132"/>
    </row>
    <row r="668" spans="1:6" x14ac:dyDescent="0.3">
      <c r="A668" s="132"/>
      <c r="B668" s="132"/>
      <c r="C668" s="132"/>
      <c r="D668" s="132"/>
      <c r="E668" s="134"/>
      <c r="F668" s="132"/>
    </row>
    <row r="669" spans="1:6" x14ac:dyDescent="0.3">
      <c r="A669" s="132"/>
      <c r="B669" s="132"/>
      <c r="C669" s="132"/>
      <c r="D669" s="132"/>
      <c r="E669" s="134"/>
      <c r="F669" s="132"/>
    </row>
    <row r="670" spans="1:6" x14ac:dyDescent="0.3">
      <c r="A670" s="132"/>
      <c r="B670" s="132"/>
      <c r="C670" s="132"/>
      <c r="D670" s="132"/>
      <c r="E670" s="134"/>
      <c r="F670" s="132"/>
    </row>
    <row r="671" spans="1:6" x14ac:dyDescent="0.3">
      <c r="A671" s="132"/>
      <c r="B671" s="132"/>
      <c r="C671" s="132"/>
      <c r="D671" s="132"/>
      <c r="E671" s="134"/>
      <c r="F671" s="132"/>
    </row>
    <row r="672" spans="1:6" x14ac:dyDescent="0.3">
      <c r="A672" s="132"/>
      <c r="B672" s="132"/>
      <c r="C672" s="132"/>
      <c r="D672" s="132"/>
      <c r="E672" s="134"/>
      <c r="F672" s="132"/>
    </row>
    <row r="673" spans="1:6" x14ac:dyDescent="0.3">
      <c r="A673" s="132"/>
      <c r="B673" s="132"/>
      <c r="C673" s="132"/>
      <c r="D673" s="132"/>
      <c r="E673" s="134"/>
      <c r="F673" s="132"/>
    </row>
    <row r="674" spans="1:6" x14ac:dyDescent="0.3">
      <c r="A674" s="132"/>
      <c r="B674" s="132"/>
      <c r="C674" s="132"/>
      <c r="D674" s="132"/>
      <c r="E674" s="134"/>
      <c r="F674" s="132"/>
    </row>
    <row r="675" spans="1:6" x14ac:dyDescent="0.3">
      <c r="A675" s="132"/>
      <c r="B675" s="132"/>
      <c r="C675" s="132"/>
      <c r="D675" s="132"/>
      <c r="E675" s="134"/>
      <c r="F675" s="132"/>
    </row>
    <row r="676" spans="1:6" x14ac:dyDescent="0.3">
      <c r="A676" s="132"/>
      <c r="B676" s="132"/>
      <c r="C676" s="132"/>
      <c r="D676" s="132"/>
      <c r="E676" s="134"/>
      <c r="F676" s="132"/>
    </row>
    <row r="677" spans="1:6" x14ac:dyDescent="0.3">
      <c r="A677" s="132"/>
      <c r="B677" s="132"/>
      <c r="C677" s="132"/>
      <c r="D677" s="132"/>
      <c r="E677" s="134"/>
      <c r="F677" s="132"/>
    </row>
    <row r="678" spans="1:6" x14ac:dyDescent="0.3">
      <c r="A678" s="132"/>
      <c r="B678" s="132"/>
      <c r="C678" s="132"/>
      <c r="D678" s="132"/>
      <c r="E678" s="134"/>
      <c r="F678" s="132"/>
    </row>
    <row r="679" spans="1:6" x14ac:dyDescent="0.3">
      <c r="A679" s="132"/>
      <c r="B679" s="132"/>
      <c r="C679" s="132"/>
      <c r="D679" s="132"/>
      <c r="E679" s="134"/>
      <c r="F679" s="132"/>
    </row>
    <row r="680" spans="1:6" x14ac:dyDescent="0.3">
      <c r="A680" s="132"/>
      <c r="B680" s="132"/>
      <c r="C680" s="132"/>
      <c r="D680" s="132"/>
      <c r="E680" s="134"/>
      <c r="F680" s="132"/>
    </row>
    <row r="681" spans="1:6" x14ac:dyDescent="0.3">
      <c r="A681" s="132"/>
      <c r="B681" s="132"/>
      <c r="C681" s="132"/>
      <c r="D681" s="132"/>
      <c r="E681" s="134"/>
      <c r="F681" s="132"/>
    </row>
    <row r="682" spans="1:6" x14ac:dyDescent="0.3">
      <c r="A682" s="132"/>
      <c r="B682" s="132"/>
      <c r="C682" s="132"/>
      <c r="D682" s="132"/>
      <c r="E682" s="134"/>
      <c r="F682" s="132"/>
    </row>
    <row r="683" spans="1:6" x14ac:dyDescent="0.3">
      <c r="A683" s="132"/>
      <c r="B683" s="132"/>
      <c r="C683" s="132"/>
      <c r="D683" s="132"/>
      <c r="E683" s="134"/>
      <c r="F683" s="132"/>
    </row>
    <row r="684" spans="1:6" x14ac:dyDescent="0.3">
      <c r="A684" s="132"/>
      <c r="B684" s="132"/>
      <c r="C684" s="132"/>
      <c r="D684" s="132"/>
      <c r="E684" s="134"/>
      <c r="F684" s="132"/>
    </row>
    <row r="685" spans="1:6" x14ac:dyDescent="0.3">
      <c r="A685" s="132"/>
      <c r="B685" s="132"/>
      <c r="C685" s="132"/>
      <c r="D685" s="132"/>
      <c r="E685" s="134"/>
      <c r="F685" s="132"/>
    </row>
    <row r="686" spans="1:6" x14ac:dyDescent="0.3">
      <c r="A686" s="132"/>
      <c r="B686" s="132"/>
      <c r="C686" s="132"/>
      <c r="D686" s="132"/>
      <c r="E686" s="134"/>
      <c r="F686" s="132"/>
    </row>
    <row r="687" spans="1:6" x14ac:dyDescent="0.3">
      <c r="A687" s="132"/>
      <c r="B687" s="132"/>
      <c r="C687" s="132"/>
      <c r="D687" s="132"/>
      <c r="E687" s="134"/>
      <c r="F687" s="132"/>
    </row>
    <row r="688" spans="1:6" x14ac:dyDescent="0.3">
      <c r="A688" s="132"/>
      <c r="B688" s="132"/>
      <c r="C688" s="132"/>
      <c r="D688" s="132"/>
      <c r="E688" s="134"/>
      <c r="F688" s="132"/>
    </row>
    <row r="689" spans="1:6" x14ac:dyDescent="0.3">
      <c r="A689" s="132"/>
      <c r="B689" s="132"/>
      <c r="C689" s="132"/>
      <c r="D689" s="132"/>
      <c r="E689" s="134"/>
      <c r="F689" s="132"/>
    </row>
    <row r="690" spans="1:6" x14ac:dyDescent="0.3">
      <c r="A690" s="132"/>
      <c r="B690" s="132"/>
      <c r="C690" s="132"/>
      <c r="D690" s="132"/>
      <c r="E690" s="134"/>
      <c r="F690" s="132"/>
    </row>
    <row r="691" spans="1:6" x14ac:dyDescent="0.3">
      <c r="A691" s="132"/>
      <c r="B691" s="132"/>
      <c r="C691" s="132"/>
      <c r="D691" s="132"/>
      <c r="E691" s="134"/>
      <c r="F691" s="132"/>
    </row>
    <row r="692" spans="1:6" x14ac:dyDescent="0.3">
      <c r="A692" s="132"/>
      <c r="B692" s="132"/>
      <c r="C692" s="132"/>
      <c r="D692" s="132"/>
      <c r="E692" s="134"/>
      <c r="F692" s="132"/>
    </row>
    <row r="693" spans="1:6" x14ac:dyDescent="0.3">
      <c r="A693" s="132"/>
      <c r="B693" s="132"/>
      <c r="C693" s="132"/>
      <c r="D693" s="132"/>
      <c r="E693" s="134"/>
      <c r="F693" s="132"/>
    </row>
    <row r="694" spans="1:6" x14ac:dyDescent="0.3">
      <c r="A694" s="132"/>
      <c r="B694" s="132"/>
      <c r="C694" s="132"/>
      <c r="D694" s="132"/>
      <c r="E694" s="134"/>
      <c r="F694" s="132"/>
    </row>
    <row r="695" spans="1:6" x14ac:dyDescent="0.3">
      <c r="A695" s="132"/>
      <c r="B695" s="132"/>
      <c r="C695" s="132"/>
      <c r="D695" s="132"/>
      <c r="E695" s="134"/>
      <c r="F695" s="132"/>
    </row>
    <row r="696" spans="1:6" x14ac:dyDescent="0.3">
      <c r="A696" s="132"/>
      <c r="B696" s="132"/>
      <c r="C696" s="132"/>
      <c r="D696" s="132"/>
      <c r="E696" s="134"/>
      <c r="F696" s="132"/>
    </row>
    <row r="697" spans="1:6" x14ac:dyDescent="0.3">
      <c r="A697" s="132"/>
      <c r="B697" s="132"/>
      <c r="C697" s="132"/>
      <c r="D697" s="132"/>
      <c r="E697" s="134"/>
      <c r="F697" s="132"/>
    </row>
    <row r="698" spans="1:6" x14ac:dyDescent="0.3">
      <c r="A698" s="132"/>
      <c r="B698" s="132"/>
      <c r="C698" s="132"/>
      <c r="D698" s="132"/>
      <c r="E698" s="134"/>
      <c r="F698" s="132"/>
    </row>
    <row r="699" spans="1:6" x14ac:dyDescent="0.3">
      <c r="A699" s="132"/>
      <c r="B699" s="132"/>
      <c r="C699" s="132"/>
      <c r="D699" s="132"/>
      <c r="E699" s="134"/>
      <c r="F699" s="132"/>
    </row>
    <row r="700" spans="1:6" x14ac:dyDescent="0.3">
      <c r="A700" s="132"/>
      <c r="B700" s="132"/>
      <c r="C700" s="132"/>
      <c r="D700" s="132"/>
      <c r="E700" s="134"/>
      <c r="F700" s="132"/>
    </row>
    <row r="701" spans="1:6" x14ac:dyDescent="0.3">
      <c r="A701" s="132"/>
      <c r="B701" s="132"/>
      <c r="C701" s="132"/>
      <c r="D701" s="132"/>
      <c r="E701" s="134"/>
      <c r="F701" s="132"/>
    </row>
    <row r="702" spans="1:6" x14ac:dyDescent="0.3">
      <c r="A702" s="132"/>
      <c r="B702" s="132"/>
      <c r="C702" s="132"/>
      <c r="D702" s="132"/>
      <c r="E702" s="134"/>
      <c r="F702" s="132"/>
    </row>
    <row r="703" spans="1:6" x14ac:dyDescent="0.3">
      <c r="A703" s="132"/>
      <c r="B703" s="132"/>
      <c r="C703" s="132"/>
      <c r="D703" s="132"/>
      <c r="E703" s="134"/>
      <c r="F703" s="132"/>
    </row>
    <row r="704" spans="1:6" x14ac:dyDescent="0.3">
      <c r="A704" s="132"/>
      <c r="B704" s="132"/>
      <c r="C704" s="132"/>
      <c r="D704" s="132"/>
      <c r="E704" s="134"/>
      <c r="F704" s="132"/>
    </row>
    <row r="705" spans="1:6" x14ac:dyDescent="0.3">
      <c r="A705" s="132"/>
      <c r="B705" s="132"/>
      <c r="C705" s="132"/>
      <c r="D705" s="132"/>
      <c r="E705" s="134"/>
      <c r="F705" s="132"/>
    </row>
    <row r="706" spans="1:6" x14ac:dyDescent="0.3">
      <c r="A706" s="132"/>
      <c r="B706" s="132"/>
      <c r="C706" s="132"/>
      <c r="D706" s="132"/>
      <c r="E706" s="134"/>
      <c r="F706" s="132"/>
    </row>
    <row r="707" spans="1:6" x14ac:dyDescent="0.3">
      <c r="A707" s="132"/>
      <c r="B707" s="132"/>
      <c r="C707" s="132"/>
      <c r="D707" s="132"/>
      <c r="E707" s="134"/>
      <c r="F707" s="132"/>
    </row>
    <row r="708" spans="1:6" x14ac:dyDescent="0.3">
      <c r="A708" s="132"/>
      <c r="B708" s="132"/>
      <c r="C708" s="132"/>
      <c r="D708" s="132"/>
      <c r="E708" s="134"/>
      <c r="F708" s="132"/>
    </row>
    <row r="709" spans="1:6" x14ac:dyDescent="0.3">
      <c r="A709" s="132"/>
      <c r="B709" s="132"/>
      <c r="C709" s="132"/>
      <c r="D709" s="132"/>
      <c r="E709" s="134"/>
      <c r="F709" s="132"/>
    </row>
    <row r="710" spans="1:6" x14ac:dyDescent="0.3">
      <c r="A710" s="132"/>
      <c r="B710" s="132"/>
      <c r="C710" s="132"/>
      <c r="D710" s="132"/>
      <c r="E710" s="134"/>
      <c r="F710" s="132"/>
    </row>
    <row r="711" spans="1:6" x14ac:dyDescent="0.3">
      <c r="A711" s="132"/>
      <c r="B711" s="132"/>
      <c r="C711" s="132"/>
      <c r="D711" s="132"/>
      <c r="E711" s="134"/>
      <c r="F711" s="132"/>
    </row>
    <row r="712" spans="1:6" x14ac:dyDescent="0.3">
      <c r="A712" s="132"/>
      <c r="B712" s="132"/>
      <c r="C712" s="132"/>
      <c r="D712" s="132"/>
      <c r="E712" s="134"/>
      <c r="F712" s="132"/>
    </row>
    <row r="713" spans="1:6" x14ac:dyDescent="0.3">
      <c r="A713" s="132"/>
      <c r="B713" s="132"/>
      <c r="C713" s="132"/>
      <c r="D713" s="132"/>
      <c r="E713" s="134"/>
      <c r="F713" s="132"/>
    </row>
    <row r="714" spans="1:6" x14ac:dyDescent="0.3">
      <c r="A714" s="132"/>
      <c r="B714" s="132"/>
      <c r="C714" s="132"/>
      <c r="D714" s="132"/>
      <c r="E714" s="134"/>
      <c r="F714" s="132"/>
    </row>
    <row r="715" spans="1:6" x14ac:dyDescent="0.3">
      <c r="A715" s="132"/>
      <c r="B715" s="132"/>
      <c r="C715" s="132"/>
      <c r="D715" s="132"/>
      <c r="E715" s="134"/>
      <c r="F715" s="132"/>
    </row>
    <row r="716" spans="1:6" x14ac:dyDescent="0.3">
      <c r="A716" s="132"/>
      <c r="B716" s="132"/>
      <c r="C716" s="132"/>
      <c r="D716" s="132"/>
      <c r="E716" s="134"/>
      <c r="F716" s="132"/>
    </row>
    <row r="717" spans="1:6" x14ac:dyDescent="0.3">
      <c r="A717" s="132"/>
      <c r="B717" s="132"/>
      <c r="C717" s="132"/>
      <c r="D717" s="132"/>
      <c r="E717" s="134"/>
      <c r="F717" s="132"/>
    </row>
    <row r="718" spans="1:6" x14ac:dyDescent="0.3">
      <c r="A718" s="132"/>
      <c r="B718" s="132"/>
      <c r="C718" s="132"/>
      <c r="D718" s="132"/>
      <c r="E718" s="134"/>
      <c r="F718" s="132"/>
    </row>
    <row r="719" spans="1:6" x14ac:dyDescent="0.3">
      <c r="A719" s="132"/>
      <c r="B719" s="132"/>
      <c r="C719" s="132"/>
      <c r="D719" s="132"/>
      <c r="E719" s="134"/>
      <c r="F719" s="132"/>
    </row>
    <row r="720" spans="1:6" x14ac:dyDescent="0.3">
      <c r="A720" s="132"/>
      <c r="B720" s="132"/>
      <c r="C720" s="132"/>
      <c r="D720" s="132"/>
      <c r="E720" s="134"/>
      <c r="F720" s="132"/>
    </row>
    <row r="721" spans="1:6" x14ac:dyDescent="0.3">
      <c r="A721" s="132"/>
      <c r="B721" s="132"/>
      <c r="C721" s="132"/>
      <c r="D721" s="132"/>
      <c r="E721" s="134"/>
      <c r="F721" s="132"/>
    </row>
    <row r="722" spans="1:6" x14ac:dyDescent="0.3">
      <c r="A722" s="132"/>
      <c r="B722" s="132"/>
      <c r="C722" s="132"/>
      <c r="D722" s="132"/>
      <c r="E722" s="134"/>
      <c r="F722" s="132"/>
    </row>
    <row r="723" spans="1:6" x14ac:dyDescent="0.3">
      <c r="A723" s="132"/>
      <c r="B723" s="132"/>
      <c r="C723" s="132"/>
      <c r="D723" s="132"/>
      <c r="E723" s="134"/>
      <c r="F723" s="132"/>
    </row>
    <row r="724" spans="1:6" x14ac:dyDescent="0.3">
      <c r="A724" s="132"/>
      <c r="B724" s="132"/>
      <c r="C724" s="132"/>
      <c r="D724" s="132"/>
      <c r="E724" s="134"/>
      <c r="F724" s="132"/>
    </row>
    <row r="725" spans="1:6" x14ac:dyDescent="0.3">
      <c r="A725" s="132"/>
      <c r="B725" s="132"/>
      <c r="C725" s="132"/>
      <c r="D725" s="132"/>
      <c r="E725" s="134"/>
      <c r="F725" s="132"/>
    </row>
    <row r="726" spans="1:6" x14ac:dyDescent="0.3">
      <c r="A726" s="132"/>
      <c r="B726" s="132"/>
      <c r="C726" s="132"/>
      <c r="D726" s="132"/>
      <c r="E726" s="134"/>
      <c r="F726" s="132"/>
    </row>
    <row r="727" spans="1:6" x14ac:dyDescent="0.3">
      <c r="A727" s="132"/>
      <c r="B727" s="132"/>
      <c r="C727" s="132"/>
      <c r="D727" s="132"/>
      <c r="E727" s="134"/>
      <c r="F727" s="132"/>
    </row>
    <row r="728" spans="1:6" x14ac:dyDescent="0.3">
      <c r="A728" s="132"/>
      <c r="B728" s="132"/>
      <c r="C728" s="132"/>
      <c r="D728" s="132"/>
      <c r="E728" s="134"/>
      <c r="F728" s="132"/>
    </row>
    <row r="729" spans="1:6" x14ac:dyDescent="0.3">
      <c r="A729" s="132"/>
      <c r="B729" s="132"/>
      <c r="C729" s="132"/>
      <c r="D729" s="132"/>
      <c r="E729" s="134"/>
      <c r="F729" s="132"/>
    </row>
    <row r="730" spans="1:6" x14ac:dyDescent="0.3">
      <c r="A730" s="132"/>
      <c r="B730" s="132"/>
      <c r="C730" s="132"/>
      <c r="D730" s="132"/>
      <c r="E730" s="134"/>
      <c r="F730" s="132"/>
    </row>
    <row r="731" spans="1:6" x14ac:dyDescent="0.3">
      <c r="A731" s="132"/>
      <c r="B731" s="132"/>
      <c r="C731" s="132"/>
      <c r="D731" s="132"/>
      <c r="E731" s="134"/>
      <c r="F731" s="132"/>
    </row>
    <row r="732" spans="1:6" x14ac:dyDescent="0.3">
      <c r="A732" s="132"/>
      <c r="B732" s="132"/>
      <c r="C732" s="132"/>
      <c r="D732" s="132"/>
      <c r="E732" s="134"/>
      <c r="F732" s="132"/>
    </row>
    <row r="733" spans="1:6" x14ac:dyDescent="0.3">
      <c r="A733" s="132"/>
      <c r="B733" s="132"/>
      <c r="C733" s="132"/>
      <c r="D733" s="132"/>
      <c r="E733" s="134"/>
      <c r="F733" s="132"/>
    </row>
    <row r="734" spans="1:6" x14ac:dyDescent="0.3">
      <c r="A734" s="132"/>
      <c r="B734" s="132"/>
      <c r="C734" s="132"/>
      <c r="D734" s="132"/>
      <c r="E734" s="134"/>
      <c r="F734" s="132"/>
    </row>
    <row r="735" spans="1:6" x14ac:dyDescent="0.3">
      <c r="A735" s="132"/>
      <c r="B735" s="132"/>
      <c r="C735" s="132"/>
      <c r="D735" s="132"/>
      <c r="E735" s="134"/>
      <c r="F735" s="132"/>
    </row>
    <row r="736" spans="1:6" x14ac:dyDescent="0.3">
      <c r="A736" s="132"/>
      <c r="B736" s="132"/>
      <c r="C736" s="132"/>
      <c r="D736" s="132"/>
      <c r="E736" s="134"/>
      <c r="F736" s="132"/>
    </row>
    <row r="737" spans="1:6" x14ac:dyDescent="0.3">
      <c r="A737" s="132"/>
      <c r="B737" s="132"/>
      <c r="C737" s="132"/>
      <c r="D737" s="132"/>
      <c r="E737" s="134"/>
      <c r="F737" s="132"/>
    </row>
    <row r="738" spans="1:6" x14ac:dyDescent="0.3">
      <c r="A738" s="132"/>
      <c r="B738" s="132"/>
      <c r="C738" s="132"/>
      <c r="D738" s="132"/>
      <c r="E738" s="134"/>
      <c r="F738" s="132"/>
    </row>
    <row r="739" spans="1:6" x14ac:dyDescent="0.3">
      <c r="A739" s="132"/>
      <c r="B739" s="132"/>
      <c r="C739" s="132"/>
      <c r="D739" s="132"/>
      <c r="E739" s="134"/>
      <c r="F739" s="132"/>
    </row>
    <row r="740" spans="1:6" x14ac:dyDescent="0.3">
      <c r="A740" s="132"/>
      <c r="B740" s="132"/>
      <c r="C740" s="132"/>
      <c r="D740" s="132"/>
      <c r="E740" s="134"/>
      <c r="F740" s="132"/>
    </row>
    <row r="741" spans="1:6" x14ac:dyDescent="0.3">
      <c r="A741" s="132"/>
      <c r="B741" s="132"/>
      <c r="C741" s="132"/>
      <c r="D741" s="132"/>
      <c r="E741" s="134"/>
      <c r="F741" s="132"/>
    </row>
    <row r="742" spans="1:6" x14ac:dyDescent="0.3">
      <c r="A742" s="132"/>
      <c r="B742" s="132"/>
      <c r="C742" s="132"/>
      <c r="D742" s="132"/>
      <c r="E742" s="134"/>
      <c r="F742" s="132"/>
    </row>
    <row r="743" spans="1:6" x14ac:dyDescent="0.3">
      <c r="A743" s="132"/>
      <c r="B743" s="132"/>
      <c r="C743" s="132"/>
      <c r="D743" s="132"/>
      <c r="E743" s="134"/>
      <c r="F743" s="132"/>
    </row>
    <row r="744" spans="1:6" x14ac:dyDescent="0.3">
      <c r="A744" s="132"/>
      <c r="B744" s="132"/>
      <c r="C744" s="132"/>
      <c r="D744" s="132"/>
      <c r="E744" s="134"/>
      <c r="F744" s="132"/>
    </row>
    <row r="745" spans="1:6" x14ac:dyDescent="0.3">
      <c r="A745" s="132"/>
      <c r="B745" s="132"/>
      <c r="C745" s="132"/>
      <c r="D745" s="132"/>
      <c r="E745" s="134"/>
      <c r="F745" s="132"/>
    </row>
    <row r="746" spans="1:6" x14ac:dyDescent="0.3">
      <c r="A746" s="132"/>
      <c r="B746" s="132"/>
      <c r="C746" s="132"/>
      <c r="D746" s="132"/>
      <c r="E746" s="134"/>
      <c r="F746" s="132"/>
    </row>
    <row r="747" spans="1:6" x14ac:dyDescent="0.3">
      <c r="A747" s="132"/>
      <c r="B747" s="132"/>
      <c r="C747" s="132"/>
      <c r="D747" s="132"/>
      <c r="E747" s="134"/>
      <c r="F747" s="132"/>
    </row>
    <row r="748" spans="1:6" x14ac:dyDescent="0.3">
      <c r="A748" s="132"/>
      <c r="B748" s="132"/>
      <c r="C748" s="132"/>
      <c r="D748" s="132"/>
      <c r="E748" s="134"/>
      <c r="F748" s="132"/>
    </row>
    <row r="749" spans="1:6" x14ac:dyDescent="0.3">
      <c r="A749" s="132"/>
      <c r="B749" s="132"/>
      <c r="C749" s="132"/>
      <c r="D749" s="132"/>
      <c r="E749" s="134"/>
      <c r="F749" s="132"/>
    </row>
    <row r="750" spans="1:6" x14ac:dyDescent="0.3">
      <c r="A750" s="132"/>
      <c r="B750" s="132"/>
      <c r="C750" s="132"/>
      <c r="D750" s="132"/>
      <c r="E750" s="134"/>
      <c r="F750" s="132"/>
    </row>
    <row r="751" spans="1:6" x14ac:dyDescent="0.3">
      <c r="A751" s="132"/>
      <c r="B751" s="132"/>
      <c r="C751" s="132"/>
      <c r="D751" s="132"/>
      <c r="E751" s="134"/>
      <c r="F751" s="132"/>
    </row>
    <row r="752" spans="1:6" x14ac:dyDescent="0.3">
      <c r="A752" s="132"/>
      <c r="B752" s="132"/>
      <c r="C752" s="132"/>
      <c r="D752" s="132"/>
      <c r="E752" s="134"/>
      <c r="F752" s="132"/>
    </row>
    <row r="753" spans="1:6" x14ac:dyDescent="0.3">
      <c r="A753" s="132"/>
      <c r="B753" s="132"/>
      <c r="C753" s="132"/>
      <c r="D753" s="132"/>
      <c r="E753" s="134"/>
      <c r="F753" s="132"/>
    </row>
    <row r="754" spans="1:6" x14ac:dyDescent="0.3">
      <c r="A754" s="132"/>
      <c r="B754" s="132"/>
      <c r="C754" s="132"/>
      <c r="D754" s="132"/>
      <c r="E754" s="134"/>
      <c r="F754" s="132"/>
    </row>
    <row r="755" spans="1:6" x14ac:dyDescent="0.3">
      <c r="A755" s="132"/>
      <c r="B755" s="132"/>
      <c r="C755" s="132"/>
      <c r="D755" s="132"/>
      <c r="E755" s="134"/>
      <c r="F755" s="132"/>
    </row>
    <row r="756" spans="1:6" x14ac:dyDescent="0.3">
      <c r="A756" s="132"/>
      <c r="B756" s="132"/>
      <c r="C756" s="132"/>
      <c r="D756" s="132"/>
      <c r="E756" s="134"/>
      <c r="F756" s="132"/>
    </row>
    <row r="757" spans="1:6" x14ac:dyDescent="0.3">
      <c r="A757" s="132"/>
      <c r="B757" s="132"/>
      <c r="C757" s="132"/>
      <c r="D757" s="132"/>
      <c r="E757" s="134"/>
      <c r="F757" s="132"/>
    </row>
    <row r="758" spans="1:6" x14ac:dyDescent="0.3">
      <c r="A758" s="132"/>
      <c r="B758" s="132"/>
      <c r="C758" s="132"/>
      <c r="D758" s="132"/>
      <c r="E758" s="134"/>
      <c r="F758" s="132"/>
    </row>
    <row r="759" spans="1:6" x14ac:dyDescent="0.3">
      <c r="A759" s="132"/>
      <c r="B759" s="132"/>
      <c r="C759" s="132"/>
      <c r="D759" s="132"/>
      <c r="E759" s="134"/>
      <c r="F759" s="132"/>
    </row>
    <row r="760" spans="1:6" x14ac:dyDescent="0.3">
      <c r="A760" s="132"/>
      <c r="B760" s="132"/>
      <c r="C760" s="132"/>
      <c r="D760" s="132"/>
      <c r="E760" s="134"/>
      <c r="F760" s="132"/>
    </row>
    <row r="761" spans="1:6" x14ac:dyDescent="0.3">
      <c r="A761" s="132"/>
      <c r="B761" s="132"/>
      <c r="C761" s="132"/>
      <c r="D761" s="132"/>
      <c r="E761" s="134"/>
      <c r="F761" s="132"/>
    </row>
    <row r="762" spans="1:6" x14ac:dyDescent="0.3">
      <c r="A762" s="132"/>
      <c r="B762" s="132"/>
      <c r="C762" s="132"/>
      <c r="D762" s="132"/>
      <c r="E762" s="134"/>
      <c r="F762" s="132"/>
    </row>
    <row r="763" spans="1:6" x14ac:dyDescent="0.3">
      <c r="A763" s="132"/>
      <c r="B763" s="132"/>
      <c r="C763" s="132"/>
      <c r="D763" s="132"/>
      <c r="E763" s="134"/>
      <c r="F763" s="132"/>
    </row>
    <row r="764" spans="1:6" x14ac:dyDescent="0.3">
      <c r="A764" s="132"/>
      <c r="B764" s="132"/>
      <c r="C764" s="132"/>
      <c r="D764" s="132"/>
      <c r="E764" s="134"/>
      <c r="F764" s="132"/>
    </row>
    <row r="765" spans="1:6" x14ac:dyDescent="0.3">
      <c r="A765" s="132"/>
      <c r="B765" s="132"/>
      <c r="C765" s="132"/>
      <c r="D765" s="132"/>
      <c r="E765" s="134"/>
      <c r="F765" s="132"/>
    </row>
    <row r="766" spans="1:6" x14ac:dyDescent="0.3">
      <c r="A766" s="132"/>
      <c r="B766" s="132"/>
      <c r="C766" s="132"/>
      <c r="D766" s="132"/>
      <c r="E766" s="134"/>
      <c r="F766" s="132"/>
    </row>
    <row r="767" spans="1:6" x14ac:dyDescent="0.3">
      <c r="A767" s="132"/>
      <c r="B767" s="132"/>
      <c r="C767" s="132"/>
      <c r="D767" s="132"/>
      <c r="E767" s="134"/>
      <c r="F767" s="132"/>
    </row>
    <row r="768" spans="1:6" x14ac:dyDescent="0.3">
      <c r="A768" s="132"/>
      <c r="B768" s="132"/>
      <c r="C768" s="132"/>
      <c r="D768" s="132"/>
      <c r="E768" s="134"/>
      <c r="F768" s="132"/>
    </row>
    <row r="769" spans="1:6" x14ac:dyDescent="0.3">
      <c r="A769" s="132"/>
      <c r="B769" s="132"/>
      <c r="C769" s="132"/>
      <c r="D769" s="132"/>
      <c r="E769" s="134"/>
      <c r="F769" s="132"/>
    </row>
    <row r="770" spans="1:6" x14ac:dyDescent="0.3">
      <c r="A770" s="132"/>
      <c r="B770" s="132"/>
      <c r="C770" s="132"/>
      <c r="D770" s="132"/>
      <c r="E770" s="134"/>
      <c r="F770" s="132"/>
    </row>
    <row r="771" spans="1:6" x14ac:dyDescent="0.3">
      <c r="A771" s="132"/>
      <c r="B771" s="132"/>
      <c r="C771" s="132"/>
      <c r="D771" s="132"/>
      <c r="E771" s="134"/>
      <c r="F771" s="132"/>
    </row>
    <row r="772" spans="1:6" x14ac:dyDescent="0.3">
      <c r="A772" s="132"/>
      <c r="B772" s="132"/>
      <c r="C772" s="132"/>
      <c r="D772" s="132"/>
      <c r="E772" s="134"/>
      <c r="F772" s="132"/>
    </row>
    <row r="773" spans="1:6" x14ac:dyDescent="0.3">
      <c r="A773" s="132"/>
      <c r="B773" s="132"/>
      <c r="C773" s="132"/>
      <c r="D773" s="132"/>
      <c r="E773" s="134"/>
      <c r="F773" s="132"/>
    </row>
    <row r="774" spans="1:6" x14ac:dyDescent="0.3">
      <c r="A774" s="132"/>
      <c r="B774" s="132"/>
      <c r="C774" s="132"/>
      <c r="D774" s="132"/>
      <c r="E774" s="134"/>
      <c r="F774" s="132"/>
    </row>
    <row r="775" spans="1:6" x14ac:dyDescent="0.3">
      <c r="A775" s="132"/>
      <c r="B775" s="132"/>
      <c r="C775" s="132"/>
      <c r="D775" s="132"/>
      <c r="E775" s="134"/>
      <c r="F775" s="132"/>
    </row>
    <row r="776" spans="1:6" x14ac:dyDescent="0.3">
      <c r="A776" s="132"/>
      <c r="B776" s="132"/>
      <c r="C776" s="132"/>
      <c r="D776" s="132"/>
      <c r="E776" s="134"/>
      <c r="F776" s="132"/>
    </row>
    <row r="777" spans="1:6" x14ac:dyDescent="0.3">
      <c r="A777" s="132"/>
      <c r="B777" s="132"/>
      <c r="C777" s="132"/>
      <c r="D777" s="132"/>
      <c r="E777" s="134"/>
      <c r="F777" s="132"/>
    </row>
    <row r="778" spans="1:6" x14ac:dyDescent="0.3">
      <c r="A778" s="132"/>
      <c r="B778" s="132"/>
      <c r="C778" s="132"/>
      <c r="D778" s="132"/>
      <c r="E778" s="134"/>
      <c r="F778" s="132"/>
    </row>
    <row r="779" spans="1:6" x14ac:dyDescent="0.3">
      <c r="A779" s="132"/>
      <c r="B779" s="132"/>
      <c r="C779" s="132"/>
      <c r="D779" s="132"/>
      <c r="E779" s="134"/>
      <c r="F779" s="132"/>
    </row>
    <row r="780" spans="1:6" x14ac:dyDescent="0.3">
      <c r="A780" s="132"/>
      <c r="B780" s="132"/>
      <c r="C780" s="132"/>
      <c r="D780" s="132"/>
      <c r="E780" s="134"/>
      <c r="F780" s="132"/>
    </row>
    <row r="781" spans="1:6" x14ac:dyDescent="0.3">
      <c r="A781" s="132"/>
      <c r="B781" s="132"/>
      <c r="C781" s="132"/>
      <c r="D781" s="132"/>
      <c r="E781" s="134"/>
      <c r="F781" s="132"/>
    </row>
    <row r="782" spans="1:6" x14ac:dyDescent="0.3">
      <c r="A782" s="132"/>
      <c r="B782" s="132"/>
      <c r="C782" s="132"/>
      <c r="D782" s="132"/>
      <c r="E782" s="134"/>
      <c r="F782" s="132"/>
    </row>
    <row r="783" spans="1:6" x14ac:dyDescent="0.3">
      <c r="A783" s="132"/>
      <c r="B783" s="132"/>
      <c r="C783" s="132"/>
      <c r="D783" s="132"/>
      <c r="E783" s="134"/>
      <c r="F783" s="132"/>
    </row>
    <row r="784" spans="1:6" x14ac:dyDescent="0.3">
      <c r="A784" s="132"/>
      <c r="B784" s="132"/>
      <c r="C784" s="132"/>
      <c r="D784" s="132"/>
      <c r="E784" s="134"/>
      <c r="F784" s="132"/>
    </row>
    <row r="785" spans="1:6" x14ac:dyDescent="0.3">
      <c r="A785" s="132"/>
      <c r="B785" s="132"/>
      <c r="C785" s="132"/>
      <c r="D785" s="132"/>
      <c r="E785" s="134"/>
      <c r="F785" s="132"/>
    </row>
    <row r="786" spans="1:6" x14ac:dyDescent="0.3">
      <c r="A786" s="132"/>
      <c r="B786" s="132"/>
      <c r="C786" s="132"/>
      <c r="D786" s="132"/>
      <c r="E786" s="134"/>
      <c r="F786" s="132"/>
    </row>
    <row r="787" spans="1:6" x14ac:dyDescent="0.3">
      <c r="A787" s="132"/>
      <c r="B787" s="132"/>
      <c r="C787" s="132"/>
      <c r="D787" s="132"/>
      <c r="E787" s="134"/>
      <c r="F787" s="132"/>
    </row>
    <row r="788" spans="1:6" x14ac:dyDescent="0.3">
      <c r="A788" s="132"/>
      <c r="B788" s="132"/>
      <c r="C788" s="132"/>
      <c r="D788" s="132"/>
      <c r="E788" s="134"/>
      <c r="F788" s="132"/>
    </row>
    <row r="789" spans="1:6" x14ac:dyDescent="0.3">
      <c r="A789" s="132"/>
      <c r="B789" s="132"/>
      <c r="C789" s="132"/>
      <c r="D789" s="132"/>
      <c r="E789" s="134"/>
      <c r="F789" s="132"/>
    </row>
    <row r="790" spans="1:6" x14ac:dyDescent="0.3">
      <c r="A790" s="132"/>
      <c r="B790" s="132"/>
      <c r="C790" s="132"/>
      <c r="D790" s="132"/>
      <c r="E790" s="134"/>
      <c r="F790" s="132"/>
    </row>
    <row r="791" spans="1:6" x14ac:dyDescent="0.3">
      <c r="A791" s="132"/>
      <c r="B791" s="132"/>
      <c r="C791" s="132"/>
      <c r="D791" s="132"/>
      <c r="E791" s="134"/>
      <c r="F791" s="132"/>
    </row>
    <row r="792" spans="1:6" x14ac:dyDescent="0.3">
      <c r="A792" s="132"/>
      <c r="B792" s="132"/>
      <c r="C792" s="132"/>
      <c r="D792" s="132"/>
      <c r="E792" s="134"/>
      <c r="F792" s="132"/>
    </row>
    <row r="793" spans="1:6" x14ac:dyDescent="0.3">
      <c r="A793" s="132"/>
      <c r="B793" s="132"/>
      <c r="C793" s="132"/>
      <c r="D793" s="132"/>
      <c r="E793" s="134"/>
      <c r="F793" s="132"/>
    </row>
    <row r="794" spans="1:6" x14ac:dyDescent="0.3">
      <c r="A794" s="132"/>
      <c r="B794" s="132"/>
      <c r="C794" s="132"/>
      <c r="D794" s="132"/>
      <c r="E794" s="134"/>
      <c r="F794" s="132"/>
    </row>
    <row r="795" spans="1:6" x14ac:dyDescent="0.3">
      <c r="A795" s="132"/>
      <c r="B795" s="132"/>
      <c r="C795" s="132"/>
      <c r="D795" s="132"/>
      <c r="E795" s="134"/>
      <c r="F795" s="132"/>
    </row>
    <row r="796" spans="1:6" x14ac:dyDescent="0.3">
      <c r="A796" s="132"/>
      <c r="B796" s="132"/>
      <c r="C796" s="132"/>
      <c r="D796" s="132"/>
      <c r="E796" s="134"/>
      <c r="F796" s="132"/>
    </row>
    <row r="797" spans="1:6" x14ac:dyDescent="0.3">
      <c r="A797" s="132"/>
      <c r="B797" s="132"/>
      <c r="C797" s="132"/>
      <c r="D797" s="132"/>
      <c r="E797" s="134"/>
      <c r="F797" s="132"/>
    </row>
    <row r="798" spans="1:6" x14ac:dyDescent="0.3">
      <c r="A798" s="132"/>
      <c r="B798" s="132"/>
      <c r="C798" s="132"/>
      <c r="D798" s="132"/>
      <c r="E798" s="134"/>
      <c r="F798" s="132"/>
    </row>
    <row r="799" spans="1:6" x14ac:dyDescent="0.3">
      <c r="A799" s="132"/>
      <c r="B799" s="132"/>
      <c r="C799" s="132"/>
      <c r="D799" s="132"/>
      <c r="E799" s="134"/>
      <c r="F799" s="132"/>
    </row>
    <row r="800" spans="1:6" x14ac:dyDescent="0.3">
      <c r="A800" s="132"/>
      <c r="B800" s="132"/>
      <c r="C800" s="132"/>
      <c r="D800" s="132"/>
      <c r="E800" s="134"/>
      <c r="F800" s="132"/>
    </row>
    <row r="801" spans="1:6" x14ac:dyDescent="0.3">
      <c r="A801" s="132"/>
      <c r="B801" s="132"/>
      <c r="C801" s="132"/>
      <c r="D801" s="132"/>
      <c r="E801" s="134"/>
      <c r="F801" s="132"/>
    </row>
    <row r="802" spans="1:6" x14ac:dyDescent="0.3">
      <c r="A802" s="132"/>
      <c r="B802" s="132"/>
      <c r="C802" s="132"/>
      <c r="D802" s="132"/>
      <c r="E802" s="134"/>
      <c r="F802" s="132"/>
    </row>
    <row r="803" spans="1:6" x14ac:dyDescent="0.3">
      <c r="A803" s="132"/>
      <c r="B803" s="132"/>
      <c r="C803" s="132"/>
      <c r="D803" s="132"/>
      <c r="E803" s="134"/>
      <c r="F803" s="132"/>
    </row>
    <row r="804" spans="1:6" x14ac:dyDescent="0.3">
      <c r="A804" s="132"/>
      <c r="B804" s="132"/>
      <c r="C804" s="132"/>
      <c r="D804" s="132"/>
      <c r="E804" s="134"/>
      <c r="F804" s="132"/>
    </row>
    <row r="805" spans="1:6" x14ac:dyDescent="0.3">
      <c r="A805" s="132"/>
      <c r="B805" s="132"/>
      <c r="C805" s="132"/>
      <c r="D805" s="132"/>
      <c r="E805" s="134"/>
      <c r="F805" s="132"/>
    </row>
    <row r="806" spans="1:6" x14ac:dyDescent="0.3">
      <c r="A806" s="132"/>
      <c r="B806" s="132"/>
      <c r="C806" s="132"/>
      <c r="D806" s="132"/>
      <c r="E806" s="134"/>
      <c r="F806" s="132"/>
    </row>
    <row r="807" spans="1:6" x14ac:dyDescent="0.3">
      <c r="A807" s="132"/>
      <c r="B807" s="132"/>
      <c r="C807" s="132"/>
      <c r="D807" s="132"/>
      <c r="E807" s="134"/>
      <c r="F807" s="132"/>
    </row>
    <row r="808" spans="1:6" x14ac:dyDescent="0.3">
      <c r="A808" s="132"/>
      <c r="B808" s="132"/>
      <c r="C808" s="132"/>
      <c r="D808" s="132"/>
      <c r="E808" s="134"/>
      <c r="F808" s="132"/>
    </row>
    <row r="809" spans="1:6" x14ac:dyDescent="0.3">
      <c r="A809" s="132"/>
      <c r="B809" s="132"/>
      <c r="C809" s="132"/>
      <c r="D809" s="132"/>
      <c r="E809" s="134"/>
      <c r="F809" s="132"/>
    </row>
    <row r="810" spans="1:6" x14ac:dyDescent="0.3">
      <c r="A810" s="132"/>
      <c r="B810" s="132"/>
      <c r="C810" s="132"/>
      <c r="D810" s="132"/>
      <c r="E810" s="134"/>
      <c r="F810" s="132"/>
    </row>
    <row r="811" spans="1:6" x14ac:dyDescent="0.3">
      <c r="A811" s="132"/>
      <c r="B811" s="132"/>
      <c r="C811" s="132"/>
      <c r="D811" s="132"/>
      <c r="E811" s="134"/>
      <c r="F811" s="132"/>
    </row>
    <row r="812" spans="1:6" x14ac:dyDescent="0.3">
      <c r="A812" s="132"/>
      <c r="B812" s="132"/>
      <c r="C812" s="132"/>
      <c r="D812" s="132"/>
      <c r="E812" s="134"/>
      <c r="F812" s="132"/>
    </row>
    <row r="813" spans="1:6" x14ac:dyDescent="0.3">
      <c r="A813" s="132"/>
      <c r="B813" s="132"/>
      <c r="C813" s="132"/>
      <c r="D813" s="132"/>
      <c r="E813" s="134"/>
      <c r="F813" s="132"/>
    </row>
    <row r="814" spans="1:6" x14ac:dyDescent="0.3">
      <c r="A814" s="132"/>
      <c r="B814" s="132"/>
      <c r="C814" s="132"/>
      <c r="D814" s="132"/>
      <c r="E814" s="134"/>
      <c r="F814" s="132"/>
    </row>
    <row r="815" spans="1:6" x14ac:dyDescent="0.3">
      <c r="A815" s="132"/>
      <c r="B815" s="132"/>
      <c r="C815" s="132"/>
      <c r="D815" s="132"/>
      <c r="E815" s="134"/>
      <c r="F815" s="132"/>
    </row>
    <row r="816" spans="1:6" x14ac:dyDescent="0.3">
      <c r="A816" s="132"/>
      <c r="B816" s="132"/>
      <c r="C816" s="132"/>
      <c r="D816" s="132"/>
      <c r="E816" s="134"/>
      <c r="F816" s="132"/>
    </row>
    <row r="817" spans="1:6" x14ac:dyDescent="0.3">
      <c r="A817" s="132"/>
      <c r="B817" s="132"/>
      <c r="C817" s="132"/>
      <c r="D817" s="132"/>
      <c r="E817" s="134"/>
      <c r="F817" s="132"/>
    </row>
    <row r="818" spans="1:6" x14ac:dyDescent="0.3">
      <c r="A818" s="132"/>
      <c r="B818" s="132"/>
      <c r="C818" s="132"/>
      <c r="D818" s="132"/>
      <c r="E818" s="134"/>
      <c r="F818" s="132"/>
    </row>
    <row r="819" spans="1:6" x14ac:dyDescent="0.3">
      <c r="A819" s="132"/>
      <c r="B819" s="132"/>
      <c r="C819" s="132"/>
      <c r="D819" s="132"/>
      <c r="E819" s="134"/>
      <c r="F819" s="132"/>
    </row>
    <row r="820" spans="1:6" x14ac:dyDescent="0.3">
      <c r="A820" s="132"/>
      <c r="B820" s="132"/>
      <c r="C820" s="132"/>
      <c r="D820" s="132"/>
      <c r="E820" s="134"/>
      <c r="F820" s="132"/>
    </row>
    <row r="821" spans="1:6" x14ac:dyDescent="0.3">
      <c r="A821" s="132"/>
      <c r="B821" s="132"/>
      <c r="C821" s="132"/>
      <c r="D821" s="132"/>
      <c r="E821" s="134"/>
      <c r="F821" s="132"/>
    </row>
    <row r="822" spans="1:6" x14ac:dyDescent="0.3">
      <c r="A822" s="132"/>
      <c r="B822" s="132"/>
      <c r="C822" s="132"/>
      <c r="D822" s="132"/>
      <c r="E822" s="134"/>
      <c r="F822" s="132"/>
    </row>
    <row r="823" spans="1:6" x14ac:dyDescent="0.3">
      <c r="A823" s="132"/>
      <c r="B823" s="132"/>
      <c r="C823" s="132"/>
      <c r="D823" s="132"/>
      <c r="E823" s="134"/>
      <c r="F823" s="132"/>
    </row>
    <row r="824" spans="1:6" x14ac:dyDescent="0.3">
      <c r="A824" s="132"/>
      <c r="B824" s="132"/>
      <c r="C824" s="132"/>
      <c r="D824" s="132"/>
      <c r="E824" s="134"/>
      <c r="F824" s="132"/>
    </row>
    <row r="825" spans="1:6" x14ac:dyDescent="0.3">
      <c r="A825" s="132"/>
      <c r="B825" s="132"/>
      <c r="C825" s="132"/>
      <c r="D825" s="132"/>
      <c r="E825" s="134"/>
      <c r="F825" s="132"/>
    </row>
    <row r="826" spans="1:6" x14ac:dyDescent="0.3">
      <c r="A826" s="132"/>
      <c r="B826" s="132"/>
      <c r="C826" s="132"/>
      <c r="D826" s="132"/>
      <c r="E826" s="134"/>
      <c r="F826" s="132"/>
    </row>
    <row r="827" spans="1:6" x14ac:dyDescent="0.3">
      <c r="A827" s="132"/>
      <c r="B827" s="132"/>
      <c r="C827" s="132"/>
      <c r="D827" s="132"/>
      <c r="E827" s="134"/>
      <c r="F827" s="132"/>
    </row>
    <row r="828" spans="1:6" x14ac:dyDescent="0.3">
      <c r="A828" s="132"/>
      <c r="B828" s="132"/>
      <c r="C828" s="132"/>
      <c r="D828" s="132"/>
      <c r="E828" s="134"/>
      <c r="F828" s="132"/>
    </row>
    <row r="829" spans="1:6" x14ac:dyDescent="0.3">
      <c r="A829" s="132"/>
      <c r="B829" s="132"/>
      <c r="C829" s="132"/>
      <c r="D829" s="132"/>
      <c r="E829" s="134"/>
      <c r="F829" s="132"/>
    </row>
    <row r="830" spans="1:6" x14ac:dyDescent="0.3">
      <c r="A830" s="132"/>
      <c r="B830" s="132"/>
      <c r="C830" s="132"/>
      <c r="D830" s="132"/>
      <c r="E830" s="134"/>
      <c r="F830" s="132"/>
    </row>
    <row r="831" spans="1:6" x14ac:dyDescent="0.3">
      <c r="A831" s="132"/>
      <c r="B831" s="132"/>
      <c r="C831" s="132"/>
      <c r="D831" s="132"/>
      <c r="E831" s="134"/>
      <c r="F831" s="132"/>
    </row>
    <row r="832" spans="1:6" x14ac:dyDescent="0.3">
      <c r="A832" s="132"/>
      <c r="B832" s="132"/>
      <c r="C832" s="132"/>
      <c r="D832" s="132"/>
      <c r="E832" s="134"/>
      <c r="F832" s="132"/>
    </row>
    <row r="833" spans="1:6" x14ac:dyDescent="0.3">
      <c r="A833" s="132"/>
      <c r="B833" s="132"/>
      <c r="C833" s="132"/>
      <c r="D833" s="132"/>
      <c r="E833" s="134"/>
      <c r="F833" s="132"/>
    </row>
    <row r="834" spans="1:6" x14ac:dyDescent="0.3">
      <c r="A834" s="132"/>
      <c r="B834" s="132"/>
      <c r="C834" s="132"/>
      <c r="D834" s="132"/>
      <c r="E834" s="134"/>
      <c r="F834" s="132"/>
    </row>
    <row r="835" spans="1:6" x14ac:dyDescent="0.3">
      <c r="A835" s="132"/>
      <c r="B835" s="132"/>
      <c r="C835" s="132"/>
      <c r="D835" s="132"/>
      <c r="E835" s="134"/>
      <c r="F835" s="132"/>
    </row>
    <row r="836" spans="1:6" x14ac:dyDescent="0.3">
      <c r="A836" s="132"/>
      <c r="B836" s="132"/>
      <c r="C836" s="132"/>
      <c r="D836" s="132"/>
      <c r="E836" s="134"/>
      <c r="F836" s="132"/>
    </row>
    <row r="837" spans="1:6" x14ac:dyDescent="0.3">
      <c r="A837" s="132"/>
      <c r="B837" s="132"/>
      <c r="C837" s="132"/>
      <c r="D837" s="132"/>
      <c r="E837" s="134"/>
      <c r="F837" s="132"/>
    </row>
    <row r="838" spans="1:6" x14ac:dyDescent="0.3">
      <c r="A838" s="132"/>
      <c r="B838" s="132"/>
      <c r="C838" s="132"/>
      <c r="D838" s="132"/>
      <c r="E838" s="134"/>
      <c r="F838" s="132"/>
    </row>
    <row r="839" spans="1:6" x14ac:dyDescent="0.3">
      <c r="A839" s="132"/>
      <c r="B839" s="132"/>
      <c r="C839" s="132"/>
      <c r="D839" s="132"/>
      <c r="E839" s="134"/>
      <c r="F839" s="132"/>
    </row>
    <row r="840" spans="1:6" x14ac:dyDescent="0.3">
      <c r="A840" s="132"/>
      <c r="B840" s="132"/>
      <c r="C840" s="132"/>
      <c r="D840" s="132"/>
      <c r="E840" s="134"/>
      <c r="F840" s="132"/>
    </row>
    <row r="841" spans="1:6" x14ac:dyDescent="0.3">
      <c r="A841" s="132"/>
      <c r="B841" s="132"/>
      <c r="C841" s="132"/>
      <c r="D841" s="132"/>
      <c r="E841" s="134"/>
      <c r="F841" s="132"/>
    </row>
    <row r="842" spans="1:6" x14ac:dyDescent="0.3">
      <c r="A842" s="132"/>
      <c r="B842" s="132"/>
      <c r="C842" s="132"/>
      <c r="D842" s="132"/>
      <c r="E842" s="134"/>
      <c r="F842" s="132"/>
    </row>
    <row r="843" spans="1:6" x14ac:dyDescent="0.3">
      <c r="A843" s="132"/>
      <c r="B843" s="132"/>
      <c r="C843" s="132"/>
      <c r="D843" s="132"/>
      <c r="E843" s="134"/>
      <c r="F843" s="132"/>
    </row>
    <row r="844" spans="1:6" x14ac:dyDescent="0.3">
      <c r="A844" s="132"/>
      <c r="B844" s="132"/>
      <c r="C844" s="132"/>
      <c r="D844" s="132"/>
      <c r="E844" s="134"/>
      <c r="F844" s="132"/>
    </row>
    <row r="845" spans="1:6" x14ac:dyDescent="0.3">
      <c r="A845" s="132"/>
      <c r="B845" s="132"/>
      <c r="C845" s="132"/>
      <c r="D845" s="132"/>
      <c r="E845" s="134"/>
      <c r="F845" s="132"/>
    </row>
    <row r="846" spans="1:6" x14ac:dyDescent="0.3">
      <c r="A846" s="132"/>
      <c r="B846" s="132"/>
      <c r="C846" s="132"/>
      <c r="D846" s="132"/>
      <c r="E846" s="134"/>
      <c r="F846" s="132"/>
    </row>
    <row r="847" spans="1:6" x14ac:dyDescent="0.3">
      <c r="A847" s="132"/>
      <c r="B847" s="132"/>
      <c r="C847" s="132"/>
      <c r="D847" s="132"/>
      <c r="E847" s="134"/>
      <c r="F847" s="132"/>
    </row>
    <row r="848" spans="1:6" x14ac:dyDescent="0.3">
      <c r="A848" s="132"/>
      <c r="B848" s="132"/>
      <c r="C848" s="132"/>
      <c r="D848" s="132"/>
      <c r="E848" s="134"/>
      <c r="F848" s="132"/>
    </row>
    <row r="849" spans="1:6" x14ac:dyDescent="0.3">
      <c r="A849" s="132"/>
      <c r="B849" s="132"/>
      <c r="C849" s="132"/>
      <c r="D849" s="132"/>
      <c r="E849" s="134"/>
      <c r="F849" s="132"/>
    </row>
    <row r="850" spans="1:6" x14ac:dyDescent="0.3">
      <c r="A850" s="132"/>
      <c r="B850" s="132"/>
      <c r="C850" s="132"/>
      <c r="D850" s="132"/>
      <c r="E850" s="134"/>
      <c r="F850" s="132"/>
    </row>
    <row r="851" spans="1:6" x14ac:dyDescent="0.3">
      <c r="A851" s="132"/>
      <c r="B851" s="132"/>
      <c r="C851" s="132"/>
      <c r="D851" s="132"/>
      <c r="E851" s="134"/>
      <c r="F851" s="132"/>
    </row>
    <row r="852" spans="1:6" x14ac:dyDescent="0.3">
      <c r="A852" s="132"/>
      <c r="B852" s="132"/>
      <c r="C852" s="132"/>
      <c r="D852" s="132"/>
      <c r="E852" s="134"/>
      <c r="F852" s="132"/>
    </row>
    <row r="853" spans="1:6" x14ac:dyDescent="0.3">
      <c r="A853" s="132"/>
      <c r="B853" s="132"/>
      <c r="C853" s="132"/>
      <c r="D853" s="132"/>
      <c r="E853" s="134"/>
      <c r="F853" s="132"/>
    </row>
    <row r="854" spans="1:6" x14ac:dyDescent="0.3">
      <c r="A854" s="132"/>
      <c r="B854" s="132"/>
      <c r="C854" s="132"/>
      <c r="D854" s="132"/>
      <c r="E854" s="134"/>
      <c r="F854" s="132"/>
    </row>
    <row r="855" spans="1:6" x14ac:dyDescent="0.3">
      <c r="A855" s="132"/>
      <c r="B855" s="132"/>
      <c r="C855" s="132"/>
      <c r="D855" s="132"/>
      <c r="E855" s="134"/>
      <c r="F855" s="132"/>
    </row>
    <row r="856" spans="1:6" x14ac:dyDescent="0.3">
      <c r="A856" s="132"/>
      <c r="B856" s="132"/>
      <c r="C856" s="132"/>
      <c r="D856" s="132"/>
      <c r="E856" s="134"/>
      <c r="F856" s="132"/>
    </row>
    <row r="857" spans="1:6" x14ac:dyDescent="0.3">
      <c r="A857" s="132"/>
      <c r="B857" s="132"/>
      <c r="C857" s="132"/>
      <c r="D857" s="132"/>
      <c r="E857" s="134"/>
      <c r="F857" s="132"/>
    </row>
    <row r="858" spans="1:6" x14ac:dyDescent="0.3">
      <c r="A858" s="132"/>
      <c r="B858" s="132"/>
      <c r="C858" s="132"/>
      <c r="D858" s="132"/>
      <c r="E858" s="134"/>
      <c r="F858" s="132"/>
    </row>
    <row r="859" spans="1:6" x14ac:dyDescent="0.3">
      <c r="A859" s="132"/>
      <c r="B859" s="132"/>
      <c r="C859" s="132"/>
      <c r="D859" s="132"/>
      <c r="E859" s="134"/>
      <c r="F859" s="132"/>
    </row>
    <row r="860" spans="1:6" x14ac:dyDescent="0.3">
      <c r="A860" s="132"/>
      <c r="B860" s="132"/>
      <c r="C860" s="132"/>
      <c r="D860" s="132"/>
      <c r="E860" s="134"/>
      <c r="F860" s="132"/>
    </row>
    <row r="861" spans="1:6" x14ac:dyDescent="0.3">
      <c r="A861" s="132"/>
      <c r="B861" s="132"/>
      <c r="C861" s="132"/>
      <c r="D861" s="132"/>
      <c r="E861" s="134"/>
      <c r="F861" s="132"/>
    </row>
    <row r="862" spans="1:6" x14ac:dyDescent="0.3">
      <c r="A862" s="132"/>
      <c r="B862" s="132"/>
      <c r="C862" s="132"/>
      <c r="D862" s="132"/>
      <c r="E862" s="134"/>
      <c r="F862" s="132"/>
    </row>
    <row r="863" spans="1:6" x14ac:dyDescent="0.3">
      <c r="A863" s="132"/>
      <c r="B863" s="132"/>
      <c r="C863" s="132"/>
      <c r="D863" s="132"/>
      <c r="E863" s="134"/>
      <c r="F863" s="132"/>
    </row>
    <row r="864" spans="1:6" x14ac:dyDescent="0.3">
      <c r="A864" s="132"/>
      <c r="B864" s="132"/>
      <c r="C864" s="132"/>
      <c r="D864" s="132"/>
      <c r="E864" s="134"/>
      <c r="F864" s="132"/>
    </row>
    <row r="865" spans="1:6" x14ac:dyDescent="0.3">
      <c r="A865" s="132"/>
      <c r="B865" s="132"/>
      <c r="C865" s="132"/>
      <c r="D865" s="132"/>
      <c r="E865" s="134"/>
      <c r="F865" s="132"/>
    </row>
    <row r="866" spans="1:6" x14ac:dyDescent="0.3">
      <c r="A866" s="132"/>
      <c r="B866" s="132"/>
      <c r="C866" s="132"/>
      <c r="D866" s="132"/>
      <c r="E866" s="134"/>
      <c r="F866" s="132"/>
    </row>
    <row r="867" spans="1:6" x14ac:dyDescent="0.3">
      <c r="A867" s="132"/>
      <c r="B867" s="132"/>
      <c r="C867" s="132"/>
      <c r="D867" s="132"/>
      <c r="E867" s="134"/>
      <c r="F867" s="132"/>
    </row>
    <row r="868" spans="1:6" x14ac:dyDescent="0.3">
      <c r="A868" s="132"/>
      <c r="B868" s="132"/>
      <c r="C868" s="132"/>
      <c r="D868" s="132"/>
      <c r="E868" s="134"/>
      <c r="F868" s="132"/>
    </row>
    <row r="869" spans="1:6" x14ac:dyDescent="0.3">
      <c r="A869" s="132"/>
      <c r="B869" s="132"/>
      <c r="C869" s="132"/>
      <c r="D869" s="132"/>
      <c r="E869" s="134"/>
      <c r="F869" s="132"/>
    </row>
    <row r="870" spans="1:6" x14ac:dyDescent="0.3">
      <c r="A870" s="132"/>
      <c r="B870" s="132"/>
      <c r="C870" s="132"/>
      <c r="D870" s="132"/>
      <c r="E870" s="134"/>
      <c r="F870" s="132"/>
    </row>
    <row r="871" spans="1:6" x14ac:dyDescent="0.3">
      <c r="A871" s="132"/>
      <c r="B871" s="132"/>
      <c r="C871" s="132"/>
      <c r="D871" s="132"/>
      <c r="E871" s="134"/>
      <c r="F871" s="132"/>
    </row>
    <row r="872" spans="1:6" x14ac:dyDescent="0.3">
      <c r="A872" s="132"/>
      <c r="B872" s="132"/>
      <c r="C872" s="132"/>
      <c r="D872" s="132"/>
      <c r="E872" s="134"/>
      <c r="F872" s="132"/>
    </row>
    <row r="873" spans="1:6" x14ac:dyDescent="0.3">
      <c r="A873" s="132"/>
      <c r="B873" s="132"/>
      <c r="C873" s="132"/>
      <c r="D873" s="132"/>
      <c r="E873" s="134"/>
      <c r="F873" s="132"/>
    </row>
    <row r="874" spans="1:6" x14ac:dyDescent="0.3">
      <c r="A874" s="132"/>
      <c r="B874" s="132"/>
      <c r="C874" s="132"/>
      <c r="D874" s="132"/>
      <c r="E874" s="134"/>
      <c r="F874" s="132"/>
    </row>
    <row r="875" spans="1:6" x14ac:dyDescent="0.3">
      <c r="A875" s="132"/>
      <c r="B875" s="132"/>
      <c r="C875" s="132"/>
      <c r="D875" s="132"/>
      <c r="E875" s="134"/>
      <c r="F875" s="132"/>
    </row>
    <row r="876" spans="1:6" x14ac:dyDescent="0.3">
      <c r="A876" s="132"/>
      <c r="B876" s="132"/>
      <c r="C876" s="132"/>
      <c r="D876" s="132"/>
      <c r="E876" s="134"/>
      <c r="F876" s="132"/>
    </row>
    <row r="877" spans="1:6" x14ac:dyDescent="0.3">
      <c r="A877" s="132"/>
      <c r="B877" s="132"/>
      <c r="C877" s="132"/>
      <c r="D877" s="132"/>
      <c r="E877" s="134"/>
      <c r="F877" s="132"/>
    </row>
    <row r="878" spans="1:6" x14ac:dyDescent="0.3">
      <c r="A878" s="132"/>
      <c r="B878" s="132"/>
      <c r="C878" s="132"/>
      <c r="D878" s="132"/>
      <c r="E878" s="134"/>
      <c r="F878" s="132"/>
    </row>
    <row r="879" spans="1:6" x14ac:dyDescent="0.3">
      <c r="A879" s="132"/>
      <c r="B879" s="132"/>
      <c r="C879" s="132"/>
      <c r="D879" s="132"/>
      <c r="E879" s="134"/>
      <c r="F879" s="132"/>
    </row>
    <row r="880" spans="1:6" x14ac:dyDescent="0.3">
      <c r="A880" s="132"/>
      <c r="B880" s="132"/>
      <c r="C880" s="132"/>
      <c r="D880" s="132"/>
      <c r="E880" s="134"/>
      <c r="F880" s="132"/>
    </row>
    <row r="881" spans="1:6" x14ac:dyDescent="0.3">
      <c r="A881" s="132"/>
      <c r="B881" s="132"/>
      <c r="C881" s="132"/>
      <c r="D881" s="132"/>
      <c r="E881" s="134"/>
      <c r="F881" s="132"/>
    </row>
    <row r="882" spans="1:6" x14ac:dyDescent="0.3">
      <c r="A882" s="132"/>
      <c r="B882" s="132"/>
      <c r="C882" s="132"/>
      <c r="D882" s="132"/>
      <c r="E882" s="134"/>
      <c r="F882" s="132"/>
    </row>
    <row r="883" spans="1:6" x14ac:dyDescent="0.3">
      <c r="A883" s="132"/>
      <c r="B883" s="132"/>
      <c r="C883" s="132"/>
      <c r="D883" s="132"/>
      <c r="E883" s="134"/>
      <c r="F883" s="132"/>
    </row>
    <row r="884" spans="1:6" x14ac:dyDescent="0.3">
      <c r="A884" s="132"/>
      <c r="B884" s="132"/>
      <c r="C884" s="132"/>
      <c r="D884" s="132"/>
      <c r="E884" s="134"/>
      <c r="F884" s="132"/>
    </row>
    <row r="885" spans="1:6" x14ac:dyDescent="0.3">
      <c r="A885" s="132"/>
      <c r="B885" s="132"/>
      <c r="C885" s="132"/>
      <c r="D885" s="132"/>
      <c r="E885" s="134"/>
      <c r="F885" s="132"/>
    </row>
    <row r="886" spans="1:6" x14ac:dyDescent="0.3">
      <c r="A886" s="132"/>
      <c r="B886" s="132"/>
      <c r="C886" s="132"/>
      <c r="D886" s="132"/>
      <c r="E886" s="134"/>
      <c r="F886" s="132"/>
    </row>
    <row r="887" spans="1:6" x14ac:dyDescent="0.3">
      <c r="A887" s="132"/>
      <c r="B887" s="132"/>
      <c r="C887" s="132"/>
      <c r="D887" s="132"/>
      <c r="E887" s="134"/>
      <c r="F887" s="132"/>
    </row>
    <row r="888" spans="1:6" x14ac:dyDescent="0.3">
      <c r="A888" s="132"/>
      <c r="B888" s="132"/>
      <c r="C888" s="132"/>
      <c r="D888" s="132"/>
      <c r="E888" s="134"/>
      <c r="F888" s="132"/>
    </row>
    <row r="889" spans="1:6" x14ac:dyDescent="0.3">
      <c r="A889" s="132"/>
      <c r="B889" s="132"/>
      <c r="C889" s="132"/>
      <c r="D889" s="132"/>
      <c r="E889" s="134"/>
      <c r="F889" s="132"/>
    </row>
    <row r="890" spans="1:6" x14ac:dyDescent="0.3">
      <c r="A890" s="132"/>
      <c r="B890" s="132"/>
      <c r="C890" s="132"/>
      <c r="D890" s="132"/>
      <c r="E890" s="134"/>
      <c r="F890" s="132"/>
    </row>
    <row r="891" spans="1:6" x14ac:dyDescent="0.3">
      <c r="A891" s="132"/>
      <c r="B891" s="132"/>
      <c r="C891" s="132"/>
      <c r="D891" s="132"/>
      <c r="E891" s="134"/>
      <c r="F891" s="132"/>
    </row>
    <row r="892" spans="1:6" x14ac:dyDescent="0.3">
      <c r="A892" s="132"/>
      <c r="B892" s="132"/>
      <c r="C892" s="132"/>
      <c r="D892" s="132"/>
      <c r="E892" s="134"/>
      <c r="F892" s="132"/>
    </row>
    <row r="893" spans="1:6" x14ac:dyDescent="0.3">
      <c r="A893" s="132"/>
      <c r="B893" s="132"/>
      <c r="C893" s="132"/>
      <c r="D893" s="132"/>
      <c r="E893" s="134"/>
      <c r="F893" s="132"/>
    </row>
    <row r="894" spans="1:6" x14ac:dyDescent="0.3">
      <c r="A894" s="132"/>
      <c r="B894" s="132"/>
      <c r="C894" s="132"/>
      <c r="D894" s="132"/>
      <c r="E894" s="134"/>
      <c r="F894" s="132"/>
    </row>
    <row r="895" spans="1:6" x14ac:dyDescent="0.3">
      <c r="A895" s="132"/>
      <c r="B895" s="132"/>
      <c r="C895" s="132"/>
      <c r="D895" s="132"/>
      <c r="E895" s="134"/>
      <c r="F895" s="132"/>
    </row>
    <row r="896" spans="1:6" x14ac:dyDescent="0.3">
      <c r="A896" s="132"/>
      <c r="B896" s="132"/>
      <c r="C896" s="132"/>
      <c r="D896" s="132"/>
      <c r="E896" s="134"/>
      <c r="F896" s="132"/>
    </row>
    <row r="897" spans="1:6" x14ac:dyDescent="0.3">
      <c r="A897" s="132"/>
      <c r="B897" s="132"/>
      <c r="C897" s="132"/>
      <c r="D897" s="132"/>
      <c r="E897" s="134"/>
      <c r="F897" s="132"/>
    </row>
    <row r="898" spans="1:6" x14ac:dyDescent="0.3">
      <c r="A898" s="132"/>
      <c r="B898" s="132"/>
      <c r="C898" s="132"/>
      <c r="D898" s="132"/>
      <c r="E898" s="134"/>
      <c r="F898" s="132"/>
    </row>
    <row r="899" spans="1:6" x14ac:dyDescent="0.3">
      <c r="A899" s="132"/>
      <c r="B899" s="132"/>
      <c r="C899" s="132"/>
      <c r="D899" s="132"/>
      <c r="E899" s="134"/>
      <c r="F899" s="132"/>
    </row>
    <row r="900" spans="1:6" x14ac:dyDescent="0.3">
      <c r="A900" s="132"/>
      <c r="B900" s="132"/>
      <c r="C900" s="132"/>
      <c r="D900" s="132"/>
      <c r="E900" s="134"/>
      <c r="F900" s="132"/>
    </row>
    <row r="901" spans="1:6" x14ac:dyDescent="0.3">
      <c r="A901" s="132"/>
      <c r="B901" s="132"/>
      <c r="C901" s="132"/>
      <c r="D901" s="132"/>
      <c r="E901" s="134"/>
      <c r="F901" s="132"/>
    </row>
    <row r="902" spans="1:6" x14ac:dyDescent="0.3">
      <c r="A902" s="132"/>
      <c r="B902" s="132"/>
      <c r="C902" s="132"/>
      <c r="D902" s="132"/>
      <c r="E902" s="134"/>
      <c r="F902" s="132"/>
    </row>
    <row r="903" spans="1:6" x14ac:dyDescent="0.3">
      <c r="A903" s="132"/>
      <c r="B903" s="132"/>
      <c r="C903" s="132"/>
      <c r="D903" s="132"/>
      <c r="E903" s="134"/>
      <c r="F903" s="132"/>
    </row>
    <row r="904" spans="1:6" x14ac:dyDescent="0.3">
      <c r="A904" s="132"/>
      <c r="B904" s="132"/>
      <c r="C904" s="132"/>
      <c r="D904" s="132"/>
      <c r="E904" s="134"/>
      <c r="F904" s="132"/>
    </row>
    <row r="905" spans="1:6" x14ac:dyDescent="0.3">
      <c r="A905" s="132"/>
      <c r="B905" s="132"/>
      <c r="C905" s="132"/>
      <c r="D905" s="132"/>
      <c r="E905" s="134"/>
      <c r="F905" s="132"/>
    </row>
    <row r="906" spans="1:6" x14ac:dyDescent="0.3">
      <c r="A906" s="132"/>
      <c r="B906" s="132"/>
      <c r="C906" s="132"/>
      <c r="D906" s="132"/>
      <c r="E906" s="134"/>
      <c r="F906" s="132"/>
    </row>
    <row r="907" spans="1:6" x14ac:dyDescent="0.3">
      <c r="A907" s="132"/>
      <c r="B907" s="132"/>
      <c r="C907" s="132"/>
      <c r="D907" s="132"/>
      <c r="E907" s="134"/>
      <c r="F907" s="132"/>
    </row>
    <row r="908" spans="1:6" x14ac:dyDescent="0.3">
      <c r="A908" s="132"/>
      <c r="B908" s="132"/>
      <c r="C908" s="132"/>
      <c r="D908" s="132"/>
      <c r="E908" s="134"/>
      <c r="F908" s="132"/>
    </row>
    <row r="909" spans="1:6" x14ac:dyDescent="0.3">
      <c r="A909" s="132"/>
      <c r="B909" s="132"/>
      <c r="C909" s="132"/>
      <c r="D909" s="132"/>
      <c r="E909" s="134"/>
      <c r="F909" s="132"/>
    </row>
    <row r="910" spans="1:6" x14ac:dyDescent="0.3">
      <c r="A910" s="132"/>
      <c r="B910" s="132"/>
      <c r="C910" s="132"/>
      <c r="D910" s="132"/>
      <c r="E910" s="134"/>
      <c r="F910" s="132"/>
    </row>
    <row r="911" spans="1:6" x14ac:dyDescent="0.3">
      <c r="A911" s="132"/>
      <c r="B911" s="132"/>
      <c r="C911" s="132"/>
      <c r="D911" s="132"/>
      <c r="E911" s="134"/>
      <c r="F911" s="132"/>
    </row>
    <row r="912" spans="1:6" x14ac:dyDescent="0.3">
      <c r="A912" s="132"/>
      <c r="B912" s="132"/>
      <c r="C912" s="132"/>
      <c r="D912" s="132"/>
      <c r="E912" s="134"/>
      <c r="F912" s="132"/>
    </row>
    <row r="913" spans="1:6" x14ac:dyDescent="0.3">
      <c r="A913" s="132"/>
      <c r="B913" s="132"/>
      <c r="C913" s="132"/>
      <c r="D913" s="132"/>
      <c r="E913" s="134"/>
      <c r="F913" s="132"/>
    </row>
    <row r="914" spans="1:6" x14ac:dyDescent="0.3">
      <c r="A914" s="132"/>
      <c r="B914" s="132"/>
      <c r="C914" s="132"/>
      <c r="D914" s="132"/>
      <c r="E914" s="134"/>
      <c r="F914" s="132"/>
    </row>
    <row r="915" spans="1:6" x14ac:dyDescent="0.3">
      <c r="A915" s="132"/>
      <c r="B915" s="132"/>
      <c r="C915" s="132"/>
      <c r="D915" s="132"/>
      <c r="E915" s="134"/>
      <c r="F915" s="132"/>
    </row>
    <row r="916" spans="1:6" x14ac:dyDescent="0.3">
      <c r="A916" s="132"/>
      <c r="B916" s="132"/>
      <c r="C916" s="132"/>
      <c r="D916" s="132"/>
      <c r="E916" s="134"/>
      <c r="F916" s="132"/>
    </row>
    <row r="917" spans="1:6" x14ac:dyDescent="0.3">
      <c r="A917" s="132"/>
      <c r="B917" s="132"/>
      <c r="C917" s="132"/>
      <c r="D917" s="132"/>
      <c r="E917" s="134"/>
      <c r="F917" s="132"/>
    </row>
    <row r="918" spans="1:6" x14ac:dyDescent="0.3">
      <c r="A918" s="132"/>
      <c r="B918" s="132"/>
      <c r="C918" s="132"/>
      <c r="D918" s="132"/>
      <c r="E918" s="134"/>
      <c r="F918" s="132"/>
    </row>
    <row r="919" spans="1:6" x14ac:dyDescent="0.3">
      <c r="A919" s="132"/>
      <c r="B919" s="132"/>
      <c r="C919" s="132"/>
      <c r="D919" s="132"/>
      <c r="E919" s="134"/>
      <c r="F919" s="132"/>
    </row>
    <row r="920" spans="1:6" x14ac:dyDescent="0.3">
      <c r="A920" s="132"/>
      <c r="B920" s="132"/>
      <c r="C920" s="132"/>
      <c r="D920" s="132"/>
      <c r="E920" s="134"/>
      <c r="F920" s="132"/>
    </row>
    <row r="921" spans="1:6" x14ac:dyDescent="0.3">
      <c r="A921" s="132"/>
      <c r="B921" s="132"/>
      <c r="C921" s="132"/>
      <c r="D921" s="132"/>
      <c r="E921" s="134"/>
      <c r="F921" s="132"/>
    </row>
    <row r="922" spans="1:6" x14ac:dyDescent="0.3">
      <c r="A922" s="132"/>
      <c r="B922" s="132"/>
      <c r="C922" s="132"/>
      <c r="D922" s="132"/>
      <c r="E922" s="134"/>
      <c r="F922" s="132"/>
    </row>
    <row r="923" spans="1:6" x14ac:dyDescent="0.3">
      <c r="A923" s="132"/>
      <c r="B923" s="132"/>
      <c r="C923" s="132"/>
      <c r="D923" s="132"/>
      <c r="E923" s="134"/>
      <c r="F923" s="132"/>
    </row>
    <row r="924" spans="1:6" x14ac:dyDescent="0.3">
      <c r="A924" s="132"/>
      <c r="B924" s="132"/>
      <c r="C924" s="132"/>
      <c r="D924" s="132"/>
      <c r="E924" s="134"/>
      <c r="F924" s="132"/>
    </row>
    <row r="925" spans="1:6" x14ac:dyDescent="0.3">
      <c r="A925" s="132"/>
      <c r="B925" s="132"/>
      <c r="C925" s="132"/>
      <c r="D925" s="132"/>
      <c r="E925" s="134"/>
      <c r="F925" s="132"/>
    </row>
    <row r="926" spans="1:6" x14ac:dyDescent="0.3">
      <c r="A926" s="132"/>
      <c r="B926" s="132"/>
      <c r="C926" s="132"/>
      <c r="D926" s="132"/>
      <c r="E926" s="134"/>
      <c r="F926" s="132"/>
    </row>
    <row r="927" spans="1:6" x14ac:dyDescent="0.3">
      <c r="A927" s="132"/>
      <c r="B927" s="132"/>
      <c r="C927" s="132"/>
      <c r="D927" s="132"/>
      <c r="E927" s="134"/>
      <c r="F927" s="132"/>
    </row>
    <row r="928" spans="1:6" x14ac:dyDescent="0.3">
      <c r="A928" s="132"/>
      <c r="B928" s="132"/>
      <c r="C928" s="132"/>
      <c r="D928" s="132"/>
      <c r="E928" s="134"/>
      <c r="F928" s="132"/>
    </row>
    <row r="929" spans="1:6" x14ac:dyDescent="0.3">
      <c r="A929" s="132"/>
      <c r="B929" s="132"/>
      <c r="C929" s="132"/>
      <c r="D929" s="132"/>
      <c r="E929" s="134"/>
      <c r="F929" s="132"/>
    </row>
    <row r="930" spans="1:6" x14ac:dyDescent="0.3">
      <c r="A930" s="132"/>
      <c r="B930" s="132"/>
      <c r="C930" s="132"/>
      <c r="D930" s="132"/>
      <c r="E930" s="134"/>
      <c r="F930" s="132"/>
    </row>
    <row r="931" spans="1:6" x14ac:dyDescent="0.3">
      <c r="A931" s="132"/>
      <c r="B931" s="132"/>
      <c r="C931" s="132"/>
      <c r="D931" s="132"/>
      <c r="E931" s="134"/>
      <c r="F931" s="132"/>
    </row>
    <row r="932" spans="1:6" x14ac:dyDescent="0.3">
      <c r="A932" s="132"/>
      <c r="B932" s="132"/>
      <c r="C932" s="132"/>
      <c r="D932" s="132"/>
      <c r="E932" s="134"/>
      <c r="F932" s="132"/>
    </row>
    <row r="933" spans="1:6" x14ac:dyDescent="0.3">
      <c r="A933" s="132"/>
      <c r="B933" s="132"/>
      <c r="C933" s="132"/>
      <c r="D933" s="132"/>
      <c r="E933" s="134"/>
      <c r="F933" s="132"/>
    </row>
    <row r="934" spans="1:6" x14ac:dyDescent="0.3">
      <c r="A934" s="132"/>
      <c r="B934" s="132"/>
      <c r="C934" s="132"/>
      <c r="D934" s="132"/>
      <c r="E934" s="134"/>
      <c r="F934" s="132"/>
    </row>
    <row r="935" spans="1:6" x14ac:dyDescent="0.3">
      <c r="A935" s="132"/>
      <c r="B935" s="132"/>
      <c r="C935" s="132"/>
      <c r="D935" s="132"/>
      <c r="E935" s="134"/>
      <c r="F935" s="132"/>
    </row>
    <row r="936" spans="1:6" x14ac:dyDescent="0.3">
      <c r="A936" s="132"/>
      <c r="B936" s="132"/>
      <c r="C936" s="132"/>
      <c r="D936" s="132"/>
      <c r="E936" s="134"/>
      <c r="F936" s="132"/>
    </row>
    <row r="937" spans="1:6" x14ac:dyDescent="0.3">
      <c r="A937" s="132"/>
      <c r="B937" s="132"/>
      <c r="C937" s="132"/>
      <c r="D937" s="132"/>
      <c r="E937" s="134"/>
      <c r="F937" s="132"/>
    </row>
    <row r="938" spans="1:6" x14ac:dyDescent="0.3">
      <c r="A938" s="132"/>
      <c r="B938" s="132"/>
      <c r="C938" s="132"/>
      <c r="D938" s="132"/>
      <c r="E938" s="134"/>
      <c r="F938" s="132"/>
    </row>
    <row r="939" spans="1:6" x14ac:dyDescent="0.3">
      <c r="A939" s="132"/>
      <c r="B939" s="132"/>
      <c r="C939" s="132"/>
      <c r="D939" s="132"/>
      <c r="E939" s="134"/>
      <c r="F939" s="132"/>
    </row>
    <row r="940" spans="1:6" x14ac:dyDescent="0.3">
      <c r="A940" s="132"/>
      <c r="B940" s="132"/>
      <c r="C940" s="132"/>
      <c r="D940" s="132"/>
      <c r="E940" s="134"/>
      <c r="F940" s="132"/>
    </row>
    <row r="941" spans="1:6" x14ac:dyDescent="0.3">
      <c r="A941" s="132"/>
      <c r="B941" s="132"/>
      <c r="C941" s="132"/>
      <c r="D941" s="132"/>
      <c r="E941" s="134"/>
      <c r="F941" s="132"/>
    </row>
    <row r="942" spans="1:6" x14ac:dyDescent="0.3">
      <c r="A942" s="132"/>
      <c r="B942" s="132"/>
      <c r="C942" s="132"/>
      <c r="D942" s="132"/>
      <c r="E942" s="134"/>
      <c r="F942" s="132"/>
    </row>
    <row r="943" spans="1:6" x14ac:dyDescent="0.3">
      <c r="A943" s="132"/>
      <c r="B943" s="132"/>
      <c r="C943" s="132"/>
      <c r="D943" s="132"/>
      <c r="E943" s="134"/>
      <c r="F943" s="132"/>
    </row>
    <row r="944" spans="1:6" x14ac:dyDescent="0.3">
      <c r="A944" s="132"/>
      <c r="B944" s="132"/>
      <c r="C944" s="132"/>
      <c r="D944" s="132"/>
      <c r="E944" s="134"/>
      <c r="F944" s="132"/>
    </row>
    <row r="945" spans="1:6" x14ac:dyDescent="0.3">
      <c r="A945" s="132"/>
      <c r="B945" s="132"/>
      <c r="C945" s="132"/>
      <c r="D945" s="132"/>
      <c r="E945" s="134"/>
      <c r="F945" s="132"/>
    </row>
    <row r="946" spans="1:6" x14ac:dyDescent="0.3">
      <c r="A946" s="132"/>
      <c r="B946" s="132"/>
      <c r="C946" s="132"/>
      <c r="D946" s="132"/>
      <c r="E946" s="134"/>
      <c r="F946" s="132"/>
    </row>
    <row r="947" spans="1:6" x14ac:dyDescent="0.3">
      <c r="A947" s="132"/>
      <c r="B947" s="132"/>
      <c r="C947" s="132"/>
      <c r="D947" s="132"/>
      <c r="E947" s="134"/>
      <c r="F947" s="132"/>
    </row>
    <row r="948" spans="1:6" x14ac:dyDescent="0.3">
      <c r="A948" s="132"/>
      <c r="B948" s="132"/>
      <c r="C948" s="132"/>
      <c r="D948" s="132"/>
      <c r="E948" s="134"/>
      <c r="F948" s="132"/>
    </row>
    <row r="949" spans="1:6" x14ac:dyDescent="0.3">
      <c r="A949" s="132"/>
      <c r="B949" s="132"/>
      <c r="C949" s="132"/>
      <c r="D949" s="132"/>
      <c r="E949" s="134"/>
      <c r="F949" s="132"/>
    </row>
    <row r="950" spans="1:6" x14ac:dyDescent="0.3">
      <c r="A950" s="132"/>
      <c r="B950" s="132"/>
      <c r="C950" s="132"/>
      <c r="D950" s="132"/>
      <c r="E950" s="134"/>
      <c r="F950" s="132"/>
    </row>
    <row r="951" spans="1:6" x14ac:dyDescent="0.3">
      <c r="A951" s="132"/>
      <c r="B951" s="132"/>
      <c r="C951" s="132"/>
      <c r="D951" s="132"/>
      <c r="E951" s="134"/>
      <c r="F951" s="132"/>
    </row>
    <row r="952" spans="1:6" x14ac:dyDescent="0.3">
      <c r="A952" s="132"/>
      <c r="B952" s="132"/>
      <c r="C952" s="132"/>
      <c r="D952" s="132"/>
      <c r="E952" s="134"/>
      <c r="F952" s="132"/>
    </row>
    <row r="953" spans="1:6" x14ac:dyDescent="0.3">
      <c r="A953" s="132"/>
      <c r="B953" s="132"/>
      <c r="C953" s="132"/>
      <c r="D953" s="132"/>
      <c r="E953" s="134"/>
      <c r="F953" s="132"/>
    </row>
    <row r="954" spans="1:6" x14ac:dyDescent="0.3">
      <c r="A954" s="132"/>
      <c r="B954" s="132"/>
      <c r="C954" s="132"/>
      <c r="D954" s="132"/>
      <c r="E954" s="134"/>
      <c r="F954" s="132"/>
    </row>
    <row r="955" spans="1:6" x14ac:dyDescent="0.3">
      <c r="A955" s="132"/>
      <c r="B955" s="132"/>
      <c r="C955" s="132"/>
      <c r="D955" s="132"/>
      <c r="E955" s="134"/>
      <c r="F955" s="132"/>
    </row>
    <row r="956" spans="1:6" x14ac:dyDescent="0.3">
      <c r="A956" s="132"/>
      <c r="B956" s="132"/>
      <c r="C956" s="132"/>
      <c r="D956" s="132"/>
      <c r="E956" s="134"/>
      <c r="F956" s="132"/>
    </row>
    <row r="957" spans="1:6" x14ac:dyDescent="0.3">
      <c r="A957" s="132"/>
      <c r="B957" s="132"/>
      <c r="C957" s="132"/>
      <c r="D957" s="132"/>
      <c r="E957" s="134"/>
      <c r="F957" s="132"/>
    </row>
    <row r="958" spans="1:6" x14ac:dyDescent="0.3">
      <c r="A958" s="132"/>
      <c r="B958" s="132"/>
      <c r="C958" s="132"/>
      <c r="D958" s="132"/>
      <c r="E958" s="134"/>
      <c r="F958" s="132"/>
    </row>
    <row r="959" spans="1:6" x14ac:dyDescent="0.3">
      <c r="A959" s="132"/>
      <c r="B959" s="132"/>
      <c r="C959" s="132"/>
      <c r="D959" s="132"/>
      <c r="E959" s="134"/>
      <c r="F959" s="132"/>
    </row>
    <row r="960" spans="1:6" x14ac:dyDescent="0.3">
      <c r="A960" s="132"/>
      <c r="B960" s="132"/>
      <c r="C960" s="132"/>
      <c r="D960" s="132"/>
      <c r="E960" s="134"/>
      <c r="F960" s="132"/>
    </row>
    <row r="961" spans="1:6" x14ac:dyDescent="0.3">
      <c r="A961" s="132"/>
      <c r="B961" s="132"/>
      <c r="C961" s="132"/>
      <c r="D961" s="132"/>
      <c r="E961" s="134"/>
      <c r="F961" s="132"/>
    </row>
    <row r="962" spans="1:6" x14ac:dyDescent="0.3">
      <c r="A962" s="132"/>
      <c r="B962" s="132"/>
      <c r="C962" s="132"/>
      <c r="D962" s="132"/>
      <c r="E962" s="134"/>
      <c r="F962" s="132"/>
    </row>
    <row r="963" spans="1:6" x14ac:dyDescent="0.3">
      <c r="A963" s="132"/>
      <c r="B963" s="132"/>
      <c r="C963" s="132"/>
      <c r="D963" s="132"/>
      <c r="E963" s="134"/>
      <c r="F963" s="132"/>
    </row>
    <row r="964" spans="1:6" x14ac:dyDescent="0.3">
      <c r="A964" s="132"/>
      <c r="B964" s="132"/>
      <c r="C964" s="132"/>
      <c r="D964" s="132"/>
      <c r="E964" s="134"/>
      <c r="F964" s="132"/>
    </row>
    <row r="965" spans="1:6" x14ac:dyDescent="0.3">
      <c r="A965" s="132"/>
      <c r="B965" s="132"/>
      <c r="C965" s="132"/>
      <c r="D965" s="132"/>
      <c r="E965" s="134"/>
      <c r="F965" s="132"/>
    </row>
    <row r="966" spans="1:6" x14ac:dyDescent="0.3">
      <c r="A966" s="132"/>
      <c r="B966" s="132"/>
      <c r="C966" s="132"/>
      <c r="D966" s="132"/>
      <c r="E966" s="134"/>
      <c r="F966" s="132"/>
    </row>
    <row r="967" spans="1:6" x14ac:dyDescent="0.3">
      <c r="A967" s="132"/>
      <c r="B967" s="132"/>
      <c r="C967" s="132"/>
      <c r="D967" s="132"/>
      <c r="E967" s="134"/>
      <c r="F967" s="132"/>
    </row>
    <row r="968" spans="1:6" x14ac:dyDescent="0.3">
      <c r="A968" s="132"/>
      <c r="B968" s="132"/>
      <c r="C968" s="132"/>
      <c r="D968" s="132"/>
      <c r="E968" s="134"/>
      <c r="F968" s="132"/>
    </row>
    <row r="969" spans="1:6" x14ac:dyDescent="0.3">
      <c r="A969" s="132"/>
      <c r="B969" s="132"/>
      <c r="C969" s="132"/>
      <c r="D969" s="132"/>
      <c r="E969" s="134"/>
      <c r="F969" s="132"/>
    </row>
    <row r="970" spans="1:6" x14ac:dyDescent="0.3">
      <c r="A970" s="132"/>
      <c r="B970" s="132"/>
      <c r="C970" s="132"/>
      <c r="D970" s="132"/>
      <c r="E970" s="134"/>
      <c r="F970" s="132"/>
    </row>
    <row r="971" spans="1:6" x14ac:dyDescent="0.3">
      <c r="A971" s="132"/>
      <c r="B971" s="132"/>
      <c r="C971" s="132"/>
      <c r="D971" s="132"/>
      <c r="E971" s="134"/>
      <c r="F971" s="132"/>
    </row>
    <row r="972" spans="1:6" x14ac:dyDescent="0.3">
      <c r="A972" s="132"/>
      <c r="B972" s="132"/>
      <c r="C972" s="132"/>
      <c r="D972" s="132"/>
      <c r="E972" s="134"/>
      <c r="F972" s="132"/>
    </row>
    <row r="973" spans="1:6" x14ac:dyDescent="0.3">
      <c r="A973" s="132"/>
      <c r="B973" s="132"/>
      <c r="C973" s="132"/>
      <c r="D973" s="132"/>
      <c r="E973" s="134"/>
      <c r="F973" s="132"/>
    </row>
    <row r="974" spans="1:6" x14ac:dyDescent="0.3">
      <c r="A974" s="132"/>
      <c r="B974" s="132"/>
      <c r="C974" s="132"/>
      <c r="D974" s="132"/>
      <c r="E974" s="134"/>
      <c r="F974" s="132"/>
    </row>
    <row r="975" spans="1:6" x14ac:dyDescent="0.3">
      <c r="A975" s="132"/>
      <c r="B975" s="132"/>
      <c r="C975" s="132"/>
      <c r="D975" s="132"/>
      <c r="E975" s="134"/>
      <c r="F975" s="132"/>
    </row>
    <row r="976" spans="1:6" x14ac:dyDescent="0.3">
      <c r="A976" s="132"/>
      <c r="B976" s="132"/>
      <c r="C976" s="132"/>
      <c r="D976" s="132"/>
      <c r="E976" s="134"/>
      <c r="F976" s="132"/>
    </row>
    <row r="977" spans="1:6" x14ac:dyDescent="0.3">
      <c r="A977" s="132"/>
      <c r="B977" s="132"/>
      <c r="C977" s="132"/>
      <c r="D977" s="132"/>
      <c r="E977" s="134"/>
      <c r="F977" s="132"/>
    </row>
    <row r="978" spans="1:6" x14ac:dyDescent="0.3">
      <c r="A978" s="132"/>
      <c r="B978" s="132"/>
      <c r="C978" s="132"/>
      <c r="D978" s="132"/>
      <c r="E978" s="134"/>
      <c r="F978" s="132"/>
    </row>
    <row r="979" spans="1:6" x14ac:dyDescent="0.3">
      <c r="A979" s="132"/>
      <c r="B979" s="132"/>
      <c r="C979" s="132"/>
      <c r="D979" s="132"/>
      <c r="E979" s="134"/>
      <c r="F979" s="132"/>
    </row>
    <row r="980" spans="1:6" x14ac:dyDescent="0.3">
      <c r="A980" s="132"/>
      <c r="B980" s="132"/>
      <c r="C980" s="132"/>
      <c r="D980" s="132"/>
      <c r="E980" s="134"/>
      <c r="F980" s="132"/>
    </row>
    <row r="981" spans="1:6" x14ac:dyDescent="0.3">
      <c r="A981" s="132"/>
      <c r="B981" s="132"/>
      <c r="C981" s="132"/>
      <c r="D981" s="132"/>
      <c r="E981" s="134"/>
      <c r="F981" s="132"/>
    </row>
    <row r="982" spans="1:6" x14ac:dyDescent="0.3">
      <c r="A982" s="132"/>
      <c r="B982" s="132"/>
      <c r="C982" s="132"/>
      <c r="D982" s="132"/>
      <c r="E982" s="134"/>
      <c r="F982" s="132"/>
    </row>
    <row r="983" spans="1:6" x14ac:dyDescent="0.3">
      <c r="A983" s="132"/>
      <c r="B983" s="132"/>
      <c r="C983" s="132"/>
      <c r="D983" s="132"/>
      <c r="E983" s="134"/>
      <c r="F983" s="132"/>
    </row>
    <row r="984" spans="1:6" x14ac:dyDescent="0.3">
      <c r="A984" s="132"/>
      <c r="B984" s="132"/>
      <c r="C984" s="132"/>
      <c r="D984" s="132"/>
      <c r="E984" s="134"/>
      <c r="F984" s="132"/>
    </row>
    <row r="985" spans="1:6" x14ac:dyDescent="0.3">
      <c r="A985" s="132"/>
      <c r="B985" s="132"/>
      <c r="C985" s="132"/>
      <c r="D985" s="132"/>
      <c r="E985" s="134"/>
      <c r="F985" s="132"/>
    </row>
    <row r="986" spans="1:6" x14ac:dyDescent="0.3">
      <c r="A986" s="132"/>
      <c r="B986" s="132"/>
      <c r="C986" s="132"/>
      <c r="D986" s="132"/>
      <c r="E986" s="134"/>
      <c r="F986" s="132"/>
    </row>
    <row r="987" spans="1:6" x14ac:dyDescent="0.3">
      <c r="A987" s="132"/>
      <c r="B987" s="132"/>
      <c r="C987" s="132"/>
      <c r="D987" s="132"/>
      <c r="E987" s="134"/>
      <c r="F987" s="132"/>
    </row>
    <row r="988" spans="1:6" x14ac:dyDescent="0.3">
      <c r="A988" s="132"/>
      <c r="B988" s="132"/>
      <c r="C988" s="132"/>
      <c r="D988" s="132"/>
      <c r="E988" s="134"/>
      <c r="F988" s="132"/>
    </row>
    <row r="989" spans="1:6" x14ac:dyDescent="0.3">
      <c r="A989" s="132"/>
      <c r="B989" s="132"/>
      <c r="C989" s="132"/>
      <c r="D989" s="132"/>
      <c r="E989" s="134"/>
      <c r="F989" s="132"/>
    </row>
    <row r="990" spans="1:6" x14ac:dyDescent="0.3">
      <c r="A990" s="132"/>
      <c r="B990" s="132"/>
      <c r="C990" s="132"/>
      <c r="D990" s="132"/>
      <c r="E990" s="134"/>
      <c r="F990" s="132"/>
    </row>
    <row r="991" spans="1:6" x14ac:dyDescent="0.3">
      <c r="A991" s="132"/>
      <c r="B991" s="132"/>
      <c r="C991" s="132"/>
      <c r="D991" s="132"/>
      <c r="E991" s="134"/>
      <c r="F991" s="132"/>
    </row>
    <row r="992" spans="1:6" x14ac:dyDescent="0.3">
      <c r="A992" s="132"/>
      <c r="B992" s="132"/>
      <c r="C992" s="132"/>
      <c r="D992" s="132"/>
      <c r="E992" s="134"/>
      <c r="F992" s="132"/>
    </row>
    <row r="993" spans="1:6" x14ac:dyDescent="0.3">
      <c r="A993" s="132"/>
      <c r="B993" s="132"/>
      <c r="C993" s="132"/>
      <c r="D993" s="132"/>
      <c r="E993" s="134"/>
      <c r="F993" s="132"/>
    </row>
    <row r="994" spans="1:6" x14ac:dyDescent="0.3">
      <c r="A994" s="132"/>
      <c r="B994" s="132"/>
      <c r="C994" s="132"/>
      <c r="D994" s="132"/>
      <c r="E994" s="134"/>
      <c r="F994" s="132"/>
    </row>
    <row r="995" spans="1:6" x14ac:dyDescent="0.3">
      <c r="A995" s="132"/>
      <c r="B995" s="132"/>
      <c r="C995" s="132"/>
      <c r="D995" s="132"/>
      <c r="E995" s="134"/>
      <c r="F995" s="132"/>
    </row>
    <row r="996" spans="1:6" x14ac:dyDescent="0.3">
      <c r="A996" s="132"/>
      <c r="B996" s="132"/>
      <c r="C996" s="132"/>
      <c r="D996" s="132"/>
      <c r="E996" s="134"/>
      <c r="F996" s="132"/>
    </row>
    <row r="997" spans="1:6" x14ac:dyDescent="0.3">
      <c r="A997" s="132"/>
      <c r="B997" s="132"/>
      <c r="C997" s="132"/>
      <c r="D997" s="132"/>
      <c r="E997" s="134"/>
      <c r="F997" s="132"/>
    </row>
    <row r="998" spans="1:6" x14ac:dyDescent="0.3">
      <c r="A998" s="132"/>
      <c r="B998" s="132"/>
      <c r="C998" s="132"/>
      <c r="D998" s="132"/>
      <c r="E998" s="134"/>
      <c r="F998" s="132"/>
    </row>
    <row r="999" spans="1:6" x14ac:dyDescent="0.3">
      <c r="A999" s="132"/>
      <c r="B999" s="132"/>
      <c r="C999" s="132"/>
      <c r="D999" s="132"/>
      <c r="E999" s="134"/>
      <c r="F999" s="132"/>
    </row>
    <row r="1000" spans="1:6" x14ac:dyDescent="0.3">
      <c r="A1000" s="132"/>
      <c r="B1000" s="132"/>
      <c r="C1000" s="132"/>
      <c r="D1000" s="132"/>
      <c r="E1000" s="134"/>
      <c r="F1000" s="13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B9112-29A2-4CD1-BB88-7EA4DEFAA855}">
  <sheetPr codeName="Sheet13"/>
  <dimension ref="A5:F1000"/>
  <sheetViews>
    <sheetView workbookViewId="0">
      <selection activeCell="E14" sqref="E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1128</v>
      </c>
      <c r="B5" s="132" t="s">
        <v>905</v>
      </c>
      <c r="C5" s="132" t="s">
        <v>1121</v>
      </c>
      <c r="D5" s="132" t="s">
        <v>880</v>
      </c>
      <c r="E5" s="132">
        <v>41</v>
      </c>
      <c r="F5" s="132"/>
    </row>
    <row r="6" spans="1:6" x14ac:dyDescent="0.3">
      <c r="A6" s="132" t="s">
        <v>1128</v>
      </c>
      <c r="B6" s="132" t="s">
        <v>905</v>
      </c>
      <c r="C6" s="132" t="s">
        <v>1122</v>
      </c>
      <c r="D6" s="132" t="s">
        <v>880</v>
      </c>
      <c r="E6" s="132">
        <v>41</v>
      </c>
      <c r="F6" s="132"/>
    </row>
    <row r="7" spans="1:6" x14ac:dyDescent="0.3">
      <c r="A7" s="132" t="s">
        <v>1128</v>
      </c>
      <c r="B7" s="132" t="s">
        <v>1039</v>
      </c>
      <c r="C7" s="132" t="s">
        <v>1121</v>
      </c>
      <c r="D7" s="132" t="s">
        <v>880</v>
      </c>
      <c r="E7" s="132">
        <v>41</v>
      </c>
      <c r="F7" s="132"/>
    </row>
    <row r="8" spans="1:6" x14ac:dyDescent="0.3">
      <c r="A8" s="132" t="s">
        <v>1128</v>
      </c>
      <c r="B8" s="132" t="s">
        <v>1039</v>
      </c>
      <c r="C8" s="132" t="s">
        <v>1122</v>
      </c>
      <c r="D8" s="132" t="s">
        <v>880</v>
      </c>
      <c r="E8" s="132">
        <v>41</v>
      </c>
      <c r="F8" s="132"/>
    </row>
    <row r="9" spans="1:6" x14ac:dyDescent="0.3">
      <c r="A9" s="132" t="s">
        <v>1128</v>
      </c>
      <c r="B9" s="132" t="s">
        <v>1130</v>
      </c>
      <c r="C9" s="132" t="s">
        <v>1121</v>
      </c>
      <c r="D9" s="132" t="s">
        <v>880</v>
      </c>
      <c r="E9" s="132">
        <v>41</v>
      </c>
      <c r="F9" s="132"/>
    </row>
    <row r="10" spans="1:6" x14ac:dyDescent="0.3">
      <c r="A10" s="132" t="s">
        <v>1128</v>
      </c>
      <c r="B10" s="132" t="s">
        <v>1130</v>
      </c>
      <c r="C10" s="132" t="s">
        <v>1122</v>
      </c>
      <c r="D10" s="132" t="s">
        <v>880</v>
      </c>
      <c r="E10" s="132">
        <v>41</v>
      </c>
      <c r="F10" s="132"/>
    </row>
    <row r="11" spans="1:6" x14ac:dyDescent="0.3">
      <c r="A11" s="132" t="s">
        <v>1149</v>
      </c>
      <c r="B11" s="132" t="s">
        <v>1107</v>
      </c>
      <c r="C11" s="132" t="s">
        <v>1121</v>
      </c>
      <c r="D11" s="132" t="s">
        <v>1148</v>
      </c>
      <c r="E11" s="132">
        <v>36.9</v>
      </c>
      <c r="F11" s="132"/>
    </row>
    <row r="12" spans="1:6" x14ac:dyDescent="0.3">
      <c r="A12" s="132" t="s">
        <v>1149</v>
      </c>
      <c r="B12" s="132" t="s">
        <v>1107</v>
      </c>
      <c r="C12" s="132" t="s">
        <v>1122</v>
      </c>
      <c r="D12" s="132" t="s">
        <v>1148</v>
      </c>
      <c r="E12" s="132">
        <v>36.9</v>
      </c>
      <c r="F12" s="132"/>
    </row>
    <row r="13" spans="1:6" x14ac:dyDescent="0.3">
      <c r="A13" s="132" t="s">
        <v>1149</v>
      </c>
      <c r="B13" s="132" t="s">
        <v>1061</v>
      </c>
      <c r="C13" s="132" t="s">
        <v>1121</v>
      </c>
      <c r="D13" s="132" t="s">
        <v>1148</v>
      </c>
      <c r="E13" s="132">
        <v>36.9</v>
      </c>
      <c r="F13" s="132"/>
    </row>
    <row r="14" spans="1:6" x14ac:dyDescent="0.3">
      <c r="A14" s="132" t="s">
        <v>1149</v>
      </c>
      <c r="B14" s="132" t="s">
        <v>1061</v>
      </c>
      <c r="C14" s="132" t="s">
        <v>1122</v>
      </c>
      <c r="D14" s="132" t="s">
        <v>1148</v>
      </c>
      <c r="E14" s="132">
        <v>36.9</v>
      </c>
      <c r="F14" s="132"/>
    </row>
    <row r="15" spans="1:6" x14ac:dyDescent="0.3">
      <c r="A15" s="132" t="s">
        <v>1149</v>
      </c>
      <c r="B15" s="132" t="s">
        <v>1116</v>
      </c>
      <c r="C15" s="132" t="s">
        <v>1121</v>
      </c>
      <c r="D15" s="132" t="s">
        <v>1148</v>
      </c>
      <c r="E15" s="132">
        <v>36.9</v>
      </c>
      <c r="F15" s="132"/>
    </row>
    <row r="16" spans="1:6" x14ac:dyDescent="0.3">
      <c r="A16" s="132" t="s">
        <v>1149</v>
      </c>
      <c r="B16" s="132" t="s">
        <v>1116</v>
      </c>
      <c r="C16" s="132" t="s">
        <v>1122</v>
      </c>
      <c r="D16" s="132" t="s">
        <v>1148</v>
      </c>
      <c r="E16" s="132">
        <v>36.9</v>
      </c>
      <c r="F16" s="132"/>
    </row>
    <row r="17" spans="1:6" x14ac:dyDescent="0.3">
      <c r="A17" s="132" t="s">
        <v>1149</v>
      </c>
      <c r="B17" s="132" t="s">
        <v>1153</v>
      </c>
      <c r="C17" s="132" t="s">
        <v>1121</v>
      </c>
      <c r="D17" s="132" t="s">
        <v>1148</v>
      </c>
      <c r="E17" s="132">
        <v>36.9</v>
      </c>
      <c r="F17" s="132"/>
    </row>
    <row r="18" spans="1:6" x14ac:dyDescent="0.3">
      <c r="A18" s="132" t="s">
        <v>1149</v>
      </c>
      <c r="B18" s="132" t="s">
        <v>1153</v>
      </c>
      <c r="C18" s="132" t="s">
        <v>1122</v>
      </c>
      <c r="D18" s="132" t="s">
        <v>1148</v>
      </c>
      <c r="E18" s="132">
        <v>36.9</v>
      </c>
      <c r="F18" s="132"/>
    </row>
    <row r="19" spans="1:6" x14ac:dyDescent="0.3">
      <c r="A19" s="132" t="s">
        <v>1205</v>
      </c>
      <c r="B19" s="132" t="s">
        <v>1125</v>
      </c>
      <c r="C19" s="132" t="s">
        <v>1121</v>
      </c>
      <c r="D19" s="132" t="s">
        <v>880</v>
      </c>
      <c r="E19" s="132">
        <v>41</v>
      </c>
      <c r="F19" s="132"/>
    </row>
    <row r="20" spans="1:6" x14ac:dyDescent="0.3">
      <c r="A20" s="132" t="s">
        <v>1205</v>
      </c>
      <c r="B20" s="132" t="s">
        <v>1125</v>
      </c>
      <c r="C20" s="132" t="s">
        <v>1122</v>
      </c>
      <c r="D20" s="132" t="s">
        <v>880</v>
      </c>
      <c r="E20" s="132">
        <v>41</v>
      </c>
      <c r="F20" s="132"/>
    </row>
    <row r="21" spans="1:6" x14ac:dyDescent="0.3">
      <c r="A21" s="132" t="s">
        <v>1205</v>
      </c>
      <c r="B21" s="132" t="s">
        <v>1101</v>
      </c>
      <c r="C21" s="132" t="s">
        <v>1121</v>
      </c>
      <c r="D21" s="132" t="s">
        <v>880</v>
      </c>
      <c r="E21" s="132">
        <v>41</v>
      </c>
      <c r="F21" s="132"/>
    </row>
    <row r="22" spans="1:6" x14ac:dyDescent="0.3">
      <c r="A22" s="132" t="s">
        <v>1205</v>
      </c>
      <c r="B22" s="132" t="s">
        <v>1101</v>
      </c>
      <c r="C22" s="132" t="s">
        <v>1122</v>
      </c>
      <c r="D22" s="132" t="s">
        <v>880</v>
      </c>
      <c r="E22" s="132">
        <v>41</v>
      </c>
      <c r="F22" s="132"/>
    </row>
    <row r="23" spans="1:6" x14ac:dyDescent="0.3">
      <c r="A23" s="132" t="s">
        <v>1205</v>
      </c>
      <c r="B23" s="132" t="s">
        <v>917</v>
      </c>
      <c r="C23" s="132" t="s">
        <v>1121</v>
      </c>
      <c r="D23" s="132" t="s">
        <v>880</v>
      </c>
      <c r="E23" s="132">
        <v>41</v>
      </c>
      <c r="F23" s="132"/>
    </row>
    <row r="24" spans="1:6" x14ac:dyDescent="0.3">
      <c r="A24" s="132" t="s">
        <v>1205</v>
      </c>
      <c r="B24" s="132" t="s">
        <v>917</v>
      </c>
      <c r="C24" s="132" t="s">
        <v>1122</v>
      </c>
      <c r="D24" s="132" t="s">
        <v>880</v>
      </c>
      <c r="E24" s="132">
        <v>41</v>
      </c>
      <c r="F24" s="132"/>
    </row>
    <row r="25" spans="1:6" x14ac:dyDescent="0.3">
      <c r="A25" s="132" t="s">
        <v>1205</v>
      </c>
      <c r="B25" s="132" t="s">
        <v>1206</v>
      </c>
      <c r="C25" s="132" t="s">
        <v>1121</v>
      </c>
      <c r="D25" s="132" t="s">
        <v>880</v>
      </c>
      <c r="E25" s="132">
        <v>41</v>
      </c>
      <c r="F25" s="132"/>
    </row>
    <row r="26" spans="1:6" x14ac:dyDescent="0.3">
      <c r="A26" s="132" t="s">
        <v>1205</v>
      </c>
      <c r="B26" s="132" t="s">
        <v>1206</v>
      </c>
      <c r="C26" s="132" t="s">
        <v>1122</v>
      </c>
      <c r="D26" s="132" t="s">
        <v>880</v>
      </c>
      <c r="E26" s="132">
        <v>41</v>
      </c>
      <c r="F26" s="132"/>
    </row>
    <row r="27" spans="1:6" x14ac:dyDescent="0.3">
      <c r="A27" s="132" t="s">
        <v>1205</v>
      </c>
      <c r="B27" s="132" t="s">
        <v>1185</v>
      </c>
      <c r="C27" s="132" t="s">
        <v>1121</v>
      </c>
      <c r="D27" s="132" t="s">
        <v>880</v>
      </c>
      <c r="E27" s="132">
        <v>41</v>
      </c>
      <c r="F27" s="132"/>
    </row>
    <row r="28" spans="1:6" x14ac:dyDescent="0.3">
      <c r="A28" s="132" t="s">
        <v>1205</v>
      </c>
      <c r="B28" s="132" t="s">
        <v>1185</v>
      </c>
      <c r="C28" s="132" t="s">
        <v>1122</v>
      </c>
      <c r="D28" s="132" t="s">
        <v>880</v>
      </c>
      <c r="E28" s="132">
        <v>41</v>
      </c>
      <c r="F28" s="132"/>
    </row>
    <row r="29" spans="1:6" x14ac:dyDescent="0.3">
      <c r="A29" s="132" t="s">
        <v>1205</v>
      </c>
      <c r="B29" s="132" t="s">
        <v>1102</v>
      </c>
      <c r="C29" s="132" t="s">
        <v>1121</v>
      </c>
      <c r="D29" s="132" t="s">
        <v>880</v>
      </c>
      <c r="E29" s="132">
        <v>41</v>
      </c>
      <c r="F29" s="132"/>
    </row>
    <row r="30" spans="1:6" x14ac:dyDescent="0.3">
      <c r="A30" s="132" t="s">
        <v>1205</v>
      </c>
      <c r="B30" s="132" t="s">
        <v>1102</v>
      </c>
      <c r="C30" s="132" t="s">
        <v>1122</v>
      </c>
      <c r="D30" s="132" t="s">
        <v>880</v>
      </c>
      <c r="E30" s="132">
        <v>41</v>
      </c>
      <c r="F30" s="132"/>
    </row>
    <row r="31" spans="1:6" x14ac:dyDescent="0.3">
      <c r="A31" s="132" t="s">
        <v>1205</v>
      </c>
      <c r="B31" s="132" t="s">
        <v>1209</v>
      </c>
      <c r="C31" s="132" t="s">
        <v>1121</v>
      </c>
      <c r="D31" s="132" t="s">
        <v>880</v>
      </c>
      <c r="E31" s="132">
        <v>41</v>
      </c>
      <c r="F31" s="132"/>
    </row>
    <row r="32" spans="1:6" x14ac:dyDescent="0.3">
      <c r="A32" s="132" t="s">
        <v>1205</v>
      </c>
      <c r="B32" s="132" t="s">
        <v>1209</v>
      </c>
      <c r="C32" s="132" t="s">
        <v>1122</v>
      </c>
      <c r="D32" s="132" t="s">
        <v>880</v>
      </c>
      <c r="E32" s="132">
        <v>41</v>
      </c>
      <c r="F32" s="132"/>
    </row>
    <row r="33" spans="1:6" x14ac:dyDescent="0.3">
      <c r="A33" s="132" t="s">
        <v>1205</v>
      </c>
      <c r="B33" s="132" t="s">
        <v>1204</v>
      </c>
      <c r="C33" s="132" t="s">
        <v>1121</v>
      </c>
      <c r="D33" s="132" t="s">
        <v>880</v>
      </c>
      <c r="E33" s="132">
        <v>41</v>
      </c>
      <c r="F33" s="132"/>
    </row>
    <row r="34" spans="1:6" x14ac:dyDescent="0.3">
      <c r="A34" s="132" t="s">
        <v>1205</v>
      </c>
      <c r="B34" s="132" t="s">
        <v>1204</v>
      </c>
      <c r="C34" s="132" t="s">
        <v>1122</v>
      </c>
      <c r="D34" s="132" t="s">
        <v>880</v>
      </c>
      <c r="E34" s="132">
        <v>41</v>
      </c>
      <c r="F34" s="132"/>
    </row>
    <row r="35" spans="1:6" x14ac:dyDescent="0.3">
      <c r="A35" s="132"/>
      <c r="B35" s="132"/>
      <c r="C35" s="132"/>
      <c r="D35" s="132"/>
      <c r="E35" s="132"/>
      <c r="F35" s="132"/>
    </row>
    <row r="36" spans="1:6" x14ac:dyDescent="0.3">
      <c r="A36" s="132"/>
      <c r="B36" s="132"/>
      <c r="C36" s="132"/>
      <c r="D36" s="132"/>
      <c r="E36" s="132"/>
      <c r="F36" s="132"/>
    </row>
    <row r="37" spans="1:6" x14ac:dyDescent="0.3">
      <c r="A37" s="132"/>
      <c r="B37" s="132"/>
      <c r="C37" s="132"/>
      <c r="D37" s="132"/>
      <c r="E37" s="132"/>
      <c r="F37" s="132"/>
    </row>
    <row r="38" spans="1:6" x14ac:dyDescent="0.3">
      <c r="A38" s="132"/>
      <c r="B38" s="132"/>
      <c r="C38" s="132"/>
      <c r="D38" s="132"/>
      <c r="E38" s="132"/>
      <c r="F38" s="132"/>
    </row>
    <row r="39" spans="1:6" x14ac:dyDescent="0.3">
      <c r="A39" s="132"/>
      <c r="B39" s="132"/>
      <c r="C39" s="132"/>
      <c r="D39" s="132"/>
      <c r="E39" s="132"/>
      <c r="F39" s="132"/>
    </row>
    <row r="40" spans="1:6" x14ac:dyDescent="0.3">
      <c r="A40" s="132"/>
      <c r="B40" s="132"/>
      <c r="C40" s="132"/>
      <c r="D40" s="132"/>
      <c r="E40" s="132"/>
      <c r="F40" s="132"/>
    </row>
    <row r="41" spans="1:6" x14ac:dyDescent="0.3">
      <c r="A41" s="132"/>
      <c r="B41" s="132"/>
      <c r="C41" s="132"/>
      <c r="D41" s="132"/>
      <c r="E41" s="132"/>
      <c r="F41" s="132"/>
    </row>
    <row r="42" spans="1:6" x14ac:dyDescent="0.3">
      <c r="A42" s="132"/>
      <c r="B42" s="132"/>
      <c r="C42" s="132"/>
      <c r="D42" s="132"/>
      <c r="E42" s="132"/>
      <c r="F42" s="132"/>
    </row>
    <row r="43" spans="1:6" x14ac:dyDescent="0.3">
      <c r="A43" s="132"/>
      <c r="B43" s="132"/>
      <c r="C43" s="132"/>
      <c r="D43" s="132"/>
      <c r="E43" s="132"/>
      <c r="F43" s="132"/>
    </row>
    <row r="44" spans="1:6" x14ac:dyDescent="0.3">
      <c r="A44" s="132"/>
      <c r="B44" s="132"/>
      <c r="C44" s="132"/>
      <c r="D44" s="132"/>
      <c r="E44" s="132"/>
      <c r="F44" s="132"/>
    </row>
    <row r="45" spans="1:6" x14ac:dyDescent="0.3">
      <c r="A45" s="132"/>
      <c r="B45" s="132"/>
      <c r="C45" s="132"/>
      <c r="D45" s="132"/>
      <c r="E45" s="132"/>
      <c r="F45" s="132"/>
    </row>
    <row r="46" spans="1:6" x14ac:dyDescent="0.3">
      <c r="A46" s="132"/>
      <c r="B46" s="132"/>
      <c r="C46" s="132"/>
      <c r="D46" s="132"/>
      <c r="E46" s="132"/>
      <c r="F46" s="132"/>
    </row>
    <row r="47" spans="1:6" x14ac:dyDescent="0.3">
      <c r="A47" s="132"/>
      <c r="B47" s="132"/>
      <c r="C47" s="132"/>
      <c r="D47" s="132"/>
      <c r="E47" s="132"/>
      <c r="F47" s="132"/>
    </row>
    <row r="48" spans="1:6" x14ac:dyDescent="0.3">
      <c r="A48" s="132"/>
      <c r="B48" s="132"/>
      <c r="C48" s="132"/>
      <c r="D48" s="132"/>
      <c r="E48" s="132"/>
      <c r="F48" s="132"/>
    </row>
    <row r="49" spans="1:6" x14ac:dyDescent="0.3">
      <c r="A49" s="132"/>
      <c r="B49" s="132"/>
      <c r="C49" s="132"/>
      <c r="D49" s="132"/>
      <c r="E49" s="132"/>
      <c r="F49" s="132"/>
    </row>
    <row r="50" spans="1:6" x14ac:dyDescent="0.3">
      <c r="A50" s="132"/>
      <c r="B50" s="132"/>
      <c r="C50" s="132"/>
      <c r="D50" s="132"/>
      <c r="E50" s="132"/>
      <c r="F50" s="132"/>
    </row>
    <row r="51" spans="1:6" x14ac:dyDescent="0.3">
      <c r="A51" s="132"/>
      <c r="B51" s="132"/>
      <c r="C51" s="132"/>
      <c r="D51" s="132"/>
      <c r="E51" s="132"/>
      <c r="F51" s="132"/>
    </row>
    <row r="52" spans="1:6" x14ac:dyDescent="0.3">
      <c r="A52" s="132"/>
      <c r="B52" s="132"/>
      <c r="C52" s="132"/>
      <c r="D52" s="132"/>
      <c r="E52" s="132"/>
      <c r="F52" s="132"/>
    </row>
    <row r="53" spans="1:6" x14ac:dyDescent="0.3">
      <c r="A53" s="132"/>
      <c r="B53" s="132"/>
      <c r="C53" s="132"/>
      <c r="D53" s="132"/>
      <c r="E53" s="132"/>
      <c r="F53" s="132"/>
    </row>
    <row r="54" spans="1:6" x14ac:dyDescent="0.3">
      <c r="A54" s="132"/>
      <c r="B54" s="132"/>
      <c r="C54" s="132"/>
      <c r="D54" s="132"/>
      <c r="E54" s="132"/>
      <c r="F54" s="132"/>
    </row>
    <row r="55" spans="1:6" x14ac:dyDescent="0.3">
      <c r="A55" s="132"/>
      <c r="B55" s="132"/>
      <c r="C55" s="132"/>
      <c r="D55" s="132"/>
      <c r="E55" s="132"/>
      <c r="F55" s="132"/>
    </row>
    <row r="56" spans="1:6" x14ac:dyDescent="0.3">
      <c r="A56" s="132"/>
      <c r="B56" s="132"/>
      <c r="C56" s="132"/>
      <c r="D56" s="132"/>
      <c r="E56" s="132"/>
      <c r="F56" s="132"/>
    </row>
    <row r="57" spans="1:6" x14ac:dyDescent="0.3">
      <c r="A57" s="132"/>
      <c r="B57" s="132"/>
      <c r="C57" s="132"/>
      <c r="D57" s="132"/>
      <c r="E57" s="132"/>
      <c r="F57" s="132"/>
    </row>
    <row r="58" spans="1:6" x14ac:dyDescent="0.3">
      <c r="A58" s="132"/>
      <c r="B58" s="132"/>
      <c r="C58" s="132"/>
      <c r="D58" s="132"/>
      <c r="E58" s="132"/>
      <c r="F58" s="132"/>
    </row>
    <row r="59" spans="1:6" x14ac:dyDescent="0.3">
      <c r="A59" s="132"/>
      <c r="B59" s="132"/>
      <c r="C59" s="132"/>
      <c r="D59" s="132"/>
      <c r="E59" s="132"/>
      <c r="F59" s="132"/>
    </row>
    <row r="60" spans="1:6" x14ac:dyDescent="0.3">
      <c r="A60" s="132"/>
      <c r="B60" s="132"/>
      <c r="C60" s="132"/>
      <c r="D60" s="132"/>
      <c r="E60" s="132"/>
      <c r="F60" s="132"/>
    </row>
    <row r="61" spans="1:6" x14ac:dyDescent="0.3">
      <c r="A61" s="132"/>
      <c r="B61" s="132"/>
      <c r="C61" s="132"/>
      <c r="D61" s="132"/>
      <c r="E61" s="132"/>
      <c r="F61" s="132"/>
    </row>
    <row r="62" spans="1:6" x14ac:dyDescent="0.3">
      <c r="A62" s="132"/>
      <c r="B62" s="132"/>
      <c r="C62" s="132"/>
      <c r="D62" s="132"/>
      <c r="E62" s="132"/>
      <c r="F62" s="132"/>
    </row>
    <row r="63" spans="1:6" x14ac:dyDescent="0.3">
      <c r="A63" s="132"/>
      <c r="B63" s="132"/>
      <c r="C63" s="132"/>
      <c r="D63" s="132"/>
      <c r="E63" s="132"/>
      <c r="F63" s="132"/>
    </row>
    <row r="64" spans="1:6" x14ac:dyDescent="0.3">
      <c r="A64" s="132"/>
      <c r="B64" s="132"/>
      <c r="C64" s="132"/>
      <c r="D64" s="132"/>
      <c r="E64" s="132"/>
      <c r="F64" s="132"/>
    </row>
    <row r="65" spans="1:6" x14ac:dyDescent="0.3">
      <c r="A65" s="132"/>
      <c r="B65" s="132"/>
      <c r="C65" s="132"/>
      <c r="D65" s="132"/>
      <c r="E65" s="132"/>
      <c r="F65" s="132"/>
    </row>
    <row r="66" spans="1:6" x14ac:dyDescent="0.3">
      <c r="A66" s="132"/>
      <c r="B66" s="132"/>
      <c r="C66" s="132"/>
      <c r="D66" s="132"/>
      <c r="E66" s="132"/>
      <c r="F66" s="132"/>
    </row>
    <row r="67" spans="1:6" x14ac:dyDescent="0.3">
      <c r="A67" s="132"/>
      <c r="B67" s="132"/>
      <c r="C67" s="132"/>
      <c r="D67" s="132"/>
      <c r="E67" s="132"/>
      <c r="F67" s="132"/>
    </row>
    <row r="68" spans="1:6" x14ac:dyDescent="0.3">
      <c r="A68" s="132"/>
      <c r="B68" s="132"/>
      <c r="C68" s="132"/>
      <c r="D68" s="132"/>
      <c r="E68" s="132"/>
      <c r="F68" s="132"/>
    </row>
    <row r="69" spans="1:6" x14ac:dyDescent="0.3">
      <c r="A69" s="132"/>
      <c r="B69" s="132"/>
      <c r="C69" s="132"/>
      <c r="D69" s="132"/>
      <c r="E69" s="132"/>
      <c r="F69" s="132"/>
    </row>
    <row r="70" spans="1:6" x14ac:dyDescent="0.3">
      <c r="A70" s="132"/>
      <c r="B70" s="132"/>
      <c r="C70" s="132"/>
      <c r="D70" s="132"/>
      <c r="E70" s="132"/>
      <c r="F70" s="132"/>
    </row>
    <row r="71" spans="1:6" x14ac:dyDescent="0.3">
      <c r="A71" s="132"/>
      <c r="B71" s="132"/>
      <c r="C71" s="132"/>
      <c r="D71" s="132"/>
      <c r="E71" s="132"/>
      <c r="F71" s="132"/>
    </row>
    <row r="72" spans="1:6" x14ac:dyDescent="0.3">
      <c r="A72" s="132"/>
      <c r="B72" s="132"/>
      <c r="C72" s="132"/>
      <c r="D72" s="132"/>
      <c r="E72" s="132"/>
      <c r="F72" s="132"/>
    </row>
    <row r="73" spans="1:6" x14ac:dyDescent="0.3">
      <c r="A73" s="132"/>
      <c r="B73" s="132"/>
      <c r="C73" s="132"/>
      <c r="D73" s="132"/>
      <c r="E73" s="132"/>
      <c r="F73" s="132"/>
    </row>
    <row r="74" spans="1:6" x14ac:dyDescent="0.3">
      <c r="A74" s="132"/>
      <c r="B74" s="132"/>
      <c r="C74" s="132"/>
      <c r="D74" s="132"/>
      <c r="E74" s="132"/>
      <c r="F74" s="132"/>
    </row>
    <row r="75" spans="1:6" x14ac:dyDescent="0.3">
      <c r="A75" s="132"/>
      <c r="B75" s="132"/>
      <c r="C75" s="132"/>
      <c r="D75" s="132"/>
      <c r="E75" s="132"/>
      <c r="F75" s="132"/>
    </row>
    <row r="76" spans="1:6" x14ac:dyDescent="0.3">
      <c r="A76" s="132"/>
      <c r="B76" s="132"/>
      <c r="C76" s="132"/>
      <c r="D76" s="132"/>
      <c r="E76" s="132"/>
      <c r="F76" s="132"/>
    </row>
    <row r="77" spans="1:6" x14ac:dyDescent="0.3">
      <c r="A77" s="132"/>
      <c r="B77" s="132"/>
      <c r="C77" s="132"/>
      <c r="D77" s="132"/>
      <c r="E77" s="132"/>
      <c r="F77" s="132"/>
    </row>
    <row r="78" spans="1:6" x14ac:dyDescent="0.3">
      <c r="A78" s="132"/>
      <c r="B78" s="132"/>
      <c r="C78" s="132"/>
      <c r="D78" s="132"/>
      <c r="E78" s="132"/>
      <c r="F78" s="132"/>
    </row>
    <row r="79" spans="1:6" x14ac:dyDescent="0.3">
      <c r="A79" s="132"/>
      <c r="B79" s="132"/>
      <c r="C79" s="132"/>
      <c r="D79" s="132"/>
      <c r="E79" s="132"/>
      <c r="F79" s="132"/>
    </row>
    <row r="80" spans="1:6" x14ac:dyDescent="0.3">
      <c r="A80" s="132"/>
      <c r="B80" s="132"/>
      <c r="C80" s="132"/>
      <c r="D80" s="132"/>
      <c r="E80" s="132"/>
      <c r="F80" s="132"/>
    </row>
    <row r="81" spans="1:6" x14ac:dyDescent="0.3">
      <c r="A81" s="132"/>
      <c r="B81" s="132"/>
      <c r="C81" s="132"/>
      <c r="D81" s="132"/>
      <c r="E81" s="132"/>
      <c r="F81" s="132"/>
    </row>
    <row r="82" spans="1:6" x14ac:dyDescent="0.3">
      <c r="A82" s="132"/>
      <c r="B82" s="132"/>
      <c r="C82" s="132"/>
      <c r="D82" s="132"/>
      <c r="E82" s="132"/>
      <c r="F82" s="132"/>
    </row>
    <row r="83" spans="1:6" x14ac:dyDescent="0.3">
      <c r="A83" s="132"/>
      <c r="B83" s="132"/>
      <c r="C83" s="132"/>
      <c r="D83" s="132"/>
      <c r="E83" s="132"/>
      <c r="F83" s="132"/>
    </row>
    <row r="84" spans="1:6" x14ac:dyDescent="0.3">
      <c r="A84" s="132"/>
      <c r="B84" s="132"/>
      <c r="C84" s="132"/>
      <c r="D84" s="132"/>
      <c r="E84" s="132"/>
      <c r="F84" s="132"/>
    </row>
    <row r="85" spans="1:6" x14ac:dyDescent="0.3">
      <c r="A85" s="132"/>
      <c r="B85" s="132"/>
      <c r="C85" s="132"/>
      <c r="D85" s="132"/>
      <c r="E85" s="132"/>
      <c r="F85" s="132"/>
    </row>
    <row r="86" spans="1:6" x14ac:dyDescent="0.3">
      <c r="A86" s="132"/>
      <c r="B86" s="132"/>
      <c r="C86" s="132"/>
      <c r="D86" s="132"/>
      <c r="E86" s="132"/>
      <c r="F86" s="132"/>
    </row>
    <row r="87" spans="1:6" x14ac:dyDescent="0.3">
      <c r="A87" s="132"/>
      <c r="B87" s="132"/>
      <c r="C87" s="132"/>
      <c r="D87" s="132"/>
      <c r="E87" s="132"/>
      <c r="F87" s="132"/>
    </row>
    <row r="88" spans="1:6" x14ac:dyDescent="0.3">
      <c r="A88" s="132"/>
      <c r="B88" s="132"/>
      <c r="C88" s="132"/>
      <c r="D88" s="132"/>
      <c r="E88" s="132"/>
      <c r="F88" s="132"/>
    </row>
    <row r="89" spans="1:6" x14ac:dyDescent="0.3">
      <c r="A89" s="132"/>
      <c r="B89" s="132"/>
      <c r="C89" s="132"/>
      <c r="D89" s="132"/>
      <c r="E89" s="132"/>
      <c r="F89" s="132"/>
    </row>
    <row r="90" spans="1:6" x14ac:dyDescent="0.3">
      <c r="A90" s="132"/>
      <c r="B90" s="132"/>
      <c r="C90" s="132"/>
      <c r="D90" s="132"/>
      <c r="E90" s="132"/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9B84-5DE1-49F4-9B64-AA5989470585}">
  <sheetPr codeName="Sheet14"/>
  <dimension ref="A5:F1000"/>
  <sheetViews>
    <sheetView workbookViewId="0">
      <selection activeCell="C8" sqref="C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892</v>
      </c>
      <c r="C5" s="132" t="s">
        <v>879</v>
      </c>
      <c r="D5" s="132" t="s">
        <v>880</v>
      </c>
      <c r="E5" s="132">
        <v>41</v>
      </c>
      <c r="F5" s="132"/>
    </row>
    <row r="6" spans="1:6" x14ac:dyDescent="0.3">
      <c r="A6" s="132" t="s">
        <v>872</v>
      </c>
      <c r="B6" s="132" t="s">
        <v>892</v>
      </c>
      <c r="C6" s="132" t="s">
        <v>881</v>
      </c>
      <c r="D6" s="132" t="s">
        <v>880</v>
      </c>
      <c r="E6" s="132">
        <v>41</v>
      </c>
      <c r="F6" s="132"/>
    </row>
    <row r="7" spans="1:6" x14ac:dyDescent="0.3">
      <c r="A7" s="132" t="s">
        <v>872</v>
      </c>
      <c r="B7" s="132" t="s">
        <v>986</v>
      </c>
      <c r="C7" s="132" t="s">
        <v>879</v>
      </c>
      <c r="D7" s="132" t="s">
        <v>985</v>
      </c>
      <c r="E7" s="132">
        <v>76</v>
      </c>
      <c r="F7" s="132"/>
    </row>
    <row r="8" spans="1:6" x14ac:dyDescent="0.3">
      <c r="A8" s="132" t="s">
        <v>872</v>
      </c>
      <c r="B8" s="132" t="s">
        <v>986</v>
      </c>
      <c r="C8" s="132" t="s">
        <v>881</v>
      </c>
      <c r="D8" s="132" t="s">
        <v>985</v>
      </c>
      <c r="E8" s="132">
        <v>76</v>
      </c>
      <c r="F8" s="132"/>
    </row>
    <row r="9" spans="1:6" x14ac:dyDescent="0.3">
      <c r="A9" s="132" t="s">
        <v>916</v>
      </c>
      <c r="B9" s="132" t="s">
        <v>905</v>
      </c>
      <c r="C9" s="132" t="s">
        <v>879</v>
      </c>
      <c r="D9" s="132" t="s">
        <v>1028</v>
      </c>
      <c r="E9" s="132">
        <v>114.5</v>
      </c>
      <c r="F9" s="132"/>
    </row>
    <row r="10" spans="1:6" x14ac:dyDescent="0.3">
      <c r="A10" s="132" t="s">
        <v>916</v>
      </c>
      <c r="B10" s="132" t="s">
        <v>905</v>
      </c>
      <c r="C10" s="132" t="s">
        <v>881</v>
      </c>
      <c r="D10" s="132" t="s">
        <v>1028</v>
      </c>
      <c r="E10" s="132">
        <v>114.5</v>
      </c>
      <c r="F10" s="132"/>
    </row>
    <row r="11" spans="1:6" x14ac:dyDescent="0.3">
      <c r="A11" s="132" t="s">
        <v>916</v>
      </c>
      <c r="B11" s="132" t="s">
        <v>1027</v>
      </c>
      <c r="C11" s="132" t="s">
        <v>879</v>
      </c>
      <c r="D11" s="132" t="s">
        <v>988</v>
      </c>
      <c r="E11" s="132">
        <v>89.5</v>
      </c>
      <c r="F11" s="132"/>
    </row>
    <row r="12" spans="1:6" x14ac:dyDescent="0.3">
      <c r="A12" s="132" t="s">
        <v>916</v>
      </c>
      <c r="B12" s="132" t="s">
        <v>1027</v>
      </c>
      <c r="C12" s="132" t="s">
        <v>881</v>
      </c>
      <c r="D12" s="132" t="s">
        <v>988</v>
      </c>
      <c r="E12" s="132">
        <v>89.5</v>
      </c>
      <c r="F12" s="132"/>
    </row>
    <row r="13" spans="1:6" x14ac:dyDescent="0.3">
      <c r="A13" s="132" t="s">
        <v>1042</v>
      </c>
      <c r="B13" s="132" t="s">
        <v>1054</v>
      </c>
      <c r="C13" s="132" t="s">
        <v>879</v>
      </c>
      <c r="D13" s="132" t="s">
        <v>1051</v>
      </c>
      <c r="E13" s="132">
        <v>17</v>
      </c>
      <c r="F13" s="132"/>
    </row>
    <row r="14" spans="1:6" x14ac:dyDescent="0.3">
      <c r="A14" s="132" t="s">
        <v>1042</v>
      </c>
      <c r="B14" s="132" t="s">
        <v>1054</v>
      </c>
      <c r="C14" s="132" t="s">
        <v>881</v>
      </c>
      <c r="D14" s="132" t="s">
        <v>1051</v>
      </c>
      <c r="E14" s="132">
        <v>17</v>
      </c>
      <c r="F14" s="132"/>
    </row>
    <row r="15" spans="1:6" x14ac:dyDescent="0.3">
      <c r="A15" s="132" t="s">
        <v>1066</v>
      </c>
      <c r="B15" s="132" t="s">
        <v>1068</v>
      </c>
      <c r="C15" s="132" t="s">
        <v>879</v>
      </c>
      <c r="D15" s="132" t="s">
        <v>1077</v>
      </c>
      <c r="E15" s="132">
        <v>78.599999999999994</v>
      </c>
      <c r="F15" s="132"/>
    </row>
    <row r="16" spans="1:6" x14ac:dyDescent="0.3">
      <c r="A16" s="132" t="s">
        <v>1066</v>
      </c>
      <c r="B16" s="132" t="s">
        <v>1068</v>
      </c>
      <c r="C16" s="132" t="s">
        <v>881</v>
      </c>
      <c r="D16" s="132" t="s">
        <v>1077</v>
      </c>
      <c r="E16" s="132">
        <v>78.599999999999994</v>
      </c>
      <c r="F16" s="132"/>
    </row>
    <row r="17" spans="1:6" x14ac:dyDescent="0.3">
      <c r="A17" s="132" t="s">
        <v>1079</v>
      </c>
      <c r="B17" s="132" t="s">
        <v>1083</v>
      </c>
      <c r="C17" s="132" t="s">
        <v>879</v>
      </c>
      <c r="D17" s="132" t="s">
        <v>1081</v>
      </c>
      <c r="E17" s="132">
        <v>40</v>
      </c>
      <c r="F17" s="132"/>
    </row>
    <row r="18" spans="1:6" x14ac:dyDescent="0.3">
      <c r="A18" s="132" t="s">
        <v>1079</v>
      </c>
      <c r="B18" s="132" t="s">
        <v>1083</v>
      </c>
      <c r="C18" s="132" t="s">
        <v>881</v>
      </c>
      <c r="D18" s="132" t="s">
        <v>1081</v>
      </c>
      <c r="E18" s="132">
        <v>40</v>
      </c>
      <c r="F18" s="132"/>
    </row>
    <row r="19" spans="1:6" x14ac:dyDescent="0.3">
      <c r="A19" s="132" t="s">
        <v>1079</v>
      </c>
      <c r="B19" s="132" t="s">
        <v>1084</v>
      </c>
      <c r="C19" s="132" t="s">
        <v>879</v>
      </c>
      <c r="D19" s="132" t="s">
        <v>1081</v>
      </c>
      <c r="E19" s="132">
        <v>40</v>
      </c>
      <c r="F19" s="132"/>
    </row>
    <row r="20" spans="1:6" x14ac:dyDescent="0.3">
      <c r="A20" s="132" t="s">
        <v>1079</v>
      </c>
      <c r="B20" s="132" t="s">
        <v>1084</v>
      </c>
      <c r="C20" s="132" t="s">
        <v>881</v>
      </c>
      <c r="D20" s="132" t="s">
        <v>1081</v>
      </c>
      <c r="E20" s="132">
        <v>40</v>
      </c>
      <c r="F20" s="132"/>
    </row>
    <row r="21" spans="1:6" x14ac:dyDescent="0.3">
      <c r="A21" s="132" t="s">
        <v>1079</v>
      </c>
      <c r="B21" s="132" t="s">
        <v>1085</v>
      </c>
      <c r="C21" s="132" t="s">
        <v>879</v>
      </c>
      <c r="D21" s="132" t="s">
        <v>1081</v>
      </c>
      <c r="E21" s="132">
        <v>40</v>
      </c>
      <c r="F21" s="132"/>
    </row>
    <row r="22" spans="1:6" x14ac:dyDescent="0.3">
      <c r="A22" s="132" t="s">
        <v>1079</v>
      </c>
      <c r="B22" s="132" t="s">
        <v>1085</v>
      </c>
      <c r="C22" s="132" t="s">
        <v>881</v>
      </c>
      <c r="D22" s="132" t="s">
        <v>1081</v>
      </c>
      <c r="E22" s="132">
        <v>40</v>
      </c>
      <c r="F22" s="132"/>
    </row>
    <row r="23" spans="1:6" x14ac:dyDescent="0.3">
      <c r="A23" s="132" t="s">
        <v>1079</v>
      </c>
      <c r="B23" s="132" t="s">
        <v>1087</v>
      </c>
      <c r="C23" s="132" t="s">
        <v>879</v>
      </c>
      <c r="D23" s="132" t="s">
        <v>1081</v>
      </c>
      <c r="E23" s="132">
        <v>40</v>
      </c>
      <c r="F23" s="132"/>
    </row>
    <row r="24" spans="1:6" x14ac:dyDescent="0.3">
      <c r="A24" s="132" t="s">
        <v>1079</v>
      </c>
      <c r="B24" s="132" t="s">
        <v>1087</v>
      </c>
      <c r="C24" s="132" t="s">
        <v>881</v>
      </c>
      <c r="D24" s="132" t="s">
        <v>1081</v>
      </c>
      <c r="E24" s="132">
        <v>40</v>
      </c>
      <c r="F24" s="132"/>
    </row>
    <row r="25" spans="1:6" x14ac:dyDescent="0.3">
      <c r="A25" s="132" t="s">
        <v>1079</v>
      </c>
      <c r="B25" s="132" t="s">
        <v>1088</v>
      </c>
      <c r="C25" s="132" t="s">
        <v>879</v>
      </c>
      <c r="D25" s="132" t="s">
        <v>1081</v>
      </c>
      <c r="E25" s="132">
        <v>40</v>
      </c>
      <c r="F25" s="132"/>
    </row>
    <row r="26" spans="1:6" x14ac:dyDescent="0.3">
      <c r="A26" s="132" t="s">
        <v>1079</v>
      </c>
      <c r="B26" s="132" t="s">
        <v>1088</v>
      </c>
      <c r="C26" s="132" t="s">
        <v>881</v>
      </c>
      <c r="D26" s="132" t="s">
        <v>1081</v>
      </c>
      <c r="E26" s="132">
        <v>40</v>
      </c>
      <c r="F26" s="132"/>
    </row>
    <row r="27" spans="1:6" x14ac:dyDescent="0.3">
      <c r="A27" s="132" t="s">
        <v>1106</v>
      </c>
      <c r="B27" s="132" t="s">
        <v>1072</v>
      </c>
      <c r="C27" s="132" t="s">
        <v>879</v>
      </c>
      <c r="D27" s="132" t="s">
        <v>1110</v>
      </c>
      <c r="E27" s="132">
        <v>145.80000000000001</v>
      </c>
      <c r="F27" s="132"/>
    </row>
    <row r="28" spans="1:6" x14ac:dyDescent="0.3">
      <c r="A28" s="132" t="s">
        <v>1106</v>
      </c>
      <c r="B28" s="132" t="s">
        <v>1072</v>
      </c>
      <c r="C28" s="132" t="s">
        <v>881</v>
      </c>
      <c r="D28" s="132" t="s">
        <v>1110</v>
      </c>
      <c r="E28" s="132">
        <v>145.80000000000001</v>
      </c>
      <c r="F28" s="132"/>
    </row>
    <row r="29" spans="1:6" x14ac:dyDescent="0.3">
      <c r="A29" s="132" t="s">
        <v>1106</v>
      </c>
      <c r="B29" s="132" t="s">
        <v>1109</v>
      </c>
      <c r="C29" s="132" t="s">
        <v>879</v>
      </c>
      <c r="D29" s="132" t="s">
        <v>1117</v>
      </c>
      <c r="E29" s="132">
        <v>194.4</v>
      </c>
      <c r="F29" s="132"/>
    </row>
    <row r="30" spans="1:6" x14ac:dyDescent="0.3">
      <c r="A30" s="132" t="s">
        <v>1106</v>
      </c>
      <c r="B30" s="132" t="s">
        <v>1109</v>
      </c>
      <c r="C30" s="132" t="s">
        <v>881</v>
      </c>
      <c r="D30" s="132" t="s">
        <v>1117</v>
      </c>
      <c r="E30" s="132">
        <v>194.4</v>
      </c>
      <c r="F30" s="132"/>
    </row>
    <row r="31" spans="1:6" x14ac:dyDescent="0.3">
      <c r="A31" s="132" t="s">
        <v>1132</v>
      </c>
      <c r="B31" s="132" t="s">
        <v>921</v>
      </c>
      <c r="C31" s="132" t="s">
        <v>879</v>
      </c>
      <c r="D31" s="132" t="s">
        <v>1131</v>
      </c>
      <c r="E31" s="132">
        <v>37.200000000000003</v>
      </c>
      <c r="F31" s="132"/>
    </row>
    <row r="32" spans="1:6" x14ac:dyDescent="0.3">
      <c r="A32" s="132" t="s">
        <v>1132</v>
      </c>
      <c r="B32" s="132" t="s">
        <v>921</v>
      </c>
      <c r="C32" s="132" t="s">
        <v>881</v>
      </c>
      <c r="D32" s="132" t="s">
        <v>1131</v>
      </c>
      <c r="E32" s="132">
        <v>37.200000000000003</v>
      </c>
      <c r="F32" s="132"/>
    </row>
    <row r="33" spans="1:6" x14ac:dyDescent="0.3">
      <c r="A33" s="132" t="s">
        <v>1132</v>
      </c>
      <c r="B33" s="132" t="s">
        <v>1135</v>
      </c>
      <c r="C33" s="132" t="s">
        <v>879</v>
      </c>
      <c r="D33" s="132" t="s">
        <v>1131</v>
      </c>
      <c r="E33" s="132">
        <v>37.200000000000003</v>
      </c>
      <c r="F33" s="132"/>
    </row>
    <row r="34" spans="1:6" x14ac:dyDescent="0.3">
      <c r="A34" s="132" t="s">
        <v>1132</v>
      </c>
      <c r="B34" s="132" t="s">
        <v>1135</v>
      </c>
      <c r="C34" s="132" t="s">
        <v>881</v>
      </c>
      <c r="D34" s="132" t="s">
        <v>1131</v>
      </c>
      <c r="E34" s="132">
        <v>37.200000000000003</v>
      </c>
      <c r="F34" s="132"/>
    </row>
    <row r="35" spans="1:6" x14ac:dyDescent="0.3">
      <c r="A35" s="132" t="s">
        <v>1132</v>
      </c>
      <c r="B35" s="132" t="s">
        <v>1114</v>
      </c>
      <c r="C35" s="132" t="s">
        <v>879</v>
      </c>
      <c r="D35" s="132" t="s">
        <v>1131</v>
      </c>
      <c r="E35" s="132">
        <v>37.200000000000003</v>
      </c>
      <c r="F35" s="132"/>
    </row>
    <row r="36" spans="1:6" x14ac:dyDescent="0.3">
      <c r="A36" s="132" t="s">
        <v>1132</v>
      </c>
      <c r="B36" s="132" t="s">
        <v>1114</v>
      </c>
      <c r="C36" s="132" t="s">
        <v>881</v>
      </c>
      <c r="D36" s="132" t="s">
        <v>1131</v>
      </c>
      <c r="E36" s="132">
        <v>37.200000000000003</v>
      </c>
      <c r="F36" s="132"/>
    </row>
    <row r="37" spans="1:6" x14ac:dyDescent="0.3">
      <c r="A37" s="132" t="s">
        <v>1132</v>
      </c>
      <c r="B37" s="132" t="s">
        <v>1063</v>
      </c>
      <c r="C37" s="132" t="s">
        <v>879</v>
      </c>
      <c r="D37" s="132" t="s">
        <v>1131</v>
      </c>
      <c r="E37" s="132">
        <v>37.200000000000003</v>
      </c>
      <c r="F37" s="132"/>
    </row>
    <row r="38" spans="1:6" x14ac:dyDescent="0.3">
      <c r="A38" s="132" t="s">
        <v>1132</v>
      </c>
      <c r="B38" s="132" t="s">
        <v>1063</v>
      </c>
      <c r="C38" s="132" t="s">
        <v>881</v>
      </c>
      <c r="D38" s="132" t="s">
        <v>1131</v>
      </c>
      <c r="E38" s="132">
        <v>37.200000000000003</v>
      </c>
      <c r="F38" s="132"/>
    </row>
    <row r="39" spans="1:6" x14ac:dyDescent="0.3">
      <c r="A39" s="132" t="s">
        <v>1132</v>
      </c>
      <c r="B39" s="132" t="s">
        <v>1056</v>
      </c>
      <c r="C39" s="132" t="s">
        <v>879</v>
      </c>
      <c r="D39" s="132" t="s">
        <v>1131</v>
      </c>
      <c r="E39" s="132">
        <v>37.200000000000003</v>
      </c>
      <c r="F39" s="132"/>
    </row>
    <row r="40" spans="1:6" x14ac:dyDescent="0.3">
      <c r="A40" s="132" t="s">
        <v>1132</v>
      </c>
      <c r="B40" s="132" t="s">
        <v>1056</v>
      </c>
      <c r="C40" s="132" t="s">
        <v>881</v>
      </c>
      <c r="D40" s="132" t="s">
        <v>1131</v>
      </c>
      <c r="E40" s="132">
        <v>37.200000000000003</v>
      </c>
      <c r="F40" s="132"/>
    </row>
    <row r="41" spans="1:6" x14ac:dyDescent="0.3">
      <c r="A41" s="132" t="s">
        <v>1132</v>
      </c>
      <c r="B41" s="132" t="s">
        <v>1140</v>
      </c>
      <c r="C41" s="132" t="s">
        <v>879</v>
      </c>
      <c r="D41" s="132" t="s">
        <v>1131</v>
      </c>
      <c r="E41" s="132">
        <v>37.200000000000003</v>
      </c>
      <c r="F41" s="132"/>
    </row>
    <row r="42" spans="1:6" x14ac:dyDescent="0.3">
      <c r="A42" s="132" t="s">
        <v>1132</v>
      </c>
      <c r="B42" s="132" t="s">
        <v>1140</v>
      </c>
      <c r="C42" s="132" t="s">
        <v>881</v>
      </c>
      <c r="D42" s="132" t="s">
        <v>1131</v>
      </c>
      <c r="E42" s="132">
        <v>37.200000000000003</v>
      </c>
      <c r="F42" s="132"/>
    </row>
    <row r="43" spans="1:6" x14ac:dyDescent="0.3">
      <c r="A43" s="132" t="s">
        <v>1132</v>
      </c>
      <c r="B43" s="132" t="s">
        <v>1059</v>
      </c>
      <c r="C43" s="132" t="s">
        <v>879</v>
      </c>
      <c r="D43" s="132" t="s">
        <v>1131</v>
      </c>
      <c r="E43" s="132">
        <v>37.200000000000003</v>
      </c>
      <c r="F43" s="132"/>
    </row>
    <row r="44" spans="1:6" x14ac:dyDescent="0.3">
      <c r="A44" s="132" t="s">
        <v>1132</v>
      </c>
      <c r="B44" s="132" t="s">
        <v>1059</v>
      </c>
      <c r="C44" s="132" t="s">
        <v>881</v>
      </c>
      <c r="D44" s="132" t="s">
        <v>1131</v>
      </c>
      <c r="E44" s="132">
        <v>37.200000000000003</v>
      </c>
      <c r="F44" s="132"/>
    </row>
    <row r="45" spans="1:6" x14ac:dyDescent="0.3">
      <c r="A45" s="132" t="s">
        <v>1132</v>
      </c>
      <c r="B45" s="132" t="s">
        <v>1062</v>
      </c>
      <c r="C45" s="132" t="s">
        <v>879</v>
      </c>
      <c r="D45" s="132" t="s">
        <v>1131</v>
      </c>
      <c r="E45" s="132">
        <v>37.200000000000003</v>
      </c>
      <c r="F45" s="132"/>
    </row>
    <row r="46" spans="1:6" x14ac:dyDescent="0.3">
      <c r="A46" s="132" t="s">
        <v>1132</v>
      </c>
      <c r="B46" s="132" t="s">
        <v>1062</v>
      </c>
      <c r="C46" s="132" t="s">
        <v>881</v>
      </c>
      <c r="D46" s="132" t="s">
        <v>1131</v>
      </c>
      <c r="E46" s="132">
        <v>37.200000000000003</v>
      </c>
      <c r="F46" s="132"/>
    </row>
    <row r="47" spans="1:6" x14ac:dyDescent="0.3">
      <c r="A47" s="132" t="s">
        <v>1141</v>
      </c>
      <c r="B47" s="132" t="s">
        <v>1092</v>
      </c>
      <c r="C47" s="132" t="s">
        <v>879</v>
      </c>
      <c r="D47" s="132" t="s">
        <v>1133</v>
      </c>
      <c r="E47" s="132">
        <v>23.5</v>
      </c>
      <c r="F47" s="132"/>
    </row>
    <row r="48" spans="1:6" x14ac:dyDescent="0.3">
      <c r="A48" s="132" t="s">
        <v>1141</v>
      </c>
      <c r="B48" s="132" t="s">
        <v>1092</v>
      </c>
      <c r="C48" s="132" t="s">
        <v>881</v>
      </c>
      <c r="D48" s="132" t="s">
        <v>1133</v>
      </c>
      <c r="E48" s="132">
        <v>23.5</v>
      </c>
      <c r="F48" s="132"/>
    </row>
    <row r="49" spans="1:6" x14ac:dyDescent="0.3">
      <c r="A49" s="132" t="s">
        <v>1141</v>
      </c>
      <c r="B49" s="132" t="s">
        <v>1143</v>
      </c>
      <c r="C49" s="132" t="s">
        <v>879</v>
      </c>
      <c r="D49" s="132" t="s">
        <v>1133</v>
      </c>
      <c r="E49" s="132">
        <v>23.5</v>
      </c>
      <c r="F49" s="132"/>
    </row>
    <row r="50" spans="1:6" x14ac:dyDescent="0.3">
      <c r="A50" s="132" t="s">
        <v>1141</v>
      </c>
      <c r="B50" s="132" t="s">
        <v>1143</v>
      </c>
      <c r="C50" s="132" t="s">
        <v>881</v>
      </c>
      <c r="D50" s="132" t="s">
        <v>1133</v>
      </c>
      <c r="E50" s="132">
        <v>23.5</v>
      </c>
      <c r="F50" s="132"/>
    </row>
    <row r="51" spans="1:6" x14ac:dyDescent="0.3">
      <c r="A51" s="132" t="s">
        <v>1141</v>
      </c>
      <c r="B51" s="132" t="s">
        <v>1146</v>
      </c>
      <c r="C51" s="132" t="s">
        <v>879</v>
      </c>
      <c r="D51" s="132" t="s">
        <v>1133</v>
      </c>
      <c r="E51" s="132">
        <v>23.5</v>
      </c>
      <c r="F51" s="132"/>
    </row>
    <row r="52" spans="1:6" x14ac:dyDescent="0.3">
      <c r="A52" s="132" t="s">
        <v>1141</v>
      </c>
      <c r="B52" s="132" t="s">
        <v>1146</v>
      </c>
      <c r="C52" s="132" t="s">
        <v>881</v>
      </c>
      <c r="D52" s="132" t="s">
        <v>1133</v>
      </c>
      <c r="E52" s="132">
        <v>23.5</v>
      </c>
      <c r="F52" s="132"/>
    </row>
    <row r="53" spans="1:6" x14ac:dyDescent="0.3">
      <c r="A53" s="132" t="s">
        <v>1141</v>
      </c>
      <c r="B53" s="132" t="s">
        <v>1147</v>
      </c>
      <c r="C53" s="132" t="s">
        <v>879</v>
      </c>
      <c r="D53" s="132" t="s">
        <v>1133</v>
      </c>
      <c r="E53" s="132">
        <v>23.5</v>
      </c>
      <c r="F53" s="132"/>
    </row>
    <row r="54" spans="1:6" x14ac:dyDescent="0.3">
      <c r="A54" s="132" t="s">
        <v>1141</v>
      </c>
      <c r="B54" s="132" t="s">
        <v>1147</v>
      </c>
      <c r="C54" s="132" t="s">
        <v>881</v>
      </c>
      <c r="D54" s="132" t="s">
        <v>1133</v>
      </c>
      <c r="E54" s="132">
        <v>23.5</v>
      </c>
      <c r="F54" s="132"/>
    </row>
    <row r="55" spans="1:6" x14ac:dyDescent="0.3">
      <c r="A55" s="132" t="s">
        <v>1141</v>
      </c>
      <c r="B55" s="132" t="s">
        <v>1031</v>
      </c>
      <c r="C55" s="132" t="s">
        <v>879</v>
      </c>
      <c r="D55" s="132" t="s">
        <v>1133</v>
      </c>
      <c r="E55" s="132">
        <v>23.5</v>
      </c>
      <c r="F55" s="132"/>
    </row>
    <row r="56" spans="1:6" x14ac:dyDescent="0.3">
      <c r="A56" s="132" t="s">
        <v>1141</v>
      </c>
      <c r="B56" s="132" t="s">
        <v>1031</v>
      </c>
      <c r="C56" s="132" t="s">
        <v>881</v>
      </c>
      <c r="D56" s="132" t="s">
        <v>1133</v>
      </c>
      <c r="E56" s="132">
        <v>23.5</v>
      </c>
      <c r="F56" s="132"/>
    </row>
    <row r="57" spans="1:6" x14ac:dyDescent="0.3">
      <c r="A57" s="132" t="s">
        <v>1167</v>
      </c>
      <c r="B57" s="132" t="s">
        <v>1062</v>
      </c>
      <c r="C57" s="132" t="s">
        <v>879</v>
      </c>
      <c r="D57" s="132" t="s">
        <v>1174</v>
      </c>
      <c r="E57" s="132">
        <v>13.87</v>
      </c>
      <c r="F57" s="132"/>
    </row>
    <row r="58" spans="1:6" x14ac:dyDescent="0.3">
      <c r="A58" s="132" t="s">
        <v>1167</v>
      </c>
      <c r="B58" s="132" t="s">
        <v>1062</v>
      </c>
      <c r="C58" s="132" t="s">
        <v>881</v>
      </c>
      <c r="D58" s="132" t="s">
        <v>1174</v>
      </c>
      <c r="E58" s="132">
        <v>13.87</v>
      </c>
      <c r="F58" s="132"/>
    </row>
    <row r="59" spans="1:6" x14ac:dyDescent="0.3">
      <c r="A59" s="132" t="s">
        <v>1176</v>
      </c>
      <c r="B59" s="132" t="s">
        <v>1150</v>
      </c>
      <c r="C59" s="132" t="s">
        <v>879</v>
      </c>
      <c r="D59" s="132" t="s">
        <v>1180</v>
      </c>
      <c r="E59" s="132">
        <v>90</v>
      </c>
      <c r="F59" s="132"/>
    </row>
    <row r="60" spans="1:6" x14ac:dyDescent="0.3">
      <c r="A60" s="132" t="s">
        <v>1176</v>
      </c>
      <c r="B60" s="132" t="s">
        <v>1150</v>
      </c>
      <c r="C60" s="132" t="s">
        <v>881</v>
      </c>
      <c r="D60" s="132" t="s">
        <v>1180</v>
      </c>
      <c r="E60" s="132">
        <v>90</v>
      </c>
      <c r="F60" s="132"/>
    </row>
    <row r="61" spans="1:6" x14ac:dyDescent="0.3">
      <c r="A61" s="132" t="s">
        <v>1176</v>
      </c>
      <c r="B61" s="132" t="s">
        <v>1153</v>
      </c>
      <c r="C61" s="132" t="s">
        <v>879</v>
      </c>
      <c r="D61" s="132" t="s">
        <v>1177</v>
      </c>
      <c r="E61" s="132">
        <v>110</v>
      </c>
      <c r="F61" s="132"/>
    </row>
    <row r="62" spans="1:6" x14ac:dyDescent="0.3">
      <c r="A62" s="132" t="s">
        <v>1176</v>
      </c>
      <c r="B62" s="132" t="s">
        <v>1153</v>
      </c>
      <c r="C62" s="132" t="s">
        <v>881</v>
      </c>
      <c r="D62" s="132" t="s">
        <v>1177</v>
      </c>
      <c r="E62" s="132">
        <v>110</v>
      </c>
      <c r="F62" s="132"/>
    </row>
    <row r="63" spans="1:6" x14ac:dyDescent="0.3">
      <c r="A63" s="132" t="s">
        <v>1188</v>
      </c>
      <c r="B63" s="132" t="s">
        <v>1153</v>
      </c>
      <c r="C63" s="132" t="s">
        <v>879</v>
      </c>
      <c r="D63" s="132" t="s">
        <v>1193</v>
      </c>
      <c r="E63" s="132">
        <v>34</v>
      </c>
      <c r="F63" s="132"/>
    </row>
    <row r="64" spans="1:6" x14ac:dyDescent="0.3">
      <c r="A64" s="132" t="s">
        <v>1188</v>
      </c>
      <c r="B64" s="132" t="s">
        <v>1153</v>
      </c>
      <c r="C64" s="132" t="s">
        <v>881</v>
      </c>
      <c r="D64" s="132" t="s">
        <v>1193</v>
      </c>
      <c r="E64" s="132">
        <v>34</v>
      </c>
      <c r="F64" s="132"/>
    </row>
    <row r="65" spans="1:6" x14ac:dyDescent="0.3">
      <c r="A65" s="132" t="s">
        <v>1194</v>
      </c>
      <c r="B65" s="132" t="s">
        <v>1195</v>
      </c>
      <c r="C65" s="132" t="s">
        <v>879</v>
      </c>
      <c r="D65" s="132" t="s">
        <v>1200</v>
      </c>
      <c r="E65" s="132">
        <v>425</v>
      </c>
      <c r="F65" s="132"/>
    </row>
    <row r="66" spans="1:6" x14ac:dyDescent="0.3">
      <c r="A66" s="132" t="s">
        <v>1194</v>
      </c>
      <c r="B66" s="132" t="s">
        <v>1195</v>
      </c>
      <c r="C66" s="132" t="s">
        <v>881</v>
      </c>
      <c r="D66" s="132" t="s">
        <v>1200</v>
      </c>
      <c r="E66" s="132">
        <v>425</v>
      </c>
      <c r="F66" s="132"/>
    </row>
    <row r="67" spans="1:6" x14ac:dyDescent="0.3">
      <c r="A67" s="132" t="s">
        <v>1194</v>
      </c>
      <c r="B67" s="132" t="s">
        <v>1198</v>
      </c>
      <c r="C67" s="132" t="s">
        <v>879</v>
      </c>
      <c r="D67" s="132" t="s">
        <v>1200</v>
      </c>
      <c r="E67" s="132">
        <v>425</v>
      </c>
      <c r="F67" s="132"/>
    </row>
    <row r="68" spans="1:6" x14ac:dyDescent="0.3">
      <c r="A68" s="132" t="s">
        <v>1194</v>
      </c>
      <c r="B68" s="132" t="s">
        <v>1198</v>
      </c>
      <c r="C68" s="132" t="s">
        <v>881</v>
      </c>
      <c r="D68" s="132" t="s">
        <v>1200</v>
      </c>
      <c r="E68" s="132">
        <v>425</v>
      </c>
      <c r="F68" s="132"/>
    </row>
    <row r="69" spans="1:6" x14ac:dyDescent="0.3">
      <c r="A69" s="132" t="s">
        <v>1194</v>
      </c>
      <c r="B69" s="132" t="s">
        <v>1179</v>
      </c>
      <c r="C69" s="132" t="s">
        <v>879</v>
      </c>
      <c r="D69" s="132" t="s">
        <v>1200</v>
      </c>
      <c r="E69" s="132">
        <v>425</v>
      </c>
      <c r="F69" s="132"/>
    </row>
    <row r="70" spans="1:6" x14ac:dyDescent="0.3">
      <c r="A70" s="132" t="s">
        <v>1194</v>
      </c>
      <c r="B70" s="132" t="s">
        <v>1179</v>
      </c>
      <c r="C70" s="132" t="s">
        <v>881</v>
      </c>
      <c r="D70" s="132" t="s">
        <v>1200</v>
      </c>
      <c r="E70" s="132">
        <v>425</v>
      </c>
      <c r="F70" s="132"/>
    </row>
    <row r="71" spans="1:6" x14ac:dyDescent="0.3">
      <c r="A71" s="132" t="s">
        <v>1194</v>
      </c>
      <c r="B71" s="132" t="s">
        <v>917</v>
      </c>
      <c r="C71" s="132" t="s">
        <v>879</v>
      </c>
      <c r="D71" s="132" t="s">
        <v>1200</v>
      </c>
      <c r="E71" s="132">
        <v>425</v>
      </c>
      <c r="F71" s="132"/>
    </row>
    <row r="72" spans="1:6" x14ac:dyDescent="0.3">
      <c r="A72" s="132" t="s">
        <v>1194</v>
      </c>
      <c r="B72" s="132" t="s">
        <v>917</v>
      </c>
      <c r="C72" s="132" t="s">
        <v>881</v>
      </c>
      <c r="D72" s="132" t="s">
        <v>1200</v>
      </c>
      <c r="E72" s="132">
        <v>425</v>
      </c>
      <c r="F72" s="132"/>
    </row>
    <row r="73" spans="1:6" x14ac:dyDescent="0.3">
      <c r="A73" s="132" t="s">
        <v>1194</v>
      </c>
      <c r="B73" s="132" t="s">
        <v>1203</v>
      </c>
      <c r="C73" s="132" t="s">
        <v>879</v>
      </c>
      <c r="D73" s="132" t="s">
        <v>1200</v>
      </c>
      <c r="E73" s="132">
        <v>425</v>
      </c>
      <c r="F73" s="132"/>
    </row>
    <row r="74" spans="1:6" x14ac:dyDescent="0.3">
      <c r="A74" s="132" t="s">
        <v>1194</v>
      </c>
      <c r="B74" s="132" t="s">
        <v>1203</v>
      </c>
      <c r="C74" s="132" t="s">
        <v>881</v>
      </c>
      <c r="D74" s="132" t="s">
        <v>1200</v>
      </c>
      <c r="E74" s="132">
        <v>425</v>
      </c>
      <c r="F74" s="132"/>
    </row>
    <row r="75" spans="1:6" x14ac:dyDescent="0.3">
      <c r="A75" s="132" t="s">
        <v>1194</v>
      </c>
      <c r="B75" s="132" t="s">
        <v>1204</v>
      </c>
      <c r="C75" s="132" t="s">
        <v>879</v>
      </c>
      <c r="D75" s="132" t="s">
        <v>1197</v>
      </c>
      <c r="E75" s="132">
        <v>253</v>
      </c>
      <c r="F75" s="132"/>
    </row>
    <row r="76" spans="1:6" x14ac:dyDescent="0.3">
      <c r="A76" s="132" t="s">
        <v>1194</v>
      </c>
      <c r="B76" s="132" t="s">
        <v>1204</v>
      </c>
      <c r="C76" s="132" t="s">
        <v>881</v>
      </c>
      <c r="D76" s="132" t="s">
        <v>1197</v>
      </c>
      <c r="E76" s="132">
        <v>253</v>
      </c>
      <c r="F76" s="132"/>
    </row>
    <row r="77" spans="1:6" x14ac:dyDescent="0.3">
      <c r="A77" s="132" t="s">
        <v>1217</v>
      </c>
      <c r="B77" s="132" t="s">
        <v>1165</v>
      </c>
      <c r="C77" s="132" t="s">
        <v>879</v>
      </c>
      <c r="D77" s="132" t="s">
        <v>1216</v>
      </c>
      <c r="E77" s="132">
        <v>28</v>
      </c>
      <c r="F77" s="132"/>
    </row>
    <row r="78" spans="1:6" x14ac:dyDescent="0.3">
      <c r="A78" s="132" t="s">
        <v>1217</v>
      </c>
      <c r="B78" s="132" t="s">
        <v>1165</v>
      </c>
      <c r="C78" s="132" t="s">
        <v>881</v>
      </c>
      <c r="D78" s="132" t="s">
        <v>1216</v>
      </c>
      <c r="E78" s="132">
        <v>28</v>
      </c>
      <c r="F78" s="132"/>
    </row>
    <row r="79" spans="1:6" x14ac:dyDescent="0.3">
      <c r="A79" s="132" t="s">
        <v>1217</v>
      </c>
      <c r="B79" s="132" t="s">
        <v>1185</v>
      </c>
      <c r="C79" s="132" t="s">
        <v>879</v>
      </c>
      <c r="D79" s="132" t="s">
        <v>1216</v>
      </c>
      <c r="E79" s="132">
        <v>28</v>
      </c>
      <c r="F79" s="132"/>
    </row>
    <row r="80" spans="1:6" x14ac:dyDescent="0.3">
      <c r="A80" s="132" t="s">
        <v>1217</v>
      </c>
      <c r="B80" s="132" t="s">
        <v>1185</v>
      </c>
      <c r="C80" s="132" t="s">
        <v>881</v>
      </c>
      <c r="D80" s="132" t="s">
        <v>1216</v>
      </c>
      <c r="E80" s="132">
        <v>28</v>
      </c>
      <c r="F80" s="132"/>
    </row>
    <row r="81" spans="1:6" x14ac:dyDescent="0.3">
      <c r="A81" s="132" t="s">
        <v>1217</v>
      </c>
      <c r="B81" s="132" t="s">
        <v>1179</v>
      </c>
      <c r="C81" s="132" t="s">
        <v>879</v>
      </c>
      <c r="D81" s="132" t="s">
        <v>1216</v>
      </c>
      <c r="E81" s="132">
        <v>28</v>
      </c>
      <c r="F81" s="132"/>
    </row>
    <row r="82" spans="1:6" x14ac:dyDescent="0.3">
      <c r="A82" s="132" t="s">
        <v>1217</v>
      </c>
      <c r="B82" s="132" t="s">
        <v>1179</v>
      </c>
      <c r="C82" s="132" t="s">
        <v>881</v>
      </c>
      <c r="D82" s="132" t="s">
        <v>1216</v>
      </c>
      <c r="E82" s="132">
        <v>28</v>
      </c>
      <c r="F82" s="132"/>
    </row>
    <row r="83" spans="1:6" x14ac:dyDescent="0.3">
      <c r="A83" s="132" t="s">
        <v>1217</v>
      </c>
      <c r="B83" s="132" t="s">
        <v>1125</v>
      </c>
      <c r="C83" s="132" t="s">
        <v>879</v>
      </c>
      <c r="D83" s="132" t="s">
        <v>1216</v>
      </c>
      <c r="E83" s="132">
        <v>28</v>
      </c>
      <c r="F83" s="132"/>
    </row>
    <row r="84" spans="1:6" x14ac:dyDescent="0.3">
      <c r="A84" s="132" t="s">
        <v>1217</v>
      </c>
      <c r="B84" s="132" t="s">
        <v>1125</v>
      </c>
      <c r="C84" s="132" t="s">
        <v>881</v>
      </c>
      <c r="D84" s="132" t="s">
        <v>1216</v>
      </c>
      <c r="E84" s="132">
        <v>28</v>
      </c>
      <c r="F84" s="132"/>
    </row>
    <row r="85" spans="1:6" x14ac:dyDescent="0.3">
      <c r="A85" s="132" t="s">
        <v>1217</v>
      </c>
      <c r="B85" s="132" t="s">
        <v>1191</v>
      </c>
      <c r="C85" s="132" t="s">
        <v>879</v>
      </c>
      <c r="D85" s="132" t="s">
        <v>1216</v>
      </c>
      <c r="E85" s="132">
        <v>28</v>
      </c>
      <c r="F85" s="132"/>
    </row>
    <row r="86" spans="1:6" x14ac:dyDescent="0.3">
      <c r="A86" s="132" t="s">
        <v>1217</v>
      </c>
      <c r="B86" s="132" t="s">
        <v>1191</v>
      </c>
      <c r="C86" s="132" t="s">
        <v>881</v>
      </c>
      <c r="D86" s="132" t="s">
        <v>1216</v>
      </c>
      <c r="E86" s="132">
        <v>28</v>
      </c>
      <c r="F86" s="132"/>
    </row>
    <row r="87" spans="1:6" x14ac:dyDescent="0.3">
      <c r="A87" s="132" t="s">
        <v>1217</v>
      </c>
      <c r="B87" s="132" t="s">
        <v>1218</v>
      </c>
      <c r="C87" s="132" t="s">
        <v>879</v>
      </c>
      <c r="D87" s="132" t="s">
        <v>1216</v>
      </c>
      <c r="E87" s="132">
        <v>28</v>
      </c>
      <c r="F87" s="132"/>
    </row>
    <row r="88" spans="1:6" x14ac:dyDescent="0.3">
      <c r="A88" s="132" t="s">
        <v>1217</v>
      </c>
      <c r="B88" s="132" t="s">
        <v>1218</v>
      </c>
      <c r="C88" s="132" t="s">
        <v>881</v>
      </c>
      <c r="D88" s="132" t="s">
        <v>1216</v>
      </c>
      <c r="E88" s="132">
        <v>28</v>
      </c>
      <c r="F88" s="132"/>
    </row>
    <row r="89" spans="1:6" x14ac:dyDescent="0.3">
      <c r="A89" s="132" t="s">
        <v>1223</v>
      </c>
      <c r="B89" s="132" t="s">
        <v>1233</v>
      </c>
      <c r="C89" s="132" t="s">
        <v>879</v>
      </c>
      <c r="D89" s="132" t="s">
        <v>1236</v>
      </c>
      <c r="E89" s="132">
        <v>141.68</v>
      </c>
      <c r="F89" s="132"/>
    </row>
    <row r="90" spans="1:6" x14ac:dyDescent="0.3">
      <c r="A90" s="132" t="s">
        <v>1223</v>
      </c>
      <c r="B90" s="132" t="s">
        <v>1233</v>
      </c>
      <c r="C90" s="132" t="s">
        <v>881</v>
      </c>
      <c r="D90" s="132" t="s">
        <v>1236</v>
      </c>
      <c r="E90" s="132">
        <v>141.68</v>
      </c>
      <c r="F90" s="132"/>
    </row>
    <row r="91" spans="1:6" x14ac:dyDescent="0.3">
      <c r="A91" s="132"/>
      <c r="B91" s="132"/>
      <c r="C91" s="132"/>
      <c r="D91" s="132"/>
      <c r="E91" s="132"/>
      <c r="F91" s="132"/>
    </row>
    <row r="92" spans="1:6" x14ac:dyDescent="0.3">
      <c r="A92" s="132"/>
      <c r="B92" s="132"/>
      <c r="C92" s="132"/>
      <c r="D92" s="132"/>
      <c r="E92" s="132"/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62EE-68B1-4FF9-938C-16CDAAB2BB15}">
  <sheetPr codeName="Sheet15"/>
  <dimension ref="A5:F1000"/>
  <sheetViews>
    <sheetView workbookViewId="0">
      <selection activeCell="D5" sqref="D5:D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2" t="s">
        <v>872</v>
      </c>
      <c r="B5" s="132" t="s">
        <v>873</v>
      </c>
      <c r="C5" s="132" t="s">
        <v>882</v>
      </c>
      <c r="D5" s="132" t="s">
        <v>980</v>
      </c>
      <c r="E5" s="132">
        <v>504.44</v>
      </c>
      <c r="F5" s="132"/>
    </row>
    <row r="6" spans="1:6" x14ac:dyDescent="0.3">
      <c r="A6" s="132" t="s">
        <v>872</v>
      </c>
      <c r="B6" s="132" t="s">
        <v>873</v>
      </c>
      <c r="C6" s="132" t="s">
        <v>883</v>
      </c>
      <c r="D6" s="132" t="s">
        <v>980</v>
      </c>
      <c r="E6" s="132">
        <v>504.44</v>
      </c>
      <c r="F6" s="132"/>
    </row>
    <row r="7" spans="1:6" x14ac:dyDescent="0.3">
      <c r="A7" s="132" t="s">
        <v>872</v>
      </c>
      <c r="B7" s="132" t="s">
        <v>891</v>
      </c>
      <c r="C7" s="132" t="s">
        <v>882</v>
      </c>
      <c r="D7" s="132" t="s">
        <v>983</v>
      </c>
      <c r="E7" s="132">
        <v>504.4</v>
      </c>
      <c r="F7" s="132"/>
    </row>
    <row r="8" spans="1:6" x14ac:dyDescent="0.3">
      <c r="A8" s="132" t="s">
        <v>872</v>
      </c>
      <c r="B8" s="132" t="s">
        <v>891</v>
      </c>
      <c r="C8" s="132" t="s">
        <v>883</v>
      </c>
      <c r="D8" s="132" t="s">
        <v>983</v>
      </c>
      <c r="E8" s="132">
        <v>504.4</v>
      </c>
      <c r="F8" s="132"/>
    </row>
    <row r="9" spans="1:6" x14ac:dyDescent="0.3">
      <c r="A9" s="132" t="s">
        <v>872</v>
      </c>
      <c r="B9" s="132" t="s">
        <v>986</v>
      </c>
      <c r="C9" s="132" t="s">
        <v>882</v>
      </c>
      <c r="D9" s="132" t="s">
        <v>875</v>
      </c>
      <c r="E9" s="132">
        <v>200</v>
      </c>
      <c r="F9" s="132"/>
    </row>
    <row r="10" spans="1:6" x14ac:dyDescent="0.3">
      <c r="A10" s="132" t="s">
        <v>872</v>
      </c>
      <c r="B10" s="132" t="s">
        <v>986</v>
      </c>
      <c r="C10" s="132" t="s">
        <v>883</v>
      </c>
      <c r="D10" s="132" t="s">
        <v>875</v>
      </c>
      <c r="E10" s="132">
        <v>200</v>
      </c>
      <c r="F10" s="132"/>
    </row>
    <row r="11" spans="1:6" x14ac:dyDescent="0.3">
      <c r="A11" s="132" t="s">
        <v>872</v>
      </c>
      <c r="B11" s="132" t="s">
        <v>898</v>
      </c>
      <c r="C11" s="132" t="s">
        <v>882</v>
      </c>
      <c r="D11" s="132" t="s">
        <v>984</v>
      </c>
      <c r="E11" s="132">
        <v>208</v>
      </c>
      <c r="F11" s="132"/>
    </row>
    <row r="12" spans="1:6" x14ac:dyDescent="0.3">
      <c r="A12" s="132" t="s">
        <v>872</v>
      </c>
      <c r="B12" s="132" t="s">
        <v>898</v>
      </c>
      <c r="C12" s="132" t="s">
        <v>883</v>
      </c>
      <c r="D12" s="132" t="s">
        <v>984</v>
      </c>
      <c r="E12" s="132">
        <v>208</v>
      </c>
      <c r="F12" s="132"/>
    </row>
    <row r="13" spans="1:6" x14ac:dyDescent="0.3">
      <c r="A13" s="132" t="s">
        <v>872</v>
      </c>
      <c r="B13" s="132" t="s">
        <v>900</v>
      </c>
      <c r="C13" s="132" t="s">
        <v>882</v>
      </c>
      <c r="D13" s="132" t="s">
        <v>982</v>
      </c>
      <c r="E13" s="132">
        <v>588</v>
      </c>
      <c r="F13" s="132"/>
    </row>
    <row r="14" spans="1:6" x14ac:dyDescent="0.3">
      <c r="A14" s="132" t="s">
        <v>872</v>
      </c>
      <c r="B14" s="132" t="s">
        <v>900</v>
      </c>
      <c r="C14" s="132" t="s">
        <v>883</v>
      </c>
      <c r="D14" s="132" t="s">
        <v>982</v>
      </c>
      <c r="E14" s="132">
        <v>588</v>
      </c>
      <c r="F14" s="132"/>
    </row>
    <row r="15" spans="1:6" x14ac:dyDescent="0.3">
      <c r="A15" s="132" t="s">
        <v>872</v>
      </c>
      <c r="B15" s="132" t="s">
        <v>901</v>
      </c>
      <c r="C15" s="132" t="s">
        <v>882</v>
      </c>
      <c r="D15" s="132" t="s">
        <v>983</v>
      </c>
      <c r="E15" s="132">
        <v>504.4</v>
      </c>
      <c r="F15" s="132"/>
    </row>
    <row r="16" spans="1:6" x14ac:dyDescent="0.3">
      <c r="A16" s="132" t="s">
        <v>872</v>
      </c>
      <c r="B16" s="132" t="s">
        <v>901</v>
      </c>
      <c r="C16" s="132" t="s">
        <v>883</v>
      </c>
      <c r="D16" s="132" t="s">
        <v>983</v>
      </c>
      <c r="E16" s="132">
        <v>504.4</v>
      </c>
      <c r="F16" s="132"/>
    </row>
    <row r="17" spans="1:6" x14ac:dyDescent="0.3">
      <c r="A17" s="132" t="s">
        <v>872</v>
      </c>
      <c r="B17" s="132" t="s">
        <v>902</v>
      </c>
      <c r="C17" s="132" t="s">
        <v>882</v>
      </c>
      <c r="D17" s="132" t="s">
        <v>981</v>
      </c>
      <c r="E17" s="132">
        <v>533</v>
      </c>
      <c r="F17" s="132"/>
    </row>
    <row r="18" spans="1:6" x14ac:dyDescent="0.3">
      <c r="A18" s="132" t="s">
        <v>872</v>
      </c>
      <c r="B18" s="132" t="s">
        <v>902</v>
      </c>
      <c r="C18" s="132" t="s">
        <v>883</v>
      </c>
      <c r="D18" s="132" t="s">
        <v>981</v>
      </c>
      <c r="E18" s="132">
        <v>533</v>
      </c>
      <c r="F18" s="132"/>
    </row>
    <row r="19" spans="1:6" x14ac:dyDescent="0.3">
      <c r="A19" s="132" t="s">
        <v>916</v>
      </c>
      <c r="B19" s="132" t="s">
        <v>905</v>
      </c>
      <c r="C19" s="132" t="s">
        <v>882</v>
      </c>
      <c r="D19" s="132" t="s">
        <v>1029</v>
      </c>
      <c r="E19" s="132">
        <v>153.9</v>
      </c>
      <c r="F19" s="132"/>
    </row>
    <row r="20" spans="1:6" x14ac:dyDescent="0.3">
      <c r="A20" s="132" t="s">
        <v>916</v>
      </c>
      <c r="B20" s="132" t="s">
        <v>905</v>
      </c>
      <c r="C20" s="132" t="s">
        <v>883</v>
      </c>
      <c r="D20" s="132" t="s">
        <v>1029</v>
      </c>
      <c r="E20" s="132">
        <v>153.9</v>
      </c>
      <c r="F20" s="132"/>
    </row>
    <row r="21" spans="1:6" x14ac:dyDescent="0.3">
      <c r="A21" s="132" t="s">
        <v>916</v>
      </c>
      <c r="B21" s="132" t="s">
        <v>1027</v>
      </c>
      <c r="C21" s="132" t="s">
        <v>882</v>
      </c>
      <c r="D21" s="132" t="s">
        <v>987</v>
      </c>
      <c r="E21" s="132">
        <v>137.69999999999999</v>
      </c>
      <c r="F21" s="132"/>
    </row>
    <row r="22" spans="1:6" x14ac:dyDescent="0.3">
      <c r="A22" s="132" t="s">
        <v>916</v>
      </c>
      <c r="B22" s="132" t="s">
        <v>1027</v>
      </c>
      <c r="C22" s="132" t="s">
        <v>883</v>
      </c>
      <c r="D22" s="132" t="s">
        <v>987</v>
      </c>
      <c r="E22" s="132">
        <v>137.69999999999999</v>
      </c>
      <c r="F22" s="132"/>
    </row>
    <row r="23" spans="1:6" x14ac:dyDescent="0.3">
      <c r="A23" s="132" t="s">
        <v>1066</v>
      </c>
      <c r="B23" s="132" t="s">
        <v>1067</v>
      </c>
      <c r="C23" s="132" t="s">
        <v>882</v>
      </c>
      <c r="D23" s="132" t="s">
        <v>1074</v>
      </c>
      <c r="E23" s="132">
        <v>637</v>
      </c>
      <c r="F23" s="132"/>
    </row>
    <row r="24" spans="1:6" x14ac:dyDescent="0.3">
      <c r="A24" s="132" t="s">
        <v>1066</v>
      </c>
      <c r="B24" s="132" t="s">
        <v>1067</v>
      </c>
      <c r="C24" s="132" t="s">
        <v>883</v>
      </c>
      <c r="D24" s="132" t="s">
        <v>1074</v>
      </c>
      <c r="E24" s="132">
        <v>637</v>
      </c>
      <c r="F24" s="132"/>
    </row>
    <row r="25" spans="1:6" x14ac:dyDescent="0.3">
      <c r="A25" s="132" t="s">
        <v>1066</v>
      </c>
      <c r="B25" s="132" t="s">
        <v>915</v>
      </c>
      <c r="C25" s="132" t="s">
        <v>882</v>
      </c>
      <c r="D25" s="132" t="s">
        <v>1065</v>
      </c>
      <c r="E25" s="132">
        <v>200.2</v>
      </c>
      <c r="F25" s="132"/>
    </row>
    <row r="26" spans="1:6" x14ac:dyDescent="0.3">
      <c r="A26" s="132" t="s">
        <v>1066</v>
      </c>
      <c r="B26" s="132" t="s">
        <v>915</v>
      </c>
      <c r="C26" s="132" t="s">
        <v>883</v>
      </c>
      <c r="D26" s="132" t="s">
        <v>1065</v>
      </c>
      <c r="E26" s="132">
        <v>200.2</v>
      </c>
      <c r="F26" s="132"/>
    </row>
    <row r="27" spans="1:6" x14ac:dyDescent="0.3">
      <c r="A27" s="132" t="s">
        <v>1066</v>
      </c>
      <c r="B27" s="132" t="s">
        <v>1038</v>
      </c>
      <c r="C27" s="132" t="s">
        <v>882</v>
      </c>
      <c r="D27" s="132" t="s">
        <v>1073</v>
      </c>
      <c r="E27" s="132">
        <v>439.4</v>
      </c>
      <c r="F27" s="132"/>
    </row>
    <row r="28" spans="1:6" x14ac:dyDescent="0.3">
      <c r="A28" s="132" t="s">
        <v>1066</v>
      </c>
      <c r="B28" s="132" t="s">
        <v>1038</v>
      </c>
      <c r="C28" s="132" t="s">
        <v>883</v>
      </c>
      <c r="D28" s="132" t="s">
        <v>1073</v>
      </c>
      <c r="E28" s="132">
        <v>439.4</v>
      </c>
      <c r="F28" s="132"/>
    </row>
    <row r="29" spans="1:6" x14ac:dyDescent="0.3">
      <c r="A29" s="132" t="s">
        <v>1066</v>
      </c>
      <c r="B29" s="132" t="s">
        <v>1041</v>
      </c>
      <c r="C29" s="132" t="s">
        <v>882</v>
      </c>
      <c r="D29" s="132" t="s">
        <v>1065</v>
      </c>
      <c r="E29" s="132">
        <v>200.2</v>
      </c>
      <c r="F29" s="132"/>
    </row>
    <row r="30" spans="1:6" x14ac:dyDescent="0.3">
      <c r="A30" s="132" t="s">
        <v>1066</v>
      </c>
      <c r="B30" s="132" t="s">
        <v>1041</v>
      </c>
      <c r="C30" s="132" t="s">
        <v>883</v>
      </c>
      <c r="D30" s="132" t="s">
        <v>1065</v>
      </c>
      <c r="E30" s="132">
        <v>200.2</v>
      </c>
      <c r="F30" s="132"/>
    </row>
    <row r="31" spans="1:6" x14ac:dyDescent="0.3">
      <c r="A31" s="132" t="s">
        <v>1066</v>
      </c>
      <c r="B31" s="132" t="s">
        <v>1075</v>
      </c>
      <c r="C31" s="132" t="s">
        <v>882</v>
      </c>
      <c r="D31" s="132" t="s">
        <v>1065</v>
      </c>
      <c r="E31" s="132">
        <v>200.2</v>
      </c>
      <c r="F31" s="132"/>
    </row>
    <row r="32" spans="1:6" x14ac:dyDescent="0.3">
      <c r="A32" s="132" t="s">
        <v>1066</v>
      </c>
      <c r="B32" s="132" t="s">
        <v>1075</v>
      </c>
      <c r="C32" s="132" t="s">
        <v>883</v>
      </c>
      <c r="D32" s="132" t="s">
        <v>1065</v>
      </c>
      <c r="E32" s="132">
        <v>200.2</v>
      </c>
      <c r="F32" s="132"/>
    </row>
    <row r="33" spans="1:6" x14ac:dyDescent="0.3">
      <c r="A33" s="132" t="s">
        <v>1066</v>
      </c>
      <c r="B33" s="132" t="s">
        <v>909</v>
      </c>
      <c r="C33" s="132" t="s">
        <v>882</v>
      </c>
      <c r="D33" s="132" t="s">
        <v>1070</v>
      </c>
      <c r="E33" s="132">
        <v>418.6</v>
      </c>
      <c r="F33" s="132"/>
    </row>
    <row r="34" spans="1:6" x14ac:dyDescent="0.3">
      <c r="A34" s="132" t="s">
        <v>1066</v>
      </c>
      <c r="B34" s="132" t="s">
        <v>909</v>
      </c>
      <c r="C34" s="132" t="s">
        <v>883</v>
      </c>
      <c r="D34" s="132" t="s">
        <v>1070</v>
      </c>
      <c r="E34" s="132">
        <v>418.6</v>
      </c>
      <c r="F34" s="132"/>
    </row>
    <row r="35" spans="1:6" x14ac:dyDescent="0.3">
      <c r="A35" s="132" t="s">
        <v>1089</v>
      </c>
      <c r="B35" s="132" t="s">
        <v>1027</v>
      </c>
      <c r="C35" s="132" t="s">
        <v>882</v>
      </c>
      <c r="D35" s="132" t="s">
        <v>1098</v>
      </c>
      <c r="E35" s="132">
        <v>561.6</v>
      </c>
      <c r="F35" s="132"/>
    </row>
    <row r="36" spans="1:6" x14ac:dyDescent="0.3">
      <c r="A36" s="132" t="s">
        <v>1089</v>
      </c>
      <c r="B36" s="132" t="s">
        <v>1027</v>
      </c>
      <c r="C36" s="132" t="s">
        <v>883</v>
      </c>
      <c r="D36" s="132" t="s">
        <v>1098</v>
      </c>
      <c r="E36" s="132">
        <v>561.6</v>
      </c>
      <c r="F36" s="132"/>
    </row>
    <row r="37" spans="1:6" x14ac:dyDescent="0.3">
      <c r="A37" s="132" t="s">
        <v>1089</v>
      </c>
      <c r="B37" s="132" t="s">
        <v>1092</v>
      </c>
      <c r="C37" s="132" t="s">
        <v>882</v>
      </c>
      <c r="D37" s="132" t="s">
        <v>1096</v>
      </c>
      <c r="E37" s="132">
        <v>246.4</v>
      </c>
      <c r="F37" s="132"/>
    </row>
    <row r="38" spans="1:6" x14ac:dyDescent="0.3">
      <c r="A38" s="132" t="s">
        <v>1089</v>
      </c>
      <c r="B38" s="132" t="s">
        <v>1092</v>
      </c>
      <c r="C38" s="132" t="s">
        <v>883</v>
      </c>
      <c r="D38" s="132" t="s">
        <v>1096</v>
      </c>
      <c r="E38" s="132">
        <v>246.4</v>
      </c>
      <c r="F38" s="132"/>
    </row>
    <row r="39" spans="1:6" x14ac:dyDescent="0.3">
      <c r="A39" s="132" t="s">
        <v>1089</v>
      </c>
      <c r="B39" s="132" t="s">
        <v>1093</v>
      </c>
      <c r="C39" s="132" t="s">
        <v>882</v>
      </c>
      <c r="D39" s="132" t="s">
        <v>1099</v>
      </c>
      <c r="E39" s="132">
        <v>447.2</v>
      </c>
      <c r="F39" s="132"/>
    </row>
    <row r="40" spans="1:6" x14ac:dyDescent="0.3">
      <c r="A40" s="132" t="s">
        <v>1089</v>
      </c>
      <c r="B40" s="132" t="s">
        <v>1093</v>
      </c>
      <c r="C40" s="132" t="s">
        <v>883</v>
      </c>
      <c r="D40" s="132" t="s">
        <v>1099</v>
      </c>
      <c r="E40" s="132">
        <v>447.2</v>
      </c>
      <c r="F40" s="132"/>
    </row>
    <row r="41" spans="1:6" x14ac:dyDescent="0.3">
      <c r="A41" s="132" t="s">
        <v>1089</v>
      </c>
      <c r="B41" s="132" t="s">
        <v>1094</v>
      </c>
      <c r="C41" s="132" t="s">
        <v>882</v>
      </c>
      <c r="D41" s="132" t="s">
        <v>1091</v>
      </c>
      <c r="E41" s="132">
        <v>223.6</v>
      </c>
      <c r="F41" s="132"/>
    </row>
    <row r="42" spans="1:6" x14ac:dyDescent="0.3">
      <c r="A42" s="132" t="s">
        <v>1089</v>
      </c>
      <c r="B42" s="132" t="s">
        <v>1094</v>
      </c>
      <c r="C42" s="132" t="s">
        <v>883</v>
      </c>
      <c r="D42" s="132" t="s">
        <v>1091</v>
      </c>
      <c r="E42" s="132">
        <v>223.6</v>
      </c>
      <c r="F42" s="132"/>
    </row>
    <row r="43" spans="1:6" x14ac:dyDescent="0.3">
      <c r="A43" s="132" t="s">
        <v>1089</v>
      </c>
      <c r="B43" s="132" t="s">
        <v>905</v>
      </c>
      <c r="C43" s="132" t="s">
        <v>882</v>
      </c>
      <c r="D43" s="132" t="s">
        <v>1091</v>
      </c>
      <c r="E43" s="132">
        <v>223.6</v>
      </c>
      <c r="F43" s="132"/>
    </row>
    <row r="44" spans="1:6" x14ac:dyDescent="0.3">
      <c r="A44" s="132" t="s">
        <v>1089</v>
      </c>
      <c r="B44" s="132" t="s">
        <v>905</v>
      </c>
      <c r="C44" s="132" t="s">
        <v>883</v>
      </c>
      <c r="D44" s="132" t="s">
        <v>1091</v>
      </c>
      <c r="E44" s="132">
        <v>223.6</v>
      </c>
      <c r="F44" s="132"/>
    </row>
    <row r="45" spans="1:6" x14ac:dyDescent="0.3">
      <c r="A45" s="132" t="s">
        <v>1106</v>
      </c>
      <c r="B45" s="132" t="s">
        <v>1072</v>
      </c>
      <c r="C45" s="132" t="s">
        <v>882</v>
      </c>
      <c r="D45" s="132" t="s">
        <v>1111</v>
      </c>
      <c r="E45" s="132">
        <v>220</v>
      </c>
      <c r="F45" s="132"/>
    </row>
    <row r="46" spans="1:6" x14ac:dyDescent="0.3">
      <c r="A46" s="132" t="s">
        <v>1106</v>
      </c>
      <c r="B46" s="132" t="s">
        <v>1072</v>
      </c>
      <c r="C46" s="132" t="s">
        <v>883</v>
      </c>
      <c r="D46" s="132" t="s">
        <v>1111</v>
      </c>
      <c r="E46" s="132">
        <v>220</v>
      </c>
      <c r="F46" s="132"/>
    </row>
    <row r="47" spans="1:6" x14ac:dyDescent="0.3">
      <c r="A47" s="132" t="s">
        <v>1106</v>
      </c>
      <c r="B47" s="132" t="s">
        <v>1109</v>
      </c>
      <c r="C47" s="132" t="s">
        <v>882</v>
      </c>
      <c r="D47" s="132" t="s">
        <v>1118</v>
      </c>
      <c r="E47" s="132">
        <v>340.4</v>
      </c>
      <c r="F47" s="132"/>
    </row>
    <row r="48" spans="1:6" x14ac:dyDescent="0.3">
      <c r="A48" s="132" t="s">
        <v>1106</v>
      </c>
      <c r="B48" s="132" t="s">
        <v>1109</v>
      </c>
      <c r="C48" s="132" t="s">
        <v>883</v>
      </c>
      <c r="D48" s="132" t="s">
        <v>1118</v>
      </c>
      <c r="E48" s="132">
        <v>340.4</v>
      </c>
      <c r="F48" s="132"/>
    </row>
    <row r="49" spans="1:6" x14ac:dyDescent="0.3">
      <c r="A49" s="132" t="s">
        <v>1141</v>
      </c>
      <c r="B49" s="132" t="s">
        <v>1147</v>
      </c>
      <c r="C49" s="132" t="s">
        <v>882</v>
      </c>
      <c r="D49" s="132" t="s">
        <v>1144</v>
      </c>
      <c r="E49" s="132">
        <v>257.39999999999998</v>
      </c>
      <c r="F49" s="132"/>
    </row>
    <row r="50" spans="1:6" x14ac:dyDescent="0.3">
      <c r="A50" s="132" t="s">
        <v>1141</v>
      </c>
      <c r="B50" s="132" t="s">
        <v>1147</v>
      </c>
      <c r="C50" s="132" t="s">
        <v>883</v>
      </c>
      <c r="D50" s="132" t="s">
        <v>1144</v>
      </c>
      <c r="E50" s="132">
        <v>257.39999999999998</v>
      </c>
      <c r="F50" s="132"/>
    </row>
    <row r="51" spans="1:6" x14ac:dyDescent="0.3">
      <c r="A51" s="132" t="s">
        <v>1141</v>
      </c>
      <c r="B51" s="132" t="s">
        <v>1031</v>
      </c>
      <c r="C51" s="132" t="s">
        <v>882</v>
      </c>
      <c r="D51" s="132" t="s">
        <v>1144</v>
      </c>
      <c r="E51" s="132">
        <v>257.39999999999998</v>
      </c>
      <c r="F51" s="132"/>
    </row>
    <row r="52" spans="1:6" x14ac:dyDescent="0.3">
      <c r="A52" s="132" t="s">
        <v>1141</v>
      </c>
      <c r="B52" s="132" t="s">
        <v>1031</v>
      </c>
      <c r="C52" s="132" t="s">
        <v>883</v>
      </c>
      <c r="D52" s="132" t="s">
        <v>1144</v>
      </c>
      <c r="E52" s="132">
        <v>257.39999999999998</v>
      </c>
      <c r="F52" s="132"/>
    </row>
    <row r="53" spans="1:6" x14ac:dyDescent="0.3">
      <c r="A53" s="132" t="s">
        <v>1160</v>
      </c>
      <c r="B53" s="132" t="s">
        <v>1161</v>
      </c>
      <c r="C53" s="132" t="s">
        <v>882</v>
      </c>
      <c r="D53" s="132" t="s">
        <v>1163</v>
      </c>
      <c r="E53" s="132">
        <v>234</v>
      </c>
      <c r="F53" s="132"/>
    </row>
    <row r="54" spans="1:6" x14ac:dyDescent="0.3">
      <c r="A54" s="132" t="s">
        <v>1160</v>
      </c>
      <c r="B54" s="132" t="s">
        <v>1161</v>
      </c>
      <c r="C54" s="132" t="s">
        <v>883</v>
      </c>
      <c r="D54" s="132" t="s">
        <v>1163</v>
      </c>
      <c r="E54" s="132">
        <v>234</v>
      </c>
      <c r="F54" s="132"/>
    </row>
    <row r="55" spans="1:6" x14ac:dyDescent="0.3">
      <c r="A55" s="132" t="s">
        <v>1160</v>
      </c>
      <c r="B55" s="132" t="s">
        <v>1164</v>
      </c>
      <c r="C55" s="132" t="s">
        <v>882</v>
      </c>
      <c r="D55" s="132" t="s">
        <v>1163</v>
      </c>
      <c r="E55" s="132">
        <v>234</v>
      </c>
      <c r="F55" s="132"/>
    </row>
    <row r="56" spans="1:6" x14ac:dyDescent="0.3">
      <c r="A56" s="132" t="s">
        <v>1160</v>
      </c>
      <c r="B56" s="132" t="s">
        <v>1164</v>
      </c>
      <c r="C56" s="132" t="s">
        <v>883</v>
      </c>
      <c r="D56" s="132" t="s">
        <v>1163</v>
      </c>
      <c r="E56" s="132">
        <v>234</v>
      </c>
      <c r="F56" s="132"/>
    </row>
    <row r="57" spans="1:6" x14ac:dyDescent="0.3">
      <c r="A57" s="132" t="s">
        <v>1160</v>
      </c>
      <c r="B57" s="132" t="s">
        <v>1150</v>
      </c>
      <c r="C57" s="132" t="s">
        <v>882</v>
      </c>
      <c r="D57" s="132" t="s">
        <v>1163</v>
      </c>
      <c r="E57" s="132">
        <v>234</v>
      </c>
      <c r="F57" s="132"/>
    </row>
    <row r="58" spans="1:6" x14ac:dyDescent="0.3">
      <c r="A58" s="132" t="s">
        <v>1160</v>
      </c>
      <c r="B58" s="132" t="s">
        <v>1150</v>
      </c>
      <c r="C58" s="132" t="s">
        <v>883</v>
      </c>
      <c r="D58" s="132" t="s">
        <v>1163</v>
      </c>
      <c r="E58" s="132">
        <v>234</v>
      </c>
      <c r="F58" s="132"/>
    </row>
    <row r="59" spans="1:6" x14ac:dyDescent="0.3">
      <c r="A59" s="132" t="s">
        <v>1160</v>
      </c>
      <c r="B59" s="132" t="s">
        <v>1061</v>
      </c>
      <c r="C59" s="132" t="s">
        <v>882</v>
      </c>
      <c r="D59" s="132" t="s">
        <v>1163</v>
      </c>
      <c r="E59" s="132">
        <v>234</v>
      </c>
      <c r="F59" s="132"/>
    </row>
    <row r="60" spans="1:6" x14ac:dyDescent="0.3">
      <c r="A60" s="132" t="s">
        <v>1160</v>
      </c>
      <c r="B60" s="132" t="s">
        <v>1061</v>
      </c>
      <c r="C60" s="132" t="s">
        <v>883</v>
      </c>
      <c r="D60" s="132" t="s">
        <v>1163</v>
      </c>
      <c r="E60" s="132">
        <v>234</v>
      </c>
      <c r="F60" s="132"/>
    </row>
    <row r="61" spans="1:6" x14ac:dyDescent="0.3">
      <c r="A61" s="132" t="s">
        <v>1167</v>
      </c>
      <c r="B61" s="132" t="s">
        <v>1140</v>
      </c>
      <c r="C61" s="132" t="s">
        <v>882</v>
      </c>
      <c r="D61" s="132" t="s">
        <v>1169</v>
      </c>
      <c r="E61" s="132">
        <v>572</v>
      </c>
      <c r="F61" s="132"/>
    </row>
    <row r="62" spans="1:6" x14ac:dyDescent="0.3">
      <c r="A62" s="132" t="s">
        <v>1167</v>
      </c>
      <c r="B62" s="132" t="s">
        <v>1140</v>
      </c>
      <c r="C62" s="132" t="s">
        <v>883</v>
      </c>
      <c r="D62" s="132" t="s">
        <v>1169</v>
      </c>
      <c r="E62" s="132">
        <v>572</v>
      </c>
      <c r="F62" s="132"/>
    </row>
    <row r="63" spans="1:6" x14ac:dyDescent="0.3">
      <c r="A63" s="132" t="s">
        <v>1167</v>
      </c>
      <c r="B63" s="132" t="s">
        <v>1061</v>
      </c>
      <c r="C63" s="132" t="s">
        <v>882</v>
      </c>
      <c r="D63" s="132" t="s">
        <v>1173</v>
      </c>
      <c r="E63" s="132">
        <v>236.6</v>
      </c>
      <c r="F63" s="132"/>
    </row>
    <row r="64" spans="1:6" x14ac:dyDescent="0.3">
      <c r="A64" s="132" t="s">
        <v>1167</v>
      </c>
      <c r="B64" s="132" t="s">
        <v>1061</v>
      </c>
      <c r="C64" s="132" t="s">
        <v>883</v>
      </c>
      <c r="D64" s="132" t="s">
        <v>1173</v>
      </c>
      <c r="E64" s="132">
        <v>236.6</v>
      </c>
      <c r="F64" s="132"/>
    </row>
    <row r="65" spans="1:6" x14ac:dyDescent="0.3">
      <c r="A65" s="132" t="s">
        <v>1167</v>
      </c>
      <c r="B65" s="132" t="s">
        <v>1056</v>
      </c>
      <c r="C65" s="132" t="s">
        <v>882</v>
      </c>
      <c r="D65" s="132" t="s">
        <v>1168</v>
      </c>
      <c r="E65" s="132">
        <v>354.9</v>
      </c>
      <c r="F65" s="132"/>
    </row>
    <row r="66" spans="1:6" x14ac:dyDescent="0.3">
      <c r="A66" s="132" t="s">
        <v>1167</v>
      </c>
      <c r="B66" s="132" t="s">
        <v>1056</v>
      </c>
      <c r="C66" s="132" t="s">
        <v>883</v>
      </c>
      <c r="D66" s="132" t="s">
        <v>1168</v>
      </c>
      <c r="E66" s="132">
        <v>354.9</v>
      </c>
      <c r="F66" s="132"/>
    </row>
    <row r="67" spans="1:6" x14ac:dyDescent="0.3">
      <c r="A67" s="132" t="s">
        <v>1210</v>
      </c>
      <c r="B67" s="132" t="s">
        <v>1101</v>
      </c>
      <c r="C67" s="132" t="s">
        <v>882</v>
      </c>
      <c r="D67" s="132" t="s">
        <v>1163</v>
      </c>
      <c r="E67" s="132">
        <v>234</v>
      </c>
      <c r="F67" s="132"/>
    </row>
    <row r="68" spans="1:6" x14ac:dyDescent="0.3">
      <c r="A68" s="132" t="s">
        <v>1210</v>
      </c>
      <c r="B68" s="132" t="s">
        <v>1101</v>
      </c>
      <c r="C68" s="132" t="s">
        <v>883</v>
      </c>
      <c r="D68" s="132" t="s">
        <v>1163</v>
      </c>
      <c r="E68" s="132">
        <v>234</v>
      </c>
      <c r="F68" s="132"/>
    </row>
    <row r="69" spans="1:6" x14ac:dyDescent="0.3">
      <c r="A69" s="132" t="s">
        <v>1210</v>
      </c>
      <c r="B69" s="132" t="s">
        <v>1060</v>
      </c>
      <c r="C69" s="132" t="s">
        <v>882</v>
      </c>
      <c r="D69" s="132" t="s">
        <v>1213</v>
      </c>
      <c r="E69" s="132">
        <v>304.2</v>
      </c>
      <c r="F69" s="132"/>
    </row>
    <row r="70" spans="1:6" x14ac:dyDescent="0.3">
      <c r="A70" s="132" t="s">
        <v>1210</v>
      </c>
      <c r="B70" s="132" t="s">
        <v>1060</v>
      </c>
      <c r="C70" s="132" t="s">
        <v>883</v>
      </c>
      <c r="D70" s="132" t="s">
        <v>1213</v>
      </c>
      <c r="E70" s="132">
        <v>304.2</v>
      </c>
      <c r="F70" s="132"/>
    </row>
    <row r="71" spans="1:6" x14ac:dyDescent="0.3">
      <c r="A71" s="132" t="s">
        <v>1210</v>
      </c>
      <c r="B71" s="132" t="s">
        <v>1186</v>
      </c>
      <c r="C71" s="132" t="s">
        <v>882</v>
      </c>
      <c r="D71" s="132" t="s">
        <v>1215</v>
      </c>
      <c r="E71" s="132">
        <v>99</v>
      </c>
      <c r="F71" s="132"/>
    </row>
    <row r="72" spans="1:6" x14ac:dyDescent="0.3">
      <c r="A72" s="132" t="s">
        <v>1210</v>
      </c>
      <c r="B72" s="132" t="s">
        <v>1186</v>
      </c>
      <c r="C72" s="132" t="s">
        <v>883</v>
      </c>
      <c r="D72" s="132" t="s">
        <v>1215</v>
      </c>
      <c r="E72" s="132">
        <v>99</v>
      </c>
      <c r="F72" s="132"/>
    </row>
    <row r="73" spans="1:6" x14ac:dyDescent="0.3">
      <c r="A73" s="132" t="s">
        <v>1210</v>
      </c>
      <c r="B73" s="132" t="s">
        <v>1185</v>
      </c>
      <c r="C73" s="132" t="s">
        <v>882</v>
      </c>
      <c r="D73" s="132" t="s">
        <v>1213</v>
      </c>
      <c r="E73" s="132">
        <v>304.2</v>
      </c>
      <c r="F73" s="132"/>
    </row>
    <row r="74" spans="1:6" x14ac:dyDescent="0.3">
      <c r="A74" s="132" t="s">
        <v>1210</v>
      </c>
      <c r="B74" s="132" t="s">
        <v>1185</v>
      </c>
      <c r="C74" s="132" t="s">
        <v>883</v>
      </c>
      <c r="D74" s="132" t="s">
        <v>1213</v>
      </c>
      <c r="E74" s="132">
        <v>304.2</v>
      </c>
      <c r="F74" s="132"/>
    </row>
    <row r="75" spans="1:6" x14ac:dyDescent="0.3">
      <c r="A75" s="132" t="s">
        <v>1210</v>
      </c>
      <c r="B75" s="132" t="s">
        <v>1161</v>
      </c>
      <c r="C75" s="132" t="s">
        <v>882</v>
      </c>
      <c r="D75" s="132" t="s">
        <v>1211</v>
      </c>
      <c r="E75" s="132">
        <v>166</v>
      </c>
      <c r="F75" s="132"/>
    </row>
    <row r="76" spans="1:6" x14ac:dyDescent="0.3">
      <c r="A76" s="132" t="s">
        <v>1210</v>
      </c>
      <c r="B76" s="132" t="s">
        <v>1161</v>
      </c>
      <c r="C76" s="132" t="s">
        <v>883</v>
      </c>
      <c r="D76" s="132" t="s">
        <v>1211</v>
      </c>
      <c r="E76" s="132">
        <v>166</v>
      </c>
      <c r="F76" s="132"/>
    </row>
    <row r="77" spans="1:6" x14ac:dyDescent="0.3">
      <c r="A77" s="132" t="s">
        <v>1210</v>
      </c>
      <c r="B77" s="132" t="s">
        <v>1172</v>
      </c>
      <c r="C77" s="132" t="s">
        <v>882</v>
      </c>
      <c r="D77" s="132" t="s">
        <v>1213</v>
      </c>
      <c r="E77" s="132">
        <v>304.2</v>
      </c>
      <c r="F77" s="132"/>
    </row>
    <row r="78" spans="1:6" x14ac:dyDescent="0.3">
      <c r="A78" s="132" t="s">
        <v>1210</v>
      </c>
      <c r="B78" s="132" t="s">
        <v>1172</v>
      </c>
      <c r="C78" s="132" t="s">
        <v>883</v>
      </c>
      <c r="D78" s="132" t="s">
        <v>1213</v>
      </c>
      <c r="E78" s="132">
        <v>304.2</v>
      </c>
      <c r="F78" s="132"/>
    </row>
    <row r="79" spans="1:6" x14ac:dyDescent="0.3">
      <c r="A79" s="132" t="s">
        <v>1210</v>
      </c>
      <c r="B79" s="132" t="s">
        <v>1125</v>
      </c>
      <c r="C79" s="132" t="s">
        <v>882</v>
      </c>
      <c r="D79" s="132" t="s">
        <v>1208</v>
      </c>
      <c r="E79" s="132">
        <v>267.8</v>
      </c>
      <c r="F79" s="132"/>
    </row>
    <row r="80" spans="1:6" x14ac:dyDescent="0.3">
      <c r="A80" s="132" t="s">
        <v>1210</v>
      </c>
      <c r="B80" s="132" t="s">
        <v>1125</v>
      </c>
      <c r="C80" s="132" t="s">
        <v>883</v>
      </c>
      <c r="D80" s="132" t="s">
        <v>1208</v>
      </c>
      <c r="E80" s="132">
        <v>267.8</v>
      </c>
      <c r="F80" s="132"/>
    </row>
    <row r="81" spans="1:6" x14ac:dyDescent="0.3">
      <c r="A81" s="132" t="s">
        <v>1210</v>
      </c>
      <c r="B81" s="132" t="s">
        <v>1198</v>
      </c>
      <c r="C81" s="132" t="s">
        <v>882</v>
      </c>
      <c r="D81" s="132" t="s">
        <v>1070</v>
      </c>
      <c r="E81" s="132">
        <v>418.6</v>
      </c>
      <c r="F81" s="132"/>
    </row>
    <row r="82" spans="1:6" x14ac:dyDescent="0.3">
      <c r="A82" s="132" t="s">
        <v>1210</v>
      </c>
      <c r="B82" s="132" t="s">
        <v>1198</v>
      </c>
      <c r="C82" s="132" t="s">
        <v>883</v>
      </c>
      <c r="D82" s="132" t="s">
        <v>1070</v>
      </c>
      <c r="E82" s="132">
        <v>418.6</v>
      </c>
      <c r="F82" s="132"/>
    </row>
    <row r="83" spans="1:6" x14ac:dyDescent="0.3">
      <c r="A83" s="132" t="s">
        <v>1223</v>
      </c>
      <c r="B83" s="132" t="s">
        <v>1225</v>
      </c>
      <c r="C83" s="132" t="s">
        <v>882</v>
      </c>
      <c r="D83" s="132" t="s">
        <v>1226</v>
      </c>
      <c r="E83" s="132">
        <v>450</v>
      </c>
      <c r="F83" s="132"/>
    </row>
    <row r="84" spans="1:6" x14ac:dyDescent="0.3">
      <c r="A84" s="132" t="s">
        <v>1223</v>
      </c>
      <c r="B84" s="132" t="s">
        <v>1225</v>
      </c>
      <c r="C84" s="132" t="s">
        <v>883</v>
      </c>
      <c r="D84" s="132" t="s">
        <v>1226</v>
      </c>
      <c r="E84" s="132">
        <v>450</v>
      </c>
      <c r="F84" s="132"/>
    </row>
    <row r="85" spans="1:6" x14ac:dyDescent="0.3">
      <c r="A85" s="132" t="s">
        <v>1223</v>
      </c>
      <c r="B85" s="132" t="s">
        <v>1130</v>
      </c>
      <c r="C85" s="132" t="s">
        <v>882</v>
      </c>
      <c r="D85" s="132" t="s">
        <v>1234</v>
      </c>
      <c r="E85" s="132">
        <v>585</v>
      </c>
      <c r="F85" s="132"/>
    </row>
    <row r="86" spans="1:6" x14ac:dyDescent="0.3">
      <c r="A86" s="132" t="s">
        <v>1223</v>
      </c>
      <c r="B86" s="132" t="s">
        <v>1130</v>
      </c>
      <c r="C86" s="132" t="s">
        <v>883</v>
      </c>
      <c r="D86" s="132" t="s">
        <v>1234</v>
      </c>
      <c r="E86" s="132">
        <v>585</v>
      </c>
      <c r="F86" s="132"/>
    </row>
    <row r="87" spans="1:6" x14ac:dyDescent="0.3">
      <c r="A87" s="132" t="s">
        <v>1223</v>
      </c>
      <c r="B87" s="132" t="s">
        <v>1227</v>
      </c>
      <c r="C87" s="132" t="s">
        <v>882</v>
      </c>
      <c r="D87" s="132" t="s">
        <v>1226</v>
      </c>
      <c r="E87" s="132">
        <v>450</v>
      </c>
      <c r="F87" s="132"/>
    </row>
    <row r="88" spans="1:6" x14ac:dyDescent="0.3">
      <c r="A88" s="132" t="s">
        <v>1223</v>
      </c>
      <c r="B88" s="132" t="s">
        <v>1227</v>
      </c>
      <c r="C88" s="132" t="s">
        <v>883</v>
      </c>
      <c r="D88" s="132" t="s">
        <v>1226</v>
      </c>
      <c r="E88" s="132">
        <v>450</v>
      </c>
      <c r="F88" s="132"/>
    </row>
    <row r="89" spans="1:6" x14ac:dyDescent="0.3">
      <c r="A89" s="132" t="s">
        <v>1223</v>
      </c>
      <c r="B89" s="132" t="s">
        <v>1228</v>
      </c>
      <c r="C89" s="132" t="s">
        <v>882</v>
      </c>
      <c r="D89" s="132" t="s">
        <v>1226</v>
      </c>
      <c r="E89" s="132">
        <v>450</v>
      </c>
      <c r="F89" s="132"/>
    </row>
    <row r="90" spans="1:6" x14ac:dyDescent="0.3">
      <c r="A90" s="132" t="s">
        <v>1223</v>
      </c>
      <c r="B90" s="132" t="s">
        <v>1228</v>
      </c>
      <c r="C90" s="132" t="s">
        <v>883</v>
      </c>
      <c r="D90" s="132" t="s">
        <v>1226</v>
      </c>
      <c r="E90" s="132">
        <v>450</v>
      </c>
      <c r="F90" s="132"/>
    </row>
    <row r="91" spans="1:6" x14ac:dyDescent="0.3">
      <c r="A91" s="132" t="s">
        <v>1223</v>
      </c>
      <c r="B91" s="132" t="s">
        <v>1235</v>
      </c>
      <c r="C91" s="132" t="s">
        <v>882</v>
      </c>
      <c r="D91" s="132" t="s">
        <v>1231</v>
      </c>
      <c r="E91" s="132">
        <v>487.5</v>
      </c>
      <c r="F91" s="132"/>
    </row>
    <row r="92" spans="1:6" x14ac:dyDescent="0.3">
      <c r="A92" s="132" t="s">
        <v>1223</v>
      </c>
      <c r="B92" s="132" t="s">
        <v>1235</v>
      </c>
      <c r="C92" s="132" t="s">
        <v>883</v>
      </c>
      <c r="D92" s="132" t="s">
        <v>1231</v>
      </c>
      <c r="E92" s="132">
        <v>487.5</v>
      </c>
      <c r="F92" s="132"/>
    </row>
    <row r="93" spans="1:6" x14ac:dyDescent="0.3">
      <c r="A93" s="132"/>
      <c r="B93" s="132"/>
      <c r="C93" s="132"/>
      <c r="D93" s="132"/>
      <c r="E93" s="132"/>
      <c r="F93" s="132"/>
    </row>
    <row r="94" spans="1:6" x14ac:dyDescent="0.3">
      <c r="A94" s="132"/>
      <c r="B94" s="132"/>
      <c r="C94" s="132"/>
      <c r="D94" s="132"/>
      <c r="E94" s="132"/>
      <c r="F94" s="132"/>
    </row>
    <row r="95" spans="1:6" x14ac:dyDescent="0.3">
      <c r="A95" s="132"/>
      <c r="B95" s="132"/>
      <c r="C95" s="132"/>
      <c r="D95" s="132"/>
      <c r="E95" s="132"/>
      <c r="F95" s="132"/>
    </row>
    <row r="96" spans="1:6" x14ac:dyDescent="0.3">
      <c r="A96" s="132"/>
      <c r="B96" s="132"/>
      <c r="C96" s="132"/>
      <c r="D96" s="132"/>
      <c r="E96" s="132"/>
      <c r="F96" s="132"/>
    </row>
    <row r="97" spans="1:6" x14ac:dyDescent="0.3">
      <c r="A97" s="132"/>
      <c r="B97" s="132"/>
      <c r="C97" s="132"/>
      <c r="D97" s="132"/>
      <c r="E97" s="132"/>
      <c r="F97" s="132"/>
    </row>
    <row r="98" spans="1:6" x14ac:dyDescent="0.3">
      <c r="A98" s="132"/>
      <c r="B98" s="132"/>
      <c r="C98" s="132"/>
      <c r="D98" s="132"/>
      <c r="E98" s="132"/>
      <c r="F98" s="132"/>
    </row>
    <row r="99" spans="1:6" x14ac:dyDescent="0.3">
      <c r="A99" s="132"/>
      <c r="B99" s="132"/>
      <c r="C99" s="132"/>
      <c r="D99" s="132"/>
      <c r="E99" s="132"/>
      <c r="F99" s="132"/>
    </row>
    <row r="100" spans="1:6" x14ac:dyDescent="0.3">
      <c r="A100" s="132"/>
      <c r="B100" s="132"/>
      <c r="C100" s="132"/>
      <c r="D100" s="132"/>
      <c r="E100" s="132"/>
      <c r="F100" s="132"/>
    </row>
    <row r="101" spans="1:6" x14ac:dyDescent="0.3">
      <c r="A101" s="132"/>
      <c r="B101" s="132"/>
      <c r="C101" s="132"/>
      <c r="D101" s="132"/>
      <c r="E101" s="132"/>
      <c r="F101" s="132"/>
    </row>
    <row r="102" spans="1:6" x14ac:dyDescent="0.3">
      <c r="A102" s="132"/>
      <c r="B102" s="132"/>
      <c r="C102" s="132"/>
      <c r="D102" s="132"/>
      <c r="E102" s="132"/>
      <c r="F102" s="132"/>
    </row>
    <row r="103" spans="1:6" x14ac:dyDescent="0.3">
      <c r="A103" s="132"/>
      <c r="B103" s="132"/>
      <c r="C103" s="132"/>
      <c r="D103" s="132"/>
      <c r="E103" s="132"/>
      <c r="F103" s="132"/>
    </row>
    <row r="104" spans="1:6" x14ac:dyDescent="0.3">
      <c r="A104" s="132"/>
      <c r="B104" s="132"/>
      <c r="C104" s="132"/>
      <c r="D104" s="132"/>
      <c r="E104" s="132"/>
      <c r="F104" s="132"/>
    </row>
    <row r="105" spans="1:6" x14ac:dyDescent="0.3">
      <c r="A105" s="132"/>
      <c r="B105" s="132"/>
      <c r="C105" s="132"/>
      <c r="D105" s="132"/>
      <c r="E105" s="132"/>
      <c r="F105" s="132"/>
    </row>
    <row r="106" spans="1:6" x14ac:dyDescent="0.3">
      <c r="A106" s="132"/>
      <c r="B106" s="132"/>
      <c r="C106" s="132"/>
      <c r="D106" s="132"/>
      <c r="E106" s="132"/>
      <c r="F106" s="132"/>
    </row>
    <row r="107" spans="1:6" x14ac:dyDescent="0.3">
      <c r="A107" s="132"/>
      <c r="B107" s="132"/>
      <c r="C107" s="132"/>
      <c r="D107" s="132"/>
      <c r="E107" s="132"/>
      <c r="F107" s="132"/>
    </row>
    <row r="108" spans="1:6" x14ac:dyDescent="0.3">
      <c r="A108" s="132"/>
      <c r="B108" s="132"/>
      <c r="C108" s="132"/>
      <c r="D108" s="132"/>
      <c r="E108" s="132"/>
      <c r="F108" s="132"/>
    </row>
    <row r="109" spans="1:6" x14ac:dyDescent="0.3">
      <c r="A109" s="132"/>
      <c r="B109" s="132"/>
      <c r="C109" s="132"/>
      <c r="D109" s="132"/>
      <c r="E109" s="132"/>
      <c r="F109" s="132"/>
    </row>
    <row r="110" spans="1:6" x14ac:dyDescent="0.3">
      <c r="A110" s="132"/>
      <c r="B110" s="132"/>
      <c r="C110" s="132"/>
      <c r="D110" s="132"/>
      <c r="E110" s="132"/>
      <c r="F110" s="132"/>
    </row>
    <row r="111" spans="1:6" x14ac:dyDescent="0.3">
      <c r="A111" s="132"/>
      <c r="B111" s="132"/>
      <c r="C111" s="132"/>
      <c r="D111" s="132"/>
      <c r="E111" s="132"/>
      <c r="F111" s="132"/>
    </row>
    <row r="112" spans="1:6" x14ac:dyDescent="0.3">
      <c r="A112" s="132"/>
      <c r="B112" s="132"/>
      <c r="C112" s="132"/>
      <c r="D112" s="132"/>
      <c r="E112" s="132"/>
      <c r="F112" s="132"/>
    </row>
    <row r="113" spans="1:6" x14ac:dyDescent="0.3">
      <c r="A113" s="132"/>
      <c r="B113" s="132"/>
      <c r="C113" s="132"/>
      <c r="D113" s="132"/>
      <c r="E113" s="132"/>
      <c r="F113" s="132"/>
    </row>
    <row r="114" spans="1:6" x14ac:dyDescent="0.3">
      <c r="A114" s="132"/>
      <c r="B114" s="132"/>
      <c r="C114" s="132"/>
      <c r="D114" s="132"/>
      <c r="E114" s="132"/>
      <c r="F114" s="132"/>
    </row>
    <row r="115" spans="1:6" x14ac:dyDescent="0.3">
      <c r="A115" s="132"/>
      <c r="B115" s="132"/>
      <c r="C115" s="132"/>
      <c r="D115" s="132"/>
      <c r="E115" s="132"/>
      <c r="F115" s="132"/>
    </row>
    <row r="116" spans="1:6" x14ac:dyDescent="0.3">
      <c r="A116" s="132"/>
      <c r="B116" s="132"/>
      <c r="C116" s="132"/>
      <c r="D116" s="132"/>
      <c r="E116" s="132"/>
      <c r="F116" s="132"/>
    </row>
    <row r="117" spans="1:6" x14ac:dyDescent="0.3">
      <c r="A117" s="132"/>
      <c r="B117" s="132"/>
      <c r="C117" s="132"/>
      <c r="D117" s="132"/>
      <c r="E117" s="132"/>
      <c r="F117" s="132"/>
    </row>
    <row r="118" spans="1:6" x14ac:dyDescent="0.3">
      <c r="A118" s="132"/>
      <c r="B118" s="132"/>
      <c r="C118" s="132"/>
      <c r="D118" s="132"/>
      <c r="E118" s="132"/>
      <c r="F118" s="132"/>
    </row>
    <row r="119" spans="1:6" x14ac:dyDescent="0.3">
      <c r="A119" s="132"/>
      <c r="B119" s="132"/>
      <c r="C119" s="132"/>
      <c r="D119" s="132"/>
      <c r="E119" s="132"/>
      <c r="F119" s="132"/>
    </row>
    <row r="120" spans="1:6" x14ac:dyDescent="0.3">
      <c r="A120" s="132"/>
      <c r="B120" s="132"/>
      <c r="C120" s="132"/>
      <c r="D120" s="132"/>
      <c r="E120" s="132"/>
      <c r="F120" s="132"/>
    </row>
    <row r="121" spans="1:6" x14ac:dyDescent="0.3">
      <c r="A121" s="132"/>
      <c r="B121" s="132"/>
      <c r="C121" s="132"/>
      <c r="D121" s="132"/>
      <c r="E121" s="132"/>
      <c r="F121" s="132"/>
    </row>
    <row r="122" spans="1:6" x14ac:dyDescent="0.3">
      <c r="A122" s="132"/>
      <c r="B122" s="132"/>
      <c r="C122" s="132"/>
      <c r="D122" s="132"/>
      <c r="E122" s="132"/>
      <c r="F122" s="132"/>
    </row>
    <row r="123" spans="1:6" x14ac:dyDescent="0.3">
      <c r="A123" s="132"/>
      <c r="B123" s="132"/>
      <c r="C123" s="132"/>
      <c r="D123" s="132"/>
      <c r="E123" s="132"/>
      <c r="F123" s="132"/>
    </row>
    <row r="124" spans="1:6" x14ac:dyDescent="0.3">
      <c r="A124" s="132"/>
      <c r="B124" s="132"/>
      <c r="C124" s="132"/>
      <c r="D124" s="132"/>
      <c r="E124" s="132"/>
      <c r="F124" s="132"/>
    </row>
    <row r="125" spans="1:6" x14ac:dyDescent="0.3">
      <c r="A125" s="132"/>
      <c r="B125" s="132"/>
      <c r="C125" s="132"/>
      <c r="D125" s="132"/>
      <c r="E125" s="132"/>
      <c r="F125" s="132"/>
    </row>
    <row r="126" spans="1:6" x14ac:dyDescent="0.3">
      <c r="A126" s="132"/>
      <c r="B126" s="132"/>
      <c r="C126" s="132"/>
      <c r="D126" s="132"/>
      <c r="E126" s="132"/>
      <c r="F126" s="132"/>
    </row>
    <row r="127" spans="1:6" x14ac:dyDescent="0.3">
      <c r="A127" s="132"/>
      <c r="B127" s="132"/>
      <c r="C127" s="132"/>
      <c r="D127" s="132"/>
      <c r="E127" s="132"/>
      <c r="F127" s="132"/>
    </row>
    <row r="128" spans="1:6" x14ac:dyDescent="0.3">
      <c r="A128" s="132"/>
      <c r="B128" s="132"/>
      <c r="C128" s="132"/>
      <c r="D128" s="132"/>
      <c r="E128" s="132"/>
      <c r="F128" s="132"/>
    </row>
    <row r="129" spans="1:6" x14ac:dyDescent="0.3">
      <c r="A129" s="132"/>
      <c r="B129" s="132"/>
      <c r="C129" s="132"/>
      <c r="D129" s="132"/>
      <c r="E129" s="132"/>
      <c r="F129" s="132"/>
    </row>
    <row r="130" spans="1:6" x14ac:dyDescent="0.3">
      <c r="A130" s="132"/>
      <c r="B130" s="132"/>
      <c r="C130" s="132"/>
      <c r="D130" s="132"/>
      <c r="E130" s="132"/>
      <c r="F130" s="132"/>
    </row>
    <row r="131" spans="1:6" x14ac:dyDescent="0.3">
      <c r="A131" s="132"/>
      <c r="B131" s="132"/>
      <c r="C131" s="132"/>
      <c r="D131" s="132"/>
      <c r="E131" s="132"/>
      <c r="F131" s="132"/>
    </row>
    <row r="132" spans="1:6" x14ac:dyDescent="0.3">
      <c r="A132" s="132"/>
      <c r="B132" s="132"/>
      <c r="C132" s="132"/>
      <c r="D132" s="132"/>
      <c r="E132" s="132"/>
      <c r="F132" s="132"/>
    </row>
    <row r="133" spans="1:6" x14ac:dyDescent="0.3">
      <c r="A133" s="132"/>
      <c r="B133" s="132"/>
      <c r="C133" s="132"/>
      <c r="D133" s="132"/>
      <c r="E133" s="132"/>
      <c r="F133" s="132"/>
    </row>
    <row r="134" spans="1:6" x14ac:dyDescent="0.3">
      <c r="A134" s="132"/>
      <c r="B134" s="132"/>
      <c r="C134" s="132"/>
      <c r="D134" s="132"/>
      <c r="E134" s="132"/>
      <c r="F134" s="132"/>
    </row>
    <row r="135" spans="1:6" x14ac:dyDescent="0.3">
      <c r="A135" s="132"/>
      <c r="B135" s="132"/>
      <c r="C135" s="132"/>
      <c r="D135" s="132"/>
      <c r="E135" s="132"/>
      <c r="F135" s="132"/>
    </row>
    <row r="136" spans="1:6" x14ac:dyDescent="0.3">
      <c r="A136" s="132"/>
      <c r="B136" s="132"/>
      <c r="C136" s="132"/>
      <c r="D136" s="132"/>
      <c r="E136" s="132"/>
      <c r="F136" s="132"/>
    </row>
    <row r="137" spans="1:6" x14ac:dyDescent="0.3">
      <c r="A137" s="132"/>
      <c r="B137" s="132"/>
      <c r="C137" s="132"/>
      <c r="D137" s="132"/>
      <c r="E137" s="132"/>
      <c r="F137" s="132"/>
    </row>
    <row r="138" spans="1:6" x14ac:dyDescent="0.3">
      <c r="A138" s="132"/>
      <c r="B138" s="132"/>
      <c r="C138" s="132"/>
      <c r="D138" s="132"/>
      <c r="E138" s="132"/>
      <c r="F138" s="132"/>
    </row>
    <row r="139" spans="1:6" x14ac:dyDescent="0.3">
      <c r="A139" s="132"/>
      <c r="B139" s="132"/>
      <c r="C139" s="132"/>
      <c r="D139" s="132"/>
      <c r="E139" s="132"/>
      <c r="F139" s="132"/>
    </row>
    <row r="140" spans="1:6" x14ac:dyDescent="0.3">
      <c r="A140" s="132"/>
      <c r="B140" s="132"/>
      <c r="C140" s="132"/>
      <c r="D140" s="132"/>
      <c r="E140" s="132"/>
      <c r="F140" s="132"/>
    </row>
    <row r="141" spans="1:6" x14ac:dyDescent="0.3">
      <c r="A141" s="132"/>
      <c r="B141" s="132"/>
      <c r="C141" s="132"/>
      <c r="D141" s="132"/>
      <c r="E141" s="132"/>
      <c r="F141" s="132"/>
    </row>
    <row r="142" spans="1:6" x14ac:dyDescent="0.3">
      <c r="A142" s="132"/>
      <c r="B142" s="132"/>
      <c r="C142" s="132"/>
      <c r="D142" s="132"/>
      <c r="E142" s="132"/>
      <c r="F142" s="132"/>
    </row>
    <row r="143" spans="1:6" x14ac:dyDescent="0.3">
      <c r="A143" s="132"/>
      <c r="B143" s="132"/>
      <c r="C143" s="132"/>
      <c r="D143" s="132"/>
      <c r="E143" s="132"/>
      <c r="F143" s="132"/>
    </row>
    <row r="144" spans="1:6" x14ac:dyDescent="0.3">
      <c r="A144" s="132"/>
      <c r="B144" s="132"/>
      <c r="C144" s="132"/>
      <c r="D144" s="132"/>
      <c r="E144" s="132"/>
      <c r="F144" s="132"/>
    </row>
    <row r="145" spans="1:6" x14ac:dyDescent="0.3">
      <c r="A145" s="132"/>
      <c r="B145" s="132"/>
      <c r="C145" s="132"/>
      <c r="D145" s="132"/>
      <c r="E145" s="132"/>
      <c r="F145" s="132"/>
    </row>
    <row r="146" spans="1:6" x14ac:dyDescent="0.3">
      <c r="A146" s="132"/>
      <c r="B146" s="132"/>
      <c r="C146" s="132"/>
      <c r="D146" s="132"/>
      <c r="E146" s="132"/>
      <c r="F146" s="132"/>
    </row>
    <row r="147" spans="1:6" x14ac:dyDescent="0.3">
      <c r="A147" s="132"/>
      <c r="B147" s="132"/>
      <c r="C147" s="132"/>
      <c r="D147" s="132"/>
      <c r="E147" s="132"/>
      <c r="F147" s="132"/>
    </row>
    <row r="148" spans="1:6" x14ac:dyDescent="0.3">
      <c r="A148" s="132"/>
      <c r="B148" s="132"/>
      <c r="C148" s="132"/>
      <c r="D148" s="132"/>
      <c r="E148" s="132"/>
      <c r="F148" s="132"/>
    </row>
    <row r="149" spans="1:6" x14ac:dyDescent="0.3">
      <c r="A149" s="132"/>
      <c r="B149" s="132"/>
      <c r="C149" s="132"/>
      <c r="D149" s="132"/>
      <c r="E149" s="132"/>
      <c r="F149" s="132"/>
    </row>
    <row r="150" spans="1:6" x14ac:dyDescent="0.3">
      <c r="A150" s="132"/>
      <c r="B150" s="132"/>
      <c r="C150" s="132"/>
      <c r="D150" s="132"/>
      <c r="E150" s="132"/>
      <c r="F150" s="132"/>
    </row>
    <row r="151" spans="1:6" x14ac:dyDescent="0.3">
      <c r="A151" s="132"/>
      <c r="B151" s="132"/>
      <c r="C151" s="132"/>
      <c r="D151" s="132"/>
      <c r="E151" s="132"/>
      <c r="F151" s="132"/>
    </row>
    <row r="152" spans="1:6" x14ac:dyDescent="0.3">
      <c r="A152" s="132"/>
      <c r="B152" s="132"/>
      <c r="C152" s="132"/>
      <c r="D152" s="132"/>
      <c r="E152" s="132"/>
      <c r="F152" s="132"/>
    </row>
    <row r="153" spans="1:6" x14ac:dyDescent="0.3">
      <c r="A153" s="132"/>
      <c r="B153" s="132"/>
      <c r="C153" s="132"/>
      <c r="D153" s="132"/>
      <c r="E153" s="132"/>
      <c r="F153" s="132"/>
    </row>
    <row r="154" spans="1:6" x14ac:dyDescent="0.3">
      <c r="A154" s="132"/>
      <c r="B154" s="132"/>
      <c r="C154" s="132"/>
      <c r="D154" s="132"/>
      <c r="E154" s="132"/>
      <c r="F154" s="132"/>
    </row>
    <row r="155" spans="1:6" x14ac:dyDescent="0.3">
      <c r="A155" s="132"/>
      <c r="B155" s="132"/>
      <c r="C155" s="132"/>
      <c r="D155" s="132"/>
      <c r="E155" s="132"/>
      <c r="F155" s="132"/>
    </row>
    <row r="156" spans="1:6" x14ac:dyDescent="0.3">
      <c r="A156" s="132"/>
      <c r="B156" s="132"/>
      <c r="C156" s="132"/>
      <c r="D156" s="132"/>
      <c r="E156" s="132"/>
      <c r="F156" s="132"/>
    </row>
    <row r="157" spans="1:6" x14ac:dyDescent="0.3">
      <c r="A157" s="132"/>
      <c r="B157" s="132"/>
      <c r="C157" s="132"/>
      <c r="D157" s="132"/>
      <c r="E157" s="132"/>
      <c r="F157" s="132"/>
    </row>
    <row r="158" spans="1:6" x14ac:dyDescent="0.3">
      <c r="A158" s="132"/>
      <c r="B158" s="132"/>
      <c r="C158" s="132"/>
      <c r="D158" s="132"/>
      <c r="E158" s="132"/>
      <c r="F158" s="132"/>
    </row>
    <row r="159" spans="1:6" x14ac:dyDescent="0.3">
      <c r="A159" s="132"/>
      <c r="B159" s="132"/>
      <c r="C159" s="132"/>
      <c r="D159" s="132"/>
      <c r="E159" s="132"/>
      <c r="F159" s="132"/>
    </row>
    <row r="160" spans="1:6" x14ac:dyDescent="0.3">
      <c r="A160" s="132"/>
      <c r="B160" s="132"/>
      <c r="C160" s="132"/>
      <c r="D160" s="132"/>
      <c r="E160" s="132"/>
      <c r="F160" s="132"/>
    </row>
    <row r="161" spans="1:6" x14ac:dyDescent="0.3">
      <c r="A161" s="132"/>
      <c r="B161" s="132"/>
      <c r="C161" s="132"/>
      <c r="D161" s="132"/>
      <c r="E161" s="132"/>
      <c r="F161" s="132"/>
    </row>
    <row r="162" spans="1:6" x14ac:dyDescent="0.3">
      <c r="A162" s="132"/>
      <c r="B162" s="132"/>
      <c r="C162" s="132"/>
      <c r="D162" s="132"/>
      <c r="E162" s="132"/>
      <c r="F162" s="132"/>
    </row>
    <row r="163" spans="1:6" x14ac:dyDescent="0.3">
      <c r="A163" s="132"/>
      <c r="B163" s="132"/>
      <c r="C163" s="132"/>
      <c r="D163" s="132"/>
      <c r="E163" s="132"/>
      <c r="F163" s="132"/>
    </row>
    <row r="164" spans="1:6" x14ac:dyDescent="0.3">
      <c r="A164" s="132"/>
      <c r="B164" s="132"/>
      <c r="C164" s="132"/>
      <c r="D164" s="132"/>
      <c r="E164" s="132"/>
      <c r="F164" s="132"/>
    </row>
    <row r="165" spans="1:6" x14ac:dyDescent="0.3">
      <c r="A165" s="132"/>
      <c r="B165" s="132"/>
      <c r="C165" s="132"/>
      <c r="D165" s="132"/>
      <c r="E165" s="132"/>
      <c r="F165" s="132"/>
    </row>
    <row r="166" spans="1:6" x14ac:dyDescent="0.3">
      <c r="A166" s="132"/>
      <c r="B166" s="132"/>
      <c r="C166" s="132"/>
      <c r="D166" s="132"/>
      <c r="E166" s="132"/>
      <c r="F166" s="132"/>
    </row>
    <row r="167" spans="1:6" x14ac:dyDescent="0.3">
      <c r="A167" s="132"/>
      <c r="B167" s="132"/>
      <c r="C167" s="132"/>
      <c r="D167" s="132"/>
      <c r="E167" s="132"/>
      <c r="F167" s="132"/>
    </row>
    <row r="168" spans="1:6" x14ac:dyDescent="0.3">
      <c r="A168" s="132"/>
      <c r="B168" s="132"/>
      <c r="C168" s="132"/>
      <c r="D168" s="132"/>
      <c r="E168" s="132"/>
      <c r="F168" s="132"/>
    </row>
    <row r="169" spans="1:6" x14ac:dyDescent="0.3">
      <c r="A169" s="132"/>
      <c r="B169" s="132"/>
      <c r="C169" s="132"/>
      <c r="D169" s="132"/>
      <c r="E169" s="132"/>
      <c r="F169" s="132"/>
    </row>
    <row r="170" spans="1:6" x14ac:dyDescent="0.3">
      <c r="A170" s="132"/>
      <c r="B170" s="132"/>
      <c r="C170" s="132"/>
      <c r="D170" s="132"/>
      <c r="E170" s="132"/>
      <c r="F170" s="132"/>
    </row>
    <row r="171" spans="1:6" x14ac:dyDescent="0.3">
      <c r="A171" s="132"/>
      <c r="B171" s="132"/>
      <c r="C171" s="132"/>
      <c r="D171" s="132"/>
      <c r="E171" s="132"/>
      <c r="F171" s="132"/>
    </row>
    <row r="172" spans="1:6" x14ac:dyDescent="0.3">
      <c r="A172" s="132"/>
      <c r="B172" s="132"/>
      <c r="C172" s="132"/>
      <c r="D172" s="132"/>
      <c r="E172" s="132"/>
      <c r="F172" s="132"/>
    </row>
    <row r="173" spans="1:6" x14ac:dyDescent="0.3">
      <c r="A173" s="132"/>
      <c r="B173" s="132"/>
      <c r="C173" s="132"/>
      <c r="D173" s="132"/>
      <c r="E173" s="132"/>
      <c r="F173" s="132"/>
    </row>
    <row r="174" spans="1:6" x14ac:dyDescent="0.3">
      <c r="A174" s="132"/>
      <c r="B174" s="132"/>
      <c r="C174" s="132"/>
      <c r="D174" s="132"/>
      <c r="E174" s="132"/>
      <c r="F174" s="132"/>
    </row>
    <row r="175" spans="1:6" x14ac:dyDescent="0.3">
      <c r="A175" s="132"/>
      <c r="B175" s="132"/>
      <c r="C175" s="132"/>
      <c r="D175" s="132"/>
      <c r="E175" s="132"/>
      <c r="F175" s="132"/>
    </row>
    <row r="176" spans="1:6" x14ac:dyDescent="0.3">
      <c r="A176" s="132"/>
      <c r="B176" s="132"/>
      <c r="C176" s="132"/>
      <c r="D176" s="132"/>
      <c r="E176" s="132"/>
      <c r="F176" s="132"/>
    </row>
    <row r="177" spans="1:6" x14ac:dyDescent="0.3">
      <c r="A177" s="132"/>
      <c r="B177" s="132"/>
      <c r="C177" s="132"/>
      <c r="D177" s="132"/>
      <c r="E177" s="132"/>
      <c r="F177" s="132"/>
    </row>
    <row r="178" spans="1:6" x14ac:dyDescent="0.3">
      <c r="A178" s="132"/>
      <c r="B178" s="132"/>
      <c r="C178" s="132"/>
      <c r="D178" s="132"/>
      <c r="E178" s="132"/>
      <c r="F178" s="132"/>
    </row>
    <row r="179" spans="1:6" x14ac:dyDescent="0.3">
      <c r="A179" s="132"/>
      <c r="B179" s="132"/>
      <c r="C179" s="132"/>
      <c r="D179" s="132"/>
      <c r="E179" s="132"/>
      <c r="F179" s="132"/>
    </row>
    <row r="180" spans="1:6" x14ac:dyDescent="0.3">
      <c r="A180" s="132"/>
      <c r="B180" s="132"/>
      <c r="C180" s="132"/>
      <c r="D180" s="132"/>
      <c r="E180" s="132"/>
      <c r="F180" s="132"/>
    </row>
    <row r="181" spans="1:6" x14ac:dyDescent="0.3">
      <c r="A181" s="132"/>
      <c r="B181" s="132"/>
      <c r="C181" s="132"/>
      <c r="D181" s="132"/>
      <c r="E181" s="132"/>
      <c r="F181" s="132"/>
    </row>
    <row r="182" spans="1:6" x14ac:dyDescent="0.3">
      <c r="A182" s="132"/>
      <c r="B182" s="132"/>
      <c r="C182" s="132"/>
      <c r="D182" s="132"/>
      <c r="E182" s="132"/>
      <c r="F182" s="132"/>
    </row>
    <row r="183" spans="1:6" x14ac:dyDescent="0.3">
      <c r="A183" s="132"/>
      <c r="B183" s="132"/>
      <c r="C183" s="132"/>
      <c r="D183" s="132"/>
      <c r="E183" s="132"/>
      <c r="F183" s="132"/>
    </row>
    <row r="184" spans="1:6" x14ac:dyDescent="0.3">
      <c r="A184" s="132"/>
      <c r="B184" s="132"/>
      <c r="C184" s="132"/>
      <c r="D184" s="132"/>
      <c r="E184" s="132"/>
      <c r="F184" s="132"/>
    </row>
    <row r="185" spans="1:6" x14ac:dyDescent="0.3">
      <c r="A185" s="132"/>
      <c r="B185" s="132"/>
      <c r="C185" s="132"/>
      <c r="D185" s="132"/>
      <c r="E185" s="132"/>
      <c r="F185" s="132"/>
    </row>
    <row r="186" spans="1:6" x14ac:dyDescent="0.3">
      <c r="A186" s="132"/>
      <c r="B186" s="132"/>
      <c r="C186" s="132"/>
      <c r="D186" s="132"/>
      <c r="E186" s="132"/>
      <c r="F186" s="132"/>
    </row>
    <row r="187" spans="1:6" x14ac:dyDescent="0.3">
      <c r="A187" s="132"/>
      <c r="B187" s="132"/>
      <c r="C187" s="132"/>
      <c r="D187" s="132"/>
      <c r="E187" s="132"/>
      <c r="F187" s="132"/>
    </row>
    <row r="188" spans="1:6" x14ac:dyDescent="0.3">
      <c r="A188" s="132"/>
      <c r="B188" s="132"/>
      <c r="C188" s="132"/>
      <c r="D188" s="132"/>
      <c r="E188" s="132"/>
      <c r="F188" s="132"/>
    </row>
    <row r="189" spans="1:6" x14ac:dyDescent="0.3">
      <c r="A189" s="132"/>
      <c r="B189" s="132"/>
      <c r="C189" s="132"/>
      <c r="D189" s="132"/>
      <c r="E189" s="132"/>
      <c r="F189" s="132"/>
    </row>
    <row r="190" spans="1:6" x14ac:dyDescent="0.3">
      <c r="A190" s="132"/>
      <c r="B190" s="132"/>
      <c r="C190" s="132"/>
      <c r="D190" s="132"/>
      <c r="E190" s="132"/>
      <c r="F190" s="132"/>
    </row>
    <row r="191" spans="1:6" x14ac:dyDescent="0.3">
      <c r="A191" s="132"/>
      <c r="B191" s="132"/>
      <c r="C191" s="132"/>
      <c r="D191" s="132"/>
      <c r="E191" s="132"/>
      <c r="F191" s="132"/>
    </row>
    <row r="192" spans="1:6" x14ac:dyDescent="0.3">
      <c r="A192" s="132"/>
      <c r="B192" s="132"/>
      <c r="C192" s="132"/>
      <c r="D192" s="132"/>
      <c r="E192" s="132"/>
      <c r="F192" s="132"/>
    </row>
    <row r="193" spans="1:6" x14ac:dyDescent="0.3">
      <c r="A193" s="132"/>
      <c r="B193" s="132"/>
      <c r="C193" s="132"/>
      <c r="D193" s="132"/>
      <c r="E193" s="132"/>
      <c r="F193" s="132"/>
    </row>
    <row r="194" spans="1:6" x14ac:dyDescent="0.3">
      <c r="A194" s="132"/>
      <c r="B194" s="132"/>
      <c r="C194" s="132"/>
      <c r="D194" s="132"/>
      <c r="E194" s="132"/>
      <c r="F194" s="132"/>
    </row>
    <row r="195" spans="1:6" x14ac:dyDescent="0.3">
      <c r="A195" s="132"/>
      <c r="B195" s="132"/>
      <c r="C195" s="132"/>
      <c r="D195" s="132"/>
      <c r="E195" s="132"/>
      <c r="F195" s="132"/>
    </row>
    <row r="196" spans="1:6" x14ac:dyDescent="0.3">
      <c r="A196" s="132"/>
      <c r="B196" s="132"/>
      <c r="C196" s="132"/>
      <c r="D196" s="132"/>
      <c r="E196" s="132"/>
      <c r="F196" s="132"/>
    </row>
    <row r="197" spans="1:6" x14ac:dyDescent="0.3">
      <c r="A197" s="132"/>
      <c r="B197" s="132"/>
      <c r="C197" s="132"/>
      <c r="D197" s="132"/>
      <c r="E197" s="132"/>
      <c r="F197" s="132"/>
    </row>
    <row r="198" spans="1:6" x14ac:dyDescent="0.3">
      <c r="A198" s="132"/>
      <c r="B198" s="132"/>
      <c r="C198" s="132"/>
      <c r="D198" s="132"/>
      <c r="E198" s="132"/>
      <c r="F198" s="132"/>
    </row>
    <row r="199" spans="1:6" x14ac:dyDescent="0.3">
      <c r="A199" s="132"/>
      <c r="B199" s="132"/>
      <c r="C199" s="132"/>
      <c r="D199" s="132"/>
      <c r="E199" s="132"/>
      <c r="F199" s="132"/>
    </row>
    <row r="200" spans="1:6" x14ac:dyDescent="0.3">
      <c r="A200" s="132"/>
      <c r="B200" s="132"/>
      <c r="C200" s="132"/>
      <c r="D200" s="132"/>
      <c r="E200" s="132"/>
      <c r="F200" s="132"/>
    </row>
    <row r="201" spans="1:6" x14ac:dyDescent="0.3">
      <c r="A201" s="132"/>
      <c r="B201" s="132"/>
      <c r="C201" s="132"/>
      <c r="D201" s="132"/>
      <c r="E201" s="132"/>
      <c r="F201" s="132"/>
    </row>
    <row r="202" spans="1:6" x14ac:dyDescent="0.3">
      <c r="A202" s="132"/>
      <c r="B202" s="132"/>
      <c r="C202" s="132"/>
      <c r="D202" s="132"/>
      <c r="E202" s="132"/>
      <c r="F202" s="132"/>
    </row>
    <row r="203" spans="1:6" x14ac:dyDescent="0.3">
      <c r="A203" s="132"/>
      <c r="B203" s="132"/>
      <c r="C203" s="132"/>
      <c r="D203" s="132"/>
      <c r="E203" s="132"/>
      <c r="F203" s="132"/>
    </row>
    <row r="204" spans="1:6" x14ac:dyDescent="0.3">
      <c r="A204" s="132"/>
      <c r="B204" s="132"/>
      <c r="C204" s="132"/>
      <c r="D204" s="132"/>
      <c r="E204" s="132"/>
      <c r="F204" s="132"/>
    </row>
    <row r="205" spans="1:6" x14ac:dyDescent="0.3">
      <c r="A205" s="132"/>
      <c r="B205" s="132"/>
      <c r="C205" s="132"/>
      <c r="D205" s="132"/>
      <c r="E205" s="132"/>
      <c r="F205" s="132"/>
    </row>
    <row r="206" spans="1:6" x14ac:dyDescent="0.3">
      <c r="A206" s="132"/>
      <c r="B206" s="132"/>
      <c r="C206" s="132"/>
      <c r="D206" s="132"/>
      <c r="E206" s="132"/>
      <c r="F206" s="132"/>
    </row>
    <row r="207" spans="1:6" x14ac:dyDescent="0.3">
      <c r="A207" s="132"/>
      <c r="B207" s="132"/>
      <c r="C207" s="132"/>
      <c r="D207" s="132"/>
      <c r="E207" s="132"/>
      <c r="F207" s="132"/>
    </row>
    <row r="208" spans="1:6" x14ac:dyDescent="0.3">
      <c r="A208" s="132"/>
      <c r="B208" s="132"/>
      <c r="C208" s="132"/>
      <c r="D208" s="132"/>
      <c r="E208" s="132"/>
      <c r="F208" s="132"/>
    </row>
    <row r="209" spans="1:6" x14ac:dyDescent="0.3">
      <c r="A209" s="132"/>
      <c r="B209" s="132"/>
      <c r="C209" s="132"/>
      <c r="D209" s="132"/>
      <c r="E209" s="132"/>
      <c r="F209" s="132"/>
    </row>
    <row r="210" spans="1:6" x14ac:dyDescent="0.3">
      <c r="A210" s="132"/>
      <c r="B210" s="132"/>
      <c r="C210" s="132"/>
      <c r="D210" s="132"/>
      <c r="E210" s="132"/>
      <c r="F210" s="132"/>
    </row>
    <row r="211" spans="1:6" x14ac:dyDescent="0.3">
      <c r="A211" s="132"/>
      <c r="B211" s="132"/>
      <c r="C211" s="132"/>
      <c r="D211" s="132"/>
      <c r="E211" s="132"/>
      <c r="F211" s="132"/>
    </row>
    <row r="212" spans="1:6" x14ac:dyDescent="0.3">
      <c r="A212" s="132"/>
      <c r="B212" s="132"/>
      <c r="C212" s="132"/>
      <c r="D212" s="132"/>
      <c r="E212" s="132"/>
      <c r="F212" s="132"/>
    </row>
    <row r="213" spans="1:6" x14ac:dyDescent="0.3">
      <c r="A213" s="132"/>
      <c r="B213" s="132"/>
      <c r="C213" s="132"/>
      <c r="D213" s="132"/>
      <c r="E213" s="132"/>
      <c r="F213" s="132"/>
    </row>
    <row r="214" spans="1:6" x14ac:dyDescent="0.3">
      <c r="A214" s="132"/>
      <c r="B214" s="132"/>
      <c r="C214" s="132"/>
      <c r="D214" s="132"/>
      <c r="E214" s="132"/>
      <c r="F214" s="132"/>
    </row>
    <row r="215" spans="1:6" x14ac:dyDescent="0.3">
      <c r="A215" s="132"/>
      <c r="B215" s="132"/>
      <c r="C215" s="132"/>
      <c r="D215" s="132"/>
      <c r="E215" s="132"/>
      <c r="F215" s="132"/>
    </row>
    <row r="216" spans="1:6" x14ac:dyDescent="0.3">
      <c r="A216" s="132"/>
      <c r="B216" s="132"/>
      <c r="C216" s="132"/>
      <c r="D216" s="132"/>
      <c r="E216" s="132"/>
      <c r="F216" s="132"/>
    </row>
    <row r="217" spans="1:6" x14ac:dyDescent="0.3">
      <c r="A217" s="132"/>
      <c r="B217" s="132"/>
      <c r="C217" s="132"/>
      <c r="D217" s="132"/>
      <c r="E217" s="132"/>
      <c r="F217" s="132"/>
    </row>
    <row r="218" spans="1:6" x14ac:dyDescent="0.3">
      <c r="A218" s="132"/>
      <c r="B218" s="132"/>
      <c r="C218" s="132"/>
      <c r="D218" s="132"/>
      <c r="E218" s="132"/>
      <c r="F218" s="132"/>
    </row>
    <row r="219" spans="1:6" x14ac:dyDescent="0.3">
      <c r="A219" s="132"/>
      <c r="B219" s="132"/>
      <c r="C219" s="132"/>
      <c r="D219" s="132"/>
      <c r="E219" s="132"/>
      <c r="F219" s="132"/>
    </row>
    <row r="220" spans="1:6" x14ac:dyDescent="0.3">
      <c r="A220" s="132"/>
      <c r="B220" s="132"/>
      <c r="C220" s="132"/>
      <c r="D220" s="132"/>
      <c r="E220" s="132"/>
      <c r="F220" s="132"/>
    </row>
    <row r="221" spans="1:6" x14ac:dyDescent="0.3">
      <c r="A221" s="132"/>
      <c r="B221" s="132"/>
      <c r="C221" s="132"/>
      <c r="D221" s="132"/>
      <c r="E221" s="132"/>
      <c r="F221" s="132"/>
    </row>
    <row r="222" spans="1:6" x14ac:dyDescent="0.3">
      <c r="A222" s="132"/>
      <c r="B222" s="132"/>
      <c r="C222" s="132"/>
      <c r="D222" s="132"/>
      <c r="E222" s="132"/>
      <c r="F222" s="132"/>
    </row>
    <row r="223" spans="1:6" x14ac:dyDescent="0.3">
      <c r="A223" s="132"/>
      <c r="B223" s="132"/>
      <c r="C223" s="132"/>
      <c r="D223" s="132"/>
      <c r="E223" s="132"/>
      <c r="F223" s="132"/>
    </row>
    <row r="224" spans="1:6" x14ac:dyDescent="0.3">
      <c r="A224" s="132"/>
      <c r="B224" s="132"/>
      <c r="C224" s="132"/>
      <c r="D224" s="132"/>
      <c r="E224" s="132"/>
      <c r="F224" s="132"/>
    </row>
    <row r="225" spans="1:6" x14ac:dyDescent="0.3">
      <c r="A225" s="132"/>
      <c r="B225" s="132"/>
      <c r="C225" s="132"/>
      <c r="D225" s="132"/>
      <c r="E225" s="132"/>
      <c r="F225" s="132"/>
    </row>
    <row r="226" spans="1:6" x14ac:dyDescent="0.3">
      <c r="A226" s="132"/>
      <c r="B226" s="132"/>
      <c r="C226" s="132"/>
      <c r="D226" s="132"/>
      <c r="E226" s="132"/>
      <c r="F226" s="132"/>
    </row>
    <row r="227" spans="1:6" x14ac:dyDescent="0.3">
      <c r="A227" s="132"/>
      <c r="B227" s="132"/>
      <c r="C227" s="132"/>
      <c r="D227" s="132"/>
      <c r="E227" s="132"/>
      <c r="F227" s="132"/>
    </row>
    <row r="228" spans="1:6" x14ac:dyDescent="0.3">
      <c r="A228" s="132"/>
      <c r="B228" s="132"/>
      <c r="C228" s="132"/>
      <c r="D228" s="132"/>
      <c r="E228" s="132"/>
      <c r="F228" s="132"/>
    </row>
    <row r="229" spans="1:6" x14ac:dyDescent="0.3">
      <c r="A229" s="132"/>
      <c r="B229" s="132"/>
      <c r="C229" s="132"/>
      <c r="D229" s="132"/>
      <c r="E229" s="132"/>
      <c r="F229" s="132"/>
    </row>
    <row r="230" spans="1:6" x14ac:dyDescent="0.3">
      <c r="A230" s="132"/>
      <c r="B230" s="132"/>
      <c r="C230" s="132"/>
      <c r="D230" s="132"/>
      <c r="E230" s="132"/>
      <c r="F230" s="132"/>
    </row>
    <row r="231" spans="1:6" x14ac:dyDescent="0.3">
      <c r="A231" s="132"/>
      <c r="B231" s="132"/>
      <c r="C231" s="132"/>
      <c r="D231" s="132"/>
      <c r="E231" s="132"/>
      <c r="F231" s="132"/>
    </row>
    <row r="232" spans="1:6" x14ac:dyDescent="0.3">
      <c r="A232" s="132"/>
      <c r="B232" s="132"/>
      <c r="C232" s="132"/>
      <c r="D232" s="132"/>
      <c r="E232" s="132"/>
      <c r="F232" s="132"/>
    </row>
    <row r="233" spans="1:6" x14ac:dyDescent="0.3">
      <c r="A233" s="132"/>
      <c r="B233" s="132"/>
      <c r="C233" s="132"/>
      <c r="D233" s="132"/>
      <c r="E233" s="132"/>
      <c r="F233" s="132"/>
    </row>
    <row r="234" spans="1:6" x14ac:dyDescent="0.3">
      <c r="A234" s="132"/>
      <c r="B234" s="132"/>
      <c r="C234" s="132"/>
      <c r="D234" s="132"/>
      <c r="E234" s="132"/>
      <c r="F234" s="132"/>
    </row>
    <row r="235" spans="1:6" x14ac:dyDescent="0.3">
      <c r="A235" s="132"/>
      <c r="B235" s="132"/>
      <c r="C235" s="132"/>
      <c r="D235" s="132"/>
      <c r="E235" s="132"/>
      <c r="F235" s="132"/>
    </row>
    <row r="236" spans="1:6" x14ac:dyDescent="0.3">
      <c r="A236" s="132"/>
      <c r="B236" s="132"/>
      <c r="C236" s="132"/>
      <c r="D236" s="132"/>
      <c r="E236" s="132"/>
      <c r="F236" s="132"/>
    </row>
    <row r="237" spans="1:6" x14ac:dyDescent="0.3">
      <c r="A237" s="132"/>
      <c r="B237" s="132"/>
      <c r="C237" s="132"/>
      <c r="D237" s="132"/>
      <c r="E237" s="132"/>
      <c r="F237" s="132"/>
    </row>
    <row r="238" spans="1:6" x14ac:dyDescent="0.3">
      <c r="A238" s="132"/>
      <c r="B238" s="132"/>
      <c r="C238" s="132"/>
      <c r="D238" s="132"/>
      <c r="E238" s="132"/>
      <c r="F238" s="132"/>
    </row>
    <row r="239" spans="1:6" x14ac:dyDescent="0.3">
      <c r="A239" s="132"/>
      <c r="B239" s="132"/>
      <c r="C239" s="132"/>
      <c r="D239" s="132"/>
      <c r="E239" s="132"/>
      <c r="F239" s="132"/>
    </row>
    <row r="240" spans="1:6" x14ac:dyDescent="0.3">
      <c r="A240" s="132"/>
      <c r="B240" s="132"/>
      <c r="C240" s="132"/>
      <c r="D240" s="132"/>
      <c r="E240" s="132"/>
      <c r="F240" s="132"/>
    </row>
    <row r="241" spans="1:6" x14ac:dyDescent="0.3">
      <c r="A241" s="132"/>
      <c r="B241" s="132"/>
      <c r="C241" s="132"/>
      <c r="D241" s="132"/>
      <c r="E241" s="132"/>
      <c r="F241" s="132"/>
    </row>
    <row r="242" spans="1:6" x14ac:dyDescent="0.3">
      <c r="A242" s="132"/>
      <c r="B242" s="132"/>
      <c r="C242" s="132"/>
      <c r="D242" s="132"/>
      <c r="E242" s="132"/>
      <c r="F242" s="132"/>
    </row>
    <row r="243" spans="1:6" x14ac:dyDescent="0.3">
      <c r="A243" s="132"/>
      <c r="B243" s="132"/>
      <c r="C243" s="132"/>
      <c r="D243" s="132"/>
      <c r="E243" s="132"/>
      <c r="F243" s="132"/>
    </row>
    <row r="244" spans="1:6" x14ac:dyDescent="0.3">
      <c r="A244" s="132"/>
      <c r="B244" s="132"/>
      <c r="C244" s="132"/>
      <c r="D244" s="132"/>
      <c r="E244" s="132"/>
      <c r="F244" s="132"/>
    </row>
    <row r="245" spans="1:6" x14ac:dyDescent="0.3">
      <c r="A245" s="132"/>
      <c r="B245" s="132"/>
      <c r="C245" s="132"/>
      <c r="D245" s="132"/>
      <c r="E245" s="132"/>
      <c r="F245" s="132"/>
    </row>
    <row r="246" spans="1:6" x14ac:dyDescent="0.3">
      <c r="A246" s="132"/>
      <c r="B246" s="132"/>
      <c r="C246" s="132"/>
      <c r="D246" s="132"/>
      <c r="E246" s="132"/>
      <c r="F246" s="132"/>
    </row>
    <row r="247" spans="1:6" x14ac:dyDescent="0.3">
      <c r="A247" s="132"/>
      <c r="B247" s="132"/>
      <c r="C247" s="132"/>
      <c r="D247" s="132"/>
      <c r="E247" s="132"/>
      <c r="F247" s="132"/>
    </row>
    <row r="248" spans="1:6" x14ac:dyDescent="0.3">
      <c r="A248" s="132"/>
      <c r="B248" s="132"/>
      <c r="C248" s="132"/>
      <c r="D248" s="132"/>
      <c r="E248" s="132"/>
      <c r="F248" s="132"/>
    </row>
    <row r="249" spans="1:6" x14ac:dyDescent="0.3">
      <c r="A249" s="132"/>
      <c r="B249" s="132"/>
      <c r="C249" s="132"/>
      <c r="D249" s="132"/>
      <c r="E249" s="132"/>
      <c r="F249" s="132"/>
    </row>
    <row r="250" spans="1:6" x14ac:dyDescent="0.3">
      <c r="A250" s="132"/>
      <c r="B250" s="132"/>
      <c r="C250" s="132"/>
      <c r="D250" s="132"/>
      <c r="E250" s="132"/>
      <c r="F250" s="132"/>
    </row>
    <row r="251" spans="1:6" x14ac:dyDescent="0.3">
      <c r="A251" s="132"/>
      <c r="B251" s="132"/>
      <c r="C251" s="132"/>
      <c r="D251" s="132"/>
      <c r="E251" s="132"/>
      <c r="F251" s="132"/>
    </row>
    <row r="252" spans="1:6" x14ac:dyDescent="0.3">
      <c r="A252" s="132"/>
      <c r="B252" s="132"/>
      <c r="C252" s="132"/>
      <c r="D252" s="132"/>
      <c r="E252" s="132"/>
      <c r="F252" s="132"/>
    </row>
    <row r="253" spans="1:6" x14ac:dyDescent="0.3">
      <c r="A253" s="132"/>
      <c r="B253" s="132"/>
      <c r="C253" s="132"/>
      <c r="D253" s="132"/>
      <c r="E253" s="132"/>
      <c r="F253" s="132"/>
    </row>
    <row r="254" spans="1:6" x14ac:dyDescent="0.3">
      <c r="A254" s="132"/>
      <c r="B254" s="132"/>
      <c r="C254" s="132"/>
      <c r="D254" s="132"/>
      <c r="E254" s="132"/>
      <c r="F254" s="132"/>
    </row>
    <row r="255" spans="1:6" x14ac:dyDescent="0.3">
      <c r="A255" s="132"/>
      <c r="B255" s="132"/>
      <c r="C255" s="132"/>
      <c r="D255" s="132"/>
      <c r="E255" s="132"/>
      <c r="F255" s="132"/>
    </row>
    <row r="256" spans="1:6" x14ac:dyDescent="0.3">
      <c r="A256" s="132"/>
      <c r="B256" s="132"/>
      <c r="C256" s="132"/>
      <c r="D256" s="132"/>
      <c r="E256" s="132"/>
      <c r="F256" s="132"/>
    </row>
    <row r="257" spans="1:6" x14ac:dyDescent="0.3">
      <c r="A257" s="132"/>
      <c r="B257" s="132"/>
      <c r="C257" s="132"/>
      <c r="D257" s="132"/>
      <c r="E257" s="132"/>
      <c r="F257" s="132"/>
    </row>
    <row r="258" spans="1:6" x14ac:dyDescent="0.3">
      <c r="A258" s="132"/>
      <c r="B258" s="132"/>
      <c r="C258" s="132"/>
      <c r="D258" s="132"/>
      <c r="E258" s="132"/>
      <c r="F258" s="132"/>
    </row>
    <row r="259" spans="1:6" x14ac:dyDescent="0.3">
      <c r="A259" s="132"/>
      <c r="B259" s="132"/>
      <c r="C259" s="132"/>
      <c r="D259" s="132"/>
      <c r="E259" s="132"/>
      <c r="F259" s="132"/>
    </row>
    <row r="260" spans="1:6" x14ac:dyDescent="0.3">
      <c r="A260" s="132"/>
      <c r="B260" s="132"/>
      <c r="C260" s="132"/>
      <c r="D260" s="132"/>
      <c r="E260" s="132"/>
      <c r="F260" s="132"/>
    </row>
    <row r="261" spans="1:6" x14ac:dyDescent="0.3">
      <c r="A261" s="132"/>
      <c r="B261" s="132"/>
      <c r="C261" s="132"/>
      <c r="D261" s="132"/>
      <c r="E261" s="132"/>
      <c r="F261" s="132"/>
    </row>
    <row r="262" spans="1:6" x14ac:dyDescent="0.3">
      <c r="A262" s="132"/>
      <c r="B262" s="132"/>
      <c r="C262" s="132"/>
      <c r="D262" s="132"/>
      <c r="E262" s="132"/>
      <c r="F262" s="132"/>
    </row>
    <row r="263" spans="1:6" x14ac:dyDescent="0.3">
      <c r="A263" s="132"/>
      <c r="B263" s="132"/>
      <c r="C263" s="132"/>
      <c r="D263" s="132"/>
      <c r="E263" s="132"/>
      <c r="F263" s="132"/>
    </row>
    <row r="264" spans="1:6" x14ac:dyDescent="0.3">
      <c r="A264" s="132"/>
      <c r="B264" s="132"/>
      <c r="C264" s="132"/>
      <c r="D264" s="132"/>
      <c r="E264" s="132"/>
      <c r="F264" s="132"/>
    </row>
    <row r="265" spans="1:6" x14ac:dyDescent="0.3">
      <c r="A265" s="132"/>
      <c r="B265" s="132"/>
      <c r="C265" s="132"/>
      <c r="D265" s="132"/>
      <c r="E265" s="132"/>
      <c r="F265" s="132"/>
    </row>
    <row r="266" spans="1:6" x14ac:dyDescent="0.3">
      <c r="A266" s="132"/>
      <c r="B266" s="132"/>
      <c r="C266" s="132"/>
      <c r="D266" s="132"/>
      <c r="E266" s="132"/>
      <c r="F266" s="132"/>
    </row>
    <row r="267" spans="1:6" x14ac:dyDescent="0.3">
      <c r="A267" s="132"/>
      <c r="B267" s="132"/>
      <c r="C267" s="132"/>
      <c r="D267" s="132"/>
      <c r="E267" s="132"/>
      <c r="F267" s="132"/>
    </row>
    <row r="268" spans="1:6" x14ac:dyDescent="0.3">
      <c r="A268" s="132"/>
      <c r="B268" s="132"/>
      <c r="C268" s="132"/>
      <c r="D268" s="132"/>
      <c r="E268" s="132"/>
      <c r="F268" s="132"/>
    </row>
    <row r="269" spans="1:6" x14ac:dyDescent="0.3">
      <c r="A269" s="132"/>
      <c r="B269" s="132"/>
      <c r="C269" s="132"/>
      <c r="D269" s="132"/>
      <c r="E269" s="132"/>
      <c r="F269" s="132"/>
    </row>
    <row r="270" spans="1:6" x14ac:dyDescent="0.3">
      <c r="A270" s="132"/>
      <c r="B270" s="132"/>
      <c r="C270" s="132"/>
      <c r="D270" s="132"/>
      <c r="E270" s="132"/>
      <c r="F270" s="132"/>
    </row>
    <row r="271" spans="1:6" x14ac:dyDescent="0.3">
      <c r="A271" s="132"/>
      <c r="B271" s="132"/>
      <c r="C271" s="132"/>
      <c r="D271" s="132"/>
      <c r="E271" s="132"/>
      <c r="F271" s="132"/>
    </row>
    <row r="272" spans="1:6" x14ac:dyDescent="0.3">
      <c r="A272" s="132"/>
      <c r="B272" s="132"/>
      <c r="C272" s="132"/>
      <c r="D272" s="132"/>
      <c r="E272" s="132"/>
      <c r="F272" s="132"/>
    </row>
    <row r="273" spans="1:6" x14ac:dyDescent="0.3">
      <c r="A273" s="132"/>
      <c r="B273" s="132"/>
      <c r="C273" s="132"/>
      <c r="D273" s="132"/>
      <c r="E273" s="132"/>
      <c r="F273" s="132"/>
    </row>
    <row r="274" spans="1:6" x14ac:dyDescent="0.3">
      <c r="A274" s="132"/>
      <c r="B274" s="132"/>
      <c r="C274" s="132"/>
      <c r="D274" s="132"/>
      <c r="E274" s="132"/>
      <c r="F274" s="132"/>
    </row>
    <row r="275" spans="1:6" x14ac:dyDescent="0.3">
      <c r="A275" s="132"/>
      <c r="B275" s="132"/>
      <c r="C275" s="132"/>
      <c r="D275" s="132"/>
      <c r="E275" s="132"/>
      <c r="F275" s="132"/>
    </row>
    <row r="276" spans="1:6" x14ac:dyDescent="0.3">
      <c r="A276" s="132"/>
      <c r="B276" s="132"/>
      <c r="C276" s="132"/>
      <c r="D276" s="132"/>
      <c r="E276" s="132"/>
      <c r="F276" s="132"/>
    </row>
    <row r="277" spans="1:6" x14ac:dyDescent="0.3">
      <c r="A277" s="132"/>
      <c r="B277" s="132"/>
      <c r="C277" s="132"/>
      <c r="D277" s="132"/>
      <c r="E277" s="132"/>
      <c r="F277" s="132"/>
    </row>
    <row r="278" spans="1:6" x14ac:dyDescent="0.3">
      <c r="A278" s="132"/>
      <c r="B278" s="132"/>
      <c r="C278" s="132"/>
      <c r="D278" s="132"/>
      <c r="E278" s="132"/>
      <c r="F278" s="132"/>
    </row>
    <row r="279" spans="1:6" x14ac:dyDescent="0.3">
      <c r="A279" s="132"/>
      <c r="B279" s="132"/>
      <c r="C279" s="132"/>
      <c r="D279" s="132"/>
      <c r="E279" s="132"/>
      <c r="F279" s="132"/>
    </row>
    <row r="280" spans="1:6" x14ac:dyDescent="0.3">
      <c r="A280" s="132"/>
      <c r="B280" s="132"/>
      <c r="C280" s="132"/>
      <c r="D280" s="132"/>
      <c r="E280" s="132"/>
      <c r="F280" s="132"/>
    </row>
    <row r="281" spans="1:6" x14ac:dyDescent="0.3">
      <c r="A281" s="132"/>
      <c r="B281" s="132"/>
      <c r="C281" s="132"/>
      <c r="D281" s="132"/>
      <c r="E281" s="132"/>
      <c r="F281" s="132"/>
    </row>
    <row r="282" spans="1:6" x14ac:dyDescent="0.3">
      <c r="A282" s="132"/>
      <c r="B282" s="132"/>
      <c r="C282" s="132"/>
      <c r="D282" s="132"/>
      <c r="E282" s="132"/>
      <c r="F282" s="132"/>
    </row>
    <row r="283" spans="1:6" x14ac:dyDescent="0.3">
      <c r="A283" s="132"/>
      <c r="B283" s="132"/>
      <c r="C283" s="132"/>
      <c r="D283" s="132"/>
      <c r="E283" s="132"/>
      <c r="F283" s="132"/>
    </row>
    <row r="284" spans="1:6" x14ac:dyDescent="0.3">
      <c r="A284" s="132"/>
      <c r="B284" s="132"/>
      <c r="C284" s="132"/>
      <c r="D284" s="132"/>
      <c r="E284" s="132"/>
      <c r="F284" s="132"/>
    </row>
    <row r="285" spans="1:6" x14ac:dyDescent="0.3">
      <c r="A285" s="132"/>
      <c r="B285" s="132"/>
      <c r="C285" s="132"/>
      <c r="D285" s="132"/>
      <c r="E285" s="132"/>
      <c r="F285" s="132"/>
    </row>
    <row r="286" spans="1:6" x14ac:dyDescent="0.3">
      <c r="A286" s="132"/>
      <c r="B286" s="132"/>
      <c r="C286" s="132"/>
      <c r="D286" s="132"/>
      <c r="E286" s="132"/>
      <c r="F286" s="132"/>
    </row>
    <row r="287" spans="1:6" x14ac:dyDescent="0.3">
      <c r="A287" s="132"/>
      <c r="B287" s="132"/>
      <c r="C287" s="132"/>
      <c r="D287" s="132"/>
      <c r="E287" s="132"/>
      <c r="F287" s="132"/>
    </row>
    <row r="288" spans="1:6" x14ac:dyDescent="0.3">
      <c r="A288" s="132"/>
      <c r="B288" s="132"/>
      <c r="C288" s="132"/>
      <c r="D288" s="132"/>
      <c r="E288" s="132"/>
      <c r="F288" s="132"/>
    </row>
    <row r="289" spans="1:6" x14ac:dyDescent="0.3">
      <c r="A289" s="132"/>
      <c r="B289" s="132"/>
      <c r="C289" s="132"/>
      <c r="D289" s="132"/>
      <c r="E289" s="132"/>
      <c r="F289" s="132"/>
    </row>
    <row r="290" spans="1:6" x14ac:dyDescent="0.3">
      <c r="A290" s="132"/>
      <c r="B290" s="132"/>
      <c r="C290" s="132"/>
      <c r="D290" s="132"/>
      <c r="E290" s="132"/>
      <c r="F290" s="132"/>
    </row>
    <row r="291" spans="1:6" x14ac:dyDescent="0.3">
      <c r="A291" s="132"/>
      <c r="B291" s="132"/>
      <c r="C291" s="132"/>
      <c r="D291" s="132"/>
      <c r="E291" s="132"/>
      <c r="F291" s="132"/>
    </row>
    <row r="292" spans="1:6" x14ac:dyDescent="0.3">
      <c r="A292" s="132"/>
      <c r="B292" s="132"/>
      <c r="C292" s="132"/>
      <c r="D292" s="132"/>
      <c r="E292" s="132"/>
      <c r="F292" s="132"/>
    </row>
    <row r="293" spans="1:6" x14ac:dyDescent="0.3">
      <c r="A293" s="132"/>
      <c r="B293" s="132"/>
      <c r="C293" s="132"/>
      <c r="D293" s="132"/>
      <c r="E293" s="132"/>
      <c r="F293" s="132"/>
    </row>
    <row r="294" spans="1:6" x14ac:dyDescent="0.3">
      <c r="A294" s="132"/>
      <c r="B294" s="132"/>
      <c r="C294" s="132"/>
      <c r="D294" s="132"/>
      <c r="E294" s="132"/>
      <c r="F294" s="132"/>
    </row>
    <row r="295" spans="1:6" x14ac:dyDescent="0.3">
      <c r="A295" s="132"/>
      <c r="B295" s="132"/>
      <c r="C295" s="132"/>
      <c r="D295" s="132"/>
      <c r="E295" s="132"/>
      <c r="F295" s="132"/>
    </row>
    <row r="296" spans="1:6" x14ac:dyDescent="0.3">
      <c r="A296" s="132"/>
      <c r="B296" s="132"/>
      <c r="C296" s="132"/>
      <c r="D296" s="132"/>
      <c r="E296" s="132"/>
      <c r="F296" s="132"/>
    </row>
    <row r="297" spans="1:6" x14ac:dyDescent="0.3">
      <c r="A297" s="132"/>
      <c r="B297" s="132"/>
      <c r="C297" s="132"/>
      <c r="D297" s="132"/>
      <c r="E297" s="132"/>
      <c r="F297" s="132"/>
    </row>
    <row r="298" spans="1:6" x14ac:dyDescent="0.3">
      <c r="A298" s="132"/>
      <c r="B298" s="132"/>
      <c r="C298" s="132"/>
      <c r="D298" s="132"/>
      <c r="E298" s="132"/>
      <c r="F298" s="132"/>
    </row>
    <row r="299" spans="1:6" x14ac:dyDescent="0.3">
      <c r="A299" s="132"/>
      <c r="B299" s="132"/>
      <c r="C299" s="132"/>
      <c r="D299" s="132"/>
      <c r="E299" s="132"/>
      <c r="F299" s="132"/>
    </row>
    <row r="300" spans="1:6" x14ac:dyDescent="0.3">
      <c r="A300" s="132"/>
      <c r="B300" s="132"/>
      <c r="C300" s="132"/>
      <c r="D300" s="132"/>
      <c r="E300" s="132"/>
      <c r="F300" s="132"/>
    </row>
    <row r="301" spans="1:6" x14ac:dyDescent="0.3">
      <c r="A301" s="132"/>
      <c r="B301" s="132"/>
      <c r="C301" s="132"/>
      <c r="D301" s="132"/>
      <c r="E301" s="132"/>
      <c r="F301" s="132"/>
    </row>
    <row r="302" spans="1:6" x14ac:dyDescent="0.3">
      <c r="A302" s="132"/>
      <c r="B302" s="132"/>
      <c r="C302" s="132"/>
      <c r="D302" s="132"/>
      <c r="E302" s="132"/>
      <c r="F302" s="132"/>
    </row>
    <row r="303" spans="1:6" x14ac:dyDescent="0.3">
      <c r="A303" s="132"/>
      <c r="B303" s="132"/>
      <c r="C303" s="132"/>
      <c r="D303" s="132"/>
      <c r="E303" s="132"/>
      <c r="F303" s="132"/>
    </row>
    <row r="304" spans="1:6" x14ac:dyDescent="0.3">
      <c r="A304" s="132"/>
      <c r="B304" s="132"/>
      <c r="C304" s="132"/>
      <c r="D304" s="132"/>
      <c r="E304" s="132"/>
      <c r="F304" s="132"/>
    </row>
    <row r="305" spans="1:6" x14ac:dyDescent="0.3">
      <c r="A305" s="132"/>
      <c r="B305" s="132"/>
      <c r="C305" s="132"/>
      <c r="D305" s="132"/>
      <c r="E305" s="132"/>
      <c r="F305" s="132"/>
    </row>
    <row r="306" spans="1:6" x14ac:dyDescent="0.3">
      <c r="A306" s="132"/>
      <c r="B306" s="132"/>
      <c r="C306" s="132"/>
      <c r="D306" s="132"/>
      <c r="E306" s="132"/>
      <c r="F306" s="132"/>
    </row>
    <row r="307" spans="1:6" x14ac:dyDescent="0.3">
      <c r="A307" s="132"/>
      <c r="B307" s="132"/>
      <c r="C307" s="132"/>
      <c r="D307" s="132"/>
      <c r="E307" s="132"/>
      <c r="F307" s="132"/>
    </row>
    <row r="308" spans="1:6" x14ac:dyDescent="0.3">
      <c r="A308" s="132"/>
      <c r="B308" s="132"/>
      <c r="C308" s="132"/>
      <c r="D308" s="132"/>
      <c r="E308" s="132"/>
      <c r="F308" s="132"/>
    </row>
    <row r="309" spans="1:6" x14ac:dyDescent="0.3">
      <c r="A309" s="132"/>
      <c r="B309" s="132"/>
      <c r="C309" s="132"/>
      <c r="D309" s="132"/>
      <c r="E309" s="132"/>
      <c r="F309" s="132"/>
    </row>
    <row r="310" spans="1:6" x14ac:dyDescent="0.3">
      <c r="A310" s="132"/>
      <c r="B310" s="132"/>
      <c r="C310" s="132"/>
      <c r="D310" s="132"/>
      <c r="E310" s="132"/>
      <c r="F310" s="132"/>
    </row>
    <row r="311" spans="1:6" x14ac:dyDescent="0.3">
      <c r="A311" s="132"/>
      <c r="B311" s="132"/>
      <c r="C311" s="132"/>
      <c r="D311" s="132"/>
      <c r="E311" s="132"/>
      <c r="F311" s="132"/>
    </row>
    <row r="312" spans="1:6" x14ac:dyDescent="0.3">
      <c r="A312" s="132"/>
      <c r="B312" s="132"/>
      <c r="C312" s="132"/>
      <c r="D312" s="132"/>
      <c r="E312" s="132"/>
      <c r="F312" s="132"/>
    </row>
    <row r="313" spans="1:6" x14ac:dyDescent="0.3">
      <c r="A313" s="132"/>
      <c r="B313" s="132"/>
      <c r="C313" s="132"/>
      <c r="D313" s="132"/>
      <c r="E313" s="132"/>
      <c r="F313" s="132"/>
    </row>
    <row r="314" spans="1:6" x14ac:dyDescent="0.3">
      <c r="A314" s="132"/>
      <c r="B314" s="132"/>
      <c r="C314" s="132"/>
      <c r="D314" s="132"/>
      <c r="E314" s="132"/>
      <c r="F314" s="132"/>
    </row>
    <row r="315" spans="1:6" x14ac:dyDescent="0.3">
      <c r="A315" s="132"/>
      <c r="B315" s="132"/>
      <c r="C315" s="132"/>
      <c r="D315" s="132"/>
      <c r="E315" s="132"/>
      <c r="F315" s="132"/>
    </row>
    <row r="316" spans="1:6" x14ac:dyDescent="0.3">
      <c r="A316" s="132"/>
      <c r="B316" s="132"/>
      <c r="C316" s="132"/>
      <c r="D316" s="132"/>
      <c r="E316" s="132"/>
      <c r="F316" s="132"/>
    </row>
    <row r="317" spans="1:6" x14ac:dyDescent="0.3">
      <c r="A317" s="132"/>
      <c r="B317" s="132"/>
      <c r="C317" s="132"/>
      <c r="D317" s="132"/>
      <c r="E317" s="132"/>
      <c r="F317" s="132"/>
    </row>
    <row r="318" spans="1:6" x14ac:dyDescent="0.3">
      <c r="A318" s="132"/>
      <c r="B318" s="132"/>
      <c r="C318" s="132"/>
      <c r="D318" s="132"/>
      <c r="E318" s="132"/>
      <c r="F318" s="132"/>
    </row>
    <row r="319" spans="1:6" x14ac:dyDescent="0.3">
      <c r="A319" s="132"/>
      <c r="B319" s="132"/>
      <c r="C319" s="132"/>
      <c r="D319" s="132"/>
      <c r="E319" s="132"/>
      <c r="F319" s="132"/>
    </row>
    <row r="320" spans="1:6" x14ac:dyDescent="0.3">
      <c r="A320" s="132"/>
      <c r="B320" s="132"/>
      <c r="C320" s="132"/>
      <c r="D320" s="132"/>
      <c r="E320" s="132"/>
      <c r="F320" s="132"/>
    </row>
    <row r="321" spans="1:6" x14ac:dyDescent="0.3">
      <c r="A321" s="132"/>
      <c r="B321" s="132"/>
      <c r="C321" s="132"/>
      <c r="D321" s="132"/>
      <c r="E321" s="132"/>
      <c r="F321" s="132"/>
    </row>
    <row r="322" spans="1:6" x14ac:dyDescent="0.3">
      <c r="A322" s="132"/>
      <c r="B322" s="132"/>
      <c r="C322" s="132"/>
      <c r="D322" s="132"/>
      <c r="E322" s="132"/>
      <c r="F322" s="132"/>
    </row>
    <row r="323" spans="1:6" x14ac:dyDescent="0.3">
      <c r="A323" s="132"/>
      <c r="B323" s="132"/>
      <c r="C323" s="132"/>
      <c r="D323" s="132"/>
      <c r="E323" s="132"/>
      <c r="F323" s="132"/>
    </row>
    <row r="324" spans="1:6" x14ac:dyDescent="0.3">
      <c r="A324" s="132"/>
      <c r="B324" s="132"/>
      <c r="C324" s="132"/>
      <c r="D324" s="132"/>
      <c r="E324" s="132"/>
      <c r="F324" s="132"/>
    </row>
    <row r="325" spans="1:6" x14ac:dyDescent="0.3">
      <c r="A325" s="132"/>
      <c r="B325" s="132"/>
      <c r="C325" s="132"/>
      <c r="D325" s="132"/>
      <c r="E325" s="132"/>
      <c r="F325" s="132"/>
    </row>
    <row r="326" spans="1:6" x14ac:dyDescent="0.3">
      <c r="A326" s="132"/>
      <c r="B326" s="132"/>
      <c r="C326" s="132"/>
      <c r="D326" s="132"/>
      <c r="E326" s="132"/>
      <c r="F326" s="132"/>
    </row>
    <row r="327" spans="1:6" x14ac:dyDescent="0.3">
      <c r="A327" s="132"/>
      <c r="B327" s="132"/>
      <c r="C327" s="132"/>
      <c r="D327" s="132"/>
      <c r="E327" s="132"/>
      <c r="F327" s="132"/>
    </row>
    <row r="328" spans="1:6" x14ac:dyDescent="0.3">
      <c r="A328" s="132"/>
      <c r="B328" s="132"/>
      <c r="C328" s="132"/>
      <c r="D328" s="132"/>
      <c r="E328" s="132"/>
      <c r="F328" s="132"/>
    </row>
    <row r="329" spans="1:6" x14ac:dyDescent="0.3">
      <c r="A329" s="132"/>
      <c r="B329" s="132"/>
      <c r="C329" s="132"/>
      <c r="D329" s="132"/>
      <c r="E329" s="132"/>
      <c r="F329" s="132"/>
    </row>
    <row r="330" spans="1:6" x14ac:dyDescent="0.3">
      <c r="A330" s="132"/>
      <c r="B330" s="132"/>
      <c r="C330" s="132"/>
      <c r="D330" s="132"/>
      <c r="E330" s="132"/>
      <c r="F330" s="132"/>
    </row>
    <row r="331" spans="1:6" x14ac:dyDescent="0.3">
      <c r="A331" s="132"/>
      <c r="B331" s="132"/>
      <c r="C331" s="132"/>
      <c r="D331" s="132"/>
      <c r="E331" s="132"/>
      <c r="F331" s="132"/>
    </row>
    <row r="332" spans="1:6" x14ac:dyDescent="0.3">
      <c r="A332" s="132"/>
      <c r="B332" s="132"/>
      <c r="C332" s="132"/>
      <c r="D332" s="132"/>
      <c r="E332" s="132"/>
      <c r="F332" s="132"/>
    </row>
    <row r="333" spans="1:6" x14ac:dyDescent="0.3">
      <c r="A333" s="132"/>
      <c r="B333" s="132"/>
      <c r="C333" s="132"/>
      <c r="D333" s="132"/>
      <c r="E333" s="132"/>
      <c r="F333" s="132"/>
    </row>
    <row r="334" spans="1:6" x14ac:dyDescent="0.3">
      <c r="A334" s="132"/>
      <c r="B334" s="132"/>
      <c r="C334" s="132"/>
      <c r="D334" s="132"/>
      <c r="E334" s="132"/>
      <c r="F334" s="132"/>
    </row>
    <row r="335" spans="1:6" x14ac:dyDescent="0.3">
      <c r="A335" s="132"/>
      <c r="B335" s="132"/>
      <c r="C335" s="132"/>
      <c r="D335" s="132"/>
      <c r="E335" s="132"/>
      <c r="F335" s="132"/>
    </row>
    <row r="336" spans="1:6" x14ac:dyDescent="0.3">
      <c r="A336" s="132"/>
      <c r="B336" s="132"/>
      <c r="C336" s="132"/>
      <c r="D336" s="132"/>
      <c r="E336" s="132"/>
      <c r="F336" s="132"/>
    </row>
    <row r="337" spans="1:6" x14ac:dyDescent="0.3">
      <c r="A337" s="132"/>
      <c r="B337" s="132"/>
      <c r="C337" s="132"/>
      <c r="D337" s="132"/>
      <c r="E337" s="132"/>
      <c r="F337" s="132"/>
    </row>
    <row r="338" spans="1:6" x14ac:dyDescent="0.3">
      <c r="A338" s="132"/>
      <c r="B338" s="132"/>
      <c r="C338" s="132"/>
      <c r="D338" s="132"/>
      <c r="E338" s="132"/>
      <c r="F338" s="132"/>
    </row>
    <row r="339" spans="1:6" x14ac:dyDescent="0.3">
      <c r="A339" s="132"/>
      <c r="B339" s="132"/>
      <c r="C339" s="132"/>
      <c r="D339" s="132"/>
      <c r="E339" s="132"/>
      <c r="F339" s="132"/>
    </row>
    <row r="340" spans="1:6" x14ac:dyDescent="0.3">
      <c r="A340" s="132"/>
      <c r="B340" s="132"/>
      <c r="C340" s="132"/>
      <c r="D340" s="132"/>
      <c r="E340" s="132"/>
      <c r="F340" s="132"/>
    </row>
    <row r="341" spans="1:6" x14ac:dyDescent="0.3">
      <c r="A341" s="132"/>
      <c r="B341" s="132"/>
      <c r="C341" s="132"/>
      <c r="D341" s="132"/>
      <c r="E341" s="132"/>
      <c r="F341" s="132"/>
    </row>
    <row r="342" spans="1:6" x14ac:dyDescent="0.3">
      <c r="A342" s="132"/>
      <c r="B342" s="132"/>
      <c r="C342" s="132"/>
      <c r="D342" s="132"/>
      <c r="E342" s="132"/>
      <c r="F342" s="132"/>
    </row>
    <row r="343" spans="1:6" x14ac:dyDescent="0.3">
      <c r="A343" s="132"/>
      <c r="B343" s="132"/>
      <c r="C343" s="132"/>
      <c r="D343" s="132"/>
      <c r="E343" s="132"/>
      <c r="F343" s="132"/>
    </row>
    <row r="344" spans="1:6" x14ac:dyDescent="0.3">
      <c r="A344" s="132"/>
      <c r="B344" s="132"/>
      <c r="C344" s="132"/>
      <c r="D344" s="132"/>
      <c r="E344" s="132"/>
      <c r="F344" s="132"/>
    </row>
    <row r="345" spans="1:6" x14ac:dyDescent="0.3">
      <c r="A345" s="132"/>
      <c r="B345" s="132"/>
      <c r="C345" s="132"/>
      <c r="D345" s="132"/>
      <c r="E345" s="132"/>
      <c r="F345" s="132"/>
    </row>
    <row r="346" spans="1:6" x14ac:dyDescent="0.3">
      <c r="A346" s="132"/>
      <c r="B346" s="132"/>
      <c r="C346" s="132"/>
      <c r="D346" s="132"/>
      <c r="E346" s="132"/>
      <c r="F346" s="132"/>
    </row>
    <row r="347" spans="1:6" x14ac:dyDescent="0.3">
      <c r="A347" s="132"/>
      <c r="B347" s="132"/>
      <c r="C347" s="132"/>
      <c r="D347" s="132"/>
      <c r="E347" s="132"/>
      <c r="F347" s="132"/>
    </row>
    <row r="348" spans="1:6" x14ac:dyDescent="0.3">
      <c r="A348" s="132"/>
      <c r="B348" s="132"/>
      <c r="C348" s="132"/>
      <c r="D348" s="132"/>
      <c r="E348" s="132"/>
      <c r="F348" s="132"/>
    </row>
    <row r="349" spans="1:6" x14ac:dyDescent="0.3">
      <c r="A349" s="132"/>
      <c r="B349" s="132"/>
      <c r="C349" s="132"/>
      <c r="D349" s="132"/>
      <c r="E349" s="132"/>
      <c r="F349" s="132"/>
    </row>
    <row r="350" spans="1:6" x14ac:dyDescent="0.3">
      <c r="A350" s="132"/>
      <c r="B350" s="132"/>
      <c r="C350" s="132"/>
      <c r="D350" s="132"/>
      <c r="E350" s="132"/>
      <c r="F350" s="132"/>
    </row>
    <row r="351" spans="1:6" x14ac:dyDescent="0.3">
      <c r="A351" s="132"/>
      <c r="B351" s="132"/>
      <c r="C351" s="132"/>
      <c r="D351" s="132"/>
      <c r="E351" s="132"/>
      <c r="F351" s="132"/>
    </row>
    <row r="352" spans="1:6" x14ac:dyDescent="0.3">
      <c r="A352" s="132"/>
      <c r="B352" s="132"/>
      <c r="C352" s="132"/>
      <c r="D352" s="132"/>
      <c r="E352" s="132"/>
      <c r="F352" s="132"/>
    </row>
    <row r="353" spans="1:6" x14ac:dyDescent="0.3">
      <c r="A353" s="132"/>
      <c r="B353" s="132"/>
      <c r="C353" s="132"/>
      <c r="D353" s="132"/>
      <c r="E353" s="132"/>
      <c r="F353" s="132"/>
    </row>
    <row r="354" spans="1:6" x14ac:dyDescent="0.3">
      <c r="A354" s="132"/>
      <c r="B354" s="132"/>
      <c r="C354" s="132"/>
      <c r="D354" s="132"/>
      <c r="E354" s="132"/>
      <c r="F354" s="132"/>
    </row>
    <row r="355" spans="1:6" x14ac:dyDescent="0.3">
      <c r="A355" s="132"/>
      <c r="B355" s="132"/>
      <c r="C355" s="132"/>
      <c r="D355" s="132"/>
      <c r="E355" s="132"/>
      <c r="F355" s="132"/>
    </row>
    <row r="356" spans="1:6" x14ac:dyDescent="0.3">
      <c r="A356" s="132"/>
      <c r="B356" s="132"/>
      <c r="C356" s="132"/>
      <c r="D356" s="132"/>
      <c r="E356" s="132"/>
      <c r="F356" s="132"/>
    </row>
    <row r="357" spans="1:6" x14ac:dyDescent="0.3">
      <c r="A357" s="132"/>
      <c r="B357" s="132"/>
      <c r="C357" s="132"/>
      <c r="D357" s="132"/>
      <c r="E357" s="132"/>
      <c r="F357" s="132"/>
    </row>
    <row r="358" spans="1:6" x14ac:dyDescent="0.3">
      <c r="A358" s="132"/>
      <c r="B358" s="132"/>
      <c r="C358" s="132"/>
      <c r="D358" s="132"/>
      <c r="E358" s="132"/>
      <c r="F358" s="132"/>
    </row>
    <row r="359" spans="1:6" x14ac:dyDescent="0.3">
      <c r="A359" s="132"/>
      <c r="B359" s="132"/>
      <c r="C359" s="132"/>
      <c r="D359" s="132"/>
      <c r="E359" s="132"/>
      <c r="F359" s="132"/>
    </row>
    <row r="360" spans="1:6" x14ac:dyDescent="0.3">
      <c r="A360" s="132"/>
      <c r="B360" s="132"/>
      <c r="C360" s="132"/>
      <c r="D360" s="132"/>
      <c r="E360" s="132"/>
      <c r="F360" s="132"/>
    </row>
    <row r="361" spans="1:6" x14ac:dyDescent="0.3">
      <c r="A361" s="132"/>
      <c r="B361" s="132"/>
      <c r="C361" s="132"/>
      <c r="D361" s="132"/>
      <c r="E361" s="132"/>
      <c r="F361" s="132"/>
    </row>
    <row r="362" spans="1:6" x14ac:dyDescent="0.3">
      <c r="A362" s="132"/>
      <c r="B362" s="132"/>
      <c r="C362" s="132"/>
      <c r="D362" s="132"/>
      <c r="E362" s="132"/>
      <c r="F362" s="132"/>
    </row>
    <row r="363" spans="1:6" x14ac:dyDescent="0.3">
      <c r="A363" s="132"/>
      <c r="B363" s="132"/>
      <c r="C363" s="132"/>
      <c r="D363" s="132"/>
      <c r="E363" s="132"/>
      <c r="F363" s="132"/>
    </row>
    <row r="364" spans="1:6" x14ac:dyDescent="0.3">
      <c r="A364" s="132"/>
      <c r="B364" s="132"/>
      <c r="C364" s="132"/>
      <c r="D364" s="132"/>
      <c r="E364" s="132"/>
      <c r="F364" s="132"/>
    </row>
    <row r="365" spans="1:6" x14ac:dyDescent="0.3">
      <c r="A365" s="132"/>
      <c r="B365" s="132"/>
      <c r="C365" s="132"/>
      <c r="D365" s="132"/>
      <c r="E365" s="132"/>
      <c r="F365" s="132"/>
    </row>
    <row r="366" spans="1:6" x14ac:dyDescent="0.3">
      <c r="A366" s="132"/>
      <c r="B366" s="132"/>
      <c r="C366" s="132"/>
      <c r="D366" s="132"/>
      <c r="E366" s="132"/>
      <c r="F366" s="132"/>
    </row>
    <row r="367" spans="1:6" x14ac:dyDescent="0.3">
      <c r="A367" s="132"/>
      <c r="B367" s="132"/>
      <c r="C367" s="132"/>
      <c r="D367" s="132"/>
      <c r="E367" s="132"/>
      <c r="F367" s="132"/>
    </row>
    <row r="368" spans="1:6" x14ac:dyDescent="0.3">
      <c r="A368" s="132"/>
      <c r="B368" s="132"/>
      <c r="C368" s="132"/>
      <c r="D368" s="132"/>
      <c r="E368" s="132"/>
      <c r="F368" s="132"/>
    </row>
    <row r="369" spans="1:6" x14ac:dyDescent="0.3">
      <c r="A369" s="132"/>
      <c r="B369" s="132"/>
      <c r="C369" s="132"/>
      <c r="D369" s="132"/>
      <c r="E369" s="132"/>
      <c r="F369" s="132"/>
    </row>
    <row r="370" spans="1:6" x14ac:dyDescent="0.3">
      <c r="A370" s="132"/>
      <c r="B370" s="132"/>
      <c r="C370" s="132"/>
      <c r="D370" s="132"/>
      <c r="E370" s="132"/>
      <c r="F370" s="132"/>
    </row>
    <row r="371" spans="1:6" x14ac:dyDescent="0.3">
      <c r="A371" s="132"/>
      <c r="B371" s="132"/>
      <c r="C371" s="132"/>
      <c r="D371" s="132"/>
      <c r="E371" s="132"/>
      <c r="F371" s="132"/>
    </row>
    <row r="372" spans="1:6" x14ac:dyDescent="0.3">
      <c r="A372" s="132"/>
      <c r="B372" s="132"/>
      <c r="C372" s="132"/>
      <c r="D372" s="132"/>
      <c r="E372" s="132"/>
      <c r="F372" s="132"/>
    </row>
    <row r="373" spans="1:6" x14ac:dyDescent="0.3">
      <c r="A373" s="132"/>
      <c r="B373" s="132"/>
      <c r="C373" s="132"/>
      <c r="D373" s="132"/>
      <c r="E373" s="132"/>
      <c r="F373" s="132"/>
    </row>
    <row r="374" spans="1:6" x14ac:dyDescent="0.3">
      <c r="A374" s="132"/>
      <c r="B374" s="132"/>
      <c r="C374" s="132"/>
      <c r="D374" s="132"/>
      <c r="E374" s="132"/>
      <c r="F374" s="132"/>
    </row>
    <row r="375" spans="1:6" x14ac:dyDescent="0.3">
      <c r="A375" s="132"/>
      <c r="B375" s="132"/>
      <c r="C375" s="132"/>
      <c r="D375" s="132"/>
      <c r="E375" s="132"/>
      <c r="F375" s="132"/>
    </row>
    <row r="376" spans="1:6" x14ac:dyDescent="0.3">
      <c r="A376" s="132"/>
      <c r="B376" s="132"/>
      <c r="C376" s="132"/>
      <c r="D376" s="132"/>
      <c r="E376" s="132"/>
      <c r="F376" s="132"/>
    </row>
    <row r="377" spans="1:6" x14ac:dyDescent="0.3">
      <c r="A377" s="132"/>
      <c r="B377" s="132"/>
      <c r="C377" s="132"/>
      <c r="D377" s="132"/>
      <c r="E377" s="132"/>
      <c r="F377" s="132"/>
    </row>
    <row r="378" spans="1:6" x14ac:dyDescent="0.3">
      <c r="A378" s="132"/>
      <c r="B378" s="132"/>
      <c r="C378" s="132"/>
      <c r="D378" s="132"/>
      <c r="E378" s="132"/>
      <c r="F378" s="132"/>
    </row>
    <row r="379" spans="1:6" x14ac:dyDescent="0.3">
      <c r="A379" s="132"/>
      <c r="B379" s="132"/>
      <c r="C379" s="132"/>
      <c r="D379" s="132"/>
      <c r="E379" s="132"/>
      <c r="F379" s="132"/>
    </row>
    <row r="380" spans="1:6" x14ac:dyDescent="0.3">
      <c r="A380" s="132"/>
      <c r="B380" s="132"/>
      <c r="C380" s="132"/>
      <c r="D380" s="132"/>
      <c r="E380" s="132"/>
      <c r="F380" s="132"/>
    </row>
    <row r="381" spans="1:6" x14ac:dyDescent="0.3">
      <c r="A381" s="132"/>
      <c r="B381" s="132"/>
      <c r="C381" s="132"/>
      <c r="D381" s="132"/>
      <c r="E381" s="132"/>
      <c r="F381" s="132"/>
    </row>
    <row r="382" spans="1:6" x14ac:dyDescent="0.3">
      <c r="A382" s="132"/>
      <c r="B382" s="132"/>
      <c r="C382" s="132"/>
      <c r="D382" s="132"/>
      <c r="E382" s="132"/>
      <c r="F382" s="132"/>
    </row>
    <row r="383" spans="1:6" x14ac:dyDescent="0.3">
      <c r="A383" s="132"/>
      <c r="B383" s="132"/>
      <c r="C383" s="132"/>
      <c r="D383" s="132"/>
      <c r="E383" s="132"/>
      <c r="F383" s="132"/>
    </row>
    <row r="384" spans="1:6" x14ac:dyDescent="0.3">
      <c r="A384" s="132"/>
      <c r="B384" s="132"/>
      <c r="C384" s="132"/>
      <c r="D384" s="132"/>
      <c r="E384" s="132"/>
      <c r="F384" s="132"/>
    </row>
    <row r="385" spans="1:6" x14ac:dyDescent="0.3">
      <c r="A385" s="132"/>
      <c r="B385" s="132"/>
      <c r="C385" s="132"/>
      <c r="D385" s="132"/>
      <c r="E385" s="132"/>
      <c r="F385" s="132"/>
    </row>
    <row r="386" spans="1:6" x14ac:dyDescent="0.3">
      <c r="A386" s="132"/>
      <c r="B386" s="132"/>
      <c r="C386" s="132"/>
      <c r="D386" s="132"/>
      <c r="E386" s="132"/>
      <c r="F386" s="132"/>
    </row>
    <row r="387" spans="1:6" x14ac:dyDescent="0.3">
      <c r="A387" s="132"/>
      <c r="B387" s="132"/>
      <c r="C387" s="132"/>
      <c r="D387" s="132"/>
      <c r="E387" s="132"/>
      <c r="F387" s="132"/>
    </row>
    <row r="388" spans="1:6" x14ac:dyDescent="0.3">
      <c r="A388" s="132"/>
      <c r="B388" s="132"/>
      <c r="C388" s="132"/>
      <c r="D388" s="132"/>
      <c r="E388" s="132"/>
      <c r="F388" s="132"/>
    </row>
    <row r="389" spans="1:6" x14ac:dyDescent="0.3">
      <c r="A389" s="132"/>
      <c r="B389" s="132"/>
      <c r="C389" s="132"/>
      <c r="D389" s="132"/>
      <c r="E389" s="132"/>
      <c r="F389" s="132"/>
    </row>
    <row r="390" spans="1:6" x14ac:dyDescent="0.3">
      <c r="A390" s="132"/>
      <c r="B390" s="132"/>
      <c r="C390" s="132"/>
      <c r="D390" s="132"/>
      <c r="E390" s="132"/>
      <c r="F390" s="132"/>
    </row>
    <row r="391" spans="1:6" x14ac:dyDescent="0.3">
      <c r="A391" s="132"/>
      <c r="B391" s="132"/>
      <c r="C391" s="132"/>
      <c r="D391" s="132"/>
      <c r="E391" s="132"/>
      <c r="F391" s="132"/>
    </row>
    <row r="392" spans="1:6" x14ac:dyDescent="0.3">
      <c r="A392" s="132"/>
      <c r="B392" s="132"/>
      <c r="C392" s="132"/>
      <c r="D392" s="132"/>
      <c r="E392" s="132"/>
      <c r="F392" s="132"/>
    </row>
    <row r="393" spans="1:6" x14ac:dyDescent="0.3">
      <c r="A393" s="132"/>
      <c r="B393" s="132"/>
      <c r="C393" s="132"/>
      <c r="D393" s="132"/>
      <c r="E393" s="132"/>
      <c r="F393" s="132"/>
    </row>
    <row r="394" spans="1:6" x14ac:dyDescent="0.3">
      <c r="A394" s="132"/>
      <c r="B394" s="132"/>
      <c r="C394" s="132"/>
      <c r="D394" s="132"/>
      <c r="E394" s="132"/>
      <c r="F394" s="132"/>
    </row>
    <row r="395" spans="1:6" x14ac:dyDescent="0.3">
      <c r="A395" s="132"/>
      <c r="B395" s="132"/>
      <c r="C395" s="132"/>
      <c r="D395" s="132"/>
      <c r="E395" s="132"/>
      <c r="F395" s="132"/>
    </row>
    <row r="396" spans="1:6" x14ac:dyDescent="0.3">
      <c r="A396" s="132"/>
      <c r="B396" s="132"/>
      <c r="C396" s="132"/>
      <c r="D396" s="132"/>
      <c r="E396" s="132"/>
      <c r="F396" s="132"/>
    </row>
    <row r="397" spans="1:6" x14ac:dyDescent="0.3">
      <c r="A397" s="132"/>
      <c r="B397" s="132"/>
      <c r="C397" s="132"/>
      <c r="D397" s="132"/>
      <c r="E397" s="132"/>
      <c r="F397" s="132"/>
    </row>
    <row r="398" spans="1:6" x14ac:dyDescent="0.3">
      <c r="A398" s="132"/>
      <c r="B398" s="132"/>
      <c r="C398" s="132"/>
      <c r="D398" s="132"/>
      <c r="E398" s="132"/>
      <c r="F398" s="132"/>
    </row>
    <row r="399" spans="1:6" x14ac:dyDescent="0.3">
      <c r="A399" s="132"/>
      <c r="B399" s="132"/>
      <c r="C399" s="132"/>
      <c r="D399" s="132"/>
      <c r="E399" s="132"/>
      <c r="F399" s="132"/>
    </row>
    <row r="400" spans="1:6" x14ac:dyDescent="0.3">
      <c r="A400" s="132"/>
      <c r="B400" s="132"/>
      <c r="C400" s="132"/>
      <c r="D400" s="132"/>
      <c r="E400" s="132"/>
      <c r="F400" s="132"/>
    </row>
    <row r="401" spans="1:6" x14ac:dyDescent="0.3">
      <c r="A401" s="132"/>
      <c r="B401" s="132"/>
      <c r="C401" s="132"/>
      <c r="D401" s="132"/>
      <c r="E401" s="132"/>
      <c r="F401" s="132"/>
    </row>
    <row r="402" spans="1:6" x14ac:dyDescent="0.3">
      <c r="A402" s="132"/>
      <c r="B402" s="132"/>
      <c r="C402" s="132"/>
      <c r="D402" s="132"/>
      <c r="E402" s="132"/>
      <c r="F402" s="132"/>
    </row>
    <row r="403" spans="1:6" x14ac:dyDescent="0.3">
      <c r="A403" s="132"/>
      <c r="B403" s="132"/>
      <c r="C403" s="132"/>
      <c r="D403" s="132"/>
      <c r="E403" s="132"/>
      <c r="F403" s="132"/>
    </row>
    <row r="404" spans="1:6" x14ac:dyDescent="0.3">
      <c r="A404" s="132"/>
      <c r="B404" s="132"/>
      <c r="C404" s="132"/>
      <c r="D404" s="132"/>
      <c r="E404" s="132"/>
      <c r="F404" s="132"/>
    </row>
    <row r="405" spans="1:6" x14ac:dyDescent="0.3">
      <c r="A405" s="132"/>
      <c r="B405" s="132"/>
      <c r="C405" s="132"/>
      <c r="D405" s="132"/>
      <c r="E405" s="132"/>
      <c r="F405" s="132"/>
    </row>
    <row r="406" spans="1:6" x14ac:dyDescent="0.3">
      <c r="A406" s="132"/>
      <c r="B406" s="132"/>
      <c r="C406" s="132"/>
      <c r="D406" s="132"/>
      <c r="E406" s="132"/>
      <c r="F406" s="132"/>
    </row>
    <row r="407" spans="1:6" x14ac:dyDescent="0.3">
      <c r="A407" s="132"/>
      <c r="B407" s="132"/>
      <c r="C407" s="132"/>
      <c r="D407" s="132"/>
      <c r="E407" s="132"/>
      <c r="F407" s="132"/>
    </row>
    <row r="408" spans="1:6" x14ac:dyDescent="0.3">
      <c r="A408" s="132"/>
      <c r="B408" s="132"/>
      <c r="C408" s="132"/>
      <c r="D408" s="132"/>
      <c r="E408" s="132"/>
      <c r="F408" s="132"/>
    </row>
    <row r="409" spans="1:6" x14ac:dyDescent="0.3">
      <c r="A409" s="132"/>
      <c r="B409" s="132"/>
      <c r="C409" s="132"/>
      <c r="D409" s="132"/>
      <c r="E409" s="132"/>
      <c r="F409" s="132"/>
    </row>
    <row r="410" spans="1:6" x14ac:dyDescent="0.3">
      <c r="A410" s="132"/>
      <c r="B410" s="132"/>
      <c r="C410" s="132"/>
      <c r="D410" s="132"/>
      <c r="E410" s="132"/>
      <c r="F410" s="132"/>
    </row>
    <row r="411" spans="1:6" x14ac:dyDescent="0.3">
      <c r="A411" s="132"/>
      <c r="B411" s="132"/>
      <c r="C411" s="132"/>
      <c r="D411" s="132"/>
      <c r="E411" s="132"/>
      <c r="F411" s="132"/>
    </row>
    <row r="412" spans="1:6" x14ac:dyDescent="0.3">
      <c r="A412" s="132"/>
      <c r="B412" s="132"/>
      <c r="C412" s="132"/>
      <c r="D412" s="132"/>
      <c r="E412" s="132"/>
      <c r="F412" s="132"/>
    </row>
    <row r="413" spans="1:6" x14ac:dyDescent="0.3">
      <c r="A413" s="132"/>
      <c r="B413" s="132"/>
      <c r="C413" s="132"/>
      <c r="D413" s="132"/>
      <c r="E413" s="132"/>
      <c r="F413" s="132"/>
    </row>
    <row r="414" spans="1:6" x14ac:dyDescent="0.3">
      <c r="A414" s="132"/>
      <c r="B414" s="132"/>
      <c r="C414" s="132"/>
      <c r="D414" s="132"/>
      <c r="E414" s="132"/>
      <c r="F414" s="132"/>
    </row>
    <row r="415" spans="1:6" x14ac:dyDescent="0.3">
      <c r="A415" s="132"/>
      <c r="B415" s="132"/>
      <c r="C415" s="132"/>
      <c r="D415" s="132"/>
      <c r="E415" s="132"/>
      <c r="F415" s="132"/>
    </row>
    <row r="416" spans="1:6" x14ac:dyDescent="0.3">
      <c r="A416" s="132"/>
      <c r="B416" s="132"/>
      <c r="C416" s="132"/>
      <c r="D416" s="132"/>
      <c r="E416" s="132"/>
      <c r="F416" s="132"/>
    </row>
    <row r="417" spans="1:6" x14ac:dyDescent="0.3">
      <c r="A417" s="132"/>
      <c r="B417" s="132"/>
      <c r="C417" s="132"/>
      <c r="D417" s="132"/>
      <c r="E417" s="132"/>
      <c r="F417" s="132"/>
    </row>
    <row r="418" spans="1:6" x14ac:dyDescent="0.3">
      <c r="A418" s="132"/>
      <c r="B418" s="132"/>
      <c r="C418" s="132"/>
      <c r="D418" s="132"/>
      <c r="E418" s="132"/>
      <c r="F418" s="132"/>
    </row>
    <row r="419" spans="1:6" x14ac:dyDescent="0.3">
      <c r="A419" s="132"/>
      <c r="B419" s="132"/>
      <c r="C419" s="132"/>
      <c r="D419" s="132"/>
      <c r="E419" s="132"/>
      <c r="F419" s="132"/>
    </row>
    <row r="420" spans="1:6" x14ac:dyDescent="0.3">
      <c r="A420" s="132"/>
      <c r="B420" s="132"/>
      <c r="C420" s="132"/>
      <c r="D420" s="132"/>
      <c r="E420" s="132"/>
      <c r="F420" s="132"/>
    </row>
    <row r="421" spans="1:6" x14ac:dyDescent="0.3">
      <c r="A421" s="132"/>
      <c r="B421" s="132"/>
      <c r="C421" s="132"/>
      <c r="D421" s="132"/>
      <c r="E421" s="132"/>
      <c r="F421" s="132"/>
    </row>
    <row r="422" spans="1:6" x14ac:dyDescent="0.3">
      <c r="A422" s="132"/>
      <c r="B422" s="132"/>
      <c r="C422" s="132"/>
      <c r="D422" s="132"/>
      <c r="E422" s="132"/>
      <c r="F422" s="132"/>
    </row>
    <row r="423" spans="1:6" x14ac:dyDescent="0.3">
      <c r="A423" s="132"/>
      <c r="B423" s="132"/>
      <c r="C423" s="132"/>
      <c r="D423" s="132"/>
      <c r="E423" s="132"/>
      <c r="F423" s="132"/>
    </row>
    <row r="424" spans="1:6" x14ac:dyDescent="0.3">
      <c r="A424" s="132"/>
      <c r="B424" s="132"/>
      <c r="C424" s="132"/>
      <c r="D424" s="132"/>
      <c r="E424" s="132"/>
      <c r="F424" s="132"/>
    </row>
    <row r="425" spans="1:6" x14ac:dyDescent="0.3">
      <c r="A425" s="132"/>
      <c r="B425" s="132"/>
      <c r="C425" s="132"/>
      <c r="D425" s="132"/>
      <c r="E425" s="132"/>
      <c r="F425" s="132"/>
    </row>
    <row r="426" spans="1:6" x14ac:dyDescent="0.3">
      <c r="A426" s="132"/>
      <c r="B426" s="132"/>
      <c r="C426" s="132"/>
      <c r="D426" s="132"/>
      <c r="E426" s="132"/>
      <c r="F426" s="132"/>
    </row>
    <row r="427" spans="1:6" x14ac:dyDescent="0.3">
      <c r="A427" s="132"/>
      <c r="B427" s="132"/>
      <c r="C427" s="132"/>
      <c r="D427" s="132"/>
      <c r="E427" s="132"/>
      <c r="F427" s="132"/>
    </row>
    <row r="428" spans="1:6" x14ac:dyDescent="0.3">
      <c r="A428" s="132"/>
      <c r="B428" s="132"/>
      <c r="C428" s="132"/>
      <c r="D428" s="132"/>
      <c r="E428" s="132"/>
      <c r="F428" s="132"/>
    </row>
    <row r="429" spans="1:6" x14ac:dyDescent="0.3">
      <c r="A429" s="132"/>
      <c r="B429" s="132"/>
      <c r="C429" s="132"/>
      <c r="D429" s="132"/>
      <c r="E429" s="132"/>
      <c r="F429" s="132"/>
    </row>
    <row r="430" spans="1:6" x14ac:dyDescent="0.3">
      <c r="A430" s="132"/>
      <c r="B430" s="132"/>
      <c r="C430" s="132"/>
      <c r="D430" s="132"/>
      <c r="E430" s="132"/>
      <c r="F430" s="132"/>
    </row>
    <row r="431" spans="1:6" x14ac:dyDescent="0.3">
      <c r="A431" s="132"/>
      <c r="B431" s="132"/>
      <c r="C431" s="132"/>
      <c r="D431" s="132"/>
      <c r="E431" s="132"/>
      <c r="F431" s="132"/>
    </row>
    <row r="432" spans="1:6" x14ac:dyDescent="0.3">
      <c r="A432" s="132"/>
      <c r="B432" s="132"/>
      <c r="C432" s="132"/>
      <c r="D432" s="132"/>
      <c r="E432" s="132"/>
      <c r="F432" s="132"/>
    </row>
    <row r="433" spans="1:6" x14ac:dyDescent="0.3">
      <c r="A433" s="132"/>
      <c r="B433" s="132"/>
      <c r="C433" s="132"/>
      <c r="D433" s="132"/>
      <c r="E433" s="132"/>
      <c r="F433" s="132"/>
    </row>
    <row r="434" spans="1:6" x14ac:dyDescent="0.3">
      <c r="A434" s="132"/>
      <c r="B434" s="132"/>
      <c r="C434" s="132"/>
      <c r="D434" s="132"/>
      <c r="E434" s="132"/>
      <c r="F434" s="132"/>
    </row>
    <row r="435" spans="1:6" x14ac:dyDescent="0.3">
      <c r="A435" s="132"/>
      <c r="B435" s="132"/>
      <c r="C435" s="132"/>
      <c r="D435" s="132"/>
      <c r="E435" s="132"/>
      <c r="F435" s="132"/>
    </row>
    <row r="436" spans="1:6" x14ac:dyDescent="0.3">
      <c r="A436" s="132"/>
      <c r="B436" s="132"/>
      <c r="C436" s="132"/>
      <c r="D436" s="132"/>
      <c r="E436" s="132"/>
      <c r="F436" s="132"/>
    </row>
    <row r="437" spans="1:6" x14ac:dyDescent="0.3">
      <c r="A437" s="132"/>
      <c r="B437" s="132"/>
      <c r="C437" s="132"/>
      <c r="D437" s="132"/>
      <c r="E437" s="132"/>
      <c r="F437" s="132"/>
    </row>
    <row r="438" spans="1:6" x14ac:dyDescent="0.3">
      <c r="A438" s="132"/>
      <c r="B438" s="132"/>
      <c r="C438" s="132"/>
      <c r="D438" s="132"/>
      <c r="E438" s="132"/>
      <c r="F438" s="132"/>
    </row>
    <row r="439" spans="1:6" x14ac:dyDescent="0.3">
      <c r="A439" s="132"/>
      <c r="B439" s="132"/>
      <c r="C439" s="132"/>
      <c r="D439" s="132"/>
      <c r="E439" s="132"/>
      <c r="F439" s="132"/>
    </row>
    <row r="440" spans="1:6" x14ac:dyDescent="0.3">
      <c r="A440" s="132"/>
      <c r="B440" s="132"/>
      <c r="C440" s="132"/>
      <c r="D440" s="132"/>
      <c r="E440" s="132"/>
      <c r="F440" s="132"/>
    </row>
    <row r="441" spans="1:6" x14ac:dyDescent="0.3">
      <c r="A441" s="132"/>
      <c r="B441" s="132"/>
      <c r="C441" s="132"/>
      <c r="D441" s="132"/>
      <c r="E441" s="132"/>
      <c r="F441" s="132"/>
    </row>
    <row r="442" spans="1:6" x14ac:dyDescent="0.3">
      <c r="A442" s="132"/>
      <c r="B442" s="132"/>
      <c r="C442" s="132"/>
      <c r="D442" s="132"/>
      <c r="E442" s="132"/>
      <c r="F442" s="132"/>
    </row>
    <row r="443" spans="1:6" x14ac:dyDescent="0.3">
      <c r="A443" s="132"/>
      <c r="B443" s="132"/>
      <c r="C443" s="132"/>
      <c r="D443" s="132"/>
      <c r="E443" s="132"/>
      <c r="F443" s="132"/>
    </row>
    <row r="444" spans="1:6" x14ac:dyDescent="0.3">
      <c r="A444" s="132"/>
      <c r="B444" s="132"/>
      <c r="C444" s="132"/>
      <c r="D444" s="132"/>
      <c r="E444" s="132"/>
      <c r="F444" s="132"/>
    </row>
    <row r="445" spans="1:6" x14ac:dyDescent="0.3">
      <c r="A445" s="132"/>
      <c r="B445" s="132"/>
      <c r="C445" s="132"/>
      <c r="D445" s="132"/>
      <c r="E445" s="132"/>
      <c r="F445" s="132"/>
    </row>
    <row r="446" spans="1:6" x14ac:dyDescent="0.3">
      <c r="A446" s="132"/>
      <c r="B446" s="132"/>
      <c r="C446" s="132"/>
      <c r="D446" s="132"/>
      <c r="E446" s="132"/>
      <c r="F446" s="132"/>
    </row>
    <row r="447" spans="1:6" x14ac:dyDescent="0.3">
      <c r="A447" s="132"/>
      <c r="B447" s="132"/>
      <c r="C447" s="132"/>
      <c r="D447" s="132"/>
      <c r="E447" s="132"/>
      <c r="F447" s="132"/>
    </row>
    <row r="448" spans="1:6" x14ac:dyDescent="0.3">
      <c r="A448" s="132"/>
      <c r="B448" s="132"/>
      <c r="C448" s="132"/>
      <c r="D448" s="132"/>
      <c r="E448" s="132"/>
      <c r="F448" s="132"/>
    </row>
    <row r="449" spans="1:6" x14ac:dyDescent="0.3">
      <c r="A449" s="132"/>
      <c r="B449" s="132"/>
      <c r="C449" s="132"/>
      <c r="D449" s="132"/>
      <c r="E449" s="132"/>
      <c r="F449" s="132"/>
    </row>
    <row r="450" spans="1:6" x14ac:dyDescent="0.3">
      <c r="A450" s="132"/>
      <c r="B450" s="132"/>
      <c r="C450" s="132"/>
      <c r="D450" s="132"/>
      <c r="E450" s="132"/>
      <c r="F450" s="132"/>
    </row>
    <row r="451" spans="1:6" x14ac:dyDescent="0.3">
      <c r="A451" s="132"/>
      <c r="B451" s="132"/>
      <c r="C451" s="132"/>
      <c r="D451" s="132"/>
      <c r="E451" s="132"/>
      <c r="F451" s="132"/>
    </row>
    <row r="452" spans="1:6" x14ac:dyDescent="0.3">
      <c r="A452" s="132"/>
      <c r="B452" s="132"/>
      <c r="C452" s="132"/>
      <c r="D452" s="132"/>
      <c r="E452" s="132"/>
      <c r="F452" s="132"/>
    </row>
    <row r="453" spans="1:6" x14ac:dyDescent="0.3">
      <c r="A453" s="132"/>
      <c r="B453" s="132"/>
      <c r="C453" s="132"/>
      <c r="D453" s="132"/>
      <c r="E453" s="132"/>
      <c r="F453" s="132"/>
    </row>
    <row r="454" spans="1:6" x14ac:dyDescent="0.3">
      <c r="A454" s="132"/>
      <c r="B454" s="132"/>
      <c r="C454" s="132"/>
      <c r="D454" s="132"/>
      <c r="E454" s="132"/>
      <c r="F454" s="132"/>
    </row>
    <row r="455" spans="1:6" x14ac:dyDescent="0.3">
      <c r="A455" s="132"/>
      <c r="B455" s="132"/>
      <c r="C455" s="132"/>
      <c r="D455" s="132"/>
      <c r="E455" s="132"/>
      <c r="F455" s="132"/>
    </row>
    <row r="456" spans="1:6" x14ac:dyDescent="0.3">
      <c r="A456" s="132"/>
      <c r="B456" s="132"/>
      <c r="C456" s="132"/>
      <c r="D456" s="132"/>
      <c r="E456" s="132"/>
      <c r="F456" s="132"/>
    </row>
    <row r="457" spans="1:6" x14ac:dyDescent="0.3">
      <c r="A457" s="132"/>
      <c r="B457" s="132"/>
      <c r="C457" s="132"/>
      <c r="D457" s="132"/>
      <c r="E457" s="132"/>
      <c r="F457" s="132"/>
    </row>
    <row r="458" spans="1:6" x14ac:dyDescent="0.3">
      <c r="A458" s="132"/>
      <c r="B458" s="132"/>
      <c r="C458" s="132"/>
      <c r="D458" s="132"/>
      <c r="E458" s="132"/>
      <c r="F458" s="132"/>
    </row>
    <row r="459" spans="1:6" x14ac:dyDescent="0.3">
      <c r="A459" s="132"/>
      <c r="B459" s="132"/>
      <c r="C459" s="132"/>
      <c r="D459" s="132"/>
      <c r="E459" s="132"/>
      <c r="F459" s="132"/>
    </row>
    <row r="460" spans="1:6" x14ac:dyDescent="0.3">
      <c r="A460" s="132"/>
      <c r="B460" s="132"/>
      <c r="C460" s="132"/>
      <c r="D460" s="132"/>
      <c r="E460" s="132"/>
      <c r="F460" s="132"/>
    </row>
    <row r="461" spans="1:6" x14ac:dyDescent="0.3">
      <c r="A461" s="132"/>
      <c r="B461" s="132"/>
      <c r="C461" s="132"/>
      <c r="D461" s="132"/>
      <c r="E461" s="132"/>
      <c r="F461" s="132"/>
    </row>
    <row r="462" spans="1:6" x14ac:dyDescent="0.3">
      <c r="A462" s="132"/>
      <c r="B462" s="132"/>
      <c r="C462" s="132"/>
      <c r="D462" s="132"/>
      <c r="E462" s="132"/>
      <c r="F462" s="132"/>
    </row>
    <row r="463" spans="1:6" x14ac:dyDescent="0.3">
      <c r="A463" s="132"/>
      <c r="B463" s="132"/>
      <c r="C463" s="132"/>
      <c r="D463" s="132"/>
      <c r="E463" s="132"/>
      <c r="F463" s="132"/>
    </row>
    <row r="464" spans="1:6" x14ac:dyDescent="0.3">
      <c r="A464" s="132"/>
      <c r="B464" s="132"/>
      <c r="C464" s="132"/>
      <c r="D464" s="132"/>
      <c r="E464" s="132"/>
      <c r="F464" s="132"/>
    </row>
    <row r="465" spans="1:6" x14ac:dyDescent="0.3">
      <c r="A465" s="132"/>
      <c r="B465" s="132"/>
      <c r="C465" s="132"/>
      <c r="D465" s="132"/>
      <c r="E465" s="132"/>
      <c r="F465" s="132"/>
    </row>
    <row r="466" spans="1:6" x14ac:dyDescent="0.3">
      <c r="A466" s="132"/>
      <c r="B466" s="132"/>
      <c r="C466" s="132"/>
      <c r="D466" s="132"/>
      <c r="E466" s="132"/>
      <c r="F466" s="132"/>
    </row>
    <row r="467" spans="1:6" x14ac:dyDescent="0.3">
      <c r="A467" s="132"/>
      <c r="B467" s="132"/>
      <c r="C467" s="132"/>
      <c r="D467" s="132"/>
      <c r="E467" s="132"/>
      <c r="F467" s="132"/>
    </row>
    <row r="468" spans="1:6" x14ac:dyDescent="0.3">
      <c r="A468" s="132"/>
      <c r="B468" s="132"/>
      <c r="C468" s="132"/>
      <c r="D468" s="132"/>
      <c r="E468" s="132"/>
      <c r="F468" s="132"/>
    </row>
    <row r="469" spans="1:6" x14ac:dyDescent="0.3">
      <c r="A469" s="132"/>
      <c r="B469" s="132"/>
      <c r="C469" s="132"/>
      <c r="D469" s="132"/>
      <c r="E469" s="132"/>
      <c r="F469" s="132"/>
    </row>
    <row r="470" spans="1:6" x14ac:dyDescent="0.3">
      <c r="A470" s="132"/>
      <c r="B470" s="132"/>
      <c r="C470" s="132"/>
      <c r="D470" s="132"/>
      <c r="E470" s="132"/>
      <c r="F470" s="132"/>
    </row>
    <row r="471" spans="1:6" x14ac:dyDescent="0.3">
      <c r="A471" s="132"/>
      <c r="B471" s="132"/>
      <c r="C471" s="132"/>
      <c r="D471" s="132"/>
      <c r="E471" s="132"/>
      <c r="F471" s="132"/>
    </row>
    <row r="472" spans="1:6" x14ac:dyDescent="0.3">
      <c r="A472" s="132"/>
      <c r="B472" s="132"/>
      <c r="C472" s="132"/>
      <c r="D472" s="132"/>
      <c r="E472" s="132"/>
      <c r="F472" s="132"/>
    </row>
    <row r="473" spans="1:6" x14ac:dyDescent="0.3">
      <c r="A473" s="132"/>
      <c r="B473" s="132"/>
      <c r="C473" s="132"/>
      <c r="D473" s="132"/>
      <c r="E473" s="132"/>
      <c r="F473" s="132"/>
    </row>
    <row r="474" spans="1:6" x14ac:dyDescent="0.3">
      <c r="A474" s="132"/>
      <c r="B474" s="132"/>
      <c r="C474" s="132"/>
      <c r="D474" s="132"/>
      <c r="E474" s="132"/>
      <c r="F474" s="132"/>
    </row>
    <row r="475" spans="1:6" x14ac:dyDescent="0.3">
      <c r="A475" s="132"/>
      <c r="B475" s="132"/>
      <c r="C475" s="132"/>
      <c r="D475" s="132"/>
      <c r="E475" s="132"/>
      <c r="F475" s="132"/>
    </row>
    <row r="476" spans="1:6" x14ac:dyDescent="0.3">
      <c r="A476" s="132"/>
      <c r="B476" s="132"/>
      <c r="C476" s="132"/>
      <c r="D476" s="132"/>
      <c r="E476" s="132"/>
      <c r="F476" s="132"/>
    </row>
    <row r="477" spans="1:6" x14ac:dyDescent="0.3">
      <c r="A477" s="132"/>
      <c r="B477" s="132"/>
      <c r="C477" s="132"/>
      <c r="D477" s="132"/>
      <c r="E477" s="132"/>
      <c r="F477" s="132"/>
    </row>
    <row r="478" spans="1:6" x14ac:dyDescent="0.3">
      <c r="A478" s="132"/>
      <c r="B478" s="132"/>
      <c r="C478" s="132"/>
      <c r="D478" s="132"/>
      <c r="E478" s="132"/>
      <c r="F478" s="132"/>
    </row>
    <row r="479" spans="1:6" x14ac:dyDescent="0.3">
      <c r="A479" s="132"/>
      <c r="B479" s="132"/>
      <c r="C479" s="132"/>
      <c r="D479" s="132"/>
      <c r="E479" s="132"/>
      <c r="F479" s="132"/>
    </row>
    <row r="480" spans="1:6" x14ac:dyDescent="0.3">
      <c r="A480" s="132"/>
      <c r="B480" s="132"/>
      <c r="C480" s="132"/>
      <c r="D480" s="132"/>
      <c r="E480" s="132"/>
      <c r="F480" s="132"/>
    </row>
    <row r="481" spans="1:6" x14ac:dyDescent="0.3">
      <c r="A481" s="132"/>
      <c r="B481" s="132"/>
      <c r="C481" s="132"/>
      <c r="D481" s="132"/>
      <c r="E481" s="132"/>
      <c r="F481" s="132"/>
    </row>
    <row r="482" spans="1:6" x14ac:dyDescent="0.3">
      <c r="A482" s="132"/>
      <c r="B482" s="132"/>
      <c r="C482" s="132"/>
      <c r="D482" s="132"/>
      <c r="E482" s="132"/>
      <c r="F482" s="132"/>
    </row>
    <row r="483" spans="1:6" x14ac:dyDescent="0.3">
      <c r="A483" s="132"/>
      <c r="B483" s="132"/>
      <c r="C483" s="132"/>
      <c r="D483" s="132"/>
      <c r="E483" s="132"/>
      <c r="F483" s="132"/>
    </row>
    <row r="484" spans="1:6" x14ac:dyDescent="0.3">
      <c r="A484" s="132"/>
      <c r="B484" s="132"/>
      <c r="C484" s="132"/>
      <c r="D484" s="132"/>
      <c r="E484" s="132"/>
      <c r="F484" s="132"/>
    </row>
    <row r="485" spans="1:6" x14ac:dyDescent="0.3">
      <c r="A485" s="132"/>
      <c r="B485" s="132"/>
      <c r="C485" s="132"/>
      <c r="D485" s="132"/>
      <c r="E485" s="132"/>
      <c r="F485" s="132"/>
    </row>
    <row r="486" spans="1:6" x14ac:dyDescent="0.3">
      <c r="A486" s="132"/>
      <c r="B486" s="132"/>
      <c r="C486" s="132"/>
      <c r="D486" s="132"/>
      <c r="E486" s="132"/>
      <c r="F486" s="132"/>
    </row>
    <row r="487" spans="1:6" x14ac:dyDescent="0.3">
      <c r="A487" s="132"/>
      <c r="B487" s="132"/>
      <c r="C487" s="132"/>
      <c r="D487" s="132"/>
      <c r="E487" s="132"/>
      <c r="F487" s="132"/>
    </row>
    <row r="488" spans="1:6" x14ac:dyDescent="0.3">
      <c r="A488" s="132"/>
      <c r="B488" s="132"/>
      <c r="C488" s="132"/>
      <c r="D488" s="132"/>
      <c r="E488" s="132"/>
      <c r="F488" s="132"/>
    </row>
    <row r="489" spans="1:6" x14ac:dyDescent="0.3">
      <c r="A489" s="132"/>
      <c r="B489" s="132"/>
      <c r="C489" s="132"/>
      <c r="D489" s="132"/>
      <c r="E489" s="132"/>
      <c r="F489" s="132"/>
    </row>
    <row r="490" spans="1:6" x14ac:dyDescent="0.3">
      <c r="A490" s="132"/>
      <c r="B490" s="132"/>
      <c r="C490" s="132"/>
      <c r="D490" s="132"/>
      <c r="E490" s="132"/>
      <c r="F490" s="132"/>
    </row>
    <row r="491" spans="1:6" x14ac:dyDescent="0.3">
      <c r="A491" s="132"/>
      <c r="B491" s="132"/>
      <c r="C491" s="132"/>
      <c r="D491" s="132"/>
      <c r="E491" s="132"/>
      <c r="F491" s="132"/>
    </row>
    <row r="492" spans="1:6" x14ac:dyDescent="0.3">
      <c r="A492" s="132"/>
      <c r="B492" s="132"/>
      <c r="C492" s="132"/>
      <c r="D492" s="132"/>
      <c r="E492" s="132"/>
      <c r="F492" s="132"/>
    </row>
    <row r="493" spans="1:6" x14ac:dyDescent="0.3">
      <c r="A493" s="132"/>
      <c r="B493" s="132"/>
      <c r="C493" s="132"/>
      <c r="D493" s="132"/>
      <c r="E493" s="132"/>
      <c r="F493" s="132"/>
    </row>
    <row r="494" spans="1:6" x14ac:dyDescent="0.3">
      <c r="A494" s="132"/>
      <c r="B494" s="132"/>
      <c r="C494" s="132"/>
      <c r="D494" s="132"/>
      <c r="E494" s="132"/>
      <c r="F494" s="132"/>
    </row>
    <row r="495" spans="1:6" x14ac:dyDescent="0.3">
      <c r="A495" s="132"/>
      <c r="B495" s="132"/>
      <c r="C495" s="132"/>
      <c r="D495" s="132"/>
      <c r="E495" s="132"/>
      <c r="F495" s="132"/>
    </row>
    <row r="496" spans="1:6" x14ac:dyDescent="0.3">
      <c r="A496" s="132"/>
      <c r="B496" s="132"/>
      <c r="C496" s="132"/>
      <c r="D496" s="132"/>
      <c r="E496" s="132"/>
      <c r="F496" s="132"/>
    </row>
    <row r="497" spans="1:6" x14ac:dyDescent="0.3">
      <c r="A497" s="132"/>
      <c r="B497" s="132"/>
      <c r="C497" s="132"/>
      <c r="D497" s="132"/>
      <c r="E497" s="132"/>
      <c r="F497" s="132"/>
    </row>
    <row r="498" spans="1:6" x14ac:dyDescent="0.3">
      <c r="A498" s="132"/>
      <c r="B498" s="132"/>
      <c r="C498" s="132"/>
      <c r="D498" s="132"/>
      <c r="E498" s="132"/>
      <c r="F498" s="132"/>
    </row>
    <row r="499" spans="1:6" x14ac:dyDescent="0.3">
      <c r="A499" s="132"/>
      <c r="B499" s="132"/>
      <c r="C499" s="132"/>
      <c r="D499" s="132"/>
      <c r="E499" s="132"/>
      <c r="F499" s="132"/>
    </row>
    <row r="500" spans="1:6" x14ac:dyDescent="0.3">
      <c r="A500" s="132"/>
      <c r="B500" s="132"/>
      <c r="C500" s="132"/>
      <c r="D500" s="132"/>
      <c r="E500" s="132"/>
      <c r="F500" s="132"/>
    </row>
    <row r="501" spans="1:6" x14ac:dyDescent="0.3">
      <c r="A501" s="132"/>
      <c r="B501" s="132"/>
      <c r="C501" s="132"/>
      <c r="D501" s="132"/>
      <c r="E501" s="132"/>
      <c r="F501" s="132"/>
    </row>
    <row r="502" spans="1:6" x14ac:dyDescent="0.3">
      <c r="A502" s="132"/>
      <c r="B502" s="132"/>
      <c r="C502" s="132"/>
      <c r="D502" s="132"/>
      <c r="E502" s="132"/>
      <c r="F502" s="132"/>
    </row>
    <row r="503" spans="1:6" x14ac:dyDescent="0.3">
      <c r="A503" s="132"/>
      <c r="B503" s="132"/>
      <c r="C503" s="132"/>
      <c r="D503" s="132"/>
      <c r="E503" s="132"/>
      <c r="F503" s="132"/>
    </row>
    <row r="504" spans="1:6" x14ac:dyDescent="0.3">
      <c r="A504" s="132"/>
      <c r="B504" s="132"/>
      <c r="C504" s="132"/>
      <c r="D504" s="132"/>
      <c r="E504" s="132"/>
      <c r="F504" s="132"/>
    </row>
    <row r="505" spans="1:6" x14ac:dyDescent="0.3">
      <c r="A505" s="132"/>
      <c r="B505" s="132"/>
      <c r="C505" s="132"/>
      <c r="D505" s="132"/>
      <c r="E505" s="132"/>
      <c r="F505" s="132"/>
    </row>
    <row r="506" spans="1:6" x14ac:dyDescent="0.3">
      <c r="A506" s="132"/>
      <c r="B506" s="132"/>
      <c r="C506" s="132"/>
      <c r="D506" s="132"/>
      <c r="E506" s="132"/>
      <c r="F506" s="132"/>
    </row>
    <row r="507" spans="1:6" x14ac:dyDescent="0.3">
      <c r="A507" s="132"/>
      <c r="B507" s="132"/>
      <c r="C507" s="132"/>
      <c r="D507" s="132"/>
      <c r="E507" s="132"/>
      <c r="F507" s="132"/>
    </row>
    <row r="508" spans="1:6" x14ac:dyDescent="0.3">
      <c r="A508" s="132"/>
      <c r="B508" s="132"/>
      <c r="C508" s="132"/>
      <c r="D508" s="132"/>
      <c r="E508" s="132"/>
      <c r="F508" s="132"/>
    </row>
    <row r="509" spans="1:6" x14ac:dyDescent="0.3">
      <c r="A509" s="132"/>
      <c r="B509" s="132"/>
      <c r="C509" s="132"/>
      <c r="D509" s="132"/>
      <c r="E509" s="132"/>
      <c r="F509" s="132"/>
    </row>
    <row r="510" spans="1:6" x14ac:dyDescent="0.3">
      <c r="A510" s="132"/>
      <c r="B510" s="132"/>
      <c r="C510" s="132"/>
      <c r="D510" s="132"/>
      <c r="E510" s="132"/>
      <c r="F510" s="132"/>
    </row>
    <row r="511" spans="1:6" x14ac:dyDescent="0.3">
      <c r="A511" s="132"/>
      <c r="B511" s="132"/>
      <c r="C511" s="132"/>
      <c r="D511" s="132"/>
      <c r="E511" s="132"/>
      <c r="F511" s="132"/>
    </row>
    <row r="512" spans="1:6" x14ac:dyDescent="0.3">
      <c r="A512" s="132"/>
      <c r="B512" s="132"/>
      <c r="C512" s="132"/>
      <c r="D512" s="132"/>
      <c r="E512" s="132"/>
      <c r="F512" s="132"/>
    </row>
    <row r="513" spans="1:6" x14ac:dyDescent="0.3">
      <c r="A513" s="132"/>
      <c r="B513" s="132"/>
      <c r="C513" s="132"/>
      <c r="D513" s="132"/>
      <c r="E513" s="132"/>
      <c r="F513" s="132"/>
    </row>
    <row r="514" spans="1:6" x14ac:dyDescent="0.3">
      <c r="A514" s="132"/>
      <c r="B514" s="132"/>
      <c r="C514" s="132"/>
      <c r="D514" s="132"/>
      <c r="E514" s="132"/>
      <c r="F514" s="132"/>
    </row>
    <row r="515" spans="1:6" x14ac:dyDescent="0.3">
      <c r="A515" s="132"/>
      <c r="B515" s="132"/>
      <c r="C515" s="132"/>
      <c r="D515" s="132"/>
      <c r="E515" s="132"/>
      <c r="F515" s="132"/>
    </row>
    <row r="516" spans="1:6" x14ac:dyDescent="0.3">
      <c r="A516" s="132"/>
      <c r="B516" s="132"/>
      <c r="C516" s="132"/>
      <c r="D516" s="132"/>
      <c r="E516" s="132"/>
      <c r="F516" s="132"/>
    </row>
    <row r="517" spans="1:6" x14ac:dyDescent="0.3">
      <c r="A517" s="132"/>
      <c r="B517" s="132"/>
      <c r="C517" s="132"/>
      <c r="D517" s="132"/>
      <c r="E517" s="132"/>
      <c r="F517" s="132"/>
    </row>
    <row r="518" spans="1:6" x14ac:dyDescent="0.3">
      <c r="A518" s="132"/>
      <c r="B518" s="132"/>
      <c r="C518" s="132"/>
      <c r="D518" s="132"/>
      <c r="E518" s="132"/>
      <c r="F518" s="132"/>
    </row>
    <row r="519" spans="1:6" x14ac:dyDescent="0.3">
      <c r="A519" s="132"/>
      <c r="B519" s="132"/>
      <c r="C519" s="132"/>
      <c r="D519" s="132"/>
      <c r="E519" s="132"/>
      <c r="F519" s="132"/>
    </row>
    <row r="520" spans="1:6" x14ac:dyDescent="0.3">
      <c r="A520" s="132"/>
      <c r="B520" s="132"/>
      <c r="C520" s="132"/>
      <c r="D520" s="132"/>
      <c r="E520" s="132"/>
      <c r="F520" s="132"/>
    </row>
    <row r="521" spans="1:6" x14ac:dyDescent="0.3">
      <c r="A521" s="132"/>
      <c r="B521" s="132"/>
      <c r="C521" s="132"/>
      <c r="D521" s="132"/>
      <c r="E521" s="132"/>
      <c r="F521" s="132"/>
    </row>
    <row r="522" spans="1:6" x14ac:dyDescent="0.3">
      <c r="A522" s="132"/>
      <c r="B522" s="132"/>
      <c r="C522" s="132"/>
      <c r="D522" s="132"/>
      <c r="E522" s="132"/>
      <c r="F522" s="132"/>
    </row>
    <row r="523" spans="1:6" x14ac:dyDescent="0.3">
      <c r="A523" s="132"/>
      <c r="B523" s="132"/>
      <c r="C523" s="132"/>
      <c r="D523" s="132"/>
      <c r="E523" s="132"/>
      <c r="F523" s="132"/>
    </row>
    <row r="524" spans="1:6" x14ac:dyDescent="0.3">
      <c r="A524" s="132"/>
      <c r="B524" s="132"/>
      <c r="C524" s="132"/>
      <c r="D524" s="132"/>
      <c r="E524" s="132"/>
      <c r="F524" s="132"/>
    </row>
    <row r="525" spans="1:6" x14ac:dyDescent="0.3">
      <c r="A525" s="132"/>
      <c r="B525" s="132"/>
      <c r="C525" s="132"/>
      <c r="D525" s="132"/>
      <c r="E525" s="132"/>
      <c r="F525" s="132"/>
    </row>
    <row r="526" spans="1:6" x14ac:dyDescent="0.3">
      <c r="A526" s="132"/>
      <c r="B526" s="132"/>
      <c r="C526" s="132"/>
      <c r="D526" s="132"/>
      <c r="E526" s="132"/>
      <c r="F526" s="132"/>
    </row>
    <row r="527" spans="1:6" x14ac:dyDescent="0.3">
      <c r="A527" s="132"/>
      <c r="B527" s="132"/>
      <c r="C527" s="132"/>
      <c r="D527" s="132"/>
      <c r="E527" s="132"/>
      <c r="F527" s="132"/>
    </row>
    <row r="528" spans="1:6" x14ac:dyDescent="0.3">
      <c r="A528" s="132"/>
      <c r="B528" s="132"/>
      <c r="C528" s="132"/>
      <c r="D528" s="132"/>
      <c r="E528" s="132"/>
      <c r="F528" s="132"/>
    </row>
    <row r="529" spans="1:6" x14ac:dyDescent="0.3">
      <c r="A529" s="132"/>
      <c r="B529" s="132"/>
      <c r="C529" s="132"/>
      <c r="D529" s="132"/>
      <c r="E529" s="132"/>
      <c r="F529" s="132"/>
    </row>
    <row r="530" spans="1:6" x14ac:dyDescent="0.3">
      <c r="A530" s="132"/>
      <c r="B530" s="132"/>
      <c r="C530" s="132"/>
      <c r="D530" s="132"/>
      <c r="E530" s="132"/>
      <c r="F530" s="132"/>
    </row>
    <row r="531" spans="1:6" x14ac:dyDescent="0.3">
      <c r="A531" s="132"/>
      <c r="B531" s="132"/>
      <c r="C531" s="132"/>
      <c r="D531" s="132"/>
      <c r="E531" s="132"/>
      <c r="F531" s="132"/>
    </row>
    <row r="532" spans="1:6" x14ac:dyDescent="0.3">
      <c r="A532" s="132"/>
      <c r="B532" s="132"/>
      <c r="C532" s="132"/>
      <c r="D532" s="132"/>
      <c r="E532" s="132"/>
      <c r="F532" s="132"/>
    </row>
    <row r="533" spans="1:6" x14ac:dyDescent="0.3">
      <c r="A533" s="132"/>
      <c r="B533" s="132"/>
      <c r="C533" s="132"/>
      <c r="D533" s="132"/>
      <c r="E533" s="132"/>
      <c r="F533" s="132"/>
    </row>
    <row r="534" spans="1:6" x14ac:dyDescent="0.3">
      <c r="A534" s="132"/>
      <c r="B534" s="132"/>
      <c r="C534" s="132"/>
      <c r="D534" s="132"/>
      <c r="E534" s="132"/>
      <c r="F534" s="132"/>
    </row>
    <row r="535" spans="1:6" x14ac:dyDescent="0.3">
      <c r="A535" s="132"/>
      <c r="B535" s="132"/>
      <c r="C535" s="132"/>
      <c r="D535" s="132"/>
      <c r="E535" s="132"/>
      <c r="F535" s="132"/>
    </row>
    <row r="536" spans="1:6" x14ac:dyDescent="0.3">
      <c r="A536" s="132"/>
      <c r="B536" s="132"/>
      <c r="C536" s="132"/>
      <c r="D536" s="132"/>
      <c r="E536" s="132"/>
      <c r="F536" s="132"/>
    </row>
    <row r="537" spans="1:6" x14ac:dyDescent="0.3">
      <c r="A537" s="132"/>
      <c r="B537" s="132"/>
      <c r="C537" s="132"/>
      <c r="D537" s="132"/>
      <c r="E537" s="132"/>
      <c r="F537" s="132"/>
    </row>
    <row r="538" spans="1:6" x14ac:dyDescent="0.3">
      <c r="A538" s="132"/>
      <c r="B538" s="132"/>
      <c r="C538" s="132"/>
      <c r="D538" s="132"/>
      <c r="E538" s="132"/>
      <c r="F538" s="132"/>
    </row>
    <row r="539" spans="1:6" x14ac:dyDescent="0.3">
      <c r="A539" s="132"/>
      <c r="B539" s="132"/>
      <c r="C539" s="132"/>
      <c r="D539" s="132"/>
      <c r="E539" s="132"/>
      <c r="F539" s="132"/>
    </row>
    <row r="540" spans="1:6" x14ac:dyDescent="0.3">
      <c r="A540" s="132"/>
      <c r="B540" s="132"/>
      <c r="C540" s="132"/>
      <c r="D540" s="132"/>
      <c r="E540" s="132"/>
      <c r="F540" s="132"/>
    </row>
    <row r="541" spans="1:6" x14ac:dyDescent="0.3">
      <c r="A541" s="132"/>
      <c r="B541" s="132"/>
      <c r="C541" s="132"/>
      <c r="D541" s="132"/>
      <c r="E541" s="132"/>
      <c r="F541" s="132"/>
    </row>
    <row r="542" spans="1:6" x14ac:dyDescent="0.3">
      <c r="A542" s="132"/>
      <c r="B542" s="132"/>
      <c r="C542" s="132"/>
      <c r="D542" s="132"/>
      <c r="E542" s="132"/>
      <c r="F542" s="132"/>
    </row>
    <row r="543" spans="1:6" x14ac:dyDescent="0.3">
      <c r="A543" s="132"/>
      <c r="B543" s="132"/>
      <c r="C543" s="132"/>
      <c r="D543" s="132"/>
      <c r="E543" s="132"/>
      <c r="F543" s="132"/>
    </row>
    <row r="544" spans="1:6" x14ac:dyDescent="0.3">
      <c r="A544" s="132"/>
      <c r="B544" s="132"/>
      <c r="C544" s="132"/>
      <c r="D544" s="132"/>
      <c r="E544" s="132"/>
      <c r="F544" s="132"/>
    </row>
    <row r="545" spans="1:6" x14ac:dyDescent="0.3">
      <c r="A545" s="132"/>
      <c r="B545" s="132"/>
      <c r="C545" s="132"/>
      <c r="D545" s="132"/>
      <c r="E545" s="132"/>
      <c r="F545" s="132"/>
    </row>
    <row r="546" spans="1:6" x14ac:dyDescent="0.3">
      <c r="A546" s="132"/>
      <c r="B546" s="132"/>
      <c r="C546" s="132"/>
      <c r="D546" s="132"/>
      <c r="E546" s="132"/>
      <c r="F546" s="132"/>
    </row>
    <row r="547" spans="1:6" x14ac:dyDescent="0.3">
      <c r="A547" s="132"/>
      <c r="B547" s="132"/>
      <c r="C547" s="132"/>
      <c r="D547" s="132"/>
      <c r="E547" s="132"/>
      <c r="F547" s="132"/>
    </row>
    <row r="548" spans="1:6" x14ac:dyDescent="0.3">
      <c r="A548" s="132"/>
      <c r="B548" s="132"/>
      <c r="C548" s="132"/>
      <c r="D548" s="132"/>
      <c r="E548" s="132"/>
      <c r="F548" s="132"/>
    </row>
    <row r="549" spans="1:6" x14ac:dyDescent="0.3">
      <c r="A549" s="132"/>
      <c r="B549" s="132"/>
      <c r="C549" s="132"/>
      <c r="D549" s="132"/>
      <c r="E549" s="132"/>
      <c r="F549" s="132"/>
    </row>
    <row r="550" spans="1:6" x14ac:dyDescent="0.3">
      <c r="A550" s="132"/>
      <c r="B550" s="132"/>
      <c r="C550" s="132"/>
      <c r="D550" s="132"/>
      <c r="E550" s="132"/>
      <c r="F550" s="132"/>
    </row>
    <row r="551" spans="1:6" x14ac:dyDescent="0.3">
      <c r="A551" s="132"/>
      <c r="B551" s="132"/>
      <c r="C551" s="132"/>
      <c r="D551" s="132"/>
      <c r="E551" s="132"/>
      <c r="F551" s="132"/>
    </row>
    <row r="552" spans="1:6" x14ac:dyDescent="0.3">
      <c r="A552" s="132"/>
      <c r="B552" s="132"/>
      <c r="C552" s="132"/>
      <c r="D552" s="132"/>
      <c r="E552" s="132"/>
      <c r="F552" s="132"/>
    </row>
    <row r="553" spans="1:6" x14ac:dyDescent="0.3">
      <c r="A553" s="132"/>
      <c r="B553" s="132"/>
      <c r="C553" s="132"/>
      <c r="D553" s="132"/>
      <c r="E553" s="132"/>
      <c r="F553" s="132"/>
    </row>
    <row r="554" spans="1:6" x14ac:dyDescent="0.3">
      <c r="A554" s="132"/>
      <c r="B554" s="132"/>
      <c r="C554" s="132"/>
      <c r="D554" s="132"/>
      <c r="E554" s="132"/>
      <c r="F554" s="132"/>
    </row>
    <row r="555" spans="1:6" x14ac:dyDescent="0.3">
      <c r="A555" s="132"/>
      <c r="B555" s="132"/>
      <c r="C555" s="132"/>
      <c r="D555" s="132"/>
      <c r="E555" s="132"/>
      <c r="F555" s="132"/>
    </row>
    <row r="556" spans="1:6" x14ac:dyDescent="0.3">
      <c r="A556" s="132"/>
      <c r="B556" s="132"/>
      <c r="C556" s="132"/>
      <c r="D556" s="132"/>
      <c r="E556" s="132"/>
      <c r="F556" s="132"/>
    </row>
    <row r="557" spans="1:6" x14ac:dyDescent="0.3">
      <c r="A557" s="132"/>
      <c r="B557" s="132"/>
      <c r="C557" s="132"/>
      <c r="D557" s="132"/>
      <c r="E557" s="132"/>
      <c r="F557" s="132"/>
    </row>
    <row r="558" spans="1:6" x14ac:dyDescent="0.3">
      <c r="A558" s="132"/>
      <c r="B558" s="132"/>
      <c r="C558" s="132"/>
      <c r="D558" s="132"/>
      <c r="E558" s="132"/>
      <c r="F558" s="132"/>
    </row>
    <row r="559" spans="1:6" x14ac:dyDescent="0.3">
      <c r="A559" s="132"/>
      <c r="B559" s="132"/>
      <c r="C559" s="132"/>
      <c r="D559" s="132"/>
      <c r="E559" s="132"/>
      <c r="F559" s="132"/>
    </row>
    <row r="560" spans="1:6" x14ac:dyDescent="0.3">
      <c r="A560" s="132"/>
      <c r="B560" s="132"/>
      <c r="C560" s="132"/>
      <c r="D560" s="132"/>
      <c r="E560" s="132"/>
      <c r="F560" s="132"/>
    </row>
    <row r="561" spans="1:6" x14ac:dyDescent="0.3">
      <c r="A561" s="132"/>
      <c r="B561" s="132"/>
      <c r="C561" s="132"/>
      <c r="D561" s="132"/>
      <c r="E561" s="132"/>
      <c r="F561" s="132"/>
    </row>
    <row r="562" spans="1:6" x14ac:dyDescent="0.3">
      <c r="A562" s="132"/>
      <c r="B562" s="132"/>
      <c r="C562" s="132"/>
      <c r="D562" s="132"/>
      <c r="E562" s="132"/>
      <c r="F562" s="132"/>
    </row>
    <row r="563" spans="1:6" x14ac:dyDescent="0.3">
      <c r="A563" s="132"/>
      <c r="B563" s="132"/>
      <c r="C563" s="132"/>
      <c r="D563" s="132"/>
      <c r="E563" s="132"/>
      <c r="F563" s="132"/>
    </row>
    <row r="564" spans="1:6" x14ac:dyDescent="0.3">
      <c r="A564" s="132"/>
      <c r="B564" s="132"/>
      <c r="C564" s="132"/>
      <c r="D564" s="132"/>
      <c r="E564" s="132"/>
      <c r="F564" s="132"/>
    </row>
    <row r="565" spans="1:6" x14ac:dyDescent="0.3">
      <c r="A565" s="132"/>
      <c r="B565" s="132"/>
      <c r="C565" s="132"/>
      <c r="D565" s="132"/>
      <c r="E565" s="132"/>
      <c r="F565" s="132"/>
    </row>
    <row r="566" spans="1:6" x14ac:dyDescent="0.3">
      <c r="A566" s="132"/>
      <c r="B566" s="132"/>
      <c r="C566" s="132"/>
      <c r="D566" s="132"/>
      <c r="E566" s="132"/>
      <c r="F566" s="132"/>
    </row>
    <row r="567" spans="1:6" x14ac:dyDescent="0.3">
      <c r="A567" s="132"/>
      <c r="B567" s="132"/>
      <c r="C567" s="132"/>
      <c r="D567" s="132"/>
      <c r="E567" s="132"/>
      <c r="F567" s="132"/>
    </row>
    <row r="568" spans="1:6" x14ac:dyDescent="0.3">
      <c r="A568" s="132"/>
      <c r="B568" s="132"/>
      <c r="C568" s="132"/>
      <c r="D568" s="132"/>
      <c r="E568" s="132"/>
      <c r="F568" s="132"/>
    </row>
    <row r="569" spans="1:6" x14ac:dyDescent="0.3">
      <c r="A569" s="132"/>
      <c r="B569" s="132"/>
      <c r="C569" s="132"/>
      <c r="D569" s="132"/>
      <c r="E569" s="132"/>
      <c r="F569" s="132"/>
    </row>
    <row r="570" spans="1:6" x14ac:dyDescent="0.3">
      <c r="A570" s="132"/>
      <c r="B570" s="132"/>
      <c r="C570" s="132"/>
      <c r="D570" s="132"/>
      <c r="E570" s="132"/>
      <c r="F570" s="132"/>
    </row>
    <row r="571" spans="1:6" x14ac:dyDescent="0.3">
      <c r="A571" s="132"/>
      <c r="B571" s="132"/>
      <c r="C571" s="132"/>
      <c r="D571" s="132"/>
      <c r="E571" s="132"/>
      <c r="F571" s="132"/>
    </row>
    <row r="572" spans="1:6" x14ac:dyDescent="0.3">
      <c r="A572" s="132"/>
      <c r="B572" s="132"/>
      <c r="C572" s="132"/>
      <c r="D572" s="132"/>
      <c r="E572" s="132"/>
      <c r="F572" s="132"/>
    </row>
    <row r="573" spans="1:6" x14ac:dyDescent="0.3">
      <c r="A573" s="132"/>
      <c r="B573" s="132"/>
      <c r="C573" s="132"/>
      <c r="D573" s="132"/>
      <c r="E573" s="132"/>
      <c r="F573" s="132"/>
    </row>
    <row r="574" spans="1:6" x14ac:dyDescent="0.3">
      <c r="A574" s="132"/>
      <c r="B574" s="132"/>
      <c r="C574" s="132"/>
      <c r="D574" s="132"/>
      <c r="E574" s="132"/>
      <c r="F574" s="132"/>
    </row>
    <row r="575" spans="1:6" x14ac:dyDescent="0.3">
      <c r="A575" s="132"/>
      <c r="B575" s="132"/>
      <c r="C575" s="132"/>
      <c r="D575" s="132"/>
      <c r="E575" s="132"/>
      <c r="F575" s="132"/>
    </row>
    <row r="576" spans="1:6" x14ac:dyDescent="0.3">
      <c r="A576" s="132"/>
      <c r="B576" s="132"/>
      <c r="C576" s="132"/>
      <c r="D576" s="132"/>
      <c r="E576" s="132"/>
      <c r="F576" s="132"/>
    </row>
    <row r="577" spans="1:6" x14ac:dyDescent="0.3">
      <c r="A577" s="132"/>
      <c r="B577" s="132"/>
      <c r="C577" s="132"/>
      <c r="D577" s="132"/>
      <c r="E577" s="132"/>
      <c r="F577" s="132"/>
    </row>
    <row r="578" spans="1:6" x14ac:dyDescent="0.3">
      <c r="A578" s="132"/>
      <c r="B578" s="132"/>
      <c r="C578" s="132"/>
      <c r="D578" s="132"/>
      <c r="E578" s="132"/>
      <c r="F578" s="132"/>
    </row>
    <row r="579" spans="1:6" x14ac:dyDescent="0.3">
      <c r="A579" s="132"/>
      <c r="B579" s="132"/>
      <c r="C579" s="132"/>
      <c r="D579" s="132"/>
      <c r="E579" s="132"/>
      <c r="F579" s="132"/>
    </row>
    <row r="580" spans="1:6" x14ac:dyDescent="0.3">
      <c r="A580" s="132"/>
      <c r="B580" s="132"/>
      <c r="C580" s="132"/>
      <c r="D580" s="132"/>
      <c r="E580" s="132"/>
      <c r="F580" s="132"/>
    </row>
    <row r="581" spans="1:6" x14ac:dyDescent="0.3">
      <c r="A581" s="132"/>
      <c r="B581" s="132"/>
      <c r="C581" s="132"/>
      <c r="D581" s="132"/>
      <c r="E581" s="132"/>
      <c r="F581" s="132"/>
    </row>
    <row r="582" spans="1:6" x14ac:dyDescent="0.3">
      <c r="A582" s="132"/>
      <c r="B582" s="132"/>
      <c r="C582" s="132"/>
      <c r="D582" s="132"/>
      <c r="E582" s="132"/>
      <c r="F582" s="132"/>
    </row>
    <row r="583" spans="1:6" x14ac:dyDescent="0.3">
      <c r="A583" s="132"/>
      <c r="B583" s="132"/>
      <c r="C583" s="132"/>
      <c r="D583" s="132"/>
      <c r="E583" s="132"/>
      <c r="F583" s="132"/>
    </row>
    <row r="584" spans="1:6" x14ac:dyDescent="0.3">
      <c r="A584" s="132"/>
      <c r="B584" s="132"/>
      <c r="C584" s="132"/>
      <c r="D584" s="132"/>
      <c r="E584" s="132"/>
      <c r="F584" s="132"/>
    </row>
    <row r="585" spans="1:6" x14ac:dyDescent="0.3">
      <c r="A585" s="132"/>
      <c r="B585" s="132"/>
      <c r="C585" s="132"/>
      <c r="D585" s="132"/>
      <c r="E585" s="132"/>
      <c r="F585" s="132"/>
    </row>
    <row r="586" spans="1:6" x14ac:dyDescent="0.3">
      <c r="A586" s="132"/>
      <c r="B586" s="132"/>
      <c r="C586" s="132"/>
      <c r="D586" s="132"/>
      <c r="E586" s="132"/>
      <c r="F586" s="132"/>
    </row>
    <row r="587" spans="1:6" x14ac:dyDescent="0.3">
      <c r="A587" s="132"/>
      <c r="B587" s="132"/>
      <c r="C587" s="132"/>
      <c r="D587" s="132"/>
      <c r="E587" s="132"/>
      <c r="F587" s="132"/>
    </row>
    <row r="588" spans="1:6" x14ac:dyDescent="0.3">
      <c r="A588" s="132"/>
      <c r="B588" s="132"/>
      <c r="C588" s="132"/>
      <c r="D588" s="132"/>
      <c r="E588" s="132"/>
      <c r="F588" s="132"/>
    </row>
    <row r="589" spans="1:6" x14ac:dyDescent="0.3">
      <c r="A589" s="132"/>
      <c r="B589" s="132"/>
      <c r="C589" s="132"/>
      <c r="D589" s="132"/>
      <c r="E589" s="132"/>
      <c r="F589" s="132"/>
    </row>
    <row r="590" spans="1:6" x14ac:dyDescent="0.3">
      <c r="A590" s="132"/>
      <c r="B590" s="132"/>
      <c r="C590" s="132"/>
      <c r="D590" s="132"/>
      <c r="E590" s="132"/>
      <c r="F590" s="132"/>
    </row>
    <row r="591" spans="1:6" x14ac:dyDescent="0.3">
      <c r="A591" s="132"/>
      <c r="B591" s="132"/>
      <c r="C591" s="132"/>
      <c r="D591" s="132"/>
      <c r="E591" s="132"/>
      <c r="F591" s="132"/>
    </row>
    <row r="592" spans="1:6" x14ac:dyDescent="0.3">
      <c r="A592" s="132"/>
      <c r="B592" s="132"/>
      <c r="C592" s="132"/>
      <c r="D592" s="132"/>
      <c r="E592" s="132"/>
      <c r="F592" s="132"/>
    </row>
    <row r="593" spans="1:6" x14ac:dyDescent="0.3">
      <c r="A593" s="132"/>
      <c r="B593" s="132"/>
      <c r="C593" s="132"/>
      <c r="D593" s="132"/>
      <c r="E593" s="132"/>
      <c r="F593" s="132"/>
    </row>
    <row r="594" spans="1:6" x14ac:dyDescent="0.3">
      <c r="A594" s="132"/>
      <c r="B594" s="132"/>
      <c r="C594" s="132"/>
      <c r="D594" s="132"/>
      <c r="E594" s="132"/>
      <c r="F594" s="132"/>
    </row>
    <row r="595" spans="1:6" x14ac:dyDescent="0.3">
      <c r="A595" s="132"/>
      <c r="B595" s="132"/>
      <c r="C595" s="132"/>
      <c r="D595" s="132"/>
      <c r="E595" s="132"/>
      <c r="F595" s="132"/>
    </row>
    <row r="596" spans="1:6" x14ac:dyDescent="0.3">
      <c r="A596" s="132"/>
      <c r="B596" s="132"/>
      <c r="C596" s="132"/>
      <c r="D596" s="132"/>
      <c r="E596" s="132"/>
      <c r="F596" s="132"/>
    </row>
    <row r="597" spans="1:6" x14ac:dyDescent="0.3">
      <c r="A597" s="132"/>
      <c r="B597" s="132"/>
      <c r="C597" s="132"/>
      <c r="D597" s="132"/>
      <c r="E597" s="132"/>
      <c r="F597" s="132"/>
    </row>
    <row r="598" spans="1:6" x14ac:dyDescent="0.3">
      <c r="A598" s="132"/>
      <c r="B598" s="132"/>
      <c r="C598" s="132"/>
      <c r="D598" s="132"/>
      <c r="E598" s="132"/>
      <c r="F598" s="132"/>
    </row>
    <row r="599" spans="1:6" x14ac:dyDescent="0.3">
      <c r="A599" s="132"/>
      <c r="B599" s="132"/>
      <c r="C599" s="132"/>
      <c r="D599" s="132"/>
      <c r="E599" s="132"/>
      <c r="F599" s="132"/>
    </row>
    <row r="600" spans="1:6" x14ac:dyDescent="0.3">
      <c r="A600" s="132"/>
      <c r="B600" s="132"/>
      <c r="C600" s="132"/>
      <c r="D600" s="132"/>
      <c r="E600" s="132"/>
      <c r="F600" s="132"/>
    </row>
    <row r="601" spans="1:6" x14ac:dyDescent="0.3">
      <c r="A601" s="132"/>
      <c r="B601" s="132"/>
      <c r="C601" s="132"/>
      <c r="D601" s="132"/>
      <c r="E601" s="132"/>
      <c r="F601" s="132"/>
    </row>
    <row r="602" spans="1:6" x14ac:dyDescent="0.3">
      <c r="A602" s="132"/>
      <c r="B602" s="132"/>
      <c r="C602" s="132"/>
      <c r="D602" s="132"/>
      <c r="E602" s="132"/>
      <c r="F602" s="132"/>
    </row>
    <row r="603" spans="1:6" x14ac:dyDescent="0.3">
      <c r="A603" s="132"/>
      <c r="B603" s="132"/>
      <c r="C603" s="132"/>
      <c r="D603" s="132"/>
      <c r="E603" s="132"/>
      <c r="F603" s="132"/>
    </row>
    <row r="604" spans="1:6" x14ac:dyDescent="0.3">
      <c r="A604" s="132"/>
      <c r="B604" s="132"/>
      <c r="C604" s="132"/>
      <c r="D604" s="132"/>
      <c r="E604" s="132"/>
      <c r="F604" s="132"/>
    </row>
    <row r="605" spans="1:6" x14ac:dyDescent="0.3">
      <c r="A605" s="132"/>
      <c r="B605" s="132"/>
      <c r="C605" s="132"/>
      <c r="D605" s="132"/>
      <c r="E605" s="132"/>
      <c r="F605" s="132"/>
    </row>
    <row r="606" spans="1:6" x14ac:dyDescent="0.3">
      <c r="A606" s="132"/>
      <c r="B606" s="132"/>
      <c r="C606" s="132"/>
      <c r="D606" s="132"/>
      <c r="E606" s="132"/>
      <c r="F606" s="132"/>
    </row>
    <row r="607" spans="1:6" x14ac:dyDescent="0.3">
      <c r="A607" s="132"/>
      <c r="B607" s="132"/>
      <c r="C607" s="132"/>
      <c r="D607" s="132"/>
      <c r="E607" s="132"/>
      <c r="F607" s="132"/>
    </row>
    <row r="608" spans="1:6" x14ac:dyDescent="0.3">
      <c r="A608" s="132"/>
      <c r="B608" s="132"/>
      <c r="C608" s="132"/>
      <c r="D608" s="132"/>
      <c r="E608" s="132"/>
      <c r="F608" s="132"/>
    </row>
    <row r="609" spans="1:6" x14ac:dyDescent="0.3">
      <c r="A609" s="132"/>
      <c r="B609" s="132"/>
      <c r="C609" s="132"/>
      <c r="D609" s="132"/>
      <c r="E609" s="132"/>
      <c r="F609" s="132"/>
    </row>
    <row r="610" spans="1:6" x14ac:dyDescent="0.3">
      <c r="A610" s="132"/>
      <c r="B610" s="132"/>
      <c r="C610" s="132"/>
      <c r="D610" s="132"/>
      <c r="E610" s="132"/>
      <c r="F610" s="132"/>
    </row>
    <row r="611" spans="1:6" x14ac:dyDescent="0.3">
      <c r="A611" s="132"/>
      <c r="B611" s="132"/>
      <c r="C611" s="132"/>
      <c r="D611" s="132"/>
      <c r="E611" s="132"/>
      <c r="F611" s="132"/>
    </row>
    <row r="612" spans="1:6" x14ac:dyDescent="0.3">
      <c r="A612" s="132"/>
      <c r="B612" s="132"/>
      <c r="C612" s="132"/>
      <c r="D612" s="132"/>
      <c r="E612" s="132"/>
      <c r="F612" s="132"/>
    </row>
    <row r="613" spans="1:6" x14ac:dyDescent="0.3">
      <c r="A613" s="132"/>
      <c r="B613" s="132"/>
      <c r="C613" s="132"/>
      <c r="D613" s="132"/>
      <c r="E613" s="132"/>
      <c r="F613" s="132"/>
    </row>
    <row r="614" spans="1:6" x14ac:dyDescent="0.3">
      <c r="A614" s="132"/>
      <c r="B614" s="132"/>
      <c r="C614" s="132"/>
      <c r="D614" s="132"/>
      <c r="E614" s="132"/>
      <c r="F614" s="132"/>
    </row>
    <row r="615" spans="1:6" x14ac:dyDescent="0.3">
      <c r="A615" s="132"/>
      <c r="B615" s="132"/>
      <c r="C615" s="132"/>
      <c r="D615" s="132"/>
      <c r="E615" s="132"/>
      <c r="F615" s="132"/>
    </row>
    <row r="616" spans="1:6" x14ac:dyDescent="0.3">
      <c r="A616" s="132"/>
      <c r="B616" s="132"/>
      <c r="C616" s="132"/>
      <c r="D616" s="132"/>
      <c r="E616" s="132"/>
      <c r="F616" s="132"/>
    </row>
    <row r="617" spans="1:6" x14ac:dyDescent="0.3">
      <c r="A617" s="132"/>
      <c r="B617" s="132"/>
      <c r="C617" s="132"/>
      <c r="D617" s="132"/>
      <c r="E617" s="132"/>
      <c r="F617" s="132"/>
    </row>
    <row r="618" spans="1:6" x14ac:dyDescent="0.3">
      <c r="A618" s="132"/>
      <c r="B618" s="132"/>
      <c r="C618" s="132"/>
      <c r="D618" s="132"/>
      <c r="E618" s="132"/>
      <c r="F618" s="132"/>
    </row>
    <row r="619" spans="1:6" x14ac:dyDescent="0.3">
      <c r="A619" s="132"/>
      <c r="B619" s="132"/>
      <c r="C619" s="132"/>
      <c r="D619" s="132"/>
      <c r="E619" s="132"/>
      <c r="F619" s="132"/>
    </row>
    <row r="620" spans="1:6" x14ac:dyDescent="0.3">
      <c r="A620" s="132"/>
      <c r="B620" s="132"/>
      <c r="C620" s="132"/>
      <c r="D620" s="132"/>
      <c r="E620" s="132"/>
      <c r="F620" s="132"/>
    </row>
    <row r="621" spans="1:6" x14ac:dyDescent="0.3">
      <c r="A621" s="132"/>
      <c r="B621" s="132"/>
      <c r="C621" s="132"/>
      <c r="D621" s="132"/>
      <c r="E621" s="132"/>
      <c r="F621" s="132"/>
    </row>
    <row r="622" spans="1:6" x14ac:dyDescent="0.3">
      <c r="A622" s="132"/>
      <c r="B622" s="132"/>
      <c r="C622" s="132"/>
      <c r="D622" s="132"/>
      <c r="E622" s="132"/>
      <c r="F622" s="132"/>
    </row>
    <row r="623" spans="1:6" x14ac:dyDescent="0.3">
      <c r="A623" s="132"/>
      <c r="B623" s="132"/>
      <c r="C623" s="132"/>
      <c r="D623" s="132"/>
      <c r="E623" s="132"/>
      <c r="F623" s="132"/>
    </row>
    <row r="624" spans="1:6" x14ac:dyDescent="0.3">
      <c r="A624" s="132"/>
      <c r="B624" s="132"/>
      <c r="C624" s="132"/>
      <c r="D624" s="132"/>
      <c r="E624" s="132"/>
      <c r="F624" s="132"/>
    </row>
    <row r="625" spans="1:6" x14ac:dyDescent="0.3">
      <c r="A625" s="132"/>
      <c r="B625" s="132"/>
      <c r="C625" s="132"/>
      <c r="D625" s="132"/>
      <c r="E625" s="132"/>
      <c r="F625" s="132"/>
    </row>
    <row r="626" spans="1:6" x14ac:dyDescent="0.3">
      <c r="A626" s="132"/>
      <c r="B626" s="132"/>
      <c r="C626" s="132"/>
      <c r="D626" s="132"/>
      <c r="E626" s="132"/>
      <c r="F626" s="132"/>
    </row>
    <row r="627" spans="1:6" x14ac:dyDescent="0.3">
      <c r="A627" s="132"/>
      <c r="B627" s="132"/>
      <c r="C627" s="132"/>
      <c r="D627" s="132"/>
      <c r="E627" s="132"/>
      <c r="F627" s="132"/>
    </row>
    <row r="628" spans="1:6" x14ac:dyDescent="0.3">
      <c r="A628" s="132"/>
      <c r="B628" s="132"/>
      <c r="C628" s="132"/>
      <c r="D628" s="132"/>
      <c r="E628" s="132"/>
      <c r="F628" s="132"/>
    </row>
    <row r="629" spans="1:6" x14ac:dyDescent="0.3">
      <c r="A629" s="132"/>
      <c r="B629" s="132"/>
      <c r="C629" s="132"/>
      <c r="D629" s="132"/>
      <c r="E629" s="132"/>
      <c r="F629" s="132"/>
    </row>
    <row r="630" spans="1:6" x14ac:dyDescent="0.3">
      <c r="A630" s="132"/>
      <c r="B630" s="132"/>
      <c r="C630" s="132"/>
      <c r="D630" s="132"/>
      <c r="E630" s="132"/>
      <c r="F630" s="132"/>
    </row>
    <row r="631" spans="1:6" x14ac:dyDescent="0.3">
      <c r="A631" s="132"/>
      <c r="B631" s="132"/>
      <c r="C631" s="132"/>
      <c r="D631" s="132"/>
      <c r="E631" s="132"/>
      <c r="F631" s="132"/>
    </row>
    <row r="632" spans="1:6" x14ac:dyDescent="0.3">
      <c r="A632" s="132"/>
      <c r="B632" s="132"/>
      <c r="C632" s="132"/>
      <c r="D632" s="132"/>
      <c r="E632" s="132"/>
      <c r="F632" s="132"/>
    </row>
    <row r="633" spans="1:6" x14ac:dyDescent="0.3">
      <c r="A633" s="132"/>
      <c r="B633" s="132"/>
      <c r="C633" s="132"/>
      <c r="D633" s="132"/>
      <c r="E633" s="132"/>
      <c r="F633" s="132"/>
    </row>
    <row r="634" spans="1:6" x14ac:dyDescent="0.3">
      <c r="A634" s="132"/>
      <c r="B634" s="132"/>
      <c r="C634" s="132"/>
      <c r="D634" s="132"/>
      <c r="E634" s="132"/>
      <c r="F634" s="132"/>
    </row>
    <row r="635" spans="1:6" x14ac:dyDescent="0.3">
      <c r="A635" s="132"/>
      <c r="B635" s="132"/>
      <c r="C635" s="132"/>
      <c r="D635" s="132"/>
      <c r="E635" s="132"/>
      <c r="F635" s="132"/>
    </row>
    <row r="636" spans="1:6" x14ac:dyDescent="0.3">
      <c r="A636" s="132"/>
      <c r="B636" s="132"/>
      <c r="C636" s="132"/>
      <c r="D636" s="132"/>
      <c r="E636" s="132"/>
      <c r="F636" s="132"/>
    </row>
    <row r="637" spans="1:6" x14ac:dyDescent="0.3">
      <c r="A637" s="132"/>
      <c r="B637" s="132"/>
      <c r="C637" s="132"/>
      <c r="D637" s="132"/>
      <c r="E637" s="132"/>
      <c r="F637" s="132"/>
    </row>
    <row r="638" spans="1:6" x14ac:dyDescent="0.3">
      <c r="A638" s="132"/>
      <c r="B638" s="132"/>
      <c r="C638" s="132"/>
      <c r="D638" s="132"/>
      <c r="E638" s="132"/>
      <c r="F638" s="132"/>
    </row>
    <row r="639" spans="1:6" x14ac:dyDescent="0.3">
      <c r="A639" s="132"/>
      <c r="B639" s="132"/>
      <c r="C639" s="132"/>
      <c r="D639" s="132"/>
      <c r="E639" s="132"/>
      <c r="F639" s="132"/>
    </row>
    <row r="640" spans="1:6" x14ac:dyDescent="0.3">
      <c r="A640" s="132"/>
      <c r="B640" s="132"/>
      <c r="C640" s="132"/>
      <c r="D640" s="132"/>
      <c r="E640" s="132"/>
      <c r="F640" s="132"/>
    </row>
    <row r="641" spans="1:6" x14ac:dyDescent="0.3">
      <c r="A641" s="132"/>
      <c r="B641" s="132"/>
      <c r="C641" s="132"/>
      <c r="D641" s="132"/>
      <c r="E641" s="132"/>
      <c r="F641" s="132"/>
    </row>
    <row r="642" spans="1:6" x14ac:dyDescent="0.3">
      <c r="A642" s="132"/>
      <c r="B642" s="132"/>
      <c r="C642" s="132"/>
      <c r="D642" s="132"/>
      <c r="E642" s="132"/>
      <c r="F642" s="132"/>
    </row>
    <row r="643" spans="1:6" x14ac:dyDescent="0.3">
      <c r="A643" s="132"/>
      <c r="B643" s="132"/>
      <c r="C643" s="132"/>
      <c r="D643" s="132"/>
      <c r="E643" s="132"/>
      <c r="F643" s="132"/>
    </row>
    <row r="644" spans="1:6" x14ac:dyDescent="0.3">
      <c r="A644" s="132"/>
      <c r="B644" s="132"/>
      <c r="C644" s="132"/>
      <c r="D644" s="132"/>
      <c r="E644" s="132"/>
      <c r="F644" s="132"/>
    </row>
    <row r="645" spans="1:6" x14ac:dyDescent="0.3">
      <c r="A645" s="132"/>
      <c r="B645" s="132"/>
      <c r="C645" s="132"/>
      <c r="D645" s="132"/>
      <c r="E645" s="132"/>
      <c r="F645" s="132"/>
    </row>
    <row r="646" spans="1:6" x14ac:dyDescent="0.3">
      <c r="A646" s="132"/>
      <c r="B646" s="132"/>
      <c r="C646" s="132"/>
      <c r="D646" s="132"/>
      <c r="E646" s="132"/>
      <c r="F646" s="132"/>
    </row>
    <row r="647" spans="1:6" x14ac:dyDescent="0.3">
      <c r="A647" s="132"/>
      <c r="B647" s="132"/>
      <c r="C647" s="132"/>
      <c r="D647" s="132"/>
      <c r="E647" s="132"/>
      <c r="F647" s="132"/>
    </row>
    <row r="648" spans="1:6" x14ac:dyDescent="0.3">
      <c r="A648" s="132"/>
      <c r="B648" s="132"/>
      <c r="C648" s="132"/>
      <c r="D648" s="132"/>
      <c r="E648" s="132"/>
      <c r="F648" s="132"/>
    </row>
    <row r="649" spans="1:6" x14ac:dyDescent="0.3">
      <c r="A649" s="132"/>
      <c r="B649" s="132"/>
      <c r="C649" s="132"/>
      <c r="D649" s="132"/>
      <c r="E649" s="132"/>
      <c r="F649" s="132"/>
    </row>
    <row r="650" spans="1:6" x14ac:dyDescent="0.3">
      <c r="A650" s="132"/>
      <c r="B650" s="132"/>
      <c r="C650" s="132"/>
      <c r="D650" s="132"/>
      <c r="E650" s="132"/>
      <c r="F650" s="132"/>
    </row>
    <row r="651" spans="1:6" x14ac:dyDescent="0.3">
      <c r="A651" s="132"/>
      <c r="B651" s="132"/>
      <c r="C651" s="132"/>
      <c r="D651" s="132"/>
      <c r="E651" s="132"/>
      <c r="F651" s="132"/>
    </row>
    <row r="652" spans="1:6" x14ac:dyDescent="0.3">
      <c r="A652" s="132"/>
      <c r="B652" s="132"/>
      <c r="C652" s="132"/>
      <c r="D652" s="132"/>
      <c r="E652" s="132"/>
      <c r="F652" s="132"/>
    </row>
    <row r="653" spans="1:6" x14ac:dyDescent="0.3">
      <c r="A653" s="132"/>
      <c r="B653" s="132"/>
      <c r="C653" s="132"/>
      <c r="D653" s="132"/>
      <c r="E653" s="132"/>
      <c r="F653" s="132"/>
    </row>
    <row r="654" spans="1:6" x14ac:dyDescent="0.3">
      <c r="A654" s="132"/>
      <c r="B654" s="132"/>
      <c r="C654" s="132"/>
      <c r="D654" s="132"/>
      <c r="E654" s="132"/>
      <c r="F654" s="132"/>
    </row>
    <row r="655" spans="1:6" x14ac:dyDescent="0.3">
      <c r="A655" s="132"/>
      <c r="B655" s="132"/>
      <c r="C655" s="132"/>
      <c r="D655" s="132"/>
      <c r="E655" s="132"/>
      <c r="F655" s="132"/>
    </row>
    <row r="656" spans="1:6" x14ac:dyDescent="0.3">
      <c r="A656" s="132"/>
      <c r="B656" s="132"/>
      <c r="C656" s="132"/>
      <c r="D656" s="132"/>
      <c r="E656" s="132"/>
      <c r="F656" s="132"/>
    </row>
    <row r="657" spans="1:6" x14ac:dyDescent="0.3">
      <c r="A657" s="132"/>
      <c r="B657" s="132"/>
      <c r="C657" s="132"/>
      <c r="D657" s="132"/>
      <c r="E657" s="132"/>
      <c r="F657" s="132"/>
    </row>
    <row r="658" spans="1:6" x14ac:dyDescent="0.3">
      <c r="A658" s="132"/>
      <c r="B658" s="132"/>
      <c r="C658" s="132"/>
      <c r="D658" s="132"/>
      <c r="E658" s="132"/>
      <c r="F658" s="132"/>
    </row>
    <row r="659" spans="1:6" x14ac:dyDescent="0.3">
      <c r="A659" s="132"/>
      <c r="B659" s="132"/>
      <c r="C659" s="132"/>
      <c r="D659" s="132"/>
      <c r="E659" s="132"/>
      <c r="F659" s="132"/>
    </row>
    <row r="660" spans="1:6" x14ac:dyDescent="0.3">
      <c r="A660" s="132"/>
      <c r="B660" s="132"/>
      <c r="C660" s="132"/>
      <c r="D660" s="132"/>
      <c r="E660" s="132"/>
      <c r="F660" s="132"/>
    </row>
    <row r="661" spans="1:6" x14ac:dyDescent="0.3">
      <c r="A661" s="132"/>
      <c r="B661" s="132"/>
      <c r="C661" s="132"/>
      <c r="D661" s="132"/>
      <c r="E661" s="132"/>
      <c r="F661" s="132"/>
    </row>
    <row r="662" spans="1:6" x14ac:dyDescent="0.3">
      <c r="A662" s="132"/>
      <c r="B662" s="132"/>
      <c r="C662" s="132"/>
      <c r="D662" s="132"/>
      <c r="E662" s="132"/>
      <c r="F662" s="132"/>
    </row>
    <row r="663" spans="1:6" x14ac:dyDescent="0.3">
      <c r="A663" s="132"/>
      <c r="B663" s="132"/>
      <c r="C663" s="132"/>
      <c r="D663" s="132"/>
      <c r="E663" s="132"/>
      <c r="F663" s="132"/>
    </row>
    <row r="664" spans="1:6" x14ac:dyDescent="0.3">
      <c r="A664" s="132"/>
      <c r="B664" s="132"/>
      <c r="C664" s="132"/>
      <c r="D664" s="132"/>
      <c r="E664" s="132"/>
      <c r="F664" s="132"/>
    </row>
    <row r="665" spans="1:6" x14ac:dyDescent="0.3">
      <c r="A665" s="132"/>
      <c r="B665" s="132"/>
      <c r="C665" s="132"/>
      <c r="D665" s="132"/>
      <c r="E665" s="132"/>
      <c r="F665" s="132"/>
    </row>
    <row r="666" spans="1:6" x14ac:dyDescent="0.3">
      <c r="A666" s="132"/>
      <c r="B666" s="132"/>
      <c r="C666" s="132"/>
      <c r="D666" s="132"/>
      <c r="E666" s="132"/>
      <c r="F666" s="132"/>
    </row>
    <row r="667" spans="1:6" x14ac:dyDescent="0.3">
      <c r="A667" s="132"/>
      <c r="B667" s="132"/>
      <c r="C667" s="132"/>
      <c r="D667" s="132"/>
      <c r="E667" s="132"/>
      <c r="F667" s="132"/>
    </row>
    <row r="668" spans="1:6" x14ac:dyDescent="0.3">
      <c r="A668" s="132"/>
      <c r="B668" s="132"/>
      <c r="C668" s="132"/>
      <c r="D668" s="132"/>
      <c r="E668" s="132"/>
      <c r="F668" s="132"/>
    </row>
    <row r="669" spans="1:6" x14ac:dyDescent="0.3">
      <c r="A669" s="132"/>
      <c r="B669" s="132"/>
      <c r="C669" s="132"/>
      <c r="D669" s="132"/>
      <c r="E669" s="132"/>
      <c r="F669" s="132"/>
    </row>
    <row r="670" spans="1:6" x14ac:dyDescent="0.3">
      <c r="A670" s="132"/>
      <c r="B670" s="132"/>
      <c r="C670" s="132"/>
      <c r="D670" s="132"/>
      <c r="E670" s="132"/>
      <c r="F670" s="132"/>
    </row>
    <row r="671" spans="1:6" x14ac:dyDescent="0.3">
      <c r="A671" s="132"/>
      <c r="B671" s="132"/>
      <c r="C671" s="132"/>
      <c r="D671" s="132"/>
      <c r="E671" s="132"/>
      <c r="F671" s="132"/>
    </row>
    <row r="672" spans="1:6" x14ac:dyDescent="0.3">
      <c r="A672" s="132"/>
      <c r="B672" s="132"/>
      <c r="C672" s="132"/>
      <c r="D672" s="132"/>
      <c r="E672" s="132"/>
      <c r="F672" s="132"/>
    </row>
    <row r="673" spans="1:6" x14ac:dyDescent="0.3">
      <c r="A673" s="132"/>
      <c r="B673" s="132"/>
      <c r="C673" s="132"/>
      <c r="D673" s="132"/>
      <c r="E673" s="132"/>
      <c r="F673" s="132"/>
    </row>
    <row r="674" spans="1:6" x14ac:dyDescent="0.3">
      <c r="A674" s="132"/>
      <c r="B674" s="132"/>
      <c r="C674" s="132"/>
      <c r="D674" s="132"/>
      <c r="E674" s="132"/>
      <c r="F674" s="132"/>
    </row>
    <row r="675" spans="1:6" x14ac:dyDescent="0.3">
      <c r="A675" s="132"/>
      <c r="B675" s="132"/>
      <c r="C675" s="132"/>
      <c r="D675" s="132"/>
      <c r="E675" s="132"/>
      <c r="F675" s="132"/>
    </row>
    <row r="676" spans="1:6" x14ac:dyDescent="0.3">
      <c r="A676" s="132"/>
      <c r="B676" s="132"/>
      <c r="C676" s="132"/>
      <c r="D676" s="132"/>
      <c r="E676" s="132"/>
      <c r="F676" s="132"/>
    </row>
    <row r="677" spans="1:6" x14ac:dyDescent="0.3">
      <c r="A677" s="132"/>
      <c r="B677" s="132"/>
      <c r="C677" s="132"/>
      <c r="D677" s="132"/>
      <c r="E677" s="132"/>
      <c r="F677" s="132"/>
    </row>
    <row r="678" spans="1:6" x14ac:dyDescent="0.3">
      <c r="A678" s="132"/>
      <c r="B678" s="132"/>
      <c r="C678" s="132"/>
      <c r="D678" s="132"/>
      <c r="E678" s="132"/>
      <c r="F678" s="132"/>
    </row>
    <row r="679" spans="1:6" x14ac:dyDescent="0.3">
      <c r="A679" s="132"/>
      <c r="B679" s="132"/>
      <c r="C679" s="132"/>
      <c r="D679" s="132"/>
      <c r="E679" s="132"/>
      <c r="F679" s="132"/>
    </row>
    <row r="680" spans="1:6" x14ac:dyDescent="0.3">
      <c r="A680" s="132"/>
      <c r="B680" s="132"/>
      <c r="C680" s="132"/>
      <c r="D680" s="132"/>
      <c r="E680" s="132"/>
      <c r="F680" s="132"/>
    </row>
    <row r="681" spans="1:6" x14ac:dyDescent="0.3">
      <c r="A681" s="132"/>
      <c r="B681" s="132"/>
      <c r="C681" s="132"/>
      <c r="D681" s="132"/>
      <c r="E681" s="132"/>
      <c r="F681" s="132"/>
    </row>
    <row r="682" spans="1:6" x14ac:dyDescent="0.3">
      <c r="A682" s="132"/>
      <c r="B682" s="132"/>
      <c r="C682" s="132"/>
      <c r="D682" s="132"/>
      <c r="E682" s="132"/>
      <c r="F682" s="132"/>
    </row>
    <row r="683" spans="1:6" x14ac:dyDescent="0.3">
      <c r="A683" s="132"/>
      <c r="B683" s="132"/>
      <c r="C683" s="132"/>
      <c r="D683" s="132"/>
      <c r="E683" s="132"/>
      <c r="F683" s="132"/>
    </row>
    <row r="684" spans="1:6" x14ac:dyDescent="0.3">
      <c r="A684" s="132"/>
      <c r="B684" s="132"/>
      <c r="C684" s="132"/>
      <c r="D684" s="132"/>
      <c r="E684" s="132"/>
      <c r="F684" s="132"/>
    </row>
    <row r="685" spans="1:6" x14ac:dyDescent="0.3">
      <c r="A685" s="132"/>
      <c r="B685" s="132"/>
      <c r="C685" s="132"/>
      <c r="D685" s="132"/>
      <c r="E685" s="132"/>
      <c r="F685" s="132"/>
    </row>
    <row r="686" spans="1:6" x14ac:dyDescent="0.3">
      <c r="A686" s="132"/>
      <c r="B686" s="132"/>
      <c r="C686" s="132"/>
      <c r="D686" s="132"/>
      <c r="E686" s="132"/>
      <c r="F686" s="132"/>
    </row>
    <row r="687" spans="1:6" x14ac:dyDescent="0.3">
      <c r="A687" s="132"/>
      <c r="B687" s="132"/>
      <c r="C687" s="132"/>
      <c r="D687" s="132"/>
      <c r="E687" s="132"/>
      <c r="F687" s="132"/>
    </row>
    <row r="688" spans="1:6" x14ac:dyDescent="0.3">
      <c r="A688" s="132"/>
      <c r="B688" s="132"/>
      <c r="C688" s="132"/>
      <c r="D688" s="132"/>
      <c r="E688" s="132"/>
      <c r="F688" s="132"/>
    </row>
    <row r="689" spans="1:6" x14ac:dyDescent="0.3">
      <c r="A689" s="132"/>
      <c r="B689" s="132"/>
      <c r="C689" s="132"/>
      <c r="D689" s="132"/>
      <c r="E689" s="132"/>
      <c r="F689" s="132"/>
    </row>
    <row r="690" spans="1:6" x14ac:dyDescent="0.3">
      <c r="A690" s="132"/>
      <c r="B690" s="132"/>
      <c r="C690" s="132"/>
      <c r="D690" s="132"/>
      <c r="E690" s="132"/>
      <c r="F690" s="132"/>
    </row>
    <row r="691" spans="1:6" x14ac:dyDescent="0.3">
      <c r="A691" s="132"/>
      <c r="B691" s="132"/>
      <c r="C691" s="132"/>
      <c r="D691" s="132"/>
      <c r="E691" s="132"/>
      <c r="F691" s="132"/>
    </row>
    <row r="692" spans="1:6" x14ac:dyDescent="0.3">
      <c r="A692" s="132"/>
      <c r="B692" s="132"/>
      <c r="C692" s="132"/>
      <c r="D692" s="132"/>
      <c r="E692" s="132"/>
      <c r="F692" s="132"/>
    </row>
    <row r="693" spans="1:6" x14ac:dyDescent="0.3">
      <c r="A693" s="132"/>
      <c r="B693" s="132"/>
      <c r="C693" s="132"/>
      <c r="D693" s="132"/>
      <c r="E693" s="132"/>
      <c r="F693" s="132"/>
    </row>
    <row r="694" spans="1:6" x14ac:dyDescent="0.3">
      <c r="A694" s="132"/>
      <c r="B694" s="132"/>
      <c r="C694" s="132"/>
      <c r="D694" s="132"/>
      <c r="E694" s="132"/>
      <c r="F694" s="132"/>
    </row>
    <row r="695" spans="1:6" x14ac:dyDescent="0.3">
      <c r="A695" s="132"/>
      <c r="B695" s="132"/>
      <c r="C695" s="132"/>
      <c r="D695" s="132"/>
      <c r="E695" s="132"/>
      <c r="F695" s="132"/>
    </row>
    <row r="696" spans="1:6" x14ac:dyDescent="0.3">
      <c r="A696" s="132"/>
      <c r="B696" s="132"/>
      <c r="C696" s="132"/>
      <c r="D696" s="132"/>
      <c r="E696" s="132"/>
      <c r="F696" s="132"/>
    </row>
    <row r="697" spans="1:6" x14ac:dyDescent="0.3">
      <c r="A697" s="132"/>
      <c r="B697" s="132"/>
      <c r="C697" s="132"/>
      <c r="D697" s="132"/>
      <c r="E697" s="132"/>
      <c r="F697" s="132"/>
    </row>
    <row r="698" spans="1:6" x14ac:dyDescent="0.3">
      <c r="A698" s="132"/>
      <c r="B698" s="132"/>
      <c r="C698" s="132"/>
      <c r="D698" s="132"/>
      <c r="E698" s="132"/>
      <c r="F698" s="132"/>
    </row>
    <row r="699" spans="1:6" x14ac:dyDescent="0.3">
      <c r="A699" s="132"/>
      <c r="B699" s="132"/>
      <c r="C699" s="132"/>
      <c r="D699" s="132"/>
      <c r="E699" s="132"/>
      <c r="F699" s="132"/>
    </row>
    <row r="700" spans="1:6" x14ac:dyDescent="0.3">
      <c r="A700" s="132"/>
      <c r="B700" s="132"/>
      <c r="C700" s="132"/>
      <c r="D700" s="132"/>
      <c r="E700" s="132"/>
      <c r="F700" s="132"/>
    </row>
    <row r="701" spans="1:6" x14ac:dyDescent="0.3">
      <c r="A701" s="132"/>
      <c r="B701" s="132"/>
      <c r="C701" s="132"/>
      <c r="D701" s="132"/>
      <c r="E701" s="132"/>
      <c r="F701" s="132"/>
    </row>
    <row r="702" spans="1:6" x14ac:dyDescent="0.3">
      <c r="A702" s="132"/>
      <c r="B702" s="132"/>
      <c r="C702" s="132"/>
      <c r="D702" s="132"/>
      <c r="E702" s="132"/>
      <c r="F702" s="132"/>
    </row>
    <row r="703" spans="1:6" x14ac:dyDescent="0.3">
      <c r="A703" s="132"/>
      <c r="B703" s="132"/>
      <c r="C703" s="132"/>
      <c r="D703" s="132"/>
      <c r="E703" s="132"/>
      <c r="F703" s="132"/>
    </row>
    <row r="704" spans="1:6" x14ac:dyDescent="0.3">
      <c r="A704" s="132"/>
      <c r="B704" s="132"/>
      <c r="C704" s="132"/>
      <c r="D704" s="132"/>
      <c r="E704" s="132"/>
      <c r="F704" s="132"/>
    </row>
    <row r="705" spans="1:6" x14ac:dyDescent="0.3">
      <c r="A705" s="132"/>
      <c r="B705" s="132"/>
      <c r="C705" s="132"/>
      <c r="D705" s="132"/>
      <c r="E705" s="132"/>
      <c r="F705" s="132"/>
    </row>
    <row r="706" spans="1:6" x14ac:dyDescent="0.3">
      <c r="A706" s="132"/>
      <c r="B706" s="132"/>
      <c r="C706" s="132"/>
      <c r="D706" s="132"/>
      <c r="E706" s="132"/>
      <c r="F706" s="132"/>
    </row>
    <row r="707" spans="1:6" x14ac:dyDescent="0.3">
      <c r="A707" s="132"/>
      <c r="B707" s="132"/>
      <c r="C707" s="132"/>
      <c r="D707" s="132"/>
      <c r="E707" s="132"/>
      <c r="F707" s="132"/>
    </row>
    <row r="708" spans="1:6" x14ac:dyDescent="0.3">
      <c r="A708" s="132"/>
      <c r="B708" s="132"/>
      <c r="C708" s="132"/>
      <c r="D708" s="132"/>
      <c r="E708" s="132"/>
      <c r="F708" s="132"/>
    </row>
    <row r="709" spans="1:6" x14ac:dyDescent="0.3">
      <c r="A709" s="132"/>
      <c r="B709" s="132"/>
      <c r="C709" s="132"/>
      <c r="D709" s="132"/>
      <c r="E709" s="132"/>
      <c r="F709" s="132"/>
    </row>
    <row r="710" spans="1:6" x14ac:dyDescent="0.3">
      <c r="A710" s="132"/>
      <c r="B710" s="132"/>
      <c r="C710" s="132"/>
      <c r="D710" s="132"/>
      <c r="E710" s="132"/>
      <c r="F710" s="132"/>
    </row>
    <row r="711" spans="1:6" x14ac:dyDescent="0.3">
      <c r="A711" s="132"/>
      <c r="B711" s="132"/>
      <c r="C711" s="132"/>
      <c r="D711" s="132"/>
      <c r="E711" s="132"/>
      <c r="F711" s="132"/>
    </row>
    <row r="712" spans="1:6" x14ac:dyDescent="0.3">
      <c r="A712" s="132"/>
      <c r="B712" s="132"/>
      <c r="C712" s="132"/>
      <c r="D712" s="132"/>
      <c r="E712" s="132"/>
      <c r="F712" s="132"/>
    </row>
    <row r="713" spans="1:6" x14ac:dyDescent="0.3">
      <c r="A713" s="132"/>
      <c r="B713" s="132"/>
      <c r="C713" s="132"/>
      <c r="D713" s="132"/>
      <c r="E713" s="132"/>
      <c r="F713" s="132"/>
    </row>
    <row r="714" spans="1:6" x14ac:dyDescent="0.3">
      <c r="A714" s="132"/>
      <c r="B714" s="132"/>
      <c r="C714" s="132"/>
      <c r="D714" s="132"/>
      <c r="E714" s="132"/>
      <c r="F714" s="132"/>
    </row>
    <row r="715" spans="1:6" x14ac:dyDescent="0.3">
      <c r="A715" s="132"/>
      <c r="B715" s="132"/>
      <c r="C715" s="132"/>
      <c r="D715" s="132"/>
      <c r="E715" s="132"/>
      <c r="F715" s="132"/>
    </row>
    <row r="716" spans="1:6" x14ac:dyDescent="0.3">
      <c r="A716" s="132"/>
      <c r="B716" s="132"/>
      <c r="C716" s="132"/>
      <c r="D716" s="132"/>
      <c r="E716" s="132"/>
      <c r="F716" s="132"/>
    </row>
    <row r="717" spans="1:6" x14ac:dyDescent="0.3">
      <c r="A717" s="132"/>
      <c r="B717" s="132"/>
      <c r="C717" s="132"/>
      <c r="D717" s="132"/>
      <c r="E717" s="132"/>
      <c r="F717" s="132"/>
    </row>
    <row r="718" spans="1:6" x14ac:dyDescent="0.3">
      <c r="A718" s="132"/>
      <c r="B718" s="132"/>
      <c r="C718" s="132"/>
      <c r="D718" s="132"/>
      <c r="E718" s="132"/>
      <c r="F718" s="132"/>
    </row>
    <row r="719" spans="1:6" x14ac:dyDescent="0.3">
      <c r="A719" s="132"/>
      <c r="B719" s="132"/>
      <c r="C719" s="132"/>
      <c r="D719" s="132"/>
      <c r="E719" s="132"/>
      <c r="F719" s="132"/>
    </row>
    <row r="720" spans="1:6" x14ac:dyDescent="0.3">
      <c r="A720" s="132"/>
      <c r="B720" s="132"/>
      <c r="C720" s="132"/>
      <c r="D720" s="132"/>
      <c r="E720" s="132"/>
      <c r="F720" s="132"/>
    </row>
    <row r="721" spans="1:6" x14ac:dyDescent="0.3">
      <c r="A721" s="132"/>
      <c r="B721" s="132"/>
      <c r="C721" s="132"/>
      <c r="D721" s="132"/>
      <c r="E721" s="132"/>
      <c r="F721" s="132"/>
    </row>
    <row r="722" spans="1:6" x14ac:dyDescent="0.3">
      <c r="A722" s="132"/>
      <c r="B722" s="132"/>
      <c r="C722" s="132"/>
      <c r="D722" s="132"/>
      <c r="E722" s="132"/>
      <c r="F722" s="132"/>
    </row>
    <row r="723" spans="1:6" x14ac:dyDescent="0.3">
      <c r="A723" s="132"/>
      <c r="B723" s="132"/>
      <c r="C723" s="132"/>
      <c r="D723" s="132"/>
      <c r="E723" s="132"/>
      <c r="F723" s="132"/>
    </row>
    <row r="724" spans="1:6" x14ac:dyDescent="0.3">
      <c r="A724" s="132"/>
      <c r="B724" s="132"/>
      <c r="C724" s="132"/>
      <c r="D724" s="132"/>
      <c r="E724" s="132"/>
      <c r="F724" s="132"/>
    </row>
    <row r="725" spans="1:6" x14ac:dyDescent="0.3">
      <c r="A725" s="132"/>
      <c r="B725" s="132"/>
      <c r="C725" s="132"/>
      <c r="D725" s="132"/>
      <c r="E725" s="132"/>
      <c r="F725" s="132"/>
    </row>
    <row r="726" spans="1:6" x14ac:dyDescent="0.3">
      <c r="A726" s="132"/>
      <c r="B726" s="132"/>
      <c r="C726" s="132"/>
      <c r="D726" s="132"/>
      <c r="E726" s="132"/>
      <c r="F726" s="132"/>
    </row>
    <row r="727" spans="1:6" x14ac:dyDescent="0.3">
      <c r="A727" s="132"/>
      <c r="B727" s="132"/>
      <c r="C727" s="132"/>
      <c r="D727" s="132"/>
      <c r="E727" s="132"/>
      <c r="F727" s="132"/>
    </row>
    <row r="728" spans="1:6" x14ac:dyDescent="0.3">
      <c r="A728" s="132"/>
      <c r="B728" s="132"/>
      <c r="C728" s="132"/>
      <c r="D728" s="132"/>
      <c r="E728" s="132"/>
      <c r="F728" s="132"/>
    </row>
    <row r="729" spans="1:6" x14ac:dyDescent="0.3">
      <c r="A729" s="132"/>
      <c r="B729" s="132"/>
      <c r="C729" s="132"/>
      <c r="D729" s="132"/>
      <c r="E729" s="132"/>
      <c r="F729" s="132"/>
    </row>
    <row r="730" spans="1:6" x14ac:dyDescent="0.3">
      <c r="A730" s="132"/>
      <c r="B730" s="132"/>
      <c r="C730" s="132"/>
      <c r="D730" s="132"/>
      <c r="E730" s="132"/>
      <c r="F730" s="132"/>
    </row>
    <row r="731" spans="1:6" x14ac:dyDescent="0.3">
      <c r="A731" s="132"/>
      <c r="B731" s="132"/>
      <c r="C731" s="132"/>
      <c r="D731" s="132"/>
      <c r="E731" s="132"/>
      <c r="F731" s="132"/>
    </row>
    <row r="732" spans="1:6" x14ac:dyDescent="0.3">
      <c r="A732" s="132"/>
      <c r="B732" s="132"/>
      <c r="C732" s="132"/>
      <c r="D732" s="132"/>
      <c r="E732" s="132"/>
      <c r="F732" s="132"/>
    </row>
    <row r="733" spans="1:6" x14ac:dyDescent="0.3">
      <c r="A733" s="132"/>
      <c r="B733" s="132"/>
      <c r="C733" s="132"/>
      <c r="D733" s="132"/>
      <c r="E733" s="132"/>
      <c r="F733" s="132"/>
    </row>
    <row r="734" spans="1:6" x14ac:dyDescent="0.3">
      <c r="A734" s="132"/>
      <c r="B734" s="132"/>
      <c r="C734" s="132"/>
      <c r="D734" s="132"/>
      <c r="E734" s="132"/>
      <c r="F734" s="132"/>
    </row>
    <row r="735" spans="1:6" x14ac:dyDescent="0.3">
      <c r="A735" s="132"/>
      <c r="B735" s="132"/>
      <c r="C735" s="132"/>
      <c r="D735" s="132"/>
      <c r="E735" s="132"/>
      <c r="F735" s="132"/>
    </row>
    <row r="736" spans="1:6" x14ac:dyDescent="0.3">
      <c r="A736" s="132"/>
      <c r="B736" s="132"/>
      <c r="C736" s="132"/>
      <c r="D736" s="132"/>
      <c r="E736" s="132"/>
      <c r="F736" s="132"/>
    </row>
    <row r="737" spans="1:6" x14ac:dyDescent="0.3">
      <c r="A737" s="132"/>
      <c r="B737" s="132"/>
      <c r="C737" s="132"/>
      <c r="D737" s="132"/>
      <c r="E737" s="132"/>
      <c r="F737" s="132"/>
    </row>
    <row r="738" spans="1:6" x14ac:dyDescent="0.3">
      <c r="A738" s="132"/>
      <c r="B738" s="132"/>
      <c r="C738" s="132"/>
      <c r="D738" s="132"/>
      <c r="E738" s="132"/>
      <c r="F738" s="132"/>
    </row>
    <row r="739" spans="1:6" x14ac:dyDescent="0.3">
      <c r="A739" s="132"/>
      <c r="B739" s="132"/>
      <c r="C739" s="132"/>
      <c r="D739" s="132"/>
      <c r="E739" s="132"/>
      <c r="F739" s="132"/>
    </row>
    <row r="740" spans="1:6" x14ac:dyDescent="0.3">
      <c r="A740" s="132"/>
      <c r="B740" s="132"/>
      <c r="C740" s="132"/>
      <c r="D740" s="132"/>
      <c r="E740" s="132"/>
      <c r="F740" s="132"/>
    </row>
    <row r="741" spans="1:6" x14ac:dyDescent="0.3">
      <c r="A741" s="132"/>
      <c r="B741" s="132"/>
      <c r="C741" s="132"/>
      <c r="D741" s="132"/>
      <c r="E741" s="132"/>
      <c r="F741" s="132"/>
    </row>
    <row r="742" spans="1:6" x14ac:dyDescent="0.3">
      <c r="A742" s="132"/>
      <c r="B742" s="132"/>
      <c r="C742" s="132"/>
      <c r="D742" s="132"/>
      <c r="E742" s="132"/>
      <c r="F742" s="132"/>
    </row>
    <row r="743" spans="1:6" x14ac:dyDescent="0.3">
      <c r="A743" s="132"/>
      <c r="B743" s="132"/>
      <c r="C743" s="132"/>
      <c r="D743" s="132"/>
      <c r="E743" s="132"/>
      <c r="F743" s="132"/>
    </row>
    <row r="744" spans="1:6" x14ac:dyDescent="0.3">
      <c r="A744" s="132"/>
      <c r="B744" s="132"/>
      <c r="C744" s="132"/>
      <c r="D744" s="132"/>
      <c r="E744" s="132"/>
      <c r="F744" s="132"/>
    </row>
    <row r="745" spans="1:6" x14ac:dyDescent="0.3">
      <c r="A745" s="132"/>
      <c r="B745" s="132"/>
      <c r="C745" s="132"/>
      <c r="D745" s="132"/>
      <c r="E745" s="132"/>
      <c r="F745" s="132"/>
    </row>
    <row r="746" spans="1:6" x14ac:dyDescent="0.3">
      <c r="A746" s="132"/>
      <c r="B746" s="132"/>
      <c r="C746" s="132"/>
      <c r="D746" s="132"/>
      <c r="E746" s="132"/>
      <c r="F746" s="132"/>
    </row>
    <row r="747" spans="1:6" x14ac:dyDescent="0.3">
      <c r="A747" s="132"/>
      <c r="B747" s="132"/>
      <c r="C747" s="132"/>
      <c r="D747" s="132"/>
      <c r="E747" s="132"/>
      <c r="F747" s="132"/>
    </row>
    <row r="748" spans="1:6" x14ac:dyDescent="0.3">
      <c r="A748" s="132"/>
      <c r="B748" s="132"/>
      <c r="C748" s="132"/>
      <c r="D748" s="132"/>
      <c r="E748" s="132"/>
      <c r="F748" s="132"/>
    </row>
    <row r="749" spans="1:6" x14ac:dyDescent="0.3">
      <c r="A749" s="132"/>
      <c r="B749" s="132"/>
      <c r="C749" s="132"/>
      <c r="D749" s="132"/>
      <c r="E749" s="132"/>
      <c r="F749" s="132"/>
    </row>
    <row r="750" spans="1:6" x14ac:dyDescent="0.3">
      <c r="A750" s="132"/>
      <c r="B750" s="132"/>
      <c r="C750" s="132"/>
      <c r="D750" s="132"/>
      <c r="E750" s="132"/>
      <c r="F750" s="132"/>
    </row>
    <row r="751" spans="1:6" x14ac:dyDescent="0.3">
      <c r="A751" s="132"/>
      <c r="B751" s="132"/>
      <c r="C751" s="132"/>
      <c r="D751" s="132"/>
      <c r="E751" s="132"/>
      <c r="F751" s="132"/>
    </row>
    <row r="752" spans="1:6" x14ac:dyDescent="0.3">
      <c r="A752" s="132"/>
      <c r="B752" s="132"/>
      <c r="C752" s="132"/>
      <c r="D752" s="132"/>
      <c r="E752" s="132"/>
      <c r="F752" s="132"/>
    </row>
    <row r="753" spans="1:6" x14ac:dyDescent="0.3">
      <c r="A753" s="132"/>
      <c r="B753" s="132"/>
      <c r="C753" s="132"/>
      <c r="D753" s="132"/>
      <c r="E753" s="132"/>
      <c r="F753" s="132"/>
    </row>
    <row r="754" spans="1:6" x14ac:dyDescent="0.3">
      <c r="A754" s="132"/>
      <c r="B754" s="132"/>
      <c r="C754" s="132"/>
      <c r="D754" s="132"/>
      <c r="E754" s="132"/>
      <c r="F754" s="132"/>
    </row>
    <row r="755" spans="1:6" x14ac:dyDescent="0.3">
      <c r="A755" s="132"/>
      <c r="B755" s="132"/>
      <c r="C755" s="132"/>
      <c r="D755" s="132"/>
      <c r="E755" s="132"/>
      <c r="F755" s="132"/>
    </row>
    <row r="756" spans="1:6" x14ac:dyDescent="0.3">
      <c r="A756" s="132"/>
      <c r="B756" s="132"/>
      <c r="C756" s="132"/>
      <c r="D756" s="132"/>
      <c r="E756" s="132"/>
      <c r="F756" s="132"/>
    </row>
    <row r="757" spans="1:6" x14ac:dyDescent="0.3">
      <c r="A757" s="132"/>
      <c r="B757" s="132"/>
      <c r="C757" s="132"/>
      <c r="D757" s="132"/>
      <c r="E757" s="132"/>
      <c r="F757" s="132"/>
    </row>
    <row r="758" spans="1:6" x14ac:dyDescent="0.3">
      <c r="A758" s="132"/>
      <c r="B758" s="132"/>
      <c r="C758" s="132"/>
      <c r="D758" s="132"/>
      <c r="E758" s="132"/>
      <c r="F758" s="132"/>
    </row>
    <row r="759" spans="1:6" x14ac:dyDescent="0.3">
      <c r="A759" s="132"/>
      <c r="B759" s="132"/>
      <c r="C759" s="132"/>
      <c r="D759" s="132"/>
      <c r="E759" s="132"/>
      <c r="F759" s="132"/>
    </row>
    <row r="760" spans="1:6" x14ac:dyDescent="0.3">
      <c r="A760" s="132"/>
      <c r="B760" s="132"/>
      <c r="C760" s="132"/>
      <c r="D760" s="132"/>
      <c r="E760" s="132"/>
      <c r="F760" s="132"/>
    </row>
    <row r="761" spans="1:6" x14ac:dyDescent="0.3">
      <c r="A761" s="132"/>
      <c r="B761" s="132"/>
      <c r="C761" s="132"/>
      <c r="D761" s="132"/>
      <c r="E761" s="132"/>
      <c r="F761" s="132"/>
    </row>
    <row r="762" spans="1:6" x14ac:dyDescent="0.3">
      <c r="A762" s="132"/>
      <c r="B762" s="132"/>
      <c r="C762" s="132"/>
      <c r="D762" s="132"/>
      <c r="E762" s="132"/>
      <c r="F762" s="132"/>
    </row>
    <row r="763" spans="1:6" x14ac:dyDescent="0.3">
      <c r="A763" s="132"/>
      <c r="B763" s="132"/>
      <c r="C763" s="132"/>
      <c r="D763" s="132"/>
      <c r="E763" s="132"/>
      <c r="F763" s="132"/>
    </row>
    <row r="764" spans="1:6" x14ac:dyDescent="0.3">
      <c r="A764" s="132"/>
      <c r="B764" s="132"/>
      <c r="C764" s="132"/>
      <c r="D764" s="132"/>
      <c r="E764" s="132"/>
      <c r="F764" s="132"/>
    </row>
    <row r="765" spans="1:6" x14ac:dyDescent="0.3">
      <c r="A765" s="132"/>
      <c r="B765" s="132"/>
      <c r="C765" s="132"/>
      <c r="D765" s="132"/>
      <c r="E765" s="132"/>
      <c r="F765" s="132"/>
    </row>
    <row r="766" spans="1:6" x14ac:dyDescent="0.3">
      <c r="A766" s="132"/>
      <c r="B766" s="132"/>
      <c r="C766" s="132"/>
      <c r="D766" s="132"/>
      <c r="E766" s="132"/>
      <c r="F766" s="132"/>
    </row>
    <row r="767" spans="1:6" x14ac:dyDescent="0.3">
      <c r="A767" s="132"/>
      <c r="B767" s="132"/>
      <c r="C767" s="132"/>
      <c r="D767" s="132"/>
      <c r="E767" s="132"/>
      <c r="F767" s="132"/>
    </row>
    <row r="768" spans="1:6" x14ac:dyDescent="0.3">
      <c r="A768" s="132"/>
      <c r="B768" s="132"/>
      <c r="C768" s="132"/>
      <c r="D768" s="132"/>
      <c r="E768" s="132"/>
      <c r="F768" s="132"/>
    </row>
    <row r="769" spans="1:6" x14ac:dyDescent="0.3">
      <c r="A769" s="132"/>
      <c r="B769" s="132"/>
      <c r="C769" s="132"/>
      <c r="D769" s="132"/>
      <c r="E769" s="132"/>
      <c r="F769" s="132"/>
    </row>
    <row r="770" spans="1:6" x14ac:dyDescent="0.3">
      <c r="A770" s="132"/>
      <c r="B770" s="132"/>
      <c r="C770" s="132"/>
      <c r="D770" s="132"/>
      <c r="E770" s="132"/>
      <c r="F770" s="132"/>
    </row>
    <row r="771" spans="1:6" x14ac:dyDescent="0.3">
      <c r="A771" s="132"/>
      <c r="B771" s="132"/>
      <c r="C771" s="132"/>
      <c r="D771" s="132"/>
      <c r="E771" s="132"/>
      <c r="F771" s="132"/>
    </row>
    <row r="772" spans="1:6" x14ac:dyDescent="0.3">
      <c r="A772" s="132"/>
      <c r="B772" s="132"/>
      <c r="C772" s="132"/>
      <c r="D772" s="132"/>
      <c r="E772" s="132"/>
      <c r="F772" s="132"/>
    </row>
    <row r="773" spans="1:6" x14ac:dyDescent="0.3">
      <c r="A773" s="132"/>
      <c r="B773" s="132"/>
      <c r="C773" s="132"/>
      <c r="D773" s="132"/>
      <c r="E773" s="132"/>
      <c r="F773" s="132"/>
    </row>
    <row r="774" spans="1:6" x14ac:dyDescent="0.3">
      <c r="A774" s="132"/>
      <c r="B774" s="132"/>
      <c r="C774" s="132"/>
      <c r="D774" s="132"/>
      <c r="E774" s="132"/>
      <c r="F774" s="132"/>
    </row>
    <row r="775" spans="1:6" x14ac:dyDescent="0.3">
      <c r="A775" s="132"/>
      <c r="B775" s="132"/>
      <c r="C775" s="132"/>
      <c r="D775" s="132"/>
      <c r="E775" s="132"/>
      <c r="F775" s="132"/>
    </row>
    <row r="776" spans="1:6" x14ac:dyDescent="0.3">
      <c r="A776" s="132"/>
      <c r="B776" s="132"/>
      <c r="C776" s="132"/>
      <c r="D776" s="132"/>
      <c r="E776" s="132"/>
      <c r="F776" s="132"/>
    </row>
    <row r="777" spans="1:6" x14ac:dyDescent="0.3">
      <c r="A777" s="132"/>
      <c r="B777" s="132"/>
      <c r="C777" s="132"/>
      <c r="D777" s="132"/>
      <c r="E777" s="132"/>
      <c r="F777" s="132"/>
    </row>
    <row r="778" spans="1:6" x14ac:dyDescent="0.3">
      <c r="A778" s="132"/>
      <c r="B778" s="132"/>
      <c r="C778" s="132"/>
      <c r="D778" s="132"/>
      <c r="E778" s="132"/>
      <c r="F778" s="132"/>
    </row>
    <row r="779" spans="1:6" x14ac:dyDescent="0.3">
      <c r="A779" s="132"/>
      <c r="B779" s="132"/>
      <c r="C779" s="132"/>
      <c r="D779" s="132"/>
      <c r="E779" s="132"/>
      <c r="F779" s="132"/>
    </row>
    <row r="780" spans="1:6" x14ac:dyDescent="0.3">
      <c r="A780" s="132"/>
      <c r="B780" s="132"/>
      <c r="C780" s="132"/>
      <c r="D780" s="132"/>
      <c r="E780" s="132"/>
      <c r="F780" s="132"/>
    </row>
    <row r="781" spans="1:6" x14ac:dyDescent="0.3">
      <c r="A781" s="132"/>
      <c r="B781" s="132"/>
      <c r="C781" s="132"/>
      <c r="D781" s="132"/>
      <c r="E781" s="132"/>
      <c r="F781" s="132"/>
    </row>
    <row r="782" spans="1:6" x14ac:dyDescent="0.3">
      <c r="A782" s="132"/>
      <c r="B782" s="132"/>
      <c r="C782" s="132"/>
      <c r="D782" s="132"/>
      <c r="E782" s="132"/>
      <c r="F782" s="132"/>
    </row>
    <row r="783" spans="1:6" x14ac:dyDescent="0.3">
      <c r="A783" s="132"/>
      <c r="B783" s="132"/>
      <c r="C783" s="132"/>
      <c r="D783" s="132"/>
      <c r="E783" s="132"/>
      <c r="F783" s="132"/>
    </row>
    <row r="784" spans="1:6" x14ac:dyDescent="0.3">
      <c r="A784" s="132"/>
      <c r="B784" s="132"/>
      <c r="C784" s="132"/>
      <c r="D784" s="132"/>
      <c r="E784" s="132"/>
      <c r="F784" s="132"/>
    </row>
    <row r="785" spans="1:6" x14ac:dyDescent="0.3">
      <c r="A785" s="132"/>
      <c r="B785" s="132"/>
      <c r="C785" s="132"/>
      <c r="D785" s="132"/>
      <c r="E785" s="132"/>
      <c r="F785" s="132"/>
    </row>
    <row r="786" spans="1:6" x14ac:dyDescent="0.3">
      <c r="A786" s="132"/>
      <c r="B786" s="132"/>
      <c r="C786" s="132"/>
      <c r="D786" s="132"/>
      <c r="E786" s="132"/>
      <c r="F786" s="132"/>
    </row>
    <row r="787" spans="1:6" x14ac:dyDescent="0.3">
      <c r="A787" s="132"/>
      <c r="B787" s="132"/>
      <c r="C787" s="132"/>
      <c r="D787" s="132"/>
      <c r="E787" s="132"/>
      <c r="F787" s="132"/>
    </row>
    <row r="788" spans="1:6" x14ac:dyDescent="0.3">
      <c r="A788" s="132"/>
      <c r="B788" s="132"/>
      <c r="C788" s="132"/>
      <c r="D788" s="132"/>
      <c r="E788" s="132"/>
      <c r="F788" s="132"/>
    </row>
    <row r="789" spans="1:6" x14ac:dyDescent="0.3">
      <c r="A789" s="132"/>
      <c r="B789" s="132"/>
      <c r="C789" s="132"/>
      <c r="D789" s="132"/>
      <c r="E789" s="132"/>
      <c r="F789" s="132"/>
    </row>
    <row r="790" spans="1:6" x14ac:dyDescent="0.3">
      <c r="A790" s="132"/>
      <c r="B790" s="132"/>
      <c r="C790" s="132"/>
      <c r="D790" s="132"/>
      <c r="E790" s="132"/>
      <c r="F790" s="132"/>
    </row>
    <row r="791" spans="1:6" x14ac:dyDescent="0.3">
      <c r="A791" s="132"/>
      <c r="B791" s="132"/>
      <c r="C791" s="132"/>
      <c r="D791" s="132"/>
      <c r="E791" s="132"/>
      <c r="F791" s="132"/>
    </row>
    <row r="792" spans="1:6" x14ac:dyDescent="0.3">
      <c r="A792" s="132"/>
      <c r="B792" s="132"/>
      <c r="C792" s="132"/>
      <c r="D792" s="132"/>
      <c r="E792" s="132"/>
      <c r="F792" s="132"/>
    </row>
    <row r="793" spans="1:6" x14ac:dyDescent="0.3">
      <c r="A793" s="132"/>
      <c r="B793" s="132"/>
      <c r="C793" s="132"/>
      <c r="D793" s="132"/>
      <c r="E793" s="132"/>
      <c r="F793" s="132"/>
    </row>
    <row r="794" spans="1:6" x14ac:dyDescent="0.3">
      <c r="A794" s="132"/>
      <c r="B794" s="132"/>
      <c r="C794" s="132"/>
      <c r="D794" s="132"/>
      <c r="E794" s="132"/>
      <c r="F794" s="132"/>
    </row>
    <row r="795" spans="1:6" x14ac:dyDescent="0.3">
      <c r="A795" s="132"/>
      <c r="B795" s="132"/>
      <c r="C795" s="132"/>
      <c r="D795" s="132"/>
      <c r="E795" s="132"/>
      <c r="F795" s="132"/>
    </row>
    <row r="796" spans="1:6" x14ac:dyDescent="0.3">
      <c r="A796" s="132"/>
      <c r="B796" s="132"/>
      <c r="C796" s="132"/>
      <c r="D796" s="132"/>
      <c r="E796" s="132"/>
      <c r="F796" s="132"/>
    </row>
    <row r="797" spans="1:6" x14ac:dyDescent="0.3">
      <c r="A797" s="132"/>
      <c r="B797" s="132"/>
      <c r="C797" s="132"/>
      <c r="D797" s="132"/>
      <c r="E797" s="132"/>
      <c r="F797" s="132"/>
    </row>
    <row r="798" spans="1:6" x14ac:dyDescent="0.3">
      <c r="A798" s="132"/>
      <c r="B798" s="132"/>
      <c r="C798" s="132"/>
      <c r="D798" s="132"/>
      <c r="E798" s="132"/>
      <c r="F798" s="132"/>
    </row>
    <row r="799" spans="1:6" x14ac:dyDescent="0.3">
      <c r="A799" s="132"/>
      <c r="B799" s="132"/>
      <c r="C799" s="132"/>
      <c r="D799" s="132"/>
      <c r="E799" s="132"/>
      <c r="F799" s="132"/>
    </row>
    <row r="800" spans="1:6" x14ac:dyDescent="0.3">
      <c r="A800" s="132"/>
      <c r="B800" s="132"/>
      <c r="C800" s="132"/>
      <c r="D800" s="132"/>
      <c r="E800" s="132"/>
      <c r="F800" s="132"/>
    </row>
    <row r="801" spans="1:6" x14ac:dyDescent="0.3">
      <c r="A801" s="132"/>
      <c r="B801" s="132"/>
      <c r="C801" s="132"/>
      <c r="D801" s="132"/>
      <c r="E801" s="132"/>
      <c r="F801" s="132"/>
    </row>
    <row r="802" spans="1:6" x14ac:dyDescent="0.3">
      <c r="A802" s="132"/>
      <c r="B802" s="132"/>
      <c r="C802" s="132"/>
      <c r="D802" s="132"/>
      <c r="E802" s="132"/>
      <c r="F802" s="132"/>
    </row>
    <row r="803" spans="1:6" x14ac:dyDescent="0.3">
      <c r="A803" s="132"/>
      <c r="B803" s="132"/>
      <c r="C803" s="132"/>
      <c r="D803" s="132"/>
      <c r="E803" s="132"/>
      <c r="F803" s="132"/>
    </row>
    <row r="804" spans="1:6" x14ac:dyDescent="0.3">
      <c r="A804" s="132"/>
      <c r="B804" s="132"/>
      <c r="C804" s="132"/>
      <c r="D804" s="132"/>
      <c r="E804" s="132"/>
      <c r="F804" s="132"/>
    </row>
    <row r="805" spans="1:6" x14ac:dyDescent="0.3">
      <c r="A805" s="132"/>
      <c r="B805" s="132"/>
      <c r="C805" s="132"/>
      <c r="D805" s="132"/>
      <c r="E805" s="132"/>
      <c r="F805" s="132"/>
    </row>
    <row r="806" spans="1:6" x14ac:dyDescent="0.3">
      <c r="A806" s="132"/>
      <c r="B806" s="132"/>
      <c r="C806" s="132"/>
      <c r="D806" s="132"/>
      <c r="E806" s="132"/>
      <c r="F806" s="132"/>
    </row>
    <row r="807" spans="1:6" x14ac:dyDescent="0.3">
      <c r="A807" s="132"/>
      <c r="B807" s="132"/>
      <c r="C807" s="132"/>
      <c r="D807" s="132"/>
      <c r="E807" s="132"/>
      <c r="F807" s="132"/>
    </row>
    <row r="808" spans="1:6" x14ac:dyDescent="0.3">
      <c r="A808" s="132"/>
      <c r="B808" s="132"/>
      <c r="C808" s="132"/>
      <c r="D808" s="132"/>
      <c r="E808" s="132"/>
      <c r="F808" s="132"/>
    </row>
    <row r="809" spans="1:6" x14ac:dyDescent="0.3">
      <c r="A809" s="132"/>
      <c r="B809" s="132"/>
      <c r="C809" s="132"/>
      <c r="D809" s="132"/>
      <c r="E809" s="132"/>
      <c r="F809" s="132"/>
    </row>
    <row r="810" spans="1:6" x14ac:dyDescent="0.3">
      <c r="A810" s="132"/>
      <c r="B810" s="132"/>
      <c r="C810" s="132"/>
      <c r="D810" s="132"/>
      <c r="E810" s="132"/>
      <c r="F810" s="132"/>
    </row>
    <row r="811" spans="1:6" x14ac:dyDescent="0.3">
      <c r="A811" s="132"/>
      <c r="B811" s="132"/>
      <c r="C811" s="132"/>
      <c r="D811" s="132"/>
      <c r="E811" s="132"/>
      <c r="F811" s="132"/>
    </row>
    <row r="812" spans="1:6" x14ac:dyDescent="0.3">
      <c r="A812" s="132"/>
      <c r="B812" s="132"/>
      <c r="C812" s="132"/>
      <c r="D812" s="132"/>
      <c r="E812" s="132"/>
      <c r="F812" s="132"/>
    </row>
    <row r="813" spans="1:6" x14ac:dyDescent="0.3">
      <c r="A813" s="132"/>
      <c r="B813" s="132"/>
      <c r="C813" s="132"/>
      <c r="D813" s="132"/>
      <c r="E813" s="132"/>
      <c r="F813" s="132"/>
    </row>
    <row r="814" spans="1:6" x14ac:dyDescent="0.3">
      <c r="A814" s="132"/>
      <c r="B814" s="132"/>
      <c r="C814" s="132"/>
      <c r="D814" s="132"/>
      <c r="E814" s="132"/>
      <c r="F814" s="132"/>
    </row>
    <row r="815" spans="1:6" x14ac:dyDescent="0.3">
      <c r="A815" s="132"/>
      <c r="B815" s="132"/>
      <c r="C815" s="132"/>
      <c r="D815" s="132"/>
      <c r="E815" s="132"/>
      <c r="F815" s="132"/>
    </row>
    <row r="816" spans="1:6" x14ac:dyDescent="0.3">
      <c r="A816" s="132"/>
      <c r="B816" s="132"/>
      <c r="C816" s="132"/>
      <c r="D816" s="132"/>
      <c r="E816" s="132"/>
      <c r="F816" s="132"/>
    </row>
    <row r="817" spans="1:6" x14ac:dyDescent="0.3">
      <c r="A817" s="132"/>
      <c r="B817" s="132"/>
      <c r="C817" s="132"/>
      <c r="D817" s="132"/>
      <c r="E817" s="132"/>
      <c r="F817" s="132"/>
    </row>
    <row r="818" spans="1:6" x14ac:dyDescent="0.3">
      <c r="A818" s="132"/>
      <c r="B818" s="132"/>
      <c r="C818" s="132"/>
      <c r="D818" s="132"/>
      <c r="E818" s="132"/>
      <c r="F818" s="132"/>
    </row>
    <row r="819" spans="1:6" x14ac:dyDescent="0.3">
      <c r="A819" s="132"/>
      <c r="B819" s="132"/>
      <c r="C819" s="132"/>
      <c r="D819" s="132"/>
      <c r="E819" s="132"/>
      <c r="F819" s="132"/>
    </row>
    <row r="820" spans="1:6" x14ac:dyDescent="0.3">
      <c r="A820" s="132"/>
      <c r="B820" s="132"/>
      <c r="C820" s="132"/>
      <c r="D820" s="132"/>
      <c r="E820" s="132"/>
      <c r="F820" s="132"/>
    </row>
    <row r="821" spans="1:6" x14ac:dyDescent="0.3">
      <c r="A821" s="132"/>
      <c r="B821" s="132"/>
      <c r="C821" s="132"/>
      <c r="D821" s="132"/>
      <c r="E821" s="132"/>
      <c r="F821" s="132"/>
    </row>
    <row r="822" spans="1:6" x14ac:dyDescent="0.3">
      <c r="A822" s="132"/>
      <c r="B822" s="132"/>
      <c r="C822" s="132"/>
      <c r="D822" s="132"/>
      <c r="E822" s="132"/>
      <c r="F822" s="132"/>
    </row>
    <row r="823" spans="1:6" x14ac:dyDescent="0.3">
      <c r="A823" s="132"/>
      <c r="B823" s="132"/>
      <c r="C823" s="132"/>
      <c r="D823" s="132"/>
      <c r="E823" s="132"/>
      <c r="F823" s="132"/>
    </row>
    <row r="824" spans="1:6" x14ac:dyDescent="0.3">
      <c r="A824" s="132"/>
      <c r="B824" s="132"/>
      <c r="C824" s="132"/>
      <c r="D824" s="132"/>
      <c r="E824" s="132"/>
      <c r="F824" s="132"/>
    </row>
    <row r="825" spans="1:6" x14ac:dyDescent="0.3">
      <c r="A825" s="132"/>
      <c r="B825" s="132"/>
      <c r="C825" s="132"/>
      <c r="D825" s="132"/>
      <c r="E825" s="132"/>
      <c r="F825" s="132"/>
    </row>
    <row r="826" spans="1:6" x14ac:dyDescent="0.3">
      <c r="A826" s="132"/>
      <c r="B826" s="132"/>
      <c r="C826" s="132"/>
      <c r="D826" s="132"/>
      <c r="E826" s="132"/>
      <c r="F826" s="132"/>
    </row>
    <row r="827" spans="1:6" x14ac:dyDescent="0.3">
      <c r="A827" s="132"/>
      <c r="B827" s="132"/>
      <c r="C827" s="132"/>
      <c r="D827" s="132"/>
      <c r="E827" s="132"/>
      <c r="F827" s="132"/>
    </row>
    <row r="828" spans="1:6" x14ac:dyDescent="0.3">
      <c r="A828" s="132"/>
      <c r="B828" s="132"/>
      <c r="C828" s="132"/>
      <c r="D828" s="132"/>
      <c r="E828" s="132"/>
      <c r="F828" s="132"/>
    </row>
    <row r="829" spans="1:6" x14ac:dyDescent="0.3">
      <c r="A829" s="132"/>
      <c r="B829" s="132"/>
      <c r="C829" s="132"/>
      <c r="D829" s="132"/>
      <c r="E829" s="132"/>
      <c r="F829" s="132"/>
    </row>
    <row r="830" spans="1:6" x14ac:dyDescent="0.3">
      <c r="A830" s="132"/>
      <c r="B830" s="132"/>
      <c r="C830" s="132"/>
      <c r="D830" s="132"/>
      <c r="E830" s="132"/>
      <c r="F830" s="132"/>
    </row>
    <row r="831" spans="1:6" x14ac:dyDescent="0.3">
      <c r="A831" s="132"/>
      <c r="B831" s="132"/>
      <c r="C831" s="132"/>
      <c r="D831" s="132"/>
      <c r="E831" s="132"/>
      <c r="F831" s="132"/>
    </row>
    <row r="832" spans="1:6" x14ac:dyDescent="0.3">
      <c r="A832" s="132"/>
      <c r="B832" s="132"/>
      <c r="C832" s="132"/>
      <c r="D832" s="132"/>
      <c r="E832" s="132"/>
      <c r="F832" s="132"/>
    </row>
    <row r="833" spans="1:6" x14ac:dyDescent="0.3">
      <c r="A833" s="132"/>
      <c r="B833" s="132"/>
      <c r="C833" s="132"/>
      <c r="D833" s="132"/>
      <c r="E833" s="132"/>
      <c r="F833" s="132"/>
    </row>
    <row r="834" spans="1:6" x14ac:dyDescent="0.3">
      <c r="A834" s="132"/>
      <c r="B834" s="132"/>
      <c r="C834" s="132"/>
      <c r="D834" s="132"/>
      <c r="E834" s="132"/>
      <c r="F834" s="132"/>
    </row>
    <row r="835" spans="1:6" x14ac:dyDescent="0.3">
      <c r="A835" s="132"/>
      <c r="B835" s="132"/>
      <c r="C835" s="132"/>
      <c r="D835" s="132"/>
      <c r="E835" s="132"/>
      <c r="F835" s="132"/>
    </row>
    <row r="836" spans="1:6" x14ac:dyDescent="0.3">
      <c r="A836" s="132"/>
      <c r="B836" s="132"/>
      <c r="C836" s="132"/>
      <c r="D836" s="132"/>
      <c r="E836" s="132"/>
      <c r="F836" s="132"/>
    </row>
    <row r="837" spans="1:6" x14ac:dyDescent="0.3">
      <c r="A837" s="132"/>
      <c r="B837" s="132"/>
      <c r="C837" s="132"/>
      <c r="D837" s="132"/>
      <c r="E837" s="132"/>
      <c r="F837" s="132"/>
    </row>
    <row r="838" spans="1:6" x14ac:dyDescent="0.3">
      <c r="A838" s="132"/>
      <c r="B838" s="132"/>
      <c r="C838" s="132"/>
      <c r="D838" s="132"/>
      <c r="E838" s="132"/>
      <c r="F838" s="132"/>
    </row>
    <row r="839" spans="1:6" x14ac:dyDescent="0.3">
      <c r="A839" s="132"/>
      <c r="B839" s="132"/>
      <c r="C839" s="132"/>
      <c r="D839" s="132"/>
      <c r="E839" s="132"/>
      <c r="F839" s="132"/>
    </row>
    <row r="840" spans="1:6" x14ac:dyDescent="0.3">
      <c r="A840" s="132"/>
      <c r="B840" s="132"/>
      <c r="C840" s="132"/>
      <c r="D840" s="132"/>
      <c r="E840" s="132"/>
      <c r="F840" s="132"/>
    </row>
    <row r="841" spans="1:6" x14ac:dyDescent="0.3">
      <c r="A841" s="132"/>
      <c r="B841" s="132"/>
      <c r="C841" s="132"/>
      <c r="D841" s="132"/>
      <c r="E841" s="132"/>
      <c r="F841" s="132"/>
    </row>
    <row r="842" spans="1:6" x14ac:dyDescent="0.3">
      <c r="A842" s="132"/>
      <c r="B842" s="132"/>
      <c r="C842" s="132"/>
      <c r="D842" s="132"/>
      <c r="E842" s="132"/>
      <c r="F842" s="132"/>
    </row>
    <row r="843" spans="1:6" x14ac:dyDescent="0.3">
      <c r="A843" s="132"/>
      <c r="B843" s="132"/>
      <c r="C843" s="132"/>
      <c r="D843" s="132"/>
      <c r="E843" s="132"/>
      <c r="F843" s="132"/>
    </row>
    <row r="844" spans="1:6" x14ac:dyDescent="0.3">
      <c r="A844" s="132"/>
      <c r="B844" s="132"/>
      <c r="C844" s="132"/>
      <c r="D844" s="132"/>
      <c r="E844" s="132"/>
      <c r="F844" s="132"/>
    </row>
    <row r="845" spans="1:6" x14ac:dyDescent="0.3">
      <c r="A845" s="132"/>
      <c r="B845" s="132"/>
      <c r="C845" s="132"/>
      <c r="D845" s="132"/>
      <c r="E845" s="132"/>
      <c r="F845" s="132"/>
    </row>
    <row r="846" spans="1:6" x14ac:dyDescent="0.3">
      <c r="A846" s="132"/>
      <c r="B846" s="132"/>
      <c r="C846" s="132"/>
      <c r="D846" s="132"/>
      <c r="E846" s="132"/>
      <c r="F846" s="132"/>
    </row>
    <row r="847" spans="1:6" x14ac:dyDescent="0.3">
      <c r="A847" s="132"/>
      <c r="B847" s="132"/>
      <c r="C847" s="132"/>
      <c r="D847" s="132"/>
      <c r="E847" s="132"/>
      <c r="F847" s="132"/>
    </row>
    <row r="848" spans="1:6" x14ac:dyDescent="0.3">
      <c r="A848" s="132"/>
      <c r="B848" s="132"/>
      <c r="C848" s="132"/>
      <c r="D848" s="132"/>
      <c r="E848" s="132"/>
      <c r="F848" s="132"/>
    </row>
    <row r="849" spans="1:6" x14ac:dyDescent="0.3">
      <c r="A849" s="132"/>
      <c r="B849" s="132"/>
      <c r="C849" s="132"/>
      <c r="D849" s="132"/>
      <c r="E849" s="132"/>
      <c r="F849" s="132"/>
    </row>
    <row r="850" spans="1:6" x14ac:dyDescent="0.3">
      <c r="A850" s="132"/>
      <c r="B850" s="132"/>
      <c r="C850" s="132"/>
      <c r="D850" s="132"/>
      <c r="E850" s="132"/>
      <c r="F850" s="132"/>
    </row>
    <row r="851" spans="1:6" x14ac:dyDescent="0.3">
      <c r="A851" s="132"/>
      <c r="B851" s="132"/>
      <c r="C851" s="132"/>
      <c r="D851" s="132"/>
      <c r="E851" s="132"/>
      <c r="F851" s="132"/>
    </row>
    <row r="852" spans="1:6" x14ac:dyDescent="0.3">
      <c r="A852" s="132"/>
      <c r="B852" s="132"/>
      <c r="C852" s="132"/>
      <c r="D852" s="132"/>
      <c r="E852" s="132"/>
      <c r="F852" s="132"/>
    </row>
    <row r="853" spans="1:6" x14ac:dyDescent="0.3">
      <c r="A853" s="132"/>
      <c r="B853" s="132"/>
      <c r="C853" s="132"/>
      <c r="D853" s="132"/>
      <c r="E853" s="132"/>
      <c r="F853" s="132"/>
    </row>
    <row r="854" spans="1:6" x14ac:dyDescent="0.3">
      <c r="A854" s="132"/>
      <c r="B854" s="132"/>
      <c r="C854" s="132"/>
      <c r="D854" s="132"/>
      <c r="E854" s="132"/>
      <c r="F854" s="132"/>
    </row>
    <row r="855" spans="1:6" x14ac:dyDescent="0.3">
      <c r="A855" s="132"/>
      <c r="B855" s="132"/>
      <c r="C855" s="132"/>
      <c r="D855" s="132"/>
      <c r="E855" s="132"/>
      <c r="F855" s="132"/>
    </row>
    <row r="856" spans="1:6" x14ac:dyDescent="0.3">
      <c r="A856" s="132"/>
      <c r="B856" s="132"/>
      <c r="C856" s="132"/>
      <c r="D856" s="132"/>
      <c r="E856" s="132"/>
      <c r="F856" s="132"/>
    </row>
    <row r="857" spans="1:6" x14ac:dyDescent="0.3">
      <c r="A857" s="132"/>
      <c r="B857" s="132"/>
      <c r="C857" s="132"/>
      <c r="D857" s="132"/>
      <c r="E857" s="132"/>
      <c r="F857" s="132"/>
    </row>
    <row r="858" spans="1:6" x14ac:dyDescent="0.3">
      <c r="A858" s="132"/>
      <c r="B858" s="132"/>
      <c r="C858" s="132"/>
      <c r="D858" s="132"/>
      <c r="E858" s="132"/>
      <c r="F858" s="132"/>
    </row>
    <row r="859" spans="1:6" x14ac:dyDescent="0.3">
      <c r="A859" s="132"/>
      <c r="B859" s="132"/>
      <c r="C859" s="132"/>
      <c r="D859" s="132"/>
      <c r="E859" s="132"/>
      <c r="F859" s="132"/>
    </row>
    <row r="860" spans="1:6" x14ac:dyDescent="0.3">
      <c r="A860" s="132"/>
      <c r="B860" s="132"/>
      <c r="C860" s="132"/>
      <c r="D860" s="132"/>
      <c r="E860" s="132"/>
      <c r="F860" s="132"/>
    </row>
    <row r="861" spans="1:6" x14ac:dyDescent="0.3">
      <c r="A861" s="132"/>
      <c r="B861" s="132"/>
      <c r="C861" s="132"/>
      <c r="D861" s="132"/>
      <c r="E861" s="132"/>
      <c r="F861" s="132"/>
    </row>
    <row r="862" spans="1:6" x14ac:dyDescent="0.3">
      <c r="A862" s="132"/>
      <c r="B862" s="132"/>
      <c r="C862" s="132"/>
      <c r="D862" s="132"/>
      <c r="E862" s="132"/>
      <c r="F862" s="132"/>
    </row>
    <row r="863" spans="1:6" x14ac:dyDescent="0.3">
      <c r="A863" s="132"/>
      <c r="B863" s="132"/>
      <c r="C863" s="132"/>
      <c r="D863" s="132"/>
      <c r="E863" s="132"/>
      <c r="F863" s="132"/>
    </row>
    <row r="864" spans="1:6" x14ac:dyDescent="0.3">
      <c r="A864" s="132"/>
      <c r="B864" s="132"/>
      <c r="C864" s="132"/>
      <c r="D864" s="132"/>
      <c r="E864" s="132"/>
      <c r="F864" s="132"/>
    </row>
    <row r="865" spans="1:6" x14ac:dyDescent="0.3">
      <c r="A865" s="132"/>
      <c r="B865" s="132"/>
      <c r="C865" s="132"/>
      <c r="D865" s="132"/>
      <c r="E865" s="132"/>
      <c r="F865" s="132"/>
    </row>
    <row r="866" spans="1:6" x14ac:dyDescent="0.3">
      <c r="A866" s="132"/>
      <c r="B866" s="132"/>
      <c r="C866" s="132"/>
      <c r="D866" s="132"/>
      <c r="E866" s="132"/>
      <c r="F866" s="132"/>
    </row>
    <row r="867" spans="1:6" x14ac:dyDescent="0.3">
      <c r="A867" s="132"/>
      <c r="B867" s="132"/>
      <c r="C867" s="132"/>
      <c r="D867" s="132"/>
      <c r="E867" s="132"/>
      <c r="F867" s="132"/>
    </row>
    <row r="868" spans="1:6" x14ac:dyDescent="0.3">
      <c r="A868" s="132"/>
      <c r="B868" s="132"/>
      <c r="C868" s="132"/>
      <c r="D868" s="132"/>
      <c r="E868" s="132"/>
      <c r="F868" s="132"/>
    </row>
    <row r="869" spans="1:6" x14ac:dyDescent="0.3">
      <c r="A869" s="132"/>
      <c r="B869" s="132"/>
      <c r="C869" s="132"/>
      <c r="D869" s="132"/>
      <c r="E869" s="132"/>
      <c r="F869" s="132"/>
    </row>
    <row r="870" spans="1:6" x14ac:dyDescent="0.3">
      <c r="A870" s="132"/>
      <c r="B870" s="132"/>
      <c r="C870" s="132"/>
      <c r="D870" s="132"/>
      <c r="E870" s="132"/>
      <c r="F870" s="132"/>
    </row>
    <row r="871" spans="1:6" x14ac:dyDescent="0.3">
      <c r="A871" s="132"/>
      <c r="B871" s="132"/>
      <c r="C871" s="132"/>
      <c r="D871" s="132"/>
      <c r="E871" s="132"/>
      <c r="F871" s="132"/>
    </row>
    <row r="872" spans="1:6" x14ac:dyDescent="0.3">
      <c r="A872" s="132"/>
      <c r="B872" s="132"/>
      <c r="C872" s="132"/>
      <c r="D872" s="132"/>
      <c r="E872" s="132"/>
      <c r="F872" s="132"/>
    </row>
    <row r="873" spans="1:6" x14ac:dyDescent="0.3">
      <c r="A873" s="132"/>
      <c r="B873" s="132"/>
      <c r="C873" s="132"/>
      <c r="D873" s="132"/>
      <c r="E873" s="132"/>
      <c r="F873" s="132"/>
    </row>
    <row r="874" spans="1:6" x14ac:dyDescent="0.3">
      <c r="A874" s="132"/>
      <c r="B874" s="132"/>
      <c r="C874" s="132"/>
      <c r="D874" s="132"/>
      <c r="E874" s="132"/>
      <c r="F874" s="132"/>
    </row>
    <row r="875" spans="1:6" x14ac:dyDescent="0.3">
      <c r="A875" s="132"/>
      <c r="B875" s="132"/>
      <c r="C875" s="132"/>
      <c r="D875" s="132"/>
      <c r="E875" s="132"/>
      <c r="F875" s="132"/>
    </row>
    <row r="876" spans="1:6" x14ac:dyDescent="0.3">
      <c r="A876" s="132"/>
      <c r="B876" s="132"/>
      <c r="C876" s="132"/>
      <c r="D876" s="132"/>
      <c r="E876" s="132"/>
      <c r="F876" s="132"/>
    </row>
    <row r="877" spans="1:6" x14ac:dyDescent="0.3">
      <c r="A877" s="132"/>
      <c r="B877" s="132"/>
      <c r="C877" s="132"/>
      <c r="D877" s="132"/>
      <c r="E877" s="132"/>
      <c r="F877" s="132"/>
    </row>
    <row r="878" spans="1:6" x14ac:dyDescent="0.3">
      <c r="A878" s="132"/>
      <c r="B878" s="132"/>
      <c r="C878" s="132"/>
      <c r="D878" s="132"/>
      <c r="E878" s="132"/>
      <c r="F878" s="132"/>
    </row>
    <row r="879" spans="1:6" x14ac:dyDescent="0.3">
      <c r="A879" s="132"/>
      <c r="B879" s="132"/>
      <c r="C879" s="132"/>
      <c r="D879" s="132"/>
      <c r="E879" s="132"/>
      <c r="F879" s="132"/>
    </row>
    <row r="880" spans="1:6" x14ac:dyDescent="0.3">
      <c r="A880" s="132"/>
      <c r="B880" s="132"/>
      <c r="C880" s="132"/>
      <c r="D880" s="132"/>
      <c r="E880" s="132"/>
      <c r="F880" s="132"/>
    </row>
    <row r="881" spans="1:6" x14ac:dyDescent="0.3">
      <c r="A881" s="132"/>
      <c r="B881" s="132"/>
      <c r="C881" s="132"/>
      <c r="D881" s="132"/>
      <c r="E881" s="132"/>
      <c r="F881" s="132"/>
    </row>
    <row r="882" spans="1:6" x14ac:dyDescent="0.3">
      <c r="A882" s="132"/>
      <c r="B882" s="132"/>
      <c r="C882" s="132"/>
      <c r="D882" s="132"/>
      <c r="E882" s="132"/>
      <c r="F882" s="132"/>
    </row>
    <row r="883" spans="1:6" x14ac:dyDescent="0.3">
      <c r="A883" s="132"/>
      <c r="B883" s="132"/>
      <c r="C883" s="132"/>
      <c r="D883" s="132"/>
      <c r="E883" s="132"/>
      <c r="F883" s="132"/>
    </row>
    <row r="884" spans="1:6" x14ac:dyDescent="0.3">
      <c r="A884" s="132"/>
      <c r="B884" s="132"/>
      <c r="C884" s="132"/>
      <c r="D884" s="132"/>
      <c r="E884" s="132"/>
      <c r="F884" s="132"/>
    </row>
    <row r="885" spans="1:6" x14ac:dyDescent="0.3">
      <c r="A885" s="132"/>
      <c r="B885" s="132"/>
      <c r="C885" s="132"/>
      <c r="D885" s="132"/>
      <c r="E885" s="132"/>
      <c r="F885" s="132"/>
    </row>
    <row r="886" spans="1:6" x14ac:dyDescent="0.3">
      <c r="A886" s="132"/>
      <c r="B886" s="132"/>
      <c r="C886" s="132"/>
      <c r="D886" s="132"/>
      <c r="E886" s="132"/>
      <c r="F886" s="132"/>
    </row>
    <row r="887" spans="1:6" x14ac:dyDescent="0.3">
      <c r="A887" s="132"/>
      <c r="B887" s="132"/>
      <c r="C887" s="132"/>
      <c r="D887" s="132"/>
      <c r="E887" s="132"/>
      <c r="F887" s="132"/>
    </row>
    <row r="888" spans="1:6" x14ac:dyDescent="0.3">
      <c r="A888" s="132"/>
      <c r="B888" s="132"/>
      <c r="C888" s="132"/>
      <c r="D888" s="132"/>
      <c r="E888" s="132"/>
      <c r="F888" s="132"/>
    </row>
    <row r="889" spans="1:6" x14ac:dyDescent="0.3">
      <c r="A889" s="132"/>
      <c r="B889" s="132"/>
      <c r="C889" s="132"/>
      <c r="D889" s="132"/>
      <c r="E889" s="132"/>
      <c r="F889" s="132"/>
    </row>
    <row r="890" spans="1:6" x14ac:dyDescent="0.3">
      <c r="A890" s="132"/>
      <c r="B890" s="132"/>
      <c r="C890" s="132"/>
      <c r="D890" s="132"/>
      <c r="E890" s="132"/>
      <c r="F890" s="132"/>
    </row>
    <row r="891" spans="1:6" x14ac:dyDescent="0.3">
      <c r="A891" s="132"/>
      <c r="B891" s="132"/>
      <c r="C891" s="132"/>
      <c r="D891" s="132"/>
      <c r="E891" s="132"/>
      <c r="F891" s="132"/>
    </row>
    <row r="892" spans="1:6" x14ac:dyDescent="0.3">
      <c r="A892" s="132"/>
      <c r="B892" s="132"/>
      <c r="C892" s="132"/>
      <c r="D892" s="132"/>
      <c r="E892" s="132"/>
      <c r="F892" s="132"/>
    </row>
    <row r="893" spans="1:6" x14ac:dyDescent="0.3">
      <c r="A893" s="132"/>
      <c r="B893" s="132"/>
      <c r="C893" s="132"/>
      <c r="D893" s="132"/>
      <c r="E893" s="132"/>
      <c r="F893" s="132"/>
    </row>
    <row r="894" spans="1:6" x14ac:dyDescent="0.3">
      <c r="A894" s="132"/>
      <c r="B894" s="132"/>
      <c r="C894" s="132"/>
      <c r="D894" s="132"/>
      <c r="E894" s="132"/>
      <c r="F894" s="132"/>
    </row>
    <row r="895" spans="1:6" x14ac:dyDescent="0.3">
      <c r="A895" s="132"/>
      <c r="B895" s="132"/>
      <c r="C895" s="132"/>
      <c r="D895" s="132"/>
      <c r="E895" s="132"/>
      <c r="F895" s="132"/>
    </row>
    <row r="896" spans="1:6" x14ac:dyDescent="0.3">
      <c r="A896" s="132"/>
      <c r="B896" s="132"/>
      <c r="C896" s="132"/>
      <c r="D896" s="132"/>
      <c r="E896" s="132"/>
      <c r="F896" s="132"/>
    </row>
    <row r="897" spans="1:6" x14ac:dyDescent="0.3">
      <c r="A897" s="132"/>
      <c r="B897" s="132"/>
      <c r="C897" s="132"/>
      <c r="D897" s="132"/>
      <c r="E897" s="132"/>
      <c r="F897" s="132"/>
    </row>
    <row r="898" spans="1:6" x14ac:dyDescent="0.3">
      <c r="A898" s="132"/>
      <c r="B898" s="132"/>
      <c r="C898" s="132"/>
      <c r="D898" s="132"/>
      <c r="E898" s="132"/>
      <c r="F898" s="132"/>
    </row>
    <row r="899" spans="1:6" x14ac:dyDescent="0.3">
      <c r="A899" s="132"/>
      <c r="B899" s="132"/>
      <c r="C899" s="132"/>
      <c r="D899" s="132"/>
      <c r="E899" s="132"/>
      <c r="F899" s="132"/>
    </row>
    <row r="900" spans="1:6" x14ac:dyDescent="0.3">
      <c r="A900" s="132"/>
      <c r="B900" s="132"/>
      <c r="C900" s="132"/>
      <c r="D900" s="132"/>
      <c r="E900" s="132"/>
      <c r="F900" s="132"/>
    </row>
    <row r="901" spans="1:6" x14ac:dyDescent="0.3">
      <c r="A901" s="132"/>
      <c r="B901" s="132"/>
      <c r="C901" s="132"/>
      <c r="D901" s="132"/>
      <c r="E901" s="132"/>
      <c r="F901" s="132"/>
    </row>
    <row r="902" spans="1:6" x14ac:dyDescent="0.3">
      <c r="A902" s="132"/>
      <c r="B902" s="132"/>
      <c r="C902" s="132"/>
      <c r="D902" s="132"/>
      <c r="E902" s="132"/>
      <c r="F902" s="132"/>
    </row>
    <row r="903" spans="1:6" x14ac:dyDescent="0.3">
      <c r="A903" s="132"/>
      <c r="B903" s="132"/>
      <c r="C903" s="132"/>
      <c r="D903" s="132"/>
      <c r="E903" s="132"/>
      <c r="F903" s="132"/>
    </row>
    <row r="904" spans="1:6" x14ac:dyDescent="0.3">
      <c r="A904" s="132"/>
      <c r="B904" s="132"/>
      <c r="C904" s="132"/>
      <c r="D904" s="132"/>
      <c r="E904" s="132"/>
      <c r="F904" s="132"/>
    </row>
    <row r="905" spans="1:6" x14ac:dyDescent="0.3">
      <c r="A905" s="132"/>
      <c r="B905" s="132"/>
      <c r="C905" s="132"/>
      <c r="D905" s="132"/>
      <c r="E905" s="132"/>
      <c r="F905" s="132"/>
    </row>
    <row r="906" spans="1:6" x14ac:dyDescent="0.3">
      <c r="A906" s="132"/>
      <c r="B906" s="132"/>
      <c r="C906" s="132"/>
      <c r="D906" s="132"/>
      <c r="E906" s="132"/>
      <c r="F906" s="132"/>
    </row>
    <row r="907" spans="1:6" x14ac:dyDescent="0.3">
      <c r="A907" s="132"/>
      <c r="B907" s="132"/>
      <c r="C907" s="132"/>
      <c r="D907" s="132"/>
      <c r="E907" s="132"/>
      <c r="F907" s="132"/>
    </row>
    <row r="908" spans="1:6" x14ac:dyDescent="0.3">
      <c r="A908" s="132"/>
      <c r="B908" s="132"/>
      <c r="C908" s="132"/>
      <c r="D908" s="132"/>
      <c r="E908" s="132"/>
      <c r="F908" s="132"/>
    </row>
    <row r="909" spans="1:6" x14ac:dyDescent="0.3">
      <c r="A909" s="132"/>
      <c r="B909" s="132"/>
      <c r="C909" s="132"/>
      <c r="D909" s="132"/>
      <c r="E909" s="132"/>
      <c r="F909" s="132"/>
    </row>
    <row r="910" spans="1:6" x14ac:dyDescent="0.3">
      <c r="A910" s="132"/>
      <c r="B910" s="132"/>
      <c r="C910" s="132"/>
      <c r="D910" s="132"/>
      <c r="E910" s="132"/>
      <c r="F910" s="132"/>
    </row>
    <row r="911" spans="1:6" x14ac:dyDescent="0.3">
      <c r="A911" s="132"/>
      <c r="B911" s="132"/>
      <c r="C911" s="132"/>
      <c r="D911" s="132"/>
      <c r="E911" s="132"/>
      <c r="F911" s="132"/>
    </row>
    <row r="912" spans="1:6" x14ac:dyDescent="0.3">
      <c r="A912" s="132"/>
      <c r="B912" s="132"/>
      <c r="C912" s="132"/>
      <c r="D912" s="132"/>
      <c r="E912" s="132"/>
      <c r="F912" s="132"/>
    </row>
    <row r="913" spans="1:6" x14ac:dyDescent="0.3">
      <c r="A913" s="132"/>
      <c r="B913" s="132"/>
      <c r="C913" s="132"/>
      <c r="D913" s="132"/>
      <c r="E913" s="132"/>
      <c r="F913" s="132"/>
    </row>
    <row r="914" spans="1:6" x14ac:dyDescent="0.3">
      <c r="A914" s="132"/>
      <c r="B914" s="132"/>
      <c r="C914" s="132"/>
      <c r="D914" s="132"/>
      <c r="E914" s="132"/>
      <c r="F914" s="132"/>
    </row>
    <row r="915" spans="1:6" x14ac:dyDescent="0.3">
      <c r="A915" s="132"/>
      <c r="B915" s="132"/>
      <c r="C915" s="132"/>
      <c r="D915" s="132"/>
      <c r="E915" s="132"/>
      <c r="F915" s="132"/>
    </row>
    <row r="916" spans="1:6" x14ac:dyDescent="0.3">
      <c r="A916" s="132"/>
      <c r="B916" s="132"/>
      <c r="C916" s="132"/>
      <c r="D916" s="132"/>
      <c r="E916" s="132"/>
      <c r="F916" s="132"/>
    </row>
    <row r="917" spans="1:6" x14ac:dyDescent="0.3">
      <c r="A917" s="132"/>
      <c r="B917" s="132"/>
      <c r="C917" s="132"/>
      <c r="D917" s="132"/>
      <c r="E917" s="132"/>
      <c r="F917" s="132"/>
    </row>
    <row r="918" spans="1:6" x14ac:dyDescent="0.3">
      <c r="A918" s="132"/>
      <c r="B918" s="132"/>
      <c r="C918" s="132"/>
      <c r="D918" s="132"/>
      <c r="E918" s="132"/>
      <c r="F918" s="132"/>
    </row>
    <row r="919" spans="1:6" x14ac:dyDescent="0.3">
      <c r="A919" s="132"/>
      <c r="B919" s="132"/>
      <c r="C919" s="132"/>
      <c r="D919" s="132"/>
      <c r="E919" s="132"/>
      <c r="F919" s="132"/>
    </row>
    <row r="920" spans="1:6" x14ac:dyDescent="0.3">
      <c r="A920" s="132"/>
      <c r="B920" s="132"/>
      <c r="C920" s="132"/>
      <c r="D920" s="132"/>
      <c r="E920" s="132"/>
      <c r="F920" s="132"/>
    </row>
    <row r="921" spans="1:6" x14ac:dyDescent="0.3">
      <c r="A921" s="132"/>
      <c r="B921" s="132"/>
      <c r="C921" s="132"/>
      <c r="D921" s="132"/>
      <c r="E921" s="132"/>
      <c r="F921" s="132"/>
    </row>
    <row r="922" spans="1:6" x14ac:dyDescent="0.3">
      <c r="A922" s="132"/>
      <c r="B922" s="132"/>
      <c r="C922" s="132"/>
      <c r="D922" s="132"/>
      <c r="E922" s="132"/>
      <c r="F922" s="132"/>
    </row>
    <row r="923" spans="1:6" x14ac:dyDescent="0.3">
      <c r="A923" s="132"/>
      <c r="B923" s="132"/>
      <c r="C923" s="132"/>
      <c r="D923" s="132"/>
      <c r="E923" s="132"/>
      <c r="F923" s="132"/>
    </row>
    <row r="924" spans="1:6" x14ac:dyDescent="0.3">
      <c r="A924" s="132"/>
      <c r="B924" s="132"/>
      <c r="C924" s="132"/>
      <c r="D924" s="132"/>
      <c r="E924" s="132"/>
      <c r="F924" s="132"/>
    </row>
    <row r="925" spans="1:6" x14ac:dyDescent="0.3">
      <c r="A925" s="132"/>
      <c r="B925" s="132"/>
      <c r="C925" s="132"/>
      <c r="D925" s="132"/>
      <c r="E925" s="132"/>
      <c r="F925" s="132"/>
    </row>
    <row r="926" spans="1:6" x14ac:dyDescent="0.3">
      <c r="A926" s="132"/>
      <c r="B926" s="132"/>
      <c r="C926" s="132"/>
      <c r="D926" s="132"/>
      <c r="E926" s="132"/>
      <c r="F926" s="132"/>
    </row>
    <row r="927" spans="1:6" x14ac:dyDescent="0.3">
      <c r="A927" s="132"/>
      <c r="B927" s="132"/>
      <c r="C927" s="132"/>
      <c r="D927" s="132"/>
      <c r="E927" s="132"/>
      <c r="F927" s="132"/>
    </row>
    <row r="928" spans="1:6" x14ac:dyDescent="0.3">
      <c r="A928" s="132"/>
      <c r="B928" s="132"/>
      <c r="C928" s="132"/>
      <c r="D928" s="132"/>
      <c r="E928" s="132"/>
      <c r="F928" s="132"/>
    </row>
    <row r="929" spans="1:6" x14ac:dyDescent="0.3">
      <c r="A929" s="132"/>
      <c r="B929" s="132"/>
      <c r="C929" s="132"/>
      <c r="D929" s="132"/>
      <c r="E929" s="132"/>
      <c r="F929" s="132"/>
    </row>
    <row r="930" spans="1:6" x14ac:dyDescent="0.3">
      <c r="A930" s="132"/>
      <c r="B930" s="132"/>
      <c r="C930" s="132"/>
      <c r="D930" s="132"/>
      <c r="E930" s="132"/>
      <c r="F930" s="132"/>
    </row>
    <row r="931" spans="1:6" x14ac:dyDescent="0.3">
      <c r="A931" s="132"/>
      <c r="B931" s="132"/>
      <c r="C931" s="132"/>
      <c r="D931" s="132"/>
      <c r="E931" s="132"/>
      <c r="F931" s="132"/>
    </row>
    <row r="932" spans="1:6" x14ac:dyDescent="0.3">
      <c r="A932" s="132"/>
      <c r="B932" s="132"/>
      <c r="C932" s="132"/>
      <c r="D932" s="132"/>
      <c r="E932" s="132"/>
      <c r="F932" s="132"/>
    </row>
    <row r="933" spans="1:6" x14ac:dyDescent="0.3">
      <c r="A933" s="132"/>
      <c r="B933" s="132"/>
      <c r="C933" s="132"/>
      <c r="D933" s="132"/>
      <c r="E933" s="132"/>
      <c r="F933" s="132"/>
    </row>
    <row r="934" spans="1:6" x14ac:dyDescent="0.3">
      <c r="A934" s="132"/>
      <c r="B934" s="132"/>
      <c r="C934" s="132"/>
      <c r="D934" s="132"/>
      <c r="E934" s="132"/>
      <c r="F934" s="132"/>
    </row>
    <row r="935" spans="1:6" x14ac:dyDescent="0.3">
      <c r="A935" s="132"/>
      <c r="B935" s="132"/>
      <c r="C935" s="132"/>
      <c r="D935" s="132"/>
      <c r="E935" s="132"/>
      <c r="F935" s="132"/>
    </row>
    <row r="936" spans="1:6" x14ac:dyDescent="0.3">
      <c r="A936" s="132"/>
      <c r="B936" s="132"/>
      <c r="C936" s="132"/>
      <c r="D936" s="132"/>
      <c r="E936" s="132"/>
      <c r="F936" s="132"/>
    </row>
    <row r="937" spans="1:6" x14ac:dyDescent="0.3">
      <c r="A937" s="132"/>
      <c r="B937" s="132"/>
      <c r="C937" s="132"/>
      <c r="D937" s="132"/>
      <c r="E937" s="132"/>
      <c r="F937" s="132"/>
    </row>
    <row r="938" spans="1:6" x14ac:dyDescent="0.3">
      <c r="A938" s="132"/>
      <c r="B938" s="132"/>
      <c r="C938" s="132"/>
      <c r="D938" s="132"/>
      <c r="E938" s="132"/>
      <c r="F938" s="132"/>
    </row>
    <row r="939" spans="1:6" x14ac:dyDescent="0.3">
      <c r="A939" s="132"/>
      <c r="B939" s="132"/>
      <c r="C939" s="132"/>
      <c r="D939" s="132"/>
      <c r="E939" s="132"/>
      <c r="F939" s="132"/>
    </row>
    <row r="940" spans="1:6" x14ac:dyDescent="0.3">
      <c r="A940" s="132"/>
      <c r="B940" s="132"/>
      <c r="C940" s="132"/>
      <c r="D940" s="132"/>
      <c r="E940" s="132"/>
      <c r="F940" s="132"/>
    </row>
    <row r="941" spans="1:6" x14ac:dyDescent="0.3">
      <c r="A941" s="132"/>
      <c r="B941" s="132"/>
      <c r="C941" s="132"/>
      <c r="D941" s="132"/>
      <c r="E941" s="132"/>
      <c r="F941" s="132"/>
    </row>
    <row r="942" spans="1:6" x14ac:dyDescent="0.3">
      <c r="A942" s="132"/>
      <c r="B942" s="132"/>
      <c r="C942" s="132"/>
      <c r="D942" s="132"/>
      <c r="E942" s="132"/>
      <c r="F942" s="132"/>
    </row>
    <row r="943" spans="1:6" x14ac:dyDescent="0.3">
      <c r="A943" s="132"/>
      <c r="B943" s="132"/>
      <c r="C943" s="132"/>
      <c r="D943" s="132"/>
      <c r="E943" s="132"/>
      <c r="F943" s="132"/>
    </row>
    <row r="944" spans="1:6" x14ac:dyDescent="0.3">
      <c r="A944" s="132"/>
      <c r="B944" s="132"/>
      <c r="C944" s="132"/>
      <c r="D944" s="132"/>
      <c r="E944" s="132"/>
      <c r="F944" s="132"/>
    </row>
    <row r="945" spans="1:6" x14ac:dyDescent="0.3">
      <c r="A945" s="132"/>
      <c r="B945" s="132"/>
      <c r="C945" s="132"/>
      <c r="D945" s="132"/>
      <c r="E945" s="132"/>
      <c r="F945" s="132"/>
    </row>
    <row r="946" spans="1:6" x14ac:dyDescent="0.3">
      <c r="A946" s="132"/>
      <c r="B946" s="132"/>
      <c r="C946" s="132"/>
      <c r="D946" s="132"/>
      <c r="E946" s="132"/>
      <c r="F946" s="132"/>
    </row>
    <row r="947" spans="1:6" x14ac:dyDescent="0.3">
      <c r="A947" s="132"/>
      <c r="B947" s="132"/>
      <c r="C947" s="132"/>
      <c r="D947" s="132"/>
      <c r="E947" s="132"/>
      <c r="F947" s="132"/>
    </row>
    <row r="948" spans="1:6" x14ac:dyDescent="0.3">
      <c r="A948" s="132"/>
      <c r="B948" s="132"/>
      <c r="C948" s="132"/>
      <c r="D948" s="132"/>
      <c r="E948" s="132"/>
      <c r="F948" s="132"/>
    </row>
    <row r="949" spans="1:6" x14ac:dyDescent="0.3">
      <c r="A949" s="132"/>
      <c r="B949" s="132"/>
      <c r="C949" s="132"/>
      <c r="D949" s="132"/>
      <c r="E949" s="132"/>
      <c r="F949" s="132"/>
    </row>
    <row r="950" spans="1:6" x14ac:dyDescent="0.3">
      <c r="A950" s="132"/>
      <c r="B950" s="132"/>
      <c r="C950" s="132"/>
      <c r="D950" s="132"/>
      <c r="E950" s="132"/>
      <c r="F950" s="132"/>
    </row>
    <row r="951" spans="1:6" x14ac:dyDescent="0.3">
      <c r="A951" s="132"/>
      <c r="B951" s="132"/>
      <c r="C951" s="132"/>
      <c r="D951" s="132"/>
      <c r="E951" s="132"/>
      <c r="F951" s="132"/>
    </row>
    <row r="952" spans="1:6" x14ac:dyDescent="0.3">
      <c r="A952" s="132"/>
      <c r="B952" s="132"/>
      <c r="C952" s="132"/>
      <c r="D952" s="132"/>
      <c r="E952" s="132"/>
      <c r="F952" s="132"/>
    </row>
    <row r="953" spans="1:6" x14ac:dyDescent="0.3">
      <c r="A953" s="132"/>
      <c r="B953" s="132"/>
      <c r="C953" s="132"/>
      <c r="D953" s="132"/>
      <c r="E953" s="132"/>
      <c r="F953" s="132"/>
    </row>
    <row r="954" spans="1:6" x14ac:dyDescent="0.3">
      <c r="A954" s="132"/>
      <c r="B954" s="132"/>
      <c r="C954" s="132"/>
      <c r="D954" s="132"/>
      <c r="E954" s="132"/>
      <c r="F954" s="132"/>
    </row>
    <row r="955" spans="1:6" x14ac:dyDescent="0.3">
      <c r="A955" s="132"/>
      <c r="B955" s="132"/>
      <c r="C955" s="132"/>
      <c r="D955" s="132"/>
      <c r="E955" s="132"/>
      <c r="F955" s="132"/>
    </row>
    <row r="956" spans="1:6" x14ac:dyDescent="0.3">
      <c r="A956" s="132"/>
      <c r="B956" s="132"/>
      <c r="C956" s="132"/>
      <c r="D956" s="132"/>
      <c r="E956" s="132"/>
      <c r="F956" s="132"/>
    </row>
    <row r="957" spans="1:6" x14ac:dyDescent="0.3">
      <c r="A957" s="132"/>
      <c r="B957" s="132"/>
      <c r="C957" s="132"/>
      <c r="D957" s="132"/>
      <c r="E957" s="132"/>
      <c r="F957" s="132"/>
    </row>
    <row r="958" spans="1:6" x14ac:dyDescent="0.3">
      <c r="A958" s="132"/>
      <c r="B958" s="132"/>
      <c r="C958" s="132"/>
      <c r="D958" s="132"/>
      <c r="E958" s="132"/>
      <c r="F958" s="132"/>
    </row>
    <row r="959" spans="1:6" x14ac:dyDescent="0.3">
      <c r="A959" s="132"/>
      <c r="B959" s="132"/>
      <c r="C959" s="132"/>
      <c r="D959" s="132"/>
      <c r="E959" s="132"/>
      <c r="F959" s="132"/>
    </row>
    <row r="960" spans="1:6" x14ac:dyDescent="0.3">
      <c r="A960" s="132"/>
      <c r="B960" s="132"/>
      <c r="C960" s="132"/>
      <c r="D960" s="132"/>
      <c r="E960" s="132"/>
      <c r="F960" s="132"/>
    </row>
    <row r="961" spans="1:6" x14ac:dyDescent="0.3">
      <c r="A961" s="132"/>
      <c r="B961" s="132"/>
      <c r="C961" s="132"/>
      <c r="D961" s="132"/>
      <c r="E961" s="132"/>
      <c r="F961" s="132"/>
    </row>
    <row r="962" spans="1:6" x14ac:dyDescent="0.3">
      <c r="A962" s="132"/>
      <c r="B962" s="132"/>
      <c r="C962" s="132"/>
      <c r="D962" s="132"/>
      <c r="E962" s="132"/>
      <c r="F962" s="132"/>
    </row>
    <row r="963" spans="1:6" x14ac:dyDescent="0.3">
      <c r="A963" s="132"/>
      <c r="B963" s="132"/>
      <c r="C963" s="132"/>
      <c r="D963" s="132"/>
      <c r="E963" s="132"/>
      <c r="F963" s="132"/>
    </row>
    <row r="964" spans="1:6" x14ac:dyDescent="0.3">
      <c r="A964" s="132"/>
      <c r="B964" s="132"/>
      <c r="C964" s="132"/>
      <c r="D964" s="132"/>
      <c r="E964" s="132"/>
      <c r="F964" s="132"/>
    </row>
    <row r="965" spans="1:6" x14ac:dyDescent="0.3">
      <c r="A965" s="132"/>
      <c r="B965" s="132"/>
      <c r="C965" s="132"/>
      <c r="D965" s="132"/>
      <c r="E965" s="132"/>
      <c r="F965" s="132"/>
    </row>
    <row r="966" spans="1:6" x14ac:dyDescent="0.3">
      <c r="A966" s="132"/>
      <c r="B966" s="132"/>
      <c r="C966" s="132"/>
      <c r="D966" s="132"/>
      <c r="E966" s="132"/>
      <c r="F966" s="132"/>
    </row>
    <row r="967" spans="1:6" x14ac:dyDescent="0.3">
      <c r="A967" s="132"/>
      <c r="B967" s="132"/>
      <c r="C967" s="132"/>
      <c r="D967" s="132"/>
      <c r="E967" s="132"/>
      <c r="F967" s="132"/>
    </row>
    <row r="968" spans="1:6" x14ac:dyDescent="0.3">
      <c r="A968" s="132"/>
      <c r="B968" s="132"/>
      <c r="C968" s="132"/>
      <c r="D968" s="132"/>
      <c r="E968" s="132"/>
      <c r="F968" s="132"/>
    </row>
    <row r="969" spans="1:6" x14ac:dyDescent="0.3">
      <c r="A969" s="132"/>
      <c r="B969" s="132"/>
      <c r="C969" s="132"/>
      <c r="D969" s="132"/>
      <c r="E969" s="132"/>
      <c r="F969" s="132"/>
    </row>
    <row r="970" spans="1:6" x14ac:dyDescent="0.3">
      <c r="A970" s="132"/>
      <c r="B970" s="132"/>
      <c r="C970" s="132"/>
      <c r="D970" s="132"/>
      <c r="E970" s="132"/>
      <c r="F970" s="132"/>
    </row>
    <row r="971" spans="1:6" x14ac:dyDescent="0.3">
      <c r="A971" s="132"/>
      <c r="B971" s="132"/>
      <c r="C971" s="132"/>
      <c r="D971" s="132"/>
      <c r="E971" s="132"/>
      <c r="F971" s="132"/>
    </row>
    <row r="972" spans="1:6" x14ac:dyDescent="0.3">
      <c r="A972" s="132"/>
      <c r="B972" s="132"/>
      <c r="C972" s="132"/>
      <c r="D972" s="132"/>
      <c r="E972" s="132"/>
      <c r="F972" s="132"/>
    </row>
    <row r="973" spans="1:6" x14ac:dyDescent="0.3">
      <c r="A973" s="132"/>
      <c r="B973" s="132"/>
      <c r="C973" s="132"/>
      <c r="D973" s="132"/>
      <c r="E973" s="132"/>
      <c r="F973" s="132"/>
    </row>
    <row r="974" spans="1:6" x14ac:dyDescent="0.3">
      <c r="A974" s="132"/>
      <c r="B974" s="132"/>
      <c r="C974" s="132"/>
      <c r="D974" s="132"/>
      <c r="E974" s="132"/>
      <c r="F974" s="132"/>
    </row>
    <row r="975" spans="1:6" x14ac:dyDescent="0.3">
      <c r="A975" s="132"/>
      <c r="B975" s="132"/>
      <c r="C975" s="132"/>
      <c r="D975" s="132"/>
      <c r="E975" s="132"/>
      <c r="F975" s="132"/>
    </row>
    <row r="976" spans="1:6" x14ac:dyDescent="0.3">
      <c r="A976" s="132"/>
      <c r="B976" s="132"/>
      <c r="C976" s="132"/>
      <c r="D976" s="132"/>
      <c r="E976" s="132"/>
      <c r="F976" s="132"/>
    </row>
    <row r="977" spans="1:6" x14ac:dyDescent="0.3">
      <c r="A977" s="132"/>
      <c r="B977" s="132"/>
      <c r="C977" s="132"/>
      <c r="D977" s="132"/>
      <c r="E977" s="132"/>
      <c r="F977" s="132"/>
    </row>
    <row r="978" spans="1:6" x14ac:dyDescent="0.3">
      <c r="A978" s="132"/>
      <c r="B978" s="132"/>
      <c r="C978" s="132"/>
      <c r="D978" s="132"/>
      <c r="E978" s="132"/>
      <c r="F978" s="132"/>
    </row>
    <row r="979" spans="1:6" x14ac:dyDescent="0.3">
      <c r="A979" s="132"/>
      <c r="B979" s="132"/>
      <c r="C979" s="132"/>
      <c r="D979" s="132"/>
      <c r="E979" s="132"/>
      <c r="F979" s="132"/>
    </row>
    <row r="980" spans="1:6" x14ac:dyDescent="0.3">
      <c r="A980" s="132"/>
      <c r="B980" s="132"/>
      <c r="C980" s="132"/>
      <c r="D980" s="132"/>
      <c r="E980" s="132"/>
      <c r="F980" s="132"/>
    </row>
    <row r="981" spans="1:6" x14ac:dyDescent="0.3">
      <c r="A981" s="132"/>
      <c r="B981" s="132"/>
      <c r="C981" s="132"/>
      <c r="D981" s="132"/>
      <c r="E981" s="132"/>
      <c r="F981" s="132"/>
    </row>
    <row r="982" spans="1:6" x14ac:dyDescent="0.3">
      <c r="A982" s="132"/>
      <c r="B982" s="132"/>
      <c r="C982" s="132"/>
      <c r="D982" s="132"/>
      <c r="E982" s="132"/>
      <c r="F982" s="132"/>
    </row>
    <row r="983" spans="1:6" x14ac:dyDescent="0.3">
      <c r="A983" s="132"/>
      <c r="B983" s="132"/>
      <c r="C983" s="132"/>
      <c r="D983" s="132"/>
      <c r="E983" s="132"/>
      <c r="F983" s="132"/>
    </row>
    <row r="984" spans="1:6" x14ac:dyDescent="0.3">
      <c r="A984" s="132"/>
      <c r="B984" s="132"/>
      <c r="C984" s="132"/>
      <c r="D984" s="132"/>
      <c r="E984" s="132"/>
      <c r="F984" s="132"/>
    </row>
    <row r="985" spans="1:6" x14ac:dyDescent="0.3">
      <c r="A985" s="132"/>
      <c r="B985" s="132"/>
      <c r="C985" s="132"/>
      <c r="D985" s="132"/>
      <c r="E985" s="132"/>
      <c r="F985" s="132"/>
    </row>
    <row r="986" spans="1:6" x14ac:dyDescent="0.3">
      <c r="A986" s="132"/>
      <c r="B986" s="132"/>
      <c r="C986" s="132"/>
      <c r="D986" s="132"/>
      <c r="E986" s="132"/>
      <c r="F986" s="132"/>
    </row>
    <row r="987" spans="1:6" x14ac:dyDescent="0.3">
      <c r="A987" s="132"/>
      <c r="B987" s="132"/>
      <c r="C987" s="132"/>
      <c r="D987" s="132"/>
      <c r="E987" s="132"/>
      <c r="F987" s="132"/>
    </row>
    <row r="988" spans="1:6" x14ac:dyDescent="0.3">
      <c r="A988" s="132"/>
      <c r="B988" s="132"/>
      <c r="C988" s="132"/>
      <c r="D988" s="132"/>
      <c r="E988" s="132"/>
      <c r="F988" s="132"/>
    </row>
    <row r="989" spans="1:6" x14ac:dyDescent="0.3">
      <c r="A989" s="132"/>
      <c r="B989" s="132"/>
      <c r="C989" s="132"/>
      <c r="D989" s="132"/>
      <c r="E989" s="132"/>
      <c r="F989" s="132"/>
    </row>
    <row r="990" spans="1:6" x14ac:dyDescent="0.3">
      <c r="A990" s="132"/>
      <c r="B990" s="132"/>
      <c r="C990" s="132"/>
      <c r="D990" s="132"/>
      <c r="E990" s="132"/>
      <c r="F990" s="132"/>
    </row>
    <row r="991" spans="1:6" x14ac:dyDescent="0.3">
      <c r="A991" s="132"/>
      <c r="B991" s="132"/>
      <c r="C991" s="132"/>
      <c r="D991" s="132"/>
      <c r="E991" s="132"/>
      <c r="F991" s="132"/>
    </row>
    <row r="992" spans="1:6" x14ac:dyDescent="0.3">
      <c r="A992" s="132"/>
      <c r="B992" s="132"/>
      <c r="C992" s="132"/>
      <c r="D992" s="132"/>
      <c r="E992" s="132"/>
      <c r="F992" s="132"/>
    </row>
    <row r="993" spans="1:6" x14ac:dyDescent="0.3">
      <c r="A993" s="132"/>
      <c r="B993" s="132"/>
      <c r="C993" s="132"/>
      <c r="D993" s="132"/>
      <c r="E993" s="132"/>
      <c r="F993" s="132"/>
    </row>
    <row r="994" spans="1:6" x14ac:dyDescent="0.3">
      <c r="A994" s="132"/>
      <c r="B994" s="132"/>
      <c r="C994" s="132"/>
      <c r="D994" s="132"/>
      <c r="E994" s="132"/>
      <c r="F994" s="132"/>
    </row>
    <row r="995" spans="1:6" x14ac:dyDescent="0.3">
      <c r="A995" s="132"/>
      <c r="B995" s="132"/>
      <c r="C995" s="132"/>
      <c r="D995" s="132"/>
      <c r="E995" s="132"/>
      <c r="F995" s="132"/>
    </row>
    <row r="996" spans="1:6" x14ac:dyDescent="0.3">
      <c r="A996" s="132"/>
      <c r="B996" s="132"/>
      <c r="C996" s="132"/>
      <c r="D996" s="132"/>
      <c r="E996" s="132"/>
      <c r="F996" s="132"/>
    </row>
    <row r="997" spans="1:6" x14ac:dyDescent="0.3">
      <c r="A997" s="132"/>
      <c r="B997" s="132"/>
      <c r="C997" s="132"/>
      <c r="D997" s="132"/>
      <c r="E997" s="132"/>
      <c r="F997" s="132"/>
    </row>
    <row r="998" spans="1:6" x14ac:dyDescent="0.3">
      <c r="A998" s="132"/>
      <c r="B998" s="132"/>
      <c r="C998" s="132"/>
      <c r="D998" s="132"/>
      <c r="E998" s="132"/>
      <c r="F998" s="132"/>
    </row>
    <row r="999" spans="1:6" x14ac:dyDescent="0.3">
      <c r="A999" s="132"/>
      <c r="B999" s="132"/>
      <c r="C999" s="132"/>
      <c r="D999" s="132"/>
      <c r="E999" s="132"/>
      <c r="F999" s="132"/>
    </row>
    <row r="1000" spans="1:6" x14ac:dyDescent="0.3">
      <c r="A1000" s="132"/>
      <c r="B1000" s="132"/>
      <c r="C1000" s="132"/>
      <c r="D1000" s="132"/>
      <c r="E1000" s="132"/>
      <c r="F1000" s="13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26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3" t="s">
        <v>871</v>
      </c>
    </row>
    <row r="2" spans="1:1" x14ac:dyDescent="0.3">
      <c r="A2" t="s">
        <v>888</v>
      </c>
    </row>
    <row r="3" spans="1:1" x14ac:dyDescent="0.3">
      <c r="A3" t="s">
        <v>1023</v>
      </c>
    </row>
    <row r="4" spans="1:1" x14ac:dyDescent="0.3">
      <c r="A4" t="s">
        <v>1400</v>
      </c>
    </row>
    <row r="5" spans="1:1" x14ac:dyDescent="0.3">
      <c r="A5" t="s">
        <v>1401</v>
      </c>
    </row>
    <row r="6" spans="1:1" x14ac:dyDescent="0.3">
      <c r="A6" t="s">
        <v>1424</v>
      </c>
    </row>
    <row r="7" spans="1:1" x14ac:dyDescent="0.3">
      <c r="A7" t="s">
        <v>1429</v>
      </c>
    </row>
    <row r="8" spans="1:1" x14ac:dyDescent="0.3">
      <c r="A8" t="s">
        <v>1431</v>
      </c>
    </row>
    <row r="9" spans="1:1" x14ac:dyDescent="0.3">
      <c r="A9" t="s">
        <v>1053</v>
      </c>
    </row>
    <row r="10" spans="1:1" x14ac:dyDescent="0.3">
      <c r="A10" t="s">
        <v>1449</v>
      </c>
    </row>
    <row r="11" spans="1:1" x14ac:dyDescent="0.3">
      <c r="A11" t="s">
        <v>1457</v>
      </c>
    </row>
    <row r="12" spans="1:1" x14ac:dyDescent="0.3">
      <c r="A12" t="s">
        <v>1475</v>
      </c>
    </row>
    <row r="13" spans="1:1" x14ac:dyDescent="0.3">
      <c r="A13" t="s">
        <v>1491</v>
      </c>
    </row>
    <row r="14" spans="1:1" x14ac:dyDescent="0.3">
      <c r="A14" t="s">
        <v>1492</v>
      </c>
    </row>
    <row r="15" spans="1:1" x14ac:dyDescent="0.3">
      <c r="A15" t="s">
        <v>1134</v>
      </c>
    </row>
    <row r="16" spans="1:1" x14ac:dyDescent="0.3">
      <c r="A16" t="s">
        <v>1136</v>
      </c>
    </row>
    <row r="17" spans="1:1" x14ac:dyDescent="0.3">
      <c r="A17" t="s">
        <v>1137</v>
      </c>
    </row>
    <row r="18" spans="1:1" x14ac:dyDescent="0.3">
      <c r="A18" t="s">
        <v>1560</v>
      </c>
    </row>
    <row r="19" spans="1:1" x14ac:dyDescent="0.3">
      <c r="A19" t="s">
        <v>1563</v>
      </c>
    </row>
    <row r="20" spans="1:1" x14ac:dyDescent="0.3">
      <c r="A20" t="s">
        <v>1181</v>
      </c>
    </row>
    <row r="21" spans="1:1" x14ac:dyDescent="0.3">
      <c r="A21" t="s">
        <v>1578</v>
      </c>
    </row>
    <row r="22" spans="1:1" x14ac:dyDescent="0.3">
      <c r="A22" t="s">
        <v>1584</v>
      </c>
    </row>
    <row r="23" spans="1:1" x14ac:dyDescent="0.3">
      <c r="A23" t="s">
        <v>1242</v>
      </c>
    </row>
    <row r="24" spans="1:1" x14ac:dyDescent="0.3">
      <c r="A24" t="s">
        <v>1605</v>
      </c>
    </row>
    <row r="25" spans="1:1" x14ac:dyDescent="0.3">
      <c r="A25" t="s">
        <v>1607</v>
      </c>
    </row>
    <row r="26" spans="1:1" x14ac:dyDescent="0.3">
      <c r="A26" t="s">
        <v>1620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3"/>
  <sheetViews>
    <sheetView workbookViewId="0">
      <selection activeCell="A3" sqref="A3:B3"/>
    </sheetView>
  </sheetViews>
  <sheetFormatPr defaultRowHeight="14.4" x14ac:dyDescent="0.3"/>
  <cols>
    <col min="1" max="1" width="18" customWidth="1"/>
    <col min="2" max="2" width="19.77734375" customWidth="1"/>
  </cols>
  <sheetData>
    <row r="1" spans="1:2" x14ac:dyDescent="0.3">
      <c r="A1" s="267" t="s">
        <v>1644</v>
      </c>
      <c r="B1" s="267" t="s">
        <v>1623</v>
      </c>
    </row>
    <row r="3" spans="1:2" x14ac:dyDescent="0.3">
      <c r="A3" t="s">
        <v>1645</v>
      </c>
      <c r="B3" s="268">
        <v>44378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2021-08-06T18:40:28Z</dcterms:modified>
</cp:coreProperties>
</file>